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ISAN\MASTER PLAN FY2026\TÁCH PHÒNG\SỬA\"/>
    </mc:Choice>
  </mc:AlternateContent>
  <xr:revisionPtr revIDLastSave="0" documentId="13_ncr:1_{4EE11656-1AEF-4928-9241-97F206400DED}" xr6:coauthVersionLast="47" xr6:coauthVersionMax="47" xr10:uidLastSave="{00000000-0000-0000-0000-000000000000}"/>
  <bookViews>
    <workbookView xWindow="-120" yWindow="-120" windowWidth="20730" windowHeight="1104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'内訳ﾘｽﾄ(4～3月)'!$A$7:$T$859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0" l="1"/>
  <c r="R18" i="10"/>
  <c r="R19" i="10"/>
  <c r="R10" i="10"/>
  <c r="R11" i="10"/>
  <c r="R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31" i="10"/>
  <c r="R16" i="10"/>
  <c r="R13" i="10"/>
  <c r="R12" i="10"/>
  <c r="Q56" i="10" l="1"/>
  <c r="P56" i="10"/>
  <c r="O56" i="10"/>
  <c r="N56" i="10"/>
  <c r="M56" i="10"/>
  <c r="L56" i="10"/>
  <c r="K56" i="10"/>
  <c r="J56" i="10"/>
  <c r="J47" i="10"/>
  <c r="K47" i="10"/>
  <c r="L47" i="10"/>
  <c r="M47" i="10"/>
  <c r="N47" i="10"/>
  <c r="O47" i="10"/>
  <c r="P47" i="10"/>
  <c r="Q47" i="10"/>
  <c r="J48" i="10"/>
  <c r="K48" i="10"/>
  <c r="L48" i="10"/>
  <c r="M48" i="10"/>
  <c r="N48" i="10"/>
  <c r="O48" i="10"/>
  <c r="P48" i="10"/>
  <c r="Q48" i="10"/>
  <c r="Q40" i="10"/>
  <c r="Q39" i="10"/>
  <c r="P40" i="10"/>
  <c r="P39" i="10"/>
  <c r="O40" i="10"/>
  <c r="O39" i="10"/>
  <c r="N40" i="10"/>
  <c r="N39" i="10"/>
  <c r="M40" i="10"/>
  <c r="M39" i="10"/>
  <c r="L40" i="10"/>
  <c r="L39" i="10"/>
  <c r="K40" i="10"/>
  <c r="K39" i="10"/>
  <c r="J40" i="10"/>
  <c r="J39" i="10"/>
  <c r="Q37" i="10"/>
  <c r="Q36" i="10"/>
  <c r="P37" i="10"/>
  <c r="P36" i="10"/>
  <c r="O37" i="10"/>
  <c r="O36" i="10"/>
  <c r="N37" i="10"/>
  <c r="N36" i="10"/>
  <c r="M37" i="10"/>
  <c r="M36" i="10"/>
  <c r="L37" i="10"/>
  <c r="L36" i="10"/>
  <c r="K37" i="10"/>
  <c r="K36" i="10"/>
  <c r="J37" i="10"/>
  <c r="J36" i="10"/>
  <c r="M89" i="10" l="1"/>
  <c r="L89" i="10"/>
  <c r="K89" i="10"/>
  <c r="J89" i="10"/>
  <c r="L87" i="10"/>
  <c r="L86" i="10"/>
  <c r="Q84" i="10" l="1"/>
  <c r="P84" i="10"/>
  <c r="O84" i="10"/>
  <c r="N84" i="10"/>
  <c r="M84" i="10"/>
  <c r="L84" i="10"/>
  <c r="K84" i="10"/>
  <c r="M83" i="10"/>
  <c r="N82" i="10"/>
  <c r="K81" i="10"/>
  <c r="L80" i="10"/>
  <c r="P79" i="10"/>
  <c r="P78" i="10"/>
  <c r="I77" i="10"/>
  <c r="P76" i="10"/>
  <c r="K76" i="10"/>
  <c r="P75" i="10"/>
  <c r="N75" i="10"/>
  <c r="L75" i="10"/>
  <c r="J75" i="10"/>
  <c r="M69" i="10"/>
  <c r="Q67" i="10"/>
  <c r="P67" i="10"/>
  <c r="O67" i="10"/>
  <c r="N67" i="10"/>
  <c r="M67" i="10"/>
  <c r="L67" i="10"/>
  <c r="K67" i="10"/>
  <c r="J67" i="10"/>
  <c r="Q65" i="10"/>
  <c r="P65" i="10"/>
  <c r="O65" i="10"/>
  <c r="N65" i="10"/>
  <c r="M65" i="10"/>
  <c r="L65" i="10"/>
  <c r="K65" i="10"/>
  <c r="J65" i="10"/>
  <c r="L63" i="10"/>
  <c r="K63" i="10"/>
  <c r="J63" i="10"/>
  <c r="K62" i="10"/>
  <c r="J62" i="10"/>
  <c r="I62" i="10"/>
  <c r="K61" i="10"/>
  <c r="J61" i="10"/>
  <c r="I61" i="10"/>
  <c r="K60" i="10"/>
  <c r="J60" i="10"/>
  <c r="I60" i="10"/>
  <c r="K59" i="10"/>
  <c r="J59" i="10"/>
  <c r="I59" i="10"/>
  <c r="K58" i="10"/>
  <c r="J58" i="10"/>
  <c r="I58" i="10"/>
  <c r="Q54" i="10"/>
  <c r="P54" i="10"/>
  <c r="O54" i="10"/>
  <c r="N54" i="10"/>
  <c r="M54" i="10"/>
  <c r="L54" i="10"/>
  <c r="K54" i="10"/>
  <c r="J54" i="10"/>
  <c r="Q45" i="10" l="1"/>
  <c r="P45" i="10"/>
  <c r="O45" i="10"/>
  <c r="N45" i="10"/>
  <c r="M45" i="10"/>
  <c r="L45" i="10"/>
  <c r="K45" i="10"/>
  <c r="J45" i="10"/>
  <c r="Q44" i="10"/>
  <c r="P44" i="10"/>
  <c r="O44" i="10"/>
  <c r="N44" i="10"/>
  <c r="M44" i="10"/>
  <c r="L44" i="10"/>
  <c r="K44" i="10"/>
  <c r="J44" i="10"/>
  <c r="Q42" i="10"/>
  <c r="P42" i="10"/>
  <c r="O42" i="10"/>
  <c r="N42" i="10"/>
  <c r="M42" i="10"/>
  <c r="L42" i="10"/>
  <c r="K42" i="10"/>
  <c r="J42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0" i="10"/>
  <c r="E5" i="10"/>
  <c r="D5" i="10"/>
  <c r="L70" i="5" s="1"/>
  <c r="L70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D98" i="5"/>
  <c r="D98" i="32" s="1"/>
  <c r="C98" i="5"/>
  <c r="C98" i="32" s="1"/>
  <c r="N97" i="5"/>
  <c r="N97" i="32" s="1"/>
  <c r="M97" i="5"/>
  <c r="L97" i="5"/>
  <c r="L97" i="32" s="1"/>
  <c r="K97" i="5"/>
  <c r="J97" i="5"/>
  <c r="J97" i="32" s="1"/>
  <c r="I97" i="5"/>
  <c r="I97" i="32" s="1"/>
  <c r="H97" i="5"/>
  <c r="H97" i="32" s="1"/>
  <c r="G97" i="5"/>
  <c r="F97" i="5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N92" i="32" s="1"/>
  <c r="M92" i="5"/>
  <c r="M92" i="32" s="1"/>
  <c r="L92" i="5"/>
  <c r="L92" i="32" s="1"/>
  <c r="K92" i="5"/>
  <c r="K92" i="32" s="1"/>
  <c r="J92" i="5"/>
  <c r="I92" i="5"/>
  <c r="I92" i="32" s="1"/>
  <c r="H92" i="5"/>
  <c r="G92" i="5"/>
  <c r="F92" i="5"/>
  <c r="F92" i="32" s="1"/>
  <c r="E92" i="5"/>
  <c r="E92" i="32" s="1"/>
  <c r="D92" i="5"/>
  <c r="D92" i="32" s="1"/>
  <c r="C92" i="5"/>
  <c r="N88" i="5"/>
  <c r="N88" i="32" s="1"/>
  <c r="M88" i="5"/>
  <c r="M88" i="32" s="1"/>
  <c r="L88" i="5"/>
  <c r="L88" i="32" s="1"/>
  <c r="K88" i="5"/>
  <c r="K88" i="32" s="1"/>
  <c r="J88" i="5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L87" i="5"/>
  <c r="L87" i="32" s="1"/>
  <c r="K87" i="5"/>
  <c r="K87" i="32" s="1"/>
  <c r="J87" i="5"/>
  <c r="J87" i="32" s="1"/>
  <c r="I87" i="5"/>
  <c r="H87" i="5"/>
  <c r="H87" i="32" s="1"/>
  <c r="G87" i="5"/>
  <c r="G87" i="32" s="1"/>
  <c r="F87" i="5"/>
  <c r="E87" i="5"/>
  <c r="E87" i="32" s="1"/>
  <c r="D87" i="5"/>
  <c r="D87" i="32" s="1"/>
  <c r="C87" i="5"/>
  <c r="N74" i="5"/>
  <c r="N74" i="32" s="1"/>
  <c r="M74" i="5"/>
  <c r="M74" i="32" s="1"/>
  <c r="L74" i="5"/>
  <c r="K74" i="5"/>
  <c r="K74" i="32" s="1"/>
  <c r="J74" i="5"/>
  <c r="I74" i="5"/>
  <c r="I74" i="32" s="1"/>
  <c r="H74" i="5"/>
  <c r="H74" i="32" s="1"/>
  <c r="G74" i="5"/>
  <c r="F74" i="5"/>
  <c r="E74" i="5"/>
  <c r="D74" i="5"/>
  <c r="D74" i="32" s="1"/>
  <c r="C74" i="5"/>
  <c r="N68" i="5"/>
  <c r="M68" i="5"/>
  <c r="M68" i="32" s="1"/>
  <c r="L68" i="5"/>
  <c r="L68" i="32" s="1"/>
  <c r="K68" i="5"/>
  <c r="J68" i="5"/>
  <c r="J68" i="32" s="1"/>
  <c r="I68" i="5"/>
  <c r="I68" i="32" s="1"/>
  <c r="H68" i="5"/>
  <c r="G68" i="5"/>
  <c r="F68" i="5"/>
  <c r="F68" i="32" s="1"/>
  <c r="E68" i="5"/>
  <c r="D68" i="5"/>
  <c r="D68" i="32" s="1"/>
  <c r="C68" i="5"/>
  <c r="C68" i="32" s="1"/>
  <c r="Q5" i="10"/>
  <c r="P5" i="10"/>
  <c r="O5" i="10"/>
  <c r="N5" i="10"/>
  <c r="M5" i="10"/>
  <c r="L5" i="10"/>
  <c r="K5" i="10"/>
  <c r="J5" i="10"/>
  <c r="I5" i="10"/>
  <c r="H5" i="10"/>
  <c r="G5" i="10"/>
  <c r="F5" i="10"/>
  <c r="C1" i="5"/>
  <c r="C1" i="32" s="1"/>
  <c r="R25" i="10"/>
  <c r="O88" i="5" s="1"/>
  <c r="R24" i="10"/>
  <c r="O87" i="5" s="1"/>
  <c r="R23" i="10"/>
  <c r="R22" i="10"/>
  <c r="R21" i="10"/>
  <c r="R20" i="10"/>
  <c r="R15" i="10"/>
  <c r="R14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73" i="10" l="1"/>
  <c r="C38" i="10"/>
  <c r="D38" i="10" s="1"/>
  <c r="C46" i="10"/>
  <c r="D46" i="10" s="1"/>
  <c r="C53" i="10"/>
  <c r="D53" i="10" s="1"/>
  <c r="C61" i="10"/>
  <c r="D61" i="10" s="1"/>
  <c r="C69" i="10"/>
  <c r="D69" i="10" s="1"/>
  <c r="C78" i="10"/>
  <c r="D78" i="10" s="1"/>
  <c r="C86" i="10"/>
  <c r="D86" i="10" s="1"/>
  <c r="C100" i="10"/>
  <c r="D100" i="10" s="1"/>
  <c r="C108" i="10"/>
  <c r="D108" i="10" s="1"/>
  <c r="C114" i="10"/>
  <c r="D114" i="10" s="1"/>
  <c r="C36" i="10"/>
  <c r="D36" i="10" s="1"/>
  <c r="C45" i="10"/>
  <c r="D45" i="10" s="1"/>
  <c r="C107" i="10"/>
  <c r="D107" i="10" s="1"/>
  <c r="C39" i="10"/>
  <c r="D39" i="10" s="1"/>
  <c r="C47" i="10"/>
  <c r="D47" i="10" s="1"/>
  <c r="C54" i="10"/>
  <c r="D54" i="10" s="1"/>
  <c r="C62" i="10"/>
  <c r="D62" i="10" s="1"/>
  <c r="C70" i="10"/>
  <c r="D70" i="10" s="1"/>
  <c r="C79" i="10"/>
  <c r="D79" i="10" s="1"/>
  <c r="C87" i="10"/>
  <c r="D87" i="10" s="1"/>
  <c r="C93" i="10"/>
  <c r="D93" i="10" s="1"/>
  <c r="C101" i="10"/>
  <c r="D101" i="10" s="1"/>
  <c r="C115" i="10"/>
  <c r="D115" i="10" s="1"/>
  <c r="C67" i="10"/>
  <c r="D67" i="10" s="1"/>
  <c r="C106" i="10"/>
  <c r="D106" i="10" s="1"/>
  <c r="C68" i="10"/>
  <c r="D68" i="10" s="1"/>
  <c r="C121" i="10"/>
  <c r="D121" i="10" s="1"/>
  <c r="C32" i="10"/>
  <c r="D32" i="10" s="1"/>
  <c r="C40" i="10"/>
  <c r="D40" i="10" s="1"/>
  <c r="C48" i="10"/>
  <c r="D48" i="10" s="1"/>
  <c r="C55" i="10"/>
  <c r="D55" i="10" s="1"/>
  <c r="C63" i="10"/>
  <c r="D63" i="10" s="1"/>
  <c r="C71" i="10"/>
  <c r="D71" i="10" s="1"/>
  <c r="C80" i="10"/>
  <c r="D80" i="10" s="1"/>
  <c r="C88" i="10"/>
  <c r="D88" i="10" s="1"/>
  <c r="C94" i="10"/>
  <c r="D94" i="10" s="1"/>
  <c r="C102" i="10"/>
  <c r="D102" i="10" s="1"/>
  <c r="C109" i="10"/>
  <c r="D109" i="10" s="1"/>
  <c r="C116" i="10"/>
  <c r="D116" i="10" s="1"/>
  <c r="C76" i="10"/>
  <c r="D76" i="10" s="1"/>
  <c r="C98" i="10"/>
  <c r="D98" i="10" s="1"/>
  <c r="C37" i="10"/>
  <c r="D37" i="10" s="1"/>
  <c r="C99" i="10"/>
  <c r="D99" i="10" s="1"/>
  <c r="C33" i="10"/>
  <c r="D33" i="10" s="1"/>
  <c r="C41" i="10"/>
  <c r="D41" i="10" s="1"/>
  <c r="C49" i="10"/>
  <c r="D49" i="10" s="1"/>
  <c r="C56" i="10"/>
  <c r="D56" i="10" s="1"/>
  <c r="C64" i="10"/>
  <c r="D64" i="10" s="1"/>
  <c r="C72" i="10"/>
  <c r="D72" i="10" s="1"/>
  <c r="C81" i="10"/>
  <c r="D81" i="10" s="1"/>
  <c r="C89" i="10"/>
  <c r="D89" i="10" s="1"/>
  <c r="C95" i="10"/>
  <c r="D95" i="10" s="1"/>
  <c r="C103" i="10"/>
  <c r="D103" i="10" s="1"/>
  <c r="C110" i="10"/>
  <c r="D110" i="10" s="1"/>
  <c r="C117" i="10"/>
  <c r="D117" i="10" s="1"/>
  <c r="C59" i="10"/>
  <c r="D59" i="10" s="1"/>
  <c r="C77" i="10"/>
  <c r="D77" i="10" s="1"/>
  <c r="C113" i="10"/>
  <c r="D113" i="10" s="1"/>
  <c r="C34" i="10"/>
  <c r="D34" i="10" s="1"/>
  <c r="C42" i="10"/>
  <c r="D42" i="10" s="1"/>
  <c r="C50" i="10"/>
  <c r="D50" i="10" s="1"/>
  <c r="C57" i="10"/>
  <c r="D57" i="10" s="1"/>
  <c r="C65" i="10"/>
  <c r="D65" i="10" s="1"/>
  <c r="C74" i="10"/>
  <c r="D74" i="10" s="1"/>
  <c r="C82" i="10"/>
  <c r="D82" i="10" s="1"/>
  <c r="C90" i="10"/>
  <c r="D90" i="10" s="1"/>
  <c r="C96" i="10"/>
  <c r="D96" i="10" s="1"/>
  <c r="C104" i="10"/>
  <c r="D104" i="10" s="1"/>
  <c r="C111" i="10"/>
  <c r="D111" i="10" s="1"/>
  <c r="C118" i="10"/>
  <c r="D118" i="10" s="1"/>
  <c r="C51" i="10"/>
  <c r="D51" i="10" s="1"/>
  <c r="C84" i="10"/>
  <c r="D84" i="10" s="1"/>
  <c r="C60" i="10"/>
  <c r="D60" i="10" s="1"/>
  <c r="C92" i="10"/>
  <c r="D92" i="10" s="1"/>
  <c r="C35" i="10"/>
  <c r="D35" i="10" s="1"/>
  <c r="C43" i="10"/>
  <c r="D43" i="10" s="1"/>
  <c r="C58" i="10"/>
  <c r="D58" i="10" s="1"/>
  <c r="C66" i="10"/>
  <c r="D66" i="10" s="1"/>
  <c r="C75" i="10"/>
  <c r="D75" i="10" s="1"/>
  <c r="C83" i="10"/>
  <c r="D83" i="10" s="1"/>
  <c r="C91" i="10"/>
  <c r="D91" i="10" s="1"/>
  <c r="C97" i="10"/>
  <c r="D97" i="10" s="1"/>
  <c r="C105" i="10"/>
  <c r="D105" i="10" s="1"/>
  <c r="C112" i="10"/>
  <c r="D112" i="10" s="1"/>
  <c r="C119" i="10"/>
  <c r="D119" i="10" s="1"/>
  <c r="C44" i="10"/>
  <c r="D44" i="10" s="1"/>
  <c r="C120" i="10"/>
  <c r="D120" i="10" s="1"/>
  <c r="C52" i="10"/>
  <c r="D52" i="10" s="1"/>
  <c r="C85" i="10"/>
  <c r="D85" i="10" s="1"/>
  <c r="C396" i="10"/>
  <c r="D396" i="10" s="1"/>
  <c r="K78" i="5"/>
  <c r="K78" i="32" s="1"/>
  <c r="J77" i="5"/>
  <c r="J77" i="32" s="1"/>
  <c r="J78" i="5"/>
  <c r="J78" i="32" s="1"/>
  <c r="G76" i="5"/>
  <c r="G76" i="32" s="1"/>
  <c r="F72" i="5"/>
  <c r="F72" i="32" s="1"/>
  <c r="I77" i="5"/>
  <c r="I77" i="32" s="1"/>
  <c r="G72" i="5"/>
  <c r="G72" i="32" s="1"/>
  <c r="N78" i="5"/>
  <c r="N78" i="32" s="1"/>
  <c r="M72" i="5"/>
  <c r="M72" i="32" s="1"/>
  <c r="C955" i="10"/>
  <c r="D955" i="10" s="1"/>
  <c r="L75" i="5"/>
  <c r="L75" i="32" s="1"/>
  <c r="D77" i="5"/>
  <c r="D77" i="32" s="1"/>
  <c r="M70" i="5"/>
  <c r="H71" i="5"/>
  <c r="H71" i="32" s="1"/>
  <c r="I70" i="5"/>
  <c r="I70" i="32" s="1"/>
  <c r="N77" i="5"/>
  <c r="N77" i="32" s="1"/>
  <c r="E71" i="5"/>
  <c r="E71" i="32" s="1"/>
  <c r="J71" i="5"/>
  <c r="J71" i="32" s="1"/>
  <c r="F71" i="5"/>
  <c r="F71" i="32" s="1"/>
  <c r="O72" i="5"/>
  <c r="I76" i="5"/>
  <c r="I76" i="32" s="1"/>
  <c r="J72" i="5"/>
  <c r="J72" i="32" s="1"/>
  <c r="G71" i="5"/>
  <c r="G71" i="32" s="1"/>
  <c r="O77" i="5"/>
  <c r="L72" i="5"/>
  <c r="L72" i="32" s="1"/>
  <c r="L78" i="5"/>
  <c r="L78" i="32" s="1"/>
  <c r="K77" i="5"/>
  <c r="K77" i="32" s="1"/>
  <c r="G69" i="5"/>
  <c r="G69" i="32" s="1"/>
  <c r="E76" i="5"/>
  <c r="E76" i="32" s="1"/>
  <c r="O78" i="5"/>
  <c r="C78" i="5"/>
  <c r="C78" i="32" s="1"/>
  <c r="C72" i="5"/>
  <c r="C72" i="32" s="1"/>
  <c r="E77" i="5"/>
  <c r="E77" i="32" s="1"/>
  <c r="I71" i="5"/>
  <c r="H78" i="5"/>
  <c r="H78" i="32" s="1"/>
  <c r="K70" i="5"/>
  <c r="K70" i="32" s="1"/>
  <c r="F76" i="5"/>
  <c r="F76" i="32" s="1"/>
  <c r="G77" i="5"/>
  <c r="G77" i="32" s="1"/>
  <c r="D78" i="5"/>
  <c r="D78" i="32" s="1"/>
  <c r="C71" i="5"/>
  <c r="C71" i="32" s="1"/>
  <c r="F70" i="5"/>
  <c r="F70" i="32" s="1"/>
  <c r="D1" i="21"/>
  <c r="O70" i="5"/>
  <c r="M71" i="5"/>
  <c r="M71" i="32" s="1"/>
  <c r="K71" i="5"/>
  <c r="K71" i="32" s="1"/>
  <c r="L71" i="5"/>
  <c r="L71" i="32" s="1"/>
  <c r="K76" i="5"/>
  <c r="K76" i="32" s="1"/>
  <c r="H76" i="5"/>
  <c r="H76" i="32" s="1"/>
  <c r="M77" i="5"/>
  <c r="M77" i="32" s="1"/>
  <c r="F77" i="5"/>
  <c r="F77" i="32" s="1"/>
  <c r="N72" i="5"/>
  <c r="N72" i="32" s="1"/>
  <c r="C433" i="10"/>
  <c r="D433" i="10" s="1"/>
  <c r="K69" i="5"/>
  <c r="K69" i="32" s="1"/>
  <c r="G75" i="5"/>
  <c r="G75" i="32" s="1"/>
  <c r="N69" i="5"/>
  <c r="N69" i="32" s="1"/>
  <c r="J75" i="5"/>
  <c r="J75" i="32" s="1"/>
  <c r="G78" i="5"/>
  <c r="G78" i="32" s="1"/>
  <c r="H72" i="5"/>
  <c r="H72" i="32" s="1"/>
  <c r="D70" i="5"/>
  <c r="D70" i="32" s="1"/>
  <c r="C423" i="10"/>
  <c r="D423" i="10" s="1"/>
  <c r="C935" i="10"/>
  <c r="D935" i="10" s="1"/>
  <c r="E78" i="5"/>
  <c r="E78" i="32" s="1"/>
  <c r="O71" i="5"/>
  <c r="C171" i="10"/>
  <c r="D171" i="10" s="1"/>
  <c r="D71" i="5"/>
  <c r="D71" i="32" s="1"/>
  <c r="E70" i="5"/>
  <c r="E70" i="32" s="1"/>
  <c r="E72" i="5"/>
  <c r="E72" i="32" s="1"/>
  <c r="C215" i="10"/>
  <c r="D215" i="10" s="1"/>
  <c r="F75" i="5"/>
  <c r="F75" i="32" s="1"/>
  <c r="O76" i="5"/>
  <c r="H77" i="5"/>
  <c r="H77" i="32" s="1"/>
  <c r="G70" i="5"/>
  <c r="G70" i="32" s="1"/>
  <c r="I78" i="5"/>
  <c r="I78" i="32" s="1"/>
  <c r="D72" i="5"/>
  <c r="D72" i="32" s="1"/>
  <c r="N70" i="5"/>
  <c r="N70" i="32" s="1"/>
  <c r="H70" i="5"/>
  <c r="H70" i="32" s="1"/>
  <c r="M76" i="5"/>
  <c r="M76" i="32" s="1"/>
  <c r="M78" i="5"/>
  <c r="M78" i="32" s="1"/>
  <c r="N76" i="5"/>
  <c r="N76" i="32" s="1"/>
  <c r="C70" i="5"/>
  <c r="C70" i="32" s="1"/>
  <c r="C76" i="5"/>
  <c r="C76" i="32" s="1"/>
  <c r="F78" i="5"/>
  <c r="F78" i="32" s="1"/>
  <c r="C77" i="5"/>
  <c r="C77" i="32" s="1"/>
  <c r="J76" i="5"/>
  <c r="J76" i="32" s="1"/>
  <c r="D76" i="5"/>
  <c r="D76" i="32" s="1"/>
  <c r="I72" i="5"/>
  <c r="I72" i="32" s="1"/>
  <c r="N71" i="5"/>
  <c r="N71" i="32" s="1"/>
  <c r="L77" i="5"/>
  <c r="L77" i="32" s="1"/>
  <c r="J70" i="5"/>
  <c r="J70" i="32" s="1"/>
  <c r="L76" i="5"/>
  <c r="L76" i="32" s="1"/>
  <c r="K72" i="5"/>
  <c r="K72" i="32" s="1"/>
  <c r="E69" i="5"/>
  <c r="E69" i="32" s="1"/>
  <c r="C1048" i="10"/>
  <c r="D1048" i="10" s="1"/>
  <c r="C1041" i="10"/>
  <c r="D1041" i="10" s="1"/>
  <c r="C704" i="10"/>
  <c r="D704" i="10" s="1"/>
  <c r="C506" i="10"/>
  <c r="D506" i="10" s="1"/>
  <c r="C177" i="10"/>
  <c r="D177" i="10" s="1"/>
  <c r="C831" i="10"/>
  <c r="D831" i="10" s="1"/>
  <c r="C275" i="10"/>
  <c r="D275" i="10" s="1"/>
  <c r="C284" i="10"/>
  <c r="D284" i="10" s="1"/>
  <c r="C1045" i="10"/>
  <c r="D1045" i="10" s="1"/>
  <c r="C1047" i="10"/>
  <c r="D1047" i="10" s="1"/>
  <c r="C151" i="10"/>
  <c r="D151" i="10" s="1"/>
  <c r="C149" i="10"/>
  <c r="D149" i="10" s="1"/>
  <c r="C486" i="10"/>
  <c r="D486" i="10" s="1"/>
  <c r="J94" i="5"/>
  <c r="J99" i="32"/>
  <c r="O92" i="5"/>
  <c r="O97" i="5"/>
  <c r="K89" i="32"/>
  <c r="C94" i="5"/>
  <c r="K94" i="32"/>
  <c r="C99" i="32"/>
  <c r="D99" i="32"/>
  <c r="M75" i="5"/>
  <c r="M75" i="32" s="1"/>
  <c r="L69" i="5"/>
  <c r="L69" i="32" s="1"/>
  <c r="H75" i="5"/>
  <c r="H75" i="32" s="1"/>
  <c r="D69" i="5"/>
  <c r="D69" i="32" s="1"/>
  <c r="J69" i="5"/>
  <c r="J69" i="32" s="1"/>
  <c r="N75" i="5"/>
  <c r="N75" i="32" s="1"/>
  <c r="M89" i="5"/>
  <c r="F74" i="32"/>
  <c r="D89" i="5"/>
  <c r="H89" i="32"/>
  <c r="G74" i="32"/>
  <c r="K68" i="32"/>
  <c r="C69" i="5"/>
  <c r="C69" i="32" s="1"/>
  <c r="G89" i="32"/>
  <c r="J74" i="32"/>
  <c r="R28" i="10"/>
  <c r="M69" i="5"/>
  <c r="M69" i="32" s="1"/>
  <c r="L89" i="32"/>
  <c r="D89" i="32"/>
  <c r="L89" i="5"/>
  <c r="N89" i="5"/>
  <c r="F69" i="5"/>
  <c r="F69" i="32" s="1"/>
  <c r="E68" i="32"/>
  <c r="I69" i="5"/>
  <c r="I69" i="32" s="1"/>
  <c r="G68" i="32"/>
  <c r="N89" i="32"/>
  <c r="O98" i="5"/>
  <c r="J99" i="5"/>
  <c r="D75" i="5"/>
  <c r="D75" i="32" s="1"/>
  <c r="M87" i="32"/>
  <c r="M89" i="32" s="1"/>
  <c r="K89" i="5"/>
  <c r="O93" i="5"/>
  <c r="G89" i="5"/>
  <c r="L94" i="32"/>
  <c r="D99" i="5"/>
  <c r="E89" i="5"/>
  <c r="H89" i="5"/>
  <c r="E94" i="32"/>
  <c r="M99" i="5"/>
  <c r="R29" i="10"/>
  <c r="R5" i="10" s="1"/>
  <c r="K75" i="5"/>
  <c r="K75" i="32" s="1"/>
  <c r="N68" i="32"/>
  <c r="E89" i="32"/>
  <c r="N94" i="5"/>
  <c r="F99" i="5"/>
  <c r="N99" i="5"/>
  <c r="I75" i="5"/>
  <c r="I75" i="32" s="1"/>
  <c r="J92" i="32"/>
  <c r="J94" i="32" s="1"/>
  <c r="N94" i="32"/>
  <c r="O68" i="5"/>
  <c r="O69" i="5" s="1"/>
  <c r="C89" i="5"/>
  <c r="C87" i="32"/>
  <c r="C568" i="10"/>
  <c r="D568" i="10" s="1"/>
  <c r="C365" i="10"/>
  <c r="D365" i="10" s="1"/>
  <c r="C996" i="10"/>
  <c r="D996" i="10" s="1"/>
  <c r="C689" i="10"/>
  <c r="D689" i="10" s="1"/>
  <c r="C278" i="10"/>
  <c r="D278" i="10" s="1"/>
  <c r="C289" i="10"/>
  <c r="D289" i="10" s="1"/>
  <c r="J88" i="32"/>
  <c r="J89" i="32" s="1"/>
  <c r="J89" i="5"/>
  <c r="C250" i="10"/>
  <c r="D250" i="10" s="1"/>
  <c r="C984" i="10"/>
  <c r="D984" i="10" s="1"/>
  <c r="C821" i="10"/>
  <c r="D821" i="10" s="1"/>
  <c r="C1016" i="10"/>
  <c r="D1016" i="10" s="1"/>
  <c r="C436" i="10"/>
  <c r="D436" i="10" s="1"/>
  <c r="C494" i="10"/>
  <c r="D494" i="10" s="1"/>
  <c r="C335" i="10"/>
  <c r="D335" i="10" s="1"/>
  <c r="C966" i="10"/>
  <c r="D966" i="10" s="1"/>
  <c r="C681" i="10"/>
  <c r="D681" i="10" s="1"/>
  <c r="C493" i="10"/>
  <c r="D493" i="10" s="1"/>
  <c r="C666" i="10"/>
  <c r="D666" i="10" s="1"/>
  <c r="C286" i="10"/>
  <c r="D286" i="10" s="1"/>
  <c r="C609" i="10"/>
  <c r="D609" i="10" s="1"/>
  <c r="C410" i="10"/>
  <c r="D410" i="10" s="1"/>
  <c r="R26" i="10"/>
  <c r="H68" i="32"/>
  <c r="H69" i="5"/>
  <c r="H69" i="32" s="1"/>
  <c r="C75" i="5"/>
  <c r="C75" i="32" s="1"/>
  <c r="C74" i="32"/>
  <c r="E75" i="5"/>
  <c r="E75" i="32" s="1"/>
  <c r="E74" i="32"/>
  <c r="F89" i="5"/>
  <c r="F87" i="32"/>
  <c r="F89" i="32" s="1"/>
  <c r="C385" i="10"/>
  <c r="D385" i="10" s="1"/>
  <c r="C273" i="10"/>
  <c r="D273" i="10" s="1"/>
  <c r="C660" i="10"/>
  <c r="D660" i="10" s="1"/>
  <c r="C327" i="10"/>
  <c r="D327" i="10" s="1"/>
  <c r="C809" i="10"/>
  <c r="D809" i="10" s="1"/>
  <c r="C611" i="10"/>
  <c r="D611" i="10" s="1"/>
  <c r="C814" i="10"/>
  <c r="D814" i="10" s="1"/>
  <c r="C597" i="10"/>
  <c r="D597" i="10" s="1"/>
  <c r="C653" i="10"/>
  <c r="D653" i="10" s="1"/>
  <c r="C368" i="10"/>
  <c r="D368" i="10" s="1"/>
  <c r="C578" i="10"/>
  <c r="D578" i="10" s="1"/>
  <c r="C241" i="10"/>
  <c r="D241" i="10" s="1"/>
  <c r="C816" i="10"/>
  <c r="D816" i="10" s="1"/>
  <c r="C1020" i="10"/>
  <c r="D1020" i="10" s="1"/>
  <c r="C418" i="10"/>
  <c r="D418" i="10" s="1"/>
  <c r="C749" i="10"/>
  <c r="D749" i="10" s="1"/>
  <c r="C641" i="10"/>
  <c r="D641" i="10" s="1"/>
  <c r="C1057" i="10"/>
  <c r="D1057" i="10" s="1"/>
  <c r="C860" i="10"/>
  <c r="D860" i="10" s="1"/>
  <c r="C395" i="10"/>
  <c r="D395" i="10" s="1"/>
  <c r="C874" i="10"/>
  <c r="D874" i="10" s="1"/>
  <c r="C897" i="10"/>
  <c r="D897" i="10" s="1"/>
  <c r="C465" i="10"/>
  <c r="D465" i="10" s="1"/>
  <c r="C634" i="10"/>
  <c r="D634" i="10" s="1"/>
  <c r="C358" i="10"/>
  <c r="D358" i="10" s="1"/>
  <c r="C522" i="10"/>
  <c r="D522" i="10" s="1"/>
  <c r="C651" i="10"/>
  <c r="D651" i="10" s="1"/>
  <c r="C220" i="10"/>
  <c r="D220" i="10" s="1"/>
  <c r="L74" i="32"/>
  <c r="C359" i="10"/>
  <c r="D359" i="10" s="1"/>
  <c r="C387" i="10"/>
  <c r="D387" i="10" s="1"/>
  <c r="C414" i="10"/>
  <c r="D414" i="10" s="1"/>
  <c r="C122" i="10"/>
  <c r="D122" i="10" s="1"/>
  <c r="C192" i="10"/>
  <c r="D192" i="10" s="1"/>
  <c r="C193" i="10"/>
  <c r="D193" i="10" s="1"/>
  <c r="C839" i="10"/>
  <c r="D839" i="10" s="1"/>
  <c r="C230" i="10"/>
  <c r="D230" i="10" s="1"/>
  <c r="C384" i="10"/>
  <c r="D384" i="10" s="1"/>
  <c r="C848" i="10"/>
  <c r="D848" i="10" s="1"/>
  <c r="C800" i="10"/>
  <c r="D800" i="10" s="1"/>
  <c r="C744" i="10"/>
  <c r="D744" i="10" s="1"/>
  <c r="C461" i="10"/>
  <c r="D461" i="10" s="1"/>
  <c r="C1042" i="10"/>
  <c r="D1042" i="10" s="1"/>
  <c r="O74" i="5"/>
  <c r="O75" i="5" s="1"/>
  <c r="O89" i="5"/>
  <c r="R27" i="10"/>
  <c r="I87" i="32"/>
  <c r="I89" i="32" s="1"/>
  <c r="I89" i="5"/>
  <c r="C939" i="10"/>
  <c r="D939" i="10" s="1"/>
  <c r="C211" i="10"/>
  <c r="D211" i="10" s="1"/>
  <c r="C303" i="10"/>
  <c r="D303" i="10" s="1"/>
  <c r="C453" i="10"/>
  <c r="D453" i="10" s="1"/>
  <c r="C207" i="10"/>
  <c r="D207" i="10" s="1"/>
  <c r="C137" i="10"/>
  <c r="D137" i="10" s="1"/>
  <c r="C1035" i="10"/>
  <c r="D1035" i="10" s="1"/>
  <c r="C733" i="10"/>
  <c r="D733" i="10" s="1"/>
  <c r="C127" i="10"/>
  <c r="D127" i="10" s="1"/>
  <c r="C155" i="10"/>
  <c r="D155" i="10" s="1"/>
  <c r="C1046" i="10"/>
  <c r="D1046" i="10" s="1"/>
  <c r="C200" i="10"/>
  <c r="D200" i="10" s="1"/>
  <c r="C1052" i="10"/>
  <c r="D1052" i="10" s="1"/>
  <c r="C625" i="10"/>
  <c r="D625" i="10" s="1"/>
  <c r="C313" i="10"/>
  <c r="D313" i="10" s="1"/>
  <c r="C485" i="10"/>
  <c r="D485" i="10" s="1"/>
  <c r="C747" i="10"/>
  <c r="D747" i="10" s="1"/>
  <c r="C470" i="10"/>
  <c r="D470" i="10" s="1"/>
  <c r="C603" i="10"/>
  <c r="D603" i="10" s="1"/>
  <c r="C801" i="10"/>
  <c r="D801" i="10" s="1"/>
  <c r="C413" i="10"/>
  <c r="D413" i="10" s="1"/>
  <c r="C690" i="10"/>
  <c r="D690" i="10" s="1"/>
  <c r="C440" i="10"/>
  <c r="D440" i="10" s="1"/>
  <c r="C606" i="10"/>
  <c r="D606" i="10" s="1"/>
  <c r="C483" i="10"/>
  <c r="D483" i="10" s="1"/>
  <c r="C567" i="10"/>
  <c r="D567" i="10" s="1"/>
  <c r="C324" i="10"/>
  <c r="D324" i="10" s="1"/>
  <c r="C484" i="10"/>
  <c r="D484" i="10" s="1"/>
  <c r="C700" i="10"/>
  <c r="D700" i="10" s="1"/>
  <c r="C175" i="10"/>
  <c r="D175" i="10" s="1"/>
  <c r="C454" i="10"/>
  <c r="D454" i="10" s="1"/>
  <c r="C745" i="10"/>
  <c r="D745" i="10" s="1"/>
  <c r="C965" i="10"/>
  <c r="D965" i="10" s="1"/>
  <c r="C421" i="10"/>
  <c r="D421" i="10" s="1"/>
  <c r="C523" i="10"/>
  <c r="D523" i="10" s="1"/>
  <c r="C469" i="10"/>
  <c r="D469" i="10" s="1"/>
  <c r="C778" i="10"/>
  <c r="D778" i="10" s="1"/>
  <c r="C156" i="10"/>
  <c r="D156" i="10" s="1"/>
  <c r="C409" i="10"/>
  <c r="D409" i="10" s="1"/>
  <c r="C668" i="10"/>
  <c r="D668" i="10" s="1"/>
  <c r="C604" i="10"/>
  <c r="D604" i="10" s="1"/>
  <c r="C868" i="10"/>
  <c r="D868" i="10" s="1"/>
  <c r="C345" i="10"/>
  <c r="D345" i="10" s="1"/>
  <c r="C924" i="10"/>
  <c r="D924" i="10" s="1"/>
  <c r="C267" i="10"/>
  <c r="D267" i="10" s="1"/>
  <c r="C843" i="10"/>
  <c r="D843" i="10" s="1"/>
  <c r="C636" i="10"/>
  <c r="D636" i="10" s="1"/>
  <c r="C135" i="10"/>
  <c r="D135" i="10" s="1"/>
  <c r="C998" i="10"/>
  <c r="D998" i="10" s="1"/>
  <c r="C371" i="10"/>
  <c r="D371" i="10" s="1"/>
  <c r="C265" i="10"/>
  <c r="D265" i="10" s="1"/>
  <c r="C870" i="10"/>
  <c r="D870" i="10" s="1"/>
  <c r="C391" i="10"/>
  <c r="D391" i="10" s="1"/>
  <c r="C754" i="10"/>
  <c r="D754" i="10" s="1"/>
  <c r="C514" i="10"/>
  <c r="D514" i="10" s="1"/>
  <c r="C854" i="10"/>
  <c r="D854" i="10" s="1"/>
  <c r="C481" i="10"/>
  <c r="D481" i="10" s="1"/>
  <c r="C622" i="10"/>
  <c r="D622" i="10" s="1"/>
  <c r="C451" i="10"/>
  <c r="D451" i="10" s="1"/>
  <c r="C771" i="10"/>
  <c r="D771" i="10" s="1"/>
  <c r="C452" i="10"/>
  <c r="D452" i="10" s="1"/>
  <c r="C627" i="10"/>
  <c r="D627" i="10" s="1"/>
  <c r="C971" i="10"/>
  <c r="D971" i="10" s="1"/>
  <c r="C793" i="10"/>
  <c r="D793" i="10" s="1"/>
  <c r="C332" i="10"/>
  <c r="D332" i="10" s="1"/>
  <c r="C516" i="10"/>
  <c r="D516" i="10" s="1"/>
  <c r="C736" i="10"/>
  <c r="D736" i="10" s="1"/>
  <c r="C240" i="10"/>
  <c r="D240" i="10" s="1"/>
  <c r="C412" i="10"/>
  <c r="D412" i="10" s="1"/>
  <c r="C554" i="10"/>
  <c r="D554" i="10" s="1"/>
  <c r="C148" i="10"/>
  <c r="D148" i="10" s="1"/>
  <c r="C480" i="10"/>
  <c r="D480" i="10" s="1"/>
  <c r="C717" i="10"/>
  <c r="D717" i="10" s="1"/>
  <c r="G92" i="32"/>
  <c r="G94" i="32" s="1"/>
  <c r="G94" i="5"/>
  <c r="G97" i="32"/>
  <c r="G99" i="32" s="1"/>
  <c r="G99" i="5"/>
  <c r="C397" i="10"/>
  <c r="D397" i="10" s="1"/>
  <c r="C464" i="10"/>
  <c r="D464" i="10" s="1"/>
  <c r="C132" i="10"/>
  <c r="D132" i="10" s="1"/>
  <c r="C125" i="10"/>
  <c r="D125" i="10" s="1"/>
  <c r="C785" i="10"/>
  <c r="D785" i="10" s="1"/>
  <c r="C757" i="10"/>
  <c r="D757" i="10" s="1"/>
  <c r="C153" i="10"/>
  <c r="D153" i="10" s="1"/>
  <c r="C983" i="10"/>
  <c r="D983" i="10" s="1"/>
  <c r="C978" i="10"/>
  <c r="D978" i="10" s="1"/>
  <c r="C1023" i="10"/>
  <c r="D1023" i="10" s="1"/>
  <c r="C518" i="10"/>
  <c r="D518" i="10" s="1"/>
  <c r="C826" i="10"/>
  <c r="D826" i="10" s="1"/>
  <c r="C721" i="10"/>
  <c r="D721" i="10" s="1"/>
  <c r="C887" i="10"/>
  <c r="D887" i="10" s="1"/>
  <c r="C760" i="10"/>
  <c r="D760" i="10" s="1"/>
  <c r="C685" i="10"/>
  <c r="D685" i="10" s="1"/>
  <c r="C734" i="10"/>
  <c r="D734" i="10" s="1"/>
  <c r="C815" i="10"/>
  <c r="D815" i="10" s="1"/>
  <c r="C1003" i="10"/>
  <c r="D1003" i="10" s="1"/>
  <c r="C781" i="10"/>
  <c r="D781" i="10" s="1"/>
  <c r="C305" i="10"/>
  <c r="D305" i="10" s="1"/>
  <c r="C263" i="10"/>
  <c r="D263" i="10" s="1"/>
  <c r="C740" i="10"/>
  <c r="D740" i="10" s="1"/>
  <c r="C188" i="10"/>
  <c r="D188" i="10" s="1"/>
  <c r="C307" i="10"/>
  <c r="D307" i="10" s="1"/>
  <c r="C656" i="10"/>
  <c r="D656" i="10" s="1"/>
  <c r="C891" i="10"/>
  <c r="D891" i="10" s="1"/>
  <c r="C989" i="10"/>
  <c r="D989" i="10" s="1"/>
  <c r="C343" i="10"/>
  <c r="D343" i="10" s="1"/>
  <c r="C808" i="10"/>
  <c r="D808" i="10" s="1"/>
  <c r="C282" i="10"/>
  <c r="D282" i="10" s="1"/>
  <c r="C457" i="10"/>
  <c r="D457" i="10" s="1"/>
  <c r="C342" i="10"/>
  <c r="D342" i="10" s="1"/>
  <c r="C541" i="10"/>
  <c r="D541" i="10" s="1"/>
  <c r="C774" i="10"/>
  <c r="D774" i="10" s="1"/>
  <c r="C691" i="10"/>
  <c r="D691" i="10" s="1"/>
  <c r="C823" i="10"/>
  <c r="D823" i="10" s="1"/>
  <c r="C431" i="10"/>
  <c r="D431" i="10" s="1"/>
  <c r="C982" i="10"/>
  <c r="D982" i="10" s="1"/>
  <c r="C761" i="10"/>
  <c r="D761" i="10" s="1"/>
  <c r="C165" i="10"/>
  <c r="D165" i="10" s="1"/>
  <c r="C915" i="10"/>
  <c r="D915" i="10" s="1"/>
  <c r="C773" i="10"/>
  <c r="D773" i="10" s="1"/>
  <c r="C214" i="10"/>
  <c r="D214" i="10" s="1"/>
  <c r="C572" i="10"/>
  <c r="D572" i="10" s="1"/>
  <c r="C930" i="10"/>
  <c r="D930" i="10" s="1"/>
  <c r="C777" i="10"/>
  <c r="D777" i="10" s="1"/>
  <c r="C291" i="10"/>
  <c r="D291" i="10" s="1"/>
  <c r="C642" i="10"/>
  <c r="D642" i="10" s="1"/>
  <c r="C254" i="10"/>
  <c r="D254" i="10" s="1"/>
  <c r="C728" i="10"/>
  <c r="D728" i="10" s="1"/>
  <c r="C318" i="10"/>
  <c r="D318" i="10" s="1"/>
  <c r="C492" i="10"/>
  <c r="D492" i="10" s="1"/>
  <c r="C672" i="10"/>
  <c r="D672" i="10" s="1"/>
  <c r="C731" i="10"/>
  <c r="D731" i="10" s="1"/>
  <c r="C828" i="10"/>
  <c r="D828" i="10" s="1"/>
  <c r="C561" i="10"/>
  <c r="D561" i="10" s="1"/>
  <c r="C256" i="10"/>
  <c r="D256" i="10" s="1"/>
  <c r="C769" i="10"/>
  <c r="D769" i="10" s="1"/>
  <c r="C1026" i="10"/>
  <c r="D1026" i="10" s="1"/>
  <c r="C845" i="10"/>
  <c r="D845" i="10" s="1"/>
  <c r="C502" i="10"/>
  <c r="D502" i="10" s="1"/>
  <c r="C189" i="10"/>
  <c r="D189" i="10" s="1"/>
  <c r="C1000" i="10"/>
  <c r="D1000" i="10" s="1"/>
  <c r="C956" i="10"/>
  <c r="D956" i="10" s="1"/>
  <c r="C849" i="10"/>
  <c r="D849" i="10" s="1"/>
  <c r="C1029" i="10"/>
  <c r="D1029" i="10" s="1"/>
  <c r="C226" i="10"/>
  <c r="D226" i="10" s="1"/>
  <c r="C194" i="10"/>
  <c r="D194" i="10" s="1"/>
  <c r="C139" i="10"/>
  <c r="D139" i="10" s="1"/>
  <c r="C181" i="10"/>
  <c r="D181" i="10" s="1"/>
  <c r="C661" i="10"/>
  <c r="D661" i="10" s="1"/>
  <c r="C595" i="10"/>
  <c r="D595" i="10" s="1"/>
  <c r="C630" i="10"/>
  <c r="D630" i="10" s="1"/>
  <c r="C938" i="10"/>
  <c r="D938" i="10" s="1"/>
  <c r="C770" i="10"/>
  <c r="D770" i="10" s="1"/>
  <c r="C972" i="10"/>
  <c r="D972" i="10" s="1"/>
  <c r="C862" i="10"/>
  <c r="D862" i="10" s="1"/>
  <c r="C881" i="10"/>
  <c r="D881" i="10" s="1"/>
  <c r="C925" i="10"/>
  <c r="D925" i="10" s="1"/>
  <c r="C784" i="10"/>
  <c r="D784" i="10" s="1"/>
  <c r="C377" i="10"/>
  <c r="D377" i="10" s="1"/>
  <c r="C249" i="10"/>
  <c r="D249" i="10" s="1"/>
  <c r="C1054" i="10"/>
  <c r="D1054" i="10" s="1"/>
  <c r="C589" i="10"/>
  <c r="D589" i="10" s="1"/>
  <c r="C759" i="10"/>
  <c r="D759" i="10" s="1"/>
  <c r="C842" i="10"/>
  <c r="D842" i="10" s="1"/>
  <c r="C459" i="10"/>
  <c r="D459" i="10" s="1"/>
  <c r="C888" i="10"/>
  <c r="D888" i="10" s="1"/>
  <c r="C610" i="10"/>
  <c r="D610" i="10" s="1"/>
  <c r="C133" i="10"/>
  <c r="D133" i="10" s="1"/>
  <c r="C963" i="10"/>
  <c r="D963" i="10" s="1"/>
  <c r="C837" i="10"/>
  <c r="D837" i="10" s="1"/>
  <c r="C245" i="10"/>
  <c r="D245" i="10" s="1"/>
  <c r="C174" i="10"/>
  <c r="D174" i="10" s="1"/>
  <c r="C399" i="10"/>
  <c r="D399" i="10" s="1"/>
  <c r="C830" i="10"/>
  <c r="D830" i="10" s="1"/>
  <c r="C977" i="10"/>
  <c r="D977" i="10" s="1"/>
  <c r="C134" i="10"/>
  <c r="D134" i="10" s="1"/>
  <c r="C447" i="10"/>
  <c r="D447" i="10" s="1"/>
  <c r="C143" i="10"/>
  <c r="D143" i="10" s="1"/>
  <c r="C341" i="10"/>
  <c r="D341" i="10" s="1"/>
  <c r="C382" i="10"/>
  <c r="D382" i="10" s="1"/>
  <c r="C652" i="10"/>
  <c r="D652" i="10" s="1"/>
  <c r="C964" i="10"/>
  <c r="D964" i="10" s="1"/>
  <c r="C707" i="10"/>
  <c r="D707" i="10" s="1"/>
  <c r="C767" i="10"/>
  <c r="D767" i="10" s="1"/>
  <c r="C844" i="10"/>
  <c r="D844" i="10" s="1"/>
  <c r="C279" i="10"/>
  <c r="D279" i="10" s="1"/>
  <c r="C1055" i="10"/>
  <c r="D1055" i="10" s="1"/>
  <c r="C592" i="10"/>
  <c r="D592" i="10" s="1"/>
  <c r="C197" i="10"/>
  <c r="D197" i="10" s="1"/>
  <c r="C869" i="10"/>
  <c r="D869" i="10" s="1"/>
  <c r="C198" i="10"/>
  <c r="D198" i="10" s="1"/>
  <c r="C244" i="10"/>
  <c r="D244" i="10" s="1"/>
  <c r="C712" i="10"/>
  <c r="D712" i="10" s="1"/>
  <c r="C1015" i="10"/>
  <c r="D1015" i="10" s="1"/>
  <c r="C905" i="10"/>
  <c r="D905" i="10" s="1"/>
  <c r="C375" i="10"/>
  <c r="D375" i="10" s="1"/>
  <c r="C158" i="10"/>
  <c r="D158" i="10" s="1"/>
  <c r="C296" i="10"/>
  <c r="D296" i="10" s="1"/>
  <c r="C511" i="10"/>
  <c r="D511" i="10" s="1"/>
  <c r="C360" i="10"/>
  <c r="D360" i="10" s="1"/>
  <c r="C588" i="10"/>
  <c r="D588" i="10" s="1"/>
  <c r="C846" i="10"/>
  <c r="D846" i="10" s="1"/>
  <c r="C679" i="10"/>
  <c r="D679" i="10" s="1"/>
  <c r="C751" i="10"/>
  <c r="D751" i="10" s="1"/>
  <c r="C847" i="10"/>
  <c r="D847" i="10" s="1"/>
  <c r="C491" i="10"/>
  <c r="D491" i="10" s="1"/>
  <c r="C142" i="10"/>
  <c r="D142" i="10" s="1"/>
  <c r="C1022" i="10"/>
  <c r="D1022" i="10" s="1"/>
  <c r="C981" i="10"/>
  <c r="D981" i="10" s="1"/>
  <c r="C1056" i="10"/>
  <c r="D1056" i="10" s="1"/>
  <c r="C439" i="10"/>
  <c r="D439" i="10" s="1"/>
  <c r="C205" i="10"/>
  <c r="D205" i="10" s="1"/>
  <c r="C952" i="10"/>
  <c r="D952" i="10" s="1"/>
  <c r="C911" i="10"/>
  <c r="D911" i="10" s="1"/>
  <c r="C901" i="10"/>
  <c r="D901" i="10" s="1"/>
  <c r="C269" i="10"/>
  <c r="D269" i="10" s="1"/>
  <c r="C218" i="10"/>
  <c r="D218" i="10" s="1"/>
  <c r="C186" i="10"/>
  <c r="D186" i="10" s="1"/>
  <c r="C367" i="10"/>
  <c r="D367" i="10" s="1"/>
  <c r="C613" i="10"/>
  <c r="D613" i="10" s="1"/>
  <c r="C866" i="10"/>
  <c r="D866" i="10" s="1"/>
  <c r="C1036" i="10"/>
  <c r="D1036" i="10" s="1"/>
  <c r="C1032" i="10"/>
  <c r="D1032" i="10" s="1"/>
  <c r="C937" i="10"/>
  <c r="D937" i="10" s="1"/>
  <c r="C968" i="10"/>
  <c r="D968" i="10" s="1"/>
  <c r="C515" i="10"/>
  <c r="D515" i="10" s="1"/>
  <c r="C817" i="10"/>
  <c r="D817" i="10" s="1"/>
  <c r="C892" i="10"/>
  <c r="D892" i="10" s="1"/>
  <c r="C298" i="10"/>
  <c r="D298" i="10" s="1"/>
  <c r="C239" i="10"/>
  <c r="D239" i="10" s="1"/>
  <c r="C599" i="10"/>
  <c r="D599" i="10" s="1"/>
  <c r="C669" i="10"/>
  <c r="D669" i="10" s="1"/>
  <c r="C796" i="10"/>
  <c r="D796" i="10" s="1"/>
  <c r="C833" i="10"/>
  <c r="D833" i="10" s="1"/>
  <c r="C919" i="10"/>
  <c r="D919" i="10" s="1"/>
  <c r="C204" i="10"/>
  <c r="D204" i="10" s="1"/>
  <c r="C861" i="10"/>
  <c r="D861" i="10" s="1"/>
  <c r="C615" i="10"/>
  <c r="D615" i="10" s="1"/>
  <c r="C596" i="10"/>
  <c r="D596" i="10" s="1"/>
  <c r="C468" i="10"/>
  <c r="D468" i="10" s="1"/>
  <c r="C675" i="10"/>
  <c r="D675" i="10" s="1"/>
  <c r="C802" i="10"/>
  <c r="D802" i="10" s="1"/>
  <c r="C789" i="10"/>
  <c r="D789" i="10" s="1"/>
  <c r="C236" i="10"/>
  <c r="D236" i="10" s="1"/>
  <c r="C882" i="10"/>
  <c r="D882" i="10" s="1"/>
  <c r="C168" i="10"/>
  <c r="D168" i="10" s="1"/>
  <c r="C1060" i="10"/>
  <c r="D1060" i="10" s="1"/>
  <c r="C590" i="10"/>
  <c r="D590" i="10" s="1"/>
  <c r="C695" i="10"/>
  <c r="D695" i="10" s="1"/>
  <c r="C1025" i="10"/>
  <c r="D1025" i="10" s="1"/>
  <c r="C922" i="10"/>
  <c r="D922" i="10" s="1"/>
  <c r="C355" i="10"/>
  <c r="D355" i="10" s="1"/>
  <c r="C221" i="10"/>
  <c r="D221" i="10" s="1"/>
  <c r="C863" i="10"/>
  <c r="D863" i="10" s="1"/>
  <c r="C257" i="10"/>
  <c r="D257" i="10" s="1"/>
  <c r="C178" i="10"/>
  <c r="D178" i="10" s="1"/>
  <c r="C321" i="10"/>
  <c r="D321" i="10" s="1"/>
  <c r="C663" i="10"/>
  <c r="D663" i="10" s="1"/>
  <c r="C951" i="10"/>
  <c r="D951" i="10" s="1"/>
  <c r="C990" i="10"/>
  <c r="D990" i="10" s="1"/>
  <c r="C1001" i="10"/>
  <c r="D1001" i="10" s="1"/>
  <c r="C311" i="10"/>
  <c r="D311" i="10" s="1"/>
  <c r="C488" i="10"/>
  <c r="D488" i="10" s="1"/>
  <c r="C624" i="10"/>
  <c r="D624" i="10" s="1"/>
  <c r="C141" i="10"/>
  <c r="D141" i="10" s="1"/>
  <c r="C270" i="10"/>
  <c r="D270" i="10" s="1"/>
  <c r="C357" i="10"/>
  <c r="D357" i="10" s="1"/>
  <c r="C628" i="10"/>
  <c r="D628" i="10" s="1"/>
  <c r="C631" i="10"/>
  <c r="D631" i="10" s="1"/>
  <c r="C350" i="10"/>
  <c r="D350" i="10" s="1"/>
  <c r="C432" i="10"/>
  <c r="D432" i="10" s="1"/>
  <c r="C513" i="10"/>
  <c r="D513" i="10" s="1"/>
  <c r="C832" i="10"/>
  <c r="D832" i="10" s="1"/>
  <c r="C706" i="10"/>
  <c r="D706" i="10" s="1"/>
  <c r="C950" i="10"/>
  <c r="D950" i="10" s="1"/>
  <c r="C1024" i="10"/>
  <c r="D1024" i="10" s="1"/>
  <c r="C914" i="10"/>
  <c r="D914" i="10" s="1"/>
  <c r="C535" i="10"/>
  <c r="D535" i="10" s="1"/>
  <c r="C187" i="10"/>
  <c r="D187" i="10" s="1"/>
  <c r="C949" i="10"/>
  <c r="D949" i="10" s="1"/>
  <c r="C835" i="10"/>
  <c r="D835" i="10" s="1"/>
  <c r="C678" i="10"/>
  <c r="D678" i="10" s="1"/>
  <c r="C598" i="10"/>
  <c r="D598" i="10" s="1"/>
  <c r="C26" i="10"/>
  <c r="D26" i="10" s="1"/>
  <c r="C655" i="10"/>
  <c r="D655" i="10" s="1"/>
  <c r="C573" i="10"/>
  <c r="D573" i="10" s="1"/>
  <c r="C500" i="10"/>
  <c r="D500" i="10" s="1"/>
  <c r="C434" i="10"/>
  <c r="D434" i="10" s="1"/>
  <c r="C402" i="10"/>
  <c r="D402" i="10" s="1"/>
  <c r="C372" i="10"/>
  <c r="D372" i="10" s="1"/>
  <c r="C340" i="10"/>
  <c r="D340" i="10" s="1"/>
  <c r="C308" i="10"/>
  <c r="D308" i="10" s="1"/>
  <c r="C664" i="10"/>
  <c r="D664" i="10" s="1"/>
  <c r="C560" i="10"/>
  <c r="D560" i="10" s="1"/>
  <c r="C449" i="10"/>
  <c r="D449" i="10" s="1"/>
  <c r="C665" i="10"/>
  <c r="D665" i="10" s="1"/>
  <c r="C281" i="10"/>
  <c r="D281" i="10" s="1"/>
  <c r="C1031" i="10"/>
  <c r="D1031" i="10" s="1"/>
  <c r="C585" i="10"/>
  <c r="D585" i="10" s="1"/>
  <c r="C927" i="10"/>
  <c r="D927" i="10" s="1"/>
  <c r="C482" i="10"/>
  <c r="D482" i="10" s="1"/>
  <c r="C530" i="10"/>
  <c r="D530" i="10" s="1"/>
  <c r="C299" i="10"/>
  <c r="D299" i="10" s="1"/>
  <c r="C280" i="10"/>
  <c r="D280" i="10" s="1"/>
  <c r="C212" i="10"/>
  <c r="D212" i="10" s="1"/>
  <c r="C732" i="10"/>
  <c r="D732" i="10" s="1"/>
  <c r="C176" i="10"/>
  <c r="D176" i="10" s="1"/>
  <c r="C338" i="10"/>
  <c r="D338" i="10" s="1"/>
  <c r="C701" i="10"/>
  <c r="D701" i="10" s="1"/>
  <c r="C878" i="10"/>
  <c r="D878" i="10" s="1"/>
  <c r="C940" i="10"/>
  <c r="D940" i="10" s="1"/>
  <c r="C185" i="10"/>
  <c r="D185" i="10" s="1"/>
  <c r="C945" i="10"/>
  <c r="D945" i="10" s="1"/>
  <c r="C144" i="10"/>
  <c r="D144" i="10" s="1"/>
  <c r="C895" i="10"/>
  <c r="D895" i="10" s="1"/>
  <c r="C123" i="10"/>
  <c r="D123" i="10" s="1"/>
  <c r="C612" i="10"/>
  <c r="D612" i="10" s="1"/>
  <c r="C555" i="10"/>
  <c r="D555" i="10" s="1"/>
  <c r="C724" i="10"/>
  <c r="D724" i="10" s="1"/>
  <c r="C883" i="10"/>
  <c r="D883" i="10" s="1"/>
  <c r="C932" i="10"/>
  <c r="D932" i="10" s="1"/>
  <c r="C231" i="10"/>
  <c r="D231" i="10" s="1"/>
  <c r="C997" i="10"/>
  <c r="D997" i="10" s="1"/>
  <c r="C339" i="10"/>
  <c r="D339" i="10" s="1"/>
  <c r="C926" i="10"/>
  <c r="D926" i="10" s="1"/>
  <c r="C806" i="10"/>
  <c r="D806" i="10" s="1"/>
  <c r="C380" i="10"/>
  <c r="D380" i="10" s="1"/>
  <c r="C677" i="10"/>
  <c r="D677" i="10" s="1"/>
  <c r="C538" i="10"/>
  <c r="D538" i="10" s="1"/>
  <c r="C594" i="10"/>
  <c r="D594" i="10" s="1"/>
  <c r="C217" i="10"/>
  <c r="D217" i="10" s="1"/>
  <c r="C276" i="10"/>
  <c r="D276" i="10" s="1"/>
  <c r="C248" i="10"/>
  <c r="D248" i="10" s="1"/>
  <c r="C798" i="10"/>
  <c r="D798" i="10" s="1"/>
  <c r="C746" i="10"/>
  <c r="D746" i="10" s="1"/>
  <c r="C1017" i="10"/>
  <c r="D1017" i="10" s="1"/>
  <c r="C233" i="10"/>
  <c r="D233" i="10" s="1"/>
  <c r="C1011" i="10"/>
  <c r="D1011" i="10" s="1"/>
  <c r="C138" i="10"/>
  <c r="D138" i="10" s="1"/>
  <c r="C400" i="10"/>
  <c r="D400" i="10" s="1"/>
  <c r="C807" i="10"/>
  <c r="D807" i="10" s="1"/>
  <c r="C898" i="10"/>
  <c r="D898" i="10" s="1"/>
  <c r="C684" i="10"/>
  <c r="D684" i="10" s="1"/>
  <c r="C173" i="10"/>
  <c r="D173" i="10" s="1"/>
  <c r="C753" i="10"/>
  <c r="D753" i="10" s="1"/>
  <c r="C210" i="10"/>
  <c r="D210" i="10" s="1"/>
  <c r="C755" i="10"/>
  <c r="D755" i="10" s="1"/>
  <c r="C904" i="10"/>
  <c r="D904" i="10" s="1"/>
  <c r="C873" i="10"/>
  <c r="D873" i="10" s="1"/>
  <c r="C347" i="10"/>
  <c r="D347" i="10" s="1"/>
  <c r="C526" i="10"/>
  <c r="D526" i="10" s="1"/>
  <c r="C152" i="10"/>
  <c r="D152" i="10" s="1"/>
  <c r="C238" i="10"/>
  <c r="D238" i="10" s="1"/>
  <c r="C499" i="10"/>
  <c r="D499" i="10" s="1"/>
  <c r="C546" i="10"/>
  <c r="D546" i="10" s="1"/>
  <c r="C370" i="10"/>
  <c r="D370" i="10" s="1"/>
  <c r="C692" i="10"/>
  <c r="D692" i="10" s="1"/>
  <c r="C827" i="10"/>
  <c r="D827" i="10" s="1"/>
  <c r="C742" i="10"/>
  <c r="D742" i="10" s="1"/>
  <c r="C921" i="10"/>
  <c r="D921" i="10" s="1"/>
  <c r="C813" i="10"/>
  <c r="D813" i="10" s="1"/>
  <c r="C1050" i="10"/>
  <c r="D1050" i="10" s="1"/>
  <c r="C875" i="10"/>
  <c r="D875" i="10" s="1"/>
  <c r="C659" i="10"/>
  <c r="D659" i="10" s="1"/>
  <c r="C566" i="10"/>
  <c r="D566" i="10" s="1"/>
  <c r="C702" i="10"/>
  <c r="D702" i="10" s="1"/>
  <c r="C552" i="10"/>
  <c r="D552" i="10" s="1"/>
  <c r="C472" i="10"/>
  <c r="D472" i="10" s="1"/>
  <c r="C442" i="10"/>
  <c r="D442" i="10" s="1"/>
  <c r="C394" i="10"/>
  <c r="D394" i="10" s="1"/>
  <c r="C356" i="10"/>
  <c r="D356" i="10" s="1"/>
  <c r="C316" i="10"/>
  <c r="D316" i="10" s="1"/>
  <c r="C640" i="10"/>
  <c r="D640" i="10" s="1"/>
  <c r="C504" i="10"/>
  <c r="D504" i="10" s="1"/>
  <c r="C782" i="10"/>
  <c r="D782" i="10" s="1"/>
  <c r="C337" i="10"/>
  <c r="D337" i="10" s="1"/>
  <c r="C890" i="10"/>
  <c r="D890" i="10" s="1"/>
  <c r="C287" i="10"/>
  <c r="D287" i="10" s="1"/>
  <c r="C510" i="10"/>
  <c r="D510" i="10" s="1"/>
  <c r="C157" i="10"/>
  <c r="D157" i="10" s="1"/>
  <c r="C946" i="10"/>
  <c r="D946" i="10" s="1"/>
  <c r="C864" i="10"/>
  <c r="D864" i="10" s="1"/>
  <c r="C667" i="10"/>
  <c r="D667" i="10" s="1"/>
  <c r="C587" i="10"/>
  <c r="D587" i="10" s="1"/>
  <c r="C739" i="10"/>
  <c r="D739" i="10" s="1"/>
  <c r="C584" i="10"/>
  <c r="D584" i="10" s="1"/>
  <c r="C489" i="10"/>
  <c r="D489" i="10" s="1"/>
  <c r="C430" i="10"/>
  <c r="D430" i="10" s="1"/>
  <c r="C388" i="10"/>
  <c r="D388" i="10" s="1"/>
  <c r="C314" i="10"/>
  <c r="D314" i="10" s="1"/>
  <c r="C650" i="10"/>
  <c r="D650" i="10" s="1"/>
  <c r="C507" i="10"/>
  <c r="D507" i="10" s="1"/>
  <c r="C658" i="10"/>
  <c r="D658" i="10" s="1"/>
  <c r="C519" i="10"/>
  <c r="D519" i="10" s="1"/>
  <c r="C381" i="10"/>
  <c r="D381" i="10" s="1"/>
  <c r="C302" i="10"/>
  <c r="D302" i="10" s="1"/>
  <c r="C242" i="10"/>
  <c r="D242" i="10" s="1"/>
  <c r="C858" i="10"/>
  <c r="D858" i="10" s="1"/>
  <c r="C219" i="10"/>
  <c r="D219" i="10" s="1"/>
  <c r="C662" i="10"/>
  <c r="D662" i="10" s="1"/>
  <c r="C579" i="10"/>
  <c r="D579" i="10" s="1"/>
  <c r="C803" i="10"/>
  <c r="D803" i="10" s="1"/>
  <c r="C605" i="10"/>
  <c r="D605" i="10" s="1"/>
  <c r="C460" i="10"/>
  <c r="D460" i="10" s="1"/>
  <c r="C416" i="10"/>
  <c r="D416" i="10" s="1"/>
  <c r="C366" i="10"/>
  <c r="D366" i="10" s="1"/>
  <c r="C322" i="10"/>
  <c r="D322" i="10" s="1"/>
  <c r="C680" i="10"/>
  <c r="D680" i="10" s="1"/>
  <c r="C525" i="10"/>
  <c r="D525" i="10" s="1"/>
  <c r="C425" i="10"/>
  <c r="D425" i="10" s="1"/>
  <c r="C564" i="10"/>
  <c r="D564" i="10" s="1"/>
  <c r="C437" i="10"/>
  <c r="D437" i="10" s="1"/>
  <c r="C300" i="10"/>
  <c r="D300" i="10" s="1"/>
  <c r="C246" i="10"/>
  <c r="D246" i="10" s="1"/>
  <c r="C129" i="10"/>
  <c r="D129" i="10" s="1"/>
  <c r="C162" i="10"/>
  <c r="D162" i="10" s="1"/>
  <c r="C697" i="10"/>
  <c r="D697" i="10" s="1"/>
  <c r="C735" i="10"/>
  <c r="D735" i="10" s="1"/>
  <c r="C764" i="10"/>
  <c r="D764" i="10" s="1"/>
  <c r="C810" i="10"/>
  <c r="D810" i="10" s="1"/>
  <c r="C851" i="10"/>
  <c r="D851" i="10" s="1"/>
  <c r="C543" i="10"/>
  <c r="D543" i="10" s="1"/>
  <c r="C725" i="10"/>
  <c r="D725" i="10" s="1"/>
  <c r="C1018" i="10"/>
  <c r="D1018" i="10" s="1"/>
  <c r="C953" i="10"/>
  <c r="D953" i="10" s="1"/>
  <c r="C527" i="10"/>
  <c r="D527" i="10" s="1"/>
  <c r="C209" i="10"/>
  <c r="D209" i="10" s="1"/>
  <c r="C992" i="10"/>
  <c r="D992" i="10" s="1"/>
  <c r="C948" i="10"/>
  <c r="D948" i="10" s="1"/>
  <c r="C913" i="10"/>
  <c r="D913" i="10" s="1"/>
  <c r="C216" i="10"/>
  <c r="D216" i="10" s="1"/>
  <c r="C184" i="10"/>
  <c r="D184" i="10" s="1"/>
  <c r="C260" i="10"/>
  <c r="D260" i="10" s="1"/>
  <c r="C427" i="10"/>
  <c r="D427" i="10" s="1"/>
  <c r="C676" i="10"/>
  <c r="D676" i="10" s="1"/>
  <c r="C916" i="10"/>
  <c r="D916" i="10" s="1"/>
  <c r="C1044" i="10"/>
  <c r="D1044" i="10" s="1"/>
  <c r="C1040" i="10"/>
  <c r="D1040" i="10" s="1"/>
  <c r="C957" i="10"/>
  <c r="D957" i="10" s="1"/>
  <c r="C31" i="10"/>
  <c r="D31" i="10" s="1"/>
  <c r="C407" i="10"/>
  <c r="D407" i="10" s="1"/>
  <c r="C531" i="10"/>
  <c r="D531" i="10" s="1"/>
  <c r="C160" i="10"/>
  <c r="D160" i="10" s="1"/>
  <c r="C290" i="10"/>
  <c r="D290" i="10" s="1"/>
  <c r="C509" i="10"/>
  <c r="D509" i="10" s="1"/>
  <c r="C490" i="10"/>
  <c r="D490" i="10" s="1"/>
  <c r="C310" i="10"/>
  <c r="D310" i="10" s="1"/>
  <c r="C374" i="10"/>
  <c r="D374" i="10" s="1"/>
  <c r="C456" i="10"/>
  <c r="D456" i="10" s="1"/>
  <c r="C623" i="10"/>
  <c r="D623" i="10" s="1"/>
  <c r="C574" i="10"/>
  <c r="D574" i="10" s="1"/>
  <c r="C840" i="10"/>
  <c r="D840" i="10" s="1"/>
  <c r="C942" i="10"/>
  <c r="D942" i="10" s="1"/>
  <c r="C435" i="10"/>
  <c r="D435" i="10" s="1"/>
  <c r="C183" i="10"/>
  <c r="D183" i="10" s="1"/>
  <c r="C885" i="10"/>
  <c r="D885" i="10" s="1"/>
  <c r="C931" i="10"/>
  <c r="D931" i="10" s="1"/>
  <c r="C900" i="10"/>
  <c r="D900" i="10" s="1"/>
  <c r="C27" i="10"/>
  <c r="D27" i="10" s="1"/>
  <c r="C498" i="10"/>
  <c r="D498" i="10" s="1"/>
  <c r="C1027" i="10"/>
  <c r="D1027" i="10" s="1"/>
  <c r="C795" i="10"/>
  <c r="D795" i="10" s="1"/>
  <c r="C223" i="10"/>
  <c r="D223" i="10" s="1"/>
  <c r="C876" i="10"/>
  <c r="D876" i="10" s="1"/>
  <c r="C227" i="10"/>
  <c r="D227" i="10" s="1"/>
  <c r="C1012" i="10"/>
  <c r="D1012" i="10" s="1"/>
  <c r="C987" i="10"/>
  <c r="D987" i="10" s="1"/>
  <c r="C251" i="10"/>
  <c r="D251" i="10" s="1"/>
  <c r="C259" i="10"/>
  <c r="D259" i="10" s="1"/>
  <c r="C980" i="10"/>
  <c r="D980" i="10" s="1"/>
  <c r="C179" i="10"/>
  <c r="D179" i="10" s="1"/>
  <c r="C553" i="10"/>
  <c r="D553" i="10" s="1"/>
  <c r="C28" i="10"/>
  <c r="D28" i="10" s="1"/>
  <c r="C910" i="10"/>
  <c r="D910" i="10" s="1"/>
  <c r="C351" i="10"/>
  <c r="D351" i="10" s="1"/>
  <c r="C943" i="10"/>
  <c r="D943" i="10" s="1"/>
  <c r="C960" i="10"/>
  <c r="D960" i="10" s="1"/>
  <c r="C917" i="10"/>
  <c r="D917" i="10" s="1"/>
  <c r="C363" i="10"/>
  <c r="D363" i="10" s="1"/>
  <c r="C126" i="10"/>
  <c r="D126" i="10" s="1"/>
  <c r="C928" i="10"/>
  <c r="D928" i="10" s="1"/>
  <c r="C295" i="10"/>
  <c r="D295" i="10" s="1"/>
  <c r="C1034" i="10"/>
  <c r="D1034" i="10" s="1"/>
  <c r="C537" i="10"/>
  <c r="D537" i="10" s="1"/>
  <c r="C520" i="10"/>
  <c r="D520" i="10" s="1"/>
  <c r="C424" i="10"/>
  <c r="D424" i="10" s="1"/>
  <c r="C783" i="10"/>
  <c r="D783" i="10" s="1"/>
  <c r="C383" i="10"/>
  <c r="D383" i="10" s="1"/>
  <c r="C182" i="10"/>
  <c r="D182" i="10" s="1"/>
  <c r="C1033" i="10"/>
  <c r="D1033" i="10" s="1"/>
  <c r="C389" i="10"/>
  <c r="D389" i="10" s="1"/>
  <c r="C444" i="10"/>
  <c r="D444" i="10" s="1"/>
  <c r="C822" i="10"/>
  <c r="D822" i="10" s="1"/>
  <c r="C974" i="10"/>
  <c r="D974" i="10" s="1"/>
  <c r="C575" i="10"/>
  <c r="D575" i="10" s="1"/>
  <c r="C271" i="10"/>
  <c r="D271" i="10" s="1"/>
  <c r="C202" i="10"/>
  <c r="D202" i="10" s="1"/>
  <c r="C403" i="10"/>
  <c r="D403" i="10" s="1"/>
  <c r="C1038" i="10"/>
  <c r="D1038" i="10" s="1"/>
  <c r="C947" i="10"/>
  <c r="D947" i="10" s="1"/>
  <c r="C163" i="10"/>
  <c r="D163" i="10" s="1"/>
  <c r="C393" i="10"/>
  <c r="D393" i="10" s="1"/>
  <c r="C565" i="10"/>
  <c r="D565" i="10" s="1"/>
  <c r="C131" i="10"/>
  <c r="D131" i="10" s="1"/>
  <c r="C288" i="10"/>
  <c r="D288" i="10" s="1"/>
  <c r="C551" i="10"/>
  <c r="D551" i="10" s="1"/>
  <c r="C710" i="10"/>
  <c r="D710" i="10" s="1"/>
  <c r="C390" i="10"/>
  <c r="D390" i="10" s="1"/>
  <c r="C474" i="10"/>
  <c r="D474" i="10" s="1"/>
  <c r="C571" i="10"/>
  <c r="D571" i="10" s="1"/>
  <c r="C331" i="10"/>
  <c r="D331" i="10" s="1"/>
  <c r="C923" i="10"/>
  <c r="D923" i="10" s="1"/>
  <c r="C857" i="10"/>
  <c r="D857" i="10" s="1"/>
  <c r="C323" i="10"/>
  <c r="D323" i="10" s="1"/>
  <c r="C790" i="10"/>
  <c r="D790" i="10" s="1"/>
  <c r="C643" i="10"/>
  <c r="D643" i="10" s="1"/>
  <c r="C550" i="10"/>
  <c r="D550" i="10" s="1"/>
  <c r="C637" i="10"/>
  <c r="D637" i="10" s="1"/>
  <c r="C532" i="10"/>
  <c r="D532" i="10" s="1"/>
  <c r="C466" i="10"/>
  <c r="D466" i="10" s="1"/>
  <c r="C426" i="10"/>
  <c r="D426" i="10" s="1"/>
  <c r="C386" i="10"/>
  <c r="D386" i="10" s="1"/>
  <c r="C348" i="10"/>
  <c r="D348" i="10" s="1"/>
  <c r="C838" i="10"/>
  <c r="D838" i="10" s="1"/>
  <c r="C621" i="10"/>
  <c r="D621" i="10" s="1"/>
  <c r="C479" i="10"/>
  <c r="D479" i="10" s="1"/>
  <c r="C674" i="10"/>
  <c r="D674" i="10" s="1"/>
  <c r="C894" i="10"/>
  <c r="D894" i="10" s="1"/>
  <c r="C243" i="10"/>
  <c r="D243" i="10" s="1"/>
  <c r="C958" i="10"/>
  <c r="D958" i="10" s="1"/>
  <c r="C879" i="10"/>
  <c r="D879" i="10" s="1"/>
  <c r="C272" i="10"/>
  <c r="D272" i="10" s="1"/>
  <c r="C235" i="10"/>
  <c r="D235" i="10" s="1"/>
  <c r="C819" i="10"/>
  <c r="D819" i="10" s="1"/>
  <c r="C646" i="10"/>
  <c r="D646" i="10" s="1"/>
  <c r="C563" i="10"/>
  <c r="D563" i="10" s="1"/>
  <c r="C686" i="10"/>
  <c r="D686" i="10" s="1"/>
  <c r="C556" i="10"/>
  <c r="D556" i="10" s="1"/>
  <c r="C462" i="10"/>
  <c r="D462" i="10" s="1"/>
  <c r="C420" i="10"/>
  <c r="D420" i="10" s="1"/>
  <c r="C376" i="10"/>
  <c r="D376" i="10" s="1"/>
  <c r="C346" i="10"/>
  <c r="D346" i="10" s="1"/>
  <c r="C880" i="10"/>
  <c r="D880" i="10" s="1"/>
  <c r="C626" i="10"/>
  <c r="D626" i="10" s="1"/>
  <c r="C473" i="10"/>
  <c r="D473" i="10" s="1"/>
  <c r="C608" i="10"/>
  <c r="D608" i="10" s="1"/>
  <c r="C495" i="10"/>
  <c r="D495" i="10" s="1"/>
  <c r="C294" i="10"/>
  <c r="D294" i="10" s="1"/>
  <c r="C258" i="10"/>
  <c r="D258" i="10" s="1"/>
  <c r="C534" i="10"/>
  <c r="D534" i="10" s="1"/>
  <c r="C1028" i="10"/>
  <c r="D1028" i="10" s="1"/>
  <c r="C811" i="10"/>
  <c r="D811" i="10" s="1"/>
  <c r="C638" i="10"/>
  <c r="D638" i="10" s="1"/>
  <c r="C558" i="10"/>
  <c r="D558" i="10" s="1"/>
  <c r="C714" i="10"/>
  <c r="D714" i="10" s="1"/>
  <c r="C577" i="10"/>
  <c r="D577" i="10" s="1"/>
  <c r="C505" i="10"/>
  <c r="D505" i="10" s="1"/>
  <c r="C448" i="10"/>
  <c r="D448" i="10" s="1"/>
  <c r="C406" i="10"/>
  <c r="D406" i="10" s="1"/>
  <c r="C354" i="10"/>
  <c r="D354" i="10" s="1"/>
  <c r="C312" i="10"/>
  <c r="D312" i="10" s="1"/>
  <c r="C645" i="10"/>
  <c r="D645" i="10" s="1"/>
  <c r="C766" i="10"/>
  <c r="D766" i="10" s="1"/>
  <c r="C533" i="10"/>
  <c r="D533" i="10" s="1"/>
  <c r="C405" i="10"/>
  <c r="D405" i="10" s="1"/>
  <c r="C292" i="10"/>
  <c r="D292" i="10" s="1"/>
  <c r="C262" i="10"/>
  <c r="D262" i="10" s="1"/>
  <c r="C136" i="10"/>
  <c r="D136" i="10" s="1"/>
  <c r="C673" i="10"/>
  <c r="D673" i="10" s="1"/>
  <c r="C705" i="10"/>
  <c r="D705" i="10" s="1"/>
  <c r="C743" i="10"/>
  <c r="D743" i="10" s="1"/>
  <c r="C772" i="10"/>
  <c r="D772" i="10" s="1"/>
  <c r="C820" i="10"/>
  <c r="D820" i="10" s="1"/>
  <c r="C872" i="10"/>
  <c r="D872" i="10" s="1"/>
  <c r="C478" i="10"/>
  <c r="D478" i="10" s="1"/>
  <c r="C159" i="10"/>
  <c r="D159" i="10" s="1"/>
  <c r="C1014" i="10"/>
  <c r="D1014" i="10" s="1"/>
  <c r="C970" i="10"/>
  <c r="D970" i="10" s="1"/>
  <c r="C825" i="10"/>
  <c r="D825" i="10" s="1"/>
  <c r="C477" i="10"/>
  <c r="D477" i="10" s="1"/>
  <c r="C225" i="10"/>
  <c r="D225" i="10" s="1"/>
  <c r="C944" i="10"/>
  <c r="D944" i="10" s="1"/>
  <c r="C899" i="10"/>
  <c r="D899" i="10" s="1"/>
  <c r="C979" i="10"/>
  <c r="D979" i="10" s="1"/>
  <c r="C253" i="10"/>
  <c r="D253" i="10" s="1"/>
  <c r="C208" i="10"/>
  <c r="D208" i="10" s="1"/>
  <c r="C170" i="10"/>
  <c r="D170" i="10" s="1"/>
  <c r="C293" i="10"/>
  <c r="D293" i="10" s="1"/>
  <c r="C512" i="10"/>
  <c r="D512" i="10" s="1"/>
  <c r="C779" i="10"/>
  <c r="D779" i="10" s="1"/>
  <c r="C912" i="10"/>
  <c r="D912" i="10" s="1"/>
  <c r="C765" i="10"/>
  <c r="D765" i="10" s="1"/>
  <c r="C1021" i="10"/>
  <c r="D1021" i="10" s="1"/>
  <c r="C283" i="10"/>
  <c r="D283" i="10" s="1"/>
  <c r="C471" i="10"/>
  <c r="D471" i="10" s="1"/>
  <c r="C581" i="10"/>
  <c r="D581" i="10" s="1"/>
  <c r="C150" i="10"/>
  <c r="D150" i="10" s="1"/>
  <c r="C309" i="10"/>
  <c r="D309" i="10" s="1"/>
  <c r="C557" i="10"/>
  <c r="D557" i="10" s="1"/>
  <c r="C569" i="10"/>
  <c r="D569" i="10" s="1"/>
  <c r="C330" i="10"/>
  <c r="D330" i="10" s="1"/>
  <c r="C392" i="10"/>
  <c r="D392" i="10" s="1"/>
  <c r="C476" i="10"/>
  <c r="D476" i="10" s="1"/>
  <c r="C708" i="10"/>
  <c r="D708" i="10" s="1"/>
  <c r="C619" i="10"/>
  <c r="D619" i="10" s="1"/>
  <c r="C297" i="10"/>
  <c r="D297" i="10" s="1"/>
  <c r="C1010" i="10"/>
  <c r="D1010" i="10" s="1"/>
  <c r="C962" i="10"/>
  <c r="D962" i="10" s="1"/>
  <c r="C902" i="10"/>
  <c r="D902" i="10" s="1"/>
  <c r="C401" i="10"/>
  <c r="D401" i="10" s="1"/>
  <c r="C1039" i="10"/>
  <c r="D1039" i="10" s="1"/>
  <c r="C443" i="10"/>
  <c r="D443" i="10" s="1"/>
  <c r="C586" i="10"/>
  <c r="D586" i="10" s="1"/>
  <c r="C716" i="10"/>
  <c r="D716" i="10" s="1"/>
  <c r="C570" i="10"/>
  <c r="D570" i="10" s="1"/>
  <c r="C352" i="10"/>
  <c r="D352" i="10" s="1"/>
  <c r="C859" i="10"/>
  <c r="D859" i="10" s="1"/>
  <c r="C234" i="10"/>
  <c r="D234" i="10" s="1"/>
  <c r="C696" i="10"/>
  <c r="D696" i="10" s="1"/>
  <c r="C361" i="10"/>
  <c r="D361" i="10" s="1"/>
  <c r="C893" i="10"/>
  <c r="D893" i="10" s="1"/>
  <c r="C1002" i="10"/>
  <c r="D1002" i="10" s="1"/>
  <c r="C629" i="10"/>
  <c r="D629" i="10" s="1"/>
  <c r="C128" i="10"/>
  <c r="D128" i="10" s="1"/>
  <c r="C224" i="10"/>
  <c r="D224" i="10" s="1"/>
  <c r="C805" i="10"/>
  <c r="D805" i="10" s="1"/>
  <c r="C319" i="10"/>
  <c r="D319" i="10" s="1"/>
  <c r="C855" i="10"/>
  <c r="D855" i="10" s="1"/>
  <c r="C853" i="10"/>
  <c r="D853" i="10" s="1"/>
  <c r="C644" i="10"/>
  <c r="D644" i="10" s="1"/>
  <c r="C799" i="10"/>
  <c r="D799" i="10" s="1"/>
  <c r="C722" i="10"/>
  <c r="D722" i="10" s="1"/>
  <c r="C154" i="10"/>
  <c r="D154" i="10" s="1"/>
  <c r="C317" i="10"/>
  <c r="D317" i="10" s="1"/>
  <c r="C601" i="10"/>
  <c r="D601" i="10" s="1"/>
  <c r="C583" i="10"/>
  <c r="D583" i="10" s="1"/>
  <c r="C334" i="10"/>
  <c r="D334" i="10" s="1"/>
  <c r="C428" i="10"/>
  <c r="D428" i="10" s="1"/>
  <c r="C524" i="10"/>
  <c r="D524" i="10" s="1"/>
  <c r="C688" i="10"/>
  <c r="D688" i="10" s="1"/>
  <c r="C252" i="10"/>
  <c r="D252" i="10" s="1"/>
  <c r="C325" i="10"/>
  <c r="D325" i="10" s="1"/>
  <c r="C544" i="10"/>
  <c r="D544" i="10" s="1"/>
  <c r="C536" i="10"/>
  <c r="D536" i="10" s="1"/>
  <c r="C326" i="10"/>
  <c r="D326" i="10" s="1"/>
  <c r="C398" i="10"/>
  <c r="D398" i="10" s="1"/>
  <c r="C508" i="10"/>
  <c r="D508" i="10" s="1"/>
  <c r="C824" i="10"/>
  <c r="D824" i="10" s="1"/>
  <c r="C694" i="10"/>
  <c r="D694" i="10" s="1"/>
  <c r="C877" i="10"/>
  <c r="D877" i="10" s="1"/>
  <c r="C140" i="10"/>
  <c r="D140" i="10" s="1"/>
  <c r="C191" i="10"/>
  <c r="D191" i="10" s="1"/>
  <c r="C417" i="10"/>
  <c r="D417" i="10" s="1"/>
  <c r="C698" i="10"/>
  <c r="D698" i="10" s="1"/>
  <c r="C364" i="10"/>
  <c r="D364" i="10" s="1"/>
  <c r="C450" i="10"/>
  <c r="D450" i="10" s="1"/>
  <c r="C591" i="10"/>
  <c r="D591" i="10" s="1"/>
  <c r="C582" i="10"/>
  <c r="D582" i="10" s="1"/>
  <c r="C463" i="10"/>
  <c r="D463" i="10" s="1"/>
  <c r="C865" i="10"/>
  <c r="D865" i="10" s="1"/>
  <c r="C729" i="10"/>
  <c r="D729" i="10" s="1"/>
  <c r="C620" i="10"/>
  <c r="D620" i="10" s="1"/>
  <c r="C328" i="10"/>
  <c r="D328" i="10" s="1"/>
  <c r="C419" i="10"/>
  <c r="D419" i="10" s="1"/>
  <c r="C164" i="10"/>
  <c r="D164" i="10" s="1"/>
  <c r="C232" i="10"/>
  <c r="D232" i="10" s="1"/>
  <c r="C994" i="10"/>
  <c r="D994" i="10" s="1"/>
  <c r="C285" i="10"/>
  <c r="D285" i="10" s="1"/>
  <c r="C1004" i="10"/>
  <c r="D1004" i="10" s="1"/>
  <c r="C973" i="10"/>
  <c r="D973" i="10" s="1"/>
  <c r="C780" i="10"/>
  <c r="D780" i="10" s="1"/>
  <c r="C850" i="10"/>
  <c r="D850" i="10" s="1"/>
  <c r="C540" i="10"/>
  <c r="D540" i="10" s="1"/>
  <c r="C986" i="10"/>
  <c r="D986" i="10" s="1"/>
  <c r="C954" i="10"/>
  <c r="D954" i="10" s="1"/>
  <c r="C737" i="10"/>
  <c r="D737" i="10" s="1"/>
  <c r="C467" i="10"/>
  <c r="D467" i="10" s="1"/>
  <c r="C580" i="10"/>
  <c r="D580" i="10" s="1"/>
  <c r="C804" i="10"/>
  <c r="D804" i="10" s="1"/>
  <c r="C415" i="10"/>
  <c r="D415" i="10" s="1"/>
  <c r="C792" i="10"/>
  <c r="D792" i="10" s="1"/>
  <c r="C1006" i="10"/>
  <c r="D1006" i="10" s="1"/>
  <c r="C975" i="10"/>
  <c r="D975" i="10" s="1"/>
  <c r="C124" i="10"/>
  <c r="D124" i="10" s="1"/>
  <c r="C999" i="10"/>
  <c r="D999" i="10" s="1"/>
  <c r="C1049" i="10"/>
  <c r="D1049" i="10" s="1"/>
  <c r="C929" i="10"/>
  <c r="D929" i="10" s="1"/>
  <c r="C886" i="10"/>
  <c r="D886" i="10" s="1"/>
  <c r="C995" i="10"/>
  <c r="D995" i="10" s="1"/>
  <c r="C993" i="10"/>
  <c r="D993" i="10" s="1"/>
  <c r="C941" i="10"/>
  <c r="D941" i="10" s="1"/>
  <c r="C1005" i="10"/>
  <c r="D1005" i="10" s="1"/>
  <c r="C1008" i="10"/>
  <c r="D1008" i="10" s="1"/>
  <c r="C199" i="10"/>
  <c r="D199" i="10" s="1"/>
  <c r="C496" i="10"/>
  <c r="D496" i="10" s="1"/>
  <c r="C1051" i="10"/>
  <c r="D1051" i="10" s="1"/>
  <c r="C991" i="10"/>
  <c r="D991" i="10" s="1"/>
  <c r="C549" i="10"/>
  <c r="D549" i="10" s="1"/>
  <c r="C654" i="10"/>
  <c r="D654" i="10" s="1"/>
  <c r="C521" i="10"/>
  <c r="D521" i="10" s="1"/>
  <c r="C633" i="10"/>
  <c r="D633" i="10" s="1"/>
  <c r="C266" i="10"/>
  <c r="D266" i="10" s="1"/>
  <c r="C632" i="10"/>
  <c r="D632" i="10" s="1"/>
  <c r="C315" i="10"/>
  <c r="D315" i="10" s="1"/>
  <c r="C829" i="10"/>
  <c r="D829" i="10" s="1"/>
  <c r="C959" i="10"/>
  <c r="D959" i="10" s="1"/>
  <c r="C562" i="10"/>
  <c r="D562" i="10" s="1"/>
  <c r="C161" i="10"/>
  <c r="D161" i="10" s="1"/>
  <c r="C237" i="10"/>
  <c r="D237" i="10" s="1"/>
  <c r="C852" i="10"/>
  <c r="D852" i="10" s="1"/>
  <c r="C247" i="10"/>
  <c r="D247" i="10" s="1"/>
  <c r="C429" i="10"/>
  <c r="D429" i="10" s="1"/>
  <c r="C903" i="10"/>
  <c r="D903" i="10" s="1"/>
  <c r="C976" i="10"/>
  <c r="D976" i="10" s="1"/>
  <c r="C776" i="10"/>
  <c r="D776" i="10" s="1"/>
  <c r="C791" i="10"/>
  <c r="D791" i="10" s="1"/>
  <c r="C713" i="10"/>
  <c r="D713" i="10" s="1"/>
  <c r="C145" i="10"/>
  <c r="D145" i="10" s="1"/>
  <c r="C30" i="10"/>
  <c r="D30" i="10" s="1"/>
  <c r="C373" i="10"/>
  <c r="D373" i="10" s="1"/>
  <c r="C639" i="10"/>
  <c r="D639" i="10" s="1"/>
  <c r="C617" i="10"/>
  <c r="D617" i="10" s="1"/>
  <c r="C344" i="10"/>
  <c r="D344" i="10" s="1"/>
  <c r="C438" i="10"/>
  <c r="D438" i="10" s="1"/>
  <c r="C545" i="10"/>
  <c r="D545" i="10" s="1"/>
  <c r="C539" i="10"/>
  <c r="D539" i="10" s="1"/>
  <c r="C723" i="10"/>
  <c r="D723" i="10" s="1"/>
  <c r="C445" i="10"/>
  <c r="D445" i="10" s="1"/>
  <c r="C274" i="10"/>
  <c r="D274" i="10" s="1"/>
  <c r="C349" i="10"/>
  <c r="D349" i="10" s="1"/>
  <c r="C576" i="10"/>
  <c r="D576" i="10" s="1"/>
  <c r="C593" i="10"/>
  <c r="D593" i="10" s="1"/>
  <c r="C336" i="10"/>
  <c r="D336" i="10" s="1"/>
  <c r="C408" i="10"/>
  <c r="D408" i="10" s="1"/>
  <c r="C529" i="10"/>
  <c r="D529" i="10" s="1"/>
  <c r="C542" i="10"/>
  <c r="D542" i="10" s="1"/>
  <c r="C752" i="10"/>
  <c r="D752" i="10" s="1"/>
  <c r="C203" i="10"/>
  <c r="D203" i="10" s="1"/>
  <c r="C1013" i="10"/>
  <c r="D1013" i="10" s="1"/>
  <c r="C195" i="10"/>
  <c r="D195" i="10" s="1"/>
  <c r="C758" i="10"/>
  <c r="D758" i="10" s="1"/>
  <c r="C378" i="10"/>
  <c r="D378" i="10" s="1"/>
  <c r="C458" i="10"/>
  <c r="D458" i="10" s="1"/>
  <c r="C616" i="10"/>
  <c r="D616" i="10" s="1"/>
  <c r="C614" i="10"/>
  <c r="D614" i="10" s="1"/>
  <c r="C167" i="10"/>
  <c r="D167" i="10" s="1"/>
  <c r="C600" i="10"/>
  <c r="D600" i="10" s="1"/>
  <c r="C618" i="10"/>
  <c r="D618" i="10" s="1"/>
  <c r="C559" i="10"/>
  <c r="D559" i="10" s="1"/>
  <c r="C306" i="10"/>
  <c r="D306" i="10" s="1"/>
  <c r="C304" i="10"/>
  <c r="D304" i="10" s="1"/>
  <c r="C657" i="10"/>
  <c r="D657" i="10" s="1"/>
  <c r="C130" i="10"/>
  <c r="D130" i="10" s="1"/>
  <c r="C908" i="10"/>
  <c r="D908" i="10" s="1"/>
  <c r="C172" i="10"/>
  <c r="D172" i="10" s="1"/>
  <c r="C896" i="10"/>
  <c r="D896" i="10" s="1"/>
  <c r="C918" i="10"/>
  <c r="D918" i="10" s="1"/>
  <c r="C711" i="10"/>
  <c r="D711" i="10" s="1"/>
  <c r="C763" i="10"/>
  <c r="D763" i="10" s="1"/>
  <c r="C475" i="10"/>
  <c r="D475" i="10" s="1"/>
  <c r="C1058" i="10"/>
  <c r="D1058" i="10" s="1"/>
  <c r="C635" i="10"/>
  <c r="D635" i="10" s="1"/>
  <c r="C985" i="10"/>
  <c r="D985" i="10" s="1"/>
  <c r="C1037" i="10"/>
  <c r="D1037" i="10" s="1"/>
  <c r="C264" i="10"/>
  <c r="D264" i="10" s="1"/>
  <c r="N99" i="32"/>
  <c r="M97" i="32"/>
  <c r="M99" i="32" s="1"/>
  <c r="E94" i="5"/>
  <c r="F97" i="32"/>
  <c r="F99" i="32" s="1"/>
  <c r="L99" i="32"/>
  <c r="C99" i="5"/>
  <c r="I99" i="5"/>
  <c r="L94" i="5"/>
  <c r="D94" i="32"/>
  <c r="D94" i="5"/>
  <c r="H94" i="5"/>
  <c r="C92" i="32"/>
  <c r="L99" i="5"/>
  <c r="M94" i="5"/>
  <c r="K94" i="5"/>
  <c r="H99" i="5"/>
  <c r="H99" i="32"/>
  <c r="H92" i="32"/>
  <c r="H94" i="32" s="1"/>
  <c r="I71" i="32"/>
  <c r="M70" i="32"/>
  <c r="I93" i="32"/>
  <c r="I94" i="32" s="1"/>
  <c r="I94" i="5"/>
  <c r="E98" i="32"/>
  <c r="O98" i="32" s="1"/>
  <c r="E99" i="5"/>
  <c r="E63" i="5"/>
  <c r="E63" i="32" s="1"/>
  <c r="F93" i="32"/>
  <c r="F94" i="5"/>
  <c r="K97" i="32"/>
  <c r="K99" i="5"/>
  <c r="C1043" i="10"/>
  <c r="D1043" i="10" s="1"/>
  <c r="C934" i="10"/>
  <c r="D934" i="10" s="1"/>
  <c r="C1009" i="10"/>
  <c r="D1009" i="10" s="1"/>
  <c r="C277" i="10"/>
  <c r="D277" i="10" s="1"/>
  <c r="C794" i="10"/>
  <c r="D794" i="10" s="1"/>
  <c r="C228" i="10"/>
  <c r="D228" i="10" s="1"/>
  <c r="C446" i="10"/>
  <c r="D446" i="10" s="1"/>
  <c r="C201" i="10"/>
  <c r="D201" i="10" s="1"/>
  <c r="C501" i="10"/>
  <c r="D501" i="10" s="1"/>
  <c r="C715" i="10"/>
  <c r="D715" i="10" s="1"/>
  <c r="C909" i="10"/>
  <c r="D909" i="10" s="1"/>
  <c r="C196" i="10"/>
  <c r="D196" i="10" s="1"/>
  <c r="C1053" i="10"/>
  <c r="D1053" i="10" s="1"/>
  <c r="C670" i="10"/>
  <c r="D670" i="10" s="1"/>
  <c r="C727" i="10"/>
  <c r="D727" i="10" s="1"/>
  <c r="C889" i="10"/>
  <c r="D889" i="10" s="1"/>
  <c r="C190" i="10"/>
  <c r="D190" i="10" s="1"/>
  <c r="C146" i="10"/>
  <c r="D146" i="10" s="1"/>
  <c r="C787" i="10"/>
  <c r="D787" i="10" s="1"/>
  <c r="C683" i="10"/>
  <c r="D683" i="10" s="1"/>
  <c r="C834" i="10"/>
  <c r="D834" i="10" s="1"/>
  <c r="C1007" i="10"/>
  <c r="D1007" i="10" s="1"/>
  <c r="C255" i="10"/>
  <c r="D255" i="10" s="1"/>
  <c r="C229" i="10"/>
  <c r="D229" i="10" s="1"/>
  <c r="C487" i="10"/>
  <c r="D487" i="10" s="1"/>
  <c r="C797" i="10"/>
  <c r="D797" i="10" s="1"/>
  <c r="C649" i="10"/>
  <c r="D649" i="10" s="1"/>
  <c r="C750" i="10"/>
  <c r="D750" i="10" s="1"/>
  <c r="C602" i="10"/>
  <c r="D602" i="10" s="1"/>
  <c r="C693" i="10"/>
  <c r="D693" i="10" s="1"/>
  <c r="C856" i="10"/>
  <c r="D856" i="10" s="1"/>
  <c r="C988" i="10"/>
  <c r="D988" i="10" s="1"/>
  <c r="C1030" i="10"/>
  <c r="D1030" i="10" s="1"/>
  <c r="C222" i="10"/>
  <c r="D222" i="10" s="1"/>
  <c r="C517" i="10"/>
  <c r="D517" i="10" s="1"/>
  <c r="C841" i="10"/>
  <c r="D841" i="10" s="1"/>
  <c r="C718" i="10"/>
  <c r="D718" i="10" s="1"/>
  <c r="C441" i="10"/>
  <c r="D441" i="10" s="1"/>
  <c r="C648" i="10"/>
  <c r="D648" i="10" s="1"/>
  <c r="C741" i="10"/>
  <c r="D741" i="10" s="1"/>
  <c r="C812" i="10"/>
  <c r="D812" i="10" s="1"/>
  <c r="C503" i="10"/>
  <c r="D503" i="10" s="1"/>
  <c r="C936" i="10"/>
  <c r="D936" i="10" s="1"/>
  <c r="C768" i="10"/>
  <c r="D768" i="10" s="1"/>
  <c r="C213" i="10"/>
  <c r="D213" i="10" s="1"/>
  <c r="C871" i="10"/>
  <c r="D871" i="10" s="1"/>
  <c r="C261" i="10"/>
  <c r="D261" i="10" s="1"/>
  <c r="C180" i="10"/>
  <c r="D180" i="10" s="1"/>
  <c r="C353" i="10"/>
  <c r="D353" i="10" s="1"/>
  <c r="C29" i="10"/>
  <c r="D29" i="10" s="1"/>
  <c r="C1019" i="10"/>
  <c r="D1019" i="10" s="1"/>
  <c r="C548" i="10"/>
  <c r="D548" i="10" s="1"/>
  <c r="C528" i="10"/>
  <c r="D528" i="10" s="1"/>
  <c r="C320" i="10"/>
  <c r="D320" i="10" s="1"/>
  <c r="C497" i="10"/>
  <c r="D497" i="10" s="1"/>
  <c r="C682" i="10"/>
  <c r="D682" i="10" s="1"/>
  <c r="C699" i="10"/>
  <c r="D699" i="10" s="1"/>
  <c r="C709" i="10"/>
  <c r="D709" i="10" s="1"/>
  <c r="C786" i="10"/>
  <c r="D786" i="10" s="1"/>
  <c r="C726" i="10"/>
  <c r="D726" i="10" s="1"/>
  <c r="C961" i="10"/>
  <c r="D961" i="10" s="1"/>
  <c r="C884" i="10"/>
  <c r="D884" i="10" s="1"/>
  <c r="C169" i="10"/>
  <c r="D169" i="10" s="1"/>
  <c r="C907" i="10"/>
  <c r="D907" i="10" s="1"/>
  <c r="C906" i="10"/>
  <c r="D906" i="10" s="1"/>
  <c r="C455" i="10"/>
  <c r="D455" i="10" s="1"/>
  <c r="C301" i="10"/>
  <c r="D301" i="10" s="1"/>
  <c r="C730" i="10"/>
  <c r="D730" i="10" s="1"/>
  <c r="C967" i="10"/>
  <c r="D967" i="10" s="1"/>
  <c r="C756" i="10"/>
  <c r="D756" i="10" s="1"/>
  <c r="C166" i="10"/>
  <c r="D166" i="10" s="1"/>
  <c r="C362" i="10"/>
  <c r="D362" i="10" s="1"/>
  <c r="C369" i="10"/>
  <c r="D369" i="10" s="1"/>
  <c r="C329" i="10"/>
  <c r="D329" i="10" s="1"/>
  <c r="C775" i="10"/>
  <c r="D775" i="10" s="1"/>
  <c r="C268" i="10"/>
  <c r="D268" i="10" s="1"/>
  <c r="C379" i="10"/>
  <c r="D379" i="10" s="1"/>
  <c r="C404" i="10"/>
  <c r="D404" i="10" s="1"/>
  <c r="C748" i="10"/>
  <c r="D748" i="10" s="1"/>
  <c r="C720" i="10"/>
  <c r="D720" i="10" s="1"/>
  <c r="C933" i="10"/>
  <c r="D933" i="10" s="1"/>
  <c r="C206" i="10"/>
  <c r="D206" i="10" s="1"/>
  <c r="C647" i="10"/>
  <c r="D647" i="10" s="1"/>
  <c r="C1059" i="10"/>
  <c r="D1059" i="10" s="1"/>
  <c r="C969" i="10"/>
  <c r="D969" i="10" s="1"/>
  <c r="C411" i="10"/>
  <c r="D411" i="10" s="1"/>
  <c r="C147" i="10"/>
  <c r="D147" i="10" s="1"/>
  <c r="C333" i="10"/>
  <c r="D333" i="10" s="1"/>
  <c r="C607" i="10"/>
  <c r="D607" i="10" s="1"/>
  <c r="C422" i="10"/>
  <c r="D422" i="10" s="1"/>
  <c r="C547" i="10"/>
  <c r="D547" i="10" s="1"/>
  <c r="C920" i="10"/>
  <c r="D920" i="10" s="1"/>
  <c r="C671" i="10"/>
  <c r="D671" i="10" s="1"/>
  <c r="C687" i="10"/>
  <c r="D687" i="10" s="1"/>
  <c r="C703" i="10"/>
  <c r="D703" i="10" s="1"/>
  <c r="C719" i="10"/>
  <c r="D719" i="10" s="1"/>
  <c r="C738" i="10"/>
  <c r="D738" i="10" s="1"/>
  <c r="C762" i="10"/>
  <c r="D762" i="10" s="1"/>
  <c r="C788" i="10"/>
  <c r="D788" i="10" s="1"/>
  <c r="C818" i="10"/>
  <c r="D818" i="10" s="1"/>
  <c r="C836" i="10"/>
  <c r="D836" i="10" s="1"/>
  <c r="C867" i="10"/>
  <c r="D867" i="10" s="1"/>
  <c r="I99" i="32"/>
  <c r="M94" i="32"/>
  <c r="J73" i="5" l="1"/>
  <c r="K73" i="5"/>
  <c r="J73" i="32"/>
  <c r="G73" i="5"/>
  <c r="E73" i="5"/>
  <c r="N73" i="5"/>
  <c r="O78" i="32"/>
  <c r="L73" i="32"/>
  <c r="I79" i="32"/>
  <c r="F73" i="32"/>
  <c r="N79" i="32"/>
  <c r="M79" i="32"/>
  <c r="D79" i="32"/>
  <c r="E73" i="32"/>
  <c r="O77" i="32"/>
  <c r="O76" i="32"/>
  <c r="D73" i="32"/>
  <c r="K73" i="32"/>
  <c r="H79" i="32"/>
  <c r="F79" i="5"/>
  <c r="O72" i="32"/>
  <c r="L79" i="5"/>
  <c r="G79" i="5"/>
  <c r="G79" i="32"/>
  <c r="F79" i="32"/>
  <c r="N73" i="32"/>
  <c r="J79" i="5"/>
  <c r="J79" i="32"/>
  <c r="J67" i="32" s="1"/>
  <c r="M73" i="5"/>
  <c r="L73" i="5"/>
  <c r="L67" i="5" s="1"/>
  <c r="M73" i="32"/>
  <c r="O99" i="5"/>
  <c r="C73" i="32"/>
  <c r="D73" i="5"/>
  <c r="N79" i="5"/>
  <c r="D79" i="5"/>
  <c r="O94" i="5"/>
  <c r="I79" i="5"/>
  <c r="C79" i="5"/>
  <c r="H79" i="5"/>
  <c r="M79" i="5"/>
  <c r="C79" i="32"/>
  <c r="O88" i="32"/>
  <c r="I73" i="5"/>
  <c r="I73" i="32"/>
  <c r="O68" i="32"/>
  <c r="K79" i="5"/>
  <c r="O69" i="32"/>
  <c r="C73" i="5"/>
  <c r="F73" i="5"/>
  <c r="O70" i="32"/>
  <c r="E79" i="5"/>
  <c r="E79" i="32"/>
  <c r="O73" i="5"/>
  <c r="C89" i="32"/>
  <c r="O87" i="32"/>
  <c r="H73" i="5"/>
  <c r="O74" i="32"/>
  <c r="L79" i="32"/>
  <c r="H73" i="32"/>
  <c r="O75" i="32"/>
  <c r="E99" i="32"/>
  <c r="M27" i="5"/>
  <c r="M27" i="32" s="1"/>
  <c r="O92" i="32"/>
  <c r="C94" i="32"/>
  <c r="J64" i="5"/>
  <c r="J64" i="32" s="1"/>
  <c r="J63" i="5"/>
  <c r="J63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5"/>
  <c r="N64" i="32" s="1"/>
  <c r="D59" i="5"/>
  <c r="D59" i="32" s="1"/>
  <c r="D63" i="5"/>
  <c r="D63" i="32" s="1"/>
  <c r="L64" i="5"/>
  <c r="L64" i="32" s="1"/>
  <c r="K34" i="5"/>
  <c r="K34" i="32" s="1"/>
  <c r="O54" i="5"/>
  <c r="J43" i="5"/>
  <c r="J43" i="32" s="1"/>
  <c r="C6" i="5"/>
  <c r="F94" i="32"/>
  <c r="O93" i="32"/>
  <c r="I27" i="5"/>
  <c r="I27" i="32" s="1"/>
  <c r="L63" i="5"/>
  <c r="L63" i="32" s="1"/>
  <c r="E64" i="5"/>
  <c r="E64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J59" i="5"/>
  <c r="J59" i="32" s="1"/>
  <c r="J46" i="5"/>
  <c r="J46" i="32" s="1"/>
  <c r="I42" i="5"/>
  <c r="I42" i="32" s="1"/>
  <c r="F64" i="5"/>
  <c r="F64" i="32" s="1"/>
  <c r="M64" i="5"/>
  <c r="M64" i="32" s="1"/>
  <c r="M22" i="5"/>
  <c r="M22" i="32" s="1"/>
  <c r="N56" i="5"/>
  <c r="N56" i="32" s="1"/>
  <c r="O43" i="5"/>
  <c r="G22" i="5"/>
  <c r="G22" i="32" s="1"/>
  <c r="K79" i="32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5"/>
  <c r="I64" i="32" s="1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5"/>
  <c r="C64" i="32" s="1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5"/>
  <c r="D64" i="32" s="1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O62" i="5" s="1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5"/>
  <c r="K63" i="32" s="1"/>
  <c r="F63" i="5"/>
  <c r="F63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5"/>
  <c r="G64" i="32" s="1"/>
  <c r="K64" i="5"/>
  <c r="K64" i="32" s="1"/>
  <c r="N63" i="5"/>
  <c r="N63" i="32" s="1"/>
  <c r="M63" i="5"/>
  <c r="M63" i="32" s="1"/>
  <c r="H64" i="5"/>
  <c r="H64" i="32" s="1"/>
  <c r="H42" i="5"/>
  <c r="H42" i="32" s="1"/>
  <c r="E21" i="5"/>
  <c r="E21" i="32" s="1"/>
  <c r="F51" i="5"/>
  <c r="F51" i="32" s="1"/>
  <c r="L9" i="5"/>
  <c r="L9" i="32" s="1"/>
  <c r="K99" i="32"/>
  <c r="O97" i="32"/>
  <c r="O99" i="32" s="1"/>
  <c r="I63" i="5"/>
  <c r="I63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O64" i="5"/>
  <c r="H63" i="5"/>
  <c r="H63" i="32" s="1"/>
  <c r="G63" i="5"/>
  <c r="G63" i="32" s="1"/>
  <c r="O63" i="5"/>
  <c r="C63" i="5"/>
  <c r="C63" i="32" s="1"/>
  <c r="N6" i="5"/>
  <c r="D10" i="5"/>
  <c r="D10" i="32" s="1"/>
  <c r="G65" i="5"/>
  <c r="G65" i="32" s="1"/>
  <c r="I31" i="5"/>
  <c r="I31" i="32" s="1"/>
  <c r="G73" i="32"/>
  <c r="O71" i="32"/>
  <c r="J67" i="5" l="1"/>
  <c r="K67" i="5"/>
  <c r="G67" i="5"/>
  <c r="E67" i="5"/>
  <c r="F67" i="32"/>
  <c r="L67" i="32"/>
  <c r="N67" i="5"/>
  <c r="D67" i="32"/>
  <c r="E67" i="32"/>
  <c r="I67" i="32"/>
  <c r="N67" i="32"/>
  <c r="M67" i="32"/>
  <c r="F67" i="5"/>
  <c r="K67" i="32"/>
  <c r="H67" i="32"/>
  <c r="G67" i="32"/>
  <c r="M67" i="5"/>
  <c r="C67" i="32"/>
  <c r="D67" i="5"/>
  <c r="I67" i="5"/>
  <c r="H67" i="5"/>
  <c r="C67" i="5"/>
  <c r="O79" i="32"/>
  <c r="O89" i="32"/>
  <c r="O73" i="32"/>
  <c r="O67" i="5"/>
  <c r="O61" i="5"/>
  <c r="O13" i="5" s="1"/>
  <c r="L61" i="5"/>
  <c r="L61" i="32" s="1"/>
  <c r="D61" i="5"/>
  <c r="D61" i="32" s="1"/>
  <c r="I61" i="5"/>
  <c r="I61" i="32" s="1"/>
  <c r="M61" i="5"/>
  <c r="M61" i="32" s="1"/>
  <c r="N61" i="5"/>
  <c r="N61" i="32" s="1"/>
  <c r="C61" i="5"/>
  <c r="C61" i="32" s="1"/>
  <c r="J61" i="5"/>
  <c r="J61" i="32" s="1"/>
  <c r="H61" i="5"/>
  <c r="H61" i="32" s="1"/>
  <c r="E61" i="5"/>
  <c r="E61" i="32" s="1"/>
  <c r="K61" i="5"/>
  <c r="K61" i="32" s="1"/>
  <c r="F61" i="5"/>
  <c r="F61" i="32" s="1"/>
  <c r="G61" i="5"/>
  <c r="G61" i="32" s="1"/>
  <c r="J62" i="5"/>
  <c r="J62" i="32" s="1"/>
  <c r="L62" i="5"/>
  <c r="L62" i="32" s="1"/>
  <c r="O32" i="32"/>
  <c r="O26" i="32"/>
  <c r="O40" i="32"/>
  <c r="O51" i="32"/>
  <c r="D62" i="5"/>
  <c r="D62" i="32" s="1"/>
  <c r="H62" i="5"/>
  <c r="H62" i="32" s="1"/>
  <c r="I62" i="5"/>
  <c r="I62" i="32" s="1"/>
  <c r="G62" i="5"/>
  <c r="G62" i="32" s="1"/>
  <c r="N62" i="5"/>
  <c r="N62" i="32" s="1"/>
  <c r="K62" i="5"/>
  <c r="K62" i="32" s="1"/>
  <c r="O37" i="32"/>
  <c r="M62" i="5"/>
  <c r="M62" i="32" s="1"/>
  <c r="E62" i="5"/>
  <c r="E62" i="32" s="1"/>
  <c r="F62" i="5"/>
  <c r="F62" i="32" s="1"/>
  <c r="C62" i="5"/>
  <c r="C62" i="32" s="1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O67" i="32" l="1"/>
  <c r="L13" i="32"/>
  <c r="E13" i="32"/>
  <c r="J13" i="5"/>
  <c r="M3" i="10" s="1" a="1"/>
  <c r="M3" i="10" s="1"/>
  <c r="J13" i="32"/>
  <c r="K13" i="32"/>
  <c r="K66" i="32" s="1"/>
  <c r="K80" i="32" s="1"/>
  <c r="D13" i="5"/>
  <c r="G3" i="10" s="1" a="1"/>
  <c r="G3" i="10" s="1"/>
  <c r="I13" i="5"/>
  <c r="L3" i="10" s="1" a="1"/>
  <c r="L3" i="10" s="1"/>
  <c r="L13" i="5"/>
  <c r="O3" i="10" s="1" a="1"/>
  <c r="O3" i="10" s="1"/>
  <c r="I13" i="32"/>
  <c r="I66" i="32" s="1"/>
  <c r="I80" i="32" s="1"/>
  <c r="O61" i="32"/>
  <c r="O62" i="32"/>
  <c r="H13" i="5"/>
  <c r="K3" i="10" s="1" a="1"/>
  <c r="K3" i="10" s="1"/>
  <c r="F13" i="5"/>
  <c r="I3" i="10" s="1" a="1"/>
  <c r="I3" i="10" s="1"/>
  <c r="E13" i="5"/>
  <c r="H3" i="10" s="1" a="1"/>
  <c r="H3" i="10" s="1"/>
  <c r="K13" i="5"/>
  <c r="N3" i="10" s="1" a="1"/>
  <c r="N3" i="10" s="1"/>
  <c r="F13" i="32"/>
  <c r="F66" i="32" s="1"/>
  <c r="F80" i="32" s="1"/>
  <c r="G13" i="32"/>
  <c r="G66" i="32" s="1"/>
  <c r="G80" i="32" s="1"/>
  <c r="D13" i="32"/>
  <c r="G13" i="5"/>
  <c r="J3" i="10" s="1" a="1"/>
  <c r="J3" i="10" s="1"/>
  <c r="M13" i="5"/>
  <c r="P3" i="10" s="1" a="1"/>
  <c r="P3" i="10" s="1"/>
  <c r="H13" i="32"/>
  <c r="H66" i="32" s="1"/>
  <c r="H80" i="32" s="1"/>
  <c r="N13" i="32"/>
  <c r="N66" i="32" s="1"/>
  <c r="N80" i="32" s="1"/>
  <c r="N13" i="5"/>
  <c r="Q3" i="10" s="1" a="1"/>
  <c r="Q3" i="10" s="1"/>
  <c r="C13" i="5"/>
  <c r="F3" i="10" s="1" a="1"/>
  <c r="F3" i="10" s="1"/>
  <c r="M13" i="32"/>
  <c r="M66" i="32" s="1"/>
  <c r="M80" i="32" s="1"/>
  <c r="H81" i="5"/>
  <c r="N81" i="5"/>
  <c r="I81" i="5"/>
  <c r="L66" i="32"/>
  <c r="L80" i="32" s="1"/>
  <c r="L81" i="32"/>
  <c r="G81" i="32"/>
  <c r="K81" i="32"/>
  <c r="M81" i="32"/>
  <c r="N81" i="32"/>
  <c r="F81" i="5"/>
  <c r="I81" i="32"/>
  <c r="E81" i="5"/>
  <c r="L81" i="5"/>
  <c r="C13" i="32"/>
  <c r="O14" i="32"/>
  <c r="O66" i="5"/>
  <c r="O80" i="5" s="1"/>
  <c r="O81" i="5"/>
  <c r="F81" i="32"/>
  <c r="D81" i="5"/>
  <c r="E81" i="32"/>
  <c r="E66" i="32"/>
  <c r="E80" i="32" s="1"/>
  <c r="G81" i="5"/>
  <c r="K81" i="5"/>
  <c r="M81" i="5"/>
  <c r="J81" i="5"/>
  <c r="C81" i="5"/>
  <c r="J81" i="32"/>
  <c r="J66" i="32"/>
  <c r="J80" i="32" s="1"/>
  <c r="O6" i="32"/>
  <c r="O8" i="32" s="1"/>
  <c r="O5" i="32" s="1"/>
  <c r="O12" i="32" s="1"/>
  <c r="C8" i="32"/>
  <c r="C5" i="32" s="1"/>
  <c r="C12" i="32" s="1"/>
  <c r="H81" i="32"/>
  <c r="D81" i="32"/>
  <c r="D66" i="32"/>
  <c r="D80" i="32" s="1"/>
  <c r="J66" i="5" l="1"/>
  <c r="J80" i="5" s="1"/>
  <c r="D66" i="5"/>
  <c r="D80" i="5" s="1"/>
  <c r="G66" i="5"/>
  <c r="G80" i="5" s="1"/>
  <c r="O13" i="32"/>
  <c r="O66" i="32" s="1"/>
  <c r="O80" i="32" s="1"/>
  <c r="I66" i="5"/>
  <c r="I80" i="5" s="1"/>
  <c r="L66" i="5"/>
  <c r="L80" i="5" s="1"/>
  <c r="M66" i="5"/>
  <c r="M80" i="5" s="1"/>
  <c r="E66" i="5"/>
  <c r="E80" i="5" s="1"/>
  <c r="N66" i="5"/>
  <c r="N80" i="5" s="1"/>
  <c r="F66" i="5"/>
  <c r="F80" i="5" s="1"/>
  <c r="H66" i="5"/>
  <c r="H80" i="5" s="1"/>
  <c r="K66" i="5"/>
  <c r="K80" i="5" s="1"/>
  <c r="C66" i="5"/>
  <c r="C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Bùi Thị Nga(Bui Thi Nga)</author>
    <author>Trịnh Thị Quyên(Trinh Thi Quyen)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J42" authorId="1" shapeId="0" xr:uid="{0F4D2D93-B5D0-4628-8333-9809FA7427FD}">
      <text>
        <r>
          <rPr>
            <b/>
            <sz val="9"/>
            <color indexed="81"/>
            <rFont val="Tahoma"/>
            <family val="2"/>
          </rPr>
          <t xml:space="preserve">Mail: 11.46$ (3名)
</t>
        </r>
      </text>
    </comment>
    <comment ref="K42" authorId="1" shapeId="0" xr:uid="{15669CC2-0B96-4E52-B9B7-D9ED393FFE42}">
      <text>
        <r>
          <rPr>
            <b/>
            <sz val="9"/>
            <color indexed="81"/>
            <rFont val="Tahoma"/>
            <family val="2"/>
          </rPr>
          <t xml:space="preserve">Mail: 11.46$ (3名)
</t>
        </r>
      </text>
    </comment>
    <comment ref="L42" authorId="1" shapeId="0" xr:uid="{24F73494-7B93-47A7-B966-EC137D5CC33D}">
      <text>
        <r>
          <rPr>
            <b/>
            <sz val="9"/>
            <color indexed="81"/>
            <rFont val="Tahoma"/>
            <family val="2"/>
          </rPr>
          <t xml:space="preserve">Mail: 11.46$ (3名)
</t>
        </r>
      </text>
    </comment>
    <comment ref="M42" authorId="1" shapeId="0" xr:uid="{E3059F65-7DDD-4DA3-84A9-38B1E66CFA5D}">
      <text>
        <r>
          <rPr>
            <b/>
            <sz val="9"/>
            <color indexed="81"/>
            <rFont val="Tahoma"/>
            <family val="2"/>
          </rPr>
          <t xml:space="preserve">Mail: 11.46$ (3名)
</t>
        </r>
      </text>
    </comment>
    <comment ref="N42" authorId="1" shapeId="0" xr:uid="{81DBDED4-1323-42B1-BD70-043C70281E85}">
      <text>
        <r>
          <rPr>
            <b/>
            <sz val="9"/>
            <color indexed="81"/>
            <rFont val="Tahoma"/>
            <family val="2"/>
          </rPr>
          <t xml:space="preserve">Mail: 11.46$ (3名)
</t>
        </r>
      </text>
    </comment>
    <comment ref="O42" authorId="1" shapeId="0" xr:uid="{9237A1B3-87BC-4C86-852E-7E5C62C3535C}">
      <text>
        <r>
          <rPr>
            <b/>
            <sz val="9"/>
            <color indexed="81"/>
            <rFont val="Tahoma"/>
            <family val="2"/>
          </rPr>
          <t xml:space="preserve">Mail: 11.46$ (3名)
</t>
        </r>
      </text>
    </comment>
    <comment ref="P42" authorId="1" shapeId="0" xr:uid="{DFDD59F1-C114-46D8-B114-D3EB69A38E1B}">
      <text>
        <r>
          <rPr>
            <b/>
            <sz val="9"/>
            <color indexed="81"/>
            <rFont val="Tahoma"/>
            <family val="2"/>
          </rPr>
          <t xml:space="preserve">Mail: 11.46$ (3名)
</t>
        </r>
      </text>
    </comment>
    <comment ref="Q42" authorId="1" shapeId="0" xr:uid="{C476DDEB-A913-4D8E-B2B5-5B2047A6D7F6}">
      <text>
        <r>
          <rPr>
            <b/>
            <sz val="9"/>
            <color indexed="81"/>
            <rFont val="Tahoma"/>
            <family val="2"/>
          </rPr>
          <t xml:space="preserve">Mail: 11.46$ (3名)
</t>
        </r>
      </text>
    </comment>
    <comment ref="L44" authorId="1" shapeId="0" xr:uid="{C20BBC31-B0D2-4812-9116-5D7DC46F4845}">
      <text>
        <r>
          <rPr>
            <b/>
            <sz val="9"/>
            <color indexed="81"/>
            <rFont val="Tahoma"/>
            <family val="2"/>
          </rPr>
          <t>thêm ng</t>
        </r>
      </text>
    </comment>
    <comment ref="L52" authorId="1" shapeId="0" xr:uid="{62309161-29CA-4947-B41C-E12284B9DCE6}">
      <text>
        <r>
          <rPr>
            <b/>
            <sz val="9"/>
            <color indexed="81"/>
            <rFont val="Tahoma"/>
            <family val="2"/>
          </rPr>
          <t>hiệu chuẩn đồng hồ đo lực siết 002 VP</t>
        </r>
      </text>
    </comment>
    <comment ref="I58" authorId="2" shapeId="0" xr:uid="{86E4BBB1-F14E-407D-8FC0-858C951CD395}">
      <text>
        <r>
          <rPr>
            <sz val="9"/>
            <color indexed="81"/>
            <rFont val="Tahoma"/>
            <family val="2"/>
          </rPr>
          <t>7月：Iris Next 対応(HONTAI): 2名</t>
        </r>
      </text>
    </comment>
    <comment ref="J58" authorId="2" shapeId="0" xr:uid="{3A8DFBD6-6314-49C4-B3A4-51AA021E791D}">
      <text>
        <r>
          <rPr>
            <sz val="9"/>
            <color indexed="81"/>
            <rFont val="Tahoma"/>
            <family val="2"/>
          </rPr>
          <t>8月：Harmonia 対応(HONTAI) : 2名</t>
        </r>
      </text>
    </comment>
    <comment ref="K58" authorId="2" shapeId="0" xr:uid="{C83BFD8E-DDCE-4BDB-B8B9-75C7C6F9A53E}">
      <text>
        <r>
          <rPr>
            <sz val="9"/>
            <color indexed="81"/>
            <rFont val="Tahoma"/>
            <family val="2"/>
          </rPr>
          <t>9月：Iris IH Unit 移管対応 (đối ứng chuyển giao Iris IH Unit) : 1名</t>
        </r>
      </text>
    </comment>
    <comment ref="I59" authorId="2" shapeId="0" xr:uid="{F436E497-9E33-4ECE-B137-07E4E3F3469B}">
      <text>
        <r>
          <rPr>
            <b/>
            <sz val="9"/>
            <color indexed="81"/>
            <rFont val="Tahoma"/>
            <family val="2"/>
          </rPr>
          <t>7月：Iris Next 対応(HONTAI): 2名</t>
        </r>
      </text>
    </comment>
    <comment ref="J59" authorId="2" shapeId="0" xr:uid="{1857FCD0-BF74-4C4B-AD4A-15E4EACDDE56}">
      <text>
        <r>
          <rPr>
            <b/>
            <sz val="9"/>
            <color indexed="81"/>
            <rFont val="Tahoma"/>
            <family val="2"/>
          </rPr>
          <t>8月：Harmonia 対応(HONTAI): 2名</t>
        </r>
      </text>
    </comment>
    <comment ref="K59" authorId="2" shapeId="0" xr:uid="{DEFD1ECC-8877-46B3-9586-90710FA8370E}">
      <text>
        <r>
          <rPr>
            <b/>
            <sz val="9"/>
            <color indexed="81"/>
            <rFont val="Tahoma"/>
            <family val="2"/>
          </rPr>
          <t>9月：Iris IH Unit 移管対応 (đối ứng chuyển giao Iris IH Unit) : 1名</t>
        </r>
      </text>
    </comment>
    <comment ref="I60" authorId="2" shapeId="0" xr:uid="{767C3A39-DC87-4C04-9506-90D67CE79DCF}">
      <text>
        <r>
          <rPr>
            <b/>
            <sz val="9"/>
            <color indexed="81"/>
            <rFont val="Tahoma"/>
            <family val="2"/>
          </rPr>
          <t>7月：Iris Next 対応(HONTAI): 2名</t>
        </r>
      </text>
    </comment>
    <comment ref="J60" authorId="2" shapeId="0" xr:uid="{978D54A7-4B7E-4A52-8614-89C7A5F6BFA3}">
      <text>
        <r>
          <rPr>
            <b/>
            <sz val="9"/>
            <color indexed="81"/>
            <rFont val="Tahoma"/>
            <family val="2"/>
          </rPr>
          <t>8月：Harmonia 対応(HONTAI): 2名</t>
        </r>
      </text>
    </comment>
    <comment ref="K60" authorId="2" shapeId="0" xr:uid="{8C55E8EE-4CD9-4A1D-AC47-2081A6E2A412}">
      <text>
        <r>
          <rPr>
            <b/>
            <sz val="9"/>
            <color indexed="81"/>
            <rFont val="Tahoma"/>
            <family val="2"/>
          </rPr>
          <t>9月：Iris IH Unit 移管対応 (đối ứng chuyển giao Iris IH Unit) : 1名(tiền KS là 198 rmb/1 đêm, tỷ giá 3,531.59VND)</t>
        </r>
      </text>
    </comment>
    <comment ref="I61" authorId="2" shapeId="0" xr:uid="{8EDF57DB-094D-4159-A9B7-5DF0C3316CB6}">
      <text>
        <r>
          <rPr>
            <b/>
            <sz val="9"/>
            <color indexed="81"/>
            <rFont val="Tahoma"/>
            <family val="2"/>
          </rPr>
          <t>7月：Iris Next 対応(HONTAI): 2名 
(1 ng Trợ lý+1 ng G5~G1)</t>
        </r>
      </text>
    </comment>
    <comment ref="J61" authorId="2" shapeId="0" xr:uid="{19888DE8-255B-445D-AE9A-40B777E8CB6E}">
      <text>
        <r>
          <rPr>
            <b/>
            <sz val="9"/>
            <color indexed="81"/>
            <rFont val="Tahoma"/>
            <family val="2"/>
          </rPr>
          <t>8月：Harmonia 対応(HONTAI): 2名 (1 ng Trợ lý+1 ng G5~G1)</t>
        </r>
      </text>
    </comment>
    <comment ref="K61" authorId="2" shapeId="0" xr:uid="{B1A3180F-F787-4A50-BAA9-447EC722A0F5}">
      <text>
        <r>
          <rPr>
            <b/>
            <sz val="9"/>
            <color indexed="81"/>
            <rFont val="Tahoma"/>
            <family val="2"/>
          </rPr>
          <t>9月：Iris IH Unit 移管対応 (đối ứng chuyển giao Iris IH Unit) : 1名 (Trợ lý) 41$/ngày</t>
        </r>
      </text>
    </comment>
    <comment ref="I62" authorId="2" shapeId="0" xr:uid="{0C65B67C-D120-40EE-8643-36C48BFB4FF8}">
      <text>
        <r>
          <rPr>
            <b/>
            <sz val="9"/>
            <color indexed="81"/>
            <rFont val="Tahoma"/>
            <family val="2"/>
          </rPr>
          <t>7月：Iris Next 対応(HONTAI): 2名</t>
        </r>
      </text>
    </comment>
    <comment ref="J62" authorId="2" shapeId="0" xr:uid="{448D955B-82C0-463A-BBA6-FCDA18F271DD}">
      <text>
        <r>
          <rPr>
            <b/>
            <sz val="9"/>
            <color indexed="81"/>
            <rFont val="Tahoma"/>
            <family val="2"/>
          </rPr>
          <t>8月：Harmonia 対応(HONTAI): 2名</t>
        </r>
      </text>
    </comment>
    <comment ref="K62" authorId="2" shapeId="0" xr:uid="{E0BCE9E8-C582-4D33-831E-545865E2F800}">
      <text>
        <r>
          <rPr>
            <b/>
            <sz val="9"/>
            <color indexed="81"/>
            <rFont val="Tahoma"/>
            <family val="2"/>
          </rPr>
          <t>9月：Iris IH Unit 移管対応 (đối ứng chuyển giao Iris IH Unit) : 1名</t>
        </r>
      </text>
    </comment>
    <comment ref="J63" authorId="2" shapeId="0" xr:uid="{C0DBF365-6912-490E-AEB0-DF0C6D9FB92C}">
      <text>
        <r>
          <rPr>
            <b/>
            <sz val="9"/>
            <color indexed="81"/>
            <rFont val="Tahoma"/>
            <family val="2"/>
          </rPr>
          <t>7月：Iris Next 対応(HONTAI): 2名 (cả chiều đi và chiều về)(2 chiều tầm 800$/1ng)</t>
        </r>
      </text>
    </comment>
    <comment ref="K63" authorId="2" shapeId="0" xr:uid="{E680F5BE-858A-4086-BD0D-B3F11D47CDDC}">
      <text>
        <r>
          <rPr>
            <b/>
            <sz val="9"/>
            <color indexed="81"/>
            <rFont val="Tahoma"/>
            <family val="2"/>
          </rPr>
          <t>8月：Harmonia 対応(HONTAI): 2名 (cả chiều đi và chiều về)(800$ cả 2 chiều)</t>
        </r>
      </text>
    </comment>
    <comment ref="L63" authorId="2" shapeId="0" xr:uid="{40A4FC67-DAE0-4B5D-8880-8200CBB7E5B2}">
      <text>
        <r>
          <rPr>
            <b/>
            <sz val="9"/>
            <color indexed="81"/>
            <rFont val="Tahoma"/>
            <family val="2"/>
          </rPr>
          <t>9月：Iris IH Unit 移管対応 (đối ứng chuyển giao Iris IH Unit) : 1名 (cả chiều đi và chiều về)</t>
        </r>
      </text>
    </comment>
    <comment ref="J65" authorId="1" shapeId="0" xr:uid="{C80E1447-4877-402F-ACD1-B804C7DBA7F8}">
      <text>
        <r>
          <rPr>
            <b/>
            <sz val="9"/>
            <color indexed="81"/>
            <rFont val="Tahoma"/>
            <family val="2"/>
          </rPr>
          <t>gói cước phát sinh khi đi công tác nước ngoài(tham khảo bên mực) (400k/1ng)</t>
        </r>
      </text>
    </comment>
    <comment ref="K65" authorId="1" shapeId="0" xr:uid="{6ED2F82E-1A25-4E41-9FD9-B7A9BB775525}">
      <text>
        <r>
          <rPr>
            <b/>
            <sz val="9"/>
            <color indexed="81"/>
            <rFont val="Tahoma"/>
            <family val="2"/>
          </rPr>
          <t>gói cước phát sinh khi đi công tác nước ngoài(tham khảo bên mực) (400k/1ng)</t>
        </r>
      </text>
    </comment>
    <comment ref="L65" authorId="1" shapeId="0" xr:uid="{089DA3D2-A23C-42EB-9DB9-32F747BB8FA0}">
      <text>
        <r>
          <rPr>
            <b/>
            <sz val="9"/>
            <color indexed="81"/>
            <rFont val="Tahoma"/>
            <family val="2"/>
          </rPr>
          <t>gói cước phát sinh khi đi công tác nước ngoài(tham khảo bên mực) (400k/1ng)</t>
        </r>
      </text>
    </comment>
    <comment ref="M65" authorId="1" shapeId="0" xr:uid="{2CC2C9CE-6CAE-44AD-9389-86CCF4BB0E56}">
      <text>
        <r>
          <rPr>
            <b/>
            <sz val="9"/>
            <color indexed="81"/>
            <rFont val="Tahoma"/>
            <family val="2"/>
          </rPr>
          <t>0 p/sinh gói cước khi đi công tác nước ngoài</t>
        </r>
      </text>
    </comment>
    <comment ref="P78" authorId="1" shapeId="0" xr:uid="{D2CA47F2-151F-41A1-AF37-3F13DE44654D}">
      <text>
        <r>
          <rPr>
            <b/>
            <sz val="9"/>
            <color indexed="81"/>
            <rFont val="Tahoma"/>
            <family val="2"/>
          </rPr>
          <t>số người lấy đầu tháng 2, tính tiền tấ niên bên chế tạo</t>
        </r>
      </text>
    </comment>
    <comment ref="P79" authorId="1" shapeId="0" xr:uid="{36931E0D-238A-48ED-A66E-2949875E82AD}">
      <text>
        <r>
          <rPr>
            <b/>
            <sz val="9"/>
            <color indexed="81"/>
            <rFont val="Tahoma"/>
            <family val="2"/>
          </rPr>
          <t>lấy người đầu tháng thời điểm lì xì đã bao gồm người đã lấy</t>
        </r>
      </text>
    </comment>
    <comment ref="N82" authorId="1" shapeId="0" xr:uid="{C2BEEC06-BC39-43B4-9F77-DC18EA1E4C52}">
      <text>
        <r>
          <rPr>
            <b/>
            <sz val="9"/>
            <color indexed="81"/>
            <rFont val="Tahoma"/>
            <family val="2"/>
          </rPr>
          <t>6 nam</t>
        </r>
      </text>
    </comment>
    <comment ref="J89" authorId="2" shapeId="0" xr:uid="{AC164AC3-CA30-4738-9CCA-91A7E4B52A8B}">
      <text>
        <r>
          <rPr>
            <sz val="9"/>
            <color indexed="81"/>
            <rFont val="Tahoma"/>
            <family val="2"/>
          </rPr>
          <t>7月：Iris Next 対応(HONTAI)
Hai Phong =&gt; Ha Noi: 2名(ra sân bay)</t>
        </r>
      </text>
    </comment>
    <comment ref="K89" authorId="2" shapeId="0" xr:uid="{5E784045-90E3-48B5-8A3B-2F3DDEB38BF6}">
      <text>
        <r>
          <rPr>
            <sz val="9"/>
            <color indexed="81"/>
            <rFont val="Tahoma"/>
            <family val="2"/>
          </rPr>
          <t>7月：Iris Next 対応(HONTAI)
Ha Noi =&gt; Hai Phong : 2名(từ sân bay về)
8月：Harmonia 対応(HONTAI)
Hai Phong =&gt; Ha Noi: 2名(ra sân bay)</t>
        </r>
      </text>
    </comment>
    <comment ref="L89" authorId="2" shapeId="0" xr:uid="{D00E3286-58E0-4641-A5FF-1554FD6A9A6B}">
      <text>
        <r>
          <rPr>
            <sz val="9"/>
            <color indexed="81"/>
            <rFont val="Tahoma"/>
            <family val="2"/>
          </rPr>
          <t>8月：Harmonia 対応(HONTAI)
Ha Noi =&gt; Hai Phong: 2名(từ sân bay về)
9月：Iris IH Unit 移管対応 (đối ứng chuyển giao Iris IH Unit
Hai Phong =&gt; Ha Noi: 1名(ra sân bay)</t>
        </r>
      </text>
    </comment>
    <comment ref="M89" authorId="2" shapeId="0" xr:uid="{38EAEFEF-3EB7-42D5-B2D8-C52F5F2B64D8}">
      <text>
        <r>
          <rPr>
            <sz val="9"/>
            <color indexed="81"/>
            <rFont val="Tahoma"/>
            <family val="2"/>
          </rPr>
          <t xml:space="preserve">9月：Iris IH Unit 移管対応 (đối ứng chuyển giao Iris IH Unit
Ha Noi =&gt; Hai Phong: 1名(từ sân bay về)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<sst xmlns="http://schemas.openxmlformats.org/spreadsheetml/2006/main" count="1672" uniqueCount="733">
  <si>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</si>
  <si>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</si>
  <si>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</si>
  <si>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</si>
  <si>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</si>
  <si>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</si>
  <si>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</si>
  <si>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</si>
  <si>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</si>
  <si>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</si>
  <si>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</si>
  <si>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</si>
  <si>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</si>
  <si>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</si>
  <si>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</si>
  <si>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</si>
  <si>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</si>
  <si>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</si>
  <si>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</si>
  <si>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</si>
  <si>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</si>
  <si>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</si>
  <si>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</si>
  <si>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</si>
  <si>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</si>
  <si>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</si>
  <si>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</si>
  <si>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</si>
  <si>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</si>
  <si>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</si>
  <si>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</si>
  <si>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</si>
  <si>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</si>
  <si>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</si>
  <si>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</si>
  <si>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</si>
  <si>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</si>
  <si>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</si>
  <si>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</si>
  <si>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</si>
  <si>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</si>
  <si>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</si>
  <si>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</si>
  <si>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</si>
  <si>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</si>
  <si>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</si>
  <si>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</si>
  <si>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</si>
  <si>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</si>
  <si>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</si>
  <si>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</si>
  <si>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</si>
  <si>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</si>
  <si>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</si>
  <si>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</si>
  <si>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</si>
  <si>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</si>
  <si>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</si>
  <si>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</si>
  <si>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</si>
  <si>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</si>
  <si>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</si>
  <si>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</si>
  <si>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</si>
  <si>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</si>
  <si>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</si>
  <si>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</si>
  <si>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</si>
  <si>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</si>
  <si>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</si>
  <si>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</si>
  <si>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</si>
  <si>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</si>
  <si>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</si>
  <si>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</si>
  <si>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</si>
  <si>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</si>
  <si>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</si>
  <si>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</si>
  <si>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</si>
  <si>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</si>
  <si>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</si>
  <si>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</si>
  <si>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</si>
  <si>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</si>
  <si>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</si>
  <si>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</si>
  <si>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</si>
  <si>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</si>
  <si>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</si>
  <si>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</si>
  <si>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</si>
  <si>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</si>
  <si>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</si>
  <si>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</si>
  <si>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</si>
  <si>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</si>
  <si>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</si>
  <si>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</si>
  <si>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</si>
  <si>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</si>
  <si>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</si>
  <si>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</si>
  <si>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</si>
  <si>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</si>
  <si>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</si>
  <si>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</si>
  <si>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</si>
  <si>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</si>
  <si>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</si>
  <si>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</si>
  <si>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</si>
  <si>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</si>
  <si>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</si>
  <si>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</si>
  <si>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</si>
  <si>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</si>
  <si>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</si>
  <si>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</si>
  <si>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</si>
  <si>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</si>
  <si>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</si>
  <si>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</si>
  <si>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</si>
  <si>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</si>
  <si>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</si>
  <si>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</si>
  <si>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</si>
  <si>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</si>
  <si>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</si>
  <si>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</si>
  <si>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</si>
  <si>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</si>
  <si>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</si>
  <si>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</si>
  <si>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</si>
  <si>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</si>
  <si>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</si>
  <si>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</si>
  <si>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</si>
  <si>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</si>
  <si>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</si>
  <si>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</si>
  <si>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</si>
  <si>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</si>
  <si>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</si>
  <si>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</si>
  <si>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</si>
  <si>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</si>
  <si>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</si>
  <si>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</si>
  <si>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</si>
  <si>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</si>
  <si>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</si>
  <si>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</si>
  <si>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</si>
  <si>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</si>
  <si>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</si>
  <si>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</si>
  <si>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</si>
  <si>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</si>
  <si>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</si>
  <si>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</si>
  <si>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</si>
  <si>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</si>
  <si>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</si>
  <si>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</si>
  <si>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</si>
  <si>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</si>
  <si>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</si>
  <si>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</si>
  <si>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</si>
  <si>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</si>
  <si>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</si>
  <si>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</si>
  <si>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</si>
  <si>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</si>
  <si>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</si>
  <si>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</si>
  <si>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</si>
  <si>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</si>
  <si>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</si>
  <si>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</si>
  <si>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</si>
  <si>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</si>
  <si>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</si>
  <si>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</si>
  <si>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</si>
  <si>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</si>
  <si>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</si>
  <si>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</si>
  <si>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</si>
  <si>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</si>
  <si>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</si>
  <si>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</si>
  <si>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</si>
  <si>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</si>
  <si>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</si>
  <si>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</si>
  <si>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</si>
  <si>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</si>
  <si>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</si>
  <si>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</si>
  <si>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</si>
  <si>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</si>
  <si>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</si>
  <si>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</si>
  <si>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</si>
  <si>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</si>
  <si>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</si>
  <si>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</si>
  <si>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</si>
  <si>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</si>
  <si>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</si>
  <si>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</si>
  <si>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</si>
  <si>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</si>
  <si>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</si>
  <si>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</si>
  <si>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</si>
  <si>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</si>
  <si>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</si>
  <si>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</si>
  <si>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</si>
  <si>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</si>
  <si>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</si>
  <si>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</si>
  <si>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</si>
  <si>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</si>
  <si>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</si>
  <si>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</si>
  <si>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</si>
  <si>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</si>
  <si>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</si>
  <si>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</si>
  <si>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</si>
  <si>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</si>
  <si>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</si>
  <si>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</si>
  <si>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</si>
  <si>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</si>
  <si>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</si>
  <si>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</si>
  <si>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</si>
  <si>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</si>
  <si>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</si>
  <si>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</si>
  <si>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</si>
  <si>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</si>
  <si>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</si>
  <si>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</si>
  <si>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</si>
  <si>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</si>
  <si>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</si>
  <si>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</si>
  <si>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</si>
  <si>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</si>
  <si>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</si>
  <si>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</si>
  <si>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</si>
  <si>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</si>
  <si>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</si>
  <si>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</si>
  <si>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</si>
  <si>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</si>
  <si>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</si>
  <si>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</si>
  <si>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</si>
  <si>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</si>
  <si>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</si>
  <si>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</si>
  <si>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</si>
  <si>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</si>
  <si>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</si>
  <si>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</si>
  <si>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</si>
  <si>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</si>
  <si>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</si>
  <si>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</si>
  <si>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</si>
  <si>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</si>
  <si>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</si>
  <si>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</si>
  <si>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</si>
  <si>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</si>
  <si>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</si>
  <si>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</si>
  <si>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</si>
  <si>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</si>
  <si>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</si>
  <si>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</si>
  <si>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</si>
  <si>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</si>
  <si>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</si>
  <si>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</si>
  <si>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</si>
  <si>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</si>
  <si>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</si>
  <si>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</si>
  <si>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</si>
  <si>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</si>
  <si>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</si>
  <si>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</si>
  <si>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</si>
  <si>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</si>
  <si>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</si>
  <si>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</si>
  <si>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</si>
  <si>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</si>
  <si>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</si>
  <si>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</si>
  <si>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</si>
  <si>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</si>
  <si>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</si>
  <si>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</si>
  <si>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</si>
  <si>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</si>
  <si>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</si>
  <si>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</si>
  <si>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</si>
  <si>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</si>
  <si>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</si>
  <si>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</si>
  <si>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</si>
  <si>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</si>
  <si>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</si>
  <si>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</si>
  <si>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</si>
  <si>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</si>
  <si>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</si>
  <si>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</si>
  <si>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</si>
  <si>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</si>
  <si>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</si>
  <si>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</si>
  <si>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</si>
  <si>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</si>
  <si>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</si>
  <si>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</si>
  <si>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</si>
  <si>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</si>
  <si>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</si>
  <si>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</si>
  <si>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</si>
  <si>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</si>
  <si>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</si>
  <si>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</si>
  <si>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</si>
  <si>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</si>
  <si>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</si>
  <si>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</si>
  <si>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</si>
  <si>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</si>
  <si>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</si>
  <si>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</si>
  <si>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</si>
  <si>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</si>
  <si>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</si>
  <si>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</si>
  <si>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</si>
  <si>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</si>
  <si>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</si>
  <si>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</si>
  <si>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</si>
  <si>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</si>
  <si>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</si>
  <si>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</si>
  <si>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</si>
  <si>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</si>
  <si>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</si>
  <si>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</si>
  <si>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</si>
  <si>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</si>
  <si>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</si>
  <si>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</si>
  <si>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</si>
  <si>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</si>
  <si>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</si>
  <si>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</si>
  <si>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</si>
  <si>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</si>
  <si>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</si>
  <si>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</si>
  <si>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</si>
  <si>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</si>
  <si>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</si>
  <si>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</si>
  <si>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</si>
  <si>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</si>
  <si>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</si>
  <si>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</si>
  <si>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</si>
  <si>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</si>
  <si>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</si>
  <si>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</si>
  <si>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</si>
  <si>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</si>
  <si>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</si>
  <si>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</si>
  <si>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</si>
  <si>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</si>
  <si>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</si>
  <si>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</si>
  <si>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</si>
  <si>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</si>
  <si>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</si>
  <si>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</si>
  <si>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</si>
  <si>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</si>
  <si>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</si>
  <si>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</si>
  <si>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</si>
  <si>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</si>
  <si>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</si>
  <si>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</si>
  <si>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</si>
  <si>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</si>
  <si>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</si>
  <si>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</si>
  <si>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</si>
  <si>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</si>
  <si>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</si>
  <si>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</si>
  <si>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</si>
  <si>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</si>
  <si>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</si>
  <si>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</si>
  <si>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</si>
  <si>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</si>
  <si>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</si>
  <si>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</si>
  <si>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</si>
  <si>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</si>
  <si>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</si>
  <si>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</si>
  <si>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</si>
  <si>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</si>
  <si>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</si>
  <si>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</si>
  <si>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</si>
  <si>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</si>
  <si>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</si>
  <si>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</si>
  <si>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</si>
  <si>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</si>
  <si>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</si>
  <si>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</si>
  <si>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</si>
  <si>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</si>
  <si>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</si>
  <si>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</si>
  <si>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</si>
  <si>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</si>
  <si>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</si>
  <si>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</si>
  <si>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</si>
  <si>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</si>
  <si>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</si>
  <si>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</si>
  <si>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</si>
  <si>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</si>
  <si>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</si>
  <si>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</si>
  <si>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</si>
  <si>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</si>
  <si>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</si>
  <si>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</si>
  <si>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</si>
  <si>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</si>
  <si>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</si>
  <si>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</si>
  <si>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</si>
  <si>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</si>
  <si>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</si>
  <si>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</si>
  <si>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</si>
  <si>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</si>
  <si>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</si>
  <si>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</si>
  <si>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</si>
  <si>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</si>
  <si>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</si>
  <si>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</si>
  <si>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</si>
  <si>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</si>
  <si>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</si>
  <si>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</si>
  <si>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</si>
  <si>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</si>
  <si>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</si>
  <si>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</si>
  <si>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</si>
  <si>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</si>
  <si>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</si>
  <si>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</si>
  <si>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</si>
  <si>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</si>
  <si>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</si>
  <si>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</si>
  <si>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</si>
  <si>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</si>
  <si>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</si>
  <si>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</si>
  <si>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</si>
  <si>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</si>
  <si>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</si>
  <si>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</si>
  <si>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</si>
  <si>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</si>
  <si>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</si>
  <si>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</si>
  <si>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</si>
  <si>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</si>
  <si>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</si>
  <si>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</si>
  <si>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</si>
  <si>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</si>
  <si>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</si>
  <si>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</si>
  <si>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</si>
  <si>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</si>
  <si>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</si>
  <si>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</si>
  <si>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</si>
  <si>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</si>
  <si>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</si>
  <si>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</si>
  <si>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</si>
  <si>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</si>
  <si>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</si>
  <si>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</si>
  <si>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</si>
  <si>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</si>
  <si>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</si>
  <si>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</si>
  <si>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</si>
  <si>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</si>
  <si>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</si>
  <si>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</si>
  <si>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</si>
  <si>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</si>
  <si>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</si>
  <si>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</si>
  <si>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</si>
  <si>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</si>
  <si>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</si>
  <si>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</si>
  <si>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</si>
  <si>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</si>
  <si>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</si>
  <si>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</si>
  <si>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</si>
  <si>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</si>
  <si>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</si>
  <si>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</si>
  <si>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</si>
  <si>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</si>
  <si>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</si>
  <si>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</si>
  <si>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</si>
  <si>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</si>
  <si>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</si>
  <si>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</si>
  <si>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</si>
  <si>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</si>
  <si>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</si>
  <si>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</si>
  <si>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</si>
  <si>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</si>
  <si>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</si>
  <si>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</si>
  <si>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</si>
  <si>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</si>
  <si>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</si>
  <si>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</si>
  <si>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</si>
  <si>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</si>
  <si>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</si>
  <si>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</si>
  <si>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</si>
  <si>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</si>
  <si>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</si>
  <si>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</si>
  <si>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</si>
  <si>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</si>
  <si>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</si>
  <si>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</si>
  <si>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</si>
  <si>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</si>
  <si>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</si>
  <si>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</si>
  <si>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</si>
  <si>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</si>
  <si>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</si>
  <si>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</si>
  <si>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</si>
  <si>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</si>
  <si>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</si>
  <si>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</si>
  <si>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</si>
  <si>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</si>
  <si>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</si>
  <si>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</si>
  <si>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</si>
  <si>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</si>
  <si>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</si>
  <si>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</si>
  <si>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</si>
  <si>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</si>
  <si>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</si>
  <si>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</si>
  <si>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</si>
  <si>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</si>
  <si>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</si>
  <si>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</si>
  <si>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</si>
  <si>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</si>
  <si>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</si>
  <si>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</si>
  <si>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</si>
  <si>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</si>
  <si>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</si>
  <si>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</si>
  <si>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</si>
  <si>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</si>
  <si>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</si>
  <si>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</si>
  <si>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</si>
  <si>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</si>
  <si>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</si>
  <si>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</si>
  <si>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</si>
  <si>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</si>
  <si>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</si>
  <si>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</si>
  <si>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</si>
  <si>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</si>
  <si>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</si>
  <si>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</si>
  <si>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</si>
  <si>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</si>
  <si>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</si>
  <si>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</si>
  <si>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</si>
  <si>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</si>
  <si>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</si>
  <si>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</si>
  <si>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</si>
  <si>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</si>
  <si>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</si>
  <si>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</si>
  <si>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</si>
  <si>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</si>
  <si>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</si>
  <si>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</si>
  <si>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</si>
  <si>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</si>
  <si>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</si>
  <si>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</si>
  <si>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</si>
  <si>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</si>
  <si>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</si>
  <si>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</si>
  <si>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</si>
  <si>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</si>
  <si>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</si>
  <si>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</si>
  <si>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</si>
  <si>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</si>
  <si>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</si>
  <si>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</si>
  <si>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</si>
  <si>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</si>
  <si>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</si>
  <si>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</si>
  <si>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</si>
  <si>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</si>
  <si>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</si>
  <si>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</si>
  <si>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</si>
  <si>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</si>
  <si>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</si>
  <si>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</si>
  <si>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</si>
  <si>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</si>
  <si>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</si>
  <si>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</si>
  <si>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</si>
  <si>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</si>
  <si>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</si>
  <si>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</si>
  <si>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工程品質管理3課</t>
  </si>
  <si>
    <t>time cố dịnh nv địa phương</t>
  </si>
  <si>
    <t>time tăng ca nv địa phương</t>
  </si>
  <si>
    <t>số người cuối tháng</t>
  </si>
  <si>
    <t>固定資産金利/Interest (建物Building) Lãi TSCĐ ( Nhà)</t>
  </si>
  <si>
    <t>固定資産金利 /Interest(土地 Land) Lãi TSCĐ ( Đất)</t>
  </si>
  <si>
    <t>システム 使用費 CP sử dụng hệ thống (2024年4月から：-PLM)</t>
  </si>
  <si>
    <t>建物 Building Xây dựng （Depreciation Khấu hao）</t>
  </si>
  <si>
    <t>土地 Land Đất （Depreciation Khấu hao）</t>
  </si>
  <si>
    <t>手袋 Găng tay</t>
  </si>
  <si>
    <t>マスク Khẩu trang</t>
  </si>
  <si>
    <t>トイレットペーパ Giấy vệ sinh</t>
  </si>
  <si>
    <t>手洗い洗剤費 Nước rửa tay</t>
  </si>
  <si>
    <t>計測器 校正費 CP hiệu chuẩn thiết bị (3月,6月,8月,10月)</t>
  </si>
  <si>
    <t>食堂燃料費 CP tiền gas</t>
  </si>
  <si>
    <t>電気代 CP tiền điện</t>
  </si>
  <si>
    <t>水道代 CP tiền nước</t>
  </si>
  <si>
    <t>4月,7月, 8月,9月:VISA取得費用(145$)＋写真(80.000)＋大使館に発生の経費(640.000)（日本へ出張）(phí công chứng chụp ảnh+phí xin VISA+lệ phí làm thủ tục tại đại sứ quán cho người đi công tác)</t>
  </si>
  <si>
    <t>4月,7月, 8月,9月: 海外渡航保険代 bảo hiểm cho người đi công tác (ng Nhật ko cần) (35USD)</t>
  </si>
  <si>
    <t>4月,7月, 8月,9月: Tiền thuê nhàcho người đi công tác 宿泊費 (88000Yen)</t>
  </si>
  <si>
    <t>4月,7月, 8月,9月: Phí công tác (tại Nhật)国際日当 Nhân viên: 602USD. Trợ lý: 728USD/2 tuần, Trung Quốc 41$/ngày</t>
  </si>
  <si>
    <t>4月,7月, 8月,9月: Phí di chuyển, liên lạc (công tác ở Nhật) 現地交通費、通信費 (日本）(7420 Yen)</t>
  </si>
  <si>
    <t>4月,7月, 8月,9月: エアーチケット (KDC, KDTCN海外出張)Vé máy bay công tác (KDC:800USD/2chiều, KDTCN: 250+300USD/2chiều)</t>
  </si>
  <si>
    <t xml:space="preserve">(4月, 6月/2025)携帯電話 CP điện thoại, </t>
  </si>
  <si>
    <t xml:space="preserve">清掃費用 CP làm sạch </t>
  </si>
  <si>
    <t>11月/2025: ポケットカレンダー Lịch bỏ túi (800vnd/枚)</t>
  </si>
  <si>
    <t xml:space="preserve">文房具( Văn phòng phẩm)ペン,IDカードクリップ,ID カードホルダー </t>
  </si>
  <si>
    <t>制服 ,靴, 帽子を交換する Đổi đồng phục</t>
  </si>
  <si>
    <t>誕生日会FY2026: 163.000 vnd/名  Sinh nhật ( Tính cả người Nhật)</t>
  </si>
  <si>
    <t>02月, 09月折りたたみコップ Cốc gấp : 6800vnd/pc</t>
  </si>
  <si>
    <t>07月: フィロソフィ論文参加賞 （Giải tham gia "Cảm nghĩ về triết lý kinh doanh": 100.000 vnd/名）</t>
  </si>
  <si>
    <t>02月:忘年会補助金 Hỗ trợ tiệc tất niên (300.000 vnd/名)</t>
  </si>
  <si>
    <t>02月: お年玉（Lì xì năm mới: 100,000 FY2026）chỉ dành cho Người Việt</t>
  </si>
  <si>
    <t>10月: 月餅 Bánh Trung Thu (56.000vnd/名)</t>
  </si>
  <si>
    <t>09月: 京セラフェスティバルLễ hội Kyocera (126.000 vnd/名)</t>
  </si>
  <si>
    <t>12月:健康診断（ローカル）khám sk nam男性: 189.000 vnd, nữ女性: 204.000 vnd, k chụp X-quang: 30,000vnd</t>
  </si>
  <si>
    <t>11月: 運動会スポーツ大会 Đại hội thể thao (107.000 vnd/名)</t>
  </si>
  <si>
    <t>ローカル社員通勤送迎費 CP xe đưa đón người Việt</t>
  </si>
  <si>
    <t>結婚費 、 出産祝い金、 慶弔見舞金　（CP mừng sinh con, kết hôn, hiếu hỉ）</t>
  </si>
  <si>
    <t>10月：10年勤続記念コンパ費用-Chi phí tiệc kỷ niệm 10 năm gắn bó 549.000VND (17 người+phó trg Bp trở lên)</t>
  </si>
  <si>
    <t>10月: 10年勤続記念品-Quà kỷ niệm cho CNV 10 năm gắn bó 382.000VND</t>
  </si>
  <si>
    <t>タクシー代（日本へ出張）CP taxi đưa đón ra sân bay (công tác Nhật, Trung)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</si>
</sst>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8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3" fillId="34" borderId="39" xfId="0" applyNumberFormat="1" applyFont="1" applyFill="1" applyBorder="1" applyProtection="1">
      <protection locked="0"/>
    </xf>
    <xf numFmtId="0" fontId="85" fillId="32" borderId="0" xfId="171" applyFont="1" applyFill="1" applyAlignment="1">
      <alignment horizontal="left" vertical="center"/>
    </xf>
    <xf numFmtId="172" fontId="85" fillId="32" borderId="0" xfId="171" applyNumberFormat="1" applyFont="1" applyFill="1">
      <alignment vertical="center"/>
    </xf>
    <xf numFmtId="182" fontId="85" fillId="32" borderId="0" xfId="171" applyNumberFormat="1" applyFont="1" applyFill="1">
      <alignment vertical="center"/>
    </xf>
    <xf numFmtId="0" fontId="85" fillId="32" borderId="0" xfId="171" applyFont="1" applyFill="1">
      <alignment vertical="center"/>
    </xf>
    <xf numFmtId="38" fontId="5" fillId="34" borderId="39" xfId="68" applyFont="1" applyFill="1" applyBorder="1" applyAlignment="1" applyProtection="1">
      <alignment horizontal="right" vertical="center"/>
      <protection locked="0"/>
    </xf>
    <xf numFmtId="40" fontId="73" fillId="34" borderId="54" xfId="68" applyNumberFormat="1" applyFont="1" applyFill="1" applyBorder="1" applyAlignment="1" applyProtection="1">
      <alignment horizontal="right" vertical="center"/>
      <protection locked="0"/>
    </xf>
    <xf numFmtId="38" fontId="73" fillId="34" borderId="39" xfId="66" applyNumberFormat="1" applyFont="1" applyFill="1" applyBorder="1" applyAlignment="1" applyProtection="1">
      <alignment horizontal="right"/>
      <protection locked="0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入力" xfId="161" xr:uid="{54BD8E0E-A305-4583-94C9-2A5E478AB915}"/>
    <cellStyle name="入力 2" xfId="162" xr:uid="{4BC2C04B-EF16-4C4A-92BD-69D48C885B0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悪い" xfId="126" xr:uid="{7F0DD31F-081F-45F7-80E4-325977A162DD}"/>
    <cellStyle name="悪い 2" xfId="127" xr:uid="{84ACAFC9-A2BD-4C73-A026-9D73B06B69DC}"/>
    <cellStyle name="未定義" xfId="172" xr:uid="{E56D1474-D329-4D7D-B3F6-4CF33F7526A6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良い" xfId="173" xr:uid="{5D4A99A9-34AA-4AAD-92F6-9CED1E9D50A6}"/>
    <cellStyle name="良い 2" xfId="174" xr:uid="{6C3AFC09-C406-454F-B3A0-7B564CFED170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計算" xfId="130" xr:uid="{93B970C6-E80C-46BE-B35E-FBBD5F8DA30E}"/>
    <cellStyle name="計算 2" xfId="131" xr:uid="{EA501B05-AFF2-4240-89AD-AFDDF9AB3280}"/>
    <cellStyle name="説明文" xfId="157" xr:uid="{A60B89CA-0D5B-404B-9C21-38A395A5C5FA}"/>
    <cellStyle name="説明文 2" xfId="158" xr:uid="{36510BC6-54C2-4A7F-A17F-54641E946666}"/>
    <cellStyle name="警告文" xfId="132" xr:uid="{0A4A8F0A-68CB-4E27-AB9A-1D30379B12B6}"/>
    <cellStyle name="警告文 2" xfId="133" xr:uid="{A6F01428-8F2A-4274-8949-2BCBE79CCEF8}"/>
    <cellStyle name="通貨 2" xfId="159" xr:uid="{75781059-F56D-4F95-A39B-E33DF7438B9F}"/>
    <cellStyle name="通貨 3" xfId="160" xr:uid="{0E2CEFBA-A57A-48C5-9F4B-A7400477F6E2}"/>
    <cellStyle name="集計" xfId="152" xr:uid="{F4A1ADB5-BAB1-404F-A23B-ABF411AC4C62}"/>
    <cellStyle name="集計 2" xfId="153" xr:uid="{81390C70-78F7-4E5A-A3EE-76770211ABDA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工程品質管理3課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0</v>
      </c>
      <c r="D13" s="133">
        <f t="shared" ref="D13:O13" si="3">SUM(D14:D65)</f>
        <v>0</v>
      </c>
      <c r="E13" s="133">
        <f t="shared" si="3"/>
        <v>0</v>
      </c>
      <c r="F13" s="133">
        <f t="shared" si="3"/>
        <v>0</v>
      </c>
      <c r="G13" s="133">
        <f t="shared" si="3"/>
        <v>3.9999999999054126E-2</v>
      </c>
      <c r="H13" s="133">
        <f t="shared" si="3"/>
        <v>3.0000000000200089E-2</v>
      </c>
      <c r="I13" s="133">
        <f t="shared" si="3"/>
        <v>5.999999999994543E-2</v>
      </c>
      <c r="J13" s="133">
        <f t="shared" si="3"/>
        <v>5.0000000000068212E-2</v>
      </c>
      <c r="K13" s="133">
        <f t="shared" si="3"/>
        <v>4.9999999999954525E-2</v>
      </c>
      <c r="L13" s="133">
        <f t="shared" si="3"/>
        <v>3.9999999999849933E-2</v>
      </c>
      <c r="M13" s="133">
        <f t="shared" si="3"/>
        <v>4.9999999999954525E-2</v>
      </c>
      <c r="N13" s="133">
        <f t="shared" si="3"/>
        <v>3.999999999996362E-2</v>
      </c>
      <c r="O13" s="133">
        <f t="shared" si="3"/>
        <v>0.36000000000058208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0</v>
      </c>
      <c r="D20" s="136">
        <f>ROUNDUP('採算表(VND)'!D20/$N$1,2)</f>
        <v>0</v>
      </c>
      <c r="E20" s="136">
        <f>ROUNDUP('採算表(VND)'!E20/$N$1,2)</f>
        <v>0</v>
      </c>
      <c r="F20" s="136">
        <f>ROUNDUP('採算表(VND)'!F20/$N$1,2)</f>
        <v>0</v>
      </c>
      <c r="G20" s="136">
        <f>ROUNDUP('採算表(VND)'!G20/$N$1,2)</f>
        <v>234.67</v>
      </c>
      <c r="H20" s="136">
        <f>ROUNDUP('採算表(VND)'!H20/$N$1,2)</f>
        <v>229.03</v>
      </c>
      <c r="I20" s="136">
        <f>ROUNDUP('採算表(VND)'!I20/$N$1,2)</f>
        <v>223.76999999999998</v>
      </c>
      <c r="J20" s="136">
        <f>ROUNDUP('採算表(VND)'!J20/$N$1,2)</f>
        <v>223.3</v>
      </c>
      <c r="K20" s="136">
        <f>ROUNDUP('採算表(VND)'!K20/$N$1,2)</f>
        <v>223.64999999999998</v>
      </c>
      <c r="L20" s="136">
        <f>ROUNDUP('採算表(VND)'!L20/$N$1,2)</f>
        <v>222.04999999999998</v>
      </c>
      <c r="M20" s="136">
        <f>ROUNDUP('採算表(VND)'!M20/$N$1,2)</f>
        <v>219.97</v>
      </c>
      <c r="N20" s="136">
        <f>ROUNDUP('採算表(VND)'!N20/$N$1,2)</f>
        <v>223.7</v>
      </c>
      <c r="O20" s="136">
        <f t="shared" si="4"/>
        <v>1800.14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0</v>
      </c>
      <c r="D25" s="136">
        <f>ROUNDUP('採算表(VND)'!D25/$N$1,2)</f>
        <v>0</v>
      </c>
      <c r="E25" s="136">
        <f>ROUNDUP('採算表(VND)'!E25/$N$1,2)</f>
        <v>0</v>
      </c>
      <c r="F25" s="136">
        <f>ROUNDUP('採算表(VND)'!F25/$N$1,2)</f>
        <v>0</v>
      </c>
      <c r="G25" s="136">
        <f>ROUNDUP('採算表(VND)'!G25/$N$1,2)</f>
        <v>21.380000000000003</v>
      </c>
      <c r="H25" s="136">
        <f>ROUNDUP('採算表(VND)'!H25/$N$1,2)</f>
        <v>20.96</v>
      </c>
      <c r="I25" s="136">
        <f>ROUNDUP('採算表(VND)'!I25/$N$1,2)</f>
        <v>24.770000000000003</v>
      </c>
      <c r="J25" s="136">
        <f>ROUNDUP('採算表(VND)'!J25/$N$1,2)</f>
        <v>21.41</v>
      </c>
      <c r="K25" s="136">
        <f>ROUNDUP('採算表(VND)'!K25/$N$1,2)</f>
        <v>24.37</v>
      </c>
      <c r="L25" s="136">
        <f>ROUNDUP('採算表(VND)'!L25/$N$1,2)</f>
        <v>21.400000000000002</v>
      </c>
      <c r="M25" s="136">
        <f>ROUNDUP('採算表(VND)'!M25/$N$1,2)</f>
        <v>15.209999999999999</v>
      </c>
      <c r="N25" s="136">
        <f>ROUNDUP('採算表(VND)'!N25/$N$1,2)</f>
        <v>23.490000000000002</v>
      </c>
      <c r="O25" s="136">
        <f t="shared" si="4"/>
        <v>172.99000000000004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0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51.21</v>
      </c>
      <c r="H28" s="136">
        <f>ROUNDUP('採算表(VND)'!H28/$N$1,2)</f>
        <v>102.41000000000001</v>
      </c>
      <c r="I28" s="136">
        <f>ROUNDUP('採算表(VND)'!I28/$N$1,2)</f>
        <v>76.81</v>
      </c>
      <c r="J28" s="136">
        <f>ROUNDUP('採算表(VND)'!J28/$N$1,2)</f>
        <v>25.610000000000003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256.04000000000002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2960.38</v>
      </c>
      <c r="G29" s="136">
        <f>ROUNDUP('採算表(VND)'!G29/$N$1,2)</f>
        <v>4560.38</v>
      </c>
      <c r="H29" s="136">
        <f>ROUNDUP('採算表(VND)'!H29/$N$1,2)</f>
        <v>2311.7400000000002</v>
      </c>
      <c r="I29" s="136">
        <f>ROUNDUP('採算表(VND)'!I29/$N$1,2)</f>
        <v>550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10382.5</v>
      </c>
    </row>
    <row r="30" spans="1:15" ht="11.25" customHeight="1">
      <c r="A30" s="34"/>
      <c r="B30" s="37" t="s">
        <v>97</v>
      </c>
      <c r="C30" s="136">
        <f>ROUNDUP('採算表(VND)'!C30/$N$1,2)</f>
        <v>0</v>
      </c>
      <c r="D30" s="136">
        <f>ROUNDUP('採算表(VND)'!D30/$N$1,2)</f>
        <v>0</v>
      </c>
      <c r="E30" s="136">
        <f>ROUNDUP('採算表(VND)'!E30/$N$1,2)</f>
        <v>0</v>
      </c>
      <c r="F30" s="136">
        <f>ROUNDUP('採算表(VND)'!F30/$N$1,2)</f>
        <v>0</v>
      </c>
      <c r="G30" s="136">
        <f>ROUNDUP('採算表(VND)'!G30/$N$1,2)</f>
        <v>79.03</v>
      </c>
      <c r="H30" s="136">
        <f>ROUNDUP('採算表(VND)'!H30/$N$1,2)</f>
        <v>71.09</v>
      </c>
      <c r="I30" s="136">
        <f>ROUNDUP('採算表(VND)'!I30/$N$1,2)</f>
        <v>69.240000000000009</v>
      </c>
      <c r="J30" s="136">
        <f>ROUNDUP('採算表(VND)'!J30/$N$1,2)</f>
        <v>68.150000000000006</v>
      </c>
      <c r="K30" s="136">
        <f>ROUNDUP('採算表(VND)'!K30/$N$1,2)</f>
        <v>68.260000000000005</v>
      </c>
      <c r="L30" s="136">
        <f>ROUNDUP('採算表(VND)'!L30/$N$1,2)</f>
        <v>58.21</v>
      </c>
      <c r="M30" s="136">
        <f>ROUNDUP('採算表(VND)'!M30/$N$1,2)</f>
        <v>50.57</v>
      </c>
      <c r="N30" s="136">
        <f>ROUNDUP('採算表(VND)'!N30/$N$1,2)</f>
        <v>51.199999999999996</v>
      </c>
      <c r="O30" s="136">
        <f t="shared" si="4"/>
        <v>515.75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19.700000000000003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19.700000000000003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0</v>
      </c>
      <c r="D39" s="136">
        <f>ROUNDUP('採算表(VND)'!D39/$N$1,2)</f>
        <v>0</v>
      </c>
      <c r="E39" s="136">
        <f>ROUNDUP('採算表(VND)'!E39/$N$1,2)</f>
        <v>0</v>
      </c>
      <c r="F39" s="136">
        <f>ROUNDUP('採算表(VND)'!F39/$N$1,2)</f>
        <v>0</v>
      </c>
      <c r="G39" s="136">
        <f>ROUNDUP('採算表(VND)'!G39/$N$1,2)</f>
        <v>24.53</v>
      </c>
      <c r="H39" s="136">
        <f>ROUNDUP('採算表(VND)'!H39/$N$1,2)</f>
        <v>23.44</v>
      </c>
      <c r="I39" s="136">
        <f>ROUNDUP('採算表(VND)'!I39/$N$1,2)</f>
        <v>22.42</v>
      </c>
      <c r="J39" s="136">
        <f>ROUNDUP('採算表(VND)'!J39/$N$1,2)</f>
        <v>22.14</v>
      </c>
      <c r="K39" s="136">
        <f>ROUNDUP('採算表(VND)'!K39/$N$1,2)</f>
        <v>22.21</v>
      </c>
      <c r="L39" s="136">
        <f>ROUNDUP('採算表(VND)'!L39/$N$1,2)</f>
        <v>21.26</v>
      </c>
      <c r="M39" s="136">
        <f>ROUNDUP('採算表(VND)'!M39/$N$1,2)</f>
        <v>20.12</v>
      </c>
      <c r="N39" s="136">
        <f>ROUNDUP('採算表(VND)'!N39/$N$1,2)</f>
        <v>21.060000000000002</v>
      </c>
      <c r="O39" s="136">
        <f t="shared" si="4"/>
        <v>177.18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76.37</v>
      </c>
      <c r="H41" s="136">
        <f>ROUNDUP('採算表(VND)'!H41/$N$1,2)</f>
        <v>76.37</v>
      </c>
      <c r="I41" s="136">
        <f>ROUNDUP('採算表(VND)'!I41/$N$1,2)</f>
        <v>60.62</v>
      </c>
      <c r="J41" s="136">
        <f>ROUNDUP('採算表(VND)'!J41/$N$1,2)</f>
        <v>44.87</v>
      </c>
      <c r="K41" s="136">
        <f>ROUNDUP('採算表(VND)'!K41/$N$1,2)</f>
        <v>44.87</v>
      </c>
      <c r="L41" s="136">
        <f>ROUNDUP('採算表(VND)'!L41/$N$1,2)</f>
        <v>44.87</v>
      </c>
      <c r="M41" s="136">
        <f>ROUNDUP('採算表(VND)'!M41/$N$1,2)</f>
        <v>44.87</v>
      </c>
      <c r="N41" s="136">
        <f>ROUNDUP('採算表(VND)'!N41/$N$1,2)</f>
        <v>44.87</v>
      </c>
      <c r="O41" s="136">
        <f t="shared" si="4"/>
        <v>437.71000000000004</v>
      </c>
    </row>
    <row r="42" spans="1:15" ht="11.25" customHeight="1">
      <c r="A42" s="38"/>
      <c r="B42" s="37" t="s">
        <v>98</v>
      </c>
      <c r="C42" s="136">
        <f>ROUNDUP('採算表(VND)'!C42/$N$1,2)</f>
        <v>0</v>
      </c>
      <c r="D42" s="136">
        <f>ROUNDUP('採算表(VND)'!D42/$N$1,2)</f>
        <v>0</v>
      </c>
      <c r="E42" s="136">
        <f>ROUNDUP('採算表(VND)'!E42/$N$1,2)</f>
        <v>0</v>
      </c>
      <c r="F42" s="136">
        <f>ROUNDUP('採算表(VND)'!F42/$N$1,2)</f>
        <v>0</v>
      </c>
      <c r="G42" s="136">
        <f>ROUNDUP('採算表(VND)'!G42/$N$1,2)</f>
        <v>46.16</v>
      </c>
      <c r="H42" s="136">
        <f>ROUNDUP('採算表(VND)'!H42/$N$1,2)</f>
        <v>46.16</v>
      </c>
      <c r="I42" s="136">
        <f>ROUNDUP('採算表(VND)'!I42/$N$1,2)</f>
        <v>46.16</v>
      </c>
      <c r="J42" s="136">
        <f>ROUNDUP('採算表(VND)'!J42/$N$1,2)</f>
        <v>46.54</v>
      </c>
      <c r="K42" s="136">
        <f>ROUNDUP('採算表(VND)'!K42/$N$1,2)</f>
        <v>46.16</v>
      </c>
      <c r="L42" s="136">
        <f>ROUNDUP('採算表(VND)'!L42/$N$1,2)</f>
        <v>46.16</v>
      </c>
      <c r="M42" s="136">
        <f>ROUNDUP('採算表(VND)'!M42/$N$1,2)</f>
        <v>46.16</v>
      </c>
      <c r="N42" s="136">
        <f>ROUNDUP('採算表(VND)'!N42/$N$1,2)</f>
        <v>46.16</v>
      </c>
      <c r="O42" s="136">
        <f t="shared" si="4"/>
        <v>369.65999999999997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0</v>
      </c>
      <c r="D44" s="136">
        <f>ROUNDUP('採算表(VND)'!D44/$N$1,2)</f>
        <v>0</v>
      </c>
      <c r="E44" s="136">
        <f>ROUNDUP('採算表(VND)'!E44/$N$1,2)</f>
        <v>0</v>
      </c>
      <c r="F44" s="136">
        <f>ROUNDUP('採算表(VND)'!F44/$N$1,2)</f>
        <v>47.269999999999996</v>
      </c>
      <c r="G44" s="136">
        <f>ROUNDUP('採算表(VND)'!G44/$N$1,2)</f>
        <v>12.33</v>
      </c>
      <c r="H44" s="136">
        <f>ROUNDUP('採算表(VND)'!H44/$N$1,2)</f>
        <v>193.66</v>
      </c>
      <c r="I44" s="136">
        <f>ROUNDUP('採算表(VND)'!I44/$N$1,2)</f>
        <v>206.25</v>
      </c>
      <c r="J44" s="136">
        <f>ROUNDUP('採算表(VND)'!J44/$N$1,2)</f>
        <v>170.91</v>
      </c>
      <c r="K44" s="136">
        <f>ROUNDUP('採算表(VND)'!K44/$N$1,2)</f>
        <v>227.07</v>
      </c>
      <c r="L44" s="136">
        <f>ROUNDUP('採算表(VND)'!L44/$N$1,2)</f>
        <v>114.53</v>
      </c>
      <c r="M44" s="136">
        <f>ROUNDUP('採算表(VND)'!M44/$N$1,2)</f>
        <v>315.63</v>
      </c>
      <c r="N44" s="136">
        <f>ROUNDUP('採算表(VND)'!N44/$N$1,2)</f>
        <v>108.02000000000001</v>
      </c>
      <c r="O44" s="136">
        <f t="shared" si="4"/>
        <v>1395.67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0</v>
      </c>
      <c r="D57" s="139">
        <f>ROUNDUP('採算表(VND)'!D57/$N$1,2)</f>
        <v>0</v>
      </c>
      <c r="E57" s="139">
        <f>ROUNDUP('採算表(VND)'!E57/$N$1,2)</f>
        <v>0</v>
      </c>
      <c r="F57" s="139">
        <f>ROUNDUP('採算表(VND)'!F57/$N$1,2)</f>
        <v>0</v>
      </c>
      <c r="G57" s="139">
        <f>ROUNDUP('採算表(VND)'!G57/$N$1,2)</f>
        <v>159.22999999999999</v>
      </c>
      <c r="H57" s="139">
        <f>ROUNDUP('採算表(VND)'!H57/$N$1,2)</f>
        <v>155.4</v>
      </c>
      <c r="I57" s="139">
        <f>ROUNDUP('採算表(VND)'!I57/$N$1,2)</f>
        <v>151.82999999999998</v>
      </c>
      <c r="J57" s="139">
        <f>ROUNDUP('採算表(VND)'!J57/$N$1,2)</f>
        <v>151.51</v>
      </c>
      <c r="K57" s="139">
        <f>ROUNDUP('採算表(VND)'!K57/$N$1,2)</f>
        <v>151.72999999999999</v>
      </c>
      <c r="L57" s="139">
        <f>ROUNDUP('採算表(VND)'!L57/$N$1,2)</f>
        <v>150.66</v>
      </c>
      <c r="M57" s="139">
        <f>ROUNDUP('採算表(VND)'!M57/$N$1,2)</f>
        <v>149.23999999999998</v>
      </c>
      <c r="N57" s="139">
        <f>ROUNDUP('採算表(VND)'!N57/$N$1,2)</f>
        <v>151.78</v>
      </c>
      <c r="O57" s="139">
        <f t="shared" si="4"/>
        <v>1221.3799999999999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-3007.65</v>
      </c>
      <c r="G61" s="139">
        <f>ROUNDUP('採算表(VND)'!G61/$N$1,2)</f>
        <v>-5265.25</v>
      </c>
      <c r="H61" s="139">
        <f>ROUNDUP('採算表(VND)'!H61/$N$1,2)</f>
        <v>-3230.23</v>
      </c>
      <c r="I61" s="139">
        <f>ROUNDUP('採算表(VND)'!I61/$N$1,2)</f>
        <v>-1451.51</v>
      </c>
      <c r="J61" s="139">
        <f>ROUNDUP('採算表(VND)'!J61/$N$1,2)</f>
        <v>-774.39</v>
      </c>
      <c r="K61" s="139">
        <f>ROUNDUP('採算表(VND)'!K61/$N$1,2)</f>
        <v>-808.27</v>
      </c>
      <c r="L61" s="139">
        <f>ROUNDUP('採算表(VND)'!L61/$N$1,2)</f>
        <v>-679.1</v>
      </c>
      <c r="M61" s="139">
        <f>ROUNDUP('採算表(VND)'!M61/$N$1,2)</f>
        <v>-861.72</v>
      </c>
      <c r="N61" s="139">
        <f>ROUNDUP('採算表(VND)'!N61/$N$1,2)</f>
        <v>-670.24</v>
      </c>
      <c r="O61" s="139">
        <f t="shared" si="4"/>
        <v>-16748.36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0</v>
      </c>
      <c r="D66" s="134">
        <f t="shared" ref="D66:O66" si="5">IF(ISBLANK(D4),"",D12-D13)</f>
        <v>0</v>
      </c>
      <c r="E66" s="134">
        <f t="shared" si="5"/>
        <v>0</v>
      </c>
      <c r="F66" s="134">
        <f t="shared" si="5"/>
        <v>0</v>
      </c>
      <c r="G66" s="134">
        <f t="shared" si="5"/>
        <v>-3.9999999999054126E-2</v>
      </c>
      <c r="H66" s="134">
        <f t="shared" si="5"/>
        <v>-3.0000000000200089E-2</v>
      </c>
      <c r="I66" s="134">
        <f t="shared" si="5"/>
        <v>-5.999999999994543E-2</v>
      </c>
      <c r="J66" s="134">
        <f t="shared" si="5"/>
        <v>-5.0000000000068212E-2</v>
      </c>
      <c r="K66" s="134">
        <f t="shared" si="5"/>
        <v>-4.9999999999954525E-2</v>
      </c>
      <c r="L66" s="134">
        <f t="shared" si="5"/>
        <v>-3.9999999999849933E-2</v>
      </c>
      <c r="M66" s="134">
        <f t="shared" si="5"/>
        <v>-4.9999999999954525E-2</v>
      </c>
      <c r="N66" s="134">
        <f t="shared" si="5"/>
        <v>-3.999999999996362E-2</v>
      </c>
      <c r="O66" s="134">
        <f t="shared" si="5"/>
        <v>-0.36000000000058208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0</v>
      </c>
      <c r="D68" s="135">
        <f>'採算表(VND)'!D68</f>
        <v>0</v>
      </c>
      <c r="E68" s="135">
        <f>'採算表(VND)'!E68</f>
        <v>0</v>
      </c>
      <c r="F68" s="135">
        <f>'採算表(VND)'!F68</f>
        <v>2205</v>
      </c>
      <c r="G68" s="135">
        <f>'採算表(VND)'!G68</f>
        <v>1918</v>
      </c>
      <c r="H68" s="135">
        <f>'採算表(VND)'!H68</f>
        <v>1822</v>
      </c>
      <c r="I68" s="135">
        <f>'採算表(VND)'!I68</f>
        <v>2205</v>
      </c>
      <c r="J68" s="135">
        <f>'採算表(VND)'!J68</f>
        <v>1918</v>
      </c>
      <c r="K68" s="135">
        <f>'採算表(VND)'!K68</f>
        <v>2109</v>
      </c>
      <c r="L68" s="135">
        <f>'採算表(VND)'!L68</f>
        <v>1918</v>
      </c>
      <c r="M68" s="135">
        <f>'採算表(VND)'!M68</f>
        <v>1438</v>
      </c>
      <c r="N68" s="135">
        <f>'採算表(VND)'!N68</f>
        <v>1918</v>
      </c>
      <c r="O68" s="135">
        <f>SUM(C68:N68)</f>
        <v>17451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-2205</v>
      </c>
      <c r="G69" s="136">
        <f>'採算表(VND)'!G69</f>
        <v>-1918</v>
      </c>
      <c r="H69" s="136">
        <f>'採算表(VND)'!H69</f>
        <v>-1822</v>
      </c>
      <c r="I69" s="136">
        <f>'採算表(VND)'!I69</f>
        <v>-2205</v>
      </c>
      <c r="J69" s="136">
        <f>'採算表(VND)'!J69</f>
        <v>-1918</v>
      </c>
      <c r="K69" s="136">
        <f>'採算表(VND)'!K69</f>
        <v>-2109</v>
      </c>
      <c r="L69" s="136">
        <f>'採算表(VND)'!L69</f>
        <v>-1918</v>
      </c>
      <c r="M69" s="136">
        <f>'採算表(VND)'!M69</f>
        <v>-1438</v>
      </c>
      <c r="N69" s="136">
        <f>'採算表(VND)'!N69</f>
        <v>-1918</v>
      </c>
      <c r="O69" s="136">
        <f>SUM(C69:N69)</f>
        <v>-17451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0</v>
      </c>
      <c r="D74" s="135">
        <f>'採算表(VND)'!D74</f>
        <v>0</v>
      </c>
      <c r="E74" s="135">
        <f>'採算表(VND)'!E74</f>
        <v>0</v>
      </c>
      <c r="F74" s="135">
        <f>'採算表(VND)'!F74</f>
        <v>321</v>
      </c>
      <c r="G74" s="135">
        <f>'採算表(VND)'!G74</f>
        <v>315</v>
      </c>
      <c r="H74" s="135">
        <f>'採算表(VND)'!H74</f>
        <v>313</v>
      </c>
      <c r="I74" s="135">
        <f>'採算表(VND)'!I74</f>
        <v>321</v>
      </c>
      <c r="J74" s="135">
        <f>'採算表(VND)'!J74</f>
        <v>315</v>
      </c>
      <c r="K74" s="135">
        <f>'採算表(VND)'!K74</f>
        <v>319</v>
      </c>
      <c r="L74" s="135">
        <f>'採算表(VND)'!L74</f>
        <v>315</v>
      </c>
      <c r="M74" s="135">
        <f>'採算表(VND)'!M74</f>
        <v>305</v>
      </c>
      <c r="N74" s="135">
        <f>'採算表(VND)'!N74</f>
        <v>315</v>
      </c>
      <c r="O74" s="135">
        <f>SUM(C74:N74)</f>
        <v>2839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-321</v>
      </c>
      <c r="G75" s="136">
        <f>'採算表(VND)'!G75</f>
        <v>-315</v>
      </c>
      <c r="H75" s="136">
        <f>'採算表(VND)'!H75</f>
        <v>-313</v>
      </c>
      <c r="I75" s="136">
        <f>'採算表(VND)'!I75</f>
        <v>-321</v>
      </c>
      <c r="J75" s="136">
        <f>'採算表(VND)'!J75</f>
        <v>-315</v>
      </c>
      <c r="K75" s="136">
        <f>'採算表(VND)'!K75</f>
        <v>-319</v>
      </c>
      <c r="L75" s="136">
        <f>'採算表(VND)'!L75</f>
        <v>-315</v>
      </c>
      <c r="M75" s="136">
        <f>'採算表(VND)'!M75</f>
        <v>-305</v>
      </c>
      <c r="N75" s="136">
        <f>'採算表(VND)'!N75</f>
        <v>-315</v>
      </c>
      <c r="O75" s="136">
        <f>SUM(C75:N75)</f>
        <v>-2839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0</v>
      </c>
      <c r="D88" s="150">
        <f>'採算表(VND)'!D88</f>
        <v>0</v>
      </c>
      <c r="E88" s="150">
        <f>'採算表(VND)'!E88</f>
        <v>0</v>
      </c>
      <c r="F88" s="150">
        <f>'採算表(VND)'!F88</f>
        <v>12</v>
      </c>
      <c r="G88" s="150">
        <f>'採算表(VND)'!G88</f>
        <v>12</v>
      </c>
      <c r="H88" s="150">
        <f>'採算表(VND)'!H88</f>
        <v>12</v>
      </c>
      <c r="I88" s="150">
        <f>'採算表(VND)'!I88</f>
        <v>12</v>
      </c>
      <c r="J88" s="150">
        <f>'採算表(VND)'!J88</f>
        <v>12</v>
      </c>
      <c r="K88" s="150">
        <f>'採算表(VND)'!K88</f>
        <v>12</v>
      </c>
      <c r="L88" s="150">
        <f>'採算表(VND)'!L88</f>
        <v>12</v>
      </c>
      <c r="M88" s="150">
        <f>'採算表(VND)'!M88</f>
        <v>12</v>
      </c>
      <c r="N88" s="150">
        <f>'採算表(VND)'!N88</f>
        <v>12</v>
      </c>
      <c r="O88" s="150">
        <f>SUM(C88:N88)</f>
        <v>108</v>
      </c>
    </row>
    <row r="89" spans="1:15">
      <c r="A89" s="44"/>
      <c r="B89" s="60" t="s">
        <v>18</v>
      </c>
      <c r="C89" s="151">
        <f t="shared" ref="C89:O89" si="11">C87+C88</f>
        <v>0</v>
      </c>
      <c r="D89" s="151">
        <f t="shared" si="11"/>
        <v>0</v>
      </c>
      <c r="E89" s="151">
        <f t="shared" si="11"/>
        <v>0</v>
      </c>
      <c r="F89" s="151">
        <f t="shared" si="11"/>
        <v>12</v>
      </c>
      <c r="G89" s="151">
        <f t="shared" si="11"/>
        <v>12</v>
      </c>
      <c r="H89" s="151">
        <f t="shared" si="11"/>
        <v>12</v>
      </c>
      <c r="I89" s="151">
        <f t="shared" si="11"/>
        <v>12</v>
      </c>
      <c r="J89" s="151">
        <f t="shared" si="11"/>
        <v>12</v>
      </c>
      <c r="K89" s="151">
        <f t="shared" si="11"/>
        <v>12</v>
      </c>
      <c r="L89" s="151">
        <f t="shared" si="11"/>
        <v>12</v>
      </c>
      <c r="M89" s="151">
        <f t="shared" si="11"/>
        <v>12</v>
      </c>
      <c r="N89" s="151">
        <f t="shared" si="11"/>
        <v>12</v>
      </c>
      <c r="O89" s="151">
        <f t="shared" si="11"/>
        <v>108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0</v>
      </c>
      <c r="D93" s="133">
        <f>'採算表(VND)'!D93</f>
        <v>0</v>
      </c>
      <c r="E93" s="133">
        <f>'採算表(VND)'!E93</f>
        <v>0</v>
      </c>
      <c r="F93" s="133">
        <f>'採算表(VND)'!F93</f>
        <v>2205</v>
      </c>
      <c r="G93" s="133">
        <f>'採算表(VND)'!G93</f>
        <v>1918</v>
      </c>
      <c r="H93" s="133">
        <f>'採算表(VND)'!H93</f>
        <v>1822</v>
      </c>
      <c r="I93" s="133">
        <f>'採算表(VND)'!I93</f>
        <v>2205</v>
      </c>
      <c r="J93" s="133">
        <f>'採算表(VND)'!J93</f>
        <v>1918</v>
      </c>
      <c r="K93" s="133">
        <f>'採算表(VND)'!K93</f>
        <v>2109</v>
      </c>
      <c r="L93" s="133">
        <f>'採算表(VND)'!L93</f>
        <v>1918</v>
      </c>
      <c r="M93" s="133">
        <f>'採算表(VND)'!M93</f>
        <v>1438</v>
      </c>
      <c r="N93" s="133">
        <f>'採算表(VND)'!N93</f>
        <v>1918</v>
      </c>
      <c r="O93" s="133">
        <f>SUM(C93:N93)</f>
        <v>17451</v>
      </c>
    </row>
    <row r="94" spans="1:15">
      <c r="B94" s="61" t="s">
        <v>18</v>
      </c>
      <c r="C94" s="147">
        <f t="shared" ref="C94:O94" si="12">C92+C93</f>
        <v>0</v>
      </c>
      <c r="D94" s="147">
        <f t="shared" si="12"/>
        <v>0</v>
      </c>
      <c r="E94" s="147">
        <f t="shared" si="12"/>
        <v>0</v>
      </c>
      <c r="F94" s="147">
        <f t="shared" si="12"/>
        <v>2205</v>
      </c>
      <c r="G94" s="147">
        <f t="shared" si="12"/>
        <v>1918</v>
      </c>
      <c r="H94" s="147">
        <f t="shared" si="12"/>
        <v>1822</v>
      </c>
      <c r="I94" s="147">
        <f t="shared" si="12"/>
        <v>2205</v>
      </c>
      <c r="J94" s="147">
        <f t="shared" si="12"/>
        <v>1918</v>
      </c>
      <c r="K94" s="147">
        <f t="shared" si="12"/>
        <v>2109</v>
      </c>
      <c r="L94" s="147">
        <f t="shared" si="12"/>
        <v>1918</v>
      </c>
      <c r="M94" s="147">
        <f t="shared" si="12"/>
        <v>1438</v>
      </c>
      <c r="N94" s="147">
        <f t="shared" si="12"/>
        <v>1918</v>
      </c>
      <c r="O94" s="147">
        <f t="shared" si="12"/>
        <v>17451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0</v>
      </c>
      <c r="D98" s="133">
        <f>'採算表(VND)'!D98</f>
        <v>0</v>
      </c>
      <c r="E98" s="133">
        <f>'採算表(VND)'!E98</f>
        <v>0</v>
      </c>
      <c r="F98" s="133">
        <f>'採算表(VND)'!F98</f>
        <v>321</v>
      </c>
      <c r="G98" s="133">
        <f>'採算表(VND)'!G98</f>
        <v>315</v>
      </c>
      <c r="H98" s="133">
        <f>'採算表(VND)'!H98</f>
        <v>313</v>
      </c>
      <c r="I98" s="133">
        <f>'採算表(VND)'!I98</f>
        <v>321</v>
      </c>
      <c r="J98" s="133">
        <f>'採算表(VND)'!J98</f>
        <v>315</v>
      </c>
      <c r="K98" s="133">
        <f>'採算表(VND)'!K98</f>
        <v>319</v>
      </c>
      <c r="L98" s="133">
        <f>'採算表(VND)'!L98</f>
        <v>315</v>
      </c>
      <c r="M98" s="133">
        <f>'採算表(VND)'!M98</f>
        <v>305</v>
      </c>
      <c r="N98" s="133">
        <f>'採算表(VND)'!N98</f>
        <v>315</v>
      </c>
      <c r="O98" s="133">
        <f>SUM(C98:N98)</f>
        <v>2839</v>
      </c>
    </row>
    <row r="99" spans="2:15">
      <c r="B99" s="61" t="s">
        <v>18</v>
      </c>
      <c r="C99" s="147">
        <f t="shared" ref="C99:O99" si="13">C97+C98</f>
        <v>0</v>
      </c>
      <c r="D99" s="147">
        <f t="shared" si="13"/>
        <v>0</v>
      </c>
      <c r="E99" s="147">
        <f t="shared" si="13"/>
        <v>0</v>
      </c>
      <c r="F99" s="147">
        <f t="shared" si="13"/>
        <v>321</v>
      </c>
      <c r="G99" s="147">
        <f t="shared" si="13"/>
        <v>315</v>
      </c>
      <c r="H99" s="147">
        <f t="shared" si="13"/>
        <v>313</v>
      </c>
      <c r="I99" s="147">
        <f t="shared" si="13"/>
        <v>321</v>
      </c>
      <c r="J99" s="147">
        <f t="shared" si="13"/>
        <v>315</v>
      </c>
      <c r="K99" s="147">
        <f t="shared" si="13"/>
        <v>319</v>
      </c>
      <c r="L99" s="147">
        <f t="shared" si="13"/>
        <v>315</v>
      </c>
      <c r="M99" s="147">
        <f t="shared" si="13"/>
        <v>305</v>
      </c>
      <c r="N99" s="147">
        <f t="shared" si="13"/>
        <v>315</v>
      </c>
      <c r="O99" s="147">
        <f t="shared" si="13"/>
        <v>2839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工程品質管理3課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SUMIF('内訳ﾘｽﾄ(4～3月)'!$D$26:$D$1060,'採算表(VND)'!$B6,'内訳ﾘｽﾄ(4～3月)'!F$26:F$1060)</f>
        <v>0</v>
      </c>
      <c r="D6" s="153">
        <f>SUMIF('内訳ﾘｽﾄ(4～3月)'!$D$26:$D$1060,'採算表(VND)'!$B6,'内訳ﾘｽﾄ(4～3月)'!G$26:G$1060)</f>
        <v>0</v>
      </c>
      <c r="E6" s="153">
        <f>SUMIF('内訳ﾘｽﾄ(4～3月)'!$D$26:$D$1060,'採算表(VND)'!$B6,'内訳ﾘｽﾄ(4～3月)'!H$26:H$1060)</f>
        <v>0</v>
      </c>
      <c r="F6" s="153">
        <f>SUMIF('内訳ﾘｽﾄ(4～3月)'!$D$26:$D$1060,'採算表(VND)'!$B6,'内訳ﾘｽﾄ(4～3月)'!I$26:I$1060)</f>
        <v>0</v>
      </c>
      <c r="G6" s="153">
        <f>SUMIF('内訳ﾘｽﾄ(4～3月)'!$D$26:$D$1060,'採算表(VND)'!$B6,'内訳ﾘｽﾄ(4～3月)'!J$26:J$1060)</f>
        <v>0</v>
      </c>
      <c r="H6" s="153">
        <f>SUMIF('内訳ﾘｽﾄ(4～3月)'!$D$26:$D$1060,'採算表(VND)'!$B6,'内訳ﾘｽﾄ(4～3月)'!K$26:K$1060)</f>
        <v>0</v>
      </c>
      <c r="I6" s="153">
        <f>SUMIF('内訳ﾘｽﾄ(4～3月)'!$D$26:$D$1060,'採算表(VND)'!$B6,'内訳ﾘｽﾄ(4～3月)'!L$26:L$1060)</f>
        <v>0</v>
      </c>
      <c r="J6" s="153">
        <f>SUMIF('内訳ﾘｽﾄ(4～3月)'!$D$26:$D$1060,'採算表(VND)'!$B6,'内訳ﾘｽﾄ(4～3月)'!M$26:M$1060)</f>
        <v>0</v>
      </c>
      <c r="K6" s="153">
        <f>SUMIF('内訳ﾘｽﾄ(4～3月)'!$D$26:$D$1060,'採算表(VND)'!$B6,'内訳ﾘｽﾄ(4～3月)'!N$26:N$1060)</f>
        <v>0</v>
      </c>
      <c r="L6" s="153">
        <f>SUMIF('内訳ﾘｽﾄ(4～3月)'!$D$26:$D$1060,'採算表(VND)'!$B6,'内訳ﾘｽﾄ(4～3月)'!O$26:O$1060)</f>
        <v>0</v>
      </c>
      <c r="M6" s="153">
        <f>SUMIF('内訳ﾘｽﾄ(4～3月)'!$D$26:$D$1060,'採算表(VND)'!$B6,'内訳ﾘｽﾄ(4～3月)'!P$26:P$1060)</f>
        <v>0</v>
      </c>
      <c r="N6" s="153">
        <f>SUMIF('内訳ﾘｽﾄ(4～3月)'!$D$26:$D$1060,'採算表(VND)'!$B6,'内訳ﾘｽﾄ(4～3月)'!Q$26:Q$1060)</f>
        <v>0</v>
      </c>
      <c r="O6" s="153">
        <f>SUMIF('内訳ﾘｽﾄ(4～3月)'!$D$26:$D$859,'採算表(VND)'!$B6,'内訳ﾘｽﾄ(4～3月)'!R$26:R$859)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SUMIF('内訳ﾘｽﾄ(4～3月)'!$D$26:$D$1060,'採算表(VND)'!$B7,'内訳ﾘｽﾄ(4～3月)'!F$26:F$1060)</f>
        <v>0</v>
      </c>
      <c r="D7" s="154">
        <f>SUMIF('内訳ﾘｽﾄ(4～3月)'!$D$26:$D$1060,'採算表(VND)'!$B7,'内訳ﾘｽﾄ(4～3月)'!G$26:G$1060)</f>
        <v>0</v>
      </c>
      <c r="E7" s="154">
        <f>SUMIF('内訳ﾘｽﾄ(4～3月)'!$D$26:$D$1060,'採算表(VND)'!$B7,'内訳ﾘｽﾄ(4～3月)'!H$26:H$1060)</f>
        <v>0</v>
      </c>
      <c r="F7" s="154">
        <f>SUMIF('内訳ﾘｽﾄ(4～3月)'!$D$26:$D$1060,'採算表(VND)'!$B7,'内訳ﾘｽﾄ(4～3月)'!I$26:I$1060)</f>
        <v>0</v>
      </c>
      <c r="G7" s="154">
        <f>SUMIF('内訳ﾘｽﾄ(4～3月)'!$D$26:$D$1060,'採算表(VND)'!$B7,'内訳ﾘｽﾄ(4～3月)'!J$26:J$1060)</f>
        <v>0</v>
      </c>
      <c r="H7" s="154">
        <f>SUMIF('内訳ﾘｽﾄ(4～3月)'!$D$26:$D$1060,'採算表(VND)'!$B7,'内訳ﾘｽﾄ(4～3月)'!K$26:K$1060)</f>
        <v>0</v>
      </c>
      <c r="I7" s="154">
        <f>SUMIF('内訳ﾘｽﾄ(4～3月)'!$D$26:$D$1060,'採算表(VND)'!$B7,'内訳ﾘｽﾄ(4～3月)'!L$26:L$1060)</f>
        <v>0</v>
      </c>
      <c r="J7" s="154">
        <f>SUMIF('内訳ﾘｽﾄ(4～3月)'!$D$26:$D$1060,'採算表(VND)'!$B7,'内訳ﾘｽﾄ(4～3月)'!M$26:M$1060)</f>
        <v>0</v>
      </c>
      <c r="K7" s="154">
        <f>SUMIF('内訳ﾘｽﾄ(4～3月)'!$D$26:$D$1060,'採算表(VND)'!$B7,'内訳ﾘｽﾄ(4～3月)'!N$26:N$1060)</f>
        <v>0</v>
      </c>
      <c r="L7" s="154">
        <f>SUMIF('内訳ﾘｽﾄ(4～3月)'!$D$26:$D$1060,'採算表(VND)'!$B7,'内訳ﾘｽﾄ(4～3月)'!O$26:O$1060)</f>
        <v>0</v>
      </c>
      <c r="M7" s="154">
        <f>SUMIF('内訳ﾘｽﾄ(4～3月)'!$D$26:$D$1060,'採算表(VND)'!$B7,'内訳ﾘｽﾄ(4～3月)'!P$26:P$1060)</f>
        <v>0</v>
      </c>
      <c r="N7" s="154">
        <f>SUMIF('内訳ﾘｽﾄ(4～3月)'!$D$26:$D$1060,'採算表(VND)'!$B7,'内訳ﾘｽﾄ(4～3月)'!Q$26:Q$1060)</f>
        <v>0</v>
      </c>
      <c r="O7" s="154">
        <f>SUMIF('内訳ﾘｽﾄ(4～3月)'!$D$26:$D$859,'採算表(VND)'!$B7,'内訳ﾘｽﾄ(4～3月)'!R$26:R$859)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SUMIF('内訳ﾘｽﾄ(4～3月)'!$D$26:$D$1060,'採算表(VND)'!$B9,'内訳ﾘｽﾄ(4～3月)'!F$26:F$1060)</f>
        <v>0</v>
      </c>
      <c r="D9" s="150">
        <f>SUMIF('内訳ﾘｽﾄ(4～3月)'!$D$26:$D$1060,'採算表(VND)'!$B9,'内訳ﾘｽﾄ(4～3月)'!G$26:G$1060)</f>
        <v>0</v>
      </c>
      <c r="E9" s="150">
        <f>SUMIF('内訳ﾘｽﾄ(4～3月)'!$D$26:$D$1060,'採算表(VND)'!$B9,'内訳ﾘｽﾄ(4～3月)'!H$26:H$1060)</f>
        <v>0</v>
      </c>
      <c r="F9" s="150">
        <f>SUMIF('内訳ﾘｽﾄ(4～3月)'!$D$26:$D$1060,'採算表(VND)'!$B9,'内訳ﾘｽﾄ(4～3月)'!I$26:I$1060)</f>
        <v>0</v>
      </c>
      <c r="G9" s="150">
        <f>SUMIF('内訳ﾘｽﾄ(4～3月)'!$D$26:$D$1060,'採算表(VND)'!$B9,'内訳ﾘｽﾄ(4～3月)'!J$26:J$1060)</f>
        <v>0</v>
      </c>
      <c r="H9" s="150">
        <f>SUMIF('内訳ﾘｽﾄ(4～3月)'!$D$26:$D$1060,'採算表(VND)'!$B9,'内訳ﾘｽﾄ(4～3月)'!K$26:K$1060)</f>
        <v>0</v>
      </c>
      <c r="I9" s="150">
        <f>SUMIF('内訳ﾘｽﾄ(4～3月)'!$D$26:$D$1060,'採算表(VND)'!$B9,'内訳ﾘｽﾄ(4～3月)'!L$26:L$1060)</f>
        <v>0</v>
      </c>
      <c r="J9" s="150">
        <f>SUMIF('内訳ﾘｽﾄ(4～3月)'!$D$26:$D$1060,'採算表(VND)'!$B9,'内訳ﾘｽﾄ(4～3月)'!M$26:M$1060)</f>
        <v>0</v>
      </c>
      <c r="K9" s="150">
        <f>SUMIF('内訳ﾘｽﾄ(4～3月)'!$D$26:$D$1060,'採算表(VND)'!$B9,'内訳ﾘｽﾄ(4～3月)'!N$26:N$1060)</f>
        <v>0</v>
      </c>
      <c r="L9" s="150">
        <f>SUMIF('内訳ﾘｽﾄ(4～3月)'!$D$26:$D$1060,'採算表(VND)'!$B9,'内訳ﾘｽﾄ(4～3月)'!O$26:O$1060)</f>
        <v>0</v>
      </c>
      <c r="M9" s="150">
        <f>SUMIF('内訳ﾘｽﾄ(4～3月)'!$D$26:$D$1060,'採算表(VND)'!$B9,'内訳ﾘｽﾄ(4～3月)'!P$26:P$1060)</f>
        <v>0</v>
      </c>
      <c r="N9" s="150">
        <f>SUMIF('内訳ﾘｽﾄ(4～3月)'!$D$26:$D$1060,'採算表(VND)'!$B9,'内訳ﾘｽﾄ(4～3月)'!Q$26:Q$1060)</f>
        <v>0</v>
      </c>
      <c r="O9" s="150">
        <f>SUMIF('内訳ﾘｽﾄ(4～3月)'!$D$26:$D$859,'採算表(VND)'!$B9,'内訳ﾘｽﾄ(4～3月)'!R$26:R$859)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SUMIF('内訳ﾘｽﾄ(4～3月)'!$D$26:$D$1060,'採算表(VND)'!$B10,'内訳ﾘｽﾄ(4～3月)'!F$26:F$1060)</f>
        <v>0</v>
      </c>
      <c r="D10" s="150">
        <f>SUMIF('内訳ﾘｽﾄ(4～3月)'!$D$26:$D$1060,'採算表(VND)'!$B10,'内訳ﾘｽﾄ(4～3月)'!G$26:G$1060)</f>
        <v>0</v>
      </c>
      <c r="E10" s="150">
        <f>SUMIF('内訳ﾘｽﾄ(4～3月)'!$D$26:$D$1060,'採算表(VND)'!$B10,'内訳ﾘｽﾄ(4～3月)'!H$26:H$1060)</f>
        <v>0</v>
      </c>
      <c r="F10" s="150">
        <f>SUMIF('内訳ﾘｽﾄ(4～3月)'!$D$26:$D$1060,'採算表(VND)'!$B10,'内訳ﾘｽﾄ(4～3月)'!I$26:I$1060)</f>
        <v>0</v>
      </c>
      <c r="G10" s="150">
        <f>SUMIF('内訳ﾘｽﾄ(4～3月)'!$D$26:$D$1060,'採算表(VND)'!$B10,'内訳ﾘｽﾄ(4～3月)'!J$26:J$1060)</f>
        <v>0</v>
      </c>
      <c r="H10" s="150">
        <f>SUMIF('内訳ﾘｽﾄ(4～3月)'!$D$26:$D$1060,'採算表(VND)'!$B10,'内訳ﾘｽﾄ(4～3月)'!K$26:K$1060)</f>
        <v>0</v>
      </c>
      <c r="I10" s="150">
        <f>SUMIF('内訳ﾘｽﾄ(4～3月)'!$D$26:$D$1060,'採算表(VND)'!$B10,'内訳ﾘｽﾄ(4～3月)'!L$26:L$1060)</f>
        <v>0</v>
      </c>
      <c r="J10" s="150">
        <f>SUMIF('内訳ﾘｽﾄ(4～3月)'!$D$26:$D$1060,'採算表(VND)'!$B10,'内訳ﾘｽﾄ(4～3月)'!M$26:M$1060)</f>
        <v>0</v>
      </c>
      <c r="K10" s="150">
        <f>SUMIF('内訳ﾘｽﾄ(4～3月)'!$D$26:$D$1060,'採算表(VND)'!$B10,'内訳ﾘｽﾄ(4～3月)'!N$26:N$1060)</f>
        <v>0</v>
      </c>
      <c r="L10" s="150">
        <f>SUMIF('内訳ﾘｽﾄ(4～3月)'!$D$26:$D$1060,'採算表(VND)'!$B10,'内訳ﾘｽﾄ(4～3月)'!O$26:O$1060)</f>
        <v>0</v>
      </c>
      <c r="M10" s="150">
        <f>SUMIF('内訳ﾘｽﾄ(4～3月)'!$D$26:$D$1060,'採算表(VND)'!$B10,'内訳ﾘｽﾄ(4～3月)'!P$26:P$1060)</f>
        <v>0</v>
      </c>
      <c r="N10" s="150">
        <f>SUMIF('内訳ﾘｽﾄ(4～3月)'!$D$26:$D$1060,'採算表(VND)'!$B10,'内訳ﾘｽﾄ(4～3月)'!Q$26:Q$1060)</f>
        <v>0</v>
      </c>
      <c r="O10" s="150">
        <f>SUMIF('内訳ﾘｽﾄ(4～3月)'!$D$26:$D$859,'採算表(VND)'!$B10,'内訳ﾘｽﾄ(4～3月)'!R$26:R$859)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SUMIF('内訳ﾘｽﾄ(4～3月)'!$D$26:$D$1060,$B14,'内訳ﾘｽﾄ(4～3月)'!F$26:F$1060)</f>
        <v>0</v>
      </c>
      <c r="D14" s="157">
        <f>SUMIF('内訳ﾘｽﾄ(4～3月)'!$D$26:$D$1060,$B14,'内訳ﾘｽﾄ(4～3月)'!G$26:G$1060)</f>
        <v>0</v>
      </c>
      <c r="E14" s="157">
        <f>SUMIF('内訳ﾘｽﾄ(4～3月)'!$D$26:$D$1060,$B14,'内訳ﾘｽﾄ(4～3月)'!H$26:H$1060)</f>
        <v>0</v>
      </c>
      <c r="F14" s="157">
        <f>SUMIF('内訳ﾘｽﾄ(4～3月)'!$D$26:$D$1060,$B14,'内訳ﾘｽﾄ(4～3月)'!I$26:I$1060)</f>
        <v>0</v>
      </c>
      <c r="G14" s="157">
        <f>SUMIF('内訳ﾘｽﾄ(4～3月)'!$D$26:$D$1060,$B14,'内訳ﾘｽﾄ(4～3月)'!J$26:J$1060)</f>
        <v>0</v>
      </c>
      <c r="H14" s="157">
        <f>SUMIF('内訳ﾘｽﾄ(4～3月)'!$D$26:$D$1060,$B14,'内訳ﾘｽﾄ(4～3月)'!K$26:K$1060)</f>
        <v>0</v>
      </c>
      <c r="I14" s="157">
        <f>SUMIF('内訳ﾘｽﾄ(4～3月)'!$D$26:$D$1060,$B14,'内訳ﾘｽﾄ(4～3月)'!L$26:L$1060)</f>
        <v>0</v>
      </c>
      <c r="J14" s="157">
        <f>SUMIF('内訳ﾘｽﾄ(4～3月)'!$D$26:$D$1060,$B14,'内訳ﾘｽﾄ(4～3月)'!M$26:M$1060)</f>
        <v>0</v>
      </c>
      <c r="K14" s="157">
        <f>SUMIF('内訳ﾘｽﾄ(4～3月)'!$D$26:$D$1060,$B14,'内訳ﾘｽﾄ(4～3月)'!N$26:N$1060)</f>
        <v>0</v>
      </c>
      <c r="L14" s="157">
        <f>SUMIF('内訳ﾘｽﾄ(4～3月)'!$D$26:$D$1060,$B14,'内訳ﾘｽﾄ(4～3月)'!O$26:O$1060)</f>
        <v>0</v>
      </c>
      <c r="M14" s="157">
        <f>SUMIF('内訳ﾘｽﾄ(4～3月)'!$D$26:$D$1060,$B14,'内訳ﾘｽﾄ(4～3月)'!P$26:P$1060)</f>
        <v>0</v>
      </c>
      <c r="N14" s="157">
        <f>SUMIF('内訳ﾘｽﾄ(4～3月)'!$D$26:$D$1060,$B14,'内訳ﾘｽﾄ(4～3月)'!Q$26:Q$1060)</f>
        <v>0</v>
      </c>
      <c r="O14" s="157">
        <f>SUMIF('内訳ﾘｽﾄ(4～3月)'!$D$26:$D$859,'採算表(VND)'!$B14,'内訳ﾘｽﾄ(4～3月)'!R$26:R$859)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SUMIF('内訳ﾘｽﾄ(4～3月)'!$D$26:$D$1060,$B15,'内訳ﾘｽﾄ(4～3月)'!F$26:F$1060)</f>
        <v>0</v>
      </c>
      <c r="D15" s="157">
        <f>SUMIF('内訳ﾘｽﾄ(4～3月)'!$D$26:$D$1060,$B15,'内訳ﾘｽﾄ(4～3月)'!G$26:G$1060)</f>
        <v>0</v>
      </c>
      <c r="E15" s="157">
        <f>SUMIF('内訳ﾘｽﾄ(4～3月)'!$D$26:$D$1060,$B15,'内訳ﾘｽﾄ(4～3月)'!H$26:H$1060)</f>
        <v>0</v>
      </c>
      <c r="F15" s="157">
        <f>SUMIF('内訳ﾘｽﾄ(4～3月)'!$D$26:$D$1060,$B15,'内訳ﾘｽﾄ(4～3月)'!I$26:I$1060)</f>
        <v>0</v>
      </c>
      <c r="G15" s="157">
        <f>SUMIF('内訳ﾘｽﾄ(4～3月)'!$D$26:$D$1060,$B15,'内訳ﾘｽﾄ(4～3月)'!J$26:J$1060)</f>
        <v>0</v>
      </c>
      <c r="H15" s="157">
        <f>SUMIF('内訳ﾘｽﾄ(4～3月)'!$D$26:$D$1060,$B15,'内訳ﾘｽﾄ(4～3月)'!K$26:K$1060)</f>
        <v>0</v>
      </c>
      <c r="I15" s="157">
        <f>SUMIF('内訳ﾘｽﾄ(4～3月)'!$D$26:$D$1060,$B15,'内訳ﾘｽﾄ(4～3月)'!L$26:L$1060)</f>
        <v>0</v>
      </c>
      <c r="J15" s="157">
        <f>SUMIF('内訳ﾘｽﾄ(4～3月)'!$D$26:$D$1060,$B15,'内訳ﾘｽﾄ(4～3月)'!M$26:M$1060)</f>
        <v>0</v>
      </c>
      <c r="K15" s="157">
        <f>SUMIF('内訳ﾘｽﾄ(4～3月)'!$D$26:$D$1060,$B15,'内訳ﾘｽﾄ(4～3月)'!N$26:N$1060)</f>
        <v>0</v>
      </c>
      <c r="L15" s="157">
        <f>SUMIF('内訳ﾘｽﾄ(4～3月)'!$D$26:$D$1060,$B15,'内訳ﾘｽﾄ(4～3月)'!O$26:O$1060)</f>
        <v>0</v>
      </c>
      <c r="M15" s="157">
        <f>SUMIF('内訳ﾘｽﾄ(4～3月)'!$D$26:$D$1060,$B15,'内訳ﾘｽﾄ(4～3月)'!P$26:P$1060)</f>
        <v>0</v>
      </c>
      <c r="N15" s="157">
        <f>SUMIF('内訳ﾘｽﾄ(4～3月)'!$D$26:$D$1060,$B15,'内訳ﾘｽﾄ(4～3月)'!Q$26:Q$1060)</f>
        <v>0</v>
      </c>
      <c r="O15" s="157">
        <f>SUMIF('内訳ﾘｽﾄ(4～3月)'!$D$26:$D$859,'採算表(VND)'!$B15,'内訳ﾘｽﾄ(4～3月)'!R$26:R$859)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SUMIF('内訳ﾘｽﾄ(4～3月)'!$D$26:$D$1060,$B16,'内訳ﾘｽﾄ(4～3月)'!F$26:F$1060)</f>
        <v>0</v>
      </c>
      <c r="D16" s="157">
        <f>SUMIF('内訳ﾘｽﾄ(4～3月)'!$D$26:$D$1060,$B16,'内訳ﾘｽﾄ(4～3月)'!G$26:G$1060)</f>
        <v>0</v>
      </c>
      <c r="E16" s="157">
        <f>SUMIF('内訳ﾘｽﾄ(4～3月)'!$D$26:$D$1060,$B16,'内訳ﾘｽﾄ(4～3月)'!H$26:H$1060)</f>
        <v>0</v>
      </c>
      <c r="F16" s="157">
        <f>SUMIF('内訳ﾘｽﾄ(4～3月)'!$D$26:$D$1060,$B16,'内訳ﾘｽﾄ(4～3月)'!I$26:I$1060)</f>
        <v>0</v>
      </c>
      <c r="G16" s="157">
        <f>SUMIF('内訳ﾘｽﾄ(4～3月)'!$D$26:$D$1060,$B16,'内訳ﾘｽﾄ(4～3月)'!J$26:J$1060)</f>
        <v>0</v>
      </c>
      <c r="H16" s="157">
        <f>SUMIF('内訳ﾘｽﾄ(4～3月)'!$D$26:$D$1060,$B16,'内訳ﾘｽﾄ(4～3月)'!K$26:K$1060)</f>
        <v>0</v>
      </c>
      <c r="I16" s="157">
        <f>SUMIF('内訳ﾘｽﾄ(4～3月)'!$D$26:$D$1060,$B16,'内訳ﾘｽﾄ(4～3月)'!L$26:L$1060)</f>
        <v>0</v>
      </c>
      <c r="J16" s="157">
        <f>SUMIF('内訳ﾘｽﾄ(4～3月)'!$D$26:$D$1060,$B16,'内訳ﾘｽﾄ(4～3月)'!M$26:M$1060)</f>
        <v>0</v>
      </c>
      <c r="K16" s="157">
        <f>SUMIF('内訳ﾘｽﾄ(4～3月)'!$D$26:$D$1060,$B16,'内訳ﾘｽﾄ(4～3月)'!N$26:N$1060)</f>
        <v>0</v>
      </c>
      <c r="L16" s="157">
        <f>SUMIF('内訳ﾘｽﾄ(4～3月)'!$D$26:$D$1060,$B16,'内訳ﾘｽﾄ(4～3月)'!O$26:O$1060)</f>
        <v>0</v>
      </c>
      <c r="M16" s="157">
        <f>SUMIF('内訳ﾘｽﾄ(4～3月)'!$D$26:$D$1060,$B16,'内訳ﾘｽﾄ(4～3月)'!P$26:P$1060)</f>
        <v>0</v>
      </c>
      <c r="N16" s="157">
        <f>SUMIF('内訳ﾘｽﾄ(4～3月)'!$D$26:$D$1060,$B16,'内訳ﾘｽﾄ(4～3月)'!Q$26:Q$1060)</f>
        <v>0</v>
      </c>
      <c r="O16" s="157">
        <f>SUMIF('内訳ﾘｽﾄ(4～3月)'!$D$26:$D$859,'採算表(VND)'!$B16,'内訳ﾘｽﾄ(4～3月)'!R$26:R$859)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SUMIF('内訳ﾘｽﾄ(4～3月)'!$D$26:$D$1060,$B17,'内訳ﾘｽﾄ(4～3月)'!F$26:F$1060)</f>
        <v>0</v>
      </c>
      <c r="D17" s="158">
        <f>SUMIF('内訳ﾘｽﾄ(4～3月)'!$D$26:$D$1060,$B17,'内訳ﾘｽﾄ(4～3月)'!G$26:G$1060)</f>
        <v>0</v>
      </c>
      <c r="E17" s="158">
        <f>SUMIF('内訳ﾘｽﾄ(4～3月)'!$D$26:$D$1060,$B17,'内訳ﾘｽﾄ(4～3月)'!H$26:H$1060)</f>
        <v>0</v>
      </c>
      <c r="F17" s="158">
        <f>SUMIF('内訳ﾘｽﾄ(4～3月)'!$D$26:$D$1060,$B17,'内訳ﾘｽﾄ(4～3月)'!I$26:I$1060)</f>
        <v>0</v>
      </c>
      <c r="G17" s="158">
        <f>SUMIF('内訳ﾘｽﾄ(4～3月)'!$D$26:$D$1060,$B17,'内訳ﾘｽﾄ(4～3月)'!J$26:J$1060)</f>
        <v>0</v>
      </c>
      <c r="H17" s="158">
        <f>SUMIF('内訳ﾘｽﾄ(4～3月)'!$D$26:$D$1060,$B17,'内訳ﾘｽﾄ(4～3月)'!K$26:K$1060)</f>
        <v>0</v>
      </c>
      <c r="I17" s="158">
        <f>SUMIF('内訳ﾘｽﾄ(4～3月)'!$D$26:$D$1060,$B17,'内訳ﾘｽﾄ(4～3月)'!L$26:L$1060)</f>
        <v>0</v>
      </c>
      <c r="J17" s="158">
        <f>SUMIF('内訳ﾘｽﾄ(4～3月)'!$D$26:$D$1060,$B17,'内訳ﾘｽﾄ(4～3月)'!M$26:M$1060)</f>
        <v>0</v>
      </c>
      <c r="K17" s="158">
        <f>SUMIF('内訳ﾘｽﾄ(4～3月)'!$D$26:$D$1060,$B17,'内訳ﾘｽﾄ(4～3月)'!N$26:N$1060)</f>
        <v>0</v>
      </c>
      <c r="L17" s="158">
        <f>SUMIF('内訳ﾘｽﾄ(4～3月)'!$D$26:$D$1060,$B17,'内訳ﾘｽﾄ(4～3月)'!O$26:O$1060)</f>
        <v>0</v>
      </c>
      <c r="M17" s="158">
        <f>SUMIF('内訳ﾘｽﾄ(4～3月)'!$D$26:$D$1060,$B17,'内訳ﾘｽﾄ(4～3月)'!P$26:P$1060)</f>
        <v>0</v>
      </c>
      <c r="N17" s="158">
        <f>SUMIF('内訳ﾘｽﾄ(4～3月)'!$D$26:$D$1060,$B17,'内訳ﾘｽﾄ(4～3月)'!Q$26:Q$1060)</f>
        <v>0</v>
      </c>
      <c r="O17" s="158">
        <f>SUMIF('内訳ﾘｽﾄ(4～3月)'!$D$26:$D$859,'採算表(VND)'!$B17,'内訳ﾘｽﾄ(4～3月)'!R$26:R$859)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SUMIF('内訳ﾘｽﾄ(4～3月)'!$D$26:$D$1060,$B18,'内訳ﾘｽﾄ(4～3月)'!F$26:F$1060)</f>
        <v>0</v>
      </c>
      <c r="D18" s="158">
        <f>SUMIF('内訳ﾘｽﾄ(4～3月)'!$D$26:$D$1060,$B18,'内訳ﾘｽﾄ(4～3月)'!G$26:G$1060)</f>
        <v>0</v>
      </c>
      <c r="E18" s="158">
        <f>SUMIF('内訳ﾘｽﾄ(4～3月)'!$D$26:$D$1060,$B18,'内訳ﾘｽﾄ(4～3月)'!H$26:H$1060)</f>
        <v>0</v>
      </c>
      <c r="F18" s="158">
        <f>SUMIF('内訳ﾘｽﾄ(4～3月)'!$D$26:$D$1060,$B18,'内訳ﾘｽﾄ(4～3月)'!I$26:I$1060)</f>
        <v>0</v>
      </c>
      <c r="G18" s="158">
        <f>SUMIF('内訳ﾘｽﾄ(4～3月)'!$D$26:$D$1060,$B18,'内訳ﾘｽﾄ(4～3月)'!J$26:J$1060)</f>
        <v>0</v>
      </c>
      <c r="H18" s="158">
        <f>SUMIF('内訳ﾘｽﾄ(4～3月)'!$D$26:$D$1060,$B18,'内訳ﾘｽﾄ(4～3月)'!K$26:K$1060)</f>
        <v>0</v>
      </c>
      <c r="I18" s="158">
        <f>SUMIF('内訳ﾘｽﾄ(4～3月)'!$D$26:$D$1060,$B18,'内訳ﾘｽﾄ(4～3月)'!L$26:L$1060)</f>
        <v>0</v>
      </c>
      <c r="J18" s="158">
        <f>SUMIF('内訳ﾘｽﾄ(4～3月)'!$D$26:$D$1060,$B18,'内訳ﾘｽﾄ(4～3月)'!M$26:M$1060)</f>
        <v>0</v>
      </c>
      <c r="K18" s="158">
        <f>SUMIF('内訳ﾘｽﾄ(4～3月)'!$D$26:$D$1060,$B18,'内訳ﾘｽﾄ(4～3月)'!N$26:N$1060)</f>
        <v>0</v>
      </c>
      <c r="L18" s="158">
        <f>SUMIF('内訳ﾘｽﾄ(4～3月)'!$D$26:$D$1060,$B18,'内訳ﾘｽﾄ(4～3月)'!O$26:O$1060)</f>
        <v>0</v>
      </c>
      <c r="M18" s="158">
        <f>SUMIF('内訳ﾘｽﾄ(4～3月)'!$D$26:$D$1060,$B18,'内訳ﾘｽﾄ(4～3月)'!P$26:P$1060)</f>
        <v>0</v>
      </c>
      <c r="N18" s="158">
        <f>SUMIF('内訳ﾘｽﾄ(4～3月)'!$D$26:$D$1060,$B18,'内訳ﾘｽﾄ(4～3月)'!Q$26:Q$1060)</f>
        <v>0</v>
      </c>
      <c r="O18" s="158">
        <f>SUMIF('内訳ﾘｽﾄ(4～3月)'!$D$26:$D$859,'採算表(VND)'!$B18,'内訳ﾘｽﾄ(4～3月)'!R$26:R$859)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SUMIF('内訳ﾘｽﾄ(4～3月)'!$D$26:$D$1060,$B19,'内訳ﾘｽﾄ(4～3月)'!F$26:F$1060)</f>
        <v>0</v>
      </c>
      <c r="D19" s="158">
        <f>SUMIF('内訳ﾘｽﾄ(4～3月)'!$D$26:$D$1060,$B19,'内訳ﾘｽﾄ(4～3月)'!G$26:G$1060)</f>
        <v>0</v>
      </c>
      <c r="E19" s="158">
        <f>SUMIF('内訳ﾘｽﾄ(4～3月)'!$D$26:$D$1060,$B19,'内訳ﾘｽﾄ(4～3月)'!H$26:H$1060)</f>
        <v>0</v>
      </c>
      <c r="F19" s="158">
        <f>SUMIF('内訳ﾘｽﾄ(4～3月)'!$D$26:$D$1060,$B19,'内訳ﾘｽﾄ(4～3月)'!I$26:I$1060)</f>
        <v>0</v>
      </c>
      <c r="G19" s="158">
        <f>SUMIF('内訳ﾘｽﾄ(4～3月)'!$D$26:$D$1060,$B19,'内訳ﾘｽﾄ(4～3月)'!J$26:J$1060)</f>
        <v>0</v>
      </c>
      <c r="H19" s="158">
        <f>SUMIF('内訳ﾘｽﾄ(4～3月)'!$D$26:$D$1060,$B19,'内訳ﾘｽﾄ(4～3月)'!K$26:K$1060)</f>
        <v>0</v>
      </c>
      <c r="I19" s="158">
        <f>SUMIF('内訳ﾘｽﾄ(4～3月)'!$D$26:$D$1060,$B19,'内訳ﾘｽﾄ(4～3月)'!L$26:L$1060)</f>
        <v>0</v>
      </c>
      <c r="J19" s="158">
        <f>SUMIF('内訳ﾘｽﾄ(4～3月)'!$D$26:$D$1060,$B19,'内訳ﾘｽﾄ(4～3月)'!M$26:M$1060)</f>
        <v>0</v>
      </c>
      <c r="K19" s="158">
        <f>SUMIF('内訳ﾘｽﾄ(4～3月)'!$D$26:$D$1060,$B19,'内訳ﾘｽﾄ(4～3月)'!N$26:N$1060)</f>
        <v>0</v>
      </c>
      <c r="L19" s="158">
        <f>SUMIF('内訳ﾘｽﾄ(4～3月)'!$D$26:$D$1060,$B19,'内訳ﾘｽﾄ(4～3月)'!O$26:O$1060)</f>
        <v>0</v>
      </c>
      <c r="M19" s="158">
        <f>SUMIF('内訳ﾘｽﾄ(4～3月)'!$D$26:$D$1060,$B19,'内訳ﾘｽﾄ(4～3月)'!P$26:P$1060)</f>
        <v>0</v>
      </c>
      <c r="N19" s="158">
        <f>SUMIF('内訳ﾘｽﾄ(4～3月)'!$D$26:$D$1060,$B19,'内訳ﾘｽﾄ(4～3月)'!Q$26:Q$1060)</f>
        <v>0</v>
      </c>
      <c r="O19" s="158">
        <f>SUMIF('内訳ﾘｽﾄ(4～3月)'!$D$26:$D$859,'採算表(VND)'!$B19,'内訳ﾘｽﾄ(4～3月)'!R$26:R$859)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SUMIF('内訳ﾘｽﾄ(4～3月)'!$D$26:$D$1060,$B20,'内訳ﾘｽﾄ(4～3月)'!F$26:F$1060)</f>
        <v>0</v>
      </c>
      <c r="D20" s="158">
        <f>SUMIF('内訳ﾘｽﾄ(4～3月)'!$D$26:$D$1060,$B20,'内訳ﾘｽﾄ(4～3月)'!G$26:G$1060)</f>
        <v>0</v>
      </c>
      <c r="E20" s="158">
        <f>SUMIF('内訳ﾘｽﾄ(4～3月)'!$D$26:$D$1060,$B20,'内訳ﾘｽﾄ(4～3月)'!H$26:H$1060)</f>
        <v>0</v>
      </c>
      <c r="F20" s="158">
        <f>SUMIF('内訳ﾘｽﾄ(4～3月)'!$D$26:$D$1060,$B20,'内訳ﾘｽﾄ(4～3月)'!I$26:I$1060)</f>
        <v>0</v>
      </c>
      <c r="G20" s="158">
        <f>SUMIF('内訳ﾘｽﾄ(4～3月)'!$D$26:$D$1060,$B20,'内訳ﾘｽﾄ(4～3月)'!J$26:J$1060)</f>
        <v>5958018</v>
      </c>
      <c r="H20" s="158">
        <f>SUMIF('内訳ﾘｽﾄ(4～3月)'!$D$26:$D$1060,$B20,'内訳ﾘｽﾄ(4～3月)'!K$26:K$1060)</f>
        <v>5814818</v>
      </c>
      <c r="I20" s="158">
        <f>SUMIF('内訳ﾘｽﾄ(4～3月)'!$D$26:$D$1060,$B20,'内訳ﾘｽﾄ(4～3月)'!L$26:L$1060)</f>
        <v>5681267</v>
      </c>
      <c r="J20" s="158">
        <f>SUMIF('内訳ﾘｽﾄ(4～3月)'!$D$26:$D$1060,$B20,'内訳ﾘｽﾄ(4～3月)'!M$26:M$1060)</f>
        <v>5669587</v>
      </c>
      <c r="K20" s="158">
        <f>SUMIF('内訳ﾘｽﾄ(4～3月)'!$D$26:$D$1060,$B20,'内訳ﾘｽﾄ(4～3月)'!N$26:N$1060)</f>
        <v>5678220</v>
      </c>
      <c r="L20" s="158">
        <f>SUMIF('内訳ﾘｽﾄ(4～3月)'!$D$26:$D$1060,$B20,'内訳ﾘｽﾄ(4～3月)'!O$26:O$1060)</f>
        <v>5637596</v>
      </c>
      <c r="M20" s="158">
        <f>SUMIF('内訳ﾘｽﾄ(4～3月)'!$D$26:$D$1060,$B20,'内訳ﾘｽﾄ(4～3月)'!P$26:P$1060)</f>
        <v>5584785</v>
      </c>
      <c r="N20" s="158">
        <f>SUMIF('内訳ﾘｽﾄ(4～3月)'!$D$26:$D$1060,$B20,'内訳ﾘｽﾄ(4～3月)'!Q$26:Q$1060)</f>
        <v>5679743</v>
      </c>
      <c r="O20" s="158">
        <f>SUMIF('内訳ﾘｽﾄ(4～3月)'!$D$26:$D$859,'採算表(VND)'!$B20,'内訳ﾘｽﾄ(4～3月)'!R$26:R$859)</f>
        <v>45704034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SUMIF('内訳ﾘｽﾄ(4～3月)'!$D$26:$D$1060,$B21,'内訳ﾘｽﾄ(4～3月)'!F$26:F$1060)</f>
        <v>0</v>
      </c>
      <c r="D21" s="158">
        <f>SUMIF('内訳ﾘｽﾄ(4～3月)'!$D$26:$D$1060,$B21,'内訳ﾘｽﾄ(4～3月)'!G$26:G$1060)</f>
        <v>0</v>
      </c>
      <c r="E21" s="158">
        <f>SUMIF('内訳ﾘｽﾄ(4～3月)'!$D$26:$D$1060,$B21,'内訳ﾘｽﾄ(4～3月)'!H$26:H$1060)</f>
        <v>0</v>
      </c>
      <c r="F21" s="158">
        <f>SUMIF('内訳ﾘｽﾄ(4～3月)'!$D$26:$D$1060,$B21,'内訳ﾘｽﾄ(4～3月)'!I$26:I$1060)</f>
        <v>0</v>
      </c>
      <c r="G21" s="158">
        <f>SUMIF('内訳ﾘｽﾄ(4～3月)'!$D$26:$D$1060,$B21,'内訳ﾘｽﾄ(4～3月)'!J$26:J$1060)</f>
        <v>0</v>
      </c>
      <c r="H21" s="158">
        <f>SUMIF('内訳ﾘｽﾄ(4～3月)'!$D$26:$D$1060,$B21,'内訳ﾘｽﾄ(4～3月)'!K$26:K$1060)</f>
        <v>0</v>
      </c>
      <c r="I21" s="158">
        <f>SUMIF('内訳ﾘｽﾄ(4～3月)'!$D$26:$D$1060,$B21,'内訳ﾘｽﾄ(4～3月)'!L$26:L$1060)</f>
        <v>0</v>
      </c>
      <c r="J21" s="158">
        <f>SUMIF('内訳ﾘｽﾄ(4～3月)'!$D$26:$D$1060,$B21,'内訳ﾘｽﾄ(4～3月)'!M$26:M$1060)</f>
        <v>0</v>
      </c>
      <c r="K21" s="158">
        <f>SUMIF('内訳ﾘｽﾄ(4～3月)'!$D$26:$D$1060,$B21,'内訳ﾘｽﾄ(4～3月)'!N$26:N$1060)</f>
        <v>0</v>
      </c>
      <c r="L21" s="158">
        <f>SUMIF('内訳ﾘｽﾄ(4～3月)'!$D$26:$D$1060,$B21,'内訳ﾘｽﾄ(4～3月)'!O$26:O$1060)</f>
        <v>0</v>
      </c>
      <c r="M21" s="158">
        <f>SUMIF('内訳ﾘｽﾄ(4～3月)'!$D$26:$D$1060,$B21,'内訳ﾘｽﾄ(4～3月)'!P$26:P$1060)</f>
        <v>0</v>
      </c>
      <c r="N21" s="158">
        <f>SUMIF('内訳ﾘｽﾄ(4～3月)'!$D$26:$D$1060,$B21,'内訳ﾘｽﾄ(4～3月)'!Q$26:Q$1060)</f>
        <v>0</v>
      </c>
      <c r="O21" s="158">
        <f>SUMIF('内訳ﾘｽﾄ(4～3月)'!$D$26:$D$859,'採算表(VND)'!$B21,'内訳ﾘｽﾄ(4～3月)'!R$26:R$859)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SUMIF('内訳ﾘｽﾄ(4～3月)'!$D$26:$D$1060,$B22,'内訳ﾘｽﾄ(4～3月)'!F$26:F$1060)</f>
        <v>0</v>
      </c>
      <c r="D22" s="158">
        <f>SUMIF('内訳ﾘｽﾄ(4～3月)'!$D$26:$D$1060,$B22,'内訳ﾘｽﾄ(4～3月)'!G$26:G$1060)</f>
        <v>0</v>
      </c>
      <c r="E22" s="158">
        <f>SUMIF('内訳ﾘｽﾄ(4～3月)'!$D$26:$D$1060,$B22,'内訳ﾘｽﾄ(4～3月)'!H$26:H$1060)</f>
        <v>0</v>
      </c>
      <c r="F22" s="158">
        <f>SUMIF('内訳ﾘｽﾄ(4～3月)'!$D$26:$D$1060,$B22,'内訳ﾘｽﾄ(4～3月)'!I$26:I$1060)</f>
        <v>0</v>
      </c>
      <c r="G22" s="158">
        <f>SUMIF('内訳ﾘｽﾄ(4～3月)'!$D$26:$D$1060,$B22,'内訳ﾘｽﾄ(4～3月)'!J$26:J$1060)</f>
        <v>0</v>
      </c>
      <c r="H22" s="158">
        <f>SUMIF('内訳ﾘｽﾄ(4～3月)'!$D$26:$D$1060,$B22,'内訳ﾘｽﾄ(4～3月)'!K$26:K$1060)</f>
        <v>0</v>
      </c>
      <c r="I22" s="158">
        <f>SUMIF('内訳ﾘｽﾄ(4～3月)'!$D$26:$D$1060,$B22,'内訳ﾘｽﾄ(4～3月)'!L$26:L$1060)</f>
        <v>0</v>
      </c>
      <c r="J22" s="158">
        <f>SUMIF('内訳ﾘｽﾄ(4～3月)'!$D$26:$D$1060,$B22,'内訳ﾘｽﾄ(4～3月)'!M$26:M$1060)</f>
        <v>0</v>
      </c>
      <c r="K22" s="158">
        <f>SUMIF('内訳ﾘｽﾄ(4～3月)'!$D$26:$D$1060,$B22,'内訳ﾘｽﾄ(4～3月)'!N$26:N$1060)</f>
        <v>0</v>
      </c>
      <c r="L22" s="158">
        <f>SUMIF('内訳ﾘｽﾄ(4～3月)'!$D$26:$D$1060,$B22,'内訳ﾘｽﾄ(4～3月)'!O$26:O$1060)</f>
        <v>0</v>
      </c>
      <c r="M22" s="158">
        <f>SUMIF('内訳ﾘｽﾄ(4～3月)'!$D$26:$D$1060,$B22,'内訳ﾘｽﾄ(4～3月)'!P$26:P$1060)</f>
        <v>0</v>
      </c>
      <c r="N22" s="158">
        <f>SUMIF('内訳ﾘｽﾄ(4～3月)'!$D$26:$D$1060,$B22,'内訳ﾘｽﾄ(4～3月)'!Q$26:Q$1060)</f>
        <v>0</v>
      </c>
      <c r="O22" s="158">
        <f>SUMIF('内訳ﾘｽﾄ(4～3月)'!$D$26:$D$859,'採算表(VND)'!$B22,'内訳ﾘｽﾄ(4～3月)'!R$26:R$859)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SUMIF('内訳ﾘｽﾄ(4～3月)'!$D$26:$D$1060,$B23,'内訳ﾘｽﾄ(4～3月)'!F$26:F$1060)</f>
        <v>0</v>
      </c>
      <c r="D23" s="158">
        <f>SUMIF('内訳ﾘｽﾄ(4～3月)'!$D$26:$D$1060,$B23,'内訳ﾘｽﾄ(4～3月)'!G$26:G$1060)</f>
        <v>0</v>
      </c>
      <c r="E23" s="158">
        <f>SUMIF('内訳ﾘｽﾄ(4～3月)'!$D$26:$D$1060,$B23,'内訳ﾘｽﾄ(4～3月)'!H$26:H$1060)</f>
        <v>0</v>
      </c>
      <c r="F23" s="158">
        <f>SUMIF('内訳ﾘｽﾄ(4～3月)'!$D$26:$D$1060,$B23,'内訳ﾘｽﾄ(4～3月)'!I$26:I$1060)</f>
        <v>0</v>
      </c>
      <c r="G23" s="158">
        <f>SUMIF('内訳ﾘｽﾄ(4～3月)'!$D$26:$D$1060,$B23,'内訳ﾘｽﾄ(4～3月)'!J$26:J$1060)</f>
        <v>0</v>
      </c>
      <c r="H23" s="158">
        <f>SUMIF('内訳ﾘｽﾄ(4～3月)'!$D$26:$D$1060,$B23,'内訳ﾘｽﾄ(4～3月)'!K$26:K$1060)</f>
        <v>0</v>
      </c>
      <c r="I23" s="158">
        <f>SUMIF('内訳ﾘｽﾄ(4～3月)'!$D$26:$D$1060,$B23,'内訳ﾘｽﾄ(4～3月)'!L$26:L$1060)</f>
        <v>0</v>
      </c>
      <c r="J23" s="158">
        <f>SUMIF('内訳ﾘｽﾄ(4～3月)'!$D$26:$D$1060,$B23,'内訳ﾘｽﾄ(4～3月)'!M$26:M$1060)</f>
        <v>0</v>
      </c>
      <c r="K23" s="158">
        <f>SUMIF('内訳ﾘｽﾄ(4～3月)'!$D$26:$D$1060,$B23,'内訳ﾘｽﾄ(4～3月)'!N$26:N$1060)</f>
        <v>0</v>
      </c>
      <c r="L23" s="158">
        <f>SUMIF('内訳ﾘｽﾄ(4～3月)'!$D$26:$D$1060,$B23,'内訳ﾘｽﾄ(4～3月)'!O$26:O$1060)</f>
        <v>0</v>
      </c>
      <c r="M23" s="158">
        <f>SUMIF('内訳ﾘｽﾄ(4～3月)'!$D$26:$D$1060,$B23,'内訳ﾘｽﾄ(4～3月)'!P$26:P$1060)</f>
        <v>0</v>
      </c>
      <c r="N23" s="158">
        <f>SUMIF('内訳ﾘｽﾄ(4～3月)'!$D$26:$D$1060,$B23,'内訳ﾘｽﾄ(4～3月)'!Q$26:Q$1060)</f>
        <v>0</v>
      </c>
      <c r="O23" s="158">
        <f>SUMIF('内訳ﾘｽﾄ(4～3月)'!$D$26:$D$859,'採算表(VND)'!$B23,'内訳ﾘｽﾄ(4～3月)'!R$26:R$859)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SUMIF('内訳ﾘｽﾄ(4～3月)'!$D$26:$D$1060,$B24,'内訳ﾘｽﾄ(4～3月)'!F$26:F$1060)</f>
        <v>0</v>
      </c>
      <c r="D24" s="158">
        <f>SUMIF('内訳ﾘｽﾄ(4～3月)'!$D$26:$D$1060,$B24,'内訳ﾘｽﾄ(4～3月)'!G$26:G$1060)</f>
        <v>0</v>
      </c>
      <c r="E24" s="158">
        <f>SUMIF('内訳ﾘｽﾄ(4～3月)'!$D$26:$D$1060,$B24,'内訳ﾘｽﾄ(4～3月)'!H$26:H$1060)</f>
        <v>0</v>
      </c>
      <c r="F24" s="158">
        <f>SUMIF('内訳ﾘｽﾄ(4～3月)'!$D$26:$D$1060,$B24,'内訳ﾘｽﾄ(4～3月)'!I$26:I$1060)</f>
        <v>0</v>
      </c>
      <c r="G24" s="158">
        <f>SUMIF('内訳ﾘｽﾄ(4～3月)'!$D$26:$D$1060,$B24,'内訳ﾘｽﾄ(4～3月)'!J$26:J$1060)</f>
        <v>0</v>
      </c>
      <c r="H24" s="158">
        <f>SUMIF('内訳ﾘｽﾄ(4～3月)'!$D$26:$D$1060,$B24,'内訳ﾘｽﾄ(4～3月)'!K$26:K$1060)</f>
        <v>0</v>
      </c>
      <c r="I24" s="158">
        <f>SUMIF('内訳ﾘｽﾄ(4～3月)'!$D$26:$D$1060,$B24,'内訳ﾘｽﾄ(4～3月)'!L$26:L$1060)</f>
        <v>0</v>
      </c>
      <c r="J24" s="158">
        <f>SUMIF('内訳ﾘｽﾄ(4～3月)'!$D$26:$D$1060,$B24,'内訳ﾘｽﾄ(4～3月)'!M$26:M$1060)</f>
        <v>0</v>
      </c>
      <c r="K24" s="158">
        <f>SUMIF('内訳ﾘｽﾄ(4～3月)'!$D$26:$D$1060,$B24,'内訳ﾘｽﾄ(4～3月)'!N$26:N$1060)</f>
        <v>0</v>
      </c>
      <c r="L24" s="158">
        <f>SUMIF('内訳ﾘｽﾄ(4～3月)'!$D$26:$D$1060,$B24,'内訳ﾘｽﾄ(4～3月)'!O$26:O$1060)</f>
        <v>0</v>
      </c>
      <c r="M24" s="158">
        <f>SUMIF('内訳ﾘｽﾄ(4～3月)'!$D$26:$D$1060,$B24,'内訳ﾘｽﾄ(4～3月)'!P$26:P$1060)</f>
        <v>0</v>
      </c>
      <c r="N24" s="158">
        <f>SUMIF('内訳ﾘｽﾄ(4～3月)'!$D$26:$D$1060,$B24,'内訳ﾘｽﾄ(4～3月)'!Q$26:Q$1060)</f>
        <v>0</v>
      </c>
      <c r="O24" s="158">
        <f>SUMIF('内訳ﾘｽﾄ(4～3月)'!$D$26:$D$859,'採算表(VND)'!$B24,'内訳ﾘｽﾄ(4～3月)'!R$26:R$859)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SUMIF('内訳ﾘｽﾄ(4～3月)'!$D$26:$D$1060,$B25,'内訳ﾘｽﾄ(4～3月)'!F$26:F$1060)</f>
        <v>0</v>
      </c>
      <c r="D25" s="158">
        <f>SUMIF('内訳ﾘｽﾄ(4～3月)'!$D$26:$D$1060,$B25,'内訳ﾘｽﾄ(4～3月)'!G$26:G$1060)</f>
        <v>0</v>
      </c>
      <c r="E25" s="158">
        <f>SUMIF('内訳ﾘｽﾄ(4～3月)'!$D$26:$D$1060,$B25,'内訳ﾘｽﾄ(4～3月)'!H$26:H$1060)</f>
        <v>0</v>
      </c>
      <c r="F25" s="158">
        <f>SUMIF('内訳ﾘｽﾄ(4～3月)'!$D$26:$D$1060,$B25,'内訳ﾘｽﾄ(4～3月)'!I$26:I$1060)</f>
        <v>0</v>
      </c>
      <c r="G25" s="158">
        <f>SUMIF('内訳ﾘｽﾄ(4～3月)'!$D$26:$D$1060,$B25,'内訳ﾘｽﾄ(4～3月)'!J$26:J$1060)</f>
        <v>542808</v>
      </c>
      <c r="H25" s="158">
        <f>SUMIF('内訳ﾘｽﾄ(4～3月)'!$D$26:$D$1060,$B25,'内訳ﾘｽﾄ(4～3月)'!K$26:K$1060)</f>
        <v>532116</v>
      </c>
      <c r="I25" s="158">
        <f>SUMIF('内訳ﾘｽﾄ(4～3月)'!$D$26:$D$1060,$B25,'内訳ﾘｽﾄ(4～3月)'!L$26:L$1060)</f>
        <v>628892</v>
      </c>
      <c r="J25" s="158">
        <f>SUMIF('内訳ﾘｽﾄ(4～3月)'!$D$26:$D$1060,$B25,'内訳ﾘｽﾄ(4～3月)'!M$26:M$1060)</f>
        <v>543420</v>
      </c>
      <c r="K25" s="158">
        <f>SUMIF('内訳ﾘｽﾄ(4～3月)'!$D$26:$D$1060,$B25,'内訳ﾘｽﾄ(4～3月)'!N$26:N$1060)</f>
        <v>618536</v>
      </c>
      <c r="L25" s="158">
        <f>SUMIF('内訳ﾘｽﾄ(4～3月)'!$D$26:$D$1060,$B25,'内訳ﾘｽﾄ(4～3月)'!O$26:O$1060)</f>
        <v>543324</v>
      </c>
      <c r="M25" s="158">
        <f>SUMIF('内訳ﾘｽﾄ(4～3月)'!$D$26:$D$1060,$B25,'内訳ﾘｽﾄ(4～3月)'!P$26:P$1060)</f>
        <v>386108</v>
      </c>
      <c r="N25" s="158">
        <f>SUMIF('内訳ﾘｽﾄ(4～3月)'!$D$26:$D$1060,$B25,'内訳ﾘｽﾄ(4～3月)'!Q$26:Q$1060)</f>
        <v>596240</v>
      </c>
      <c r="O25" s="158">
        <f>SUMIF('内訳ﾘｽﾄ(4～3月)'!$D$26:$D$859,'採算表(VND)'!$B25,'内訳ﾘｽﾄ(4～3月)'!R$26:R$859)</f>
        <v>4391444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SUMIF('内訳ﾘｽﾄ(4～3月)'!$D$26:$D$1060,$B26,'内訳ﾘｽﾄ(4～3月)'!F$26:F$1060)</f>
        <v>0</v>
      </c>
      <c r="D26" s="158">
        <f>SUMIF('内訳ﾘｽﾄ(4～3月)'!$D$26:$D$1060,$B26,'内訳ﾘｽﾄ(4～3月)'!G$26:G$1060)</f>
        <v>0</v>
      </c>
      <c r="E26" s="158">
        <f>SUMIF('内訳ﾘｽﾄ(4～3月)'!$D$26:$D$1060,$B26,'内訳ﾘｽﾄ(4～3月)'!H$26:H$1060)</f>
        <v>0</v>
      </c>
      <c r="F26" s="158">
        <f>SUMIF('内訳ﾘｽﾄ(4～3月)'!$D$26:$D$1060,$B26,'内訳ﾘｽﾄ(4～3月)'!I$26:I$1060)</f>
        <v>0</v>
      </c>
      <c r="G26" s="158">
        <f>SUMIF('内訳ﾘｽﾄ(4～3月)'!$D$26:$D$1060,$B26,'内訳ﾘｽﾄ(4～3月)'!J$26:J$1060)</f>
        <v>0</v>
      </c>
      <c r="H26" s="158">
        <f>SUMIF('内訳ﾘｽﾄ(4～3月)'!$D$26:$D$1060,$B26,'内訳ﾘｽﾄ(4～3月)'!K$26:K$1060)</f>
        <v>0</v>
      </c>
      <c r="I26" s="158">
        <f>SUMIF('内訳ﾘｽﾄ(4～3月)'!$D$26:$D$1060,$B26,'内訳ﾘｽﾄ(4～3月)'!L$26:L$1060)</f>
        <v>0</v>
      </c>
      <c r="J26" s="158">
        <f>SUMIF('内訳ﾘｽﾄ(4～3月)'!$D$26:$D$1060,$B26,'内訳ﾘｽﾄ(4～3月)'!M$26:M$1060)</f>
        <v>0</v>
      </c>
      <c r="K26" s="158">
        <f>SUMIF('内訳ﾘｽﾄ(4～3月)'!$D$26:$D$1060,$B26,'内訳ﾘｽﾄ(4～3月)'!N$26:N$1060)</f>
        <v>0</v>
      </c>
      <c r="L26" s="158">
        <f>SUMIF('内訳ﾘｽﾄ(4～3月)'!$D$26:$D$1060,$B26,'内訳ﾘｽﾄ(4～3月)'!O$26:O$1060)</f>
        <v>0</v>
      </c>
      <c r="M26" s="158">
        <f>SUMIF('内訳ﾘｽﾄ(4～3月)'!$D$26:$D$1060,$B26,'内訳ﾘｽﾄ(4～3月)'!P$26:P$1060)</f>
        <v>0</v>
      </c>
      <c r="N26" s="158">
        <f>SUMIF('内訳ﾘｽﾄ(4～3月)'!$D$26:$D$1060,$B26,'内訳ﾘｽﾄ(4～3月)'!Q$26:Q$1060)</f>
        <v>0</v>
      </c>
      <c r="O26" s="158">
        <f>SUMIF('内訳ﾘｽﾄ(4～3月)'!$D$26:$D$859,'採算表(VND)'!$B26,'内訳ﾘｽﾄ(4～3月)'!R$26:R$859)</f>
        <v>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SUMIF('内訳ﾘｽﾄ(4～3月)'!$D$26:$D$1060,$B27,'内訳ﾘｽﾄ(4～3月)'!F$26:F$1060)</f>
        <v>0</v>
      </c>
      <c r="D27" s="158">
        <f>SUMIF('内訳ﾘｽﾄ(4～3月)'!$D$26:$D$1060,$B27,'内訳ﾘｽﾄ(4～3月)'!G$26:G$1060)</f>
        <v>0</v>
      </c>
      <c r="E27" s="158">
        <f>SUMIF('内訳ﾘｽﾄ(4～3月)'!$D$26:$D$1060,$B27,'内訳ﾘｽﾄ(4～3月)'!H$26:H$1060)</f>
        <v>0</v>
      </c>
      <c r="F27" s="158">
        <f>SUMIF('内訳ﾘｽﾄ(4～3月)'!$D$26:$D$1060,$B27,'内訳ﾘｽﾄ(4～3月)'!I$26:I$1060)</f>
        <v>0</v>
      </c>
      <c r="G27" s="158">
        <f>SUMIF('内訳ﾘｽﾄ(4～3月)'!$D$26:$D$1060,$B27,'内訳ﾘｽﾄ(4～3月)'!J$26:J$1060)</f>
        <v>0</v>
      </c>
      <c r="H27" s="158">
        <f>SUMIF('内訳ﾘｽﾄ(4～3月)'!$D$26:$D$1060,$B27,'内訳ﾘｽﾄ(4～3月)'!K$26:K$1060)</f>
        <v>0</v>
      </c>
      <c r="I27" s="158">
        <f>SUMIF('内訳ﾘｽﾄ(4～3月)'!$D$26:$D$1060,$B27,'内訳ﾘｽﾄ(4～3月)'!L$26:L$1060)</f>
        <v>0</v>
      </c>
      <c r="J27" s="158">
        <f>SUMIF('内訳ﾘｽﾄ(4～3月)'!$D$26:$D$1060,$B27,'内訳ﾘｽﾄ(4～3月)'!M$26:M$1060)</f>
        <v>0</v>
      </c>
      <c r="K27" s="158">
        <f>SUMIF('内訳ﾘｽﾄ(4～3月)'!$D$26:$D$1060,$B27,'内訳ﾘｽﾄ(4～3月)'!N$26:N$1060)</f>
        <v>0</v>
      </c>
      <c r="L27" s="158">
        <f>SUMIF('内訳ﾘｽﾄ(4～3月)'!$D$26:$D$1060,$B27,'内訳ﾘｽﾄ(4～3月)'!O$26:O$1060)</f>
        <v>0</v>
      </c>
      <c r="M27" s="158">
        <f>SUMIF('内訳ﾘｽﾄ(4～3月)'!$D$26:$D$1060,$B27,'内訳ﾘｽﾄ(4～3月)'!P$26:P$1060)</f>
        <v>0</v>
      </c>
      <c r="N27" s="158">
        <f>SUMIF('内訳ﾘｽﾄ(4～3月)'!$D$26:$D$1060,$B27,'内訳ﾘｽﾄ(4～3月)'!Q$26:Q$1060)</f>
        <v>0</v>
      </c>
      <c r="O27" s="158">
        <f>SUMIF('内訳ﾘｽﾄ(4～3月)'!$D$26:$D$859,'採算表(VND)'!$B27,'内訳ﾘｽﾄ(4～3月)'!R$26:R$859)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SUMIF('内訳ﾘｽﾄ(4～3月)'!$D$26:$D$1060,$B28,'内訳ﾘｽﾄ(4～3月)'!F$26:F$1060)</f>
        <v>0</v>
      </c>
      <c r="D28" s="158">
        <f>SUMIF('内訳ﾘｽﾄ(4～3月)'!$D$26:$D$1060,$B28,'内訳ﾘｽﾄ(4～3月)'!G$26:G$1060)</f>
        <v>0</v>
      </c>
      <c r="E28" s="158">
        <f>SUMIF('内訳ﾘｽﾄ(4～3月)'!$D$26:$D$1060,$B28,'内訳ﾘｽﾄ(4～3月)'!H$26:H$1060)</f>
        <v>0</v>
      </c>
      <c r="F28" s="158">
        <f>SUMIF('内訳ﾘｽﾄ(4～3月)'!$D$26:$D$1060,$B28,'内訳ﾘｽﾄ(4～3月)'!I$26:I$1060)</f>
        <v>0</v>
      </c>
      <c r="G28" s="158">
        <f>SUMIF('内訳ﾘｽﾄ(4～3月)'!$D$26:$D$1060,$B28,'内訳ﾘｽﾄ(4～3月)'!J$26:J$1060)</f>
        <v>1300000</v>
      </c>
      <c r="H28" s="158">
        <f>SUMIF('内訳ﾘｽﾄ(4～3月)'!$D$26:$D$1060,$B28,'内訳ﾘｽﾄ(4～3月)'!K$26:K$1060)</f>
        <v>2600000</v>
      </c>
      <c r="I28" s="158">
        <f>SUMIF('内訳ﾘｽﾄ(4～3月)'!$D$26:$D$1060,$B28,'内訳ﾘｽﾄ(4～3月)'!L$26:L$1060)</f>
        <v>1950000</v>
      </c>
      <c r="J28" s="158">
        <f>SUMIF('内訳ﾘｽﾄ(4～3月)'!$D$26:$D$1060,$B28,'内訳ﾘｽﾄ(4～3月)'!M$26:M$1060)</f>
        <v>650000</v>
      </c>
      <c r="K28" s="158">
        <f>SUMIF('内訳ﾘｽﾄ(4～3月)'!$D$26:$D$1060,$B28,'内訳ﾘｽﾄ(4～3月)'!N$26:N$1060)</f>
        <v>0</v>
      </c>
      <c r="L28" s="158">
        <f>SUMIF('内訳ﾘｽﾄ(4～3月)'!$D$26:$D$1060,$B28,'内訳ﾘｽﾄ(4～3月)'!O$26:O$1060)</f>
        <v>0</v>
      </c>
      <c r="M28" s="158">
        <f>SUMIF('内訳ﾘｽﾄ(4～3月)'!$D$26:$D$1060,$B28,'内訳ﾘｽﾄ(4～3月)'!P$26:P$1060)</f>
        <v>0</v>
      </c>
      <c r="N28" s="158">
        <f>SUMIF('内訳ﾘｽﾄ(4～3月)'!$D$26:$D$1060,$B28,'内訳ﾘｽﾄ(4～3月)'!Q$26:Q$1060)</f>
        <v>0</v>
      </c>
      <c r="O28" s="158">
        <f>SUMIF('内訳ﾘｽﾄ(4～3月)'!$D$26:$D$859,'採算表(VND)'!$B28,'内訳ﾘｽﾄ(4～3月)'!R$26:R$859)</f>
        <v>6500000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SUMIF('内訳ﾘｽﾄ(4～3月)'!$D$26:$D$1060,$B29,'内訳ﾘｽﾄ(4～3月)'!F$26:F$1060)</f>
        <v>0</v>
      </c>
      <c r="D29" s="158">
        <f>SUMIF('内訳ﾘｽﾄ(4～3月)'!$D$26:$D$1060,$B29,'内訳ﾘｽﾄ(4～3月)'!G$26:G$1060)</f>
        <v>0</v>
      </c>
      <c r="E29" s="158">
        <f>SUMIF('内訳ﾘｽﾄ(4～3月)'!$D$26:$D$1060,$B29,'内訳ﾘｽﾄ(4～3月)'!H$26:H$1060)</f>
        <v>0</v>
      </c>
      <c r="F29" s="158">
        <f>SUMIF('内訳ﾘｽﾄ(4～3月)'!$D$26:$D$1060,$B29,'内訳ﾘｽﾄ(4～3月)'!I$26:I$1060)</f>
        <v>75164035</v>
      </c>
      <c r="G29" s="158">
        <f>SUMIF('内訳ﾘｽﾄ(4～3月)'!$D$26:$D$1060,$B29,'内訳ﾘｽﾄ(4～3月)'!J$26:J$1060)</f>
        <v>115788035</v>
      </c>
      <c r="H29" s="158">
        <f>SUMIF('内訳ﾘｽﾄ(4～3月)'!$D$26:$D$1060,$B29,'内訳ﾘｽﾄ(4～3月)'!K$26:K$1060)</f>
        <v>58694968</v>
      </c>
      <c r="I29" s="158">
        <f>SUMIF('内訳ﾘｽﾄ(4～3月)'!$D$26:$D$1060,$B29,'内訳ﾘｽﾄ(4～3月)'!L$26:L$1060)</f>
        <v>13964500</v>
      </c>
      <c r="J29" s="158">
        <f>SUMIF('内訳ﾘｽﾄ(4～3月)'!$D$26:$D$1060,$B29,'内訳ﾘｽﾄ(4～3月)'!M$26:M$1060)</f>
        <v>0</v>
      </c>
      <c r="K29" s="158">
        <f>SUMIF('内訳ﾘｽﾄ(4～3月)'!$D$26:$D$1060,$B29,'内訳ﾘｽﾄ(4～3月)'!N$26:N$1060)</f>
        <v>0</v>
      </c>
      <c r="L29" s="158">
        <f>SUMIF('内訳ﾘｽﾄ(4～3月)'!$D$26:$D$1060,$B29,'内訳ﾘｽﾄ(4～3月)'!O$26:O$1060)</f>
        <v>0</v>
      </c>
      <c r="M29" s="158">
        <f>SUMIF('内訳ﾘｽﾄ(4～3月)'!$D$26:$D$1060,$B29,'内訳ﾘｽﾄ(4～3月)'!P$26:P$1060)</f>
        <v>0</v>
      </c>
      <c r="N29" s="158">
        <f>SUMIF('内訳ﾘｽﾄ(4～3月)'!$D$26:$D$1060,$B29,'内訳ﾘｽﾄ(4～3月)'!Q$26:Q$1060)</f>
        <v>0</v>
      </c>
      <c r="O29" s="158">
        <f>SUMIF('内訳ﾘｽﾄ(4～3月)'!$D$26:$D$859,'採算表(VND)'!$B29,'内訳ﾘｽﾄ(4～3月)'!R$26:R$859)</f>
        <v>263611538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SUMIF('内訳ﾘｽﾄ(4～3月)'!$D$26:$D$1060,$B30,'内訳ﾘｽﾄ(4～3月)'!F$26:F$1060)</f>
        <v>0</v>
      </c>
      <c r="D30" s="158">
        <f>SUMIF('内訳ﾘｽﾄ(4～3月)'!$D$26:$D$1060,$B30,'内訳ﾘｽﾄ(4～3月)'!G$26:G$1060)</f>
        <v>0</v>
      </c>
      <c r="E30" s="158">
        <f>SUMIF('内訳ﾘｽﾄ(4～3月)'!$D$26:$D$1060,$B30,'内訳ﾘｽﾄ(4～3月)'!H$26:H$1060)</f>
        <v>0</v>
      </c>
      <c r="F30" s="158">
        <f>SUMIF('内訳ﾘｽﾄ(4～3月)'!$D$26:$D$1060,$B30,'内訳ﾘｽﾄ(4～3月)'!I$26:I$1060)</f>
        <v>0</v>
      </c>
      <c r="G30" s="158">
        <f>SUMIF('内訳ﾘｽﾄ(4～3月)'!$D$26:$D$1060,$B30,'内訳ﾘｽﾄ(4～3月)'!J$26:J$1060)</f>
        <v>2006494</v>
      </c>
      <c r="H30" s="158">
        <f>SUMIF('内訳ﾘｽﾄ(4～3月)'!$D$26:$D$1060,$B30,'内訳ﾘｽﾄ(4～3月)'!K$26:K$1060)</f>
        <v>1804880</v>
      </c>
      <c r="I30" s="158">
        <f>SUMIF('内訳ﾘｽﾄ(4～3月)'!$D$26:$D$1060,$B30,'内訳ﾘｽﾄ(4～3月)'!L$26:L$1060)</f>
        <v>1757799</v>
      </c>
      <c r="J30" s="158">
        <f>SUMIF('内訳ﾘｽﾄ(4～3月)'!$D$26:$D$1060,$B30,'内訳ﾘｽﾄ(4～3月)'!M$26:M$1060)</f>
        <v>1730308</v>
      </c>
      <c r="K30" s="158">
        <f>SUMIF('内訳ﾘｽﾄ(4～3月)'!$D$26:$D$1060,$B30,'内訳ﾘｽﾄ(4～3月)'!N$26:N$1060)</f>
        <v>1732922</v>
      </c>
      <c r="L30" s="158">
        <f>SUMIF('内訳ﾘｽﾄ(4～3月)'!$D$26:$D$1060,$B30,'内訳ﾘｽﾄ(4～3月)'!O$26:O$1060)</f>
        <v>1477886</v>
      </c>
      <c r="M30" s="158">
        <f>SUMIF('内訳ﾘｽﾄ(4～3月)'!$D$26:$D$1060,$B30,'内訳ﾘｽﾄ(4～3月)'!P$26:P$1060)</f>
        <v>1283846</v>
      </c>
      <c r="N30" s="158">
        <f>SUMIF('内訳ﾘｽﾄ(4～3月)'!$D$26:$D$1060,$B30,'内訳ﾘｽﾄ(4～3月)'!Q$26:Q$1060)</f>
        <v>1299716</v>
      </c>
      <c r="O30" s="158">
        <f>SUMIF('内訳ﾘｽﾄ(4～3月)'!$D$26:$D$859,'採算表(VND)'!$B30,'内訳ﾘｽﾄ(4～3月)'!R$26:R$859)</f>
        <v>13093851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SUMIF('内訳ﾘｽﾄ(4～3月)'!$D$26:$D$1060,$B31,'内訳ﾘｽﾄ(4～3月)'!F$26:F$1060)</f>
        <v>0</v>
      </c>
      <c r="D31" s="158">
        <f>SUMIF('内訳ﾘｽﾄ(4～3月)'!$D$26:$D$1060,$B31,'内訳ﾘｽﾄ(4～3月)'!G$26:G$1060)</f>
        <v>0</v>
      </c>
      <c r="E31" s="158">
        <f>SUMIF('内訳ﾘｽﾄ(4～3月)'!$D$26:$D$1060,$B31,'内訳ﾘｽﾄ(4～3月)'!H$26:H$1060)</f>
        <v>0</v>
      </c>
      <c r="F31" s="158">
        <f>SUMIF('内訳ﾘｽﾄ(4～3月)'!$D$26:$D$1060,$B31,'内訳ﾘｽﾄ(4～3月)'!I$26:I$1060)</f>
        <v>0</v>
      </c>
      <c r="G31" s="158">
        <f>SUMIF('内訳ﾘｽﾄ(4～3月)'!$D$26:$D$1060,$B31,'内訳ﾘｽﾄ(4～3月)'!J$26:J$1060)</f>
        <v>0</v>
      </c>
      <c r="H31" s="158">
        <f>SUMIF('内訳ﾘｽﾄ(4～3月)'!$D$26:$D$1060,$B31,'内訳ﾘｽﾄ(4～3月)'!K$26:K$1060)</f>
        <v>0</v>
      </c>
      <c r="I31" s="158">
        <f>SUMIF('内訳ﾘｽﾄ(4～3月)'!$D$26:$D$1060,$B31,'内訳ﾘｽﾄ(4～3月)'!L$26:L$1060)</f>
        <v>500000</v>
      </c>
      <c r="J31" s="158">
        <f>SUMIF('内訳ﾘｽﾄ(4～3月)'!$D$26:$D$1060,$B31,'内訳ﾘｽﾄ(4～3月)'!M$26:M$1060)</f>
        <v>0</v>
      </c>
      <c r="K31" s="158">
        <f>SUMIF('内訳ﾘｽﾄ(4～3月)'!$D$26:$D$1060,$B31,'内訳ﾘｽﾄ(4～3月)'!N$26:N$1060)</f>
        <v>0</v>
      </c>
      <c r="L31" s="158">
        <f>SUMIF('内訳ﾘｽﾄ(4～3月)'!$D$26:$D$1060,$B31,'内訳ﾘｽﾄ(4～3月)'!O$26:O$1060)</f>
        <v>0</v>
      </c>
      <c r="M31" s="158">
        <f>SUMIF('内訳ﾘｽﾄ(4～3月)'!$D$26:$D$1060,$B31,'内訳ﾘｽﾄ(4～3月)'!P$26:P$1060)</f>
        <v>0</v>
      </c>
      <c r="N31" s="158">
        <f>SUMIF('内訳ﾘｽﾄ(4～3月)'!$D$26:$D$1060,$B31,'内訳ﾘｽﾄ(4～3月)'!Q$26:Q$1060)</f>
        <v>0</v>
      </c>
      <c r="O31" s="158">
        <f>SUMIF('内訳ﾘｽﾄ(4～3月)'!$D$26:$D$859,'採算表(VND)'!$B31,'内訳ﾘｽﾄ(4～3月)'!R$26:R$859)</f>
        <v>500000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SUMIF('内訳ﾘｽﾄ(4～3月)'!$D$26:$D$1060,$B32,'内訳ﾘｽﾄ(4～3月)'!F$26:F$1060)</f>
        <v>0</v>
      </c>
      <c r="D32" s="158">
        <f>SUMIF('内訳ﾘｽﾄ(4～3月)'!$D$26:$D$1060,$B32,'内訳ﾘｽﾄ(4～3月)'!G$26:G$1060)</f>
        <v>0</v>
      </c>
      <c r="E32" s="158">
        <f>SUMIF('内訳ﾘｽﾄ(4～3月)'!$D$26:$D$1060,$B32,'内訳ﾘｽﾄ(4～3月)'!H$26:H$1060)</f>
        <v>0</v>
      </c>
      <c r="F32" s="158">
        <f>SUMIF('内訳ﾘｽﾄ(4～3月)'!$D$26:$D$1060,$B32,'内訳ﾘｽﾄ(4～3月)'!I$26:I$1060)</f>
        <v>0</v>
      </c>
      <c r="G32" s="158">
        <f>SUMIF('内訳ﾘｽﾄ(4～3月)'!$D$26:$D$1060,$B32,'内訳ﾘｽﾄ(4～3月)'!J$26:J$1060)</f>
        <v>0</v>
      </c>
      <c r="H32" s="158">
        <f>SUMIF('内訳ﾘｽﾄ(4～3月)'!$D$26:$D$1060,$B32,'内訳ﾘｽﾄ(4～3月)'!K$26:K$1060)</f>
        <v>0</v>
      </c>
      <c r="I32" s="158">
        <f>SUMIF('内訳ﾘｽﾄ(4～3月)'!$D$26:$D$1060,$B32,'内訳ﾘｽﾄ(4～3月)'!L$26:L$1060)</f>
        <v>0</v>
      </c>
      <c r="J32" s="158">
        <f>SUMIF('内訳ﾘｽﾄ(4～3月)'!$D$26:$D$1060,$B32,'内訳ﾘｽﾄ(4～3月)'!M$26:M$1060)</f>
        <v>0</v>
      </c>
      <c r="K32" s="158">
        <f>SUMIF('内訳ﾘｽﾄ(4～3月)'!$D$26:$D$1060,$B32,'内訳ﾘｽﾄ(4～3月)'!N$26:N$1060)</f>
        <v>0</v>
      </c>
      <c r="L32" s="158">
        <f>SUMIF('内訳ﾘｽﾄ(4～3月)'!$D$26:$D$1060,$B32,'内訳ﾘｽﾄ(4～3月)'!O$26:O$1060)</f>
        <v>0</v>
      </c>
      <c r="M32" s="158">
        <f>SUMIF('内訳ﾘｽﾄ(4～3月)'!$D$26:$D$1060,$B32,'内訳ﾘｽﾄ(4～3月)'!P$26:P$1060)</f>
        <v>0</v>
      </c>
      <c r="N32" s="158">
        <f>SUMIF('内訳ﾘｽﾄ(4～3月)'!$D$26:$D$1060,$B32,'内訳ﾘｽﾄ(4～3月)'!Q$26:Q$1060)</f>
        <v>0</v>
      </c>
      <c r="O32" s="158">
        <f>SUMIF('内訳ﾘｽﾄ(4～3月)'!$D$26:$D$859,'採算表(VND)'!$B32,'内訳ﾘｽﾄ(4～3月)'!R$26:R$859)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SUMIF('内訳ﾘｽﾄ(4～3月)'!$D$26:$D$1060,$B33,'内訳ﾘｽﾄ(4～3月)'!F$26:F$1060)</f>
        <v>0</v>
      </c>
      <c r="D33" s="158">
        <f>SUMIF('内訳ﾘｽﾄ(4～3月)'!$D$26:$D$1060,$B33,'内訳ﾘｽﾄ(4～3月)'!G$26:G$1060)</f>
        <v>0</v>
      </c>
      <c r="E33" s="158">
        <f>SUMIF('内訳ﾘｽﾄ(4～3月)'!$D$26:$D$1060,$B33,'内訳ﾘｽﾄ(4～3月)'!H$26:H$1060)</f>
        <v>0</v>
      </c>
      <c r="F33" s="158">
        <f>SUMIF('内訳ﾘｽﾄ(4～3月)'!$D$26:$D$1060,$B33,'内訳ﾘｽﾄ(4～3月)'!I$26:I$1060)</f>
        <v>0</v>
      </c>
      <c r="G33" s="158">
        <f>SUMIF('内訳ﾘｽﾄ(4～3月)'!$D$26:$D$1060,$B33,'内訳ﾘｽﾄ(4～3月)'!J$26:J$1060)</f>
        <v>0</v>
      </c>
      <c r="H33" s="158">
        <f>SUMIF('内訳ﾘｽﾄ(4～3月)'!$D$26:$D$1060,$B33,'内訳ﾘｽﾄ(4～3月)'!K$26:K$1060)</f>
        <v>0</v>
      </c>
      <c r="I33" s="158">
        <f>SUMIF('内訳ﾘｽﾄ(4～3月)'!$D$26:$D$1060,$B33,'内訳ﾘｽﾄ(4～3月)'!L$26:L$1060)</f>
        <v>0</v>
      </c>
      <c r="J33" s="158">
        <f>SUMIF('内訳ﾘｽﾄ(4～3月)'!$D$26:$D$1060,$B33,'内訳ﾘｽﾄ(4～3月)'!M$26:M$1060)</f>
        <v>0</v>
      </c>
      <c r="K33" s="158">
        <f>SUMIF('内訳ﾘｽﾄ(4～3月)'!$D$26:$D$1060,$B33,'内訳ﾘｽﾄ(4～3月)'!N$26:N$1060)</f>
        <v>0</v>
      </c>
      <c r="L33" s="158">
        <f>SUMIF('内訳ﾘｽﾄ(4～3月)'!$D$26:$D$1060,$B33,'内訳ﾘｽﾄ(4～3月)'!O$26:O$1060)</f>
        <v>0</v>
      </c>
      <c r="M33" s="158">
        <f>SUMIF('内訳ﾘｽﾄ(4～3月)'!$D$26:$D$1060,$B33,'内訳ﾘｽﾄ(4～3月)'!P$26:P$1060)</f>
        <v>0</v>
      </c>
      <c r="N33" s="158">
        <f>SUMIF('内訳ﾘｽﾄ(4～3月)'!$D$26:$D$1060,$B33,'内訳ﾘｽﾄ(4～3月)'!Q$26:Q$1060)</f>
        <v>0</v>
      </c>
      <c r="O33" s="158">
        <f>SUMIF('内訳ﾘｽﾄ(4～3月)'!$D$26:$D$859,'採算表(VND)'!$B33,'内訳ﾘｽﾄ(4～3月)'!R$26:R$859)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SUMIF('内訳ﾘｽﾄ(4～3月)'!$D$26:$D$1060,$B34,'内訳ﾘｽﾄ(4～3月)'!F$26:F$1060)</f>
        <v>0</v>
      </c>
      <c r="D34" s="158">
        <f>SUMIF('内訳ﾘｽﾄ(4～3月)'!$D$26:$D$1060,$B34,'内訳ﾘｽﾄ(4～3月)'!G$26:G$1060)</f>
        <v>0</v>
      </c>
      <c r="E34" s="158">
        <f>SUMIF('内訳ﾘｽﾄ(4～3月)'!$D$26:$D$1060,$B34,'内訳ﾘｽﾄ(4～3月)'!H$26:H$1060)</f>
        <v>0</v>
      </c>
      <c r="F34" s="158">
        <f>SUMIF('内訳ﾘｽﾄ(4～3月)'!$D$26:$D$1060,$B34,'内訳ﾘｽﾄ(4～3月)'!I$26:I$1060)</f>
        <v>0</v>
      </c>
      <c r="G34" s="158">
        <f>SUMIF('内訳ﾘｽﾄ(4～3月)'!$D$26:$D$1060,$B34,'内訳ﾘｽﾄ(4～3月)'!J$26:J$1060)</f>
        <v>0</v>
      </c>
      <c r="H34" s="158">
        <f>SUMIF('内訳ﾘｽﾄ(4～3月)'!$D$26:$D$1060,$B34,'内訳ﾘｽﾄ(4～3月)'!K$26:K$1060)</f>
        <v>0</v>
      </c>
      <c r="I34" s="158">
        <f>SUMIF('内訳ﾘｽﾄ(4～3月)'!$D$26:$D$1060,$B34,'内訳ﾘｽﾄ(4～3月)'!L$26:L$1060)</f>
        <v>0</v>
      </c>
      <c r="J34" s="158">
        <f>SUMIF('内訳ﾘｽﾄ(4～3月)'!$D$26:$D$1060,$B34,'内訳ﾘｽﾄ(4～3月)'!M$26:M$1060)</f>
        <v>0</v>
      </c>
      <c r="K34" s="158">
        <f>SUMIF('内訳ﾘｽﾄ(4～3月)'!$D$26:$D$1060,$B34,'内訳ﾘｽﾄ(4～3月)'!N$26:N$1060)</f>
        <v>0</v>
      </c>
      <c r="L34" s="158">
        <f>SUMIF('内訳ﾘｽﾄ(4～3月)'!$D$26:$D$1060,$B34,'内訳ﾘｽﾄ(4～3月)'!O$26:O$1060)</f>
        <v>0</v>
      </c>
      <c r="M34" s="158">
        <f>SUMIF('内訳ﾘｽﾄ(4～3月)'!$D$26:$D$1060,$B34,'内訳ﾘｽﾄ(4～3月)'!P$26:P$1060)</f>
        <v>0</v>
      </c>
      <c r="N34" s="158">
        <f>SUMIF('内訳ﾘｽﾄ(4～3月)'!$D$26:$D$1060,$B34,'内訳ﾘｽﾄ(4～3月)'!Q$26:Q$1060)</f>
        <v>0</v>
      </c>
      <c r="O34" s="158">
        <f>SUMIF('内訳ﾘｽﾄ(4～3月)'!$D$26:$D$859,'採算表(VND)'!$B34,'内訳ﾘｽﾄ(4～3月)'!R$26:R$859)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SUMIF('内訳ﾘｽﾄ(4～3月)'!$D$26:$D$1060,$B35,'内訳ﾘｽﾄ(4～3月)'!F$26:F$1060)</f>
        <v>0</v>
      </c>
      <c r="D35" s="158">
        <f>SUMIF('内訳ﾘｽﾄ(4～3月)'!$D$26:$D$1060,$B35,'内訳ﾘｽﾄ(4～3月)'!G$26:G$1060)</f>
        <v>0</v>
      </c>
      <c r="E35" s="158">
        <f>SUMIF('内訳ﾘｽﾄ(4～3月)'!$D$26:$D$1060,$B35,'内訳ﾘｽﾄ(4～3月)'!H$26:H$1060)</f>
        <v>0</v>
      </c>
      <c r="F35" s="158">
        <f>SUMIF('内訳ﾘｽﾄ(4～3月)'!$D$26:$D$1060,$B35,'内訳ﾘｽﾄ(4～3月)'!I$26:I$1060)</f>
        <v>0</v>
      </c>
      <c r="G35" s="158">
        <f>SUMIF('内訳ﾘｽﾄ(4～3月)'!$D$26:$D$1060,$B35,'内訳ﾘｽﾄ(4～3月)'!J$26:J$1060)</f>
        <v>0</v>
      </c>
      <c r="H35" s="158">
        <f>SUMIF('内訳ﾘｽﾄ(4～3月)'!$D$26:$D$1060,$B35,'内訳ﾘｽﾄ(4～3月)'!K$26:K$1060)</f>
        <v>0</v>
      </c>
      <c r="I35" s="158">
        <f>SUMIF('内訳ﾘｽﾄ(4～3月)'!$D$26:$D$1060,$B35,'内訳ﾘｽﾄ(4～3月)'!L$26:L$1060)</f>
        <v>0</v>
      </c>
      <c r="J35" s="158">
        <f>SUMIF('内訳ﾘｽﾄ(4～3月)'!$D$26:$D$1060,$B35,'内訳ﾘｽﾄ(4～3月)'!M$26:M$1060)</f>
        <v>0</v>
      </c>
      <c r="K35" s="158">
        <f>SUMIF('内訳ﾘｽﾄ(4～3月)'!$D$26:$D$1060,$B35,'内訳ﾘｽﾄ(4～3月)'!N$26:N$1060)</f>
        <v>0</v>
      </c>
      <c r="L35" s="158">
        <f>SUMIF('内訳ﾘｽﾄ(4～3月)'!$D$26:$D$1060,$B35,'内訳ﾘｽﾄ(4～3月)'!O$26:O$1060)</f>
        <v>0</v>
      </c>
      <c r="M35" s="158">
        <f>SUMIF('内訳ﾘｽﾄ(4～3月)'!$D$26:$D$1060,$B35,'内訳ﾘｽﾄ(4～3月)'!P$26:P$1060)</f>
        <v>0</v>
      </c>
      <c r="N35" s="158">
        <f>SUMIF('内訳ﾘｽﾄ(4～3月)'!$D$26:$D$1060,$B35,'内訳ﾘｽﾄ(4～3月)'!Q$26:Q$1060)</f>
        <v>0</v>
      </c>
      <c r="O35" s="158">
        <f>SUMIF('内訳ﾘｽﾄ(4～3月)'!$D$26:$D$859,'採算表(VND)'!$B35,'内訳ﾘｽﾄ(4～3月)'!R$26:R$859)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SUMIF('内訳ﾘｽﾄ(4～3月)'!$D$26:$D$1060,$B36,'内訳ﾘｽﾄ(4～3月)'!F$26:F$1060)</f>
        <v>0</v>
      </c>
      <c r="D36" s="158">
        <f>SUMIF('内訳ﾘｽﾄ(4～3月)'!$D$26:$D$1060,$B36,'内訳ﾘｽﾄ(4～3月)'!G$26:G$1060)</f>
        <v>0</v>
      </c>
      <c r="E36" s="158">
        <f>SUMIF('内訳ﾘｽﾄ(4～3月)'!$D$26:$D$1060,$B36,'内訳ﾘｽﾄ(4～3月)'!H$26:H$1060)</f>
        <v>0</v>
      </c>
      <c r="F36" s="158">
        <f>SUMIF('内訳ﾘｽﾄ(4～3月)'!$D$26:$D$1060,$B36,'内訳ﾘｽﾄ(4～3月)'!I$26:I$1060)</f>
        <v>0</v>
      </c>
      <c r="G36" s="158">
        <f>SUMIF('内訳ﾘｽﾄ(4～3月)'!$D$26:$D$1060,$B36,'内訳ﾘｽﾄ(4～3月)'!J$26:J$1060)</f>
        <v>0</v>
      </c>
      <c r="H36" s="158">
        <f>SUMIF('内訳ﾘｽﾄ(4～3月)'!$D$26:$D$1060,$B36,'内訳ﾘｽﾄ(4～3月)'!K$26:K$1060)</f>
        <v>0</v>
      </c>
      <c r="I36" s="158">
        <f>SUMIF('内訳ﾘｽﾄ(4～3月)'!$D$26:$D$1060,$B36,'内訳ﾘｽﾄ(4～3月)'!L$26:L$1060)</f>
        <v>0</v>
      </c>
      <c r="J36" s="158">
        <f>SUMIF('内訳ﾘｽﾄ(4～3月)'!$D$26:$D$1060,$B36,'内訳ﾘｽﾄ(4～3月)'!M$26:M$1060)</f>
        <v>0</v>
      </c>
      <c r="K36" s="158">
        <f>SUMIF('内訳ﾘｽﾄ(4～3月)'!$D$26:$D$1060,$B36,'内訳ﾘｽﾄ(4～3月)'!N$26:N$1060)</f>
        <v>0</v>
      </c>
      <c r="L36" s="158">
        <f>SUMIF('内訳ﾘｽﾄ(4～3月)'!$D$26:$D$1060,$B36,'内訳ﾘｽﾄ(4～3月)'!O$26:O$1060)</f>
        <v>0</v>
      </c>
      <c r="M36" s="158">
        <f>SUMIF('内訳ﾘｽﾄ(4～3月)'!$D$26:$D$1060,$B36,'内訳ﾘｽﾄ(4～3月)'!P$26:P$1060)</f>
        <v>0</v>
      </c>
      <c r="N36" s="158">
        <f>SUMIF('内訳ﾘｽﾄ(4～3月)'!$D$26:$D$1060,$B36,'内訳ﾘｽﾄ(4～3月)'!Q$26:Q$1060)</f>
        <v>0</v>
      </c>
      <c r="O36" s="158">
        <f>SUMIF('内訳ﾘｽﾄ(4～3月)'!$D$26:$D$859,'採算表(VND)'!$B36,'内訳ﾘｽﾄ(4～3月)'!R$26:R$859)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SUMIF('内訳ﾘｽﾄ(4～3月)'!$D$26:$D$1060,$B37,'内訳ﾘｽﾄ(4～3月)'!F$26:F$1060)</f>
        <v>0</v>
      </c>
      <c r="D37" s="158">
        <f>SUMIF('内訳ﾘｽﾄ(4～3月)'!$D$26:$D$1060,$B37,'内訳ﾘｽﾄ(4～3月)'!G$26:G$1060)</f>
        <v>0</v>
      </c>
      <c r="E37" s="158">
        <f>SUMIF('内訳ﾘｽﾄ(4～3月)'!$D$26:$D$1060,$B37,'内訳ﾘｽﾄ(4～3月)'!H$26:H$1060)</f>
        <v>0</v>
      </c>
      <c r="F37" s="158">
        <f>SUMIF('内訳ﾘｽﾄ(4～3月)'!$D$26:$D$1060,$B37,'内訳ﾘｽﾄ(4～3月)'!I$26:I$1060)</f>
        <v>0</v>
      </c>
      <c r="G37" s="158">
        <f>SUMIF('内訳ﾘｽﾄ(4～3月)'!$D$26:$D$1060,$B37,'内訳ﾘｽﾄ(4～3月)'!J$26:J$1060)</f>
        <v>0</v>
      </c>
      <c r="H37" s="158">
        <f>SUMIF('内訳ﾘｽﾄ(4～3月)'!$D$26:$D$1060,$B37,'内訳ﾘｽﾄ(4～3月)'!K$26:K$1060)</f>
        <v>0</v>
      </c>
      <c r="I37" s="158">
        <f>SUMIF('内訳ﾘｽﾄ(4～3月)'!$D$26:$D$1060,$B37,'内訳ﾘｽﾄ(4～3月)'!L$26:L$1060)</f>
        <v>0</v>
      </c>
      <c r="J37" s="158">
        <f>SUMIF('内訳ﾘｽﾄ(4～3月)'!$D$26:$D$1060,$B37,'内訳ﾘｽﾄ(4～3月)'!M$26:M$1060)</f>
        <v>0</v>
      </c>
      <c r="K37" s="158">
        <f>SUMIF('内訳ﾘｽﾄ(4～3月)'!$D$26:$D$1060,$B37,'内訳ﾘｽﾄ(4～3月)'!N$26:N$1060)</f>
        <v>0</v>
      </c>
      <c r="L37" s="158">
        <f>SUMIF('内訳ﾘｽﾄ(4～3月)'!$D$26:$D$1060,$B37,'内訳ﾘｽﾄ(4～3月)'!O$26:O$1060)</f>
        <v>0</v>
      </c>
      <c r="M37" s="158">
        <f>SUMIF('内訳ﾘｽﾄ(4～3月)'!$D$26:$D$1060,$B37,'内訳ﾘｽﾄ(4～3月)'!P$26:P$1060)</f>
        <v>0</v>
      </c>
      <c r="N37" s="158">
        <f>SUMIF('内訳ﾘｽﾄ(4～3月)'!$D$26:$D$1060,$B37,'内訳ﾘｽﾄ(4～3月)'!Q$26:Q$1060)</f>
        <v>0</v>
      </c>
      <c r="O37" s="158">
        <f>SUMIF('内訳ﾘｽﾄ(4～3月)'!$D$26:$D$859,'採算表(VND)'!$B37,'内訳ﾘｽﾄ(4～3月)'!R$26:R$859)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SUMIF('内訳ﾘｽﾄ(4～3月)'!$D$26:$D$1060,$B38,'内訳ﾘｽﾄ(4～3月)'!F$26:F$1060)</f>
        <v>0</v>
      </c>
      <c r="D38" s="158">
        <f>SUMIF('内訳ﾘｽﾄ(4～3月)'!$D$26:$D$1060,$B38,'内訳ﾘｽﾄ(4～3月)'!G$26:G$1060)</f>
        <v>0</v>
      </c>
      <c r="E38" s="158">
        <f>SUMIF('内訳ﾘｽﾄ(4～3月)'!$D$26:$D$1060,$B38,'内訳ﾘｽﾄ(4～3月)'!H$26:H$1060)</f>
        <v>0</v>
      </c>
      <c r="F38" s="158">
        <f>SUMIF('内訳ﾘｽﾄ(4～3月)'!$D$26:$D$1060,$B38,'内訳ﾘｽﾄ(4～3月)'!I$26:I$1060)</f>
        <v>0</v>
      </c>
      <c r="G38" s="158">
        <f>SUMIF('内訳ﾘｽﾄ(4～3月)'!$D$26:$D$1060,$B38,'内訳ﾘｽﾄ(4～3月)'!J$26:J$1060)</f>
        <v>0</v>
      </c>
      <c r="H38" s="158">
        <f>SUMIF('内訳ﾘｽﾄ(4～3月)'!$D$26:$D$1060,$B38,'内訳ﾘｽﾄ(4～3月)'!K$26:K$1060)</f>
        <v>0</v>
      </c>
      <c r="I38" s="158">
        <f>SUMIF('内訳ﾘｽﾄ(4～3月)'!$D$26:$D$1060,$B38,'内訳ﾘｽﾄ(4～3月)'!L$26:L$1060)</f>
        <v>0</v>
      </c>
      <c r="J38" s="158">
        <f>SUMIF('内訳ﾘｽﾄ(4～3月)'!$D$26:$D$1060,$B38,'内訳ﾘｽﾄ(4～3月)'!M$26:M$1060)</f>
        <v>0</v>
      </c>
      <c r="K38" s="158">
        <f>SUMIF('内訳ﾘｽﾄ(4～3月)'!$D$26:$D$1060,$B38,'内訳ﾘｽﾄ(4～3月)'!N$26:N$1060)</f>
        <v>0</v>
      </c>
      <c r="L38" s="158">
        <f>SUMIF('内訳ﾘｽﾄ(4～3月)'!$D$26:$D$1060,$B38,'内訳ﾘｽﾄ(4～3月)'!O$26:O$1060)</f>
        <v>0</v>
      </c>
      <c r="M38" s="158">
        <f>SUMIF('内訳ﾘｽﾄ(4～3月)'!$D$26:$D$1060,$B38,'内訳ﾘｽﾄ(4～3月)'!P$26:P$1060)</f>
        <v>0</v>
      </c>
      <c r="N38" s="158">
        <f>SUMIF('内訳ﾘｽﾄ(4～3月)'!$D$26:$D$1060,$B38,'内訳ﾘｽﾄ(4～3月)'!Q$26:Q$1060)</f>
        <v>0</v>
      </c>
      <c r="O38" s="158">
        <f>SUMIF('内訳ﾘｽﾄ(4～3月)'!$D$26:$D$859,'採算表(VND)'!$B38,'内訳ﾘｽﾄ(4～3月)'!R$26:R$859)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SUMIF('内訳ﾘｽﾄ(4～3月)'!$D$26:$D$1060,$B39,'内訳ﾘｽﾄ(4～3月)'!F$26:F$1060)</f>
        <v>0</v>
      </c>
      <c r="D39" s="158">
        <f>SUMIF('内訳ﾘｽﾄ(4～3月)'!$D$26:$D$1060,$B39,'内訳ﾘｽﾄ(4～3月)'!G$26:G$1060)</f>
        <v>0</v>
      </c>
      <c r="E39" s="158">
        <f>SUMIF('内訳ﾘｽﾄ(4～3月)'!$D$26:$D$1060,$B39,'内訳ﾘｽﾄ(4～3月)'!H$26:H$1060)</f>
        <v>0</v>
      </c>
      <c r="F39" s="158">
        <f>SUMIF('内訳ﾘｽﾄ(4～3月)'!$D$26:$D$1060,$B39,'内訳ﾘｽﾄ(4～3月)'!I$26:I$1060)</f>
        <v>0</v>
      </c>
      <c r="G39" s="158">
        <f>SUMIF('内訳ﾘｽﾄ(4～3月)'!$D$26:$D$1060,$B39,'内訳ﾘｽﾄ(4～3月)'!J$26:J$1060)</f>
        <v>622692</v>
      </c>
      <c r="H39" s="158">
        <f>SUMIF('内訳ﾘｽﾄ(4～3月)'!$D$26:$D$1060,$B39,'内訳ﾘｽﾄ(4～3月)'!K$26:K$1060)</f>
        <v>595080</v>
      </c>
      <c r="I39" s="158">
        <f>SUMIF('内訳ﾘｽﾄ(4～3月)'!$D$26:$D$1060,$B39,'内訳ﾘｽﾄ(4～3月)'!L$26:L$1060)</f>
        <v>569184</v>
      </c>
      <c r="J39" s="158">
        <f>SUMIF('内訳ﾘｽﾄ(4～3月)'!$D$26:$D$1060,$B39,'内訳ﾘｽﾄ(4～3月)'!M$26:M$1060)</f>
        <v>562128</v>
      </c>
      <c r="K39" s="158">
        <f>SUMIF('内訳ﾘｽﾄ(4～3月)'!$D$26:$D$1060,$B39,'内訳ﾘｽﾄ(4～3月)'!N$26:N$1060)</f>
        <v>563724</v>
      </c>
      <c r="L39" s="158">
        <f>SUMIF('内訳ﾘｽﾄ(4～3月)'!$D$26:$D$1060,$B39,'内訳ﾘｽﾄ(4～3月)'!O$26:O$1060)</f>
        <v>539616</v>
      </c>
      <c r="M39" s="158">
        <f>SUMIF('内訳ﾘｽﾄ(4～3月)'!$D$26:$D$1060,$B39,'内訳ﾘｽﾄ(4～3月)'!P$26:P$1060)</f>
        <v>510744</v>
      </c>
      <c r="N39" s="158">
        <f>SUMIF('内訳ﾘｽﾄ(4～3月)'!$D$26:$D$1060,$B39,'内訳ﾘｽﾄ(4～3月)'!Q$26:Q$1060)</f>
        <v>534480</v>
      </c>
      <c r="O39" s="158">
        <f>SUMIF('内訳ﾘｽﾄ(4～3月)'!$D$26:$D$859,'採算表(VND)'!$B39,'内訳ﾘｽﾄ(4～3月)'!R$26:R$859)</f>
        <v>4497648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SUMIF('内訳ﾘｽﾄ(4～3月)'!$D$26:$D$1060,$B40,'内訳ﾘｽﾄ(4～3月)'!F$26:F$1060)</f>
        <v>0</v>
      </c>
      <c r="D40" s="158">
        <f>SUMIF('内訳ﾘｽﾄ(4～3月)'!$D$26:$D$1060,$B40,'内訳ﾘｽﾄ(4～3月)'!G$26:G$1060)</f>
        <v>0</v>
      </c>
      <c r="E40" s="158">
        <f>SUMIF('内訳ﾘｽﾄ(4～3月)'!$D$26:$D$1060,$B40,'内訳ﾘｽﾄ(4～3月)'!H$26:H$1060)</f>
        <v>0</v>
      </c>
      <c r="F40" s="158">
        <f>SUMIF('内訳ﾘｽﾄ(4～3月)'!$D$26:$D$1060,$B40,'内訳ﾘｽﾄ(4～3月)'!I$26:I$1060)</f>
        <v>0</v>
      </c>
      <c r="G40" s="158">
        <f>SUMIF('内訳ﾘｽﾄ(4～3月)'!$D$26:$D$1060,$B40,'内訳ﾘｽﾄ(4～3月)'!J$26:J$1060)</f>
        <v>0</v>
      </c>
      <c r="H40" s="158">
        <f>SUMIF('内訳ﾘｽﾄ(4～3月)'!$D$26:$D$1060,$B40,'内訳ﾘｽﾄ(4～3月)'!K$26:K$1060)</f>
        <v>0</v>
      </c>
      <c r="I40" s="158">
        <f>SUMIF('内訳ﾘｽﾄ(4～3月)'!$D$26:$D$1060,$B40,'内訳ﾘｽﾄ(4～3月)'!L$26:L$1060)</f>
        <v>0</v>
      </c>
      <c r="J40" s="158">
        <f>SUMIF('内訳ﾘｽﾄ(4～3月)'!$D$26:$D$1060,$B40,'内訳ﾘｽﾄ(4～3月)'!M$26:M$1060)</f>
        <v>0</v>
      </c>
      <c r="K40" s="158">
        <f>SUMIF('内訳ﾘｽﾄ(4～3月)'!$D$26:$D$1060,$B40,'内訳ﾘｽﾄ(4～3月)'!N$26:N$1060)</f>
        <v>0</v>
      </c>
      <c r="L40" s="158">
        <f>SUMIF('内訳ﾘｽﾄ(4～3月)'!$D$26:$D$1060,$B40,'内訳ﾘｽﾄ(4～3月)'!O$26:O$1060)</f>
        <v>0</v>
      </c>
      <c r="M40" s="158">
        <f>SUMIF('内訳ﾘｽﾄ(4～3月)'!$D$26:$D$1060,$B40,'内訳ﾘｽﾄ(4～3月)'!P$26:P$1060)</f>
        <v>0</v>
      </c>
      <c r="N40" s="158">
        <f>SUMIF('内訳ﾘｽﾄ(4～3月)'!$D$26:$D$1060,$B40,'内訳ﾘｽﾄ(4～3月)'!Q$26:Q$1060)</f>
        <v>0</v>
      </c>
      <c r="O40" s="158">
        <f>SUMIF('内訳ﾘｽﾄ(4～3月)'!$D$26:$D$859,'採算表(VND)'!$B40,'内訳ﾘｽﾄ(4～3月)'!R$26:R$859)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SUMIF('内訳ﾘｽﾄ(4～3月)'!$D$26:$D$1060,$B41,'内訳ﾘｽﾄ(4～3月)'!F$26:F$1060)</f>
        <v>0</v>
      </c>
      <c r="D41" s="158">
        <f>SUMIF('内訳ﾘｽﾄ(4～3月)'!$D$26:$D$1060,$B41,'内訳ﾘｽﾄ(4～3月)'!G$26:G$1060)</f>
        <v>0</v>
      </c>
      <c r="E41" s="158">
        <f>SUMIF('内訳ﾘｽﾄ(4～3月)'!$D$26:$D$1060,$B41,'内訳ﾘｽﾄ(4～3月)'!H$26:H$1060)</f>
        <v>0</v>
      </c>
      <c r="F41" s="158">
        <f>SUMIF('内訳ﾘｽﾄ(4～3月)'!$D$26:$D$1060,$B41,'内訳ﾘｽﾄ(4～3月)'!I$26:I$1060)</f>
        <v>0</v>
      </c>
      <c r="G41" s="158">
        <f>SUMIF('内訳ﾘｽﾄ(4～3月)'!$D$26:$D$1060,$B41,'内訳ﾘｽﾄ(4～3月)'!J$26:J$1060)</f>
        <v>1939000</v>
      </c>
      <c r="H41" s="158">
        <f>SUMIF('内訳ﾘｽﾄ(4～3月)'!$D$26:$D$1060,$B41,'内訳ﾘｽﾄ(4～3月)'!K$26:K$1060)</f>
        <v>1939000</v>
      </c>
      <c r="I41" s="158">
        <f>SUMIF('内訳ﾘｽﾄ(4～3月)'!$D$26:$D$1060,$B41,'内訳ﾘｽﾄ(4～3月)'!L$26:L$1060)</f>
        <v>1539000</v>
      </c>
      <c r="J41" s="158">
        <f>SUMIF('内訳ﾘｽﾄ(4～3月)'!$D$26:$D$1060,$B41,'内訳ﾘｽﾄ(4～3月)'!M$26:M$1060)</f>
        <v>1139000</v>
      </c>
      <c r="K41" s="158">
        <f>SUMIF('内訳ﾘｽﾄ(4～3月)'!$D$26:$D$1060,$B41,'内訳ﾘｽﾄ(4～3月)'!N$26:N$1060)</f>
        <v>1139000</v>
      </c>
      <c r="L41" s="158">
        <f>SUMIF('内訳ﾘｽﾄ(4～3月)'!$D$26:$D$1060,$B41,'内訳ﾘｽﾄ(4～3月)'!O$26:O$1060)</f>
        <v>1139000</v>
      </c>
      <c r="M41" s="158">
        <f>SUMIF('内訳ﾘｽﾄ(4～3月)'!$D$26:$D$1060,$B41,'内訳ﾘｽﾄ(4～3月)'!P$26:P$1060)</f>
        <v>1139000</v>
      </c>
      <c r="N41" s="158">
        <f>SUMIF('内訳ﾘｽﾄ(4～3月)'!$D$26:$D$1060,$B41,'内訳ﾘｽﾄ(4～3月)'!Q$26:Q$1060)</f>
        <v>1139000</v>
      </c>
      <c r="O41" s="158">
        <f>SUMIF('内訳ﾘｽﾄ(4～3月)'!$D$26:$D$859,'採算表(VND)'!$B41,'内訳ﾘｽﾄ(4～3月)'!R$26:R$859)</f>
        <v>11112000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SUMIF('内訳ﾘｽﾄ(4～3月)'!$D$26:$D$1060,$B42,'内訳ﾘｽﾄ(4～3月)'!F$26:F$1060)</f>
        <v>0</v>
      </c>
      <c r="D42" s="158">
        <f>SUMIF('内訳ﾘｽﾄ(4～3月)'!$D$26:$D$1060,$B42,'内訳ﾘｽﾄ(4～3月)'!G$26:G$1060)</f>
        <v>0</v>
      </c>
      <c r="E42" s="158">
        <f>SUMIF('内訳ﾘｽﾄ(4～3月)'!$D$26:$D$1060,$B42,'内訳ﾘｽﾄ(4～3月)'!H$26:H$1060)</f>
        <v>0</v>
      </c>
      <c r="F42" s="158">
        <f>SUMIF('内訳ﾘｽﾄ(4～3月)'!$D$26:$D$1060,$B42,'内訳ﾘｽﾄ(4～3月)'!I$26:I$1060)</f>
        <v>0</v>
      </c>
      <c r="G42" s="158">
        <f>SUMIF('内訳ﾘｽﾄ(4～3月)'!$D$26:$D$1060,$B42,'内訳ﾘｽﾄ(4～3月)'!J$26:J$1060)</f>
        <v>1171842</v>
      </c>
      <c r="H42" s="158">
        <f>SUMIF('内訳ﾘｽﾄ(4～3月)'!$D$26:$D$1060,$B42,'内訳ﾘｽﾄ(4～3月)'!K$26:K$1060)</f>
        <v>1171842</v>
      </c>
      <c r="I42" s="158">
        <f>SUMIF('内訳ﾘｽﾄ(4～3月)'!$D$26:$D$1060,$B42,'内訳ﾘｽﾄ(4～3月)'!L$26:L$1060)</f>
        <v>1171842</v>
      </c>
      <c r="J42" s="158">
        <f>SUMIF('内訳ﾘｽﾄ(4～3月)'!$D$26:$D$1060,$B42,'内訳ﾘｽﾄ(4～3月)'!M$26:M$1060)</f>
        <v>1181442</v>
      </c>
      <c r="K42" s="158">
        <f>SUMIF('内訳ﾘｽﾄ(4～3月)'!$D$26:$D$1060,$B42,'内訳ﾘｽﾄ(4～3月)'!N$26:N$1060)</f>
        <v>1171842</v>
      </c>
      <c r="L42" s="158">
        <f>SUMIF('内訳ﾘｽﾄ(4～3月)'!$D$26:$D$1060,$B42,'内訳ﾘｽﾄ(4～3月)'!O$26:O$1060)</f>
        <v>1171842</v>
      </c>
      <c r="M42" s="158">
        <f>SUMIF('内訳ﾘｽﾄ(4～3月)'!$D$26:$D$1060,$B42,'内訳ﾘｽﾄ(4～3月)'!P$26:P$1060)</f>
        <v>1171842</v>
      </c>
      <c r="N42" s="158">
        <f>SUMIF('内訳ﾘｽﾄ(4～3月)'!$D$26:$D$1060,$B42,'内訳ﾘｽﾄ(4～3月)'!Q$26:Q$1060)</f>
        <v>1171842</v>
      </c>
      <c r="O42" s="158">
        <f>SUMIF('内訳ﾘｽﾄ(4～3月)'!$D$26:$D$859,'採算表(VND)'!$B42,'内訳ﾘｽﾄ(4～3月)'!R$26:R$859)</f>
        <v>9384336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SUMIF('内訳ﾘｽﾄ(4～3月)'!$D$26:$D$1060,$B43,'内訳ﾘｽﾄ(4～3月)'!F$26:F$1060)</f>
        <v>0</v>
      </c>
      <c r="D43" s="158">
        <f>SUMIF('内訳ﾘｽﾄ(4～3月)'!$D$26:$D$1060,$B43,'内訳ﾘｽﾄ(4～3月)'!G$26:G$1060)</f>
        <v>0</v>
      </c>
      <c r="E43" s="158">
        <f>SUMIF('内訳ﾘｽﾄ(4～3月)'!$D$26:$D$1060,$B43,'内訳ﾘｽﾄ(4～3月)'!H$26:H$1060)</f>
        <v>0</v>
      </c>
      <c r="F43" s="158">
        <f>SUMIF('内訳ﾘｽﾄ(4～3月)'!$D$26:$D$1060,$B43,'内訳ﾘｽﾄ(4～3月)'!I$26:I$1060)</f>
        <v>0</v>
      </c>
      <c r="G43" s="158">
        <f>SUMIF('内訳ﾘｽﾄ(4～3月)'!$D$26:$D$1060,$B43,'内訳ﾘｽﾄ(4～3月)'!J$26:J$1060)</f>
        <v>0</v>
      </c>
      <c r="H43" s="158">
        <f>SUMIF('内訳ﾘｽﾄ(4～3月)'!$D$26:$D$1060,$B43,'内訳ﾘｽﾄ(4～3月)'!K$26:K$1060)</f>
        <v>0</v>
      </c>
      <c r="I43" s="158">
        <f>SUMIF('内訳ﾘｽﾄ(4～3月)'!$D$26:$D$1060,$B43,'内訳ﾘｽﾄ(4～3月)'!L$26:L$1060)</f>
        <v>0</v>
      </c>
      <c r="J43" s="158">
        <f>SUMIF('内訳ﾘｽﾄ(4～3月)'!$D$26:$D$1060,$B43,'内訳ﾘｽﾄ(4～3月)'!M$26:M$1060)</f>
        <v>0</v>
      </c>
      <c r="K43" s="158">
        <f>SUMIF('内訳ﾘｽﾄ(4～3月)'!$D$26:$D$1060,$B43,'内訳ﾘｽﾄ(4～3月)'!N$26:N$1060)</f>
        <v>0</v>
      </c>
      <c r="L43" s="158">
        <f>SUMIF('内訳ﾘｽﾄ(4～3月)'!$D$26:$D$1060,$B43,'内訳ﾘｽﾄ(4～3月)'!O$26:O$1060)</f>
        <v>0</v>
      </c>
      <c r="M43" s="158">
        <f>SUMIF('内訳ﾘｽﾄ(4～3月)'!$D$26:$D$1060,$B43,'内訳ﾘｽﾄ(4～3月)'!P$26:P$1060)</f>
        <v>0</v>
      </c>
      <c r="N43" s="158">
        <f>SUMIF('内訳ﾘｽﾄ(4～3月)'!$D$26:$D$1060,$B43,'内訳ﾘｽﾄ(4～3月)'!Q$26:Q$1060)</f>
        <v>0</v>
      </c>
      <c r="O43" s="158">
        <f>SUMIF('内訳ﾘｽﾄ(4～3月)'!$D$26:$D$859,'採算表(VND)'!$B43,'内訳ﾘｽﾄ(4～3月)'!R$26:R$859)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SUMIF('内訳ﾘｽﾄ(4～3月)'!$D$26:$D$1060,$B44,'内訳ﾘｽﾄ(4～3月)'!F$26:F$1060)</f>
        <v>0</v>
      </c>
      <c r="D44" s="158">
        <f>SUMIF('内訳ﾘｽﾄ(4～3月)'!$D$26:$D$1060,$B44,'内訳ﾘｽﾄ(4～3月)'!G$26:G$1060)</f>
        <v>0</v>
      </c>
      <c r="E44" s="158">
        <f>SUMIF('内訳ﾘｽﾄ(4～3月)'!$D$26:$D$1060,$B44,'内訳ﾘｽﾄ(4～3月)'!H$26:H$1060)</f>
        <v>0</v>
      </c>
      <c r="F44" s="158">
        <f>SUMIF('内訳ﾘｽﾄ(4～3月)'!$D$26:$D$1060,$B44,'内訳ﾘｽﾄ(4～3月)'!I$26:I$1060)</f>
        <v>1200000</v>
      </c>
      <c r="G44" s="158">
        <f>SUMIF('内訳ﾘｽﾄ(4～3月)'!$D$26:$D$1060,$B44,'内訳ﾘｽﾄ(4～3月)'!J$26:J$1060)</f>
        <v>313000</v>
      </c>
      <c r="H44" s="158">
        <f>SUMIF('内訳ﾘｽﾄ(4～3月)'!$D$26:$D$1060,$B44,'内訳ﾘｽﾄ(4～3月)'!K$26:K$1060)</f>
        <v>4917026</v>
      </c>
      <c r="I44" s="158">
        <f>SUMIF('内訳ﾘｽﾄ(4～3月)'!$D$26:$D$1060,$B44,'内訳ﾘｽﾄ(4～3月)'!L$26:L$1060)</f>
        <v>5236470</v>
      </c>
      <c r="J44" s="158">
        <f>SUMIF('内訳ﾘｽﾄ(4～3月)'!$D$26:$D$1060,$B44,'内訳ﾘｽﾄ(4～3月)'!M$26:M$1060)</f>
        <v>4339234</v>
      </c>
      <c r="K44" s="158">
        <f>SUMIF('内訳ﾘｽﾄ(4～3月)'!$D$26:$D$1060,$B44,'内訳ﾘｽﾄ(4～3月)'!N$26:N$1060)</f>
        <v>5765184</v>
      </c>
      <c r="L44" s="158">
        <f>SUMIF('内訳ﾘｽﾄ(4～3月)'!$D$26:$D$1060,$B44,'内訳ﾘｽﾄ(4～3月)'!O$26:O$1060)</f>
        <v>2907850</v>
      </c>
      <c r="M44" s="158">
        <f>SUMIF('内訳ﾘｽﾄ(4～3月)'!$D$26:$D$1060,$B44,'内訳ﾘｽﾄ(4～3月)'!P$26:P$1060)</f>
        <v>8013718</v>
      </c>
      <c r="N44" s="158">
        <f>SUMIF('内訳ﾘｽﾄ(4～3月)'!$D$26:$D$1060,$B44,'内訳ﾘｽﾄ(4～3月)'!Q$26:Q$1060)</f>
        <v>2742456</v>
      </c>
      <c r="O44" s="158">
        <f>SUMIF('内訳ﾘｽﾄ(4～3月)'!$D$26:$D$859,'採算表(VND)'!$B44,'内訳ﾘｽﾄ(4～3月)'!R$26:R$859)</f>
        <v>35434938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SUMIF('内訳ﾘｽﾄ(4～3月)'!$D$26:$D$1060,$B45,'内訳ﾘｽﾄ(4～3月)'!F$26:F$1060)</f>
        <v>0</v>
      </c>
      <c r="D45" s="158">
        <f>SUMIF('内訳ﾘｽﾄ(4～3月)'!$D$26:$D$1060,$B45,'内訳ﾘｽﾄ(4～3月)'!G$26:G$1060)</f>
        <v>0</v>
      </c>
      <c r="E45" s="158">
        <f>SUMIF('内訳ﾘｽﾄ(4～3月)'!$D$26:$D$1060,$B45,'内訳ﾘｽﾄ(4～3月)'!H$26:H$1060)</f>
        <v>0</v>
      </c>
      <c r="F45" s="158">
        <f>SUMIF('内訳ﾘｽﾄ(4～3月)'!$D$26:$D$1060,$B45,'内訳ﾘｽﾄ(4～3月)'!I$26:I$1060)</f>
        <v>0</v>
      </c>
      <c r="G45" s="158">
        <f>SUMIF('内訳ﾘｽﾄ(4～3月)'!$D$26:$D$1060,$B45,'内訳ﾘｽﾄ(4～3月)'!J$26:J$1060)</f>
        <v>0</v>
      </c>
      <c r="H45" s="158">
        <f>SUMIF('内訳ﾘｽﾄ(4～3月)'!$D$26:$D$1060,$B45,'内訳ﾘｽﾄ(4～3月)'!K$26:K$1060)</f>
        <v>0</v>
      </c>
      <c r="I45" s="158">
        <f>SUMIF('内訳ﾘｽﾄ(4～3月)'!$D$26:$D$1060,$B45,'内訳ﾘｽﾄ(4～3月)'!L$26:L$1060)</f>
        <v>0</v>
      </c>
      <c r="J45" s="158">
        <f>SUMIF('内訳ﾘｽﾄ(4～3月)'!$D$26:$D$1060,$B45,'内訳ﾘｽﾄ(4～3月)'!M$26:M$1060)</f>
        <v>0</v>
      </c>
      <c r="K45" s="158">
        <f>SUMIF('内訳ﾘｽﾄ(4～3月)'!$D$26:$D$1060,$B45,'内訳ﾘｽﾄ(4～3月)'!N$26:N$1060)</f>
        <v>0</v>
      </c>
      <c r="L45" s="158">
        <f>SUMIF('内訳ﾘｽﾄ(4～3月)'!$D$26:$D$1060,$B45,'内訳ﾘｽﾄ(4～3月)'!O$26:O$1060)</f>
        <v>0</v>
      </c>
      <c r="M45" s="158">
        <f>SUMIF('内訳ﾘｽﾄ(4～3月)'!$D$26:$D$1060,$B45,'内訳ﾘｽﾄ(4～3月)'!P$26:P$1060)</f>
        <v>0</v>
      </c>
      <c r="N45" s="158">
        <f>SUMIF('内訳ﾘｽﾄ(4～3月)'!$D$26:$D$1060,$B45,'内訳ﾘｽﾄ(4～3月)'!Q$26:Q$1060)</f>
        <v>0</v>
      </c>
      <c r="O45" s="158">
        <f>SUMIF('内訳ﾘｽﾄ(4～3月)'!$D$26:$D$859,'採算表(VND)'!$B45,'内訳ﾘｽﾄ(4～3月)'!R$26:R$859)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SUMIF('内訳ﾘｽﾄ(4～3月)'!$D$26:$D$1060,$B46,'内訳ﾘｽﾄ(4～3月)'!F$26:F$1060)</f>
        <v>0</v>
      </c>
      <c r="D46" s="158">
        <f>SUMIF('内訳ﾘｽﾄ(4～3月)'!$D$26:$D$1060,$B46,'内訳ﾘｽﾄ(4～3月)'!G$26:G$1060)</f>
        <v>0</v>
      </c>
      <c r="E46" s="158">
        <f>SUMIF('内訳ﾘｽﾄ(4～3月)'!$D$26:$D$1060,$B46,'内訳ﾘｽﾄ(4～3月)'!H$26:H$1060)</f>
        <v>0</v>
      </c>
      <c r="F46" s="158">
        <f>SUMIF('内訳ﾘｽﾄ(4～3月)'!$D$26:$D$1060,$B46,'内訳ﾘｽﾄ(4～3月)'!I$26:I$1060)</f>
        <v>0</v>
      </c>
      <c r="G46" s="158">
        <f>SUMIF('内訳ﾘｽﾄ(4～3月)'!$D$26:$D$1060,$B46,'内訳ﾘｽﾄ(4～3月)'!J$26:J$1060)</f>
        <v>0</v>
      </c>
      <c r="H46" s="158">
        <f>SUMIF('内訳ﾘｽﾄ(4～3月)'!$D$26:$D$1060,$B46,'内訳ﾘｽﾄ(4～3月)'!K$26:K$1060)</f>
        <v>0</v>
      </c>
      <c r="I46" s="158">
        <f>SUMIF('内訳ﾘｽﾄ(4～3月)'!$D$26:$D$1060,$B46,'内訳ﾘｽﾄ(4～3月)'!L$26:L$1060)</f>
        <v>0</v>
      </c>
      <c r="J46" s="158">
        <f>SUMIF('内訳ﾘｽﾄ(4～3月)'!$D$26:$D$1060,$B46,'内訳ﾘｽﾄ(4～3月)'!M$26:M$1060)</f>
        <v>0</v>
      </c>
      <c r="K46" s="158">
        <f>SUMIF('内訳ﾘｽﾄ(4～3月)'!$D$26:$D$1060,$B46,'内訳ﾘｽﾄ(4～3月)'!N$26:N$1060)</f>
        <v>0</v>
      </c>
      <c r="L46" s="158">
        <f>SUMIF('内訳ﾘｽﾄ(4～3月)'!$D$26:$D$1060,$B46,'内訳ﾘｽﾄ(4～3月)'!O$26:O$1060)</f>
        <v>0</v>
      </c>
      <c r="M46" s="158">
        <f>SUMIF('内訳ﾘｽﾄ(4～3月)'!$D$26:$D$1060,$B46,'内訳ﾘｽﾄ(4～3月)'!P$26:P$1060)</f>
        <v>0</v>
      </c>
      <c r="N46" s="158">
        <f>SUMIF('内訳ﾘｽﾄ(4～3月)'!$D$26:$D$1060,$B46,'内訳ﾘｽﾄ(4～3月)'!Q$26:Q$1060)</f>
        <v>0</v>
      </c>
      <c r="O46" s="158">
        <f>SUMIF('内訳ﾘｽﾄ(4～3月)'!$D$26:$D$859,'採算表(VND)'!$B46,'内訳ﾘｽﾄ(4～3月)'!R$26:R$859)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SUMIF('内訳ﾘｽﾄ(4～3月)'!$D$26:$D$1060,$B47,'内訳ﾘｽﾄ(4～3月)'!F$26:F$1060)</f>
        <v>0</v>
      </c>
      <c r="D47" s="158">
        <f>SUMIF('内訳ﾘｽﾄ(4～3月)'!$D$26:$D$1060,$B47,'内訳ﾘｽﾄ(4～3月)'!G$26:G$1060)</f>
        <v>0</v>
      </c>
      <c r="E47" s="158">
        <f>SUMIF('内訳ﾘｽﾄ(4～3月)'!$D$26:$D$1060,$B47,'内訳ﾘｽﾄ(4～3月)'!H$26:H$1060)</f>
        <v>0</v>
      </c>
      <c r="F47" s="158">
        <f>SUMIF('内訳ﾘｽﾄ(4～3月)'!$D$26:$D$1060,$B47,'内訳ﾘｽﾄ(4～3月)'!I$26:I$1060)</f>
        <v>0</v>
      </c>
      <c r="G47" s="158">
        <f>SUMIF('内訳ﾘｽﾄ(4～3月)'!$D$26:$D$1060,$B47,'内訳ﾘｽﾄ(4～3月)'!J$26:J$1060)</f>
        <v>0</v>
      </c>
      <c r="H47" s="158">
        <f>SUMIF('内訳ﾘｽﾄ(4～3月)'!$D$26:$D$1060,$B47,'内訳ﾘｽﾄ(4～3月)'!K$26:K$1060)</f>
        <v>0</v>
      </c>
      <c r="I47" s="158">
        <f>SUMIF('内訳ﾘｽﾄ(4～3月)'!$D$26:$D$1060,$B47,'内訳ﾘｽﾄ(4～3月)'!L$26:L$1060)</f>
        <v>0</v>
      </c>
      <c r="J47" s="158">
        <f>SUMIF('内訳ﾘｽﾄ(4～3月)'!$D$26:$D$1060,$B47,'内訳ﾘｽﾄ(4～3月)'!M$26:M$1060)</f>
        <v>0</v>
      </c>
      <c r="K47" s="158">
        <f>SUMIF('内訳ﾘｽﾄ(4～3月)'!$D$26:$D$1060,$B47,'内訳ﾘｽﾄ(4～3月)'!N$26:N$1060)</f>
        <v>0</v>
      </c>
      <c r="L47" s="158">
        <f>SUMIF('内訳ﾘｽﾄ(4～3月)'!$D$26:$D$1060,$B47,'内訳ﾘｽﾄ(4～3月)'!O$26:O$1060)</f>
        <v>0</v>
      </c>
      <c r="M47" s="158">
        <f>SUMIF('内訳ﾘｽﾄ(4～3月)'!$D$26:$D$1060,$B47,'内訳ﾘｽﾄ(4～3月)'!P$26:P$1060)</f>
        <v>0</v>
      </c>
      <c r="N47" s="158">
        <f>SUMIF('内訳ﾘｽﾄ(4～3月)'!$D$26:$D$1060,$B47,'内訳ﾘｽﾄ(4～3月)'!Q$26:Q$1060)</f>
        <v>0</v>
      </c>
      <c r="O47" s="158">
        <f>SUMIF('内訳ﾘｽﾄ(4～3月)'!$D$26:$D$859,'採算表(VND)'!$B47,'内訳ﾘｽﾄ(4～3月)'!R$26:R$859)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SUMIF('内訳ﾘｽﾄ(4～3月)'!$D$26:$D$1060,$B48,'内訳ﾘｽﾄ(4～3月)'!F$26:F$1060)</f>
        <v>0</v>
      </c>
      <c r="D48" s="158">
        <f>SUMIF('内訳ﾘｽﾄ(4～3月)'!$D$26:$D$1060,$B48,'内訳ﾘｽﾄ(4～3月)'!G$26:G$1060)</f>
        <v>0</v>
      </c>
      <c r="E48" s="158">
        <f>SUMIF('内訳ﾘｽﾄ(4～3月)'!$D$26:$D$1060,$B48,'内訳ﾘｽﾄ(4～3月)'!H$26:H$1060)</f>
        <v>0</v>
      </c>
      <c r="F48" s="158">
        <f>SUMIF('内訳ﾘｽﾄ(4～3月)'!$D$26:$D$1060,$B48,'内訳ﾘｽﾄ(4～3月)'!I$26:I$1060)</f>
        <v>0</v>
      </c>
      <c r="G48" s="158">
        <f>SUMIF('内訳ﾘｽﾄ(4～3月)'!$D$26:$D$1060,$B48,'内訳ﾘｽﾄ(4～3月)'!J$26:J$1060)</f>
        <v>0</v>
      </c>
      <c r="H48" s="158">
        <f>SUMIF('内訳ﾘｽﾄ(4～3月)'!$D$26:$D$1060,$B48,'内訳ﾘｽﾄ(4～3月)'!K$26:K$1060)</f>
        <v>0</v>
      </c>
      <c r="I48" s="158">
        <f>SUMIF('内訳ﾘｽﾄ(4～3月)'!$D$26:$D$1060,$B48,'内訳ﾘｽﾄ(4～3月)'!L$26:L$1060)</f>
        <v>0</v>
      </c>
      <c r="J48" s="158">
        <f>SUMIF('内訳ﾘｽﾄ(4～3月)'!$D$26:$D$1060,$B48,'内訳ﾘｽﾄ(4～3月)'!M$26:M$1060)</f>
        <v>0</v>
      </c>
      <c r="K48" s="158">
        <f>SUMIF('内訳ﾘｽﾄ(4～3月)'!$D$26:$D$1060,$B48,'内訳ﾘｽﾄ(4～3月)'!N$26:N$1060)</f>
        <v>0</v>
      </c>
      <c r="L48" s="158">
        <f>SUMIF('内訳ﾘｽﾄ(4～3月)'!$D$26:$D$1060,$B48,'内訳ﾘｽﾄ(4～3月)'!O$26:O$1060)</f>
        <v>0</v>
      </c>
      <c r="M48" s="158">
        <f>SUMIF('内訳ﾘｽﾄ(4～3月)'!$D$26:$D$1060,$B48,'内訳ﾘｽﾄ(4～3月)'!P$26:P$1060)</f>
        <v>0</v>
      </c>
      <c r="N48" s="158">
        <f>SUMIF('内訳ﾘｽﾄ(4～3月)'!$D$26:$D$1060,$B48,'内訳ﾘｽﾄ(4～3月)'!Q$26:Q$1060)</f>
        <v>0</v>
      </c>
      <c r="O48" s="158">
        <f>SUMIF('内訳ﾘｽﾄ(4～3月)'!$D$26:$D$859,'採算表(VND)'!$B48,'内訳ﾘｽﾄ(4～3月)'!R$26:R$859)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SUMIF('内訳ﾘｽﾄ(4～3月)'!$D$26:$D$1060,$B49,'内訳ﾘｽﾄ(4～3月)'!F$26:F$1060)</f>
        <v>0</v>
      </c>
      <c r="D49" s="158">
        <f>SUMIF('内訳ﾘｽﾄ(4～3月)'!$D$26:$D$1060,$B49,'内訳ﾘｽﾄ(4～3月)'!G$26:G$1060)</f>
        <v>0</v>
      </c>
      <c r="E49" s="158">
        <f>SUMIF('内訳ﾘｽﾄ(4～3月)'!$D$26:$D$1060,$B49,'内訳ﾘｽﾄ(4～3月)'!H$26:H$1060)</f>
        <v>0</v>
      </c>
      <c r="F49" s="158">
        <f>SUMIF('内訳ﾘｽﾄ(4～3月)'!$D$26:$D$1060,$B49,'内訳ﾘｽﾄ(4～3月)'!I$26:I$1060)</f>
        <v>0</v>
      </c>
      <c r="G49" s="158">
        <f>SUMIF('内訳ﾘｽﾄ(4～3月)'!$D$26:$D$1060,$B49,'内訳ﾘｽﾄ(4～3月)'!J$26:J$1060)</f>
        <v>0</v>
      </c>
      <c r="H49" s="158">
        <f>SUMIF('内訳ﾘｽﾄ(4～3月)'!$D$26:$D$1060,$B49,'内訳ﾘｽﾄ(4～3月)'!K$26:K$1060)</f>
        <v>0</v>
      </c>
      <c r="I49" s="158">
        <f>SUMIF('内訳ﾘｽﾄ(4～3月)'!$D$26:$D$1060,$B49,'内訳ﾘｽﾄ(4～3月)'!L$26:L$1060)</f>
        <v>0</v>
      </c>
      <c r="J49" s="158">
        <f>SUMIF('内訳ﾘｽﾄ(4～3月)'!$D$26:$D$1060,$B49,'内訳ﾘｽﾄ(4～3月)'!M$26:M$1060)</f>
        <v>0</v>
      </c>
      <c r="K49" s="158">
        <f>SUMIF('内訳ﾘｽﾄ(4～3月)'!$D$26:$D$1060,$B49,'内訳ﾘｽﾄ(4～3月)'!N$26:N$1060)</f>
        <v>0</v>
      </c>
      <c r="L49" s="158">
        <f>SUMIF('内訳ﾘｽﾄ(4～3月)'!$D$26:$D$1060,$B49,'内訳ﾘｽﾄ(4～3月)'!O$26:O$1060)</f>
        <v>0</v>
      </c>
      <c r="M49" s="158">
        <f>SUMIF('内訳ﾘｽﾄ(4～3月)'!$D$26:$D$1060,$B49,'内訳ﾘｽﾄ(4～3月)'!P$26:P$1060)</f>
        <v>0</v>
      </c>
      <c r="N49" s="158">
        <f>SUMIF('内訳ﾘｽﾄ(4～3月)'!$D$26:$D$1060,$B49,'内訳ﾘｽﾄ(4～3月)'!Q$26:Q$1060)</f>
        <v>0</v>
      </c>
      <c r="O49" s="158">
        <f>SUMIF('内訳ﾘｽﾄ(4～3月)'!$D$26:$D$859,'採算表(VND)'!$B49,'内訳ﾘｽﾄ(4～3月)'!R$26:R$859)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SUMIF('内訳ﾘｽﾄ(4～3月)'!$D$26:$D$1060,$B50,'内訳ﾘｽﾄ(4～3月)'!F$26:F$1060)</f>
        <v>0</v>
      </c>
      <c r="D50" s="158">
        <f>SUMIF('内訳ﾘｽﾄ(4～3月)'!$D$26:$D$1060,$B50,'内訳ﾘｽﾄ(4～3月)'!G$26:G$1060)</f>
        <v>0</v>
      </c>
      <c r="E50" s="158">
        <f>SUMIF('内訳ﾘｽﾄ(4～3月)'!$D$26:$D$1060,$B50,'内訳ﾘｽﾄ(4～3月)'!H$26:H$1060)</f>
        <v>0</v>
      </c>
      <c r="F50" s="158">
        <f>SUMIF('内訳ﾘｽﾄ(4～3月)'!$D$26:$D$1060,$B50,'内訳ﾘｽﾄ(4～3月)'!I$26:I$1060)</f>
        <v>0</v>
      </c>
      <c r="G50" s="158">
        <f>SUMIF('内訳ﾘｽﾄ(4～3月)'!$D$26:$D$1060,$B50,'内訳ﾘｽﾄ(4～3月)'!J$26:J$1060)</f>
        <v>0</v>
      </c>
      <c r="H50" s="158">
        <f>SUMIF('内訳ﾘｽﾄ(4～3月)'!$D$26:$D$1060,$B50,'内訳ﾘｽﾄ(4～3月)'!K$26:K$1060)</f>
        <v>0</v>
      </c>
      <c r="I50" s="158">
        <f>SUMIF('内訳ﾘｽﾄ(4～3月)'!$D$26:$D$1060,$B50,'内訳ﾘｽﾄ(4～3月)'!L$26:L$1060)</f>
        <v>0</v>
      </c>
      <c r="J50" s="158">
        <f>SUMIF('内訳ﾘｽﾄ(4～3月)'!$D$26:$D$1060,$B50,'内訳ﾘｽﾄ(4～3月)'!M$26:M$1060)</f>
        <v>0</v>
      </c>
      <c r="K50" s="158">
        <f>SUMIF('内訳ﾘｽﾄ(4～3月)'!$D$26:$D$1060,$B50,'内訳ﾘｽﾄ(4～3月)'!N$26:N$1060)</f>
        <v>0</v>
      </c>
      <c r="L50" s="158">
        <f>SUMIF('内訳ﾘｽﾄ(4～3月)'!$D$26:$D$1060,$B50,'内訳ﾘｽﾄ(4～3月)'!O$26:O$1060)</f>
        <v>0</v>
      </c>
      <c r="M50" s="158">
        <f>SUMIF('内訳ﾘｽﾄ(4～3月)'!$D$26:$D$1060,$B50,'内訳ﾘｽﾄ(4～3月)'!P$26:P$1060)</f>
        <v>0</v>
      </c>
      <c r="N50" s="158">
        <f>SUMIF('内訳ﾘｽﾄ(4～3月)'!$D$26:$D$1060,$B50,'内訳ﾘｽﾄ(4～3月)'!Q$26:Q$1060)</f>
        <v>0</v>
      </c>
      <c r="O50" s="158">
        <f>SUMIF('内訳ﾘｽﾄ(4～3月)'!$D$26:$D$859,'採算表(VND)'!$B50,'内訳ﾘｽﾄ(4～3月)'!R$26:R$859)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SUMIF('内訳ﾘｽﾄ(4～3月)'!$D$26:$D$1060,$B51,'内訳ﾘｽﾄ(4～3月)'!F$26:F$1060)</f>
        <v>0</v>
      </c>
      <c r="D51" s="159">
        <f>SUMIF('内訳ﾘｽﾄ(4～3月)'!$D$26:$D$1060,$B51,'内訳ﾘｽﾄ(4～3月)'!G$26:G$1060)</f>
        <v>0</v>
      </c>
      <c r="E51" s="159">
        <f>SUMIF('内訳ﾘｽﾄ(4～3月)'!$D$26:$D$1060,$B51,'内訳ﾘｽﾄ(4～3月)'!H$26:H$1060)</f>
        <v>0</v>
      </c>
      <c r="F51" s="159">
        <f>SUMIF('内訳ﾘｽﾄ(4～3月)'!$D$26:$D$1060,$B51,'内訳ﾘｽﾄ(4～3月)'!I$26:I$1060)</f>
        <v>0</v>
      </c>
      <c r="G51" s="159">
        <f>SUMIF('内訳ﾘｽﾄ(4～3月)'!$D$26:$D$1060,$B51,'内訳ﾘｽﾄ(4～3月)'!J$26:J$1060)</f>
        <v>0</v>
      </c>
      <c r="H51" s="159">
        <f>SUMIF('内訳ﾘｽﾄ(4～3月)'!$D$26:$D$1060,$B51,'内訳ﾘｽﾄ(4～3月)'!K$26:K$1060)</f>
        <v>0</v>
      </c>
      <c r="I51" s="159">
        <f>SUMIF('内訳ﾘｽﾄ(4～3月)'!$D$26:$D$1060,$B51,'内訳ﾘｽﾄ(4～3月)'!L$26:L$1060)</f>
        <v>0</v>
      </c>
      <c r="J51" s="159">
        <f>SUMIF('内訳ﾘｽﾄ(4～3月)'!$D$26:$D$1060,$B51,'内訳ﾘｽﾄ(4～3月)'!M$26:M$1060)</f>
        <v>0</v>
      </c>
      <c r="K51" s="159">
        <f>SUMIF('内訳ﾘｽﾄ(4～3月)'!$D$26:$D$1060,$B51,'内訳ﾘｽﾄ(4～3月)'!N$26:N$1060)</f>
        <v>0</v>
      </c>
      <c r="L51" s="159">
        <f>SUMIF('内訳ﾘｽﾄ(4～3月)'!$D$26:$D$1060,$B51,'内訳ﾘｽﾄ(4～3月)'!O$26:O$1060)</f>
        <v>0</v>
      </c>
      <c r="M51" s="159">
        <f>SUMIF('内訳ﾘｽﾄ(4～3月)'!$D$26:$D$1060,$B51,'内訳ﾘｽﾄ(4～3月)'!P$26:P$1060)</f>
        <v>0</v>
      </c>
      <c r="N51" s="159">
        <f>SUMIF('内訳ﾘｽﾄ(4～3月)'!$D$26:$D$1060,$B51,'内訳ﾘｽﾄ(4～3月)'!Q$26:Q$1060)</f>
        <v>0</v>
      </c>
      <c r="O51" s="159">
        <f>SUMIF('内訳ﾘｽﾄ(4～3月)'!$D$26:$D$859,'採算表(VND)'!$B51,'内訳ﾘｽﾄ(4～3月)'!R$26:R$859)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SUMIF('内訳ﾘｽﾄ(4～3月)'!$D$26:$D$1060,$B52,'内訳ﾘｽﾄ(4～3月)'!F$26:F$1060)</f>
        <v>0</v>
      </c>
      <c r="D52" s="160">
        <f>SUMIF('内訳ﾘｽﾄ(4～3月)'!$D$26:$D$1060,$B52,'内訳ﾘｽﾄ(4～3月)'!G$26:G$1060)</f>
        <v>0</v>
      </c>
      <c r="E52" s="160">
        <f>SUMIF('内訳ﾘｽﾄ(4～3月)'!$D$26:$D$1060,$B52,'内訳ﾘｽﾄ(4～3月)'!H$26:H$1060)</f>
        <v>0</v>
      </c>
      <c r="F52" s="160">
        <f>SUMIF('内訳ﾘｽﾄ(4～3月)'!$D$26:$D$1060,$B52,'内訳ﾘｽﾄ(4～3月)'!I$26:I$1060)</f>
        <v>0</v>
      </c>
      <c r="G52" s="160">
        <f>SUMIF('内訳ﾘｽﾄ(4～3月)'!$D$26:$D$1060,$B52,'内訳ﾘｽﾄ(4～3月)'!J$26:J$1060)</f>
        <v>0</v>
      </c>
      <c r="H52" s="160">
        <f>SUMIF('内訳ﾘｽﾄ(4～3月)'!$D$26:$D$1060,$B52,'内訳ﾘｽﾄ(4～3月)'!K$26:K$1060)</f>
        <v>0</v>
      </c>
      <c r="I52" s="160">
        <f>SUMIF('内訳ﾘｽﾄ(4～3月)'!$D$26:$D$1060,$B52,'内訳ﾘｽﾄ(4～3月)'!L$26:L$1060)</f>
        <v>0</v>
      </c>
      <c r="J52" s="160">
        <f>SUMIF('内訳ﾘｽﾄ(4～3月)'!$D$26:$D$1060,$B52,'内訳ﾘｽﾄ(4～3月)'!M$26:M$1060)</f>
        <v>0</v>
      </c>
      <c r="K52" s="160">
        <f>SUMIF('内訳ﾘｽﾄ(4～3月)'!$D$26:$D$1060,$B52,'内訳ﾘｽﾄ(4～3月)'!N$26:N$1060)</f>
        <v>0</v>
      </c>
      <c r="L52" s="160">
        <f>SUMIF('内訳ﾘｽﾄ(4～3月)'!$D$26:$D$1060,$B52,'内訳ﾘｽﾄ(4～3月)'!O$26:O$1060)</f>
        <v>0</v>
      </c>
      <c r="M52" s="160">
        <f>SUMIF('内訳ﾘｽﾄ(4～3月)'!$D$26:$D$1060,$B52,'内訳ﾘｽﾄ(4～3月)'!P$26:P$1060)</f>
        <v>0</v>
      </c>
      <c r="N52" s="160">
        <f>SUMIF('内訳ﾘｽﾄ(4～3月)'!$D$26:$D$1060,$B52,'内訳ﾘｽﾄ(4～3月)'!Q$26:Q$1060)</f>
        <v>0</v>
      </c>
      <c r="O52" s="160">
        <f>SUMIF('内訳ﾘｽﾄ(4～3月)'!$D$26:$D$859,'採算表(VND)'!$B52,'内訳ﾘｽﾄ(4～3月)'!R$26:R$859)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SUMIF('内訳ﾘｽﾄ(4～3月)'!$D$26:$D$1060,$B53,'内訳ﾘｽﾄ(4～3月)'!F$26:F$1060)</f>
        <v>0</v>
      </c>
      <c r="D53" s="160">
        <f>SUMIF('内訳ﾘｽﾄ(4～3月)'!$D$26:$D$1060,$B53,'内訳ﾘｽﾄ(4～3月)'!G$26:G$1060)</f>
        <v>0</v>
      </c>
      <c r="E53" s="160">
        <f>SUMIF('内訳ﾘｽﾄ(4～3月)'!$D$26:$D$1060,$B53,'内訳ﾘｽﾄ(4～3月)'!H$26:H$1060)</f>
        <v>0</v>
      </c>
      <c r="F53" s="160">
        <f>SUMIF('内訳ﾘｽﾄ(4～3月)'!$D$26:$D$1060,$B53,'内訳ﾘｽﾄ(4～3月)'!I$26:I$1060)</f>
        <v>0</v>
      </c>
      <c r="G53" s="160">
        <f>SUMIF('内訳ﾘｽﾄ(4～3月)'!$D$26:$D$1060,$B53,'内訳ﾘｽﾄ(4～3月)'!J$26:J$1060)</f>
        <v>0</v>
      </c>
      <c r="H53" s="160">
        <f>SUMIF('内訳ﾘｽﾄ(4～3月)'!$D$26:$D$1060,$B53,'内訳ﾘｽﾄ(4～3月)'!K$26:K$1060)</f>
        <v>0</v>
      </c>
      <c r="I53" s="160">
        <f>SUMIF('内訳ﾘｽﾄ(4～3月)'!$D$26:$D$1060,$B53,'内訳ﾘｽﾄ(4～3月)'!L$26:L$1060)</f>
        <v>0</v>
      </c>
      <c r="J53" s="160">
        <f>SUMIF('内訳ﾘｽﾄ(4～3月)'!$D$26:$D$1060,$B53,'内訳ﾘｽﾄ(4～3月)'!M$26:M$1060)</f>
        <v>0</v>
      </c>
      <c r="K53" s="160">
        <f>SUMIF('内訳ﾘｽﾄ(4～3月)'!$D$26:$D$1060,$B53,'内訳ﾘｽﾄ(4～3月)'!N$26:N$1060)</f>
        <v>0</v>
      </c>
      <c r="L53" s="160">
        <f>SUMIF('内訳ﾘｽﾄ(4～3月)'!$D$26:$D$1060,$B53,'内訳ﾘｽﾄ(4～3月)'!O$26:O$1060)</f>
        <v>0</v>
      </c>
      <c r="M53" s="160">
        <f>SUMIF('内訳ﾘｽﾄ(4～3月)'!$D$26:$D$1060,$B53,'内訳ﾘｽﾄ(4～3月)'!P$26:P$1060)</f>
        <v>0</v>
      </c>
      <c r="N53" s="160">
        <f>SUMIF('内訳ﾘｽﾄ(4～3月)'!$D$26:$D$1060,$B53,'内訳ﾘｽﾄ(4～3月)'!Q$26:Q$1060)</f>
        <v>0</v>
      </c>
      <c r="O53" s="160">
        <f>SUMIF('内訳ﾘｽﾄ(4～3月)'!$D$26:$D$859,'採算表(VND)'!$B53,'内訳ﾘｽﾄ(4～3月)'!R$26:R$859)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SUMIF('内訳ﾘｽﾄ(4～3月)'!$D$26:$D$1060,$B54,'内訳ﾘｽﾄ(4～3月)'!F$26:F$1060)</f>
        <v>0</v>
      </c>
      <c r="D54" s="160">
        <f>SUMIF('内訳ﾘｽﾄ(4～3月)'!$D$26:$D$1060,$B54,'内訳ﾘｽﾄ(4～3月)'!G$26:G$1060)</f>
        <v>0</v>
      </c>
      <c r="E54" s="160">
        <f>SUMIF('内訳ﾘｽﾄ(4～3月)'!$D$26:$D$1060,$B54,'内訳ﾘｽﾄ(4～3月)'!H$26:H$1060)</f>
        <v>0</v>
      </c>
      <c r="F54" s="160">
        <f>SUMIF('内訳ﾘｽﾄ(4～3月)'!$D$26:$D$1060,$B54,'内訳ﾘｽﾄ(4～3月)'!I$26:I$1060)</f>
        <v>0</v>
      </c>
      <c r="G54" s="160">
        <f>SUMIF('内訳ﾘｽﾄ(4～3月)'!$D$26:$D$1060,$B54,'内訳ﾘｽﾄ(4～3月)'!J$26:J$1060)</f>
        <v>0</v>
      </c>
      <c r="H54" s="160">
        <f>SUMIF('内訳ﾘｽﾄ(4～3月)'!$D$26:$D$1060,$B54,'内訳ﾘｽﾄ(4～3月)'!K$26:K$1060)</f>
        <v>0</v>
      </c>
      <c r="I54" s="160">
        <f>SUMIF('内訳ﾘｽﾄ(4～3月)'!$D$26:$D$1060,$B54,'内訳ﾘｽﾄ(4～3月)'!L$26:L$1060)</f>
        <v>0</v>
      </c>
      <c r="J54" s="160">
        <f>SUMIF('内訳ﾘｽﾄ(4～3月)'!$D$26:$D$1060,$B54,'内訳ﾘｽﾄ(4～3月)'!M$26:M$1060)</f>
        <v>0</v>
      </c>
      <c r="K54" s="160">
        <f>SUMIF('内訳ﾘｽﾄ(4～3月)'!$D$26:$D$1060,$B54,'内訳ﾘｽﾄ(4～3月)'!N$26:N$1060)</f>
        <v>0</v>
      </c>
      <c r="L54" s="160">
        <f>SUMIF('内訳ﾘｽﾄ(4～3月)'!$D$26:$D$1060,$B54,'内訳ﾘｽﾄ(4～3月)'!O$26:O$1060)</f>
        <v>0</v>
      </c>
      <c r="M54" s="160">
        <f>SUMIF('内訳ﾘｽﾄ(4～3月)'!$D$26:$D$1060,$B54,'内訳ﾘｽﾄ(4～3月)'!P$26:P$1060)</f>
        <v>0</v>
      </c>
      <c r="N54" s="160">
        <f>SUMIF('内訳ﾘｽﾄ(4～3月)'!$D$26:$D$1060,$B54,'内訳ﾘｽﾄ(4～3月)'!Q$26:Q$1060)</f>
        <v>0</v>
      </c>
      <c r="O54" s="160">
        <f>SUMIF('内訳ﾘｽﾄ(4～3月)'!$D$26:$D$859,'採算表(VND)'!$B54,'内訳ﾘｽﾄ(4～3月)'!R$26:R$859)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SUMIF('内訳ﾘｽﾄ(4～3月)'!$D$26:$D$1060,$B55,'内訳ﾘｽﾄ(4～3月)'!F$26:F$1060)</f>
        <v>0</v>
      </c>
      <c r="D55" s="160">
        <f>SUMIF('内訳ﾘｽﾄ(4～3月)'!$D$26:$D$1060,$B55,'内訳ﾘｽﾄ(4～3月)'!G$26:G$1060)</f>
        <v>0</v>
      </c>
      <c r="E55" s="160">
        <f>SUMIF('内訳ﾘｽﾄ(4～3月)'!$D$26:$D$1060,$B55,'内訳ﾘｽﾄ(4～3月)'!H$26:H$1060)</f>
        <v>0</v>
      </c>
      <c r="F55" s="160">
        <f>SUMIF('内訳ﾘｽﾄ(4～3月)'!$D$26:$D$1060,$B55,'内訳ﾘｽﾄ(4～3月)'!I$26:I$1060)</f>
        <v>0</v>
      </c>
      <c r="G55" s="160">
        <f>SUMIF('内訳ﾘｽﾄ(4～3月)'!$D$26:$D$1060,$B55,'内訳ﾘｽﾄ(4～3月)'!J$26:J$1060)</f>
        <v>0</v>
      </c>
      <c r="H55" s="160">
        <f>SUMIF('内訳ﾘｽﾄ(4～3月)'!$D$26:$D$1060,$B55,'内訳ﾘｽﾄ(4～3月)'!K$26:K$1060)</f>
        <v>0</v>
      </c>
      <c r="I55" s="160">
        <f>SUMIF('内訳ﾘｽﾄ(4～3月)'!$D$26:$D$1060,$B55,'内訳ﾘｽﾄ(4～3月)'!L$26:L$1060)</f>
        <v>0</v>
      </c>
      <c r="J55" s="160">
        <f>SUMIF('内訳ﾘｽﾄ(4～3月)'!$D$26:$D$1060,$B55,'内訳ﾘｽﾄ(4～3月)'!M$26:M$1060)</f>
        <v>0</v>
      </c>
      <c r="K55" s="160">
        <f>SUMIF('内訳ﾘｽﾄ(4～3月)'!$D$26:$D$1060,$B55,'内訳ﾘｽﾄ(4～3月)'!N$26:N$1060)</f>
        <v>0</v>
      </c>
      <c r="L55" s="160">
        <f>SUMIF('内訳ﾘｽﾄ(4～3月)'!$D$26:$D$1060,$B55,'内訳ﾘｽﾄ(4～3月)'!O$26:O$1060)</f>
        <v>0</v>
      </c>
      <c r="M55" s="160">
        <f>SUMIF('内訳ﾘｽﾄ(4～3月)'!$D$26:$D$1060,$B55,'内訳ﾘｽﾄ(4～3月)'!P$26:P$1060)</f>
        <v>0</v>
      </c>
      <c r="N55" s="160">
        <f>SUMIF('内訳ﾘｽﾄ(4～3月)'!$D$26:$D$1060,$B55,'内訳ﾘｽﾄ(4～3月)'!Q$26:Q$1060)</f>
        <v>0</v>
      </c>
      <c r="O55" s="160">
        <f>SUMIF('内訳ﾘｽﾄ(4～3月)'!$D$26:$D$859,'採算表(VND)'!$B55,'内訳ﾘｽﾄ(4～3月)'!R$26:R$859)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SUMIF('内訳ﾘｽﾄ(4～3月)'!$D$26:$D$1060,$B56,'内訳ﾘｽﾄ(4～3月)'!F$26:F$1060)</f>
        <v>0</v>
      </c>
      <c r="D56" s="160">
        <f>SUMIF('内訳ﾘｽﾄ(4～3月)'!$D$26:$D$1060,$B56,'内訳ﾘｽﾄ(4～3月)'!G$26:G$1060)</f>
        <v>0</v>
      </c>
      <c r="E56" s="160">
        <f>SUMIF('内訳ﾘｽﾄ(4～3月)'!$D$26:$D$1060,$B56,'内訳ﾘｽﾄ(4～3月)'!H$26:H$1060)</f>
        <v>0</v>
      </c>
      <c r="F56" s="160">
        <f>SUMIF('内訳ﾘｽﾄ(4～3月)'!$D$26:$D$1060,$B56,'内訳ﾘｽﾄ(4～3月)'!I$26:I$1060)</f>
        <v>0</v>
      </c>
      <c r="G56" s="160">
        <f>SUMIF('内訳ﾘｽﾄ(4～3月)'!$D$26:$D$1060,$B56,'内訳ﾘｽﾄ(4～3月)'!J$26:J$1060)</f>
        <v>0</v>
      </c>
      <c r="H56" s="160">
        <f>SUMIF('内訳ﾘｽﾄ(4～3月)'!$D$26:$D$1060,$B56,'内訳ﾘｽﾄ(4～3月)'!K$26:K$1060)</f>
        <v>0</v>
      </c>
      <c r="I56" s="160">
        <f>SUMIF('内訳ﾘｽﾄ(4～3月)'!$D$26:$D$1060,$B56,'内訳ﾘｽﾄ(4～3月)'!L$26:L$1060)</f>
        <v>0</v>
      </c>
      <c r="J56" s="160">
        <f>SUMIF('内訳ﾘｽﾄ(4～3月)'!$D$26:$D$1060,$B56,'内訳ﾘｽﾄ(4～3月)'!M$26:M$1060)</f>
        <v>0</v>
      </c>
      <c r="K56" s="160">
        <f>SUMIF('内訳ﾘｽﾄ(4～3月)'!$D$26:$D$1060,$B56,'内訳ﾘｽﾄ(4～3月)'!N$26:N$1060)</f>
        <v>0</v>
      </c>
      <c r="L56" s="160">
        <f>SUMIF('内訳ﾘｽﾄ(4～3月)'!$D$26:$D$1060,$B56,'内訳ﾘｽﾄ(4～3月)'!O$26:O$1060)</f>
        <v>0</v>
      </c>
      <c r="M56" s="160">
        <f>SUMIF('内訳ﾘｽﾄ(4～3月)'!$D$26:$D$1060,$B56,'内訳ﾘｽﾄ(4～3月)'!P$26:P$1060)</f>
        <v>0</v>
      </c>
      <c r="N56" s="160">
        <f>SUMIF('内訳ﾘｽﾄ(4～3月)'!$D$26:$D$1060,$B56,'内訳ﾘｽﾄ(4～3月)'!Q$26:Q$1060)</f>
        <v>0</v>
      </c>
      <c r="O56" s="160">
        <f>SUMIF('内訳ﾘｽﾄ(4～3月)'!$D$26:$D$859,'採算表(VND)'!$B56,'内訳ﾘｽﾄ(4～3月)'!R$26:R$859)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SUMIF('内訳ﾘｽﾄ(4～3月)'!$D$26:$D$1060,$B57,'内訳ﾘｽﾄ(4～3月)'!F$26:F$1060)</f>
        <v>0</v>
      </c>
      <c r="D57" s="160">
        <f>SUMIF('内訳ﾘｽﾄ(4～3月)'!$D$26:$D$1060,$B57,'内訳ﾘｽﾄ(4～3月)'!G$26:G$1060)</f>
        <v>0</v>
      </c>
      <c r="E57" s="160">
        <f>SUMIF('内訳ﾘｽﾄ(4～3月)'!$D$26:$D$1060,$B57,'内訳ﾘｽﾄ(4～3月)'!H$26:H$1060)</f>
        <v>0</v>
      </c>
      <c r="F57" s="160">
        <f>SUMIF('内訳ﾘｽﾄ(4～3月)'!$D$26:$D$1060,$B57,'内訳ﾘｽﾄ(4～3月)'!I$26:I$1060)</f>
        <v>0</v>
      </c>
      <c r="G57" s="160">
        <f>SUMIF('内訳ﾘｽﾄ(4～3月)'!$D$26:$D$1060,$B57,'内訳ﾘｽﾄ(4～3月)'!J$26:J$1060)</f>
        <v>4042596</v>
      </c>
      <c r="H57" s="160">
        <f>SUMIF('内訳ﾘｽﾄ(4～3月)'!$D$26:$D$1060,$B57,'内訳ﾘｽﾄ(4～3月)'!K$26:K$1060)</f>
        <v>3945606</v>
      </c>
      <c r="I57" s="160">
        <f>SUMIF('内訳ﾘｽﾄ(4～3月)'!$D$26:$D$1060,$B57,'内訳ﾘｽﾄ(4～3月)'!L$26:L$1060)</f>
        <v>3854710</v>
      </c>
      <c r="J57" s="160">
        <f>SUMIF('内訳ﾘｽﾄ(4～3月)'!$D$26:$D$1060,$B57,'内訳ﾘｽﾄ(4～3月)'!M$26:M$1060)</f>
        <v>3846586</v>
      </c>
      <c r="K57" s="160">
        <f>SUMIF('内訳ﾘｽﾄ(4～3月)'!$D$26:$D$1060,$B57,'内訳ﾘｽﾄ(4～3月)'!N$26:N$1060)</f>
        <v>3852424</v>
      </c>
      <c r="L57" s="160">
        <f>SUMIF('内訳ﾘｽﾄ(4～3月)'!$D$26:$D$1060,$B57,'内訳ﾘｽﾄ(4～3月)'!O$26:O$1060)</f>
        <v>3825004</v>
      </c>
      <c r="M57" s="160">
        <f>SUMIF('内訳ﾘｽﾄ(4～3月)'!$D$26:$D$1060,$B57,'内訳ﾘｽﾄ(4～3月)'!P$26:P$1060)</f>
        <v>3788950</v>
      </c>
      <c r="N57" s="160">
        <f>SUMIF('内訳ﾘｽﾄ(4～3月)'!$D$26:$D$1060,$B57,'内訳ﾘｽﾄ(4～3月)'!Q$26:Q$1060)</f>
        <v>3853694</v>
      </c>
      <c r="O57" s="160">
        <f>SUMIF('内訳ﾘｽﾄ(4～3月)'!$D$26:$D$859,'採算表(VND)'!$B57,'内訳ﾘｽﾄ(4～3月)'!R$26:R$859)</f>
        <v>31009570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SUMIF('内訳ﾘｽﾄ(4～3月)'!$D$26:$D$1060,$B58,'内訳ﾘｽﾄ(4～3月)'!F$26:F$1060)</f>
        <v>0</v>
      </c>
      <c r="D58" s="160">
        <f>SUMIF('内訳ﾘｽﾄ(4～3月)'!$D$26:$D$1060,$B58,'内訳ﾘｽﾄ(4～3月)'!G$26:G$1060)</f>
        <v>0</v>
      </c>
      <c r="E58" s="160">
        <f>SUMIF('内訳ﾘｽﾄ(4～3月)'!$D$26:$D$1060,$B58,'内訳ﾘｽﾄ(4～3月)'!H$26:H$1060)</f>
        <v>0</v>
      </c>
      <c r="F58" s="160">
        <f>SUMIF('内訳ﾘｽﾄ(4～3月)'!$D$26:$D$1060,$B58,'内訳ﾘｽﾄ(4～3月)'!I$26:I$1060)</f>
        <v>0</v>
      </c>
      <c r="G58" s="160">
        <f>SUMIF('内訳ﾘｽﾄ(4～3月)'!$D$26:$D$1060,$B58,'内訳ﾘｽﾄ(4～3月)'!J$26:J$1060)</f>
        <v>0</v>
      </c>
      <c r="H58" s="160">
        <f>SUMIF('内訳ﾘｽﾄ(4～3月)'!$D$26:$D$1060,$B58,'内訳ﾘｽﾄ(4～3月)'!K$26:K$1060)</f>
        <v>0</v>
      </c>
      <c r="I58" s="160">
        <f>SUMIF('内訳ﾘｽﾄ(4～3月)'!$D$26:$D$1060,$B58,'内訳ﾘｽﾄ(4～3月)'!L$26:L$1060)</f>
        <v>0</v>
      </c>
      <c r="J58" s="160">
        <f>SUMIF('内訳ﾘｽﾄ(4～3月)'!$D$26:$D$1060,$B58,'内訳ﾘｽﾄ(4～3月)'!M$26:M$1060)</f>
        <v>0</v>
      </c>
      <c r="K58" s="160">
        <f>SUMIF('内訳ﾘｽﾄ(4～3月)'!$D$26:$D$1060,$B58,'内訳ﾘｽﾄ(4～3月)'!N$26:N$1060)</f>
        <v>0</v>
      </c>
      <c r="L58" s="160">
        <f>SUMIF('内訳ﾘｽﾄ(4～3月)'!$D$26:$D$1060,$B58,'内訳ﾘｽﾄ(4～3月)'!O$26:O$1060)</f>
        <v>0</v>
      </c>
      <c r="M58" s="160">
        <f>SUMIF('内訳ﾘｽﾄ(4～3月)'!$D$26:$D$1060,$B58,'内訳ﾘｽﾄ(4～3月)'!P$26:P$1060)</f>
        <v>0</v>
      </c>
      <c r="N58" s="160">
        <f>SUMIF('内訳ﾘｽﾄ(4～3月)'!$D$26:$D$1060,$B58,'内訳ﾘｽﾄ(4～3月)'!Q$26:Q$1060)</f>
        <v>0</v>
      </c>
      <c r="O58" s="160">
        <f>SUMIF('内訳ﾘｽﾄ(4～3月)'!$D$26:$D$859,'採算表(VND)'!$B58,'内訳ﾘｽﾄ(4～3月)'!R$26:R$859)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SUMIF('内訳ﾘｽﾄ(4～3月)'!$D$26:$D$1060,$B59,'内訳ﾘｽﾄ(4～3月)'!F$26:F$1060)</f>
        <v>0</v>
      </c>
      <c r="D59" s="160">
        <f>SUMIF('内訳ﾘｽﾄ(4～3月)'!$D$26:$D$1060,$B59,'内訳ﾘｽﾄ(4～3月)'!G$26:G$1060)</f>
        <v>0</v>
      </c>
      <c r="E59" s="160">
        <f>SUMIF('内訳ﾘｽﾄ(4～3月)'!$D$26:$D$1060,$B59,'内訳ﾘｽﾄ(4～3月)'!H$26:H$1060)</f>
        <v>0</v>
      </c>
      <c r="F59" s="160">
        <f>SUMIF('内訳ﾘｽﾄ(4～3月)'!$D$26:$D$1060,$B59,'内訳ﾘｽﾄ(4～3月)'!I$26:I$1060)</f>
        <v>0</v>
      </c>
      <c r="G59" s="160">
        <f>SUMIF('内訳ﾘｽﾄ(4～3月)'!$D$26:$D$1060,$B59,'内訳ﾘｽﾄ(4～3月)'!J$26:J$1060)</f>
        <v>0</v>
      </c>
      <c r="H59" s="160">
        <f>SUMIF('内訳ﾘｽﾄ(4～3月)'!$D$26:$D$1060,$B59,'内訳ﾘｽﾄ(4～3月)'!K$26:K$1060)</f>
        <v>0</v>
      </c>
      <c r="I59" s="160">
        <f>SUMIF('内訳ﾘｽﾄ(4～3月)'!$D$26:$D$1060,$B59,'内訳ﾘｽﾄ(4～3月)'!L$26:L$1060)</f>
        <v>0</v>
      </c>
      <c r="J59" s="160">
        <f>SUMIF('内訳ﾘｽﾄ(4～3月)'!$D$26:$D$1060,$B59,'内訳ﾘｽﾄ(4～3月)'!M$26:M$1060)</f>
        <v>0</v>
      </c>
      <c r="K59" s="160">
        <f>SUMIF('内訳ﾘｽﾄ(4～3月)'!$D$26:$D$1060,$B59,'内訳ﾘｽﾄ(4～3月)'!N$26:N$1060)</f>
        <v>0</v>
      </c>
      <c r="L59" s="160">
        <f>SUMIF('内訳ﾘｽﾄ(4～3月)'!$D$26:$D$1060,$B59,'内訳ﾘｽﾄ(4～3月)'!O$26:O$1060)</f>
        <v>0</v>
      </c>
      <c r="M59" s="160">
        <f>SUMIF('内訳ﾘｽﾄ(4～3月)'!$D$26:$D$1060,$B59,'内訳ﾘｽﾄ(4～3月)'!P$26:P$1060)</f>
        <v>0</v>
      </c>
      <c r="N59" s="160">
        <f>SUMIF('内訳ﾘｽﾄ(4～3月)'!$D$26:$D$1060,$B59,'内訳ﾘｽﾄ(4～3月)'!Q$26:Q$1060)</f>
        <v>0</v>
      </c>
      <c r="O59" s="160">
        <f>SUMIF('内訳ﾘｽﾄ(4～3月)'!$D$26:$D$859,'採算表(VND)'!$B59,'内訳ﾘｽﾄ(4～3月)'!R$26:R$859)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SUMIF('内訳ﾘｽﾄ(4～3月)'!$D$26:$D$1060,$B60,'内訳ﾘｽﾄ(4～3月)'!F$26:F$1060)</f>
        <v>0</v>
      </c>
      <c r="D60" s="160">
        <f>SUMIF('内訳ﾘｽﾄ(4～3月)'!$D$26:$D$1060,$B60,'内訳ﾘｽﾄ(4～3月)'!G$26:G$1060)</f>
        <v>0</v>
      </c>
      <c r="E60" s="160">
        <f>SUMIF('内訳ﾘｽﾄ(4～3月)'!$D$26:$D$1060,$B60,'内訳ﾘｽﾄ(4～3月)'!H$26:H$1060)</f>
        <v>0</v>
      </c>
      <c r="F60" s="160">
        <f>SUMIF('内訳ﾘｽﾄ(4～3月)'!$D$26:$D$1060,$B60,'内訳ﾘｽﾄ(4～3月)'!I$26:I$1060)</f>
        <v>0</v>
      </c>
      <c r="G60" s="160">
        <f>SUMIF('内訳ﾘｽﾄ(4～3月)'!$D$26:$D$1060,$B60,'内訳ﾘｽﾄ(4～3月)'!J$26:J$1060)</f>
        <v>0</v>
      </c>
      <c r="H60" s="160">
        <f>SUMIF('内訳ﾘｽﾄ(4～3月)'!$D$26:$D$1060,$B60,'内訳ﾘｽﾄ(4～3月)'!K$26:K$1060)</f>
        <v>0</v>
      </c>
      <c r="I60" s="160">
        <f>SUMIF('内訳ﾘｽﾄ(4～3月)'!$D$26:$D$1060,$B60,'内訳ﾘｽﾄ(4～3月)'!L$26:L$1060)</f>
        <v>0</v>
      </c>
      <c r="J60" s="160">
        <f>SUMIF('内訳ﾘｽﾄ(4～3月)'!$D$26:$D$1060,$B60,'内訳ﾘｽﾄ(4～3月)'!M$26:M$1060)</f>
        <v>0</v>
      </c>
      <c r="K60" s="160">
        <f>SUMIF('内訳ﾘｽﾄ(4～3月)'!$D$26:$D$1060,$B60,'内訳ﾘｽﾄ(4～3月)'!N$26:N$1060)</f>
        <v>0</v>
      </c>
      <c r="L60" s="160">
        <f>SUMIF('内訳ﾘｽﾄ(4～3月)'!$D$26:$D$1060,$B60,'内訳ﾘｽﾄ(4～3月)'!O$26:O$1060)</f>
        <v>0</v>
      </c>
      <c r="M60" s="160">
        <f>SUMIF('内訳ﾘｽﾄ(4～3月)'!$D$26:$D$1060,$B60,'内訳ﾘｽﾄ(4～3月)'!P$26:P$1060)</f>
        <v>0</v>
      </c>
      <c r="N60" s="160">
        <f>SUMIF('内訳ﾘｽﾄ(4～3月)'!$D$26:$D$1060,$B60,'内訳ﾘｽﾄ(4～3月)'!Q$26:Q$1060)</f>
        <v>0</v>
      </c>
      <c r="O60" s="160">
        <f>SUMIF('内訳ﾘｽﾄ(4～3月)'!$D$26:$D$859,'採算表(VND)'!$B60,'内訳ﾘｽﾄ(4～3月)'!R$26:R$859)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IF('内訳ﾘｽﾄ(4～3月)'!$D$5="製造",SUMIF('内訳ﾘｽﾄ(4～3月)'!$D$26:$D$1060,$B61,'内訳ﾘｽﾄ(4～3月)'!F$26:F$1060),IF('内訳ﾘｽﾄ(4～3月)'!$D$5="部内間接",-SUM(C$14:C$60,C$65),0))</f>
        <v>0</v>
      </c>
      <c r="D61" s="160">
        <f>IF('内訳ﾘｽﾄ(4～3月)'!$D$5="製造",SUMIF('内訳ﾘｽﾄ(4～3月)'!$D$26:$D$1060,$B61,'内訳ﾘｽﾄ(4～3月)'!G$26:G$1060),IF('内訳ﾘｽﾄ(4～3月)'!$D$5="部内間接",-SUM(D$14:D$60,D$65),0))</f>
        <v>0</v>
      </c>
      <c r="E61" s="160">
        <f>IF('内訳ﾘｽﾄ(4～3月)'!$D$5="製造",SUMIF('内訳ﾘｽﾄ(4～3月)'!$D$26:$D$1060,$B61,'内訳ﾘｽﾄ(4～3月)'!H$26:H$1060),IF('内訳ﾘｽﾄ(4～3月)'!$D$5="部内間接",-SUM(E$14:E$60,E$65),0))</f>
        <v>0</v>
      </c>
      <c r="F61" s="160">
        <f>IF('内訳ﾘｽﾄ(4～3月)'!$D$5="製造",SUMIF('内訳ﾘｽﾄ(4～3月)'!$D$26:$D$1060,$B61,'内訳ﾘｽﾄ(4～3月)'!I$26:I$1060),IF('内訳ﾘｽﾄ(4～3月)'!$D$5="部内間接",-SUM(F$14:F$60,F$65),0))</f>
        <v>-76364035</v>
      </c>
      <c r="G61" s="160">
        <f>IF('内訳ﾘｽﾄ(4～3月)'!$D$5="製造",SUMIF('内訳ﾘｽﾄ(4～3月)'!$D$26:$D$1060,$B61,'内訳ﾘｽﾄ(4～3月)'!J$26:J$1060),IF('内訳ﾘｽﾄ(4～3月)'!$D$5="部内間接",-SUM(G$14:G$60,G$65),0))</f>
        <v>-133684485</v>
      </c>
      <c r="H61" s="160">
        <f>IF('内訳ﾘｽﾄ(4～3月)'!$D$5="製造",SUMIF('内訳ﾘｽﾄ(4～3月)'!$D$26:$D$1060,$B61,'内訳ﾘｽﾄ(4～3月)'!K$26:K$1060),IF('内訳ﾘｽﾄ(4～3月)'!$D$5="部内間接",-SUM(H$14:H$60,H$65),0))</f>
        <v>-82015336</v>
      </c>
      <c r="I61" s="160">
        <f>IF('内訳ﾘｽﾄ(4～3月)'!$D$5="製造",SUMIF('内訳ﾘｽﾄ(4～3月)'!$D$26:$D$1060,$B61,'内訳ﾘｽﾄ(4～3月)'!L$26:L$1060),IF('内訳ﾘｽﾄ(4～3月)'!$D$5="部内間接",-SUM(I$14:I$60,I$65),0))</f>
        <v>-36853664</v>
      </c>
      <c r="J61" s="160">
        <f>IF('内訳ﾘｽﾄ(4～3月)'!$D$5="製造",SUMIF('内訳ﾘｽﾄ(4～3月)'!$D$26:$D$1060,$B61,'内訳ﾘｽﾄ(4～3月)'!M$26:M$1060),IF('内訳ﾘｽﾄ(4～3月)'!$D$5="部内間接",-SUM(J$14:J$60,J$65),0))</f>
        <v>-19661705</v>
      </c>
      <c r="K61" s="160">
        <f>IF('内訳ﾘｽﾄ(4～3月)'!$D$5="製造",SUMIF('内訳ﾘｽﾄ(4～3月)'!$D$26:$D$1060,$B61,'内訳ﾘｽﾄ(4～3月)'!N$26:N$1060),IF('内訳ﾘｽﾄ(4～3月)'!$D$5="部内間接",-SUM(K$14:K$60,K$65),0))</f>
        <v>-20521852</v>
      </c>
      <c r="L61" s="160">
        <f>IF('内訳ﾘｽﾄ(4～3月)'!$D$5="製造",SUMIF('内訳ﾘｽﾄ(4～3月)'!$D$26:$D$1060,$B61,'内訳ﾘｽﾄ(4～3月)'!O$26:O$1060),IF('内訳ﾘｽﾄ(4～3月)'!$D$5="部内間接",-SUM(L$14:L$60,L$65),0))</f>
        <v>-17242118</v>
      </c>
      <c r="M61" s="160">
        <f>IF('内訳ﾘｽﾄ(4～3月)'!$D$5="製造",SUMIF('内訳ﾘｽﾄ(4～3月)'!$D$26:$D$1060,$B61,'内訳ﾘｽﾄ(4～3月)'!P$26:P$1060),IF('内訳ﾘｽﾄ(4～3月)'!$D$5="部内間接",-SUM(M$14:M$60,M$65),0))</f>
        <v>-21878993</v>
      </c>
      <c r="N61" s="160">
        <f>IF('内訳ﾘｽﾄ(4～3月)'!$D$5="製造",SUMIF('内訳ﾘｽﾄ(4～3月)'!$D$26:$D$1060,$B61,'内訳ﾘｽﾄ(4～3月)'!Q$26:Q$1060),IF('内訳ﾘｽﾄ(4～3月)'!$D$5="部内間接",-SUM(N$14:N$60,N$65),0))</f>
        <v>-17017171</v>
      </c>
      <c r="O61" s="160">
        <f>IF('内訳ﾘｽﾄ(4～3月)'!$D$5="部内間接",-SUM(O$65,O$14:O$60),IF('内訳ﾘｽﾄ(4～3月)'!$D$5="製造",SUMIF('内訳ﾘｽﾄ(4～3月)'!$D$26:$D$859,'採算表(VND)'!$B61,'内訳ﾘｽﾄ(4～3月)'!R$26:R$859),0))</f>
        <v>-425239359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IF('内訳ﾘｽﾄ(4～3月)'!$D$5="製造",SUMIF('内訳ﾘｽﾄ(4～3月)'!$D$26:$D$1060,$B62,'内訳ﾘｽﾄ(4～3月)'!F$26:F$1060),IF('内訳ﾘｽﾄ(4～3月)'!$D$5="部外間接1",-SUM(C$14:C$60,C$65),0))</f>
        <v>0</v>
      </c>
      <c r="D62" s="160">
        <f>IF('内訳ﾘｽﾄ(4～3月)'!$D$5="製造",SUMIF('内訳ﾘｽﾄ(4～3月)'!$D$26:$D$1060,$B62,'内訳ﾘｽﾄ(4～3月)'!G$26:G$1060),IF('内訳ﾘｽﾄ(4～3月)'!$D$5="部外間接1",-SUM(D$14:D$60,D$65),0))</f>
        <v>0</v>
      </c>
      <c r="E62" s="160">
        <f>IF('内訳ﾘｽﾄ(4～3月)'!$D$5="製造",SUMIF('内訳ﾘｽﾄ(4～3月)'!$D$26:$D$1060,$B62,'内訳ﾘｽﾄ(4～3月)'!H$26:H$1060),IF('内訳ﾘｽﾄ(4～3月)'!$D$5="部外間接1",-SUM(E$14:E$60,E$65),0))</f>
        <v>0</v>
      </c>
      <c r="F62" s="160">
        <f>IF('内訳ﾘｽﾄ(4～3月)'!$D$5="製造",SUMIF('内訳ﾘｽﾄ(4～3月)'!$D$26:$D$1060,$B62,'内訳ﾘｽﾄ(4～3月)'!I$26:I$1060),IF('内訳ﾘｽﾄ(4～3月)'!$D$5="部外間接1",-SUM(F$14:F$60,F$65),0))</f>
        <v>0</v>
      </c>
      <c r="G62" s="160">
        <f>IF('内訳ﾘｽﾄ(4～3月)'!$D$5="製造",SUMIF('内訳ﾘｽﾄ(4～3月)'!$D$26:$D$1060,$B62,'内訳ﾘｽﾄ(4～3月)'!J$26:J$1060),IF('内訳ﾘｽﾄ(4～3月)'!$D$5="部外間接1",-SUM(G$14:G$60,G$65),0))</f>
        <v>0</v>
      </c>
      <c r="H62" s="160">
        <f>IF('内訳ﾘｽﾄ(4～3月)'!$D$5="製造",SUMIF('内訳ﾘｽﾄ(4～3月)'!$D$26:$D$1060,$B62,'内訳ﾘｽﾄ(4～3月)'!K$26:K$1060),IF('内訳ﾘｽﾄ(4～3月)'!$D$5="部外間接1",-SUM(H$14:H$60,H$65),0))</f>
        <v>0</v>
      </c>
      <c r="I62" s="160">
        <f>IF('内訳ﾘｽﾄ(4～3月)'!$D$5="製造",SUMIF('内訳ﾘｽﾄ(4～3月)'!$D$26:$D$1060,$B62,'内訳ﾘｽﾄ(4～3月)'!L$26:L$1060),IF('内訳ﾘｽﾄ(4～3月)'!$D$5="部外間接1",-SUM(I$14:I$60,I$65),0))</f>
        <v>0</v>
      </c>
      <c r="J62" s="160">
        <f>IF('内訳ﾘｽﾄ(4～3月)'!$D$5="製造",SUMIF('内訳ﾘｽﾄ(4～3月)'!$D$26:$D$1060,$B62,'内訳ﾘｽﾄ(4～3月)'!M$26:M$1060),IF('内訳ﾘｽﾄ(4～3月)'!$D$5="部外間接1",-SUM(J$14:J$60,J$65),0))</f>
        <v>0</v>
      </c>
      <c r="K62" s="160">
        <f>IF('内訳ﾘｽﾄ(4～3月)'!$D$5="製造",SUMIF('内訳ﾘｽﾄ(4～3月)'!$D$26:$D$1060,$B62,'内訳ﾘｽﾄ(4～3月)'!N$26:N$1060),IF('内訳ﾘｽﾄ(4～3月)'!$D$5="部外間接1",-SUM(K$14:K$60,K$65),0))</f>
        <v>0</v>
      </c>
      <c r="L62" s="160">
        <f>IF('内訳ﾘｽﾄ(4～3月)'!$D$5="製造",SUMIF('内訳ﾘｽﾄ(4～3月)'!$D$26:$D$1060,$B62,'内訳ﾘｽﾄ(4～3月)'!O$26:O$1060),IF('内訳ﾘｽﾄ(4～3月)'!$D$5="部外間接1",-SUM(L$14:L$60,L$65),0))</f>
        <v>0</v>
      </c>
      <c r="M62" s="160">
        <f>IF('内訳ﾘｽﾄ(4～3月)'!$D$5="製造",SUMIF('内訳ﾘｽﾄ(4～3月)'!$D$26:$D$1060,$B62,'内訳ﾘｽﾄ(4～3月)'!P$26:P$1060),IF('内訳ﾘｽﾄ(4～3月)'!$D$5="部外間接1",-SUM(M$14:M$60,M$65),0))</f>
        <v>0</v>
      </c>
      <c r="N62" s="160">
        <f>IF('内訳ﾘｽﾄ(4～3月)'!$D$5="製造",SUMIF('内訳ﾘｽﾄ(4～3月)'!$D$26:$D$1060,$B62,'内訳ﾘｽﾄ(4～3月)'!Q$26:Q$1060),IF('内訳ﾘｽﾄ(4～3月)'!$D$5="部外間接1",-SUM(N$14:N$60,N$65),0))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IF('内訳ﾘｽﾄ(4～3月)'!$D$5="部外間接1",-SUM(O$65,O$14:O$60),IF('内訳ﾘｽﾄ(4～3月)'!$D$5="製造",SUMIF('内訳ﾘｽﾄ(4～3月)'!$D$26:$D$859,'採算表(VND)'!$B62,'内訳ﾘｽﾄ(4～3月)'!R$26:R$859),0))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IF('内訳ﾘｽﾄ(4～3月)'!$D$5="製造",SUMIF('内訳ﾘｽﾄ(4～3月)'!$D$26:$D$1060,$B63,'内訳ﾘｽﾄ(4～3月)'!F$26:F$1060),IF('内訳ﾘｽﾄ(4～3月)'!$D$5="部外間接2",-SUM(C$14:C$60,C$65),0))</f>
        <v>0</v>
      </c>
      <c r="D63" s="160">
        <f>IF('内訳ﾘｽﾄ(4～3月)'!$D$5="製造",SUMIF('内訳ﾘｽﾄ(4～3月)'!$D$26:$D$1060,$B63,'内訳ﾘｽﾄ(4～3月)'!G$26:G$1060),IF('内訳ﾘｽﾄ(4～3月)'!$D$5="部外間接2",-SUM(D$14:D$60,D$65),0))</f>
        <v>0</v>
      </c>
      <c r="E63" s="160">
        <f>IF('内訳ﾘｽﾄ(4～3月)'!$D$5="製造",SUMIF('内訳ﾘｽﾄ(4～3月)'!$D$26:$D$1060,$B63,'内訳ﾘｽﾄ(4～3月)'!H$26:H$1060),IF('内訳ﾘｽﾄ(4～3月)'!$D$5="部外間接2",-SUM(E$14:E$60,E$65),0))</f>
        <v>0</v>
      </c>
      <c r="F63" s="160">
        <f>IF('内訳ﾘｽﾄ(4～3月)'!$D$5="製造",SUMIF('内訳ﾘｽﾄ(4～3月)'!$D$26:$D$1060,$B63,'内訳ﾘｽﾄ(4～3月)'!I$26:I$1060),IF('内訳ﾘｽﾄ(4～3月)'!$D$5="部外間接2",-SUM(F$14:F$60,F$65),0))</f>
        <v>0</v>
      </c>
      <c r="G63" s="160">
        <f>IF('内訳ﾘｽﾄ(4～3月)'!$D$5="製造",SUMIF('内訳ﾘｽﾄ(4～3月)'!$D$26:$D$1060,$B63,'内訳ﾘｽﾄ(4～3月)'!J$26:J$1060),IF('内訳ﾘｽﾄ(4～3月)'!$D$5="部外間接2",-SUM(G$14:G$60,G$65),0))</f>
        <v>0</v>
      </c>
      <c r="H63" s="160">
        <f>IF('内訳ﾘｽﾄ(4～3月)'!$D$5="製造",SUMIF('内訳ﾘｽﾄ(4～3月)'!$D$26:$D$1060,$B63,'内訳ﾘｽﾄ(4～3月)'!K$26:K$1060),IF('内訳ﾘｽﾄ(4～3月)'!$D$5="部外間接2",-SUM(H$14:H$60,H$65),0))</f>
        <v>0</v>
      </c>
      <c r="I63" s="160">
        <f>IF('内訳ﾘｽﾄ(4～3月)'!$D$5="製造",SUMIF('内訳ﾘｽﾄ(4～3月)'!$D$26:$D$1060,$B63,'内訳ﾘｽﾄ(4～3月)'!L$26:L$1060),IF('内訳ﾘｽﾄ(4～3月)'!$D$5="部外間接2",-SUM(I$14:I$60,I$65),0))</f>
        <v>0</v>
      </c>
      <c r="J63" s="160">
        <f>IF('内訳ﾘｽﾄ(4～3月)'!$D$5="製造",SUMIF('内訳ﾘｽﾄ(4～3月)'!$D$26:$D$1060,$B63,'内訳ﾘｽﾄ(4～3月)'!M$26:M$1060),IF('内訳ﾘｽﾄ(4～3月)'!$D$5="部外間接2",-SUM(J$14:J$60,J$65),0))</f>
        <v>0</v>
      </c>
      <c r="K63" s="160">
        <f>IF('内訳ﾘｽﾄ(4～3月)'!$D$5="製造",SUMIF('内訳ﾘｽﾄ(4～3月)'!$D$26:$D$1060,$B63,'内訳ﾘｽﾄ(4～3月)'!N$26:N$1060),IF('内訳ﾘｽﾄ(4～3月)'!$D$5="部外間接2",-SUM(K$14:K$60,K$65),0))</f>
        <v>0</v>
      </c>
      <c r="L63" s="160">
        <f>IF('内訳ﾘｽﾄ(4～3月)'!$D$5="製造",SUMIF('内訳ﾘｽﾄ(4～3月)'!$D$26:$D$1060,$B63,'内訳ﾘｽﾄ(4～3月)'!O$26:O$1060),IF('内訳ﾘｽﾄ(4～3月)'!$D$5="部外間接2",-SUM(L$14:L$60,L$65),0))</f>
        <v>0</v>
      </c>
      <c r="M63" s="160">
        <f>IF('内訳ﾘｽﾄ(4～3月)'!$D$5="製造",SUMIF('内訳ﾘｽﾄ(4～3月)'!$D$26:$D$1060,$B63,'内訳ﾘｽﾄ(4～3月)'!P$26:P$1060),IF('内訳ﾘｽﾄ(4～3月)'!$D$5="部外間接2",-SUM(M$14:M$60,M$65),0))</f>
        <v>0</v>
      </c>
      <c r="N63" s="160">
        <f>IF('内訳ﾘｽﾄ(4～3月)'!$D$5="製造",SUMIF('内訳ﾘｽﾄ(4～3月)'!$D$26:$D$1060,$B63,'内訳ﾘｽﾄ(4～3月)'!Q$26:Q$1060),IF('内訳ﾘｽﾄ(4～3月)'!$D$5="部外間接2",-SUM(N$14:N$60,N$65),0))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IF('内訳ﾘｽﾄ(4～3月)'!$D$5="部外間接2",-SUM(O$65,O$14:O$60),IF('内訳ﾘｽﾄ(4～3月)'!$D$5="製造",SUMIF('内訳ﾘｽﾄ(4～3月)'!$D$26:$D$859,'採算表(VND)'!$B63,'内訳ﾘｽﾄ(4～3月)'!R$26:R$859),0))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IF('内訳ﾘｽﾄ(4～3月)'!$D$5="製造",SUMIF('内訳ﾘｽﾄ(4～3月)'!$D$26:$D$1060,$B64,'内訳ﾘｽﾄ(4～3月)'!F$26:F$1060),IF('内訳ﾘｽﾄ(4～3月)'!$D$5="工場間接",-SUM(C$14:C$60,C$65),0))</f>
        <v>0</v>
      </c>
      <c r="D64" s="160">
        <f>IF('内訳ﾘｽﾄ(4～3月)'!$D$5="製造",SUMIF('内訳ﾘｽﾄ(4～3月)'!$D$26:$D$1060,$B64,'内訳ﾘｽﾄ(4～3月)'!G$26:G$1060),IF('内訳ﾘｽﾄ(4～3月)'!$D$5="工場間接",-SUM(D$14:D$60,D$65),0))</f>
        <v>0</v>
      </c>
      <c r="E64" s="160">
        <f>IF('内訳ﾘｽﾄ(4～3月)'!$D$5="製造",SUMIF('内訳ﾘｽﾄ(4～3月)'!$D$26:$D$1060,$B64,'内訳ﾘｽﾄ(4～3月)'!H$26:H$1060),IF('内訳ﾘｽﾄ(4～3月)'!$D$5="工場間接",-SUM(E$14:E$60,E$65),0))</f>
        <v>0</v>
      </c>
      <c r="F64" s="160">
        <f>IF('内訳ﾘｽﾄ(4～3月)'!$D$5="製造",SUMIF('内訳ﾘｽﾄ(4～3月)'!$D$26:$D$1060,$B64,'内訳ﾘｽﾄ(4～3月)'!I$26:I$1060),IF('内訳ﾘｽﾄ(4～3月)'!$D$5="工場間接",-SUM(F$14:F$60,F$65),0))</f>
        <v>0</v>
      </c>
      <c r="G64" s="160">
        <f>IF('内訳ﾘｽﾄ(4～3月)'!$D$5="製造",SUMIF('内訳ﾘｽﾄ(4～3月)'!$D$26:$D$1060,$B64,'内訳ﾘｽﾄ(4～3月)'!J$26:J$1060),IF('内訳ﾘｽﾄ(4～3月)'!$D$5="工場間接",-SUM(G$14:G$60,G$65),0))</f>
        <v>0</v>
      </c>
      <c r="H64" s="160">
        <f>IF('内訳ﾘｽﾄ(4～3月)'!$D$5="製造",SUMIF('内訳ﾘｽﾄ(4～3月)'!$D$26:$D$1060,$B64,'内訳ﾘｽﾄ(4～3月)'!K$26:K$1060),IF('内訳ﾘｽﾄ(4～3月)'!$D$5="工場間接",-SUM(H$14:H$60,H$65),0))</f>
        <v>0</v>
      </c>
      <c r="I64" s="160">
        <f>IF('内訳ﾘｽﾄ(4～3月)'!$D$5="製造",SUMIF('内訳ﾘｽﾄ(4～3月)'!$D$26:$D$1060,$B64,'内訳ﾘｽﾄ(4～3月)'!L$26:L$1060),IF('内訳ﾘｽﾄ(4～3月)'!$D$5="工場間接",-SUM(I$14:I$60,I$65),0))</f>
        <v>0</v>
      </c>
      <c r="J64" s="160">
        <f>IF('内訳ﾘｽﾄ(4～3月)'!$D$5="製造",SUMIF('内訳ﾘｽﾄ(4～3月)'!$D$26:$D$1060,$B64,'内訳ﾘｽﾄ(4～3月)'!M$26:M$1060),IF('内訳ﾘｽﾄ(4～3月)'!$D$5="工場間接",-SUM(J$14:J$60,J$65),0))</f>
        <v>0</v>
      </c>
      <c r="K64" s="160">
        <f>IF('内訳ﾘｽﾄ(4～3月)'!$D$5="製造",SUMIF('内訳ﾘｽﾄ(4～3月)'!$D$26:$D$1060,$B64,'内訳ﾘｽﾄ(4～3月)'!N$26:N$1060),IF('内訳ﾘｽﾄ(4～3月)'!$D$5="工場間接",-SUM(K$14:K$60,K$65),0))</f>
        <v>0</v>
      </c>
      <c r="L64" s="160">
        <f>IF('内訳ﾘｽﾄ(4～3月)'!$D$5="製造",SUMIF('内訳ﾘｽﾄ(4～3月)'!$D$26:$D$1060,$B64,'内訳ﾘｽﾄ(4～3月)'!O$26:O$1060),IF('内訳ﾘｽﾄ(4～3月)'!$D$5="工場間接",-SUM(L$14:L$60,L$65),0))</f>
        <v>0</v>
      </c>
      <c r="M64" s="160">
        <f>IF('内訳ﾘｽﾄ(4～3月)'!$D$5="製造",SUMIF('内訳ﾘｽﾄ(4～3月)'!$D$26:$D$1060,$B64,'内訳ﾘｽﾄ(4～3月)'!P$26:P$1060),IF('内訳ﾘｽﾄ(4～3月)'!$D$5="工場間接",-SUM(M$14:M$60,M$65),0))</f>
        <v>0</v>
      </c>
      <c r="N64" s="160">
        <f>IF('内訳ﾘｽﾄ(4～3月)'!$D$5="製造",SUMIF('内訳ﾘｽﾄ(4～3月)'!$D$26:$D$1060,$B64,'内訳ﾘｽﾄ(4～3月)'!Q$26:Q$1060),IF('内訳ﾘｽﾄ(4～3月)'!$D$5="工場間接",-SUM(N$14:N$60,N$65),0))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IF('内訳ﾘｽﾄ(4～3月)'!$D$5="工場間接",-SUM(O$65,O$14:O$60),IF('内訳ﾘｽﾄ(4～3月)'!$D$5="製造",SUMIF('内訳ﾘｽﾄ(4～3月)'!$D$26:$D$859,'採算表(VND)'!$B64,'内訳ﾘｽﾄ(4～3月)'!R$26:R$859),0))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SUMIF('内訳ﾘｽﾄ(4～3月)'!$D$26:$D$1060,$B65,'内訳ﾘｽﾄ(4～3月)'!F$26:F$1060)</f>
        <v>0</v>
      </c>
      <c r="D65" s="158">
        <f>SUMIF('内訳ﾘｽﾄ(4～3月)'!$D$26:$D$1060,$B65,'内訳ﾘｽﾄ(4～3月)'!G$26:G$1060)</f>
        <v>0</v>
      </c>
      <c r="E65" s="158">
        <f>SUMIF('内訳ﾘｽﾄ(4～3月)'!$D$26:$D$1060,$B65,'内訳ﾘｽﾄ(4～3月)'!H$26:H$1060)</f>
        <v>0</v>
      </c>
      <c r="F65" s="158">
        <f>SUMIF('内訳ﾘｽﾄ(4～3月)'!$D$26:$D$1060,$B65,'内訳ﾘｽﾄ(4～3月)'!I$26:I$1060)</f>
        <v>0</v>
      </c>
      <c r="G65" s="158">
        <f>SUMIF('内訳ﾘｽﾄ(4～3月)'!$D$26:$D$1060,$B65,'内訳ﾘｽﾄ(4～3月)'!J$26:J$1060)</f>
        <v>0</v>
      </c>
      <c r="H65" s="158">
        <f>SUMIF('内訳ﾘｽﾄ(4～3月)'!$D$26:$D$1060,$B65,'内訳ﾘｽﾄ(4～3月)'!K$26:K$1060)</f>
        <v>0</v>
      </c>
      <c r="I65" s="158">
        <f>SUMIF('内訳ﾘｽﾄ(4～3月)'!$D$26:$D$1060,$B65,'内訳ﾘｽﾄ(4～3月)'!L$26:L$1060)</f>
        <v>0</v>
      </c>
      <c r="J65" s="158">
        <f>SUMIF('内訳ﾘｽﾄ(4～3月)'!$D$26:$D$1060,$B65,'内訳ﾘｽﾄ(4～3月)'!M$26:M$1060)</f>
        <v>0</v>
      </c>
      <c r="K65" s="158">
        <f>SUMIF('内訳ﾘｽﾄ(4～3月)'!$D$26:$D$1060,$B65,'内訳ﾘｽﾄ(4～3月)'!N$26:N$1060)</f>
        <v>0</v>
      </c>
      <c r="L65" s="158">
        <f>SUMIF('内訳ﾘｽﾄ(4～3月)'!$D$26:$D$1060,$B65,'内訳ﾘｽﾄ(4～3月)'!O$26:O$1060)</f>
        <v>0</v>
      </c>
      <c r="M65" s="158">
        <f>SUMIF('内訳ﾘｽﾄ(4～3月)'!$D$26:$D$1060,$B65,'内訳ﾘｽﾄ(4～3月)'!P$26:P$1060)</f>
        <v>0</v>
      </c>
      <c r="N65" s="158">
        <f>SUMIF('内訳ﾘｽﾄ(4～3月)'!$D$26:$D$1060,$B65,'内訳ﾘｽﾄ(4～3月)'!Q$26:Q$1060)</f>
        <v>0</v>
      </c>
      <c r="O65" s="158">
        <f>SUMIF('内訳ﾘｽﾄ(4～3月)'!$D$26:$D$859,'採算表(VND)'!$B65,'内訳ﾘｽﾄ(4～3月)'!R$26:R$859)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0</v>
      </c>
      <c r="D68" s="162">
        <f>SUMIF('内訳ﾘｽﾄ(4～3月)'!$D$8:$D$15,'採算表(VND)'!$B68,'内訳ﾘｽﾄ(4～3月)'!G$8:G$15)</f>
        <v>0</v>
      </c>
      <c r="E68" s="162">
        <f>SUMIF('内訳ﾘｽﾄ(4～3月)'!$D$8:$D$15,'採算表(VND)'!$B68,'内訳ﾘｽﾄ(4～3月)'!H$8:H$15)</f>
        <v>0</v>
      </c>
      <c r="F68" s="162">
        <f>SUMIF('内訳ﾘｽﾄ(4～3月)'!$D$8:$D$15,'採算表(VND)'!$B68,'内訳ﾘｽﾄ(4～3月)'!I$8:I$15)</f>
        <v>2205</v>
      </c>
      <c r="G68" s="162">
        <f>SUMIF('内訳ﾘｽﾄ(4～3月)'!$D$8:$D$15,'採算表(VND)'!$B68,'内訳ﾘｽﾄ(4～3月)'!J$8:J$15)</f>
        <v>1918</v>
      </c>
      <c r="H68" s="162">
        <f>SUMIF('内訳ﾘｽﾄ(4～3月)'!$D$8:$D$15,'採算表(VND)'!$B68,'内訳ﾘｽﾄ(4～3月)'!K$8:K$15)</f>
        <v>1822</v>
      </c>
      <c r="I68" s="162">
        <f>SUMIF('内訳ﾘｽﾄ(4～3月)'!$D$8:$D$15,'採算表(VND)'!$B68,'内訳ﾘｽﾄ(4～3月)'!L$8:L$15)</f>
        <v>2205</v>
      </c>
      <c r="J68" s="162">
        <f>SUMIF('内訳ﾘｽﾄ(4～3月)'!$D$8:$D$15,'採算表(VND)'!$B68,'内訳ﾘｽﾄ(4～3月)'!M$8:M$15)</f>
        <v>1918</v>
      </c>
      <c r="K68" s="162">
        <f>SUMIF('内訳ﾘｽﾄ(4～3月)'!$D$8:$D$15,'採算表(VND)'!$B68,'内訳ﾘｽﾄ(4～3月)'!N$8:N$15)</f>
        <v>2109</v>
      </c>
      <c r="L68" s="162">
        <f>SUMIF('内訳ﾘｽﾄ(4～3月)'!$D$8:$D$15,'採算表(VND)'!$B68,'内訳ﾘｽﾄ(4～3月)'!O$8:O$15)</f>
        <v>1918</v>
      </c>
      <c r="M68" s="162">
        <f>SUMIF('内訳ﾘｽﾄ(4～3月)'!$D$8:$D$15,'採算表(VND)'!$B68,'内訳ﾘｽﾄ(4～3月)'!P$8:P$15)</f>
        <v>1438</v>
      </c>
      <c r="N68" s="162">
        <f>SUMIF('内訳ﾘｽﾄ(4～3月)'!$D$8:$D$15,'採算表(VND)'!$B68,'内訳ﾘｽﾄ(4～3月)'!Q$8:Q$15)</f>
        <v>1918</v>
      </c>
      <c r="O68" s="162">
        <f>SUMIF('内訳ﾘｽﾄ(4～3月)'!$D$8:$D$15,'採算表(VND)'!$B68,'内訳ﾘｽﾄ(4～3月)'!$R$8:$R$15)</f>
        <v>17451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-2205</v>
      </c>
      <c r="G69" s="163">
        <f>IF('内訳ﾘｽﾄ(4～3月)'!$D$5="製造",SUMIF('内訳ﾘｽﾄ(4～3月)'!$D$8:$D$15,$B69,'内訳ﾘｽﾄ(4～3月)'!J$8:J$15),IF('内訳ﾘｽﾄ(4～3月)'!$D$5="部内間接",-G$68,0))</f>
        <v>-1918</v>
      </c>
      <c r="H69" s="163">
        <f>IF('内訳ﾘｽﾄ(4～3月)'!$D$5="製造",SUMIF('内訳ﾘｽﾄ(4～3月)'!$D$8:$D$15,$B69,'内訳ﾘｽﾄ(4～3月)'!K$8:K$15),IF('内訳ﾘｽﾄ(4～3月)'!$D$5="部内間接",-H$68,0))</f>
        <v>-1822</v>
      </c>
      <c r="I69" s="163">
        <f>IF('内訳ﾘｽﾄ(4～3月)'!$D$5="製造",SUMIF('内訳ﾘｽﾄ(4～3月)'!$D$8:$D$15,$B69,'内訳ﾘｽﾄ(4～3月)'!L$8:L$15),IF('内訳ﾘｽﾄ(4～3月)'!$D$5="部内間接",-I$68,0))</f>
        <v>-2205</v>
      </c>
      <c r="J69" s="163">
        <f>IF('内訳ﾘｽﾄ(4～3月)'!$D$5="製造",SUMIF('内訳ﾘｽﾄ(4～3月)'!$D$8:$D$15,$B69,'内訳ﾘｽﾄ(4～3月)'!M$8:M$15),IF('内訳ﾘｽﾄ(4～3月)'!$D$5="部内間接",-J$68,0))</f>
        <v>-1918</v>
      </c>
      <c r="K69" s="163">
        <f>IF('内訳ﾘｽﾄ(4～3月)'!$D$5="製造",SUMIF('内訳ﾘｽﾄ(4～3月)'!$D$8:$D$15,$B69,'内訳ﾘｽﾄ(4～3月)'!N$8:N$15),IF('内訳ﾘｽﾄ(4～3月)'!$D$5="部内間接",-K$68,0))</f>
        <v>-2109</v>
      </c>
      <c r="L69" s="163">
        <f>IF('内訳ﾘｽﾄ(4～3月)'!$D$5="製造",SUMIF('内訳ﾘｽﾄ(4～3月)'!$D$8:$D$15,$B69,'内訳ﾘｽﾄ(4～3月)'!O$8:O$15),IF('内訳ﾘｽﾄ(4～3月)'!$D$5="部内間接",-L$68,0))</f>
        <v>-1918</v>
      </c>
      <c r="M69" s="163">
        <f>IF('内訳ﾘｽﾄ(4～3月)'!$D$5="製造",SUMIF('内訳ﾘｽﾄ(4～3月)'!$D$8:$D$15,$B69,'内訳ﾘｽﾄ(4～3月)'!P$8:P$15),IF('内訳ﾘｽﾄ(4～3月)'!$D$5="部内間接",-M$68,0))</f>
        <v>-1438</v>
      </c>
      <c r="N69" s="163">
        <f>IF('内訳ﾘｽﾄ(4～3月)'!$D$5="製造",SUMIF('内訳ﾘｽﾄ(4～3月)'!$D$8:$D$15,$B69,'内訳ﾘｽﾄ(4～3月)'!Q$8:Q$15),IF('内訳ﾘｽﾄ(4～3月)'!$D$5="部内間接",-N$68,0))</f>
        <v>-1918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-17451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0</v>
      </c>
      <c r="D74" s="162">
        <f>SUMIF('内訳ﾘｽﾄ(4～3月)'!$D$16:$D$23,'採算表(VND)'!$B74,'内訳ﾘｽﾄ(4～3月)'!G$16:G$23)</f>
        <v>0</v>
      </c>
      <c r="E74" s="162">
        <f>SUMIF('内訳ﾘｽﾄ(4～3月)'!$D$16:$D$23,'採算表(VND)'!$B74,'内訳ﾘｽﾄ(4～3月)'!H$16:H$23)</f>
        <v>0</v>
      </c>
      <c r="F74" s="162">
        <f>SUMIF('内訳ﾘｽﾄ(4～3月)'!$D$16:$D$23,'採算表(VND)'!$B74,'内訳ﾘｽﾄ(4～3月)'!I$16:I$23)</f>
        <v>321</v>
      </c>
      <c r="G74" s="162">
        <f>SUMIF('内訳ﾘｽﾄ(4～3月)'!$D$16:$D$23,'採算表(VND)'!$B74,'内訳ﾘｽﾄ(4～3月)'!J$16:J$23)</f>
        <v>315</v>
      </c>
      <c r="H74" s="162">
        <f>SUMIF('内訳ﾘｽﾄ(4～3月)'!$D$16:$D$23,'採算表(VND)'!$B74,'内訳ﾘｽﾄ(4～3月)'!K$16:K$23)</f>
        <v>313</v>
      </c>
      <c r="I74" s="162">
        <f>SUMIF('内訳ﾘｽﾄ(4～3月)'!$D$16:$D$23,'採算表(VND)'!$B74,'内訳ﾘｽﾄ(4～3月)'!L$16:L$23)</f>
        <v>321</v>
      </c>
      <c r="J74" s="162">
        <f>SUMIF('内訳ﾘｽﾄ(4～3月)'!$D$16:$D$23,'採算表(VND)'!$B74,'内訳ﾘｽﾄ(4～3月)'!M$16:M$23)</f>
        <v>315</v>
      </c>
      <c r="K74" s="162">
        <f>SUMIF('内訳ﾘｽﾄ(4～3月)'!$D$16:$D$23,'採算表(VND)'!$B74,'内訳ﾘｽﾄ(4～3月)'!N$16:N$23)</f>
        <v>319</v>
      </c>
      <c r="L74" s="162">
        <f>SUMIF('内訳ﾘｽﾄ(4～3月)'!$D$16:$D$23,'採算表(VND)'!$B74,'内訳ﾘｽﾄ(4～3月)'!O$16:O$23)</f>
        <v>315</v>
      </c>
      <c r="M74" s="162">
        <f>SUMIF('内訳ﾘｽﾄ(4～3月)'!$D$16:$D$23,'採算表(VND)'!$B74,'内訳ﾘｽﾄ(4～3月)'!P$16:P$23)</f>
        <v>305</v>
      </c>
      <c r="N74" s="162">
        <f>SUMIF('内訳ﾘｽﾄ(4～3月)'!$D$16:$D$23,'採算表(VND)'!$B74,'内訳ﾘｽﾄ(4～3月)'!Q$16:Q$23)</f>
        <v>315</v>
      </c>
      <c r="O74" s="162">
        <f>SUMIF('内訳ﾘｽﾄ(4～3月)'!$D$16:$D$23,'採算表(VND)'!$B74,'内訳ﾘｽﾄ(4～3月)'!$R$16:$R$23)</f>
        <v>2839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-321</v>
      </c>
      <c r="G75" s="163">
        <f>IF('内訳ﾘｽﾄ(4～3月)'!$D$5="製造",SUMIF('内訳ﾘｽﾄ(4～3月)'!$D$16:$D$23,$B75,'内訳ﾘｽﾄ(4～3月)'!J$16:J$23),IF('内訳ﾘｽﾄ(4～3月)'!$D$5="部内間接",-G$74,0))</f>
        <v>-315</v>
      </c>
      <c r="H75" s="163">
        <f>IF('内訳ﾘｽﾄ(4～3月)'!$D$5="製造",SUMIF('内訳ﾘｽﾄ(4～3月)'!$D$16:$D$23,$B75,'内訳ﾘｽﾄ(4～3月)'!K$16:K$23),IF('内訳ﾘｽﾄ(4～3月)'!$D$5="部内間接",-H$74,0))</f>
        <v>-313</v>
      </c>
      <c r="I75" s="163">
        <f>IF('内訳ﾘｽﾄ(4～3月)'!$D$5="製造",SUMIF('内訳ﾘｽﾄ(4～3月)'!$D$16:$D$23,$B75,'内訳ﾘｽﾄ(4～3月)'!L$16:L$23),IF('内訳ﾘｽﾄ(4～3月)'!$D$5="部内間接",-I$74,0))</f>
        <v>-321</v>
      </c>
      <c r="J75" s="163">
        <f>IF('内訳ﾘｽﾄ(4～3月)'!$D$5="製造",SUMIF('内訳ﾘｽﾄ(4～3月)'!$D$16:$D$23,$B75,'内訳ﾘｽﾄ(4～3月)'!M$16:M$23),IF('内訳ﾘｽﾄ(4～3月)'!$D$5="部内間接",-J$74,0))</f>
        <v>-315</v>
      </c>
      <c r="K75" s="163">
        <f>IF('内訳ﾘｽﾄ(4～3月)'!$D$5="製造",SUMIF('内訳ﾘｽﾄ(4～3月)'!$D$16:$D$23,$B75,'内訳ﾘｽﾄ(4～3月)'!N$16:N$23),IF('内訳ﾘｽﾄ(4～3月)'!$D$5="部内間接",-K$74,0))</f>
        <v>-319</v>
      </c>
      <c r="L75" s="163">
        <f>IF('内訳ﾘｽﾄ(4～3月)'!$D$5="製造",SUMIF('内訳ﾘｽﾄ(4～3月)'!$D$16:$D$23,$B75,'内訳ﾘｽﾄ(4～3月)'!O$16:O$23),IF('内訳ﾘｽﾄ(4～3月)'!$D$5="部内間接",-L$74,0))</f>
        <v>-315</v>
      </c>
      <c r="M75" s="163">
        <f>IF('内訳ﾘｽﾄ(4～3月)'!$D$5="製造",SUMIF('内訳ﾘｽﾄ(4～3月)'!$D$16:$D$23,$B75,'内訳ﾘｽﾄ(4～3月)'!P$16:P$23),IF('内訳ﾘｽﾄ(4～3月)'!$D$5="部内間接",-M$74,0))</f>
        <v>-305</v>
      </c>
      <c r="N75" s="163">
        <f>IF('内訳ﾘｽﾄ(4～3月)'!$D$5="製造",SUMIF('内訳ﾘｽﾄ(4～3月)'!$D$16:$D$23,$B75,'内訳ﾘｽﾄ(4～3月)'!Q$16:Q$23),IF('内訳ﾘｽﾄ(4～3月)'!$D$5="部内間接",-N$74,0))</f>
        <v>-315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-2839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0</v>
      </c>
      <c r="D88" s="150">
        <f>SUMIF('内訳ﾘｽﾄ(4～3月)'!$D$24:$D$25,'採算表(VND)'!$B88,'内訳ﾘｽﾄ(4～3月)'!G$24:G$25)</f>
        <v>0</v>
      </c>
      <c r="E88" s="150">
        <f>SUMIF('内訳ﾘｽﾄ(4～3月)'!$D$24:$D$25,'採算表(VND)'!$B88,'内訳ﾘｽﾄ(4～3月)'!H$24:H$25)</f>
        <v>0</v>
      </c>
      <c r="F88" s="150">
        <f>SUMIF('内訳ﾘｽﾄ(4～3月)'!$D$24:$D$25,'採算表(VND)'!$B88,'内訳ﾘｽﾄ(4～3月)'!I$24:I$25)</f>
        <v>12</v>
      </c>
      <c r="G88" s="150">
        <f>SUMIF('内訳ﾘｽﾄ(4～3月)'!$D$24:$D$25,'採算表(VND)'!$B88,'内訳ﾘｽﾄ(4～3月)'!J$24:J$25)</f>
        <v>12</v>
      </c>
      <c r="H88" s="150">
        <f>SUMIF('内訳ﾘｽﾄ(4～3月)'!$D$24:$D$25,'採算表(VND)'!$B88,'内訳ﾘｽﾄ(4～3月)'!K$24:K$25)</f>
        <v>12</v>
      </c>
      <c r="I88" s="150">
        <f>SUMIF('内訳ﾘｽﾄ(4～3月)'!$D$24:$D$25,'採算表(VND)'!$B88,'内訳ﾘｽﾄ(4～3月)'!L$24:L$25)</f>
        <v>12</v>
      </c>
      <c r="J88" s="150">
        <f>SUMIF('内訳ﾘｽﾄ(4～3月)'!$D$24:$D$25,'採算表(VND)'!$B88,'内訳ﾘｽﾄ(4～3月)'!M$24:M$25)</f>
        <v>12</v>
      </c>
      <c r="K88" s="150">
        <f>SUMIF('内訳ﾘｽﾄ(4～3月)'!$D$24:$D$25,'採算表(VND)'!$B88,'内訳ﾘｽﾄ(4～3月)'!N$24:N$25)</f>
        <v>12</v>
      </c>
      <c r="L88" s="150">
        <f>SUMIF('内訳ﾘｽﾄ(4～3月)'!$D$24:$D$25,'採算表(VND)'!$B88,'内訳ﾘｽﾄ(4～3月)'!O$24:O$25)</f>
        <v>12</v>
      </c>
      <c r="M88" s="150">
        <f>SUMIF('内訳ﾘｽﾄ(4～3月)'!$D$24:$D$25,'採算表(VND)'!$B88,'内訳ﾘｽﾄ(4～3月)'!P$24:P$25)</f>
        <v>12</v>
      </c>
      <c r="N88" s="150">
        <f>SUMIF('内訳ﾘｽﾄ(4～3月)'!$D$24:$D$25,'採算表(VND)'!$B88,'内訳ﾘｽﾄ(4～3月)'!Q$24:Q$25)</f>
        <v>12</v>
      </c>
      <c r="O88" s="150">
        <f>SUMIF('内訳ﾘｽﾄ(4～3月)'!$D$24:$D$25,'採算表(VND)'!$B88,'内訳ﾘｽﾄ(4～3月)'!R$24:R$25)</f>
        <v>12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0</v>
      </c>
      <c r="D89" s="151">
        <f t="shared" si="10"/>
        <v>0</v>
      </c>
      <c r="E89" s="151">
        <f t="shared" si="10"/>
        <v>0</v>
      </c>
      <c r="F89" s="151">
        <f t="shared" si="10"/>
        <v>12</v>
      </c>
      <c r="G89" s="151">
        <f t="shared" si="10"/>
        <v>12</v>
      </c>
      <c r="H89" s="151">
        <f t="shared" si="10"/>
        <v>12</v>
      </c>
      <c r="I89" s="151">
        <f t="shared" si="10"/>
        <v>12</v>
      </c>
      <c r="J89" s="151">
        <f t="shared" si="10"/>
        <v>12</v>
      </c>
      <c r="K89" s="151">
        <f t="shared" si="10"/>
        <v>12</v>
      </c>
      <c r="L89" s="151">
        <f t="shared" si="10"/>
        <v>12</v>
      </c>
      <c r="M89" s="151">
        <f t="shared" si="10"/>
        <v>12</v>
      </c>
      <c r="N89" s="151">
        <f t="shared" si="10"/>
        <v>12</v>
      </c>
      <c r="O89" s="151">
        <f>O87+O88</f>
        <v>12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0</v>
      </c>
      <c r="D93" s="161">
        <f>SUMIF('内訳ﾘｽﾄ(4～3月)'!$B$8:$B$15,$B93,'内訳ﾘｽﾄ(4～3月)'!G$8:G$15)</f>
        <v>0</v>
      </c>
      <c r="E93" s="161">
        <f>SUMIF('内訳ﾘｽﾄ(4～3月)'!$B$8:$B$15,$B93,'内訳ﾘｽﾄ(4～3月)'!H$8:H$15)</f>
        <v>0</v>
      </c>
      <c r="F93" s="161">
        <f>SUMIF('内訳ﾘｽﾄ(4～3月)'!$B$8:$B$15,$B93,'内訳ﾘｽﾄ(4～3月)'!I$8:I$15)</f>
        <v>2205</v>
      </c>
      <c r="G93" s="161">
        <f>SUMIF('内訳ﾘｽﾄ(4～3月)'!$B$8:$B$15,$B93,'内訳ﾘｽﾄ(4～3月)'!J$8:J$15)</f>
        <v>1918</v>
      </c>
      <c r="H93" s="161">
        <f>SUMIF('内訳ﾘｽﾄ(4～3月)'!$B$8:$B$15,$B93,'内訳ﾘｽﾄ(4～3月)'!K$8:K$15)</f>
        <v>1822</v>
      </c>
      <c r="I93" s="161">
        <f>SUMIF('内訳ﾘｽﾄ(4～3月)'!$B$8:$B$15,$B93,'内訳ﾘｽﾄ(4～3月)'!L$8:L$15)</f>
        <v>2205</v>
      </c>
      <c r="J93" s="161">
        <f>SUMIF('内訳ﾘｽﾄ(4～3月)'!$B$8:$B$15,$B93,'内訳ﾘｽﾄ(4～3月)'!M$8:M$15)</f>
        <v>1918</v>
      </c>
      <c r="K93" s="161">
        <f>SUMIF('内訳ﾘｽﾄ(4～3月)'!$B$8:$B$15,$B93,'内訳ﾘｽﾄ(4～3月)'!N$8:N$15)</f>
        <v>2109</v>
      </c>
      <c r="L93" s="161">
        <f>SUMIF('内訳ﾘｽﾄ(4～3月)'!$B$8:$B$15,$B93,'内訳ﾘｽﾄ(4～3月)'!O$8:O$15)</f>
        <v>1918</v>
      </c>
      <c r="M93" s="161">
        <f>SUMIF('内訳ﾘｽﾄ(4～3月)'!$B$8:$B$15,$B93,'内訳ﾘｽﾄ(4～3月)'!P$8:P$15)</f>
        <v>1438</v>
      </c>
      <c r="N93" s="161">
        <f>SUMIF('内訳ﾘｽﾄ(4～3月)'!$B$8:$B$15,$B93,'内訳ﾘｽﾄ(4～3月)'!Q$8:Q$15)</f>
        <v>1918</v>
      </c>
      <c r="O93" s="161">
        <f>SUMIF('内訳ﾘｽﾄ(4～3月)'!$B$8:$B$15,$B93,'内訳ﾘｽﾄ(4～3月)'!R$8:R$15)</f>
        <v>17451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0</v>
      </c>
      <c r="D94" s="169">
        <f t="shared" si="11"/>
        <v>0</v>
      </c>
      <c r="E94" s="169">
        <f t="shared" si="11"/>
        <v>0</v>
      </c>
      <c r="F94" s="169">
        <f t="shared" si="11"/>
        <v>2205</v>
      </c>
      <c r="G94" s="169">
        <f t="shared" si="11"/>
        <v>1918</v>
      </c>
      <c r="H94" s="169">
        <f t="shared" si="11"/>
        <v>1822</v>
      </c>
      <c r="I94" s="169">
        <f t="shared" si="11"/>
        <v>2205</v>
      </c>
      <c r="J94" s="169">
        <f t="shared" si="11"/>
        <v>1918</v>
      </c>
      <c r="K94" s="169">
        <f t="shared" si="11"/>
        <v>2109</v>
      </c>
      <c r="L94" s="169">
        <f t="shared" si="11"/>
        <v>1918</v>
      </c>
      <c r="M94" s="169">
        <f t="shared" si="11"/>
        <v>1438</v>
      </c>
      <c r="N94" s="169">
        <f t="shared" si="11"/>
        <v>1918</v>
      </c>
      <c r="O94" s="169">
        <f>O92+O93</f>
        <v>17451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0</v>
      </c>
      <c r="D98" s="161">
        <f>SUMIF('内訳ﾘｽﾄ(4～3月)'!$B$16:$B$23,$B98,'内訳ﾘｽﾄ(4～3月)'!G$16:G$23)</f>
        <v>0</v>
      </c>
      <c r="E98" s="161">
        <f>SUMIF('内訳ﾘｽﾄ(4～3月)'!$B$16:$B$23,$B98,'内訳ﾘｽﾄ(4～3月)'!H$16:H$23)</f>
        <v>0</v>
      </c>
      <c r="F98" s="161">
        <f>SUMIF('内訳ﾘｽﾄ(4～3月)'!$B$16:$B$23,$B98,'内訳ﾘｽﾄ(4～3月)'!I$16:I$23)</f>
        <v>321</v>
      </c>
      <c r="G98" s="161">
        <f>SUMIF('内訳ﾘｽﾄ(4～3月)'!$B$16:$B$23,$B98,'内訳ﾘｽﾄ(4～3月)'!J$16:J$23)</f>
        <v>315</v>
      </c>
      <c r="H98" s="161">
        <f>SUMIF('内訳ﾘｽﾄ(4～3月)'!$B$16:$B$23,$B98,'内訳ﾘｽﾄ(4～3月)'!K$16:K$23)</f>
        <v>313</v>
      </c>
      <c r="I98" s="161">
        <f>SUMIF('内訳ﾘｽﾄ(4～3月)'!$B$16:$B$23,$B98,'内訳ﾘｽﾄ(4～3月)'!L$16:L$23)</f>
        <v>321</v>
      </c>
      <c r="J98" s="161">
        <f>SUMIF('内訳ﾘｽﾄ(4～3月)'!$B$16:$B$23,$B98,'内訳ﾘｽﾄ(4～3月)'!M$16:M$23)</f>
        <v>315</v>
      </c>
      <c r="K98" s="161">
        <f>SUMIF('内訳ﾘｽﾄ(4～3月)'!$B$16:$B$23,$B98,'内訳ﾘｽﾄ(4～3月)'!N$16:N$23)</f>
        <v>319</v>
      </c>
      <c r="L98" s="161">
        <f>SUMIF('内訳ﾘｽﾄ(4～3月)'!$B$16:$B$23,$B98,'内訳ﾘｽﾄ(4～3月)'!O$16:O$23)</f>
        <v>315</v>
      </c>
      <c r="M98" s="161">
        <f>SUMIF('内訳ﾘｽﾄ(4～3月)'!$B$16:$B$23,$B98,'内訳ﾘｽﾄ(4～3月)'!P$16:P$23)</f>
        <v>305</v>
      </c>
      <c r="N98" s="161">
        <f>SUMIF('内訳ﾘｽﾄ(4～3月)'!$B$16:$B$23,$B98,'内訳ﾘｽﾄ(4～3月)'!Q$16:Q$23)</f>
        <v>315</v>
      </c>
      <c r="O98" s="161">
        <f>SUMIF('内訳ﾘｽﾄ(4～3月)'!$B$16:$B$23,$B98,'内訳ﾘｽﾄ(4～3月)'!R$16:R$23)</f>
        <v>2839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0</v>
      </c>
      <c r="D99" s="169">
        <f t="shared" si="12"/>
        <v>0</v>
      </c>
      <c r="E99" s="169">
        <f t="shared" si="12"/>
        <v>0</v>
      </c>
      <c r="F99" s="169">
        <f t="shared" si="12"/>
        <v>321</v>
      </c>
      <c r="G99" s="169">
        <f t="shared" si="12"/>
        <v>315</v>
      </c>
      <c r="H99" s="169">
        <f t="shared" si="12"/>
        <v>313</v>
      </c>
      <c r="I99" s="169">
        <f t="shared" si="12"/>
        <v>321</v>
      </c>
      <c r="J99" s="169">
        <f t="shared" si="12"/>
        <v>315</v>
      </c>
      <c r="K99" s="169">
        <f t="shared" si="12"/>
        <v>319</v>
      </c>
      <c r="L99" s="169">
        <f t="shared" si="12"/>
        <v>315</v>
      </c>
      <c r="M99" s="169">
        <f t="shared" si="12"/>
        <v>305</v>
      </c>
      <c r="N99" s="169">
        <f t="shared" si="12"/>
        <v>315</v>
      </c>
      <c r="O99" s="169">
        <f>O97+O98</f>
        <v>2839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60"/>
  <sheetViews>
    <sheetView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J37" sqref="J37:Q37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customWidth="1"/>
    <col min="5" max="5" width="7.625" style="3" customWidth="1"/>
    <col min="6" max="6" width="13" style="124" hidden="1" customWidth="1"/>
    <col min="7" max="9" width="11.625" style="125" hidden="1" customWidth="1"/>
    <col min="10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671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1060),0)-ROUND((F26:F1060)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1060),0)-ROUND((G26:G1060)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1060),0)-ROUND((H26:H1060)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1060),0)-ROUND((I26:I1060)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1060),0)-ROUND((J26:J1060)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1060),0)-ROUND((K26:K1060)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1060),0)-ROUND((L26:L1060)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1060),0)-ROUND((M26:M1060)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1060),0)-ROUND((N26:N1060)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1060),0)-ROUND((O26:O1060)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1060),0)-ROUND((P26:P1060)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1060),0)-ROUND((Q26:Q1060)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589</v>
      </c>
      <c r="T4" s="102"/>
    </row>
    <row r="5" spans="1:55" ht="14.25" thickBot="1">
      <c r="B5" s="174">
        <v>1412000105</v>
      </c>
      <c r="C5" s="7" t="str">
        <f>VLOOKUP($B$5,原価センタ!$A:$E,2,0)</f>
        <v>工程品質管理3課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SUM(F29:F1060)</f>
        <v>0</v>
      </c>
      <c r="G5" s="252">
        <f t="shared" si="0"/>
        <v>0</v>
      </c>
      <c r="H5" s="252">
        <f t="shared" si="0"/>
        <v>0</v>
      </c>
      <c r="I5" s="252">
        <f t="shared" si="0"/>
        <v>76364035</v>
      </c>
      <c r="J5" s="252">
        <f t="shared" si="0"/>
        <v>133684485</v>
      </c>
      <c r="K5" s="252">
        <f t="shared" si="0"/>
        <v>82015336</v>
      </c>
      <c r="L5" s="252">
        <f t="shared" si="0"/>
        <v>36853664</v>
      </c>
      <c r="M5" s="252">
        <f t="shared" si="0"/>
        <v>19661705</v>
      </c>
      <c r="N5" s="252">
        <f t="shared" si="0"/>
        <v>20521852</v>
      </c>
      <c r="O5" s="252">
        <f t="shared" si="0"/>
        <v>17242118</v>
      </c>
      <c r="P5" s="252">
        <f t="shared" si="0"/>
        <v>21878993</v>
      </c>
      <c r="Q5" s="252">
        <f t="shared" si="0"/>
        <v>17017171</v>
      </c>
      <c r="R5" s="253">
        <f t="shared" si="0"/>
        <v>425239359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640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306"/>
      <c r="J8" s="306"/>
      <c r="K8" s="306"/>
      <c r="L8" s="306"/>
      <c r="M8" s="306"/>
      <c r="N8" s="306"/>
      <c r="O8" s="306"/>
      <c r="P8" s="306"/>
      <c r="Q8" s="30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/>
      <c r="G9" s="194"/>
      <c r="H9" s="194"/>
      <c r="I9" s="194">
        <v>2205</v>
      </c>
      <c r="J9" s="194">
        <v>1918</v>
      </c>
      <c r="K9" s="194">
        <v>1822</v>
      </c>
      <c r="L9" s="194">
        <v>2205</v>
      </c>
      <c r="M9" s="194">
        <v>1918</v>
      </c>
      <c r="N9" s="194">
        <v>2109</v>
      </c>
      <c r="O9" s="194">
        <v>1918</v>
      </c>
      <c r="P9" s="194">
        <v>1438</v>
      </c>
      <c r="Q9" s="194">
        <v>1918</v>
      </c>
      <c r="R9" s="195">
        <f>SUM(F9:Q9)</f>
        <v>17451</v>
      </c>
      <c r="S9" s="196" t="s">
        <v>692</v>
      </c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5">
        <f t="shared" ref="R10:R11" si="1">SUM(F10:Q10)</f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>SUM(F12:Q12)</f>
        <v>0</v>
      </c>
      <c r="S12" s="214" t="s">
        <v>690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>SUM(F13:Q13)</f>
        <v>0</v>
      </c>
      <c r="S13" s="214" t="s">
        <v>690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ref="R14:R23" si="2">SUM(F14:Q14)</f>
        <v>0</v>
      </c>
      <c r="S14" s="214" t="s">
        <v>690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2"/>
        <v>0</v>
      </c>
      <c r="S15" s="214" t="s">
        <v>690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>SUM(F16:Q16)</f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/>
      <c r="G17" s="194"/>
      <c r="H17" s="194"/>
      <c r="I17" s="194">
        <v>321</v>
      </c>
      <c r="J17" s="194">
        <v>315</v>
      </c>
      <c r="K17" s="194">
        <v>313</v>
      </c>
      <c r="L17" s="194">
        <v>321</v>
      </c>
      <c r="M17" s="194">
        <v>315</v>
      </c>
      <c r="N17" s="194">
        <v>319</v>
      </c>
      <c r="O17" s="194">
        <v>315</v>
      </c>
      <c r="P17" s="194">
        <v>305</v>
      </c>
      <c r="Q17" s="194">
        <v>315</v>
      </c>
      <c r="R17" s="205">
        <f t="shared" ref="R17:R19" si="3">SUM(F17:Q17)</f>
        <v>2839</v>
      </c>
      <c r="S17" s="206" t="s">
        <v>693</v>
      </c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5">
        <f t="shared" si="3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05">
        <f t="shared" si="3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2"/>
        <v>0</v>
      </c>
      <c r="S20" s="214" t="s">
        <v>690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2"/>
        <v>0</v>
      </c>
      <c r="S21" s="214" t="s">
        <v>690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2"/>
        <v>0</v>
      </c>
      <c r="S22" s="214" t="s">
        <v>690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2"/>
        <v>0</v>
      </c>
      <c r="S23" s="214" t="s">
        <v>690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/>
      <c r="G25" s="271"/>
      <c r="H25" s="271"/>
      <c r="I25" s="305">
        <v>12</v>
      </c>
      <c r="J25" s="305">
        <v>12</v>
      </c>
      <c r="K25" s="305">
        <v>12</v>
      </c>
      <c r="L25" s="305">
        <v>12</v>
      </c>
      <c r="M25" s="305">
        <v>12</v>
      </c>
      <c r="N25" s="305">
        <v>12</v>
      </c>
      <c r="O25" s="305">
        <v>12</v>
      </c>
      <c r="P25" s="305">
        <v>12</v>
      </c>
      <c r="Q25" s="305">
        <v>12</v>
      </c>
      <c r="R25" s="272">
        <f>Q25</f>
        <v>12</v>
      </c>
      <c r="S25" s="273" t="s">
        <v>694</v>
      </c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1">
        <f t="shared" ref="R26:R30" si="4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1">
        <f t="shared" si="4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21">
        <f t="shared" si="4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6">
        <f t="shared" si="4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4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>SUM(F31:Q31)</f>
        <v>0</v>
      </c>
      <c r="S31" s="201" t="s">
        <v>690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ref="R32:R95" si="5">SUM(F32:Q32)</f>
        <v>0</v>
      </c>
      <c r="S32" s="201" t="s">
        <v>690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5"/>
        <v>0</v>
      </c>
      <c r="S33" s="201" t="s">
        <v>690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5"/>
        <v>0</v>
      </c>
      <c r="S34" s="201" t="s">
        <v>690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5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9114120007</v>
      </c>
      <c r="C36" s="242" t="str">
        <f>IFERROR(IF(VLOOKUP($B36,勘定科目!$A:$H,HLOOKUP($E$5,勘定科目!$F$1:$H$2,2,0),0)="","",VLOOKUP($B36,勘定科目!$A:$E,2,0)),"")</f>
        <v>社内金利（固定資産）</v>
      </c>
      <c r="D36" s="243" t="str">
        <f>IF(C36="","",VLOOKUP($B36,勘定科目!$A:$E,4,0))</f>
        <v>固定資産金利</v>
      </c>
      <c r="E36" s="245"/>
      <c r="F36" s="240"/>
      <c r="G36" s="241"/>
      <c r="H36" s="241"/>
      <c r="I36" s="307"/>
      <c r="J36" s="307">
        <f>ROUND(141.3*25390,0)</f>
        <v>3587607</v>
      </c>
      <c r="K36" s="307">
        <f>ROUND(137.91*25390,0)</f>
        <v>3501535</v>
      </c>
      <c r="L36" s="307">
        <f>ROUND(134.74*25390,0)</f>
        <v>3421049</v>
      </c>
      <c r="M36" s="307">
        <f>ROUND(134.45*25390,0)</f>
        <v>3413686</v>
      </c>
      <c r="N36" s="307">
        <f>ROUND(134.66*25390,0)</f>
        <v>3419017</v>
      </c>
      <c r="O36" s="307">
        <f>ROUND(133.7*25390,0)</f>
        <v>3394643</v>
      </c>
      <c r="P36" s="307">
        <f>ROUND(132.44*25390,0)</f>
        <v>3362652</v>
      </c>
      <c r="Q36" s="307">
        <f>ROUND(134.7*25390,0)</f>
        <v>3420033</v>
      </c>
      <c r="R36" s="200">
        <f t="shared" si="5"/>
        <v>27520222</v>
      </c>
      <c r="S36" s="201" t="s">
        <v>695</v>
      </c>
      <c r="T36" s="202"/>
      <c r="U36" s="246"/>
      <c r="V36" s="246"/>
      <c r="W36" s="246"/>
      <c r="BA36"/>
      <c r="BB36"/>
    </row>
    <row r="37" spans="1:54" s="191" customFormat="1" ht="13.5">
      <c r="A37" s="226"/>
      <c r="B37" s="178">
        <v>9114120007</v>
      </c>
      <c r="C37" s="242" t="str">
        <f>IFERROR(IF(VLOOKUP($B37,勘定科目!$A:$H,HLOOKUP($E$5,勘定科目!$F$1:$H$2,2,0),0)="","",VLOOKUP($B37,勘定科目!$A:$E,2,0)),"")</f>
        <v>社内金利（固定資産）</v>
      </c>
      <c r="D37" s="243" t="str">
        <f>IF(C37="","",VLOOKUP($B37,勘定科目!$A:$E,4,0))</f>
        <v>固定資産金利</v>
      </c>
      <c r="E37" s="245"/>
      <c r="F37" s="240"/>
      <c r="G37" s="241"/>
      <c r="H37" s="241"/>
      <c r="I37" s="307"/>
      <c r="J37" s="307">
        <f>ROUND(17.92*25390,0)</f>
        <v>454989</v>
      </c>
      <c r="K37" s="307">
        <f>ROUND(17.49*25390,0)</f>
        <v>444071</v>
      </c>
      <c r="L37" s="307">
        <f>ROUND(17.08*25390,0)</f>
        <v>433661</v>
      </c>
      <c r="M37" s="307">
        <f>ROUND(17.05*25390,0)</f>
        <v>432900</v>
      </c>
      <c r="N37" s="307">
        <f>ROUND(17.07*25390,0)</f>
        <v>433407</v>
      </c>
      <c r="O37" s="307">
        <f>ROUND(16.95*25390,0)</f>
        <v>430361</v>
      </c>
      <c r="P37" s="307">
        <f>ROUND(16.79*25390,0)</f>
        <v>426298</v>
      </c>
      <c r="Q37" s="307">
        <f>ROUND(17.08*25390,0)</f>
        <v>433661</v>
      </c>
      <c r="R37" s="200">
        <f t="shared" si="5"/>
        <v>3489348</v>
      </c>
      <c r="S37" s="201" t="s">
        <v>696</v>
      </c>
      <c r="T37" s="202"/>
      <c r="U37" s="246"/>
      <c r="V37" s="246"/>
      <c r="W37" s="246"/>
      <c r="BA37"/>
      <c r="BB37"/>
    </row>
    <row r="38" spans="1:54" s="191" customFormat="1" ht="13.5">
      <c r="A38" s="226"/>
      <c r="B38" s="178"/>
      <c r="C38" s="242" t="str">
        <f>IFERROR(IF(VLOOKUP($B38,勘定科目!$A:$H,HLOOKUP($E$5,勘定科目!$F$1:$H$2,2,0),0)="","",VLOOKUP($B38,勘定科目!$A:$E,2,0)),"")</f>
        <v/>
      </c>
      <c r="D38" s="243" t="str">
        <f>IF(C38="","",VLOOKUP($B38,勘定科目!$A:$E,4,0))</f>
        <v/>
      </c>
      <c r="E38" s="245"/>
      <c r="F38" s="240"/>
      <c r="G38" s="241"/>
      <c r="H38" s="241"/>
      <c r="I38" s="307"/>
      <c r="J38" s="307"/>
      <c r="K38" s="307"/>
      <c r="L38" s="307"/>
      <c r="M38" s="307"/>
      <c r="N38" s="307"/>
      <c r="O38" s="307"/>
      <c r="P38" s="307"/>
      <c r="Q38" s="307"/>
      <c r="R38" s="200">
        <f t="shared" si="5"/>
        <v>0</v>
      </c>
      <c r="S38" s="201"/>
      <c r="T38" s="202"/>
      <c r="U38" s="246"/>
      <c r="V38" s="246"/>
      <c r="W38" s="246"/>
      <c r="BA38"/>
      <c r="BB38"/>
    </row>
    <row r="39" spans="1:54" s="191" customFormat="1" ht="13.5">
      <c r="A39" s="226"/>
      <c r="B39" s="178">
        <v>5006016260</v>
      </c>
      <c r="C39" s="242" t="str">
        <f>IFERROR(IF(VLOOKUP($B39,勘定科目!$A:$H,HLOOKUP($E$5,勘定科目!$F$1:$H$2,2,0),0)="","",VLOOKUP($B39,勘定科目!$A:$E,2,0)),"")</f>
        <v>減価償却費配賦（製）　建物</v>
      </c>
      <c r="D39" s="243" t="str">
        <f>IF(C39="","",VLOOKUP($B39,勘定科目!$A:$E,4,0))</f>
        <v>減価償却費</v>
      </c>
      <c r="E39" s="245"/>
      <c r="F39" s="240"/>
      <c r="G39" s="241"/>
      <c r="H39" s="241"/>
      <c r="I39" s="307"/>
      <c r="J39" s="307">
        <f>ROUND(219.82*25390,0)</f>
        <v>5581230</v>
      </c>
      <c r="K39" s="307">
        <f>ROUND(214.54*25390,0)</f>
        <v>5447171</v>
      </c>
      <c r="L39" s="307">
        <f>ROUND(209.61*25390,0)</f>
        <v>5321998</v>
      </c>
      <c r="M39" s="307">
        <f>ROUND(209.18*25390,0)</f>
        <v>5311080</v>
      </c>
      <c r="N39" s="307">
        <f>ROUND(209.5*25390,0)</f>
        <v>5319205</v>
      </c>
      <c r="O39" s="307">
        <f>ROUND(208*25390,0)</f>
        <v>5281120</v>
      </c>
      <c r="P39" s="307">
        <f>ROUND(206.05*25390,0)</f>
        <v>5231610</v>
      </c>
      <c r="Q39" s="307">
        <f>ROUND(209.56*25390,0)</f>
        <v>5320728</v>
      </c>
      <c r="R39" s="200">
        <f t="shared" si="5"/>
        <v>42814142</v>
      </c>
      <c r="S39" s="201" t="s">
        <v>698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78">
        <v>5006016261</v>
      </c>
      <c r="C40" s="242" t="str">
        <f>IFERROR(IF(VLOOKUP($B40,勘定科目!$A:$H,HLOOKUP($E$5,勘定科目!$F$1:$H$2,2,0),0)="","",VLOOKUP($B40,勘定科目!$A:$E,2,0)),"")</f>
        <v>減価償却費配賦（製）　土地使用権</v>
      </c>
      <c r="D40" s="243" t="str">
        <f>IF(C40="","",VLOOKUP($B40,勘定科目!$A:$E,4,0))</f>
        <v>減価償却費</v>
      </c>
      <c r="E40" s="245"/>
      <c r="F40" s="240"/>
      <c r="G40" s="241"/>
      <c r="H40" s="241"/>
      <c r="I40" s="307"/>
      <c r="J40" s="307">
        <f>ROUND(14.84*25390,0)</f>
        <v>376788</v>
      </c>
      <c r="K40" s="307">
        <f>ROUND(14.48*25390,0)</f>
        <v>367647</v>
      </c>
      <c r="L40" s="307">
        <f>ROUND(14.15*25390,0)</f>
        <v>359269</v>
      </c>
      <c r="M40" s="307">
        <f>ROUND(14.12*25390,0)</f>
        <v>358507</v>
      </c>
      <c r="N40" s="307">
        <f>ROUND(14.14*25390,0)</f>
        <v>359015</v>
      </c>
      <c r="O40" s="307">
        <f>ROUND(14.04*25390,0)</f>
        <v>356476</v>
      </c>
      <c r="P40" s="307">
        <f>ROUND(13.91*25390,0)</f>
        <v>353175</v>
      </c>
      <c r="Q40" s="307">
        <f>ROUND(14.14*25390,0)</f>
        <v>359015</v>
      </c>
      <c r="R40" s="200">
        <f t="shared" si="5"/>
        <v>2889892</v>
      </c>
      <c r="S40" s="201" t="s">
        <v>699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78"/>
      <c r="C41" s="242" t="str">
        <f>IFERROR(IF(VLOOKUP($B41,勘定科目!$A:$H,HLOOKUP($E$5,勘定科目!$F$1:$H$2,2,0),0)="","",VLOOKUP($B41,勘定科目!$A:$E,2,0)),"")</f>
        <v/>
      </c>
      <c r="D41" s="243" t="str">
        <f>IF(C41="","",VLOOKUP($B41,勘定科目!$A:$E,4,0))</f>
        <v/>
      </c>
      <c r="E41" s="245"/>
      <c r="F41" s="240"/>
      <c r="G41" s="241"/>
      <c r="H41" s="241"/>
      <c r="I41" s="307"/>
      <c r="J41" s="307"/>
      <c r="K41" s="307"/>
      <c r="L41" s="307"/>
      <c r="M41" s="307"/>
      <c r="N41" s="307"/>
      <c r="O41" s="307"/>
      <c r="P41" s="307"/>
      <c r="Q41" s="307"/>
      <c r="R41" s="200">
        <f t="shared" si="5"/>
        <v>0</v>
      </c>
      <c r="S41" s="201"/>
      <c r="T41" s="202"/>
      <c r="U41" s="246"/>
      <c r="V41" s="246"/>
      <c r="W41" s="246"/>
      <c r="BA41"/>
      <c r="BB41"/>
    </row>
    <row r="42" spans="1:54" s="191" customFormat="1" ht="13.5">
      <c r="A42" s="226"/>
      <c r="B42" s="178">
        <v>5005246282</v>
      </c>
      <c r="C42" s="242" t="str">
        <f>IFERROR(IF(VLOOKUP($B42,勘定科目!$A:$H,HLOOKUP($E$5,勘定科目!$F$1:$H$2,2,0),0)="","",VLOOKUP($B42,勘定科目!$A:$E,2,0)),"")</f>
        <v>ＫＤＣシステム使用料（製）</v>
      </c>
      <c r="D42" s="243" t="str">
        <f>IF(C42="","",VLOOKUP($B42,勘定科目!$A:$E,4,0))</f>
        <v>図書及び事務費</v>
      </c>
      <c r="E42" s="245"/>
      <c r="F42" s="240"/>
      <c r="G42" s="241"/>
      <c r="H42" s="241"/>
      <c r="I42" s="307"/>
      <c r="J42" s="307">
        <f t="shared" ref="J42:Q42" si="6">ROUND((11.46*3)*25359,0)</f>
        <v>871842</v>
      </c>
      <c r="K42" s="307">
        <f t="shared" si="6"/>
        <v>871842</v>
      </c>
      <c r="L42" s="307">
        <f t="shared" si="6"/>
        <v>871842</v>
      </c>
      <c r="M42" s="307">
        <f t="shared" si="6"/>
        <v>871842</v>
      </c>
      <c r="N42" s="307">
        <f t="shared" si="6"/>
        <v>871842</v>
      </c>
      <c r="O42" s="307">
        <f t="shared" si="6"/>
        <v>871842</v>
      </c>
      <c r="P42" s="307">
        <f t="shared" si="6"/>
        <v>871842</v>
      </c>
      <c r="Q42" s="307">
        <f t="shared" si="6"/>
        <v>871842</v>
      </c>
      <c r="R42" s="200">
        <f t="shared" si="5"/>
        <v>6974736</v>
      </c>
      <c r="S42" s="201" t="s">
        <v>697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78"/>
      <c r="C43" s="242" t="str">
        <f>IFERROR(IF(VLOOKUP($B43,勘定科目!$A:$H,HLOOKUP($E$5,勘定科目!$F$1:$H$2,2,0),0)="","",VLOOKUP($B43,勘定科目!$A:$E,2,0)),"")</f>
        <v/>
      </c>
      <c r="D43" s="243" t="str">
        <f>IF(C43="","",VLOOKUP($B43,勘定科目!$A:$E,4,0))</f>
        <v/>
      </c>
      <c r="E43" s="245"/>
      <c r="F43" s="240"/>
      <c r="G43" s="241"/>
      <c r="H43" s="241"/>
      <c r="I43" s="307"/>
      <c r="J43" s="307"/>
      <c r="K43" s="307"/>
      <c r="L43" s="307"/>
      <c r="M43" s="307"/>
      <c r="N43" s="307"/>
      <c r="O43" s="307"/>
      <c r="P43" s="307"/>
      <c r="Q43" s="307"/>
      <c r="R43" s="200">
        <f t="shared" si="5"/>
        <v>0</v>
      </c>
      <c r="S43" s="201"/>
      <c r="T43" s="202"/>
      <c r="U43" s="246"/>
      <c r="V43" s="246"/>
      <c r="W43" s="246"/>
      <c r="BA43"/>
      <c r="BB43"/>
    </row>
    <row r="44" spans="1:54" s="191" customFormat="1" ht="13.5">
      <c r="A44" s="226"/>
      <c r="B44" s="178">
        <v>5005016372</v>
      </c>
      <c r="C44" s="242" t="str">
        <f>IFERROR(IF(VLOOKUP($B44,勘定科目!$A:$H,HLOOKUP($E$5,勘定科目!$F$1:$H$2,2,0),0)="","",VLOOKUP($B44,勘定科目!$A:$E,2,0)),"")</f>
        <v>その他消耗品（製）</v>
      </c>
      <c r="D44" s="243" t="str">
        <f>IF(C44="","",VLOOKUP($B44,勘定科目!$A:$E,4,0))</f>
        <v>消耗品費</v>
      </c>
      <c r="E44" s="245"/>
      <c r="F44" s="240"/>
      <c r="G44" s="241"/>
      <c r="H44" s="241"/>
      <c r="I44" s="307"/>
      <c r="J44" s="307">
        <f>ROUND(30*5300,0)</f>
        <v>159000</v>
      </c>
      <c r="K44" s="307">
        <f>ROUND(30*5300,0)</f>
        <v>159000</v>
      </c>
      <c r="L44" s="307">
        <f>ROUND(40*5300,0)</f>
        <v>212000</v>
      </c>
      <c r="M44" s="307">
        <f>ROUND(30*5300,0)</f>
        <v>159000</v>
      </c>
      <c r="N44" s="307">
        <f>ROUND(40*5300,0)</f>
        <v>212000</v>
      </c>
      <c r="O44" s="307">
        <f>ROUND(30*5300,0)</f>
        <v>159000</v>
      </c>
      <c r="P44" s="307">
        <f>ROUND(20*5300,0)</f>
        <v>106000</v>
      </c>
      <c r="Q44" s="307">
        <f>ROUND(40*5300,0)</f>
        <v>212000</v>
      </c>
      <c r="R44" s="200">
        <f t="shared" si="5"/>
        <v>1378000</v>
      </c>
      <c r="S44" s="201" t="s">
        <v>700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78">
        <v>5005016372</v>
      </c>
      <c r="C45" s="242" t="str">
        <f>IFERROR(IF(VLOOKUP($B45,勘定科目!$A:$H,HLOOKUP($E$5,勘定科目!$F$1:$H$2,2,0),0)="","",VLOOKUP($B45,勘定科目!$A:$E,2,0)),"")</f>
        <v>その他消耗品（製）</v>
      </c>
      <c r="D45" s="243" t="str">
        <f>IF(C45="","",VLOOKUP($B45,勘定科目!$A:$E,4,0))</f>
        <v>消耗品費</v>
      </c>
      <c r="E45" s="245"/>
      <c r="F45" s="240"/>
      <c r="G45" s="241"/>
      <c r="H45" s="241"/>
      <c r="I45" s="307"/>
      <c r="J45" s="307">
        <f t="shared" ref="J45:O45" si="7">ROUND(3*50000,0)</f>
        <v>150000</v>
      </c>
      <c r="K45" s="307">
        <f t="shared" si="7"/>
        <v>150000</v>
      </c>
      <c r="L45" s="307">
        <f t="shared" si="7"/>
        <v>150000</v>
      </c>
      <c r="M45" s="307">
        <f t="shared" si="7"/>
        <v>150000</v>
      </c>
      <c r="N45" s="307">
        <f t="shared" si="7"/>
        <v>150000</v>
      </c>
      <c r="O45" s="307">
        <f t="shared" si="7"/>
        <v>150000</v>
      </c>
      <c r="P45" s="307">
        <f>ROUND(2*50000,0)</f>
        <v>100000</v>
      </c>
      <c r="Q45" s="307">
        <f>ROUND(3*50000,0)</f>
        <v>150000</v>
      </c>
      <c r="R45" s="200">
        <f t="shared" si="5"/>
        <v>1150000</v>
      </c>
      <c r="S45" s="201" t="s">
        <v>701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78"/>
      <c r="C46" s="242" t="str">
        <f>IFERROR(IF(VLOOKUP($B46,勘定科目!$A:$H,HLOOKUP($E$5,勘定科目!$F$1:$H$2,2,0),0)="","",VLOOKUP($B46,勘定科目!$A:$E,2,0)),"")</f>
        <v/>
      </c>
      <c r="D46" s="243" t="str">
        <f>IF(C46="","",VLOOKUP($B46,勘定科目!$A:$E,4,0))</f>
        <v/>
      </c>
      <c r="E46" s="245"/>
      <c r="F46" s="240"/>
      <c r="G46" s="241"/>
      <c r="H46" s="241"/>
      <c r="I46" s="307"/>
      <c r="J46" s="307"/>
      <c r="K46" s="307"/>
      <c r="L46" s="307"/>
      <c r="M46" s="307"/>
      <c r="N46" s="307"/>
      <c r="O46" s="307"/>
      <c r="P46" s="307"/>
      <c r="Q46" s="307"/>
      <c r="R46" s="200">
        <f t="shared" si="5"/>
        <v>0</v>
      </c>
      <c r="S46" s="201"/>
      <c r="T46" s="202"/>
      <c r="U46" s="246"/>
      <c r="V46" s="246"/>
      <c r="W46" s="246"/>
      <c r="BA46"/>
      <c r="BB46"/>
    </row>
    <row r="47" spans="1:54" s="191" customFormat="1" ht="13.5">
      <c r="A47" s="226"/>
      <c r="B47" s="178">
        <v>5005016372</v>
      </c>
      <c r="C47" s="242" t="str">
        <f>IFERROR(IF(VLOOKUP($B47,勘定科目!$A:$H,HLOOKUP($E$5,勘定科目!$F$1:$H$2,2,0),0)="","",VLOOKUP($B47,勘定科目!$A:$E,2,0)),"")</f>
        <v>その他消耗品（製）</v>
      </c>
      <c r="D47" s="243" t="str">
        <f>IF(C47="","",VLOOKUP($B47,勘定科目!$A:$E,4,0))</f>
        <v>消耗品費</v>
      </c>
      <c r="E47" s="245"/>
      <c r="F47" s="240"/>
      <c r="G47" s="241"/>
      <c r="H47" s="241"/>
      <c r="I47" s="307"/>
      <c r="J47" s="307">
        <f>ROUND(12*18404,0)</f>
        <v>220848</v>
      </c>
      <c r="K47" s="307">
        <f>ROUND(12*17500,0)</f>
        <v>210000</v>
      </c>
      <c r="L47" s="307">
        <f>ROUND(12*21110,0)</f>
        <v>253320</v>
      </c>
      <c r="M47" s="307">
        <f>ROUND(12*18421,0)</f>
        <v>221052</v>
      </c>
      <c r="N47" s="307">
        <f>ROUND(12*20254,0)</f>
        <v>243048</v>
      </c>
      <c r="O47" s="307">
        <f>ROUND(12*18399,0)</f>
        <v>220788</v>
      </c>
      <c r="P47" s="307">
        <f>ROUND(12*13863,0)</f>
        <v>166356</v>
      </c>
      <c r="Q47" s="307">
        <f>ROUND(12*18435,0)</f>
        <v>221220</v>
      </c>
      <c r="R47" s="200">
        <f t="shared" si="5"/>
        <v>1756632</v>
      </c>
      <c r="S47" s="201" t="s">
        <v>702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78">
        <v>5005016372</v>
      </c>
      <c r="C48" s="242" t="str">
        <f>IFERROR(IF(VLOOKUP($B48,勘定科目!$A:$H,HLOOKUP($E$5,勘定科目!$F$1:$H$2,2,0),0)="","",VLOOKUP($B48,勘定科目!$A:$E,2,0)),"")</f>
        <v>その他消耗品（製）</v>
      </c>
      <c r="D48" s="243" t="str">
        <f>IF(C48="","",VLOOKUP($B48,勘定科目!$A:$E,4,0))</f>
        <v>消耗品費</v>
      </c>
      <c r="E48" s="245"/>
      <c r="F48" s="240"/>
      <c r="G48" s="241"/>
      <c r="H48" s="241"/>
      <c r="I48" s="307"/>
      <c r="J48" s="307">
        <f>ROUND(12*1080,0)</f>
        <v>12960</v>
      </c>
      <c r="K48" s="307">
        <f>ROUND(12*1093,0)</f>
        <v>13116</v>
      </c>
      <c r="L48" s="307">
        <f>ROUND(12*1131,0)</f>
        <v>13572</v>
      </c>
      <c r="M48" s="307">
        <f>ROUND(12*1114,0)</f>
        <v>13368</v>
      </c>
      <c r="N48" s="307">
        <f>ROUND(12*1124,0)</f>
        <v>13488</v>
      </c>
      <c r="O48" s="307">
        <f>ROUND(12*1128,0)</f>
        <v>13536</v>
      </c>
      <c r="P48" s="307">
        <f>ROUND(12*1146,0)</f>
        <v>13752</v>
      </c>
      <c r="Q48" s="307">
        <f>ROUND(12*1085,0)</f>
        <v>13020</v>
      </c>
      <c r="R48" s="200">
        <f t="shared" si="5"/>
        <v>106812</v>
      </c>
      <c r="S48" s="201" t="s">
        <v>703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78"/>
      <c r="C49" s="242" t="str">
        <f>IFERROR(IF(VLOOKUP($B49,勘定科目!$A:$H,HLOOKUP($E$5,勘定科目!$F$1:$H$2,2,0),0)="","",VLOOKUP($B49,勘定科目!$A:$E,2,0)),"")</f>
        <v/>
      </c>
      <c r="D49" s="243" t="str">
        <f>IF(C49="","",VLOOKUP($B49,勘定科目!$A:$E,4,0))</f>
        <v/>
      </c>
      <c r="E49" s="245"/>
      <c r="F49" s="240"/>
      <c r="G49" s="241"/>
      <c r="H49" s="241"/>
      <c r="I49" s="307"/>
      <c r="J49" s="307"/>
      <c r="K49" s="307"/>
      <c r="L49" s="307"/>
      <c r="M49" s="307"/>
      <c r="N49" s="307"/>
      <c r="O49" s="307"/>
      <c r="P49" s="307"/>
      <c r="Q49" s="307"/>
      <c r="R49" s="200">
        <f t="shared" si="5"/>
        <v>0</v>
      </c>
      <c r="S49" s="201"/>
      <c r="T49" s="202"/>
      <c r="U49" s="246"/>
      <c r="V49" s="246"/>
      <c r="W49" s="246"/>
      <c r="BA49"/>
      <c r="BB49"/>
    </row>
    <row r="50" spans="1:54" s="191" customFormat="1" ht="13.5">
      <c r="A50" s="226"/>
      <c r="B50" s="178"/>
      <c r="C50" s="242" t="str">
        <f>IFERROR(IF(VLOOKUP($B50,勘定科目!$A:$H,HLOOKUP($E$5,勘定科目!$F$1:$H$2,2,0),0)="","",VLOOKUP($B50,勘定科目!$A:$E,2,0)),"")</f>
        <v/>
      </c>
      <c r="D50" s="243" t="str">
        <f>IF(C50="","",VLOOKUP($B50,勘定科目!$A:$E,4,0))</f>
        <v/>
      </c>
      <c r="E50" s="245"/>
      <c r="F50" s="240"/>
      <c r="G50" s="241"/>
      <c r="H50" s="241"/>
      <c r="I50" s="307"/>
      <c r="J50" s="307"/>
      <c r="K50" s="307"/>
      <c r="L50" s="307"/>
      <c r="M50" s="307"/>
      <c r="N50" s="307"/>
      <c r="O50" s="307"/>
      <c r="P50" s="307"/>
      <c r="Q50" s="307"/>
      <c r="R50" s="200">
        <f t="shared" si="5"/>
        <v>0</v>
      </c>
      <c r="S50" s="201"/>
      <c r="T50" s="202"/>
      <c r="U50" s="246"/>
      <c r="V50" s="246"/>
      <c r="W50" s="246"/>
      <c r="BA50"/>
      <c r="BB50"/>
    </row>
    <row r="51" spans="1:54" s="191" customFormat="1" ht="13.5">
      <c r="A51" s="226"/>
      <c r="B51" s="178">
        <v>5005046281</v>
      </c>
      <c r="C51" s="242" t="str">
        <f>IFERROR(IF(VLOOKUP($B51,勘定科目!$A:$H,HLOOKUP($E$5,勘定科目!$F$1:$H$2,2,0),0)="","",VLOOKUP($B51,勘定科目!$A:$E,2,0)),"")</f>
        <v>機械設備修繕費（製）</v>
      </c>
      <c r="D51" s="243" t="str">
        <f>IF(C51="","",VLOOKUP($B51,勘定科目!$A:$E,4,0))</f>
        <v>修繕費</v>
      </c>
      <c r="E51" s="245"/>
      <c r="F51" s="240"/>
      <c r="G51" s="241"/>
      <c r="H51" s="241"/>
      <c r="I51" s="307"/>
      <c r="J51" s="307"/>
      <c r="K51" s="307"/>
      <c r="L51" s="307"/>
      <c r="M51" s="307"/>
      <c r="N51" s="307"/>
      <c r="O51" s="307"/>
      <c r="P51" s="307"/>
      <c r="Q51" s="307"/>
      <c r="R51" s="200">
        <f t="shared" si="5"/>
        <v>0</v>
      </c>
      <c r="S51" s="201" t="s">
        <v>704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78">
        <v>5005046283</v>
      </c>
      <c r="C52" s="242" t="str">
        <f>IFERROR(IF(VLOOKUP($B52,勘定科目!$A:$H,HLOOKUP($E$5,勘定科目!$F$1:$H$2,2,0),0)="","",VLOOKUP($B52,勘定科目!$A:$E,2,0)),"")</f>
        <v>年間保守料（製）</v>
      </c>
      <c r="D52" s="243" t="str">
        <f>IF(C52="","",VLOOKUP($B52,勘定科目!$A:$E,4,0))</f>
        <v>修繕費</v>
      </c>
      <c r="E52" s="245"/>
      <c r="F52" s="240"/>
      <c r="G52" s="241"/>
      <c r="H52" s="241"/>
      <c r="I52" s="307"/>
      <c r="J52" s="307"/>
      <c r="K52" s="307"/>
      <c r="L52" s="307">
        <v>500000</v>
      </c>
      <c r="M52" s="307"/>
      <c r="N52" s="307"/>
      <c r="O52" s="307"/>
      <c r="P52" s="307"/>
      <c r="Q52" s="307"/>
      <c r="R52" s="200">
        <f t="shared" si="5"/>
        <v>500000</v>
      </c>
      <c r="S52" s="201" t="s">
        <v>704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78"/>
      <c r="C53" s="242" t="str">
        <f>IFERROR(IF(VLOOKUP($B53,勘定科目!$A:$H,HLOOKUP($E$5,勘定科目!$F$1:$H$2,2,0),0)="","",VLOOKUP($B53,勘定科目!$A:$E,2,0)),"")</f>
        <v/>
      </c>
      <c r="D53" s="243" t="str">
        <f>IF(C53="","",VLOOKUP($B53,勘定科目!$A:$E,4,0))</f>
        <v/>
      </c>
      <c r="E53" s="245"/>
      <c r="F53" s="240"/>
      <c r="G53" s="241"/>
      <c r="H53" s="241"/>
      <c r="I53" s="307"/>
      <c r="J53" s="307"/>
      <c r="K53" s="307"/>
      <c r="L53" s="307"/>
      <c r="M53" s="307"/>
      <c r="N53" s="307"/>
      <c r="O53" s="307"/>
      <c r="P53" s="307"/>
      <c r="Q53" s="307"/>
      <c r="R53" s="200">
        <f t="shared" si="5"/>
        <v>0</v>
      </c>
      <c r="S53" s="201"/>
      <c r="T53" s="202"/>
      <c r="U53" s="246"/>
      <c r="V53" s="246"/>
      <c r="W53" s="246"/>
      <c r="BA53"/>
      <c r="BB53"/>
    </row>
    <row r="54" spans="1:54" s="191" customFormat="1" ht="13.5">
      <c r="A54" s="226"/>
      <c r="B54" s="178">
        <v>5005056281</v>
      </c>
      <c r="C54" s="242" t="str">
        <f>IFERROR(IF(VLOOKUP($B54,勘定科目!$A:$H,HLOOKUP($E$5,勘定科目!$F$1:$H$2,2,0),0)="","",VLOOKUP($B54,勘定科目!$A:$E,2,0)),"")</f>
        <v>ガス代（製）</v>
      </c>
      <c r="D54" s="243" t="str">
        <f>IF(C54="","",VLOOKUP($B54,勘定科目!$A:$E,4,0))</f>
        <v>水道光熱費</v>
      </c>
      <c r="E54" s="245"/>
      <c r="F54" s="240"/>
      <c r="G54" s="241"/>
      <c r="H54" s="241"/>
      <c r="I54" s="307"/>
      <c r="J54" s="307">
        <f>ROUND(12*42688,0)</f>
        <v>512256</v>
      </c>
      <c r="K54" s="307">
        <f>ROUND(12*38491,0)</f>
        <v>461892</v>
      </c>
      <c r="L54" s="307">
        <f>ROUND(12*46977,0)</f>
        <v>563724</v>
      </c>
      <c r="M54" s="307">
        <f>ROUND(12*41126,0)</f>
        <v>493512</v>
      </c>
      <c r="N54" s="307">
        <f>ROUND(12*44086,0)</f>
        <v>529032</v>
      </c>
      <c r="O54" s="307">
        <f>ROUND(12*42459,0)</f>
        <v>509508</v>
      </c>
      <c r="P54" s="307">
        <f>ROUND(12*32894,0)</f>
        <v>394728</v>
      </c>
      <c r="Q54" s="307">
        <f>ROUND(12*42542,0)</f>
        <v>510504</v>
      </c>
      <c r="R54" s="200">
        <f t="shared" si="5"/>
        <v>3975156</v>
      </c>
      <c r="S54" s="201" t="s">
        <v>705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78">
        <v>5005066281</v>
      </c>
      <c r="C55" s="242" t="str">
        <f>IFERROR(IF(VLOOKUP($B55,勘定科目!$A:$H,HLOOKUP($E$5,勘定科目!$F$1:$H$2,2,0),0)="","",VLOOKUP($B55,勘定科目!$A:$E,2,0)),"")</f>
        <v>電気代（製）</v>
      </c>
      <c r="D55" s="243" t="str">
        <f>IF(C55="","",VLOOKUP($B55,勘定科目!$A:$E,4,0))</f>
        <v>水道光熱費</v>
      </c>
      <c r="E55" s="245"/>
      <c r="F55" s="240"/>
      <c r="G55" s="241"/>
      <c r="H55" s="241"/>
      <c r="I55" s="307"/>
      <c r="J55" s="307">
        <v>937440</v>
      </c>
      <c r="K55" s="307">
        <v>859858</v>
      </c>
      <c r="L55" s="307">
        <v>863117</v>
      </c>
      <c r="M55" s="307">
        <v>775812</v>
      </c>
      <c r="N55" s="307">
        <v>743486</v>
      </c>
      <c r="O55" s="307">
        <v>656181</v>
      </c>
      <c r="P55" s="307">
        <v>655012</v>
      </c>
      <c r="Q55" s="307">
        <v>517208</v>
      </c>
      <c r="R55" s="200">
        <f t="shared" si="5"/>
        <v>6008114</v>
      </c>
      <c r="S55" s="201" t="s">
        <v>706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78">
        <v>5005066282</v>
      </c>
      <c r="C56" s="242" t="str">
        <f>IFERROR(IF(VLOOKUP($B56,勘定科目!$A:$H,HLOOKUP($E$5,勘定科目!$F$1:$H$2,2,0),0)="","",VLOOKUP($B56,勘定科目!$A:$E,2,0)),"")</f>
        <v>水道代（製）</v>
      </c>
      <c r="D56" s="243" t="str">
        <f>IF(C56="","",VLOOKUP($B56,勘定科目!$A:$E,4,0))</f>
        <v>水道光熱費</v>
      </c>
      <c r="E56" s="245"/>
      <c r="F56" s="240"/>
      <c r="G56" s="241"/>
      <c r="H56" s="241"/>
      <c r="I56" s="307"/>
      <c r="J56" s="307">
        <f>ROUND(556798.484848485,0)</f>
        <v>556798</v>
      </c>
      <c r="K56" s="307">
        <f>ROUND(483130.242424242,0)</f>
        <v>483130</v>
      </c>
      <c r="L56" s="307">
        <f>ROUND(330957.801980198,0)</f>
        <v>330958</v>
      </c>
      <c r="M56" s="307">
        <f>ROUND(460984.03960396,0)</f>
        <v>460984</v>
      </c>
      <c r="N56" s="307">
        <f>ROUND(460403.762376238,0)</f>
        <v>460404</v>
      </c>
      <c r="O56" s="307">
        <f>ROUND(312197.497536946,0)</f>
        <v>312197</v>
      </c>
      <c r="P56" s="307">
        <f>ROUND(234105.709090909,0)</f>
        <v>234106</v>
      </c>
      <c r="Q56" s="307">
        <f>ROUND(272004.436363636,0)</f>
        <v>272004</v>
      </c>
      <c r="R56" s="200">
        <f t="shared" si="5"/>
        <v>3110581</v>
      </c>
      <c r="S56" s="201" t="s">
        <v>707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78"/>
      <c r="C57" s="242" t="str">
        <f>IFERROR(IF(VLOOKUP($B57,勘定科目!$A:$H,HLOOKUP($E$5,勘定科目!$F$1:$H$2,2,0),0)="","",VLOOKUP($B57,勘定科目!$A:$E,2,0)),"")</f>
        <v/>
      </c>
      <c r="D57" s="243" t="str">
        <f>IF(C57="","",VLOOKUP($B57,勘定科目!$A:$E,4,0))</f>
        <v/>
      </c>
      <c r="E57" s="245"/>
      <c r="F57" s="240"/>
      <c r="G57" s="241"/>
      <c r="H57" s="241"/>
      <c r="I57" s="307"/>
      <c r="J57" s="307"/>
      <c r="K57" s="307"/>
      <c r="L57" s="307"/>
      <c r="M57" s="307"/>
      <c r="N57" s="307"/>
      <c r="O57" s="307"/>
      <c r="P57" s="307"/>
      <c r="Q57" s="307"/>
      <c r="R57" s="200">
        <f t="shared" si="5"/>
        <v>0</v>
      </c>
      <c r="S57" s="201"/>
      <c r="T57" s="202"/>
      <c r="U57" s="246"/>
      <c r="V57" s="246"/>
      <c r="W57" s="246"/>
      <c r="BA57"/>
      <c r="BB57"/>
    </row>
    <row r="58" spans="1:54" s="191" customFormat="1" ht="13.5">
      <c r="A58" s="226"/>
      <c r="B58" s="178">
        <v>5005116292</v>
      </c>
      <c r="C58" s="242" t="str">
        <f>IFERROR(IF(VLOOKUP($B58,勘定科目!$A:$H,HLOOKUP($E$5,勘定科目!$F$1:$H$2,2,0),0)="","",VLOOKUP($B58,勘定科目!$A:$E,2,0)),"")</f>
        <v>海外渡航費（製）</v>
      </c>
      <c r="D58" s="243" t="str">
        <f>IF(C58="","",VLOOKUP($B58,勘定科目!$A:$E,4,0))</f>
        <v>渡航費</v>
      </c>
      <c r="E58" s="245"/>
      <c r="F58" s="240"/>
      <c r="G58" s="241"/>
      <c r="H58" s="241"/>
      <c r="I58" s="307">
        <f>(80000+145*25390+640000)*2</f>
        <v>8803100</v>
      </c>
      <c r="J58" s="307">
        <f>(80000+145*25390+640000)*2</f>
        <v>8803100</v>
      </c>
      <c r="K58" s="307">
        <f>(80000+145*25390+640000)*1</f>
        <v>4401550</v>
      </c>
      <c r="L58" s="307"/>
      <c r="M58" s="307"/>
      <c r="N58" s="307"/>
      <c r="O58" s="307"/>
      <c r="P58" s="307"/>
      <c r="Q58" s="307"/>
      <c r="R58" s="200">
        <f t="shared" si="5"/>
        <v>22007750</v>
      </c>
      <c r="S58" s="201" t="s">
        <v>708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78">
        <v>5005116292</v>
      </c>
      <c r="C59" s="242" t="str">
        <f>IFERROR(IF(VLOOKUP($B59,勘定科目!$A:$H,HLOOKUP($E$5,勘定科目!$F$1:$H$2,2,0),0)="","",VLOOKUP($B59,勘定科目!$A:$E,2,0)),"")</f>
        <v>海外渡航費（製）</v>
      </c>
      <c r="D59" s="243" t="str">
        <f>IF(C59="","",VLOOKUP($B59,勘定科目!$A:$E,4,0))</f>
        <v>渡航費</v>
      </c>
      <c r="E59" s="245"/>
      <c r="F59" s="240"/>
      <c r="G59" s="241"/>
      <c r="H59" s="241"/>
      <c r="I59" s="307">
        <f>(35*25390)*2</f>
        <v>1777300</v>
      </c>
      <c r="J59" s="307">
        <f>(35*25390)*2</f>
        <v>1777300</v>
      </c>
      <c r="K59" s="307">
        <f>(35*25390)*1</f>
        <v>888650</v>
      </c>
      <c r="L59" s="307"/>
      <c r="M59" s="307"/>
      <c r="N59" s="307"/>
      <c r="O59" s="307"/>
      <c r="P59" s="307"/>
      <c r="Q59" s="307"/>
      <c r="R59" s="200">
        <f t="shared" si="5"/>
        <v>4443250</v>
      </c>
      <c r="S59" s="201" t="s">
        <v>709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78">
        <v>5005116292</v>
      </c>
      <c r="C60" s="242" t="str">
        <f>IFERROR(IF(VLOOKUP($B60,勘定科目!$A:$H,HLOOKUP($E$5,勘定科目!$F$1:$H$2,2,0),0)="","",VLOOKUP($B60,勘定科目!$A:$E,2,0)),"")</f>
        <v>海外渡航費（製）</v>
      </c>
      <c r="D60" s="243" t="str">
        <f>IF(C60="","",VLOOKUP($B60,勘定科目!$A:$E,4,0))</f>
        <v>渡航費</v>
      </c>
      <c r="E60" s="245"/>
      <c r="F60" s="240"/>
      <c r="G60" s="241"/>
      <c r="H60" s="241"/>
      <c r="I60" s="307">
        <f>ROUND(88000*161.47*2,0)</f>
        <v>28418720</v>
      </c>
      <c r="J60" s="307">
        <f>ROUND(88000*161.47*2,0)</f>
        <v>28418720</v>
      </c>
      <c r="K60" s="307">
        <f>ROUND(198*3531.59*7*1,0)</f>
        <v>4894784</v>
      </c>
      <c r="L60" s="307"/>
      <c r="M60" s="307"/>
      <c r="N60" s="307"/>
      <c r="O60" s="307"/>
      <c r="P60" s="307"/>
      <c r="Q60" s="307"/>
      <c r="R60" s="200">
        <f t="shared" si="5"/>
        <v>61732224</v>
      </c>
      <c r="S60" s="201" t="s">
        <v>710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78">
        <v>5005116292</v>
      </c>
      <c r="C61" s="242" t="str">
        <f>IFERROR(IF(VLOOKUP($B61,勘定科目!$A:$H,HLOOKUP($E$5,勘定科目!$F$1:$H$2,2,0),0)="","",VLOOKUP($B61,勘定科目!$A:$E,2,0)),"")</f>
        <v>海外渡航費（製）</v>
      </c>
      <c r="D61" s="243" t="str">
        <f>IF(C61="","",VLOOKUP($B61,勘定科目!$A:$E,4,0))</f>
        <v>渡航費</v>
      </c>
      <c r="E61" s="245"/>
      <c r="F61" s="240"/>
      <c r="G61" s="241"/>
      <c r="H61" s="241"/>
      <c r="I61" s="307">
        <f>ROUND((43*14+52*14)*25390,0)</f>
        <v>33768700</v>
      </c>
      <c r="J61" s="307">
        <f>ROUND((43*14+52*14)*25390,0)</f>
        <v>33768700</v>
      </c>
      <c r="K61" s="307">
        <f>ROUND(7*41*25390,0)</f>
        <v>7286930</v>
      </c>
      <c r="L61" s="307"/>
      <c r="M61" s="307"/>
      <c r="N61" s="307"/>
      <c r="O61" s="307"/>
      <c r="P61" s="307"/>
      <c r="Q61" s="307"/>
      <c r="R61" s="200">
        <f t="shared" si="5"/>
        <v>74824330</v>
      </c>
      <c r="S61" s="201" t="s">
        <v>711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78">
        <v>5005116292</v>
      </c>
      <c r="C62" s="242" t="str">
        <f>IFERROR(IF(VLOOKUP($B62,勘定科目!$A:$H,HLOOKUP($E$5,勘定科目!$F$1:$H$2,2,0),0)="","",VLOOKUP($B62,勘定科目!$A:$E,2,0)),"")</f>
        <v>海外渡航費（製）</v>
      </c>
      <c r="D62" s="243" t="str">
        <f>IF(C62="","",VLOOKUP($B62,勘定科目!$A:$E,4,0))</f>
        <v>渡航費</v>
      </c>
      <c r="E62" s="245"/>
      <c r="F62" s="240"/>
      <c r="G62" s="241"/>
      <c r="H62" s="241"/>
      <c r="I62" s="307">
        <f>ROUND(7420*161.47*2,0)</f>
        <v>2396215</v>
      </c>
      <c r="J62" s="307">
        <f>ROUND(7420*161.47*2,0)</f>
        <v>2396215</v>
      </c>
      <c r="K62" s="307">
        <f>ROUND((7420/2)*161.47,0)</f>
        <v>599054</v>
      </c>
      <c r="L62" s="307"/>
      <c r="M62" s="307"/>
      <c r="N62" s="307"/>
      <c r="O62" s="307"/>
      <c r="P62" s="307"/>
      <c r="Q62" s="307"/>
      <c r="R62" s="200">
        <f t="shared" si="5"/>
        <v>5391484</v>
      </c>
      <c r="S62" s="201" t="s">
        <v>712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78">
        <v>5005116292</v>
      </c>
      <c r="C63" s="242" t="str">
        <f>IFERROR(IF(VLOOKUP($B63,勘定科目!$A:$H,HLOOKUP($E$5,勘定科目!$F$1:$H$2,2,0),0)="","",VLOOKUP($B63,勘定科目!$A:$E,2,0)),"")</f>
        <v>海外渡航費（製）</v>
      </c>
      <c r="D63" s="243" t="str">
        <f>IF(C63="","",VLOOKUP($B63,勘定科目!$A:$E,4,0))</f>
        <v>渡航費</v>
      </c>
      <c r="E63" s="245"/>
      <c r="F63" s="240"/>
      <c r="G63" s="241"/>
      <c r="H63" s="241"/>
      <c r="I63" s="307"/>
      <c r="J63" s="307">
        <f>ROUND(800*2*25390,0)</f>
        <v>40624000</v>
      </c>
      <c r="K63" s="307">
        <f>ROUND(800*2*25390,0)</f>
        <v>40624000</v>
      </c>
      <c r="L63" s="307">
        <f>ROUND((200+350)*1*25390,0)</f>
        <v>13964500</v>
      </c>
      <c r="M63" s="307"/>
      <c r="N63" s="307"/>
      <c r="O63" s="307"/>
      <c r="P63" s="307"/>
      <c r="Q63" s="307"/>
      <c r="R63" s="200">
        <f t="shared" si="5"/>
        <v>95212500</v>
      </c>
      <c r="S63" s="201" t="s">
        <v>713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78"/>
      <c r="C64" s="242" t="str">
        <f>IFERROR(IF(VLOOKUP($B64,勘定科目!$A:$H,HLOOKUP($E$5,勘定科目!$F$1:$H$2,2,0),0)="","",VLOOKUP($B64,勘定科目!$A:$E,2,0)),"")</f>
        <v/>
      </c>
      <c r="D64" s="243" t="str">
        <f>IF(C64="","",VLOOKUP($B64,勘定科目!$A:$E,4,0))</f>
        <v/>
      </c>
      <c r="E64" s="245"/>
      <c r="F64" s="240"/>
      <c r="G64" s="241"/>
      <c r="H64" s="241"/>
      <c r="I64" s="307"/>
      <c r="J64" s="307"/>
      <c r="K64" s="307"/>
      <c r="L64" s="307"/>
      <c r="M64" s="307"/>
      <c r="N64" s="307"/>
      <c r="O64" s="307"/>
      <c r="P64" s="307"/>
      <c r="Q64" s="307"/>
      <c r="R64" s="200">
        <f t="shared" si="5"/>
        <v>0</v>
      </c>
      <c r="S64" s="201"/>
      <c r="T64" s="202"/>
      <c r="U64" s="246"/>
      <c r="V64" s="246"/>
      <c r="W64" s="246"/>
      <c r="BA64"/>
      <c r="BB64"/>
    </row>
    <row r="65" spans="1:54" s="191" customFormat="1" ht="13.5">
      <c r="A65" s="226"/>
      <c r="B65" s="178">
        <v>5005136281</v>
      </c>
      <c r="C65" s="242" t="str">
        <f>IFERROR(IF(VLOOKUP($B65,勘定科目!$A:$H,HLOOKUP($E$5,勘定科目!$F$1:$H$2,2,0),0)="","",VLOOKUP($B65,勘定科目!$A:$E,2,0)),"")</f>
        <v>通信費（製）</v>
      </c>
      <c r="D65" s="243" t="str">
        <f>IF(C65="","",VLOOKUP($B65,勘定科目!$A:$E,4,0))</f>
        <v>通信費</v>
      </c>
      <c r="E65" s="245"/>
      <c r="F65" s="240"/>
      <c r="G65" s="241"/>
      <c r="H65" s="241"/>
      <c r="I65" s="307"/>
      <c r="J65" s="307">
        <f>(10*99000+1*149000)+2*400000</f>
        <v>1939000</v>
      </c>
      <c r="K65" s="307">
        <f>(10*99000+1*149000)+2*400000</f>
        <v>1939000</v>
      </c>
      <c r="L65" s="307">
        <f>(10*99000+1*149000)+400000</f>
        <v>1539000</v>
      </c>
      <c r="M65" s="307">
        <f>(10*99000+1*149000)</f>
        <v>1139000</v>
      </c>
      <c r="N65" s="307">
        <f>(10*99000+1*149000)</f>
        <v>1139000</v>
      </c>
      <c r="O65" s="307">
        <f>(10*99000+1*149000)</f>
        <v>1139000</v>
      </c>
      <c r="P65" s="307">
        <f>(10*99000+1*149000)</f>
        <v>1139000</v>
      </c>
      <c r="Q65" s="307">
        <f>(10*99000+1*149000)</f>
        <v>1139000</v>
      </c>
      <c r="R65" s="200">
        <f t="shared" si="5"/>
        <v>11112000</v>
      </c>
      <c r="S65" s="201" t="s">
        <v>714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78"/>
      <c r="C66" s="242" t="str">
        <f>IFERROR(IF(VLOOKUP($B66,勘定科目!$A:$H,HLOOKUP($E$5,勘定科目!$F$1:$H$2,2,0),0)="","",VLOOKUP($B66,勘定科目!$A:$E,2,0)),"")</f>
        <v/>
      </c>
      <c r="D66" s="243" t="str">
        <f>IF(C66="","",VLOOKUP($B66,勘定科目!$A:$E,4,0))</f>
        <v/>
      </c>
      <c r="E66" s="245"/>
      <c r="F66" s="240"/>
      <c r="G66" s="241"/>
      <c r="H66" s="241"/>
      <c r="I66" s="307"/>
      <c r="J66" s="307"/>
      <c r="K66" s="307"/>
      <c r="L66" s="307"/>
      <c r="M66" s="307"/>
      <c r="N66" s="307"/>
      <c r="O66" s="307"/>
      <c r="P66" s="307"/>
      <c r="Q66" s="307"/>
      <c r="R66" s="200">
        <f t="shared" si="5"/>
        <v>0</v>
      </c>
      <c r="S66" s="201"/>
      <c r="T66" s="202"/>
      <c r="U66" s="246"/>
      <c r="V66" s="246"/>
      <c r="W66" s="246"/>
      <c r="BA66"/>
      <c r="BB66"/>
    </row>
    <row r="67" spans="1:54" s="191" customFormat="1" ht="13.5">
      <c r="A67" s="226"/>
      <c r="B67" s="178">
        <v>5005246286</v>
      </c>
      <c r="C67" s="242" t="str">
        <f>IFERROR(IF(VLOOKUP($B67,勘定科目!$A:$H,HLOOKUP($E$5,勘定科目!$F$1:$H$2,2,0),0)="","",VLOOKUP($B67,勘定科目!$A:$E,2,0)),"")</f>
        <v>その他手数料（製）</v>
      </c>
      <c r="D67" s="243" t="str">
        <f>IF(C67="","",VLOOKUP($B67,勘定科目!$A:$E,4,0))</f>
        <v>手数料</v>
      </c>
      <c r="E67" s="245"/>
      <c r="F67" s="240"/>
      <c r="G67" s="241"/>
      <c r="H67" s="241"/>
      <c r="I67" s="307"/>
      <c r="J67" s="307">
        <f>ROUND(12*51891,0)</f>
        <v>622692</v>
      </c>
      <c r="K67" s="307">
        <f>ROUND(12*49590,0)</f>
        <v>595080</v>
      </c>
      <c r="L67" s="307">
        <f>ROUND(12*47432,0)</f>
        <v>569184</v>
      </c>
      <c r="M67" s="307">
        <f>ROUND(12*46844,0)</f>
        <v>562128</v>
      </c>
      <c r="N67" s="307">
        <f>ROUND(12*46977,0)</f>
        <v>563724</v>
      </c>
      <c r="O67" s="307">
        <f>ROUND(12*44968,0)</f>
        <v>539616</v>
      </c>
      <c r="P67" s="307">
        <f>ROUND(12*42562,0)</f>
        <v>510744</v>
      </c>
      <c r="Q67" s="307">
        <f>ROUND(12*44540,0)</f>
        <v>534480</v>
      </c>
      <c r="R67" s="200">
        <f t="shared" si="5"/>
        <v>4497648</v>
      </c>
      <c r="S67" s="300" t="s">
        <v>715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78"/>
      <c r="C68" s="242" t="str">
        <f>IFERROR(IF(VLOOKUP($B68,勘定科目!$A:$H,HLOOKUP($E$5,勘定科目!$F$1:$H$2,2,0),0)="","",VLOOKUP($B68,勘定科目!$A:$E,2,0)),"")</f>
        <v/>
      </c>
      <c r="D68" s="243" t="str">
        <f>IF(C68="","",VLOOKUP($B68,勘定科目!$A:$E,4,0))</f>
        <v/>
      </c>
      <c r="E68" s="245"/>
      <c r="F68" s="240"/>
      <c r="G68" s="241"/>
      <c r="H68" s="241"/>
      <c r="I68" s="307"/>
      <c r="J68" s="307"/>
      <c r="K68" s="307"/>
      <c r="L68" s="307"/>
      <c r="M68" s="307"/>
      <c r="N68" s="307"/>
      <c r="O68" s="307"/>
      <c r="P68" s="307"/>
      <c r="Q68" s="307"/>
      <c r="R68" s="200">
        <f t="shared" si="5"/>
        <v>0</v>
      </c>
      <c r="S68" s="201"/>
      <c r="T68" s="202"/>
      <c r="U68" s="246"/>
      <c r="V68" s="246"/>
      <c r="W68" s="246"/>
      <c r="BA68"/>
      <c r="BB68"/>
    </row>
    <row r="69" spans="1:54" s="191" customFormat="1" ht="13.5">
      <c r="A69" s="226"/>
      <c r="B69" s="178">
        <v>5005246281</v>
      </c>
      <c r="C69" s="242" t="str">
        <f>IFERROR(IF(VLOOKUP($B69,勘定科目!$A:$H,HLOOKUP($E$5,勘定科目!$F$1:$H$2,2,0),0)="","",VLOOKUP($B69,勘定科目!$A:$E,2,0)),"")</f>
        <v>図書印刷費（製）</v>
      </c>
      <c r="D69" s="243" t="str">
        <f>IF(C69="","",VLOOKUP($B69,勘定科目!$A:$E,4,0))</f>
        <v>図書及び事務費</v>
      </c>
      <c r="E69" s="245"/>
      <c r="F69" s="240"/>
      <c r="G69" s="241"/>
      <c r="H69" s="241"/>
      <c r="I69" s="307"/>
      <c r="J69" s="307"/>
      <c r="K69" s="307"/>
      <c r="L69" s="307"/>
      <c r="M69" s="307">
        <f>12*800</f>
        <v>9600</v>
      </c>
      <c r="N69" s="307"/>
      <c r="O69" s="307"/>
      <c r="P69" s="307"/>
      <c r="Q69" s="307"/>
      <c r="R69" s="200">
        <f t="shared" si="5"/>
        <v>9600</v>
      </c>
      <c r="S69" s="201" t="s">
        <v>716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78"/>
      <c r="C70" s="242" t="str">
        <f>IFERROR(IF(VLOOKUP($B70,勘定科目!$A:$H,HLOOKUP($E$5,勘定科目!$F$1:$H$2,2,0),0)="","",VLOOKUP($B70,勘定科目!$A:$E,2,0)),"")</f>
        <v/>
      </c>
      <c r="D70" s="243" t="str">
        <f>IF(C70="","",VLOOKUP($B70,勘定科目!$A:$E,4,0))</f>
        <v/>
      </c>
      <c r="E70" s="245"/>
      <c r="F70" s="240"/>
      <c r="G70" s="241"/>
      <c r="H70" s="241"/>
      <c r="I70" s="307"/>
      <c r="J70" s="307"/>
      <c r="K70" s="307"/>
      <c r="L70" s="307"/>
      <c r="M70" s="307"/>
      <c r="N70" s="307"/>
      <c r="O70" s="307"/>
      <c r="P70" s="307"/>
      <c r="Q70" s="307"/>
      <c r="R70" s="200">
        <f t="shared" si="5"/>
        <v>0</v>
      </c>
      <c r="S70" s="201"/>
      <c r="T70" s="202"/>
      <c r="U70" s="246"/>
      <c r="V70" s="246"/>
      <c r="W70" s="246"/>
      <c r="BA70"/>
      <c r="BB70"/>
    </row>
    <row r="71" spans="1:54" s="191" customFormat="1" ht="13.5">
      <c r="A71" s="226"/>
      <c r="B71" s="178">
        <v>5005246288</v>
      </c>
      <c r="C71" s="242" t="str">
        <f>IFERROR(IF(VLOOKUP($B71,勘定科目!$A:$H,HLOOKUP($E$5,勘定科目!$F$1:$H$2,2,0),0)="","",VLOOKUP($B71,勘定科目!$A:$E,2,0)),"")</f>
        <v>事務用品費（製）</v>
      </c>
      <c r="D71" s="243" t="str">
        <f>IF(C71="","",VLOOKUP($B71,勘定科目!$A:$E,4,0))</f>
        <v>図書及び事務費</v>
      </c>
      <c r="E71" s="245"/>
      <c r="F71" s="240"/>
      <c r="G71" s="241"/>
      <c r="H71" s="241"/>
      <c r="I71" s="307"/>
      <c r="J71" s="307">
        <v>300000</v>
      </c>
      <c r="K71" s="307">
        <v>300000</v>
      </c>
      <c r="L71" s="307">
        <v>300000</v>
      </c>
      <c r="M71" s="307">
        <v>300000</v>
      </c>
      <c r="N71" s="307">
        <v>300000</v>
      </c>
      <c r="O71" s="307">
        <v>300000</v>
      </c>
      <c r="P71" s="307">
        <v>300000</v>
      </c>
      <c r="Q71" s="307">
        <v>300000</v>
      </c>
      <c r="R71" s="200">
        <f t="shared" si="5"/>
        <v>2400000</v>
      </c>
      <c r="S71" s="201" t="s">
        <v>717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78"/>
      <c r="C72" s="242" t="str">
        <f>IFERROR(IF(VLOOKUP($B72,勘定科目!$A:$H,HLOOKUP($E$5,勘定科目!$F$1:$H$2,2,0),0)="","",VLOOKUP($B72,勘定科目!$A:$E,2,0)),"")</f>
        <v/>
      </c>
      <c r="D72" s="243" t="str">
        <f>IF(C72="","",VLOOKUP($B72,勘定科目!$A:$E,4,0))</f>
        <v/>
      </c>
      <c r="E72" s="245"/>
      <c r="F72" s="240"/>
      <c r="G72" s="241"/>
      <c r="H72" s="241"/>
      <c r="I72" s="307"/>
      <c r="J72" s="307"/>
      <c r="K72" s="307"/>
      <c r="L72" s="307"/>
      <c r="M72" s="307"/>
      <c r="N72" s="307"/>
      <c r="O72" s="307"/>
      <c r="P72" s="307"/>
      <c r="Q72" s="307"/>
      <c r="R72" s="200">
        <f t="shared" si="5"/>
        <v>0</v>
      </c>
      <c r="S72" s="201"/>
      <c r="T72" s="202"/>
      <c r="U72" s="246"/>
      <c r="V72" s="246"/>
      <c r="W72" s="246"/>
      <c r="BA72"/>
      <c r="BB72"/>
    </row>
    <row r="73" spans="1:54" s="191" customFormat="1" ht="13.5">
      <c r="A73" s="226"/>
      <c r="B73" s="178">
        <v>5004086291</v>
      </c>
      <c r="C73" s="242" t="str">
        <f>IFERROR(IF(VLOOKUP($B73,勘定科目!$A:$H,HLOOKUP($E$5,勘定科目!$F$1:$H$2,2,0),0)="","",VLOOKUP($B73,勘定科目!$A:$E,2,0)),"")</f>
        <v>福利厚生費（製）</v>
      </c>
      <c r="D73" s="243"/>
      <c r="E73" s="245"/>
      <c r="F73" s="240"/>
      <c r="G73" s="241"/>
      <c r="H73" s="241"/>
      <c r="I73" s="307"/>
      <c r="J73" s="307"/>
      <c r="K73" s="307"/>
      <c r="L73" s="307"/>
      <c r="M73" s="307"/>
      <c r="N73" s="307"/>
      <c r="O73" s="307"/>
      <c r="P73" s="307"/>
      <c r="Q73" s="307"/>
      <c r="R73" s="200">
        <f t="shared" si="5"/>
        <v>0</v>
      </c>
      <c r="S73" s="201"/>
      <c r="T73" s="202"/>
      <c r="U73" s="246"/>
      <c r="V73" s="246"/>
      <c r="W73" s="246"/>
      <c r="BA73"/>
      <c r="BB73"/>
    </row>
    <row r="74" spans="1:54" s="191" customFormat="1" ht="13.5">
      <c r="A74" s="226"/>
      <c r="B74" s="178">
        <v>5004086291</v>
      </c>
      <c r="C74" s="242" t="str">
        <f>IFERROR(IF(VLOOKUP($B74,勘定科目!$A:$H,HLOOKUP($E$5,勘定科目!$F$1:$H$2,2,0),0)="","",VLOOKUP($B74,勘定科目!$A:$E,2,0)),"")</f>
        <v>福利厚生費（製）</v>
      </c>
      <c r="D74" s="243" t="str">
        <f>IF(C74="","",VLOOKUP($B74,勘定科目!$A:$E,4,0))</f>
        <v>福利厚生費</v>
      </c>
      <c r="E74" s="245"/>
      <c r="F74" s="240"/>
      <c r="G74" s="241"/>
      <c r="H74" s="241"/>
      <c r="I74" s="307"/>
      <c r="J74" s="307">
        <v>150000</v>
      </c>
      <c r="K74" s="307">
        <v>150000</v>
      </c>
      <c r="L74" s="307">
        <v>150000</v>
      </c>
      <c r="M74" s="307">
        <v>150000</v>
      </c>
      <c r="N74" s="307">
        <v>150000</v>
      </c>
      <c r="O74" s="307">
        <v>150000</v>
      </c>
      <c r="P74" s="307">
        <v>150000</v>
      </c>
      <c r="Q74" s="307">
        <v>150000</v>
      </c>
      <c r="R74" s="200">
        <f t="shared" si="5"/>
        <v>1200000</v>
      </c>
      <c r="S74" s="201" t="s">
        <v>718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78">
        <v>5004086291</v>
      </c>
      <c r="C75" s="242" t="str">
        <f>IFERROR(IF(VLOOKUP($B75,勘定科目!$A:$H,HLOOKUP($E$5,勘定科目!$F$1:$H$2,2,0),0)="","",VLOOKUP($B75,勘定科目!$A:$E,2,0)),"")</f>
        <v>福利厚生費（製）</v>
      </c>
      <c r="D75" s="243" t="str">
        <f>IF(C75="","",VLOOKUP($B75,勘定科目!$A:$E,4,0))</f>
        <v>福利厚生費</v>
      </c>
      <c r="E75" s="245"/>
      <c r="F75" s="240"/>
      <c r="G75" s="241"/>
      <c r="H75" s="241"/>
      <c r="I75" s="307"/>
      <c r="J75" s="307">
        <f>1*163000</f>
        <v>163000</v>
      </c>
      <c r="K75" s="307"/>
      <c r="L75" s="307">
        <f>1*163000</f>
        <v>163000</v>
      </c>
      <c r="M75" s="307"/>
      <c r="N75" s="307">
        <f>2*163000</f>
        <v>326000</v>
      </c>
      <c r="O75" s="307"/>
      <c r="P75" s="307">
        <f>3*163000</f>
        <v>489000</v>
      </c>
      <c r="Q75" s="307"/>
      <c r="R75" s="200">
        <f t="shared" si="5"/>
        <v>1141000</v>
      </c>
      <c r="S75" s="201" t="s">
        <v>719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78">
        <v>5004086291</v>
      </c>
      <c r="C76" s="242" t="str">
        <f>IFERROR(IF(VLOOKUP($B76,勘定科目!$A:$H,HLOOKUP($E$5,勘定科目!$F$1:$H$2,2,0),0)="","",VLOOKUP($B76,勘定科目!$A:$E,2,0)),"")</f>
        <v>福利厚生費（製）</v>
      </c>
      <c r="D76" s="243" t="str">
        <f>IF(C76="","",VLOOKUP($B76,勘定科目!$A:$E,4,0))</f>
        <v>福利厚生費</v>
      </c>
      <c r="E76" s="245"/>
      <c r="F76" s="240"/>
      <c r="G76" s="241"/>
      <c r="H76" s="241"/>
      <c r="I76" s="307"/>
      <c r="J76" s="307"/>
      <c r="K76" s="307">
        <f>10*6800</f>
        <v>68000</v>
      </c>
      <c r="L76" s="307"/>
      <c r="M76" s="307"/>
      <c r="N76" s="307"/>
      <c r="O76" s="307"/>
      <c r="P76" s="307">
        <f>10*6800</f>
        <v>68000</v>
      </c>
      <c r="Q76" s="307"/>
      <c r="R76" s="200">
        <f t="shared" si="5"/>
        <v>136000</v>
      </c>
      <c r="S76" s="201" t="s">
        <v>720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78">
        <v>5004086291</v>
      </c>
      <c r="C77" s="242" t="str">
        <f>IFERROR(IF(VLOOKUP($B77,勘定科目!$A:$H,HLOOKUP($E$5,勘定科目!$F$1:$H$2,2,0),0)="","",VLOOKUP($B77,勘定科目!$A:$E,2,0)),"")</f>
        <v>福利厚生費（製）</v>
      </c>
      <c r="D77" s="243" t="str">
        <f>IF(C77="","",VLOOKUP($B77,勘定科目!$A:$E,4,0))</f>
        <v>福利厚生費</v>
      </c>
      <c r="E77" s="245"/>
      <c r="F77" s="240"/>
      <c r="G77" s="241"/>
      <c r="H77" s="241"/>
      <c r="I77" s="307">
        <f>12*100000</f>
        <v>1200000</v>
      </c>
      <c r="J77" s="307"/>
      <c r="K77" s="307"/>
      <c r="L77" s="307"/>
      <c r="M77" s="307"/>
      <c r="N77" s="307"/>
      <c r="O77" s="307"/>
      <c r="P77" s="307"/>
      <c r="Q77" s="307"/>
      <c r="R77" s="200">
        <f t="shared" si="5"/>
        <v>1200000</v>
      </c>
      <c r="S77" s="201" t="s">
        <v>721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78">
        <v>5004086291</v>
      </c>
      <c r="C78" s="242" t="str">
        <f>IFERROR(IF(VLOOKUP($B78,勘定科目!$A:$H,HLOOKUP($E$5,勘定科目!$F$1:$H$2,2,0),0)="","",VLOOKUP($B78,勘定科目!$A:$E,2,0)),"")</f>
        <v>福利厚生費（製）</v>
      </c>
      <c r="D78" s="243" t="str">
        <f>IF(C78="","",VLOOKUP($B78,勘定科目!$A:$E,4,0))</f>
        <v>福利厚生費</v>
      </c>
      <c r="E78" s="245"/>
      <c r="F78" s="240"/>
      <c r="G78" s="241"/>
      <c r="H78" s="241"/>
      <c r="I78" s="307"/>
      <c r="J78" s="307"/>
      <c r="K78" s="307"/>
      <c r="L78" s="307"/>
      <c r="M78" s="307"/>
      <c r="N78" s="307"/>
      <c r="O78" s="307"/>
      <c r="P78" s="307">
        <f>12*300000</f>
        <v>3600000</v>
      </c>
      <c r="Q78" s="307"/>
      <c r="R78" s="200">
        <f t="shared" si="5"/>
        <v>3600000</v>
      </c>
      <c r="S78" s="201" t="s">
        <v>722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78">
        <v>5004086291</v>
      </c>
      <c r="C79" s="242" t="str">
        <f>IFERROR(IF(VLOOKUP($B79,勘定科目!$A:$H,HLOOKUP($E$5,勘定科目!$F$1:$H$2,2,0),0)="","",VLOOKUP($B79,勘定科目!$A:$E,2,0)),"")</f>
        <v>福利厚生費（製）</v>
      </c>
      <c r="D79" s="243" t="str">
        <f>IF(C79="","",VLOOKUP($B79,勘定科目!$A:$E,4,0))</f>
        <v>福利厚生費</v>
      </c>
      <c r="E79" s="245"/>
      <c r="F79" s="240"/>
      <c r="G79" s="241"/>
      <c r="H79" s="241"/>
      <c r="I79" s="307"/>
      <c r="J79" s="307"/>
      <c r="K79" s="307"/>
      <c r="L79" s="307"/>
      <c r="M79" s="307"/>
      <c r="N79" s="307"/>
      <c r="O79" s="307"/>
      <c r="P79" s="307">
        <f>12*100000</f>
        <v>1200000</v>
      </c>
      <c r="Q79" s="307"/>
      <c r="R79" s="200">
        <f t="shared" si="5"/>
        <v>1200000</v>
      </c>
      <c r="S79" s="201" t="s">
        <v>723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78">
        <v>5004086291</v>
      </c>
      <c r="C80" s="242" t="str">
        <f>IFERROR(IF(VLOOKUP($B80,勘定科目!$A:$H,HLOOKUP($E$5,勘定科目!$F$1:$H$2,2,0),0)="","",VLOOKUP($B80,勘定科目!$A:$E,2,0)),"")</f>
        <v>福利厚生費（製）</v>
      </c>
      <c r="D80" s="243" t="str">
        <f>IF(C80="","",VLOOKUP($B80,勘定科目!$A:$E,4,0))</f>
        <v>福利厚生費</v>
      </c>
      <c r="E80" s="245"/>
      <c r="F80" s="240"/>
      <c r="G80" s="241"/>
      <c r="H80" s="241"/>
      <c r="I80" s="307"/>
      <c r="J80" s="307"/>
      <c r="K80" s="307"/>
      <c r="L80" s="307">
        <f>12*56000</f>
        <v>672000</v>
      </c>
      <c r="M80" s="307"/>
      <c r="N80" s="307"/>
      <c r="O80" s="307"/>
      <c r="P80" s="307"/>
      <c r="Q80" s="307"/>
      <c r="R80" s="200">
        <f t="shared" si="5"/>
        <v>672000</v>
      </c>
      <c r="S80" s="201" t="s">
        <v>724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78">
        <v>5004086291</v>
      </c>
      <c r="C81" s="242" t="str">
        <f>IFERROR(IF(VLOOKUP($B81,勘定科目!$A:$H,HLOOKUP($E$5,勘定科目!$F$1:$H$2,2,0),0)="","",VLOOKUP($B81,勘定科目!$A:$E,2,0)),"")</f>
        <v>福利厚生費（製）</v>
      </c>
      <c r="D81" s="243" t="str">
        <f>IF(C81="","",VLOOKUP($B81,勘定科目!$A:$E,4,0))</f>
        <v>福利厚生費</v>
      </c>
      <c r="E81" s="245"/>
      <c r="F81" s="240"/>
      <c r="G81" s="241"/>
      <c r="H81" s="241"/>
      <c r="I81" s="307"/>
      <c r="J81" s="307"/>
      <c r="K81" s="307">
        <f>12*126000</f>
        <v>1512000</v>
      </c>
      <c r="L81" s="307"/>
      <c r="M81" s="307"/>
      <c r="N81" s="307"/>
      <c r="O81" s="307"/>
      <c r="P81" s="307"/>
      <c r="Q81" s="307"/>
      <c r="R81" s="200">
        <f t="shared" si="5"/>
        <v>1512000</v>
      </c>
      <c r="S81" s="201" t="s">
        <v>725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5004086291</v>
      </c>
      <c r="C82" s="242" t="str">
        <f>IFERROR(IF(VLOOKUP($B82,勘定科目!$A:$H,HLOOKUP($E$5,勘定科目!$F$1:$H$2,2,0),0)="","",VLOOKUP($B82,勘定科目!$A:$E,2,0)),"")</f>
        <v>福利厚生費（製）</v>
      </c>
      <c r="D82" s="243" t="str">
        <f>IF(C82="","",VLOOKUP($B82,勘定科目!$A:$E,4,0))</f>
        <v>福利厚生費</v>
      </c>
      <c r="E82" s="245"/>
      <c r="F82" s="240"/>
      <c r="G82" s="241"/>
      <c r="H82" s="241"/>
      <c r="I82" s="307"/>
      <c r="J82" s="307"/>
      <c r="K82" s="307"/>
      <c r="L82" s="307"/>
      <c r="M82" s="307"/>
      <c r="N82" s="307">
        <f>6*204000+(6*189000)</f>
        <v>2358000</v>
      </c>
      <c r="O82" s="307"/>
      <c r="P82" s="307"/>
      <c r="Q82" s="307"/>
      <c r="R82" s="200">
        <f t="shared" si="5"/>
        <v>2358000</v>
      </c>
      <c r="S82" s="201" t="s">
        <v>726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5004086291</v>
      </c>
      <c r="C83" s="242" t="str">
        <f>IFERROR(IF(VLOOKUP($B83,勘定科目!$A:$H,HLOOKUP($E$5,勘定科目!$F$1:$H$2,2,0),0)="","",VLOOKUP($B83,勘定科目!$A:$E,2,0)),"")</f>
        <v>福利厚生費（製）</v>
      </c>
      <c r="D83" s="243" t="str">
        <f>IF(C83="","",VLOOKUP($B83,勘定科目!$A:$E,4,0))</f>
        <v>福利厚生費</v>
      </c>
      <c r="E83" s="245"/>
      <c r="F83" s="240"/>
      <c r="G83" s="241"/>
      <c r="H83" s="241"/>
      <c r="I83" s="307"/>
      <c r="J83" s="307"/>
      <c r="K83" s="307"/>
      <c r="L83" s="307"/>
      <c r="M83" s="307">
        <f>12*107000</f>
        <v>1284000</v>
      </c>
      <c r="N83" s="307"/>
      <c r="O83" s="307"/>
      <c r="P83" s="307"/>
      <c r="Q83" s="307"/>
      <c r="R83" s="200">
        <f t="shared" si="5"/>
        <v>1284000</v>
      </c>
      <c r="S83" s="201" t="s">
        <v>727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5004086291</v>
      </c>
      <c r="C84" s="242" t="str">
        <f>IFERROR(IF(VLOOKUP($B84,勘定科目!$A:$H,HLOOKUP($E$5,勘定科目!$F$1:$H$2,2,0),0)="","",VLOOKUP($B84,勘定科目!$A:$E,2,0)),"")</f>
        <v>福利厚生費（製）</v>
      </c>
      <c r="D84" s="243" t="str">
        <f>IF(C84="","",VLOOKUP($B84,勘定科目!$A:$E,4,0))</f>
        <v>福利厚生費</v>
      </c>
      <c r="E84" s="245"/>
      <c r="F84" s="240"/>
      <c r="G84" s="241"/>
      <c r="H84" s="241"/>
      <c r="I84" s="307"/>
      <c r="J84" s="307"/>
      <c r="K84" s="307">
        <f>ROUND((2*1593513),0)</f>
        <v>3187026</v>
      </c>
      <c r="L84" s="307">
        <f>ROUND((2*1194735),0)</f>
        <v>2389470</v>
      </c>
      <c r="M84" s="307">
        <f>ROUND((2*1452617),0)</f>
        <v>2905234</v>
      </c>
      <c r="N84" s="307">
        <f>ROUND((2*1465592),0)</f>
        <v>2931184</v>
      </c>
      <c r="O84" s="307">
        <f>ROUND((2*1378925),0)</f>
        <v>2757850</v>
      </c>
      <c r="P84" s="307">
        <f>ROUND((2*1253359),0)</f>
        <v>2506718</v>
      </c>
      <c r="Q84" s="307">
        <f>ROUND((2*1296228),0)</f>
        <v>2592456</v>
      </c>
      <c r="R84" s="200">
        <f t="shared" si="5"/>
        <v>19269938</v>
      </c>
      <c r="S84" s="300" t="s">
        <v>728</v>
      </c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5004086291</v>
      </c>
      <c r="C85" s="242" t="str">
        <f>IFERROR(IF(VLOOKUP($B85,勘定科目!$A:$H,HLOOKUP($E$5,勘定科目!$F$1:$H$2,2,0),0)="","",VLOOKUP($B85,勘定科目!$A:$E,2,0)),"")</f>
        <v>福利厚生費（製）</v>
      </c>
      <c r="D85" s="243" t="str">
        <f>IF(C85="","",VLOOKUP($B85,勘定科目!$A:$E,4,0))</f>
        <v>福利厚生費</v>
      </c>
      <c r="E85" s="245"/>
      <c r="F85" s="240"/>
      <c r="G85" s="241"/>
      <c r="H85" s="241"/>
      <c r="I85" s="307">
        <v>0</v>
      </c>
      <c r="J85" s="307"/>
      <c r="K85" s="307"/>
      <c r="L85" s="307"/>
      <c r="M85" s="307"/>
      <c r="N85" s="307"/>
      <c r="O85" s="307"/>
      <c r="P85" s="307"/>
      <c r="Q85" s="307"/>
      <c r="R85" s="200">
        <f t="shared" si="5"/>
        <v>0</v>
      </c>
      <c r="S85" s="300" t="s">
        <v>729</v>
      </c>
      <c r="T85" s="202"/>
      <c r="U85" s="246"/>
      <c r="V85" s="246"/>
      <c r="W85" s="246"/>
      <c r="BA85"/>
      <c r="BB85"/>
    </row>
    <row r="86" spans="1:54" s="191" customFormat="1" ht="13.5">
      <c r="A86" s="226"/>
      <c r="B86" s="178">
        <v>5004086291</v>
      </c>
      <c r="C86" s="242" t="str">
        <f>IFERROR(IF(VLOOKUP($B86,勘定科目!$A:$H,HLOOKUP($E$5,勘定科目!$F$1:$H$2,2,0),0)="","",VLOOKUP($B86,勘定科目!$A:$E,2,0)),"")</f>
        <v>福利厚生費（製）</v>
      </c>
      <c r="D86" s="243" t="str">
        <f>IF(C86="","",VLOOKUP($B86,勘定科目!$A:$E,4,0))</f>
        <v>福利厚生費</v>
      </c>
      <c r="E86" s="245"/>
      <c r="F86" s="240"/>
      <c r="G86" s="241"/>
      <c r="H86" s="241"/>
      <c r="I86" s="307"/>
      <c r="J86" s="307"/>
      <c r="K86" s="307"/>
      <c r="L86" s="307">
        <f>2*549000</f>
        <v>1098000</v>
      </c>
      <c r="M86" s="307"/>
      <c r="N86" s="307"/>
      <c r="O86" s="307"/>
      <c r="P86" s="307"/>
      <c r="Q86" s="307"/>
      <c r="R86" s="200">
        <f t="shared" si="5"/>
        <v>1098000</v>
      </c>
      <c r="S86" s="201" t="s">
        <v>730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78">
        <v>5004086291</v>
      </c>
      <c r="C87" s="242" t="str">
        <f>IFERROR(IF(VLOOKUP($B87,勘定科目!$A:$H,HLOOKUP($E$5,勘定科目!$F$1:$H$2,2,0),0)="","",VLOOKUP($B87,勘定科目!$A:$E,2,0)),"")</f>
        <v>福利厚生費（製）</v>
      </c>
      <c r="D87" s="243" t="str">
        <f>IF(C87="","",VLOOKUP($B87,勘定科目!$A:$E,4,0))</f>
        <v>福利厚生費</v>
      </c>
      <c r="E87" s="245"/>
      <c r="F87" s="240"/>
      <c r="G87" s="241"/>
      <c r="H87" s="241"/>
      <c r="I87" s="307"/>
      <c r="J87" s="307"/>
      <c r="K87" s="307"/>
      <c r="L87" s="307">
        <f>2*382000</f>
        <v>764000</v>
      </c>
      <c r="M87" s="307"/>
      <c r="N87" s="307"/>
      <c r="O87" s="307"/>
      <c r="P87" s="307"/>
      <c r="Q87" s="307"/>
      <c r="R87" s="200">
        <f t="shared" si="5"/>
        <v>764000</v>
      </c>
      <c r="S87" s="201" t="s">
        <v>731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78"/>
      <c r="C88" s="242" t="str">
        <f>IFERROR(IF(VLOOKUP($B88,勘定科目!$A:$H,HLOOKUP($E$5,勘定科目!$F$1:$H$2,2,0),0)="","",VLOOKUP($B88,勘定科目!$A:$E,2,0)),"")</f>
        <v/>
      </c>
      <c r="D88" s="243" t="str">
        <f>IF(C88="","",VLOOKUP($B88,勘定科目!$A:$E,4,0))</f>
        <v/>
      </c>
      <c r="E88" s="245"/>
      <c r="F88" s="240"/>
      <c r="G88" s="241"/>
      <c r="H88" s="241"/>
      <c r="I88" s="307"/>
      <c r="J88" s="307"/>
      <c r="K88" s="307"/>
      <c r="L88" s="307"/>
      <c r="M88" s="307"/>
      <c r="N88" s="307"/>
      <c r="O88" s="307"/>
      <c r="P88" s="307"/>
      <c r="Q88" s="307"/>
      <c r="R88" s="200">
        <f t="shared" si="5"/>
        <v>0</v>
      </c>
      <c r="S88" s="201"/>
      <c r="T88" s="202"/>
      <c r="U88" s="246"/>
      <c r="V88" s="246"/>
      <c r="W88" s="246"/>
      <c r="BA88"/>
      <c r="BB88"/>
    </row>
    <row r="89" spans="1:54" s="191" customFormat="1" ht="13.5">
      <c r="A89" s="226"/>
      <c r="B89" s="178">
        <v>5005116291</v>
      </c>
      <c r="C89" s="242" t="str">
        <f>IFERROR(IF(VLOOKUP($B89,勘定科目!$A:$H,HLOOKUP($E$5,勘定科目!$F$1:$H$2,2,0),0)="","",VLOOKUP($B89,勘定科目!$A:$E,2,0)),"")</f>
        <v>ベトナム国内交通費（製）</v>
      </c>
      <c r="D89" s="243" t="str">
        <f>IF(C89="","",VLOOKUP($B89,勘定科目!$A:$E,4,0))</f>
        <v>旅費交通費</v>
      </c>
      <c r="E89" s="245"/>
      <c r="F89" s="240"/>
      <c r="G89" s="241"/>
      <c r="H89" s="241"/>
      <c r="I89" s="307"/>
      <c r="J89" s="307">
        <f>650000*2</f>
        <v>1300000</v>
      </c>
      <c r="K89" s="307">
        <f>650000*2+650000*2</f>
        <v>2600000</v>
      </c>
      <c r="L89" s="307">
        <f>650000*2+650000*1</f>
        <v>1950000</v>
      </c>
      <c r="M89" s="307">
        <f>650000*1</f>
        <v>650000</v>
      </c>
      <c r="N89" s="307"/>
      <c r="O89" s="307"/>
      <c r="P89" s="307"/>
      <c r="Q89" s="307"/>
      <c r="R89" s="200">
        <f t="shared" si="5"/>
        <v>6500000</v>
      </c>
      <c r="S89" s="201" t="s">
        <v>732</v>
      </c>
      <c r="T89" s="202"/>
      <c r="U89" s="246"/>
      <c r="V89" s="246"/>
      <c r="W89" s="246"/>
      <c r="BA89"/>
      <c r="BB89"/>
    </row>
    <row r="90" spans="1:54" s="191" customFormat="1" ht="13.5">
      <c r="A90" s="226"/>
      <c r="B90" s="178"/>
      <c r="C90" s="242" t="str">
        <f>IFERROR(IF(VLOOKUP($B90,勘定科目!$A:$H,HLOOKUP($E$5,勘定科目!$F$1:$H$2,2,0),0)="","",VLOOKUP($B90,勘定科目!$A:$E,2,0)),"")</f>
        <v/>
      </c>
      <c r="D90" s="243" t="str">
        <f>IF(C90="","",VLOOKUP($B90,勘定科目!$A:$E,4,0))</f>
        <v/>
      </c>
      <c r="E90" s="245"/>
      <c r="F90" s="240"/>
      <c r="G90" s="241"/>
      <c r="H90" s="241"/>
      <c r="I90" s="307"/>
      <c r="J90" s="307"/>
      <c r="K90" s="307"/>
      <c r="L90" s="307"/>
      <c r="M90" s="307"/>
      <c r="N90" s="307"/>
      <c r="O90" s="307"/>
      <c r="P90" s="307"/>
      <c r="Q90" s="307"/>
      <c r="R90" s="200">
        <f t="shared" si="5"/>
        <v>0</v>
      </c>
      <c r="S90" s="201"/>
      <c r="T90" s="202"/>
      <c r="U90" s="246"/>
      <c r="V90" s="246"/>
      <c r="W90" s="246"/>
      <c r="BA90"/>
      <c r="BB90"/>
    </row>
    <row r="91" spans="1:54" s="191" customFormat="1" ht="13.5">
      <c r="A91" s="226"/>
      <c r="B91" s="178"/>
      <c r="C91" s="242" t="str">
        <f>IFERROR(IF(VLOOKUP($B91,勘定科目!$A:$H,HLOOKUP($E$5,勘定科目!$F$1:$H$2,2,0),0)="","",VLOOKUP($B91,勘定科目!$A:$E,2,0)),"")</f>
        <v/>
      </c>
      <c r="D91" s="243" t="str">
        <f>IF(C91="","",VLOOKUP($B91,勘定科目!$A:$E,4,0))</f>
        <v/>
      </c>
      <c r="E91" s="245"/>
      <c r="F91" s="240"/>
      <c r="G91" s="241"/>
      <c r="H91" s="241"/>
      <c r="I91" s="307"/>
      <c r="J91" s="307"/>
      <c r="K91" s="307"/>
      <c r="L91" s="307"/>
      <c r="M91" s="307"/>
      <c r="N91" s="307"/>
      <c r="O91" s="307"/>
      <c r="P91" s="307"/>
      <c r="Q91" s="307"/>
      <c r="R91" s="200">
        <f t="shared" si="5"/>
        <v>0</v>
      </c>
      <c r="S91" s="201"/>
      <c r="T91" s="202"/>
      <c r="U91" s="246"/>
      <c r="V91" s="246"/>
      <c r="W91" s="246"/>
      <c r="BA91"/>
      <c r="BB91"/>
    </row>
    <row r="92" spans="1:54" s="191" customFormat="1" ht="13.5">
      <c r="A92" s="226"/>
      <c r="B92" s="178"/>
      <c r="C92" s="242" t="str">
        <f>IFERROR(IF(VLOOKUP($B92,勘定科目!$A:$H,HLOOKUP($E$5,勘定科目!$F$1:$H$2,2,0),0)="","",VLOOKUP($B92,勘定科目!$A:$E,2,0)),"")</f>
        <v/>
      </c>
      <c r="D92" s="243" t="str">
        <f>IF(C92="","",VLOOKUP($B92,勘定科目!$A:$E,4,0))</f>
        <v/>
      </c>
      <c r="E92" s="245"/>
      <c r="F92" s="240"/>
      <c r="G92" s="241"/>
      <c r="H92" s="241"/>
      <c r="I92" s="307"/>
      <c r="J92" s="307"/>
      <c r="K92" s="307"/>
      <c r="L92" s="307"/>
      <c r="M92" s="307"/>
      <c r="N92" s="307"/>
      <c r="O92" s="307"/>
      <c r="P92" s="307"/>
      <c r="Q92" s="307"/>
      <c r="R92" s="200">
        <f t="shared" si="5"/>
        <v>0</v>
      </c>
      <c r="S92" s="201"/>
      <c r="T92" s="202"/>
      <c r="U92" s="246"/>
      <c r="V92" s="246"/>
      <c r="W92" s="246"/>
      <c r="BA92"/>
      <c r="BB92"/>
    </row>
    <row r="93" spans="1:54" s="191" customFormat="1" ht="13.5">
      <c r="A93" s="226"/>
      <c r="B93" s="178"/>
      <c r="C93" s="242" t="str">
        <f>IFERROR(IF(VLOOKUP($B93,勘定科目!$A:$H,HLOOKUP($E$5,勘定科目!$F$1:$H$2,2,0),0)="","",VLOOKUP($B93,勘定科目!$A:$E,2,0)),"")</f>
        <v/>
      </c>
      <c r="D93" s="243" t="str">
        <f>IF(C93="","",VLOOKUP($B93,勘定科目!$A:$E,4,0))</f>
        <v/>
      </c>
      <c r="E93" s="245"/>
      <c r="F93" s="240"/>
      <c r="G93" s="241"/>
      <c r="H93" s="241"/>
      <c r="I93" s="307"/>
      <c r="J93" s="307"/>
      <c r="K93" s="307"/>
      <c r="L93" s="307"/>
      <c r="M93" s="307"/>
      <c r="N93" s="307"/>
      <c r="O93" s="307"/>
      <c r="P93" s="307"/>
      <c r="Q93" s="307"/>
      <c r="R93" s="200">
        <f t="shared" si="5"/>
        <v>0</v>
      </c>
      <c r="S93" s="201"/>
      <c r="T93" s="202"/>
      <c r="U93" s="246"/>
      <c r="V93" s="246"/>
      <c r="W93" s="246"/>
      <c r="BA93"/>
      <c r="BB93"/>
    </row>
    <row r="94" spans="1:54" s="191" customFormat="1" ht="13.5">
      <c r="A94" s="226"/>
      <c r="B94" s="178"/>
      <c r="C94" s="242" t="str">
        <f>IFERROR(IF(VLOOKUP($B94,勘定科目!$A:$H,HLOOKUP($E$5,勘定科目!$F$1:$H$2,2,0),0)="","",VLOOKUP($B94,勘定科目!$A:$E,2,0)),"")</f>
        <v/>
      </c>
      <c r="D94" s="243" t="str">
        <f>IF(C94="","",VLOOKUP($B94,勘定科目!$A:$E,4,0))</f>
        <v/>
      </c>
      <c r="E94" s="245"/>
      <c r="F94" s="240"/>
      <c r="G94" s="241"/>
      <c r="H94" s="241"/>
      <c r="I94" s="307"/>
      <c r="J94" s="307"/>
      <c r="K94" s="307"/>
      <c r="L94" s="307"/>
      <c r="M94" s="307"/>
      <c r="N94" s="307"/>
      <c r="O94" s="307"/>
      <c r="P94" s="307"/>
      <c r="Q94" s="307"/>
      <c r="R94" s="200">
        <f t="shared" si="5"/>
        <v>0</v>
      </c>
      <c r="S94" s="201"/>
      <c r="T94" s="202"/>
      <c r="U94" s="246"/>
      <c r="V94" s="246"/>
      <c r="W94" s="246"/>
      <c r="BA94"/>
      <c r="BB94"/>
    </row>
    <row r="95" spans="1:54" s="191" customFormat="1" ht="13.5">
      <c r="A95" s="226"/>
      <c r="B95" s="178"/>
      <c r="C95" s="242" t="str">
        <f>IFERROR(IF(VLOOKUP($B95,勘定科目!$A:$H,HLOOKUP($E$5,勘定科目!$F$1:$H$2,2,0),0)="","",VLOOKUP($B95,勘定科目!$A:$E,2,0)),"")</f>
        <v/>
      </c>
      <c r="D95" s="243" t="str">
        <f>IF(C95="","",VLOOKUP($B95,勘定科目!$A:$E,4,0))</f>
        <v/>
      </c>
      <c r="E95" s="245"/>
      <c r="F95" s="240"/>
      <c r="G95" s="241"/>
      <c r="H95" s="241"/>
      <c r="I95" s="307"/>
      <c r="J95" s="307"/>
      <c r="K95" s="307"/>
      <c r="L95" s="307"/>
      <c r="M95" s="307"/>
      <c r="N95" s="307"/>
      <c r="O95" s="307"/>
      <c r="P95" s="307"/>
      <c r="Q95" s="307"/>
      <c r="R95" s="200">
        <f t="shared" si="5"/>
        <v>0</v>
      </c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78"/>
      <c r="C96" s="242" t="str">
        <f>IFERROR(IF(VLOOKUP($B96,勘定科目!$A:$H,HLOOKUP($E$5,勘定科目!$F$1:$H$2,2,0),0)="","",VLOOKUP($B96,勘定科目!$A:$E,2,0)),"")</f>
        <v/>
      </c>
      <c r="D96" s="243" t="str">
        <f>IF(C96="","",VLOOKUP($B96,勘定科目!$A:$E,4,0))</f>
        <v/>
      </c>
      <c r="E96" s="245"/>
      <c r="F96" s="240"/>
      <c r="G96" s="241"/>
      <c r="H96" s="241"/>
      <c r="I96" s="307"/>
      <c r="J96" s="307"/>
      <c r="K96" s="307"/>
      <c r="L96" s="307"/>
      <c r="M96" s="307"/>
      <c r="N96" s="307"/>
      <c r="O96" s="307"/>
      <c r="P96" s="307"/>
      <c r="Q96" s="307"/>
      <c r="R96" s="200">
        <f t="shared" ref="R96:R119" si="8">SUM(F96:Q96)</f>
        <v>0</v>
      </c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9114120018</v>
      </c>
      <c r="C97" s="242" t="str">
        <f>IFERROR(IF(VLOOKUP($B97,勘定科目!$A:$H,HLOOKUP($E$5,勘定科目!$F$1:$H$2,2,0),0)="","",VLOOKUP($B97,勘定科目!$A:$E,2,0)),"")</f>
        <v>部内間接経費</v>
      </c>
      <c r="D97" s="243" t="str">
        <f>IF(C97="","",VLOOKUP($B97,勘定科目!$A:$E,4,0))</f>
        <v>部内間接経費</v>
      </c>
      <c r="E97" s="245"/>
      <c r="F97" s="194"/>
      <c r="G97" s="247"/>
      <c r="H97" s="247"/>
      <c r="I97" s="307"/>
      <c r="J97" s="307"/>
      <c r="K97" s="307"/>
      <c r="L97" s="307"/>
      <c r="M97" s="307"/>
      <c r="N97" s="307"/>
      <c r="O97" s="307"/>
      <c r="P97" s="307"/>
      <c r="Q97" s="307"/>
      <c r="R97" s="200">
        <f t="shared" si="8"/>
        <v>0</v>
      </c>
      <c r="S97" s="201"/>
      <c r="T97" s="202"/>
      <c r="U97" s="246"/>
      <c r="V97" s="246"/>
      <c r="W97" s="246"/>
      <c r="BA97"/>
      <c r="BB97"/>
    </row>
    <row r="98" spans="1:54" s="191" customFormat="1" ht="13.5">
      <c r="A98" s="226"/>
      <c r="B98" s="180"/>
      <c r="C98" s="242" t="str">
        <f>IFERROR(IF(VLOOKUP($B98,勘定科目!$A:$H,HLOOKUP($E$5,勘定科目!$F$1:$H$2,2,0),0)="","",VLOOKUP($B98,勘定科目!$A:$E,2,0)),"")</f>
        <v/>
      </c>
      <c r="D98" s="243" t="str">
        <f>IF(C98="","",VLOOKUP($B98,勘定科目!$A:$E,4,0))</f>
        <v/>
      </c>
      <c r="E98" s="245"/>
      <c r="F98" s="194"/>
      <c r="G98" s="247"/>
      <c r="H98" s="247"/>
      <c r="I98" s="307"/>
      <c r="J98" s="307"/>
      <c r="K98" s="307"/>
      <c r="L98" s="307"/>
      <c r="M98" s="307"/>
      <c r="N98" s="307"/>
      <c r="O98" s="307"/>
      <c r="P98" s="307"/>
      <c r="Q98" s="307"/>
      <c r="R98" s="200">
        <f t="shared" si="8"/>
        <v>0</v>
      </c>
      <c r="S98" s="201"/>
      <c r="T98" s="202"/>
      <c r="U98" s="246"/>
      <c r="V98" s="246"/>
      <c r="W98" s="246"/>
      <c r="BA98"/>
      <c r="BB98"/>
    </row>
    <row r="99" spans="1:54" s="191" customFormat="1" ht="13.5">
      <c r="A99" s="226"/>
      <c r="B99" s="180">
        <v>5005136281</v>
      </c>
      <c r="C99" s="242" t="str">
        <f>IFERROR(IF(VLOOKUP($B99,勘定科目!$A:$H,HLOOKUP($E$5,勘定科目!$F$1:$H$2,2,0),0)="","",VLOOKUP($B99,勘定科目!$A:$E,2,0)),"")</f>
        <v>通信費（製）</v>
      </c>
      <c r="D99" s="243" t="str">
        <f>IF(C99="","",VLOOKUP($B99,勘定科目!$A:$E,4,0))</f>
        <v>通信費</v>
      </c>
      <c r="E99" s="245"/>
      <c r="F99" s="194"/>
      <c r="G99" s="194"/>
      <c r="H99" s="194"/>
      <c r="I99" s="307"/>
      <c r="J99" s="307"/>
      <c r="K99" s="307"/>
      <c r="L99" s="307"/>
      <c r="M99" s="307"/>
      <c r="N99" s="307"/>
      <c r="O99" s="307"/>
      <c r="P99" s="307"/>
      <c r="Q99" s="307"/>
      <c r="R99" s="200">
        <f t="shared" si="8"/>
        <v>0</v>
      </c>
      <c r="S99" s="300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5005136281</v>
      </c>
      <c r="C100" s="242" t="str">
        <f>IFERROR(IF(VLOOKUP($B100,勘定科目!$A:$H,HLOOKUP($E$5,勘定科目!$F$1:$H$2,2,0),0)="","",VLOOKUP($B100,勘定科目!$A:$E,2,0)),"")</f>
        <v>通信費（製）</v>
      </c>
      <c r="D100" s="243" t="str">
        <f>IF(C100="","",VLOOKUP($B100,勘定科目!$A:$E,4,0))</f>
        <v>通信費</v>
      </c>
      <c r="E100" s="245"/>
      <c r="F100" s="194"/>
      <c r="G100" s="194"/>
      <c r="H100" s="194"/>
      <c r="I100" s="307"/>
      <c r="J100" s="307"/>
      <c r="K100" s="307"/>
      <c r="L100" s="307"/>
      <c r="M100" s="307"/>
      <c r="N100" s="307"/>
      <c r="O100" s="307"/>
      <c r="P100" s="307"/>
      <c r="Q100" s="307"/>
      <c r="R100" s="200">
        <f t="shared" si="8"/>
        <v>0</v>
      </c>
      <c r="S100" s="300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>
        <v>5005246282</v>
      </c>
      <c r="C101" s="242" t="str">
        <f>IFERROR(IF(VLOOKUP($B101,勘定科目!$A:$H,HLOOKUP($E$5,勘定科目!$F$1:$H$2,2,0),0)="","",VLOOKUP($B101,勘定科目!$A:$E,2,0)),"")</f>
        <v>ＫＤＣシステム使用料（製）</v>
      </c>
      <c r="D101" s="243" t="str">
        <f>IF(C101="","",VLOOKUP($B101,勘定科目!$A:$E,4,0))</f>
        <v>図書及び事務費</v>
      </c>
      <c r="E101" s="245"/>
      <c r="F101" s="194"/>
      <c r="G101" s="194"/>
      <c r="H101" s="194"/>
      <c r="I101" s="307"/>
      <c r="J101" s="307"/>
      <c r="K101" s="307"/>
      <c r="L101" s="307"/>
      <c r="M101" s="307"/>
      <c r="N101" s="307"/>
      <c r="O101" s="307"/>
      <c r="P101" s="307"/>
      <c r="Q101" s="307"/>
      <c r="R101" s="200">
        <f t="shared" si="8"/>
        <v>0</v>
      </c>
      <c r="S101" s="300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>
        <v>5005246283</v>
      </c>
      <c r="C102" s="242" t="str">
        <f>IFERROR(IF(VLOOKUP($B102,勘定科目!$A:$H,HLOOKUP($E$5,勘定科目!$F$1:$H$2,2,0),0)="","",VLOOKUP($B102,勘定科目!$A:$E,2,0)),"")</f>
        <v>ライセンス料（製）</v>
      </c>
      <c r="D102" s="243" t="str">
        <f>IF(C102="","",VLOOKUP($B102,勘定科目!$A:$E,4,0))</f>
        <v>図書及び事務費</v>
      </c>
      <c r="E102" s="245"/>
      <c r="F102" s="194"/>
      <c r="G102" s="194"/>
      <c r="H102" s="194"/>
      <c r="I102" s="307"/>
      <c r="J102" s="307"/>
      <c r="K102" s="307"/>
      <c r="L102" s="307"/>
      <c r="M102" s="307"/>
      <c r="N102" s="307"/>
      <c r="O102" s="307"/>
      <c r="P102" s="307"/>
      <c r="Q102" s="307"/>
      <c r="R102" s="200">
        <f t="shared" si="8"/>
        <v>0</v>
      </c>
      <c r="S102" s="300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>
        <v>5006016260</v>
      </c>
      <c r="C103" s="242" t="str">
        <f>IFERROR(IF(VLOOKUP($B103,勘定科目!$A:$H,HLOOKUP($E$5,勘定科目!$F$1:$H$2,2,0),0)="","",VLOOKUP($B103,勘定科目!$A:$E,2,0)),"")</f>
        <v>減価償却費配賦（製）　建物</v>
      </c>
      <c r="D103" s="243" t="str">
        <f>IF(C103="","",VLOOKUP($B103,勘定科目!$A:$E,4,0))</f>
        <v>減価償却費</v>
      </c>
      <c r="E103" s="245"/>
      <c r="F103" s="194"/>
      <c r="G103" s="194"/>
      <c r="H103" s="194"/>
      <c r="I103" s="307"/>
      <c r="J103" s="307"/>
      <c r="K103" s="307"/>
      <c r="L103" s="307"/>
      <c r="M103" s="307"/>
      <c r="N103" s="307"/>
      <c r="O103" s="307"/>
      <c r="P103" s="307"/>
      <c r="Q103" s="307"/>
      <c r="R103" s="200">
        <f t="shared" si="8"/>
        <v>0</v>
      </c>
      <c r="S103" s="300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5006016261</v>
      </c>
      <c r="C104" s="242" t="str">
        <f>IFERROR(IF(VLOOKUP($B104,勘定科目!$A:$H,HLOOKUP($E$5,勘定科目!$F$1:$H$2,2,0),0)="","",VLOOKUP($B104,勘定科目!$A:$E,2,0)),"")</f>
        <v>減価償却費配賦（製）　土地使用権</v>
      </c>
      <c r="D104" s="243" t="str">
        <f>IF(C104="","",VLOOKUP($B104,勘定科目!$A:$E,4,0))</f>
        <v>減価償却費</v>
      </c>
      <c r="E104" s="245"/>
      <c r="F104" s="194"/>
      <c r="G104" s="194"/>
      <c r="H104" s="194"/>
      <c r="I104" s="307"/>
      <c r="J104" s="307"/>
      <c r="K104" s="307"/>
      <c r="L104" s="307"/>
      <c r="M104" s="307"/>
      <c r="N104" s="307"/>
      <c r="O104" s="307"/>
      <c r="P104" s="307"/>
      <c r="Q104" s="307"/>
      <c r="R104" s="200">
        <f t="shared" si="8"/>
        <v>0</v>
      </c>
      <c r="S104" s="300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>
        <v>9114120007</v>
      </c>
      <c r="C105" s="242" t="str">
        <f>IFERROR(IF(VLOOKUP($B105,勘定科目!$A:$H,HLOOKUP($E$5,勘定科目!$F$1:$H$2,2,0),0)="","",VLOOKUP($B105,勘定科目!$A:$E,2,0)),"")</f>
        <v>社内金利（固定資産）</v>
      </c>
      <c r="D105" s="243" t="str">
        <f>IF(C105="","",VLOOKUP($B105,勘定科目!$A:$E,4,0))</f>
        <v>固定資産金利</v>
      </c>
      <c r="E105" s="245"/>
      <c r="F105" s="194"/>
      <c r="G105" s="194"/>
      <c r="H105" s="194"/>
      <c r="I105" s="307"/>
      <c r="J105" s="307"/>
      <c r="K105" s="307"/>
      <c r="L105" s="307"/>
      <c r="M105" s="307"/>
      <c r="N105" s="307"/>
      <c r="O105" s="307"/>
      <c r="P105" s="307"/>
      <c r="Q105" s="307"/>
      <c r="R105" s="200">
        <f t="shared" si="8"/>
        <v>0</v>
      </c>
      <c r="S105" s="300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9114120007</v>
      </c>
      <c r="C106" s="242" t="str">
        <f>IFERROR(IF(VLOOKUP($B106,勘定科目!$A:$H,HLOOKUP($E$5,勘定科目!$F$1:$H$2,2,0),0)="","",VLOOKUP($B106,勘定科目!$A:$E,2,0)),"")</f>
        <v>社内金利（固定資産）</v>
      </c>
      <c r="D106" s="243" t="str">
        <f>IF(C106="","",VLOOKUP($B106,勘定科目!$A:$E,4,0))</f>
        <v>固定資産金利</v>
      </c>
      <c r="E106" s="245"/>
      <c r="F106" s="194"/>
      <c r="G106" s="194"/>
      <c r="H106" s="194"/>
      <c r="I106" s="307"/>
      <c r="J106" s="307"/>
      <c r="K106" s="307"/>
      <c r="L106" s="307"/>
      <c r="M106" s="307"/>
      <c r="N106" s="307"/>
      <c r="O106" s="307"/>
      <c r="P106" s="307"/>
      <c r="Q106" s="307"/>
      <c r="R106" s="200">
        <f t="shared" si="8"/>
        <v>0</v>
      </c>
      <c r="S106" s="300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>
        <v>5005066281</v>
      </c>
      <c r="C107" s="242" t="str">
        <f>IFERROR(IF(VLOOKUP($B107,勘定科目!$A:$H,HLOOKUP($E$5,勘定科目!$F$1:$H$2,2,0),0)="","",VLOOKUP($B107,勘定科目!$A:$E,2,0)),"")</f>
        <v>電気代（製）</v>
      </c>
      <c r="D107" s="243" t="str">
        <f>IF(C107="","",VLOOKUP($B107,勘定科目!$A:$E,4,0))</f>
        <v>水道光熱費</v>
      </c>
      <c r="E107" s="245"/>
      <c r="F107" s="194"/>
      <c r="G107" s="194"/>
      <c r="H107" s="194"/>
      <c r="I107" s="307"/>
      <c r="J107" s="307"/>
      <c r="K107" s="307"/>
      <c r="L107" s="307"/>
      <c r="M107" s="307"/>
      <c r="N107" s="307"/>
      <c r="O107" s="307"/>
      <c r="P107" s="307"/>
      <c r="Q107" s="307"/>
      <c r="R107" s="200">
        <f t="shared" si="8"/>
        <v>0</v>
      </c>
      <c r="S107" s="300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>
        <v>5005066282</v>
      </c>
      <c r="C108" s="242" t="str">
        <f>IFERROR(IF(VLOOKUP($B108,勘定科目!$A:$H,HLOOKUP($E$5,勘定科目!$F$1:$H$2,2,0),0)="","",VLOOKUP($B108,勘定科目!$A:$E,2,0)),"")</f>
        <v>水道代（製）</v>
      </c>
      <c r="D108" s="243" t="str">
        <f>IF(C108="","",VLOOKUP($B108,勘定科目!$A:$E,4,0))</f>
        <v>水道光熱費</v>
      </c>
      <c r="E108" s="245"/>
      <c r="F108" s="194"/>
      <c r="G108" s="194"/>
      <c r="H108" s="194"/>
      <c r="I108" s="307"/>
      <c r="J108" s="307"/>
      <c r="K108" s="307"/>
      <c r="L108" s="307"/>
      <c r="M108" s="307"/>
      <c r="N108" s="307"/>
      <c r="O108" s="307"/>
      <c r="P108" s="307"/>
      <c r="Q108" s="307"/>
      <c r="R108" s="200">
        <f t="shared" si="8"/>
        <v>0</v>
      </c>
      <c r="S108" s="300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>
        <v>5005056281</v>
      </c>
      <c r="C109" s="242" t="str">
        <f>IFERROR(IF(VLOOKUP($B109,勘定科目!$A:$H,HLOOKUP($E$5,勘定科目!$F$1:$H$2,2,0),0)="","",VLOOKUP($B109,勘定科目!$A:$E,2,0)),"")</f>
        <v>ガス代（製）</v>
      </c>
      <c r="D109" s="243" t="str">
        <f>IF(C109="","",VLOOKUP($B109,勘定科目!$A:$E,4,0))</f>
        <v>水道光熱費</v>
      </c>
      <c r="E109" s="245"/>
      <c r="F109" s="194"/>
      <c r="G109" s="194"/>
      <c r="H109" s="194"/>
      <c r="I109" s="307"/>
      <c r="J109" s="307"/>
      <c r="K109" s="307"/>
      <c r="L109" s="307"/>
      <c r="M109" s="307"/>
      <c r="N109" s="307"/>
      <c r="O109" s="307"/>
      <c r="P109" s="307"/>
      <c r="Q109" s="307"/>
      <c r="R109" s="200">
        <f t="shared" si="8"/>
        <v>0</v>
      </c>
      <c r="S109" s="300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>
        <v>5005016372</v>
      </c>
      <c r="C110" s="242" t="str">
        <f>IFERROR(IF(VLOOKUP($B110,勘定科目!$A:$H,HLOOKUP($E$5,勘定科目!$F$1:$H$2,2,0),0)="","",VLOOKUP($B110,勘定科目!$A:$E,2,0)),"")</f>
        <v>その他消耗品（製）</v>
      </c>
      <c r="D110" s="243" t="str">
        <f>IF(C110="","",VLOOKUP($B110,勘定科目!$A:$E,4,0))</f>
        <v>消耗品費</v>
      </c>
      <c r="E110" s="245"/>
      <c r="F110" s="194"/>
      <c r="G110" s="194"/>
      <c r="H110" s="194"/>
      <c r="I110" s="307"/>
      <c r="J110" s="307"/>
      <c r="K110" s="307"/>
      <c r="L110" s="307"/>
      <c r="M110" s="307"/>
      <c r="N110" s="307"/>
      <c r="O110" s="307"/>
      <c r="P110" s="307"/>
      <c r="Q110" s="307"/>
      <c r="R110" s="200">
        <f t="shared" si="8"/>
        <v>0</v>
      </c>
      <c r="S110" s="300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>
        <v>5005016372</v>
      </c>
      <c r="C111" s="242" t="str">
        <f>IFERROR(IF(VLOOKUP($B111,勘定科目!$A:$H,HLOOKUP($E$5,勘定科目!$F$1:$H$2,2,0),0)="","",VLOOKUP($B111,勘定科目!$A:$E,2,0)),"")</f>
        <v>その他消耗品（製）</v>
      </c>
      <c r="D111" s="243" t="str">
        <f>IF(C111="","",VLOOKUP($B111,勘定科目!$A:$E,4,0))</f>
        <v>消耗品費</v>
      </c>
      <c r="E111" s="245"/>
      <c r="F111" s="194"/>
      <c r="G111" s="194"/>
      <c r="H111" s="194"/>
      <c r="I111" s="307"/>
      <c r="J111" s="307"/>
      <c r="K111" s="307"/>
      <c r="L111" s="307"/>
      <c r="M111" s="307"/>
      <c r="N111" s="307"/>
      <c r="O111" s="307"/>
      <c r="P111" s="307"/>
      <c r="Q111" s="307"/>
      <c r="R111" s="200">
        <f t="shared" si="8"/>
        <v>0</v>
      </c>
      <c r="S111" s="300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>
        <v>5005016372</v>
      </c>
      <c r="C112" s="242" t="str">
        <f>IFERROR(IF(VLOOKUP($B112,勘定科目!$A:$H,HLOOKUP($E$5,勘定科目!$F$1:$H$2,2,0),0)="","",VLOOKUP($B112,勘定科目!$A:$E,2,0)),"")</f>
        <v>その他消耗品（製）</v>
      </c>
      <c r="D112" s="243" t="str">
        <f>IF(C112="","",VLOOKUP($B112,勘定科目!$A:$E,4,0))</f>
        <v>消耗品費</v>
      </c>
      <c r="E112" s="245"/>
      <c r="F112" s="194"/>
      <c r="G112" s="194"/>
      <c r="H112" s="194"/>
      <c r="I112" s="307"/>
      <c r="J112" s="307"/>
      <c r="K112" s="307"/>
      <c r="L112" s="307"/>
      <c r="M112" s="307"/>
      <c r="N112" s="307"/>
      <c r="O112" s="307"/>
      <c r="P112" s="307"/>
      <c r="Q112" s="307"/>
      <c r="R112" s="200">
        <f t="shared" si="8"/>
        <v>0</v>
      </c>
      <c r="S112" s="300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>
        <v>5005246286</v>
      </c>
      <c r="C113" s="242" t="str">
        <f>IFERROR(IF(VLOOKUP($B113,勘定科目!$A:$H,HLOOKUP($E$5,勘定科目!$F$1:$H$2,2,0),0)="","",VLOOKUP($B113,勘定科目!$A:$E,2,0)),"")</f>
        <v>その他手数料（製）</v>
      </c>
      <c r="D113" s="243" t="str">
        <f>IF(C113="","",VLOOKUP($B113,勘定科目!$A:$E,4,0))</f>
        <v>手数料</v>
      </c>
      <c r="E113" s="245"/>
      <c r="F113" s="194"/>
      <c r="G113" s="194"/>
      <c r="H113" s="194"/>
      <c r="I113" s="307"/>
      <c r="J113" s="307"/>
      <c r="K113" s="307"/>
      <c r="L113" s="307"/>
      <c r="M113" s="307"/>
      <c r="N113" s="307"/>
      <c r="O113" s="307"/>
      <c r="P113" s="307"/>
      <c r="Q113" s="307"/>
      <c r="R113" s="200">
        <f t="shared" si="8"/>
        <v>0</v>
      </c>
      <c r="S113" s="300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>
        <v>5005246281</v>
      </c>
      <c r="C114" s="242" t="str">
        <f>IFERROR(IF(VLOOKUP($B114,勘定科目!$A:$H,HLOOKUP($E$5,勘定科目!$F$1:$H$2,2,0),0)="","",VLOOKUP($B114,勘定科目!$A:$E,2,0)),"")</f>
        <v>図書印刷費（製）</v>
      </c>
      <c r="D114" s="243" t="str">
        <f>IF(C114="","",VLOOKUP($B114,勘定科目!$A:$E,4,0))</f>
        <v>図書及び事務費</v>
      </c>
      <c r="E114" s="245"/>
      <c r="F114" s="194"/>
      <c r="G114" s="194"/>
      <c r="H114" s="194"/>
      <c r="I114" s="307"/>
      <c r="J114" s="307"/>
      <c r="K114" s="307"/>
      <c r="L114" s="307"/>
      <c r="M114" s="307"/>
      <c r="N114" s="307"/>
      <c r="O114" s="307"/>
      <c r="P114" s="307"/>
      <c r="Q114" s="307"/>
      <c r="R114" s="200">
        <f t="shared" si="8"/>
        <v>0</v>
      </c>
      <c r="S114" s="300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>
        <v>5005246288</v>
      </c>
      <c r="C115" s="242" t="str">
        <f>IFERROR(IF(VLOOKUP($B115,勘定科目!$A:$H,HLOOKUP($E$5,勘定科目!$F$1:$H$2,2,0),0)="","",VLOOKUP($B115,勘定科目!$A:$E,2,0)),"")</f>
        <v>事務用品費（製）</v>
      </c>
      <c r="D115" s="243" t="str">
        <f>IF(C115="","",VLOOKUP($B115,勘定科目!$A:$E,4,0))</f>
        <v>図書及び事務費</v>
      </c>
      <c r="E115" s="245"/>
      <c r="F115" s="194"/>
      <c r="G115" s="194"/>
      <c r="H115" s="194"/>
      <c r="I115" s="307"/>
      <c r="J115" s="307"/>
      <c r="K115" s="307"/>
      <c r="L115" s="307"/>
      <c r="M115" s="307"/>
      <c r="N115" s="307"/>
      <c r="O115" s="307"/>
      <c r="P115" s="307"/>
      <c r="Q115" s="307"/>
      <c r="R115" s="200">
        <f t="shared" si="8"/>
        <v>0</v>
      </c>
      <c r="S115" s="300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>
        <v>5005246288</v>
      </c>
      <c r="C116" s="242" t="str">
        <f>IFERROR(IF(VLOOKUP($B116,勘定科目!$A:$H,HLOOKUP($E$5,勘定科目!$F$1:$H$2,2,0),0)="","",VLOOKUP($B116,勘定科目!$A:$E,2,0)),"")</f>
        <v>事務用品費（製）</v>
      </c>
      <c r="D116" s="243" t="str">
        <f>IF(C116="","",VLOOKUP($B116,勘定科目!$A:$E,4,0))</f>
        <v>図書及び事務費</v>
      </c>
      <c r="E116" s="245"/>
      <c r="F116" s="194"/>
      <c r="G116" s="194"/>
      <c r="H116" s="194"/>
      <c r="I116" s="307"/>
      <c r="J116" s="307"/>
      <c r="K116" s="307"/>
      <c r="L116" s="307"/>
      <c r="M116" s="307"/>
      <c r="N116" s="307"/>
      <c r="O116" s="307"/>
      <c r="P116" s="307"/>
      <c r="Q116" s="307"/>
      <c r="R116" s="200">
        <f t="shared" si="8"/>
        <v>0</v>
      </c>
      <c r="S116" s="300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>
        <v>5005246281</v>
      </c>
      <c r="C117" s="242" t="str">
        <f>IFERROR(IF(VLOOKUP($B117,勘定科目!$A:$H,HLOOKUP($E$5,勘定科目!$F$1:$H$2,2,0),0)="","",VLOOKUP($B117,勘定科目!$A:$E,2,0)),"")</f>
        <v>図書印刷費（製）</v>
      </c>
      <c r="D117" s="243" t="str">
        <f>IF(C117="","",VLOOKUP($B117,勘定科目!$A:$E,4,0))</f>
        <v>図書及び事務費</v>
      </c>
      <c r="E117" s="245"/>
      <c r="F117" s="194"/>
      <c r="G117" s="194"/>
      <c r="H117" s="194"/>
      <c r="I117" s="307"/>
      <c r="J117" s="307"/>
      <c r="K117" s="307"/>
      <c r="L117" s="307"/>
      <c r="M117" s="307"/>
      <c r="N117" s="307"/>
      <c r="O117" s="307"/>
      <c r="P117" s="307"/>
      <c r="Q117" s="307"/>
      <c r="R117" s="200">
        <f t="shared" si="8"/>
        <v>0</v>
      </c>
      <c r="S117" s="300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>
        <v>5005246281</v>
      </c>
      <c r="C118" s="242" t="str">
        <f>IFERROR(IF(VLOOKUP($B118,勘定科目!$A:$H,HLOOKUP($E$5,勘定科目!$F$1:$H$2,2,0),0)="","",VLOOKUP($B118,勘定科目!$A:$E,2,0)),"")</f>
        <v>図書印刷費（製）</v>
      </c>
      <c r="D118" s="243" t="str">
        <f>IF(C118="","",VLOOKUP($B118,勘定科目!$A:$E,4,0))</f>
        <v>図書及び事務費</v>
      </c>
      <c r="E118" s="245"/>
      <c r="F118" s="194"/>
      <c r="G118" s="194"/>
      <c r="H118" s="194"/>
      <c r="I118" s="307"/>
      <c r="J118" s="307"/>
      <c r="K118" s="307"/>
      <c r="L118" s="307"/>
      <c r="M118" s="307"/>
      <c r="N118" s="307"/>
      <c r="O118" s="307"/>
      <c r="P118" s="307"/>
      <c r="Q118" s="307"/>
      <c r="R118" s="200">
        <f t="shared" si="8"/>
        <v>0</v>
      </c>
      <c r="S118" s="300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>
        <v>5005116291</v>
      </c>
      <c r="C119" s="242" t="str">
        <f>IFERROR(IF(VLOOKUP($B119,勘定科目!$A:$H,HLOOKUP($E$5,勘定科目!$F$1:$H$2,2,0),0)="","",VLOOKUP($B119,勘定科目!$A:$E,2,0)),"")</f>
        <v>ベトナム国内交通費（製）</v>
      </c>
      <c r="D119" s="243" t="str">
        <f>IF(C119="","",VLOOKUP($B119,勘定科目!$A:$E,4,0))</f>
        <v>旅費交通費</v>
      </c>
      <c r="E119" s="245"/>
      <c r="F119" s="194"/>
      <c r="G119" s="194"/>
      <c r="H119" s="194"/>
      <c r="I119" s="307"/>
      <c r="J119" s="307"/>
      <c r="K119" s="307"/>
      <c r="L119" s="307"/>
      <c r="M119" s="307"/>
      <c r="N119" s="307"/>
      <c r="O119" s="307"/>
      <c r="P119" s="307"/>
      <c r="Q119" s="307"/>
      <c r="R119" s="200">
        <f t="shared" si="8"/>
        <v>0</v>
      </c>
      <c r="S119" s="300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>
        <v>5005116291</v>
      </c>
      <c r="C120" s="242" t="str">
        <f>IFERROR(IF(VLOOKUP($B120,勘定科目!$A:$H,HLOOKUP($E$5,勘定科目!$F$1:$H$2,2,0),0)="","",VLOOKUP($B120,勘定科目!$A:$E,2,0)),"")</f>
        <v>ベトナム国内交通費（製）</v>
      </c>
      <c r="D120" s="243" t="str">
        <f>IF(C120="","",VLOOKUP($B120,勘定科目!$A:$E,4,0))</f>
        <v>旅費交通費</v>
      </c>
      <c r="E120" s="245"/>
      <c r="F120" s="194"/>
      <c r="G120" s="194"/>
      <c r="H120" s="194"/>
      <c r="I120" s="307"/>
      <c r="J120" s="307"/>
      <c r="K120" s="307"/>
      <c r="L120" s="307"/>
      <c r="M120" s="307"/>
      <c r="N120" s="307"/>
      <c r="O120" s="307"/>
      <c r="P120" s="307"/>
      <c r="Q120" s="307"/>
      <c r="R120" s="200">
        <f>SUM(F120:Q120)</f>
        <v>0</v>
      </c>
      <c r="S120" s="300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>
        <v>5004086291</v>
      </c>
      <c r="C121" s="242" t="str">
        <f>IFERROR(IF(VLOOKUP($B121,勘定科目!$A:$H,HLOOKUP($E$5,勘定科目!$F$1:$H$2,2,0),0)="","",VLOOKUP($B121,勘定科目!$A:$E,2,0)),"")</f>
        <v>福利厚生費（製）</v>
      </c>
      <c r="D121" s="243" t="str">
        <f>IF(C121="","",VLOOKUP($B121,勘定科目!$A:$E,4,0))</f>
        <v>福利厚生費</v>
      </c>
      <c r="E121" s="245"/>
      <c r="F121" s="194"/>
      <c r="G121" s="194"/>
      <c r="H121" s="194"/>
      <c r="I121" s="307"/>
      <c r="J121" s="307"/>
      <c r="K121" s="307"/>
      <c r="L121" s="307"/>
      <c r="M121" s="307"/>
      <c r="N121" s="307"/>
      <c r="O121" s="307"/>
      <c r="P121" s="307"/>
      <c r="Q121" s="307"/>
      <c r="R121" s="200">
        <f t="shared" ref="R121:R167" si="9">SUM(F121:Q121)</f>
        <v>0</v>
      </c>
      <c r="S121" s="300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>
        <v>5004086291</v>
      </c>
      <c r="C122" s="183" t="str">
        <f>IFERROR(IF(VLOOKUP($B122,勘定科目!$A:$H,HLOOKUP($E$5,勘定科目!$F$1:$H$2,2,0),0)="","",VLOOKUP($B122,勘定科目!$A:$E,2,0)),"")</f>
        <v>福利厚生費（製）</v>
      </c>
      <c r="D122" s="239" t="str">
        <f>IF(C122="","",VLOOKUP($B122,勘定科目!$A:$E,4,0))</f>
        <v>福利厚生費</v>
      </c>
      <c r="E122" s="245"/>
      <c r="F122" s="194"/>
      <c r="G122" s="194"/>
      <c r="H122" s="194"/>
      <c r="I122" s="307"/>
      <c r="J122" s="307"/>
      <c r="K122" s="307"/>
      <c r="L122" s="307"/>
      <c r="M122" s="307"/>
      <c r="N122" s="307"/>
      <c r="O122" s="307"/>
      <c r="P122" s="307"/>
      <c r="Q122" s="307"/>
      <c r="R122" s="200">
        <f t="shared" si="9"/>
        <v>0</v>
      </c>
      <c r="S122" s="300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>
        <v>5004086291</v>
      </c>
      <c r="C123" s="183" t="str">
        <f>IFERROR(IF(VLOOKUP($B123,勘定科目!$A:$H,HLOOKUP($E$5,勘定科目!$F$1:$H$2,2,0),0)="","",VLOOKUP($B123,勘定科目!$A:$E,2,0)),"")</f>
        <v>福利厚生費（製）</v>
      </c>
      <c r="D123" s="239" t="str">
        <f>IF(C123="","",VLOOKUP($B123,勘定科目!$A:$E,4,0))</f>
        <v>福利厚生費</v>
      </c>
      <c r="E123" s="245"/>
      <c r="F123" s="194"/>
      <c r="G123" s="194"/>
      <c r="H123" s="194"/>
      <c r="I123" s="307"/>
      <c r="J123" s="307"/>
      <c r="K123" s="307"/>
      <c r="L123" s="307"/>
      <c r="M123" s="307"/>
      <c r="N123" s="307"/>
      <c r="O123" s="307"/>
      <c r="P123" s="307"/>
      <c r="Q123" s="307"/>
      <c r="R123" s="200">
        <f t="shared" si="9"/>
        <v>0</v>
      </c>
      <c r="S123" s="300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>
        <v>5004086291</v>
      </c>
      <c r="C124" s="183" t="str">
        <f>IFERROR(IF(VLOOKUP($B124,勘定科目!$A:$H,HLOOKUP($E$5,勘定科目!$F$1:$H$2,2,0),0)="","",VLOOKUP($B124,勘定科目!$A:$E,2,0)),"")</f>
        <v>福利厚生費（製）</v>
      </c>
      <c r="D124" s="239" t="str">
        <f>IF(C124="","",VLOOKUP($B124,勘定科目!$A:$E,4,0))</f>
        <v>福利厚生費</v>
      </c>
      <c r="E124" s="245"/>
      <c r="F124" s="194"/>
      <c r="G124" s="194"/>
      <c r="H124" s="194"/>
      <c r="I124" s="307"/>
      <c r="J124" s="307"/>
      <c r="K124" s="307"/>
      <c r="L124" s="307"/>
      <c r="M124" s="307"/>
      <c r="N124" s="307"/>
      <c r="O124" s="307"/>
      <c r="P124" s="307"/>
      <c r="Q124" s="307"/>
      <c r="R124" s="200">
        <f t="shared" si="9"/>
        <v>0</v>
      </c>
      <c r="S124" s="300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>
        <v>5004086291</v>
      </c>
      <c r="C125" s="183" t="str">
        <f>IFERROR(IF(VLOOKUP($B125,勘定科目!$A:$H,HLOOKUP($E$5,勘定科目!$F$1:$H$2,2,0),0)="","",VLOOKUP($B125,勘定科目!$A:$E,2,0)),"")</f>
        <v>福利厚生費（製）</v>
      </c>
      <c r="D125" s="239" t="str">
        <f>IF(C125="","",VLOOKUP($B125,勘定科目!$A:$E,4,0))</f>
        <v>福利厚生費</v>
      </c>
      <c r="E125" s="245"/>
      <c r="F125" s="194"/>
      <c r="G125" s="194"/>
      <c r="H125" s="194"/>
      <c r="I125" s="307"/>
      <c r="J125" s="307"/>
      <c r="K125" s="307"/>
      <c r="L125" s="307"/>
      <c r="M125" s="307"/>
      <c r="N125" s="307"/>
      <c r="O125" s="307"/>
      <c r="P125" s="307"/>
      <c r="Q125" s="307"/>
      <c r="R125" s="200">
        <f t="shared" si="9"/>
        <v>0</v>
      </c>
      <c r="S125" s="300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>
        <v>5004086291</v>
      </c>
      <c r="C126" s="183" t="str">
        <f>IFERROR(IF(VLOOKUP($B126,勘定科目!$A:$H,HLOOKUP($E$5,勘定科目!$F$1:$H$2,2,0),0)="","",VLOOKUP($B126,勘定科目!$A:$E,2,0)),"")</f>
        <v>福利厚生費（製）</v>
      </c>
      <c r="D126" s="239" t="str">
        <f>IF(C126="","",VLOOKUP($B126,勘定科目!$A:$E,4,0))</f>
        <v>福利厚生費</v>
      </c>
      <c r="E126" s="245"/>
      <c r="F126" s="194"/>
      <c r="G126" s="194"/>
      <c r="H126" s="194"/>
      <c r="I126" s="307"/>
      <c r="J126" s="307"/>
      <c r="K126" s="307"/>
      <c r="L126" s="307"/>
      <c r="M126" s="307"/>
      <c r="N126" s="307"/>
      <c r="O126" s="307"/>
      <c r="P126" s="307"/>
      <c r="Q126" s="307"/>
      <c r="R126" s="200">
        <f t="shared" si="9"/>
        <v>0</v>
      </c>
      <c r="S126" s="300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>
        <v>5004086291</v>
      </c>
      <c r="C127" s="183" t="str">
        <f>IFERROR(IF(VLOOKUP($B127,勘定科目!$A:$H,HLOOKUP($E$5,勘定科目!$F$1:$H$2,2,0),0)="","",VLOOKUP($B127,勘定科目!$A:$E,2,0)),"")</f>
        <v>福利厚生費（製）</v>
      </c>
      <c r="D127" s="239" t="str">
        <f>IF(C127="","",VLOOKUP($B127,勘定科目!$A:$E,4,0))</f>
        <v>福利厚生費</v>
      </c>
      <c r="E127" s="245"/>
      <c r="F127" s="194"/>
      <c r="G127" s="194"/>
      <c r="H127" s="194"/>
      <c r="I127" s="307"/>
      <c r="J127" s="307"/>
      <c r="K127" s="307"/>
      <c r="L127" s="307"/>
      <c r="M127" s="307"/>
      <c r="N127" s="307"/>
      <c r="O127" s="307"/>
      <c r="P127" s="307"/>
      <c r="Q127" s="307"/>
      <c r="R127" s="200">
        <f t="shared" si="9"/>
        <v>0</v>
      </c>
      <c r="S127" s="300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>
        <v>5004086291</v>
      </c>
      <c r="C128" s="183" t="str">
        <f>IFERROR(IF(VLOOKUP($B128,勘定科目!$A:$H,HLOOKUP($E$5,勘定科目!$F$1:$H$2,2,0),0)="","",VLOOKUP($B128,勘定科目!$A:$E,2,0)),"")</f>
        <v>福利厚生費（製）</v>
      </c>
      <c r="D128" s="239" t="str">
        <f>IF(C128="","",VLOOKUP($B128,勘定科目!$A:$E,4,0))</f>
        <v>福利厚生費</v>
      </c>
      <c r="E128" s="245"/>
      <c r="F128" s="194"/>
      <c r="G128" s="194"/>
      <c r="H128" s="194"/>
      <c r="I128" s="307"/>
      <c r="J128" s="307"/>
      <c r="K128" s="307"/>
      <c r="L128" s="307"/>
      <c r="M128" s="307"/>
      <c r="N128" s="307"/>
      <c r="O128" s="307"/>
      <c r="P128" s="307"/>
      <c r="Q128" s="307"/>
      <c r="R128" s="200">
        <f t="shared" si="9"/>
        <v>0</v>
      </c>
      <c r="S128" s="300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>
        <v>5004086291</v>
      </c>
      <c r="C129" s="183" t="str">
        <f>IFERROR(IF(VLOOKUP($B129,勘定科目!$A:$H,HLOOKUP($E$5,勘定科目!$F$1:$H$2,2,0),0)="","",VLOOKUP($B129,勘定科目!$A:$E,2,0)),"")</f>
        <v>福利厚生費（製）</v>
      </c>
      <c r="D129" s="239" t="str">
        <f>IF(C129="","",VLOOKUP($B129,勘定科目!$A:$E,4,0))</f>
        <v>福利厚生費</v>
      </c>
      <c r="E129" s="245"/>
      <c r="F129" s="194"/>
      <c r="G129" s="194"/>
      <c r="H129" s="194"/>
      <c r="I129" s="307"/>
      <c r="J129" s="307"/>
      <c r="K129" s="307"/>
      <c r="L129" s="307"/>
      <c r="M129" s="307"/>
      <c r="N129" s="307"/>
      <c r="O129" s="307"/>
      <c r="P129" s="307"/>
      <c r="Q129" s="307"/>
      <c r="R129" s="200">
        <f t="shared" si="9"/>
        <v>0</v>
      </c>
      <c r="S129" s="300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>
        <v>5004086291</v>
      </c>
      <c r="C130" s="183" t="str">
        <f>IFERROR(IF(VLOOKUP($B130,勘定科目!$A:$H,HLOOKUP($E$5,勘定科目!$F$1:$H$2,2,0),0)="","",VLOOKUP($B130,勘定科目!$A:$E,2,0)),"")</f>
        <v>福利厚生費（製）</v>
      </c>
      <c r="D130" s="239" t="str">
        <f>IF(C130="","",VLOOKUP($B130,勘定科目!$A:$E,4,0))</f>
        <v>福利厚生費</v>
      </c>
      <c r="E130" s="245"/>
      <c r="F130" s="194"/>
      <c r="G130" s="194"/>
      <c r="H130" s="194"/>
      <c r="I130" s="307"/>
      <c r="J130" s="307"/>
      <c r="K130" s="307"/>
      <c r="L130" s="307"/>
      <c r="M130" s="307"/>
      <c r="N130" s="307"/>
      <c r="O130" s="307"/>
      <c r="P130" s="307"/>
      <c r="Q130" s="307"/>
      <c r="R130" s="200">
        <f t="shared" si="9"/>
        <v>0</v>
      </c>
      <c r="S130" s="300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>
        <v>5004086291</v>
      </c>
      <c r="C131" s="183" t="str">
        <f>IFERROR(IF(VLOOKUP($B131,勘定科目!$A:$H,HLOOKUP($E$5,勘定科目!$F$1:$H$2,2,0),0)="","",VLOOKUP($B131,勘定科目!$A:$E,2,0)),"")</f>
        <v>福利厚生費（製）</v>
      </c>
      <c r="D131" s="239" t="str">
        <f>IF(C131="","",VLOOKUP($B131,勘定科目!$A:$E,4,0))</f>
        <v>福利厚生費</v>
      </c>
      <c r="E131" s="245"/>
      <c r="F131" s="194"/>
      <c r="G131" s="194"/>
      <c r="H131" s="194"/>
      <c r="I131" s="307"/>
      <c r="J131" s="307"/>
      <c r="K131" s="307"/>
      <c r="L131" s="307"/>
      <c r="M131" s="307"/>
      <c r="N131" s="307"/>
      <c r="O131" s="307"/>
      <c r="P131" s="307"/>
      <c r="Q131" s="307"/>
      <c r="R131" s="200">
        <f t="shared" si="9"/>
        <v>0</v>
      </c>
      <c r="S131" s="300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>
        <v>5004086291</v>
      </c>
      <c r="C132" s="183" t="str">
        <f>IFERROR(IF(VLOOKUP($B132,勘定科目!$A:$H,HLOOKUP($E$5,勘定科目!$F$1:$H$2,2,0),0)="","",VLOOKUP($B132,勘定科目!$A:$E,2,0)),"")</f>
        <v>福利厚生費（製）</v>
      </c>
      <c r="D132" s="239" t="str">
        <f>IF(C132="","",VLOOKUP($B132,勘定科目!$A:$E,4,0))</f>
        <v>福利厚生費</v>
      </c>
      <c r="E132" s="245"/>
      <c r="F132" s="194"/>
      <c r="G132" s="194"/>
      <c r="H132" s="194"/>
      <c r="I132" s="307"/>
      <c r="J132" s="307"/>
      <c r="K132" s="307"/>
      <c r="L132" s="307"/>
      <c r="M132" s="307"/>
      <c r="N132" s="307"/>
      <c r="O132" s="307"/>
      <c r="P132" s="307"/>
      <c r="Q132" s="307"/>
      <c r="R132" s="200">
        <f t="shared" si="9"/>
        <v>0</v>
      </c>
      <c r="S132" s="300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>
        <v>5004086291</v>
      </c>
      <c r="C133" s="183" t="str">
        <f>IFERROR(IF(VLOOKUP($B133,勘定科目!$A:$H,HLOOKUP($E$5,勘定科目!$F$1:$H$2,2,0),0)="","",VLOOKUP($B133,勘定科目!$A:$E,2,0)),"")</f>
        <v>福利厚生費（製）</v>
      </c>
      <c r="D133" s="239" t="str">
        <f>IF(C133="","",VLOOKUP($B133,勘定科目!$A:$E,4,0))</f>
        <v>福利厚生費</v>
      </c>
      <c r="E133" s="245"/>
      <c r="F133" s="194"/>
      <c r="G133" s="194"/>
      <c r="H133" s="194"/>
      <c r="I133" s="307"/>
      <c r="J133" s="307"/>
      <c r="K133" s="307"/>
      <c r="L133" s="307"/>
      <c r="M133" s="307"/>
      <c r="N133" s="307"/>
      <c r="O133" s="307"/>
      <c r="P133" s="307"/>
      <c r="Q133" s="307"/>
      <c r="R133" s="200">
        <f t="shared" si="9"/>
        <v>0</v>
      </c>
      <c r="S133" s="300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>
        <v>5004086291</v>
      </c>
      <c r="C134" s="183" t="str">
        <f>IFERROR(IF(VLOOKUP($B134,勘定科目!$A:$H,HLOOKUP($E$5,勘定科目!$F$1:$H$2,2,0),0)="","",VLOOKUP($B134,勘定科目!$A:$E,2,0)),"")</f>
        <v>福利厚生費（製）</v>
      </c>
      <c r="D134" s="239" t="str">
        <f>IF(C134="","",VLOOKUP($B134,勘定科目!$A:$E,4,0))</f>
        <v>福利厚生費</v>
      </c>
      <c r="E134" s="245"/>
      <c r="F134" s="194"/>
      <c r="G134" s="194"/>
      <c r="H134" s="194"/>
      <c r="I134" s="307"/>
      <c r="J134" s="307"/>
      <c r="K134" s="307"/>
      <c r="L134" s="307"/>
      <c r="M134" s="307"/>
      <c r="N134" s="307"/>
      <c r="O134" s="307"/>
      <c r="P134" s="307"/>
      <c r="Q134" s="307"/>
      <c r="R134" s="200">
        <f t="shared" si="9"/>
        <v>0</v>
      </c>
      <c r="S134" s="300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>
        <v>5004086291</v>
      </c>
      <c r="C135" s="183" t="str">
        <f>IFERROR(IF(VLOOKUP($B135,勘定科目!$A:$H,HLOOKUP($E$5,勘定科目!$F$1:$H$2,2,0),0)="","",VLOOKUP($B135,勘定科目!$A:$E,2,0)),"")</f>
        <v>福利厚生費（製）</v>
      </c>
      <c r="D135" s="239" t="str">
        <f>IF(C135="","",VLOOKUP($B135,勘定科目!$A:$E,4,0))</f>
        <v>福利厚生費</v>
      </c>
      <c r="E135" s="245"/>
      <c r="F135" s="194"/>
      <c r="G135" s="194"/>
      <c r="H135" s="194"/>
      <c r="I135" s="307"/>
      <c r="J135" s="307"/>
      <c r="K135" s="307"/>
      <c r="L135" s="307"/>
      <c r="M135" s="307"/>
      <c r="N135" s="307"/>
      <c r="O135" s="307"/>
      <c r="P135" s="307"/>
      <c r="Q135" s="307"/>
      <c r="R135" s="200">
        <f t="shared" si="9"/>
        <v>0</v>
      </c>
      <c r="S135" s="300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>
        <v>5004086291</v>
      </c>
      <c r="C136" s="183" t="str">
        <f>IFERROR(IF(VLOOKUP($B136,勘定科目!$A:$H,HLOOKUP($E$5,勘定科目!$F$1:$H$2,2,0),0)="","",VLOOKUP($B136,勘定科目!$A:$E,2,0)),"")</f>
        <v>福利厚生費（製）</v>
      </c>
      <c r="D136" s="239" t="str">
        <f>IF(C136="","",VLOOKUP($B136,勘定科目!$A:$E,4,0))</f>
        <v>福利厚生費</v>
      </c>
      <c r="E136" s="245"/>
      <c r="F136" s="194"/>
      <c r="G136" s="194"/>
      <c r="H136" s="194"/>
      <c r="I136" s="307"/>
      <c r="J136" s="307"/>
      <c r="K136" s="307"/>
      <c r="L136" s="307"/>
      <c r="M136" s="307"/>
      <c r="N136" s="307"/>
      <c r="O136" s="307"/>
      <c r="P136" s="307"/>
      <c r="Q136" s="307"/>
      <c r="R136" s="200">
        <f t="shared" si="9"/>
        <v>0</v>
      </c>
      <c r="S136" s="300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>
        <v>5004086291</v>
      </c>
      <c r="C137" s="183" t="str">
        <f>IFERROR(IF(VLOOKUP($B137,勘定科目!$A:$H,HLOOKUP($E$5,勘定科目!$F$1:$H$2,2,0),0)="","",VLOOKUP($B137,勘定科目!$A:$E,2,0)),"")</f>
        <v>福利厚生費（製）</v>
      </c>
      <c r="D137" s="239" t="str">
        <f>IF(C137="","",VLOOKUP($B137,勘定科目!$A:$E,4,0))</f>
        <v>福利厚生費</v>
      </c>
      <c r="E137" s="245"/>
      <c r="F137" s="194"/>
      <c r="G137" s="194"/>
      <c r="H137" s="194"/>
      <c r="I137" s="307"/>
      <c r="J137" s="307"/>
      <c r="K137" s="307"/>
      <c r="L137" s="307"/>
      <c r="M137" s="307"/>
      <c r="N137" s="307"/>
      <c r="O137" s="307"/>
      <c r="P137" s="307"/>
      <c r="Q137" s="307"/>
      <c r="R137" s="200">
        <f t="shared" si="9"/>
        <v>0</v>
      </c>
      <c r="S137" s="300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>
        <v>5004086291</v>
      </c>
      <c r="C138" s="183" t="str">
        <f>IFERROR(IF(VLOOKUP($B138,勘定科目!$A:$H,HLOOKUP($E$5,勘定科目!$F$1:$H$2,2,0),0)="","",VLOOKUP($B138,勘定科目!$A:$E,2,0)),"")</f>
        <v>福利厚生費（製）</v>
      </c>
      <c r="D138" s="239" t="str">
        <f>IF(C138="","",VLOOKUP($B138,勘定科目!$A:$E,4,0))</f>
        <v>福利厚生費</v>
      </c>
      <c r="E138" s="245"/>
      <c r="F138" s="194"/>
      <c r="G138" s="194"/>
      <c r="H138" s="194"/>
      <c r="I138" s="307"/>
      <c r="J138" s="307"/>
      <c r="K138" s="307"/>
      <c r="L138" s="307"/>
      <c r="M138" s="307"/>
      <c r="N138" s="307"/>
      <c r="O138" s="307"/>
      <c r="P138" s="307"/>
      <c r="Q138" s="307"/>
      <c r="R138" s="200">
        <f t="shared" si="9"/>
        <v>0</v>
      </c>
      <c r="S138" s="300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>
        <v>5004086291</v>
      </c>
      <c r="C139" s="183" t="str">
        <f>IFERROR(IF(VLOOKUP($B139,勘定科目!$A:$H,HLOOKUP($E$5,勘定科目!$F$1:$H$2,2,0),0)="","",VLOOKUP($B139,勘定科目!$A:$E,2,0)),"")</f>
        <v>福利厚生費（製）</v>
      </c>
      <c r="D139" s="239" t="str">
        <f>IF(C139="","",VLOOKUP($B139,勘定科目!$A:$E,4,0))</f>
        <v>福利厚生費</v>
      </c>
      <c r="E139" s="245"/>
      <c r="F139" s="194"/>
      <c r="G139" s="194"/>
      <c r="H139" s="194"/>
      <c r="I139" s="307"/>
      <c r="J139" s="307"/>
      <c r="K139" s="307"/>
      <c r="L139" s="307"/>
      <c r="M139" s="307"/>
      <c r="N139" s="307"/>
      <c r="O139" s="307"/>
      <c r="P139" s="307"/>
      <c r="Q139" s="307"/>
      <c r="R139" s="200">
        <f t="shared" si="9"/>
        <v>0</v>
      </c>
      <c r="S139" s="300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>
        <v>5004086291</v>
      </c>
      <c r="C140" s="183" t="str">
        <f>IFERROR(IF(VLOOKUP($B140,勘定科目!$A:$H,HLOOKUP($E$5,勘定科目!$F$1:$H$2,2,0),0)="","",VLOOKUP($B140,勘定科目!$A:$E,2,0)),"")</f>
        <v>福利厚生費（製）</v>
      </c>
      <c r="D140" s="239" t="str">
        <f>IF(C140="","",VLOOKUP($B140,勘定科目!$A:$E,4,0))</f>
        <v>福利厚生費</v>
      </c>
      <c r="E140" s="245"/>
      <c r="F140" s="194"/>
      <c r="G140" s="194"/>
      <c r="H140" s="194"/>
      <c r="I140" s="307"/>
      <c r="J140" s="307"/>
      <c r="K140" s="307"/>
      <c r="L140" s="307"/>
      <c r="M140" s="307"/>
      <c r="N140" s="307"/>
      <c r="O140" s="307"/>
      <c r="P140" s="307"/>
      <c r="Q140" s="307"/>
      <c r="R140" s="200">
        <f t="shared" si="9"/>
        <v>0</v>
      </c>
      <c r="S140" s="300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>
        <v>5004086291</v>
      </c>
      <c r="C141" s="183" t="str">
        <f>IFERROR(IF(VLOOKUP($B141,勘定科目!$A:$H,HLOOKUP($E$5,勘定科目!$F$1:$H$2,2,0),0)="","",VLOOKUP($B141,勘定科目!$A:$E,2,0)),"")</f>
        <v>福利厚生費（製）</v>
      </c>
      <c r="D141" s="239" t="str">
        <f>IF(C141="","",VLOOKUP($B141,勘定科目!$A:$E,4,0))</f>
        <v>福利厚生費</v>
      </c>
      <c r="E141" s="245"/>
      <c r="F141" s="194"/>
      <c r="G141" s="194"/>
      <c r="H141" s="194"/>
      <c r="I141" s="307"/>
      <c r="J141" s="307"/>
      <c r="K141" s="307"/>
      <c r="L141" s="307"/>
      <c r="M141" s="307"/>
      <c r="N141" s="307"/>
      <c r="O141" s="307"/>
      <c r="P141" s="307"/>
      <c r="Q141" s="307"/>
      <c r="R141" s="200">
        <f t="shared" si="9"/>
        <v>0</v>
      </c>
      <c r="S141" s="300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>
        <v>5004086291</v>
      </c>
      <c r="C142" s="183" t="str">
        <f>IFERROR(IF(VLOOKUP($B142,勘定科目!$A:$H,HLOOKUP($E$5,勘定科目!$F$1:$H$2,2,0),0)="","",VLOOKUP($B142,勘定科目!$A:$E,2,0)),"")</f>
        <v>福利厚生費（製）</v>
      </c>
      <c r="D142" s="239" t="str">
        <f>IF(C142="","",VLOOKUP($B142,勘定科目!$A:$E,4,0))</f>
        <v>福利厚生費</v>
      </c>
      <c r="E142" s="245"/>
      <c r="F142" s="194"/>
      <c r="G142" s="194"/>
      <c r="H142" s="194"/>
      <c r="I142" s="307"/>
      <c r="J142" s="307"/>
      <c r="K142" s="307"/>
      <c r="L142" s="307"/>
      <c r="M142" s="307"/>
      <c r="N142" s="307"/>
      <c r="O142" s="307"/>
      <c r="P142" s="307"/>
      <c r="Q142" s="307"/>
      <c r="R142" s="200">
        <f t="shared" si="9"/>
        <v>0</v>
      </c>
      <c r="S142" s="300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194"/>
      <c r="H143" s="194"/>
      <c r="I143" s="307"/>
      <c r="J143" s="307"/>
      <c r="K143" s="307"/>
      <c r="L143" s="307"/>
      <c r="M143" s="307"/>
      <c r="N143" s="307"/>
      <c r="O143" s="307"/>
      <c r="P143" s="307"/>
      <c r="Q143" s="307"/>
      <c r="R143" s="200">
        <f t="shared" si="9"/>
        <v>0</v>
      </c>
      <c r="S143" s="300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>
        <v>5005076289</v>
      </c>
      <c r="C144" s="183" t="str">
        <f>IFERROR(IF(VLOOKUP($B144,勘定科目!$A:$H,HLOOKUP($E$5,勘定科目!$F$1:$H$2,2,0),0)="","",VLOOKUP($B144,勘定科目!$A:$E,2,0)),"")</f>
        <v>クーリエ費用（製）</v>
      </c>
      <c r="D144" s="239" t="str">
        <f>IF(C144="","",VLOOKUP($B144,勘定科目!$A:$E,4,0))</f>
        <v>荷造運賃</v>
      </c>
      <c r="E144" s="245"/>
      <c r="F144" s="194"/>
      <c r="G144" s="194"/>
      <c r="H144" s="194"/>
      <c r="I144" s="307"/>
      <c r="J144" s="307"/>
      <c r="K144" s="307"/>
      <c r="L144" s="307"/>
      <c r="M144" s="307"/>
      <c r="N144" s="307"/>
      <c r="O144" s="307"/>
      <c r="P144" s="307"/>
      <c r="Q144" s="307"/>
      <c r="R144" s="200">
        <f t="shared" si="9"/>
        <v>0</v>
      </c>
      <c r="S144" s="300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>
        <v>5005136291</v>
      </c>
      <c r="C145" s="183" t="str">
        <f>IFERROR(IF(VLOOKUP($B145,勘定科目!$A:$H,HLOOKUP($E$5,勘定科目!$F$1:$H$2,2,0),0)="","",VLOOKUP($B145,勘定科目!$A:$E,2,0)),"")</f>
        <v>郵送代（製）</v>
      </c>
      <c r="D145" s="239" t="str">
        <f>IF(C145="","",VLOOKUP($B145,勘定科目!$A:$E,4,0))</f>
        <v>通信費</v>
      </c>
      <c r="E145" s="245"/>
      <c r="F145" s="194"/>
      <c r="G145" s="194"/>
      <c r="H145" s="194"/>
      <c r="I145" s="307"/>
      <c r="J145" s="307"/>
      <c r="K145" s="307"/>
      <c r="L145" s="307"/>
      <c r="M145" s="307"/>
      <c r="N145" s="307"/>
      <c r="O145" s="307"/>
      <c r="P145" s="307"/>
      <c r="Q145" s="307"/>
      <c r="R145" s="200">
        <f t="shared" si="9"/>
        <v>0</v>
      </c>
      <c r="S145" s="300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>
        <v>5004086293</v>
      </c>
      <c r="C146" s="183" t="str">
        <f>IFERROR(IF(VLOOKUP($B146,勘定科目!$A:$H,HLOOKUP($E$5,勘定科目!$F$1:$H$2,2,0),0)="","",VLOOKUP($B146,勘定科目!$A:$E,2,0)),"")</f>
        <v>教育訓練費（製）</v>
      </c>
      <c r="D146" s="239" t="str">
        <f>IF(C146="","",VLOOKUP($B146,勘定科目!$A:$E,4,0))</f>
        <v>募集教育費</v>
      </c>
      <c r="E146" s="245"/>
      <c r="F146" s="194"/>
      <c r="G146" s="194"/>
      <c r="H146" s="194"/>
      <c r="I146" s="307"/>
      <c r="J146" s="307"/>
      <c r="K146" s="307"/>
      <c r="L146" s="307"/>
      <c r="M146" s="307"/>
      <c r="N146" s="307"/>
      <c r="O146" s="307"/>
      <c r="P146" s="307"/>
      <c r="Q146" s="307"/>
      <c r="R146" s="200">
        <f t="shared" si="9"/>
        <v>0</v>
      </c>
      <c r="S146" s="300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>
        <v>5005116291</v>
      </c>
      <c r="C147" s="183" t="str">
        <f>IFERROR(IF(VLOOKUP($B147,勘定科目!$A:$H,HLOOKUP($E$5,勘定科目!$F$1:$H$2,2,0),0)="","",VLOOKUP($B147,勘定科目!$A:$E,2,0)),"")</f>
        <v>ベトナム国内交通費（製）</v>
      </c>
      <c r="D147" s="239" t="str">
        <f>IF(C147="","",VLOOKUP($B147,勘定科目!$A:$E,4,0))</f>
        <v>旅費交通費</v>
      </c>
      <c r="E147" s="245"/>
      <c r="F147" s="194"/>
      <c r="G147" s="194"/>
      <c r="H147" s="194"/>
      <c r="I147" s="307"/>
      <c r="J147" s="307"/>
      <c r="K147" s="307"/>
      <c r="L147" s="307"/>
      <c r="M147" s="307"/>
      <c r="N147" s="307"/>
      <c r="O147" s="307"/>
      <c r="P147" s="307"/>
      <c r="Q147" s="307"/>
      <c r="R147" s="200">
        <f t="shared" si="9"/>
        <v>0</v>
      </c>
      <c r="S147" s="300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>
        <v>5005026371</v>
      </c>
      <c r="C148" s="183" t="str">
        <f>IFERROR(IF(VLOOKUP($B148,勘定科目!$A:$H,HLOOKUP($E$5,勘定科目!$F$1:$H$2,2,0),0)="","",VLOOKUP($B148,勘定科目!$A:$E,2,0)),"")</f>
        <v>消耗工具器具備品費（製）</v>
      </c>
      <c r="D148" s="239" t="str">
        <f>IF(C148="","",VLOOKUP($B148,勘定科目!$A:$E,4,0))</f>
        <v>消耗工具器具備品費</v>
      </c>
      <c r="E148" s="245"/>
      <c r="F148" s="194"/>
      <c r="G148" s="194"/>
      <c r="H148" s="194"/>
      <c r="I148" s="307"/>
      <c r="J148" s="307"/>
      <c r="K148" s="307"/>
      <c r="L148" s="307"/>
      <c r="M148" s="307"/>
      <c r="N148" s="307"/>
      <c r="O148" s="307"/>
      <c r="P148" s="307"/>
      <c r="Q148" s="307"/>
      <c r="R148" s="200">
        <f t="shared" si="9"/>
        <v>0</v>
      </c>
      <c r="S148" s="300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>
        <v>5005026371</v>
      </c>
      <c r="C149" s="183" t="str">
        <f>IFERROR(IF(VLOOKUP($B149,勘定科目!$A:$H,HLOOKUP($E$5,勘定科目!$F$1:$H$2,2,0),0)="","",VLOOKUP($B149,勘定科目!$A:$E,2,0)),"")</f>
        <v>消耗工具器具備品費（製）</v>
      </c>
      <c r="D149" s="239" t="str">
        <f>IF(C149="","",VLOOKUP($B149,勘定科目!$A:$E,4,0))</f>
        <v>消耗工具器具備品費</v>
      </c>
      <c r="E149" s="245"/>
      <c r="F149" s="194"/>
      <c r="G149" s="194"/>
      <c r="H149" s="194"/>
      <c r="I149" s="307"/>
      <c r="J149" s="307"/>
      <c r="K149" s="307"/>
      <c r="L149" s="307"/>
      <c r="M149" s="307"/>
      <c r="N149" s="307"/>
      <c r="O149" s="307"/>
      <c r="P149" s="307"/>
      <c r="Q149" s="307"/>
      <c r="R149" s="200">
        <f t="shared" si="9"/>
        <v>0</v>
      </c>
      <c r="S149" s="300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>
        <v>5005046282</v>
      </c>
      <c r="C150" s="183" t="str">
        <f>IFERROR(IF(VLOOKUP($B150,勘定科目!$A:$H,HLOOKUP($E$5,勘定科目!$F$1:$H$2,2,0),0)="","",VLOOKUP($B150,勘定科目!$A:$E,2,0)),"")</f>
        <v>その他修繕費（製）</v>
      </c>
      <c r="D150" s="239" t="str">
        <f>IF(C150="","",VLOOKUP($B150,勘定科目!$A:$E,4,0))</f>
        <v>修繕費</v>
      </c>
      <c r="E150" s="245"/>
      <c r="F150" s="194"/>
      <c r="G150" s="194"/>
      <c r="H150" s="194"/>
      <c r="I150" s="307"/>
      <c r="J150" s="307"/>
      <c r="K150" s="307"/>
      <c r="L150" s="307"/>
      <c r="M150" s="307"/>
      <c r="N150" s="307"/>
      <c r="O150" s="307"/>
      <c r="P150" s="307"/>
      <c r="Q150" s="307"/>
      <c r="R150" s="200">
        <f t="shared" si="9"/>
        <v>0</v>
      </c>
      <c r="S150" s="300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194"/>
      <c r="H151" s="194"/>
      <c r="I151" s="307"/>
      <c r="J151" s="307"/>
      <c r="K151" s="307"/>
      <c r="L151" s="307"/>
      <c r="M151" s="307"/>
      <c r="N151" s="307"/>
      <c r="O151" s="307"/>
      <c r="P151" s="307"/>
      <c r="Q151" s="307"/>
      <c r="R151" s="200">
        <f t="shared" si="9"/>
        <v>0</v>
      </c>
      <c r="S151" s="300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194"/>
      <c r="H152" s="194"/>
      <c r="I152" s="307"/>
      <c r="J152" s="307"/>
      <c r="K152" s="307"/>
      <c r="L152" s="307"/>
      <c r="M152" s="307"/>
      <c r="N152" s="307"/>
      <c r="O152" s="307"/>
      <c r="P152" s="307"/>
      <c r="Q152" s="307"/>
      <c r="R152" s="200">
        <f t="shared" si="9"/>
        <v>0</v>
      </c>
      <c r="S152" s="300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194"/>
      <c r="H153" s="194"/>
      <c r="I153" s="307"/>
      <c r="J153" s="307"/>
      <c r="K153" s="307"/>
      <c r="L153" s="307"/>
      <c r="M153" s="307"/>
      <c r="N153" s="307"/>
      <c r="O153" s="307"/>
      <c r="P153" s="307"/>
      <c r="Q153" s="307"/>
      <c r="R153" s="200">
        <f t="shared" si="9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194"/>
      <c r="H154" s="194"/>
      <c r="I154" s="307"/>
      <c r="J154" s="307"/>
      <c r="K154" s="307"/>
      <c r="L154" s="307"/>
      <c r="M154" s="307"/>
      <c r="N154" s="307"/>
      <c r="O154" s="307"/>
      <c r="P154" s="307"/>
      <c r="Q154" s="307"/>
      <c r="R154" s="200">
        <f t="shared" si="9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194"/>
      <c r="H155" s="194"/>
      <c r="I155" s="307"/>
      <c r="J155" s="307"/>
      <c r="K155" s="307"/>
      <c r="L155" s="307"/>
      <c r="M155" s="307"/>
      <c r="N155" s="307"/>
      <c r="O155" s="307"/>
      <c r="P155" s="307"/>
      <c r="Q155" s="307"/>
      <c r="R155" s="200">
        <f t="shared" si="9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194"/>
      <c r="H156" s="194"/>
      <c r="I156" s="307"/>
      <c r="J156" s="307"/>
      <c r="K156" s="307"/>
      <c r="L156" s="307"/>
      <c r="M156" s="307"/>
      <c r="N156" s="307"/>
      <c r="O156" s="307"/>
      <c r="P156" s="307"/>
      <c r="Q156" s="307"/>
      <c r="R156" s="200">
        <f t="shared" si="9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194"/>
      <c r="H157" s="194"/>
      <c r="I157" s="307"/>
      <c r="J157" s="307"/>
      <c r="K157" s="307"/>
      <c r="L157" s="307"/>
      <c r="M157" s="307"/>
      <c r="N157" s="307"/>
      <c r="O157" s="307"/>
      <c r="P157" s="307"/>
      <c r="Q157" s="307"/>
      <c r="R157" s="200">
        <f t="shared" si="9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194"/>
      <c r="H158" s="194"/>
      <c r="I158" s="307"/>
      <c r="J158" s="307"/>
      <c r="K158" s="307"/>
      <c r="L158" s="307"/>
      <c r="M158" s="307"/>
      <c r="N158" s="307"/>
      <c r="O158" s="307"/>
      <c r="P158" s="307"/>
      <c r="Q158" s="307"/>
      <c r="R158" s="200">
        <f t="shared" si="9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194"/>
      <c r="H159" s="194"/>
      <c r="I159" s="307"/>
      <c r="J159" s="307"/>
      <c r="K159" s="307"/>
      <c r="L159" s="307"/>
      <c r="M159" s="307"/>
      <c r="N159" s="307"/>
      <c r="O159" s="307"/>
      <c r="P159" s="307"/>
      <c r="Q159" s="307"/>
      <c r="R159" s="200">
        <f t="shared" si="9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194"/>
      <c r="H160" s="194"/>
      <c r="I160" s="307"/>
      <c r="J160" s="307"/>
      <c r="K160" s="307"/>
      <c r="L160" s="307"/>
      <c r="M160" s="307"/>
      <c r="N160" s="307"/>
      <c r="O160" s="307"/>
      <c r="P160" s="307"/>
      <c r="Q160" s="307"/>
      <c r="R160" s="200">
        <f t="shared" si="9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194"/>
      <c r="H161" s="194"/>
      <c r="I161" s="307"/>
      <c r="J161" s="307"/>
      <c r="K161" s="307"/>
      <c r="L161" s="307"/>
      <c r="M161" s="307"/>
      <c r="N161" s="307"/>
      <c r="O161" s="307"/>
      <c r="P161" s="307"/>
      <c r="Q161" s="307"/>
      <c r="R161" s="200">
        <f t="shared" si="9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194"/>
      <c r="H162" s="194"/>
      <c r="I162" s="307"/>
      <c r="J162" s="307"/>
      <c r="K162" s="307"/>
      <c r="L162" s="307"/>
      <c r="M162" s="307"/>
      <c r="N162" s="307"/>
      <c r="O162" s="307"/>
      <c r="P162" s="307"/>
      <c r="Q162" s="307"/>
      <c r="R162" s="200">
        <f t="shared" si="9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307"/>
      <c r="J163" s="307"/>
      <c r="K163" s="307"/>
      <c r="L163" s="307"/>
      <c r="M163" s="307"/>
      <c r="N163" s="307"/>
      <c r="O163" s="307"/>
      <c r="P163" s="307"/>
      <c r="Q163" s="307"/>
      <c r="R163" s="200">
        <f t="shared" si="9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307"/>
      <c r="J164" s="307"/>
      <c r="K164" s="307"/>
      <c r="L164" s="307"/>
      <c r="M164" s="307"/>
      <c r="N164" s="307"/>
      <c r="O164" s="307"/>
      <c r="P164" s="307"/>
      <c r="Q164" s="307"/>
      <c r="R164" s="200">
        <f t="shared" si="9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307"/>
      <c r="J165" s="307"/>
      <c r="K165" s="307"/>
      <c r="L165" s="307"/>
      <c r="M165" s="307"/>
      <c r="N165" s="307"/>
      <c r="O165" s="307"/>
      <c r="P165" s="307"/>
      <c r="Q165" s="307"/>
      <c r="R165" s="200">
        <f t="shared" si="9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307"/>
      <c r="J166" s="307"/>
      <c r="K166" s="307"/>
      <c r="L166" s="307"/>
      <c r="M166" s="307"/>
      <c r="N166" s="307"/>
      <c r="O166" s="307"/>
      <c r="P166" s="307"/>
      <c r="Q166" s="307"/>
      <c r="R166" s="200">
        <f t="shared" si="9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307"/>
      <c r="J167" s="307"/>
      <c r="K167" s="307"/>
      <c r="L167" s="307"/>
      <c r="M167" s="307"/>
      <c r="N167" s="307"/>
      <c r="O167" s="307"/>
      <c r="P167" s="307"/>
      <c r="Q167" s="307"/>
      <c r="R167" s="200">
        <f t="shared" si="9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307"/>
      <c r="J168" s="307"/>
      <c r="K168" s="307"/>
      <c r="L168" s="307"/>
      <c r="M168" s="307"/>
      <c r="N168" s="307"/>
      <c r="O168" s="307"/>
      <c r="P168" s="307"/>
      <c r="Q168" s="307"/>
      <c r="R168" s="200"/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307"/>
      <c r="J169" s="307"/>
      <c r="K169" s="307"/>
      <c r="L169" s="307"/>
      <c r="M169" s="307"/>
      <c r="N169" s="307"/>
      <c r="O169" s="307"/>
      <c r="P169" s="307"/>
      <c r="Q169" s="307"/>
      <c r="R169" s="200"/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307"/>
      <c r="J170" s="307"/>
      <c r="K170" s="307"/>
      <c r="L170" s="307"/>
      <c r="M170" s="307"/>
      <c r="N170" s="307"/>
      <c r="O170" s="307"/>
      <c r="P170" s="307"/>
      <c r="Q170" s="307"/>
      <c r="R170" s="200"/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307"/>
      <c r="J171" s="307"/>
      <c r="K171" s="307"/>
      <c r="L171" s="307"/>
      <c r="M171" s="307"/>
      <c r="N171" s="307"/>
      <c r="O171" s="307"/>
      <c r="P171" s="307"/>
      <c r="Q171" s="307"/>
      <c r="R171" s="200"/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307"/>
      <c r="J172" s="307"/>
      <c r="K172" s="307"/>
      <c r="L172" s="307"/>
      <c r="M172" s="307"/>
      <c r="N172" s="307"/>
      <c r="O172" s="307"/>
      <c r="P172" s="307"/>
      <c r="Q172" s="307"/>
      <c r="R172" s="200"/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307"/>
      <c r="J173" s="307"/>
      <c r="K173" s="307"/>
      <c r="L173" s="307"/>
      <c r="M173" s="307"/>
      <c r="N173" s="307"/>
      <c r="O173" s="307"/>
      <c r="P173" s="307"/>
      <c r="Q173" s="307"/>
      <c r="R173" s="200"/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307"/>
      <c r="J174" s="307"/>
      <c r="K174" s="307"/>
      <c r="L174" s="307"/>
      <c r="M174" s="307"/>
      <c r="N174" s="307"/>
      <c r="O174" s="307"/>
      <c r="P174" s="307"/>
      <c r="Q174" s="307"/>
      <c r="R174" s="200"/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307"/>
      <c r="J175" s="307"/>
      <c r="K175" s="307"/>
      <c r="L175" s="307"/>
      <c r="M175" s="307"/>
      <c r="N175" s="307"/>
      <c r="O175" s="307"/>
      <c r="P175" s="307"/>
      <c r="Q175" s="307"/>
      <c r="R175" s="200"/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307"/>
      <c r="J176" s="307"/>
      <c r="K176" s="307"/>
      <c r="L176" s="307"/>
      <c r="M176" s="307"/>
      <c r="N176" s="307"/>
      <c r="O176" s="307"/>
      <c r="P176" s="307"/>
      <c r="Q176" s="307"/>
      <c r="R176" s="200"/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307"/>
      <c r="J177" s="307"/>
      <c r="K177" s="307"/>
      <c r="L177" s="307"/>
      <c r="M177" s="307"/>
      <c r="N177" s="307"/>
      <c r="O177" s="307"/>
      <c r="P177" s="307"/>
      <c r="Q177" s="307"/>
      <c r="R177" s="200"/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307"/>
      <c r="J178" s="307"/>
      <c r="K178" s="307"/>
      <c r="L178" s="307"/>
      <c r="M178" s="307"/>
      <c r="N178" s="307"/>
      <c r="O178" s="307"/>
      <c r="P178" s="307"/>
      <c r="Q178" s="307"/>
      <c r="R178" s="200"/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307"/>
      <c r="J179" s="307"/>
      <c r="K179" s="307"/>
      <c r="L179" s="307"/>
      <c r="M179" s="307"/>
      <c r="N179" s="307"/>
      <c r="O179" s="307"/>
      <c r="P179" s="307"/>
      <c r="Q179" s="307"/>
      <c r="R179" s="200"/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307"/>
      <c r="J180" s="307"/>
      <c r="K180" s="307"/>
      <c r="L180" s="307"/>
      <c r="M180" s="307"/>
      <c r="N180" s="307"/>
      <c r="O180" s="307"/>
      <c r="P180" s="307"/>
      <c r="Q180" s="307"/>
      <c r="R180" s="200"/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307"/>
      <c r="J181" s="307"/>
      <c r="K181" s="307"/>
      <c r="L181" s="307"/>
      <c r="M181" s="307"/>
      <c r="N181" s="307"/>
      <c r="O181" s="307"/>
      <c r="P181" s="307"/>
      <c r="Q181" s="307"/>
      <c r="R181" s="200"/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307"/>
      <c r="J182" s="307"/>
      <c r="K182" s="307"/>
      <c r="L182" s="307"/>
      <c r="M182" s="307"/>
      <c r="N182" s="307"/>
      <c r="O182" s="307"/>
      <c r="P182" s="307"/>
      <c r="Q182" s="307"/>
      <c r="R182" s="200"/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307"/>
      <c r="J183" s="307"/>
      <c r="K183" s="307"/>
      <c r="L183" s="307"/>
      <c r="M183" s="307"/>
      <c r="N183" s="307"/>
      <c r="O183" s="307"/>
      <c r="P183" s="307"/>
      <c r="Q183" s="307"/>
      <c r="R183" s="200"/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307"/>
      <c r="J184" s="307"/>
      <c r="K184" s="307"/>
      <c r="L184" s="307"/>
      <c r="M184" s="307"/>
      <c r="N184" s="307"/>
      <c r="O184" s="307"/>
      <c r="P184" s="307"/>
      <c r="Q184" s="307"/>
      <c r="R184" s="200"/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307"/>
      <c r="J185" s="307"/>
      <c r="K185" s="307"/>
      <c r="L185" s="307"/>
      <c r="M185" s="307"/>
      <c r="N185" s="307"/>
      <c r="O185" s="307"/>
      <c r="P185" s="307"/>
      <c r="Q185" s="307"/>
      <c r="R185" s="200"/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307"/>
      <c r="J186" s="307"/>
      <c r="K186" s="307"/>
      <c r="L186" s="307"/>
      <c r="M186" s="307"/>
      <c r="N186" s="307"/>
      <c r="O186" s="307"/>
      <c r="P186" s="307"/>
      <c r="Q186" s="307"/>
      <c r="R186" s="200"/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307"/>
      <c r="J187" s="307"/>
      <c r="K187" s="307"/>
      <c r="L187" s="307"/>
      <c r="M187" s="307"/>
      <c r="N187" s="307"/>
      <c r="O187" s="307"/>
      <c r="P187" s="307"/>
      <c r="Q187" s="307"/>
      <c r="R187" s="200"/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307"/>
      <c r="J188" s="307"/>
      <c r="K188" s="307"/>
      <c r="L188" s="307"/>
      <c r="M188" s="307"/>
      <c r="N188" s="307"/>
      <c r="O188" s="307"/>
      <c r="P188" s="307"/>
      <c r="Q188" s="307"/>
      <c r="R188" s="200"/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307"/>
      <c r="J189" s="307"/>
      <c r="K189" s="307"/>
      <c r="L189" s="307"/>
      <c r="M189" s="307"/>
      <c r="N189" s="307"/>
      <c r="O189" s="307"/>
      <c r="P189" s="307"/>
      <c r="Q189" s="307"/>
      <c r="R189" s="200"/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307"/>
      <c r="J190" s="307"/>
      <c r="K190" s="307"/>
      <c r="L190" s="307"/>
      <c r="M190" s="307"/>
      <c r="N190" s="307"/>
      <c r="O190" s="307"/>
      <c r="P190" s="307"/>
      <c r="Q190" s="307"/>
      <c r="R190" s="200"/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307"/>
      <c r="J191" s="307"/>
      <c r="K191" s="307"/>
      <c r="L191" s="307"/>
      <c r="M191" s="307"/>
      <c r="N191" s="307"/>
      <c r="O191" s="307"/>
      <c r="P191" s="307"/>
      <c r="Q191" s="307"/>
      <c r="R191" s="200"/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307"/>
      <c r="J192" s="307"/>
      <c r="K192" s="307"/>
      <c r="L192" s="307"/>
      <c r="M192" s="307"/>
      <c r="N192" s="307"/>
      <c r="O192" s="307"/>
      <c r="P192" s="307"/>
      <c r="Q192" s="307"/>
      <c r="R192" s="200"/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307"/>
      <c r="J193" s="307"/>
      <c r="K193" s="307"/>
      <c r="L193" s="307"/>
      <c r="M193" s="307"/>
      <c r="N193" s="307"/>
      <c r="O193" s="307"/>
      <c r="P193" s="307"/>
      <c r="Q193" s="307"/>
      <c r="R193" s="200"/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307"/>
      <c r="J194" s="307"/>
      <c r="K194" s="307"/>
      <c r="L194" s="307"/>
      <c r="M194" s="307"/>
      <c r="N194" s="307"/>
      <c r="O194" s="307"/>
      <c r="P194" s="307"/>
      <c r="Q194" s="307"/>
      <c r="R194" s="200"/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307"/>
      <c r="J195" s="307"/>
      <c r="K195" s="307"/>
      <c r="L195" s="307"/>
      <c r="M195" s="307"/>
      <c r="N195" s="307"/>
      <c r="O195" s="307"/>
      <c r="P195" s="307"/>
      <c r="Q195" s="307"/>
      <c r="R195" s="200"/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307"/>
      <c r="J196" s="307"/>
      <c r="K196" s="307"/>
      <c r="L196" s="307"/>
      <c r="M196" s="307"/>
      <c r="N196" s="307"/>
      <c r="O196" s="307"/>
      <c r="P196" s="307"/>
      <c r="Q196" s="307"/>
      <c r="R196" s="200"/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307"/>
      <c r="J197" s="307"/>
      <c r="K197" s="307"/>
      <c r="L197" s="307"/>
      <c r="M197" s="307"/>
      <c r="N197" s="307"/>
      <c r="O197" s="307"/>
      <c r="P197" s="307"/>
      <c r="Q197" s="307"/>
      <c r="R197" s="200"/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307"/>
      <c r="J198" s="307"/>
      <c r="K198" s="307"/>
      <c r="L198" s="307"/>
      <c r="M198" s="307"/>
      <c r="N198" s="307"/>
      <c r="O198" s="307"/>
      <c r="P198" s="307"/>
      <c r="Q198" s="307"/>
      <c r="R198" s="200"/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307"/>
      <c r="J199" s="307"/>
      <c r="K199" s="307"/>
      <c r="L199" s="307"/>
      <c r="M199" s="307"/>
      <c r="N199" s="307"/>
      <c r="O199" s="307"/>
      <c r="P199" s="307"/>
      <c r="Q199" s="307"/>
      <c r="R199" s="200"/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307"/>
      <c r="J200" s="307"/>
      <c r="K200" s="307"/>
      <c r="L200" s="307"/>
      <c r="M200" s="307"/>
      <c r="N200" s="307"/>
      <c r="O200" s="307"/>
      <c r="P200" s="307"/>
      <c r="Q200" s="307"/>
      <c r="R200" s="200"/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/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/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/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/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/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/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/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/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/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/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/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/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/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/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/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/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/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/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/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/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/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/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/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/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/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/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/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/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/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/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/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/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/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/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/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/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/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/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/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/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/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/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/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/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/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/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/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/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/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/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/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/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/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/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/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/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/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/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/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/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/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/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/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/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/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/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/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/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/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/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/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/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/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/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/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/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/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/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/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/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/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/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/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/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/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/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/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/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/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/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/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/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/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/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/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/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/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/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/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/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/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/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/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/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/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/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/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/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/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/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/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/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/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/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/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/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/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/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226"/>
      <c r="B319" s="180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194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00"/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226"/>
      <c r="B320" s="180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194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00"/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226"/>
      <c r="B321" s="180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194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00"/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226"/>
      <c r="B322" s="180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194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00"/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226"/>
      <c r="B323" s="180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194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00"/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226"/>
      <c r="B324" s="180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194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00"/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226"/>
      <c r="B325" s="180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194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00"/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226"/>
      <c r="B326" s="180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194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00"/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226"/>
      <c r="B327" s="180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194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00"/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226"/>
      <c r="B328" s="180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194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00"/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226"/>
      <c r="B329" s="180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194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00"/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226"/>
      <c r="B330" s="180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194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00"/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226"/>
      <c r="B331" s="180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194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00"/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226"/>
      <c r="B332" s="180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194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00"/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226"/>
      <c r="B333" s="180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194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00"/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226"/>
      <c r="B334" s="180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194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00"/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226"/>
      <c r="B335" s="180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194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00"/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226"/>
      <c r="B336" s="180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194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00"/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226"/>
      <c r="B337" s="180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194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00"/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226"/>
      <c r="B338" s="180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194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00"/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226"/>
      <c r="B339" s="180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194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00"/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226"/>
      <c r="B340" s="180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194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00"/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226"/>
      <c r="B341" s="180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194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00"/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226"/>
      <c r="B342" s="180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194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00"/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226"/>
      <c r="B343" s="180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194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00"/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226"/>
      <c r="B344" s="180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194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00"/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226"/>
      <c r="B345" s="180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194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00"/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226"/>
      <c r="B346" s="180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194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00"/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226"/>
      <c r="B347" s="180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194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00"/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226"/>
      <c r="B348" s="180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194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00"/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226"/>
      <c r="B349" s="180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194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00"/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226"/>
      <c r="B350" s="180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194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00"/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226"/>
      <c r="B351" s="180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194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00"/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226"/>
      <c r="B352" s="180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194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00"/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226"/>
      <c r="B353" s="180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194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00"/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226"/>
      <c r="B354" s="180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194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00"/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226"/>
      <c r="B355" s="180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194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00"/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226"/>
      <c r="B356" s="180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194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00"/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226"/>
      <c r="B357" s="180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194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00"/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226"/>
      <c r="B358" s="180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194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00"/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226"/>
      <c r="B359" s="180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194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00"/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226"/>
      <c r="B360" s="180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194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00"/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226"/>
      <c r="B361" s="180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194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00"/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226"/>
      <c r="B362" s="180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194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00"/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226"/>
      <c r="B363" s="180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194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00"/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226"/>
      <c r="B364" s="180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194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00"/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226"/>
      <c r="B365" s="180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194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00"/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226"/>
      <c r="B366" s="180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194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00"/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226"/>
      <c r="B367" s="180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194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00"/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226"/>
      <c r="B368" s="180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194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00"/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226"/>
      <c r="B369" s="180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194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00"/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226"/>
      <c r="B370" s="180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194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00"/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226"/>
      <c r="B371" s="180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194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00"/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226"/>
      <c r="B372" s="180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194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00"/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226"/>
      <c r="B373" s="180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194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00"/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226"/>
      <c r="B374" s="180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194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00"/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226"/>
      <c r="B375" s="180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194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00"/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226"/>
      <c r="B376" s="180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194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00"/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226"/>
      <c r="B377" s="180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194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00"/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/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/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/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/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/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/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/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/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/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/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/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/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/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/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/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/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/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/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/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/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/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/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/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/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/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/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/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/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/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/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/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/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/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/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/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/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/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/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/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/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/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/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/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/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/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/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/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/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/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/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/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/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/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/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/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/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/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/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/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/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/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/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/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/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/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/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/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/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/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/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/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/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/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/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/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/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/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/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/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/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/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/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/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/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/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/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/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/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/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/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/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/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/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/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/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/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/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/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/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/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/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/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/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/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/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/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/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/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/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/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/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/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/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/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/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/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/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/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/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/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/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/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/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/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/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/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/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/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/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/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/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/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/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/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/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/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/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/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/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/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/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/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/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/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/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/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/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/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/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/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/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/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/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/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/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/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/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/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/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/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/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/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/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/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/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/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/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/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/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/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/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/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/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/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/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/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/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/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/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/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/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/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/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/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/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/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/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/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/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/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/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/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/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/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/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/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/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/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/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/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/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/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/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/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/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/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/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/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/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/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/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/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/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/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/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/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/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/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/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/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/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/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/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/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/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/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/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/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/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/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/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/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/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/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/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/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/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/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/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/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/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/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/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/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/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/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/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/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/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/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/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/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/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/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/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/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/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/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/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/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/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/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/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/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/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/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/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/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/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/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/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/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/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/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/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/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/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/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/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/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/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/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/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/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/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/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/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/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/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/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/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/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/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/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/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/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/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/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/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/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/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/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/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/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/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/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/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/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/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/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/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/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/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/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/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/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/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/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/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/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/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/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/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/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/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/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/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/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/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/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/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/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/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/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/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/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/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/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/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/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/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/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/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/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/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/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/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/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/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/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/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/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/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/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/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/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/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/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/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/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/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/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/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/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/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/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/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/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/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/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/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/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/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/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/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/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/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/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/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/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/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/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/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/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/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/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/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/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/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/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/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/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/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/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/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/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/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/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/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/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/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/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/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/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/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/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/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/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/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/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/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/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/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/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/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/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/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/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/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/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/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  <row r="1002" spans="1:54" s="191" customFormat="1" ht="13.5">
      <c r="A1002" s="182"/>
      <c r="B1002" s="178"/>
      <c r="C1002" s="183" t="str">
        <f>IFERROR(IF(VLOOKUP($B1002,勘定科目!$A:$H,HLOOKUP($E$5,勘定科目!$F$1:$H$2,2,0),0)="","",VLOOKUP($B1002,勘定科目!$A:$E,2,0)),"")</f>
        <v/>
      </c>
      <c r="D1002" s="239" t="str">
        <f>IF(C1002="","",VLOOKUP($B1002,勘定科目!$A:$E,4,0))</f>
        <v/>
      </c>
      <c r="E1002" s="245"/>
      <c r="F1002" s="240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00"/>
      <c r="S1002" s="201"/>
      <c r="T1002" s="202"/>
      <c r="U1002" s="246"/>
      <c r="V1002" s="246"/>
      <c r="W1002" s="246"/>
      <c r="BA1002"/>
      <c r="BB1002"/>
    </row>
    <row r="1003" spans="1:54" s="191" customFormat="1" ht="13.5">
      <c r="A1003" s="182"/>
      <c r="B1003" s="178"/>
      <c r="C1003" s="183" t="str">
        <f>IFERROR(IF(VLOOKUP($B1003,勘定科目!$A:$H,HLOOKUP($E$5,勘定科目!$F$1:$H$2,2,0),0)="","",VLOOKUP($B1003,勘定科目!$A:$E,2,0)),"")</f>
        <v/>
      </c>
      <c r="D1003" s="239" t="str">
        <f>IF(C1003="","",VLOOKUP($B1003,勘定科目!$A:$E,4,0))</f>
        <v/>
      </c>
      <c r="E1003" s="245"/>
      <c r="F1003" s="240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00"/>
      <c r="S1003" s="201"/>
      <c r="T1003" s="202"/>
      <c r="U1003" s="246"/>
      <c r="V1003" s="246"/>
      <c r="W1003" s="246"/>
      <c r="BA1003"/>
      <c r="BB1003"/>
    </row>
    <row r="1004" spans="1:54" s="191" customFormat="1" ht="13.5">
      <c r="A1004" s="182"/>
      <c r="B1004" s="178"/>
      <c r="C1004" s="183" t="str">
        <f>IFERROR(IF(VLOOKUP($B1004,勘定科目!$A:$H,HLOOKUP($E$5,勘定科目!$F$1:$H$2,2,0),0)="","",VLOOKUP($B1004,勘定科目!$A:$E,2,0)),"")</f>
        <v/>
      </c>
      <c r="D1004" s="239" t="str">
        <f>IF(C1004="","",VLOOKUP($B1004,勘定科目!$A:$E,4,0))</f>
        <v/>
      </c>
      <c r="E1004" s="245"/>
      <c r="F1004" s="240"/>
      <c r="G1004" s="241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00"/>
      <c r="S1004" s="201"/>
      <c r="T1004" s="202"/>
      <c r="U1004" s="246"/>
      <c r="V1004" s="246"/>
      <c r="W1004" s="246"/>
      <c r="BA1004"/>
      <c r="BB1004"/>
    </row>
    <row r="1005" spans="1:54" s="191" customFormat="1" ht="13.5">
      <c r="A1005" s="182"/>
      <c r="B1005" s="178"/>
      <c r="C1005" s="183" t="str">
        <f>IFERROR(IF(VLOOKUP($B1005,勘定科目!$A:$H,HLOOKUP($E$5,勘定科目!$F$1:$H$2,2,0),0)="","",VLOOKUP($B1005,勘定科目!$A:$E,2,0)),"")</f>
        <v/>
      </c>
      <c r="D1005" s="239" t="str">
        <f>IF(C1005="","",VLOOKUP($B1005,勘定科目!$A:$E,4,0))</f>
        <v/>
      </c>
      <c r="E1005" s="245"/>
      <c r="F1005" s="240"/>
      <c r="G1005" s="241"/>
      <c r="H1005" s="241"/>
      <c r="I1005" s="241"/>
      <c r="J1005" s="241"/>
      <c r="K1005" s="241"/>
      <c r="L1005" s="241"/>
      <c r="M1005" s="241"/>
      <c r="N1005" s="241"/>
      <c r="O1005" s="241"/>
      <c r="P1005" s="241"/>
      <c r="Q1005" s="241"/>
      <c r="R1005" s="200"/>
      <c r="S1005" s="201"/>
      <c r="T1005" s="202"/>
      <c r="U1005" s="246"/>
      <c r="V1005" s="246"/>
      <c r="W1005" s="246"/>
      <c r="BA1005"/>
      <c r="BB1005"/>
    </row>
    <row r="1006" spans="1:54" s="191" customFormat="1" ht="13.5">
      <c r="A1006" s="182"/>
      <c r="B1006" s="178"/>
      <c r="C1006" s="183" t="str">
        <f>IFERROR(IF(VLOOKUP($B1006,勘定科目!$A:$H,HLOOKUP($E$5,勘定科目!$F$1:$H$2,2,0),0)="","",VLOOKUP($B1006,勘定科目!$A:$E,2,0)),"")</f>
        <v/>
      </c>
      <c r="D1006" s="239" t="str">
        <f>IF(C1006="","",VLOOKUP($B1006,勘定科目!$A:$E,4,0))</f>
        <v/>
      </c>
      <c r="E1006" s="245"/>
      <c r="F1006" s="240"/>
      <c r="G1006" s="241"/>
      <c r="H1006" s="241"/>
      <c r="I1006" s="241"/>
      <c r="J1006" s="241"/>
      <c r="K1006" s="241"/>
      <c r="L1006" s="241"/>
      <c r="M1006" s="241"/>
      <c r="N1006" s="241"/>
      <c r="O1006" s="241"/>
      <c r="P1006" s="241"/>
      <c r="Q1006" s="241"/>
      <c r="R1006" s="200"/>
      <c r="S1006" s="201"/>
      <c r="T1006" s="202"/>
      <c r="U1006" s="246"/>
      <c r="V1006" s="246"/>
      <c r="W1006" s="246"/>
      <c r="BA1006"/>
      <c r="BB1006"/>
    </row>
    <row r="1007" spans="1:54" s="191" customFormat="1" ht="13.5">
      <c r="A1007" s="182"/>
      <c r="B1007" s="178"/>
      <c r="C1007" s="183" t="str">
        <f>IFERROR(IF(VLOOKUP($B1007,勘定科目!$A:$H,HLOOKUP($E$5,勘定科目!$F$1:$H$2,2,0),0)="","",VLOOKUP($B1007,勘定科目!$A:$E,2,0)),"")</f>
        <v/>
      </c>
      <c r="D1007" s="239" t="str">
        <f>IF(C1007="","",VLOOKUP($B1007,勘定科目!$A:$E,4,0))</f>
        <v/>
      </c>
      <c r="E1007" s="245"/>
      <c r="F1007" s="240"/>
      <c r="G1007" s="241"/>
      <c r="H1007" s="241"/>
      <c r="I1007" s="241"/>
      <c r="J1007" s="241"/>
      <c r="K1007" s="241"/>
      <c r="L1007" s="241"/>
      <c r="M1007" s="241"/>
      <c r="N1007" s="241"/>
      <c r="O1007" s="241"/>
      <c r="P1007" s="241"/>
      <c r="Q1007" s="241"/>
      <c r="R1007" s="200"/>
      <c r="S1007" s="201"/>
      <c r="T1007" s="202"/>
      <c r="U1007" s="246"/>
      <c r="V1007" s="246"/>
      <c r="W1007" s="246"/>
      <c r="BA1007"/>
      <c r="BB1007"/>
    </row>
    <row r="1008" spans="1:54" s="191" customFormat="1" ht="13.5">
      <c r="A1008" s="182"/>
      <c r="B1008" s="178"/>
      <c r="C1008" s="183" t="str">
        <f>IFERROR(IF(VLOOKUP($B1008,勘定科目!$A:$H,HLOOKUP($E$5,勘定科目!$F$1:$H$2,2,0),0)="","",VLOOKUP($B1008,勘定科目!$A:$E,2,0)),"")</f>
        <v/>
      </c>
      <c r="D1008" s="239" t="str">
        <f>IF(C1008="","",VLOOKUP($B1008,勘定科目!$A:$E,4,0))</f>
        <v/>
      </c>
      <c r="E1008" s="245"/>
      <c r="F1008" s="240"/>
      <c r="G1008" s="241"/>
      <c r="H1008" s="241"/>
      <c r="I1008" s="241"/>
      <c r="J1008" s="241"/>
      <c r="K1008" s="241"/>
      <c r="L1008" s="241"/>
      <c r="M1008" s="241"/>
      <c r="N1008" s="241"/>
      <c r="O1008" s="241"/>
      <c r="P1008" s="241"/>
      <c r="Q1008" s="241"/>
      <c r="R1008" s="200"/>
      <c r="S1008" s="201"/>
      <c r="T1008" s="202"/>
      <c r="U1008" s="246"/>
      <c r="V1008" s="246"/>
      <c r="W1008" s="246"/>
      <c r="BA1008"/>
      <c r="BB1008"/>
    </row>
    <row r="1009" spans="1:54" s="191" customFormat="1" ht="13.5">
      <c r="A1009" s="182"/>
      <c r="B1009" s="178"/>
      <c r="C1009" s="183" t="str">
        <f>IFERROR(IF(VLOOKUP($B1009,勘定科目!$A:$H,HLOOKUP($E$5,勘定科目!$F$1:$H$2,2,0),0)="","",VLOOKUP($B1009,勘定科目!$A:$E,2,0)),"")</f>
        <v/>
      </c>
      <c r="D1009" s="239" t="str">
        <f>IF(C1009="","",VLOOKUP($B1009,勘定科目!$A:$E,4,0))</f>
        <v/>
      </c>
      <c r="E1009" s="245"/>
      <c r="F1009" s="240"/>
      <c r="G1009" s="241"/>
      <c r="H1009" s="241"/>
      <c r="I1009" s="241"/>
      <c r="J1009" s="241"/>
      <c r="K1009" s="241"/>
      <c r="L1009" s="241"/>
      <c r="M1009" s="241"/>
      <c r="N1009" s="241"/>
      <c r="O1009" s="241"/>
      <c r="P1009" s="241"/>
      <c r="Q1009" s="241"/>
      <c r="R1009" s="200"/>
      <c r="S1009" s="201"/>
      <c r="T1009" s="202"/>
      <c r="U1009" s="246"/>
      <c r="V1009" s="246"/>
      <c r="W1009" s="246"/>
      <c r="BA1009"/>
      <c r="BB1009"/>
    </row>
    <row r="1010" spans="1:54" s="191" customFormat="1" ht="13.5">
      <c r="A1010" s="182"/>
      <c r="B1010" s="178"/>
      <c r="C1010" s="183" t="str">
        <f>IFERROR(IF(VLOOKUP($B1010,勘定科目!$A:$H,HLOOKUP($E$5,勘定科目!$F$1:$H$2,2,0),0)="","",VLOOKUP($B1010,勘定科目!$A:$E,2,0)),"")</f>
        <v/>
      </c>
      <c r="D1010" s="239" t="str">
        <f>IF(C1010="","",VLOOKUP($B1010,勘定科目!$A:$E,4,0))</f>
        <v/>
      </c>
      <c r="E1010" s="245"/>
      <c r="F1010" s="240"/>
      <c r="G1010" s="241"/>
      <c r="H1010" s="241"/>
      <c r="I1010" s="241"/>
      <c r="J1010" s="241"/>
      <c r="K1010" s="241"/>
      <c r="L1010" s="241"/>
      <c r="M1010" s="241"/>
      <c r="N1010" s="241"/>
      <c r="O1010" s="241"/>
      <c r="P1010" s="241"/>
      <c r="Q1010" s="241"/>
      <c r="R1010" s="200"/>
      <c r="S1010" s="201"/>
      <c r="T1010" s="202"/>
      <c r="U1010" s="246"/>
      <c r="V1010" s="246"/>
      <c r="W1010" s="246"/>
      <c r="BA1010"/>
      <c r="BB1010"/>
    </row>
    <row r="1011" spans="1:54" s="191" customFormat="1" ht="13.5">
      <c r="A1011" s="182"/>
      <c r="B1011" s="178"/>
      <c r="C1011" s="183" t="str">
        <f>IFERROR(IF(VLOOKUP($B1011,勘定科目!$A:$H,HLOOKUP($E$5,勘定科目!$F$1:$H$2,2,0),0)="","",VLOOKUP($B1011,勘定科目!$A:$E,2,0)),"")</f>
        <v/>
      </c>
      <c r="D1011" s="239" t="str">
        <f>IF(C1011="","",VLOOKUP($B1011,勘定科目!$A:$E,4,0))</f>
        <v/>
      </c>
      <c r="E1011" s="245"/>
      <c r="F1011" s="240"/>
      <c r="G1011" s="241"/>
      <c r="H1011" s="241"/>
      <c r="I1011" s="241"/>
      <c r="J1011" s="241"/>
      <c r="K1011" s="241"/>
      <c r="L1011" s="241"/>
      <c r="M1011" s="241"/>
      <c r="N1011" s="241"/>
      <c r="O1011" s="241"/>
      <c r="P1011" s="241"/>
      <c r="Q1011" s="241"/>
      <c r="R1011" s="200"/>
      <c r="S1011" s="201"/>
      <c r="T1011" s="202"/>
      <c r="U1011" s="246"/>
      <c r="V1011" s="246"/>
      <c r="W1011" s="246"/>
      <c r="BA1011"/>
      <c r="BB1011"/>
    </row>
    <row r="1012" spans="1:54" s="191" customFormat="1" ht="13.5">
      <c r="A1012" s="182"/>
      <c r="B1012" s="178"/>
      <c r="C1012" s="183" t="str">
        <f>IFERROR(IF(VLOOKUP($B1012,勘定科目!$A:$H,HLOOKUP($E$5,勘定科目!$F$1:$H$2,2,0),0)="","",VLOOKUP($B1012,勘定科目!$A:$E,2,0)),"")</f>
        <v/>
      </c>
      <c r="D1012" s="239" t="str">
        <f>IF(C1012="","",VLOOKUP($B1012,勘定科目!$A:$E,4,0))</f>
        <v/>
      </c>
      <c r="E1012" s="245"/>
      <c r="F1012" s="240"/>
      <c r="G1012" s="241"/>
      <c r="H1012" s="241"/>
      <c r="I1012" s="241"/>
      <c r="J1012" s="241"/>
      <c r="K1012" s="241"/>
      <c r="L1012" s="241"/>
      <c r="M1012" s="241"/>
      <c r="N1012" s="241"/>
      <c r="O1012" s="241"/>
      <c r="P1012" s="241"/>
      <c r="Q1012" s="241"/>
      <c r="R1012" s="200"/>
      <c r="S1012" s="201"/>
      <c r="T1012" s="202"/>
      <c r="U1012" s="246"/>
      <c r="V1012" s="246"/>
      <c r="W1012" s="246"/>
      <c r="BA1012"/>
      <c r="BB1012"/>
    </row>
    <row r="1013" spans="1:54" s="191" customFormat="1" ht="13.5">
      <c r="A1013" s="182"/>
      <c r="B1013" s="178"/>
      <c r="C1013" s="183" t="str">
        <f>IFERROR(IF(VLOOKUP($B1013,勘定科目!$A:$H,HLOOKUP($E$5,勘定科目!$F$1:$H$2,2,0),0)="","",VLOOKUP($B1013,勘定科目!$A:$E,2,0)),"")</f>
        <v/>
      </c>
      <c r="D1013" s="239" t="str">
        <f>IF(C1013="","",VLOOKUP($B1013,勘定科目!$A:$E,4,0))</f>
        <v/>
      </c>
      <c r="E1013" s="245"/>
      <c r="F1013" s="240"/>
      <c r="G1013" s="241"/>
      <c r="H1013" s="241"/>
      <c r="I1013" s="241"/>
      <c r="J1013" s="241"/>
      <c r="K1013" s="241"/>
      <c r="L1013" s="241"/>
      <c r="M1013" s="241"/>
      <c r="N1013" s="241"/>
      <c r="O1013" s="241"/>
      <c r="P1013" s="241"/>
      <c r="Q1013" s="241"/>
      <c r="R1013" s="200"/>
      <c r="S1013" s="201"/>
      <c r="T1013" s="202"/>
      <c r="U1013" s="246"/>
      <c r="V1013" s="246"/>
      <c r="W1013" s="246"/>
      <c r="BA1013"/>
      <c r="BB1013"/>
    </row>
    <row r="1014" spans="1:54" s="191" customFormat="1" ht="13.5">
      <c r="A1014" s="182"/>
      <c r="B1014" s="178"/>
      <c r="C1014" s="183" t="str">
        <f>IFERROR(IF(VLOOKUP($B1014,勘定科目!$A:$H,HLOOKUP($E$5,勘定科目!$F$1:$H$2,2,0),0)="","",VLOOKUP($B1014,勘定科目!$A:$E,2,0)),"")</f>
        <v/>
      </c>
      <c r="D1014" s="239" t="str">
        <f>IF(C1014="","",VLOOKUP($B1014,勘定科目!$A:$E,4,0))</f>
        <v/>
      </c>
      <c r="E1014" s="245"/>
      <c r="F1014" s="240"/>
      <c r="G1014" s="241"/>
      <c r="H1014" s="241"/>
      <c r="I1014" s="241"/>
      <c r="J1014" s="241"/>
      <c r="K1014" s="241"/>
      <c r="L1014" s="241"/>
      <c r="M1014" s="241"/>
      <c r="N1014" s="241"/>
      <c r="O1014" s="241"/>
      <c r="P1014" s="241"/>
      <c r="Q1014" s="241"/>
      <c r="R1014" s="200"/>
      <c r="S1014" s="201"/>
      <c r="T1014" s="202"/>
      <c r="U1014" s="246"/>
      <c r="V1014" s="246"/>
      <c r="W1014" s="246"/>
      <c r="BA1014"/>
      <c r="BB1014"/>
    </row>
    <row r="1015" spans="1:54" s="191" customFormat="1" ht="13.5">
      <c r="A1015" s="182"/>
      <c r="B1015" s="178"/>
      <c r="C1015" s="183" t="str">
        <f>IFERROR(IF(VLOOKUP($B1015,勘定科目!$A:$H,HLOOKUP($E$5,勘定科目!$F$1:$H$2,2,0),0)="","",VLOOKUP($B1015,勘定科目!$A:$E,2,0)),"")</f>
        <v/>
      </c>
      <c r="D1015" s="239" t="str">
        <f>IF(C1015="","",VLOOKUP($B1015,勘定科目!$A:$E,4,0))</f>
        <v/>
      </c>
      <c r="E1015" s="245"/>
      <c r="F1015" s="240"/>
      <c r="G1015" s="241"/>
      <c r="H1015" s="241"/>
      <c r="I1015" s="241"/>
      <c r="J1015" s="241"/>
      <c r="K1015" s="241"/>
      <c r="L1015" s="241"/>
      <c r="M1015" s="241"/>
      <c r="N1015" s="241"/>
      <c r="O1015" s="241"/>
      <c r="P1015" s="241"/>
      <c r="Q1015" s="241"/>
      <c r="R1015" s="200"/>
      <c r="S1015" s="201"/>
      <c r="T1015" s="202"/>
      <c r="U1015" s="246"/>
      <c r="V1015" s="246"/>
      <c r="W1015" s="246"/>
      <c r="BA1015"/>
      <c r="BB1015"/>
    </row>
    <row r="1016" spans="1:54" s="191" customFormat="1" ht="13.5">
      <c r="A1016" s="182"/>
      <c r="B1016" s="178"/>
      <c r="C1016" s="183" t="str">
        <f>IFERROR(IF(VLOOKUP($B1016,勘定科目!$A:$H,HLOOKUP($E$5,勘定科目!$F$1:$H$2,2,0),0)="","",VLOOKUP($B1016,勘定科目!$A:$E,2,0)),"")</f>
        <v/>
      </c>
      <c r="D1016" s="239" t="str">
        <f>IF(C1016="","",VLOOKUP($B1016,勘定科目!$A:$E,4,0))</f>
        <v/>
      </c>
      <c r="E1016" s="245"/>
      <c r="F1016" s="240"/>
      <c r="G1016" s="241"/>
      <c r="H1016" s="241"/>
      <c r="I1016" s="241"/>
      <c r="J1016" s="241"/>
      <c r="K1016" s="241"/>
      <c r="L1016" s="241"/>
      <c r="M1016" s="241"/>
      <c r="N1016" s="241"/>
      <c r="O1016" s="241"/>
      <c r="P1016" s="241"/>
      <c r="Q1016" s="241"/>
      <c r="R1016" s="200"/>
      <c r="S1016" s="201"/>
      <c r="T1016" s="202"/>
      <c r="U1016" s="246"/>
      <c r="V1016" s="246"/>
      <c r="W1016" s="246"/>
      <c r="BA1016"/>
      <c r="BB1016"/>
    </row>
    <row r="1017" spans="1:54" s="191" customFormat="1" ht="13.5">
      <c r="A1017" s="182"/>
      <c r="B1017" s="178"/>
      <c r="C1017" s="183" t="str">
        <f>IFERROR(IF(VLOOKUP($B1017,勘定科目!$A:$H,HLOOKUP($E$5,勘定科目!$F$1:$H$2,2,0),0)="","",VLOOKUP($B1017,勘定科目!$A:$E,2,0)),"")</f>
        <v/>
      </c>
      <c r="D1017" s="239" t="str">
        <f>IF(C1017="","",VLOOKUP($B1017,勘定科目!$A:$E,4,0))</f>
        <v/>
      </c>
      <c r="E1017" s="245"/>
      <c r="F1017" s="240"/>
      <c r="G1017" s="241"/>
      <c r="H1017" s="241"/>
      <c r="I1017" s="241"/>
      <c r="J1017" s="241"/>
      <c r="K1017" s="241"/>
      <c r="L1017" s="241"/>
      <c r="M1017" s="241"/>
      <c r="N1017" s="241"/>
      <c r="O1017" s="241"/>
      <c r="P1017" s="241"/>
      <c r="Q1017" s="241"/>
      <c r="R1017" s="200"/>
      <c r="S1017" s="201"/>
      <c r="T1017" s="202"/>
      <c r="U1017" s="246"/>
      <c r="V1017" s="246"/>
      <c r="W1017" s="246"/>
      <c r="BA1017"/>
      <c r="BB1017"/>
    </row>
    <row r="1018" spans="1:54" s="191" customFormat="1" ht="13.5">
      <c r="A1018" s="182"/>
      <c r="B1018" s="178"/>
      <c r="C1018" s="183" t="str">
        <f>IFERROR(IF(VLOOKUP($B1018,勘定科目!$A:$H,HLOOKUP($E$5,勘定科目!$F$1:$H$2,2,0),0)="","",VLOOKUP($B1018,勘定科目!$A:$E,2,0)),"")</f>
        <v/>
      </c>
      <c r="D1018" s="239" t="str">
        <f>IF(C1018="","",VLOOKUP($B1018,勘定科目!$A:$E,4,0))</f>
        <v/>
      </c>
      <c r="E1018" s="245"/>
      <c r="F1018" s="240"/>
      <c r="G1018" s="241"/>
      <c r="H1018" s="241"/>
      <c r="I1018" s="241"/>
      <c r="J1018" s="241"/>
      <c r="K1018" s="241"/>
      <c r="L1018" s="241"/>
      <c r="M1018" s="241"/>
      <c r="N1018" s="241"/>
      <c r="O1018" s="241"/>
      <c r="P1018" s="241"/>
      <c r="Q1018" s="241"/>
      <c r="R1018" s="200"/>
      <c r="S1018" s="201"/>
      <c r="T1018" s="202"/>
      <c r="U1018" s="246"/>
      <c r="V1018" s="246"/>
      <c r="W1018" s="246"/>
      <c r="BA1018"/>
      <c r="BB1018"/>
    </row>
    <row r="1019" spans="1:54" s="191" customFormat="1" ht="13.5">
      <c r="A1019" s="182"/>
      <c r="B1019" s="178"/>
      <c r="C1019" s="183" t="str">
        <f>IFERROR(IF(VLOOKUP($B1019,勘定科目!$A:$H,HLOOKUP($E$5,勘定科目!$F$1:$H$2,2,0),0)="","",VLOOKUP($B1019,勘定科目!$A:$E,2,0)),"")</f>
        <v/>
      </c>
      <c r="D1019" s="239" t="str">
        <f>IF(C1019="","",VLOOKUP($B1019,勘定科目!$A:$E,4,0))</f>
        <v/>
      </c>
      <c r="E1019" s="245"/>
      <c r="F1019" s="240"/>
      <c r="G1019" s="241"/>
      <c r="H1019" s="241"/>
      <c r="I1019" s="241"/>
      <c r="J1019" s="241"/>
      <c r="K1019" s="241"/>
      <c r="L1019" s="241"/>
      <c r="M1019" s="241"/>
      <c r="N1019" s="241"/>
      <c r="O1019" s="241"/>
      <c r="P1019" s="241"/>
      <c r="Q1019" s="241"/>
      <c r="R1019" s="200"/>
      <c r="S1019" s="201"/>
      <c r="T1019" s="202"/>
      <c r="U1019" s="246"/>
      <c r="V1019" s="246"/>
      <c r="W1019" s="246"/>
      <c r="BA1019"/>
      <c r="BB1019"/>
    </row>
    <row r="1020" spans="1:54" s="191" customFormat="1" ht="13.5">
      <c r="A1020" s="182"/>
      <c r="B1020" s="178"/>
      <c r="C1020" s="183" t="str">
        <f>IFERROR(IF(VLOOKUP($B1020,勘定科目!$A:$H,HLOOKUP($E$5,勘定科目!$F$1:$H$2,2,0),0)="","",VLOOKUP($B1020,勘定科目!$A:$E,2,0)),"")</f>
        <v/>
      </c>
      <c r="D1020" s="239" t="str">
        <f>IF(C1020="","",VLOOKUP($B1020,勘定科目!$A:$E,4,0))</f>
        <v/>
      </c>
      <c r="E1020" s="245"/>
      <c r="F1020" s="240"/>
      <c r="G1020" s="241"/>
      <c r="H1020" s="241"/>
      <c r="I1020" s="241"/>
      <c r="J1020" s="241"/>
      <c r="K1020" s="241"/>
      <c r="L1020" s="241"/>
      <c r="M1020" s="241"/>
      <c r="N1020" s="241"/>
      <c r="O1020" s="241"/>
      <c r="P1020" s="241"/>
      <c r="Q1020" s="241"/>
      <c r="R1020" s="200"/>
      <c r="S1020" s="201"/>
      <c r="T1020" s="202"/>
      <c r="U1020" s="246"/>
      <c r="V1020" s="246"/>
      <c r="W1020" s="246"/>
      <c r="BA1020"/>
      <c r="BB1020"/>
    </row>
    <row r="1021" spans="1:54" s="191" customFormat="1" ht="13.5">
      <c r="A1021" s="182"/>
      <c r="B1021" s="178"/>
      <c r="C1021" s="183" t="str">
        <f>IFERROR(IF(VLOOKUP($B1021,勘定科目!$A:$H,HLOOKUP($E$5,勘定科目!$F$1:$H$2,2,0),0)="","",VLOOKUP($B1021,勘定科目!$A:$E,2,0)),"")</f>
        <v/>
      </c>
      <c r="D1021" s="239" t="str">
        <f>IF(C1021="","",VLOOKUP($B1021,勘定科目!$A:$E,4,0))</f>
        <v/>
      </c>
      <c r="E1021" s="245"/>
      <c r="F1021" s="240"/>
      <c r="G1021" s="241"/>
      <c r="H1021" s="241"/>
      <c r="I1021" s="241"/>
      <c r="J1021" s="241"/>
      <c r="K1021" s="241"/>
      <c r="L1021" s="241"/>
      <c r="M1021" s="241"/>
      <c r="N1021" s="241"/>
      <c r="O1021" s="241"/>
      <c r="P1021" s="241"/>
      <c r="Q1021" s="241"/>
      <c r="R1021" s="200"/>
      <c r="S1021" s="201"/>
      <c r="T1021" s="202"/>
      <c r="U1021" s="246"/>
      <c r="V1021" s="246"/>
      <c r="W1021" s="246"/>
      <c r="BA1021"/>
      <c r="BB1021"/>
    </row>
    <row r="1022" spans="1:54" s="191" customFormat="1" ht="13.5">
      <c r="A1022" s="182"/>
      <c r="B1022" s="178"/>
      <c r="C1022" s="183" t="str">
        <f>IFERROR(IF(VLOOKUP($B1022,勘定科目!$A:$H,HLOOKUP($E$5,勘定科目!$F$1:$H$2,2,0),0)="","",VLOOKUP($B1022,勘定科目!$A:$E,2,0)),"")</f>
        <v/>
      </c>
      <c r="D1022" s="239" t="str">
        <f>IF(C1022="","",VLOOKUP($B1022,勘定科目!$A:$E,4,0))</f>
        <v/>
      </c>
      <c r="E1022" s="245"/>
      <c r="F1022" s="240"/>
      <c r="G1022" s="241"/>
      <c r="H1022" s="241"/>
      <c r="I1022" s="241"/>
      <c r="J1022" s="241"/>
      <c r="K1022" s="241"/>
      <c r="L1022" s="241"/>
      <c r="M1022" s="241"/>
      <c r="N1022" s="241"/>
      <c r="O1022" s="241"/>
      <c r="P1022" s="241"/>
      <c r="Q1022" s="241"/>
      <c r="R1022" s="200"/>
      <c r="S1022" s="201"/>
      <c r="T1022" s="202"/>
      <c r="U1022" s="246"/>
      <c r="V1022" s="246"/>
      <c r="W1022" s="246"/>
      <c r="BA1022"/>
      <c r="BB1022"/>
    </row>
    <row r="1023" spans="1:54" s="191" customFormat="1" ht="13.5">
      <c r="A1023" s="182"/>
      <c r="B1023" s="178"/>
      <c r="C1023" s="183" t="str">
        <f>IFERROR(IF(VLOOKUP($B1023,勘定科目!$A:$H,HLOOKUP($E$5,勘定科目!$F$1:$H$2,2,0),0)="","",VLOOKUP($B1023,勘定科目!$A:$E,2,0)),"")</f>
        <v/>
      </c>
      <c r="D1023" s="239" t="str">
        <f>IF(C1023="","",VLOOKUP($B1023,勘定科目!$A:$E,4,0))</f>
        <v/>
      </c>
      <c r="E1023" s="245"/>
      <c r="F1023" s="240"/>
      <c r="G1023" s="241"/>
      <c r="H1023" s="241"/>
      <c r="I1023" s="241"/>
      <c r="J1023" s="241"/>
      <c r="K1023" s="241"/>
      <c r="L1023" s="241"/>
      <c r="M1023" s="241"/>
      <c r="N1023" s="241"/>
      <c r="O1023" s="241"/>
      <c r="P1023" s="241"/>
      <c r="Q1023" s="241"/>
      <c r="R1023" s="200"/>
      <c r="S1023" s="201"/>
      <c r="T1023" s="202"/>
      <c r="U1023" s="246"/>
      <c r="V1023" s="246"/>
      <c r="W1023" s="246"/>
      <c r="BA1023"/>
      <c r="BB1023"/>
    </row>
    <row r="1024" spans="1:54" s="191" customFormat="1" ht="13.5">
      <c r="A1024" s="182"/>
      <c r="B1024" s="178"/>
      <c r="C1024" s="183" t="str">
        <f>IFERROR(IF(VLOOKUP($B1024,勘定科目!$A:$H,HLOOKUP($E$5,勘定科目!$F$1:$H$2,2,0),0)="","",VLOOKUP($B1024,勘定科目!$A:$E,2,0)),"")</f>
        <v/>
      </c>
      <c r="D1024" s="239" t="str">
        <f>IF(C1024="","",VLOOKUP($B1024,勘定科目!$A:$E,4,0))</f>
        <v/>
      </c>
      <c r="E1024" s="245"/>
      <c r="F1024" s="240"/>
      <c r="G1024" s="241"/>
      <c r="H1024" s="241"/>
      <c r="I1024" s="241"/>
      <c r="J1024" s="241"/>
      <c r="K1024" s="241"/>
      <c r="L1024" s="241"/>
      <c r="M1024" s="241"/>
      <c r="N1024" s="241"/>
      <c r="O1024" s="241"/>
      <c r="P1024" s="241"/>
      <c r="Q1024" s="241"/>
      <c r="R1024" s="200"/>
      <c r="S1024" s="201"/>
      <c r="T1024" s="202"/>
      <c r="U1024" s="246"/>
      <c r="V1024" s="246"/>
      <c r="W1024" s="246"/>
      <c r="BA1024"/>
      <c r="BB1024"/>
    </row>
    <row r="1025" spans="1:54" s="191" customFormat="1" ht="13.5">
      <c r="A1025" s="182"/>
      <c r="B1025" s="178"/>
      <c r="C1025" s="183" t="str">
        <f>IFERROR(IF(VLOOKUP($B1025,勘定科目!$A:$H,HLOOKUP($E$5,勘定科目!$F$1:$H$2,2,0),0)="","",VLOOKUP($B1025,勘定科目!$A:$E,2,0)),"")</f>
        <v/>
      </c>
      <c r="D1025" s="239" t="str">
        <f>IF(C1025="","",VLOOKUP($B1025,勘定科目!$A:$E,4,0))</f>
        <v/>
      </c>
      <c r="E1025" s="245"/>
      <c r="F1025" s="240"/>
      <c r="G1025" s="241"/>
      <c r="H1025" s="241"/>
      <c r="I1025" s="241"/>
      <c r="J1025" s="241"/>
      <c r="K1025" s="241"/>
      <c r="L1025" s="241"/>
      <c r="M1025" s="241"/>
      <c r="N1025" s="241"/>
      <c r="O1025" s="241"/>
      <c r="P1025" s="241"/>
      <c r="Q1025" s="241"/>
      <c r="R1025" s="200"/>
      <c r="S1025" s="201"/>
      <c r="T1025" s="202"/>
      <c r="U1025" s="246"/>
      <c r="V1025" s="246"/>
      <c r="W1025" s="246"/>
      <c r="BA1025"/>
      <c r="BB1025"/>
    </row>
    <row r="1026" spans="1:54" s="191" customFormat="1" ht="13.5">
      <c r="A1026" s="182"/>
      <c r="B1026" s="178"/>
      <c r="C1026" s="183" t="str">
        <f>IFERROR(IF(VLOOKUP($B1026,勘定科目!$A:$H,HLOOKUP($E$5,勘定科目!$F$1:$H$2,2,0),0)="","",VLOOKUP($B1026,勘定科目!$A:$E,2,0)),"")</f>
        <v/>
      </c>
      <c r="D1026" s="239" t="str">
        <f>IF(C1026="","",VLOOKUP($B1026,勘定科目!$A:$E,4,0))</f>
        <v/>
      </c>
      <c r="E1026" s="245"/>
      <c r="F1026" s="240"/>
      <c r="G1026" s="241"/>
      <c r="H1026" s="241"/>
      <c r="I1026" s="241"/>
      <c r="J1026" s="241"/>
      <c r="K1026" s="241"/>
      <c r="L1026" s="241"/>
      <c r="M1026" s="241"/>
      <c r="N1026" s="241"/>
      <c r="O1026" s="241"/>
      <c r="P1026" s="241"/>
      <c r="Q1026" s="241"/>
      <c r="R1026" s="200"/>
      <c r="S1026" s="201"/>
      <c r="T1026" s="202"/>
      <c r="U1026" s="246"/>
      <c r="V1026" s="246"/>
      <c r="W1026" s="246"/>
      <c r="BA1026"/>
      <c r="BB1026"/>
    </row>
    <row r="1027" spans="1:54" s="191" customFormat="1" ht="13.5">
      <c r="A1027" s="182"/>
      <c r="B1027" s="178"/>
      <c r="C1027" s="183" t="str">
        <f>IFERROR(IF(VLOOKUP($B1027,勘定科目!$A:$H,HLOOKUP($E$5,勘定科目!$F$1:$H$2,2,0),0)="","",VLOOKUP($B1027,勘定科目!$A:$E,2,0)),"")</f>
        <v/>
      </c>
      <c r="D1027" s="239" t="str">
        <f>IF(C1027="","",VLOOKUP($B1027,勘定科目!$A:$E,4,0))</f>
        <v/>
      </c>
      <c r="E1027" s="245"/>
      <c r="F1027" s="240"/>
      <c r="G1027" s="241"/>
      <c r="H1027" s="241"/>
      <c r="I1027" s="241"/>
      <c r="J1027" s="241"/>
      <c r="K1027" s="241"/>
      <c r="L1027" s="241"/>
      <c r="M1027" s="241"/>
      <c r="N1027" s="241"/>
      <c r="O1027" s="241"/>
      <c r="P1027" s="241"/>
      <c r="Q1027" s="241"/>
      <c r="R1027" s="200"/>
      <c r="S1027" s="201"/>
      <c r="T1027" s="202"/>
      <c r="U1027" s="246"/>
      <c r="V1027" s="246"/>
      <c r="W1027" s="246"/>
      <c r="BA1027"/>
      <c r="BB1027"/>
    </row>
    <row r="1028" spans="1:54" s="191" customFormat="1" ht="13.5">
      <c r="A1028" s="182"/>
      <c r="B1028" s="178"/>
      <c r="C1028" s="183" t="str">
        <f>IFERROR(IF(VLOOKUP($B1028,勘定科目!$A:$H,HLOOKUP($E$5,勘定科目!$F$1:$H$2,2,0),0)="","",VLOOKUP($B1028,勘定科目!$A:$E,2,0)),"")</f>
        <v/>
      </c>
      <c r="D1028" s="239" t="str">
        <f>IF(C1028="","",VLOOKUP($B1028,勘定科目!$A:$E,4,0))</f>
        <v/>
      </c>
      <c r="E1028" s="245"/>
      <c r="F1028" s="240"/>
      <c r="G1028" s="241"/>
      <c r="H1028" s="241"/>
      <c r="I1028" s="241"/>
      <c r="J1028" s="241"/>
      <c r="K1028" s="241"/>
      <c r="L1028" s="241"/>
      <c r="M1028" s="241"/>
      <c r="N1028" s="241"/>
      <c r="O1028" s="241"/>
      <c r="P1028" s="241"/>
      <c r="Q1028" s="241"/>
      <c r="R1028" s="200"/>
      <c r="S1028" s="201"/>
      <c r="T1028" s="202"/>
      <c r="U1028" s="246"/>
      <c r="V1028" s="246"/>
      <c r="W1028" s="246"/>
      <c r="BA1028"/>
      <c r="BB1028"/>
    </row>
    <row r="1029" spans="1:54" s="191" customFormat="1" ht="13.5">
      <c r="A1029" s="182"/>
      <c r="B1029" s="178"/>
      <c r="C1029" s="183" t="str">
        <f>IFERROR(IF(VLOOKUP($B1029,勘定科目!$A:$H,HLOOKUP($E$5,勘定科目!$F$1:$H$2,2,0),0)="","",VLOOKUP($B1029,勘定科目!$A:$E,2,0)),"")</f>
        <v/>
      </c>
      <c r="D1029" s="239" t="str">
        <f>IF(C1029="","",VLOOKUP($B1029,勘定科目!$A:$E,4,0))</f>
        <v/>
      </c>
      <c r="E1029" s="245"/>
      <c r="F1029" s="240"/>
      <c r="G1029" s="241"/>
      <c r="H1029" s="241"/>
      <c r="I1029" s="241"/>
      <c r="J1029" s="241"/>
      <c r="K1029" s="241"/>
      <c r="L1029" s="241"/>
      <c r="M1029" s="241"/>
      <c r="N1029" s="241"/>
      <c r="O1029" s="241"/>
      <c r="P1029" s="241"/>
      <c r="Q1029" s="241"/>
      <c r="R1029" s="200"/>
      <c r="S1029" s="201"/>
      <c r="T1029" s="202"/>
      <c r="U1029" s="246"/>
      <c r="V1029" s="246"/>
      <c r="W1029" s="246"/>
      <c r="BA1029"/>
      <c r="BB1029"/>
    </row>
    <row r="1030" spans="1:54" s="191" customFormat="1" ht="13.5">
      <c r="A1030" s="182"/>
      <c r="B1030" s="178"/>
      <c r="C1030" s="183" t="str">
        <f>IFERROR(IF(VLOOKUP($B1030,勘定科目!$A:$H,HLOOKUP($E$5,勘定科目!$F$1:$H$2,2,0),0)="","",VLOOKUP($B1030,勘定科目!$A:$E,2,0)),"")</f>
        <v/>
      </c>
      <c r="D1030" s="239" t="str">
        <f>IF(C1030="","",VLOOKUP($B1030,勘定科目!$A:$E,4,0))</f>
        <v/>
      </c>
      <c r="E1030" s="245"/>
      <c r="F1030" s="240"/>
      <c r="G1030" s="241"/>
      <c r="H1030" s="241"/>
      <c r="I1030" s="241"/>
      <c r="J1030" s="241"/>
      <c r="K1030" s="241"/>
      <c r="L1030" s="241"/>
      <c r="M1030" s="241"/>
      <c r="N1030" s="241"/>
      <c r="O1030" s="241"/>
      <c r="P1030" s="241"/>
      <c r="Q1030" s="241"/>
      <c r="R1030" s="200"/>
      <c r="S1030" s="201"/>
      <c r="T1030" s="202"/>
      <c r="U1030" s="246"/>
      <c r="V1030" s="246"/>
      <c r="W1030" s="246"/>
      <c r="BA1030"/>
      <c r="BB1030"/>
    </row>
    <row r="1031" spans="1:54" s="191" customFormat="1" ht="13.5">
      <c r="A1031" s="182"/>
      <c r="B1031" s="178"/>
      <c r="C1031" s="183" t="str">
        <f>IFERROR(IF(VLOOKUP($B1031,勘定科目!$A:$H,HLOOKUP($E$5,勘定科目!$F$1:$H$2,2,0),0)="","",VLOOKUP($B1031,勘定科目!$A:$E,2,0)),"")</f>
        <v/>
      </c>
      <c r="D1031" s="239" t="str">
        <f>IF(C1031="","",VLOOKUP($B1031,勘定科目!$A:$E,4,0))</f>
        <v/>
      </c>
      <c r="E1031" s="245"/>
      <c r="F1031" s="240"/>
      <c r="G1031" s="241"/>
      <c r="H1031" s="241"/>
      <c r="I1031" s="241"/>
      <c r="J1031" s="241"/>
      <c r="K1031" s="241"/>
      <c r="L1031" s="241"/>
      <c r="M1031" s="241"/>
      <c r="N1031" s="241"/>
      <c r="O1031" s="241"/>
      <c r="P1031" s="241"/>
      <c r="Q1031" s="241"/>
      <c r="R1031" s="200"/>
      <c r="S1031" s="201"/>
      <c r="T1031" s="202"/>
      <c r="U1031" s="246"/>
      <c r="V1031" s="246"/>
      <c r="W1031" s="246"/>
      <c r="BA1031"/>
      <c r="BB1031"/>
    </row>
    <row r="1032" spans="1:54" s="191" customFormat="1" ht="13.5">
      <c r="A1032" s="182"/>
      <c r="B1032" s="178"/>
      <c r="C1032" s="183" t="str">
        <f>IFERROR(IF(VLOOKUP($B1032,勘定科目!$A:$H,HLOOKUP($E$5,勘定科目!$F$1:$H$2,2,0),0)="","",VLOOKUP($B1032,勘定科目!$A:$E,2,0)),"")</f>
        <v/>
      </c>
      <c r="D1032" s="239" t="str">
        <f>IF(C1032="","",VLOOKUP($B1032,勘定科目!$A:$E,4,0))</f>
        <v/>
      </c>
      <c r="E1032" s="245"/>
      <c r="F1032" s="240"/>
      <c r="G1032" s="241"/>
      <c r="H1032" s="241"/>
      <c r="I1032" s="241"/>
      <c r="J1032" s="241"/>
      <c r="K1032" s="241"/>
      <c r="L1032" s="241"/>
      <c r="M1032" s="241"/>
      <c r="N1032" s="241"/>
      <c r="O1032" s="241"/>
      <c r="P1032" s="241"/>
      <c r="Q1032" s="241"/>
      <c r="R1032" s="200"/>
      <c r="S1032" s="201"/>
      <c r="T1032" s="202"/>
      <c r="U1032" s="246"/>
      <c r="V1032" s="246"/>
      <c r="W1032" s="246"/>
      <c r="BA1032"/>
      <c r="BB1032"/>
    </row>
    <row r="1033" spans="1:54" s="191" customFormat="1" ht="13.5">
      <c r="A1033" s="182"/>
      <c r="B1033" s="178"/>
      <c r="C1033" s="183" t="str">
        <f>IFERROR(IF(VLOOKUP($B1033,勘定科目!$A:$H,HLOOKUP($E$5,勘定科目!$F$1:$H$2,2,0),0)="","",VLOOKUP($B1033,勘定科目!$A:$E,2,0)),"")</f>
        <v/>
      </c>
      <c r="D1033" s="239" t="str">
        <f>IF(C1033="","",VLOOKUP($B1033,勘定科目!$A:$E,4,0))</f>
        <v/>
      </c>
      <c r="E1033" s="245"/>
      <c r="F1033" s="240"/>
      <c r="G1033" s="241"/>
      <c r="H1033" s="241"/>
      <c r="I1033" s="241"/>
      <c r="J1033" s="241"/>
      <c r="K1033" s="241"/>
      <c r="L1033" s="241"/>
      <c r="M1033" s="241"/>
      <c r="N1033" s="241"/>
      <c r="O1033" s="241"/>
      <c r="P1033" s="241"/>
      <c r="Q1033" s="241"/>
      <c r="R1033" s="200"/>
      <c r="S1033" s="201"/>
      <c r="T1033" s="202"/>
      <c r="U1033" s="246"/>
      <c r="V1033" s="246"/>
      <c r="W1033" s="246"/>
      <c r="BA1033"/>
      <c r="BB1033"/>
    </row>
    <row r="1034" spans="1:54" s="191" customFormat="1" ht="13.5">
      <c r="A1034" s="182"/>
      <c r="B1034" s="178"/>
      <c r="C1034" s="183" t="str">
        <f>IFERROR(IF(VLOOKUP($B1034,勘定科目!$A:$H,HLOOKUP($E$5,勘定科目!$F$1:$H$2,2,0),0)="","",VLOOKUP($B1034,勘定科目!$A:$E,2,0)),"")</f>
        <v/>
      </c>
      <c r="D1034" s="239" t="str">
        <f>IF(C1034="","",VLOOKUP($B1034,勘定科目!$A:$E,4,0))</f>
        <v/>
      </c>
      <c r="E1034" s="245"/>
      <c r="F1034" s="240"/>
      <c r="G1034" s="241"/>
      <c r="H1034" s="241"/>
      <c r="I1034" s="241"/>
      <c r="J1034" s="241"/>
      <c r="K1034" s="241"/>
      <c r="L1034" s="241"/>
      <c r="M1034" s="241"/>
      <c r="N1034" s="241"/>
      <c r="O1034" s="241"/>
      <c r="P1034" s="241"/>
      <c r="Q1034" s="241"/>
      <c r="R1034" s="200"/>
      <c r="S1034" s="201"/>
      <c r="T1034" s="202"/>
      <c r="U1034" s="246"/>
      <c r="V1034" s="246"/>
      <c r="W1034" s="246"/>
      <c r="BA1034"/>
      <c r="BB1034"/>
    </row>
    <row r="1035" spans="1:54" s="191" customFormat="1" ht="13.5">
      <c r="A1035" s="182"/>
      <c r="B1035" s="178"/>
      <c r="C1035" s="183" t="str">
        <f>IFERROR(IF(VLOOKUP($B1035,勘定科目!$A:$H,HLOOKUP($E$5,勘定科目!$F$1:$H$2,2,0),0)="","",VLOOKUP($B1035,勘定科目!$A:$E,2,0)),"")</f>
        <v/>
      </c>
      <c r="D1035" s="239" t="str">
        <f>IF(C1035="","",VLOOKUP($B1035,勘定科目!$A:$E,4,0))</f>
        <v/>
      </c>
      <c r="E1035" s="245"/>
      <c r="F1035" s="240"/>
      <c r="G1035" s="241"/>
      <c r="H1035" s="241"/>
      <c r="I1035" s="241"/>
      <c r="J1035" s="241"/>
      <c r="K1035" s="241"/>
      <c r="L1035" s="241"/>
      <c r="M1035" s="241"/>
      <c r="N1035" s="241"/>
      <c r="O1035" s="241"/>
      <c r="P1035" s="241"/>
      <c r="Q1035" s="241"/>
      <c r="R1035" s="200"/>
      <c r="S1035" s="201"/>
      <c r="T1035" s="202"/>
      <c r="U1035" s="246"/>
      <c r="V1035" s="246"/>
      <c r="W1035" s="246"/>
      <c r="BA1035"/>
      <c r="BB1035"/>
    </row>
    <row r="1036" spans="1:54" s="191" customFormat="1" ht="13.5">
      <c r="A1036" s="182"/>
      <c r="B1036" s="178"/>
      <c r="C1036" s="183" t="str">
        <f>IFERROR(IF(VLOOKUP($B1036,勘定科目!$A:$H,HLOOKUP($E$5,勘定科目!$F$1:$H$2,2,0),0)="","",VLOOKUP($B1036,勘定科目!$A:$E,2,0)),"")</f>
        <v/>
      </c>
      <c r="D1036" s="239" t="str">
        <f>IF(C1036="","",VLOOKUP($B1036,勘定科目!$A:$E,4,0))</f>
        <v/>
      </c>
      <c r="E1036" s="245"/>
      <c r="F1036" s="240"/>
      <c r="G1036" s="241"/>
      <c r="H1036" s="241"/>
      <c r="I1036" s="241"/>
      <c r="J1036" s="241"/>
      <c r="K1036" s="241"/>
      <c r="L1036" s="241"/>
      <c r="M1036" s="241"/>
      <c r="N1036" s="241"/>
      <c r="O1036" s="241"/>
      <c r="P1036" s="241"/>
      <c r="Q1036" s="241"/>
      <c r="R1036" s="200"/>
      <c r="S1036" s="201"/>
      <c r="T1036" s="202"/>
      <c r="U1036" s="246"/>
      <c r="V1036" s="246"/>
      <c r="W1036" s="246"/>
      <c r="BA1036"/>
      <c r="BB1036"/>
    </row>
    <row r="1037" spans="1:54" s="191" customFormat="1" ht="13.5">
      <c r="A1037" s="182"/>
      <c r="B1037" s="178"/>
      <c r="C1037" s="183" t="str">
        <f>IFERROR(IF(VLOOKUP($B1037,勘定科目!$A:$H,HLOOKUP($E$5,勘定科目!$F$1:$H$2,2,0),0)="","",VLOOKUP($B1037,勘定科目!$A:$E,2,0)),"")</f>
        <v/>
      </c>
      <c r="D1037" s="239" t="str">
        <f>IF(C1037="","",VLOOKUP($B1037,勘定科目!$A:$E,4,0))</f>
        <v/>
      </c>
      <c r="E1037" s="245"/>
      <c r="F1037" s="240"/>
      <c r="G1037" s="241"/>
      <c r="H1037" s="241"/>
      <c r="I1037" s="241"/>
      <c r="J1037" s="241"/>
      <c r="K1037" s="241"/>
      <c r="L1037" s="241"/>
      <c r="M1037" s="241"/>
      <c r="N1037" s="241"/>
      <c r="O1037" s="241"/>
      <c r="P1037" s="241"/>
      <c r="Q1037" s="241"/>
      <c r="R1037" s="200"/>
      <c r="S1037" s="201"/>
      <c r="T1037" s="202"/>
      <c r="U1037" s="246"/>
      <c r="V1037" s="246"/>
      <c r="W1037" s="246"/>
      <c r="BA1037"/>
      <c r="BB1037"/>
    </row>
    <row r="1038" spans="1:54" s="191" customFormat="1" ht="13.5">
      <c r="A1038" s="182"/>
      <c r="B1038" s="178"/>
      <c r="C1038" s="183" t="str">
        <f>IFERROR(IF(VLOOKUP($B1038,勘定科目!$A:$H,HLOOKUP($E$5,勘定科目!$F$1:$H$2,2,0),0)="","",VLOOKUP($B1038,勘定科目!$A:$E,2,0)),"")</f>
        <v/>
      </c>
      <c r="D1038" s="239" t="str">
        <f>IF(C1038="","",VLOOKUP($B1038,勘定科目!$A:$E,4,0))</f>
        <v/>
      </c>
      <c r="E1038" s="245"/>
      <c r="F1038" s="240"/>
      <c r="G1038" s="241"/>
      <c r="H1038" s="241"/>
      <c r="I1038" s="241"/>
      <c r="J1038" s="241"/>
      <c r="K1038" s="241"/>
      <c r="L1038" s="241"/>
      <c r="M1038" s="241"/>
      <c r="N1038" s="241"/>
      <c r="O1038" s="241"/>
      <c r="P1038" s="241"/>
      <c r="Q1038" s="241"/>
      <c r="R1038" s="200"/>
      <c r="S1038" s="201"/>
      <c r="T1038" s="202"/>
      <c r="U1038" s="246"/>
      <c r="V1038" s="246"/>
      <c r="W1038" s="246"/>
      <c r="BA1038"/>
      <c r="BB1038"/>
    </row>
    <row r="1039" spans="1:54" s="191" customFormat="1" ht="13.5">
      <c r="A1039" s="182"/>
      <c r="B1039" s="178"/>
      <c r="C1039" s="183" t="str">
        <f>IFERROR(IF(VLOOKUP($B1039,勘定科目!$A:$H,HLOOKUP($E$5,勘定科目!$F$1:$H$2,2,0),0)="","",VLOOKUP($B1039,勘定科目!$A:$E,2,0)),"")</f>
        <v/>
      </c>
      <c r="D1039" s="239" t="str">
        <f>IF(C1039="","",VLOOKUP($B1039,勘定科目!$A:$E,4,0))</f>
        <v/>
      </c>
      <c r="E1039" s="245"/>
      <c r="F1039" s="240"/>
      <c r="G1039" s="241"/>
      <c r="H1039" s="241"/>
      <c r="I1039" s="241"/>
      <c r="J1039" s="241"/>
      <c r="K1039" s="241"/>
      <c r="L1039" s="241"/>
      <c r="M1039" s="241"/>
      <c r="N1039" s="241"/>
      <c r="O1039" s="241"/>
      <c r="P1039" s="241"/>
      <c r="Q1039" s="241"/>
      <c r="R1039" s="200"/>
      <c r="S1039" s="201"/>
      <c r="T1039" s="202"/>
      <c r="U1039" s="246"/>
      <c r="V1039" s="246"/>
      <c r="W1039" s="246"/>
      <c r="BA1039"/>
      <c r="BB1039"/>
    </row>
    <row r="1040" spans="1:54" s="191" customFormat="1" ht="13.5">
      <c r="A1040" s="182"/>
      <c r="B1040" s="178"/>
      <c r="C1040" s="183" t="str">
        <f>IFERROR(IF(VLOOKUP($B1040,勘定科目!$A:$H,HLOOKUP($E$5,勘定科目!$F$1:$H$2,2,0),0)="","",VLOOKUP($B1040,勘定科目!$A:$E,2,0)),"")</f>
        <v/>
      </c>
      <c r="D1040" s="239" t="str">
        <f>IF(C1040="","",VLOOKUP($B1040,勘定科目!$A:$E,4,0))</f>
        <v/>
      </c>
      <c r="E1040" s="245"/>
      <c r="F1040" s="240"/>
      <c r="G1040" s="241"/>
      <c r="H1040" s="241"/>
      <c r="I1040" s="241"/>
      <c r="J1040" s="241"/>
      <c r="K1040" s="241"/>
      <c r="L1040" s="241"/>
      <c r="M1040" s="241"/>
      <c r="N1040" s="241"/>
      <c r="O1040" s="241"/>
      <c r="P1040" s="241"/>
      <c r="Q1040" s="241"/>
      <c r="R1040" s="200"/>
      <c r="S1040" s="201"/>
      <c r="T1040" s="202"/>
      <c r="U1040" s="246"/>
      <c r="V1040" s="246"/>
      <c r="W1040" s="246"/>
      <c r="BA1040"/>
      <c r="BB1040"/>
    </row>
    <row r="1041" spans="1:54" s="191" customFormat="1" ht="13.5">
      <c r="A1041" s="182"/>
      <c r="B1041" s="178"/>
      <c r="C1041" s="183" t="str">
        <f>IFERROR(IF(VLOOKUP($B1041,勘定科目!$A:$H,HLOOKUP($E$5,勘定科目!$F$1:$H$2,2,0),0)="","",VLOOKUP($B1041,勘定科目!$A:$E,2,0)),"")</f>
        <v/>
      </c>
      <c r="D1041" s="239" t="str">
        <f>IF(C1041="","",VLOOKUP($B1041,勘定科目!$A:$E,4,0))</f>
        <v/>
      </c>
      <c r="E1041" s="245"/>
      <c r="F1041" s="240"/>
      <c r="G1041" s="241"/>
      <c r="H1041" s="241"/>
      <c r="I1041" s="241"/>
      <c r="J1041" s="241"/>
      <c r="K1041" s="241"/>
      <c r="L1041" s="241"/>
      <c r="M1041" s="241"/>
      <c r="N1041" s="241"/>
      <c r="O1041" s="241"/>
      <c r="P1041" s="241"/>
      <c r="Q1041" s="241"/>
      <c r="R1041" s="200"/>
      <c r="S1041" s="201"/>
      <c r="T1041" s="202"/>
      <c r="U1041" s="246"/>
      <c r="V1041" s="246"/>
      <c r="W1041" s="246"/>
      <c r="BA1041"/>
      <c r="BB1041"/>
    </row>
    <row r="1042" spans="1:54" s="191" customFormat="1" ht="13.5">
      <c r="A1042" s="182"/>
      <c r="B1042" s="178"/>
      <c r="C1042" s="183" t="str">
        <f>IFERROR(IF(VLOOKUP($B1042,勘定科目!$A:$H,HLOOKUP($E$5,勘定科目!$F$1:$H$2,2,0),0)="","",VLOOKUP($B1042,勘定科目!$A:$E,2,0)),"")</f>
        <v/>
      </c>
      <c r="D1042" s="239" t="str">
        <f>IF(C1042="","",VLOOKUP($B1042,勘定科目!$A:$E,4,0))</f>
        <v/>
      </c>
      <c r="E1042" s="245"/>
      <c r="F1042" s="240"/>
      <c r="G1042" s="241"/>
      <c r="H1042" s="241"/>
      <c r="I1042" s="241"/>
      <c r="J1042" s="241"/>
      <c r="K1042" s="241"/>
      <c r="L1042" s="241"/>
      <c r="M1042" s="241"/>
      <c r="N1042" s="241"/>
      <c r="O1042" s="241"/>
      <c r="P1042" s="241"/>
      <c r="Q1042" s="241"/>
      <c r="R1042" s="200"/>
      <c r="S1042" s="201"/>
      <c r="T1042" s="202"/>
      <c r="U1042" s="246"/>
      <c r="V1042" s="246"/>
      <c r="W1042" s="246"/>
      <c r="BA1042"/>
      <c r="BB1042"/>
    </row>
    <row r="1043" spans="1:54" s="191" customFormat="1" ht="13.5">
      <c r="A1043" s="182"/>
      <c r="B1043" s="178"/>
      <c r="C1043" s="183" t="str">
        <f>IFERROR(IF(VLOOKUP($B1043,勘定科目!$A:$H,HLOOKUP($E$5,勘定科目!$F$1:$H$2,2,0),0)="","",VLOOKUP($B1043,勘定科目!$A:$E,2,0)),"")</f>
        <v/>
      </c>
      <c r="D1043" s="239" t="str">
        <f>IF(C1043="","",VLOOKUP($B1043,勘定科目!$A:$E,4,0))</f>
        <v/>
      </c>
      <c r="E1043" s="245"/>
      <c r="F1043" s="240"/>
      <c r="G1043" s="241"/>
      <c r="H1043" s="241"/>
      <c r="I1043" s="241"/>
      <c r="J1043" s="241"/>
      <c r="K1043" s="241"/>
      <c r="L1043" s="241"/>
      <c r="M1043" s="241"/>
      <c r="N1043" s="241"/>
      <c r="O1043" s="241"/>
      <c r="P1043" s="241"/>
      <c r="Q1043" s="241"/>
      <c r="R1043" s="200"/>
      <c r="S1043" s="201"/>
      <c r="T1043" s="202"/>
      <c r="U1043" s="246"/>
      <c r="V1043" s="246"/>
      <c r="W1043" s="246"/>
      <c r="BA1043"/>
      <c r="BB1043"/>
    </row>
    <row r="1044" spans="1:54" s="191" customFormat="1" ht="13.5">
      <c r="A1044" s="182"/>
      <c r="B1044" s="178"/>
      <c r="C1044" s="183" t="str">
        <f>IFERROR(IF(VLOOKUP($B1044,勘定科目!$A:$H,HLOOKUP($E$5,勘定科目!$F$1:$H$2,2,0),0)="","",VLOOKUP($B1044,勘定科目!$A:$E,2,0)),"")</f>
        <v/>
      </c>
      <c r="D1044" s="239" t="str">
        <f>IF(C1044="","",VLOOKUP($B1044,勘定科目!$A:$E,4,0))</f>
        <v/>
      </c>
      <c r="E1044" s="245"/>
      <c r="F1044" s="240"/>
      <c r="G1044" s="241"/>
      <c r="H1044" s="241"/>
      <c r="I1044" s="241"/>
      <c r="J1044" s="241"/>
      <c r="K1044" s="241"/>
      <c r="L1044" s="241"/>
      <c r="M1044" s="241"/>
      <c r="N1044" s="241"/>
      <c r="O1044" s="241"/>
      <c r="P1044" s="241"/>
      <c r="Q1044" s="241"/>
      <c r="R1044" s="200"/>
      <c r="S1044" s="201"/>
      <c r="T1044" s="202"/>
      <c r="U1044" s="246"/>
      <c r="V1044" s="246"/>
      <c r="W1044" s="246"/>
      <c r="BA1044"/>
      <c r="BB1044"/>
    </row>
    <row r="1045" spans="1:54" s="191" customFormat="1" ht="13.5">
      <c r="A1045" s="182"/>
      <c r="B1045" s="178"/>
      <c r="C1045" s="183" t="str">
        <f>IFERROR(IF(VLOOKUP($B1045,勘定科目!$A:$H,HLOOKUP($E$5,勘定科目!$F$1:$H$2,2,0),0)="","",VLOOKUP($B1045,勘定科目!$A:$E,2,0)),"")</f>
        <v/>
      </c>
      <c r="D1045" s="239" t="str">
        <f>IF(C1045="","",VLOOKUP($B1045,勘定科目!$A:$E,4,0))</f>
        <v/>
      </c>
      <c r="E1045" s="245"/>
      <c r="F1045" s="240"/>
      <c r="G1045" s="241"/>
      <c r="H1045" s="241"/>
      <c r="I1045" s="241"/>
      <c r="J1045" s="241"/>
      <c r="K1045" s="241"/>
      <c r="L1045" s="241"/>
      <c r="M1045" s="241"/>
      <c r="N1045" s="241"/>
      <c r="O1045" s="241"/>
      <c r="P1045" s="241"/>
      <c r="Q1045" s="241"/>
      <c r="R1045" s="200"/>
      <c r="S1045" s="201"/>
      <c r="T1045" s="202"/>
      <c r="U1045" s="246"/>
      <c r="V1045" s="246"/>
      <c r="W1045" s="246"/>
      <c r="BA1045"/>
      <c r="BB1045"/>
    </row>
    <row r="1046" spans="1:54" s="191" customFormat="1" ht="13.5">
      <c r="A1046" s="182"/>
      <c r="B1046" s="178"/>
      <c r="C1046" s="183" t="str">
        <f>IFERROR(IF(VLOOKUP($B1046,勘定科目!$A:$H,HLOOKUP($E$5,勘定科目!$F$1:$H$2,2,0),0)="","",VLOOKUP($B1046,勘定科目!$A:$E,2,0)),"")</f>
        <v/>
      </c>
      <c r="D1046" s="239" t="str">
        <f>IF(C1046="","",VLOOKUP($B1046,勘定科目!$A:$E,4,0))</f>
        <v/>
      </c>
      <c r="E1046" s="245"/>
      <c r="F1046" s="240"/>
      <c r="G1046" s="241"/>
      <c r="H1046" s="241"/>
      <c r="I1046" s="241"/>
      <c r="J1046" s="241"/>
      <c r="K1046" s="241"/>
      <c r="L1046" s="241"/>
      <c r="M1046" s="241"/>
      <c r="N1046" s="241"/>
      <c r="O1046" s="241"/>
      <c r="P1046" s="241"/>
      <c r="Q1046" s="241"/>
      <c r="R1046" s="200"/>
      <c r="S1046" s="201"/>
      <c r="T1046" s="202"/>
      <c r="U1046" s="246"/>
      <c r="V1046" s="246"/>
      <c r="W1046" s="246"/>
      <c r="BA1046"/>
      <c r="BB1046"/>
    </row>
    <row r="1047" spans="1:54" s="191" customFormat="1" ht="13.5">
      <c r="A1047" s="182"/>
      <c r="B1047" s="178"/>
      <c r="C1047" s="183" t="str">
        <f>IFERROR(IF(VLOOKUP($B1047,勘定科目!$A:$H,HLOOKUP($E$5,勘定科目!$F$1:$H$2,2,0),0)="","",VLOOKUP($B1047,勘定科目!$A:$E,2,0)),"")</f>
        <v/>
      </c>
      <c r="D1047" s="239" t="str">
        <f>IF(C1047="","",VLOOKUP($B1047,勘定科目!$A:$E,4,0))</f>
        <v/>
      </c>
      <c r="E1047" s="245"/>
      <c r="F1047" s="240"/>
      <c r="G1047" s="241"/>
      <c r="H1047" s="241"/>
      <c r="I1047" s="241"/>
      <c r="J1047" s="241"/>
      <c r="K1047" s="241"/>
      <c r="L1047" s="241"/>
      <c r="M1047" s="241"/>
      <c r="N1047" s="241"/>
      <c r="O1047" s="241"/>
      <c r="P1047" s="241"/>
      <c r="Q1047" s="241"/>
      <c r="R1047" s="200"/>
      <c r="S1047" s="201"/>
      <c r="T1047" s="202"/>
      <c r="U1047" s="246"/>
      <c r="V1047" s="246"/>
      <c r="W1047" s="246"/>
      <c r="BA1047"/>
      <c r="BB1047"/>
    </row>
    <row r="1048" spans="1:54" s="191" customFormat="1" ht="13.5">
      <c r="A1048" s="182"/>
      <c r="B1048" s="178"/>
      <c r="C1048" s="183" t="str">
        <f>IFERROR(IF(VLOOKUP($B1048,勘定科目!$A:$H,HLOOKUP($E$5,勘定科目!$F$1:$H$2,2,0),0)="","",VLOOKUP($B1048,勘定科目!$A:$E,2,0)),"")</f>
        <v/>
      </c>
      <c r="D1048" s="239" t="str">
        <f>IF(C1048="","",VLOOKUP($B1048,勘定科目!$A:$E,4,0))</f>
        <v/>
      </c>
      <c r="E1048" s="245"/>
      <c r="F1048" s="240"/>
      <c r="G1048" s="241"/>
      <c r="H1048" s="241"/>
      <c r="I1048" s="241"/>
      <c r="J1048" s="241"/>
      <c r="K1048" s="241"/>
      <c r="L1048" s="241"/>
      <c r="M1048" s="241"/>
      <c r="N1048" s="241"/>
      <c r="O1048" s="241"/>
      <c r="P1048" s="241"/>
      <c r="Q1048" s="241"/>
      <c r="R1048" s="200"/>
      <c r="S1048" s="201"/>
      <c r="T1048" s="202"/>
      <c r="U1048" s="246"/>
      <c r="V1048" s="246"/>
      <c r="W1048" s="246"/>
      <c r="BA1048"/>
      <c r="BB1048"/>
    </row>
    <row r="1049" spans="1:54" s="191" customFormat="1" ht="13.5">
      <c r="A1049" s="182"/>
      <c r="B1049" s="178"/>
      <c r="C1049" s="183" t="str">
        <f>IFERROR(IF(VLOOKUP($B1049,勘定科目!$A:$H,HLOOKUP($E$5,勘定科目!$F$1:$H$2,2,0),0)="","",VLOOKUP($B1049,勘定科目!$A:$E,2,0)),"")</f>
        <v/>
      </c>
      <c r="D1049" s="239" t="str">
        <f>IF(C1049="","",VLOOKUP($B1049,勘定科目!$A:$E,4,0))</f>
        <v/>
      </c>
      <c r="E1049" s="245"/>
      <c r="F1049" s="240"/>
      <c r="G1049" s="241"/>
      <c r="H1049" s="241"/>
      <c r="I1049" s="241"/>
      <c r="J1049" s="241"/>
      <c r="K1049" s="241"/>
      <c r="L1049" s="241"/>
      <c r="M1049" s="241"/>
      <c r="N1049" s="241"/>
      <c r="O1049" s="241"/>
      <c r="P1049" s="241"/>
      <c r="Q1049" s="241"/>
      <c r="R1049" s="200"/>
      <c r="S1049" s="201"/>
      <c r="T1049" s="202"/>
      <c r="U1049" s="246"/>
      <c r="V1049" s="246"/>
      <c r="W1049" s="246"/>
      <c r="BA1049"/>
      <c r="BB1049"/>
    </row>
    <row r="1050" spans="1:54" s="191" customFormat="1" ht="13.5">
      <c r="A1050" s="182"/>
      <c r="B1050" s="178"/>
      <c r="C1050" s="183" t="str">
        <f>IFERROR(IF(VLOOKUP($B1050,勘定科目!$A:$H,HLOOKUP($E$5,勘定科目!$F$1:$H$2,2,0),0)="","",VLOOKUP($B1050,勘定科目!$A:$E,2,0)),"")</f>
        <v/>
      </c>
      <c r="D1050" s="239" t="str">
        <f>IF(C1050="","",VLOOKUP($B1050,勘定科目!$A:$E,4,0))</f>
        <v/>
      </c>
      <c r="E1050" s="245"/>
      <c r="F1050" s="240"/>
      <c r="G1050" s="241"/>
      <c r="H1050" s="241"/>
      <c r="I1050" s="241"/>
      <c r="J1050" s="241"/>
      <c r="K1050" s="241"/>
      <c r="L1050" s="241"/>
      <c r="M1050" s="241"/>
      <c r="N1050" s="241"/>
      <c r="O1050" s="241"/>
      <c r="P1050" s="241"/>
      <c r="Q1050" s="241"/>
      <c r="R1050" s="200"/>
      <c r="S1050" s="201"/>
      <c r="T1050" s="202"/>
      <c r="U1050" s="246"/>
      <c r="V1050" s="246"/>
      <c r="W1050" s="246"/>
      <c r="BA1050"/>
      <c r="BB1050"/>
    </row>
    <row r="1051" spans="1:54" s="191" customFormat="1" ht="13.5">
      <c r="A1051" s="182"/>
      <c r="B1051" s="178"/>
      <c r="C1051" s="183" t="str">
        <f>IFERROR(IF(VLOOKUP($B1051,勘定科目!$A:$H,HLOOKUP($E$5,勘定科目!$F$1:$H$2,2,0),0)="","",VLOOKUP($B1051,勘定科目!$A:$E,2,0)),"")</f>
        <v/>
      </c>
      <c r="D1051" s="239" t="str">
        <f>IF(C1051="","",VLOOKUP($B1051,勘定科目!$A:$E,4,0))</f>
        <v/>
      </c>
      <c r="E1051" s="245"/>
      <c r="F1051" s="240"/>
      <c r="G1051" s="241"/>
      <c r="H1051" s="241"/>
      <c r="I1051" s="241"/>
      <c r="J1051" s="241"/>
      <c r="K1051" s="241"/>
      <c r="L1051" s="241"/>
      <c r="M1051" s="241"/>
      <c r="N1051" s="241"/>
      <c r="O1051" s="241"/>
      <c r="P1051" s="241"/>
      <c r="Q1051" s="241"/>
      <c r="R1051" s="200"/>
      <c r="S1051" s="201"/>
      <c r="T1051" s="202"/>
      <c r="U1051" s="246"/>
      <c r="V1051" s="246"/>
      <c r="W1051" s="246"/>
      <c r="BA1051"/>
      <c r="BB1051"/>
    </row>
    <row r="1052" spans="1:54" s="191" customFormat="1" ht="13.5">
      <c r="A1052" s="182"/>
      <c r="B1052" s="178"/>
      <c r="C1052" s="183" t="str">
        <f>IFERROR(IF(VLOOKUP($B1052,勘定科目!$A:$H,HLOOKUP($E$5,勘定科目!$F$1:$H$2,2,0),0)="","",VLOOKUP($B1052,勘定科目!$A:$E,2,0)),"")</f>
        <v/>
      </c>
      <c r="D1052" s="239" t="str">
        <f>IF(C1052="","",VLOOKUP($B1052,勘定科目!$A:$E,4,0))</f>
        <v/>
      </c>
      <c r="E1052" s="245"/>
      <c r="F1052" s="240"/>
      <c r="G1052" s="241"/>
      <c r="H1052" s="241"/>
      <c r="I1052" s="241"/>
      <c r="J1052" s="241"/>
      <c r="K1052" s="241"/>
      <c r="L1052" s="241"/>
      <c r="M1052" s="241"/>
      <c r="N1052" s="241"/>
      <c r="O1052" s="241"/>
      <c r="P1052" s="241"/>
      <c r="Q1052" s="241"/>
      <c r="R1052" s="200"/>
      <c r="S1052" s="201"/>
      <c r="T1052" s="202"/>
      <c r="U1052" s="246"/>
      <c r="V1052" s="246"/>
      <c r="W1052" s="246"/>
      <c r="BA1052"/>
      <c r="BB1052"/>
    </row>
    <row r="1053" spans="1:54" s="191" customFormat="1" ht="13.5">
      <c r="A1053" s="182"/>
      <c r="B1053" s="178"/>
      <c r="C1053" s="183" t="str">
        <f>IFERROR(IF(VLOOKUP($B1053,勘定科目!$A:$H,HLOOKUP($E$5,勘定科目!$F$1:$H$2,2,0),0)="","",VLOOKUP($B1053,勘定科目!$A:$E,2,0)),"")</f>
        <v/>
      </c>
      <c r="D1053" s="239" t="str">
        <f>IF(C1053="","",VLOOKUP($B1053,勘定科目!$A:$E,4,0))</f>
        <v/>
      </c>
      <c r="E1053" s="245"/>
      <c r="F1053" s="240"/>
      <c r="G1053" s="241"/>
      <c r="H1053" s="241"/>
      <c r="I1053" s="241"/>
      <c r="J1053" s="241"/>
      <c r="K1053" s="241"/>
      <c r="L1053" s="241"/>
      <c r="M1053" s="241"/>
      <c r="N1053" s="241"/>
      <c r="O1053" s="241"/>
      <c r="P1053" s="241"/>
      <c r="Q1053" s="241"/>
      <c r="R1053" s="200"/>
      <c r="S1053" s="201"/>
      <c r="T1053" s="202"/>
      <c r="U1053" s="246"/>
      <c r="V1053" s="246"/>
      <c r="W1053" s="246"/>
      <c r="BA1053"/>
      <c r="BB1053"/>
    </row>
    <row r="1054" spans="1:54" s="191" customFormat="1" ht="13.5">
      <c r="A1054" s="182"/>
      <c r="B1054" s="178"/>
      <c r="C1054" s="183" t="str">
        <f>IFERROR(IF(VLOOKUP($B1054,勘定科目!$A:$H,HLOOKUP($E$5,勘定科目!$F$1:$H$2,2,0),0)="","",VLOOKUP($B1054,勘定科目!$A:$E,2,0)),"")</f>
        <v/>
      </c>
      <c r="D1054" s="239" t="str">
        <f>IF(C1054="","",VLOOKUP($B1054,勘定科目!$A:$E,4,0))</f>
        <v/>
      </c>
      <c r="E1054" s="245"/>
      <c r="F1054" s="240"/>
      <c r="G1054" s="241"/>
      <c r="H1054" s="241"/>
      <c r="I1054" s="241"/>
      <c r="J1054" s="241"/>
      <c r="K1054" s="241"/>
      <c r="L1054" s="241"/>
      <c r="M1054" s="241"/>
      <c r="N1054" s="241"/>
      <c r="O1054" s="241"/>
      <c r="P1054" s="241"/>
      <c r="Q1054" s="241"/>
      <c r="R1054" s="200"/>
      <c r="S1054" s="201"/>
      <c r="T1054" s="202"/>
      <c r="U1054" s="246"/>
      <c r="V1054" s="246"/>
      <c r="W1054" s="246"/>
      <c r="BA1054"/>
      <c r="BB1054"/>
    </row>
    <row r="1055" spans="1:54" s="191" customFormat="1" ht="13.5">
      <c r="A1055" s="182"/>
      <c r="B1055" s="178"/>
      <c r="C1055" s="183" t="str">
        <f>IFERROR(IF(VLOOKUP($B1055,勘定科目!$A:$H,HLOOKUP($E$5,勘定科目!$F$1:$H$2,2,0),0)="","",VLOOKUP($B1055,勘定科目!$A:$E,2,0)),"")</f>
        <v/>
      </c>
      <c r="D1055" s="239" t="str">
        <f>IF(C1055="","",VLOOKUP($B1055,勘定科目!$A:$E,4,0))</f>
        <v/>
      </c>
      <c r="E1055" s="245"/>
      <c r="F1055" s="240"/>
      <c r="G1055" s="241"/>
      <c r="H1055" s="241"/>
      <c r="I1055" s="241"/>
      <c r="J1055" s="241"/>
      <c r="K1055" s="241"/>
      <c r="L1055" s="241"/>
      <c r="M1055" s="241"/>
      <c r="N1055" s="241"/>
      <c r="O1055" s="241"/>
      <c r="P1055" s="241"/>
      <c r="Q1055" s="241"/>
      <c r="R1055" s="200"/>
      <c r="S1055" s="201"/>
      <c r="T1055" s="202"/>
      <c r="U1055" s="246"/>
      <c r="V1055" s="246"/>
      <c r="W1055" s="246"/>
      <c r="BA1055"/>
      <c r="BB1055"/>
    </row>
    <row r="1056" spans="1:54" s="191" customFormat="1" ht="13.5">
      <c r="A1056" s="182"/>
      <c r="B1056" s="178"/>
      <c r="C1056" s="183" t="str">
        <f>IFERROR(IF(VLOOKUP($B1056,勘定科目!$A:$H,HLOOKUP($E$5,勘定科目!$F$1:$H$2,2,0),0)="","",VLOOKUP($B1056,勘定科目!$A:$E,2,0)),"")</f>
        <v/>
      </c>
      <c r="D1056" s="239" t="str">
        <f>IF(C1056="","",VLOOKUP($B1056,勘定科目!$A:$E,4,0))</f>
        <v/>
      </c>
      <c r="E1056" s="245"/>
      <c r="F1056" s="240"/>
      <c r="G1056" s="241"/>
      <c r="H1056" s="241"/>
      <c r="I1056" s="241"/>
      <c r="J1056" s="241"/>
      <c r="K1056" s="241"/>
      <c r="L1056" s="241"/>
      <c r="M1056" s="241"/>
      <c r="N1056" s="241"/>
      <c r="O1056" s="241"/>
      <c r="P1056" s="241"/>
      <c r="Q1056" s="241"/>
      <c r="R1056" s="200"/>
      <c r="S1056" s="201"/>
      <c r="T1056" s="202"/>
      <c r="U1056" s="246"/>
      <c r="V1056" s="246"/>
      <c r="W1056" s="246"/>
      <c r="BA1056"/>
      <c r="BB1056"/>
    </row>
    <row r="1057" spans="1:54" s="191" customFormat="1" ht="13.5">
      <c r="A1057" s="182"/>
      <c r="B1057" s="178"/>
      <c r="C1057" s="183" t="str">
        <f>IFERROR(IF(VLOOKUP($B1057,勘定科目!$A:$H,HLOOKUP($E$5,勘定科目!$F$1:$H$2,2,0),0)="","",VLOOKUP($B1057,勘定科目!$A:$E,2,0)),"")</f>
        <v/>
      </c>
      <c r="D1057" s="239" t="str">
        <f>IF(C1057="","",VLOOKUP($B1057,勘定科目!$A:$E,4,0))</f>
        <v/>
      </c>
      <c r="E1057" s="245"/>
      <c r="F1057" s="240"/>
      <c r="G1057" s="241"/>
      <c r="H1057" s="241"/>
      <c r="I1057" s="241"/>
      <c r="J1057" s="241"/>
      <c r="K1057" s="241"/>
      <c r="L1057" s="241"/>
      <c r="M1057" s="241"/>
      <c r="N1057" s="241"/>
      <c r="O1057" s="241"/>
      <c r="P1057" s="241"/>
      <c r="Q1057" s="241"/>
      <c r="R1057" s="200"/>
      <c r="S1057" s="201"/>
      <c r="T1057" s="202"/>
      <c r="U1057" s="246"/>
      <c r="V1057" s="246"/>
      <c r="W1057" s="246"/>
      <c r="BA1057"/>
      <c r="BB1057"/>
    </row>
    <row r="1058" spans="1:54" s="191" customFormat="1" ht="13.5">
      <c r="A1058" s="182"/>
      <c r="B1058" s="178"/>
      <c r="C1058" s="183" t="str">
        <f>IFERROR(IF(VLOOKUP($B1058,勘定科目!$A:$H,HLOOKUP($E$5,勘定科目!$F$1:$H$2,2,0),0)="","",VLOOKUP($B1058,勘定科目!$A:$E,2,0)),"")</f>
        <v/>
      </c>
      <c r="D1058" s="239" t="str">
        <f>IF(C1058="","",VLOOKUP($B1058,勘定科目!$A:$E,4,0))</f>
        <v/>
      </c>
      <c r="E1058" s="245"/>
      <c r="F1058" s="240"/>
      <c r="G1058" s="241"/>
      <c r="H1058" s="241"/>
      <c r="I1058" s="241"/>
      <c r="J1058" s="241"/>
      <c r="K1058" s="241"/>
      <c r="L1058" s="241"/>
      <c r="M1058" s="241"/>
      <c r="N1058" s="241"/>
      <c r="O1058" s="241"/>
      <c r="P1058" s="241"/>
      <c r="Q1058" s="241"/>
      <c r="R1058" s="200"/>
      <c r="S1058" s="201"/>
      <c r="T1058" s="202"/>
      <c r="U1058" s="246"/>
      <c r="V1058" s="246"/>
      <c r="W1058" s="246"/>
      <c r="BA1058"/>
      <c r="BB1058"/>
    </row>
    <row r="1059" spans="1:54" s="191" customFormat="1" ht="13.5">
      <c r="A1059" s="182"/>
      <c r="B1059" s="178"/>
      <c r="C1059" s="183" t="str">
        <f>IFERROR(IF(VLOOKUP($B1059,勘定科目!$A:$H,HLOOKUP($E$5,勘定科目!$F$1:$H$2,2,0),0)="","",VLOOKUP($B1059,勘定科目!$A:$E,2,0)),"")</f>
        <v/>
      </c>
      <c r="D1059" s="239" t="str">
        <f>IF(C1059="","",VLOOKUP($B1059,勘定科目!$A:$E,4,0))</f>
        <v/>
      </c>
      <c r="E1059" s="245"/>
      <c r="F1059" s="240"/>
      <c r="G1059" s="241"/>
      <c r="H1059" s="241"/>
      <c r="I1059" s="241"/>
      <c r="J1059" s="241"/>
      <c r="K1059" s="241"/>
      <c r="L1059" s="241"/>
      <c r="M1059" s="241"/>
      <c r="N1059" s="241"/>
      <c r="O1059" s="241"/>
      <c r="P1059" s="241"/>
      <c r="Q1059" s="241"/>
      <c r="R1059" s="200"/>
      <c r="S1059" s="201"/>
      <c r="T1059" s="202"/>
      <c r="U1059" s="246"/>
      <c r="V1059" s="246"/>
      <c r="W1059" s="246"/>
      <c r="BA1059"/>
      <c r="BB1059"/>
    </row>
    <row r="1060" spans="1:54" s="191" customFormat="1" ht="13.5">
      <c r="A1060" s="182"/>
      <c r="B1060" s="178"/>
      <c r="C1060" s="183" t="str">
        <f>IFERROR(IF(VLOOKUP($B1060,勘定科目!$A:$H,HLOOKUP($E$5,勘定科目!$F$1:$H$2,2,0),0)="","",VLOOKUP($B1060,勘定科目!$A:$E,2,0)),"")</f>
        <v/>
      </c>
      <c r="D1060" s="239" t="str">
        <f>IF(C1060="","",VLOOKUP($B1060,勘定科目!$A:$E,4,0))</f>
        <v/>
      </c>
      <c r="E1060" s="245"/>
      <c r="F1060" s="240"/>
      <c r="G1060" s="241"/>
      <c r="H1060" s="241"/>
      <c r="I1060" s="241"/>
      <c r="J1060" s="241"/>
      <c r="K1060" s="241"/>
      <c r="L1060" s="241"/>
      <c r="M1060" s="241"/>
      <c r="N1060" s="241"/>
      <c r="O1060" s="241"/>
      <c r="P1060" s="241"/>
      <c r="Q1060" s="241"/>
      <c r="R1060" s="200"/>
      <c r="S1060" s="201"/>
      <c r="T1060" s="202"/>
      <c r="U1060" s="246"/>
      <c r="V1060" s="246"/>
      <c r="W1060" s="246"/>
      <c r="BA1060"/>
      <c r="BB1060"/>
    </row>
  </sheetData>
  <autoFilter ref="A7:T859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59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工程品質管理3課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641</v>
      </c>
      <c r="R3" s="290" t="s">
        <v>642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684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590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591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675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685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686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687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688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689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676</v>
      </c>
      <c r="C239"/>
      <c r="D239" t="s">
        <v>676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677</v>
      </c>
      <c r="C240"/>
      <c r="D240" t="s">
        <v>677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673</v>
      </c>
      <c r="C245" s="107" t="s">
        <v>674</v>
      </c>
      <c r="D245" s="107" t="s">
        <v>45</v>
      </c>
      <c r="E245" s="107" t="s">
        <v>356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31" activePane="bottomLeft" state="frozen"/>
      <selection pane="bottomLeft" activeCell="A43" sqref="A43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663</v>
      </c>
      <c r="C2" s="292" t="s">
        <v>592</v>
      </c>
      <c r="D2" s="291" t="s">
        <v>159</v>
      </c>
      <c r="E2" s="291" t="s">
        <v>159</v>
      </c>
      <c r="G2" s="291" t="s">
        <v>638</v>
      </c>
    </row>
    <row r="3" spans="1:7">
      <c r="A3" s="295">
        <v>1412000005</v>
      </c>
      <c r="B3" s="293" t="s">
        <v>664</v>
      </c>
      <c r="C3" s="292" t="s">
        <v>593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644</v>
      </c>
      <c r="C4" s="292" t="s">
        <v>595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597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598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657</v>
      </c>
      <c r="C7" s="292" t="s">
        <v>599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617</v>
      </c>
      <c r="C8" s="292" t="s">
        <v>618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619</v>
      </c>
      <c r="C9" s="292" t="s">
        <v>620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596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604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605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606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643</v>
      </c>
      <c r="C14" s="292" t="s">
        <v>609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612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613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614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665</v>
      </c>
      <c r="C18" s="292" t="s">
        <v>607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603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602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601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624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587</v>
      </c>
      <c r="C23" s="292" t="s">
        <v>625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626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627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628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630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631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632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633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634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635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636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637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666</v>
      </c>
      <c r="C35" s="292" t="s">
        <v>600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594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586</v>
      </c>
      <c r="C37" s="292" t="s">
        <v>608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583</v>
      </c>
      <c r="C38" s="292" t="s">
        <v>615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584</v>
      </c>
      <c r="C39" s="292" t="s">
        <v>616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588</v>
      </c>
      <c r="C40" s="292" t="s">
        <v>629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645</v>
      </c>
      <c r="C41" s="292" t="s">
        <v>610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585</v>
      </c>
      <c r="C42" s="292" t="s">
        <v>611</v>
      </c>
      <c r="D42" s="291" t="s">
        <v>444</v>
      </c>
      <c r="E42" s="291" t="s">
        <v>159</v>
      </c>
    </row>
    <row r="43" spans="1:5">
      <c r="A43" s="301">
        <v>1412000105</v>
      </c>
      <c r="B43" s="302" t="s">
        <v>691</v>
      </c>
      <c r="C43" s="303">
        <v>70</v>
      </c>
      <c r="D43" s="304" t="s">
        <v>444</v>
      </c>
      <c r="E43" s="291" t="s">
        <v>159</v>
      </c>
    </row>
    <row r="44" spans="1:5">
      <c r="A44" s="294">
        <v>1412000057</v>
      </c>
      <c r="B44" s="293" t="s">
        <v>621</v>
      </c>
      <c r="C44" s="292" t="s">
        <v>622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667</v>
      </c>
      <c r="C45" s="292" t="s">
        <v>623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646</v>
      </c>
      <c r="C46" s="292" t="s">
        <v>639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647</v>
      </c>
      <c r="C47" s="292" t="s">
        <v>649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648</v>
      </c>
      <c r="C48" s="292" t="s">
        <v>653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650</v>
      </c>
      <c r="C49" s="292" t="s">
        <v>654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651</v>
      </c>
      <c r="C50" s="292" t="s">
        <v>655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652</v>
      </c>
      <c r="C51" s="292" t="s">
        <v>656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659</v>
      </c>
      <c r="C52" s="296" t="s">
        <v>658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660</v>
      </c>
      <c r="C53" s="296" t="s">
        <v>661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668</v>
      </c>
      <c r="C54" s="296" t="s">
        <v>662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669</v>
      </c>
      <c r="C55" s="296" t="s">
        <v>680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670</v>
      </c>
      <c r="C56" s="296" t="s">
        <v>681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678</v>
      </c>
      <c r="C57" s="296" t="s">
        <v>682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679</v>
      </c>
      <c r="C58" s="296" t="s">
        <v>683</v>
      </c>
      <c r="D58" s="291" t="s">
        <v>159</v>
      </c>
      <c r="E58" s="291" t="s">
        <v>159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672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Bùi Thị Nga(Bui Thi Nga)</cp:lastModifiedBy>
  <cp:lastPrinted>2017-10-06T02:39:42Z</cp:lastPrinted>
  <dcterms:created xsi:type="dcterms:W3CDTF">2002-04-10T08:05:47Z</dcterms:created>
  <dcterms:modified xsi:type="dcterms:W3CDTF">2025-07-04T06:45:22Z</dcterms:modified>
</cp:coreProperties>
</file>