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⑪General Affairs &amp; HR(総務人事)\01.THIET BI\DUYÊN\Master plan\"/>
    </mc:Choice>
  </mc:AlternateContent>
  <xr:revisionPtr revIDLastSave="0" documentId="13_ncr:1_{B684E7B8-D465-4256-8C8D-A70686D6B60D}" xr6:coauthVersionLast="47" xr6:coauthVersionMax="47" xr10:uidLastSave="{00000000-0000-0000-0000-000000000000}"/>
  <bookViews>
    <workbookView xWindow="-110" yWindow="-110" windowWidth="19420" windowHeight="1030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'内訳ﾘｽﾄ(4～3月)'!$A$7:$U$582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6" i="10" l="1"/>
  <c r="C86" i="10"/>
  <c r="D86" i="10" s="1"/>
  <c r="R45" i="10"/>
  <c r="R47" i="10"/>
  <c r="R46" i="10"/>
  <c r="R132" i="10"/>
  <c r="R97" i="10"/>
  <c r="R96" i="10"/>
  <c r="I317" i="10"/>
  <c r="R317" i="10" s="1"/>
  <c r="Q312" i="10"/>
  <c r="R195" i="10"/>
  <c r="J307" i="10"/>
  <c r="L307" i="10"/>
  <c r="M307" i="10"/>
  <c r="N307" i="10"/>
  <c r="O307" i="10"/>
  <c r="R312" i="10"/>
  <c r="M305" i="10" l="1"/>
  <c r="L316" i="10"/>
  <c r="K310" i="10"/>
  <c r="G314" i="10"/>
  <c r="G313" i="10"/>
  <c r="N315" i="10"/>
  <c r="R355" i="10" l="1"/>
  <c r="R356" i="10"/>
  <c r="R357" i="10"/>
  <c r="R358" i="10"/>
  <c r="R359" i="10"/>
  <c r="R222" i="10"/>
  <c r="M130" i="10"/>
  <c r="R50" i="10"/>
  <c r="R49" i="10"/>
  <c r="R105" i="10"/>
  <c r="R106" i="10"/>
  <c r="N56" i="10"/>
  <c r="R387" i="10"/>
  <c r="R386" i="10"/>
  <c r="R385" i="10"/>
  <c r="R384" i="10"/>
  <c r="R383" i="10"/>
  <c r="R382" i="10"/>
  <c r="R381" i="10"/>
  <c r="R380" i="10"/>
  <c r="R281" i="10" l="1"/>
  <c r="R280" i="10"/>
  <c r="R279" i="10"/>
  <c r="R278" i="10"/>
  <c r="R277" i="10"/>
  <c r="R276" i="10"/>
  <c r="R275" i="10"/>
  <c r="R245" i="10" l="1"/>
  <c r="M303" i="10" l="1"/>
  <c r="P311" i="10" l="1"/>
  <c r="R62" i="10" l="1"/>
  <c r="R82" i="10"/>
  <c r="R93" i="10"/>
  <c r="R92" i="10"/>
  <c r="R306" i="10"/>
  <c r="R104" i="10"/>
  <c r="R103" i="10"/>
  <c r="R102" i="10"/>
  <c r="R100" i="10"/>
  <c r="R99" i="10"/>
  <c r="R98" i="10"/>
  <c r="R187" i="10"/>
  <c r="R186" i="10"/>
  <c r="R185" i="10"/>
  <c r="R177" i="10"/>
  <c r="O178" i="10"/>
  <c r="L178" i="10"/>
  <c r="I178" i="10"/>
  <c r="F178" i="10"/>
  <c r="L176" i="10" l="1"/>
  <c r="K175" i="10"/>
  <c r="R173" i="10"/>
  <c r="R174" i="10"/>
  <c r="R115" i="10" l="1"/>
  <c r="R114" i="10"/>
  <c r="R113" i="10"/>
  <c r="R112" i="10"/>
  <c r="R111" i="10"/>
  <c r="R110" i="10"/>
  <c r="R109" i="10"/>
  <c r="R108" i="10"/>
  <c r="R53" i="10" l="1"/>
  <c r="R52" i="10"/>
  <c r="R51" i="10"/>
  <c r="R48" i="10"/>
  <c r="R128" i="10"/>
  <c r="R127" i="10"/>
  <c r="R40" i="10"/>
  <c r="R41" i="10"/>
  <c r="Q80" i="10" l="1"/>
  <c r="N80" i="10"/>
  <c r="F80" i="10"/>
  <c r="R56" i="10"/>
  <c r="R57" i="10"/>
  <c r="R220" i="10"/>
  <c r="R55" i="10"/>
  <c r="R54" i="10"/>
  <c r="Q126" i="10"/>
  <c r="K126" i="10"/>
  <c r="Q125" i="10"/>
  <c r="K125" i="10"/>
  <c r="Q124" i="10"/>
  <c r="K124" i="10"/>
  <c r="K123" i="10"/>
  <c r="Q123" i="10"/>
  <c r="R218" i="10"/>
  <c r="R126" i="10" l="1"/>
  <c r="R124" i="10"/>
  <c r="R125" i="10"/>
  <c r="R123" i="10"/>
  <c r="Q64" i="10"/>
  <c r="M64" i="10"/>
  <c r="I64" i="10"/>
  <c r="F64" i="10"/>
  <c r="R182" i="10"/>
  <c r="R374" i="10" l="1"/>
  <c r="R375" i="10"/>
  <c r="R376" i="10"/>
  <c r="R377" i="10"/>
  <c r="R378" i="10"/>
  <c r="R379" i="10"/>
  <c r="R301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67" i="10"/>
  <c r="R166" i="10"/>
  <c r="R165" i="10"/>
  <c r="R164" i="10"/>
  <c r="R141" i="10"/>
  <c r="R140" i="10"/>
  <c r="R139" i="10"/>
  <c r="R138" i="10"/>
  <c r="R134" i="10"/>
  <c r="R178" i="10"/>
  <c r="R176" i="10"/>
  <c r="R175" i="10"/>
  <c r="R172" i="10"/>
  <c r="R171" i="10"/>
  <c r="R170" i="10"/>
  <c r="R169" i="10"/>
  <c r="R168" i="10"/>
  <c r="R116" i="10"/>
  <c r="R117" i="10"/>
  <c r="R118" i="10"/>
  <c r="R119" i="10"/>
  <c r="R120" i="10"/>
  <c r="R121" i="10"/>
  <c r="R122" i="10"/>
  <c r="R129" i="10"/>
  <c r="R130" i="10"/>
  <c r="R131" i="10"/>
  <c r="R133" i="10"/>
  <c r="R179" i="10"/>
  <c r="R180" i="10"/>
  <c r="R181" i="10"/>
  <c r="R135" i="10"/>
  <c r="R136" i="10"/>
  <c r="R183" i="10"/>
  <c r="R184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45" i="10" s="1"/>
  <c r="D45" i="10" s="1"/>
  <c r="D5" i="10"/>
  <c r="K70" i="5" s="1"/>
  <c r="K70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H98" i="5"/>
  <c r="G98" i="5"/>
  <c r="F98" i="5"/>
  <c r="F98" i="32" s="1"/>
  <c r="E98" i="5"/>
  <c r="E98" i="32" s="1"/>
  <c r="D98" i="5"/>
  <c r="D98" i="32" s="1"/>
  <c r="C98" i="5"/>
  <c r="C98" i="32" s="1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92" i="5"/>
  <c r="M92" i="5"/>
  <c r="M92" i="32" s="1"/>
  <c r="L92" i="5"/>
  <c r="K92" i="5"/>
  <c r="K92" i="32" s="1"/>
  <c r="J92" i="5"/>
  <c r="J92" i="32" s="1"/>
  <c r="I92" i="5"/>
  <c r="H92" i="5"/>
  <c r="G92" i="5"/>
  <c r="G92" i="32" s="1"/>
  <c r="F92" i="5"/>
  <c r="F92" i="32" s="1"/>
  <c r="E92" i="5"/>
  <c r="D92" i="5"/>
  <c r="D92" i="32" s="1"/>
  <c r="C92" i="5"/>
  <c r="C92" i="32" s="1"/>
  <c r="N88" i="5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M87" i="32" s="1"/>
  <c r="L87" i="5"/>
  <c r="K87" i="5"/>
  <c r="K87" i="32" s="1"/>
  <c r="J87" i="5"/>
  <c r="J87" i="32" s="1"/>
  <c r="I87" i="5"/>
  <c r="I87" i="32" s="1"/>
  <c r="H87" i="5"/>
  <c r="H87" i="32" s="1"/>
  <c r="G87" i="5"/>
  <c r="G87" i="32" s="1"/>
  <c r="F87" i="5"/>
  <c r="F87" i="32" s="1"/>
  <c r="E87" i="5"/>
  <c r="E87" i="32" s="1"/>
  <c r="D87" i="5"/>
  <c r="D87" i="32" s="1"/>
  <c r="C87" i="5"/>
  <c r="C87" i="32" s="1"/>
  <c r="N74" i="5"/>
  <c r="N74" i="32" s="1"/>
  <c r="M74" i="5"/>
  <c r="M74" i="32" s="1"/>
  <c r="L74" i="5"/>
  <c r="K74" i="5"/>
  <c r="K74" i="32" s="1"/>
  <c r="J74" i="5"/>
  <c r="J74" i="32" s="1"/>
  <c r="I74" i="5"/>
  <c r="I74" i="32" s="1"/>
  <c r="H74" i="5"/>
  <c r="H74" i="32" s="1"/>
  <c r="G74" i="5"/>
  <c r="G74" i="32" s="1"/>
  <c r="F74" i="5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1" i="10"/>
  <c r="R320" i="10"/>
  <c r="R319" i="10"/>
  <c r="R316" i="10"/>
  <c r="R315" i="10"/>
  <c r="R314" i="10"/>
  <c r="R313" i="10"/>
  <c r="R311" i="10"/>
  <c r="R310" i="10"/>
  <c r="R309" i="10"/>
  <c r="R308" i="10"/>
  <c r="R307" i="10"/>
  <c r="R305" i="10"/>
  <c r="R303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3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4" i="10"/>
  <c r="R243" i="10"/>
  <c r="R242" i="10"/>
  <c r="R241" i="10"/>
  <c r="R240" i="10"/>
  <c r="R239" i="10"/>
  <c r="R238" i="10"/>
  <c r="R237" i="10"/>
  <c r="R235" i="10"/>
  <c r="R233" i="10"/>
  <c r="R231" i="10"/>
  <c r="R229" i="10"/>
  <c r="R227" i="10"/>
  <c r="R225" i="10"/>
  <c r="R223" i="10"/>
  <c r="R219" i="10"/>
  <c r="R217" i="10"/>
  <c r="R216" i="10"/>
  <c r="R215" i="10"/>
  <c r="R214" i="10"/>
  <c r="R213" i="10"/>
  <c r="R212" i="10"/>
  <c r="R211" i="10"/>
  <c r="R209" i="10"/>
  <c r="R207" i="10"/>
  <c r="R205" i="10"/>
  <c r="R203" i="10"/>
  <c r="R201" i="10"/>
  <c r="R199" i="10"/>
  <c r="R197" i="10"/>
  <c r="R193" i="10"/>
  <c r="R192" i="10"/>
  <c r="R191" i="10"/>
  <c r="R190" i="10"/>
  <c r="R189" i="10"/>
  <c r="R95" i="10"/>
  <c r="R94" i="10"/>
  <c r="R91" i="10"/>
  <c r="R90" i="10"/>
  <c r="R89" i="10"/>
  <c r="R88" i="10"/>
  <c r="R87" i="10"/>
  <c r="R85" i="10"/>
  <c r="R84" i="10"/>
  <c r="R83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1" i="10"/>
  <c r="R60" i="10"/>
  <c r="R58" i="10"/>
  <c r="R44" i="10"/>
  <c r="R43" i="10"/>
  <c r="R42" i="10"/>
  <c r="R137" i="10"/>
  <c r="R39" i="10"/>
  <c r="Q29" i="10"/>
  <c r="Q5" i="10" s="1"/>
  <c r="P29" i="10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C46" i="10" l="1"/>
  <c r="D46" i="10" s="1"/>
  <c r="C47" i="10"/>
  <c r="D47" i="10" s="1"/>
  <c r="C96" i="10"/>
  <c r="D96" i="10" s="1"/>
  <c r="C97" i="10"/>
  <c r="D97" i="10" s="1"/>
  <c r="C101" i="10"/>
  <c r="D101" i="10" s="1"/>
  <c r="C317" i="10"/>
  <c r="D317" i="10" s="1"/>
  <c r="C222" i="10"/>
  <c r="D222" i="10" s="1"/>
  <c r="C312" i="10"/>
  <c r="D312" i="10" s="1"/>
  <c r="C355" i="10"/>
  <c r="D355" i="10" s="1"/>
  <c r="C359" i="10"/>
  <c r="D359" i="10" s="1"/>
  <c r="C356" i="10"/>
  <c r="D356" i="10" s="1"/>
  <c r="C357" i="10"/>
  <c r="D357" i="10" s="1"/>
  <c r="C358" i="10"/>
  <c r="D358" i="10" s="1"/>
  <c r="C50" i="10"/>
  <c r="D50" i="10" s="1"/>
  <c r="C49" i="10"/>
  <c r="D49" i="10" s="1"/>
  <c r="C385" i="10"/>
  <c r="D385" i="10" s="1"/>
  <c r="C382" i="10"/>
  <c r="D382" i="10" s="1"/>
  <c r="C381" i="10"/>
  <c r="D381" i="10" s="1"/>
  <c r="C387" i="10"/>
  <c r="D387" i="10" s="1"/>
  <c r="C380" i="10"/>
  <c r="D380" i="10" s="1"/>
  <c r="C384" i="10"/>
  <c r="D384" i="10" s="1"/>
  <c r="C386" i="10"/>
  <c r="D386" i="10" s="1"/>
  <c r="C383" i="10"/>
  <c r="D383" i="10" s="1"/>
  <c r="C279" i="10"/>
  <c r="D279" i="10" s="1"/>
  <c r="C278" i="10"/>
  <c r="D278" i="10" s="1"/>
  <c r="C276" i="10"/>
  <c r="D276" i="10" s="1"/>
  <c r="C277" i="10"/>
  <c r="D277" i="10" s="1"/>
  <c r="C281" i="10"/>
  <c r="D281" i="10" s="1"/>
  <c r="C275" i="10"/>
  <c r="D275" i="10" s="1"/>
  <c r="C280" i="10"/>
  <c r="D280" i="10" s="1"/>
  <c r="C82" i="10"/>
  <c r="D82" i="10" s="1"/>
  <c r="C245" i="10"/>
  <c r="D245" i="10" s="1"/>
  <c r="C93" i="10"/>
  <c r="D93" i="10" s="1"/>
  <c r="C92" i="10"/>
  <c r="D92" i="10" s="1"/>
  <c r="C306" i="10"/>
  <c r="D306" i="10" s="1"/>
  <c r="C186" i="10"/>
  <c r="D186" i="10" s="1"/>
  <c r="C185" i="10"/>
  <c r="D185" i="10" s="1"/>
  <c r="C104" i="10"/>
  <c r="D104" i="10" s="1"/>
  <c r="C99" i="10"/>
  <c r="D99" i="10" s="1"/>
  <c r="C102" i="10"/>
  <c r="D102" i="10" s="1"/>
  <c r="C177" i="10"/>
  <c r="D177" i="10" s="1"/>
  <c r="C103" i="10"/>
  <c r="D103" i="10" s="1"/>
  <c r="C182" i="10"/>
  <c r="D182" i="10" s="1"/>
  <c r="C98" i="10"/>
  <c r="D98" i="10" s="1"/>
  <c r="C187" i="10"/>
  <c r="D187" i="10" s="1"/>
  <c r="C100" i="10"/>
  <c r="D100" i="10" s="1"/>
  <c r="C174" i="10"/>
  <c r="D174" i="10" s="1"/>
  <c r="C173" i="10"/>
  <c r="D173" i="10" s="1"/>
  <c r="C109" i="10"/>
  <c r="D109" i="10" s="1"/>
  <c r="C110" i="10"/>
  <c r="D110" i="10" s="1"/>
  <c r="C113" i="10"/>
  <c r="D113" i="10" s="1"/>
  <c r="C111" i="10"/>
  <c r="D111" i="10" s="1"/>
  <c r="C112" i="10"/>
  <c r="D112" i="10" s="1"/>
  <c r="C108" i="10"/>
  <c r="D108" i="10" s="1"/>
  <c r="C114" i="10"/>
  <c r="D114" i="10" s="1"/>
  <c r="C115" i="10"/>
  <c r="D115" i="10" s="1"/>
  <c r="C53" i="10"/>
  <c r="D53" i="10" s="1"/>
  <c r="C52" i="10"/>
  <c r="D52" i="10" s="1"/>
  <c r="C51" i="10"/>
  <c r="D51" i="10" s="1"/>
  <c r="C48" i="10"/>
  <c r="D48" i="10" s="1"/>
  <c r="C127" i="10"/>
  <c r="D127" i="10" s="1"/>
  <c r="C128" i="10"/>
  <c r="D128" i="10" s="1"/>
  <c r="C41" i="10"/>
  <c r="D41" i="10" s="1"/>
  <c r="C40" i="10"/>
  <c r="D40" i="10" s="1"/>
  <c r="C62" i="10"/>
  <c r="D62" i="10" s="1"/>
  <c r="C55" i="10"/>
  <c r="D55" i="10" s="1"/>
  <c r="C56" i="10"/>
  <c r="D56" i="10" s="1"/>
  <c r="C54" i="10"/>
  <c r="D54" i="10" s="1"/>
  <c r="C57" i="10"/>
  <c r="D57" i="10" s="1"/>
  <c r="C220" i="10"/>
  <c r="D220" i="10" s="1"/>
  <c r="C218" i="10"/>
  <c r="D218" i="10" s="1"/>
  <c r="C125" i="10"/>
  <c r="D125" i="10" s="1"/>
  <c r="C124" i="10"/>
  <c r="D124" i="10" s="1"/>
  <c r="C123" i="10"/>
  <c r="D123" i="10" s="1"/>
  <c r="C126" i="10"/>
  <c r="D126" i="10" s="1"/>
  <c r="C446" i="10"/>
  <c r="D446" i="10" s="1"/>
  <c r="C574" i="10"/>
  <c r="D574" i="10" s="1"/>
  <c r="C216" i="10"/>
  <c r="D216" i="10" s="1"/>
  <c r="C482" i="10"/>
  <c r="D482" i="10" s="1"/>
  <c r="C301" i="10"/>
  <c r="D301" i="10" s="1"/>
  <c r="C378" i="10"/>
  <c r="D378" i="10" s="1"/>
  <c r="C377" i="10"/>
  <c r="D377" i="10" s="1"/>
  <c r="C376" i="10"/>
  <c r="D376" i="10" s="1"/>
  <c r="C375" i="10"/>
  <c r="D375" i="10" s="1"/>
  <c r="C374" i="10"/>
  <c r="D374" i="10" s="1"/>
  <c r="C373" i="10"/>
  <c r="D373" i="10" s="1"/>
  <c r="C379" i="10"/>
  <c r="D379" i="10" s="1"/>
  <c r="C299" i="10"/>
  <c r="D299" i="10" s="1"/>
  <c r="C298" i="10"/>
  <c r="D298" i="10" s="1"/>
  <c r="C297" i="10"/>
  <c r="D297" i="10" s="1"/>
  <c r="C244" i="10"/>
  <c r="D244" i="10" s="1"/>
  <c r="C273" i="10"/>
  <c r="D273" i="10" s="1"/>
  <c r="C274" i="10"/>
  <c r="D274" i="10" s="1"/>
  <c r="O92" i="5"/>
  <c r="O97" i="5"/>
  <c r="G89" i="5"/>
  <c r="C161" i="10"/>
  <c r="D161" i="10" s="1"/>
  <c r="C153" i="10"/>
  <c r="D153" i="10" s="1"/>
  <c r="C145" i="10"/>
  <c r="D145" i="10" s="1"/>
  <c r="C158" i="10"/>
  <c r="D158" i="10" s="1"/>
  <c r="C150" i="10"/>
  <c r="D150" i="10" s="1"/>
  <c r="C142" i="10"/>
  <c r="D142" i="10" s="1"/>
  <c r="C143" i="10"/>
  <c r="D143" i="10" s="1"/>
  <c r="C163" i="10"/>
  <c r="D163" i="10" s="1"/>
  <c r="C155" i="10"/>
  <c r="D155" i="10" s="1"/>
  <c r="C147" i="10"/>
  <c r="D147" i="10" s="1"/>
  <c r="C151" i="10"/>
  <c r="D151" i="10" s="1"/>
  <c r="C160" i="10"/>
  <c r="D160" i="10" s="1"/>
  <c r="C152" i="10"/>
  <c r="D152" i="10" s="1"/>
  <c r="C144" i="10"/>
  <c r="D144" i="10" s="1"/>
  <c r="C148" i="10"/>
  <c r="D148" i="10" s="1"/>
  <c r="C157" i="10"/>
  <c r="D157" i="10" s="1"/>
  <c r="C149" i="10"/>
  <c r="D149" i="10" s="1"/>
  <c r="C159" i="10"/>
  <c r="D159" i="10" s="1"/>
  <c r="C162" i="10"/>
  <c r="D162" i="10" s="1"/>
  <c r="C154" i="10"/>
  <c r="D154" i="10" s="1"/>
  <c r="C146" i="10"/>
  <c r="D146" i="10" s="1"/>
  <c r="C156" i="10"/>
  <c r="D156" i="10" s="1"/>
  <c r="C140" i="10"/>
  <c r="D140" i="10" s="1"/>
  <c r="C164" i="10"/>
  <c r="D164" i="10" s="1"/>
  <c r="C139" i="10"/>
  <c r="D139" i="10" s="1"/>
  <c r="C167" i="10"/>
  <c r="D167" i="10" s="1"/>
  <c r="C134" i="10"/>
  <c r="D134" i="10" s="1"/>
  <c r="C166" i="10"/>
  <c r="D166" i="10" s="1"/>
  <c r="C141" i="10"/>
  <c r="D141" i="10" s="1"/>
  <c r="C138" i="10"/>
  <c r="D138" i="10" s="1"/>
  <c r="C165" i="10"/>
  <c r="D165" i="10" s="1"/>
  <c r="F99" i="5"/>
  <c r="M89" i="5"/>
  <c r="C171" i="10"/>
  <c r="D171" i="10" s="1"/>
  <c r="C178" i="10"/>
  <c r="D178" i="10" s="1"/>
  <c r="C168" i="10"/>
  <c r="D168" i="10" s="1"/>
  <c r="C170" i="10"/>
  <c r="D170" i="10" s="1"/>
  <c r="C176" i="10"/>
  <c r="D176" i="10" s="1"/>
  <c r="C172" i="10"/>
  <c r="D172" i="10" s="1"/>
  <c r="C169" i="10"/>
  <c r="D169" i="10" s="1"/>
  <c r="C175" i="10"/>
  <c r="D175" i="10" s="1"/>
  <c r="C570" i="10"/>
  <c r="D570" i="10" s="1"/>
  <c r="C129" i="10"/>
  <c r="D129" i="10" s="1"/>
  <c r="C135" i="10"/>
  <c r="D135" i="10" s="1"/>
  <c r="C118" i="10"/>
  <c r="D118" i="10" s="1"/>
  <c r="C133" i="10"/>
  <c r="D133" i="10" s="1"/>
  <c r="C121" i="10"/>
  <c r="D121" i="10" s="1"/>
  <c r="C180" i="10"/>
  <c r="D180" i="10" s="1"/>
  <c r="C119" i="10"/>
  <c r="D119" i="10" s="1"/>
  <c r="C122" i="10"/>
  <c r="D122" i="10" s="1"/>
  <c r="C181" i="10"/>
  <c r="D181" i="10" s="1"/>
  <c r="C183" i="10"/>
  <c r="D183" i="10" s="1"/>
  <c r="C120" i="10"/>
  <c r="D120" i="10" s="1"/>
  <c r="C116" i="10"/>
  <c r="D116" i="10" s="1"/>
  <c r="C130" i="10"/>
  <c r="D130" i="10" s="1"/>
  <c r="C136" i="10"/>
  <c r="D136" i="10" s="1"/>
  <c r="C179" i="10"/>
  <c r="D179" i="10" s="1"/>
  <c r="C184" i="10"/>
  <c r="D184" i="10" s="1"/>
  <c r="C117" i="10"/>
  <c r="D117" i="10" s="1"/>
  <c r="C131" i="10"/>
  <c r="D131" i="10" s="1"/>
  <c r="E76" i="5"/>
  <c r="E76" i="32" s="1"/>
  <c r="F89" i="5"/>
  <c r="D71" i="5"/>
  <c r="D71" i="32" s="1"/>
  <c r="D69" i="5"/>
  <c r="D69" i="32" s="1"/>
  <c r="F89" i="32"/>
  <c r="D89" i="5"/>
  <c r="K89" i="32"/>
  <c r="C78" i="5"/>
  <c r="C78" i="32" s="1"/>
  <c r="D78" i="5"/>
  <c r="D78" i="32" s="1"/>
  <c r="C71" i="5"/>
  <c r="C71" i="32" s="1"/>
  <c r="M76" i="5"/>
  <c r="M76" i="32" s="1"/>
  <c r="I89" i="5"/>
  <c r="L76" i="5"/>
  <c r="L76" i="32" s="1"/>
  <c r="O70" i="5"/>
  <c r="G70" i="5"/>
  <c r="G70" i="32" s="1"/>
  <c r="K71" i="5"/>
  <c r="K71" i="32" s="1"/>
  <c r="E70" i="5"/>
  <c r="E70" i="32" s="1"/>
  <c r="N71" i="5"/>
  <c r="N71" i="32" s="1"/>
  <c r="G75" i="5"/>
  <c r="G75" i="32" s="1"/>
  <c r="J71" i="5"/>
  <c r="J71" i="32" s="1"/>
  <c r="H78" i="5"/>
  <c r="H78" i="32" s="1"/>
  <c r="E89" i="32"/>
  <c r="F97" i="32"/>
  <c r="F99" i="32" s="1"/>
  <c r="R28" i="10"/>
  <c r="M71" i="5"/>
  <c r="M71" i="32" s="1"/>
  <c r="O75" i="5"/>
  <c r="K76" i="5"/>
  <c r="K76" i="32" s="1"/>
  <c r="J70" i="5"/>
  <c r="J70" i="32" s="1"/>
  <c r="F71" i="5"/>
  <c r="F71" i="32" s="1"/>
  <c r="E89" i="5"/>
  <c r="H77" i="5"/>
  <c r="H77" i="32" s="1"/>
  <c r="J76" i="5"/>
  <c r="J76" i="32" s="1"/>
  <c r="I78" i="5"/>
  <c r="I78" i="32" s="1"/>
  <c r="L71" i="5"/>
  <c r="L71" i="32" s="1"/>
  <c r="F69" i="5"/>
  <c r="F69" i="32" s="1"/>
  <c r="H76" i="5"/>
  <c r="H76" i="32" s="1"/>
  <c r="N78" i="5"/>
  <c r="N78" i="32" s="1"/>
  <c r="I76" i="5"/>
  <c r="I76" i="32" s="1"/>
  <c r="C76" i="5"/>
  <c r="C76" i="32" s="1"/>
  <c r="M70" i="5"/>
  <c r="M70" i="32" s="1"/>
  <c r="D76" i="5"/>
  <c r="D76" i="32" s="1"/>
  <c r="I70" i="5"/>
  <c r="I70" i="32" s="1"/>
  <c r="E69" i="5"/>
  <c r="E69" i="32" s="1"/>
  <c r="H70" i="5"/>
  <c r="H70" i="32" s="1"/>
  <c r="F70" i="5"/>
  <c r="F70" i="32" s="1"/>
  <c r="N72" i="5"/>
  <c r="N72" i="32" s="1"/>
  <c r="N89" i="5"/>
  <c r="D75" i="5"/>
  <c r="D75" i="32" s="1"/>
  <c r="O76" i="5"/>
  <c r="G69" i="5"/>
  <c r="G69" i="32" s="1"/>
  <c r="O69" i="5"/>
  <c r="H71" i="5"/>
  <c r="H71" i="32" s="1"/>
  <c r="J69" i="5"/>
  <c r="J69" i="32" s="1"/>
  <c r="N77" i="5"/>
  <c r="N77" i="32" s="1"/>
  <c r="L77" i="5"/>
  <c r="L77" i="32" s="1"/>
  <c r="I75" i="5"/>
  <c r="I75" i="32" s="1"/>
  <c r="N76" i="5"/>
  <c r="N76" i="32" s="1"/>
  <c r="C70" i="5"/>
  <c r="C70" i="32" s="1"/>
  <c r="K89" i="5"/>
  <c r="J99" i="5"/>
  <c r="H89" i="32"/>
  <c r="F76" i="5"/>
  <c r="F76" i="32" s="1"/>
  <c r="I69" i="5"/>
  <c r="I69" i="32" s="1"/>
  <c r="M75" i="5"/>
  <c r="M75" i="32" s="1"/>
  <c r="G78" i="5"/>
  <c r="G78" i="32" s="1"/>
  <c r="G71" i="5"/>
  <c r="G71" i="32" s="1"/>
  <c r="G76" i="5"/>
  <c r="G76" i="32" s="1"/>
  <c r="O77" i="5"/>
  <c r="D70" i="5"/>
  <c r="D70" i="32" s="1"/>
  <c r="E77" i="5"/>
  <c r="E77" i="32" s="1"/>
  <c r="F77" i="5"/>
  <c r="F77" i="32" s="1"/>
  <c r="K72" i="5"/>
  <c r="K72" i="32" s="1"/>
  <c r="K78" i="5"/>
  <c r="K78" i="32" s="1"/>
  <c r="J77" i="5"/>
  <c r="J77" i="32" s="1"/>
  <c r="J78" i="5"/>
  <c r="J78" i="32" s="1"/>
  <c r="N75" i="5"/>
  <c r="N75" i="32" s="1"/>
  <c r="L69" i="5"/>
  <c r="L69" i="32" s="1"/>
  <c r="I77" i="5"/>
  <c r="I77" i="32" s="1"/>
  <c r="M77" i="5"/>
  <c r="M77" i="32" s="1"/>
  <c r="M78" i="5"/>
  <c r="M78" i="32" s="1"/>
  <c r="F78" i="5"/>
  <c r="F78" i="32" s="1"/>
  <c r="O74" i="5"/>
  <c r="O78" i="5" s="1"/>
  <c r="L72" i="5"/>
  <c r="L72" i="32" s="1"/>
  <c r="N88" i="32"/>
  <c r="O88" i="32" s="1"/>
  <c r="O68" i="5"/>
  <c r="O72" i="5" s="1"/>
  <c r="R27" i="10"/>
  <c r="M72" i="5"/>
  <c r="M72" i="32" s="1"/>
  <c r="I89" i="32"/>
  <c r="J94" i="32"/>
  <c r="J99" i="32"/>
  <c r="K69" i="5"/>
  <c r="K69" i="32" s="1"/>
  <c r="C89" i="5"/>
  <c r="J89" i="32"/>
  <c r="L70" i="5"/>
  <c r="L70" i="32" s="1"/>
  <c r="D77" i="5"/>
  <c r="D77" i="32" s="1"/>
  <c r="C69" i="5"/>
  <c r="C69" i="32" s="1"/>
  <c r="E75" i="5"/>
  <c r="E75" i="32" s="1"/>
  <c r="N69" i="5"/>
  <c r="N69" i="32" s="1"/>
  <c r="C75" i="5"/>
  <c r="C75" i="32" s="1"/>
  <c r="D72" i="5"/>
  <c r="D72" i="32" s="1"/>
  <c r="M69" i="5"/>
  <c r="M69" i="32" s="1"/>
  <c r="O71" i="5"/>
  <c r="E71" i="5"/>
  <c r="E71" i="32" s="1"/>
  <c r="J75" i="5"/>
  <c r="J75" i="32" s="1"/>
  <c r="H75" i="5"/>
  <c r="H75" i="32" s="1"/>
  <c r="R29" i="10"/>
  <c r="H69" i="5"/>
  <c r="H69" i="32" s="1"/>
  <c r="C77" i="5"/>
  <c r="C77" i="32" s="1"/>
  <c r="K75" i="5"/>
  <c r="K75" i="32" s="1"/>
  <c r="G77" i="5"/>
  <c r="G77" i="32" s="1"/>
  <c r="L75" i="5"/>
  <c r="L75" i="32" s="1"/>
  <c r="I72" i="5"/>
  <c r="I72" i="32" s="1"/>
  <c r="N70" i="5"/>
  <c r="N70" i="32" s="1"/>
  <c r="F75" i="5"/>
  <c r="F75" i="32" s="1"/>
  <c r="G72" i="5"/>
  <c r="G72" i="32" s="1"/>
  <c r="I71" i="5"/>
  <c r="I71" i="32" s="1"/>
  <c r="K77" i="5"/>
  <c r="K77" i="32" s="1"/>
  <c r="D89" i="32"/>
  <c r="L89" i="5"/>
  <c r="M89" i="32"/>
  <c r="O93" i="5"/>
  <c r="O68" i="32"/>
  <c r="L78" i="5"/>
  <c r="L78" i="32" s="1"/>
  <c r="O89" i="5"/>
  <c r="R26" i="10"/>
  <c r="G89" i="32"/>
  <c r="H72" i="5"/>
  <c r="H72" i="32" s="1"/>
  <c r="O98" i="5"/>
  <c r="J89" i="5"/>
  <c r="L87" i="32"/>
  <c r="L89" i="32" s="1"/>
  <c r="C89" i="32"/>
  <c r="F72" i="5"/>
  <c r="F72" i="32" s="1"/>
  <c r="E72" i="5"/>
  <c r="E72" i="32" s="1"/>
  <c r="F74" i="32"/>
  <c r="L74" i="32"/>
  <c r="H89" i="5"/>
  <c r="C461" i="10"/>
  <c r="D461" i="10" s="1"/>
  <c r="J72" i="5"/>
  <c r="J72" i="32" s="1"/>
  <c r="E78" i="5"/>
  <c r="E78" i="32" s="1"/>
  <c r="C72" i="5"/>
  <c r="C72" i="32" s="1"/>
  <c r="C324" i="10"/>
  <c r="D324" i="10" s="1"/>
  <c r="C61" i="10"/>
  <c r="D61" i="10" s="1"/>
  <c r="C424" i="10"/>
  <c r="D424" i="10" s="1"/>
  <c r="C263" i="10"/>
  <c r="D263" i="10" s="1"/>
  <c r="C330" i="10"/>
  <c r="D330" i="10" s="1"/>
  <c r="C408" i="10"/>
  <c r="D408" i="10" s="1"/>
  <c r="C335" i="10"/>
  <c r="D335" i="10" s="1"/>
  <c r="C562" i="10"/>
  <c r="D562" i="10" s="1"/>
  <c r="C367" i="10"/>
  <c r="D367" i="10" s="1"/>
  <c r="C198" i="10"/>
  <c r="D198" i="10" s="1"/>
  <c r="C252" i="10"/>
  <c r="D252" i="10" s="1"/>
  <c r="C484" i="10"/>
  <c r="D484" i="10" s="1"/>
  <c r="C530" i="10"/>
  <c r="D530" i="10" s="1"/>
  <c r="C78" i="10"/>
  <c r="D78" i="10" s="1"/>
  <c r="C434" i="10"/>
  <c r="D434" i="10" s="1"/>
  <c r="C304" i="10"/>
  <c r="D304" i="10" s="1"/>
  <c r="C271" i="10"/>
  <c r="D271" i="10" s="1"/>
  <c r="C294" i="10"/>
  <c r="D294" i="10" s="1"/>
  <c r="D1" i="21"/>
  <c r="C488" i="10"/>
  <c r="D488" i="10" s="1"/>
  <c r="C449" i="10"/>
  <c r="D449" i="10" s="1"/>
  <c r="C430" i="10"/>
  <c r="D430" i="10" s="1"/>
  <c r="C81" i="10"/>
  <c r="D81" i="10" s="1"/>
  <c r="C31" i="10"/>
  <c r="D31" i="10" s="1"/>
  <c r="C568" i="10"/>
  <c r="D568" i="10" s="1"/>
  <c r="C213" i="10"/>
  <c r="D213" i="10" s="1"/>
  <c r="C253" i="10"/>
  <c r="D253" i="10" s="1"/>
  <c r="C241" i="10"/>
  <c r="D241" i="10" s="1"/>
  <c r="C316" i="10"/>
  <c r="D316" i="10" s="1"/>
  <c r="C257" i="10"/>
  <c r="D257" i="10" s="1"/>
  <c r="C543" i="10"/>
  <c r="D543" i="10" s="1"/>
  <c r="C435" i="10"/>
  <c r="D435" i="10" s="1"/>
  <c r="C309" i="10"/>
  <c r="D309" i="10" s="1"/>
  <c r="C480" i="10"/>
  <c r="D480" i="10" s="1"/>
  <c r="C554" i="10"/>
  <c r="D554" i="10" s="1"/>
  <c r="C315" i="10"/>
  <c r="D315" i="10" s="1"/>
  <c r="C529" i="10"/>
  <c r="D529" i="10" s="1"/>
  <c r="G99" i="5"/>
  <c r="C99" i="5"/>
  <c r="C451" i="10"/>
  <c r="D451" i="10" s="1"/>
  <c r="C517" i="10"/>
  <c r="D517" i="10" s="1"/>
  <c r="C191" i="10"/>
  <c r="D191" i="10" s="1"/>
  <c r="C72" i="10"/>
  <c r="D72" i="10" s="1"/>
  <c r="C27" i="10"/>
  <c r="D27" i="10" s="1"/>
  <c r="C453" i="10"/>
  <c r="D453" i="10" s="1"/>
  <c r="C532" i="10"/>
  <c r="D532" i="10" s="1"/>
  <c r="C479" i="10"/>
  <c r="D479" i="10" s="1"/>
  <c r="C566" i="10"/>
  <c r="D566" i="10" s="1"/>
  <c r="C366" i="10"/>
  <c r="D366" i="10" s="1"/>
  <c r="C475" i="10"/>
  <c r="D475" i="10" s="1"/>
  <c r="C498" i="10"/>
  <c r="D498" i="10" s="1"/>
  <c r="C365" i="10"/>
  <c r="D365" i="10" s="1"/>
  <c r="C296" i="10"/>
  <c r="D296" i="10" s="1"/>
  <c r="C67" i="10"/>
  <c r="D67" i="10" s="1"/>
  <c r="C236" i="10"/>
  <c r="D236" i="10" s="1"/>
  <c r="C362" i="10"/>
  <c r="D362" i="10" s="1"/>
  <c r="C553" i="10"/>
  <c r="D553" i="10" s="1"/>
  <c r="C224" i="10"/>
  <c r="D224" i="10" s="1"/>
  <c r="C542" i="10"/>
  <c r="D542" i="10" s="1"/>
  <c r="C285" i="10"/>
  <c r="D285" i="10" s="1"/>
  <c r="C59" i="10"/>
  <c r="D59" i="10" s="1"/>
  <c r="C571" i="10"/>
  <c r="D571" i="10" s="1"/>
  <c r="C463" i="10"/>
  <c r="D463" i="10" s="1"/>
  <c r="C390" i="10"/>
  <c r="D390" i="10" s="1"/>
  <c r="C534" i="10"/>
  <c r="D534" i="10" s="1"/>
  <c r="C549" i="10"/>
  <c r="D549" i="10" s="1"/>
  <c r="C42" i="10"/>
  <c r="D42" i="10" s="1"/>
  <c r="C464" i="10"/>
  <c r="D464" i="10" s="1"/>
  <c r="C137" i="10"/>
  <c r="D137" i="10" s="1"/>
  <c r="C438" i="10"/>
  <c r="D438" i="10" s="1"/>
  <c r="C518" i="10"/>
  <c r="D518" i="10" s="1"/>
  <c r="C369" i="10"/>
  <c r="D369" i="10" s="1"/>
  <c r="C334" i="10"/>
  <c r="D334" i="10" s="1"/>
  <c r="C38" i="10"/>
  <c r="D38" i="10" s="1"/>
  <c r="C95" i="10"/>
  <c r="D95" i="10" s="1"/>
  <c r="C493" i="10"/>
  <c r="D493" i="10" s="1"/>
  <c r="C71" i="10"/>
  <c r="D71" i="10" s="1"/>
  <c r="C395" i="10"/>
  <c r="D395" i="10" s="1"/>
  <c r="C336" i="10"/>
  <c r="D336" i="10" s="1"/>
  <c r="C311" i="10"/>
  <c r="D311" i="10" s="1"/>
  <c r="G98" i="32"/>
  <c r="G99" i="32" s="1"/>
  <c r="C456" i="10"/>
  <c r="D456" i="10" s="1"/>
  <c r="C215" i="10"/>
  <c r="D215" i="10" s="1"/>
  <c r="C64" i="10"/>
  <c r="D64" i="10" s="1"/>
  <c r="C80" i="10"/>
  <c r="D80" i="10" s="1"/>
  <c r="C393" i="10"/>
  <c r="D393" i="10" s="1"/>
  <c r="C545" i="10"/>
  <c r="D545" i="10" s="1"/>
  <c r="C60" i="10"/>
  <c r="D60" i="10" s="1"/>
  <c r="C256" i="10"/>
  <c r="D256" i="10" s="1"/>
  <c r="C250" i="10"/>
  <c r="D250" i="10" s="1"/>
  <c r="C239" i="10"/>
  <c r="D239" i="10" s="1"/>
  <c r="C313" i="10"/>
  <c r="D313" i="10" s="1"/>
  <c r="C485" i="10"/>
  <c r="D485" i="10" s="1"/>
  <c r="C322" i="10"/>
  <c r="D322" i="10" s="1"/>
  <c r="C248" i="10"/>
  <c r="D248" i="10" s="1"/>
  <c r="C318" i="10"/>
  <c r="D318" i="10" s="1"/>
  <c r="C405" i="10"/>
  <c r="D405" i="10" s="1"/>
  <c r="C567" i="10"/>
  <c r="D567" i="10" s="1"/>
  <c r="C437" i="10"/>
  <c r="D437" i="10" s="1"/>
  <c r="C582" i="10"/>
  <c r="D582" i="10" s="1"/>
  <c r="C533" i="10"/>
  <c r="D533" i="10" s="1"/>
  <c r="C555" i="10"/>
  <c r="D555" i="10" s="1"/>
  <c r="C295" i="10"/>
  <c r="D295" i="10" s="1"/>
  <c r="C360" i="10"/>
  <c r="D360" i="10" s="1"/>
  <c r="C211" i="10"/>
  <c r="D211" i="10" s="1"/>
  <c r="C227" i="10"/>
  <c r="D227" i="10" s="1"/>
  <c r="C255" i="10"/>
  <c r="D255" i="10" s="1"/>
  <c r="C332" i="10"/>
  <c r="D332" i="10" s="1"/>
  <c r="C389" i="10"/>
  <c r="D389" i="10" s="1"/>
  <c r="C547" i="10"/>
  <c r="D547" i="10" s="1"/>
  <c r="C496" i="10"/>
  <c r="D496" i="10" s="1"/>
  <c r="C503" i="10"/>
  <c r="D503" i="10" s="1"/>
  <c r="C578" i="10"/>
  <c r="D578" i="10" s="1"/>
  <c r="C522" i="10"/>
  <c r="D522" i="10" s="1"/>
  <c r="C478" i="10"/>
  <c r="D478" i="10" s="1"/>
  <c r="C363" i="10"/>
  <c r="D363" i="10" s="1"/>
  <c r="C91" i="10"/>
  <c r="D91" i="10" s="1"/>
  <c r="C531" i="10"/>
  <c r="D531" i="10" s="1"/>
  <c r="C237" i="10"/>
  <c r="D237" i="10" s="1"/>
  <c r="C288" i="10"/>
  <c r="D288" i="10" s="1"/>
  <c r="C460" i="10"/>
  <c r="D460" i="10" s="1"/>
  <c r="C552" i="10"/>
  <c r="D552" i="10" s="1"/>
  <c r="C505" i="10"/>
  <c r="D505" i="10" s="1"/>
  <c r="C458" i="10"/>
  <c r="D458" i="10" s="1"/>
  <c r="C541" i="10"/>
  <c r="D541" i="10" s="1"/>
  <c r="C225" i="10"/>
  <c r="D225" i="10" s="1"/>
  <c r="C243" i="10"/>
  <c r="D243" i="10" s="1"/>
  <c r="C291" i="10"/>
  <c r="D291" i="10" s="1"/>
  <c r="C441" i="10"/>
  <c r="D441" i="10" s="1"/>
  <c r="C344" i="10"/>
  <c r="D344" i="10" s="1"/>
  <c r="C77" i="10"/>
  <c r="D77" i="10" s="1"/>
  <c r="C307" i="10"/>
  <c r="D307" i="10" s="1"/>
  <c r="C207" i="10"/>
  <c r="D207" i="10" s="1"/>
  <c r="C270" i="10"/>
  <c r="D270" i="10" s="1"/>
  <c r="C337" i="10"/>
  <c r="D337" i="10" s="1"/>
  <c r="C454" i="10"/>
  <c r="D454" i="10" s="1"/>
  <c r="C508" i="10"/>
  <c r="D508" i="10" s="1"/>
  <c r="C391" i="10"/>
  <c r="D391" i="10" s="1"/>
  <c r="C74" i="10"/>
  <c r="D74" i="10" s="1"/>
  <c r="C452" i="10"/>
  <c r="D452" i="10" s="1"/>
  <c r="C68" i="10"/>
  <c r="D68" i="10" s="1"/>
  <c r="C90" i="10"/>
  <c r="D90" i="10" s="1"/>
  <c r="C364" i="10"/>
  <c r="D364" i="10" s="1"/>
  <c r="C439" i="10"/>
  <c r="D439" i="10" s="1"/>
  <c r="C411" i="10"/>
  <c r="D411" i="10" s="1"/>
  <c r="C272" i="10"/>
  <c r="D272" i="10" s="1"/>
  <c r="C347" i="10"/>
  <c r="D347" i="10" s="1"/>
  <c r="C264" i="10"/>
  <c r="D264" i="10" s="1"/>
  <c r="C417" i="10"/>
  <c r="D417" i="10" s="1"/>
  <c r="C32" i="10"/>
  <c r="D32" i="10" s="1"/>
  <c r="C504" i="10"/>
  <c r="D504" i="10" s="1"/>
  <c r="C404" i="10"/>
  <c r="D404" i="10" s="1"/>
  <c r="C310" i="10"/>
  <c r="D310" i="10" s="1"/>
  <c r="C350" i="10"/>
  <c r="D350" i="10" s="1"/>
  <c r="C420" i="10"/>
  <c r="D420" i="10" s="1"/>
  <c r="C548" i="10"/>
  <c r="D548" i="10" s="1"/>
  <c r="C433" i="10"/>
  <c r="D433" i="10" s="1"/>
  <c r="C487" i="10"/>
  <c r="D487" i="10" s="1"/>
  <c r="C44" i="10"/>
  <c r="D44" i="10" s="1"/>
  <c r="C287" i="10"/>
  <c r="D287" i="10" s="1"/>
  <c r="C473" i="10"/>
  <c r="D473" i="10" s="1"/>
  <c r="C469" i="10"/>
  <c r="D469" i="10" s="1"/>
  <c r="C323" i="10"/>
  <c r="D323" i="10" s="1"/>
  <c r="C523" i="10"/>
  <c r="D523" i="10" s="1"/>
  <c r="C196" i="10"/>
  <c r="D196" i="10" s="1"/>
  <c r="C445" i="10"/>
  <c r="D445" i="10" s="1"/>
  <c r="C228" i="10"/>
  <c r="D228" i="10" s="1"/>
  <c r="C328" i="10"/>
  <c r="D328" i="10" s="1"/>
  <c r="C290" i="10"/>
  <c r="D290" i="10" s="1"/>
  <c r="C197" i="10"/>
  <c r="D197" i="10" s="1"/>
  <c r="C314" i="10"/>
  <c r="D314" i="10" s="1"/>
  <c r="C416" i="10"/>
  <c r="D416" i="10" s="1"/>
  <c r="C412" i="10"/>
  <c r="D412" i="10" s="1"/>
  <c r="C399" i="10"/>
  <c r="D399" i="10" s="1"/>
  <c r="C221" i="10"/>
  <c r="D221" i="10" s="1"/>
  <c r="C193" i="10"/>
  <c r="D193" i="10" s="1"/>
  <c r="C338" i="10"/>
  <c r="D338" i="10" s="1"/>
  <c r="C194" i="10"/>
  <c r="D194" i="10" s="1"/>
  <c r="C36" i="10"/>
  <c r="D36" i="10" s="1"/>
  <c r="C73" i="10"/>
  <c r="D73" i="10" s="1"/>
  <c r="C550" i="10"/>
  <c r="D550" i="10" s="1"/>
  <c r="C247" i="10"/>
  <c r="D247" i="10" s="1"/>
  <c r="C319" i="10"/>
  <c r="D319" i="10" s="1"/>
  <c r="C192" i="10"/>
  <c r="D192" i="10" s="1"/>
  <c r="C368" i="10"/>
  <c r="D368" i="10" s="1"/>
  <c r="C58" i="10"/>
  <c r="D58" i="10" s="1"/>
  <c r="C235" i="10"/>
  <c r="D235" i="10" s="1"/>
  <c r="C286" i="10"/>
  <c r="D286" i="10" s="1"/>
  <c r="C345" i="10"/>
  <c r="D345" i="10" s="1"/>
  <c r="C394" i="10"/>
  <c r="D394" i="10" s="1"/>
  <c r="C35" i="10"/>
  <c r="D35" i="10" s="1"/>
  <c r="C419" i="10"/>
  <c r="D419" i="10" s="1"/>
  <c r="C425" i="10"/>
  <c r="D425" i="10" s="1"/>
  <c r="C392" i="10"/>
  <c r="D392" i="10" s="1"/>
  <c r="C70" i="10"/>
  <c r="D70" i="10" s="1"/>
  <c r="C514" i="10"/>
  <c r="D514" i="10" s="1"/>
  <c r="C470" i="10"/>
  <c r="D470" i="10" s="1"/>
  <c r="C320" i="10"/>
  <c r="D320" i="10" s="1"/>
  <c r="C563" i="10"/>
  <c r="D563" i="10" s="1"/>
  <c r="C396" i="10"/>
  <c r="D396" i="10" s="1"/>
  <c r="C524" i="10"/>
  <c r="D524" i="10" s="1"/>
  <c r="C343" i="10"/>
  <c r="D343" i="10" s="1"/>
  <c r="C431" i="10"/>
  <c r="D431" i="10" s="1"/>
  <c r="C79" i="10"/>
  <c r="D79" i="10" s="1"/>
  <c r="C331" i="10"/>
  <c r="D331" i="10" s="1"/>
  <c r="C326" i="10"/>
  <c r="D326" i="10" s="1"/>
  <c r="C450" i="10"/>
  <c r="D450" i="10" s="1"/>
  <c r="C201" i="10"/>
  <c r="D201" i="10" s="1"/>
  <c r="C410" i="10"/>
  <c r="D410" i="10" s="1"/>
  <c r="C467" i="10"/>
  <c r="D467" i="10" s="1"/>
  <c r="C413" i="10"/>
  <c r="D413" i="10" s="1"/>
  <c r="C577" i="10"/>
  <c r="D577" i="10" s="1"/>
  <c r="C305" i="10"/>
  <c r="D305" i="10" s="1"/>
  <c r="C234" i="10"/>
  <c r="D234" i="10" s="1"/>
  <c r="C427" i="10"/>
  <c r="D427" i="10" s="1"/>
  <c r="C428" i="10"/>
  <c r="D428" i="10" s="1"/>
  <c r="C303" i="10"/>
  <c r="D303" i="10" s="1"/>
  <c r="C231" i="10"/>
  <c r="D231" i="10" s="1"/>
  <c r="C34" i="10"/>
  <c r="D34" i="10" s="1"/>
  <c r="C329" i="10"/>
  <c r="D329" i="10" s="1"/>
  <c r="C476" i="10"/>
  <c r="D476" i="10" s="1"/>
  <c r="C580" i="10"/>
  <c r="D580" i="10" s="1"/>
  <c r="C262" i="10"/>
  <c r="D262" i="10" s="1"/>
  <c r="C321" i="10"/>
  <c r="D321" i="10" s="1"/>
  <c r="C444" i="10"/>
  <c r="D444" i="10" s="1"/>
  <c r="C418" i="10"/>
  <c r="D418" i="10" s="1"/>
  <c r="C423" i="10"/>
  <c r="D423" i="10" s="1"/>
  <c r="C560" i="10"/>
  <c r="D560" i="10" s="1"/>
  <c r="C558" i="10"/>
  <c r="D558" i="10" s="1"/>
  <c r="C269" i="10"/>
  <c r="D269" i="10" s="1"/>
  <c r="C346" i="10"/>
  <c r="D346" i="10" s="1"/>
  <c r="C341" i="10"/>
  <c r="D341" i="10" s="1"/>
  <c r="C266" i="10"/>
  <c r="D266" i="10" s="1"/>
  <c r="C443" i="10"/>
  <c r="D443" i="10" s="1"/>
  <c r="C397" i="10"/>
  <c r="D397" i="10" s="1"/>
  <c r="C226" i="10"/>
  <c r="D226" i="10" s="1"/>
  <c r="C268" i="10"/>
  <c r="D268" i="10" s="1"/>
  <c r="C206" i="10"/>
  <c r="D206" i="10" s="1"/>
  <c r="C539" i="10"/>
  <c r="D539" i="10" s="1"/>
  <c r="C519" i="10"/>
  <c r="D519" i="10" s="1"/>
  <c r="C537" i="10"/>
  <c r="D537" i="10" s="1"/>
  <c r="C63" i="10"/>
  <c r="D63" i="10" s="1"/>
  <c r="C223" i="10"/>
  <c r="D223" i="10" s="1"/>
  <c r="C283" i="10"/>
  <c r="D283" i="10" s="1"/>
  <c r="C342" i="10"/>
  <c r="D342" i="10" s="1"/>
  <c r="C544" i="10"/>
  <c r="D544" i="10" s="1"/>
  <c r="C495" i="10"/>
  <c r="D495" i="10" s="1"/>
  <c r="C526" i="10"/>
  <c r="D526" i="10" s="1"/>
  <c r="C551" i="10"/>
  <c r="D551" i="10" s="1"/>
  <c r="C388" i="10"/>
  <c r="D388" i="10" s="1"/>
  <c r="C426" i="10"/>
  <c r="D426" i="10" s="1"/>
  <c r="C85" i="10"/>
  <c r="D85" i="10" s="1"/>
  <c r="C87" i="10"/>
  <c r="D87" i="10" s="1"/>
  <c r="C232" i="10"/>
  <c r="D232" i="10" s="1"/>
  <c r="C546" i="10"/>
  <c r="D546" i="10" s="1"/>
  <c r="C436" i="10"/>
  <c r="D436" i="10" s="1"/>
  <c r="C327" i="10"/>
  <c r="D327" i="10" s="1"/>
  <c r="C572" i="10"/>
  <c r="D572" i="10" s="1"/>
  <c r="C349" i="10"/>
  <c r="D349" i="10" s="1"/>
  <c r="C352" i="10"/>
  <c r="D352" i="10" s="1"/>
  <c r="C535" i="10"/>
  <c r="D535" i="10" s="1"/>
  <c r="C284" i="10"/>
  <c r="D284" i="10" s="1"/>
  <c r="C219" i="10"/>
  <c r="D219" i="10" s="1"/>
  <c r="C43" i="10"/>
  <c r="D43" i="10" s="1"/>
  <c r="C372" i="10"/>
  <c r="D372" i="10" s="1"/>
  <c r="C515" i="10"/>
  <c r="D515" i="10" s="1"/>
  <c r="C497" i="10"/>
  <c r="D497" i="10" s="1"/>
  <c r="C573" i="10"/>
  <c r="D573" i="10" s="1"/>
  <c r="C557" i="10"/>
  <c r="D557" i="10" s="1"/>
  <c r="C569" i="10"/>
  <c r="D569" i="10" s="1"/>
  <c r="C354" i="10"/>
  <c r="D354" i="10" s="1"/>
  <c r="C230" i="10"/>
  <c r="D230" i="10" s="1"/>
  <c r="C76" i="10"/>
  <c r="D76" i="10" s="1"/>
  <c r="C415" i="10"/>
  <c r="D415" i="10" s="1"/>
  <c r="C520" i="10"/>
  <c r="D520" i="10" s="1"/>
  <c r="C501" i="10"/>
  <c r="D501" i="10" s="1"/>
  <c r="C421" i="10"/>
  <c r="D421" i="10" s="1"/>
  <c r="C466" i="10"/>
  <c r="D466" i="10" s="1"/>
  <c r="C492" i="10"/>
  <c r="D492" i="10" s="1"/>
  <c r="C536" i="10"/>
  <c r="D536" i="10" s="1"/>
  <c r="C353" i="10"/>
  <c r="D353" i="10" s="1"/>
  <c r="C267" i="10"/>
  <c r="D267" i="10" s="1"/>
  <c r="C229" i="10"/>
  <c r="D229" i="10" s="1"/>
  <c r="C205" i="10"/>
  <c r="D205" i="10" s="1"/>
  <c r="C84" i="10"/>
  <c r="D84" i="10" s="1"/>
  <c r="C30" i="10"/>
  <c r="D30" i="10" s="1"/>
  <c r="C188" i="10"/>
  <c r="D188" i="10" s="1"/>
  <c r="C402" i="10"/>
  <c r="D402" i="10" s="1"/>
  <c r="C468" i="10"/>
  <c r="D468" i="10" s="1"/>
  <c r="C401" i="10"/>
  <c r="D401" i="10" s="1"/>
  <c r="C471" i="10"/>
  <c r="D471" i="10" s="1"/>
  <c r="C371" i="10"/>
  <c r="D371" i="10" s="1"/>
  <c r="C472" i="10"/>
  <c r="D472" i="10" s="1"/>
  <c r="C39" i="10"/>
  <c r="D39" i="10" s="1"/>
  <c r="C512" i="10"/>
  <c r="D512" i="10" s="1"/>
  <c r="C440" i="10"/>
  <c r="D440" i="10" s="1"/>
  <c r="C361" i="10"/>
  <c r="D361" i="10" s="1"/>
  <c r="C233" i="10"/>
  <c r="D233" i="10" s="1"/>
  <c r="C486" i="10"/>
  <c r="D486" i="10" s="1"/>
  <c r="C576" i="10"/>
  <c r="D576" i="10" s="1"/>
  <c r="C254" i="10"/>
  <c r="D254" i="10" s="1"/>
  <c r="E92" i="32"/>
  <c r="E94" i="32" s="1"/>
  <c r="E94" i="5"/>
  <c r="M99" i="5"/>
  <c r="M97" i="32"/>
  <c r="M99" i="32" s="1"/>
  <c r="C457" i="10"/>
  <c r="D457" i="10" s="1"/>
  <c r="C506" i="10"/>
  <c r="D506" i="10" s="1"/>
  <c r="C465" i="10"/>
  <c r="D465" i="10" s="1"/>
  <c r="C527" i="10"/>
  <c r="D527" i="10" s="1"/>
  <c r="C28" i="10"/>
  <c r="D28" i="10" s="1"/>
  <c r="C561" i="10"/>
  <c r="D561" i="10" s="1"/>
  <c r="C509" i="10"/>
  <c r="D509" i="10" s="1"/>
  <c r="C398" i="10"/>
  <c r="D398" i="10" s="1"/>
  <c r="C422" i="10"/>
  <c r="D422" i="10" s="1"/>
  <c r="C33" i="10"/>
  <c r="D33" i="10" s="1"/>
  <c r="C579" i="10"/>
  <c r="D579" i="10" s="1"/>
  <c r="C200" i="10"/>
  <c r="D200" i="10" s="1"/>
  <c r="C528" i="10"/>
  <c r="D528" i="10" s="1"/>
  <c r="C432" i="10"/>
  <c r="D432" i="10" s="1"/>
  <c r="C502" i="10"/>
  <c r="D502" i="10" s="1"/>
  <c r="C89" i="10"/>
  <c r="D89" i="10" s="1"/>
  <c r="C538" i="10"/>
  <c r="D538" i="10" s="1"/>
  <c r="C513" i="10"/>
  <c r="D513" i="10" s="1"/>
  <c r="C521" i="10"/>
  <c r="D521" i="10" s="1"/>
  <c r="C407" i="10"/>
  <c r="D407" i="10" s="1"/>
  <c r="C238" i="10"/>
  <c r="D238" i="10" s="1"/>
  <c r="C199" i="10"/>
  <c r="D199" i="10" s="1"/>
  <c r="C69" i="10"/>
  <c r="D69" i="10" s="1"/>
  <c r="C477" i="10"/>
  <c r="D477" i="10" s="1"/>
  <c r="C481" i="10"/>
  <c r="D481" i="10" s="1"/>
  <c r="C208" i="10"/>
  <c r="D208" i="10" s="1"/>
  <c r="C83" i="10"/>
  <c r="D83" i="10" s="1"/>
  <c r="C339" i="10"/>
  <c r="D339" i="10" s="1"/>
  <c r="C540" i="10"/>
  <c r="D540" i="10" s="1"/>
  <c r="C249" i="10"/>
  <c r="D249" i="10" s="1"/>
  <c r="C259" i="10"/>
  <c r="D259" i="10" s="1"/>
  <c r="C75" i="10"/>
  <c r="D75" i="10" s="1"/>
  <c r="C212" i="10"/>
  <c r="D212" i="10" s="1"/>
  <c r="C190" i="10"/>
  <c r="D190" i="10" s="1"/>
  <c r="C325" i="10"/>
  <c r="D325" i="10" s="1"/>
  <c r="C65" i="10"/>
  <c r="D65" i="10" s="1"/>
  <c r="C333" i="10"/>
  <c r="D333" i="10" s="1"/>
  <c r="C26" i="10"/>
  <c r="D26" i="10" s="1"/>
  <c r="C260" i="10"/>
  <c r="D260" i="10" s="1"/>
  <c r="C459" i="10"/>
  <c r="D459" i="10" s="1"/>
  <c r="C516" i="10"/>
  <c r="D516" i="10" s="1"/>
  <c r="C474" i="10"/>
  <c r="D474" i="10" s="1"/>
  <c r="C203" i="10"/>
  <c r="D203" i="10" s="1"/>
  <c r="C448" i="10"/>
  <c r="D448" i="10" s="1"/>
  <c r="C293" i="10"/>
  <c r="D293" i="10" s="1"/>
  <c r="C455" i="10"/>
  <c r="D455" i="10" s="1"/>
  <c r="G94" i="32"/>
  <c r="K94" i="32"/>
  <c r="D99" i="5"/>
  <c r="C99" i="32"/>
  <c r="K94" i="5"/>
  <c r="M94" i="5"/>
  <c r="E99" i="5"/>
  <c r="D94" i="5"/>
  <c r="G94" i="5"/>
  <c r="K99" i="5"/>
  <c r="F93" i="32"/>
  <c r="F94" i="32" s="1"/>
  <c r="F94" i="5"/>
  <c r="N99" i="5"/>
  <c r="N97" i="32"/>
  <c r="N99" i="32" s="1"/>
  <c r="H98" i="32"/>
  <c r="H99" i="5"/>
  <c r="L94" i="5"/>
  <c r="L92" i="32"/>
  <c r="L94" i="32" s="1"/>
  <c r="C93" i="32"/>
  <c r="C94" i="32" s="1"/>
  <c r="C94" i="5"/>
  <c r="I92" i="32"/>
  <c r="I94" i="32" s="1"/>
  <c r="I94" i="5"/>
  <c r="D94" i="32"/>
  <c r="L97" i="32"/>
  <c r="L99" i="5"/>
  <c r="I98" i="32"/>
  <c r="I99" i="32" s="1"/>
  <c r="I99" i="5"/>
  <c r="C565" i="10"/>
  <c r="D565" i="10" s="1"/>
  <c r="C564" i="10"/>
  <c r="D564" i="10" s="1"/>
  <c r="C575" i="10"/>
  <c r="D575" i="10" s="1"/>
  <c r="C251" i="10"/>
  <c r="D251" i="10" s="1"/>
  <c r="C348" i="10"/>
  <c r="D348" i="10" s="1"/>
  <c r="C189" i="10"/>
  <c r="D189" i="10" s="1"/>
  <c r="C510" i="10"/>
  <c r="D510" i="10" s="1"/>
  <c r="C240" i="10"/>
  <c r="D240" i="10" s="1"/>
  <c r="C265" i="10"/>
  <c r="D265" i="10" s="1"/>
  <c r="C403" i="10"/>
  <c r="D403" i="10" s="1"/>
  <c r="C29" i="10"/>
  <c r="D29" i="10" s="1"/>
  <c r="C214" i="10"/>
  <c r="D214" i="10" s="1"/>
  <c r="C406" i="10"/>
  <c r="D406" i="10" s="1"/>
  <c r="C429" i="10"/>
  <c r="D429" i="10" s="1"/>
  <c r="C37" i="10"/>
  <c r="D37" i="10" s="1"/>
  <c r="C409" i="10"/>
  <c r="D409" i="10" s="1"/>
  <c r="C491" i="10"/>
  <c r="D491" i="10" s="1"/>
  <c r="C292" i="10"/>
  <c r="D292" i="10" s="1"/>
  <c r="C217" i="10"/>
  <c r="D217" i="10" s="1"/>
  <c r="C258" i="10"/>
  <c r="D258" i="10" s="1"/>
  <c r="C462" i="10"/>
  <c r="D462" i="10" s="1"/>
  <c r="C195" i="10"/>
  <c r="D195" i="10" s="1"/>
  <c r="C556" i="10"/>
  <c r="D556" i="10" s="1"/>
  <c r="C499" i="10"/>
  <c r="D499" i="10" s="1"/>
  <c r="C511" i="10"/>
  <c r="D511" i="10" s="1"/>
  <c r="C490" i="10"/>
  <c r="D490" i="10" s="1"/>
  <c r="C88" i="10"/>
  <c r="D88" i="10" s="1"/>
  <c r="C489" i="10"/>
  <c r="D489" i="10" s="1"/>
  <c r="C289" i="10"/>
  <c r="D289" i="10" s="1"/>
  <c r="C370" i="10"/>
  <c r="D370" i="10" s="1"/>
  <c r="C494" i="10"/>
  <c r="D494" i="10" s="1"/>
  <c r="C308" i="10"/>
  <c r="D308" i="10" s="1"/>
  <c r="C414" i="10"/>
  <c r="D414" i="10" s="1"/>
  <c r="C500" i="10"/>
  <c r="D500" i="10" s="1"/>
  <c r="C66" i="10"/>
  <c r="D66" i="10" s="1"/>
  <c r="C447" i="10"/>
  <c r="D447" i="10" s="1"/>
  <c r="C209" i="10"/>
  <c r="D209" i="10" s="1"/>
  <c r="C340" i="10"/>
  <c r="D340" i="10" s="1"/>
  <c r="C483" i="10"/>
  <c r="D483" i="10" s="1"/>
  <c r="C242" i="10"/>
  <c r="D242" i="10" s="1"/>
  <c r="C581" i="10"/>
  <c r="D581" i="10" s="1"/>
  <c r="C94" i="10"/>
  <c r="D94" i="10" s="1"/>
  <c r="C442" i="10"/>
  <c r="D442" i="10" s="1"/>
  <c r="C400" i="10"/>
  <c r="D400" i="10" s="1"/>
  <c r="C525" i="10"/>
  <c r="D525" i="10" s="1"/>
  <c r="C559" i="10"/>
  <c r="D559" i="10" s="1"/>
  <c r="C351" i="10"/>
  <c r="D351" i="10" s="1"/>
  <c r="C507" i="10"/>
  <c r="D507" i="10" s="1"/>
  <c r="C261" i="10"/>
  <c r="D261" i="10" s="1"/>
  <c r="E99" i="32"/>
  <c r="H92" i="32"/>
  <c r="H94" i="32" s="1"/>
  <c r="H94" i="5"/>
  <c r="N92" i="32"/>
  <c r="N94" i="32" s="1"/>
  <c r="N94" i="5"/>
  <c r="D99" i="32"/>
  <c r="M94" i="32"/>
  <c r="K99" i="32"/>
  <c r="J94" i="5"/>
  <c r="N89" i="32" l="1"/>
  <c r="O94" i="5"/>
  <c r="O99" i="5"/>
  <c r="C79" i="32"/>
  <c r="D73" i="32"/>
  <c r="E79" i="32"/>
  <c r="F79" i="32"/>
  <c r="H79" i="32"/>
  <c r="K73" i="32"/>
  <c r="H73" i="32"/>
  <c r="C73" i="5"/>
  <c r="H79" i="5"/>
  <c r="G79" i="32"/>
  <c r="F79" i="5"/>
  <c r="D73" i="5"/>
  <c r="G79" i="5"/>
  <c r="H73" i="5"/>
  <c r="E73" i="5"/>
  <c r="O72" i="32"/>
  <c r="E79" i="5"/>
  <c r="C79" i="5"/>
  <c r="M79" i="5"/>
  <c r="L79" i="32"/>
  <c r="M79" i="32"/>
  <c r="E73" i="32"/>
  <c r="L73" i="32"/>
  <c r="K73" i="5"/>
  <c r="L79" i="5"/>
  <c r="D79" i="32"/>
  <c r="M73" i="5"/>
  <c r="N73" i="32"/>
  <c r="N79" i="5"/>
  <c r="M73" i="32"/>
  <c r="G73" i="5"/>
  <c r="O77" i="32"/>
  <c r="C73" i="32"/>
  <c r="I73" i="32"/>
  <c r="F73" i="32"/>
  <c r="K79" i="32"/>
  <c r="J73" i="32"/>
  <c r="I79" i="5"/>
  <c r="L73" i="5"/>
  <c r="O78" i="32"/>
  <c r="I79" i="32"/>
  <c r="O73" i="5"/>
  <c r="D79" i="5"/>
  <c r="O70" i="32"/>
  <c r="J79" i="5"/>
  <c r="I73" i="5"/>
  <c r="J79" i="32"/>
  <c r="K79" i="5"/>
  <c r="J73" i="5"/>
  <c r="N73" i="5"/>
  <c r="F73" i="5"/>
  <c r="O74" i="32"/>
  <c r="O87" i="32"/>
  <c r="O89" i="32" s="1"/>
  <c r="F58" i="5"/>
  <c r="F58" i="32" s="1"/>
  <c r="L23" i="5"/>
  <c r="L23" i="32" s="1"/>
  <c r="C45" i="5"/>
  <c r="C45" i="32" s="1"/>
  <c r="O76" i="32"/>
  <c r="C33" i="5"/>
  <c r="C33" i="32" s="1"/>
  <c r="D22" i="5"/>
  <c r="D22" i="32" s="1"/>
  <c r="M14" i="5"/>
  <c r="M63" i="5" s="1"/>
  <c r="M63" i="32" s="1"/>
  <c r="E39" i="5"/>
  <c r="E39" i="32" s="1"/>
  <c r="E42" i="5"/>
  <c r="E42" i="32" s="1"/>
  <c r="N57" i="5"/>
  <c r="N57" i="32" s="1"/>
  <c r="D7" i="5"/>
  <c r="D7" i="32" s="1"/>
  <c r="I14" i="5"/>
  <c r="I14" i="32" s="1"/>
  <c r="K9" i="5"/>
  <c r="K9" i="32" s="1"/>
  <c r="M26" i="5"/>
  <c r="M26" i="32" s="1"/>
  <c r="H40" i="5"/>
  <c r="H40" i="32" s="1"/>
  <c r="C58" i="5"/>
  <c r="C58" i="32" s="1"/>
  <c r="C32" i="5"/>
  <c r="C32" i="32" s="1"/>
  <c r="O49" i="5"/>
  <c r="O29" i="5"/>
  <c r="H41" i="5"/>
  <c r="H41" i="32" s="1"/>
  <c r="E10" i="5"/>
  <c r="E10" i="32" s="1"/>
  <c r="I33" i="5"/>
  <c r="I33" i="32" s="1"/>
  <c r="K42" i="5"/>
  <c r="K42" i="32" s="1"/>
  <c r="L17" i="5"/>
  <c r="L17" i="32" s="1"/>
  <c r="G65" i="5"/>
  <c r="G65" i="32" s="1"/>
  <c r="H51" i="5"/>
  <c r="H51" i="32" s="1"/>
  <c r="O53" i="5"/>
  <c r="H39" i="5"/>
  <c r="H39" i="32" s="1"/>
  <c r="F49" i="5"/>
  <c r="F49" i="32" s="1"/>
  <c r="O44" i="5"/>
  <c r="O43" i="5"/>
  <c r="K34" i="5"/>
  <c r="K34" i="32" s="1"/>
  <c r="J41" i="5"/>
  <c r="J41" i="32" s="1"/>
  <c r="J39" i="5"/>
  <c r="J39" i="32" s="1"/>
  <c r="O32" i="5"/>
  <c r="H30" i="5"/>
  <c r="H30" i="32" s="1"/>
  <c r="H35" i="5"/>
  <c r="H35" i="32" s="1"/>
  <c r="D59" i="5"/>
  <c r="D59" i="32" s="1"/>
  <c r="G17" i="5"/>
  <c r="G17" i="32" s="1"/>
  <c r="N10" i="5"/>
  <c r="N10" i="32" s="1"/>
  <c r="N7" i="5"/>
  <c r="N7" i="32" s="1"/>
  <c r="F15" i="5"/>
  <c r="F15" i="32" s="1"/>
  <c r="E27" i="5"/>
  <c r="E27" i="32" s="1"/>
  <c r="H52" i="5"/>
  <c r="H52" i="32" s="1"/>
  <c r="M65" i="5"/>
  <c r="M65" i="32" s="1"/>
  <c r="O52" i="5"/>
  <c r="O38" i="5"/>
  <c r="J29" i="5"/>
  <c r="J29" i="32" s="1"/>
  <c r="E33" i="5"/>
  <c r="E33" i="32" s="1"/>
  <c r="D14" i="5"/>
  <c r="D14" i="32" s="1"/>
  <c r="I16" i="5"/>
  <c r="I16" i="32" s="1"/>
  <c r="H24" i="5"/>
  <c r="H24" i="32" s="1"/>
  <c r="G47" i="5"/>
  <c r="G47" i="32" s="1"/>
  <c r="F9" i="5"/>
  <c r="F9" i="32" s="1"/>
  <c r="G30" i="5"/>
  <c r="G30" i="32" s="1"/>
  <c r="L47" i="5"/>
  <c r="L47" i="32" s="1"/>
  <c r="F47" i="5"/>
  <c r="F47" i="32" s="1"/>
  <c r="E32" i="5"/>
  <c r="E32" i="32" s="1"/>
  <c r="E6" i="5"/>
  <c r="E6" i="32" s="1"/>
  <c r="D38" i="5"/>
  <c r="D38" i="32" s="1"/>
  <c r="L44" i="5"/>
  <c r="L44" i="32" s="1"/>
  <c r="K33" i="5"/>
  <c r="K33" i="32" s="1"/>
  <c r="I45" i="5"/>
  <c r="I45" i="32" s="1"/>
  <c r="H27" i="5"/>
  <c r="H27" i="32" s="1"/>
  <c r="L51" i="5"/>
  <c r="L51" i="32" s="1"/>
  <c r="D49" i="5"/>
  <c r="D49" i="32" s="1"/>
  <c r="G10" i="5"/>
  <c r="G10" i="32" s="1"/>
  <c r="N53" i="5"/>
  <c r="N53" i="32" s="1"/>
  <c r="D67" i="32"/>
  <c r="L9" i="5"/>
  <c r="L9" i="32" s="1"/>
  <c r="L7" i="5"/>
  <c r="L7" i="32" s="1"/>
  <c r="C6" i="5"/>
  <c r="C6" i="32" s="1"/>
  <c r="I56" i="5"/>
  <c r="I56" i="32" s="1"/>
  <c r="I27" i="5"/>
  <c r="I27" i="32" s="1"/>
  <c r="I43" i="5"/>
  <c r="I43" i="32" s="1"/>
  <c r="E29" i="5"/>
  <c r="E29" i="32" s="1"/>
  <c r="K28" i="5"/>
  <c r="K28" i="32" s="1"/>
  <c r="O35" i="5"/>
  <c r="E44" i="5"/>
  <c r="E44" i="32" s="1"/>
  <c r="F50" i="5"/>
  <c r="F50" i="32" s="1"/>
  <c r="I9" i="5"/>
  <c r="I9" i="32" s="1"/>
  <c r="N33" i="5"/>
  <c r="N33" i="32" s="1"/>
  <c r="C23" i="5"/>
  <c r="C23" i="32" s="1"/>
  <c r="I42" i="5"/>
  <c r="I42" i="32" s="1"/>
  <c r="J14" i="5"/>
  <c r="J14" i="32" s="1"/>
  <c r="O50" i="5"/>
  <c r="H42" i="5"/>
  <c r="H42" i="32" s="1"/>
  <c r="O9" i="5"/>
  <c r="O16" i="5"/>
  <c r="L10" i="5"/>
  <c r="L10" i="32" s="1"/>
  <c r="M42" i="5"/>
  <c r="M42" i="32" s="1"/>
  <c r="K65" i="5"/>
  <c r="K65" i="32" s="1"/>
  <c r="K24" i="5"/>
  <c r="K24" i="32" s="1"/>
  <c r="H19" i="5"/>
  <c r="H19" i="32" s="1"/>
  <c r="M56" i="5"/>
  <c r="M56" i="32" s="1"/>
  <c r="F6" i="5"/>
  <c r="F6" i="32" s="1"/>
  <c r="L29" i="5"/>
  <c r="L29" i="32" s="1"/>
  <c r="I41" i="5"/>
  <c r="I41" i="32" s="1"/>
  <c r="K20" i="5"/>
  <c r="K20" i="32" s="1"/>
  <c r="N51" i="5"/>
  <c r="N51" i="32" s="1"/>
  <c r="L33" i="5"/>
  <c r="L33" i="32" s="1"/>
  <c r="H34" i="5"/>
  <c r="H34" i="32" s="1"/>
  <c r="N55" i="5"/>
  <c r="N55" i="32" s="1"/>
  <c r="F28" i="5"/>
  <c r="F28" i="32" s="1"/>
  <c r="L56" i="5"/>
  <c r="L56" i="32" s="1"/>
  <c r="D33" i="5"/>
  <c r="D33" i="32" s="1"/>
  <c r="F57" i="5"/>
  <c r="F57" i="32" s="1"/>
  <c r="L36" i="5"/>
  <c r="L36" i="32" s="1"/>
  <c r="F56" i="5"/>
  <c r="F56" i="32" s="1"/>
  <c r="I52" i="5"/>
  <c r="I52" i="32" s="1"/>
  <c r="F60" i="5"/>
  <c r="F60" i="32" s="1"/>
  <c r="C43" i="5"/>
  <c r="C43" i="32" s="1"/>
  <c r="L55" i="5"/>
  <c r="L5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K46" i="5"/>
  <c r="K46" i="32" s="1"/>
  <c r="G48" i="5"/>
  <c r="G48" i="32" s="1"/>
  <c r="J45" i="5"/>
  <c r="J45" i="32" s="1"/>
  <c r="M48" i="5"/>
  <c r="M48" i="32" s="1"/>
  <c r="I54" i="5"/>
  <c r="I54" i="32" s="1"/>
  <c r="I20" i="5"/>
  <c r="I20" i="32" s="1"/>
  <c r="H59" i="5"/>
  <c r="H59" i="32" s="1"/>
  <c r="K6" i="5"/>
  <c r="E53" i="5"/>
  <c r="E53" i="32" s="1"/>
  <c r="L14" i="5"/>
  <c r="L14" i="32" s="1"/>
  <c r="O65" i="5"/>
  <c r="L57" i="5"/>
  <c r="L57" i="32" s="1"/>
  <c r="C26" i="5"/>
  <c r="C26" i="32" s="1"/>
  <c r="I58" i="5"/>
  <c r="I58" i="32" s="1"/>
  <c r="H25" i="5"/>
  <c r="H25" i="32" s="1"/>
  <c r="K26" i="5"/>
  <c r="K26" i="32" s="1"/>
  <c r="O71" i="32"/>
  <c r="L41" i="5"/>
  <c r="L41" i="32" s="1"/>
  <c r="O20" i="5"/>
  <c r="D10" i="5"/>
  <c r="D10" i="32" s="1"/>
  <c r="G52" i="5"/>
  <c r="G52" i="32" s="1"/>
  <c r="J18" i="5"/>
  <c r="J18" i="32" s="1"/>
  <c r="N24" i="5"/>
  <c r="N24" i="32" s="1"/>
  <c r="J19" i="5"/>
  <c r="J19" i="32" s="1"/>
  <c r="C56" i="5"/>
  <c r="C56" i="32" s="1"/>
  <c r="O33" i="5"/>
  <c r="K23" i="5"/>
  <c r="K23" i="32" s="1"/>
  <c r="K19" i="5"/>
  <c r="K19" i="32" s="1"/>
  <c r="D52" i="5"/>
  <c r="D52" i="32" s="1"/>
  <c r="M49" i="5"/>
  <c r="M49" i="32" s="1"/>
  <c r="O40" i="5"/>
  <c r="L49" i="5"/>
  <c r="L49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M22" i="5"/>
  <c r="M22" i="32" s="1"/>
  <c r="F32" i="5"/>
  <c r="F32" i="32" s="1"/>
  <c r="N38" i="5"/>
  <c r="N38" i="32" s="1"/>
  <c r="D16" i="5"/>
  <c r="D16" i="32" s="1"/>
  <c r="E59" i="5"/>
  <c r="E59" i="32" s="1"/>
  <c r="I15" i="5"/>
  <c r="I15" i="32" s="1"/>
  <c r="J35" i="5"/>
  <c r="J35" i="32" s="1"/>
  <c r="I29" i="5"/>
  <c r="I29" i="32" s="1"/>
  <c r="L59" i="5"/>
  <c r="L59" i="32" s="1"/>
  <c r="G27" i="5"/>
  <c r="G27" i="32" s="1"/>
  <c r="I55" i="5"/>
  <c r="I55" i="32" s="1"/>
  <c r="C51" i="5"/>
  <c r="C51" i="32" s="1"/>
  <c r="C20" i="5"/>
  <c r="C20" i="32" s="1"/>
  <c r="E22" i="5"/>
  <c r="E22" i="32" s="1"/>
  <c r="D56" i="5"/>
  <c r="D56" i="32" s="1"/>
  <c r="F54" i="5"/>
  <c r="F54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E49" i="5"/>
  <c r="E49" i="32" s="1"/>
  <c r="G6" i="5"/>
  <c r="G6" i="32" s="1"/>
  <c r="O36" i="5"/>
  <c r="E61" i="5"/>
  <c r="E61" i="32" s="1"/>
  <c r="C61" i="5"/>
  <c r="C61" i="32" s="1"/>
  <c r="G61" i="5"/>
  <c r="G61" i="32" s="1"/>
  <c r="I61" i="5"/>
  <c r="I61" i="32" s="1"/>
  <c r="J61" i="5"/>
  <c r="J61" i="32" s="1"/>
  <c r="M61" i="5"/>
  <c r="M61" i="32" s="1"/>
  <c r="L61" i="5"/>
  <c r="L61" i="32" s="1"/>
  <c r="F61" i="5"/>
  <c r="F61" i="32" s="1"/>
  <c r="O61" i="5"/>
  <c r="K61" i="5"/>
  <c r="K61" i="32" s="1"/>
  <c r="D61" i="5"/>
  <c r="D61" i="32" s="1"/>
  <c r="H61" i="5"/>
  <c r="H61" i="32" s="1"/>
  <c r="N61" i="5"/>
  <c r="N61" i="32" s="1"/>
  <c r="K10" i="5"/>
  <c r="K10" i="32" s="1"/>
  <c r="I65" i="5"/>
  <c r="I65" i="32" s="1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5"/>
  <c r="F65" i="32" s="1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5"/>
  <c r="L65" i="32" s="1"/>
  <c r="J46" i="5"/>
  <c r="J46" i="32" s="1"/>
  <c r="M51" i="5"/>
  <c r="M51" i="32" s="1"/>
  <c r="E65" i="5"/>
  <c r="E65" i="32" s="1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5"/>
  <c r="D65" i="32" s="1"/>
  <c r="O7" i="5"/>
  <c r="G41" i="5"/>
  <c r="G41" i="32" s="1"/>
  <c r="K7" i="5"/>
  <c r="K7" i="32" s="1"/>
  <c r="E14" i="5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O79" i="5" s="1"/>
  <c r="F24" i="5"/>
  <c r="F24" i="32" s="1"/>
  <c r="L38" i="5"/>
  <c r="L38" i="32" s="1"/>
  <c r="F53" i="5"/>
  <c r="F53" i="32" s="1"/>
  <c r="C65" i="5"/>
  <c r="C65" i="32" s="1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63" i="5" s="1"/>
  <c r="N63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31" i="5"/>
  <c r="J31" i="32" s="1"/>
  <c r="J43" i="5"/>
  <c r="J43" i="32" s="1"/>
  <c r="K17" i="5"/>
  <c r="K17" i="32" s="1"/>
  <c r="D27" i="5"/>
  <c r="D27" i="32" s="1"/>
  <c r="N79" i="32"/>
  <c r="O75" i="32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63" i="5" s="1"/>
  <c r="K63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5"/>
  <c r="H65" i="32" s="1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O63" i="5" s="1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N6" i="32" s="1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O98" i="32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M24" i="5"/>
  <c r="M24" i="32" s="1"/>
  <c r="L99" i="32"/>
  <c r="O97" i="32"/>
  <c r="O93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H99" i="32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G73" i="32"/>
  <c r="O69" i="32"/>
  <c r="C67" i="32" l="1"/>
  <c r="F67" i="5"/>
  <c r="M67" i="5"/>
  <c r="M14" i="32"/>
  <c r="I67" i="5"/>
  <c r="G67" i="32"/>
  <c r="O67" i="5"/>
  <c r="N67" i="32"/>
  <c r="F67" i="32"/>
  <c r="G67" i="5"/>
  <c r="H67" i="32"/>
  <c r="L8" i="32"/>
  <c r="L5" i="32" s="1"/>
  <c r="L12" i="32" s="1"/>
  <c r="D8" i="5"/>
  <c r="D5" i="5" s="1"/>
  <c r="D12" i="5" s="1"/>
  <c r="E67" i="32"/>
  <c r="O8" i="5"/>
  <c r="O5" i="5" s="1"/>
  <c r="O12" i="5" s="1"/>
  <c r="H67" i="5"/>
  <c r="K67" i="32"/>
  <c r="C67" i="5"/>
  <c r="D67" i="5"/>
  <c r="E67" i="5"/>
  <c r="K67" i="5"/>
  <c r="L67" i="5"/>
  <c r="M67" i="32"/>
  <c r="L67" i="32"/>
  <c r="H8" i="32"/>
  <c r="H5" i="32" s="1"/>
  <c r="H12" i="32" s="1"/>
  <c r="K14" i="32"/>
  <c r="O79" i="32"/>
  <c r="L8" i="5"/>
  <c r="L5" i="5" s="1"/>
  <c r="L12" i="5" s="1"/>
  <c r="J67" i="32"/>
  <c r="N67" i="5"/>
  <c r="I67" i="32"/>
  <c r="I8" i="5"/>
  <c r="I5" i="5" s="1"/>
  <c r="I12" i="5" s="1"/>
  <c r="N8" i="32"/>
  <c r="N5" i="32" s="1"/>
  <c r="N12" i="32" s="1"/>
  <c r="N8" i="5"/>
  <c r="N5" i="5" s="1"/>
  <c r="N12" i="5" s="1"/>
  <c r="K8" i="5"/>
  <c r="K5" i="5" s="1"/>
  <c r="K12" i="5" s="1"/>
  <c r="J67" i="5"/>
  <c r="K6" i="32"/>
  <c r="K8" i="32" s="1"/>
  <c r="K5" i="32" s="1"/>
  <c r="K12" i="32" s="1"/>
  <c r="N14" i="32"/>
  <c r="D6" i="32"/>
  <c r="D8" i="32" s="1"/>
  <c r="D5" i="32" s="1"/>
  <c r="D12" i="32" s="1"/>
  <c r="D81" i="32" s="1"/>
  <c r="H64" i="5"/>
  <c r="H64" i="32" s="1"/>
  <c r="E63" i="5"/>
  <c r="E63" i="32" s="1"/>
  <c r="G63" i="5"/>
  <c r="G63" i="32" s="1"/>
  <c r="D63" i="5"/>
  <c r="D63" i="32" s="1"/>
  <c r="F63" i="5"/>
  <c r="F63" i="32" s="1"/>
  <c r="O26" i="32"/>
  <c r="C63" i="5"/>
  <c r="C63" i="32" s="1"/>
  <c r="J63" i="5"/>
  <c r="J63" i="32" s="1"/>
  <c r="I63" i="5"/>
  <c r="I63" i="32" s="1"/>
  <c r="H63" i="5"/>
  <c r="H63" i="32" s="1"/>
  <c r="L63" i="5"/>
  <c r="L63" i="32" s="1"/>
  <c r="O73" i="32"/>
  <c r="H8" i="5"/>
  <c r="H5" i="5" s="1"/>
  <c r="H12" i="5" s="1"/>
  <c r="J8" i="5"/>
  <c r="J5" i="5" s="1"/>
  <c r="J12" i="5" s="1"/>
  <c r="E8" i="5"/>
  <c r="E5" i="5" s="1"/>
  <c r="E12" i="5" s="1"/>
  <c r="I8" i="32"/>
  <c r="I5" i="32" s="1"/>
  <c r="I12" i="32" s="1"/>
  <c r="E8" i="32"/>
  <c r="E5" i="32" s="1"/>
  <c r="E12" i="32" s="1"/>
  <c r="O34" i="32"/>
  <c r="M8" i="5"/>
  <c r="M5" i="5" s="1"/>
  <c r="M12" i="5" s="1"/>
  <c r="G8" i="32"/>
  <c r="G5" i="32" s="1"/>
  <c r="G12" i="32" s="1"/>
  <c r="F8" i="32"/>
  <c r="F5" i="32" s="1"/>
  <c r="F12" i="32" s="1"/>
  <c r="K62" i="5"/>
  <c r="K62" i="32" s="1"/>
  <c r="M6" i="32"/>
  <c r="M8" i="32" s="1"/>
  <c r="M5" i="32" s="1"/>
  <c r="M12" i="32" s="1"/>
  <c r="G8" i="5"/>
  <c r="G5" i="5" s="1"/>
  <c r="G12" i="5" s="1"/>
  <c r="F8" i="5"/>
  <c r="F5" i="5" s="1"/>
  <c r="F12" i="5" s="1"/>
  <c r="E62" i="5"/>
  <c r="E62" i="32" s="1"/>
  <c r="E14" i="32"/>
  <c r="O62" i="5"/>
  <c r="N62" i="5"/>
  <c r="N62" i="32" s="1"/>
  <c r="J62" i="5"/>
  <c r="J62" i="32" s="1"/>
  <c r="C62" i="5"/>
  <c r="C62" i="32" s="1"/>
  <c r="M62" i="5"/>
  <c r="M62" i="32" s="1"/>
  <c r="O16" i="32"/>
  <c r="L62" i="5"/>
  <c r="L62" i="32" s="1"/>
  <c r="H62" i="5"/>
  <c r="H62" i="32" s="1"/>
  <c r="F62" i="5"/>
  <c r="F62" i="32" s="1"/>
  <c r="G62" i="5"/>
  <c r="G62" i="32" s="1"/>
  <c r="I62" i="5"/>
  <c r="I62" i="32" s="1"/>
  <c r="D62" i="5"/>
  <c r="D62" i="32" s="1"/>
  <c r="O46" i="32"/>
  <c r="O18" i="32"/>
  <c r="O50" i="32"/>
  <c r="O39" i="32"/>
  <c r="O32" i="32"/>
  <c r="O41" i="32"/>
  <c r="O53" i="32"/>
  <c r="O35" i="32"/>
  <c r="O65" i="32"/>
  <c r="O56" i="32"/>
  <c r="O33" i="32"/>
  <c r="O23" i="32"/>
  <c r="O54" i="32"/>
  <c r="O51" i="32"/>
  <c r="O52" i="32"/>
  <c r="O40" i="32"/>
  <c r="O20" i="32"/>
  <c r="O43" i="32"/>
  <c r="O7" i="32"/>
  <c r="O25" i="32"/>
  <c r="O37" i="32"/>
  <c r="O17" i="32"/>
  <c r="O55" i="32"/>
  <c r="O9" i="32"/>
  <c r="O36" i="32"/>
  <c r="O61" i="32"/>
  <c r="O57" i="32"/>
  <c r="O22" i="32"/>
  <c r="O45" i="32"/>
  <c r="O15" i="32"/>
  <c r="O58" i="32"/>
  <c r="O29" i="32"/>
  <c r="O27" i="32"/>
  <c r="O99" i="32"/>
  <c r="O28" i="32"/>
  <c r="J8" i="32"/>
  <c r="J5" i="32" s="1"/>
  <c r="J12" i="32" s="1"/>
  <c r="J64" i="5"/>
  <c r="M3" i="10" s="1" a="1"/>
  <c r="M3" i="10" s="1"/>
  <c r="O59" i="32"/>
  <c r="H14" i="32"/>
  <c r="C8" i="5"/>
  <c r="C5" i="5" s="1"/>
  <c r="C12" i="5" s="1"/>
  <c r="O94" i="32"/>
  <c r="O24" i="32"/>
  <c r="O21" i="32"/>
  <c r="O19" i="32"/>
  <c r="O10" i="32"/>
  <c r="O60" i="32"/>
  <c r="G64" i="5"/>
  <c r="G64" i="32" s="1"/>
  <c r="C64" i="5"/>
  <c r="C64" i="32" s="1"/>
  <c r="L64" i="5"/>
  <c r="L64" i="32" s="1"/>
  <c r="K64" i="5"/>
  <c r="N3" i="10" s="1" a="1"/>
  <c r="N3" i="10" s="1"/>
  <c r="I64" i="5"/>
  <c r="I64" i="32" s="1"/>
  <c r="O42" i="32"/>
  <c r="O44" i="32"/>
  <c r="O30" i="32"/>
  <c r="O49" i="32"/>
  <c r="O38" i="32"/>
  <c r="F64" i="5"/>
  <c r="I3" i="10" s="1" a="1"/>
  <c r="I3" i="10" s="1"/>
  <c r="N64" i="5"/>
  <c r="N64" i="32" s="1"/>
  <c r="E64" i="5"/>
  <c r="E64" i="32" s="1"/>
  <c r="O48" i="32"/>
  <c r="D64" i="5"/>
  <c r="D64" i="32" s="1"/>
  <c r="O47" i="32"/>
  <c r="C8" i="32"/>
  <c r="C5" i="32" s="1"/>
  <c r="C12" i="32" s="1"/>
  <c r="F81" i="5" l="1"/>
  <c r="M81" i="5"/>
  <c r="I81" i="5"/>
  <c r="O81" i="5"/>
  <c r="G81" i="32"/>
  <c r="N81" i="32"/>
  <c r="F81" i="32"/>
  <c r="H81" i="32"/>
  <c r="G81" i="5"/>
  <c r="C81" i="5"/>
  <c r="E81" i="32"/>
  <c r="H81" i="5"/>
  <c r="K81" i="5"/>
  <c r="K81" i="32"/>
  <c r="E81" i="5"/>
  <c r="D81" i="5"/>
  <c r="O67" i="32"/>
  <c r="L81" i="5"/>
  <c r="N81" i="5"/>
  <c r="J81" i="32"/>
  <c r="L81" i="32"/>
  <c r="M81" i="32"/>
  <c r="J81" i="5"/>
  <c r="I81" i="32"/>
  <c r="O6" i="32"/>
  <c r="O8" i="32" s="1"/>
  <c r="O5" i="32" s="1"/>
  <c r="O12" i="32" s="1"/>
  <c r="F13" i="5"/>
  <c r="F66" i="5" s="1"/>
  <c r="F80" i="5" s="1"/>
  <c r="C13" i="32"/>
  <c r="C66" i="32" s="1"/>
  <c r="C80" i="32" s="1"/>
  <c r="I13" i="5"/>
  <c r="I66" i="5" s="1"/>
  <c r="I80" i="5" s="1"/>
  <c r="O63" i="32"/>
  <c r="K13" i="5"/>
  <c r="K66" i="5" s="1"/>
  <c r="K80" i="5" s="1"/>
  <c r="J13" i="5"/>
  <c r="J66" i="5" s="1"/>
  <c r="J80" i="5" s="1"/>
  <c r="O62" i="32"/>
  <c r="N13" i="32"/>
  <c r="N66" i="32" s="1"/>
  <c r="N80" i="32" s="1"/>
  <c r="G13" i="32"/>
  <c r="G66" i="32" s="1"/>
  <c r="G80" i="32" s="1"/>
  <c r="G13" i="5"/>
  <c r="L3" i="10" a="1"/>
  <c r="L3" i="10" s="1"/>
  <c r="L13" i="32"/>
  <c r="L66" i="32" s="1"/>
  <c r="L80" i="32" s="1"/>
  <c r="O14" i="32"/>
  <c r="J64" i="32"/>
  <c r="J13" i="32" s="1"/>
  <c r="J66" i="32" s="1"/>
  <c r="J80" i="32" s="1"/>
  <c r="L13" i="5"/>
  <c r="L66" i="5" s="1"/>
  <c r="L80" i="5" s="1"/>
  <c r="I13" i="32"/>
  <c r="I66" i="32" s="1"/>
  <c r="I80" i="32" s="1"/>
  <c r="N13" i="5"/>
  <c r="N66" i="5" s="1"/>
  <c r="N80" i="5" s="1"/>
  <c r="E13" i="32"/>
  <c r="E66" i="32" s="1"/>
  <c r="E80" i="32" s="1"/>
  <c r="E13" i="5"/>
  <c r="E66" i="5" s="1"/>
  <c r="E80" i="5" s="1"/>
  <c r="K3" i="10" a="1"/>
  <c r="K3" i="10" s="1"/>
  <c r="C13" i="5"/>
  <c r="C66" i="5" s="1"/>
  <c r="C80" i="5" s="1"/>
  <c r="F3" i="10" a="1"/>
  <c r="F3" i="10" s="1"/>
  <c r="H13" i="5"/>
  <c r="H66" i="5" s="1"/>
  <c r="H80" i="5" s="1"/>
  <c r="D13" i="32"/>
  <c r="D66" i="32" s="1"/>
  <c r="D80" i="32" s="1"/>
  <c r="D13" i="5"/>
  <c r="D66" i="5" s="1"/>
  <c r="D80" i="5" s="1"/>
  <c r="F64" i="32"/>
  <c r="F13" i="32" s="1"/>
  <c r="F66" i="32" s="1"/>
  <c r="F80" i="32" s="1"/>
  <c r="H13" i="32"/>
  <c r="H66" i="32" s="1"/>
  <c r="H80" i="32" s="1"/>
  <c r="Q3" i="10" a="1"/>
  <c r="Q3" i="10" s="1"/>
  <c r="K64" i="32"/>
  <c r="K13" i="32" s="1"/>
  <c r="K66" i="32" s="1"/>
  <c r="K80" i="32" s="1"/>
  <c r="H3" i="10" a="1"/>
  <c r="H3" i="10" s="1"/>
  <c r="G3" i="10" a="1"/>
  <c r="G3" i="10" s="1"/>
  <c r="O3" i="10" a="1"/>
  <c r="O3" i="10" s="1"/>
  <c r="C81" i="32"/>
  <c r="O81" i="32" l="1"/>
  <c r="G66" i="5"/>
  <c r="G80" i="5" s="1"/>
  <c r="J3" i="10" a="1"/>
  <c r="J3" i="10" s="1"/>
  <c r="M31" i="5"/>
  <c r="M31" i="32" s="1"/>
  <c r="O31" i="32" s="1"/>
  <c r="P5" i="10"/>
  <c r="R59" i="10"/>
  <c r="O31" i="5" s="1"/>
  <c r="R5" i="10" l="1"/>
  <c r="M64" i="5"/>
  <c r="O64" i="5"/>
  <c r="O13" i="5" s="1"/>
  <c r="O66" i="5" s="1"/>
  <c r="O80" i="5" s="1"/>
  <c r="M64" i="32" l="1"/>
  <c r="P3" i="10" a="1"/>
  <c r="P3" i="10" s="1"/>
  <c r="M13" i="5"/>
  <c r="M66" i="5" s="1"/>
  <c r="M80" i="5" s="1"/>
  <c r="O64" i="32" l="1"/>
  <c r="O13" i="32" s="1"/>
  <c r="O66" i="32" s="1"/>
  <c r="O80" i="32" s="1"/>
  <c r="M13" i="32"/>
  <c r="M66" i="32" s="1"/>
  <c r="M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Nguyễn Thị Thiện Duyên(Nguyen Thi Thien Duyen)</author>
    <author>Nguyễn Anh Tuấn(Nguyen Anh Tuan)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G59" authorId="1" shapeId="0" xr:uid="{2098C621-1C24-4613-A5DF-E89FA8363C1D}">
      <text>
        <r>
          <rPr>
            <b/>
            <sz val="9"/>
            <color indexed="81"/>
            <rFont val="Tahoma"/>
            <family val="2"/>
          </rPr>
          <t>cho locker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8" authorId="2" shapeId="0" xr:uid="{04C6D551-EF2B-4875-A030-2C0F8527F79B}">
      <text>
        <r>
          <rPr>
            <sz val="9"/>
            <color indexed="81"/>
            <rFont val="Tahoma"/>
            <family val="2"/>
          </rPr>
          <t xml:space="preserve">Phong
</t>
        </r>
      </text>
    </comment>
    <comment ref="L98" authorId="2" shapeId="0" xr:uid="{1C57D97A-0312-44F9-AAE9-F35F26F5EB54}">
      <text>
        <r>
          <rPr>
            <sz val="9"/>
            <color indexed="81"/>
            <rFont val="Tahoma"/>
            <family val="2"/>
          </rPr>
          <t xml:space="preserve">Phong
</t>
        </r>
      </text>
    </comment>
    <comment ref="G99" authorId="2" shapeId="0" xr:uid="{F7A24FDA-E857-46CB-B5D5-ED3A3B8FB9FA}">
      <text>
        <r>
          <rPr>
            <b/>
            <sz val="9"/>
            <color indexed="81"/>
            <rFont val="Tahoma"/>
            <family val="2"/>
          </rPr>
          <t>Phòng</t>
        </r>
      </text>
    </comment>
    <comment ref="I99" authorId="2" shapeId="0" xr:uid="{668FF640-BCCD-43E7-A2BD-D2D9A50E4C0B}">
      <text>
        <r>
          <rPr>
            <b/>
            <sz val="9"/>
            <color indexed="81"/>
            <rFont val="Tahoma"/>
            <family val="2"/>
          </rPr>
          <t>Phong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<sst xmlns="http://schemas.openxmlformats.org/spreadsheetml/2006/main" count="2267" uniqueCount="1010">
  <si>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</si>
  <si>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</si>
  <si>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</si>
  <si>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</si>
  <si>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</si>
  <si>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</si>
  <si>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</si>
  <si>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</si>
  <si>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</si>
  <si>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</si>
  <si>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</si>
  <si>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</si>
  <si>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</si>
  <si>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</si>
  <si>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</si>
  <si>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</si>
  <si>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</si>
  <si>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</si>
  <si>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</si>
  <si>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</si>
  <si>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</si>
  <si>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</si>
  <si>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</si>
  <si>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</si>
  <si>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</si>
  <si>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</si>
  <si>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</si>
  <si>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</si>
  <si>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</si>
  <si>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</si>
  <si>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</si>
  <si>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</si>
  <si>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</si>
  <si>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</si>
  <si>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</si>
  <si>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</si>
  <si>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</si>
  <si>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</si>
  <si>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</si>
  <si>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</si>
  <si>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</si>
  <si>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</si>
  <si>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</si>
  <si>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</si>
  <si>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</si>
  <si>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</si>
  <si>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</si>
  <si>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</si>
  <si>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</si>
  <si>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</si>
  <si>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</si>
  <si>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</si>
  <si>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</si>
  <si>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</si>
  <si>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</si>
  <si>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</si>
  <si>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</si>
  <si>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</si>
  <si>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</si>
  <si>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</si>
  <si>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</si>
  <si>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</si>
  <si>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</si>
  <si>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</si>
  <si>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</si>
  <si>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</si>
  <si>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</si>
  <si>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</si>
  <si>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</si>
  <si>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</si>
  <si>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</si>
  <si>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</si>
  <si>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</si>
  <si>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</si>
  <si>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</si>
  <si>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</si>
  <si>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</si>
  <si>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</si>
  <si>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</si>
  <si>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</si>
  <si>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</si>
  <si>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</si>
  <si>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</si>
  <si>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</si>
  <si>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</si>
  <si>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</si>
  <si>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</si>
  <si>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</si>
  <si>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1"/>
  </si>
  <si>
    <t>工場間接部門</t>
    <rPh sb="0" eb="2">
      <t>コウジョウ</t>
    </rPh>
    <phoneticPr fontId="11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</si>
  <si>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</si>
  <si>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</si>
  <si>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</si>
  <si>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</si>
  <si>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</si>
  <si>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</si>
  <si>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</si>
  <si>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</si>
  <si>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</si>
  <si>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</si>
  <si>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</si>
  <si>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</si>
  <si>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</si>
  <si>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</si>
  <si>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</si>
  <si>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</si>
  <si>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</si>
  <si>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</si>
  <si>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</si>
  <si>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</si>
  <si>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</si>
  <si>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</si>
  <si>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</si>
  <si>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</si>
  <si>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</si>
  <si>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</si>
  <si>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</si>
  <si>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</si>
  <si>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</si>
  <si>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</si>
  <si>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</si>
  <si>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</si>
  <si>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</si>
  <si>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</si>
  <si>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</si>
  <si>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</si>
  <si>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1"/>
  </si>
  <si>
    <t>部外間接部門2</t>
    <rPh sb="0" eb="2">
      <t>ブガイ</t>
    </rPh>
    <rPh sb="2" eb="4">
      <t>カンセツ</t>
    </rPh>
    <rPh sb="4" eb="6">
      <t>ブモン</t>
    </rPh>
    <phoneticPr fontId="11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</si>
  <si>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</si>
  <si>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</si>
  <si>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</si>
  <si>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</si>
  <si>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</si>
  <si>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</si>
  <si>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</si>
  <si>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</si>
  <si>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</si>
  <si>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</si>
  <si>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</si>
  <si>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</si>
  <si>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</si>
  <si>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</si>
  <si>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</si>
  <si>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</si>
  <si>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</si>
  <si>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</si>
  <si>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</si>
  <si>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</si>
  <si>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</si>
  <si>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</si>
  <si>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</si>
  <si>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</si>
  <si>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</si>
  <si>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</si>
  <si>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</si>
  <si>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</si>
  <si>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</si>
  <si>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</si>
  <si>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</si>
  <si>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</si>
  <si>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</si>
  <si>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</si>
  <si>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</si>
  <si>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</si>
  <si>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</si>
  <si>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</si>
  <si>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</si>
  <si>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</si>
  <si>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</si>
  <si>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</si>
  <si>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</si>
  <si>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</si>
  <si>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</si>
  <si>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</si>
  <si>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</si>
  <si>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</si>
  <si>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</si>
  <si>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</si>
  <si>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</si>
  <si>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</si>
  <si>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</si>
  <si>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</si>
  <si>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</si>
  <si>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</si>
  <si>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</si>
  <si>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</si>
  <si>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</si>
  <si>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</si>
  <si>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</si>
  <si>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</si>
  <si>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</si>
  <si>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</si>
  <si>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</si>
  <si>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</si>
  <si>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</si>
  <si>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</si>
  <si>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</si>
  <si>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</si>
  <si>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</si>
  <si>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</si>
  <si>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</si>
  <si>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</si>
  <si>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</si>
  <si>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</si>
  <si>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</si>
  <si>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</si>
  <si>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</si>
  <si>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</si>
  <si>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</si>
  <si>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</si>
  <si>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</si>
  <si>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</si>
  <si>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</si>
  <si>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</si>
  <si>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</si>
  <si>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</si>
  <si>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</si>
  <si>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</si>
  <si>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</si>
  <si>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</si>
  <si>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</si>
  <si>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</si>
  <si>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</si>
  <si>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</si>
  <si>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</si>
  <si>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</si>
  <si>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</si>
  <si>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</si>
  <si>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</si>
  <si>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</si>
  <si>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</si>
  <si>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</si>
  <si>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</si>
  <si>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</si>
  <si>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</si>
  <si>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</si>
  <si>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</si>
  <si>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</si>
  <si>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</si>
  <si>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</si>
  <si>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</si>
  <si>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</si>
  <si>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</si>
  <si>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</si>
  <si>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</si>
  <si>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</si>
  <si>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</si>
  <si>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</si>
  <si>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</si>
  <si>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</si>
  <si>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</si>
  <si>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</si>
  <si>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</si>
  <si>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</si>
  <si>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</si>
  <si>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</si>
  <si>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</si>
  <si>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</si>
  <si>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</si>
  <si>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</si>
  <si>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</si>
  <si>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</si>
  <si>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</si>
  <si>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</si>
  <si>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</si>
  <si>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</si>
  <si>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</si>
  <si>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</si>
  <si>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</si>
  <si>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</si>
  <si>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</si>
  <si>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</si>
  <si>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</si>
  <si>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</si>
  <si>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</si>
  <si>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</si>
  <si>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</si>
  <si>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</si>
  <si>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</si>
  <si>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</si>
  <si>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</si>
  <si>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</si>
  <si>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</si>
  <si>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</si>
  <si>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</si>
  <si>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</si>
  <si>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</si>
  <si>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</si>
  <si>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</si>
  <si>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</si>
  <si>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</si>
  <si>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</si>
  <si>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</si>
  <si>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</si>
  <si>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</si>
  <si>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</si>
  <si>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</si>
  <si>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</si>
  <si>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</si>
  <si>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</si>
  <si>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</si>
  <si>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</si>
  <si>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</si>
  <si>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</si>
  <si>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</si>
  <si>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</si>
  <si>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</si>
  <si>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</si>
  <si>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</si>
  <si>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</si>
  <si>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</si>
  <si>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</si>
  <si>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</si>
  <si>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</si>
  <si>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</si>
  <si>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</si>
  <si>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</si>
  <si>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</si>
  <si>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</si>
  <si>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</si>
  <si>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</si>
  <si>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</si>
  <si>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</si>
  <si>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</si>
  <si>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</si>
  <si>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</si>
  <si>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</si>
  <si>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</si>
  <si>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</si>
  <si>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</si>
  <si>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</si>
  <si>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</si>
  <si>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</si>
  <si>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</si>
  <si>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</si>
  <si>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</si>
  <si>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</si>
  <si>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</si>
  <si>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</si>
  <si>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</si>
  <si>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</si>
  <si>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</si>
  <si>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</si>
  <si>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</si>
  <si>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</si>
  <si>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</si>
  <si>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</si>
  <si>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</si>
  <si>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</si>
  <si>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</si>
  <si>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</si>
  <si>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</si>
  <si>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</si>
  <si>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</si>
  <si>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</si>
  <si>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</si>
  <si>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</si>
  <si>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</si>
  <si>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</si>
  <si>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</si>
  <si>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</si>
  <si>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</si>
  <si>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</si>
  <si>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</si>
  <si>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</si>
  <si>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</si>
  <si>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</si>
  <si>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</si>
  <si>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</si>
  <si>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</si>
  <si>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</si>
  <si>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</si>
  <si>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</si>
  <si>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</si>
  <si>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</si>
  <si>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</si>
  <si>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</si>
  <si>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</si>
  <si>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</si>
  <si>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</si>
  <si>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</si>
  <si>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</si>
  <si>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</si>
  <si>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</si>
  <si>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</si>
  <si>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</si>
  <si>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</si>
  <si>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</si>
  <si>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</si>
  <si>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</si>
  <si>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</si>
  <si>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</si>
  <si>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</si>
  <si>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</si>
  <si>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</si>
  <si>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</si>
  <si>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</si>
  <si>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</si>
  <si>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</si>
  <si>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</si>
  <si>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</si>
  <si>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</si>
  <si>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</si>
  <si>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</si>
  <si>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</si>
  <si>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</si>
  <si>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</si>
  <si>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</si>
  <si>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</si>
  <si>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</si>
  <si>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</si>
  <si>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</si>
  <si>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</si>
  <si>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</si>
  <si>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</si>
  <si>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</si>
  <si>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</si>
  <si>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</si>
  <si>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</si>
  <si>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</si>
  <si>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</si>
  <si>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</si>
  <si>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</si>
  <si>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</si>
  <si>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</si>
  <si>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</si>
  <si>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</si>
  <si>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</si>
  <si>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</si>
  <si>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</si>
  <si>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</si>
  <si>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</si>
  <si>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</si>
  <si>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</si>
  <si>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</si>
  <si>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</si>
  <si>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</si>
  <si>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</si>
  <si>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</si>
  <si>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</si>
  <si>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</si>
  <si>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</si>
  <si>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</si>
  <si>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</si>
  <si>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</si>
  <si>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</si>
  <si>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</si>
  <si>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</si>
  <si>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</si>
  <si>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</si>
  <si>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</si>
  <si>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</si>
  <si>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</si>
  <si>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</si>
  <si>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</si>
  <si>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</si>
  <si>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</si>
  <si>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</si>
  <si>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</si>
  <si>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</si>
  <si>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</si>
  <si>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</si>
  <si>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</si>
  <si>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</si>
  <si>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</si>
  <si>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</si>
  <si>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</si>
  <si>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</si>
  <si>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</si>
  <si>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</si>
  <si>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</si>
  <si>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</si>
  <si>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</si>
  <si>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</si>
  <si>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</si>
  <si>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</si>
  <si>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</si>
  <si>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</si>
  <si>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</si>
  <si>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</si>
  <si>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</si>
  <si>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</si>
  <si>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</si>
  <si>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</si>
  <si>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</si>
  <si>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</si>
  <si>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</si>
  <si>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</si>
  <si>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</si>
  <si>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</si>
  <si>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</si>
  <si>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</si>
  <si>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</si>
  <si>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</si>
  <si>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</si>
  <si>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</si>
  <si>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</si>
  <si>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</si>
  <si>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</si>
  <si>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</si>
  <si>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</si>
  <si>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</si>
  <si>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</si>
  <si>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</si>
  <si>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</si>
  <si>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</si>
  <si>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</si>
  <si>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</si>
  <si>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</si>
  <si>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</si>
  <si>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</si>
  <si>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</si>
  <si>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</si>
  <si>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</si>
  <si>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</si>
  <si>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</si>
  <si>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</si>
  <si>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</si>
  <si>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</si>
  <si>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</si>
  <si>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</si>
  <si>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</si>
  <si>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</si>
  <si>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</si>
  <si>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</si>
  <si>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</si>
  <si>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</si>
  <si>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</si>
  <si>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</si>
  <si>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</si>
  <si>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</si>
  <si>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</si>
  <si>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</si>
  <si>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</si>
  <si>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</si>
  <si>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</si>
  <si>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</si>
  <si>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</si>
  <si>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</si>
  <si>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</si>
  <si>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</si>
  <si>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</si>
  <si>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</si>
  <si>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</si>
  <si>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</si>
  <si>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</si>
  <si>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</si>
  <si>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</si>
  <si>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</si>
  <si>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</si>
  <si>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</si>
  <si>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</si>
  <si>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</si>
  <si>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</si>
  <si>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</si>
  <si>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</si>
  <si>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</si>
  <si>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</si>
  <si>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</si>
  <si>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</si>
  <si>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</si>
  <si>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</si>
  <si>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</si>
  <si>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</si>
  <si>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</si>
  <si>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</si>
  <si>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</si>
  <si>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</si>
  <si>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</si>
  <si>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</si>
  <si>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</si>
  <si>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</si>
  <si>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</si>
  <si>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</si>
  <si>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</si>
  <si>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</si>
  <si>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</si>
  <si>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</si>
  <si>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</si>
  <si>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</si>
  <si>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</si>
  <si>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</si>
  <si>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</si>
  <si>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</si>
  <si>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</si>
  <si>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</si>
  <si>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</si>
  <si>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</si>
  <si>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</si>
  <si>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</si>
  <si>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</si>
  <si>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</si>
  <si>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</si>
  <si>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</si>
  <si>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</si>
  <si>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</si>
  <si>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</si>
  <si>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</si>
  <si>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</si>
  <si>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</si>
  <si>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</si>
  <si>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</si>
  <si>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</si>
  <si>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</si>
  <si>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</si>
  <si>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</si>
  <si>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</si>
  <si>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</si>
  <si>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</si>
  <si>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</si>
  <si>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</si>
  <si>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</si>
  <si>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</si>
  <si>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</si>
  <si>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</si>
  <si>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</si>
  <si>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</si>
  <si>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</si>
  <si>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</si>
  <si>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</si>
  <si>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</si>
  <si>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</si>
  <si>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</si>
  <si>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</si>
  <si>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</si>
  <si>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</si>
  <si>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</si>
  <si>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</si>
  <si>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</si>
  <si>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</si>
  <si>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</si>
  <si>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</si>
  <si>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</si>
  <si>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</si>
  <si>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</si>
  <si>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</si>
  <si>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</si>
  <si>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</si>
  <si>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</si>
  <si>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</si>
  <si>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</si>
  <si>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</si>
  <si>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</si>
  <si>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</si>
  <si>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</si>
  <si>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</si>
  <si>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</si>
  <si>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</si>
  <si>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</si>
  <si>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</si>
  <si>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</si>
  <si>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</si>
  <si>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</si>
  <si>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</si>
  <si>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</si>
  <si>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</si>
  <si>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</si>
  <si>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</si>
  <si>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</si>
  <si>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</si>
  <si>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</si>
  <si>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</si>
  <si>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</si>
  <si>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</si>
  <si>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</si>
  <si>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</si>
  <si>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</si>
  <si>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</si>
  <si>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</si>
  <si>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</si>
  <si>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</si>
  <si>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</si>
  <si>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</si>
  <si>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</si>
  <si>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</si>
  <si>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</si>
  <si>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</si>
  <si>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</si>
  <si>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</si>
  <si>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</si>
  <si>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</si>
  <si>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</si>
  <si>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</si>
  <si>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</si>
  <si>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</si>
  <si>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</si>
  <si>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</si>
  <si>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</si>
  <si>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</si>
  <si>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</si>
  <si>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</si>
  <si>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</si>
  <si>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採算区分</t>
  </si>
  <si>
    <t>Bảo trì cửa cuốn nhà máy A,B,C　A棟、B棟、C棟のシャッターのメンテナンス</t>
  </si>
  <si>
    <t>樹木のメンテナンス　 bảo trì cây xanh</t>
  </si>
  <si>
    <t xml:space="preserve">Hút Bùn 汚泥排出 </t>
  </si>
  <si>
    <t>Vệ Sinh Bơm pump pit fac A,B,C.  A,B,C 棟のポンプ洗浄</t>
  </si>
  <si>
    <t>汚水処理メンテ費用 Chi phí bảo trì trạm xử lý nước thải hàng tháng</t>
  </si>
  <si>
    <t>汚水処理薬剤購入 HC xử lý nước thải</t>
  </si>
  <si>
    <t xml:space="preserve">新しい汚水処理薬剤購入  HC xử lý nước thải loại mới Polyking </t>
  </si>
  <si>
    <t>Vệ sinh hệ thống thoát nước mưa (1 năm 1 lần vào tháng 5)　雨水排水システムの掃除　（１回／年）5月</t>
  </si>
  <si>
    <t>Bảo dưỡng máy phát + động cơ Diesel bơm chữa cháy　発電機+消防ポンプのディーゼルエンジンのメンテナンス</t>
  </si>
  <si>
    <t>Bảo trì máy lọc nước Ro nhà ăn K và B　食堂の浄水器メンテナンス</t>
  </si>
  <si>
    <t>BT cầu trục クレーンメンテナンス契約の前払金 (3月,6月,9月,12月）</t>
  </si>
  <si>
    <t>Đo đạc chống sét, tiếp địa 1năm/lần　避雷、接地システム点検（年一回, 3月）</t>
  </si>
  <si>
    <t>Kiểm định 04 HT lạnh chiller nhà A vào tháng 3. 1 năm / lần　A棟のチラー点検（年/一回、3月）</t>
  </si>
  <si>
    <t>Kiểm định 2 cầu trục 5T,  3 cầu trục 2T xưởng Mold I,II vào tháng 6.  1 năm/ lần MOLDIIのクレーン点検（1年/一回、6月）</t>
  </si>
  <si>
    <t>Kiểm định 05  thiết bị nâng hàng nhà B, 01  nhà mold cũ 1 năm/ lần  tháng 6　B棟のリフト点検（6台）（1年/一回、6月）</t>
  </si>
  <si>
    <t>Kiểm định cầu trục 8 tấn nhà B 1 năm/lần tháng 6　B棟の8トンクレーン点検（1年/一回、6月）</t>
  </si>
  <si>
    <t>Kiểm định cầu trục 3 tấn nhà B 1 năm/lần tháng 6　B棟の3トンクレーン点検（1年/一回、6月）</t>
  </si>
  <si>
    <t>Bảo trì hệ thống chữa cháy tự động - Alarm valve nhà máy A,B,C, Mold　A棟、B棟、C棟、金型棟の自動火災報知システムとアラーム弁のメンテナンス</t>
  </si>
  <si>
    <t>Bảo trì hệ thống quạt hút khói - Smoke Fan nhà máy A,B,C, Mold　A棟、B棟、C棟、金型棟の排気ファンのメンテナンス</t>
  </si>
  <si>
    <t>Bảo trì Fcu trần cao tầng 3 nhà C C棟３階のFCUのメンテナンス</t>
  </si>
  <si>
    <t>Pay in advance for Factory C LIFT maintenance contract(1月、4月、7月、10月 ）KGK</t>
  </si>
  <si>
    <t>Vệ sinh bể nước, (factory A, B, C, Mold area). Fac C, Mold: tháng 6 hàng năm, Fac A,B tháng 6,12 hàng năm水タンクの掃除（A棟、B棟、MOLD)　A・B 6、12月/Mold 6月</t>
  </si>
  <si>
    <t>Bảo trì thang máy Fac A, B エレベーターメンテナンス契約の前払金 ( 5月, 11月)</t>
  </si>
  <si>
    <t>Bảo trì thang máy Fac C エレベーターメンテナンス ( 1月, 7月)</t>
  </si>
  <si>
    <t>Bảo trì định kì quạt hút khí thải Fac B　B棟排気ファンの定期メンテナンス</t>
  </si>
  <si>
    <t>Bảo trì định kì bình chữa cháy　消火器の定期メンテナンス</t>
  </si>
  <si>
    <t>Giap</t>
  </si>
  <si>
    <t>Loi</t>
  </si>
  <si>
    <t>Son</t>
  </si>
  <si>
    <t>Bay</t>
  </si>
  <si>
    <t>P. Dung</t>
  </si>
  <si>
    <t>Phong</t>
  </si>
  <si>
    <t>Lam</t>
  </si>
  <si>
    <t>bao</t>
  </si>
  <si>
    <t>Hoá chất ống lạnh chiller 1năm/lần　チラー配管用化学品（年/一回）</t>
  </si>
  <si>
    <r>
      <t>※MEBIUS経費になると　"</t>
    </r>
    <r>
      <rPr>
        <b/>
        <sz val="9"/>
        <color indexed="9"/>
        <rFont val="Times New Roman"/>
        <family val="1"/>
      </rPr>
      <t>V02V0800</t>
    </r>
    <r>
      <rPr>
        <sz val="9"/>
        <color indexed="9"/>
        <rFont val="Times New Roman"/>
        <family val="1"/>
      </rPr>
      <t>"　は　</t>
    </r>
    <r>
      <rPr>
        <b/>
        <sz val="9"/>
        <color indexed="9"/>
        <rFont val="Times New Roman"/>
        <family val="1"/>
      </rPr>
      <t>T列</t>
    </r>
    <r>
      <rPr>
        <sz val="9"/>
        <color indexed="9"/>
        <rFont val="Times New Roman"/>
        <family val="1"/>
      </rPr>
      <t>に　反映お願いします</t>
    </r>
  </si>
  <si>
    <t>ディスペンサーフィルター　　Dispensor Filters　</t>
  </si>
  <si>
    <t>トイレットペーパ・Giấy vệ sinh</t>
  </si>
  <si>
    <t>Duyên HC</t>
  </si>
  <si>
    <t>手洗い洗剤  nước rửa tay</t>
  </si>
  <si>
    <t>手袋　（2ヶ月一回）　gloves ( 2 tháng 1 lần)　SIZE L (2月、4月、6月、8月、10月、12月)</t>
  </si>
  <si>
    <t>Duyên</t>
  </si>
  <si>
    <t>マスク（2ヶ月一回）mask (2 tháng 1 lần) (2月、4月、6月、8月、10月、12月)</t>
  </si>
  <si>
    <t>Mail fee／VPN fee</t>
  </si>
  <si>
    <t>VSIP管理費（4月、7月、10月、1月）</t>
  </si>
  <si>
    <t>Chi phí làm sạch, FM người = so ng *p　清掃費</t>
  </si>
  <si>
    <t>物流課費振替 (chi phí hải quan)</t>
  </si>
  <si>
    <t>Diệt côn trùng ngoài nhà (1月、4月、7月、10月）害虫駆除</t>
  </si>
  <si>
    <t>Phun diệt mối nhà B (tháng 1,4,7,10)　B棟のシロアリスプレーをする。(1,4,7,10月）</t>
  </si>
  <si>
    <t>Phun diệt mối nhà C　C棟のシロアリスプレーをする(2,5,8,11月）</t>
  </si>
  <si>
    <t>Diệt kiến sân cỏ phía bắc nhà máy C (1 năm 1 lần vào tháng 10 hàng năm) C棟北側の芝生のアリ駆除（10月）</t>
  </si>
  <si>
    <t>ネズミ駆除 (diệt chuột)(3月、6月、9月、12月）</t>
  </si>
  <si>
    <t>会社携帯電話 Chi phí điện thoại di động</t>
  </si>
  <si>
    <t>郵便代 chuyển phát nhanh</t>
  </si>
  <si>
    <t>建屋償却費; khấu hao xây dựng</t>
  </si>
  <si>
    <t>Duyên 3</t>
  </si>
  <si>
    <t>Duyên 2</t>
  </si>
  <si>
    <t>Sprinkler System of motocycle shed A+B 　AとB棟の駐車場のスプリンクラーシステム（償却最終月 2027.8)</t>
  </si>
  <si>
    <t>駐輪場 Phase2 Nha xe so 2  （償却最終月 2022.8)</t>
  </si>
  <si>
    <t>駐輪場 Phase3  NHA XE SO 3 （償却最終月 2023.03)</t>
  </si>
  <si>
    <t>駐輪場 Phase4（Nha xe 4) BIKE SHED 2 NORTH SIDE （償却最終月 1/2024)</t>
  </si>
  <si>
    <t>金型工場プレハブ倉庫  TEMPORAY STOCK FOR MOLD FACTORY（償却最終月 2022.12)</t>
  </si>
  <si>
    <t>来客用駐車場 CAR PARK WITH ROOF FOR GUEST償却最終月 2023.6)</t>
  </si>
  <si>
    <t>Raining protection roof to Locker B　B棟ロッカーエリアまでのルーフ 償却最終月 8/2023)</t>
  </si>
  <si>
    <t>MAI CHE MUA TU NHA XE A VAO SANH K　A棟駐車所からK棟ロビーまでのルーフ (2028.4)</t>
  </si>
  <si>
    <t>FACE ID SYSTEM FOR BIKE A+B   ( 償却最終月8/2027)　A＋B棟の駐車場の顔認証システム</t>
  </si>
  <si>
    <t>電力監視システム (ELECTRIC MONITORING SYSTEM FACTORY A)   ( 償却最終月2/2024)</t>
  </si>
  <si>
    <t>B棟監視カメラ設置 (CAMERA SYSTEM OF FACTORY B) （償却最終月 2022.6）</t>
  </si>
  <si>
    <t>FACTORY C CAMERA IN SHIPPING AND UNLOADING 税関対応   ( 償却最終月2/2027)　C棟物流エリアのカメラ</t>
  </si>
  <si>
    <t>ADDITIONAL ELECTRIC MONITORING SYSTEM FACTORY A+B （償却最終月 2023.4）A＋B棟の追加電気監視システム</t>
  </si>
  <si>
    <t>ELECTRIC MONITORING SYSTEM FACTORY B (đồng hồ điện)   ( 償却最終月4/2024)　B棟電気監視システム（電力計）</t>
  </si>
  <si>
    <t>B棟電気錠設置 (FACTORY B FINGER PASS SMOKING AREA)（償却最終月 2022.4）</t>
  </si>
  <si>
    <t>SUPPORT FOR MOLD COOLING SYSTEM FACTORY B   ( 償却最終月3/2024)　B棟金型エリアのクリングシステムのサポート</t>
  </si>
  <si>
    <t>ELECTRICAL TRUCKING &amp; SOCKET FOR RACK IT FACTORY B（償却最終月 2022.4）</t>
  </si>
  <si>
    <t>Finger-printer at Canteen B CARD READER KJTECH KJ3400 (D) EM/5K （償却最終月 2022.7）</t>
  </si>
  <si>
    <t>ACCESS CONTROL MACHINE KJ-3400 FC EM （償却最終月 2023.1）</t>
  </si>
  <si>
    <t>Lăp đặt Face ID cho Fac B　B棟でのFace ID設置 FACE ID SYSTEM OF FACTORY B   ( 償却最終月7/2024)</t>
  </si>
  <si>
    <t>LSU個別空調設備設置 AIR CONDITIONER FOR LSU ROOM   ( 償却最終月5/2026)</t>
  </si>
  <si>
    <t>QUAT HUT KHOI LASER TANG 2 FACTORY C ( 償却最終月7/2026) C棟2階レーザー排煙ファン</t>
  </si>
  <si>
    <t>( đổi tên thành 3 DIEU HOA LOCKER B) (Bロッカーの空調という名に変更）3 DIEU HOA PHONG QC TANG 3 NHA MAY C ( 償却最終月7/2026) C棟3階QC室の空調3台</t>
  </si>
  <si>
    <t>QUAT TRAN KHO NHA C C棟倉庫の天井扇</t>
  </si>
  <si>
    <t>土地使用権償却費 Khấu hao quyền sử dụng đất</t>
  </si>
  <si>
    <t>製造棟外部階段設置工事 ( OUTSIDE STAIRCASE)   ( 償却最終月8/2023)</t>
  </si>
  <si>
    <t>グラウンド設置 SAN VAN DONG (償却最終月 2022.12）</t>
  </si>
  <si>
    <t>MAIN FEEDER FOR PRODUCTION LINE C31-32 FAC C-3RDFL   ( 償却最終月9/2029)　C棟３階C31-32生産ラインのメインフィーダー</t>
  </si>
  <si>
    <t>MAIN FEEDER FOR PRODUCTION LINE C33 FAC C-3RDFLOOR   ( 償却最終月10/2029)　C棟３階C33生産ラインのメインフィーダー</t>
  </si>
  <si>
    <t>POWER SUPPLY SYSTEM FOR THE FESTIVAL   ( 償却最終月8/2026)　フェスティバルのパワー供給システム</t>
  </si>
  <si>
    <t>B棟成形エリア1次側電源工事 MAIN FEEDER FOR 02 INJECTION MACHINE  (償却最終月 2023.4）</t>
  </si>
  <si>
    <t>B棟トナーエリア1次側電源工事 MAIN FEEDER FOR TONER LINE FATORY B (償却最終月 2023.4）</t>
  </si>
  <si>
    <t>B棟成形エリア局所排気装置設置 (PRODUCTION EXHAUTED FAN FOR NEW MOLD FACTORY) (償却最終月 2023.5）</t>
  </si>
  <si>
    <t xml:space="preserve">C棟 トイレ表示看板 ( 償却最終月1/2025) BIEN BAO CAC PHONG DUNG CHUNG NHA XUONG C    </t>
  </si>
  <si>
    <t>Năng lượng mặt trời 太陽光発電設備システム</t>
  </si>
  <si>
    <t>運動会 Đại hội thể thao</t>
  </si>
  <si>
    <t xml:space="preserve">誕生日会 Chi phí sinh nhật </t>
  </si>
  <si>
    <t>ローカル社員送迎 Tiền đi lại hàng ngày của Mr Chien, Lam</t>
  </si>
  <si>
    <t xml:space="preserve">シフト・残業・休日出勤のタクシー代 Tiền taxi đi làm ca, làm ngày nghỉ của người Việt  </t>
  </si>
  <si>
    <t>京セラフェスティバルLễ hội Kyocera</t>
  </si>
  <si>
    <t>お年玉 (14 người Việt Nam) 2月</t>
  </si>
  <si>
    <t>定期健康診断 Khám sức khỏe định kỳ</t>
  </si>
  <si>
    <t>Moon cake　月餅 Bánh trung thu</t>
  </si>
  <si>
    <t>工場電気代 Tiền điện</t>
  </si>
  <si>
    <t xml:space="preserve">工場水道代 Tiền nước </t>
  </si>
  <si>
    <t>昼食のガス代 Tiền GAS = Dữ liệu p. HC *số người</t>
  </si>
  <si>
    <t>Building Interest(lãi nhà xưởng)　健室金利</t>
  </si>
  <si>
    <t>Land Interest (lãi đất)　土地金利</t>
  </si>
  <si>
    <t xml:space="preserve">駐車場３　NHA XE SO 3 </t>
  </si>
  <si>
    <t>TEMPORAY STOCK FOR MOLD FACTORY</t>
  </si>
  <si>
    <t>BIKE SHED 2 NORTH SIDE</t>
  </si>
  <si>
    <t>CAR PARK WITH ROOF FOR GUEST</t>
  </si>
  <si>
    <t>RAIN PROTECTION ROOF FROM BIKE PARK TO LOCKER B</t>
  </si>
  <si>
    <t>ELECTRIC MONITORING SYSTEM FACTORY A</t>
  </si>
  <si>
    <t>ELECTRIC MONITORING SYSTEM FACTORY B</t>
  </si>
  <si>
    <t xml:space="preserve">ADDITIONAL ELECTRIC MONITORING SYSTEM FACTORY A+B </t>
  </si>
  <si>
    <t xml:space="preserve">FACTORY B FINGER PASS SMOKING AREA </t>
  </si>
  <si>
    <t>SUPPORT FOR MOLD COOLING SYSTEM FACTORY B</t>
  </si>
  <si>
    <t xml:space="preserve">LAPTOP MR. CHIEN </t>
  </si>
  <si>
    <t>ELECTRICAL TRUCKING &amp; SOCKET FOR RACK IT FACTORY B</t>
  </si>
  <si>
    <t>CAMERA SYSTEM OF FACTORY B</t>
  </si>
  <si>
    <t>FACTORY C CAMERA IN SHIPPING AND UNLOADING 税関対応　C棟物流エリアのカメラ</t>
  </si>
  <si>
    <t>CARD READER KJTECH KJ3400 (D) EM/5K （償却最終月 2022.7）</t>
  </si>
  <si>
    <t xml:space="preserve">ACCESS CONTROL MACHINE KJ-3400 FC EM </t>
  </si>
  <si>
    <t>OUTSIDE STAIRCASE</t>
  </si>
  <si>
    <t>SAN VAN DONG</t>
  </si>
  <si>
    <t xml:space="preserve">MAIN FEEDER FOR 02 INJECTION MACHINE </t>
  </si>
  <si>
    <t>PRODUCTION EXHAUTED FAN FOR NEW MOLD FACTORY</t>
  </si>
  <si>
    <t xml:space="preserve">MAIN FEEDER FOR TONER LINE FATORY B </t>
  </si>
  <si>
    <t xml:space="preserve">LAPTOP MR. Dung </t>
  </si>
  <si>
    <t>C棟 トイレ表示看板 ( 償却最終月1/2025) BIEN BAO CAC PHONG DUNG CHUNG NHA XUONG C</t>
  </si>
  <si>
    <t>Lăp đặt Face ID cho Fac B　B棟でのFace ID設置 FACE ID SYSTEM OF FACTORY B</t>
  </si>
  <si>
    <t>LSU個別空調設備設置 AIR CONDITIONER FOR LSU ROOM</t>
  </si>
  <si>
    <t>POWER SUPPLY SYSTEM FOR THE FESTIVAL フェスティバルのパワー供給システム</t>
  </si>
  <si>
    <t>MAIN FEEDER FOR PRODUCTION LINE C31-32 FAC C-3RDFL　C棟３階C31-32生産ラインのメインフィーダー</t>
  </si>
  <si>
    <t>MAIN FEEDER FOR PRODUCTION LINE C33 FAC C-3RDFLOOR　C棟３階C33生産ラインのメインフィーダー</t>
  </si>
  <si>
    <t>ENERGY MONITORING SYSTEM FOR 3FL FACTORY C　C棟エネルギー監視システム</t>
  </si>
  <si>
    <t>FACE ID SYSTEM FOR BIKE A+B　A＋B棟の駐車場の顔認証システム</t>
  </si>
  <si>
    <t>Sprinkler System of motocycle shed A+B　AとB棟の駐車場のスプリンクラーシステム</t>
  </si>
  <si>
    <t>LSU 500m2 - ROOM AT FACTORY B　B棟500m2室LSU</t>
  </si>
  <si>
    <t>QUAT HUT KHOI LASER TANG 2 FACTORY C C棟2階レーザー排煙ファン</t>
  </si>
  <si>
    <t xml:space="preserve">( đổi tên thành 3 DIEU HOA LOCKER B) (Bロッカーの空調という名に変更）3 DIEU HOA PHONG QC TANG 3 NHA MAY C　C棟３階QC室空調3台 </t>
  </si>
  <si>
    <t>ADDITIONAL AVC 3 FOR PRODUCTION LINE  生産ラインのAVC3の追加</t>
  </si>
  <si>
    <t>LSU1 ROOM 700M2  700M2室LSU1</t>
  </si>
  <si>
    <t>ADDITIONAL FC1-2P-4&amp;FC1-3P-4 PANEL FOR PRODUCTION生産エリアのFC1-2P-4&amp;FC1-3P-4パネルの追加</t>
  </si>
  <si>
    <t>ADDITIONAL FC1-2P-SO-2 PANEL FOR PRODUCTION生産エリアのFC1-2P-SO-2パネルの追加</t>
  </si>
  <si>
    <t>DIEU HOA KHU SAN 5T 1FI NHA MAY C  C棟１階5Tエリアの空調</t>
  </si>
  <si>
    <t>MAI CHE MUA TU NHA XE A VAO SANH K　A棟駐車所からK棟ロビーまでのルーフ</t>
  </si>
  <si>
    <t>Sửa chữa nhà vệ sinh トイレ詰まりの修繕</t>
  </si>
  <si>
    <t>Vòi xịt vệ sinh Inax (20 Pcs)　トイレのシャワーの購入。（20個）</t>
  </si>
  <si>
    <t>空調水処理処理化学品購入 Hóa chất Chiller (hàng tháng)）</t>
  </si>
  <si>
    <t>Kiểm định 03 hệ thống ga nhà A B tháng 6,  1 năm/ lần　A,B棟のガス点検（年/一回、6月）</t>
  </si>
  <si>
    <t>Kiểm định  6 hệ thống lạnh nhà mold AC 3-1, AC 3-2, AC4-1,2,3,4  tháng 6 番号のチラー点検（年/一回、6月) B棟食堂</t>
  </si>
  <si>
    <t>Kiểm định 15 thang máy A  1năm/ lần tháng 9　エレベーター定期点検（年／一回, 9月）</t>
  </si>
  <si>
    <t>Kiểm định 21 hệ thống lạnh nhà máy A (13 AC canteen K . AC 28-1 =&gt; AC 28-12, AC 27-1; 3 AC phòng điện 1,2 AC 23-1, AC 23-2, AC-25,  phòng IQC AC-24, phòng sever AC 52-1, AC 52-2, 2 AC KIT)</t>
  </si>
  <si>
    <t>Kiểm định 08 Air Tank Inspection nhà A tháng 9 (Mold I, II, Sprinkler  06 pcs Tanks)（年/一回、9月）</t>
  </si>
  <si>
    <t>Kiểm định 42 Sàn nâng thủy lực 2Ton  Fac A, B tháng 9　ドックレベラー点検　（年/一回、9月）</t>
  </si>
  <si>
    <t>Kiểm định 02 Air Tank , 2 gau (Sprinkler  - Fac B)　B棟のスプリンクラーのエアータンク点検（年/一回、12月）</t>
  </si>
  <si>
    <t>Kiểm định 41 Sàn nâng thủy lực 6Ton Fac C　ドックレベラー点検　（年/一回、12月）</t>
  </si>
  <si>
    <t>Kiểm định Bình tăng áp1000L số chế tạo Z5191587 番号VRV1000の1000Lのエアータンク点検 ( 年/一回、12月）</t>
  </si>
  <si>
    <t>Kiểm định 06 HT lạnh chiller nhà C  năm / lần　A棟のチラー点検（年/一回、12月）</t>
  </si>
  <si>
    <t>Kiểm định 10 Hệ thống lạnh mã hiệu RXYQ10,12,20 AYM 番号 RXYQ10AYMのチラー点検 (（年/一回、12月）　</t>
  </si>
  <si>
    <t>Kđ 6 Bình chữa khí nén 100L, mã hiệu 0,1/10 tháng 9  番号0,1/10の100ｌの圧縮空気タンク点検 (年/一回、9月</t>
  </si>
  <si>
    <t>Kiểm định 04 HT lạnh chiller nhà B vào tháng 3. 2 năm / lần　B棟のチラー点検（年/一回、3月）</t>
  </si>
  <si>
    <t>Pay in advance for Mold,Toner , Factory C LIFT maintenance contract(1月、4月、7月、10月 ）NAGOYA</t>
  </si>
  <si>
    <t>Tuấn</t>
  </si>
  <si>
    <t>Thay dầu máy kéo thang máy A, B　A棟、B棟のエレベーターモーターオイルの交換</t>
  </si>
  <si>
    <t>Thay điện thoại thang máy nhà A　A棟エレベーターの非常用ボタンの交換</t>
  </si>
  <si>
    <t>Lắp bộ xả bồn tiểu cảm biến cho toàn nhà máy　全工場の小便器に自動洗浄のセンサーの設置</t>
  </si>
  <si>
    <t>Máy lọc nước　浄水器</t>
  </si>
  <si>
    <t>Mua 04 thùng dầu thủy lực Idemishu(tháng 3,9)　油圧用オイルの購入（4バレル）</t>
  </si>
  <si>
    <t>Mua 12 sợi dây curoa Bando B93(tháng 3,9)　B93タイプのベルトの購入（12本）</t>
  </si>
  <si>
    <t>Mua 09 sợi dây curoa Bando 1650(tháng 3,9)　1650タイプのベルトの購入（9本）</t>
  </si>
  <si>
    <t>Mua 02 sợi dây curoa Bando B48(tháng 3,9)　B48タイプのベルトの購入（２本）</t>
  </si>
  <si>
    <t>Bảo trì điều hòa nhà ăn A (tháng 12)(tháng 3,9)　A棟食堂エアコンのメンテナン（12月）</t>
  </si>
  <si>
    <t>Thay đĩa chia khí bể hiếu khí trạm xử lý B,C　B棟、C棟の排水処理場の好気槽の散気・曝気ディスクの交換</t>
  </si>
  <si>
    <t>Lắp đặt đường ống thoát nước thải từ nhà máy C sang trạm xử lý B　C棟からB排水処理場までの排水管の設置</t>
  </si>
  <si>
    <t>Lắp tay vịn câu thang nhà A,B,C　A棟、B棟、C棟の階段の手すりの増設</t>
  </si>
  <si>
    <t>Lắp hệ thống thu nước cho cooling nhà B　B棟クーリングタワーの廃水リサイクルシステム設置</t>
  </si>
  <si>
    <t>Tay co thủy lực ドアクローザーの購入</t>
  </si>
  <si>
    <t>UPS cho hệ thống phát thanh nhà C　C棟放送システム用の無停電電源装置（UPS）の購入</t>
  </si>
  <si>
    <t>Tấm sàn OA nhà K　K棟用のOAフロアの購入</t>
  </si>
  <si>
    <t>Đổ bitum sửa chữa tầng mái  và skygarden　屋上・スカイガーデンの修理する為のビチューメンの塗装</t>
  </si>
  <si>
    <t>Vật tư sửa cửa 　ドアを修理する為の資材の購入</t>
  </si>
  <si>
    <t>Lắp tay đẩy panic cho cửa thoát hiểm nhà máy　非常ドアにパニックバーの設置</t>
  </si>
  <si>
    <t>新年のポケットカレンダー (Lịch bỏ túi)( năm mới)</t>
  </si>
  <si>
    <t>Bút bi (28 cái)  ボールペン(28本)</t>
  </si>
  <si>
    <t>Mái che mưa di động từ nhà xe B sang nhà xe A　A駐輪場からB駐輪場までのルーフ (2029.5)</t>
  </si>
  <si>
    <t>Lắp đặt quạt trần kho nhà A,B　A棟、B棟倉庫のシーリングファンの設置 (5.2028)</t>
  </si>
  <si>
    <t>Quạt hút gió trước văn phòng Toner　トナー製造部の事務所の換気扇 (5.2028)</t>
  </si>
  <si>
    <t>Đồng hồ đo &amp; phân tích chất lượng điện HIOKI　電力メーター・電源質測定装置 (7.2028)</t>
  </si>
  <si>
    <t>Máy dò kim loại âm tường　金属探知機 (6.2028)</t>
  </si>
  <si>
    <t>Đăng ký ra/ vào công ty bằng QR code　ＱＲコードで入退場登録システム (11.2028)</t>
  </si>
  <si>
    <t>Bơm thoát nước mưa khu xuất hàng nhà C　C棟の南側出荷場の排水ポンプシステム (7.2032)</t>
  </si>
  <si>
    <t>Camera quan sát đường nội bộ　工場内道路用監視カメラ設置 (8.2028)</t>
  </si>
  <si>
    <t>Xây hố bơm thoát nước thải Cooling C tại trạm xử lý C　C排水処理場でC冷却塔の廃水を排水する為のポンプ槽の建設</t>
  </si>
  <si>
    <t>Vệ sinh bể điều hòa trạm xử lý B,C　B棟、C棟の排水処理場の調整槽の洗浄</t>
  </si>
  <si>
    <t>Chổi quét sơn 　ペイントブラシの購入</t>
  </si>
  <si>
    <t>Bạt sọc kẻ(2 cuộn)　シートカバーの購入</t>
  </si>
  <si>
    <t>băng keo giấy(30pcs)　紙テープの購入</t>
  </si>
  <si>
    <t>con lăn loại 25cm(10pcs)　25cm　25cmタイプのローラーの購入</t>
  </si>
  <si>
    <t>sơn idecor 5( 5 thùng)　イデコルペイントの購入</t>
  </si>
  <si>
    <t>sơn prime(2 thùng)　プライムペイントの購入</t>
  </si>
  <si>
    <t>Keo dán starflex　Starflex粘着剤の購入</t>
  </si>
  <si>
    <t>Tấm thạch cao VT4 　VT4天井ボードの購入</t>
  </si>
  <si>
    <t>Thay gạch nền pvc　PVCタイルの交換</t>
  </si>
  <si>
    <t>Thay tấm trần　天井ボードの交換</t>
  </si>
  <si>
    <t>Thay ống gió, bảo ôn điều hòa nhà ăn K　K棟食堂エアコンの配管・冷却管のカバーの交換</t>
  </si>
  <si>
    <t>Thay tấm giải nhiệt cooling　クーリングタワーの充填材の交換</t>
  </si>
  <si>
    <t>Thay thế động cơ Vertilator nhà máy C KGK　C棟KGK業者のバーチレーターのモーターの交換</t>
  </si>
  <si>
    <t>Mua bóng đèn LED　LED照明灯の購入</t>
  </si>
  <si>
    <t>Lắp đặt cảm biến chiếu sáng hành lang nhà K, nhà A　A棟、K棟の廊下の照明センサーの設置</t>
  </si>
  <si>
    <t>Dây đai curoa thay thế cho FCU nhà C　C棟FCUのベルの購入（交換用）</t>
  </si>
  <si>
    <t>Dây đai cu roa thay thế cho OAHU nhà C　C棟OAHUのベルの購入（交換用）</t>
  </si>
  <si>
    <t>Lắp phao chống tràn FCU kho linh kiện tầng 3 nhà C　C棟3階部品倉庫のFCUに流出防止ブイの設置</t>
  </si>
  <si>
    <t>Lắp đặt bổ sung đèn chỉ hướng thoát nạn và mũi tên thoát nạn　避難口誘導灯・マークの追加設置</t>
  </si>
  <si>
    <t>Bảo trì quạt hút bếp nhà ăn B　B食堂の排気ファンのメンテナンス</t>
  </si>
  <si>
    <t>Bảo trì điều hòa nhà ăn B　B食堂のエアコンのメンテナンス</t>
  </si>
  <si>
    <t>Nhân công thay thế đèn EMG - EXIT　非常灯・出口灯の交換人材費用</t>
  </si>
  <si>
    <t>Đèn EMG- EXIT　非常灯・出口灯の購入</t>
  </si>
  <si>
    <t>Vệ sinh miệng gió ra FCU nhà A - B　A棟、B棟のFCUの吹出口の清掃</t>
  </si>
  <si>
    <t>Filter túi lọc OAHU 1 năm/lần　OAHUのフィルターの購入　1回/年</t>
  </si>
  <si>
    <t>Bảo trì điều hòa AC cả nhà máy 1 năm/lần　全工場のACエアコンのメンテナンス　1回/年</t>
  </si>
  <si>
    <t>Bảo trì FCU hàng tháng 　毎月のFCUメンテナンス</t>
  </si>
  <si>
    <t>Muối hoàn nguyên cho máy lọc RO nhà bếp (100kg, tháng 2,4,6,8,10,12)　食堂での浄水器用塩（100キロ2月、4月、6月、8月、10月、12月）</t>
  </si>
  <si>
    <t>Mua 01 bơm định lượng hóa chất cho WWT B,C dự phòng 　B棟、C棟排水処理の化学薬品注入ポンプの購入（1台）予備用</t>
  </si>
  <si>
    <t>Lắp chống va chân tường tầng 2 nhà B　B棟2階の壁衝突防止ガードの取付</t>
  </si>
  <si>
    <t>Cải tạo hệ thống thu nước cooling nhà A　A棟クーリングタワーの廃水リサイクルシステムの改修</t>
  </si>
  <si>
    <t>Sàn nhựa pvc starflex　Starflex PVCタイルの購入</t>
  </si>
  <si>
    <t>Vệ sinh cửa QS nhà A và nhà C tầng 1 khu xuất nhập　A棟、C棟1階の入出荷場のシートシャッターの清掃</t>
  </si>
  <si>
    <t>Thay thế xương trần nhà A trục 10, khu vực locker　A棟廊下、ロッカーエリアの天井フレームの交換</t>
  </si>
  <si>
    <t>Mua dây đai cửa trượt lễ tân dự phòng　受付エリアのスライドドアのベルの購入　予備用</t>
  </si>
  <si>
    <t>Thay cacbon lọc mùi locker C　C棟ロッカーエリアのフィルターの脱臭カーボンの交換</t>
  </si>
  <si>
    <t>Sửa cooling A, thay motor bơm quạt giải nhiệt　Aクーリングタワーの修理・冷却ファンのポンプモーターの交換</t>
  </si>
  <si>
    <t>Thay động cơ bàn nâng 600kg ( Toner ) Nagoya　名古屋業者の耐荷重6トンバーチレーターのモーターの交換</t>
  </si>
  <si>
    <t>Vệ sinh thông tắc Drain FCU toàn nhà máy　全工場のFCUドレインの清掃</t>
  </si>
  <si>
    <t>Lắp đặt Apttomat cho FCU toàn nhà máy　全工場のFCUの遮断機の設置</t>
  </si>
  <si>
    <t>Lắp đặt van thoát nước ngưng cho FCU toàn nhà máy　全工場のFCU用の凝縮水ドレンバルブの設置</t>
  </si>
  <si>
    <t>Mua Filter cacbon đen　カーボンフィルターの購入</t>
  </si>
  <si>
    <t>Cải tạo chiếu sáng khu chế tạo 2 nhà máy A　A棟2階製造エリアの照明の改修</t>
  </si>
  <si>
    <t>Bảo trì chiller 3 nhà máy A, B, C　A棟、B棟、C棟のチラーのメンテナンス</t>
  </si>
  <si>
    <t>Bảo trì hệ thống OAHU toàn nhà máy　全工場のOAHUのメンテナンス</t>
  </si>
  <si>
    <t>Nhổ cỏ dại quanh sân vận động (tháng 10) 運動会場の周囲の草むしり（10月）</t>
  </si>
  <si>
    <t>Vệ sinh quạt trần nhà máy A, B, C　A棟、B棟、C棟のシーリングファンの清掃</t>
  </si>
  <si>
    <t>Thay dây curoa tháp giải nhiệt chiller A, B, C 1 năm/lần　A棟、B棟、C棟のチラーのクーリングタワーのベルの交換　1回/年</t>
  </si>
  <si>
    <t>Bảo trì máy hút ẩm 2 nhà máy B, C　B棟、C棟の除湿器のメンテナンス</t>
  </si>
  <si>
    <t>Bảo trì cầu dock leveller 　ドックレベラーのメンテナンス</t>
  </si>
  <si>
    <t>Sơn nền epoxy hành lang tầng 1 nhà A và K, locker và tủ giày nhà K　A棟、K棟1階の廊下の床面にエポキシの塗装</t>
  </si>
  <si>
    <t>Thay vòng bi bơm nước cấp nhà máy B　B棟 に給水するポンプのペアリングの交換</t>
  </si>
  <si>
    <t>Thay vòng bi bơm nước cấp nhà máy C　C棟に給水するポンプのペアリングの交換</t>
  </si>
  <si>
    <t>Thay vòng bi máy thổi khí trạm xử lý C　C棟の排水処理場のブロワのベアリングの交換</t>
  </si>
  <si>
    <t>Gia hạn dịch vụ dữ liệu cho hệ thống cảnh báo cháy ( 1 năm 1 lần )　火災警報システムの通信サービス契約の更新（１回/年）</t>
  </si>
  <si>
    <r>
      <t>FACTORY B VERTILATOR SYSTEM B棟バーチレーターシステム （</t>
    </r>
    <r>
      <rPr>
        <sz val="9"/>
        <color rgb="FFFF0000"/>
        <rFont val="Times New Roman"/>
        <family val="1"/>
      </rPr>
      <t>償却最終月 10/2025</t>
    </r>
    <r>
      <rPr>
        <sz val="9"/>
        <rFont val="Times New Roman"/>
        <family val="1"/>
      </rPr>
      <t>)</t>
    </r>
  </si>
  <si>
    <r>
      <t xml:space="preserve">ELECTRIC MONITORING SYSTEM FACTORY C 3F.  </t>
    </r>
    <r>
      <rPr>
        <sz val="9"/>
        <color theme="1"/>
        <rFont val="Times New Roman"/>
        <family val="1"/>
      </rPr>
      <t>償却最終月 9/2027</t>
    </r>
    <r>
      <rPr>
        <sz val="9"/>
        <rFont val="Times New Roman"/>
        <family val="1"/>
      </rPr>
      <t>)　C棟３階電気監視システム</t>
    </r>
  </si>
  <si>
    <r>
      <t>CCTV FOR FACTORY C-3RD FLOOR.   (</t>
    </r>
    <r>
      <rPr>
        <sz val="9"/>
        <color rgb="FFFF0000"/>
        <rFont val="Times New Roman"/>
        <family val="1"/>
      </rPr>
      <t>償却最終月10/2025</t>
    </r>
    <r>
      <rPr>
        <sz val="9"/>
        <rFont val="Times New Roman"/>
        <family val="1"/>
      </rPr>
      <t>)　C棟３階カメラシステム</t>
    </r>
  </si>
  <si>
    <r>
      <t>CCTV SYSTEM FOR BIKE SHED   (</t>
    </r>
    <r>
      <rPr>
        <sz val="9"/>
        <color rgb="FFFF0000"/>
        <rFont val="Times New Roman"/>
        <family val="1"/>
      </rPr>
      <t xml:space="preserve"> 償却最終月8/2025</t>
    </r>
    <r>
      <rPr>
        <sz val="9"/>
        <rFont val="Times New Roman"/>
        <family val="1"/>
      </rPr>
      <t>)　駐車場のカメラシステム</t>
    </r>
  </si>
  <si>
    <r>
      <t xml:space="preserve">CEILING FAN FOR SHIPPING UNLOADING FACTORY A   ( </t>
    </r>
    <r>
      <rPr>
        <sz val="9"/>
        <color rgb="FFFF0000"/>
        <rFont val="Times New Roman"/>
        <family val="1"/>
      </rPr>
      <t>償却最終月9/2025</t>
    </r>
    <r>
      <rPr>
        <sz val="9"/>
        <rFont val="Times New Roman"/>
        <family val="1"/>
      </rPr>
      <t>)　A棟物流エリアの天井扇</t>
    </r>
  </si>
  <si>
    <r>
      <t xml:space="preserve">PROPELLER CEILING FAN FOR FACTORY A   ( </t>
    </r>
    <r>
      <rPr>
        <sz val="9"/>
        <color rgb="FFFF0000"/>
        <rFont val="Times New Roman"/>
        <family val="1"/>
      </rPr>
      <t>償却最終月11/2025</t>
    </r>
    <r>
      <rPr>
        <sz val="9"/>
        <rFont val="Times New Roman"/>
        <family val="1"/>
      </rPr>
      <t>) 　A棟天井扇の羽根</t>
    </r>
  </si>
  <si>
    <r>
      <t xml:space="preserve">TEMPERATURE AND HUMIDITY BOARD AT 3FL OF FAC C  ( </t>
    </r>
    <r>
      <rPr>
        <sz val="9"/>
        <color rgb="FFFF0000"/>
        <rFont val="Times New Roman"/>
        <family val="1"/>
      </rPr>
      <t>償却最終月11/2025</t>
    </r>
    <r>
      <rPr>
        <sz val="9"/>
        <rFont val="Times New Roman"/>
        <family val="1"/>
      </rPr>
      <t>)　C棟３階温度と湿度の電子表示板</t>
    </r>
  </si>
  <si>
    <r>
      <t xml:space="preserve">C棟社員認証システム工事  ( </t>
    </r>
    <r>
      <rPr>
        <sz val="9"/>
        <color rgb="FFFF0000"/>
        <rFont val="Times New Roman"/>
        <family val="1"/>
      </rPr>
      <t>償却最終月12/2025</t>
    </r>
    <r>
      <rPr>
        <sz val="9"/>
        <rFont val="Times New Roman"/>
        <family val="1"/>
      </rPr>
      <t xml:space="preserve">) FACE ID SYSTEM OF FACTORY C </t>
    </r>
  </si>
  <si>
    <r>
      <t xml:space="preserve">C棟監視カメラ設置　60ヶ月 CAMERA SYSTEM OF FACTORY C  ( </t>
    </r>
    <r>
      <rPr>
        <sz val="9"/>
        <color rgb="FFFF0000"/>
        <rFont val="Times New Roman"/>
        <family val="1"/>
      </rPr>
      <t>償却最終月01/2026</t>
    </r>
    <r>
      <rPr>
        <sz val="9"/>
        <rFont val="Times New Roman"/>
        <family val="1"/>
      </rPr>
      <t>)</t>
    </r>
  </si>
  <si>
    <r>
      <t xml:space="preserve">FACE ID SYSTEM FOR 3FL OF FAC C   ( </t>
    </r>
    <r>
      <rPr>
        <sz val="9"/>
        <color rgb="FFFF0000"/>
        <rFont val="Times New Roman"/>
        <family val="1"/>
      </rPr>
      <t>償却最終月11/2025</t>
    </r>
    <r>
      <rPr>
        <sz val="9"/>
        <rFont val="Times New Roman"/>
        <family val="1"/>
      </rPr>
      <t>)　C棟３階顔認証システム</t>
    </r>
  </si>
  <si>
    <r>
      <t xml:space="preserve">ELECTRIC MONITORING SYSTEM FACTORY C (đồng hồ điện) 60ヶ月 ( </t>
    </r>
    <r>
      <rPr>
        <sz val="9"/>
        <color rgb="FFFF0000"/>
        <rFont val="Times New Roman"/>
        <family val="1"/>
      </rPr>
      <t>償却最終月2/2026</t>
    </r>
    <r>
      <rPr>
        <sz val="9"/>
        <rFont val="Times New Roman"/>
        <family val="1"/>
      </rPr>
      <t>)　C棟電気監視システム</t>
    </r>
  </si>
  <si>
    <r>
      <t xml:space="preserve">C棟駐輪場管理システム 60ヶ月 BIKE IN/OUT CONTROL SYSTEM OF FACTORY C ( </t>
    </r>
    <r>
      <rPr>
        <sz val="9"/>
        <color rgb="FFFF0000"/>
        <rFont val="Times New Roman"/>
        <family val="1"/>
      </rPr>
      <t>償却最終月3/2026</t>
    </r>
    <r>
      <rPr>
        <sz val="9"/>
        <rFont val="Times New Roman"/>
        <family val="1"/>
      </rPr>
      <t>)</t>
    </r>
  </si>
  <si>
    <t>DIEU HOA KHU SAN 5T 1FI NHA MAY C　C棟１階５Tエリアの空調 ( 償却最終月11/2028)</t>
  </si>
  <si>
    <t>QUAT TRAN KHO NHA C C棟倉庫の天井扇 ( 償却最終月8/2027)</t>
  </si>
  <si>
    <r>
      <t xml:space="preserve">BO TRUYEN NHAN DU LIEU BAO CHAY 火災通報装置   ( </t>
    </r>
    <r>
      <rPr>
        <sz val="9"/>
        <color rgb="FFFF0000"/>
        <rFont val="Times New Roman"/>
        <family val="1"/>
      </rPr>
      <t>償却最終月11/2025</t>
    </r>
    <r>
      <rPr>
        <sz val="9"/>
        <rFont val="Times New Roman"/>
        <family val="1"/>
      </rPr>
      <t>)</t>
    </r>
  </si>
  <si>
    <t xml:space="preserve">LSU 500m2 - ROOM AT FACTORY B 　B棟500m2室のLSU  ( 償却最終月05/2030) </t>
  </si>
  <si>
    <t>ADDITIONAL AVC 3 FOR PRODUCTION LINE  ( 償却最終月09/2030)  生産ラインの３AVC追加</t>
  </si>
  <si>
    <t>LSU1 ROOM 700M2  700M2室LSU1 ( 償却最終月07/2030)</t>
  </si>
  <si>
    <t>ADDITIONAL FC1-2P-4&amp;FC1-3P-4 PANEL FOR PRODUCTION  ( 償却最終月09/2030) 生産エリアのFC1-2P-4&amp;FC1-3P-4パネルの追加</t>
  </si>
  <si>
    <t>ADDITIONAL FC1-2P-SO-2 PANEL FOR PRODUCTION 生産エリアのFC1-2P-SO-2パネルの追加 ( 償却最終月01/2027)</t>
  </si>
  <si>
    <t>Năng lượng mặt trời 太陽光発電設備システム  ( 償却最終月03/2034)</t>
  </si>
  <si>
    <r>
      <t>FACTORY B VERTILATOR SYSTEM　B棟のベルティレーターシステム （</t>
    </r>
    <r>
      <rPr>
        <sz val="9"/>
        <color rgb="FFFF0000"/>
        <rFont val="Times New Roman"/>
        <family val="1"/>
      </rPr>
      <t>償却最終月 10/2025</t>
    </r>
    <r>
      <rPr>
        <sz val="9"/>
        <rFont val="Times New Roman"/>
        <family val="1"/>
      </rPr>
      <t>)</t>
    </r>
  </si>
  <si>
    <r>
      <t>CCTV FOR FACTORY C-3RD FLOOR  (</t>
    </r>
    <r>
      <rPr>
        <sz val="9"/>
        <color rgb="FFFF0000"/>
        <rFont val="Times New Roman"/>
        <family val="1"/>
      </rPr>
      <t>償却最終月10/2025</t>
    </r>
    <r>
      <rPr>
        <sz val="9"/>
        <rFont val="Times New Roman"/>
        <family val="1"/>
      </rPr>
      <t>)　C棟３階カメラシステム</t>
    </r>
  </si>
  <si>
    <r>
      <t xml:space="preserve">CCTV SYSTEM FOR BIKE SHED　駐車場のカメラシステム  ( </t>
    </r>
    <r>
      <rPr>
        <sz val="9"/>
        <color rgb="FFFF0000"/>
        <rFont val="Times New Roman"/>
        <family val="1"/>
      </rPr>
      <t>償却最終月8/2025</t>
    </r>
    <r>
      <rPr>
        <sz val="9"/>
        <rFont val="Times New Roman"/>
        <family val="1"/>
      </rPr>
      <t>)</t>
    </r>
  </si>
  <si>
    <r>
      <t xml:space="preserve">CEILING FAN FOR SHIPPING UNLOADING FACTORY A    ( </t>
    </r>
    <r>
      <rPr>
        <sz val="9"/>
        <color rgb="FFFF0000"/>
        <rFont val="Times New Roman"/>
        <family val="1"/>
      </rPr>
      <t>償却最終月9/2025</t>
    </r>
    <r>
      <rPr>
        <sz val="9"/>
        <rFont val="Times New Roman"/>
        <family val="1"/>
      </rPr>
      <t>)　　A棟物流エリアの天井扇</t>
    </r>
  </si>
  <si>
    <r>
      <t xml:space="preserve">FACE ID SYSTEM FOR 3FL OF FAC C   ( </t>
    </r>
    <r>
      <rPr>
        <sz val="9"/>
        <color rgb="FFFF0000"/>
        <rFont val="Times New Roman"/>
        <family val="1"/>
      </rPr>
      <t>償却最終月11/2025</t>
    </r>
    <r>
      <rPr>
        <sz val="9"/>
        <rFont val="Times New Roman"/>
        <family val="1"/>
      </rPr>
      <t>)　C棟３階の駐車場の顔認証システム</t>
    </r>
  </si>
  <si>
    <r>
      <t>PROPELLER CEILING FAN FOR FACTORY A    (</t>
    </r>
    <r>
      <rPr>
        <sz val="9"/>
        <color rgb="FFFF0000"/>
        <rFont val="Times New Roman"/>
        <family val="1"/>
      </rPr>
      <t xml:space="preserve"> 償却最終月11/2025</t>
    </r>
    <r>
      <rPr>
        <sz val="9"/>
        <rFont val="Times New Roman"/>
        <family val="1"/>
      </rPr>
      <t>) 　A棟天井扇の羽根</t>
    </r>
  </si>
  <si>
    <r>
      <t>BO TRUYEN NHAN DU LIEU BAO CHAY 火災通報装置   (</t>
    </r>
    <r>
      <rPr>
        <sz val="9"/>
        <color rgb="FFFF0000"/>
        <rFont val="Times New Roman"/>
        <family val="1"/>
      </rPr>
      <t xml:space="preserve"> 償却最終月11/2025</t>
    </r>
    <r>
      <rPr>
        <sz val="9"/>
        <rFont val="Times New Roman"/>
        <family val="1"/>
      </rPr>
      <t>)</t>
    </r>
  </si>
  <si>
    <r>
      <t xml:space="preserve">C棟社員認証システム工事   ( </t>
    </r>
    <r>
      <rPr>
        <sz val="9"/>
        <color rgb="FFFF0000"/>
        <rFont val="Times New Roman"/>
        <family val="1"/>
      </rPr>
      <t>償却最終月12/2025</t>
    </r>
    <r>
      <rPr>
        <sz val="9"/>
        <rFont val="Times New Roman"/>
        <family val="1"/>
      </rPr>
      <t>)  FACE ID SYSTEM OF FACTORY C</t>
    </r>
  </si>
  <si>
    <r>
      <t xml:space="preserve">C棟監視カメラ設置  ( </t>
    </r>
    <r>
      <rPr>
        <sz val="9"/>
        <color rgb="FFFF0000"/>
        <rFont val="Times New Roman"/>
        <family val="1"/>
      </rPr>
      <t>償却最終月1/2026</t>
    </r>
    <r>
      <rPr>
        <sz val="9"/>
        <rFont val="Times New Roman"/>
        <family val="1"/>
      </rPr>
      <t>) CAMERA SYSTEM OF FACTORY C</t>
    </r>
  </si>
  <si>
    <r>
      <t xml:space="preserve">ELECTRIC MONITORING SYSTEM FACTORY C (đồng hồ điện) ( </t>
    </r>
    <r>
      <rPr>
        <sz val="9"/>
        <color rgb="FFFF0000"/>
        <rFont val="Times New Roman"/>
        <family val="1"/>
      </rPr>
      <t>償却最終月2/2026</t>
    </r>
    <r>
      <rPr>
        <sz val="9"/>
        <rFont val="Times New Roman"/>
        <family val="1"/>
      </rPr>
      <t>)　C棟電気監視システム（電力計）</t>
    </r>
  </si>
  <si>
    <r>
      <t xml:space="preserve">C棟駐輪場管理システム( </t>
    </r>
    <r>
      <rPr>
        <sz val="9"/>
        <color rgb="FFFF0000"/>
        <rFont val="Times New Roman"/>
        <family val="1"/>
      </rPr>
      <t>償却最終月3/2026</t>
    </r>
    <r>
      <rPr>
        <sz val="9"/>
        <rFont val="Times New Roman"/>
        <family val="1"/>
      </rPr>
      <t xml:space="preserve">) BIKE IN/OUT CONTROL SYSTEM OF FACTORY C </t>
    </r>
  </si>
  <si>
    <t>Thay tủ điều khiển thang máy nhà A ( 8 pcs )　A棟エレベーターの制御盤の交換（8台）</t>
  </si>
  <si>
    <t>Làm giao diện và thêm bộ lưu trữ dữ liệu offline cho hệ thống năng lượng mặt trới　太陽光発電システムのモニタリングシステムの作成・オフラインデータストレージの設置</t>
  </si>
  <si>
    <t>Kiểm định 2 bình khí nén nhà B &lt;3m3　B棟の圧縮空気タンク点検（年/一回、6月）</t>
  </si>
  <si>
    <t>Kiểm định 3 bình chứa khí nén 100L, tầng 3 nhà máy C　C棟3階100Lの圧縮空気タンク点検</t>
  </si>
  <si>
    <t>Bình chứa khí nén số chế tạo: 20-362 P. máy nén khí T2 Fac C, 1 bình chứa khí nén fac B &gt;3m3　B棟・C棟2階コンプレッサー室の圧縮空気タンク点検</t>
  </si>
  <si>
    <t>Kiểm dịnh 4 HT lạnh P. LSU toner AC 2.12-1; 2.12-2; 2.13-1; 2-13-2 hạn đến 2025　LSU室・トナー製造エリアのACエアコンシステムの点検</t>
  </si>
  <si>
    <t>Kiểm định 02 thiết bị nâng hàng khu vực toner　トナー製造エリアのバーチレーターの点検</t>
  </si>
  <si>
    <t>Kiểm định 8 bàn nâng (thang máy chở hàng 1-8) Kagolift fac C　C棟カーゴリフトの８台点検</t>
  </si>
  <si>
    <t>Kiểm định 5 hệ thống lạnh Mac 3,1, 3.2.1, 3.2.2, 3.3.1, 3.3.2 tầng 3 nhà máy C　C棟3階エアコンシステムの点検</t>
  </si>
  <si>
    <t>Kiểm định tank bù áp nước chiller B ngoài trời　Bチラーの屋外圧力補償タンクの点検</t>
  </si>
  <si>
    <t>Kiểm định thang máy nhà máy C　C棟エレベーターの点検</t>
  </si>
  <si>
    <t>Kiểm định 2 Tank bù áp 500L L1590348,  L39700074　500L圧力補償タンクの点検</t>
  </si>
  <si>
    <t>Vệ sinh quạt hút nhà vệ sinh toàn nhà máy　全工場のトイレの換気扇の清掃</t>
  </si>
  <si>
    <t>Máy kiểm soát ra vào chấm công (thay máy chấm công nhà A, B, C và dự phòng)　顔認証器の購入（A棟、B棟、C棟の故障された機器の交換・予備用）</t>
  </si>
  <si>
    <t>Phun thuốc diệt nhện khu vực đóng gói, thành phẩm, xuất hàng nhà máy A,C　A棟、C棟の梱包エリア・完成品倉庫・出荷場でのクモの駆除</t>
  </si>
  <si>
    <t>Vệ sinh mạng nhện khu vực lắp ráp, đóng gói, thành phẩm, xuất hàng nhà máy A,C　A棟、C棟の組立エリア・梱包エリア・出荷場でのクモの巣の清掃</t>
  </si>
  <si>
    <t>Thay vòng bi máy thổi khí trạm xử lý B　B棟の排水処理場のブロワのベアリングの交換</t>
  </si>
  <si>
    <t>Bảo dưỡng thệ thống điện+ Sửa chữa sau bảo trì ( thay thế rơle chạm đất bị hỏng và hệ thống tụ bù trạm điện 1&amp;2 nhà máy A) 電力系統メンテナンス＋メンテナンス後の修理（故障されたリレー、A棟第１、第２変電所のコンデンサシステムの交換）</t>
  </si>
  <si>
    <t>Kiểm định 1 tank bù áp phòng chiller B trong nhà 　B棟室内のポンプ室用エアータンク法令点検（年/1回、4月）</t>
  </si>
  <si>
    <t>Kiểm định tank khí nén &amp; đồng hồ áp kế ( 1 năm/ lần, tháng 3)　圧縮空気タンク・圧力計の点検（1回/年、3月）</t>
  </si>
  <si>
    <t>Kiểm định Chiller tank &amp; đồng hồ áp kế （1年/一回、3月）チラーのタンク・圧力計の点検</t>
  </si>
  <si>
    <t xml:space="preserve">Kiểm định 04 HT lạnh MAC-1,2,3,4  2 năm/lần 　MACエアコンシステムの点検（1回/2年) </t>
  </si>
  <si>
    <t xml:space="preserve">Kiểm định 02 HT lạnh AC 1-7, 2-2  2 năm/lần 　ACエアコンシステムの点検（1回/2年) </t>
  </si>
  <si>
    <t xml:space="preserve">Kiểm định 05 thang máy nhà B  2năm/ lần　B棟のエレベーター点検（1回/2年) </t>
  </si>
  <si>
    <t>Sửa chữa điều hòa AC 28-2 nhà ăn A và AC 23-1 phòng điện A 1-1　A棟食堂の第28-2 ACエアコン・第1－1A棟電気室の第23-1ACエアコンの修理</t>
  </si>
  <si>
    <t>忘年会補助金 Hỗ trợ tiệc tất niên 3月</t>
  </si>
  <si>
    <t>Tiệc khuấy động năm tài chính FY2026決起コンパ 5月</t>
  </si>
  <si>
    <t>マイエピソード ～フィロソフィの実践～参加賞 Giải tham gia "Cảm nghĩ về triết lý kinh doanh"</t>
  </si>
  <si>
    <t>社員旅行 Chi phí du lịch</t>
  </si>
  <si>
    <t>Vệ sinh định kỳ tấm pin năng lượng mặt trời　ソーラーパネルの定期清掃</t>
  </si>
  <si>
    <t>Mua  đèn chỉ hướng thoát nạn 避難口誘導灯の購入</t>
  </si>
  <si>
    <t>Mua mũi tên chỉ hướng thoát nạn　避難口誘導マークの購入</t>
  </si>
  <si>
    <t>Cải tạo khu nghỉ ngơi tầng 2 nhà A　A棟2階の休憩エリアの改修</t>
  </si>
  <si>
    <t>Làm nền gạch SPC cho khu nghỉ ngơi　改修休憩エリアのSPCタイルの取付</t>
  </si>
  <si>
    <t>Bổ sung giải nhiệt máy nén và thay môi chất lạnh mới cho điều hòa nhà K, A, Mold　K棟、A棟、金型棟エアコンのコンプレッサーの冷却剤と冷媒ガスの補充</t>
  </si>
  <si>
    <t>Sơn Epoxy hành lang không đội mũ　帽子被る必要なしルーツのエポキシ塗装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</si>
</sst>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9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b/>
      <sz val="9"/>
      <name val="ＭＳ 明朝"/>
      <family val="1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Times New Roman"/>
      <family val="1"/>
    </font>
    <font>
      <sz val="9"/>
      <color rgb="FF00206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0"/>
      <name val="Times New Roman"/>
      <family val="1"/>
    </font>
    <font>
      <b/>
      <sz val="10"/>
      <color indexed="10"/>
      <name val="Times New Roman"/>
      <family val="1"/>
    </font>
    <font>
      <b/>
      <sz val="9"/>
      <color indexed="9"/>
      <name val="Times New Roman"/>
      <family val="1"/>
    </font>
    <font>
      <sz val="9"/>
      <color indexed="9"/>
      <name val="Times New Roman"/>
      <family val="1"/>
    </font>
    <font>
      <sz val="6"/>
      <color rgb="FF002060"/>
      <name val="Times New Roman"/>
      <family val="1"/>
    </font>
    <font>
      <sz val="6"/>
      <name val="Times New Roman"/>
      <family val="1"/>
    </font>
    <font>
      <b/>
      <i/>
      <sz val="14"/>
      <name val="Times New Roman"/>
      <family val="1"/>
    </font>
    <font>
      <b/>
      <sz val="9"/>
      <color indexed="10"/>
      <name val="Times New Roman"/>
      <family val="1"/>
    </font>
    <font>
      <sz val="9"/>
      <color rgb="FF0070C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2" fillId="0" borderId="0" applyBorder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0" borderId="0" applyBorder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9" borderId="0" applyNumberFormat="0" applyBorder="0" applyAlignment="0" applyProtection="0"/>
    <xf numFmtId="0" fontId="40" fillId="3" borderId="0" applyNumberFormat="0" applyBorder="0" applyAlignment="0" applyProtection="0"/>
    <xf numFmtId="0" fontId="41" fillId="20" borderId="1" applyNumberFormat="0" applyAlignment="0" applyProtection="0"/>
    <xf numFmtId="0" fontId="42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>
      <alignment vertical="center"/>
    </xf>
    <xf numFmtId="40" fontId="17" fillId="0" borderId="0" applyFont="0" applyFill="0" applyBorder="0" applyAlignment="0" applyProtection="0"/>
    <xf numFmtId="43" fontId="35" fillId="0" borderId="0" applyFont="0" applyFill="0" applyBorder="0" applyAlignment="0" applyProtection="0"/>
    <xf numFmtId="40" fontId="17" fillId="0" borderId="0" applyFont="0" applyFill="0" applyBorder="0" applyAlignment="0" applyProtection="0">
      <alignment vertical="center"/>
    </xf>
    <xf numFmtId="43" fontId="66" fillId="0" borderId="0" applyFont="0" applyFill="0" applyBorder="0" applyAlignment="0" applyProtection="0"/>
    <xf numFmtId="40" fontId="17" fillId="0" borderId="0" applyFont="0" applyFill="0" applyBorder="0" applyAlignment="0" applyProtection="0">
      <alignment vertical="center"/>
    </xf>
    <xf numFmtId="40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/>
    <xf numFmtId="0" fontId="44" fillId="4" borderId="0" applyNumberFormat="0" applyBorder="0" applyAlignment="0" applyProtection="0"/>
    <xf numFmtId="0" fontId="45" fillId="0" borderId="3" applyNumberFormat="0" applyFill="0" applyAlignment="0" applyProtection="0"/>
    <xf numFmtId="0" fontId="46" fillId="0" borderId="4" applyNumberFormat="0" applyFill="0" applyAlignment="0" applyProtection="0"/>
    <xf numFmtId="0" fontId="47" fillId="0" borderId="5" applyNumberFormat="0" applyFill="0" applyAlignment="0" applyProtection="0"/>
    <xf numFmtId="0" fontId="47" fillId="0" borderId="0" applyNumberFormat="0" applyFill="0" applyBorder="0" applyAlignment="0" applyProtection="0"/>
    <xf numFmtId="0" fontId="48" fillId="7" borderId="1" applyNumberFormat="0" applyAlignment="0" applyProtection="0"/>
    <xf numFmtId="0" fontId="49" fillId="0" borderId="6" applyNumberFormat="0" applyFill="0" applyAlignment="0" applyProtection="0"/>
    <xf numFmtId="0" fontId="50" fillId="22" borderId="0" applyNumberFormat="0" applyBorder="0" applyAlignment="0" applyProtection="0"/>
    <xf numFmtId="0" fontId="17" fillId="0" borderId="0" applyNumberFormat="0" applyFill="0" applyBorder="0" applyAlignment="0" applyProtection="0"/>
    <xf numFmtId="0" fontId="17" fillId="0" borderId="0" applyBorder="0"/>
    <xf numFmtId="0" fontId="12" fillId="0" borderId="0"/>
    <xf numFmtId="0" fontId="17" fillId="0" borderId="0" applyBorder="0"/>
    <xf numFmtId="0" fontId="17" fillId="0" borderId="0" applyBorder="0"/>
    <xf numFmtId="0" fontId="17" fillId="23" borderId="7" applyNumberFormat="0" applyFont="0" applyAlignment="0" applyProtection="0"/>
    <xf numFmtId="0" fontId="51" fillId="20" borderId="8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2" applyNumberFormat="0" applyAlignment="0" applyProtection="0">
      <alignment vertical="center"/>
    </xf>
    <xf numFmtId="0" fontId="15" fillId="21" borderId="2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9" fontId="17" fillId="0" borderId="0" applyFont="0" applyFill="0" applyBorder="0" applyAlignment="0" applyProtection="0"/>
    <xf numFmtId="9" fontId="6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0" fontId="17" fillId="23" borderId="7" applyNumberFormat="0" applyFont="0" applyAlignment="0" applyProtection="0">
      <alignment vertical="center"/>
    </xf>
    <xf numFmtId="0" fontId="17" fillId="23" borderId="7" applyNumberFormat="0" applyFon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20" fillId="20" borderId="1" applyNumberFormat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0" fontId="17" fillId="0" borderId="0" applyFont="0" applyFill="0" applyBorder="0" applyAlignment="0" applyProtection="0"/>
    <xf numFmtId="40" fontId="17" fillId="0" borderId="0" applyFont="0" applyFill="0" applyBorder="0" applyAlignment="0" applyProtection="0">
      <alignment vertical="center"/>
    </xf>
    <xf numFmtId="40" fontId="66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0" borderId="8" applyNumberFormat="0" applyAlignment="0" applyProtection="0">
      <alignment vertical="center"/>
    </xf>
    <xf numFmtId="0" fontId="25" fillId="20" borderId="8" applyNumberFormat="0" applyAlignment="0" applyProtection="0">
      <alignment vertical="center"/>
    </xf>
    <xf numFmtId="0" fontId="56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27" fillId="7" borderId="1" applyNumberFormat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17" fillId="0" borderId="0">
      <alignment vertical="center"/>
    </xf>
    <xf numFmtId="0" fontId="17" fillId="0" borderId="0"/>
    <xf numFmtId="0" fontId="66" fillId="0" borderId="0">
      <alignment vertical="center"/>
    </xf>
    <xf numFmtId="0" fontId="17" fillId="0" borderId="0"/>
    <xf numFmtId="0" fontId="66" fillId="0" borderId="0">
      <alignment vertical="center"/>
    </xf>
    <xf numFmtId="0" fontId="17" fillId="0" borderId="0" applyBorder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</cellStyleXfs>
  <cellXfs count="318">
    <xf numFmtId="0" fontId="0" fillId="0" borderId="0" xfId="0"/>
    <xf numFmtId="49" fontId="3" fillId="0" borderId="0" xfId="0" applyNumberFormat="1" applyFont="1"/>
    <xf numFmtId="49" fontId="4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/>
    <xf numFmtId="0" fontId="6" fillId="25" borderId="10" xfId="0" applyFont="1" applyFill="1" applyBorder="1" applyAlignment="1">
      <alignment horizontal="center" vertical="center"/>
    </xf>
    <xf numFmtId="0" fontId="31" fillId="0" borderId="0" xfId="0" applyFont="1" applyFill="1" applyBorder="1" applyAlignment="1" applyProtection="1">
      <protection locked="0"/>
    </xf>
    <xf numFmtId="0" fontId="31" fillId="25" borderId="10" xfId="0" applyFont="1" applyFill="1" applyBorder="1" applyAlignment="1">
      <alignment horizontal="center"/>
    </xf>
    <xf numFmtId="0" fontId="33" fillId="26" borderId="0" xfId="0" applyFont="1" applyFill="1" applyProtection="1">
      <protection locked="0"/>
    </xf>
    <xf numFmtId="0" fontId="33" fillId="0" borderId="0" xfId="0" applyFont="1" applyProtection="1">
      <protection locked="0"/>
    </xf>
    <xf numFmtId="0" fontId="33" fillId="0" borderId="0" xfId="0" applyFont="1" applyFill="1" applyBorder="1" applyAlignment="1" applyProtection="1">
      <alignment horizontal="left"/>
      <protection locked="0"/>
    </xf>
    <xf numFmtId="0" fontId="33" fillId="0" borderId="10" xfId="0" applyFont="1" applyFill="1" applyBorder="1" applyAlignment="1">
      <alignment horizontal="center"/>
    </xf>
    <xf numFmtId="0" fontId="31" fillId="26" borderId="0" xfId="0" applyFont="1" applyFill="1" applyAlignment="1" applyProtection="1">
      <alignment horizontal="centerContinuous"/>
      <protection locked="0"/>
    </xf>
    <xf numFmtId="0" fontId="33" fillId="0" borderId="0" xfId="0" applyFont="1" applyAlignment="1" applyProtection="1">
      <alignment horizontal="left"/>
      <protection locked="0"/>
    </xf>
    <xf numFmtId="49" fontId="33" fillId="0" borderId="0" xfId="0" applyNumberFormat="1" applyFont="1" applyFill="1" applyBorder="1" applyProtection="1"/>
    <xf numFmtId="0" fontId="33" fillId="0" borderId="13" xfId="0" applyFont="1" applyBorder="1" applyAlignment="1" applyProtection="1">
      <alignment horizontal="centerContinuous" vertical="center"/>
    </xf>
    <xf numFmtId="0" fontId="33" fillId="0" borderId="14" xfId="0" applyFont="1" applyFill="1" applyBorder="1" applyAlignment="1" applyProtection="1">
      <alignment horizontal="distributed"/>
    </xf>
    <xf numFmtId="0" fontId="33" fillId="0" borderId="15" xfId="0" applyFont="1" applyBorder="1" applyAlignment="1">
      <alignment horizontal="distributed"/>
    </xf>
    <xf numFmtId="0" fontId="33" fillId="0" borderId="13" xfId="0" applyFont="1" applyBorder="1" applyAlignment="1" applyProtection="1">
      <alignment horizontal="distributed"/>
    </xf>
    <xf numFmtId="0" fontId="33" fillId="24" borderId="16" xfId="0" applyFont="1" applyFill="1" applyBorder="1" applyAlignment="1" applyProtection="1">
      <alignment horizontal="distributed"/>
    </xf>
    <xf numFmtId="0" fontId="33" fillId="24" borderId="17" xfId="0" applyFont="1" applyFill="1" applyBorder="1" applyAlignment="1" applyProtection="1">
      <alignment horizontal="distributed"/>
    </xf>
    <xf numFmtId="0" fontId="33" fillId="24" borderId="14" xfId="0" applyFont="1" applyFill="1" applyBorder="1" applyAlignment="1">
      <alignment horizontal="distributed"/>
    </xf>
    <xf numFmtId="0" fontId="33" fillId="24" borderId="13" xfId="0" applyFont="1" applyFill="1" applyBorder="1" applyAlignment="1" applyProtection="1">
      <alignment horizontal="distributed"/>
    </xf>
    <xf numFmtId="0" fontId="33" fillId="0" borderId="18" xfId="0" applyFont="1" applyFill="1" applyBorder="1" applyAlignment="1" applyProtection="1">
      <alignment horizontal="distributed"/>
    </xf>
    <xf numFmtId="0" fontId="33" fillId="0" borderId="14" xfId="0" applyFont="1" applyFill="1" applyBorder="1" applyProtection="1"/>
    <xf numFmtId="0" fontId="33" fillId="0" borderId="19" xfId="0" applyFont="1" applyBorder="1" applyProtection="1"/>
    <xf numFmtId="0" fontId="33" fillId="0" borderId="20" xfId="0" applyFont="1" applyBorder="1" applyProtection="1"/>
    <xf numFmtId="0" fontId="33" fillId="0" borderId="20" xfId="0" applyFont="1" applyBorder="1" applyAlignment="1" applyProtection="1">
      <alignment horizontal="left"/>
    </xf>
    <xf numFmtId="0" fontId="33" fillId="0" borderId="14" xfId="0" applyFont="1" applyFill="1" applyBorder="1" applyAlignment="1" applyProtection="1">
      <alignment horizontal="left"/>
    </xf>
    <xf numFmtId="0" fontId="33" fillId="0" borderId="19" xfId="0" applyFont="1" applyBorder="1" applyAlignment="1" applyProtection="1">
      <alignment horizontal="left"/>
    </xf>
    <xf numFmtId="0" fontId="33" fillId="0" borderId="17" xfId="0" applyFont="1" applyBorder="1" applyAlignment="1" applyProtection="1">
      <alignment horizontal="left"/>
    </xf>
    <xf numFmtId="0" fontId="33" fillId="0" borderId="21" xfId="0" applyFont="1" applyBorder="1" applyAlignment="1" applyProtection="1">
      <alignment horizontal="left"/>
    </xf>
    <xf numFmtId="0" fontId="33" fillId="0" borderId="21" xfId="0" applyFont="1" applyBorder="1" applyAlignment="1" applyProtection="1">
      <alignment horizontal="distributed"/>
    </xf>
    <xf numFmtId="0" fontId="33" fillId="0" borderId="0" xfId="0" applyFont="1" applyFill="1" applyBorder="1" applyAlignment="1" applyProtection="1">
      <alignment horizontal="center"/>
      <protection locked="0"/>
    </xf>
    <xf numFmtId="0" fontId="33" fillId="0" borderId="0" xfId="0" applyFont="1" applyFill="1" applyBorder="1" applyAlignment="1" applyProtection="1">
      <alignment horizontal="distributed"/>
    </xf>
    <xf numFmtId="0" fontId="33" fillId="0" borderId="16" xfId="0" applyFont="1" applyBorder="1" applyAlignment="1" applyProtection="1">
      <alignment horizontal="left"/>
    </xf>
    <xf numFmtId="166" fontId="33" fillId="0" borderId="19" xfId="0" applyNumberFormat="1" applyFont="1" applyBorder="1" applyAlignment="1" applyProtection="1">
      <alignment horizontal="left"/>
    </xf>
    <xf numFmtId="166" fontId="33" fillId="0" borderId="20" xfId="0" applyNumberFormat="1" applyFont="1" applyBorder="1" applyAlignment="1" applyProtection="1">
      <alignment horizontal="left"/>
    </xf>
    <xf numFmtId="0" fontId="17" fillId="0" borderId="0" xfId="129"/>
    <xf numFmtId="49" fontId="34" fillId="0" borderId="0" xfId="0" applyNumberFormat="1" applyFont="1" applyAlignment="1">
      <alignment horizontal="right"/>
    </xf>
    <xf numFmtId="0" fontId="33" fillId="0" borderId="13" xfId="0" applyFont="1" applyBorder="1" applyAlignment="1" applyProtection="1">
      <alignment horizontal="center" wrapText="1"/>
      <protection locked="0"/>
    </xf>
    <xf numFmtId="0" fontId="7" fillId="26" borderId="0" xfId="0" applyFont="1" applyFill="1" applyProtection="1">
      <protection locked="0"/>
    </xf>
    <xf numFmtId="0" fontId="36" fillId="0" borderId="0" xfId="129" applyFont="1"/>
    <xf numFmtId="0" fontId="37" fillId="0" borderId="0" xfId="129" applyFont="1"/>
    <xf numFmtId="38" fontId="17" fillId="0" borderId="0" xfId="67" applyFont="1" applyAlignment="1">
      <alignment horizontal="right"/>
    </xf>
    <xf numFmtId="0" fontId="17" fillId="0" borderId="22" xfId="129" applyBorder="1"/>
    <xf numFmtId="38" fontId="17" fillId="0" borderId="0" xfId="67" applyFont="1" applyAlignment="1"/>
    <xf numFmtId="0" fontId="31" fillId="0" borderId="0" xfId="0" applyFont="1" applyBorder="1" applyAlignment="1" applyProtection="1">
      <protection locked="0"/>
    </xf>
    <xf numFmtId="0" fontId="33" fillId="0" borderId="13" xfId="0" applyFont="1" applyBorder="1" applyAlignment="1" applyProtection="1">
      <alignment horizontal="left"/>
    </xf>
    <xf numFmtId="0" fontId="33" fillId="27" borderId="21" xfId="0" applyFont="1" applyFill="1" applyBorder="1" applyAlignment="1" applyProtection="1">
      <alignment horizontal="distributed"/>
    </xf>
    <xf numFmtId="0" fontId="33" fillId="27" borderId="13" xfId="0" applyFont="1" applyFill="1" applyBorder="1" applyAlignment="1" applyProtection="1">
      <alignment horizontal="distributed"/>
    </xf>
    <xf numFmtId="0" fontId="33" fillId="0" borderId="0" xfId="0" applyFont="1" applyFill="1" applyProtection="1">
      <protection locked="0"/>
    </xf>
    <xf numFmtId="0" fontId="33" fillId="0" borderId="0" xfId="0" applyFont="1" applyFill="1" applyBorder="1" applyAlignment="1" applyProtection="1">
      <alignment horizontal="center"/>
    </xf>
    <xf numFmtId="0" fontId="17" fillId="0" borderId="24" xfId="129" applyBorder="1" applyProtection="1">
      <protection locked="0"/>
    </xf>
    <xf numFmtId="0" fontId="17" fillId="0" borderId="24" xfId="129" applyBorder="1" applyAlignment="1" applyProtection="1">
      <alignment horizontal="center"/>
      <protection locked="0"/>
    </xf>
    <xf numFmtId="38" fontId="38" fillId="28" borderId="25" xfId="170" applyNumberFormat="1" applyFont="1" applyFill="1" applyBorder="1" applyProtection="1">
      <alignment vertical="center"/>
      <protection locked="0"/>
    </xf>
    <xf numFmtId="0" fontId="17" fillId="0" borderId="26" xfId="129" applyBorder="1" applyProtection="1">
      <protection locked="0"/>
    </xf>
    <xf numFmtId="168" fontId="33" fillId="0" borderId="13" xfId="0" applyNumberFormat="1" applyFont="1" applyBorder="1" applyAlignment="1" applyProtection="1">
      <alignment horizontal="center" wrapText="1"/>
      <protection locked="0"/>
    </xf>
    <xf numFmtId="167" fontId="33" fillId="0" borderId="0" xfId="67" applyNumberFormat="1" applyFont="1" applyFill="1"/>
    <xf numFmtId="0" fontId="4" fillId="0" borderId="0" xfId="0" applyFont="1" applyFill="1"/>
    <xf numFmtId="38" fontId="33" fillId="0" borderId="0" xfId="0" applyNumberFormat="1" applyFont="1" applyProtection="1">
      <protection locked="0"/>
    </xf>
    <xf numFmtId="174" fontId="33" fillId="0" borderId="0" xfId="0" applyNumberFormat="1" applyFont="1" applyProtection="1">
      <protection locked="0"/>
    </xf>
    <xf numFmtId="173" fontId="33" fillId="0" borderId="0" xfId="0" applyNumberFormat="1" applyFont="1" applyProtection="1">
      <protection locked="0"/>
    </xf>
    <xf numFmtId="4" fontId="33" fillId="0" borderId="0" xfId="0" applyNumberFormat="1" applyFont="1" applyProtection="1">
      <protection locked="0"/>
    </xf>
    <xf numFmtId="175" fontId="33" fillId="0" borderId="0" xfId="0" applyNumberFormat="1" applyFont="1" applyProtection="1">
      <protection locked="0"/>
    </xf>
    <xf numFmtId="176" fontId="33" fillId="0" borderId="0" xfId="0" applyNumberFormat="1" applyFont="1" applyProtection="1">
      <protection locked="0"/>
    </xf>
    <xf numFmtId="0" fontId="6" fillId="0" borderId="0" xfId="0" applyFont="1" applyFill="1" applyAlignment="1">
      <alignment horizontal="center" vertical="center"/>
    </xf>
    <xf numFmtId="172" fontId="30" fillId="29" borderId="27" xfId="169" applyNumberFormat="1" applyFont="1" applyFill="1" applyBorder="1" applyAlignment="1">
      <alignment horizontal="center" vertical="center"/>
    </xf>
    <xf numFmtId="49" fontId="30" fillId="29" borderId="27" xfId="169" applyNumberFormat="1" applyFont="1" applyFill="1" applyBorder="1" applyAlignment="1">
      <alignment horizontal="center" vertical="center"/>
    </xf>
    <xf numFmtId="49" fontId="30" fillId="30" borderId="28" xfId="169" applyNumberFormat="1" applyFont="1" applyFill="1" applyBorder="1" applyAlignment="1">
      <alignment horizontal="center" vertical="center"/>
    </xf>
    <xf numFmtId="49" fontId="30" fillId="30" borderId="29" xfId="169" applyNumberFormat="1" applyFont="1" applyFill="1" applyBorder="1" applyAlignment="1">
      <alignment horizontal="center" vertical="center"/>
    </xf>
    <xf numFmtId="49" fontId="4" fillId="0" borderId="0" xfId="163" applyNumberFormat="1" applyFont="1">
      <alignment vertical="center"/>
    </xf>
    <xf numFmtId="168" fontId="67" fillId="0" borderId="0" xfId="0" applyNumberFormat="1" applyFont="1" applyFill="1"/>
    <xf numFmtId="0" fontId="0" fillId="0" borderId="0" xfId="129" applyFont="1"/>
    <xf numFmtId="0" fontId="31" fillId="26" borderId="0" xfId="0" applyFont="1" applyFill="1" applyProtection="1">
      <protection locked="0"/>
    </xf>
    <xf numFmtId="170" fontId="55" fillId="31" borderId="0" xfId="0" applyNumberFormat="1" applyFont="1" applyFill="1" applyAlignment="1" applyProtection="1">
      <alignment horizontal="centerContinuous"/>
      <protection locked="0"/>
    </xf>
    <xf numFmtId="178" fontId="7" fillId="31" borderId="0" xfId="0" applyNumberFormat="1" applyFont="1" applyFill="1" applyAlignment="1" applyProtection="1">
      <alignment horizontal="centerContinuous"/>
      <protection locked="0"/>
    </xf>
    <xf numFmtId="167" fontId="57" fillId="26" borderId="0" xfId="0" applyNumberFormat="1" applyFont="1" applyFill="1" applyAlignment="1">
      <alignment horizontal="centerContinuous" vertical="center"/>
    </xf>
    <xf numFmtId="0" fontId="31" fillId="26" borderId="0" xfId="0" applyFont="1" applyFill="1" applyBorder="1" applyAlignment="1" applyProtection="1">
      <alignment horizontal="centerContinuous"/>
      <protection locked="0"/>
    </xf>
    <xf numFmtId="0" fontId="33" fillId="26" borderId="0" xfId="0" applyFont="1" applyFill="1" applyAlignment="1" applyProtection="1">
      <alignment horizontal="centerContinuous"/>
      <protection locked="0"/>
    </xf>
    <xf numFmtId="167" fontId="32" fillId="26" borderId="0" xfId="0" applyNumberFormat="1" applyFont="1" applyFill="1" applyAlignment="1">
      <alignment horizontal="centerContinuous"/>
    </xf>
    <xf numFmtId="49" fontId="8" fillId="0" borderId="0" xfId="0" applyNumberFormat="1" applyFont="1" applyFill="1" applyAlignment="1"/>
    <xf numFmtId="0" fontId="10" fillId="0" borderId="0" xfId="0" applyFont="1" applyFill="1"/>
    <xf numFmtId="179" fontId="7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4" fillId="0" borderId="0" xfId="163" applyFont="1" applyAlignment="1">
      <alignment horizontal="left" vertical="center"/>
    </xf>
    <xf numFmtId="172" fontId="58" fillId="0" borderId="0" xfId="169" applyNumberFormat="1" applyFont="1" applyAlignment="1">
      <alignment horizontal="center" vertical="center"/>
    </xf>
    <xf numFmtId="49" fontId="58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8" fillId="0" borderId="0" xfId="0" applyNumberFormat="1" applyFont="1" applyFill="1" applyAlignment="1">
      <alignment vertical="center"/>
    </xf>
    <xf numFmtId="49" fontId="68" fillId="0" borderId="0" xfId="0" applyNumberFormat="1" applyFont="1"/>
    <xf numFmtId="0" fontId="69" fillId="0" borderId="0" xfId="0" applyFont="1"/>
    <xf numFmtId="0" fontId="69" fillId="0" borderId="0" xfId="0" applyFont="1" applyFill="1"/>
    <xf numFmtId="0" fontId="58" fillId="0" borderId="0" xfId="169" applyFont="1" applyAlignment="1">
      <alignment horizontal="center" vertical="center"/>
    </xf>
    <xf numFmtId="0" fontId="59" fillId="32" borderId="0" xfId="0" applyFont="1" applyFill="1"/>
    <xf numFmtId="38" fontId="33" fillId="0" borderId="0" xfId="68" applyFont="1" applyProtection="1">
      <protection locked="0"/>
    </xf>
    <xf numFmtId="40" fontId="33" fillId="0" borderId="31" xfId="68" applyNumberFormat="1" applyFont="1" applyBorder="1" applyProtection="1"/>
    <xf numFmtId="40" fontId="33" fillId="24" borderId="16" xfId="68" applyNumberFormat="1" applyFont="1" applyFill="1" applyBorder="1" applyProtection="1"/>
    <xf numFmtId="40" fontId="33" fillId="24" borderId="17" xfId="68" applyNumberFormat="1" applyFont="1" applyFill="1" applyBorder="1" applyProtection="1"/>
    <xf numFmtId="40" fontId="33" fillId="24" borderId="13" xfId="68" applyNumberFormat="1" applyFont="1" applyFill="1" applyBorder="1" applyProtection="1">
      <protection locked="0"/>
    </xf>
    <xf numFmtId="40" fontId="33" fillId="0" borderId="13" xfId="68" applyNumberFormat="1" applyFont="1" applyBorder="1" applyProtection="1"/>
    <xf numFmtId="40" fontId="33" fillId="24" borderId="13" xfId="68" applyNumberFormat="1" applyFont="1" applyFill="1" applyBorder="1" applyProtection="1"/>
    <xf numFmtId="40" fontId="33" fillId="0" borderId="19" xfId="68" applyNumberFormat="1" applyFont="1" applyBorder="1" applyProtection="1">
      <protection locked="0"/>
    </xf>
    <xf numFmtId="40" fontId="33" fillId="0" borderId="20" xfId="68" applyNumberFormat="1" applyFont="1" applyBorder="1" applyProtection="1">
      <protection locked="0"/>
    </xf>
    <xf numFmtId="40" fontId="33" fillId="0" borderId="16" xfId="68" applyNumberFormat="1" applyFont="1" applyBorder="1" applyProtection="1"/>
    <xf numFmtId="40" fontId="33" fillId="0" borderId="19" xfId="68" applyNumberFormat="1" applyFont="1" applyBorder="1" applyProtection="1"/>
    <xf numFmtId="40" fontId="33" fillId="0" borderId="20" xfId="68" applyNumberFormat="1" applyFont="1" applyBorder="1" applyProtection="1"/>
    <xf numFmtId="40" fontId="33" fillId="0" borderId="32" xfId="68" applyNumberFormat="1" applyFont="1" applyBorder="1" applyProtection="1">
      <protection locked="0"/>
    </xf>
    <xf numFmtId="40" fontId="33" fillId="0" borderId="17" xfId="68" applyNumberFormat="1" applyFont="1" applyBorder="1" applyProtection="1">
      <protection locked="0"/>
    </xf>
    <xf numFmtId="40" fontId="33" fillId="0" borderId="21" xfId="68" applyNumberFormat="1" applyFont="1" applyBorder="1" applyProtection="1"/>
    <xf numFmtId="40" fontId="33" fillId="24" borderId="13" xfId="72" applyFont="1" applyFill="1" applyBorder="1" applyAlignment="1" applyProtection="1"/>
    <xf numFmtId="40" fontId="33" fillId="24" borderId="13" xfId="68" applyNumberFormat="1" applyFont="1" applyFill="1" applyBorder="1" applyAlignment="1" applyProtection="1"/>
    <xf numFmtId="40" fontId="33" fillId="0" borderId="21" xfId="72" applyFont="1" applyBorder="1" applyAlignment="1" applyProtection="1"/>
    <xf numFmtId="40" fontId="33" fillId="0" borderId="21" xfId="68" applyNumberFormat="1" applyFont="1" applyBorder="1" applyAlignment="1" applyProtection="1"/>
    <xf numFmtId="40" fontId="33" fillId="27" borderId="13" xfId="68" applyNumberFormat="1" applyFont="1" applyFill="1" applyBorder="1" applyProtection="1"/>
    <xf numFmtId="40" fontId="33" fillId="0" borderId="0" xfId="0" applyNumberFormat="1" applyFont="1" applyProtection="1">
      <protection locked="0"/>
    </xf>
    <xf numFmtId="40" fontId="33" fillId="0" borderId="0" xfId="68" applyNumberFormat="1" applyFont="1" applyProtection="1">
      <protection locked="0"/>
    </xf>
    <xf numFmtId="38" fontId="33" fillId="0" borderId="13" xfId="68" applyFont="1" applyBorder="1" applyProtection="1"/>
    <xf numFmtId="38" fontId="33" fillId="27" borderId="13" xfId="68" applyFont="1" applyFill="1" applyBorder="1" applyProtection="1"/>
    <xf numFmtId="38" fontId="33" fillId="0" borderId="31" xfId="68" applyFont="1" applyBorder="1" applyProtection="1"/>
    <xf numFmtId="38" fontId="33" fillId="24" borderId="16" xfId="68" applyFont="1" applyFill="1" applyBorder="1" applyProtection="1"/>
    <xf numFmtId="38" fontId="33" fillId="24" borderId="17" xfId="68" applyFont="1" applyFill="1" applyBorder="1" applyProtection="1"/>
    <xf numFmtId="38" fontId="33" fillId="24" borderId="13" xfId="68" applyFont="1" applyFill="1" applyBorder="1" applyProtection="1">
      <protection locked="0"/>
    </xf>
    <xf numFmtId="38" fontId="33" fillId="24" borderId="13" xfId="68" applyFont="1" applyFill="1" applyBorder="1" applyProtection="1"/>
    <xf numFmtId="38" fontId="33" fillId="0" borderId="19" xfId="68" applyFont="1" applyBorder="1" applyProtection="1">
      <protection locked="0"/>
    </xf>
    <xf numFmtId="38" fontId="33" fillId="0" borderId="20" xfId="68" applyFont="1" applyBorder="1" applyProtection="1">
      <protection locked="0"/>
    </xf>
    <xf numFmtId="38" fontId="33" fillId="0" borderId="19" xfId="68" applyFont="1" applyBorder="1" applyProtection="1"/>
    <xf numFmtId="38" fontId="33" fillId="0" borderId="20" xfId="68" applyFont="1" applyBorder="1" applyProtection="1"/>
    <xf numFmtId="165" fontId="33" fillId="0" borderId="13" xfId="68" applyNumberFormat="1" applyFont="1" applyBorder="1" applyProtection="1"/>
    <xf numFmtId="165" fontId="33" fillId="0" borderId="19" xfId="68" applyNumberFormat="1" applyFont="1" applyBorder="1" applyProtection="1">
      <protection locked="0"/>
    </xf>
    <xf numFmtId="165" fontId="33" fillId="0" borderId="20" xfId="68" applyNumberFormat="1" applyFont="1" applyBorder="1" applyProtection="1">
      <protection locked="0"/>
    </xf>
    <xf numFmtId="165" fontId="33" fillId="0" borderId="32" xfId="68" applyNumberFormat="1" applyFont="1" applyBorder="1" applyProtection="1">
      <protection locked="0"/>
    </xf>
    <xf numFmtId="165" fontId="33" fillId="0" borderId="17" xfId="68" applyNumberFormat="1" applyFont="1" applyBorder="1" applyProtection="1">
      <protection locked="0"/>
    </xf>
    <xf numFmtId="165" fontId="33" fillId="0" borderId="21" xfId="68" applyNumberFormat="1" applyFont="1" applyBorder="1" applyProtection="1"/>
    <xf numFmtId="165" fontId="33" fillId="24" borderId="13" xfId="68" applyNumberFormat="1" applyFont="1" applyFill="1" applyBorder="1" applyAlignment="1" applyProtection="1"/>
    <xf numFmtId="165" fontId="33" fillId="0" borderId="21" xfId="68" applyNumberFormat="1" applyFont="1" applyBorder="1" applyAlignment="1" applyProtection="1"/>
    <xf numFmtId="165" fontId="33" fillId="27" borderId="13" xfId="68" applyNumberFormat="1" applyFont="1" applyFill="1" applyBorder="1" applyProtection="1"/>
    <xf numFmtId="165" fontId="33" fillId="0" borderId="0" xfId="0" applyNumberFormat="1" applyFont="1" applyProtection="1">
      <protection locked="0"/>
    </xf>
    <xf numFmtId="165" fontId="33" fillId="0" borderId="0" xfId="68" applyNumberFormat="1" applyFont="1" applyProtection="1">
      <protection locked="0"/>
    </xf>
    <xf numFmtId="40" fontId="3" fillId="33" borderId="0" xfId="0" applyNumberFormat="1" applyFont="1" applyFill="1"/>
    <xf numFmtId="40" fontId="4" fillId="0" borderId="37" xfId="0" applyNumberFormat="1" applyFont="1" applyFill="1" applyBorder="1" applyAlignment="1" applyProtection="1">
      <alignment wrapText="1"/>
      <protection locked="0"/>
    </xf>
    <xf numFmtId="40" fontId="70" fillId="0" borderId="0" xfId="0" applyNumberFormat="1" applyFont="1"/>
    <xf numFmtId="40" fontId="4" fillId="0" borderId="0" xfId="0" applyNumberFormat="1" applyFont="1"/>
    <xf numFmtId="40" fontId="4" fillId="0" borderId="40" xfId="0" applyNumberFormat="1" applyFont="1" applyFill="1" applyBorder="1" applyAlignment="1" applyProtection="1">
      <alignment wrapText="1"/>
      <protection locked="0"/>
    </xf>
    <xf numFmtId="40" fontId="4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4" fillId="0" borderId="43" xfId="0" applyNumberFormat="1" applyFont="1" applyFill="1" applyBorder="1" applyProtection="1">
      <protection locked="0"/>
    </xf>
    <xf numFmtId="40" fontId="4" fillId="0" borderId="0" xfId="0" applyNumberFormat="1" applyFont="1" applyFill="1"/>
    <xf numFmtId="40" fontId="4" fillId="0" borderId="40" xfId="0" applyNumberFormat="1" applyFont="1" applyFill="1" applyBorder="1" applyProtection="1">
      <protection locked="0"/>
    </xf>
    <xf numFmtId="40" fontId="70" fillId="0" borderId="13" xfId="0" applyNumberFormat="1" applyFont="1" applyBorder="1"/>
    <xf numFmtId="40" fontId="4" fillId="0" borderId="13" xfId="0" applyNumberFormat="1" applyFont="1" applyBorder="1"/>
    <xf numFmtId="40" fontId="4" fillId="33" borderId="0" xfId="0" applyNumberFormat="1" applyFont="1" applyFill="1"/>
    <xf numFmtId="40" fontId="4" fillId="0" borderId="47" xfId="0" applyNumberFormat="1" applyFont="1" applyFill="1" applyBorder="1" applyProtection="1">
      <protection locked="0"/>
    </xf>
    <xf numFmtId="40" fontId="71" fillId="0" borderId="0" xfId="0" applyNumberFormat="1" applyFont="1"/>
    <xf numFmtId="0" fontId="0" fillId="0" borderId="0" xfId="0" applyAlignment="1">
      <alignment horizontal="center"/>
    </xf>
    <xf numFmtId="169" fontId="67" fillId="0" borderId="0" xfId="0" applyNumberFormat="1" applyFont="1" applyFill="1" applyAlignment="1">
      <alignment horizontal="center"/>
    </xf>
    <xf numFmtId="49" fontId="6" fillId="0" borderId="0" xfId="0" applyNumberFormat="1" applyFont="1" applyAlignment="1">
      <alignment horizontal="right"/>
    </xf>
    <xf numFmtId="0" fontId="72" fillId="0" borderId="0" xfId="0" applyFont="1" applyFill="1" applyAlignment="1" applyProtection="1">
      <alignment horizontal="left"/>
      <protection locked="0"/>
    </xf>
    <xf numFmtId="0" fontId="73" fillId="0" borderId="0" xfId="67" applyNumberFormat="1" applyFont="1" applyFill="1" applyAlignment="1">
      <alignment horizontal="center"/>
    </xf>
    <xf numFmtId="0" fontId="60" fillId="0" borderId="0" xfId="0" applyNumberFormat="1" applyFont="1" applyFill="1" applyBorder="1" applyAlignment="1">
      <alignment horizontal="right" vertical="center"/>
    </xf>
    <xf numFmtId="40" fontId="67" fillId="35" borderId="13" xfId="0" applyNumberFormat="1" applyFont="1" applyFill="1" applyBorder="1" applyAlignment="1">
      <alignment horizontal="center"/>
    </xf>
    <xf numFmtId="38" fontId="17" fillId="0" borderId="26" xfId="67" applyFont="1" applyBorder="1" applyAlignment="1" applyProtection="1">
      <protection locked="0"/>
    </xf>
    <xf numFmtId="0" fontId="17" fillId="0" borderId="13" xfId="129" applyBorder="1"/>
    <xf numFmtId="0" fontId="0" fillId="0" borderId="24" xfId="129" applyFont="1" applyBorder="1" applyProtection="1">
      <protection locked="0"/>
    </xf>
    <xf numFmtId="38" fontId="17" fillId="0" borderId="0" xfId="68" applyFont="1" applyAlignment="1">
      <alignment horizontal="right"/>
    </xf>
    <xf numFmtId="4" fontId="17" fillId="0" borderId="24" xfId="129" applyNumberFormat="1" applyBorder="1" applyAlignment="1" applyProtection="1">
      <alignment horizontal="center"/>
      <protection locked="0"/>
    </xf>
    <xf numFmtId="4" fontId="17" fillId="0" borderId="24" xfId="129" applyNumberFormat="1" applyBorder="1" applyProtection="1">
      <protection locked="0"/>
    </xf>
    <xf numFmtId="4" fontId="17" fillId="0" borderId="22" xfId="129" applyNumberFormat="1" applyBorder="1"/>
    <xf numFmtId="4" fontId="17" fillId="0" borderId="26" xfId="129" applyNumberFormat="1" applyBorder="1"/>
    <xf numFmtId="0" fontId="17" fillId="0" borderId="22" xfId="129" applyBorder="1" applyAlignment="1">
      <alignment horizontal="centerContinuous" vertical="center"/>
    </xf>
    <xf numFmtId="0" fontId="17" fillId="0" borderId="22" xfId="129" applyBorder="1" applyAlignment="1">
      <alignment horizontal="left" vertical="center"/>
    </xf>
    <xf numFmtId="168" fontId="17" fillId="0" borderId="50" xfId="129" applyNumberFormat="1" applyBorder="1" applyAlignment="1">
      <alignment horizontal="center" vertical="center"/>
    </xf>
    <xf numFmtId="0" fontId="0" fillId="0" borderId="51" xfId="129" applyFont="1" applyBorder="1" applyAlignment="1">
      <alignment horizontal="center" vertical="center" wrapText="1"/>
    </xf>
    <xf numFmtId="171" fontId="17" fillId="0" borderId="51" xfId="68" quotePrefix="1" applyNumberFormat="1" applyFont="1" applyBorder="1" applyAlignment="1">
      <alignment horizontal="center" vertical="center"/>
    </xf>
    <xf numFmtId="0" fontId="17" fillId="0" borderId="0" xfId="129" applyAlignment="1">
      <alignment vertical="center"/>
    </xf>
    <xf numFmtId="0" fontId="0" fillId="0" borderId="51" xfId="129" applyFont="1" applyBorder="1" applyAlignment="1">
      <alignment horizontal="center" vertical="center"/>
    </xf>
    <xf numFmtId="0" fontId="74" fillId="0" borderId="0" xfId="171" applyFont="1">
      <alignment vertical="center"/>
    </xf>
    <xf numFmtId="182" fontId="74" fillId="0" borderId="0" xfId="171" applyNumberFormat="1" applyFont="1">
      <alignment vertical="center"/>
    </xf>
    <xf numFmtId="172" fontId="74" fillId="0" borderId="0" xfId="171" applyNumberFormat="1" applyFont="1">
      <alignment vertical="center"/>
    </xf>
    <xf numFmtId="0" fontId="74" fillId="0" borderId="0" xfId="171" applyFont="1" applyAlignment="1">
      <alignment horizontal="left" vertical="center"/>
    </xf>
    <xf numFmtId="49" fontId="74" fillId="0" borderId="0" xfId="171" applyNumberFormat="1" applyFont="1" applyAlignment="1">
      <alignment horizontal="left" vertical="center"/>
    </xf>
    <xf numFmtId="182" fontId="74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76" fillId="0" borderId="0" xfId="0" applyNumberFormat="1" applyFont="1"/>
    <xf numFmtId="40" fontId="75" fillId="34" borderId="39" xfId="0" applyNumberFormat="1" applyFont="1" applyFill="1" applyBorder="1" applyProtection="1">
      <protection locked="0"/>
    </xf>
    <xf numFmtId="40" fontId="75" fillId="0" borderId="39" xfId="0" applyNumberFormat="1" applyFont="1" applyFill="1" applyBorder="1" applyProtection="1">
      <protection locked="0"/>
    </xf>
    <xf numFmtId="38" fontId="77" fillId="0" borderId="0" xfId="67" applyFont="1" applyFill="1" applyAlignment="1">
      <alignment horizontal="center" vertical="center"/>
    </xf>
    <xf numFmtId="40" fontId="77" fillId="0" borderId="0" xfId="66" applyFont="1" applyFill="1" applyAlignment="1">
      <alignment horizontal="center" vertical="center"/>
    </xf>
    <xf numFmtId="167" fontId="75" fillId="0" borderId="0" xfId="67" applyNumberFormat="1" applyFont="1" applyFill="1"/>
    <xf numFmtId="169" fontId="77" fillId="0" borderId="0" xfId="67" applyNumberFormat="1" applyFont="1" applyFill="1" applyAlignment="1">
      <alignment horizontal="center" vertical="center"/>
    </xf>
    <xf numFmtId="169" fontId="77" fillId="0" borderId="0" xfId="68" applyNumberFormat="1" applyFont="1" applyFill="1" applyAlignment="1">
      <alignment horizontal="center" vertical="center"/>
    </xf>
    <xf numFmtId="169" fontId="75" fillId="0" borderId="0" xfId="67" applyNumberFormat="1" applyFont="1" applyFill="1"/>
    <xf numFmtId="38" fontId="77" fillId="0" borderId="0" xfId="68" applyFont="1" applyAlignment="1">
      <alignment horizontal="center" vertical="center"/>
    </xf>
    <xf numFmtId="38" fontId="75" fillId="0" borderId="0" xfId="67" applyFont="1" applyAlignment="1">
      <alignment horizontal="center" vertical="center"/>
    </xf>
    <xf numFmtId="168" fontId="78" fillId="25" borderId="10" xfId="67" applyNumberFormat="1" applyFont="1" applyFill="1" applyBorder="1" applyAlignment="1">
      <alignment horizontal="center" vertical="center"/>
    </xf>
    <xf numFmtId="38" fontId="79" fillId="25" borderId="10" xfId="67" applyFont="1" applyFill="1" applyBorder="1" applyAlignment="1">
      <alignment horizontal="center" vertical="center"/>
    </xf>
    <xf numFmtId="40" fontId="77" fillId="0" borderId="23" xfId="67" applyNumberFormat="1" applyFont="1" applyBorder="1" applyAlignment="1">
      <alignment horizontal="right" vertical="center"/>
    </xf>
    <xf numFmtId="40" fontId="75" fillId="0" borderId="23" xfId="67" applyNumberFormat="1" applyFont="1" applyBorder="1" applyAlignment="1">
      <alignment horizontal="right"/>
    </xf>
    <xf numFmtId="38" fontId="80" fillId="0" borderId="0" xfId="67" applyFont="1" applyAlignment="1">
      <alignment horizontal="center" vertical="center"/>
    </xf>
    <xf numFmtId="38" fontId="80" fillId="0" borderId="0" xfId="67" applyFont="1"/>
    <xf numFmtId="168" fontId="78" fillId="25" borderId="30" xfId="67" applyNumberFormat="1" applyFont="1" applyFill="1" applyBorder="1" applyAlignment="1">
      <alignment horizontal="center" vertical="center"/>
    </xf>
    <xf numFmtId="38" fontId="78" fillId="25" borderId="11" xfId="67" applyFont="1" applyFill="1" applyBorder="1" applyAlignment="1">
      <alignment horizontal="center" vertical="center"/>
    </xf>
    <xf numFmtId="38" fontId="78" fillId="25" borderId="12" xfId="67" applyFont="1" applyFill="1" applyBorder="1" applyAlignment="1">
      <alignment horizontal="center" vertical="center"/>
    </xf>
    <xf numFmtId="40" fontId="77" fillId="34" borderId="37" xfId="68" applyNumberFormat="1" applyFont="1" applyFill="1" applyBorder="1" applyAlignment="1" applyProtection="1">
      <alignment horizontal="right" vertical="center"/>
      <protection locked="0"/>
    </xf>
    <xf numFmtId="40" fontId="75" fillId="34" borderId="37" xfId="67" applyNumberFormat="1" applyFont="1" applyFill="1" applyBorder="1" applyProtection="1">
      <protection locked="0"/>
    </xf>
    <xf numFmtId="40" fontId="77" fillId="34" borderId="39" xfId="68" applyNumberFormat="1" applyFont="1" applyFill="1" applyBorder="1" applyAlignment="1" applyProtection="1">
      <alignment horizontal="right" vertical="center"/>
      <protection locked="0"/>
    </xf>
    <xf numFmtId="40" fontId="75" fillId="34" borderId="40" xfId="67" applyNumberFormat="1" applyFont="1" applyFill="1" applyBorder="1" applyProtection="1">
      <protection locked="0"/>
    </xf>
    <xf numFmtId="40" fontId="75" fillId="34" borderId="39" xfId="67" applyNumberFormat="1" applyFont="1" applyFill="1" applyBorder="1" applyProtection="1">
      <protection locked="0"/>
    </xf>
    <xf numFmtId="40" fontId="75" fillId="34" borderId="43" xfId="67" applyNumberFormat="1" applyFont="1" applyFill="1" applyBorder="1" applyProtection="1">
      <protection locked="0"/>
    </xf>
    <xf numFmtId="40" fontId="77" fillId="32" borderId="39" xfId="68" applyNumberFormat="1" applyFont="1" applyFill="1" applyBorder="1" applyAlignment="1" applyProtection="1">
      <alignment horizontal="right" vertical="center"/>
      <protection locked="0"/>
    </xf>
    <xf numFmtId="40" fontId="75" fillId="32" borderId="43" xfId="67" applyNumberFormat="1" applyFont="1" applyFill="1" applyBorder="1" applyProtection="1">
      <protection locked="0"/>
    </xf>
    <xf numFmtId="40" fontId="77" fillId="34" borderId="39" xfId="96" applyNumberFormat="1" applyFont="1" applyFill="1" applyBorder="1" applyAlignment="1" applyProtection="1">
      <alignment horizontal="right" vertical="center"/>
      <protection locked="0"/>
    </xf>
    <xf numFmtId="40" fontId="75" fillId="34" borderId="39" xfId="68" applyNumberFormat="1" applyFont="1" applyFill="1" applyBorder="1" applyAlignment="1" applyProtection="1">
      <alignment horizontal="right" vertical="center"/>
      <protection locked="0"/>
    </xf>
    <xf numFmtId="40" fontId="75" fillId="34" borderId="47" xfId="68" applyNumberFormat="1" applyFont="1" applyFill="1" applyBorder="1" applyAlignment="1" applyProtection="1">
      <alignment horizontal="right" vertical="center"/>
      <protection locked="0"/>
    </xf>
    <xf numFmtId="40" fontId="75" fillId="34" borderId="47" xfId="67" applyNumberFormat="1" applyFont="1" applyFill="1" applyBorder="1" applyProtection="1">
      <protection locked="0"/>
    </xf>
    <xf numFmtId="40" fontId="77" fillId="32" borderId="37" xfId="68" applyNumberFormat="1" applyFont="1" applyFill="1" applyBorder="1" applyAlignment="1" applyProtection="1">
      <alignment horizontal="right"/>
      <protection locked="0"/>
    </xf>
    <xf numFmtId="40" fontId="75" fillId="32" borderId="40" xfId="67" applyNumberFormat="1" applyFont="1" applyFill="1" applyBorder="1" applyProtection="1">
      <protection locked="0"/>
    </xf>
    <xf numFmtId="40" fontId="77" fillId="32" borderId="39" xfId="68" applyNumberFormat="1" applyFont="1" applyFill="1" applyBorder="1" applyAlignment="1" applyProtection="1">
      <alignment horizontal="right"/>
      <protection locked="0"/>
    </xf>
    <xf numFmtId="40" fontId="77" fillId="32" borderId="47" xfId="68" applyNumberFormat="1" applyFont="1" applyFill="1" applyBorder="1" applyAlignment="1" applyProtection="1">
      <alignment horizontal="right"/>
      <protection locked="0"/>
    </xf>
    <xf numFmtId="40" fontId="75" fillId="32" borderId="47" xfId="67" applyNumberFormat="1" applyFont="1" applyFill="1" applyBorder="1" applyProtection="1">
      <protection locked="0"/>
    </xf>
    <xf numFmtId="40" fontId="77" fillId="34" borderId="39" xfId="68" applyNumberFormat="1" applyFont="1" applyFill="1" applyBorder="1" applyAlignment="1" applyProtection="1">
      <alignment horizontal="right"/>
      <protection locked="0"/>
    </xf>
    <xf numFmtId="40" fontId="77" fillId="34" borderId="39" xfId="66" applyFont="1" applyFill="1" applyBorder="1" applyAlignment="1" applyProtection="1">
      <alignment horizontal="right"/>
      <protection locked="0"/>
    </xf>
    <xf numFmtId="40" fontId="77" fillId="34" borderId="39" xfId="66" applyFont="1" applyFill="1" applyBorder="1" applyAlignment="1" applyProtection="1">
      <alignment horizontal="right" vertical="center"/>
      <protection locked="0"/>
    </xf>
    <xf numFmtId="180" fontId="77" fillId="0" borderId="0" xfId="67" applyNumberFormat="1" applyFont="1" applyAlignment="1">
      <alignment horizontal="center" vertical="center"/>
    </xf>
    <xf numFmtId="180" fontId="77" fillId="0" borderId="0" xfId="66" applyNumberFormat="1" applyFont="1" applyAlignment="1">
      <alignment horizontal="center" vertical="center"/>
    </xf>
    <xf numFmtId="180" fontId="75" fillId="0" borderId="0" xfId="67" applyNumberFormat="1" applyFont="1"/>
    <xf numFmtId="0" fontId="81" fillId="0" borderId="0" xfId="0" applyFont="1" applyFill="1" applyAlignment="1"/>
    <xf numFmtId="49" fontId="81" fillId="0" borderId="0" xfId="0" applyNumberFormat="1" applyFont="1" applyAlignment="1">
      <alignment vertical="center"/>
    </xf>
    <xf numFmtId="0" fontId="80" fillId="0" borderId="0" xfId="0" applyFont="1" applyFill="1" applyBorder="1" applyAlignment="1">
      <alignment horizontal="left"/>
    </xf>
    <xf numFmtId="0" fontId="80" fillId="0" borderId="0" xfId="0" applyFont="1"/>
    <xf numFmtId="0" fontId="79" fillId="25" borderId="10" xfId="0" applyFont="1" applyFill="1" applyBorder="1" applyAlignment="1">
      <alignment horizontal="center" vertical="center"/>
    </xf>
    <xf numFmtId="40" fontId="75" fillId="34" borderId="37" xfId="0" applyNumberFormat="1" applyFont="1" applyFill="1" applyBorder="1" applyAlignment="1" applyProtection="1">
      <alignment wrapText="1"/>
      <protection locked="0"/>
    </xf>
    <xf numFmtId="40" fontId="75" fillId="34" borderId="40" xfId="0" applyNumberFormat="1" applyFont="1" applyFill="1" applyBorder="1" applyAlignment="1" applyProtection="1">
      <alignment wrapText="1"/>
      <protection locked="0"/>
    </xf>
    <xf numFmtId="40" fontId="75" fillId="34" borderId="43" xfId="0" applyNumberFormat="1" applyFont="1" applyFill="1" applyBorder="1" applyProtection="1">
      <protection locked="0"/>
    </xf>
    <xf numFmtId="40" fontId="75" fillId="32" borderId="43" xfId="0" applyNumberFormat="1" applyFont="1" applyFill="1" applyBorder="1" applyProtection="1">
      <protection locked="0"/>
    </xf>
    <xf numFmtId="40" fontId="75" fillId="34" borderId="47" xfId="0" applyNumberFormat="1" applyFont="1" applyFill="1" applyBorder="1" applyProtection="1">
      <protection locked="0"/>
    </xf>
    <xf numFmtId="40" fontId="75" fillId="32" borderId="40" xfId="0" applyNumberFormat="1" applyFont="1" applyFill="1" applyBorder="1" applyProtection="1">
      <protection locked="0"/>
    </xf>
    <xf numFmtId="40" fontId="75" fillId="32" borderId="39" xfId="0" applyNumberFormat="1" applyFont="1" applyFill="1" applyBorder="1" applyProtection="1">
      <protection locked="0"/>
    </xf>
    <xf numFmtId="40" fontId="75" fillId="32" borderId="47" xfId="0" applyNumberFormat="1" applyFont="1" applyFill="1" applyBorder="1" applyProtection="1">
      <protection locked="0"/>
    </xf>
    <xf numFmtId="0" fontId="75" fillId="0" borderId="0" xfId="0" applyFont="1"/>
    <xf numFmtId="1" fontId="75" fillId="0" borderId="0" xfId="0" applyNumberFormat="1" applyFont="1" applyFill="1" applyBorder="1" applyAlignment="1">
      <alignment horizontal="centerContinuous"/>
    </xf>
    <xf numFmtId="181" fontId="75" fillId="0" borderId="0" xfId="0" applyNumberFormat="1" applyFont="1" applyFill="1" applyAlignment="1" applyProtection="1">
      <alignment horizontal="left" vertical="center" shrinkToFit="1"/>
      <protection locked="0"/>
    </xf>
    <xf numFmtId="1" fontId="75" fillId="0" borderId="0" xfId="0" applyNumberFormat="1" applyFont="1" applyAlignment="1">
      <alignment vertical="center"/>
    </xf>
    <xf numFmtId="1" fontId="79" fillId="25" borderId="10" xfId="0" applyNumberFormat="1" applyFont="1" applyFill="1" applyBorder="1" applyAlignment="1">
      <alignment horizontal="center" vertical="center" wrapText="1"/>
    </xf>
    <xf numFmtId="1" fontId="75" fillId="30" borderId="10" xfId="0" applyNumberFormat="1" applyFont="1" applyFill="1" applyBorder="1" applyAlignment="1" applyProtection="1">
      <alignment horizontal="center"/>
      <protection locked="0"/>
    </xf>
    <xf numFmtId="1" fontId="80" fillId="0" borderId="0" xfId="0" applyNumberFormat="1" applyFont="1"/>
    <xf numFmtId="1" fontId="79" fillId="25" borderId="30" xfId="0" applyNumberFormat="1" applyFont="1" applyFill="1" applyBorder="1" applyAlignment="1">
      <alignment horizontal="center" vertical="center" wrapText="1"/>
    </xf>
    <xf numFmtId="40" fontId="84" fillId="0" borderId="33" xfId="0" applyNumberFormat="1" applyFont="1" applyFill="1" applyBorder="1" applyAlignment="1">
      <alignment horizontal="center"/>
    </xf>
    <xf numFmtId="40" fontId="84" fillId="0" borderId="48" xfId="0" applyNumberFormat="1" applyFont="1" applyFill="1" applyBorder="1" applyAlignment="1">
      <alignment horizontal="center"/>
    </xf>
    <xf numFmtId="40" fontId="85" fillId="0" borderId="34" xfId="0" applyNumberFormat="1" applyFont="1" applyFill="1" applyBorder="1" applyAlignment="1">
      <alignment horizontal="center"/>
    </xf>
    <xf numFmtId="40" fontId="85" fillId="0" borderId="49" xfId="0" applyNumberFormat="1" applyFont="1" applyFill="1" applyBorder="1" applyAlignment="1">
      <alignment horizontal="center"/>
    </xf>
    <xf numFmtId="40" fontId="84" fillId="0" borderId="49" xfId="0" applyNumberFormat="1" applyFont="1" applyFill="1" applyBorder="1" applyAlignment="1">
      <alignment horizontal="center"/>
    </xf>
    <xf numFmtId="40" fontId="84" fillId="0" borderId="34" xfId="0" applyNumberFormat="1" applyFont="1" applyFill="1" applyBorder="1" applyAlignment="1">
      <alignment horizontal="center"/>
    </xf>
    <xf numFmtId="1" fontId="75" fillId="33" borderId="33" xfId="0" applyNumberFormat="1" applyFont="1" applyFill="1" applyBorder="1" applyAlignment="1" applyProtection="1">
      <alignment horizontal="center"/>
      <protection locked="0"/>
    </xf>
    <xf numFmtId="1" fontId="75" fillId="33" borderId="34" xfId="0" applyNumberFormat="1" applyFont="1" applyFill="1" applyBorder="1" applyAlignment="1" applyProtection="1">
      <alignment horizontal="center"/>
      <protection locked="0"/>
    </xf>
    <xf numFmtId="1" fontId="75" fillId="33" borderId="35" xfId="0" applyNumberFormat="1" applyFont="1" applyFill="1" applyBorder="1" applyAlignment="1" applyProtection="1">
      <alignment horizontal="center"/>
      <protection locked="0"/>
    </xf>
    <xf numFmtId="1" fontId="75" fillId="0" borderId="34" xfId="0" applyNumberFormat="1" applyFont="1" applyFill="1" applyBorder="1" applyAlignment="1" applyProtection="1">
      <alignment horizontal="center"/>
      <protection locked="0"/>
    </xf>
    <xf numFmtId="1" fontId="75" fillId="0" borderId="0" xfId="0" applyNumberFormat="1" applyFont="1"/>
    <xf numFmtId="0" fontId="86" fillId="0" borderId="0" xfId="0" applyFont="1" applyFill="1" applyAlignment="1"/>
    <xf numFmtId="0" fontId="86" fillId="0" borderId="0" xfId="0" applyFont="1" applyAlignment="1"/>
    <xf numFmtId="0" fontId="75" fillId="0" borderId="0" xfId="0" applyFont="1" applyAlignment="1">
      <alignment vertical="center"/>
    </xf>
    <xf numFmtId="0" fontId="75" fillId="24" borderId="10" xfId="0" applyFont="1" applyFill="1" applyBorder="1" applyAlignment="1">
      <alignment horizontal="center"/>
    </xf>
    <xf numFmtId="0" fontId="79" fillId="25" borderId="11" xfId="0" applyFont="1" applyFill="1" applyBorder="1" applyAlignment="1">
      <alignment horizontal="center" vertical="center"/>
    </xf>
    <xf numFmtId="0" fontId="79" fillId="25" borderId="12" xfId="0" applyFont="1" applyFill="1" applyBorder="1" applyAlignment="1">
      <alignment horizontal="center" vertical="center"/>
    </xf>
    <xf numFmtId="40" fontId="75" fillId="0" borderId="19" xfId="0" applyNumberFormat="1" applyFont="1" applyFill="1" applyBorder="1"/>
    <xf numFmtId="40" fontId="76" fillId="0" borderId="36" xfId="0" applyNumberFormat="1" applyFont="1" applyFill="1" applyBorder="1"/>
    <xf numFmtId="40" fontId="76" fillId="0" borderId="38" xfId="0" applyNumberFormat="1" applyFont="1" applyFill="1" applyBorder="1"/>
    <xf numFmtId="40" fontId="75" fillId="0" borderId="41" xfId="0" applyNumberFormat="1" applyFont="1" applyFill="1" applyBorder="1"/>
    <xf numFmtId="40" fontId="75" fillId="32" borderId="32" xfId="0" applyNumberFormat="1" applyFont="1" applyFill="1" applyBorder="1"/>
    <xf numFmtId="40" fontId="75" fillId="32" borderId="42" xfId="0" applyNumberFormat="1" applyFont="1" applyFill="1" applyBorder="1"/>
    <xf numFmtId="40" fontId="76" fillId="0" borderId="42" xfId="0" applyNumberFormat="1" applyFont="1" applyFill="1" applyBorder="1"/>
    <xf numFmtId="40" fontId="76" fillId="0" borderId="20" xfId="0" applyNumberFormat="1" applyFont="1" applyFill="1" applyBorder="1"/>
    <xf numFmtId="40" fontId="76" fillId="0" borderId="41" xfId="0" applyNumberFormat="1" applyFont="1" applyFill="1" applyBorder="1"/>
    <xf numFmtId="40" fontId="76" fillId="0" borderId="32" xfId="0" applyNumberFormat="1" applyFont="1" applyFill="1" applyBorder="1"/>
    <xf numFmtId="40" fontId="75" fillId="32" borderId="44" xfId="0" applyNumberFormat="1" applyFont="1" applyFill="1" applyBorder="1"/>
    <xf numFmtId="40" fontId="75" fillId="32" borderId="36" xfId="0" applyNumberFormat="1" applyFont="1" applyFill="1" applyBorder="1"/>
    <xf numFmtId="40" fontId="75" fillId="32" borderId="19" xfId="0" applyNumberFormat="1" applyFont="1" applyFill="1" applyBorder="1"/>
    <xf numFmtId="40" fontId="75" fillId="32" borderId="38" xfId="0" applyNumberFormat="1" applyFont="1" applyFill="1" applyBorder="1"/>
    <xf numFmtId="40" fontId="75" fillId="32" borderId="45" xfId="0" applyNumberFormat="1" applyFont="1" applyFill="1" applyBorder="1"/>
    <xf numFmtId="40" fontId="75" fillId="32" borderId="46" xfId="0" applyNumberFormat="1" applyFont="1" applyFill="1" applyBorder="1"/>
    <xf numFmtId="40" fontId="75" fillId="0" borderId="20" xfId="0" applyNumberFormat="1" applyFont="1" applyFill="1" applyBorder="1"/>
    <xf numFmtId="40" fontId="75" fillId="0" borderId="38" xfId="0" applyNumberFormat="1" applyFont="1" applyFill="1" applyBorder="1"/>
    <xf numFmtId="0" fontId="79" fillId="0" borderId="0" xfId="0" applyFont="1" applyAlignment="1">
      <alignment horizontal="center"/>
    </xf>
    <xf numFmtId="0" fontId="79" fillId="0" borderId="0" xfId="0" applyFont="1" applyFill="1" applyAlignment="1">
      <alignment horizontal="center" vertical="center"/>
    </xf>
    <xf numFmtId="40" fontId="88" fillId="0" borderId="0" xfId="0" applyNumberFormat="1" applyFont="1"/>
    <xf numFmtId="40" fontId="88" fillId="0" borderId="0" xfId="0" applyNumberFormat="1" applyFont="1" applyAlignment="1">
      <alignment horizontal="right"/>
    </xf>
    <xf numFmtId="0" fontId="6" fillId="25" borderId="52" xfId="0" applyFont="1" applyFill="1" applyBorder="1" applyAlignment="1">
      <alignment horizontal="center" vertical="center"/>
    </xf>
    <xf numFmtId="0" fontId="4" fillId="24" borderId="53" xfId="0" applyFont="1" applyFill="1" applyBorder="1" applyAlignment="1">
      <alignment horizontal="center"/>
    </xf>
    <xf numFmtId="49" fontId="6" fillId="25" borderId="54" xfId="0" applyNumberFormat="1" applyFont="1" applyFill="1" applyBorder="1" applyAlignment="1">
      <alignment horizontal="center" vertical="center" wrapText="1"/>
    </xf>
    <xf numFmtId="40" fontId="4" fillId="0" borderId="55" xfId="0" applyNumberFormat="1" applyFont="1" applyFill="1" applyBorder="1" applyAlignment="1">
      <alignment horizontal="center"/>
    </xf>
    <xf numFmtId="40" fontId="4" fillId="0" borderId="56" xfId="0" applyNumberFormat="1" applyFont="1" applyFill="1" applyBorder="1" applyAlignment="1">
      <alignment horizontal="center"/>
    </xf>
    <xf numFmtId="40" fontId="4" fillId="0" borderId="57" xfId="0" applyNumberFormat="1" applyFont="1" applyFill="1" applyBorder="1" applyAlignment="1">
      <alignment horizontal="center"/>
    </xf>
    <xf numFmtId="40" fontId="4" fillId="0" borderId="58" xfId="0" applyNumberFormat="1" applyFont="1" applyFill="1" applyBorder="1" applyAlignment="1">
      <alignment horizontal="center"/>
    </xf>
    <xf numFmtId="40" fontId="4" fillId="32" borderId="58" xfId="0" applyNumberFormat="1" applyFont="1" applyFill="1" applyBorder="1" applyAlignment="1">
      <alignment horizontal="center"/>
    </xf>
    <xf numFmtId="40" fontId="4" fillId="33" borderId="57" xfId="0" applyNumberFormat="1" applyFont="1" applyFill="1" applyBorder="1" applyAlignment="1">
      <alignment horizontal="center"/>
    </xf>
    <xf numFmtId="40" fontId="4" fillId="33" borderId="58" xfId="0" applyNumberFormat="1" applyFont="1" applyFill="1" applyBorder="1" applyAlignment="1">
      <alignment horizontal="center"/>
    </xf>
    <xf numFmtId="40" fontId="4" fillId="32" borderId="59" xfId="0" applyNumberFormat="1" applyFont="1" applyFill="1" applyBorder="1" applyAlignment="1">
      <alignment horizontal="center"/>
    </xf>
    <xf numFmtId="40" fontId="4" fillId="32" borderId="57" xfId="0" applyNumberFormat="1" applyFont="1" applyFill="1" applyBorder="1" applyAlignment="1">
      <alignment horizontal="center"/>
    </xf>
    <xf numFmtId="40" fontId="4" fillId="32" borderId="60" xfId="0" applyNumberFormat="1" applyFont="1" applyFill="1" applyBorder="1" applyAlignment="1">
      <alignment horizontal="center"/>
    </xf>
    <xf numFmtId="40" fontId="4" fillId="0" borderId="61" xfId="0" applyNumberFormat="1" applyFont="1" applyFill="1" applyBorder="1" applyAlignment="1">
      <alignment horizontal="center"/>
    </xf>
    <xf numFmtId="0" fontId="86" fillId="0" borderId="0" xfId="0" applyFont="1" applyBorder="1" applyAlignment="1"/>
    <xf numFmtId="49" fontId="87" fillId="0" borderId="0" xfId="0" applyNumberFormat="1" applyFont="1" applyBorder="1" applyAlignment="1">
      <alignment horizontal="right" vertical="center"/>
    </xf>
    <xf numFmtId="0" fontId="79" fillId="25" borderId="62" xfId="0" applyFont="1" applyFill="1" applyBorder="1" applyAlignment="1">
      <alignment horizontal="center" vertical="center"/>
    </xf>
    <xf numFmtId="0" fontId="75" fillId="24" borderId="63" xfId="0" applyFont="1" applyFill="1" applyBorder="1" applyAlignment="1">
      <alignment horizontal="center"/>
    </xf>
    <xf numFmtId="0" fontId="80" fillId="0" borderId="0" xfId="0" applyFont="1" applyBorder="1"/>
    <xf numFmtId="0" fontId="75" fillId="0" borderId="0" xfId="0" applyFont="1" applyBorder="1"/>
    <xf numFmtId="1" fontId="75" fillId="36" borderId="34" xfId="0" applyNumberFormat="1" applyFont="1" applyFill="1" applyBorder="1" applyAlignment="1" applyProtection="1">
      <alignment horizontal="center"/>
      <protection locked="0"/>
    </xf>
    <xf numFmtId="40" fontId="91" fillId="34" borderId="39" xfId="0" applyNumberFormat="1" applyFont="1" applyFill="1" applyBorder="1" applyProtection="1">
      <protection locked="0"/>
    </xf>
    <xf numFmtId="1" fontId="75" fillId="37" borderId="34" xfId="0" applyNumberFormat="1" applyFont="1" applyFill="1" applyBorder="1" applyAlignment="1" applyProtection="1">
      <alignment horizontal="center"/>
      <protection locked="0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入力" xfId="161" xr:uid="{C2DFFBC4-C404-48B1-90A3-87FE342B7747}"/>
    <cellStyle name="入力 2" xfId="162" xr:uid="{A412DD7B-43F2-4473-A9DA-F8B3E3E98E41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悪い" xfId="126" xr:uid="{F69DD0D1-F5B9-43E1-8FEA-49BE292D9603}"/>
    <cellStyle name="悪い 2" xfId="127" xr:uid="{C07ACB36-C2BF-453A-9358-185F014B625E}"/>
    <cellStyle name="未定義" xfId="172" xr:uid="{733415D2-06C5-4E20-BD43-A9C469219456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良い" xfId="173" xr:uid="{2D3E2A06-6074-41F4-99C2-5D3C62694F78}"/>
    <cellStyle name="良い 2" xfId="174" xr:uid="{D9973607-A1A0-40E7-8692-32D6D593E18F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計算" xfId="130" xr:uid="{6F5C4C80-375F-4666-BF76-EEC04DC98C7E}"/>
    <cellStyle name="計算 2" xfId="131" xr:uid="{E8B34AE7-261B-4AB3-89B5-740B093C2CE1}"/>
    <cellStyle name="説明文" xfId="157" xr:uid="{BED0F12A-990A-42B1-8C98-78C437B3C0DF}"/>
    <cellStyle name="説明文 2" xfId="158" xr:uid="{E5858331-FB1E-4F78-9C33-1305E180D272}"/>
    <cellStyle name="警告文" xfId="132" xr:uid="{290E5CB7-DF2A-46B2-97C0-33601A355B30}"/>
    <cellStyle name="警告文 2" xfId="133" xr:uid="{15C1B7D8-F7FD-4606-BDE8-8DA46C2F32F4}"/>
    <cellStyle name="通貨 2" xfId="159" xr:uid="{31611A0E-4F07-4498-B4E0-FD7077369C25}"/>
    <cellStyle name="通貨 3" xfId="160" xr:uid="{9BB8D89F-F2F2-4F71-956E-F5CF14CB7534}"/>
    <cellStyle name="集計" xfId="152" xr:uid="{7FB6E6C0-34AB-449C-B42F-2B94261B1E38}"/>
    <cellStyle name="集計 2" xfId="153" xr:uid="{BFCDBC1E-CB3A-4179-9FDF-31D927DEE85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14" customWidth="1"/>
    <col min="2" max="2" width="19.453125" style="17" customWidth="1"/>
    <col min="3" max="13" width="12.36328125" style="13" customWidth="1"/>
    <col min="14" max="15" width="11.90625" style="13" customWidth="1"/>
    <col min="16" max="16384" width="9" style="13"/>
  </cols>
  <sheetData>
    <row r="1" spans="1:15" ht="14.25" customHeight="1" thickBot="1">
      <c r="A1" s="10"/>
      <c r="B1" s="11" t="s">
        <v>38</v>
      </c>
      <c r="C1" s="81" t="str">
        <f>'採算表(VND)'!C1</f>
        <v>MP FY2026_各予定</v>
      </c>
      <c r="D1" s="82"/>
      <c r="E1" s="82"/>
      <c r="F1" s="83"/>
      <c r="G1" s="83"/>
      <c r="H1" s="83"/>
      <c r="I1" s="82"/>
      <c r="J1" s="83"/>
      <c r="K1" s="82"/>
      <c r="L1" s="84"/>
      <c r="M1" s="82"/>
      <c r="N1" s="87">
        <f>'内訳ﾘｽﾄ(4～3月)'!B2</f>
        <v>25390</v>
      </c>
      <c r="O1" s="79"/>
    </row>
    <row r="2" spans="1:15" ht="14.25" customHeight="1" thickBot="1">
      <c r="B2" s="15" t="str">
        <f>'採算表(VND)'!B2</f>
        <v>施設課</v>
      </c>
      <c r="C2" s="12"/>
      <c r="D2" s="16"/>
      <c r="E2" s="16"/>
      <c r="F2" s="16"/>
      <c r="G2" s="16"/>
      <c r="H2" s="12"/>
      <c r="I2" s="12"/>
      <c r="J2" s="12"/>
      <c r="K2" s="12"/>
      <c r="L2" s="16"/>
      <c r="M2" s="16"/>
      <c r="N2" s="78"/>
      <c r="O2" s="45"/>
    </row>
    <row r="3" spans="1:15" ht="11.25" customHeight="1">
      <c r="C3" s="62"/>
      <c r="D3" s="62"/>
      <c r="E3" s="55"/>
      <c r="F3" s="62"/>
      <c r="G3" s="62"/>
      <c r="H3" s="55"/>
      <c r="I3" s="62"/>
      <c r="J3" s="55"/>
      <c r="K3" s="62"/>
      <c r="L3" s="62"/>
      <c r="M3" s="62"/>
      <c r="N3" s="62"/>
      <c r="O3" s="62"/>
    </row>
    <row r="4" spans="1:15">
      <c r="A4" s="18"/>
      <c r="B4" s="19" t="s">
        <v>71</v>
      </c>
      <c r="C4" s="61">
        <f>'採算表(VND)'!C4</f>
        <v>4</v>
      </c>
      <c r="D4" s="61">
        <f>'採算表(VND)'!D4</f>
        <v>5</v>
      </c>
      <c r="E4" s="61">
        <f>'採算表(VND)'!E4</f>
        <v>6</v>
      </c>
      <c r="F4" s="61">
        <f>'採算表(VND)'!F4</f>
        <v>7</v>
      </c>
      <c r="G4" s="61">
        <f>'採算表(VND)'!G4</f>
        <v>8</v>
      </c>
      <c r="H4" s="61">
        <f>'採算表(VND)'!H4</f>
        <v>9</v>
      </c>
      <c r="I4" s="61">
        <f>'採算表(VND)'!I4</f>
        <v>10</v>
      </c>
      <c r="J4" s="61">
        <f>'採算表(VND)'!J4</f>
        <v>11</v>
      </c>
      <c r="K4" s="61">
        <f>'採算表(VND)'!K4</f>
        <v>12</v>
      </c>
      <c r="L4" s="61">
        <f>'採算表(VND)'!L4</f>
        <v>1</v>
      </c>
      <c r="M4" s="61">
        <f>'採算表(VND)'!M4</f>
        <v>2</v>
      </c>
      <c r="N4" s="61">
        <f>'採算表(VND)'!N4</f>
        <v>3</v>
      </c>
      <c r="O4" s="44" t="str">
        <f>'採算表(VND)'!O4</f>
        <v>合計</v>
      </c>
    </row>
    <row r="5" spans="1:15" ht="11.25" customHeight="1">
      <c r="A5" s="20"/>
      <c r="B5" s="21" t="s">
        <v>72</v>
      </c>
      <c r="C5" s="103">
        <f>C8+C9</f>
        <v>0</v>
      </c>
      <c r="D5" s="103">
        <f t="shared" ref="D5:O5" si="0">D8+D9</f>
        <v>0</v>
      </c>
      <c r="E5" s="103">
        <f t="shared" si="0"/>
        <v>0</v>
      </c>
      <c r="F5" s="103">
        <f t="shared" si="0"/>
        <v>0</v>
      </c>
      <c r="G5" s="103">
        <f t="shared" si="0"/>
        <v>0</v>
      </c>
      <c r="H5" s="103">
        <f t="shared" si="0"/>
        <v>0</v>
      </c>
      <c r="I5" s="103">
        <f t="shared" si="0"/>
        <v>0</v>
      </c>
      <c r="J5" s="103">
        <f t="shared" si="0"/>
        <v>0</v>
      </c>
      <c r="K5" s="103">
        <f t="shared" si="0"/>
        <v>0</v>
      </c>
      <c r="L5" s="103">
        <f t="shared" si="0"/>
        <v>0</v>
      </c>
      <c r="M5" s="103">
        <f t="shared" si="0"/>
        <v>0</v>
      </c>
      <c r="N5" s="103">
        <f t="shared" si="0"/>
        <v>0</v>
      </c>
      <c r="O5" s="103">
        <f t="shared" si="0"/>
        <v>0</v>
      </c>
    </row>
    <row r="6" spans="1:15" ht="11.25" customHeight="1">
      <c r="A6" s="20"/>
      <c r="B6" s="23" t="s">
        <v>141</v>
      </c>
      <c r="C6" s="104">
        <f>ROUNDDOWN('採算表(VND)'!C6/$N$1,2)</f>
        <v>0</v>
      </c>
      <c r="D6" s="104">
        <f>ROUNDDOWN('採算表(VND)'!D6/$N$1,2)</f>
        <v>0</v>
      </c>
      <c r="E6" s="104">
        <f>ROUNDDOWN('採算表(VND)'!E6/$N$1,2)</f>
        <v>0</v>
      </c>
      <c r="F6" s="104">
        <f>ROUNDDOWN('採算表(VND)'!F6/$N$1,2)</f>
        <v>0</v>
      </c>
      <c r="G6" s="104">
        <f>ROUNDDOWN('採算表(VND)'!G6/$N$1,2)</f>
        <v>0</v>
      </c>
      <c r="H6" s="104">
        <f>ROUNDDOWN('採算表(VND)'!H6/$N$1,2)</f>
        <v>0</v>
      </c>
      <c r="I6" s="104">
        <f>ROUNDDOWN('採算表(VND)'!I6/$N$1,2)</f>
        <v>0</v>
      </c>
      <c r="J6" s="104">
        <f>ROUNDDOWN('採算表(VND)'!J6/$N$1,2)</f>
        <v>0</v>
      </c>
      <c r="K6" s="104">
        <f>ROUNDDOWN('採算表(VND)'!K6/$N$1,2)</f>
        <v>0</v>
      </c>
      <c r="L6" s="104">
        <f>ROUNDDOWN('採算表(VND)'!L6/$N$1,2)</f>
        <v>0</v>
      </c>
      <c r="M6" s="104">
        <f>ROUNDDOWN('採算表(VND)'!M6/$N$1,2)</f>
        <v>0</v>
      </c>
      <c r="N6" s="104">
        <f>ROUNDDOWN('採算表(VND)'!N6/$N$1,2)</f>
        <v>0</v>
      </c>
      <c r="O6" s="104">
        <f>SUM(C6:N6)</f>
        <v>0</v>
      </c>
    </row>
    <row r="7" spans="1:15" ht="11.25" customHeight="1">
      <c r="A7" s="20"/>
      <c r="B7" s="24" t="s">
        <v>112</v>
      </c>
      <c r="C7" s="105">
        <f>ROUNDDOWN('採算表(VND)'!C7/$N$1,2)</f>
        <v>0</v>
      </c>
      <c r="D7" s="105">
        <f>ROUNDDOWN('採算表(VND)'!D7/$N$1,2)</f>
        <v>0</v>
      </c>
      <c r="E7" s="105">
        <f>ROUNDDOWN('採算表(VND)'!E7/$N$1,2)</f>
        <v>0</v>
      </c>
      <c r="F7" s="105">
        <f>ROUNDDOWN('採算表(VND)'!F7/$N$1,2)</f>
        <v>0</v>
      </c>
      <c r="G7" s="105">
        <f>ROUNDDOWN('採算表(VND)'!G7/$N$1,2)</f>
        <v>0</v>
      </c>
      <c r="H7" s="105">
        <f>ROUNDDOWN('採算表(VND)'!H7/$N$1,2)</f>
        <v>0</v>
      </c>
      <c r="I7" s="105">
        <f>ROUNDDOWN('採算表(VND)'!I7/$N$1,2)</f>
        <v>0</v>
      </c>
      <c r="J7" s="105">
        <f>ROUNDDOWN('採算表(VND)'!J7/$N$1,2)</f>
        <v>0</v>
      </c>
      <c r="K7" s="105">
        <f>ROUNDDOWN('採算表(VND)'!K7/$N$1,2)</f>
        <v>0</v>
      </c>
      <c r="L7" s="105">
        <f>ROUNDDOWN('採算表(VND)'!L7/$N$1,2)</f>
        <v>0</v>
      </c>
      <c r="M7" s="105">
        <f>ROUNDDOWN('採算表(VND)'!M7/$N$1,2)</f>
        <v>0</v>
      </c>
      <c r="N7" s="105">
        <f>ROUNDDOWN('採算表(VND)'!N7/$N$1,2)</f>
        <v>0</v>
      </c>
      <c r="O7" s="105">
        <f>SUM(C7:N7)</f>
        <v>0</v>
      </c>
    </row>
    <row r="8" spans="1:15" ht="11.25" customHeight="1">
      <c r="A8" s="20"/>
      <c r="B8" s="25" t="s">
        <v>85</v>
      </c>
      <c r="C8" s="106">
        <f t="shared" ref="C8:O8" si="1">C6+C7</f>
        <v>0</v>
      </c>
      <c r="D8" s="106">
        <f t="shared" si="1"/>
        <v>0</v>
      </c>
      <c r="E8" s="106">
        <f t="shared" si="1"/>
        <v>0</v>
      </c>
      <c r="F8" s="106">
        <f t="shared" si="1"/>
        <v>0</v>
      </c>
      <c r="G8" s="106">
        <f t="shared" si="1"/>
        <v>0</v>
      </c>
      <c r="H8" s="106">
        <f t="shared" si="1"/>
        <v>0</v>
      </c>
      <c r="I8" s="106">
        <f t="shared" si="1"/>
        <v>0</v>
      </c>
      <c r="J8" s="106">
        <f t="shared" si="1"/>
        <v>0</v>
      </c>
      <c r="K8" s="106">
        <f t="shared" si="1"/>
        <v>0</v>
      </c>
      <c r="L8" s="106">
        <f t="shared" si="1"/>
        <v>0</v>
      </c>
      <c r="M8" s="106">
        <f t="shared" si="1"/>
        <v>0</v>
      </c>
      <c r="N8" s="106">
        <f t="shared" si="1"/>
        <v>0</v>
      </c>
      <c r="O8" s="106">
        <f t="shared" si="1"/>
        <v>0</v>
      </c>
    </row>
    <row r="9" spans="1:15" ht="11.25" customHeight="1">
      <c r="A9" s="20"/>
      <c r="B9" s="22" t="s">
        <v>73</v>
      </c>
      <c r="C9" s="107">
        <f>ROUNDDOWN('採算表(VND)'!C9/$N$1,2)</f>
        <v>0</v>
      </c>
      <c r="D9" s="107">
        <f>ROUNDDOWN('採算表(VND)'!D9/$N$1,2)</f>
        <v>0</v>
      </c>
      <c r="E9" s="107">
        <f>ROUNDDOWN('採算表(VND)'!E9/$N$1,2)</f>
        <v>0</v>
      </c>
      <c r="F9" s="107">
        <f>ROUNDDOWN('採算表(VND)'!F9/$N$1,2)</f>
        <v>0</v>
      </c>
      <c r="G9" s="107">
        <f>ROUNDDOWN('採算表(VND)'!G9/$N$1,2)</f>
        <v>0</v>
      </c>
      <c r="H9" s="107">
        <f>ROUNDDOWN('採算表(VND)'!H9/$N$1,2)</f>
        <v>0</v>
      </c>
      <c r="I9" s="107">
        <f>ROUNDDOWN('採算表(VND)'!I9/$N$1,2)</f>
        <v>0</v>
      </c>
      <c r="J9" s="107">
        <f>ROUNDDOWN('採算表(VND)'!J9/$N$1,2)</f>
        <v>0</v>
      </c>
      <c r="K9" s="107">
        <f>ROUNDDOWN('採算表(VND)'!K9/$N$1,2)</f>
        <v>0</v>
      </c>
      <c r="L9" s="107">
        <f>ROUNDDOWN('採算表(VND)'!L9/$N$1,2)</f>
        <v>0</v>
      </c>
      <c r="M9" s="107">
        <f>ROUNDDOWN('採算表(VND)'!M9/$N$1,2)</f>
        <v>0</v>
      </c>
      <c r="N9" s="107">
        <f>ROUNDDOWN('採算表(VND)'!N9/$N$1,2)</f>
        <v>0</v>
      </c>
      <c r="O9" s="107">
        <f>SUM(C9:N9)</f>
        <v>0</v>
      </c>
    </row>
    <row r="10" spans="1:15" ht="11.25" customHeight="1">
      <c r="A10" s="20"/>
      <c r="B10" s="22" t="s">
        <v>74</v>
      </c>
      <c r="C10" s="107">
        <f>ROUNDDOWN('採算表(VND)'!C10/$N$1,2)</f>
        <v>0</v>
      </c>
      <c r="D10" s="107">
        <f>ROUNDDOWN('採算表(VND)'!D10/$N$1,2)</f>
        <v>0</v>
      </c>
      <c r="E10" s="107">
        <f>ROUNDDOWN('採算表(VND)'!E10/$N$1,2)</f>
        <v>0</v>
      </c>
      <c r="F10" s="107">
        <f>ROUNDDOWN('採算表(VND)'!F10/$N$1,2)</f>
        <v>0</v>
      </c>
      <c r="G10" s="107">
        <f>ROUNDDOWN('採算表(VND)'!G10/$N$1,2)</f>
        <v>0</v>
      </c>
      <c r="H10" s="107">
        <f>ROUNDDOWN('採算表(VND)'!H10/$N$1,2)</f>
        <v>0</v>
      </c>
      <c r="I10" s="107">
        <f>ROUNDDOWN('採算表(VND)'!I10/$N$1,2)</f>
        <v>0</v>
      </c>
      <c r="J10" s="107">
        <f>ROUNDDOWN('採算表(VND)'!J10/$N$1,2)</f>
        <v>0</v>
      </c>
      <c r="K10" s="107">
        <f>ROUNDDOWN('採算表(VND)'!K10/$N$1,2)</f>
        <v>0</v>
      </c>
      <c r="L10" s="107">
        <f>ROUNDDOWN('採算表(VND)'!L10/$N$1,2)</f>
        <v>0</v>
      </c>
      <c r="M10" s="107">
        <f>ROUNDDOWN('採算表(VND)'!M10/$N$1,2)</f>
        <v>0</v>
      </c>
      <c r="N10" s="107">
        <f>ROUNDDOWN('採算表(VND)'!N10/$N$1,2)</f>
        <v>0</v>
      </c>
      <c r="O10" s="107">
        <f>SUM(C10:N10)</f>
        <v>0</v>
      </c>
    </row>
    <row r="11" spans="1:15" ht="1.5" customHeight="1">
      <c r="A11" s="20"/>
      <c r="B11" s="22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</row>
    <row r="12" spans="1:15" ht="11.25" customHeight="1">
      <c r="A12" s="27"/>
      <c r="B12" s="26" t="s">
        <v>75</v>
      </c>
      <c r="C12" s="108">
        <f>C5-C10</f>
        <v>0</v>
      </c>
      <c r="D12" s="108">
        <f t="shared" ref="D12:O12" si="2">D5-D10</f>
        <v>0</v>
      </c>
      <c r="E12" s="108">
        <f t="shared" si="2"/>
        <v>0</v>
      </c>
      <c r="F12" s="108">
        <f t="shared" si="2"/>
        <v>0</v>
      </c>
      <c r="G12" s="108">
        <f t="shared" si="2"/>
        <v>0</v>
      </c>
      <c r="H12" s="108">
        <f t="shared" si="2"/>
        <v>0</v>
      </c>
      <c r="I12" s="108">
        <f t="shared" si="2"/>
        <v>0</v>
      </c>
      <c r="J12" s="108">
        <f t="shared" si="2"/>
        <v>0</v>
      </c>
      <c r="K12" s="108">
        <f t="shared" si="2"/>
        <v>0</v>
      </c>
      <c r="L12" s="108">
        <f t="shared" si="2"/>
        <v>0</v>
      </c>
      <c r="M12" s="108">
        <f t="shared" si="2"/>
        <v>0</v>
      </c>
      <c r="N12" s="108">
        <f t="shared" si="2"/>
        <v>0</v>
      </c>
      <c r="O12" s="108">
        <f t="shared" si="2"/>
        <v>0</v>
      </c>
    </row>
    <row r="13" spans="1:15" ht="11.25" customHeight="1">
      <c r="A13" s="20"/>
      <c r="B13" s="22" t="s">
        <v>76</v>
      </c>
      <c r="C13" s="107">
        <f>SUM(C14:C65)</f>
        <v>5.0000000046566129E-2</v>
      </c>
      <c r="D13" s="107">
        <f t="shared" ref="D13:O13" si="3">SUM(D14:D65)</f>
        <v>4.9999999988358468E-2</v>
      </c>
      <c r="E13" s="107">
        <f t="shared" si="3"/>
        <v>5.0000000046566129E-2</v>
      </c>
      <c r="F13" s="107">
        <f t="shared" si="3"/>
        <v>2.9999999969732016E-2</v>
      </c>
      <c r="G13" s="107">
        <f t="shared" si="3"/>
        <v>5.9999999997671694E-2</v>
      </c>
      <c r="H13" s="107">
        <f t="shared" si="3"/>
        <v>4.9999999988358468E-2</v>
      </c>
      <c r="I13" s="107">
        <f t="shared" si="3"/>
        <v>4.9999999988358468E-2</v>
      </c>
      <c r="J13" s="107">
        <f t="shared" si="3"/>
        <v>5.9999999997671694E-2</v>
      </c>
      <c r="K13" s="107">
        <f t="shared" si="3"/>
        <v>3.9999999920837581E-2</v>
      </c>
      <c r="L13" s="107">
        <f t="shared" si="3"/>
        <v>3.9999999979045242E-2</v>
      </c>
      <c r="M13" s="107">
        <f t="shared" si="3"/>
        <v>2.9999999998835847E-2</v>
      </c>
      <c r="N13" s="107">
        <f t="shared" si="3"/>
        <v>3.9999999979045242E-2</v>
      </c>
      <c r="O13" s="107">
        <f t="shared" si="3"/>
        <v>0.5499999993480742</v>
      </c>
    </row>
    <row r="14" spans="1:15" ht="11.25" customHeight="1">
      <c r="A14" s="28"/>
      <c r="B14" s="29" t="s">
        <v>101</v>
      </c>
      <c r="C14" s="109">
        <f>ROUNDUP('採算表(VND)'!C14/$N$1,2)</f>
        <v>0</v>
      </c>
      <c r="D14" s="109">
        <f>ROUNDUP('採算表(VND)'!D14/$N$1,2)</f>
        <v>0</v>
      </c>
      <c r="E14" s="109">
        <f>ROUNDUP('採算表(VND)'!E14/$N$1,2)</f>
        <v>0</v>
      </c>
      <c r="F14" s="109">
        <f>ROUNDUP('採算表(VND)'!F14/$N$1,2)</f>
        <v>0</v>
      </c>
      <c r="G14" s="109">
        <f>ROUNDUP('採算表(VND)'!G14/$N$1,2)</f>
        <v>0</v>
      </c>
      <c r="H14" s="109">
        <f>ROUNDUP('採算表(VND)'!H14/$N$1,2)</f>
        <v>0</v>
      </c>
      <c r="I14" s="109">
        <f>ROUNDUP('採算表(VND)'!I14/$N$1,2)</f>
        <v>0</v>
      </c>
      <c r="J14" s="109">
        <f>ROUNDUP('採算表(VND)'!J14/$N$1,2)</f>
        <v>0</v>
      </c>
      <c r="K14" s="109">
        <f>ROUNDUP('採算表(VND)'!K14/$N$1,2)</f>
        <v>0</v>
      </c>
      <c r="L14" s="109">
        <f>ROUNDUP('採算表(VND)'!L14/$N$1,2)</f>
        <v>0</v>
      </c>
      <c r="M14" s="109">
        <f>ROUNDUP('採算表(VND)'!M14/$N$1,2)</f>
        <v>0</v>
      </c>
      <c r="N14" s="109">
        <f>ROUNDUP('採算表(VND)'!N14/$N$1,2)</f>
        <v>0</v>
      </c>
      <c r="O14" s="109">
        <f t="shared" ref="O14:O65" si="4">SUM(C14:N14)</f>
        <v>0</v>
      </c>
    </row>
    <row r="15" spans="1:15" ht="11.25" customHeight="1">
      <c r="A15" s="28"/>
      <c r="B15" s="29" t="s">
        <v>124</v>
      </c>
      <c r="C15" s="109">
        <f>ROUNDUP('採算表(VND)'!C15/$N$1,2)</f>
        <v>0</v>
      </c>
      <c r="D15" s="109">
        <f>ROUNDUP('採算表(VND)'!D15/$N$1,2)</f>
        <v>0</v>
      </c>
      <c r="E15" s="109">
        <f>ROUNDUP('採算表(VND)'!E15/$N$1,2)</f>
        <v>0</v>
      </c>
      <c r="F15" s="109">
        <f>ROUNDUP('採算表(VND)'!F15/$N$1,2)</f>
        <v>0</v>
      </c>
      <c r="G15" s="109">
        <f>ROUNDUP('採算表(VND)'!G15/$N$1,2)</f>
        <v>0</v>
      </c>
      <c r="H15" s="109">
        <f>ROUNDUP('採算表(VND)'!H15/$N$1,2)</f>
        <v>0</v>
      </c>
      <c r="I15" s="109">
        <f>ROUNDUP('採算表(VND)'!I15/$N$1,2)</f>
        <v>0</v>
      </c>
      <c r="J15" s="109">
        <f>ROUNDUP('採算表(VND)'!J15/$N$1,2)</f>
        <v>0</v>
      </c>
      <c r="K15" s="109">
        <f>ROUNDUP('採算表(VND)'!K15/$N$1,2)</f>
        <v>0</v>
      </c>
      <c r="L15" s="109">
        <f>ROUNDUP('採算表(VND)'!L15/$N$1,2)</f>
        <v>0</v>
      </c>
      <c r="M15" s="109">
        <f>ROUNDUP('採算表(VND)'!M15/$N$1,2)</f>
        <v>0</v>
      </c>
      <c r="N15" s="109">
        <f>ROUNDUP('採算表(VND)'!N15/$N$1,2)</f>
        <v>0</v>
      </c>
      <c r="O15" s="109">
        <f t="shared" si="4"/>
        <v>0</v>
      </c>
    </row>
    <row r="16" spans="1:15" ht="11.25" customHeight="1">
      <c r="A16" s="28"/>
      <c r="B16" s="29" t="s">
        <v>120</v>
      </c>
      <c r="C16" s="109">
        <f>ROUNDUP('採算表(VND)'!C16/$N$1,2)</f>
        <v>0</v>
      </c>
      <c r="D16" s="109">
        <f>ROUNDUP('採算表(VND)'!D16/$N$1,2)</f>
        <v>0</v>
      </c>
      <c r="E16" s="109">
        <f>ROUNDUP('採算表(VND)'!E16/$N$1,2)</f>
        <v>0</v>
      </c>
      <c r="F16" s="109">
        <f>ROUNDUP('採算表(VND)'!F16/$N$1,2)</f>
        <v>0</v>
      </c>
      <c r="G16" s="109">
        <f>ROUNDUP('採算表(VND)'!G16/$N$1,2)</f>
        <v>0</v>
      </c>
      <c r="H16" s="109">
        <f>ROUNDUP('採算表(VND)'!H16/$N$1,2)</f>
        <v>0</v>
      </c>
      <c r="I16" s="109">
        <f>ROUNDUP('採算表(VND)'!I16/$N$1,2)</f>
        <v>0</v>
      </c>
      <c r="J16" s="109">
        <f>ROUNDUP('採算表(VND)'!J16/$N$1,2)</f>
        <v>0</v>
      </c>
      <c r="K16" s="109">
        <f>ROUNDUP('採算表(VND)'!K16/$N$1,2)</f>
        <v>0</v>
      </c>
      <c r="L16" s="109">
        <f>ROUNDUP('採算表(VND)'!L16/$N$1,2)</f>
        <v>0</v>
      </c>
      <c r="M16" s="109">
        <f>ROUNDUP('採算表(VND)'!M16/$N$1,2)</f>
        <v>0</v>
      </c>
      <c r="N16" s="109">
        <f>ROUNDUP('採算表(VND)'!N16/$N$1,2)</f>
        <v>0</v>
      </c>
      <c r="O16" s="109">
        <f t="shared" si="4"/>
        <v>0</v>
      </c>
    </row>
    <row r="17" spans="1:15" ht="11.25" customHeight="1">
      <c r="A17" s="28"/>
      <c r="B17" s="30" t="s">
        <v>102</v>
      </c>
      <c r="C17" s="110">
        <f>ROUNDUP('採算表(VND)'!C17/$N$1,2)</f>
        <v>0</v>
      </c>
      <c r="D17" s="110">
        <f>ROUNDUP('採算表(VND)'!D17/$N$1,2)</f>
        <v>0</v>
      </c>
      <c r="E17" s="110">
        <f>ROUNDUP('採算表(VND)'!E17/$N$1,2)</f>
        <v>0</v>
      </c>
      <c r="F17" s="110">
        <f>ROUNDUP('採算表(VND)'!F17/$N$1,2)</f>
        <v>0</v>
      </c>
      <c r="G17" s="110">
        <f>ROUNDUP('採算表(VND)'!G17/$N$1,2)</f>
        <v>0</v>
      </c>
      <c r="H17" s="110">
        <f>ROUNDUP('採算表(VND)'!H17/$N$1,2)</f>
        <v>0</v>
      </c>
      <c r="I17" s="110">
        <f>ROUNDUP('採算表(VND)'!I17/$N$1,2)</f>
        <v>0</v>
      </c>
      <c r="J17" s="110">
        <f>ROUNDUP('採算表(VND)'!J17/$N$1,2)</f>
        <v>0</v>
      </c>
      <c r="K17" s="110">
        <f>ROUNDUP('採算表(VND)'!K17/$N$1,2)</f>
        <v>0</v>
      </c>
      <c r="L17" s="110">
        <f>ROUNDUP('採算表(VND)'!L17/$N$1,2)</f>
        <v>0</v>
      </c>
      <c r="M17" s="110">
        <f>ROUNDUP('採算表(VND)'!M17/$N$1,2)</f>
        <v>0</v>
      </c>
      <c r="N17" s="110">
        <f>ROUNDUP('採算表(VND)'!N17/$N$1,2)</f>
        <v>0</v>
      </c>
      <c r="O17" s="110">
        <f t="shared" si="4"/>
        <v>0</v>
      </c>
    </row>
    <row r="18" spans="1:15" ht="11.25" customHeight="1">
      <c r="A18" s="28"/>
      <c r="B18" s="30" t="s">
        <v>37</v>
      </c>
      <c r="C18" s="110">
        <f>ROUNDUP('採算表(VND)'!C18/$N$1,2)</f>
        <v>0</v>
      </c>
      <c r="D18" s="110">
        <f>ROUNDUP('採算表(VND)'!D18/$N$1,2)</f>
        <v>0</v>
      </c>
      <c r="E18" s="110">
        <f>ROUNDUP('採算表(VND)'!E18/$N$1,2)</f>
        <v>0</v>
      </c>
      <c r="F18" s="110">
        <f>ROUNDUP('採算表(VND)'!F18/$N$1,2)</f>
        <v>0</v>
      </c>
      <c r="G18" s="110">
        <f>ROUNDUP('採算表(VND)'!G18/$N$1,2)</f>
        <v>0</v>
      </c>
      <c r="H18" s="110">
        <f>ROUNDUP('採算表(VND)'!H18/$N$1,2)</f>
        <v>0</v>
      </c>
      <c r="I18" s="110">
        <f>ROUNDUP('採算表(VND)'!I18/$N$1,2)</f>
        <v>0</v>
      </c>
      <c r="J18" s="110">
        <f>ROUNDUP('採算表(VND)'!J18/$N$1,2)</f>
        <v>0</v>
      </c>
      <c r="K18" s="110">
        <f>ROUNDUP('採算表(VND)'!K18/$N$1,2)</f>
        <v>0</v>
      </c>
      <c r="L18" s="110">
        <f>ROUNDUP('採算表(VND)'!L18/$N$1,2)</f>
        <v>0</v>
      </c>
      <c r="M18" s="110">
        <f>ROUNDUP('採算表(VND)'!M18/$N$1,2)</f>
        <v>0</v>
      </c>
      <c r="N18" s="110">
        <f>ROUNDUP('採算表(VND)'!N18/$N$1,2)</f>
        <v>0</v>
      </c>
      <c r="O18" s="110">
        <f t="shared" si="4"/>
        <v>0</v>
      </c>
    </row>
    <row r="19" spans="1:15" ht="11.25" customHeight="1">
      <c r="A19" s="28"/>
      <c r="B19" s="30" t="s">
        <v>43</v>
      </c>
      <c r="C19" s="110">
        <f>ROUNDUP('採算表(VND)'!C19/$N$1,2)</f>
        <v>0</v>
      </c>
      <c r="D19" s="110">
        <f>ROUNDUP('採算表(VND)'!D19/$N$1,2)</f>
        <v>0</v>
      </c>
      <c r="E19" s="110">
        <f>ROUNDUP('採算表(VND)'!E19/$N$1,2)</f>
        <v>0</v>
      </c>
      <c r="F19" s="110">
        <f>ROUNDUP('採算表(VND)'!F19/$N$1,2)</f>
        <v>0</v>
      </c>
      <c r="G19" s="110">
        <f>ROUNDUP('採算表(VND)'!G19/$N$1,2)</f>
        <v>0</v>
      </c>
      <c r="H19" s="110">
        <f>ROUNDUP('採算表(VND)'!H19/$N$1,2)</f>
        <v>0</v>
      </c>
      <c r="I19" s="110">
        <f>ROUNDUP('採算表(VND)'!I19/$N$1,2)</f>
        <v>0</v>
      </c>
      <c r="J19" s="110">
        <f>ROUNDUP('採算表(VND)'!J19/$N$1,2)</f>
        <v>0</v>
      </c>
      <c r="K19" s="110">
        <f>ROUNDUP('採算表(VND)'!K19/$N$1,2)</f>
        <v>0</v>
      </c>
      <c r="L19" s="110">
        <f>ROUNDUP('採算表(VND)'!L19/$N$1,2)</f>
        <v>0</v>
      </c>
      <c r="M19" s="110">
        <f>ROUNDUP('採算表(VND)'!M19/$N$1,2)</f>
        <v>0</v>
      </c>
      <c r="N19" s="110">
        <f>ROUNDUP('採算表(VND)'!N19/$N$1,2)</f>
        <v>0</v>
      </c>
      <c r="O19" s="110">
        <f t="shared" si="4"/>
        <v>0</v>
      </c>
    </row>
    <row r="20" spans="1:15" ht="11.25" customHeight="1">
      <c r="A20" s="28"/>
      <c r="B20" s="30" t="s">
        <v>45</v>
      </c>
      <c r="C20" s="110">
        <f>ROUNDUP('採算表(VND)'!C20/$N$1,2)</f>
        <v>138834.27000000002</v>
      </c>
      <c r="D20" s="110">
        <f>ROUNDUP('採算表(VND)'!D20/$N$1,2)</f>
        <v>142578.75</v>
      </c>
      <c r="E20" s="110">
        <f>ROUNDUP('採算表(VND)'!E20/$N$1,2)</f>
        <v>142624.49000000002</v>
      </c>
      <c r="F20" s="110">
        <f>ROUNDUP('採算表(VND)'!F20/$N$1,2)</f>
        <v>144320.16</v>
      </c>
      <c r="G20" s="110">
        <f>ROUNDUP('採算表(VND)'!G20/$N$1,2)</f>
        <v>144089.01</v>
      </c>
      <c r="H20" s="110">
        <f>ROUNDUP('採算表(VND)'!H20/$N$1,2)</f>
        <v>143669.5</v>
      </c>
      <c r="I20" s="110">
        <f>ROUNDUP('採算表(VND)'!I20/$N$1,2)</f>
        <v>139916.03</v>
      </c>
      <c r="J20" s="110">
        <f>ROUNDUP('採算表(VND)'!J20/$N$1,2)</f>
        <v>139241.17000000001</v>
      </c>
      <c r="K20" s="110">
        <f>ROUNDUP('採算表(VND)'!K20/$N$1,2)</f>
        <v>139227.09</v>
      </c>
      <c r="L20" s="110">
        <f>ROUNDUP('採算表(VND)'!L20/$N$1,2)</f>
        <v>135683.75</v>
      </c>
      <c r="M20" s="110">
        <f>ROUNDUP('採算表(VND)'!M20/$N$1,2)</f>
        <v>134978.63</v>
      </c>
      <c r="N20" s="110">
        <f>ROUNDUP('採算表(VND)'!N20/$N$1,2)</f>
        <v>134978.78</v>
      </c>
      <c r="O20" s="110">
        <f t="shared" si="4"/>
        <v>1680141.6300000001</v>
      </c>
    </row>
    <row r="21" spans="1:15" ht="11.25" customHeight="1">
      <c r="A21" s="28"/>
      <c r="B21" s="30" t="s">
        <v>46</v>
      </c>
      <c r="C21" s="110">
        <f>ROUNDUP('採算表(VND)'!C21/$N$1,2)</f>
        <v>0</v>
      </c>
      <c r="D21" s="110">
        <f>ROUNDUP('採算表(VND)'!D21/$N$1,2)</f>
        <v>0</v>
      </c>
      <c r="E21" s="110">
        <f>ROUNDUP('採算表(VND)'!E21/$N$1,2)</f>
        <v>0</v>
      </c>
      <c r="F21" s="110">
        <f>ROUNDUP('採算表(VND)'!F21/$N$1,2)</f>
        <v>0</v>
      </c>
      <c r="G21" s="110">
        <f>ROUNDUP('採算表(VND)'!G21/$N$1,2)</f>
        <v>0</v>
      </c>
      <c r="H21" s="110">
        <f>ROUNDUP('採算表(VND)'!H21/$N$1,2)</f>
        <v>0</v>
      </c>
      <c r="I21" s="110">
        <f>ROUNDUP('採算表(VND)'!I21/$N$1,2)</f>
        <v>0</v>
      </c>
      <c r="J21" s="110">
        <f>ROUNDUP('採算表(VND)'!J21/$N$1,2)</f>
        <v>0</v>
      </c>
      <c r="K21" s="110">
        <f>ROUNDUP('採算表(VND)'!K21/$N$1,2)</f>
        <v>0</v>
      </c>
      <c r="L21" s="110">
        <f>ROUNDUP('採算表(VND)'!L21/$N$1,2)</f>
        <v>0</v>
      </c>
      <c r="M21" s="110">
        <f>ROUNDUP('採算表(VND)'!M21/$N$1,2)</f>
        <v>0</v>
      </c>
      <c r="N21" s="110">
        <f>ROUNDUP('採算表(VND)'!N21/$N$1,2)</f>
        <v>0</v>
      </c>
      <c r="O21" s="110">
        <f t="shared" si="4"/>
        <v>0</v>
      </c>
    </row>
    <row r="22" spans="1:15" ht="11.25" customHeight="1">
      <c r="A22" s="28"/>
      <c r="B22" s="30" t="s">
        <v>47</v>
      </c>
      <c r="C22" s="110">
        <f>ROUNDUP('採算表(VND)'!C22/$N$1,2)</f>
        <v>0</v>
      </c>
      <c r="D22" s="110">
        <f>ROUNDUP('採算表(VND)'!D22/$N$1,2)</f>
        <v>0</v>
      </c>
      <c r="E22" s="110">
        <f>ROUNDUP('採算表(VND)'!E22/$N$1,2)</f>
        <v>0</v>
      </c>
      <c r="F22" s="110">
        <f>ROUNDUP('採算表(VND)'!F22/$N$1,2)</f>
        <v>0</v>
      </c>
      <c r="G22" s="110">
        <f>ROUNDUP('採算表(VND)'!G22/$N$1,2)</f>
        <v>0</v>
      </c>
      <c r="H22" s="110">
        <f>ROUNDUP('採算表(VND)'!H22/$N$1,2)</f>
        <v>0</v>
      </c>
      <c r="I22" s="110">
        <f>ROUNDUP('採算表(VND)'!I22/$N$1,2)</f>
        <v>0</v>
      </c>
      <c r="J22" s="110">
        <f>ROUNDUP('採算表(VND)'!J22/$N$1,2)</f>
        <v>0</v>
      </c>
      <c r="K22" s="110">
        <f>ROUNDUP('採算表(VND)'!K22/$N$1,2)</f>
        <v>0</v>
      </c>
      <c r="L22" s="110">
        <f>ROUNDUP('採算表(VND)'!L22/$N$1,2)</f>
        <v>0</v>
      </c>
      <c r="M22" s="110">
        <f>ROUNDUP('採算表(VND)'!M22/$N$1,2)</f>
        <v>0</v>
      </c>
      <c r="N22" s="110">
        <f>ROUNDUP('採算表(VND)'!N22/$N$1,2)</f>
        <v>0</v>
      </c>
      <c r="O22" s="110">
        <f t="shared" si="4"/>
        <v>0</v>
      </c>
    </row>
    <row r="23" spans="1:15" ht="11.25" customHeight="1">
      <c r="A23" s="28"/>
      <c r="B23" s="30" t="s">
        <v>49</v>
      </c>
      <c r="C23" s="110">
        <f>ROUNDUP('採算表(VND)'!C23/$N$1,2)</f>
        <v>0</v>
      </c>
      <c r="D23" s="110">
        <f>ROUNDUP('採算表(VND)'!D23/$N$1,2)</f>
        <v>0</v>
      </c>
      <c r="E23" s="110">
        <f>ROUNDUP('採算表(VND)'!E23/$N$1,2)</f>
        <v>0</v>
      </c>
      <c r="F23" s="110">
        <f>ROUNDUP('採算表(VND)'!F23/$N$1,2)</f>
        <v>0</v>
      </c>
      <c r="G23" s="110">
        <f>ROUNDUP('採算表(VND)'!G23/$N$1,2)</f>
        <v>0</v>
      </c>
      <c r="H23" s="110">
        <f>ROUNDUP('採算表(VND)'!H23/$N$1,2)</f>
        <v>0</v>
      </c>
      <c r="I23" s="110">
        <f>ROUNDUP('採算表(VND)'!I23/$N$1,2)</f>
        <v>0</v>
      </c>
      <c r="J23" s="110">
        <f>ROUNDUP('採算表(VND)'!J23/$N$1,2)</f>
        <v>0</v>
      </c>
      <c r="K23" s="110">
        <f>ROUNDUP('採算表(VND)'!K23/$N$1,2)</f>
        <v>0</v>
      </c>
      <c r="L23" s="110">
        <f>ROUNDUP('採算表(VND)'!L23/$N$1,2)</f>
        <v>0</v>
      </c>
      <c r="M23" s="110">
        <f>ROUNDUP('採算表(VND)'!M23/$N$1,2)</f>
        <v>0</v>
      </c>
      <c r="N23" s="110">
        <f>ROUNDUP('採算表(VND)'!N23/$N$1,2)</f>
        <v>0</v>
      </c>
      <c r="O23" s="110">
        <f t="shared" si="4"/>
        <v>0</v>
      </c>
    </row>
    <row r="24" spans="1:15" ht="11.25" customHeight="1">
      <c r="A24" s="28"/>
      <c r="B24" s="30" t="s">
        <v>52</v>
      </c>
      <c r="C24" s="110">
        <f>ROUNDUP('採算表(VND)'!C24/$N$1,2)</f>
        <v>0</v>
      </c>
      <c r="D24" s="110">
        <f>ROUNDUP('採算表(VND)'!D24/$N$1,2)</f>
        <v>0</v>
      </c>
      <c r="E24" s="110">
        <f>ROUNDUP('採算表(VND)'!E24/$N$1,2)</f>
        <v>0</v>
      </c>
      <c r="F24" s="110">
        <f>ROUNDUP('採算表(VND)'!F24/$N$1,2)</f>
        <v>0</v>
      </c>
      <c r="G24" s="110">
        <f>ROUNDUP('採算表(VND)'!G24/$N$1,2)</f>
        <v>0</v>
      </c>
      <c r="H24" s="110">
        <f>ROUNDUP('採算表(VND)'!H24/$N$1,2)</f>
        <v>0</v>
      </c>
      <c r="I24" s="110">
        <f>ROUNDUP('採算表(VND)'!I24/$N$1,2)</f>
        <v>0</v>
      </c>
      <c r="J24" s="110">
        <f>ROUNDUP('採算表(VND)'!J24/$N$1,2)</f>
        <v>0</v>
      </c>
      <c r="K24" s="110">
        <f>ROUNDUP('採算表(VND)'!K24/$N$1,2)</f>
        <v>0</v>
      </c>
      <c r="L24" s="110">
        <f>ROUNDUP('採算表(VND)'!L24/$N$1,2)</f>
        <v>0</v>
      </c>
      <c r="M24" s="110">
        <f>ROUNDUP('採算表(VND)'!M24/$N$1,2)</f>
        <v>0</v>
      </c>
      <c r="N24" s="110">
        <f>ROUNDUP('採算表(VND)'!N24/$N$1,2)</f>
        <v>0</v>
      </c>
      <c r="O24" s="110">
        <f t="shared" si="4"/>
        <v>0</v>
      </c>
    </row>
    <row r="25" spans="1:15" ht="11.25" customHeight="1">
      <c r="A25" s="28"/>
      <c r="B25" s="30" t="s">
        <v>55</v>
      </c>
      <c r="C25" s="110">
        <f>ROUNDUP('採算表(VND)'!C25/$N$1,2)</f>
        <v>928.06999999999994</v>
      </c>
      <c r="D25" s="110">
        <f>ROUNDUP('採算表(VND)'!D25/$N$1,2)</f>
        <v>837.5</v>
      </c>
      <c r="E25" s="110">
        <f>ROUNDUP('採算表(VND)'!E25/$N$1,2)</f>
        <v>995.98</v>
      </c>
      <c r="F25" s="110">
        <f>ROUNDUP('採算表(VND)'!F25/$N$1,2)</f>
        <v>9022.2000000000007</v>
      </c>
      <c r="G25" s="110">
        <f>ROUNDUP('採算表(VND)'!G25/$N$1,2)</f>
        <v>928.04</v>
      </c>
      <c r="H25" s="110">
        <f>ROUNDUP('採算表(VND)'!H25/$N$1,2)</f>
        <v>790.09</v>
      </c>
      <c r="I25" s="110">
        <f>ROUNDUP('採算表(VND)'!I25/$N$1,2)</f>
        <v>929.56</v>
      </c>
      <c r="J25" s="110">
        <f>ROUNDUP('採算表(VND)'!J25/$N$1,2)</f>
        <v>790.61</v>
      </c>
      <c r="K25" s="110">
        <f>ROUNDUP('採算表(VND)'!K25/$N$1,2)</f>
        <v>929.08</v>
      </c>
      <c r="L25" s="110">
        <f>ROUNDUP('採算表(VND)'!L25/$N$1,2)</f>
        <v>813.06</v>
      </c>
      <c r="M25" s="110">
        <f>ROUNDUP('採算表(VND)'!M25/$N$1,2)</f>
        <v>925.56999999999994</v>
      </c>
      <c r="N25" s="110">
        <f>ROUNDUP('採算表(VND)'!N25/$N$1,2)</f>
        <v>837.87</v>
      </c>
      <c r="O25" s="110">
        <f t="shared" si="4"/>
        <v>18727.63</v>
      </c>
    </row>
    <row r="26" spans="1:15" ht="11.25" customHeight="1">
      <c r="A26" s="28"/>
      <c r="B26" s="31" t="s">
        <v>104</v>
      </c>
      <c r="C26" s="110">
        <f>ROUNDUP('採算表(VND)'!C26/$N$1,2)</f>
        <v>866.49</v>
      </c>
      <c r="D26" s="110">
        <f>ROUNDUP('採算表(VND)'!D26/$N$1,2)</f>
        <v>866.49</v>
      </c>
      <c r="E26" s="110">
        <f>ROUNDUP('採算表(VND)'!E26/$N$1,2)</f>
        <v>866.49</v>
      </c>
      <c r="F26" s="110">
        <f>ROUNDUP('採算表(VND)'!F26/$N$1,2)</f>
        <v>866.49</v>
      </c>
      <c r="G26" s="110">
        <f>ROUNDUP('採算表(VND)'!G26/$N$1,2)</f>
        <v>866.49</v>
      </c>
      <c r="H26" s="110">
        <f>ROUNDUP('採算表(VND)'!H26/$N$1,2)</f>
        <v>866.49</v>
      </c>
      <c r="I26" s="110">
        <f>ROUNDUP('採算表(VND)'!I26/$N$1,2)</f>
        <v>866.49</v>
      </c>
      <c r="J26" s="110">
        <f>ROUNDUP('採算表(VND)'!J26/$N$1,2)</f>
        <v>866.49</v>
      </c>
      <c r="K26" s="110">
        <f>ROUNDUP('採算表(VND)'!K26/$N$1,2)</f>
        <v>0</v>
      </c>
      <c r="L26" s="110">
        <f>ROUNDUP('採算表(VND)'!L26/$N$1,2)</f>
        <v>0</v>
      </c>
      <c r="M26" s="110">
        <f>ROUNDUP('採算表(VND)'!M26/$N$1,2)</f>
        <v>0</v>
      </c>
      <c r="N26" s="110">
        <f>ROUNDUP('採算表(VND)'!N26/$N$1,2)</f>
        <v>0</v>
      </c>
      <c r="O26" s="110">
        <f t="shared" si="4"/>
        <v>6931.9199999999992</v>
      </c>
    </row>
    <row r="27" spans="1:15" ht="11.25" customHeight="1">
      <c r="A27" s="28"/>
      <c r="B27" s="31" t="s">
        <v>54</v>
      </c>
      <c r="C27" s="110">
        <f>ROUNDUP('採算表(VND)'!C27/$N$1,2)</f>
        <v>0</v>
      </c>
      <c r="D27" s="110">
        <f>ROUNDUP('採算表(VND)'!D27/$N$1,2)</f>
        <v>0</v>
      </c>
      <c r="E27" s="110">
        <f>ROUNDUP('採算表(VND)'!E27/$N$1,2)</f>
        <v>0</v>
      </c>
      <c r="F27" s="110">
        <f>ROUNDUP('採算表(VND)'!F27/$N$1,2)</f>
        <v>0</v>
      </c>
      <c r="G27" s="110">
        <f>ROUNDUP('採算表(VND)'!G27/$N$1,2)</f>
        <v>0</v>
      </c>
      <c r="H27" s="110">
        <f>ROUNDUP('採算表(VND)'!H27/$N$1,2)</f>
        <v>0</v>
      </c>
      <c r="I27" s="110">
        <f>ROUNDUP('採算表(VND)'!I27/$N$1,2)</f>
        <v>0</v>
      </c>
      <c r="J27" s="110">
        <f>ROUNDUP('採算表(VND)'!J27/$N$1,2)</f>
        <v>0</v>
      </c>
      <c r="K27" s="110">
        <f>ROUNDUP('採算表(VND)'!K27/$N$1,2)</f>
        <v>0</v>
      </c>
      <c r="L27" s="110">
        <f>ROUNDUP('採算表(VND)'!L27/$N$1,2)</f>
        <v>0</v>
      </c>
      <c r="M27" s="110">
        <f>ROUNDUP('採算表(VND)'!M27/$N$1,2)</f>
        <v>0</v>
      </c>
      <c r="N27" s="110">
        <f>ROUNDUP('採算表(VND)'!N27/$N$1,2)</f>
        <v>0</v>
      </c>
      <c r="O27" s="110">
        <f t="shared" si="4"/>
        <v>0</v>
      </c>
    </row>
    <row r="28" spans="1:15" ht="11.25" customHeight="1">
      <c r="A28" s="28"/>
      <c r="B28" s="31" t="s">
        <v>56</v>
      </c>
      <c r="C28" s="110">
        <f>ROUNDUP('採算表(VND)'!C28/$N$1,2)</f>
        <v>0</v>
      </c>
      <c r="D28" s="110">
        <f>ROUNDUP('採算表(VND)'!D28/$N$1,2)</f>
        <v>0</v>
      </c>
      <c r="E28" s="110">
        <f>ROUNDUP('採算表(VND)'!E28/$N$1,2)</f>
        <v>0</v>
      </c>
      <c r="F28" s="110">
        <f>ROUNDUP('採算表(VND)'!F28/$N$1,2)</f>
        <v>0</v>
      </c>
      <c r="G28" s="110">
        <f>ROUNDUP('採算表(VND)'!G28/$N$1,2)</f>
        <v>0</v>
      </c>
      <c r="H28" s="110">
        <f>ROUNDUP('採算表(VND)'!H28/$N$1,2)</f>
        <v>0</v>
      </c>
      <c r="I28" s="110">
        <f>ROUNDUP('採算表(VND)'!I28/$N$1,2)</f>
        <v>0</v>
      </c>
      <c r="J28" s="110">
        <f>ROUNDUP('採算表(VND)'!J28/$N$1,2)</f>
        <v>0</v>
      </c>
      <c r="K28" s="110">
        <f>ROUNDUP('採算表(VND)'!K28/$N$1,2)</f>
        <v>0</v>
      </c>
      <c r="L28" s="110">
        <f>ROUNDUP('採算表(VND)'!L28/$N$1,2)</f>
        <v>0</v>
      </c>
      <c r="M28" s="110">
        <f>ROUNDUP('採算表(VND)'!M28/$N$1,2)</f>
        <v>0</v>
      </c>
      <c r="N28" s="110">
        <f>ROUNDUP('採算表(VND)'!N28/$N$1,2)</f>
        <v>0</v>
      </c>
      <c r="O28" s="110">
        <f t="shared" si="4"/>
        <v>0</v>
      </c>
    </row>
    <row r="29" spans="1:15" ht="11.25" customHeight="1">
      <c r="A29" s="28"/>
      <c r="B29" s="31" t="s">
        <v>57</v>
      </c>
      <c r="C29" s="110">
        <f>ROUNDUP('採算表(VND)'!C29/$N$1,2)</f>
        <v>0</v>
      </c>
      <c r="D29" s="110">
        <f>ROUNDUP('採算表(VND)'!D29/$N$1,2)</f>
        <v>0</v>
      </c>
      <c r="E29" s="110">
        <f>ROUNDUP('採算表(VND)'!E29/$N$1,2)</f>
        <v>0</v>
      </c>
      <c r="F29" s="110">
        <f>ROUNDUP('採算表(VND)'!F29/$N$1,2)</f>
        <v>0</v>
      </c>
      <c r="G29" s="110">
        <f>ROUNDUP('採算表(VND)'!G29/$N$1,2)</f>
        <v>0</v>
      </c>
      <c r="H29" s="110">
        <f>ROUNDUP('採算表(VND)'!H29/$N$1,2)</f>
        <v>0</v>
      </c>
      <c r="I29" s="110">
        <f>ROUNDUP('採算表(VND)'!I29/$N$1,2)</f>
        <v>0</v>
      </c>
      <c r="J29" s="110">
        <f>ROUNDUP('採算表(VND)'!J29/$N$1,2)</f>
        <v>0</v>
      </c>
      <c r="K29" s="110">
        <f>ROUNDUP('採算表(VND)'!K29/$N$1,2)</f>
        <v>0</v>
      </c>
      <c r="L29" s="110">
        <f>ROUNDUP('採算表(VND)'!L29/$N$1,2)</f>
        <v>0</v>
      </c>
      <c r="M29" s="110">
        <f>ROUNDUP('採算表(VND)'!M29/$N$1,2)</f>
        <v>0</v>
      </c>
      <c r="N29" s="110">
        <f>ROUNDUP('採算表(VND)'!N29/$N$1,2)</f>
        <v>0</v>
      </c>
      <c r="O29" s="110">
        <f t="shared" si="4"/>
        <v>0</v>
      </c>
    </row>
    <row r="30" spans="1:15" ht="11.25" customHeight="1">
      <c r="A30" s="28"/>
      <c r="B30" s="31" t="s">
        <v>97</v>
      </c>
      <c r="C30" s="110">
        <f>ROUNDUP('採算表(VND)'!C30/$N$1,2)</f>
        <v>3980.4700000000003</v>
      </c>
      <c r="D30" s="110">
        <f>ROUNDUP('採算表(VND)'!D30/$N$1,2)</f>
        <v>4071.4300000000003</v>
      </c>
      <c r="E30" s="110">
        <f>ROUNDUP('採算表(VND)'!E30/$N$1,2)</f>
        <v>5117.6000000000004</v>
      </c>
      <c r="F30" s="110">
        <f>ROUNDUP('採算表(VND)'!F30/$N$1,2)</f>
        <v>5517.52</v>
      </c>
      <c r="G30" s="110">
        <f>ROUNDUP('採算表(VND)'!G30/$N$1,2)</f>
        <v>5707.14</v>
      </c>
      <c r="H30" s="110">
        <f>ROUNDUP('採算表(VND)'!H30/$N$1,2)</f>
        <v>5233.05</v>
      </c>
      <c r="I30" s="110">
        <f>ROUNDUP('採算表(VND)'!I30/$N$1,2)</f>
        <v>5275.34</v>
      </c>
      <c r="J30" s="110">
        <f>ROUNDUP('採算表(VND)'!J30/$N$1,2)</f>
        <v>4726.2300000000005</v>
      </c>
      <c r="K30" s="110">
        <f>ROUNDUP('採算表(VND)'!K30/$N$1,2)</f>
        <v>4532.74</v>
      </c>
      <c r="L30" s="110">
        <f>ROUNDUP('採算表(VND)'!L30/$N$1,2)</f>
        <v>3973.17</v>
      </c>
      <c r="M30" s="110">
        <f>ROUNDUP('採算表(VND)'!M30/$N$1,2)</f>
        <v>3997.1800000000003</v>
      </c>
      <c r="N30" s="110">
        <f>ROUNDUP('採算表(VND)'!N30/$N$1,2)</f>
        <v>3157.5400000000004</v>
      </c>
      <c r="O30" s="110">
        <f t="shared" si="4"/>
        <v>55289.41</v>
      </c>
    </row>
    <row r="31" spans="1:15" ht="11.25" customHeight="1">
      <c r="A31" s="28"/>
      <c r="B31" s="31" t="s">
        <v>59</v>
      </c>
      <c r="C31" s="110">
        <f>ROUNDUP('採算表(VND)'!C31/$N$1,2)</f>
        <v>101063.29</v>
      </c>
      <c r="D31" s="110">
        <f>ROUNDUP('採算表(VND)'!D31/$N$1,2)</f>
        <v>282226.34000000003</v>
      </c>
      <c r="E31" s="110">
        <f>ROUNDUP('採算表(VND)'!E31/$N$1,2)</f>
        <v>198632.61000000002</v>
      </c>
      <c r="F31" s="110">
        <f>ROUNDUP('採算表(VND)'!F31/$N$1,2)</f>
        <v>191666.08000000002</v>
      </c>
      <c r="G31" s="110">
        <f>ROUNDUP('採算表(VND)'!G31/$N$1,2)</f>
        <v>79193.459999999992</v>
      </c>
      <c r="H31" s="110">
        <f>ROUNDUP('採算表(VND)'!H31/$N$1,2)</f>
        <v>37797.440000000002</v>
      </c>
      <c r="I31" s="110">
        <f>ROUNDUP('採算表(VND)'!I31/$N$1,2)</f>
        <v>50570.420000000006</v>
      </c>
      <c r="J31" s="110">
        <f>ROUNDUP('採算表(VND)'!J31/$N$1,2)</f>
        <v>117866.36</v>
      </c>
      <c r="K31" s="110">
        <f>ROUNDUP('採算表(VND)'!K31/$N$1,2)</f>
        <v>102708.65999999999</v>
      </c>
      <c r="L31" s="110">
        <f>ROUNDUP('採算表(VND)'!L31/$N$1,2)</f>
        <v>62087.51</v>
      </c>
      <c r="M31" s="110">
        <f>ROUNDUP('採算表(VND)'!M31/$N$1,2)</f>
        <v>21820.12</v>
      </c>
      <c r="N31" s="110">
        <f>ROUNDUP('採算表(VND)'!N31/$N$1,2)</f>
        <v>29851</v>
      </c>
      <c r="O31" s="110">
        <f t="shared" si="4"/>
        <v>1275483.29</v>
      </c>
    </row>
    <row r="32" spans="1:15" ht="11.25" customHeight="1">
      <c r="A32" s="32"/>
      <c r="B32" s="31" t="s">
        <v>61</v>
      </c>
      <c r="C32" s="110">
        <f>ROUNDUP('採算表(VND)'!C32/$N$1,2)</f>
        <v>0</v>
      </c>
      <c r="D32" s="110">
        <f>ROUNDUP('採算表(VND)'!D32/$N$1,2)</f>
        <v>0</v>
      </c>
      <c r="E32" s="110">
        <f>ROUNDUP('採算表(VND)'!E32/$N$1,2)</f>
        <v>0</v>
      </c>
      <c r="F32" s="110">
        <f>ROUNDUP('採算表(VND)'!F32/$N$1,2)</f>
        <v>0</v>
      </c>
      <c r="G32" s="110">
        <f>ROUNDUP('採算表(VND)'!G32/$N$1,2)</f>
        <v>0</v>
      </c>
      <c r="H32" s="110">
        <f>ROUNDUP('採算表(VND)'!H32/$N$1,2)</f>
        <v>0</v>
      </c>
      <c r="I32" s="110">
        <f>ROUNDUP('採算表(VND)'!I32/$N$1,2)</f>
        <v>0</v>
      </c>
      <c r="J32" s="110">
        <f>ROUNDUP('採算表(VND)'!J32/$N$1,2)</f>
        <v>0</v>
      </c>
      <c r="K32" s="110">
        <f>ROUNDUP('採算表(VND)'!K32/$N$1,2)</f>
        <v>0</v>
      </c>
      <c r="L32" s="110">
        <f>ROUNDUP('採算表(VND)'!L32/$N$1,2)</f>
        <v>0</v>
      </c>
      <c r="M32" s="110">
        <f>ROUNDUP('採算表(VND)'!M32/$N$1,2)</f>
        <v>0</v>
      </c>
      <c r="N32" s="110">
        <f>ROUNDUP('採算表(VND)'!N32/$N$1,2)</f>
        <v>0</v>
      </c>
      <c r="O32" s="110">
        <f t="shared" si="4"/>
        <v>0</v>
      </c>
    </row>
    <row r="33" spans="1:15" ht="11.25" customHeight="1">
      <c r="A33" s="32"/>
      <c r="B33" s="31" t="s">
        <v>60</v>
      </c>
      <c r="C33" s="110">
        <f>ROUNDUP('採算表(VND)'!C33/$N$1,2)</f>
        <v>0</v>
      </c>
      <c r="D33" s="110">
        <f>ROUNDUP('採算表(VND)'!D33/$N$1,2)</f>
        <v>0</v>
      </c>
      <c r="E33" s="110">
        <f>ROUNDUP('採算表(VND)'!E33/$N$1,2)</f>
        <v>0</v>
      </c>
      <c r="F33" s="110">
        <f>ROUNDUP('採算表(VND)'!F33/$N$1,2)</f>
        <v>0</v>
      </c>
      <c r="G33" s="110">
        <f>ROUNDUP('採算表(VND)'!G33/$N$1,2)</f>
        <v>0</v>
      </c>
      <c r="H33" s="110">
        <f>ROUNDUP('採算表(VND)'!H33/$N$1,2)</f>
        <v>0</v>
      </c>
      <c r="I33" s="110">
        <f>ROUNDUP('採算表(VND)'!I33/$N$1,2)</f>
        <v>0</v>
      </c>
      <c r="J33" s="110">
        <f>ROUNDUP('採算表(VND)'!J33/$N$1,2)</f>
        <v>0</v>
      </c>
      <c r="K33" s="110">
        <f>ROUNDUP('採算表(VND)'!K33/$N$1,2)</f>
        <v>0</v>
      </c>
      <c r="L33" s="110">
        <f>ROUNDUP('採算表(VND)'!L33/$N$1,2)</f>
        <v>0</v>
      </c>
      <c r="M33" s="110">
        <f>ROUNDUP('採算表(VND)'!M33/$N$1,2)</f>
        <v>0</v>
      </c>
      <c r="N33" s="110">
        <f>ROUNDUP('採算表(VND)'!N33/$N$1,2)</f>
        <v>0</v>
      </c>
      <c r="O33" s="110">
        <f t="shared" si="4"/>
        <v>0</v>
      </c>
    </row>
    <row r="34" spans="1:15" ht="11.25" customHeight="1">
      <c r="A34" s="32"/>
      <c r="B34" s="31" t="s">
        <v>65</v>
      </c>
      <c r="C34" s="110">
        <f>ROUNDUP('採算表(VND)'!C34/$N$1,2)</f>
        <v>0</v>
      </c>
      <c r="D34" s="110">
        <f>ROUNDUP('採算表(VND)'!D34/$N$1,2)</f>
        <v>0</v>
      </c>
      <c r="E34" s="110">
        <f>ROUNDUP('採算表(VND)'!E34/$N$1,2)</f>
        <v>0</v>
      </c>
      <c r="F34" s="110">
        <f>ROUNDUP('採算表(VND)'!F34/$N$1,2)</f>
        <v>0</v>
      </c>
      <c r="G34" s="110">
        <f>ROUNDUP('採算表(VND)'!G34/$N$1,2)</f>
        <v>0</v>
      </c>
      <c r="H34" s="110">
        <f>ROUNDUP('採算表(VND)'!H34/$N$1,2)</f>
        <v>0</v>
      </c>
      <c r="I34" s="110">
        <f>ROUNDUP('採算表(VND)'!I34/$N$1,2)</f>
        <v>0</v>
      </c>
      <c r="J34" s="110">
        <f>ROUNDUP('採算表(VND)'!J34/$N$1,2)</f>
        <v>0</v>
      </c>
      <c r="K34" s="110">
        <f>ROUNDUP('採算表(VND)'!K34/$N$1,2)</f>
        <v>0</v>
      </c>
      <c r="L34" s="110">
        <f>ROUNDUP('採算表(VND)'!L34/$N$1,2)</f>
        <v>0</v>
      </c>
      <c r="M34" s="110">
        <f>ROUNDUP('採算表(VND)'!M34/$N$1,2)</f>
        <v>0</v>
      </c>
      <c r="N34" s="110">
        <f>ROUNDUP('採算表(VND)'!N34/$N$1,2)</f>
        <v>0</v>
      </c>
      <c r="O34" s="110">
        <f t="shared" si="4"/>
        <v>0</v>
      </c>
    </row>
    <row r="35" spans="1:15" ht="11.25" customHeight="1">
      <c r="A35" s="32"/>
      <c r="B35" s="31" t="s">
        <v>44</v>
      </c>
      <c r="C35" s="110">
        <f>ROUNDUP('採算表(VND)'!C35/$N$1,2)</f>
        <v>0</v>
      </c>
      <c r="D35" s="110">
        <f>ROUNDUP('採算表(VND)'!D35/$N$1,2)</f>
        <v>0</v>
      </c>
      <c r="E35" s="110">
        <f>ROUNDUP('採算表(VND)'!E35/$N$1,2)</f>
        <v>0</v>
      </c>
      <c r="F35" s="110">
        <f>ROUNDUP('採算表(VND)'!F35/$N$1,2)</f>
        <v>0</v>
      </c>
      <c r="G35" s="110">
        <f>ROUNDUP('採算表(VND)'!G35/$N$1,2)</f>
        <v>0</v>
      </c>
      <c r="H35" s="110">
        <f>ROUNDUP('採算表(VND)'!H35/$N$1,2)</f>
        <v>0</v>
      </c>
      <c r="I35" s="110">
        <f>ROUNDUP('採算表(VND)'!I35/$N$1,2)</f>
        <v>0</v>
      </c>
      <c r="J35" s="110">
        <f>ROUNDUP('採算表(VND)'!J35/$N$1,2)</f>
        <v>0</v>
      </c>
      <c r="K35" s="110">
        <f>ROUNDUP('採算表(VND)'!K35/$N$1,2)</f>
        <v>0</v>
      </c>
      <c r="L35" s="110">
        <f>ROUNDUP('採算表(VND)'!L35/$N$1,2)</f>
        <v>0</v>
      </c>
      <c r="M35" s="110">
        <f>ROUNDUP('採算表(VND)'!M35/$N$1,2)</f>
        <v>0</v>
      </c>
      <c r="N35" s="110">
        <f>ROUNDUP('採算表(VND)'!N35/$N$1,2)</f>
        <v>0</v>
      </c>
      <c r="O35" s="110">
        <f t="shared" si="4"/>
        <v>0</v>
      </c>
    </row>
    <row r="36" spans="1:15" ht="11.25" customHeight="1">
      <c r="A36" s="32"/>
      <c r="B36" s="31" t="s">
        <v>63</v>
      </c>
      <c r="C36" s="110">
        <f>ROUNDUP('採算表(VND)'!C36/$N$1,2)</f>
        <v>0</v>
      </c>
      <c r="D36" s="110">
        <f>ROUNDUP('採算表(VND)'!D36/$N$1,2)</f>
        <v>0</v>
      </c>
      <c r="E36" s="110">
        <f>ROUNDUP('採算表(VND)'!E36/$N$1,2)</f>
        <v>0</v>
      </c>
      <c r="F36" s="110">
        <f>ROUNDUP('採算表(VND)'!F36/$N$1,2)</f>
        <v>0</v>
      </c>
      <c r="G36" s="110">
        <f>ROUNDUP('採算表(VND)'!G36/$N$1,2)</f>
        <v>0</v>
      </c>
      <c r="H36" s="110">
        <f>ROUNDUP('採算表(VND)'!H36/$N$1,2)</f>
        <v>0</v>
      </c>
      <c r="I36" s="110">
        <f>ROUNDUP('採算表(VND)'!I36/$N$1,2)</f>
        <v>0</v>
      </c>
      <c r="J36" s="110">
        <f>ROUNDUP('採算表(VND)'!J36/$N$1,2)</f>
        <v>0</v>
      </c>
      <c r="K36" s="110">
        <f>ROUNDUP('採算表(VND)'!K36/$N$1,2)</f>
        <v>0</v>
      </c>
      <c r="L36" s="110">
        <f>ROUNDUP('採算表(VND)'!L36/$N$1,2)</f>
        <v>0</v>
      </c>
      <c r="M36" s="110">
        <f>ROUNDUP('採算表(VND)'!M36/$N$1,2)</f>
        <v>0</v>
      </c>
      <c r="N36" s="110">
        <f>ROUNDUP('採算表(VND)'!N36/$N$1,2)</f>
        <v>0</v>
      </c>
      <c r="O36" s="110">
        <f t="shared" si="4"/>
        <v>0</v>
      </c>
    </row>
    <row r="37" spans="1:15" ht="11.25" customHeight="1">
      <c r="A37" s="32"/>
      <c r="B37" s="31" t="s">
        <v>41</v>
      </c>
      <c r="C37" s="110">
        <f>ROUNDUP('採算表(VND)'!C37/$N$1,2)</f>
        <v>0</v>
      </c>
      <c r="D37" s="110">
        <f>ROUNDUP('採算表(VND)'!D37/$N$1,2)</f>
        <v>0</v>
      </c>
      <c r="E37" s="110">
        <f>ROUNDUP('採算表(VND)'!E37/$N$1,2)</f>
        <v>0</v>
      </c>
      <c r="F37" s="110">
        <f>ROUNDUP('採算表(VND)'!F37/$N$1,2)</f>
        <v>0</v>
      </c>
      <c r="G37" s="110">
        <f>ROUNDUP('採算表(VND)'!G37/$N$1,2)</f>
        <v>0</v>
      </c>
      <c r="H37" s="110">
        <f>ROUNDUP('採算表(VND)'!H37/$N$1,2)</f>
        <v>0</v>
      </c>
      <c r="I37" s="110">
        <f>ROUNDUP('採算表(VND)'!I37/$N$1,2)</f>
        <v>0</v>
      </c>
      <c r="J37" s="110">
        <f>ROUNDUP('採算表(VND)'!J37/$N$1,2)</f>
        <v>0</v>
      </c>
      <c r="K37" s="110">
        <f>ROUNDUP('採算表(VND)'!K37/$N$1,2)</f>
        <v>0</v>
      </c>
      <c r="L37" s="110">
        <f>ROUNDUP('採算表(VND)'!L37/$N$1,2)</f>
        <v>0</v>
      </c>
      <c r="M37" s="110">
        <f>ROUNDUP('採算表(VND)'!M37/$N$1,2)</f>
        <v>0</v>
      </c>
      <c r="N37" s="110">
        <f>ROUNDUP('採算表(VND)'!N37/$N$1,2)</f>
        <v>0</v>
      </c>
      <c r="O37" s="110">
        <f t="shared" si="4"/>
        <v>0</v>
      </c>
    </row>
    <row r="38" spans="1:15" ht="11.25" customHeight="1">
      <c r="A38" s="32"/>
      <c r="B38" s="31" t="s">
        <v>48</v>
      </c>
      <c r="C38" s="110">
        <f>ROUNDUP('採算表(VND)'!C38/$N$1,2)</f>
        <v>0</v>
      </c>
      <c r="D38" s="110">
        <f>ROUNDUP('採算表(VND)'!D38/$N$1,2)</f>
        <v>0</v>
      </c>
      <c r="E38" s="110">
        <f>ROUNDUP('採算表(VND)'!E38/$N$1,2)</f>
        <v>0</v>
      </c>
      <c r="F38" s="110">
        <f>ROUNDUP('採算表(VND)'!F38/$N$1,2)</f>
        <v>0</v>
      </c>
      <c r="G38" s="110">
        <f>ROUNDUP('採算表(VND)'!G38/$N$1,2)</f>
        <v>0</v>
      </c>
      <c r="H38" s="110">
        <f>ROUNDUP('採算表(VND)'!H38/$N$1,2)</f>
        <v>0</v>
      </c>
      <c r="I38" s="110">
        <f>ROUNDUP('採算表(VND)'!I38/$N$1,2)</f>
        <v>0</v>
      </c>
      <c r="J38" s="110">
        <f>ROUNDUP('採算表(VND)'!J38/$N$1,2)</f>
        <v>0</v>
      </c>
      <c r="K38" s="110">
        <f>ROUNDUP('採算表(VND)'!K38/$N$1,2)</f>
        <v>0</v>
      </c>
      <c r="L38" s="110">
        <f>ROUNDUP('採算表(VND)'!L38/$N$1,2)</f>
        <v>0</v>
      </c>
      <c r="M38" s="110">
        <f>ROUNDUP('採算表(VND)'!M38/$N$1,2)</f>
        <v>0</v>
      </c>
      <c r="N38" s="110">
        <f>ROUNDUP('採算表(VND)'!N38/$N$1,2)</f>
        <v>0</v>
      </c>
      <c r="O38" s="110">
        <f t="shared" si="4"/>
        <v>0</v>
      </c>
    </row>
    <row r="39" spans="1:15" ht="11.25" customHeight="1">
      <c r="A39" s="32"/>
      <c r="B39" s="31" t="s">
        <v>50</v>
      </c>
      <c r="C39" s="110">
        <f>ROUNDUP('採算表(VND)'!C39/$N$1,2)</f>
        <v>45367.82</v>
      </c>
      <c r="D39" s="110">
        <f>ROUNDUP('採算表(VND)'!D39/$N$1,2)</f>
        <v>1744.41</v>
      </c>
      <c r="E39" s="110">
        <f>ROUNDUP('採算表(VND)'!E39/$N$1,2)</f>
        <v>3596.4900000000002</v>
      </c>
      <c r="F39" s="110">
        <f>ROUNDUP('採算表(VND)'!F39/$N$1,2)</f>
        <v>44696.639999999999</v>
      </c>
      <c r="G39" s="110">
        <f>ROUNDUP('採算表(VND)'!G39/$N$1,2)</f>
        <v>2411.4500000000003</v>
      </c>
      <c r="H39" s="110">
        <f>ROUNDUP('採算表(VND)'!H39/$N$1,2)</f>
        <v>2922.19</v>
      </c>
      <c r="I39" s="110">
        <f>ROUNDUP('採算表(VND)'!I39/$N$1,2)</f>
        <v>45874.97</v>
      </c>
      <c r="J39" s="110">
        <f>ROUNDUP('採算表(VND)'!J39/$N$1,2)</f>
        <v>1739.11</v>
      </c>
      <c r="K39" s="110">
        <f>ROUNDUP('採算表(VND)'!K39/$N$1,2)</f>
        <v>3590.3</v>
      </c>
      <c r="L39" s="110">
        <f>ROUNDUP('採算表(VND)'!L39/$N$1,2)</f>
        <v>44692.05</v>
      </c>
      <c r="M39" s="110">
        <f>ROUNDUP('採算表(VND)'!M39/$N$1,2)</f>
        <v>2406.3000000000002</v>
      </c>
      <c r="N39" s="110">
        <f>ROUNDUP('採算表(VND)'!N39/$N$1,2)</f>
        <v>2919.4</v>
      </c>
      <c r="O39" s="110">
        <f t="shared" si="4"/>
        <v>201961.12999999998</v>
      </c>
    </row>
    <row r="40" spans="1:15" ht="11.25" customHeight="1">
      <c r="A40" s="32"/>
      <c r="B40" s="31" t="s">
        <v>51</v>
      </c>
      <c r="C40" s="110">
        <f>ROUNDUP('採算表(VND)'!C40/$N$1,2)</f>
        <v>0</v>
      </c>
      <c r="D40" s="110">
        <f>ROUNDUP('採算表(VND)'!D40/$N$1,2)</f>
        <v>0</v>
      </c>
      <c r="E40" s="110">
        <f>ROUNDUP('採算表(VND)'!E40/$N$1,2)</f>
        <v>0</v>
      </c>
      <c r="F40" s="110">
        <f>ROUNDUP('採算表(VND)'!F40/$N$1,2)</f>
        <v>0</v>
      </c>
      <c r="G40" s="110">
        <f>ROUNDUP('採算表(VND)'!G40/$N$1,2)</f>
        <v>0</v>
      </c>
      <c r="H40" s="110">
        <f>ROUNDUP('採算表(VND)'!H40/$N$1,2)</f>
        <v>0</v>
      </c>
      <c r="I40" s="110">
        <f>ROUNDUP('採算表(VND)'!I40/$N$1,2)</f>
        <v>0</v>
      </c>
      <c r="J40" s="110">
        <f>ROUNDUP('採算表(VND)'!J40/$N$1,2)</f>
        <v>0</v>
      </c>
      <c r="K40" s="110">
        <f>ROUNDUP('採算表(VND)'!K40/$N$1,2)</f>
        <v>0</v>
      </c>
      <c r="L40" s="110">
        <f>ROUNDUP('採算表(VND)'!L40/$N$1,2)</f>
        <v>0</v>
      </c>
      <c r="M40" s="110">
        <f>ROUNDUP('採算表(VND)'!M40/$N$1,2)</f>
        <v>0</v>
      </c>
      <c r="N40" s="110">
        <f>ROUNDUP('採算表(VND)'!N40/$N$1,2)</f>
        <v>0</v>
      </c>
      <c r="O40" s="110">
        <f t="shared" si="4"/>
        <v>0</v>
      </c>
    </row>
    <row r="41" spans="1:15" ht="11.25" customHeight="1">
      <c r="A41" s="32"/>
      <c r="B41" s="31" t="s">
        <v>58</v>
      </c>
      <c r="C41" s="110">
        <f>ROUNDUP('採算表(VND)'!C41/$N$1,2)</f>
        <v>229.37</v>
      </c>
      <c r="D41" s="110">
        <f>ROUNDUP('採算表(VND)'!D41/$N$1,2)</f>
        <v>229.37</v>
      </c>
      <c r="E41" s="110">
        <f>ROUNDUP('採算表(VND)'!E41/$N$1,2)</f>
        <v>229.37</v>
      </c>
      <c r="F41" s="110">
        <f>ROUNDUP('採算表(VND)'!F41/$N$1,2)</f>
        <v>229.37</v>
      </c>
      <c r="G41" s="110">
        <f>ROUNDUP('採算表(VND)'!G41/$N$1,2)</f>
        <v>229.37</v>
      </c>
      <c r="H41" s="110">
        <f>ROUNDUP('採算表(VND)'!H41/$N$1,2)</f>
        <v>229.37</v>
      </c>
      <c r="I41" s="110">
        <f>ROUNDUP('採算表(VND)'!I41/$N$1,2)</f>
        <v>768.95</v>
      </c>
      <c r="J41" s="110">
        <f>ROUNDUP('採算表(VND)'!J41/$N$1,2)</f>
        <v>229.37</v>
      </c>
      <c r="K41" s="110">
        <f>ROUNDUP('採算表(VND)'!K41/$N$1,2)</f>
        <v>229.37</v>
      </c>
      <c r="L41" s="110">
        <f>ROUNDUP('採算表(VND)'!L41/$N$1,2)</f>
        <v>229.37</v>
      </c>
      <c r="M41" s="110">
        <f>ROUNDUP('採算表(VND)'!M41/$N$1,2)</f>
        <v>229.37</v>
      </c>
      <c r="N41" s="110">
        <f>ROUNDUP('採算表(VND)'!N41/$N$1,2)</f>
        <v>229.37</v>
      </c>
      <c r="O41" s="110">
        <f t="shared" si="4"/>
        <v>3292.0199999999995</v>
      </c>
    </row>
    <row r="42" spans="1:15" ht="11.25" customHeight="1">
      <c r="A42" s="32"/>
      <c r="B42" s="31" t="s">
        <v>98</v>
      </c>
      <c r="C42" s="110">
        <f>ROUNDUP('採算表(VND)'!C42/$N$1,2)</f>
        <v>126.06</v>
      </c>
      <c r="D42" s="110">
        <f>ROUNDUP('採算表(VND)'!D42/$N$1,2)</f>
        <v>126.06</v>
      </c>
      <c r="E42" s="110">
        <f>ROUNDUP('採算表(VND)'!E42/$N$1,2)</f>
        <v>126.06</v>
      </c>
      <c r="F42" s="110">
        <f>ROUNDUP('採算表(VND)'!F42/$N$1,2)</f>
        <v>126.06</v>
      </c>
      <c r="G42" s="110">
        <f>ROUNDUP('採算表(VND)'!G42/$N$1,2)</f>
        <v>126.06</v>
      </c>
      <c r="H42" s="110">
        <f>ROUNDUP('採算表(VND)'!H42/$N$1,2)</f>
        <v>126.06</v>
      </c>
      <c r="I42" s="110">
        <f>ROUNDUP('採算表(VND)'!I42/$N$1,2)</f>
        <v>129.37</v>
      </c>
      <c r="J42" s="110">
        <f>ROUNDUP('採算表(VND)'!J42/$N$1,2)</f>
        <v>126.51</v>
      </c>
      <c r="K42" s="110">
        <f>ROUNDUP('採算表(VND)'!K42/$N$1,2)</f>
        <v>126.06</v>
      </c>
      <c r="L42" s="110">
        <f>ROUNDUP('採算表(VND)'!L42/$N$1,2)</f>
        <v>126.06</v>
      </c>
      <c r="M42" s="110">
        <f>ROUNDUP('採算表(VND)'!M42/$N$1,2)</f>
        <v>126.06</v>
      </c>
      <c r="N42" s="110">
        <f>ROUNDUP('採算表(VND)'!N42/$N$1,2)</f>
        <v>126.06</v>
      </c>
      <c r="O42" s="110">
        <f t="shared" si="4"/>
        <v>1516.4799999999998</v>
      </c>
    </row>
    <row r="43" spans="1:15" ht="11.25" customHeight="1">
      <c r="A43" s="32"/>
      <c r="B43" s="31" t="s">
        <v>99</v>
      </c>
      <c r="C43" s="110">
        <f>ROUNDUP('採算表(VND)'!C43/$N$1,2)</f>
        <v>0</v>
      </c>
      <c r="D43" s="110">
        <f>ROUNDUP('採算表(VND)'!D43/$N$1,2)</f>
        <v>0</v>
      </c>
      <c r="E43" s="110">
        <f>ROUNDUP('採算表(VND)'!E43/$N$1,2)</f>
        <v>0</v>
      </c>
      <c r="F43" s="110">
        <f>ROUNDUP('採算表(VND)'!F43/$N$1,2)</f>
        <v>0</v>
      </c>
      <c r="G43" s="110">
        <f>ROUNDUP('採算表(VND)'!G43/$N$1,2)</f>
        <v>0</v>
      </c>
      <c r="H43" s="110">
        <f>ROUNDUP('採算表(VND)'!H43/$N$1,2)</f>
        <v>0</v>
      </c>
      <c r="I43" s="110">
        <f>ROUNDUP('採算表(VND)'!I43/$N$1,2)</f>
        <v>0</v>
      </c>
      <c r="J43" s="110">
        <f>ROUNDUP('採算表(VND)'!J43/$N$1,2)</f>
        <v>0</v>
      </c>
      <c r="K43" s="110">
        <f>ROUNDUP('採算表(VND)'!K43/$N$1,2)</f>
        <v>0</v>
      </c>
      <c r="L43" s="110">
        <f>ROUNDUP('採算表(VND)'!L43/$N$1,2)</f>
        <v>0</v>
      </c>
      <c r="M43" s="110">
        <f>ROUNDUP('採算表(VND)'!M43/$N$1,2)</f>
        <v>0</v>
      </c>
      <c r="N43" s="110">
        <f>ROUNDUP('採算表(VND)'!N43/$N$1,2)</f>
        <v>0</v>
      </c>
      <c r="O43" s="110">
        <f t="shared" si="4"/>
        <v>0</v>
      </c>
    </row>
    <row r="44" spans="1:15" ht="11.25" customHeight="1">
      <c r="A44" s="32"/>
      <c r="B44" s="31" t="s">
        <v>42</v>
      </c>
      <c r="C44" s="110">
        <f>ROUNDUP('採算表(VND)'!C44/$N$1,2)</f>
        <v>114.71000000000001</v>
      </c>
      <c r="D44" s="110">
        <f>ROUNDUP('採算表(VND)'!D44/$N$1,2)</f>
        <v>1283.8399999999999</v>
      </c>
      <c r="E44" s="110">
        <f>ROUNDUP('採算表(VND)'!E44/$N$1,2)</f>
        <v>111.74000000000001</v>
      </c>
      <c r="F44" s="110">
        <f>ROUNDUP('採算表(VND)'!F44/$N$1,2)</f>
        <v>172.31</v>
      </c>
      <c r="G44" s="110">
        <f>ROUNDUP('採算表(VND)'!G44/$N$1,2)</f>
        <v>137.95999999999998</v>
      </c>
      <c r="H44" s="110">
        <f>ROUNDUP('採算表(VND)'!H44/$N$1,2)</f>
        <v>234.39</v>
      </c>
      <c r="I44" s="110">
        <f>ROUNDUP('採算表(VND)'!I44/$N$1,2)</f>
        <v>137.82999999999998</v>
      </c>
      <c r="J44" s="110">
        <f>ROUNDUP('採算表(VND)'!J44/$N$1,2)</f>
        <v>186.26999999999998</v>
      </c>
      <c r="K44" s="110">
        <f>ROUNDUP('採算表(VND)'!K44/$N$1,2)</f>
        <v>233.1</v>
      </c>
      <c r="L44" s="110">
        <f>ROUNDUP('採算表(VND)'!L44/$N$1,2)</f>
        <v>121.46000000000001</v>
      </c>
      <c r="M44" s="110">
        <f>ROUNDUP('採算表(VND)'!M44/$N$1,2)</f>
        <v>160.29</v>
      </c>
      <c r="N44" s="110">
        <f>ROUNDUP('採算表(VND)'!N44/$N$1,2)</f>
        <v>273.95</v>
      </c>
      <c r="O44" s="110">
        <f t="shared" si="4"/>
        <v>3167.8499999999995</v>
      </c>
    </row>
    <row r="45" spans="1:15" ht="11.25" customHeight="1">
      <c r="A45" s="32"/>
      <c r="B45" s="31" t="s">
        <v>115</v>
      </c>
      <c r="C45" s="110">
        <f>ROUNDUP('採算表(VND)'!C45/$N$1,2)</f>
        <v>0</v>
      </c>
      <c r="D45" s="110">
        <f>ROUNDUP('採算表(VND)'!D45/$N$1,2)</f>
        <v>0</v>
      </c>
      <c r="E45" s="110">
        <f>ROUNDUP('採算表(VND)'!E45/$N$1,2)</f>
        <v>0</v>
      </c>
      <c r="F45" s="110">
        <f>ROUNDUP('採算表(VND)'!F45/$N$1,2)</f>
        <v>0</v>
      </c>
      <c r="G45" s="110">
        <f>ROUNDUP('採算表(VND)'!G45/$N$1,2)</f>
        <v>0</v>
      </c>
      <c r="H45" s="110">
        <f>ROUNDUP('採算表(VND)'!H45/$N$1,2)</f>
        <v>0</v>
      </c>
      <c r="I45" s="110">
        <f>ROUNDUP('採算表(VND)'!I45/$N$1,2)</f>
        <v>0</v>
      </c>
      <c r="J45" s="110">
        <f>ROUNDUP('採算表(VND)'!J45/$N$1,2)</f>
        <v>0</v>
      </c>
      <c r="K45" s="110">
        <f>ROUNDUP('採算表(VND)'!K45/$N$1,2)</f>
        <v>0</v>
      </c>
      <c r="L45" s="110">
        <f>ROUNDUP('採算表(VND)'!L45/$N$1,2)</f>
        <v>0</v>
      </c>
      <c r="M45" s="110">
        <f>ROUNDUP('採算表(VND)'!M45/$N$1,2)</f>
        <v>0</v>
      </c>
      <c r="N45" s="110">
        <f>ROUNDUP('採算表(VND)'!N45/$N$1,2)</f>
        <v>0</v>
      </c>
      <c r="O45" s="110">
        <f t="shared" si="4"/>
        <v>0</v>
      </c>
    </row>
    <row r="46" spans="1:15" ht="11.25" customHeight="1">
      <c r="A46" s="32"/>
      <c r="B46" s="31" t="s">
        <v>116</v>
      </c>
      <c r="C46" s="110">
        <f>ROUNDUP('採算表(VND)'!C46/$N$1,2)</f>
        <v>0</v>
      </c>
      <c r="D46" s="110">
        <f>ROUNDUP('採算表(VND)'!D46/$N$1,2)</f>
        <v>0</v>
      </c>
      <c r="E46" s="110">
        <f>ROUNDUP('採算表(VND)'!E46/$N$1,2)</f>
        <v>0</v>
      </c>
      <c r="F46" s="110">
        <f>ROUNDUP('採算表(VND)'!F46/$N$1,2)</f>
        <v>0</v>
      </c>
      <c r="G46" s="110">
        <f>ROUNDUP('採算表(VND)'!G46/$N$1,2)</f>
        <v>0</v>
      </c>
      <c r="H46" s="110">
        <f>ROUNDUP('採算表(VND)'!H46/$N$1,2)</f>
        <v>0</v>
      </c>
      <c r="I46" s="110">
        <f>ROUNDUP('採算表(VND)'!I46/$N$1,2)</f>
        <v>0</v>
      </c>
      <c r="J46" s="110">
        <f>ROUNDUP('採算表(VND)'!J46/$N$1,2)</f>
        <v>0</v>
      </c>
      <c r="K46" s="110">
        <f>ROUNDUP('採算表(VND)'!K46/$N$1,2)</f>
        <v>0</v>
      </c>
      <c r="L46" s="110">
        <f>ROUNDUP('採算表(VND)'!L46/$N$1,2)</f>
        <v>0</v>
      </c>
      <c r="M46" s="110">
        <f>ROUNDUP('採算表(VND)'!M46/$N$1,2)</f>
        <v>0</v>
      </c>
      <c r="N46" s="110">
        <f>ROUNDUP('採算表(VND)'!N46/$N$1,2)</f>
        <v>0</v>
      </c>
      <c r="O46" s="110">
        <f t="shared" si="4"/>
        <v>0</v>
      </c>
    </row>
    <row r="47" spans="1:15" ht="11.25" customHeight="1">
      <c r="A47" s="32"/>
      <c r="B47" s="31" t="s">
        <v>117</v>
      </c>
      <c r="C47" s="110">
        <f>ROUNDUP('採算表(VND)'!C47/$N$1,2)</f>
        <v>0</v>
      </c>
      <c r="D47" s="110">
        <f>ROUNDUP('採算表(VND)'!D47/$N$1,2)</f>
        <v>0</v>
      </c>
      <c r="E47" s="110">
        <f>ROUNDUP('採算表(VND)'!E47/$N$1,2)</f>
        <v>0</v>
      </c>
      <c r="F47" s="110">
        <f>ROUNDUP('採算表(VND)'!F47/$N$1,2)</f>
        <v>0</v>
      </c>
      <c r="G47" s="110">
        <f>ROUNDUP('採算表(VND)'!G47/$N$1,2)</f>
        <v>0</v>
      </c>
      <c r="H47" s="110">
        <f>ROUNDUP('採算表(VND)'!H47/$N$1,2)</f>
        <v>0</v>
      </c>
      <c r="I47" s="110">
        <f>ROUNDUP('採算表(VND)'!I47/$N$1,2)</f>
        <v>0</v>
      </c>
      <c r="J47" s="110">
        <f>ROUNDUP('採算表(VND)'!J47/$N$1,2)</f>
        <v>0</v>
      </c>
      <c r="K47" s="110">
        <f>ROUNDUP('採算表(VND)'!K47/$N$1,2)</f>
        <v>0</v>
      </c>
      <c r="L47" s="110">
        <f>ROUNDUP('採算表(VND)'!L47/$N$1,2)</f>
        <v>0</v>
      </c>
      <c r="M47" s="110">
        <f>ROUNDUP('採算表(VND)'!M47/$N$1,2)</f>
        <v>0</v>
      </c>
      <c r="N47" s="110">
        <f>ROUNDUP('採算表(VND)'!N47/$N$1,2)</f>
        <v>0</v>
      </c>
      <c r="O47" s="110">
        <f t="shared" si="4"/>
        <v>0</v>
      </c>
    </row>
    <row r="48" spans="1:15" ht="11.25" customHeight="1">
      <c r="A48" s="32"/>
      <c r="B48" s="31" t="s">
        <v>53</v>
      </c>
      <c r="C48" s="110">
        <f>ROUNDUP('採算表(VND)'!C48/$N$1,2)</f>
        <v>0</v>
      </c>
      <c r="D48" s="110">
        <f>ROUNDUP('採算表(VND)'!D48/$N$1,2)</f>
        <v>0</v>
      </c>
      <c r="E48" s="110">
        <f>ROUNDUP('採算表(VND)'!E48/$N$1,2)</f>
        <v>0</v>
      </c>
      <c r="F48" s="110">
        <f>ROUNDUP('採算表(VND)'!F48/$N$1,2)</f>
        <v>0</v>
      </c>
      <c r="G48" s="110">
        <f>ROUNDUP('採算表(VND)'!G48/$N$1,2)</f>
        <v>0</v>
      </c>
      <c r="H48" s="110">
        <f>ROUNDUP('採算表(VND)'!H48/$N$1,2)</f>
        <v>0</v>
      </c>
      <c r="I48" s="110">
        <f>ROUNDUP('採算表(VND)'!I48/$N$1,2)</f>
        <v>0</v>
      </c>
      <c r="J48" s="110">
        <f>ROUNDUP('採算表(VND)'!J48/$N$1,2)</f>
        <v>0</v>
      </c>
      <c r="K48" s="110">
        <f>ROUNDUP('採算表(VND)'!K48/$N$1,2)</f>
        <v>0</v>
      </c>
      <c r="L48" s="110">
        <f>ROUNDUP('採算表(VND)'!L48/$N$1,2)</f>
        <v>0</v>
      </c>
      <c r="M48" s="110">
        <f>ROUNDUP('採算表(VND)'!M48/$N$1,2)</f>
        <v>0</v>
      </c>
      <c r="N48" s="110">
        <f>ROUNDUP('採算表(VND)'!N48/$N$1,2)</f>
        <v>0</v>
      </c>
      <c r="O48" s="110">
        <f t="shared" si="4"/>
        <v>0</v>
      </c>
    </row>
    <row r="49" spans="1:15" ht="11.25" customHeight="1">
      <c r="A49" s="32"/>
      <c r="B49" s="39" t="s">
        <v>64</v>
      </c>
      <c r="C49" s="111">
        <f>ROUNDUP('採算表(VND)'!C49/$N$1,2)</f>
        <v>0</v>
      </c>
      <c r="D49" s="111">
        <f>ROUNDUP('採算表(VND)'!D49/$N$1,2)</f>
        <v>0</v>
      </c>
      <c r="E49" s="111">
        <f>ROUNDUP('採算表(VND)'!E49/$N$1,2)</f>
        <v>0</v>
      </c>
      <c r="F49" s="111">
        <f>ROUNDUP('採算表(VND)'!F49/$N$1,2)</f>
        <v>0</v>
      </c>
      <c r="G49" s="111">
        <f>ROUNDUP('採算表(VND)'!G49/$N$1,2)</f>
        <v>0</v>
      </c>
      <c r="H49" s="111">
        <f>ROUNDUP('採算表(VND)'!H49/$N$1,2)</f>
        <v>0</v>
      </c>
      <c r="I49" s="111">
        <f>ROUNDUP('採算表(VND)'!I49/$N$1,2)</f>
        <v>0</v>
      </c>
      <c r="J49" s="111">
        <f>ROUNDUP('採算表(VND)'!J49/$N$1,2)</f>
        <v>0</v>
      </c>
      <c r="K49" s="111">
        <f>ROUNDUP('採算表(VND)'!K49/$N$1,2)</f>
        <v>0</v>
      </c>
      <c r="L49" s="111">
        <f>ROUNDUP('採算表(VND)'!L49/$N$1,2)</f>
        <v>0</v>
      </c>
      <c r="M49" s="111">
        <f>ROUNDUP('採算表(VND)'!M49/$N$1,2)</f>
        <v>0</v>
      </c>
      <c r="N49" s="111">
        <f>ROUNDUP('採算表(VND)'!N49/$N$1,2)</f>
        <v>0</v>
      </c>
      <c r="O49" s="111">
        <f t="shared" si="4"/>
        <v>0</v>
      </c>
    </row>
    <row r="50" spans="1:15" ht="11.25" customHeight="1">
      <c r="A50" s="32"/>
      <c r="B50" s="33" t="s">
        <v>62</v>
      </c>
      <c r="C50" s="112">
        <f>ROUNDUP('採算表(VND)'!C50/$N$1,2)</f>
        <v>0</v>
      </c>
      <c r="D50" s="112">
        <f>ROUNDUP('採算表(VND)'!D50/$N$1,2)</f>
        <v>0</v>
      </c>
      <c r="E50" s="112">
        <f>ROUNDUP('採算表(VND)'!E50/$N$1,2)</f>
        <v>0</v>
      </c>
      <c r="F50" s="112">
        <f>ROUNDUP('採算表(VND)'!F50/$N$1,2)</f>
        <v>0</v>
      </c>
      <c r="G50" s="112">
        <f>ROUNDUP('採算表(VND)'!G50/$N$1,2)</f>
        <v>0</v>
      </c>
      <c r="H50" s="112">
        <f>ROUNDUP('採算表(VND)'!H50/$N$1,2)</f>
        <v>0</v>
      </c>
      <c r="I50" s="112">
        <f>ROUNDUP('採算表(VND)'!I50/$N$1,2)</f>
        <v>0</v>
      </c>
      <c r="J50" s="112">
        <f>ROUNDUP('採算表(VND)'!J50/$N$1,2)</f>
        <v>0</v>
      </c>
      <c r="K50" s="112">
        <f>ROUNDUP('採算表(VND)'!K50/$N$1,2)</f>
        <v>0</v>
      </c>
      <c r="L50" s="112">
        <f>ROUNDUP('採算表(VND)'!L50/$N$1,2)</f>
        <v>0</v>
      </c>
      <c r="M50" s="112">
        <f>ROUNDUP('採算表(VND)'!M50/$N$1,2)</f>
        <v>0</v>
      </c>
      <c r="N50" s="112">
        <f>ROUNDUP('採算表(VND)'!N50/$N$1,2)</f>
        <v>0</v>
      </c>
      <c r="O50" s="112">
        <f t="shared" si="4"/>
        <v>0</v>
      </c>
    </row>
    <row r="51" spans="1:15" ht="11.25" customHeight="1">
      <c r="A51" s="32"/>
      <c r="B51" s="33" t="s">
        <v>105</v>
      </c>
      <c r="C51" s="112">
        <f>ROUNDUP('採算表(VND)'!C51/$N$1,2)</f>
        <v>0</v>
      </c>
      <c r="D51" s="112">
        <f>ROUNDUP('採算表(VND)'!D51/$N$1,2)</f>
        <v>0</v>
      </c>
      <c r="E51" s="112">
        <f>ROUNDUP('採算表(VND)'!E51/$N$1,2)</f>
        <v>0</v>
      </c>
      <c r="F51" s="112">
        <f>ROUNDUP('採算表(VND)'!F51/$N$1,2)</f>
        <v>0</v>
      </c>
      <c r="G51" s="112">
        <f>ROUNDUP('採算表(VND)'!G51/$N$1,2)</f>
        <v>0</v>
      </c>
      <c r="H51" s="112">
        <f>ROUNDUP('採算表(VND)'!H51/$N$1,2)</f>
        <v>0</v>
      </c>
      <c r="I51" s="112">
        <f>ROUNDUP('採算表(VND)'!I51/$N$1,2)</f>
        <v>0</v>
      </c>
      <c r="J51" s="112">
        <f>ROUNDUP('採算表(VND)'!J51/$N$1,2)</f>
        <v>0</v>
      </c>
      <c r="K51" s="112">
        <f>ROUNDUP('採算表(VND)'!K51/$N$1,2)</f>
        <v>0</v>
      </c>
      <c r="L51" s="112">
        <f>ROUNDUP('採算表(VND)'!L51/$N$1,2)</f>
        <v>0</v>
      </c>
      <c r="M51" s="112">
        <f>ROUNDUP('採算表(VND)'!M51/$N$1,2)</f>
        <v>0</v>
      </c>
      <c r="N51" s="112">
        <f>ROUNDUP('採算表(VND)'!N51/$N$1,2)</f>
        <v>0</v>
      </c>
      <c r="O51" s="112">
        <f t="shared" si="4"/>
        <v>0</v>
      </c>
    </row>
    <row r="52" spans="1:15" ht="11.25" customHeight="1">
      <c r="A52" s="32"/>
      <c r="B52" s="31" t="s">
        <v>118</v>
      </c>
      <c r="C52" s="113">
        <f>ROUNDUP('採算表(VND)'!C52/$N$1,2)</f>
        <v>0</v>
      </c>
      <c r="D52" s="113">
        <f>ROUNDUP('採算表(VND)'!D52/$N$1,2)</f>
        <v>0</v>
      </c>
      <c r="E52" s="113">
        <f>ROUNDUP('採算表(VND)'!E52/$N$1,2)</f>
        <v>0</v>
      </c>
      <c r="F52" s="113">
        <f>ROUNDUP('採算表(VND)'!F52/$N$1,2)</f>
        <v>0</v>
      </c>
      <c r="G52" s="113">
        <f>ROUNDUP('採算表(VND)'!G52/$N$1,2)</f>
        <v>0</v>
      </c>
      <c r="H52" s="113">
        <f>ROUNDUP('採算表(VND)'!H52/$N$1,2)</f>
        <v>0</v>
      </c>
      <c r="I52" s="113">
        <f>ROUNDUP('採算表(VND)'!I52/$N$1,2)</f>
        <v>0</v>
      </c>
      <c r="J52" s="113">
        <f>ROUNDUP('採算表(VND)'!J52/$N$1,2)</f>
        <v>0</v>
      </c>
      <c r="K52" s="113">
        <f>ROUNDUP('採算表(VND)'!K52/$N$1,2)</f>
        <v>0</v>
      </c>
      <c r="L52" s="113">
        <f>ROUNDUP('採算表(VND)'!L52/$N$1,2)</f>
        <v>0</v>
      </c>
      <c r="M52" s="113">
        <f>ROUNDUP('採算表(VND)'!M52/$N$1,2)</f>
        <v>0</v>
      </c>
      <c r="N52" s="113">
        <f>ROUNDUP('採算表(VND)'!N52/$N$1,2)</f>
        <v>0</v>
      </c>
      <c r="O52" s="113">
        <f t="shared" si="4"/>
        <v>0</v>
      </c>
    </row>
    <row r="53" spans="1:15" ht="11.25" customHeight="1">
      <c r="A53" s="32"/>
      <c r="B53" s="31" t="s">
        <v>119</v>
      </c>
      <c r="C53" s="113">
        <f>ROUNDUP('採算表(VND)'!C53/$N$1,2)</f>
        <v>0</v>
      </c>
      <c r="D53" s="113">
        <f>ROUNDUP('採算表(VND)'!D53/$N$1,2)</f>
        <v>0</v>
      </c>
      <c r="E53" s="113">
        <f>ROUNDUP('採算表(VND)'!E53/$N$1,2)</f>
        <v>0</v>
      </c>
      <c r="F53" s="113">
        <f>ROUNDUP('採算表(VND)'!F53/$N$1,2)</f>
        <v>0</v>
      </c>
      <c r="G53" s="113">
        <f>ROUNDUP('採算表(VND)'!G53/$N$1,2)</f>
        <v>0</v>
      </c>
      <c r="H53" s="113">
        <f>ROUNDUP('採算表(VND)'!H53/$N$1,2)</f>
        <v>0</v>
      </c>
      <c r="I53" s="113">
        <f>ROUNDUP('採算表(VND)'!I53/$N$1,2)</f>
        <v>0</v>
      </c>
      <c r="J53" s="113">
        <f>ROUNDUP('採算表(VND)'!J53/$N$1,2)</f>
        <v>0</v>
      </c>
      <c r="K53" s="113">
        <f>ROUNDUP('採算表(VND)'!K53/$N$1,2)</f>
        <v>0</v>
      </c>
      <c r="L53" s="113">
        <f>ROUNDUP('採算表(VND)'!L53/$N$1,2)</f>
        <v>0</v>
      </c>
      <c r="M53" s="113">
        <f>ROUNDUP('採算表(VND)'!M53/$N$1,2)</f>
        <v>0</v>
      </c>
      <c r="N53" s="113">
        <f>ROUNDUP('採算表(VND)'!N53/$N$1,2)</f>
        <v>0</v>
      </c>
      <c r="O53" s="113">
        <f t="shared" si="4"/>
        <v>0</v>
      </c>
    </row>
    <row r="54" spans="1:15" ht="11.25" customHeight="1">
      <c r="A54" s="32"/>
      <c r="B54" s="31" t="s">
        <v>100</v>
      </c>
      <c r="C54" s="113">
        <f>ROUNDUP('採算表(VND)'!C54/$N$1,2)</f>
        <v>0</v>
      </c>
      <c r="D54" s="113">
        <f>ROUNDUP('採算表(VND)'!D54/$N$1,2)</f>
        <v>0</v>
      </c>
      <c r="E54" s="113">
        <f>ROUNDUP('採算表(VND)'!E54/$N$1,2)</f>
        <v>0</v>
      </c>
      <c r="F54" s="113">
        <f>ROUNDUP('採算表(VND)'!F54/$N$1,2)</f>
        <v>0</v>
      </c>
      <c r="G54" s="113">
        <f>ROUNDUP('採算表(VND)'!G54/$N$1,2)</f>
        <v>0</v>
      </c>
      <c r="H54" s="113">
        <f>ROUNDUP('採算表(VND)'!H54/$N$1,2)</f>
        <v>0</v>
      </c>
      <c r="I54" s="113">
        <f>ROUNDUP('採算表(VND)'!I54/$N$1,2)</f>
        <v>0</v>
      </c>
      <c r="J54" s="113">
        <f>ROUNDUP('採算表(VND)'!J54/$N$1,2)</f>
        <v>0</v>
      </c>
      <c r="K54" s="113">
        <f>ROUNDUP('採算表(VND)'!K54/$N$1,2)</f>
        <v>0</v>
      </c>
      <c r="L54" s="113">
        <f>ROUNDUP('採算表(VND)'!L54/$N$1,2)</f>
        <v>0</v>
      </c>
      <c r="M54" s="113">
        <f>ROUNDUP('採算表(VND)'!M54/$N$1,2)</f>
        <v>0</v>
      </c>
      <c r="N54" s="113">
        <f>ROUNDUP('採算表(VND)'!N54/$N$1,2)</f>
        <v>0</v>
      </c>
      <c r="O54" s="113">
        <f t="shared" si="4"/>
        <v>0</v>
      </c>
    </row>
    <row r="55" spans="1:15" ht="11.25" customHeight="1">
      <c r="A55" s="32"/>
      <c r="B55" s="31" t="s">
        <v>110</v>
      </c>
      <c r="C55" s="113">
        <f>ROUNDUP('採算表(VND)'!C55/$N$1,2)</f>
        <v>0</v>
      </c>
      <c r="D55" s="113">
        <f>ROUNDUP('採算表(VND)'!D55/$N$1,2)</f>
        <v>0</v>
      </c>
      <c r="E55" s="113">
        <f>ROUNDUP('採算表(VND)'!E55/$N$1,2)</f>
        <v>0</v>
      </c>
      <c r="F55" s="113">
        <f>ROUNDUP('採算表(VND)'!F55/$N$1,2)</f>
        <v>0</v>
      </c>
      <c r="G55" s="113">
        <f>ROUNDUP('採算表(VND)'!G55/$N$1,2)</f>
        <v>0</v>
      </c>
      <c r="H55" s="113">
        <f>ROUNDUP('採算表(VND)'!H55/$N$1,2)</f>
        <v>0</v>
      </c>
      <c r="I55" s="113">
        <f>ROUNDUP('採算表(VND)'!I55/$N$1,2)</f>
        <v>0</v>
      </c>
      <c r="J55" s="113">
        <f>ROUNDUP('採算表(VND)'!J55/$N$1,2)</f>
        <v>0</v>
      </c>
      <c r="K55" s="113">
        <f>ROUNDUP('採算表(VND)'!K55/$N$1,2)</f>
        <v>0</v>
      </c>
      <c r="L55" s="113">
        <f>ROUNDUP('採算表(VND)'!L55/$N$1,2)</f>
        <v>0</v>
      </c>
      <c r="M55" s="113">
        <f>ROUNDUP('採算表(VND)'!M55/$N$1,2)</f>
        <v>0</v>
      </c>
      <c r="N55" s="113">
        <f>ROUNDUP('採算表(VND)'!N55/$N$1,2)</f>
        <v>0</v>
      </c>
      <c r="O55" s="113">
        <f t="shared" si="4"/>
        <v>0</v>
      </c>
    </row>
    <row r="56" spans="1:15" ht="11.25" customHeight="1">
      <c r="A56" s="32"/>
      <c r="B56" s="31" t="s">
        <v>113</v>
      </c>
      <c r="C56" s="113">
        <f>ROUNDUP('採算表(VND)'!C56/$N$1,2)</f>
        <v>0</v>
      </c>
      <c r="D56" s="113">
        <f>ROUNDUP('採算表(VND)'!D56/$N$1,2)</f>
        <v>0</v>
      </c>
      <c r="E56" s="113">
        <f>ROUNDUP('採算表(VND)'!E56/$N$1,2)</f>
        <v>0</v>
      </c>
      <c r="F56" s="113">
        <f>ROUNDUP('採算表(VND)'!F56/$N$1,2)</f>
        <v>0</v>
      </c>
      <c r="G56" s="113">
        <f>ROUNDUP('採算表(VND)'!G56/$N$1,2)</f>
        <v>0</v>
      </c>
      <c r="H56" s="113">
        <f>ROUNDUP('採算表(VND)'!H56/$N$1,2)</f>
        <v>0</v>
      </c>
      <c r="I56" s="113">
        <f>ROUNDUP('採算表(VND)'!I56/$N$1,2)</f>
        <v>0</v>
      </c>
      <c r="J56" s="113">
        <f>ROUNDUP('採算表(VND)'!J56/$N$1,2)</f>
        <v>0</v>
      </c>
      <c r="K56" s="113">
        <f>ROUNDUP('採算表(VND)'!K56/$N$1,2)</f>
        <v>0</v>
      </c>
      <c r="L56" s="113">
        <f>ROUNDUP('採算表(VND)'!L56/$N$1,2)</f>
        <v>0</v>
      </c>
      <c r="M56" s="113">
        <f>ROUNDUP('採算表(VND)'!M56/$N$1,2)</f>
        <v>0</v>
      </c>
      <c r="N56" s="113">
        <f>ROUNDUP('採算表(VND)'!N56/$N$1,2)</f>
        <v>0</v>
      </c>
      <c r="O56" s="113">
        <f t="shared" si="4"/>
        <v>0</v>
      </c>
    </row>
    <row r="57" spans="1:15" ht="11.25" customHeight="1">
      <c r="A57" s="32"/>
      <c r="B57" s="31" t="s">
        <v>114</v>
      </c>
      <c r="C57" s="113">
        <f>ROUNDUP('採算表(VND)'!C57/$N$1,2)</f>
        <v>62077.16</v>
      </c>
      <c r="D57" s="113">
        <f>ROUNDUP('採算表(VND)'!D57/$N$1,2)</f>
        <v>57133.58</v>
      </c>
      <c r="E57" s="113">
        <f>ROUNDUP('採算表(VND)'!E57/$N$1,2)</f>
        <v>57175.58</v>
      </c>
      <c r="F57" s="113">
        <f>ROUNDUP('採算表(VND)'!F57/$N$1,2)</f>
        <v>57175.91</v>
      </c>
      <c r="G57" s="113">
        <f>ROUNDUP('採算表(VND)'!G57/$N$1,2)</f>
        <v>57215.54</v>
      </c>
      <c r="H57" s="113">
        <f>ROUNDUP('採算表(VND)'!H57/$N$1,2)</f>
        <v>57208.950000000004</v>
      </c>
      <c r="I57" s="113">
        <f>ROUNDUP('採算表(VND)'!I57/$N$1,2)</f>
        <v>57203.170000000006</v>
      </c>
      <c r="J57" s="113">
        <f>ROUNDUP('採算表(VND)'!J57/$N$1,2)</f>
        <v>57119.25</v>
      </c>
      <c r="K57" s="113">
        <f>ROUNDUP('採算表(VND)'!K57/$N$1,2)</f>
        <v>57116.28</v>
      </c>
      <c r="L57" s="113">
        <f>ROUNDUP('採算表(VND)'!L57/$N$1,2)</f>
        <v>57095.83</v>
      </c>
      <c r="M57" s="113">
        <f>ROUNDUP('採算表(VND)'!M57/$N$1,2)</f>
        <v>57020.420000000006</v>
      </c>
      <c r="N57" s="113">
        <f>ROUNDUP('採算表(VND)'!N57/$N$1,2)</f>
        <v>56999.43</v>
      </c>
      <c r="O57" s="113">
        <f t="shared" si="4"/>
        <v>690541.10000000009</v>
      </c>
    </row>
    <row r="58" spans="1:15" ht="11.25" customHeight="1">
      <c r="A58" s="32"/>
      <c r="B58" s="31" t="s">
        <v>122</v>
      </c>
      <c r="C58" s="113">
        <f>ROUNDUP('採算表(VND)'!C58/$N$1,2)</f>
        <v>0</v>
      </c>
      <c r="D58" s="113">
        <f>ROUNDUP('採算表(VND)'!D58/$N$1,2)</f>
        <v>0</v>
      </c>
      <c r="E58" s="113">
        <f>ROUNDUP('採算表(VND)'!E58/$N$1,2)</f>
        <v>0</v>
      </c>
      <c r="F58" s="113">
        <f>ROUNDUP('採算表(VND)'!F58/$N$1,2)</f>
        <v>0</v>
      </c>
      <c r="G58" s="113">
        <f>ROUNDUP('採算表(VND)'!G58/$N$1,2)</f>
        <v>0</v>
      </c>
      <c r="H58" s="113">
        <f>ROUNDUP('採算表(VND)'!H58/$N$1,2)</f>
        <v>0</v>
      </c>
      <c r="I58" s="113">
        <f>ROUNDUP('採算表(VND)'!I58/$N$1,2)</f>
        <v>0</v>
      </c>
      <c r="J58" s="113">
        <f>ROUNDUP('採算表(VND)'!J58/$N$1,2)</f>
        <v>0</v>
      </c>
      <c r="K58" s="113">
        <f>ROUNDUP('採算表(VND)'!K58/$N$1,2)</f>
        <v>0</v>
      </c>
      <c r="L58" s="113">
        <f>ROUNDUP('採算表(VND)'!L58/$N$1,2)</f>
        <v>0</v>
      </c>
      <c r="M58" s="113">
        <f>ROUNDUP('採算表(VND)'!M58/$N$1,2)</f>
        <v>0</v>
      </c>
      <c r="N58" s="113">
        <f>ROUNDUP('採算表(VND)'!N58/$N$1,2)</f>
        <v>0</v>
      </c>
      <c r="O58" s="113">
        <f t="shared" si="4"/>
        <v>0</v>
      </c>
    </row>
    <row r="59" spans="1:15" ht="11.25" customHeight="1">
      <c r="A59" s="32"/>
      <c r="B59" s="31" t="s">
        <v>121</v>
      </c>
      <c r="C59" s="113">
        <f>ROUNDUP('採算表(VND)'!C59/$N$1,2)</f>
        <v>0</v>
      </c>
      <c r="D59" s="113">
        <f>ROUNDUP('採算表(VND)'!D59/$N$1,2)</f>
        <v>0</v>
      </c>
      <c r="E59" s="113">
        <f>ROUNDUP('採算表(VND)'!E59/$N$1,2)</f>
        <v>0</v>
      </c>
      <c r="F59" s="113">
        <f>ROUNDUP('採算表(VND)'!F59/$N$1,2)</f>
        <v>0</v>
      </c>
      <c r="G59" s="113">
        <f>ROUNDUP('採算表(VND)'!G59/$N$1,2)</f>
        <v>0</v>
      </c>
      <c r="H59" s="113">
        <f>ROUNDUP('採算表(VND)'!H59/$N$1,2)</f>
        <v>0</v>
      </c>
      <c r="I59" s="113">
        <f>ROUNDUP('採算表(VND)'!I59/$N$1,2)</f>
        <v>0</v>
      </c>
      <c r="J59" s="113">
        <f>ROUNDUP('採算表(VND)'!J59/$N$1,2)</f>
        <v>0</v>
      </c>
      <c r="K59" s="113">
        <f>ROUNDUP('採算表(VND)'!K59/$N$1,2)</f>
        <v>0</v>
      </c>
      <c r="L59" s="113">
        <f>ROUNDUP('採算表(VND)'!L59/$N$1,2)</f>
        <v>0</v>
      </c>
      <c r="M59" s="113">
        <f>ROUNDUP('採算表(VND)'!M59/$N$1,2)</f>
        <v>0</v>
      </c>
      <c r="N59" s="113">
        <f>ROUNDUP('採算表(VND)'!N59/$N$1,2)</f>
        <v>0</v>
      </c>
      <c r="O59" s="113">
        <f t="shared" si="4"/>
        <v>0</v>
      </c>
    </row>
    <row r="60" spans="1:15" ht="11.25" customHeight="1">
      <c r="A60" s="32"/>
      <c r="B60" s="31" t="s">
        <v>123</v>
      </c>
      <c r="C60" s="113">
        <f>ROUNDUP('採算表(VND)'!C60/$N$1,2)</f>
        <v>0</v>
      </c>
      <c r="D60" s="113">
        <f>ROUNDUP('採算表(VND)'!D60/$N$1,2)</f>
        <v>0</v>
      </c>
      <c r="E60" s="113">
        <f>ROUNDUP('採算表(VND)'!E60/$N$1,2)</f>
        <v>0</v>
      </c>
      <c r="F60" s="113">
        <f>ROUNDUP('採算表(VND)'!F60/$N$1,2)</f>
        <v>0</v>
      </c>
      <c r="G60" s="113">
        <f>ROUNDUP('採算表(VND)'!G60/$N$1,2)</f>
        <v>0</v>
      </c>
      <c r="H60" s="113">
        <f>ROUNDUP('採算表(VND)'!H60/$N$1,2)</f>
        <v>0</v>
      </c>
      <c r="I60" s="113">
        <f>ROUNDUP('採算表(VND)'!I60/$N$1,2)</f>
        <v>0</v>
      </c>
      <c r="J60" s="113">
        <f>ROUNDUP('採算表(VND)'!J60/$N$1,2)</f>
        <v>0</v>
      </c>
      <c r="K60" s="113">
        <f>ROUNDUP('採算表(VND)'!K60/$N$1,2)</f>
        <v>0</v>
      </c>
      <c r="L60" s="113">
        <f>ROUNDUP('採算表(VND)'!L60/$N$1,2)</f>
        <v>0</v>
      </c>
      <c r="M60" s="113">
        <f>ROUNDUP('採算表(VND)'!M60/$N$1,2)</f>
        <v>0</v>
      </c>
      <c r="N60" s="113">
        <f>ROUNDUP('採算表(VND)'!N60/$N$1,2)</f>
        <v>0</v>
      </c>
      <c r="O60" s="113">
        <f t="shared" si="4"/>
        <v>0</v>
      </c>
    </row>
    <row r="61" spans="1:15" ht="11.25" customHeight="1">
      <c r="A61" s="32"/>
      <c r="B61" s="31" t="s">
        <v>106</v>
      </c>
      <c r="C61" s="113">
        <f>ROUNDUP('採算表(VND)'!C61/$N$1,2)</f>
        <v>0</v>
      </c>
      <c r="D61" s="113">
        <f>ROUNDUP('採算表(VND)'!D61/$N$1,2)</f>
        <v>0</v>
      </c>
      <c r="E61" s="113">
        <f>ROUNDUP('採算表(VND)'!E61/$N$1,2)</f>
        <v>0</v>
      </c>
      <c r="F61" s="113">
        <f>ROUNDUP('採算表(VND)'!F61/$N$1,2)</f>
        <v>0</v>
      </c>
      <c r="G61" s="113">
        <f>ROUNDUP('採算表(VND)'!G61/$N$1,2)</f>
        <v>0</v>
      </c>
      <c r="H61" s="113">
        <f>ROUNDUP('採算表(VND)'!H61/$N$1,2)</f>
        <v>0</v>
      </c>
      <c r="I61" s="113">
        <f>ROUNDUP('採算表(VND)'!I61/$N$1,2)</f>
        <v>0</v>
      </c>
      <c r="J61" s="113">
        <f>ROUNDUP('採算表(VND)'!J61/$N$1,2)</f>
        <v>0</v>
      </c>
      <c r="K61" s="113">
        <f>ROUNDUP('採算表(VND)'!K61/$N$1,2)</f>
        <v>0</v>
      </c>
      <c r="L61" s="113">
        <f>ROUNDUP('採算表(VND)'!L61/$N$1,2)</f>
        <v>0</v>
      </c>
      <c r="M61" s="113">
        <f>ROUNDUP('採算表(VND)'!M61/$N$1,2)</f>
        <v>0</v>
      </c>
      <c r="N61" s="113">
        <f>ROUNDUP('採算表(VND)'!N61/$N$1,2)</f>
        <v>0</v>
      </c>
      <c r="O61" s="113">
        <f t="shared" si="4"/>
        <v>0</v>
      </c>
    </row>
    <row r="62" spans="1:15" ht="11.25" customHeight="1">
      <c r="A62" s="32"/>
      <c r="B62" s="31" t="s">
        <v>418</v>
      </c>
      <c r="C62" s="113">
        <f>ROUNDUP('採算表(VND)'!C62/$N$1,2)</f>
        <v>0</v>
      </c>
      <c r="D62" s="113">
        <f>ROUNDUP('採算表(VND)'!D62/$N$1,2)</f>
        <v>0</v>
      </c>
      <c r="E62" s="113">
        <f>ROUNDUP('採算表(VND)'!E62/$N$1,2)</f>
        <v>0</v>
      </c>
      <c r="F62" s="113">
        <f>ROUNDUP('採算表(VND)'!F62/$N$1,2)</f>
        <v>0</v>
      </c>
      <c r="G62" s="113">
        <f>ROUNDUP('採算表(VND)'!G62/$N$1,2)</f>
        <v>0</v>
      </c>
      <c r="H62" s="113">
        <f>ROUNDUP('採算表(VND)'!H62/$N$1,2)</f>
        <v>0</v>
      </c>
      <c r="I62" s="113">
        <f>ROUNDUP('採算表(VND)'!I62/$N$1,2)</f>
        <v>0</v>
      </c>
      <c r="J62" s="113">
        <f>ROUNDUP('採算表(VND)'!J62/$N$1,2)</f>
        <v>0</v>
      </c>
      <c r="K62" s="113">
        <f>ROUNDUP('採算表(VND)'!K62/$N$1,2)</f>
        <v>0</v>
      </c>
      <c r="L62" s="113">
        <f>ROUNDUP('採算表(VND)'!L62/$N$1,2)</f>
        <v>0</v>
      </c>
      <c r="M62" s="113">
        <f>ROUNDUP('採算表(VND)'!M62/$N$1,2)</f>
        <v>0</v>
      </c>
      <c r="N62" s="113">
        <f>ROUNDUP('採算表(VND)'!N62/$N$1,2)</f>
        <v>0</v>
      </c>
      <c r="O62" s="113">
        <f t="shared" si="4"/>
        <v>0</v>
      </c>
    </row>
    <row r="63" spans="1:15" ht="11.25" customHeight="1">
      <c r="A63" s="32"/>
      <c r="B63" s="31" t="s">
        <v>419</v>
      </c>
      <c r="C63" s="113">
        <f>ROUNDUP('採算表(VND)'!C63/$N$1,2)</f>
        <v>0</v>
      </c>
      <c r="D63" s="113">
        <f>ROUNDUP('採算表(VND)'!D63/$N$1,2)</f>
        <v>0</v>
      </c>
      <c r="E63" s="113">
        <f>ROUNDUP('採算表(VND)'!E63/$N$1,2)</f>
        <v>0</v>
      </c>
      <c r="F63" s="113">
        <f>ROUNDUP('採算表(VND)'!F63/$N$1,2)</f>
        <v>0</v>
      </c>
      <c r="G63" s="113">
        <f>ROUNDUP('採算表(VND)'!G63/$N$1,2)</f>
        <v>0</v>
      </c>
      <c r="H63" s="113">
        <f>ROUNDUP('採算表(VND)'!H63/$N$1,2)</f>
        <v>0</v>
      </c>
      <c r="I63" s="113">
        <f>ROUNDUP('採算表(VND)'!I63/$N$1,2)</f>
        <v>0</v>
      </c>
      <c r="J63" s="113">
        <f>ROUNDUP('採算表(VND)'!J63/$N$1,2)</f>
        <v>0</v>
      </c>
      <c r="K63" s="113">
        <f>ROUNDUP('採算表(VND)'!K63/$N$1,2)</f>
        <v>0</v>
      </c>
      <c r="L63" s="113">
        <f>ROUNDUP('採算表(VND)'!L63/$N$1,2)</f>
        <v>0</v>
      </c>
      <c r="M63" s="113">
        <f>ROUNDUP('採算表(VND)'!M63/$N$1,2)</f>
        <v>0</v>
      </c>
      <c r="N63" s="113">
        <f>ROUNDUP('採算表(VND)'!N63/$N$1,2)</f>
        <v>0</v>
      </c>
      <c r="O63" s="113">
        <f t="shared" si="4"/>
        <v>0</v>
      </c>
    </row>
    <row r="64" spans="1:15" ht="11.25" customHeight="1">
      <c r="A64" s="32"/>
      <c r="B64" s="31" t="s">
        <v>143</v>
      </c>
      <c r="C64" s="113">
        <f>ROUNDUP('採算表(VND)'!C64/$N$1,2)</f>
        <v>-353587.66000000003</v>
      </c>
      <c r="D64" s="113">
        <f>ROUNDUP('採算表(VND)'!D64/$N$1,2)</f>
        <v>-491097.72000000003</v>
      </c>
      <c r="E64" s="113">
        <f>ROUNDUP('採算表(VND)'!E64/$N$1,2)</f>
        <v>-409476.36</v>
      </c>
      <c r="F64" s="113">
        <f>ROUNDUP('採算表(VND)'!F64/$N$1,2)</f>
        <v>-453792.71</v>
      </c>
      <c r="G64" s="113">
        <f>ROUNDUP('採算表(VND)'!G64/$N$1,2)</f>
        <v>-290904.46000000002</v>
      </c>
      <c r="H64" s="113">
        <f>ROUNDUP('採算表(VND)'!H64/$N$1,2)</f>
        <v>-249077.48</v>
      </c>
      <c r="I64" s="113">
        <f>ROUNDUP('採算表(VND)'!I64/$N$1,2)</f>
        <v>-301672.08</v>
      </c>
      <c r="J64" s="113">
        <f>ROUNDUP('採算表(VND)'!J64/$N$1,2)</f>
        <v>-322891.31</v>
      </c>
      <c r="K64" s="113">
        <f>ROUNDUP('採算表(VND)'!K64/$N$1,2)</f>
        <v>-308692.64</v>
      </c>
      <c r="L64" s="113">
        <f>ROUNDUP('採算表(VND)'!L64/$N$1,2)</f>
        <v>-304822.22000000003</v>
      </c>
      <c r="M64" s="113">
        <f>ROUNDUP('採算表(VND)'!M64/$N$1,2)</f>
        <v>-221663.91</v>
      </c>
      <c r="N64" s="113">
        <f>ROUNDUP('採算表(VND)'!N64/$N$1,2)</f>
        <v>-229373.36000000002</v>
      </c>
      <c r="O64" s="113">
        <f t="shared" si="4"/>
        <v>-3937051.9100000006</v>
      </c>
    </row>
    <row r="65" spans="1:15" ht="11.25" customHeight="1">
      <c r="A65" s="32"/>
      <c r="B65" s="31" t="s">
        <v>111</v>
      </c>
      <c r="C65" s="110">
        <f>ROUNDUP('採算表(VND)'!C65/$N$1,2)</f>
        <v>0</v>
      </c>
      <c r="D65" s="110">
        <f>ROUNDUP('採算表(VND)'!D65/$N$1,2)</f>
        <v>0</v>
      </c>
      <c r="E65" s="110">
        <f>ROUNDUP('採算表(VND)'!E65/$N$1,2)</f>
        <v>0</v>
      </c>
      <c r="F65" s="110">
        <f>ROUNDUP('採算表(VND)'!F65/$N$1,2)</f>
        <v>0</v>
      </c>
      <c r="G65" s="110">
        <f>ROUNDUP('採算表(VND)'!G65/$N$1,2)</f>
        <v>0</v>
      </c>
      <c r="H65" s="110">
        <f>ROUNDUP('採算表(VND)'!H65/$N$1,2)</f>
        <v>0</v>
      </c>
      <c r="I65" s="110">
        <f>ROUNDUP('採算表(VND)'!I65/$N$1,2)</f>
        <v>0</v>
      </c>
      <c r="J65" s="110">
        <f>ROUNDUP('採算表(VND)'!J65/$N$1,2)</f>
        <v>0</v>
      </c>
      <c r="K65" s="110">
        <f>ROUNDUP('採算表(VND)'!K65/$N$1,2)</f>
        <v>0</v>
      </c>
      <c r="L65" s="110">
        <f>ROUNDUP('採算表(VND)'!L65/$N$1,2)</f>
        <v>0</v>
      </c>
      <c r="M65" s="110">
        <f>ROUNDUP('採算表(VND)'!M65/$N$1,2)</f>
        <v>0</v>
      </c>
      <c r="N65" s="110">
        <f>ROUNDUP('採算表(VND)'!N65/$N$1,2)</f>
        <v>0</v>
      </c>
      <c r="O65" s="110">
        <f t="shared" si="4"/>
        <v>0</v>
      </c>
    </row>
    <row r="66" spans="1:15" ht="11.25" customHeight="1">
      <c r="A66" s="20"/>
      <c r="B66" s="26" t="s">
        <v>77</v>
      </c>
      <c r="C66" s="108">
        <f>C12-C13</f>
        <v>-5.0000000046566129E-2</v>
      </c>
      <c r="D66" s="108">
        <f t="shared" ref="D66:O66" si="5">IF(ISBLANK(D4),"",D12-D13)</f>
        <v>-4.9999999988358468E-2</v>
      </c>
      <c r="E66" s="108">
        <f t="shared" si="5"/>
        <v>-5.0000000046566129E-2</v>
      </c>
      <c r="F66" s="108">
        <f t="shared" si="5"/>
        <v>-2.9999999969732016E-2</v>
      </c>
      <c r="G66" s="108">
        <f t="shared" si="5"/>
        <v>-5.9999999997671694E-2</v>
      </c>
      <c r="H66" s="108">
        <f t="shared" si="5"/>
        <v>-4.9999999988358468E-2</v>
      </c>
      <c r="I66" s="108">
        <f t="shared" si="5"/>
        <v>-4.9999999988358468E-2</v>
      </c>
      <c r="J66" s="108">
        <f t="shared" si="5"/>
        <v>-5.9999999997671694E-2</v>
      </c>
      <c r="K66" s="108">
        <f t="shared" si="5"/>
        <v>-3.9999999920837581E-2</v>
      </c>
      <c r="L66" s="108">
        <f t="shared" si="5"/>
        <v>-3.9999999979045242E-2</v>
      </c>
      <c r="M66" s="108">
        <f t="shared" si="5"/>
        <v>-2.9999999998835847E-2</v>
      </c>
      <c r="N66" s="108">
        <f t="shared" si="5"/>
        <v>-3.9999999979045242E-2</v>
      </c>
      <c r="O66" s="108">
        <f t="shared" si="5"/>
        <v>-0.5499999993480742</v>
      </c>
    </row>
    <row r="67" spans="1:15" ht="11.25" customHeight="1">
      <c r="A67" s="20"/>
      <c r="B67" s="22" t="s">
        <v>78</v>
      </c>
      <c r="C67" s="107">
        <f>C73+C79</f>
        <v>0</v>
      </c>
      <c r="D67" s="107">
        <f t="shared" ref="D67:O67" si="6">IF(ISBLANK(D4),"",D73+D79)</f>
        <v>0</v>
      </c>
      <c r="E67" s="107">
        <f t="shared" si="6"/>
        <v>0</v>
      </c>
      <c r="F67" s="107">
        <f t="shared" si="6"/>
        <v>0</v>
      </c>
      <c r="G67" s="107">
        <f t="shared" si="6"/>
        <v>0</v>
      </c>
      <c r="H67" s="107">
        <f t="shared" si="6"/>
        <v>0</v>
      </c>
      <c r="I67" s="107">
        <f t="shared" si="6"/>
        <v>0</v>
      </c>
      <c r="J67" s="107">
        <f t="shared" si="6"/>
        <v>0</v>
      </c>
      <c r="K67" s="107">
        <f t="shared" si="6"/>
        <v>0</v>
      </c>
      <c r="L67" s="107">
        <f t="shared" si="6"/>
        <v>0</v>
      </c>
      <c r="M67" s="107">
        <f t="shared" si="6"/>
        <v>0</v>
      </c>
      <c r="N67" s="107">
        <f t="shared" si="6"/>
        <v>0</v>
      </c>
      <c r="O67" s="107">
        <f t="shared" si="6"/>
        <v>0</v>
      </c>
    </row>
    <row r="68" spans="1:15" ht="11.25" customHeight="1">
      <c r="A68" s="32"/>
      <c r="B68" s="40" t="s">
        <v>144</v>
      </c>
      <c r="C68" s="109">
        <f>'採算表(VND)'!C68</f>
        <v>2278</v>
      </c>
      <c r="D68" s="109">
        <f>'採算表(VND)'!D68</f>
        <v>2142</v>
      </c>
      <c r="E68" s="109">
        <f>'採算表(VND)'!E68</f>
        <v>2392.75</v>
      </c>
      <c r="F68" s="109">
        <f>'採算表(VND)'!F68</f>
        <v>2664.75</v>
      </c>
      <c r="G68" s="109">
        <f>'採算表(VND)'!G68</f>
        <v>2261</v>
      </c>
      <c r="H68" s="109">
        <f>'採算表(VND)'!H68</f>
        <v>2154.75</v>
      </c>
      <c r="I68" s="109">
        <f>'採算表(VND)'!I68</f>
        <v>2664.75</v>
      </c>
      <c r="J68" s="109">
        <f>'採算表(VND)'!J68</f>
        <v>2307.75</v>
      </c>
      <c r="K68" s="109">
        <f>'採算表(VND)'!K68</f>
        <v>2499</v>
      </c>
      <c r="L68" s="109">
        <f>'採算表(VND)'!L68</f>
        <v>2235.5</v>
      </c>
      <c r="M68" s="109">
        <f>'採算表(VND)'!M68</f>
        <v>1712.75</v>
      </c>
      <c r="N68" s="109">
        <f>'採算表(VND)'!N68</f>
        <v>2235.5</v>
      </c>
      <c r="O68" s="109">
        <f>SUM(C68:N68)</f>
        <v>27548.5</v>
      </c>
    </row>
    <row r="69" spans="1:15" ht="11.25" customHeight="1">
      <c r="A69" s="32"/>
      <c r="B69" s="40" t="s">
        <v>88</v>
      </c>
      <c r="C69" s="110">
        <f>'採算表(VND)'!C69</f>
        <v>0</v>
      </c>
      <c r="D69" s="110">
        <f>'採算表(VND)'!D69</f>
        <v>0</v>
      </c>
      <c r="E69" s="110">
        <f>'採算表(VND)'!E69</f>
        <v>0</v>
      </c>
      <c r="F69" s="110">
        <f>'採算表(VND)'!F69</f>
        <v>0</v>
      </c>
      <c r="G69" s="110">
        <f>'採算表(VND)'!G69</f>
        <v>0</v>
      </c>
      <c r="H69" s="110">
        <f>'採算表(VND)'!H69</f>
        <v>0</v>
      </c>
      <c r="I69" s="110">
        <f>'採算表(VND)'!I69</f>
        <v>0</v>
      </c>
      <c r="J69" s="110">
        <f>'採算表(VND)'!J69</f>
        <v>0</v>
      </c>
      <c r="K69" s="110">
        <f>'採算表(VND)'!K69</f>
        <v>0</v>
      </c>
      <c r="L69" s="110">
        <f>'採算表(VND)'!L69</f>
        <v>0</v>
      </c>
      <c r="M69" s="110">
        <f>'採算表(VND)'!M69</f>
        <v>0</v>
      </c>
      <c r="N69" s="110">
        <f>'採算表(VND)'!N69</f>
        <v>0</v>
      </c>
      <c r="O69" s="110">
        <f>SUM(C69:N69)</f>
        <v>0</v>
      </c>
    </row>
    <row r="70" spans="1:15" ht="11.25" customHeight="1">
      <c r="A70" s="32"/>
      <c r="B70" s="41" t="s">
        <v>126</v>
      </c>
      <c r="C70" s="114">
        <f>'採算表(VND)'!C70</f>
        <v>0</v>
      </c>
      <c r="D70" s="114">
        <f>'採算表(VND)'!D70</f>
        <v>0</v>
      </c>
      <c r="E70" s="114">
        <f>'採算表(VND)'!E70</f>
        <v>0</v>
      </c>
      <c r="F70" s="114">
        <f>'採算表(VND)'!F70</f>
        <v>0</v>
      </c>
      <c r="G70" s="114">
        <f>'採算表(VND)'!G70</f>
        <v>0</v>
      </c>
      <c r="H70" s="114">
        <f>'採算表(VND)'!H70</f>
        <v>0</v>
      </c>
      <c r="I70" s="114">
        <f>'採算表(VND)'!I70</f>
        <v>0</v>
      </c>
      <c r="J70" s="114">
        <f>'採算表(VND)'!J70</f>
        <v>0</v>
      </c>
      <c r="K70" s="114">
        <f>'採算表(VND)'!K70</f>
        <v>0</v>
      </c>
      <c r="L70" s="114">
        <f>'採算表(VND)'!L70</f>
        <v>0</v>
      </c>
      <c r="M70" s="114">
        <f>'採算表(VND)'!M70</f>
        <v>0</v>
      </c>
      <c r="N70" s="114">
        <f>'採算表(VND)'!N70</f>
        <v>0</v>
      </c>
      <c r="O70" s="114">
        <f>SUM(C70:N70)</f>
        <v>0</v>
      </c>
    </row>
    <row r="71" spans="1:15" ht="11.25" customHeight="1">
      <c r="A71" s="32"/>
      <c r="B71" s="41" t="s">
        <v>127</v>
      </c>
      <c r="C71" s="114">
        <f>'採算表(VND)'!C71</f>
        <v>0</v>
      </c>
      <c r="D71" s="114">
        <f>'採算表(VND)'!D71</f>
        <v>0</v>
      </c>
      <c r="E71" s="114">
        <f>'採算表(VND)'!E71</f>
        <v>0</v>
      </c>
      <c r="F71" s="114">
        <f>'採算表(VND)'!F71</f>
        <v>0</v>
      </c>
      <c r="G71" s="114">
        <f>'採算表(VND)'!G71</f>
        <v>0</v>
      </c>
      <c r="H71" s="114">
        <f>'採算表(VND)'!H71</f>
        <v>0</v>
      </c>
      <c r="I71" s="114">
        <f>'採算表(VND)'!I71</f>
        <v>0</v>
      </c>
      <c r="J71" s="114">
        <f>'採算表(VND)'!J71</f>
        <v>0</v>
      </c>
      <c r="K71" s="114">
        <f>'採算表(VND)'!K71</f>
        <v>0</v>
      </c>
      <c r="L71" s="114">
        <f>'採算表(VND)'!L71</f>
        <v>0</v>
      </c>
      <c r="M71" s="114">
        <f>'採算表(VND)'!M71</f>
        <v>0</v>
      </c>
      <c r="N71" s="114">
        <f>'採算表(VND)'!N71</f>
        <v>0</v>
      </c>
      <c r="O71" s="114">
        <f>SUM(C71:N71)</f>
        <v>0</v>
      </c>
    </row>
    <row r="72" spans="1:15" ht="11.25" customHeight="1">
      <c r="A72" s="32"/>
      <c r="B72" s="34" t="s">
        <v>89</v>
      </c>
      <c r="C72" s="115">
        <f>'採算表(VND)'!C72</f>
        <v>-2278</v>
      </c>
      <c r="D72" s="115">
        <f>'採算表(VND)'!D72</f>
        <v>-2142</v>
      </c>
      <c r="E72" s="115">
        <f>'採算表(VND)'!E72</f>
        <v>-2392.75</v>
      </c>
      <c r="F72" s="115">
        <f>'採算表(VND)'!F72</f>
        <v>-2664.75</v>
      </c>
      <c r="G72" s="115">
        <f>'採算表(VND)'!G72</f>
        <v>-2261</v>
      </c>
      <c r="H72" s="115">
        <f>'採算表(VND)'!H72</f>
        <v>-2154.75</v>
      </c>
      <c r="I72" s="115">
        <f>'採算表(VND)'!I72</f>
        <v>-2664.75</v>
      </c>
      <c r="J72" s="115">
        <f>'採算表(VND)'!J72</f>
        <v>-2307.75</v>
      </c>
      <c r="K72" s="115">
        <f>'採算表(VND)'!K72</f>
        <v>-2499</v>
      </c>
      <c r="L72" s="115">
        <f>'採算表(VND)'!L72</f>
        <v>-2235.5</v>
      </c>
      <c r="M72" s="115">
        <f>'採算表(VND)'!M72</f>
        <v>-1712.75</v>
      </c>
      <c r="N72" s="115">
        <f>'採算表(VND)'!N72</f>
        <v>-2235.5</v>
      </c>
      <c r="O72" s="115">
        <f>SUM(C72:N72)</f>
        <v>-27548.5</v>
      </c>
    </row>
    <row r="73" spans="1:15" ht="11.25" customHeight="1">
      <c r="A73" s="32"/>
      <c r="B73" s="35" t="s">
        <v>145</v>
      </c>
      <c r="C73" s="116">
        <f>SUM(C68:C72)</f>
        <v>0</v>
      </c>
      <c r="D73" s="116">
        <f t="shared" ref="D73:O73" si="7">IF(ISBLANK(D4),"",SUM(D68:D72))</f>
        <v>0</v>
      </c>
      <c r="E73" s="116">
        <f t="shared" si="7"/>
        <v>0</v>
      </c>
      <c r="F73" s="116">
        <f t="shared" si="7"/>
        <v>0</v>
      </c>
      <c r="G73" s="116">
        <f t="shared" si="7"/>
        <v>0</v>
      </c>
      <c r="H73" s="116">
        <f t="shared" si="7"/>
        <v>0</v>
      </c>
      <c r="I73" s="116">
        <f t="shared" si="7"/>
        <v>0</v>
      </c>
      <c r="J73" s="116">
        <f t="shared" si="7"/>
        <v>0</v>
      </c>
      <c r="K73" s="116">
        <f t="shared" si="7"/>
        <v>0</v>
      </c>
      <c r="L73" s="116">
        <f t="shared" si="7"/>
        <v>0</v>
      </c>
      <c r="M73" s="116">
        <f t="shared" si="7"/>
        <v>0</v>
      </c>
      <c r="N73" s="116">
        <f t="shared" si="7"/>
        <v>0</v>
      </c>
      <c r="O73" s="116">
        <f t="shared" si="7"/>
        <v>0</v>
      </c>
    </row>
    <row r="74" spans="1:15" ht="11.25" customHeight="1">
      <c r="A74" s="32"/>
      <c r="B74" s="33" t="s">
        <v>86</v>
      </c>
      <c r="C74" s="109">
        <f>'採算表(VND)'!C74</f>
        <v>267</v>
      </c>
      <c r="D74" s="109">
        <f>'採算表(VND)'!D74</f>
        <v>272</v>
      </c>
      <c r="E74" s="109">
        <f>'採算表(VND)'!E74</f>
        <v>263</v>
      </c>
      <c r="F74" s="109">
        <f>'採算表(VND)'!F74</f>
        <v>296</v>
      </c>
      <c r="G74" s="109">
        <f>'採算表(VND)'!G74</f>
        <v>286</v>
      </c>
      <c r="H74" s="109">
        <f>'採算表(VND)'!H74</f>
        <v>277</v>
      </c>
      <c r="I74" s="109">
        <f>'採算表(VND)'!I74</f>
        <v>291</v>
      </c>
      <c r="J74" s="109">
        <f>'採算表(VND)'!J74</f>
        <v>277</v>
      </c>
      <c r="K74" s="109">
        <f>'採算表(VND)'!K74</f>
        <v>286</v>
      </c>
      <c r="L74" s="109">
        <f>'採算表(VND)'!L74</f>
        <v>274</v>
      </c>
      <c r="M74" s="109">
        <f>'採算表(VND)'!M74</f>
        <v>238</v>
      </c>
      <c r="N74" s="109">
        <f>'採算表(VND)'!N74</f>
        <v>292</v>
      </c>
      <c r="O74" s="109">
        <f>SUM(C74:N74)</f>
        <v>3319</v>
      </c>
    </row>
    <row r="75" spans="1:15">
      <c r="A75" s="32"/>
      <c r="B75" s="31" t="s">
        <v>88</v>
      </c>
      <c r="C75" s="110">
        <f>'採算表(VND)'!C75</f>
        <v>0</v>
      </c>
      <c r="D75" s="110">
        <f>'採算表(VND)'!D75</f>
        <v>0</v>
      </c>
      <c r="E75" s="110">
        <f>'採算表(VND)'!E75</f>
        <v>0</v>
      </c>
      <c r="F75" s="110">
        <f>'採算表(VND)'!F75</f>
        <v>0</v>
      </c>
      <c r="G75" s="110">
        <f>'採算表(VND)'!G75</f>
        <v>0</v>
      </c>
      <c r="H75" s="110">
        <f>'採算表(VND)'!H75</f>
        <v>0</v>
      </c>
      <c r="I75" s="110">
        <f>'採算表(VND)'!I75</f>
        <v>0</v>
      </c>
      <c r="J75" s="110">
        <f>'採算表(VND)'!J75</f>
        <v>0</v>
      </c>
      <c r="K75" s="110">
        <f>'採算表(VND)'!K75</f>
        <v>0</v>
      </c>
      <c r="L75" s="110">
        <f>'採算表(VND)'!L75</f>
        <v>0</v>
      </c>
      <c r="M75" s="110">
        <f>'採算表(VND)'!M75</f>
        <v>0</v>
      </c>
      <c r="N75" s="110">
        <f>'採算表(VND)'!N75</f>
        <v>0</v>
      </c>
      <c r="O75" s="110">
        <f>SUM(C75:N75)</f>
        <v>0</v>
      </c>
    </row>
    <row r="76" spans="1:15">
      <c r="A76" s="32"/>
      <c r="B76" s="31" t="s">
        <v>126</v>
      </c>
      <c r="C76" s="114">
        <f>'採算表(VND)'!C76</f>
        <v>0</v>
      </c>
      <c r="D76" s="114">
        <f>'採算表(VND)'!D76</f>
        <v>0</v>
      </c>
      <c r="E76" s="114">
        <f>'採算表(VND)'!E76</f>
        <v>0</v>
      </c>
      <c r="F76" s="114">
        <f>'採算表(VND)'!F76</f>
        <v>0</v>
      </c>
      <c r="G76" s="114">
        <f>'採算表(VND)'!G76</f>
        <v>0</v>
      </c>
      <c r="H76" s="114">
        <f>'採算表(VND)'!H76</f>
        <v>0</v>
      </c>
      <c r="I76" s="114">
        <f>'採算表(VND)'!I76</f>
        <v>0</v>
      </c>
      <c r="J76" s="114">
        <f>'採算表(VND)'!J76</f>
        <v>0</v>
      </c>
      <c r="K76" s="114">
        <f>'採算表(VND)'!K76</f>
        <v>0</v>
      </c>
      <c r="L76" s="114">
        <f>'採算表(VND)'!L76</f>
        <v>0</v>
      </c>
      <c r="M76" s="114">
        <f>'採算表(VND)'!M76</f>
        <v>0</v>
      </c>
      <c r="N76" s="114">
        <f>'採算表(VND)'!N76</f>
        <v>0</v>
      </c>
      <c r="O76" s="114">
        <f>SUM(C76:N76)</f>
        <v>0</v>
      </c>
    </row>
    <row r="77" spans="1:15">
      <c r="A77" s="32"/>
      <c r="B77" s="31" t="s">
        <v>127</v>
      </c>
      <c r="C77" s="114">
        <f>'採算表(VND)'!C77</f>
        <v>0</v>
      </c>
      <c r="D77" s="114">
        <f>'採算表(VND)'!D77</f>
        <v>0</v>
      </c>
      <c r="E77" s="114">
        <f>'採算表(VND)'!E77</f>
        <v>0</v>
      </c>
      <c r="F77" s="114">
        <f>'採算表(VND)'!F77</f>
        <v>0</v>
      </c>
      <c r="G77" s="114">
        <f>'採算表(VND)'!G77</f>
        <v>0</v>
      </c>
      <c r="H77" s="114">
        <f>'採算表(VND)'!H77</f>
        <v>0</v>
      </c>
      <c r="I77" s="114">
        <f>'採算表(VND)'!I77</f>
        <v>0</v>
      </c>
      <c r="J77" s="114">
        <f>'採算表(VND)'!J77</f>
        <v>0</v>
      </c>
      <c r="K77" s="114">
        <f>'採算表(VND)'!K77</f>
        <v>0</v>
      </c>
      <c r="L77" s="114">
        <f>'採算表(VND)'!L77</f>
        <v>0</v>
      </c>
      <c r="M77" s="114">
        <f>'採算表(VND)'!M77</f>
        <v>0</v>
      </c>
      <c r="N77" s="114">
        <f>'採算表(VND)'!N77</f>
        <v>0</v>
      </c>
      <c r="O77" s="114">
        <f>SUM(C77:N77)</f>
        <v>0</v>
      </c>
    </row>
    <row r="78" spans="1:15">
      <c r="A78" s="32"/>
      <c r="B78" s="34" t="s">
        <v>89</v>
      </c>
      <c r="C78" s="115">
        <f>'採算表(VND)'!C78</f>
        <v>-267</v>
      </c>
      <c r="D78" s="115">
        <f>'採算表(VND)'!D78</f>
        <v>-272</v>
      </c>
      <c r="E78" s="115">
        <f>'採算表(VND)'!E78</f>
        <v>-263</v>
      </c>
      <c r="F78" s="115">
        <f>'採算表(VND)'!F78</f>
        <v>-296</v>
      </c>
      <c r="G78" s="115">
        <f>'採算表(VND)'!G78</f>
        <v>-286</v>
      </c>
      <c r="H78" s="115">
        <f>'採算表(VND)'!H78</f>
        <v>-277</v>
      </c>
      <c r="I78" s="115">
        <f>'採算表(VND)'!I78</f>
        <v>-291</v>
      </c>
      <c r="J78" s="115">
        <f>'採算表(VND)'!J78</f>
        <v>-277</v>
      </c>
      <c r="K78" s="115">
        <f>'採算表(VND)'!K78</f>
        <v>-286</v>
      </c>
      <c r="L78" s="115">
        <f>'採算表(VND)'!L78</f>
        <v>-274</v>
      </c>
      <c r="M78" s="115">
        <f>'採算表(VND)'!M78</f>
        <v>-238</v>
      </c>
      <c r="N78" s="115">
        <f>'採算表(VND)'!N78</f>
        <v>-292</v>
      </c>
      <c r="O78" s="115">
        <f>SUM(C78:N78)</f>
        <v>-3319</v>
      </c>
    </row>
    <row r="79" spans="1:15" ht="14.25" customHeight="1">
      <c r="A79" s="32"/>
      <c r="B79" s="35" t="s">
        <v>156</v>
      </c>
      <c r="C79" s="116">
        <f>SUM(C74:C78)</f>
        <v>0</v>
      </c>
      <c r="D79" s="116">
        <f t="shared" ref="D79:O79" si="8">IF(ISBLANK(D4),"",SUM(D74:D78))</f>
        <v>0</v>
      </c>
      <c r="E79" s="116">
        <f t="shared" si="8"/>
        <v>0</v>
      </c>
      <c r="F79" s="116">
        <f t="shared" si="8"/>
        <v>0</v>
      </c>
      <c r="G79" s="116">
        <f t="shared" si="8"/>
        <v>0</v>
      </c>
      <c r="H79" s="116">
        <f t="shared" si="8"/>
        <v>0</v>
      </c>
      <c r="I79" s="116">
        <f t="shared" si="8"/>
        <v>0</v>
      </c>
      <c r="J79" s="116">
        <f t="shared" si="8"/>
        <v>0</v>
      </c>
      <c r="K79" s="116">
        <f t="shared" si="8"/>
        <v>0</v>
      </c>
      <c r="L79" s="116">
        <f t="shared" si="8"/>
        <v>0</v>
      </c>
      <c r="M79" s="116">
        <f t="shared" si="8"/>
        <v>0</v>
      </c>
      <c r="N79" s="116">
        <f t="shared" si="8"/>
        <v>0</v>
      </c>
      <c r="O79" s="116">
        <f t="shared" si="8"/>
        <v>0</v>
      </c>
    </row>
    <row r="80" spans="1:15" ht="14.25" customHeight="1">
      <c r="A80" s="20"/>
      <c r="B80" s="26" t="s">
        <v>79</v>
      </c>
      <c r="C80" s="117">
        <f>IFERROR(ROUNDDOWN(C66/C67,0),0)</f>
        <v>0</v>
      </c>
      <c r="D80" s="118">
        <f t="shared" ref="D80:O80" si="9">IFERROR(ROUNDDOWN(D66/D67,0),0)</f>
        <v>0</v>
      </c>
      <c r="E80" s="118">
        <f t="shared" si="9"/>
        <v>0</v>
      </c>
      <c r="F80" s="118">
        <f t="shared" si="9"/>
        <v>0</v>
      </c>
      <c r="G80" s="118">
        <f t="shared" si="9"/>
        <v>0</v>
      </c>
      <c r="H80" s="118">
        <f t="shared" si="9"/>
        <v>0</v>
      </c>
      <c r="I80" s="118">
        <f t="shared" si="9"/>
        <v>0</v>
      </c>
      <c r="J80" s="118">
        <f t="shared" si="9"/>
        <v>0</v>
      </c>
      <c r="K80" s="118">
        <f t="shared" si="9"/>
        <v>0</v>
      </c>
      <c r="L80" s="118">
        <f t="shared" si="9"/>
        <v>0</v>
      </c>
      <c r="M80" s="118">
        <f t="shared" si="9"/>
        <v>0</v>
      </c>
      <c r="N80" s="118">
        <f t="shared" si="9"/>
        <v>0</v>
      </c>
      <c r="O80" s="118">
        <f t="shared" si="9"/>
        <v>0</v>
      </c>
    </row>
    <row r="81" spans="1:15" ht="14.25" customHeight="1">
      <c r="A81" s="20"/>
      <c r="B81" s="36" t="s">
        <v>80</v>
      </c>
      <c r="C81" s="119">
        <f>IFERROR(ROUNDDOWN(C12/C67,0),0)</f>
        <v>0</v>
      </c>
      <c r="D81" s="120">
        <f t="shared" ref="D81:O81" si="10">IFERROR(ROUNDDOWN(D12/D67,0),0)</f>
        <v>0</v>
      </c>
      <c r="E81" s="120">
        <f t="shared" si="10"/>
        <v>0</v>
      </c>
      <c r="F81" s="120">
        <f t="shared" si="10"/>
        <v>0</v>
      </c>
      <c r="G81" s="120">
        <f t="shared" si="10"/>
        <v>0</v>
      </c>
      <c r="H81" s="120">
        <f t="shared" si="10"/>
        <v>0</v>
      </c>
      <c r="I81" s="120">
        <f t="shared" si="10"/>
        <v>0</v>
      </c>
      <c r="J81" s="120">
        <f t="shared" si="10"/>
        <v>0</v>
      </c>
      <c r="K81" s="120">
        <f t="shared" si="10"/>
        <v>0</v>
      </c>
      <c r="L81" s="120">
        <f t="shared" si="10"/>
        <v>0</v>
      </c>
      <c r="M81" s="120">
        <f t="shared" si="10"/>
        <v>0</v>
      </c>
      <c r="N81" s="120">
        <f t="shared" si="10"/>
        <v>0</v>
      </c>
      <c r="O81" s="120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56"/>
      <c r="B86" s="51" t="s">
        <v>17</v>
      </c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</row>
    <row r="87" spans="1:15">
      <c r="A87" s="37"/>
      <c r="B87" s="52" t="s">
        <v>343</v>
      </c>
      <c r="C87" s="124">
        <f>'採算表(VND)'!C87</f>
        <v>0</v>
      </c>
      <c r="D87" s="124">
        <f>'採算表(VND)'!D87</f>
        <v>0</v>
      </c>
      <c r="E87" s="124">
        <f>'採算表(VND)'!E87</f>
        <v>0</v>
      </c>
      <c r="F87" s="124">
        <f>'採算表(VND)'!F87</f>
        <v>0</v>
      </c>
      <c r="G87" s="124">
        <f>'採算表(VND)'!G87</f>
        <v>0</v>
      </c>
      <c r="H87" s="124">
        <f>'採算表(VND)'!H87</f>
        <v>0</v>
      </c>
      <c r="I87" s="124">
        <f>'採算表(VND)'!I87</f>
        <v>0</v>
      </c>
      <c r="J87" s="124">
        <f>'採算表(VND)'!J87</f>
        <v>0</v>
      </c>
      <c r="K87" s="124">
        <f>'採算表(VND)'!K87</f>
        <v>0</v>
      </c>
      <c r="L87" s="124">
        <f>'採算表(VND)'!L87</f>
        <v>0</v>
      </c>
      <c r="M87" s="124">
        <f>'採算表(VND)'!M87</f>
        <v>0</v>
      </c>
      <c r="N87" s="124">
        <f>'採算表(VND)'!N87</f>
        <v>0</v>
      </c>
      <c r="O87" s="124">
        <f>SUM(C87:N87)</f>
        <v>0</v>
      </c>
    </row>
    <row r="88" spans="1:15">
      <c r="A88" s="37"/>
      <c r="B88" s="52" t="s">
        <v>344</v>
      </c>
      <c r="C88" s="124">
        <f>'採算表(VND)'!C88</f>
        <v>14</v>
      </c>
      <c r="D88" s="124">
        <f>'採算表(VND)'!D88</f>
        <v>14</v>
      </c>
      <c r="E88" s="124">
        <f>'採算表(VND)'!E88</f>
        <v>14</v>
      </c>
      <c r="F88" s="124">
        <f>'採算表(VND)'!F88</f>
        <v>14</v>
      </c>
      <c r="G88" s="124">
        <f>'採算表(VND)'!G88</f>
        <v>14</v>
      </c>
      <c r="H88" s="124">
        <f>'採算表(VND)'!H88</f>
        <v>14</v>
      </c>
      <c r="I88" s="124">
        <f>'採算表(VND)'!I88</f>
        <v>14</v>
      </c>
      <c r="J88" s="124">
        <f>'採算表(VND)'!J88</f>
        <v>14</v>
      </c>
      <c r="K88" s="124">
        <f>'採算表(VND)'!K88</f>
        <v>14</v>
      </c>
      <c r="L88" s="124">
        <f>'採算表(VND)'!L88</f>
        <v>14</v>
      </c>
      <c r="M88" s="124">
        <f>'採算表(VND)'!M88</f>
        <v>14</v>
      </c>
      <c r="N88" s="124">
        <f>'採算表(VND)'!N88</f>
        <v>14</v>
      </c>
      <c r="O88" s="124">
        <f>SUM(C88:N88)</f>
        <v>168</v>
      </c>
    </row>
    <row r="89" spans="1:15">
      <c r="A89" s="38"/>
      <c r="B89" s="53" t="s">
        <v>18</v>
      </c>
      <c r="C89" s="125">
        <f t="shared" ref="C89:O89" si="11">C87+C88</f>
        <v>14</v>
      </c>
      <c r="D89" s="125">
        <f t="shared" si="11"/>
        <v>14</v>
      </c>
      <c r="E89" s="125">
        <f t="shared" si="11"/>
        <v>14</v>
      </c>
      <c r="F89" s="125">
        <f t="shared" si="11"/>
        <v>14</v>
      </c>
      <c r="G89" s="125">
        <f t="shared" si="11"/>
        <v>14</v>
      </c>
      <c r="H89" s="125">
        <f t="shared" si="11"/>
        <v>14</v>
      </c>
      <c r="I89" s="125">
        <f t="shared" si="11"/>
        <v>14</v>
      </c>
      <c r="J89" s="125">
        <f t="shared" si="11"/>
        <v>14</v>
      </c>
      <c r="K89" s="125">
        <f t="shared" si="11"/>
        <v>14</v>
      </c>
      <c r="L89" s="125">
        <f t="shared" si="11"/>
        <v>14</v>
      </c>
      <c r="M89" s="125">
        <f t="shared" si="11"/>
        <v>14</v>
      </c>
      <c r="N89" s="125">
        <f t="shared" si="11"/>
        <v>14</v>
      </c>
      <c r="O89" s="125">
        <f t="shared" si="11"/>
        <v>168</v>
      </c>
    </row>
    <row r="91" spans="1:15">
      <c r="B91" s="51" t="s">
        <v>19</v>
      </c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</row>
    <row r="92" spans="1:15">
      <c r="B92" s="52" t="s">
        <v>324</v>
      </c>
      <c r="C92" s="107">
        <f>'採算表(VND)'!C92</f>
        <v>0</v>
      </c>
      <c r="D92" s="107">
        <f>'採算表(VND)'!D92</f>
        <v>0</v>
      </c>
      <c r="E92" s="107">
        <f>'採算表(VND)'!E92</f>
        <v>0</v>
      </c>
      <c r="F92" s="107">
        <f>'採算表(VND)'!F92</f>
        <v>0</v>
      </c>
      <c r="G92" s="107">
        <f>'採算表(VND)'!G92</f>
        <v>0</v>
      </c>
      <c r="H92" s="107">
        <f>'採算表(VND)'!H92</f>
        <v>0</v>
      </c>
      <c r="I92" s="107">
        <f>'採算表(VND)'!I92</f>
        <v>0</v>
      </c>
      <c r="J92" s="107">
        <f>'採算表(VND)'!J92</f>
        <v>0</v>
      </c>
      <c r="K92" s="107">
        <f>'採算表(VND)'!K92</f>
        <v>0</v>
      </c>
      <c r="L92" s="107">
        <f>'採算表(VND)'!L92</f>
        <v>0</v>
      </c>
      <c r="M92" s="107">
        <f>'採算表(VND)'!M92</f>
        <v>0</v>
      </c>
      <c r="N92" s="107">
        <f>'採算表(VND)'!N92</f>
        <v>0</v>
      </c>
      <c r="O92" s="107">
        <f>SUM(C92:N92)</f>
        <v>0</v>
      </c>
    </row>
    <row r="93" spans="1:15">
      <c r="B93" s="52" t="s">
        <v>325</v>
      </c>
      <c r="C93" s="107">
        <f>'採算表(VND)'!C93</f>
        <v>2278</v>
      </c>
      <c r="D93" s="107">
        <f>'採算表(VND)'!D93</f>
        <v>2142</v>
      </c>
      <c r="E93" s="107">
        <f>'採算表(VND)'!E93</f>
        <v>2392.75</v>
      </c>
      <c r="F93" s="107">
        <f>'採算表(VND)'!F93</f>
        <v>2664.75</v>
      </c>
      <c r="G93" s="107">
        <f>'採算表(VND)'!G93</f>
        <v>2261</v>
      </c>
      <c r="H93" s="107">
        <f>'採算表(VND)'!H93</f>
        <v>2154.75</v>
      </c>
      <c r="I93" s="107">
        <f>'採算表(VND)'!I93</f>
        <v>2664.75</v>
      </c>
      <c r="J93" s="107">
        <f>'採算表(VND)'!J93</f>
        <v>2307.75</v>
      </c>
      <c r="K93" s="107">
        <f>'採算表(VND)'!K93</f>
        <v>2499</v>
      </c>
      <c r="L93" s="107">
        <f>'採算表(VND)'!L93</f>
        <v>2235.5</v>
      </c>
      <c r="M93" s="107">
        <f>'採算表(VND)'!M93</f>
        <v>1712.75</v>
      </c>
      <c r="N93" s="107">
        <f>'採算表(VND)'!N93</f>
        <v>2235.5</v>
      </c>
      <c r="O93" s="107">
        <f>SUM(C93:N93)</f>
        <v>27548.5</v>
      </c>
    </row>
    <row r="94" spans="1:15">
      <c r="B94" s="54" t="s">
        <v>18</v>
      </c>
      <c r="C94" s="121">
        <f t="shared" ref="C94:O94" si="12">C92+C93</f>
        <v>2278</v>
      </c>
      <c r="D94" s="121">
        <f t="shared" si="12"/>
        <v>2142</v>
      </c>
      <c r="E94" s="121">
        <f t="shared" si="12"/>
        <v>2392.75</v>
      </c>
      <c r="F94" s="121">
        <f t="shared" si="12"/>
        <v>2664.75</v>
      </c>
      <c r="G94" s="121">
        <f t="shared" si="12"/>
        <v>2261</v>
      </c>
      <c r="H94" s="121">
        <f t="shared" si="12"/>
        <v>2154.75</v>
      </c>
      <c r="I94" s="121">
        <f t="shared" si="12"/>
        <v>2664.75</v>
      </c>
      <c r="J94" s="121">
        <f t="shared" si="12"/>
        <v>2307.75</v>
      </c>
      <c r="K94" s="121">
        <f t="shared" si="12"/>
        <v>2499</v>
      </c>
      <c r="L94" s="121">
        <f t="shared" si="12"/>
        <v>2235.5</v>
      </c>
      <c r="M94" s="121">
        <f t="shared" si="12"/>
        <v>1712.75</v>
      </c>
      <c r="N94" s="121">
        <f t="shared" si="12"/>
        <v>2235.5</v>
      </c>
      <c r="O94" s="121">
        <f t="shared" si="12"/>
        <v>27548.5</v>
      </c>
    </row>
    <row r="95" spans="1:15"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</row>
    <row r="96" spans="1:15">
      <c r="B96" s="51" t="s">
        <v>20</v>
      </c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</row>
    <row r="97" spans="2:15">
      <c r="B97" s="52" t="s">
        <v>326</v>
      </c>
      <c r="C97" s="107">
        <f>'採算表(VND)'!C97</f>
        <v>0</v>
      </c>
      <c r="D97" s="107">
        <f>'採算表(VND)'!D97</f>
        <v>0</v>
      </c>
      <c r="E97" s="107">
        <f>'採算表(VND)'!E97</f>
        <v>0</v>
      </c>
      <c r="F97" s="107">
        <f>'採算表(VND)'!F97</f>
        <v>0</v>
      </c>
      <c r="G97" s="107">
        <f>'採算表(VND)'!G97</f>
        <v>0</v>
      </c>
      <c r="H97" s="107">
        <f>'採算表(VND)'!H97</f>
        <v>0</v>
      </c>
      <c r="I97" s="107">
        <f>'採算表(VND)'!I97</f>
        <v>0</v>
      </c>
      <c r="J97" s="107">
        <f>'採算表(VND)'!J97</f>
        <v>0</v>
      </c>
      <c r="K97" s="107">
        <f>'採算表(VND)'!K97</f>
        <v>0</v>
      </c>
      <c r="L97" s="107">
        <f>'採算表(VND)'!L97</f>
        <v>0</v>
      </c>
      <c r="M97" s="107">
        <f>'採算表(VND)'!M97</f>
        <v>0</v>
      </c>
      <c r="N97" s="107">
        <f>'採算表(VND)'!N97</f>
        <v>0</v>
      </c>
      <c r="O97" s="107">
        <f>SUM(C97:N97)</f>
        <v>0</v>
      </c>
    </row>
    <row r="98" spans="2:15">
      <c r="B98" s="52" t="s">
        <v>327</v>
      </c>
      <c r="C98" s="107">
        <f>'採算表(VND)'!C98</f>
        <v>267</v>
      </c>
      <c r="D98" s="107">
        <f>'採算表(VND)'!D98</f>
        <v>272</v>
      </c>
      <c r="E98" s="107">
        <f>'採算表(VND)'!E98</f>
        <v>263</v>
      </c>
      <c r="F98" s="107">
        <f>'採算表(VND)'!F98</f>
        <v>296</v>
      </c>
      <c r="G98" s="107">
        <f>'採算表(VND)'!G98</f>
        <v>286</v>
      </c>
      <c r="H98" s="107">
        <f>'採算表(VND)'!H98</f>
        <v>277</v>
      </c>
      <c r="I98" s="107">
        <f>'採算表(VND)'!I98</f>
        <v>291</v>
      </c>
      <c r="J98" s="107">
        <f>'採算表(VND)'!J98</f>
        <v>277</v>
      </c>
      <c r="K98" s="107">
        <f>'採算表(VND)'!K98</f>
        <v>286</v>
      </c>
      <c r="L98" s="107">
        <f>'採算表(VND)'!L98</f>
        <v>274</v>
      </c>
      <c r="M98" s="107">
        <f>'採算表(VND)'!M98</f>
        <v>238</v>
      </c>
      <c r="N98" s="107">
        <f>'採算表(VND)'!N98</f>
        <v>292</v>
      </c>
      <c r="O98" s="107">
        <f>SUM(C98:N98)</f>
        <v>3319</v>
      </c>
    </row>
    <row r="99" spans="2:15">
      <c r="B99" s="54" t="s">
        <v>18</v>
      </c>
      <c r="C99" s="121">
        <f t="shared" ref="C99:O99" si="13">C97+C98</f>
        <v>267</v>
      </c>
      <c r="D99" s="121">
        <f t="shared" si="13"/>
        <v>272</v>
      </c>
      <c r="E99" s="121">
        <f t="shared" si="13"/>
        <v>263</v>
      </c>
      <c r="F99" s="121">
        <f t="shared" si="13"/>
        <v>296</v>
      </c>
      <c r="G99" s="121">
        <f t="shared" si="13"/>
        <v>286</v>
      </c>
      <c r="H99" s="121">
        <f t="shared" si="13"/>
        <v>277</v>
      </c>
      <c r="I99" s="121">
        <f t="shared" si="13"/>
        <v>291</v>
      </c>
      <c r="J99" s="121">
        <f t="shared" si="13"/>
        <v>277</v>
      </c>
      <c r="K99" s="121">
        <f t="shared" si="13"/>
        <v>286</v>
      </c>
      <c r="L99" s="121">
        <f t="shared" si="13"/>
        <v>274</v>
      </c>
      <c r="M99" s="121">
        <f t="shared" si="13"/>
        <v>238</v>
      </c>
      <c r="N99" s="121">
        <f t="shared" si="13"/>
        <v>292</v>
      </c>
      <c r="O99" s="121">
        <f t="shared" si="13"/>
        <v>3319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14" customWidth="1"/>
    <col min="2" max="2" width="19.453125" style="17" customWidth="1"/>
    <col min="3" max="15" width="15.6328125" style="13" customWidth="1"/>
    <col min="16" max="16" width="9" style="13"/>
    <col min="17" max="42" width="9" style="13" customWidth="1"/>
    <col min="43" max="43" width="13.08984375" style="13" bestFit="1" customWidth="1"/>
    <col min="44" max="46" width="11.90625" style="13" bestFit="1" customWidth="1"/>
    <col min="47" max="47" width="9" style="13"/>
    <col min="48" max="51" width="14.36328125" style="13" bestFit="1" customWidth="1"/>
    <col min="52" max="52" width="9" style="13"/>
    <col min="53" max="56" width="14.90625" style="13" bestFit="1" customWidth="1"/>
    <col min="57" max="57" width="9" style="13"/>
    <col min="58" max="58" width="15.08984375" style="13" bestFit="1" customWidth="1"/>
    <col min="59" max="60" width="11.90625" style="13" bestFit="1" customWidth="1"/>
    <col min="61" max="61" width="12.6328125" style="13" bestFit="1" customWidth="1"/>
    <col min="62" max="16384" width="9" style="13"/>
  </cols>
  <sheetData>
    <row r="1" spans="1:61" ht="14.25" customHeight="1" thickBot="1">
      <c r="A1" s="10"/>
      <c r="B1" s="11" t="s">
        <v>38</v>
      </c>
      <c r="C1" s="81" t="str">
        <f>'内訳ﾘｽﾄ(4～3月)'!A1</f>
        <v>MP FY2026_各予定</v>
      </c>
      <c r="D1" s="82"/>
      <c r="E1" s="82"/>
      <c r="F1" s="83"/>
      <c r="G1" s="83"/>
      <c r="H1" s="83"/>
      <c r="I1" s="82"/>
      <c r="J1" s="83"/>
      <c r="K1" s="82"/>
      <c r="L1" s="84"/>
      <c r="M1" s="82"/>
      <c r="N1" s="80"/>
      <c r="O1" s="79"/>
    </row>
    <row r="2" spans="1:61" ht="14.25" customHeight="1" thickBot="1">
      <c r="B2" s="15" t="str">
        <f>'内訳ﾘｽﾄ(4～3月)'!C5</f>
        <v>施設課</v>
      </c>
      <c r="C2" s="12"/>
      <c r="D2" s="16"/>
      <c r="E2" s="16"/>
      <c r="F2" s="16"/>
      <c r="G2" s="16"/>
      <c r="H2" s="12"/>
      <c r="I2" s="12"/>
      <c r="J2" s="12"/>
      <c r="K2" s="12"/>
      <c r="L2" s="16"/>
      <c r="M2" s="16"/>
      <c r="N2" s="78"/>
      <c r="O2" s="78"/>
    </row>
    <row r="3" spans="1:61" ht="11.25" customHeight="1"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  <c r="M3" s="165">
        <v>12</v>
      </c>
      <c r="N3" s="165">
        <v>13</v>
      </c>
      <c r="O3" s="62"/>
    </row>
    <row r="4" spans="1:61">
      <c r="A4" s="18"/>
      <c r="B4" s="19" t="s">
        <v>71</v>
      </c>
      <c r="C4" s="61">
        <f>'内訳ﾘｽﾄ(4～3月)'!F4</f>
        <v>4</v>
      </c>
      <c r="D4" s="61">
        <v>5</v>
      </c>
      <c r="E4" s="61">
        <v>6</v>
      </c>
      <c r="F4" s="61">
        <v>7</v>
      </c>
      <c r="G4" s="61">
        <v>8</v>
      </c>
      <c r="H4" s="61">
        <v>9</v>
      </c>
      <c r="I4" s="61">
        <v>10</v>
      </c>
      <c r="J4" s="61">
        <v>11</v>
      </c>
      <c r="K4" s="61">
        <v>12</v>
      </c>
      <c r="L4" s="61">
        <v>1</v>
      </c>
      <c r="M4" s="61">
        <v>2</v>
      </c>
      <c r="N4" s="61">
        <v>3</v>
      </c>
      <c r="O4" s="44" t="s">
        <v>155</v>
      </c>
      <c r="AV4" s="64"/>
    </row>
    <row r="5" spans="1:61" ht="11.25" customHeight="1">
      <c r="A5" s="20"/>
      <c r="B5" s="21" t="s">
        <v>72</v>
      </c>
      <c r="C5" s="126">
        <f>C8+C9</f>
        <v>0</v>
      </c>
      <c r="D5" s="126">
        <f t="shared" ref="D5:N5" si="0">D8+D9</f>
        <v>0</v>
      </c>
      <c r="E5" s="126">
        <f t="shared" si="0"/>
        <v>0</v>
      </c>
      <c r="F5" s="126">
        <f t="shared" si="0"/>
        <v>0</v>
      </c>
      <c r="G5" s="126">
        <f t="shared" si="0"/>
        <v>0</v>
      </c>
      <c r="H5" s="126">
        <f t="shared" si="0"/>
        <v>0</v>
      </c>
      <c r="I5" s="126">
        <f t="shared" si="0"/>
        <v>0</v>
      </c>
      <c r="J5" s="126">
        <f t="shared" si="0"/>
        <v>0</v>
      </c>
      <c r="K5" s="126">
        <f t="shared" si="0"/>
        <v>0</v>
      </c>
      <c r="L5" s="126">
        <f t="shared" si="0"/>
        <v>0</v>
      </c>
      <c r="M5" s="126">
        <f t="shared" si="0"/>
        <v>0</v>
      </c>
      <c r="N5" s="126">
        <f t="shared" si="0"/>
        <v>0</v>
      </c>
      <c r="O5" s="126">
        <f>O8+O9</f>
        <v>0</v>
      </c>
      <c r="AD5" s="64"/>
      <c r="AE5" s="64"/>
      <c r="AQ5" s="66"/>
      <c r="AR5" s="66"/>
      <c r="AS5" s="66"/>
      <c r="AT5" s="66"/>
      <c r="AV5" s="65"/>
      <c r="AW5" s="65"/>
      <c r="AX5" s="65"/>
      <c r="AY5" s="65"/>
      <c r="BA5" s="67"/>
      <c r="BB5" s="67"/>
      <c r="BC5" s="67"/>
      <c r="BD5" s="67"/>
      <c r="BF5" s="64"/>
      <c r="BG5" s="64"/>
      <c r="BH5" s="64"/>
      <c r="BI5" s="64"/>
    </row>
    <row r="6" spans="1:61" ht="11.25" customHeight="1">
      <c r="A6" s="20"/>
      <c r="B6" s="23" t="s">
        <v>141</v>
      </c>
      <c r="C6" s="127">
        <f>SUMIF('内訳ﾘｽﾄ(4～3月)'!$D$26:$D$582,'採算表(VND)'!$B6,'内訳ﾘｽﾄ(4～3月)'!F$26:F$582)</f>
        <v>0</v>
      </c>
      <c r="D6" s="127">
        <f>SUMIF('内訳ﾘｽﾄ(4～3月)'!$D$26:$D$582,'採算表(VND)'!$B6,'内訳ﾘｽﾄ(4～3月)'!G$26:G$582)</f>
        <v>0</v>
      </c>
      <c r="E6" s="127">
        <f>SUMIF('内訳ﾘｽﾄ(4～3月)'!$D$26:$D$582,'採算表(VND)'!$B6,'内訳ﾘｽﾄ(4～3月)'!H$26:H$582)</f>
        <v>0</v>
      </c>
      <c r="F6" s="127">
        <f>SUMIF('内訳ﾘｽﾄ(4～3月)'!$D$26:$D$582,'採算表(VND)'!$B6,'内訳ﾘｽﾄ(4～3月)'!I$26:I$582)</f>
        <v>0</v>
      </c>
      <c r="G6" s="127">
        <f>SUMIF('内訳ﾘｽﾄ(4～3月)'!$D$26:$D$582,'採算表(VND)'!$B6,'内訳ﾘｽﾄ(4～3月)'!J$26:J$582)</f>
        <v>0</v>
      </c>
      <c r="H6" s="127">
        <f>SUMIF('内訳ﾘｽﾄ(4～3月)'!$D$26:$D$582,'採算表(VND)'!$B6,'内訳ﾘｽﾄ(4～3月)'!K$26:K$582)</f>
        <v>0</v>
      </c>
      <c r="I6" s="127">
        <f>SUMIF('内訳ﾘｽﾄ(4～3月)'!$D$26:$D$582,'採算表(VND)'!$B6,'内訳ﾘｽﾄ(4～3月)'!L$26:L$582)</f>
        <v>0</v>
      </c>
      <c r="J6" s="127">
        <f>SUMIF('内訳ﾘｽﾄ(4～3月)'!$D$26:$D$582,'採算表(VND)'!$B6,'内訳ﾘｽﾄ(4～3月)'!M$26:M$582)</f>
        <v>0</v>
      </c>
      <c r="K6" s="127">
        <f>SUMIF('内訳ﾘｽﾄ(4～3月)'!$D$26:$D$582,'採算表(VND)'!$B6,'内訳ﾘｽﾄ(4～3月)'!N$26:N$582)</f>
        <v>0</v>
      </c>
      <c r="L6" s="127">
        <f>SUMIF('内訳ﾘｽﾄ(4～3月)'!$D$26:$D$582,'採算表(VND)'!$B6,'内訳ﾘｽﾄ(4～3月)'!O$26:O$582)</f>
        <v>0</v>
      </c>
      <c r="M6" s="127">
        <f>SUMIF('内訳ﾘｽﾄ(4～3月)'!$D$26:$D$582,'採算表(VND)'!$B6,'内訳ﾘｽﾄ(4～3月)'!P$26:P$582)</f>
        <v>0</v>
      </c>
      <c r="N6" s="127">
        <f>SUMIF('内訳ﾘｽﾄ(4～3月)'!$D$26:$D$582,'採算表(VND)'!$B6,'内訳ﾘｽﾄ(4～3月)'!Q$26:Q$582)</f>
        <v>0</v>
      </c>
      <c r="O6" s="127">
        <f>SUMIF('内訳ﾘｽﾄ(4～3月)'!$D$26:$D$373,'採算表(VND)'!$B6,'内訳ﾘｽﾄ(4～3月)'!R$26:R$373)</f>
        <v>0</v>
      </c>
      <c r="AQ6" s="66"/>
      <c r="AR6" s="66"/>
      <c r="AS6" s="66"/>
      <c r="AT6" s="66"/>
      <c r="AV6" s="65"/>
      <c r="AW6" s="65"/>
      <c r="AX6" s="65"/>
      <c r="AY6" s="65"/>
      <c r="BA6" s="67"/>
      <c r="BB6" s="67"/>
      <c r="BC6" s="67"/>
      <c r="BD6" s="67"/>
      <c r="BF6" s="64"/>
      <c r="BG6" s="64"/>
      <c r="BH6" s="64"/>
      <c r="BI6" s="64"/>
    </row>
    <row r="7" spans="1:61" ht="11.25" customHeight="1">
      <c r="A7" s="20"/>
      <c r="B7" s="24" t="s">
        <v>112</v>
      </c>
      <c r="C7" s="128">
        <f>SUMIF('内訳ﾘｽﾄ(4～3月)'!$D$26:$D$582,'採算表(VND)'!$B7,'内訳ﾘｽﾄ(4～3月)'!F$26:F$582)</f>
        <v>0</v>
      </c>
      <c r="D7" s="128">
        <f>SUMIF('内訳ﾘｽﾄ(4～3月)'!$D$26:$D$582,'採算表(VND)'!$B7,'内訳ﾘｽﾄ(4～3月)'!G$26:G$582)</f>
        <v>0</v>
      </c>
      <c r="E7" s="128">
        <f>SUMIF('内訳ﾘｽﾄ(4～3月)'!$D$26:$D$582,'採算表(VND)'!$B7,'内訳ﾘｽﾄ(4～3月)'!H$26:H$582)</f>
        <v>0</v>
      </c>
      <c r="F7" s="128">
        <f>SUMIF('内訳ﾘｽﾄ(4～3月)'!$D$26:$D$582,'採算表(VND)'!$B7,'内訳ﾘｽﾄ(4～3月)'!I$26:I$582)</f>
        <v>0</v>
      </c>
      <c r="G7" s="128">
        <f>SUMIF('内訳ﾘｽﾄ(4～3月)'!$D$26:$D$582,'採算表(VND)'!$B7,'内訳ﾘｽﾄ(4～3月)'!J$26:J$582)</f>
        <v>0</v>
      </c>
      <c r="H7" s="128">
        <f>SUMIF('内訳ﾘｽﾄ(4～3月)'!$D$26:$D$582,'採算表(VND)'!$B7,'内訳ﾘｽﾄ(4～3月)'!K$26:K$582)</f>
        <v>0</v>
      </c>
      <c r="I7" s="128">
        <f>SUMIF('内訳ﾘｽﾄ(4～3月)'!$D$26:$D$582,'採算表(VND)'!$B7,'内訳ﾘｽﾄ(4～3月)'!L$26:L$582)</f>
        <v>0</v>
      </c>
      <c r="J7" s="128">
        <f>SUMIF('内訳ﾘｽﾄ(4～3月)'!$D$26:$D$582,'採算表(VND)'!$B7,'内訳ﾘｽﾄ(4～3月)'!M$26:M$582)</f>
        <v>0</v>
      </c>
      <c r="K7" s="128">
        <f>SUMIF('内訳ﾘｽﾄ(4～3月)'!$D$26:$D$582,'採算表(VND)'!$B7,'内訳ﾘｽﾄ(4～3月)'!N$26:N$582)</f>
        <v>0</v>
      </c>
      <c r="L7" s="128">
        <f>SUMIF('内訳ﾘｽﾄ(4～3月)'!$D$26:$D$582,'採算表(VND)'!$B7,'内訳ﾘｽﾄ(4～3月)'!O$26:O$582)</f>
        <v>0</v>
      </c>
      <c r="M7" s="128">
        <f>SUMIF('内訳ﾘｽﾄ(4～3月)'!$D$26:$D$582,'採算表(VND)'!$B7,'内訳ﾘｽﾄ(4～3月)'!P$26:P$582)</f>
        <v>0</v>
      </c>
      <c r="N7" s="128">
        <f>SUMIF('内訳ﾘｽﾄ(4～3月)'!$D$26:$D$582,'採算表(VND)'!$B7,'内訳ﾘｽﾄ(4～3月)'!Q$26:Q$582)</f>
        <v>0</v>
      </c>
      <c r="O7" s="128">
        <f>SUMIF('内訳ﾘｽﾄ(4～3月)'!$D$26:$D$373,'採算表(VND)'!$B7,'内訳ﾘｽﾄ(4～3月)'!R$26:R$373)</f>
        <v>0</v>
      </c>
      <c r="AQ7" s="66"/>
      <c r="AR7" s="66"/>
      <c r="AS7" s="66"/>
      <c r="AT7" s="66"/>
      <c r="AV7" s="65"/>
      <c r="AW7" s="65"/>
      <c r="AX7" s="65"/>
      <c r="AY7" s="65"/>
      <c r="BA7" s="67"/>
      <c r="BB7" s="67"/>
      <c r="BC7" s="67"/>
      <c r="BD7" s="67"/>
      <c r="BF7" s="64"/>
      <c r="BG7" s="64"/>
      <c r="BH7" s="64"/>
      <c r="BI7" s="64"/>
    </row>
    <row r="8" spans="1:61" ht="11.25" customHeight="1">
      <c r="A8" s="20"/>
      <c r="B8" s="25" t="s">
        <v>85</v>
      </c>
      <c r="C8" s="129">
        <f t="shared" ref="C8:N8" si="1">C6+C7</f>
        <v>0</v>
      </c>
      <c r="D8" s="129">
        <f t="shared" si="1"/>
        <v>0</v>
      </c>
      <c r="E8" s="129">
        <f t="shared" si="1"/>
        <v>0</v>
      </c>
      <c r="F8" s="129">
        <f t="shared" si="1"/>
        <v>0</v>
      </c>
      <c r="G8" s="129">
        <f t="shared" si="1"/>
        <v>0</v>
      </c>
      <c r="H8" s="129">
        <f t="shared" si="1"/>
        <v>0</v>
      </c>
      <c r="I8" s="129">
        <f t="shared" si="1"/>
        <v>0</v>
      </c>
      <c r="J8" s="129">
        <f t="shared" si="1"/>
        <v>0</v>
      </c>
      <c r="K8" s="129">
        <f t="shared" si="1"/>
        <v>0</v>
      </c>
      <c r="L8" s="129">
        <f t="shared" si="1"/>
        <v>0</v>
      </c>
      <c r="M8" s="129">
        <f t="shared" si="1"/>
        <v>0</v>
      </c>
      <c r="N8" s="129">
        <f t="shared" si="1"/>
        <v>0</v>
      </c>
      <c r="O8" s="129">
        <f>O6+O7</f>
        <v>0</v>
      </c>
      <c r="AQ8" s="66"/>
      <c r="AR8" s="66"/>
      <c r="AS8" s="66"/>
      <c r="AT8" s="66"/>
      <c r="AV8" s="65"/>
      <c r="AW8" s="65"/>
      <c r="AX8" s="65"/>
      <c r="AY8" s="65"/>
      <c r="BA8" s="67"/>
      <c r="BB8" s="67"/>
      <c r="BC8" s="67"/>
      <c r="BD8" s="67"/>
      <c r="BF8" s="64"/>
      <c r="BG8" s="64"/>
      <c r="BH8" s="64"/>
      <c r="BI8" s="64"/>
    </row>
    <row r="9" spans="1:61" ht="11.25" customHeight="1">
      <c r="A9" s="20"/>
      <c r="B9" s="22" t="s">
        <v>73</v>
      </c>
      <c r="C9" s="124">
        <f>SUMIF('内訳ﾘｽﾄ(4～3月)'!$D$26:$D$582,'採算表(VND)'!$B9,'内訳ﾘｽﾄ(4～3月)'!F$26:F$582)</f>
        <v>0</v>
      </c>
      <c r="D9" s="124">
        <f>SUMIF('内訳ﾘｽﾄ(4～3月)'!$D$26:$D$582,'採算表(VND)'!$B9,'内訳ﾘｽﾄ(4～3月)'!G$26:G$582)</f>
        <v>0</v>
      </c>
      <c r="E9" s="124">
        <f>SUMIF('内訳ﾘｽﾄ(4～3月)'!$D$26:$D$582,'採算表(VND)'!$B9,'内訳ﾘｽﾄ(4～3月)'!H$26:H$582)</f>
        <v>0</v>
      </c>
      <c r="F9" s="124">
        <f>SUMIF('内訳ﾘｽﾄ(4～3月)'!$D$26:$D$582,'採算表(VND)'!$B9,'内訳ﾘｽﾄ(4～3月)'!I$26:I$582)</f>
        <v>0</v>
      </c>
      <c r="G9" s="124">
        <f>SUMIF('内訳ﾘｽﾄ(4～3月)'!$D$26:$D$582,'採算表(VND)'!$B9,'内訳ﾘｽﾄ(4～3月)'!J$26:J$582)</f>
        <v>0</v>
      </c>
      <c r="H9" s="124">
        <f>SUMIF('内訳ﾘｽﾄ(4～3月)'!$D$26:$D$582,'採算表(VND)'!$B9,'内訳ﾘｽﾄ(4～3月)'!K$26:K$582)</f>
        <v>0</v>
      </c>
      <c r="I9" s="124">
        <f>SUMIF('内訳ﾘｽﾄ(4～3月)'!$D$26:$D$582,'採算表(VND)'!$B9,'内訳ﾘｽﾄ(4～3月)'!L$26:L$582)</f>
        <v>0</v>
      </c>
      <c r="J9" s="124">
        <f>SUMIF('内訳ﾘｽﾄ(4～3月)'!$D$26:$D$582,'採算表(VND)'!$B9,'内訳ﾘｽﾄ(4～3月)'!M$26:M$582)</f>
        <v>0</v>
      </c>
      <c r="K9" s="124">
        <f>SUMIF('内訳ﾘｽﾄ(4～3月)'!$D$26:$D$582,'採算表(VND)'!$B9,'内訳ﾘｽﾄ(4～3月)'!N$26:N$582)</f>
        <v>0</v>
      </c>
      <c r="L9" s="124">
        <f>SUMIF('内訳ﾘｽﾄ(4～3月)'!$D$26:$D$582,'採算表(VND)'!$B9,'内訳ﾘｽﾄ(4～3月)'!O$26:O$582)</f>
        <v>0</v>
      </c>
      <c r="M9" s="124">
        <f>SUMIF('内訳ﾘｽﾄ(4～3月)'!$D$26:$D$582,'採算表(VND)'!$B9,'内訳ﾘｽﾄ(4～3月)'!P$26:P$582)</f>
        <v>0</v>
      </c>
      <c r="N9" s="124">
        <f>SUMIF('内訳ﾘｽﾄ(4～3月)'!$D$26:$D$582,'採算表(VND)'!$B9,'内訳ﾘｽﾄ(4～3月)'!Q$26:Q$582)</f>
        <v>0</v>
      </c>
      <c r="O9" s="124">
        <f>SUMIF('内訳ﾘｽﾄ(4～3月)'!$D$26:$D$373,'採算表(VND)'!$B9,'内訳ﾘｽﾄ(4～3月)'!R$26:R$373)</f>
        <v>0</v>
      </c>
      <c r="AQ9" s="66"/>
      <c r="AR9" s="66"/>
      <c r="AS9" s="66"/>
      <c r="AT9" s="66"/>
      <c r="AV9" s="65"/>
      <c r="AW9" s="65"/>
      <c r="AX9" s="65"/>
      <c r="AY9" s="65"/>
      <c r="BA9" s="67"/>
      <c r="BB9" s="67"/>
      <c r="BC9" s="67"/>
      <c r="BD9" s="67"/>
      <c r="BF9" s="64"/>
      <c r="BG9" s="64"/>
      <c r="BH9" s="64"/>
      <c r="BI9" s="64"/>
    </row>
    <row r="10" spans="1:61" ht="11.25" customHeight="1">
      <c r="A10" s="20"/>
      <c r="B10" s="22" t="s">
        <v>74</v>
      </c>
      <c r="C10" s="124">
        <f>SUMIF('内訳ﾘｽﾄ(4～3月)'!$D$26:$D$582,'採算表(VND)'!$B10,'内訳ﾘｽﾄ(4～3月)'!F$26:F$582)</f>
        <v>0</v>
      </c>
      <c r="D10" s="124">
        <f>SUMIF('内訳ﾘｽﾄ(4～3月)'!$D$26:$D$582,'採算表(VND)'!$B10,'内訳ﾘｽﾄ(4～3月)'!G$26:G$582)</f>
        <v>0</v>
      </c>
      <c r="E10" s="124">
        <f>SUMIF('内訳ﾘｽﾄ(4～3月)'!$D$26:$D$582,'採算表(VND)'!$B10,'内訳ﾘｽﾄ(4～3月)'!H$26:H$582)</f>
        <v>0</v>
      </c>
      <c r="F10" s="124">
        <f>SUMIF('内訳ﾘｽﾄ(4～3月)'!$D$26:$D$582,'採算表(VND)'!$B10,'内訳ﾘｽﾄ(4～3月)'!I$26:I$582)</f>
        <v>0</v>
      </c>
      <c r="G10" s="124">
        <f>SUMIF('内訳ﾘｽﾄ(4～3月)'!$D$26:$D$582,'採算表(VND)'!$B10,'内訳ﾘｽﾄ(4～3月)'!J$26:J$582)</f>
        <v>0</v>
      </c>
      <c r="H10" s="124">
        <f>SUMIF('内訳ﾘｽﾄ(4～3月)'!$D$26:$D$582,'採算表(VND)'!$B10,'内訳ﾘｽﾄ(4～3月)'!K$26:K$582)</f>
        <v>0</v>
      </c>
      <c r="I10" s="124">
        <f>SUMIF('内訳ﾘｽﾄ(4～3月)'!$D$26:$D$582,'採算表(VND)'!$B10,'内訳ﾘｽﾄ(4～3月)'!L$26:L$582)</f>
        <v>0</v>
      </c>
      <c r="J10" s="124">
        <f>SUMIF('内訳ﾘｽﾄ(4～3月)'!$D$26:$D$582,'採算表(VND)'!$B10,'内訳ﾘｽﾄ(4～3月)'!M$26:M$582)</f>
        <v>0</v>
      </c>
      <c r="K10" s="124">
        <f>SUMIF('内訳ﾘｽﾄ(4～3月)'!$D$26:$D$582,'採算表(VND)'!$B10,'内訳ﾘｽﾄ(4～3月)'!N$26:N$582)</f>
        <v>0</v>
      </c>
      <c r="L10" s="124">
        <f>SUMIF('内訳ﾘｽﾄ(4～3月)'!$D$26:$D$582,'採算表(VND)'!$B10,'内訳ﾘｽﾄ(4～3月)'!O$26:O$582)</f>
        <v>0</v>
      </c>
      <c r="M10" s="124">
        <f>SUMIF('内訳ﾘｽﾄ(4～3月)'!$D$26:$D$582,'採算表(VND)'!$B10,'内訳ﾘｽﾄ(4～3月)'!P$26:P$582)</f>
        <v>0</v>
      </c>
      <c r="N10" s="124">
        <f>SUMIF('内訳ﾘｽﾄ(4～3月)'!$D$26:$D$582,'採算表(VND)'!$B10,'内訳ﾘｽﾄ(4～3月)'!Q$26:Q$582)</f>
        <v>0</v>
      </c>
      <c r="O10" s="124">
        <f>SUMIF('内訳ﾘｽﾄ(4～3月)'!$D$26:$D$373,'採算表(VND)'!$B10,'内訳ﾘｽﾄ(4～3月)'!R$26:R$373)</f>
        <v>0</v>
      </c>
      <c r="AQ10" s="66"/>
      <c r="AR10" s="66"/>
      <c r="AS10" s="66"/>
      <c r="AT10" s="66"/>
      <c r="AV10" s="65"/>
      <c r="AW10" s="65"/>
      <c r="AX10" s="65"/>
      <c r="AY10" s="65"/>
      <c r="BA10" s="67"/>
      <c r="BB10" s="67"/>
      <c r="BC10" s="67"/>
      <c r="BD10" s="67"/>
      <c r="BF10" s="64"/>
      <c r="BG10" s="64"/>
      <c r="BH10" s="64"/>
      <c r="BI10" s="64"/>
    </row>
    <row r="11" spans="1:61" ht="2.25" customHeight="1">
      <c r="A11" s="20"/>
      <c r="B11" s="22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AQ11" s="66"/>
      <c r="AR11" s="66"/>
      <c r="AS11" s="66"/>
      <c r="AT11" s="66"/>
      <c r="AV11" s="65"/>
      <c r="AW11" s="65"/>
      <c r="AX11" s="65"/>
      <c r="AY11" s="65"/>
      <c r="BA11" s="67"/>
      <c r="BB11" s="67"/>
      <c r="BC11" s="67"/>
      <c r="BD11" s="67"/>
      <c r="BF11" s="64"/>
      <c r="BG11" s="64"/>
      <c r="BH11" s="64"/>
      <c r="BI11" s="64"/>
    </row>
    <row r="12" spans="1:61" ht="11.25" customHeight="1">
      <c r="A12" s="27"/>
      <c r="B12" s="26" t="s">
        <v>75</v>
      </c>
      <c r="C12" s="130">
        <f>C5-C10</f>
        <v>0</v>
      </c>
      <c r="D12" s="130">
        <f t="shared" ref="D12:N12" si="2">D5-D10</f>
        <v>0</v>
      </c>
      <c r="E12" s="130">
        <f t="shared" si="2"/>
        <v>0</v>
      </c>
      <c r="F12" s="130">
        <f t="shared" si="2"/>
        <v>0</v>
      </c>
      <c r="G12" s="130">
        <f t="shared" si="2"/>
        <v>0</v>
      </c>
      <c r="H12" s="130">
        <f t="shared" si="2"/>
        <v>0</v>
      </c>
      <c r="I12" s="130">
        <f t="shared" si="2"/>
        <v>0</v>
      </c>
      <c r="J12" s="130">
        <f t="shared" si="2"/>
        <v>0</v>
      </c>
      <c r="K12" s="130">
        <f t="shared" si="2"/>
        <v>0</v>
      </c>
      <c r="L12" s="130">
        <f t="shared" si="2"/>
        <v>0</v>
      </c>
      <c r="M12" s="130">
        <f t="shared" si="2"/>
        <v>0</v>
      </c>
      <c r="N12" s="130">
        <f t="shared" si="2"/>
        <v>0</v>
      </c>
      <c r="O12" s="130">
        <f>O5-O10</f>
        <v>0</v>
      </c>
      <c r="AQ12" s="66"/>
      <c r="AR12" s="66"/>
      <c r="AS12" s="66"/>
      <c r="AT12" s="66"/>
      <c r="AV12" s="65"/>
      <c r="AW12" s="65"/>
      <c r="AX12" s="65"/>
      <c r="AY12" s="65"/>
      <c r="BA12" s="67"/>
      <c r="BB12" s="67"/>
      <c r="BC12" s="67"/>
      <c r="BD12" s="67"/>
      <c r="BF12" s="64"/>
      <c r="BG12" s="64"/>
      <c r="BH12" s="64"/>
      <c r="BI12" s="64"/>
    </row>
    <row r="13" spans="1:61" ht="11.25" customHeight="1">
      <c r="A13" s="20"/>
      <c r="B13" s="22" t="s">
        <v>76</v>
      </c>
      <c r="C13" s="124">
        <f>SUM(C14:C65)</f>
        <v>0</v>
      </c>
      <c r="D13" s="124">
        <f t="shared" ref="D13:N13" si="3">SUM(D14:D65)</f>
        <v>0</v>
      </c>
      <c r="E13" s="124">
        <f t="shared" si="3"/>
        <v>0</v>
      </c>
      <c r="F13" s="124">
        <f t="shared" si="3"/>
        <v>0</v>
      </c>
      <c r="G13" s="124">
        <f t="shared" si="3"/>
        <v>0</v>
      </c>
      <c r="H13" s="124">
        <f t="shared" si="3"/>
        <v>0</v>
      </c>
      <c r="I13" s="124">
        <f t="shared" si="3"/>
        <v>0</v>
      </c>
      <c r="J13" s="124">
        <f t="shared" si="3"/>
        <v>0</v>
      </c>
      <c r="K13" s="124">
        <f t="shared" si="3"/>
        <v>0</v>
      </c>
      <c r="L13" s="124">
        <f t="shared" si="3"/>
        <v>0</v>
      </c>
      <c r="M13" s="124">
        <f t="shared" si="3"/>
        <v>0</v>
      </c>
      <c r="N13" s="124">
        <f t="shared" si="3"/>
        <v>0</v>
      </c>
      <c r="O13" s="124">
        <f>SUM(O14:O65)</f>
        <v>0</v>
      </c>
      <c r="AQ13" s="66"/>
      <c r="AR13" s="66"/>
      <c r="AS13" s="66"/>
      <c r="AT13" s="66"/>
      <c r="AV13" s="65"/>
      <c r="AW13" s="65"/>
      <c r="AX13" s="65"/>
      <c r="AY13" s="65"/>
      <c r="BA13" s="67"/>
      <c r="BB13" s="67"/>
      <c r="BC13" s="67"/>
      <c r="BD13" s="67"/>
      <c r="BF13" s="64"/>
      <c r="BG13" s="64"/>
      <c r="BH13" s="64"/>
      <c r="BI13" s="64"/>
    </row>
    <row r="14" spans="1:61" ht="11.25" customHeight="1">
      <c r="A14" s="28"/>
      <c r="B14" s="29" t="s">
        <v>101</v>
      </c>
      <c r="C14" s="131">
        <f>SUMIF('内訳ﾘｽﾄ(4～3月)'!$D$26:$D$582,$B14,'内訳ﾘｽﾄ(4～3月)'!F$26:F$582)</f>
        <v>0</v>
      </c>
      <c r="D14" s="131">
        <f>SUMIF('内訳ﾘｽﾄ(4～3月)'!$D$26:$D$582,$B14,'内訳ﾘｽﾄ(4～3月)'!G$26:G$582)</f>
        <v>0</v>
      </c>
      <c r="E14" s="131">
        <f>SUMIF('内訳ﾘｽﾄ(4～3月)'!$D$26:$D$582,$B14,'内訳ﾘｽﾄ(4～3月)'!H$26:H$582)</f>
        <v>0</v>
      </c>
      <c r="F14" s="131">
        <f>SUMIF('内訳ﾘｽﾄ(4～3月)'!$D$26:$D$582,$B14,'内訳ﾘｽﾄ(4～3月)'!I$26:I$582)</f>
        <v>0</v>
      </c>
      <c r="G14" s="131">
        <f>SUMIF('内訳ﾘｽﾄ(4～3月)'!$D$26:$D$582,$B14,'内訳ﾘｽﾄ(4～3月)'!J$26:J$582)</f>
        <v>0</v>
      </c>
      <c r="H14" s="131">
        <f>SUMIF('内訳ﾘｽﾄ(4～3月)'!$D$26:$D$582,$B14,'内訳ﾘｽﾄ(4～3月)'!K$26:K$582)</f>
        <v>0</v>
      </c>
      <c r="I14" s="131">
        <f>SUMIF('内訳ﾘｽﾄ(4～3月)'!$D$26:$D$582,$B14,'内訳ﾘｽﾄ(4～3月)'!L$26:L$582)</f>
        <v>0</v>
      </c>
      <c r="J14" s="131">
        <f>SUMIF('内訳ﾘｽﾄ(4～3月)'!$D$26:$D$582,$B14,'内訳ﾘｽﾄ(4～3月)'!M$26:M$582)</f>
        <v>0</v>
      </c>
      <c r="K14" s="131">
        <f>SUMIF('内訳ﾘｽﾄ(4～3月)'!$D$26:$D$582,$B14,'内訳ﾘｽﾄ(4～3月)'!N$26:N$582)</f>
        <v>0</v>
      </c>
      <c r="L14" s="131">
        <f>SUMIF('内訳ﾘｽﾄ(4～3月)'!$D$26:$D$582,$B14,'内訳ﾘｽﾄ(4～3月)'!O$26:O$582)</f>
        <v>0</v>
      </c>
      <c r="M14" s="131">
        <f>SUMIF('内訳ﾘｽﾄ(4～3月)'!$D$26:$D$582,$B14,'内訳ﾘｽﾄ(4～3月)'!P$26:P$582)</f>
        <v>0</v>
      </c>
      <c r="N14" s="131">
        <f>SUMIF('内訳ﾘｽﾄ(4～3月)'!$D$26:$D$582,$B14,'内訳ﾘｽﾄ(4～3月)'!Q$26:Q$582)</f>
        <v>0</v>
      </c>
      <c r="O14" s="131">
        <f>SUMIF('内訳ﾘｽﾄ(4～3月)'!$D$26:$D$373,'採算表(VND)'!$B14,'内訳ﾘｽﾄ(4～3月)'!R$26:R$373)</f>
        <v>0</v>
      </c>
      <c r="AQ14" s="66"/>
      <c r="AR14" s="66"/>
      <c r="AS14" s="66"/>
      <c r="AT14" s="66"/>
      <c r="AU14" s="64"/>
      <c r="AV14" s="65"/>
      <c r="AW14" s="65"/>
      <c r="AX14" s="65"/>
      <c r="AY14" s="65"/>
      <c r="BA14" s="67"/>
      <c r="BB14" s="67"/>
      <c r="BC14" s="67"/>
      <c r="BD14" s="67"/>
      <c r="BF14" s="64"/>
      <c r="BG14" s="64"/>
      <c r="BH14" s="64"/>
      <c r="BI14" s="64"/>
    </row>
    <row r="15" spans="1:61" ht="11.25" customHeight="1">
      <c r="A15" s="28"/>
      <c r="B15" s="29" t="s">
        <v>124</v>
      </c>
      <c r="C15" s="131">
        <f>SUMIF('内訳ﾘｽﾄ(4～3月)'!$D$26:$D$582,$B15,'内訳ﾘｽﾄ(4～3月)'!F$26:F$582)</f>
        <v>0</v>
      </c>
      <c r="D15" s="131">
        <f>SUMIF('内訳ﾘｽﾄ(4～3月)'!$D$26:$D$582,$B15,'内訳ﾘｽﾄ(4～3月)'!G$26:G$582)</f>
        <v>0</v>
      </c>
      <c r="E15" s="131">
        <f>SUMIF('内訳ﾘｽﾄ(4～3月)'!$D$26:$D$582,$B15,'内訳ﾘｽﾄ(4～3月)'!H$26:H$582)</f>
        <v>0</v>
      </c>
      <c r="F15" s="131">
        <f>SUMIF('内訳ﾘｽﾄ(4～3月)'!$D$26:$D$582,$B15,'内訳ﾘｽﾄ(4～3月)'!I$26:I$582)</f>
        <v>0</v>
      </c>
      <c r="G15" s="131">
        <f>SUMIF('内訳ﾘｽﾄ(4～3月)'!$D$26:$D$582,$B15,'内訳ﾘｽﾄ(4～3月)'!J$26:J$582)</f>
        <v>0</v>
      </c>
      <c r="H15" s="131">
        <f>SUMIF('内訳ﾘｽﾄ(4～3月)'!$D$26:$D$582,$B15,'内訳ﾘｽﾄ(4～3月)'!K$26:K$582)</f>
        <v>0</v>
      </c>
      <c r="I15" s="131">
        <f>SUMIF('内訳ﾘｽﾄ(4～3月)'!$D$26:$D$582,$B15,'内訳ﾘｽﾄ(4～3月)'!L$26:L$582)</f>
        <v>0</v>
      </c>
      <c r="J15" s="131">
        <f>SUMIF('内訳ﾘｽﾄ(4～3月)'!$D$26:$D$582,$B15,'内訳ﾘｽﾄ(4～3月)'!M$26:M$582)</f>
        <v>0</v>
      </c>
      <c r="K15" s="131">
        <f>SUMIF('内訳ﾘｽﾄ(4～3月)'!$D$26:$D$582,$B15,'内訳ﾘｽﾄ(4～3月)'!N$26:N$582)</f>
        <v>0</v>
      </c>
      <c r="L15" s="131">
        <f>SUMIF('内訳ﾘｽﾄ(4～3月)'!$D$26:$D$582,$B15,'内訳ﾘｽﾄ(4～3月)'!O$26:O$582)</f>
        <v>0</v>
      </c>
      <c r="M15" s="131">
        <f>SUMIF('内訳ﾘｽﾄ(4～3月)'!$D$26:$D$582,$B15,'内訳ﾘｽﾄ(4～3月)'!P$26:P$582)</f>
        <v>0</v>
      </c>
      <c r="N15" s="131">
        <f>SUMIF('内訳ﾘｽﾄ(4～3月)'!$D$26:$D$582,$B15,'内訳ﾘｽﾄ(4～3月)'!Q$26:Q$582)</f>
        <v>0</v>
      </c>
      <c r="O15" s="131">
        <f>SUMIF('内訳ﾘｽﾄ(4～3月)'!$D$26:$D$373,'採算表(VND)'!$B15,'内訳ﾘｽﾄ(4～3月)'!R$26:R$373)</f>
        <v>0</v>
      </c>
      <c r="AQ15" s="66"/>
      <c r="AR15" s="66"/>
      <c r="AS15" s="66"/>
      <c r="AT15" s="66"/>
      <c r="AU15" s="64"/>
      <c r="AV15" s="65"/>
      <c r="AW15" s="65"/>
      <c r="AX15" s="65"/>
      <c r="AY15" s="65"/>
      <c r="BA15" s="67"/>
      <c r="BB15" s="67"/>
      <c r="BC15" s="67"/>
      <c r="BD15" s="67"/>
      <c r="BF15" s="64"/>
      <c r="BG15" s="64"/>
      <c r="BH15" s="64"/>
      <c r="BI15" s="64"/>
    </row>
    <row r="16" spans="1:61" ht="11.25" customHeight="1">
      <c r="A16" s="28"/>
      <c r="B16" s="29" t="s">
        <v>120</v>
      </c>
      <c r="C16" s="131">
        <f>SUMIF('内訳ﾘｽﾄ(4～3月)'!$D$26:$D$582,$B16,'内訳ﾘｽﾄ(4～3月)'!F$26:F$582)</f>
        <v>0</v>
      </c>
      <c r="D16" s="131">
        <f>SUMIF('内訳ﾘｽﾄ(4～3月)'!$D$26:$D$582,$B16,'内訳ﾘｽﾄ(4～3月)'!G$26:G$582)</f>
        <v>0</v>
      </c>
      <c r="E16" s="131">
        <f>SUMIF('内訳ﾘｽﾄ(4～3月)'!$D$26:$D$582,$B16,'内訳ﾘｽﾄ(4～3月)'!H$26:H$582)</f>
        <v>0</v>
      </c>
      <c r="F16" s="131">
        <f>SUMIF('内訳ﾘｽﾄ(4～3月)'!$D$26:$D$582,$B16,'内訳ﾘｽﾄ(4～3月)'!I$26:I$582)</f>
        <v>0</v>
      </c>
      <c r="G16" s="131">
        <f>SUMIF('内訳ﾘｽﾄ(4～3月)'!$D$26:$D$582,$B16,'内訳ﾘｽﾄ(4～3月)'!J$26:J$582)</f>
        <v>0</v>
      </c>
      <c r="H16" s="131">
        <f>SUMIF('内訳ﾘｽﾄ(4～3月)'!$D$26:$D$582,$B16,'内訳ﾘｽﾄ(4～3月)'!K$26:K$582)</f>
        <v>0</v>
      </c>
      <c r="I16" s="131">
        <f>SUMIF('内訳ﾘｽﾄ(4～3月)'!$D$26:$D$582,$B16,'内訳ﾘｽﾄ(4～3月)'!L$26:L$582)</f>
        <v>0</v>
      </c>
      <c r="J16" s="131">
        <f>SUMIF('内訳ﾘｽﾄ(4～3月)'!$D$26:$D$582,$B16,'内訳ﾘｽﾄ(4～3月)'!M$26:M$582)</f>
        <v>0</v>
      </c>
      <c r="K16" s="131">
        <f>SUMIF('内訳ﾘｽﾄ(4～3月)'!$D$26:$D$582,$B16,'内訳ﾘｽﾄ(4～3月)'!N$26:N$582)</f>
        <v>0</v>
      </c>
      <c r="L16" s="131">
        <f>SUMIF('内訳ﾘｽﾄ(4～3月)'!$D$26:$D$582,$B16,'内訳ﾘｽﾄ(4～3月)'!O$26:O$582)</f>
        <v>0</v>
      </c>
      <c r="M16" s="131">
        <f>SUMIF('内訳ﾘｽﾄ(4～3月)'!$D$26:$D$582,$B16,'内訳ﾘｽﾄ(4～3月)'!P$26:P$582)</f>
        <v>0</v>
      </c>
      <c r="N16" s="131">
        <f>SUMIF('内訳ﾘｽﾄ(4～3月)'!$D$26:$D$582,$B16,'内訳ﾘｽﾄ(4～3月)'!Q$26:Q$582)</f>
        <v>0</v>
      </c>
      <c r="O16" s="131">
        <f>SUMIF('内訳ﾘｽﾄ(4～3月)'!$D$26:$D$373,'採算表(VND)'!$B16,'内訳ﾘｽﾄ(4～3月)'!R$26:R$373)</f>
        <v>0</v>
      </c>
      <c r="AQ16" s="66"/>
      <c r="AR16" s="66"/>
      <c r="AS16" s="66"/>
      <c r="AT16" s="66"/>
      <c r="AU16" s="64"/>
      <c r="AV16" s="65"/>
      <c r="AW16" s="65"/>
      <c r="AX16" s="65"/>
      <c r="AY16" s="65"/>
      <c r="BA16" s="67"/>
      <c r="BB16" s="67"/>
      <c r="BC16" s="67"/>
      <c r="BD16" s="67"/>
      <c r="BF16" s="64"/>
      <c r="BG16" s="64"/>
      <c r="BH16" s="64"/>
      <c r="BI16" s="64"/>
    </row>
    <row r="17" spans="1:61" ht="11.25" customHeight="1">
      <c r="A17" s="28"/>
      <c r="B17" s="30" t="s">
        <v>102</v>
      </c>
      <c r="C17" s="132">
        <f>SUMIF('内訳ﾘｽﾄ(4～3月)'!$D$26:$D$582,$B17,'内訳ﾘｽﾄ(4～3月)'!F$26:F$582)</f>
        <v>0</v>
      </c>
      <c r="D17" s="132">
        <f>SUMIF('内訳ﾘｽﾄ(4～3月)'!$D$26:$D$582,$B17,'内訳ﾘｽﾄ(4～3月)'!G$26:G$582)</f>
        <v>0</v>
      </c>
      <c r="E17" s="132">
        <f>SUMIF('内訳ﾘｽﾄ(4～3月)'!$D$26:$D$582,$B17,'内訳ﾘｽﾄ(4～3月)'!H$26:H$582)</f>
        <v>0</v>
      </c>
      <c r="F17" s="132">
        <f>SUMIF('内訳ﾘｽﾄ(4～3月)'!$D$26:$D$582,$B17,'内訳ﾘｽﾄ(4～3月)'!I$26:I$582)</f>
        <v>0</v>
      </c>
      <c r="G17" s="132">
        <f>SUMIF('内訳ﾘｽﾄ(4～3月)'!$D$26:$D$582,$B17,'内訳ﾘｽﾄ(4～3月)'!J$26:J$582)</f>
        <v>0</v>
      </c>
      <c r="H17" s="132">
        <f>SUMIF('内訳ﾘｽﾄ(4～3月)'!$D$26:$D$582,$B17,'内訳ﾘｽﾄ(4～3月)'!K$26:K$582)</f>
        <v>0</v>
      </c>
      <c r="I17" s="132">
        <f>SUMIF('内訳ﾘｽﾄ(4～3月)'!$D$26:$D$582,$B17,'内訳ﾘｽﾄ(4～3月)'!L$26:L$582)</f>
        <v>0</v>
      </c>
      <c r="J17" s="132">
        <f>SUMIF('内訳ﾘｽﾄ(4～3月)'!$D$26:$D$582,$B17,'内訳ﾘｽﾄ(4～3月)'!M$26:M$582)</f>
        <v>0</v>
      </c>
      <c r="K17" s="132">
        <f>SUMIF('内訳ﾘｽﾄ(4～3月)'!$D$26:$D$582,$B17,'内訳ﾘｽﾄ(4～3月)'!N$26:N$582)</f>
        <v>0</v>
      </c>
      <c r="L17" s="132">
        <f>SUMIF('内訳ﾘｽﾄ(4～3月)'!$D$26:$D$582,$B17,'内訳ﾘｽﾄ(4～3月)'!O$26:O$582)</f>
        <v>0</v>
      </c>
      <c r="M17" s="132">
        <f>SUMIF('内訳ﾘｽﾄ(4～3月)'!$D$26:$D$582,$B17,'内訳ﾘｽﾄ(4～3月)'!P$26:P$582)</f>
        <v>0</v>
      </c>
      <c r="N17" s="132">
        <f>SUMIF('内訳ﾘｽﾄ(4～3月)'!$D$26:$D$582,$B17,'内訳ﾘｽﾄ(4～3月)'!Q$26:Q$582)</f>
        <v>0</v>
      </c>
      <c r="O17" s="132">
        <f>SUMIF('内訳ﾘｽﾄ(4～3月)'!$D$26:$D$373,'採算表(VND)'!$B17,'内訳ﾘｽﾄ(4～3月)'!R$26:R$373)</f>
        <v>0</v>
      </c>
      <c r="AQ17" s="66"/>
      <c r="AR17" s="66"/>
      <c r="AS17" s="66"/>
      <c r="AT17" s="66"/>
      <c r="AU17" s="64"/>
      <c r="AV17" s="65"/>
      <c r="AW17" s="65"/>
      <c r="AX17" s="65"/>
      <c r="AY17" s="65"/>
      <c r="BA17" s="67"/>
      <c r="BB17" s="67"/>
      <c r="BC17" s="67"/>
      <c r="BD17" s="67"/>
      <c r="BF17" s="64"/>
      <c r="BG17" s="64"/>
      <c r="BH17" s="64"/>
      <c r="BI17" s="64"/>
    </row>
    <row r="18" spans="1:61" ht="11.25" customHeight="1">
      <c r="A18" s="28"/>
      <c r="B18" s="30" t="s">
        <v>37</v>
      </c>
      <c r="C18" s="132">
        <f>SUMIF('内訳ﾘｽﾄ(4～3月)'!$D$26:$D$582,$B18,'内訳ﾘｽﾄ(4～3月)'!F$26:F$582)</f>
        <v>0</v>
      </c>
      <c r="D18" s="132">
        <f>SUMIF('内訳ﾘｽﾄ(4～3月)'!$D$26:$D$582,$B18,'内訳ﾘｽﾄ(4～3月)'!G$26:G$582)</f>
        <v>0</v>
      </c>
      <c r="E18" s="132">
        <f>SUMIF('内訳ﾘｽﾄ(4～3月)'!$D$26:$D$582,$B18,'内訳ﾘｽﾄ(4～3月)'!H$26:H$582)</f>
        <v>0</v>
      </c>
      <c r="F18" s="132">
        <f>SUMIF('内訳ﾘｽﾄ(4～3月)'!$D$26:$D$582,$B18,'内訳ﾘｽﾄ(4～3月)'!I$26:I$582)</f>
        <v>0</v>
      </c>
      <c r="G18" s="132">
        <f>SUMIF('内訳ﾘｽﾄ(4～3月)'!$D$26:$D$582,$B18,'内訳ﾘｽﾄ(4～3月)'!J$26:J$582)</f>
        <v>0</v>
      </c>
      <c r="H18" s="132">
        <f>SUMIF('内訳ﾘｽﾄ(4～3月)'!$D$26:$D$582,$B18,'内訳ﾘｽﾄ(4～3月)'!K$26:K$582)</f>
        <v>0</v>
      </c>
      <c r="I18" s="132">
        <f>SUMIF('内訳ﾘｽﾄ(4～3月)'!$D$26:$D$582,$B18,'内訳ﾘｽﾄ(4～3月)'!L$26:L$582)</f>
        <v>0</v>
      </c>
      <c r="J18" s="132">
        <f>SUMIF('内訳ﾘｽﾄ(4～3月)'!$D$26:$D$582,$B18,'内訳ﾘｽﾄ(4～3月)'!M$26:M$582)</f>
        <v>0</v>
      </c>
      <c r="K18" s="132">
        <f>SUMIF('内訳ﾘｽﾄ(4～3月)'!$D$26:$D$582,$B18,'内訳ﾘｽﾄ(4～3月)'!N$26:N$582)</f>
        <v>0</v>
      </c>
      <c r="L18" s="132">
        <f>SUMIF('内訳ﾘｽﾄ(4～3月)'!$D$26:$D$582,$B18,'内訳ﾘｽﾄ(4～3月)'!O$26:O$582)</f>
        <v>0</v>
      </c>
      <c r="M18" s="132">
        <f>SUMIF('内訳ﾘｽﾄ(4～3月)'!$D$26:$D$582,$B18,'内訳ﾘｽﾄ(4～3月)'!P$26:P$582)</f>
        <v>0</v>
      </c>
      <c r="N18" s="132">
        <f>SUMIF('内訳ﾘｽﾄ(4～3月)'!$D$26:$D$582,$B18,'内訳ﾘｽﾄ(4～3月)'!Q$26:Q$582)</f>
        <v>0</v>
      </c>
      <c r="O18" s="132">
        <f>SUMIF('内訳ﾘｽﾄ(4～3月)'!$D$26:$D$373,'採算表(VND)'!$B18,'内訳ﾘｽﾄ(4～3月)'!R$26:R$373)</f>
        <v>0</v>
      </c>
      <c r="AQ18" s="66"/>
      <c r="AR18" s="66"/>
      <c r="AS18" s="66"/>
      <c r="AT18" s="66"/>
      <c r="AU18" s="64"/>
      <c r="AV18" s="65"/>
      <c r="AW18" s="65"/>
      <c r="AX18" s="65"/>
      <c r="AY18" s="65"/>
      <c r="BA18" s="67"/>
      <c r="BB18" s="67"/>
      <c r="BC18" s="67"/>
      <c r="BD18" s="67"/>
      <c r="BF18" s="64"/>
      <c r="BG18" s="64"/>
      <c r="BH18" s="64"/>
      <c r="BI18" s="64"/>
    </row>
    <row r="19" spans="1:61" ht="11.25" customHeight="1">
      <c r="A19" s="28"/>
      <c r="B19" s="30" t="s">
        <v>43</v>
      </c>
      <c r="C19" s="132">
        <f>SUMIF('内訳ﾘｽﾄ(4～3月)'!$D$26:$D$582,$B19,'内訳ﾘｽﾄ(4～3月)'!F$26:F$582)</f>
        <v>0</v>
      </c>
      <c r="D19" s="132">
        <f>SUMIF('内訳ﾘｽﾄ(4～3月)'!$D$26:$D$582,$B19,'内訳ﾘｽﾄ(4～3月)'!G$26:G$582)</f>
        <v>0</v>
      </c>
      <c r="E19" s="132">
        <f>SUMIF('内訳ﾘｽﾄ(4～3月)'!$D$26:$D$582,$B19,'内訳ﾘｽﾄ(4～3月)'!H$26:H$582)</f>
        <v>0</v>
      </c>
      <c r="F19" s="132">
        <f>SUMIF('内訳ﾘｽﾄ(4～3月)'!$D$26:$D$582,$B19,'内訳ﾘｽﾄ(4～3月)'!I$26:I$582)</f>
        <v>0</v>
      </c>
      <c r="G19" s="132">
        <f>SUMIF('内訳ﾘｽﾄ(4～3月)'!$D$26:$D$582,$B19,'内訳ﾘｽﾄ(4～3月)'!J$26:J$582)</f>
        <v>0</v>
      </c>
      <c r="H19" s="132">
        <f>SUMIF('内訳ﾘｽﾄ(4～3月)'!$D$26:$D$582,$B19,'内訳ﾘｽﾄ(4～3月)'!K$26:K$582)</f>
        <v>0</v>
      </c>
      <c r="I19" s="132">
        <f>SUMIF('内訳ﾘｽﾄ(4～3月)'!$D$26:$D$582,$B19,'内訳ﾘｽﾄ(4～3月)'!L$26:L$582)</f>
        <v>0</v>
      </c>
      <c r="J19" s="132">
        <f>SUMIF('内訳ﾘｽﾄ(4～3月)'!$D$26:$D$582,$B19,'内訳ﾘｽﾄ(4～3月)'!M$26:M$582)</f>
        <v>0</v>
      </c>
      <c r="K19" s="132">
        <f>SUMIF('内訳ﾘｽﾄ(4～3月)'!$D$26:$D$582,$B19,'内訳ﾘｽﾄ(4～3月)'!N$26:N$582)</f>
        <v>0</v>
      </c>
      <c r="L19" s="132">
        <f>SUMIF('内訳ﾘｽﾄ(4～3月)'!$D$26:$D$582,$B19,'内訳ﾘｽﾄ(4～3月)'!O$26:O$582)</f>
        <v>0</v>
      </c>
      <c r="M19" s="132">
        <f>SUMIF('内訳ﾘｽﾄ(4～3月)'!$D$26:$D$582,$B19,'内訳ﾘｽﾄ(4～3月)'!P$26:P$582)</f>
        <v>0</v>
      </c>
      <c r="N19" s="132">
        <f>SUMIF('内訳ﾘｽﾄ(4～3月)'!$D$26:$D$582,$B19,'内訳ﾘｽﾄ(4～3月)'!Q$26:Q$582)</f>
        <v>0</v>
      </c>
      <c r="O19" s="132">
        <f>SUMIF('内訳ﾘｽﾄ(4～3月)'!$D$26:$D$373,'採算表(VND)'!$B19,'内訳ﾘｽﾄ(4～3月)'!R$26:R$373)</f>
        <v>0</v>
      </c>
      <c r="AQ19" s="66"/>
      <c r="AR19" s="66"/>
      <c r="AS19" s="66"/>
      <c r="AT19" s="66"/>
      <c r="AU19" s="64"/>
      <c r="AV19" s="65"/>
      <c r="AW19" s="65"/>
      <c r="AX19" s="65"/>
      <c r="AY19" s="65"/>
      <c r="BA19" s="67"/>
      <c r="BB19" s="67"/>
      <c r="BC19" s="67"/>
      <c r="BD19" s="67"/>
      <c r="BF19" s="64"/>
      <c r="BG19" s="64"/>
      <c r="BH19" s="64"/>
      <c r="BI19" s="64"/>
    </row>
    <row r="20" spans="1:61" ht="10.5" customHeight="1">
      <c r="A20" s="28"/>
      <c r="B20" s="30" t="s">
        <v>45</v>
      </c>
      <c r="C20" s="132">
        <f>SUMIF('内訳ﾘｽﾄ(4～3月)'!$D$26:$D$582,$B20,'内訳ﾘｽﾄ(4～3月)'!F$26:F$582)</f>
        <v>3525001864</v>
      </c>
      <c r="D20" s="132">
        <f>SUMIF('内訳ﾘｽﾄ(4～3月)'!$D$26:$D$582,$B20,'内訳ﾘｽﾄ(4～3月)'!G$26:G$582)</f>
        <v>3620074232</v>
      </c>
      <c r="E20" s="132">
        <f>SUMIF('内訳ﾘｽﾄ(4～3月)'!$D$26:$D$582,$B20,'内訳ﾘｽﾄ(4～3月)'!H$26:H$582)</f>
        <v>3621235576</v>
      </c>
      <c r="F20" s="132">
        <f>SUMIF('内訳ﾘｽﾄ(4～3月)'!$D$26:$D$582,$B20,'内訳ﾘｽﾄ(4～3月)'!I$26:I$582)</f>
        <v>3664288729</v>
      </c>
      <c r="G20" s="132">
        <f>SUMIF('内訳ﾘｽﾄ(4～3月)'!$D$26:$D$582,$B20,'内訳ﾘｽﾄ(4～3月)'!J$26:J$582)</f>
        <v>3658419769</v>
      </c>
      <c r="H20" s="132">
        <f>SUMIF('内訳ﾘｽﾄ(4～3月)'!$D$26:$D$582,$B20,'内訳ﾘｽﾄ(4～3月)'!K$26:K$582)</f>
        <v>3647768410</v>
      </c>
      <c r="I20" s="132">
        <f>SUMIF('内訳ﾘｽﾄ(4～3月)'!$D$26:$D$582,$B20,'内訳ﾘｽﾄ(4～3月)'!L$26:L$582)</f>
        <v>3552467807</v>
      </c>
      <c r="J20" s="132">
        <f>SUMIF('内訳ﾘｽﾄ(4～3月)'!$D$26:$D$582,$B20,'内訳ﾘｽﾄ(4～3月)'!M$26:M$582)</f>
        <v>3535333106</v>
      </c>
      <c r="K20" s="132">
        <f>SUMIF('内訳ﾘｽﾄ(4～3月)'!$D$26:$D$582,$B20,'内訳ﾘｽﾄ(4～3月)'!N$26:N$582)</f>
        <v>3534975615</v>
      </c>
      <c r="L20" s="132">
        <f>SUMIF('内訳ﾘｽﾄ(4～3月)'!$D$26:$D$582,$B20,'内訳ﾘｽﾄ(4～3月)'!O$26:O$582)</f>
        <v>3445010212</v>
      </c>
      <c r="M20" s="132">
        <f>SUMIF('内訳ﾘｽﾄ(4～3月)'!$D$26:$D$582,$B20,'内訳ﾘｽﾄ(4～3月)'!P$26:P$582)</f>
        <v>3427107214</v>
      </c>
      <c r="N20" s="132">
        <f>SUMIF('内訳ﾘｽﾄ(4～3月)'!$D$26:$D$582,$B20,'内訳ﾘｽﾄ(4～3月)'!Q$26:Q$582)</f>
        <v>3427111023</v>
      </c>
      <c r="O20" s="132">
        <f>SUMIF('内訳ﾘｽﾄ(4～3月)'!$D$26:$D$373,'採算表(VND)'!$B20,'内訳ﾘｽﾄ(4～3月)'!R$26:R$373)</f>
        <v>42658793557</v>
      </c>
      <c r="AQ20" s="66"/>
      <c r="AR20" s="66"/>
      <c r="AS20" s="66"/>
      <c r="AT20" s="66"/>
      <c r="AU20" s="64"/>
      <c r="AV20" s="65"/>
      <c r="AW20" s="65"/>
      <c r="AX20" s="65"/>
      <c r="AY20" s="65"/>
      <c r="BA20" s="67"/>
      <c r="BB20" s="67"/>
      <c r="BC20" s="67"/>
      <c r="BD20" s="67"/>
      <c r="BF20" s="64"/>
      <c r="BG20" s="64"/>
      <c r="BH20" s="64"/>
      <c r="BI20" s="64"/>
    </row>
    <row r="21" spans="1:61" ht="11.25" customHeight="1">
      <c r="A21" s="28"/>
      <c r="B21" s="30" t="s">
        <v>46</v>
      </c>
      <c r="C21" s="132">
        <f>SUMIF('内訳ﾘｽﾄ(4～3月)'!$D$26:$D$582,$B21,'内訳ﾘｽﾄ(4～3月)'!F$26:F$582)</f>
        <v>0</v>
      </c>
      <c r="D21" s="132">
        <f>SUMIF('内訳ﾘｽﾄ(4～3月)'!$D$26:$D$582,$B21,'内訳ﾘｽﾄ(4～3月)'!G$26:G$582)</f>
        <v>0</v>
      </c>
      <c r="E21" s="132">
        <f>SUMIF('内訳ﾘｽﾄ(4～3月)'!$D$26:$D$582,$B21,'内訳ﾘｽﾄ(4～3月)'!H$26:H$582)</f>
        <v>0</v>
      </c>
      <c r="F21" s="132">
        <f>SUMIF('内訳ﾘｽﾄ(4～3月)'!$D$26:$D$582,$B21,'内訳ﾘｽﾄ(4～3月)'!I$26:I$582)</f>
        <v>0</v>
      </c>
      <c r="G21" s="132">
        <f>SUMIF('内訳ﾘｽﾄ(4～3月)'!$D$26:$D$582,$B21,'内訳ﾘｽﾄ(4～3月)'!J$26:J$582)</f>
        <v>0</v>
      </c>
      <c r="H21" s="132">
        <f>SUMIF('内訳ﾘｽﾄ(4～3月)'!$D$26:$D$582,$B21,'内訳ﾘｽﾄ(4～3月)'!K$26:K$582)</f>
        <v>0</v>
      </c>
      <c r="I21" s="132">
        <f>SUMIF('内訳ﾘｽﾄ(4～3月)'!$D$26:$D$582,$B21,'内訳ﾘｽﾄ(4～3月)'!L$26:L$582)</f>
        <v>0</v>
      </c>
      <c r="J21" s="132">
        <f>SUMIF('内訳ﾘｽﾄ(4～3月)'!$D$26:$D$582,$B21,'内訳ﾘｽﾄ(4～3月)'!M$26:M$582)</f>
        <v>0</v>
      </c>
      <c r="K21" s="132">
        <f>SUMIF('内訳ﾘｽﾄ(4～3月)'!$D$26:$D$582,$B21,'内訳ﾘｽﾄ(4～3月)'!N$26:N$582)</f>
        <v>0</v>
      </c>
      <c r="L21" s="132">
        <f>SUMIF('内訳ﾘｽﾄ(4～3月)'!$D$26:$D$582,$B21,'内訳ﾘｽﾄ(4～3月)'!O$26:O$582)</f>
        <v>0</v>
      </c>
      <c r="M21" s="132">
        <f>SUMIF('内訳ﾘｽﾄ(4～3月)'!$D$26:$D$582,$B21,'内訳ﾘｽﾄ(4～3月)'!P$26:P$582)</f>
        <v>0</v>
      </c>
      <c r="N21" s="132">
        <f>SUMIF('内訳ﾘｽﾄ(4～3月)'!$D$26:$D$582,$B21,'内訳ﾘｽﾄ(4～3月)'!Q$26:Q$582)</f>
        <v>0</v>
      </c>
      <c r="O21" s="132">
        <f>SUMIF('内訳ﾘｽﾄ(4～3月)'!$D$26:$D$373,'採算表(VND)'!$B21,'内訳ﾘｽﾄ(4～3月)'!R$26:R$373)</f>
        <v>0</v>
      </c>
      <c r="AQ21" s="66"/>
      <c r="AR21" s="66"/>
      <c r="AS21" s="66"/>
      <c r="AT21" s="66"/>
      <c r="AU21" s="64"/>
      <c r="AV21" s="65"/>
      <c r="AW21" s="65"/>
      <c r="AX21" s="65"/>
      <c r="AY21" s="65"/>
      <c r="BA21" s="67"/>
      <c r="BB21" s="67"/>
      <c r="BC21" s="67"/>
      <c r="BD21" s="67"/>
      <c r="BF21" s="64"/>
      <c r="BG21" s="64"/>
      <c r="BH21" s="64"/>
      <c r="BI21" s="64"/>
    </row>
    <row r="22" spans="1:61" ht="11.25" customHeight="1">
      <c r="A22" s="28"/>
      <c r="B22" s="30" t="s">
        <v>47</v>
      </c>
      <c r="C22" s="132">
        <f>SUMIF('内訳ﾘｽﾄ(4～3月)'!$D$26:$D$582,$B22,'内訳ﾘｽﾄ(4～3月)'!F$26:F$582)</f>
        <v>0</v>
      </c>
      <c r="D22" s="132">
        <f>SUMIF('内訳ﾘｽﾄ(4～3月)'!$D$26:$D$582,$B22,'内訳ﾘｽﾄ(4～3月)'!G$26:G$582)</f>
        <v>0</v>
      </c>
      <c r="E22" s="132">
        <f>SUMIF('内訳ﾘｽﾄ(4～3月)'!$D$26:$D$582,$B22,'内訳ﾘｽﾄ(4～3月)'!H$26:H$582)</f>
        <v>0</v>
      </c>
      <c r="F22" s="132">
        <f>SUMIF('内訳ﾘｽﾄ(4～3月)'!$D$26:$D$582,$B22,'内訳ﾘｽﾄ(4～3月)'!I$26:I$582)</f>
        <v>0</v>
      </c>
      <c r="G22" s="132">
        <f>SUMIF('内訳ﾘｽﾄ(4～3月)'!$D$26:$D$582,$B22,'内訳ﾘｽﾄ(4～3月)'!J$26:J$582)</f>
        <v>0</v>
      </c>
      <c r="H22" s="132">
        <f>SUMIF('内訳ﾘｽﾄ(4～3月)'!$D$26:$D$582,$B22,'内訳ﾘｽﾄ(4～3月)'!K$26:K$582)</f>
        <v>0</v>
      </c>
      <c r="I22" s="132">
        <f>SUMIF('内訳ﾘｽﾄ(4～3月)'!$D$26:$D$582,$B22,'内訳ﾘｽﾄ(4～3月)'!L$26:L$582)</f>
        <v>0</v>
      </c>
      <c r="J22" s="132">
        <f>SUMIF('内訳ﾘｽﾄ(4～3月)'!$D$26:$D$582,$B22,'内訳ﾘｽﾄ(4～3月)'!M$26:M$582)</f>
        <v>0</v>
      </c>
      <c r="K22" s="132">
        <f>SUMIF('内訳ﾘｽﾄ(4～3月)'!$D$26:$D$582,$B22,'内訳ﾘｽﾄ(4～3月)'!N$26:N$582)</f>
        <v>0</v>
      </c>
      <c r="L22" s="132">
        <f>SUMIF('内訳ﾘｽﾄ(4～3月)'!$D$26:$D$582,$B22,'内訳ﾘｽﾄ(4～3月)'!O$26:O$582)</f>
        <v>0</v>
      </c>
      <c r="M22" s="132">
        <f>SUMIF('内訳ﾘｽﾄ(4～3月)'!$D$26:$D$582,$B22,'内訳ﾘｽﾄ(4～3月)'!P$26:P$582)</f>
        <v>0</v>
      </c>
      <c r="N22" s="132">
        <f>SUMIF('内訳ﾘｽﾄ(4～3月)'!$D$26:$D$582,$B22,'内訳ﾘｽﾄ(4～3月)'!Q$26:Q$582)</f>
        <v>0</v>
      </c>
      <c r="O22" s="132">
        <f>SUMIF('内訳ﾘｽﾄ(4～3月)'!$D$26:$D$373,'採算表(VND)'!$B22,'内訳ﾘｽﾄ(4～3月)'!R$26:R$373)</f>
        <v>0</v>
      </c>
      <c r="AQ22" s="66"/>
      <c r="AR22" s="66"/>
      <c r="AS22" s="66"/>
      <c r="AT22" s="66"/>
      <c r="AU22" s="64"/>
      <c r="AV22" s="65"/>
      <c r="AW22" s="65"/>
      <c r="AX22" s="65"/>
      <c r="AY22" s="65"/>
      <c r="BA22" s="67"/>
      <c r="BB22" s="67"/>
      <c r="BC22" s="67"/>
      <c r="BD22" s="67"/>
      <c r="BF22" s="64"/>
      <c r="BG22" s="64"/>
      <c r="BH22" s="64"/>
      <c r="BI22" s="64"/>
    </row>
    <row r="23" spans="1:61" ht="11.25" customHeight="1">
      <c r="A23" s="28"/>
      <c r="B23" s="30" t="s">
        <v>49</v>
      </c>
      <c r="C23" s="132">
        <f>SUMIF('内訳ﾘｽﾄ(4～3月)'!$D$26:$D$582,$B23,'内訳ﾘｽﾄ(4～3月)'!F$26:F$582)</f>
        <v>0</v>
      </c>
      <c r="D23" s="132">
        <f>SUMIF('内訳ﾘｽﾄ(4～3月)'!$D$26:$D$582,$B23,'内訳ﾘｽﾄ(4～3月)'!G$26:G$582)</f>
        <v>0</v>
      </c>
      <c r="E23" s="132">
        <f>SUMIF('内訳ﾘｽﾄ(4～3月)'!$D$26:$D$582,$B23,'内訳ﾘｽﾄ(4～3月)'!H$26:H$582)</f>
        <v>0</v>
      </c>
      <c r="F23" s="132">
        <f>SUMIF('内訳ﾘｽﾄ(4～3月)'!$D$26:$D$582,$B23,'内訳ﾘｽﾄ(4～3月)'!I$26:I$582)</f>
        <v>0</v>
      </c>
      <c r="G23" s="132">
        <f>SUMIF('内訳ﾘｽﾄ(4～3月)'!$D$26:$D$582,$B23,'内訳ﾘｽﾄ(4～3月)'!J$26:J$582)</f>
        <v>0</v>
      </c>
      <c r="H23" s="132">
        <f>SUMIF('内訳ﾘｽﾄ(4～3月)'!$D$26:$D$582,$B23,'内訳ﾘｽﾄ(4～3月)'!K$26:K$582)</f>
        <v>0</v>
      </c>
      <c r="I23" s="132">
        <f>SUMIF('内訳ﾘｽﾄ(4～3月)'!$D$26:$D$582,$B23,'内訳ﾘｽﾄ(4～3月)'!L$26:L$582)</f>
        <v>0</v>
      </c>
      <c r="J23" s="132">
        <f>SUMIF('内訳ﾘｽﾄ(4～3月)'!$D$26:$D$582,$B23,'内訳ﾘｽﾄ(4～3月)'!M$26:M$582)</f>
        <v>0</v>
      </c>
      <c r="K23" s="132">
        <f>SUMIF('内訳ﾘｽﾄ(4～3月)'!$D$26:$D$582,$B23,'内訳ﾘｽﾄ(4～3月)'!N$26:N$582)</f>
        <v>0</v>
      </c>
      <c r="L23" s="132">
        <f>SUMIF('内訳ﾘｽﾄ(4～3月)'!$D$26:$D$582,$B23,'内訳ﾘｽﾄ(4～3月)'!O$26:O$582)</f>
        <v>0</v>
      </c>
      <c r="M23" s="132">
        <f>SUMIF('内訳ﾘｽﾄ(4～3月)'!$D$26:$D$582,$B23,'内訳ﾘｽﾄ(4～3月)'!P$26:P$582)</f>
        <v>0</v>
      </c>
      <c r="N23" s="132">
        <f>SUMIF('内訳ﾘｽﾄ(4～3月)'!$D$26:$D$582,$B23,'内訳ﾘｽﾄ(4～3月)'!Q$26:Q$582)</f>
        <v>0</v>
      </c>
      <c r="O23" s="132">
        <f>SUMIF('内訳ﾘｽﾄ(4～3月)'!$D$26:$D$373,'採算表(VND)'!$B23,'内訳ﾘｽﾄ(4～3月)'!R$26:R$373)</f>
        <v>0</v>
      </c>
      <c r="AQ23" s="66"/>
      <c r="AR23" s="66"/>
      <c r="AS23" s="66"/>
      <c r="AT23" s="66"/>
      <c r="AU23" s="64"/>
      <c r="AV23" s="65"/>
      <c r="AW23" s="65"/>
      <c r="AX23" s="65"/>
      <c r="AY23" s="65"/>
      <c r="BA23" s="67"/>
      <c r="BB23" s="67"/>
      <c r="BC23" s="67"/>
      <c r="BD23" s="67"/>
      <c r="BF23" s="64"/>
      <c r="BG23" s="64"/>
      <c r="BH23" s="64"/>
      <c r="BI23" s="64"/>
    </row>
    <row r="24" spans="1:61" ht="11.25" customHeight="1">
      <c r="A24" s="28"/>
      <c r="B24" s="30" t="s">
        <v>52</v>
      </c>
      <c r="C24" s="132">
        <f>SUMIF('内訳ﾘｽﾄ(4～3月)'!$D$26:$D$582,$B24,'内訳ﾘｽﾄ(4～3月)'!F$26:F$582)</f>
        <v>0</v>
      </c>
      <c r="D24" s="132">
        <f>SUMIF('内訳ﾘｽﾄ(4～3月)'!$D$26:$D$582,$B24,'内訳ﾘｽﾄ(4～3月)'!G$26:G$582)</f>
        <v>0</v>
      </c>
      <c r="E24" s="132">
        <f>SUMIF('内訳ﾘｽﾄ(4～3月)'!$D$26:$D$582,$B24,'内訳ﾘｽﾄ(4～3月)'!H$26:H$582)</f>
        <v>0</v>
      </c>
      <c r="F24" s="132">
        <f>SUMIF('内訳ﾘｽﾄ(4～3月)'!$D$26:$D$582,$B24,'内訳ﾘｽﾄ(4～3月)'!I$26:I$582)</f>
        <v>0</v>
      </c>
      <c r="G24" s="132">
        <f>SUMIF('内訳ﾘｽﾄ(4～3月)'!$D$26:$D$582,$B24,'内訳ﾘｽﾄ(4～3月)'!J$26:J$582)</f>
        <v>0</v>
      </c>
      <c r="H24" s="132">
        <f>SUMIF('内訳ﾘｽﾄ(4～3月)'!$D$26:$D$582,$B24,'内訳ﾘｽﾄ(4～3月)'!K$26:K$582)</f>
        <v>0</v>
      </c>
      <c r="I24" s="132">
        <f>SUMIF('内訳ﾘｽﾄ(4～3月)'!$D$26:$D$582,$B24,'内訳ﾘｽﾄ(4～3月)'!L$26:L$582)</f>
        <v>0</v>
      </c>
      <c r="J24" s="132">
        <f>SUMIF('内訳ﾘｽﾄ(4～3月)'!$D$26:$D$582,$B24,'内訳ﾘｽﾄ(4～3月)'!M$26:M$582)</f>
        <v>0</v>
      </c>
      <c r="K24" s="132">
        <f>SUMIF('内訳ﾘｽﾄ(4～3月)'!$D$26:$D$582,$B24,'内訳ﾘｽﾄ(4～3月)'!N$26:N$582)</f>
        <v>0</v>
      </c>
      <c r="L24" s="132">
        <f>SUMIF('内訳ﾘｽﾄ(4～3月)'!$D$26:$D$582,$B24,'内訳ﾘｽﾄ(4～3月)'!O$26:O$582)</f>
        <v>0</v>
      </c>
      <c r="M24" s="132">
        <f>SUMIF('内訳ﾘｽﾄ(4～3月)'!$D$26:$D$582,$B24,'内訳ﾘｽﾄ(4～3月)'!P$26:P$582)</f>
        <v>0</v>
      </c>
      <c r="N24" s="132">
        <f>SUMIF('内訳ﾘｽﾄ(4～3月)'!$D$26:$D$582,$B24,'内訳ﾘｽﾄ(4～3月)'!Q$26:Q$582)</f>
        <v>0</v>
      </c>
      <c r="O24" s="132">
        <f>SUMIF('内訳ﾘｽﾄ(4～3月)'!$D$26:$D$373,'採算表(VND)'!$B24,'内訳ﾘｽﾄ(4～3月)'!R$26:R$373)</f>
        <v>0</v>
      </c>
      <c r="AQ24" s="66"/>
      <c r="AR24" s="66"/>
      <c r="AS24" s="66"/>
      <c r="AT24" s="66"/>
      <c r="AU24" s="64"/>
      <c r="AV24" s="65"/>
      <c r="AW24" s="65"/>
      <c r="AX24" s="65"/>
      <c r="AY24" s="65"/>
      <c r="BA24" s="67"/>
      <c r="BB24" s="67"/>
      <c r="BC24" s="67"/>
      <c r="BD24" s="67"/>
      <c r="BF24" s="64"/>
      <c r="BG24" s="64"/>
      <c r="BH24" s="64"/>
      <c r="BI24" s="64"/>
    </row>
    <row r="25" spans="1:61" ht="11.25" customHeight="1">
      <c r="A25" s="28"/>
      <c r="B25" s="30" t="s">
        <v>55</v>
      </c>
      <c r="C25" s="132">
        <f>SUMIF('内訳ﾘｽﾄ(4～3月)'!$D$26:$D$582,$B25,'内訳ﾘｽﾄ(4～3月)'!F$26:F$582)</f>
        <v>23563644</v>
      </c>
      <c r="D25" s="132">
        <f>SUMIF('内訳ﾘｽﾄ(4～3月)'!$D$26:$D$582,$B25,'内訳ﾘｽﾄ(4～3月)'!G$26:G$582)</f>
        <v>21264124</v>
      </c>
      <c r="E25" s="132">
        <f>SUMIF('内訳ﾘｽﾄ(4～3月)'!$D$26:$D$582,$B25,'内訳ﾘｽﾄ(4～3月)'!H$26:H$582)</f>
        <v>25287812</v>
      </c>
      <c r="F25" s="132">
        <f>SUMIF('内訳ﾘｽﾄ(4～3月)'!$D$26:$D$582,$B25,'内訳ﾘｽﾄ(4～3月)'!I$26:I$582)</f>
        <v>229073514</v>
      </c>
      <c r="G25" s="132">
        <f>SUMIF('内訳ﾘｽﾄ(4～3月)'!$D$26:$D$582,$B25,'内訳ﾘｽﾄ(4～3月)'!J$26:J$582)</f>
        <v>23562776</v>
      </c>
      <c r="H25" s="132">
        <f>SUMIF('内訳ﾘｽﾄ(4～3月)'!$D$26:$D$582,$B25,'内訳ﾘｽﾄ(4～3月)'!K$26:K$582)</f>
        <v>20060302</v>
      </c>
      <c r="I25" s="132">
        <f>SUMIF('内訳ﾘｽﾄ(4～3月)'!$D$26:$D$582,$B25,'内訳ﾘｽﾄ(4～3月)'!L$26:L$582)</f>
        <v>23601374</v>
      </c>
      <c r="J25" s="132">
        <f>SUMIF('内訳ﾘｽﾄ(4～3月)'!$D$26:$D$582,$B25,'内訳ﾘｽﾄ(4～3月)'!M$26:M$582)</f>
        <v>20073490</v>
      </c>
      <c r="K25" s="132">
        <f>SUMIF('内訳ﾘｽﾄ(4～3月)'!$D$26:$D$582,$B25,'内訳ﾘｽﾄ(4～3月)'!N$26:N$582)</f>
        <v>23589292</v>
      </c>
      <c r="L25" s="132">
        <f>SUMIF('内訳ﾘｽﾄ(4～3月)'!$D$26:$D$582,$B25,'内訳ﾘｽﾄ(4～3月)'!O$26:O$582)</f>
        <v>20643378</v>
      </c>
      <c r="M25" s="132">
        <f>SUMIF('内訳ﾘｽﾄ(4～3月)'!$D$26:$D$582,$B25,'内訳ﾘｽﾄ(4～3月)'!P$26:P$582)</f>
        <v>23500126</v>
      </c>
      <c r="N25" s="132">
        <f>SUMIF('内訳ﾘｽﾄ(4～3月)'!$D$26:$D$582,$B25,'内訳ﾘｽﾄ(4～3月)'!Q$26:Q$582)</f>
        <v>21273280</v>
      </c>
      <c r="O25" s="132">
        <f>SUMIF('内訳ﾘｽﾄ(4～3月)'!$D$26:$D$373,'採算表(VND)'!$B25,'内訳ﾘｽﾄ(4～3月)'!R$26:R$373)</f>
        <v>475493112</v>
      </c>
      <c r="AQ25" s="66"/>
      <c r="AR25" s="66"/>
      <c r="AS25" s="66"/>
      <c r="AT25" s="66"/>
      <c r="AU25" s="64"/>
      <c r="AV25" s="65"/>
      <c r="AW25" s="65"/>
      <c r="AX25" s="65"/>
      <c r="AY25" s="65"/>
      <c r="BA25" s="67"/>
      <c r="BB25" s="67"/>
      <c r="BC25" s="67"/>
      <c r="BD25" s="67"/>
      <c r="BF25" s="69"/>
      <c r="BG25" s="64"/>
      <c r="BH25" s="64"/>
      <c r="BI25" s="64"/>
    </row>
    <row r="26" spans="1:61" ht="11.25" customHeight="1">
      <c r="A26" s="28"/>
      <c r="B26" s="31" t="s">
        <v>104</v>
      </c>
      <c r="C26" s="132">
        <f>SUMIF('内訳ﾘｽﾄ(4～3月)'!$D$26:$D$582,$B26,'内訳ﾘｽﾄ(4～3月)'!F$26:F$582)</f>
        <v>22000000</v>
      </c>
      <c r="D26" s="132">
        <f>SUMIF('内訳ﾘｽﾄ(4～3月)'!$D$26:$D$582,$B26,'内訳ﾘｽﾄ(4～3月)'!G$26:G$582)</f>
        <v>22000000</v>
      </c>
      <c r="E26" s="132">
        <f>SUMIF('内訳ﾘｽﾄ(4～3月)'!$D$26:$D$582,$B26,'内訳ﾘｽﾄ(4～3月)'!H$26:H$582)</f>
        <v>22000000</v>
      </c>
      <c r="F26" s="132">
        <f>SUMIF('内訳ﾘｽﾄ(4～3月)'!$D$26:$D$582,$B26,'内訳ﾘｽﾄ(4～3月)'!I$26:I$582)</f>
        <v>22000000</v>
      </c>
      <c r="G26" s="132">
        <f>SUMIF('内訳ﾘｽﾄ(4～3月)'!$D$26:$D$582,$B26,'内訳ﾘｽﾄ(4～3月)'!J$26:J$582)</f>
        <v>22000000</v>
      </c>
      <c r="H26" s="132">
        <f>SUMIF('内訳ﾘｽﾄ(4～3月)'!$D$26:$D$582,$B26,'内訳ﾘｽﾄ(4～3月)'!K$26:K$582)</f>
        <v>22000000</v>
      </c>
      <c r="I26" s="132">
        <f>SUMIF('内訳ﾘｽﾄ(4～3月)'!$D$26:$D$582,$B26,'内訳ﾘｽﾄ(4～3月)'!L$26:L$582)</f>
        <v>22000000</v>
      </c>
      <c r="J26" s="132">
        <f>SUMIF('内訳ﾘｽﾄ(4～3月)'!$D$26:$D$582,$B26,'内訳ﾘｽﾄ(4～3月)'!M$26:M$582)</f>
        <v>22000000</v>
      </c>
      <c r="K26" s="132">
        <f>SUMIF('内訳ﾘｽﾄ(4～3月)'!$D$26:$D$582,$B26,'内訳ﾘｽﾄ(4～3月)'!N$26:N$582)</f>
        <v>0</v>
      </c>
      <c r="L26" s="132">
        <f>SUMIF('内訳ﾘｽﾄ(4～3月)'!$D$26:$D$582,$B26,'内訳ﾘｽﾄ(4～3月)'!O$26:O$582)</f>
        <v>0</v>
      </c>
      <c r="M26" s="132">
        <f>SUMIF('内訳ﾘｽﾄ(4～3月)'!$D$26:$D$582,$B26,'内訳ﾘｽﾄ(4～3月)'!P$26:P$582)</f>
        <v>0</v>
      </c>
      <c r="N26" s="132">
        <f>SUMIF('内訳ﾘｽﾄ(4～3月)'!$D$26:$D$582,$B26,'内訳ﾘｽﾄ(4～3月)'!Q$26:Q$582)</f>
        <v>0</v>
      </c>
      <c r="O26" s="132">
        <f>SUMIF('内訳ﾘｽﾄ(4～3月)'!$D$26:$D$373,'採算表(VND)'!$B26,'内訳ﾘｽﾄ(4～3月)'!R$26:R$373)</f>
        <v>176000000</v>
      </c>
      <c r="AQ26" s="66"/>
      <c r="AR26" s="66"/>
      <c r="AS26" s="66"/>
      <c r="AT26" s="66"/>
      <c r="AU26" s="64"/>
      <c r="AV26" s="65"/>
      <c r="AW26" s="65"/>
      <c r="AX26" s="65"/>
      <c r="AY26" s="65"/>
      <c r="BA26" s="67"/>
      <c r="BB26" s="67"/>
      <c r="BC26" s="67"/>
      <c r="BD26" s="67"/>
      <c r="BF26" s="64"/>
      <c r="BG26" s="64"/>
      <c r="BH26" s="64"/>
      <c r="BI26" s="64"/>
    </row>
    <row r="27" spans="1:61" ht="11.25" customHeight="1">
      <c r="A27" s="28"/>
      <c r="B27" s="31" t="s">
        <v>54</v>
      </c>
      <c r="C27" s="132">
        <f>SUMIF('内訳ﾘｽﾄ(4～3月)'!$D$26:$D$582,$B27,'内訳ﾘｽﾄ(4～3月)'!F$26:F$582)</f>
        <v>0</v>
      </c>
      <c r="D27" s="132">
        <f>SUMIF('内訳ﾘｽﾄ(4～3月)'!$D$26:$D$582,$B27,'内訳ﾘｽﾄ(4～3月)'!G$26:G$582)</f>
        <v>0</v>
      </c>
      <c r="E27" s="132">
        <f>SUMIF('内訳ﾘｽﾄ(4～3月)'!$D$26:$D$582,$B27,'内訳ﾘｽﾄ(4～3月)'!H$26:H$582)</f>
        <v>0</v>
      </c>
      <c r="F27" s="132">
        <f>SUMIF('内訳ﾘｽﾄ(4～3月)'!$D$26:$D$582,$B27,'内訳ﾘｽﾄ(4～3月)'!I$26:I$582)</f>
        <v>0</v>
      </c>
      <c r="G27" s="132">
        <f>SUMIF('内訳ﾘｽﾄ(4～3月)'!$D$26:$D$582,$B27,'内訳ﾘｽﾄ(4～3月)'!J$26:J$582)</f>
        <v>0</v>
      </c>
      <c r="H27" s="132">
        <f>SUMIF('内訳ﾘｽﾄ(4～3月)'!$D$26:$D$582,$B27,'内訳ﾘｽﾄ(4～3月)'!K$26:K$582)</f>
        <v>0</v>
      </c>
      <c r="I27" s="132">
        <f>SUMIF('内訳ﾘｽﾄ(4～3月)'!$D$26:$D$582,$B27,'内訳ﾘｽﾄ(4～3月)'!L$26:L$582)</f>
        <v>0</v>
      </c>
      <c r="J27" s="132">
        <f>SUMIF('内訳ﾘｽﾄ(4～3月)'!$D$26:$D$582,$B27,'内訳ﾘｽﾄ(4～3月)'!M$26:M$582)</f>
        <v>0</v>
      </c>
      <c r="K27" s="132">
        <f>SUMIF('内訳ﾘｽﾄ(4～3月)'!$D$26:$D$582,$B27,'内訳ﾘｽﾄ(4～3月)'!N$26:N$582)</f>
        <v>0</v>
      </c>
      <c r="L27" s="132">
        <f>SUMIF('内訳ﾘｽﾄ(4～3月)'!$D$26:$D$582,$B27,'内訳ﾘｽﾄ(4～3月)'!O$26:O$582)</f>
        <v>0</v>
      </c>
      <c r="M27" s="132">
        <f>SUMIF('内訳ﾘｽﾄ(4～3月)'!$D$26:$D$582,$B27,'内訳ﾘｽﾄ(4～3月)'!P$26:P$582)</f>
        <v>0</v>
      </c>
      <c r="N27" s="132">
        <f>SUMIF('内訳ﾘｽﾄ(4～3月)'!$D$26:$D$582,$B27,'内訳ﾘｽﾄ(4～3月)'!Q$26:Q$582)</f>
        <v>0</v>
      </c>
      <c r="O27" s="132">
        <f>SUMIF('内訳ﾘｽﾄ(4～3月)'!$D$26:$D$373,'採算表(VND)'!$B27,'内訳ﾘｽﾄ(4～3月)'!R$26:R$373)</f>
        <v>0</v>
      </c>
      <c r="AQ27" s="66"/>
      <c r="AR27" s="66"/>
      <c r="AS27" s="66"/>
      <c r="AT27" s="66"/>
      <c r="AU27" s="64"/>
      <c r="AV27" s="65"/>
      <c r="AW27" s="65"/>
      <c r="AX27" s="65"/>
      <c r="AY27" s="65"/>
      <c r="BA27" s="67"/>
      <c r="BB27" s="67"/>
      <c r="BC27" s="67"/>
      <c r="BD27" s="67"/>
      <c r="BF27" s="64"/>
      <c r="BG27" s="64"/>
      <c r="BH27" s="64"/>
      <c r="BI27" s="64"/>
    </row>
    <row r="28" spans="1:61" ht="11.25" customHeight="1">
      <c r="A28" s="28"/>
      <c r="B28" s="31" t="s">
        <v>56</v>
      </c>
      <c r="C28" s="132">
        <f>SUMIF('内訳ﾘｽﾄ(4～3月)'!$D$26:$D$582,$B28,'内訳ﾘｽﾄ(4～3月)'!F$26:F$582)</f>
        <v>0</v>
      </c>
      <c r="D28" s="132">
        <f>SUMIF('内訳ﾘｽﾄ(4～3月)'!$D$26:$D$582,$B28,'内訳ﾘｽﾄ(4～3月)'!G$26:G$582)</f>
        <v>0</v>
      </c>
      <c r="E28" s="132">
        <f>SUMIF('内訳ﾘｽﾄ(4～3月)'!$D$26:$D$582,$B28,'内訳ﾘｽﾄ(4～3月)'!H$26:H$582)</f>
        <v>0</v>
      </c>
      <c r="F28" s="132">
        <f>SUMIF('内訳ﾘｽﾄ(4～3月)'!$D$26:$D$582,$B28,'内訳ﾘｽﾄ(4～3月)'!I$26:I$582)</f>
        <v>0</v>
      </c>
      <c r="G28" s="132">
        <f>SUMIF('内訳ﾘｽﾄ(4～3月)'!$D$26:$D$582,$B28,'内訳ﾘｽﾄ(4～3月)'!J$26:J$582)</f>
        <v>0</v>
      </c>
      <c r="H28" s="132">
        <f>SUMIF('内訳ﾘｽﾄ(4～3月)'!$D$26:$D$582,$B28,'内訳ﾘｽﾄ(4～3月)'!K$26:K$582)</f>
        <v>0</v>
      </c>
      <c r="I28" s="132">
        <f>SUMIF('内訳ﾘｽﾄ(4～3月)'!$D$26:$D$582,$B28,'内訳ﾘｽﾄ(4～3月)'!L$26:L$582)</f>
        <v>0</v>
      </c>
      <c r="J28" s="132">
        <f>SUMIF('内訳ﾘｽﾄ(4～3月)'!$D$26:$D$582,$B28,'内訳ﾘｽﾄ(4～3月)'!M$26:M$582)</f>
        <v>0</v>
      </c>
      <c r="K28" s="132">
        <f>SUMIF('内訳ﾘｽﾄ(4～3月)'!$D$26:$D$582,$B28,'内訳ﾘｽﾄ(4～3月)'!N$26:N$582)</f>
        <v>0</v>
      </c>
      <c r="L28" s="132">
        <f>SUMIF('内訳ﾘｽﾄ(4～3月)'!$D$26:$D$582,$B28,'内訳ﾘｽﾄ(4～3月)'!O$26:O$582)</f>
        <v>0</v>
      </c>
      <c r="M28" s="132">
        <f>SUMIF('内訳ﾘｽﾄ(4～3月)'!$D$26:$D$582,$B28,'内訳ﾘｽﾄ(4～3月)'!P$26:P$582)</f>
        <v>0</v>
      </c>
      <c r="N28" s="132">
        <f>SUMIF('内訳ﾘｽﾄ(4～3月)'!$D$26:$D$582,$B28,'内訳ﾘｽﾄ(4～3月)'!Q$26:Q$582)</f>
        <v>0</v>
      </c>
      <c r="O28" s="132">
        <f>SUMIF('内訳ﾘｽﾄ(4～3月)'!$D$26:$D$373,'採算表(VND)'!$B28,'内訳ﾘｽﾄ(4～3月)'!R$26:R$373)</f>
        <v>0</v>
      </c>
      <c r="AQ28" s="66"/>
      <c r="AR28" s="66"/>
      <c r="AS28" s="66"/>
      <c r="AT28" s="66"/>
      <c r="AU28" s="64"/>
      <c r="AV28" s="65"/>
      <c r="AW28" s="65"/>
      <c r="AX28" s="65"/>
      <c r="AY28" s="65"/>
      <c r="BA28" s="67"/>
      <c r="BB28" s="67"/>
      <c r="BC28" s="67"/>
      <c r="BD28" s="67"/>
      <c r="BF28" s="69"/>
      <c r="BG28" s="64"/>
      <c r="BH28" s="64"/>
      <c r="BI28" s="64"/>
    </row>
    <row r="29" spans="1:61" ht="11.25" customHeight="1">
      <c r="A29" s="28"/>
      <c r="B29" s="31" t="s">
        <v>57</v>
      </c>
      <c r="C29" s="132">
        <f>SUMIF('内訳ﾘｽﾄ(4～3月)'!$D$26:$D$582,$B29,'内訳ﾘｽﾄ(4～3月)'!F$26:F$582)</f>
        <v>0</v>
      </c>
      <c r="D29" s="132">
        <f>SUMIF('内訳ﾘｽﾄ(4～3月)'!$D$26:$D$582,$B29,'内訳ﾘｽﾄ(4～3月)'!G$26:G$582)</f>
        <v>0</v>
      </c>
      <c r="E29" s="132">
        <f>SUMIF('内訳ﾘｽﾄ(4～3月)'!$D$26:$D$582,$B29,'内訳ﾘｽﾄ(4～3月)'!H$26:H$582)</f>
        <v>0</v>
      </c>
      <c r="F29" s="132">
        <f>SUMIF('内訳ﾘｽﾄ(4～3月)'!$D$26:$D$582,$B29,'内訳ﾘｽﾄ(4～3月)'!I$26:I$582)</f>
        <v>0</v>
      </c>
      <c r="G29" s="132">
        <f>SUMIF('内訳ﾘｽﾄ(4～3月)'!$D$26:$D$582,$B29,'内訳ﾘｽﾄ(4～3月)'!J$26:J$582)</f>
        <v>0</v>
      </c>
      <c r="H29" s="132">
        <f>SUMIF('内訳ﾘｽﾄ(4～3月)'!$D$26:$D$582,$B29,'内訳ﾘｽﾄ(4～3月)'!K$26:K$582)</f>
        <v>0</v>
      </c>
      <c r="I29" s="132">
        <f>SUMIF('内訳ﾘｽﾄ(4～3月)'!$D$26:$D$582,$B29,'内訳ﾘｽﾄ(4～3月)'!L$26:L$582)</f>
        <v>0</v>
      </c>
      <c r="J29" s="132">
        <f>SUMIF('内訳ﾘｽﾄ(4～3月)'!$D$26:$D$582,$B29,'内訳ﾘｽﾄ(4～3月)'!M$26:M$582)</f>
        <v>0</v>
      </c>
      <c r="K29" s="132">
        <f>SUMIF('内訳ﾘｽﾄ(4～3月)'!$D$26:$D$582,$B29,'内訳ﾘｽﾄ(4～3月)'!N$26:N$582)</f>
        <v>0</v>
      </c>
      <c r="L29" s="132">
        <f>SUMIF('内訳ﾘｽﾄ(4～3月)'!$D$26:$D$582,$B29,'内訳ﾘｽﾄ(4～3月)'!O$26:O$582)</f>
        <v>0</v>
      </c>
      <c r="M29" s="132">
        <f>SUMIF('内訳ﾘｽﾄ(4～3月)'!$D$26:$D$582,$B29,'内訳ﾘｽﾄ(4～3月)'!P$26:P$582)</f>
        <v>0</v>
      </c>
      <c r="N29" s="132">
        <f>SUMIF('内訳ﾘｽﾄ(4～3月)'!$D$26:$D$582,$B29,'内訳ﾘｽﾄ(4～3月)'!Q$26:Q$582)</f>
        <v>0</v>
      </c>
      <c r="O29" s="132">
        <f>SUMIF('内訳ﾘｽﾄ(4～3月)'!$D$26:$D$373,'採算表(VND)'!$B29,'内訳ﾘｽﾄ(4～3月)'!R$26:R$373)</f>
        <v>0</v>
      </c>
      <c r="AQ29" s="66"/>
      <c r="AR29" s="66"/>
      <c r="AS29" s="66"/>
      <c r="AT29" s="66"/>
      <c r="AU29" s="64"/>
      <c r="AV29" s="65"/>
      <c r="AW29" s="65"/>
      <c r="AX29" s="65"/>
      <c r="AY29" s="65"/>
      <c r="BA29" s="67"/>
      <c r="BB29" s="67"/>
      <c r="BC29" s="67"/>
      <c r="BD29" s="67"/>
      <c r="BF29" s="64"/>
      <c r="BG29" s="64"/>
      <c r="BH29" s="64"/>
      <c r="BI29" s="64"/>
    </row>
    <row r="30" spans="1:61" ht="11.25" customHeight="1">
      <c r="A30" s="28"/>
      <c r="B30" s="31" t="s">
        <v>97</v>
      </c>
      <c r="C30" s="132">
        <f>SUMIF('内訳ﾘｽﾄ(4～3月)'!$D$26:$D$582,$B30,'内訳ﾘｽﾄ(4～3月)'!F$26:F$582)</f>
        <v>101063976</v>
      </c>
      <c r="D30" s="132">
        <f>SUMIF('内訳ﾘｽﾄ(4～3月)'!$D$26:$D$582,$B30,'内訳ﾘｽﾄ(4～3月)'!G$26:G$582)</f>
        <v>103373391</v>
      </c>
      <c r="E30" s="132">
        <f>SUMIF('内訳ﾘｽﾄ(4～3月)'!$D$26:$D$582,$B30,'内訳ﾘｽﾄ(4～3月)'!H$26:H$582)</f>
        <v>129935648</v>
      </c>
      <c r="F30" s="132">
        <f>SUMIF('内訳ﾘｽﾄ(4～3月)'!$D$26:$D$582,$B30,'内訳ﾘｽﾄ(4～3月)'!I$26:I$582)</f>
        <v>140089762</v>
      </c>
      <c r="G30" s="132">
        <f>SUMIF('内訳ﾘｽﾄ(4～3月)'!$D$26:$D$582,$B30,'内訳ﾘｽﾄ(4～3月)'!J$26:J$582)</f>
        <v>144904182</v>
      </c>
      <c r="H30" s="132">
        <f>SUMIF('内訳ﾘｽﾄ(4～3月)'!$D$26:$D$582,$B30,'内訳ﾘｽﾄ(4～3月)'!K$26:K$582)</f>
        <v>132867012</v>
      </c>
      <c r="I30" s="132">
        <f>SUMIF('内訳ﾘｽﾄ(4～3月)'!$D$26:$D$582,$B30,'内訳ﾘｽﾄ(4～3月)'!L$26:L$582)</f>
        <v>133940652</v>
      </c>
      <c r="J30" s="132">
        <f>SUMIF('内訳ﾘｽﾄ(4～3月)'!$D$26:$D$582,$B30,'内訳ﾘｽﾄ(4～3月)'!M$26:M$582)</f>
        <v>119998832</v>
      </c>
      <c r="K30" s="132">
        <f>SUMIF('内訳ﾘｽﾄ(4～3月)'!$D$26:$D$582,$B30,'内訳ﾘｽﾄ(4～3月)'!N$26:N$582)</f>
        <v>115086123</v>
      </c>
      <c r="L30" s="132">
        <f>SUMIF('内訳ﾘｽﾄ(4～3月)'!$D$26:$D$582,$B30,'内訳ﾘｽﾄ(4～3月)'!O$26:O$582)</f>
        <v>100878758</v>
      </c>
      <c r="M30" s="132">
        <f>SUMIF('内訳ﾘｽﾄ(4～3月)'!$D$26:$D$582,$B30,'内訳ﾘｽﾄ(4～3月)'!P$26:P$582)</f>
        <v>101488265</v>
      </c>
      <c r="N30" s="132">
        <f>SUMIF('内訳ﾘｽﾄ(4～3月)'!$D$26:$D$582,$B30,'内訳ﾘｽﾄ(4～3月)'!Q$26:Q$582)</f>
        <v>80169763</v>
      </c>
      <c r="O30" s="132">
        <f>SUMIF('内訳ﾘｽﾄ(4～3月)'!$D$26:$D$373,'採算表(VND)'!$B30,'内訳ﾘｽﾄ(4～3月)'!R$26:R$373)</f>
        <v>1403796364</v>
      </c>
      <c r="AQ30" s="66"/>
      <c r="AR30" s="66"/>
      <c r="AS30" s="66"/>
      <c r="AT30" s="66"/>
      <c r="AU30" s="64"/>
      <c r="AV30" s="65"/>
      <c r="AW30" s="65"/>
      <c r="AX30" s="65"/>
      <c r="AY30" s="65"/>
      <c r="BA30" s="67"/>
      <c r="BB30" s="67"/>
      <c r="BC30" s="67"/>
      <c r="BD30" s="67"/>
      <c r="BF30" s="64"/>
      <c r="BG30" s="64"/>
      <c r="BH30" s="64"/>
      <c r="BI30" s="64"/>
    </row>
    <row r="31" spans="1:61" ht="11.25" customHeight="1">
      <c r="A31" s="28"/>
      <c r="B31" s="31" t="s">
        <v>59</v>
      </c>
      <c r="C31" s="132">
        <f>SUMIF('内訳ﾘｽﾄ(4～3月)'!$D$26:$D$582,$B31,'内訳ﾘｽﾄ(4～3月)'!F$26:F$582)</f>
        <v>2565996750</v>
      </c>
      <c r="D31" s="132">
        <f>SUMIF('内訳ﾘｽﾄ(4～3月)'!$D$26:$D$582,$B31,'内訳ﾘｽﾄ(4～3月)'!G$26:G$582)</f>
        <v>7165726750</v>
      </c>
      <c r="E31" s="132">
        <f>SUMIF('内訳ﾘｽﾄ(4～3月)'!$D$26:$D$582,$B31,'内訳ﾘｽﾄ(4～3月)'!H$26:H$582)</f>
        <v>5043281750</v>
      </c>
      <c r="F31" s="132">
        <f>SUMIF('内訳ﾘｽﾄ(4～3月)'!$D$26:$D$582,$B31,'内訳ﾘｽﾄ(4～3月)'!I$26:I$582)</f>
        <v>4866401750</v>
      </c>
      <c r="G31" s="132">
        <f>SUMIF('内訳ﾘｽﾄ(4～3月)'!$D$26:$D$582,$B31,'内訳ﾘｽﾄ(4～3月)'!J$26:J$582)</f>
        <v>2010721750</v>
      </c>
      <c r="H31" s="132">
        <f>SUMIF('内訳ﾘｽﾄ(4～3月)'!$D$26:$D$582,$B31,'内訳ﾘｽﾄ(4～3月)'!K$26:K$582)</f>
        <v>959676750</v>
      </c>
      <c r="I31" s="132">
        <f>SUMIF('内訳ﾘｽﾄ(4～3月)'!$D$26:$D$582,$B31,'内訳ﾘｽﾄ(4～3月)'!L$26:L$582)</f>
        <v>1283982750</v>
      </c>
      <c r="J31" s="132">
        <f>SUMIF('内訳ﾘｽﾄ(4～3月)'!$D$26:$D$582,$B31,'内訳ﾘｽﾄ(4～3月)'!M$26:M$582)</f>
        <v>2992626750</v>
      </c>
      <c r="K31" s="132">
        <f>SUMIF('内訳ﾘｽﾄ(4～3月)'!$D$26:$D$582,$B31,'内訳ﾘｽﾄ(4～3月)'!N$26:N$582)</f>
        <v>2607772750</v>
      </c>
      <c r="L31" s="132">
        <f>SUMIF('内訳ﾘｽﾄ(4～3月)'!$D$26:$D$582,$B31,'内訳ﾘｽﾄ(4～3月)'!O$26:O$582)</f>
        <v>1576401750</v>
      </c>
      <c r="M31" s="132">
        <f>SUMIF('内訳ﾘｽﾄ(4～3月)'!$D$26:$D$582,$B31,'内訳ﾘｽﾄ(4～3月)'!P$26:P$582)</f>
        <v>554012750</v>
      </c>
      <c r="N31" s="132">
        <f>SUMIF('内訳ﾘｽﾄ(4～3月)'!$D$26:$D$582,$B31,'内訳ﾘｽﾄ(4～3月)'!Q$26:Q$582)</f>
        <v>757916750</v>
      </c>
      <c r="O31" s="132">
        <f>SUMIF('内訳ﾘｽﾄ(4～3月)'!$D$26:$D$373,'採算表(VND)'!$B31,'内訳ﾘｽﾄ(4～3月)'!R$26:R$373)</f>
        <v>32714519000</v>
      </c>
      <c r="AQ31" s="66"/>
      <c r="AR31" s="66"/>
      <c r="AS31" s="66"/>
      <c r="AT31" s="66"/>
      <c r="AU31" s="64"/>
      <c r="AV31" s="65"/>
      <c r="AW31" s="65"/>
      <c r="AX31" s="65"/>
      <c r="AY31" s="65"/>
      <c r="BA31" s="67"/>
      <c r="BB31" s="67"/>
      <c r="BC31" s="67"/>
      <c r="BD31" s="67"/>
      <c r="BF31" s="68"/>
      <c r="BG31" s="64"/>
      <c r="BH31" s="64"/>
      <c r="BI31" s="64"/>
    </row>
    <row r="32" spans="1:61" ht="11.25" customHeight="1">
      <c r="A32" s="32"/>
      <c r="B32" s="31" t="s">
        <v>61</v>
      </c>
      <c r="C32" s="132">
        <f>SUMIF('内訳ﾘｽﾄ(4～3月)'!$D$26:$D$582,$B32,'内訳ﾘｽﾄ(4～3月)'!F$26:F$582)</f>
        <v>0</v>
      </c>
      <c r="D32" s="132">
        <f>SUMIF('内訳ﾘｽﾄ(4～3月)'!$D$26:$D$582,$B32,'内訳ﾘｽﾄ(4～3月)'!G$26:G$582)</f>
        <v>0</v>
      </c>
      <c r="E32" s="132">
        <f>SUMIF('内訳ﾘｽﾄ(4～3月)'!$D$26:$D$582,$B32,'内訳ﾘｽﾄ(4～3月)'!H$26:H$582)</f>
        <v>0</v>
      </c>
      <c r="F32" s="132">
        <f>SUMIF('内訳ﾘｽﾄ(4～3月)'!$D$26:$D$582,$B32,'内訳ﾘｽﾄ(4～3月)'!I$26:I$582)</f>
        <v>0</v>
      </c>
      <c r="G32" s="132">
        <f>SUMIF('内訳ﾘｽﾄ(4～3月)'!$D$26:$D$582,$B32,'内訳ﾘｽﾄ(4～3月)'!J$26:J$582)</f>
        <v>0</v>
      </c>
      <c r="H32" s="132">
        <f>SUMIF('内訳ﾘｽﾄ(4～3月)'!$D$26:$D$582,$B32,'内訳ﾘｽﾄ(4～3月)'!K$26:K$582)</f>
        <v>0</v>
      </c>
      <c r="I32" s="132">
        <f>SUMIF('内訳ﾘｽﾄ(4～3月)'!$D$26:$D$582,$B32,'内訳ﾘｽﾄ(4～3月)'!L$26:L$582)</f>
        <v>0</v>
      </c>
      <c r="J32" s="132">
        <f>SUMIF('内訳ﾘｽﾄ(4～3月)'!$D$26:$D$582,$B32,'内訳ﾘｽﾄ(4～3月)'!M$26:M$582)</f>
        <v>0</v>
      </c>
      <c r="K32" s="132">
        <f>SUMIF('内訳ﾘｽﾄ(4～3月)'!$D$26:$D$582,$B32,'内訳ﾘｽﾄ(4～3月)'!N$26:N$582)</f>
        <v>0</v>
      </c>
      <c r="L32" s="132">
        <f>SUMIF('内訳ﾘｽﾄ(4～3月)'!$D$26:$D$582,$B32,'内訳ﾘｽﾄ(4～3月)'!O$26:O$582)</f>
        <v>0</v>
      </c>
      <c r="M32" s="132">
        <f>SUMIF('内訳ﾘｽﾄ(4～3月)'!$D$26:$D$582,$B32,'内訳ﾘｽﾄ(4～3月)'!P$26:P$582)</f>
        <v>0</v>
      </c>
      <c r="N32" s="132">
        <f>SUMIF('内訳ﾘｽﾄ(4～3月)'!$D$26:$D$582,$B32,'内訳ﾘｽﾄ(4～3月)'!Q$26:Q$582)</f>
        <v>0</v>
      </c>
      <c r="O32" s="132">
        <f>SUMIF('内訳ﾘｽﾄ(4～3月)'!$D$26:$D$373,'採算表(VND)'!$B32,'内訳ﾘｽﾄ(4～3月)'!R$26:R$373)</f>
        <v>0</v>
      </c>
      <c r="AQ32" s="66"/>
      <c r="AR32" s="66"/>
      <c r="AS32" s="66"/>
      <c r="AT32" s="66"/>
      <c r="AU32" s="64"/>
      <c r="AV32" s="65"/>
      <c r="AW32" s="65"/>
      <c r="AX32" s="65"/>
      <c r="AY32" s="65"/>
      <c r="BA32" s="67"/>
      <c r="BB32" s="67"/>
      <c r="BC32" s="67"/>
      <c r="BD32" s="67"/>
      <c r="BF32" s="68"/>
      <c r="BG32" s="64"/>
      <c r="BH32" s="64"/>
      <c r="BI32" s="64"/>
    </row>
    <row r="33" spans="1:61" ht="11.25" customHeight="1">
      <c r="A33" s="32"/>
      <c r="B33" s="31" t="s">
        <v>60</v>
      </c>
      <c r="C33" s="132">
        <f>SUMIF('内訳ﾘｽﾄ(4～3月)'!$D$26:$D$582,$B33,'内訳ﾘｽﾄ(4～3月)'!F$26:F$582)</f>
        <v>0</v>
      </c>
      <c r="D33" s="132">
        <f>SUMIF('内訳ﾘｽﾄ(4～3月)'!$D$26:$D$582,$B33,'内訳ﾘｽﾄ(4～3月)'!G$26:G$582)</f>
        <v>0</v>
      </c>
      <c r="E33" s="132">
        <f>SUMIF('内訳ﾘｽﾄ(4～3月)'!$D$26:$D$582,$B33,'内訳ﾘｽﾄ(4～3月)'!H$26:H$582)</f>
        <v>0</v>
      </c>
      <c r="F33" s="132">
        <f>SUMIF('内訳ﾘｽﾄ(4～3月)'!$D$26:$D$582,$B33,'内訳ﾘｽﾄ(4～3月)'!I$26:I$582)</f>
        <v>0</v>
      </c>
      <c r="G33" s="132">
        <f>SUMIF('内訳ﾘｽﾄ(4～3月)'!$D$26:$D$582,$B33,'内訳ﾘｽﾄ(4～3月)'!J$26:J$582)</f>
        <v>0</v>
      </c>
      <c r="H33" s="132">
        <f>SUMIF('内訳ﾘｽﾄ(4～3月)'!$D$26:$D$582,$B33,'内訳ﾘｽﾄ(4～3月)'!K$26:K$582)</f>
        <v>0</v>
      </c>
      <c r="I33" s="132">
        <f>SUMIF('内訳ﾘｽﾄ(4～3月)'!$D$26:$D$582,$B33,'内訳ﾘｽﾄ(4～3月)'!L$26:L$582)</f>
        <v>0</v>
      </c>
      <c r="J33" s="132">
        <f>SUMIF('内訳ﾘｽﾄ(4～3月)'!$D$26:$D$582,$B33,'内訳ﾘｽﾄ(4～3月)'!M$26:M$582)</f>
        <v>0</v>
      </c>
      <c r="K33" s="132">
        <f>SUMIF('内訳ﾘｽﾄ(4～3月)'!$D$26:$D$582,$B33,'内訳ﾘｽﾄ(4～3月)'!N$26:N$582)</f>
        <v>0</v>
      </c>
      <c r="L33" s="132">
        <f>SUMIF('内訳ﾘｽﾄ(4～3月)'!$D$26:$D$582,$B33,'内訳ﾘｽﾄ(4～3月)'!O$26:O$582)</f>
        <v>0</v>
      </c>
      <c r="M33" s="132">
        <f>SUMIF('内訳ﾘｽﾄ(4～3月)'!$D$26:$D$582,$B33,'内訳ﾘｽﾄ(4～3月)'!P$26:P$582)</f>
        <v>0</v>
      </c>
      <c r="N33" s="132">
        <f>SUMIF('内訳ﾘｽﾄ(4～3月)'!$D$26:$D$582,$B33,'内訳ﾘｽﾄ(4～3月)'!Q$26:Q$582)</f>
        <v>0</v>
      </c>
      <c r="O33" s="132">
        <f>SUMIF('内訳ﾘｽﾄ(4～3月)'!$D$26:$D$373,'採算表(VND)'!$B33,'内訳ﾘｽﾄ(4～3月)'!R$26:R$373)</f>
        <v>0</v>
      </c>
      <c r="AQ33" s="66"/>
      <c r="AR33" s="66"/>
      <c r="AS33" s="66"/>
      <c r="AT33" s="66"/>
      <c r="AU33" s="64"/>
      <c r="AV33" s="65"/>
      <c r="AW33" s="65"/>
      <c r="AX33" s="65"/>
      <c r="AY33" s="65"/>
      <c r="BA33" s="67"/>
      <c r="BB33" s="67"/>
      <c r="BC33" s="67"/>
      <c r="BD33" s="67"/>
      <c r="BF33" s="64"/>
      <c r="BG33" s="64"/>
      <c r="BH33" s="64"/>
      <c r="BI33" s="64"/>
    </row>
    <row r="34" spans="1:61" ht="11.25" customHeight="1">
      <c r="A34" s="32"/>
      <c r="B34" s="31" t="s">
        <v>65</v>
      </c>
      <c r="C34" s="132">
        <f>SUMIF('内訳ﾘｽﾄ(4～3月)'!$D$26:$D$582,$B34,'内訳ﾘｽﾄ(4～3月)'!F$26:F$582)</f>
        <v>0</v>
      </c>
      <c r="D34" s="132">
        <f>SUMIF('内訳ﾘｽﾄ(4～3月)'!$D$26:$D$582,$B34,'内訳ﾘｽﾄ(4～3月)'!G$26:G$582)</f>
        <v>0</v>
      </c>
      <c r="E34" s="132">
        <f>SUMIF('内訳ﾘｽﾄ(4～3月)'!$D$26:$D$582,$B34,'内訳ﾘｽﾄ(4～3月)'!H$26:H$582)</f>
        <v>0</v>
      </c>
      <c r="F34" s="132">
        <f>SUMIF('内訳ﾘｽﾄ(4～3月)'!$D$26:$D$582,$B34,'内訳ﾘｽﾄ(4～3月)'!I$26:I$582)</f>
        <v>0</v>
      </c>
      <c r="G34" s="132">
        <f>SUMIF('内訳ﾘｽﾄ(4～3月)'!$D$26:$D$582,$B34,'内訳ﾘｽﾄ(4～3月)'!J$26:J$582)</f>
        <v>0</v>
      </c>
      <c r="H34" s="132">
        <f>SUMIF('内訳ﾘｽﾄ(4～3月)'!$D$26:$D$582,$B34,'内訳ﾘｽﾄ(4～3月)'!K$26:K$582)</f>
        <v>0</v>
      </c>
      <c r="I34" s="132">
        <f>SUMIF('内訳ﾘｽﾄ(4～3月)'!$D$26:$D$582,$B34,'内訳ﾘｽﾄ(4～3月)'!L$26:L$582)</f>
        <v>0</v>
      </c>
      <c r="J34" s="132">
        <f>SUMIF('内訳ﾘｽﾄ(4～3月)'!$D$26:$D$582,$B34,'内訳ﾘｽﾄ(4～3月)'!M$26:M$582)</f>
        <v>0</v>
      </c>
      <c r="K34" s="132">
        <f>SUMIF('内訳ﾘｽﾄ(4～3月)'!$D$26:$D$582,$B34,'内訳ﾘｽﾄ(4～3月)'!N$26:N$582)</f>
        <v>0</v>
      </c>
      <c r="L34" s="132">
        <f>SUMIF('内訳ﾘｽﾄ(4～3月)'!$D$26:$D$582,$B34,'内訳ﾘｽﾄ(4～3月)'!O$26:O$582)</f>
        <v>0</v>
      </c>
      <c r="M34" s="132">
        <f>SUMIF('内訳ﾘｽﾄ(4～3月)'!$D$26:$D$582,$B34,'内訳ﾘｽﾄ(4～3月)'!P$26:P$582)</f>
        <v>0</v>
      </c>
      <c r="N34" s="132">
        <f>SUMIF('内訳ﾘｽﾄ(4～3月)'!$D$26:$D$582,$B34,'内訳ﾘｽﾄ(4～3月)'!Q$26:Q$582)</f>
        <v>0</v>
      </c>
      <c r="O34" s="132">
        <f>SUMIF('内訳ﾘｽﾄ(4～3月)'!$D$26:$D$373,'採算表(VND)'!$B34,'内訳ﾘｽﾄ(4～3月)'!R$26:R$373)</f>
        <v>0</v>
      </c>
      <c r="AQ34" s="66"/>
      <c r="AR34" s="66"/>
      <c r="AS34" s="66"/>
      <c r="AT34" s="66"/>
      <c r="AU34" s="64"/>
      <c r="AV34" s="65"/>
      <c r="AW34" s="65"/>
      <c r="AX34" s="65"/>
      <c r="AY34" s="65"/>
      <c r="BA34" s="67"/>
      <c r="BB34" s="67"/>
      <c r="BC34" s="67"/>
      <c r="BD34" s="67"/>
      <c r="BF34" s="64"/>
      <c r="BG34" s="64"/>
      <c r="BH34" s="64"/>
      <c r="BI34" s="64"/>
    </row>
    <row r="35" spans="1:61" ht="11.25" customHeight="1">
      <c r="A35" s="32"/>
      <c r="B35" s="31" t="s">
        <v>44</v>
      </c>
      <c r="C35" s="132">
        <f>SUMIF('内訳ﾘｽﾄ(4～3月)'!$D$26:$D$582,$B35,'内訳ﾘｽﾄ(4～3月)'!F$26:F$582)</f>
        <v>0</v>
      </c>
      <c r="D35" s="132">
        <f>SUMIF('内訳ﾘｽﾄ(4～3月)'!$D$26:$D$582,$B35,'内訳ﾘｽﾄ(4～3月)'!G$26:G$582)</f>
        <v>0</v>
      </c>
      <c r="E35" s="132">
        <f>SUMIF('内訳ﾘｽﾄ(4～3月)'!$D$26:$D$582,$B35,'内訳ﾘｽﾄ(4～3月)'!H$26:H$582)</f>
        <v>0</v>
      </c>
      <c r="F35" s="132">
        <f>SUMIF('内訳ﾘｽﾄ(4～3月)'!$D$26:$D$582,$B35,'内訳ﾘｽﾄ(4～3月)'!I$26:I$582)</f>
        <v>0</v>
      </c>
      <c r="G35" s="132">
        <f>SUMIF('内訳ﾘｽﾄ(4～3月)'!$D$26:$D$582,$B35,'内訳ﾘｽﾄ(4～3月)'!J$26:J$582)</f>
        <v>0</v>
      </c>
      <c r="H35" s="132">
        <f>SUMIF('内訳ﾘｽﾄ(4～3月)'!$D$26:$D$582,$B35,'内訳ﾘｽﾄ(4～3月)'!K$26:K$582)</f>
        <v>0</v>
      </c>
      <c r="I35" s="132">
        <f>SUMIF('内訳ﾘｽﾄ(4～3月)'!$D$26:$D$582,$B35,'内訳ﾘｽﾄ(4～3月)'!L$26:L$582)</f>
        <v>0</v>
      </c>
      <c r="J35" s="132">
        <f>SUMIF('内訳ﾘｽﾄ(4～3月)'!$D$26:$D$582,$B35,'内訳ﾘｽﾄ(4～3月)'!M$26:M$582)</f>
        <v>0</v>
      </c>
      <c r="K35" s="132">
        <f>SUMIF('内訳ﾘｽﾄ(4～3月)'!$D$26:$D$582,$B35,'内訳ﾘｽﾄ(4～3月)'!N$26:N$582)</f>
        <v>0</v>
      </c>
      <c r="L35" s="132">
        <f>SUMIF('内訳ﾘｽﾄ(4～3月)'!$D$26:$D$582,$B35,'内訳ﾘｽﾄ(4～3月)'!O$26:O$582)</f>
        <v>0</v>
      </c>
      <c r="M35" s="132">
        <f>SUMIF('内訳ﾘｽﾄ(4～3月)'!$D$26:$D$582,$B35,'内訳ﾘｽﾄ(4～3月)'!P$26:P$582)</f>
        <v>0</v>
      </c>
      <c r="N35" s="132">
        <f>SUMIF('内訳ﾘｽﾄ(4～3月)'!$D$26:$D$582,$B35,'内訳ﾘｽﾄ(4～3月)'!Q$26:Q$582)</f>
        <v>0</v>
      </c>
      <c r="O35" s="132">
        <f>SUMIF('内訳ﾘｽﾄ(4～3月)'!$D$26:$D$373,'採算表(VND)'!$B35,'内訳ﾘｽﾄ(4～3月)'!R$26:R$373)</f>
        <v>0</v>
      </c>
      <c r="AQ35" s="66"/>
      <c r="AR35" s="66"/>
      <c r="AS35" s="66"/>
      <c r="AT35" s="66"/>
      <c r="AU35" s="64"/>
      <c r="AV35" s="65"/>
      <c r="AW35" s="65"/>
      <c r="AX35" s="65"/>
      <c r="AY35" s="65"/>
      <c r="BA35" s="67"/>
      <c r="BB35" s="67"/>
      <c r="BC35" s="67"/>
      <c r="BD35" s="67"/>
      <c r="BF35" s="64"/>
      <c r="BG35" s="64"/>
      <c r="BH35" s="64"/>
      <c r="BI35" s="64"/>
    </row>
    <row r="36" spans="1:61" ht="11.25" customHeight="1">
      <c r="A36" s="32"/>
      <c r="B36" s="31" t="s">
        <v>63</v>
      </c>
      <c r="C36" s="132">
        <f>SUMIF('内訳ﾘｽﾄ(4～3月)'!$D$26:$D$582,$B36,'内訳ﾘｽﾄ(4～3月)'!F$26:F$582)</f>
        <v>0</v>
      </c>
      <c r="D36" s="132">
        <f>SUMIF('内訳ﾘｽﾄ(4～3月)'!$D$26:$D$582,$B36,'内訳ﾘｽﾄ(4～3月)'!G$26:G$582)</f>
        <v>0</v>
      </c>
      <c r="E36" s="132">
        <f>SUMIF('内訳ﾘｽﾄ(4～3月)'!$D$26:$D$582,$B36,'内訳ﾘｽﾄ(4～3月)'!H$26:H$582)</f>
        <v>0</v>
      </c>
      <c r="F36" s="132">
        <f>SUMIF('内訳ﾘｽﾄ(4～3月)'!$D$26:$D$582,$B36,'内訳ﾘｽﾄ(4～3月)'!I$26:I$582)</f>
        <v>0</v>
      </c>
      <c r="G36" s="132">
        <f>SUMIF('内訳ﾘｽﾄ(4～3月)'!$D$26:$D$582,$B36,'内訳ﾘｽﾄ(4～3月)'!J$26:J$582)</f>
        <v>0</v>
      </c>
      <c r="H36" s="132">
        <f>SUMIF('内訳ﾘｽﾄ(4～3月)'!$D$26:$D$582,$B36,'内訳ﾘｽﾄ(4～3月)'!K$26:K$582)</f>
        <v>0</v>
      </c>
      <c r="I36" s="132">
        <f>SUMIF('内訳ﾘｽﾄ(4～3月)'!$D$26:$D$582,$B36,'内訳ﾘｽﾄ(4～3月)'!L$26:L$582)</f>
        <v>0</v>
      </c>
      <c r="J36" s="132">
        <f>SUMIF('内訳ﾘｽﾄ(4～3月)'!$D$26:$D$582,$B36,'内訳ﾘｽﾄ(4～3月)'!M$26:M$582)</f>
        <v>0</v>
      </c>
      <c r="K36" s="132">
        <f>SUMIF('内訳ﾘｽﾄ(4～3月)'!$D$26:$D$582,$B36,'内訳ﾘｽﾄ(4～3月)'!N$26:N$582)</f>
        <v>0</v>
      </c>
      <c r="L36" s="132">
        <f>SUMIF('内訳ﾘｽﾄ(4～3月)'!$D$26:$D$582,$B36,'内訳ﾘｽﾄ(4～3月)'!O$26:O$582)</f>
        <v>0</v>
      </c>
      <c r="M36" s="132">
        <f>SUMIF('内訳ﾘｽﾄ(4～3月)'!$D$26:$D$582,$B36,'内訳ﾘｽﾄ(4～3月)'!P$26:P$582)</f>
        <v>0</v>
      </c>
      <c r="N36" s="132">
        <f>SUMIF('内訳ﾘｽﾄ(4～3月)'!$D$26:$D$582,$B36,'内訳ﾘｽﾄ(4～3月)'!Q$26:Q$582)</f>
        <v>0</v>
      </c>
      <c r="O36" s="132">
        <f>SUMIF('内訳ﾘｽﾄ(4～3月)'!$D$26:$D$373,'採算表(VND)'!$B36,'内訳ﾘｽﾄ(4～3月)'!R$26:R$373)</f>
        <v>0</v>
      </c>
      <c r="AQ36" s="66"/>
      <c r="AR36" s="66"/>
      <c r="AS36" s="66"/>
      <c r="AT36" s="66"/>
      <c r="AU36" s="64"/>
      <c r="AV36" s="65"/>
      <c r="AW36" s="65"/>
      <c r="AX36" s="65"/>
      <c r="AY36" s="65"/>
      <c r="BA36" s="67"/>
      <c r="BB36" s="67"/>
      <c r="BC36" s="67"/>
      <c r="BD36" s="67"/>
      <c r="BF36" s="64"/>
      <c r="BG36" s="64"/>
      <c r="BH36" s="64"/>
      <c r="BI36" s="64"/>
    </row>
    <row r="37" spans="1:61" ht="11.25" customHeight="1">
      <c r="A37" s="32"/>
      <c r="B37" s="31" t="s">
        <v>41</v>
      </c>
      <c r="C37" s="132">
        <f>SUMIF('内訳ﾘｽﾄ(4～3月)'!$D$26:$D$582,$B37,'内訳ﾘｽﾄ(4～3月)'!F$26:F$582)</f>
        <v>0</v>
      </c>
      <c r="D37" s="132">
        <f>SUMIF('内訳ﾘｽﾄ(4～3月)'!$D$26:$D$582,$B37,'内訳ﾘｽﾄ(4～3月)'!G$26:G$582)</f>
        <v>0</v>
      </c>
      <c r="E37" s="132">
        <f>SUMIF('内訳ﾘｽﾄ(4～3月)'!$D$26:$D$582,$B37,'内訳ﾘｽﾄ(4～3月)'!H$26:H$582)</f>
        <v>0</v>
      </c>
      <c r="F37" s="132">
        <f>SUMIF('内訳ﾘｽﾄ(4～3月)'!$D$26:$D$582,$B37,'内訳ﾘｽﾄ(4～3月)'!I$26:I$582)</f>
        <v>0</v>
      </c>
      <c r="G37" s="132">
        <f>SUMIF('内訳ﾘｽﾄ(4～3月)'!$D$26:$D$582,$B37,'内訳ﾘｽﾄ(4～3月)'!J$26:J$582)</f>
        <v>0</v>
      </c>
      <c r="H37" s="132">
        <f>SUMIF('内訳ﾘｽﾄ(4～3月)'!$D$26:$D$582,$B37,'内訳ﾘｽﾄ(4～3月)'!K$26:K$582)</f>
        <v>0</v>
      </c>
      <c r="I37" s="132">
        <f>SUMIF('内訳ﾘｽﾄ(4～3月)'!$D$26:$D$582,$B37,'内訳ﾘｽﾄ(4～3月)'!L$26:L$582)</f>
        <v>0</v>
      </c>
      <c r="J37" s="132">
        <f>SUMIF('内訳ﾘｽﾄ(4～3月)'!$D$26:$D$582,$B37,'内訳ﾘｽﾄ(4～3月)'!M$26:M$582)</f>
        <v>0</v>
      </c>
      <c r="K37" s="132">
        <f>SUMIF('内訳ﾘｽﾄ(4～3月)'!$D$26:$D$582,$B37,'内訳ﾘｽﾄ(4～3月)'!N$26:N$582)</f>
        <v>0</v>
      </c>
      <c r="L37" s="132">
        <f>SUMIF('内訳ﾘｽﾄ(4～3月)'!$D$26:$D$582,$B37,'内訳ﾘｽﾄ(4～3月)'!O$26:O$582)</f>
        <v>0</v>
      </c>
      <c r="M37" s="132">
        <f>SUMIF('内訳ﾘｽﾄ(4～3月)'!$D$26:$D$582,$B37,'内訳ﾘｽﾄ(4～3月)'!P$26:P$582)</f>
        <v>0</v>
      </c>
      <c r="N37" s="132">
        <f>SUMIF('内訳ﾘｽﾄ(4～3月)'!$D$26:$D$582,$B37,'内訳ﾘｽﾄ(4～3月)'!Q$26:Q$582)</f>
        <v>0</v>
      </c>
      <c r="O37" s="132">
        <f>SUMIF('内訳ﾘｽﾄ(4～3月)'!$D$26:$D$373,'採算表(VND)'!$B37,'内訳ﾘｽﾄ(4～3月)'!R$26:R$373)</f>
        <v>0</v>
      </c>
      <c r="AQ37" s="66"/>
      <c r="AR37" s="66"/>
      <c r="AS37" s="66"/>
      <c r="AT37" s="66"/>
      <c r="AU37" s="64"/>
      <c r="AV37" s="65"/>
      <c r="AW37" s="65"/>
      <c r="AX37" s="65"/>
      <c r="AY37" s="65"/>
      <c r="BA37" s="67"/>
      <c r="BB37" s="67"/>
      <c r="BC37" s="67"/>
      <c r="BD37" s="67"/>
      <c r="BF37" s="64"/>
      <c r="BG37" s="64"/>
      <c r="BH37" s="64"/>
      <c r="BI37" s="64"/>
    </row>
    <row r="38" spans="1:61" ht="11.25" customHeight="1">
      <c r="A38" s="32"/>
      <c r="B38" s="31" t="s">
        <v>48</v>
      </c>
      <c r="C38" s="132">
        <f>SUMIF('内訳ﾘｽﾄ(4～3月)'!$D$26:$D$582,$B38,'内訳ﾘｽﾄ(4～3月)'!F$26:F$582)</f>
        <v>0</v>
      </c>
      <c r="D38" s="132">
        <f>SUMIF('内訳ﾘｽﾄ(4～3月)'!$D$26:$D$582,$B38,'内訳ﾘｽﾄ(4～3月)'!G$26:G$582)</f>
        <v>0</v>
      </c>
      <c r="E38" s="132">
        <f>SUMIF('内訳ﾘｽﾄ(4～3月)'!$D$26:$D$582,$B38,'内訳ﾘｽﾄ(4～3月)'!H$26:H$582)</f>
        <v>0</v>
      </c>
      <c r="F38" s="132">
        <f>SUMIF('内訳ﾘｽﾄ(4～3月)'!$D$26:$D$582,$B38,'内訳ﾘｽﾄ(4～3月)'!I$26:I$582)</f>
        <v>0</v>
      </c>
      <c r="G38" s="132">
        <f>SUMIF('内訳ﾘｽﾄ(4～3月)'!$D$26:$D$582,$B38,'内訳ﾘｽﾄ(4～3月)'!J$26:J$582)</f>
        <v>0</v>
      </c>
      <c r="H38" s="132">
        <f>SUMIF('内訳ﾘｽﾄ(4～3月)'!$D$26:$D$582,$B38,'内訳ﾘｽﾄ(4～3月)'!K$26:K$582)</f>
        <v>0</v>
      </c>
      <c r="I38" s="132">
        <f>SUMIF('内訳ﾘｽﾄ(4～3月)'!$D$26:$D$582,$B38,'内訳ﾘｽﾄ(4～3月)'!L$26:L$582)</f>
        <v>0</v>
      </c>
      <c r="J38" s="132">
        <f>SUMIF('内訳ﾘｽﾄ(4～3月)'!$D$26:$D$582,$B38,'内訳ﾘｽﾄ(4～3月)'!M$26:M$582)</f>
        <v>0</v>
      </c>
      <c r="K38" s="132">
        <f>SUMIF('内訳ﾘｽﾄ(4～3月)'!$D$26:$D$582,$B38,'内訳ﾘｽﾄ(4～3月)'!N$26:N$582)</f>
        <v>0</v>
      </c>
      <c r="L38" s="132">
        <f>SUMIF('内訳ﾘｽﾄ(4～3月)'!$D$26:$D$582,$B38,'内訳ﾘｽﾄ(4～3月)'!O$26:O$582)</f>
        <v>0</v>
      </c>
      <c r="M38" s="132">
        <f>SUMIF('内訳ﾘｽﾄ(4～3月)'!$D$26:$D$582,$B38,'内訳ﾘｽﾄ(4～3月)'!P$26:P$582)</f>
        <v>0</v>
      </c>
      <c r="N38" s="132">
        <f>SUMIF('内訳ﾘｽﾄ(4～3月)'!$D$26:$D$582,$B38,'内訳ﾘｽﾄ(4～3月)'!Q$26:Q$582)</f>
        <v>0</v>
      </c>
      <c r="O38" s="132">
        <f>SUMIF('内訳ﾘｽﾄ(4～3月)'!$D$26:$D$373,'採算表(VND)'!$B38,'内訳ﾘｽﾄ(4～3月)'!R$26:R$373)</f>
        <v>0</v>
      </c>
      <c r="AQ38" s="66"/>
      <c r="AR38" s="66"/>
      <c r="AS38" s="66"/>
      <c r="AT38" s="66"/>
      <c r="AU38" s="64"/>
      <c r="AV38" s="65"/>
      <c r="AW38" s="65"/>
      <c r="AX38" s="65"/>
      <c r="AY38" s="65"/>
      <c r="BA38" s="67"/>
      <c r="BB38" s="67"/>
      <c r="BC38" s="67"/>
      <c r="BD38" s="67"/>
      <c r="BF38" s="64"/>
      <c r="BG38" s="64"/>
      <c r="BH38" s="64"/>
      <c r="BI38" s="64"/>
    </row>
    <row r="39" spans="1:61" ht="11.25" customHeight="1">
      <c r="A39" s="32"/>
      <c r="B39" s="31" t="s">
        <v>50</v>
      </c>
      <c r="C39" s="132">
        <f>SUMIF('内訳ﾘｽﾄ(4～3月)'!$D$26:$D$582,$B39,'内訳ﾘｽﾄ(4～3月)'!F$26:F$582)</f>
        <v>1151888858</v>
      </c>
      <c r="D39" s="132">
        <f>SUMIF('内訳ﾘｽﾄ(4～3月)'!$D$26:$D$582,$B39,'内訳ﾘｽﾄ(4～3月)'!G$26:G$582)</f>
        <v>44290468</v>
      </c>
      <c r="E39" s="132">
        <f>SUMIF('内訳ﾘｽﾄ(4～3月)'!$D$26:$D$582,$B39,'内訳ﾘｽﾄ(4～3月)'!H$26:H$582)</f>
        <v>91314814</v>
      </c>
      <c r="F39" s="132">
        <f>SUMIF('内訳ﾘｽﾄ(4～3月)'!$D$26:$D$582,$B39,'内訳ﾘｽﾄ(4～3月)'!I$26:I$582)</f>
        <v>1134847684</v>
      </c>
      <c r="G39" s="132">
        <f>SUMIF('内訳ﾘｽﾄ(4～3月)'!$D$26:$D$582,$B39,'内訳ﾘｽﾄ(4～3月)'!J$26:J$582)</f>
        <v>61226474</v>
      </c>
      <c r="H39" s="132">
        <f>SUMIF('内訳ﾘｽﾄ(4～3月)'!$D$26:$D$582,$B39,'内訳ﾘｽﾄ(4～3月)'!K$26:K$582)</f>
        <v>74194260</v>
      </c>
      <c r="I39" s="132">
        <f>SUMIF('内訳ﾘｽﾄ(4～3月)'!$D$26:$D$582,$B39,'内訳ﾘｽﾄ(4～3月)'!L$26:L$582)</f>
        <v>1164765448</v>
      </c>
      <c r="J39" s="132">
        <f>SUMIF('内訳ﾘｽﾄ(4～3月)'!$D$26:$D$582,$B39,'内訳ﾘｽﾄ(4～3月)'!M$26:M$582)</f>
        <v>44155816</v>
      </c>
      <c r="K39" s="132">
        <f>SUMIF('内訳ﾘｽﾄ(4～3月)'!$D$26:$D$582,$B39,'内訳ﾘｽﾄ(4～3月)'!N$26:N$582)</f>
        <v>91157678</v>
      </c>
      <c r="L39" s="132">
        <f>SUMIF('内訳ﾘｽﾄ(4～3月)'!$D$26:$D$582,$B39,'内訳ﾘｽﾄ(4～3月)'!O$26:O$582)</f>
        <v>1134730952</v>
      </c>
      <c r="M39" s="132">
        <f>SUMIF('内訳ﾘｽﾄ(4～3月)'!$D$26:$D$582,$B39,'内訳ﾘｽﾄ(4～3月)'!P$26:P$582)</f>
        <v>61095868</v>
      </c>
      <c r="N39" s="132">
        <f>SUMIF('内訳ﾘｽﾄ(4～3月)'!$D$26:$D$582,$B39,'内訳ﾘｽﾄ(4～3月)'!Q$26:Q$582)</f>
        <v>74123560</v>
      </c>
      <c r="O39" s="132">
        <f>SUMIF('内訳ﾘｽﾄ(4～3月)'!$D$26:$D$373,'採算表(VND)'!$B39,'内訳ﾘｽﾄ(4～3月)'!R$26:R$373)</f>
        <v>5127791880</v>
      </c>
      <c r="AQ39" s="66"/>
      <c r="AR39" s="66"/>
      <c r="AS39" s="66"/>
      <c r="AT39" s="66"/>
      <c r="AU39" s="64"/>
      <c r="AV39" s="65"/>
      <c r="AW39" s="65"/>
      <c r="AX39" s="65"/>
      <c r="AY39" s="65"/>
      <c r="BA39" s="67"/>
      <c r="BB39" s="67"/>
      <c r="BC39" s="67"/>
      <c r="BD39" s="67"/>
      <c r="BF39" s="64"/>
      <c r="BG39" s="64"/>
      <c r="BH39" s="64"/>
      <c r="BI39" s="64"/>
    </row>
    <row r="40" spans="1:61" ht="11.25" customHeight="1">
      <c r="A40" s="32"/>
      <c r="B40" s="31" t="s">
        <v>51</v>
      </c>
      <c r="C40" s="132">
        <f>SUMIF('内訳ﾘｽﾄ(4～3月)'!$D$26:$D$582,$B40,'内訳ﾘｽﾄ(4～3月)'!F$26:F$582)</f>
        <v>0</v>
      </c>
      <c r="D40" s="132">
        <f>SUMIF('内訳ﾘｽﾄ(4～3月)'!$D$26:$D$582,$B40,'内訳ﾘｽﾄ(4～3月)'!G$26:G$582)</f>
        <v>0</v>
      </c>
      <c r="E40" s="132">
        <f>SUMIF('内訳ﾘｽﾄ(4～3月)'!$D$26:$D$582,$B40,'内訳ﾘｽﾄ(4～3月)'!H$26:H$582)</f>
        <v>0</v>
      </c>
      <c r="F40" s="132">
        <f>SUMIF('内訳ﾘｽﾄ(4～3月)'!$D$26:$D$582,$B40,'内訳ﾘｽﾄ(4～3月)'!I$26:I$582)</f>
        <v>0</v>
      </c>
      <c r="G40" s="132">
        <f>SUMIF('内訳ﾘｽﾄ(4～3月)'!$D$26:$D$582,$B40,'内訳ﾘｽﾄ(4～3月)'!J$26:J$582)</f>
        <v>0</v>
      </c>
      <c r="H40" s="132">
        <f>SUMIF('内訳ﾘｽﾄ(4～3月)'!$D$26:$D$582,$B40,'内訳ﾘｽﾄ(4～3月)'!K$26:K$582)</f>
        <v>0</v>
      </c>
      <c r="I40" s="132">
        <f>SUMIF('内訳ﾘｽﾄ(4～3月)'!$D$26:$D$582,$B40,'内訳ﾘｽﾄ(4～3月)'!L$26:L$582)</f>
        <v>0</v>
      </c>
      <c r="J40" s="132">
        <f>SUMIF('内訳ﾘｽﾄ(4～3月)'!$D$26:$D$582,$B40,'内訳ﾘｽﾄ(4～3月)'!M$26:M$582)</f>
        <v>0</v>
      </c>
      <c r="K40" s="132">
        <f>SUMIF('内訳ﾘｽﾄ(4～3月)'!$D$26:$D$582,$B40,'内訳ﾘｽﾄ(4～3月)'!N$26:N$582)</f>
        <v>0</v>
      </c>
      <c r="L40" s="132">
        <f>SUMIF('内訳ﾘｽﾄ(4～3月)'!$D$26:$D$582,$B40,'内訳ﾘｽﾄ(4～3月)'!O$26:O$582)</f>
        <v>0</v>
      </c>
      <c r="M40" s="132">
        <f>SUMIF('内訳ﾘｽﾄ(4～3月)'!$D$26:$D$582,$B40,'内訳ﾘｽﾄ(4～3月)'!P$26:P$582)</f>
        <v>0</v>
      </c>
      <c r="N40" s="132">
        <f>SUMIF('内訳ﾘｽﾄ(4～3月)'!$D$26:$D$582,$B40,'内訳ﾘｽﾄ(4～3月)'!Q$26:Q$582)</f>
        <v>0</v>
      </c>
      <c r="O40" s="132">
        <f>SUMIF('内訳ﾘｽﾄ(4～3月)'!$D$26:$D$373,'採算表(VND)'!$B40,'内訳ﾘｽﾄ(4～3月)'!R$26:R$373)</f>
        <v>0</v>
      </c>
      <c r="AQ40" s="66"/>
      <c r="AR40" s="66"/>
      <c r="AS40" s="66"/>
      <c r="AT40" s="66"/>
      <c r="AU40" s="64"/>
      <c r="AV40" s="65"/>
      <c r="AW40" s="65"/>
      <c r="AX40" s="65"/>
      <c r="AY40" s="65"/>
      <c r="BA40" s="67"/>
      <c r="BB40" s="67"/>
      <c r="BC40" s="67"/>
      <c r="BD40" s="67"/>
      <c r="BF40" s="64"/>
      <c r="BG40" s="64"/>
      <c r="BH40" s="64"/>
      <c r="BI40" s="64"/>
    </row>
    <row r="41" spans="1:61" ht="11.25" customHeight="1">
      <c r="A41" s="32"/>
      <c r="B41" s="31" t="s">
        <v>58</v>
      </c>
      <c r="C41" s="132">
        <f>SUMIF('内訳ﾘｽﾄ(4～3月)'!$D$26:$D$582,$B41,'内訳ﾘｽﾄ(4～3月)'!F$26:F$582)</f>
        <v>5823456</v>
      </c>
      <c r="D41" s="132">
        <f>SUMIF('内訳ﾘｽﾄ(4～3月)'!$D$26:$D$582,$B41,'内訳ﾘｽﾄ(4～3月)'!G$26:G$582)</f>
        <v>5823456</v>
      </c>
      <c r="E41" s="132">
        <f>SUMIF('内訳ﾘｽﾄ(4～3月)'!$D$26:$D$582,$B41,'内訳ﾘｽﾄ(4～3月)'!H$26:H$582)</f>
        <v>5823456</v>
      </c>
      <c r="F41" s="132">
        <f>SUMIF('内訳ﾘｽﾄ(4～3月)'!$D$26:$D$582,$B41,'内訳ﾘｽﾄ(4～3月)'!I$26:I$582)</f>
        <v>5823456</v>
      </c>
      <c r="G41" s="132">
        <f>SUMIF('内訳ﾘｽﾄ(4～3月)'!$D$26:$D$582,$B41,'内訳ﾘｽﾄ(4～3月)'!J$26:J$582)</f>
        <v>5823456</v>
      </c>
      <c r="H41" s="132">
        <f>SUMIF('内訳ﾘｽﾄ(4～3月)'!$D$26:$D$582,$B41,'内訳ﾘｽﾄ(4～3月)'!K$26:K$582)</f>
        <v>5823456</v>
      </c>
      <c r="I41" s="132">
        <f>SUMIF('内訳ﾘｽﾄ(4～3月)'!$D$26:$D$582,$B41,'内訳ﾘｽﾄ(4～3月)'!L$26:L$582)</f>
        <v>19523456</v>
      </c>
      <c r="J41" s="132">
        <f>SUMIF('内訳ﾘｽﾄ(4～3月)'!$D$26:$D$582,$B41,'内訳ﾘｽﾄ(4～3月)'!M$26:M$582)</f>
        <v>5823456</v>
      </c>
      <c r="K41" s="132">
        <f>SUMIF('内訳ﾘｽﾄ(4～3月)'!$D$26:$D$582,$B41,'内訳ﾘｽﾄ(4～3月)'!N$26:N$582)</f>
        <v>5823456</v>
      </c>
      <c r="L41" s="132">
        <f>SUMIF('内訳ﾘｽﾄ(4～3月)'!$D$26:$D$582,$B41,'内訳ﾘｽﾄ(4～3月)'!O$26:O$582)</f>
        <v>5823456</v>
      </c>
      <c r="M41" s="132">
        <f>SUMIF('内訳ﾘｽﾄ(4～3月)'!$D$26:$D$582,$B41,'内訳ﾘｽﾄ(4～3月)'!P$26:P$582)</f>
        <v>5823456</v>
      </c>
      <c r="N41" s="132">
        <f>SUMIF('内訳ﾘｽﾄ(4～3月)'!$D$26:$D$582,$B41,'内訳ﾘｽﾄ(4～3月)'!Q$26:Q$582)</f>
        <v>5823456</v>
      </c>
      <c r="O41" s="132">
        <f>SUMIF('内訳ﾘｽﾄ(4～3月)'!$D$26:$D$373,'採算表(VND)'!$B41,'内訳ﾘｽﾄ(4～3月)'!R$26:R$373)</f>
        <v>83581472</v>
      </c>
      <c r="AQ41" s="66"/>
      <c r="AR41" s="66"/>
      <c r="AS41" s="66"/>
      <c r="AT41" s="66"/>
      <c r="AU41" s="64"/>
      <c r="AV41" s="65"/>
      <c r="AW41" s="65"/>
      <c r="AX41" s="65"/>
      <c r="AY41" s="65"/>
      <c r="BA41" s="67"/>
      <c r="BB41" s="67"/>
      <c r="BC41" s="67"/>
      <c r="BD41" s="67"/>
      <c r="BF41" s="64"/>
      <c r="BG41" s="64"/>
      <c r="BH41" s="64"/>
      <c r="BI41" s="64"/>
    </row>
    <row r="42" spans="1:61" ht="11.25" customHeight="1">
      <c r="A42" s="32"/>
      <c r="B42" s="31" t="s">
        <v>98</v>
      </c>
      <c r="C42" s="132">
        <f>SUMIF('内訳ﾘｽﾄ(4～3月)'!$D$26:$D$582,$B42,'内訳ﾘｽﾄ(4～3月)'!F$26:F$582)</f>
        <v>3200663</v>
      </c>
      <c r="D42" s="132">
        <f>SUMIF('内訳ﾘｽﾄ(4～3月)'!$D$26:$D$582,$B42,'内訳ﾘｽﾄ(4～3月)'!G$26:G$582)</f>
        <v>3200663</v>
      </c>
      <c r="E42" s="132">
        <f>SUMIF('内訳ﾘｽﾄ(4～3月)'!$D$26:$D$582,$B42,'内訳ﾘｽﾄ(4～3月)'!H$26:H$582)</f>
        <v>3200663</v>
      </c>
      <c r="F42" s="132">
        <f>SUMIF('内訳ﾘｽﾄ(4～3月)'!$D$26:$D$582,$B42,'内訳ﾘｽﾄ(4～3月)'!I$26:I$582)</f>
        <v>3200663</v>
      </c>
      <c r="G42" s="132">
        <f>SUMIF('内訳ﾘｽﾄ(4～3月)'!$D$26:$D$582,$B42,'内訳ﾘｽﾄ(4～3月)'!J$26:J$582)</f>
        <v>3200663</v>
      </c>
      <c r="H42" s="132">
        <f>SUMIF('内訳ﾘｽﾄ(4～3月)'!$D$26:$D$582,$B42,'内訳ﾘｽﾄ(4～3月)'!K$26:K$582)</f>
        <v>3200663</v>
      </c>
      <c r="I42" s="132">
        <f>SUMIF('内訳ﾘｽﾄ(4～3月)'!$D$26:$D$582,$B42,'内訳ﾘｽﾄ(4～3月)'!L$26:L$582)</f>
        <v>3284663</v>
      </c>
      <c r="J42" s="132">
        <f>SUMIF('内訳ﾘｽﾄ(4～3月)'!$D$26:$D$582,$B42,'内訳ﾘｽﾄ(4～3月)'!M$26:M$582)</f>
        <v>3211863</v>
      </c>
      <c r="K42" s="132">
        <f>SUMIF('内訳ﾘｽﾄ(4～3月)'!$D$26:$D$582,$B42,'内訳ﾘｽﾄ(4～3月)'!N$26:N$582)</f>
        <v>3200663</v>
      </c>
      <c r="L42" s="132">
        <f>SUMIF('内訳ﾘｽﾄ(4～3月)'!$D$26:$D$582,$B42,'内訳ﾘｽﾄ(4～3月)'!O$26:O$582)</f>
        <v>3200663</v>
      </c>
      <c r="M42" s="132">
        <f>SUMIF('内訳ﾘｽﾄ(4～3月)'!$D$26:$D$582,$B42,'内訳ﾘｽﾄ(4～3月)'!P$26:P$582)</f>
        <v>3200663</v>
      </c>
      <c r="N42" s="132">
        <f>SUMIF('内訳ﾘｽﾄ(4～3月)'!$D$26:$D$582,$B42,'内訳ﾘｽﾄ(4～3月)'!Q$26:Q$582)</f>
        <v>3200663</v>
      </c>
      <c r="O42" s="132">
        <f>SUMIF('内訳ﾘｽﾄ(4～3月)'!$D$26:$D$373,'採算表(VND)'!$B42,'内訳ﾘｽﾄ(4～3月)'!R$26:R$373)</f>
        <v>38503156</v>
      </c>
      <c r="AQ42" s="66"/>
      <c r="AR42" s="66"/>
      <c r="AS42" s="66"/>
      <c r="AT42" s="66"/>
      <c r="AU42" s="64"/>
      <c r="AV42" s="65"/>
      <c r="AW42" s="65"/>
      <c r="AX42" s="65"/>
      <c r="AY42" s="65"/>
      <c r="BA42" s="67"/>
      <c r="BB42" s="67"/>
      <c r="BC42" s="67"/>
      <c r="BD42" s="67"/>
      <c r="BF42" s="68"/>
      <c r="BG42" s="64"/>
      <c r="BH42" s="64"/>
      <c r="BI42" s="64"/>
    </row>
    <row r="43" spans="1:61" ht="11.25" customHeight="1">
      <c r="A43" s="32"/>
      <c r="B43" s="31" t="s">
        <v>99</v>
      </c>
      <c r="C43" s="132">
        <f>SUMIF('内訳ﾘｽﾄ(4～3月)'!$D$26:$D$582,$B43,'内訳ﾘｽﾄ(4～3月)'!F$26:F$582)</f>
        <v>0</v>
      </c>
      <c r="D43" s="132">
        <f>SUMIF('内訳ﾘｽﾄ(4～3月)'!$D$26:$D$582,$B43,'内訳ﾘｽﾄ(4～3月)'!G$26:G$582)</f>
        <v>0</v>
      </c>
      <c r="E43" s="132">
        <f>SUMIF('内訳ﾘｽﾄ(4～3月)'!$D$26:$D$582,$B43,'内訳ﾘｽﾄ(4～3月)'!H$26:H$582)</f>
        <v>0</v>
      </c>
      <c r="F43" s="132">
        <f>SUMIF('内訳ﾘｽﾄ(4～3月)'!$D$26:$D$582,$B43,'内訳ﾘｽﾄ(4～3月)'!I$26:I$582)</f>
        <v>0</v>
      </c>
      <c r="G43" s="132">
        <f>SUMIF('内訳ﾘｽﾄ(4～3月)'!$D$26:$D$582,$B43,'内訳ﾘｽﾄ(4～3月)'!J$26:J$582)</f>
        <v>0</v>
      </c>
      <c r="H43" s="132">
        <f>SUMIF('内訳ﾘｽﾄ(4～3月)'!$D$26:$D$582,$B43,'内訳ﾘｽﾄ(4～3月)'!K$26:K$582)</f>
        <v>0</v>
      </c>
      <c r="I43" s="132">
        <f>SUMIF('内訳ﾘｽﾄ(4～3月)'!$D$26:$D$582,$B43,'内訳ﾘｽﾄ(4～3月)'!L$26:L$582)</f>
        <v>0</v>
      </c>
      <c r="J43" s="132">
        <f>SUMIF('内訳ﾘｽﾄ(4～3月)'!$D$26:$D$582,$B43,'内訳ﾘｽﾄ(4～3月)'!M$26:M$582)</f>
        <v>0</v>
      </c>
      <c r="K43" s="132">
        <f>SUMIF('内訳ﾘｽﾄ(4～3月)'!$D$26:$D$582,$B43,'内訳ﾘｽﾄ(4～3月)'!N$26:N$582)</f>
        <v>0</v>
      </c>
      <c r="L43" s="132">
        <f>SUMIF('内訳ﾘｽﾄ(4～3月)'!$D$26:$D$582,$B43,'内訳ﾘｽﾄ(4～3月)'!O$26:O$582)</f>
        <v>0</v>
      </c>
      <c r="M43" s="132">
        <f>SUMIF('内訳ﾘｽﾄ(4～3月)'!$D$26:$D$582,$B43,'内訳ﾘｽﾄ(4～3月)'!P$26:P$582)</f>
        <v>0</v>
      </c>
      <c r="N43" s="132">
        <f>SUMIF('内訳ﾘｽﾄ(4～3月)'!$D$26:$D$582,$B43,'内訳ﾘｽﾄ(4～3月)'!Q$26:Q$582)</f>
        <v>0</v>
      </c>
      <c r="O43" s="132">
        <f>SUMIF('内訳ﾘｽﾄ(4～3月)'!$D$26:$D$373,'採算表(VND)'!$B43,'内訳ﾘｽﾄ(4～3月)'!R$26:R$373)</f>
        <v>0</v>
      </c>
      <c r="AQ43" s="66"/>
      <c r="AR43" s="66"/>
      <c r="AS43" s="66"/>
      <c r="AT43" s="66"/>
      <c r="AU43" s="64"/>
      <c r="AV43" s="65"/>
      <c r="AW43" s="65"/>
      <c r="AX43" s="65"/>
      <c r="AY43" s="65"/>
      <c r="BA43" s="67"/>
      <c r="BB43" s="67"/>
      <c r="BC43" s="67"/>
      <c r="BD43" s="67"/>
      <c r="BF43" s="64"/>
      <c r="BG43" s="64"/>
      <c r="BH43" s="64"/>
      <c r="BI43" s="64"/>
    </row>
    <row r="44" spans="1:61" ht="11.25" customHeight="1">
      <c r="A44" s="32"/>
      <c r="B44" s="31" t="s">
        <v>42</v>
      </c>
      <c r="C44" s="132">
        <f>SUMIF('内訳ﾘｽﾄ(4～3月)'!$D$26:$D$582,$B44,'内訳ﾘｽﾄ(4～3月)'!F$26:F$582)</f>
        <v>2912356</v>
      </c>
      <c r="D44" s="132">
        <f>SUMIF('内訳ﾘｽﾄ(4～3月)'!$D$26:$D$582,$B44,'内訳ﾘｽﾄ(4～3月)'!G$26:G$582)</f>
        <v>32596494</v>
      </c>
      <c r="E44" s="132">
        <f>SUMIF('内訳ﾘｽﾄ(4～3月)'!$D$26:$D$582,$B44,'内訳ﾘｽﾄ(4～3月)'!H$26:H$582)</f>
        <v>2836954</v>
      </c>
      <c r="F44" s="132">
        <f>SUMIF('内訳ﾘｽﾄ(4～3月)'!$D$26:$D$582,$B44,'内訳ﾘｽﾄ(4～3月)'!I$26:I$582)</f>
        <v>4374926</v>
      </c>
      <c r="G44" s="132">
        <f>SUMIF('内訳ﾘｽﾄ(4～3月)'!$D$26:$D$582,$B44,'内訳ﾘｽﾄ(4～3月)'!J$26:J$582)</f>
        <v>3502668</v>
      </c>
      <c r="H44" s="132">
        <f>SUMIF('内訳ﾘｽﾄ(4～3月)'!$D$26:$D$582,$B44,'内訳ﾘｽﾄ(4～3月)'!K$26:K$582)</f>
        <v>5951026</v>
      </c>
      <c r="I44" s="132">
        <f>SUMIF('内訳ﾘｽﾄ(4～3月)'!$D$26:$D$582,$B44,'内訳ﾘｽﾄ(4～3月)'!L$26:L$582)</f>
        <v>3499470</v>
      </c>
      <c r="J44" s="132">
        <f>SUMIF('内訳ﾘｽﾄ(4～3月)'!$D$26:$D$582,$B44,'内訳ﾘｽﾄ(4～3月)'!M$26:M$582)</f>
        <v>4729234</v>
      </c>
      <c r="K44" s="132">
        <f>SUMIF('内訳ﾘｽﾄ(4～3月)'!$D$26:$D$582,$B44,'内訳ﾘｽﾄ(4～3月)'!N$26:N$582)</f>
        <v>5918184</v>
      </c>
      <c r="L44" s="132">
        <f>SUMIF('内訳ﾘｽﾄ(4～3月)'!$D$26:$D$582,$B44,'内訳ﾘｽﾄ(4～3月)'!O$26:O$582)</f>
        <v>3083850</v>
      </c>
      <c r="M44" s="132">
        <f>SUMIF('内訳ﾘｽﾄ(4～3月)'!$D$26:$D$582,$B44,'内訳ﾘｽﾄ(4～3月)'!P$26:P$582)</f>
        <v>4069718</v>
      </c>
      <c r="N44" s="132">
        <f>SUMIF('内訳ﾘｽﾄ(4～3月)'!$D$26:$D$582,$B44,'内訳ﾘｽﾄ(4～3月)'!Q$26:Q$582)</f>
        <v>6955456</v>
      </c>
      <c r="O44" s="132">
        <f>SUMIF('内訳ﾘｽﾄ(4～3月)'!$D$26:$D$373,'採算表(VND)'!$B44,'内訳ﾘｽﾄ(4～3月)'!R$26:R$373)</f>
        <v>80430336</v>
      </c>
      <c r="AQ44" s="66"/>
      <c r="AR44" s="66"/>
      <c r="AS44" s="66"/>
      <c r="AT44" s="66"/>
      <c r="AU44" s="64"/>
      <c r="AV44" s="65"/>
      <c r="AW44" s="65"/>
      <c r="AX44" s="65"/>
      <c r="AY44" s="65"/>
      <c r="BA44" s="67"/>
      <c r="BB44" s="67"/>
      <c r="BC44" s="67"/>
      <c r="BD44" s="67"/>
      <c r="BF44" s="64"/>
      <c r="BG44" s="64"/>
      <c r="BH44" s="64"/>
      <c r="BI44" s="64"/>
    </row>
    <row r="45" spans="1:61" ht="11.25" customHeight="1">
      <c r="A45" s="32"/>
      <c r="B45" s="31" t="s">
        <v>115</v>
      </c>
      <c r="C45" s="132">
        <f>SUMIF('内訳ﾘｽﾄ(4～3月)'!$D$26:$D$582,$B45,'内訳ﾘｽﾄ(4～3月)'!F$26:F$582)</f>
        <v>0</v>
      </c>
      <c r="D45" s="132">
        <f>SUMIF('内訳ﾘｽﾄ(4～3月)'!$D$26:$D$582,$B45,'内訳ﾘｽﾄ(4～3月)'!G$26:G$582)</f>
        <v>0</v>
      </c>
      <c r="E45" s="132">
        <f>SUMIF('内訳ﾘｽﾄ(4～3月)'!$D$26:$D$582,$B45,'内訳ﾘｽﾄ(4～3月)'!H$26:H$582)</f>
        <v>0</v>
      </c>
      <c r="F45" s="132">
        <f>SUMIF('内訳ﾘｽﾄ(4～3月)'!$D$26:$D$582,$B45,'内訳ﾘｽﾄ(4～3月)'!I$26:I$582)</f>
        <v>0</v>
      </c>
      <c r="G45" s="132">
        <f>SUMIF('内訳ﾘｽﾄ(4～3月)'!$D$26:$D$582,$B45,'内訳ﾘｽﾄ(4～3月)'!J$26:J$582)</f>
        <v>0</v>
      </c>
      <c r="H45" s="132">
        <f>SUMIF('内訳ﾘｽﾄ(4～3月)'!$D$26:$D$582,$B45,'内訳ﾘｽﾄ(4～3月)'!K$26:K$582)</f>
        <v>0</v>
      </c>
      <c r="I45" s="132">
        <f>SUMIF('内訳ﾘｽﾄ(4～3月)'!$D$26:$D$582,$B45,'内訳ﾘｽﾄ(4～3月)'!L$26:L$582)</f>
        <v>0</v>
      </c>
      <c r="J45" s="132">
        <f>SUMIF('内訳ﾘｽﾄ(4～3月)'!$D$26:$D$582,$B45,'内訳ﾘｽﾄ(4～3月)'!M$26:M$582)</f>
        <v>0</v>
      </c>
      <c r="K45" s="132">
        <f>SUMIF('内訳ﾘｽﾄ(4～3月)'!$D$26:$D$582,$B45,'内訳ﾘｽﾄ(4～3月)'!N$26:N$582)</f>
        <v>0</v>
      </c>
      <c r="L45" s="132">
        <f>SUMIF('内訳ﾘｽﾄ(4～3月)'!$D$26:$D$582,$B45,'内訳ﾘｽﾄ(4～3月)'!O$26:O$582)</f>
        <v>0</v>
      </c>
      <c r="M45" s="132">
        <f>SUMIF('内訳ﾘｽﾄ(4～3月)'!$D$26:$D$582,$B45,'内訳ﾘｽﾄ(4～3月)'!P$26:P$582)</f>
        <v>0</v>
      </c>
      <c r="N45" s="132">
        <f>SUMIF('内訳ﾘｽﾄ(4～3月)'!$D$26:$D$582,$B45,'内訳ﾘｽﾄ(4～3月)'!Q$26:Q$582)</f>
        <v>0</v>
      </c>
      <c r="O45" s="132">
        <f>SUMIF('内訳ﾘｽﾄ(4～3月)'!$D$26:$D$373,'採算表(VND)'!$B45,'内訳ﾘｽﾄ(4～3月)'!R$26:R$373)</f>
        <v>0</v>
      </c>
      <c r="AQ45" s="66"/>
      <c r="AR45" s="66"/>
      <c r="AS45" s="66"/>
      <c r="AT45" s="66"/>
      <c r="AU45" s="64"/>
      <c r="AV45" s="65"/>
      <c r="AW45" s="65"/>
      <c r="AX45" s="65"/>
      <c r="AY45" s="65"/>
      <c r="BA45" s="67"/>
      <c r="BB45" s="67"/>
      <c r="BC45" s="67"/>
      <c r="BD45" s="67"/>
      <c r="BF45" s="64"/>
      <c r="BG45" s="64"/>
      <c r="BH45" s="64"/>
      <c r="BI45" s="64"/>
    </row>
    <row r="46" spans="1:61" ht="11.25" customHeight="1">
      <c r="A46" s="32"/>
      <c r="B46" s="31" t="s">
        <v>116</v>
      </c>
      <c r="C46" s="132">
        <f>SUMIF('内訳ﾘｽﾄ(4～3月)'!$D$26:$D$582,$B46,'内訳ﾘｽﾄ(4～3月)'!F$26:F$582)</f>
        <v>0</v>
      </c>
      <c r="D46" s="132">
        <f>SUMIF('内訳ﾘｽﾄ(4～3月)'!$D$26:$D$582,$B46,'内訳ﾘｽﾄ(4～3月)'!G$26:G$582)</f>
        <v>0</v>
      </c>
      <c r="E46" s="132">
        <f>SUMIF('内訳ﾘｽﾄ(4～3月)'!$D$26:$D$582,$B46,'内訳ﾘｽﾄ(4～3月)'!H$26:H$582)</f>
        <v>0</v>
      </c>
      <c r="F46" s="132">
        <f>SUMIF('内訳ﾘｽﾄ(4～3月)'!$D$26:$D$582,$B46,'内訳ﾘｽﾄ(4～3月)'!I$26:I$582)</f>
        <v>0</v>
      </c>
      <c r="G46" s="132">
        <f>SUMIF('内訳ﾘｽﾄ(4～3月)'!$D$26:$D$582,$B46,'内訳ﾘｽﾄ(4～3月)'!J$26:J$582)</f>
        <v>0</v>
      </c>
      <c r="H46" s="132">
        <f>SUMIF('内訳ﾘｽﾄ(4～3月)'!$D$26:$D$582,$B46,'内訳ﾘｽﾄ(4～3月)'!K$26:K$582)</f>
        <v>0</v>
      </c>
      <c r="I46" s="132">
        <f>SUMIF('内訳ﾘｽﾄ(4～3月)'!$D$26:$D$582,$B46,'内訳ﾘｽﾄ(4～3月)'!L$26:L$582)</f>
        <v>0</v>
      </c>
      <c r="J46" s="132">
        <f>SUMIF('内訳ﾘｽﾄ(4～3月)'!$D$26:$D$582,$B46,'内訳ﾘｽﾄ(4～3月)'!M$26:M$582)</f>
        <v>0</v>
      </c>
      <c r="K46" s="132">
        <f>SUMIF('内訳ﾘｽﾄ(4～3月)'!$D$26:$D$582,$B46,'内訳ﾘｽﾄ(4～3月)'!N$26:N$582)</f>
        <v>0</v>
      </c>
      <c r="L46" s="132">
        <f>SUMIF('内訳ﾘｽﾄ(4～3月)'!$D$26:$D$582,$B46,'内訳ﾘｽﾄ(4～3月)'!O$26:O$582)</f>
        <v>0</v>
      </c>
      <c r="M46" s="132">
        <f>SUMIF('内訳ﾘｽﾄ(4～3月)'!$D$26:$D$582,$B46,'内訳ﾘｽﾄ(4～3月)'!P$26:P$582)</f>
        <v>0</v>
      </c>
      <c r="N46" s="132">
        <f>SUMIF('内訳ﾘｽﾄ(4～3月)'!$D$26:$D$582,$B46,'内訳ﾘｽﾄ(4～3月)'!Q$26:Q$582)</f>
        <v>0</v>
      </c>
      <c r="O46" s="132">
        <f>SUMIF('内訳ﾘｽﾄ(4～3月)'!$D$26:$D$373,'採算表(VND)'!$B46,'内訳ﾘｽﾄ(4～3月)'!R$26:R$373)</f>
        <v>0</v>
      </c>
      <c r="AQ46" s="66"/>
      <c r="AR46" s="66"/>
      <c r="AS46" s="66"/>
      <c r="AT46" s="66"/>
      <c r="AU46" s="64"/>
      <c r="AV46" s="65"/>
      <c r="AW46" s="65"/>
      <c r="AX46" s="65"/>
      <c r="AY46" s="65"/>
      <c r="BA46" s="67"/>
      <c r="BB46" s="67"/>
      <c r="BC46" s="67"/>
      <c r="BD46" s="67"/>
      <c r="BF46" s="64"/>
      <c r="BG46" s="64"/>
      <c r="BH46" s="64"/>
      <c r="BI46" s="64"/>
    </row>
    <row r="47" spans="1:61" ht="11.25" customHeight="1">
      <c r="A47" s="32"/>
      <c r="B47" s="31" t="s">
        <v>117</v>
      </c>
      <c r="C47" s="132">
        <f>SUMIF('内訳ﾘｽﾄ(4～3月)'!$D$26:$D$582,$B47,'内訳ﾘｽﾄ(4～3月)'!F$26:F$582)</f>
        <v>0</v>
      </c>
      <c r="D47" s="132">
        <f>SUMIF('内訳ﾘｽﾄ(4～3月)'!$D$26:$D$582,$B47,'内訳ﾘｽﾄ(4～3月)'!G$26:G$582)</f>
        <v>0</v>
      </c>
      <c r="E47" s="132">
        <f>SUMIF('内訳ﾘｽﾄ(4～3月)'!$D$26:$D$582,$B47,'内訳ﾘｽﾄ(4～3月)'!H$26:H$582)</f>
        <v>0</v>
      </c>
      <c r="F47" s="132">
        <f>SUMIF('内訳ﾘｽﾄ(4～3月)'!$D$26:$D$582,$B47,'内訳ﾘｽﾄ(4～3月)'!I$26:I$582)</f>
        <v>0</v>
      </c>
      <c r="G47" s="132">
        <f>SUMIF('内訳ﾘｽﾄ(4～3月)'!$D$26:$D$582,$B47,'内訳ﾘｽﾄ(4～3月)'!J$26:J$582)</f>
        <v>0</v>
      </c>
      <c r="H47" s="132">
        <f>SUMIF('内訳ﾘｽﾄ(4～3月)'!$D$26:$D$582,$B47,'内訳ﾘｽﾄ(4～3月)'!K$26:K$582)</f>
        <v>0</v>
      </c>
      <c r="I47" s="132">
        <f>SUMIF('内訳ﾘｽﾄ(4～3月)'!$D$26:$D$582,$B47,'内訳ﾘｽﾄ(4～3月)'!L$26:L$582)</f>
        <v>0</v>
      </c>
      <c r="J47" s="132">
        <f>SUMIF('内訳ﾘｽﾄ(4～3月)'!$D$26:$D$582,$B47,'内訳ﾘｽﾄ(4～3月)'!M$26:M$582)</f>
        <v>0</v>
      </c>
      <c r="K47" s="132">
        <f>SUMIF('内訳ﾘｽﾄ(4～3月)'!$D$26:$D$582,$B47,'内訳ﾘｽﾄ(4～3月)'!N$26:N$582)</f>
        <v>0</v>
      </c>
      <c r="L47" s="132">
        <f>SUMIF('内訳ﾘｽﾄ(4～3月)'!$D$26:$D$582,$B47,'内訳ﾘｽﾄ(4～3月)'!O$26:O$582)</f>
        <v>0</v>
      </c>
      <c r="M47" s="132">
        <f>SUMIF('内訳ﾘｽﾄ(4～3月)'!$D$26:$D$582,$B47,'内訳ﾘｽﾄ(4～3月)'!P$26:P$582)</f>
        <v>0</v>
      </c>
      <c r="N47" s="132">
        <f>SUMIF('内訳ﾘｽﾄ(4～3月)'!$D$26:$D$582,$B47,'内訳ﾘｽﾄ(4～3月)'!Q$26:Q$582)</f>
        <v>0</v>
      </c>
      <c r="O47" s="132">
        <f>SUMIF('内訳ﾘｽﾄ(4～3月)'!$D$26:$D$373,'採算表(VND)'!$B47,'内訳ﾘｽﾄ(4～3月)'!R$26:R$373)</f>
        <v>0</v>
      </c>
      <c r="AQ47" s="66"/>
      <c r="AR47" s="66"/>
      <c r="AS47" s="66"/>
      <c r="AT47" s="66"/>
      <c r="AU47" s="64"/>
      <c r="AV47" s="65"/>
      <c r="AW47" s="65"/>
      <c r="AX47" s="65"/>
      <c r="AY47" s="65"/>
      <c r="BA47" s="67"/>
      <c r="BB47" s="67"/>
      <c r="BC47" s="67"/>
      <c r="BD47" s="67"/>
      <c r="BF47" s="64"/>
      <c r="BG47" s="64"/>
      <c r="BH47" s="64"/>
      <c r="BI47" s="64"/>
    </row>
    <row r="48" spans="1:61" ht="11.25" customHeight="1">
      <c r="A48" s="32"/>
      <c r="B48" s="31" t="s">
        <v>53</v>
      </c>
      <c r="C48" s="132">
        <f>SUMIF('内訳ﾘｽﾄ(4～3月)'!$D$26:$D$582,$B48,'内訳ﾘｽﾄ(4～3月)'!F$26:F$582)</f>
        <v>0</v>
      </c>
      <c r="D48" s="132">
        <f>SUMIF('内訳ﾘｽﾄ(4～3月)'!$D$26:$D$582,$B48,'内訳ﾘｽﾄ(4～3月)'!G$26:G$582)</f>
        <v>0</v>
      </c>
      <c r="E48" s="132">
        <f>SUMIF('内訳ﾘｽﾄ(4～3月)'!$D$26:$D$582,$B48,'内訳ﾘｽﾄ(4～3月)'!H$26:H$582)</f>
        <v>0</v>
      </c>
      <c r="F48" s="132">
        <f>SUMIF('内訳ﾘｽﾄ(4～3月)'!$D$26:$D$582,$B48,'内訳ﾘｽﾄ(4～3月)'!I$26:I$582)</f>
        <v>0</v>
      </c>
      <c r="G48" s="132">
        <f>SUMIF('内訳ﾘｽﾄ(4～3月)'!$D$26:$D$582,$B48,'内訳ﾘｽﾄ(4～3月)'!J$26:J$582)</f>
        <v>0</v>
      </c>
      <c r="H48" s="132">
        <f>SUMIF('内訳ﾘｽﾄ(4～3月)'!$D$26:$D$582,$B48,'内訳ﾘｽﾄ(4～3月)'!K$26:K$582)</f>
        <v>0</v>
      </c>
      <c r="I48" s="132">
        <f>SUMIF('内訳ﾘｽﾄ(4～3月)'!$D$26:$D$582,$B48,'内訳ﾘｽﾄ(4～3月)'!L$26:L$582)</f>
        <v>0</v>
      </c>
      <c r="J48" s="132">
        <f>SUMIF('内訳ﾘｽﾄ(4～3月)'!$D$26:$D$582,$B48,'内訳ﾘｽﾄ(4～3月)'!M$26:M$582)</f>
        <v>0</v>
      </c>
      <c r="K48" s="132">
        <f>SUMIF('内訳ﾘｽﾄ(4～3月)'!$D$26:$D$582,$B48,'内訳ﾘｽﾄ(4～3月)'!N$26:N$582)</f>
        <v>0</v>
      </c>
      <c r="L48" s="132">
        <f>SUMIF('内訳ﾘｽﾄ(4～3月)'!$D$26:$D$582,$B48,'内訳ﾘｽﾄ(4～3月)'!O$26:O$582)</f>
        <v>0</v>
      </c>
      <c r="M48" s="132">
        <f>SUMIF('内訳ﾘｽﾄ(4～3月)'!$D$26:$D$582,$B48,'内訳ﾘｽﾄ(4～3月)'!P$26:P$582)</f>
        <v>0</v>
      </c>
      <c r="N48" s="132">
        <f>SUMIF('内訳ﾘｽﾄ(4～3月)'!$D$26:$D$582,$B48,'内訳ﾘｽﾄ(4～3月)'!Q$26:Q$582)</f>
        <v>0</v>
      </c>
      <c r="O48" s="132">
        <f>SUMIF('内訳ﾘｽﾄ(4～3月)'!$D$26:$D$373,'採算表(VND)'!$B48,'内訳ﾘｽﾄ(4～3月)'!R$26:R$373)</f>
        <v>0</v>
      </c>
      <c r="AQ48" s="66"/>
      <c r="AR48" s="66"/>
      <c r="AS48" s="66"/>
      <c r="AT48" s="66"/>
      <c r="AU48" s="64"/>
      <c r="AV48" s="65"/>
      <c r="AW48" s="65"/>
      <c r="AX48" s="65"/>
      <c r="AY48" s="65"/>
      <c r="BA48" s="67"/>
      <c r="BB48" s="67"/>
      <c r="BC48" s="67"/>
      <c r="BD48" s="67"/>
      <c r="BF48" s="64"/>
      <c r="BG48" s="64"/>
      <c r="BH48" s="64"/>
      <c r="BI48" s="64"/>
    </row>
    <row r="49" spans="1:61" ht="11.25" customHeight="1">
      <c r="A49" s="32"/>
      <c r="B49" s="31" t="s">
        <v>64</v>
      </c>
      <c r="C49" s="132">
        <f>SUMIF('内訳ﾘｽﾄ(4～3月)'!$D$26:$D$582,$B49,'内訳ﾘｽﾄ(4～3月)'!F$26:F$582)</f>
        <v>0</v>
      </c>
      <c r="D49" s="132">
        <f>SUMIF('内訳ﾘｽﾄ(4～3月)'!$D$26:$D$582,$B49,'内訳ﾘｽﾄ(4～3月)'!G$26:G$582)</f>
        <v>0</v>
      </c>
      <c r="E49" s="132">
        <f>SUMIF('内訳ﾘｽﾄ(4～3月)'!$D$26:$D$582,$B49,'内訳ﾘｽﾄ(4～3月)'!H$26:H$582)</f>
        <v>0</v>
      </c>
      <c r="F49" s="132">
        <f>SUMIF('内訳ﾘｽﾄ(4～3月)'!$D$26:$D$582,$B49,'内訳ﾘｽﾄ(4～3月)'!I$26:I$582)</f>
        <v>0</v>
      </c>
      <c r="G49" s="132">
        <f>SUMIF('内訳ﾘｽﾄ(4～3月)'!$D$26:$D$582,$B49,'内訳ﾘｽﾄ(4～3月)'!J$26:J$582)</f>
        <v>0</v>
      </c>
      <c r="H49" s="132">
        <f>SUMIF('内訳ﾘｽﾄ(4～3月)'!$D$26:$D$582,$B49,'内訳ﾘｽﾄ(4～3月)'!K$26:K$582)</f>
        <v>0</v>
      </c>
      <c r="I49" s="132">
        <f>SUMIF('内訳ﾘｽﾄ(4～3月)'!$D$26:$D$582,$B49,'内訳ﾘｽﾄ(4～3月)'!L$26:L$582)</f>
        <v>0</v>
      </c>
      <c r="J49" s="132">
        <f>SUMIF('内訳ﾘｽﾄ(4～3月)'!$D$26:$D$582,$B49,'内訳ﾘｽﾄ(4～3月)'!M$26:M$582)</f>
        <v>0</v>
      </c>
      <c r="K49" s="132">
        <f>SUMIF('内訳ﾘｽﾄ(4～3月)'!$D$26:$D$582,$B49,'内訳ﾘｽﾄ(4～3月)'!N$26:N$582)</f>
        <v>0</v>
      </c>
      <c r="L49" s="132">
        <f>SUMIF('内訳ﾘｽﾄ(4～3月)'!$D$26:$D$582,$B49,'内訳ﾘｽﾄ(4～3月)'!O$26:O$582)</f>
        <v>0</v>
      </c>
      <c r="M49" s="132">
        <f>SUMIF('内訳ﾘｽﾄ(4～3月)'!$D$26:$D$582,$B49,'内訳ﾘｽﾄ(4～3月)'!P$26:P$582)</f>
        <v>0</v>
      </c>
      <c r="N49" s="132">
        <f>SUMIF('内訳ﾘｽﾄ(4～3月)'!$D$26:$D$582,$B49,'内訳ﾘｽﾄ(4～3月)'!Q$26:Q$582)</f>
        <v>0</v>
      </c>
      <c r="O49" s="132">
        <f>SUMIF('内訳ﾘｽﾄ(4～3月)'!$D$26:$D$373,'採算表(VND)'!$B49,'内訳ﾘｽﾄ(4～3月)'!R$26:R$373)</f>
        <v>0</v>
      </c>
      <c r="AQ49" s="66"/>
      <c r="AR49" s="66"/>
      <c r="AS49" s="66"/>
      <c r="AT49" s="66"/>
      <c r="AU49" s="64"/>
      <c r="AV49" s="65"/>
      <c r="AW49" s="65"/>
      <c r="AX49" s="65"/>
      <c r="AY49" s="65"/>
      <c r="BA49" s="67"/>
      <c r="BB49" s="67"/>
      <c r="BC49" s="67"/>
      <c r="BD49" s="67"/>
      <c r="BF49" s="64"/>
      <c r="BG49" s="64"/>
      <c r="BH49" s="64"/>
      <c r="BI49" s="64"/>
    </row>
    <row r="50" spans="1:61" ht="11.25" customHeight="1">
      <c r="A50" s="32"/>
      <c r="B50" s="31" t="s">
        <v>62</v>
      </c>
      <c r="C50" s="132">
        <f>SUMIF('内訳ﾘｽﾄ(4～3月)'!$D$26:$D$582,$B50,'内訳ﾘｽﾄ(4～3月)'!F$26:F$582)</f>
        <v>0</v>
      </c>
      <c r="D50" s="132">
        <f>SUMIF('内訳ﾘｽﾄ(4～3月)'!$D$26:$D$582,$B50,'内訳ﾘｽﾄ(4～3月)'!G$26:G$582)</f>
        <v>0</v>
      </c>
      <c r="E50" s="132">
        <f>SUMIF('内訳ﾘｽﾄ(4～3月)'!$D$26:$D$582,$B50,'内訳ﾘｽﾄ(4～3月)'!H$26:H$582)</f>
        <v>0</v>
      </c>
      <c r="F50" s="132">
        <f>SUMIF('内訳ﾘｽﾄ(4～3月)'!$D$26:$D$582,$B50,'内訳ﾘｽﾄ(4～3月)'!I$26:I$582)</f>
        <v>0</v>
      </c>
      <c r="G50" s="132">
        <f>SUMIF('内訳ﾘｽﾄ(4～3月)'!$D$26:$D$582,$B50,'内訳ﾘｽﾄ(4～3月)'!J$26:J$582)</f>
        <v>0</v>
      </c>
      <c r="H50" s="132">
        <f>SUMIF('内訳ﾘｽﾄ(4～3月)'!$D$26:$D$582,$B50,'内訳ﾘｽﾄ(4～3月)'!K$26:K$582)</f>
        <v>0</v>
      </c>
      <c r="I50" s="132">
        <f>SUMIF('内訳ﾘｽﾄ(4～3月)'!$D$26:$D$582,$B50,'内訳ﾘｽﾄ(4～3月)'!L$26:L$582)</f>
        <v>0</v>
      </c>
      <c r="J50" s="132">
        <f>SUMIF('内訳ﾘｽﾄ(4～3月)'!$D$26:$D$582,$B50,'内訳ﾘｽﾄ(4～3月)'!M$26:M$582)</f>
        <v>0</v>
      </c>
      <c r="K50" s="132">
        <f>SUMIF('内訳ﾘｽﾄ(4～3月)'!$D$26:$D$582,$B50,'内訳ﾘｽﾄ(4～3月)'!N$26:N$582)</f>
        <v>0</v>
      </c>
      <c r="L50" s="132">
        <f>SUMIF('内訳ﾘｽﾄ(4～3月)'!$D$26:$D$582,$B50,'内訳ﾘｽﾄ(4～3月)'!O$26:O$582)</f>
        <v>0</v>
      </c>
      <c r="M50" s="132">
        <f>SUMIF('内訳ﾘｽﾄ(4～3月)'!$D$26:$D$582,$B50,'内訳ﾘｽﾄ(4～3月)'!P$26:P$582)</f>
        <v>0</v>
      </c>
      <c r="N50" s="132">
        <f>SUMIF('内訳ﾘｽﾄ(4～3月)'!$D$26:$D$582,$B50,'内訳ﾘｽﾄ(4～3月)'!Q$26:Q$582)</f>
        <v>0</v>
      </c>
      <c r="O50" s="132">
        <f>SUMIF('内訳ﾘｽﾄ(4～3月)'!$D$26:$D$373,'採算表(VND)'!$B50,'内訳ﾘｽﾄ(4～3月)'!R$26:R$373)</f>
        <v>0</v>
      </c>
      <c r="AQ50" s="66"/>
      <c r="AR50" s="66"/>
      <c r="AS50" s="66"/>
      <c r="AT50" s="66"/>
      <c r="AU50" s="64"/>
      <c r="AV50" s="65"/>
      <c r="AW50" s="65"/>
      <c r="AX50" s="65"/>
      <c r="AY50" s="65"/>
      <c r="BA50" s="67"/>
      <c r="BB50" s="67"/>
      <c r="BC50" s="67"/>
      <c r="BD50" s="67"/>
      <c r="BF50" s="64"/>
      <c r="BG50" s="64"/>
      <c r="BH50" s="64"/>
      <c r="BI50" s="64"/>
    </row>
    <row r="51" spans="1:61" ht="11.25" customHeight="1">
      <c r="A51" s="32"/>
      <c r="B51" s="33" t="s">
        <v>105</v>
      </c>
      <c r="C51" s="133">
        <f>SUMIF('内訳ﾘｽﾄ(4～3月)'!$D$26:$D$582,$B51,'内訳ﾘｽﾄ(4～3月)'!F$26:F$582)</f>
        <v>0</v>
      </c>
      <c r="D51" s="133">
        <f>SUMIF('内訳ﾘｽﾄ(4～3月)'!$D$26:$D$582,$B51,'内訳ﾘｽﾄ(4～3月)'!G$26:G$582)</f>
        <v>0</v>
      </c>
      <c r="E51" s="133">
        <f>SUMIF('内訳ﾘｽﾄ(4～3月)'!$D$26:$D$582,$B51,'内訳ﾘｽﾄ(4～3月)'!H$26:H$582)</f>
        <v>0</v>
      </c>
      <c r="F51" s="133">
        <f>SUMIF('内訳ﾘｽﾄ(4～3月)'!$D$26:$D$582,$B51,'内訳ﾘｽﾄ(4～3月)'!I$26:I$582)</f>
        <v>0</v>
      </c>
      <c r="G51" s="133">
        <f>SUMIF('内訳ﾘｽﾄ(4～3月)'!$D$26:$D$582,$B51,'内訳ﾘｽﾄ(4～3月)'!J$26:J$582)</f>
        <v>0</v>
      </c>
      <c r="H51" s="133">
        <f>SUMIF('内訳ﾘｽﾄ(4～3月)'!$D$26:$D$582,$B51,'内訳ﾘｽﾄ(4～3月)'!K$26:K$582)</f>
        <v>0</v>
      </c>
      <c r="I51" s="133">
        <f>SUMIF('内訳ﾘｽﾄ(4～3月)'!$D$26:$D$582,$B51,'内訳ﾘｽﾄ(4～3月)'!L$26:L$582)</f>
        <v>0</v>
      </c>
      <c r="J51" s="133">
        <f>SUMIF('内訳ﾘｽﾄ(4～3月)'!$D$26:$D$582,$B51,'内訳ﾘｽﾄ(4～3月)'!M$26:M$582)</f>
        <v>0</v>
      </c>
      <c r="K51" s="133">
        <f>SUMIF('内訳ﾘｽﾄ(4～3月)'!$D$26:$D$582,$B51,'内訳ﾘｽﾄ(4～3月)'!N$26:N$582)</f>
        <v>0</v>
      </c>
      <c r="L51" s="133">
        <f>SUMIF('内訳ﾘｽﾄ(4～3月)'!$D$26:$D$582,$B51,'内訳ﾘｽﾄ(4～3月)'!O$26:O$582)</f>
        <v>0</v>
      </c>
      <c r="M51" s="133">
        <f>SUMIF('内訳ﾘｽﾄ(4～3月)'!$D$26:$D$582,$B51,'内訳ﾘｽﾄ(4～3月)'!P$26:P$582)</f>
        <v>0</v>
      </c>
      <c r="N51" s="133">
        <f>SUMIF('内訳ﾘｽﾄ(4～3月)'!$D$26:$D$582,$B51,'内訳ﾘｽﾄ(4～3月)'!Q$26:Q$582)</f>
        <v>0</v>
      </c>
      <c r="O51" s="133">
        <f>SUMIF('内訳ﾘｽﾄ(4～3月)'!$D$26:$D$373,'採算表(VND)'!$B51,'内訳ﾘｽﾄ(4～3月)'!R$26:R$373)</f>
        <v>0</v>
      </c>
      <c r="AQ51" s="66"/>
      <c r="AR51" s="66"/>
      <c r="AS51" s="66"/>
      <c r="AT51" s="66"/>
      <c r="AU51" s="64"/>
      <c r="AV51" s="65"/>
      <c r="AW51" s="65"/>
      <c r="AX51" s="65"/>
      <c r="AY51" s="65"/>
      <c r="BA51" s="67"/>
      <c r="BB51" s="67"/>
      <c r="BC51" s="67"/>
      <c r="BD51" s="67"/>
      <c r="BF51" s="64"/>
      <c r="BG51" s="64"/>
      <c r="BH51" s="64"/>
      <c r="BI51" s="64"/>
    </row>
    <row r="52" spans="1:61" ht="11.25" customHeight="1">
      <c r="A52" s="32"/>
      <c r="B52" s="31" t="s">
        <v>118</v>
      </c>
      <c r="C52" s="134">
        <f>SUMIF('内訳ﾘｽﾄ(4～3月)'!$D$26:$D$582,$B52,'内訳ﾘｽﾄ(4～3月)'!F$26:F$582)</f>
        <v>0</v>
      </c>
      <c r="D52" s="134">
        <f>SUMIF('内訳ﾘｽﾄ(4～3月)'!$D$26:$D$582,$B52,'内訳ﾘｽﾄ(4～3月)'!G$26:G$582)</f>
        <v>0</v>
      </c>
      <c r="E52" s="134">
        <f>SUMIF('内訳ﾘｽﾄ(4～3月)'!$D$26:$D$582,$B52,'内訳ﾘｽﾄ(4～3月)'!H$26:H$582)</f>
        <v>0</v>
      </c>
      <c r="F52" s="134">
        <f>SUMIF('内訳ﾘｽﾄ(4～3月)'!$D$26:$D$582,$B52,'内訳ﾘｽﾄ(4～3月)'!I$26:I$582)</f>
        <v>0</v>
      </c>
      <c r="G52" s="134">
        <f>SUMIF('内訳ﾘｽﾄ(4～3月)'!$D$26:$D$582,$B52,'内訳ﾘｽﾄ(4～3月)'!J$26:J$582)</f>
        <v>0</v>
      </c>
      <c r="H52" s="134">
        <f>SUMIF('内訳ﾘｽﾄ(4～3月)'!$D$26:$D$582,$B52,'内訳ﾘｽﾄ(4～3月)'!K$26:K$582)</f>
        <v>0</v>
      </c>
      <c r="I52" s="134">
        <f>SUMIF('内訳ﾘｽﾄ(4～3月)'!$D$26:$D$582,$B52,'内訳ﾘｽﾄ(4～3月)'!L$26:L$582)</f>
        <v>0</v>
      </c>
      <c r="J52" s="134">
        <f>SUMIF('内訳ﾘｽﾄ(4～3月)'!$D$26:$D$582,$B52,'内訳ﾘｽﾄ(4～3月)'!M$26:M$582)</f>
        <v>0</v>
      </c>
      <c r="K52" s="134">
        <f>SUMIF('内訳ﾘｽﾄ(4～3月)'!$D$26:$D$582,$B52,'内訳ﾘｽﾄ(4～3月)'!N$26:N$582)</f>
        <v>0</v>
      </c>
      <c r="L52" s="134">
        <f>SUMIF('内訳ﾘｽﾄ(4～3月)'!$D$26:$D$582,$B52,'内訳ﾘｽﾄ(4～3月)'!O$26:O$582)</f>
        <v>0</v>
      </c>
      <c r="M52" s="134">
        <f>SUMIF('内訳ﾘｽﾄ(4～3月)'!$D$26:$D$582,$B52,'内訳ﾘｽﾄ(4～3月)'!P$26:P$582)</f>
        <v>0</v>
      </c>
      <c r="N52" s="134">
        <f>SUMIF('内訳ﾘｽﾄ(4～3月)'!$D$26:$D$582,$B52,'内訳ﾘｽﾄ(4～3月)'!Q$26:Q$582)</f>
        <v>0</v>
      </c>
      <c r="O52" s="134">
        <f>SUMIF('内訳ﾘｽﾄ(4～3月)'!$D$26:$D$373,'採算表(VND)'!$B52,'内訳ﾘｽﾄ(4～3月)'!R$26:R$373)</f>
        <v>0</v>
      </c>
      <c r="AQ52" s="66"/>
      <c r="AR52" s="66"/>
      <c r="AS52" s="66"/>
      <c r="AT52" s="66"/>
      <c r="AU52" s="64"/>
      <c r="AV52" s="65"/>
      <c r="AW52" s="65"/>
      <c r="AX52" s="65"/>
      <c r="AY52" s="65"/>
      <c r="BA52" s="67"/>
      <c r="BB52" s="67"/>
      <c r="BC52" s="67"/>
      <c r="BD52" s="67"/>
      <c r="BF52" s="64"/>
      <c r="BG52" s="64"/>
      <c r="BH52" s="64"/>
      <c r="BI52" s="64"/>
    </row>
    <row r="53" spans="1:61" ht="11.25" customHeight="1">
      <c r="A53" s="32"/>
      <c r="B53" s="31" t="s">
        <v>119</v>
      </c>
      <c r="C53" s="134">
        <f>SUMIF('内訳ﾘｽﾄ(4～3月)'!$D$26:$D$582,$B53,'内訳ﾘｽﾄ(4～3月)'!F$26:F$582)</f>
        <v>0</v>
      </c>
      <c r="D53" s="134">
        <f>SUMIF('内訳ﾘｽﾄ(4～3月)'!$D$26:$D$582,$B53,'内訳ﾘｽﾄ(4～3月)'!G$26:G$582)</f>
        <v>0</v>
      </c>
      <c r="E53" s="134">
        <f>SUMIF('内訳ﾘｽﾄ(4～3月)'!$D$26:$D$582,$B53,'内訳ﾘｽﾄ(4～3月)'!H$26:H$582)</f>
        <v>0</v>
      </c>
      <c r="F53" s="134">
        <f>SUMIF('内訳ﾘｽﾄ(4～3月)'!$D$26:$D$582,$B53,'内訳ﾘｽﾄ(4～3月)'!I$26:I$582)</f>
        <v>0</v>
      </c>
      <c r="G53" s="134">
        <f>SUMIF('内訳ﾘｽﾄ(4～3月)'!$D$26:$D$582,$B53,'内訳ﾘｽﾄ(4～3月)'!J$26:J$582)</f>
        <v>0</v>
      </c>
      <c r="H53" s="134">
        <f>SUMIF('内訳ﾘｽﾄ(4～3月)'!$D$26:$D$582,$B53,'内訳ﾘｽﾄ(4～3月)'!K$26:K$582)</f>
        <v>0</v>
      </c>
      <c r="I53" s="134">
        <f>SUMIF('内訳ﾘｽﾄ(4～3月)'!$D$26:$D$582,$B53,'内訳ﾘｽﾄ(4～3月)'!L$26:L$582)</f>
        <v>0</v>
      </c>
      <c r="J53" s="134">
        <f>SUMIF('内訳ﾘｽﾄ(4～3月)'!$D$26:$D$582,$B53,'内訳ﾘｽﾄ(4～3月)'!M$26:M$582)</f>
        <v>0</v>
      </c>
      <c r="K53" s="134">
        <f>SUMIF('内訳ﾘｽﾄ(4～3月)'!$D$26:$D$582,$B53,'内訳ﾘｽﾄ(4～3月)'!N$26:N$582)</f>
        <v>0</v>
      </c>
      <c r="L53" s="134">
        <f>SUMIF('内訳ﾘｽﾄ(4～3月)'!$D$26:$D$582,$B53,'内訳ﾘｽﾄ(4～3月)'!O$26:O$582)</f>
        <v>0</v>
      </c>
      <c r="M53" s="134">
        <f>SUMIF('内訳ﾘｽﾄ(4～3月)'!$D$26:$D$582,$B53,'内訳ﾘｽﾄ(4～3月)'!P$26:P$582)</f>
        <v>0</v>
      </c>
      <c r="N53" s="134">
        <f>SUMIF('内訳ﾘｽﾄ(4～3月)'!$D$26:$D$582,$B53,'内訳ﾘｽﾄ(4～3月)'!Q$26:Q$582)</f>
        <v>0</v>
      </c>
      <c r="O53" s="134">
        <f>SUMIF('内訳ﾘｽﾄ(4～3月)'!$D$26:$D$373,'採算表(VND)'!$B53,'内訳ﾘｽﾄ(4～3月)'!R$26:R$373)</f>
        <v>0</v>
      </c>
      <c r="AQ53" s="66"/>
      <c r="AR53" s="66"/>
      <c r="AS53" s="66"/>
      <c r="AT53" s="66"/>
      <c r="AU53" s="64"/>
      <c r="AV53" s="65"/>
      <c r="AW53" s="65"/>
      <c r="AX53" s="65"/>
      <c r="AY53" s="65"/>
      <c r="BA53" s="67"/>
      <c r="BB53" s="67"/>
      <c r="BC53" s="67"/>
      <c r="BD53" s="67"/>
      <c r="BF53" s="64"/>
      <c r="BG53" s="64"/>
      <c r="BH53" s="64"/>
      <c r="BI53" s="64"/>
    </row>
    <row r="54" spans="1:61" ht="11.25" customHeight="1">
      <c r="A54" s="32"/>
      <c r="B54" s="31" t="s">
        <v>100</v>
      </c>
      <c r="C54" s="134">
        <f>SUMIF('内訳ﾘｽﾄ(4～3月)'!$D$26:$D$582,$B54,'内訳ﾘｽﾄ(4～3月)'!F$26:F$582)</f>
        <v>0</v>
      </c>
      <c r="D54" s="134">
        <f>SUMIF('内訳ﾘｽﾄ(4～3月)'!$D$26:$D$582,$B54,'内訳ﾘｽﾄ(4～3月)'!G$26:G$582)</f>
        <v>0</v>
      </c>
      <c r="E54" s="134">
        <f>SUMIF('内訳ﾘｽﾄ(4～3月)'!$D$26:$D$582,$B54,'内訳ﾘｽﾄ(4～3月)'!H$26:H$582)</f>
        <v>0</v>
      </c>
      <c r="F54" s="134">
        <f>SUMIF('内訳ﾘｽﾄ(4～3月)'!$D$26:$D$582,$B54,'内訳ﾘｽﾄ(4～3月)'!I$26:I$582)</f>
        <v>0</v>
      </c>
      <c r="G54" s="134">
        <f>SUMIF('内訳ﾘｽﾄ(4～3月)'!$D$26:$D$582,$B54,'内訳ﾘｽﾄ(4～3月)'!J$26:J$582)</f>
        <v>0</v>
      </c>
      <c r="H54" s="134">
        <f>SUMIF('内訳ﾘｽﾄ(4～3月)'!$D$26:$D$582,$B54,'内訳ﾘｽﾄ(4～3月)'!K$26:K$582)</f>
        <v>0</v>
      </c>
      <c r="I54" s="134">
        <f>SUMIF('内訳ﾘｽﾄ(4～3月)'!$D$26:$D$582,$B54,'内訳ﾘｽﾄ(4～3月)'!L$26:L$582)</f>
        <v>0</v>
      </c>
      <c r="J54" s="134">
        <f>SUMIF('内訳ﾘｽﾄ(4～3月)'!$D$26:$D$582,$B54,'内訳ﾘｽﾄ(4～3月)'!M$26:M$582)</f>
        <v>0</v>
      </c>
      <c r="K54" s="134">
        <f>SUMIF('内訳ﾘｽﾄ(4～3月)'!$D$26:$D$582,$B54,'内訳ﾘｽﾄ(4～3月)'!N$26:N$582)</f>
        <v>0</v>
      </c>
      <c r="L54" s="134">
        <f>SUMIF('内訳ﾘｽﾄ(4～3月)'!$D$26:$D$582,$B54,'内訳ﾘｽﾄ(4～3月)'!O$26:O$582)</f>
        <v>0</v>
      </c>
      <c r="M54" s="134">
        <f>SUMIF('内訳ﾘｽﾄ(4～3月)'!$D$26:$D$582,$B54,'内訳ﾘｽﾄ(4～3月)'!P$26:P$582)</f>
        <v>0</v>
      </c>
      <c r="N54" s="134">
        <f>SUMIF('内訳ﾘｽﾄ(4～3月)'!$D$26:$D$582,$B54,'内訳ﾘｽﾄ(4～3月)'!Q$26:Q$582)</f>
        <v>0</v>
      </c>
      <c r="O54" s="134">
        <f>SUMIF('内訳ﾘｽﾄ(4～3月)'!$D$26:$D$373,'採算表(VND)'!$B54,'内訳ﾘｽﾄ(4～3月)'!R$26:R$373)</f>
        <v>0</v>
      </c>
      <c r="AQ54" s="66"/>
      <c r="AR54" s="66"/>
      <c r="AS54" s="66"/>
      <c r="AT54" s="66"/>
      <c r="AU54" s="64"/>
      <c r="AV54" s="65"/>
      <c r="AW54" s="65"/>
      <c r="AX54" s="65"/>
      <c r="AY54" s="65"/>
      <c r="BA54" s="67"/>
      <c r="BB54" s="67"/>
      <c r="BC54" s="67"/>
      <c r="BD54" s="67"/>
      <c r="BF54" s="64"/>
      <c r="BG54" s="64"/>
      <c r="BH54" s="64"/>
      <c r="BI54" s="64"/>
    </row>
    <row r="55" spans="1:61" ht="11.25" customHeight="1">
      <c r="A55" s="32"/>
      <c r="B55" s="31" t="s">
        <v>110</v>
      </c>
      <c r="C55" s="134">
        <f>SUMIF('内訳ﾘｽﾄ(4～3月)'!$D$26:$D$582,$B55,'内訳ﾘｽﾄ(4～3月)'!F$26:F$582)</f>
        <v>0</v>
      </c>
      <c r="D55" s="134">
        <f>SUMIF('内訳ﾘｽﾄ(4～3月)'!$D$26:$D$582,$B55,'内訳ﾘｽﾄ(4～3月)'!G$26:G$582)</f>
        <v>0</v>
      </c>
      <c r="E55" s="134">
        <f>SUMIF('内訳ﾘｽﾄ(4～3月)'!$D$26:$D$582,$B55,'内訳ﾘｽﾄ(4～3月)'!H$26:H$582)</f>
        <v>0</v>
      </c>
      <c r="F55" s="134">
        <f>SUMIF('内訳ﾘｽﾄ(4～3月)'!$D$26:$D$582,$B55,'内訳ﾘｽﾄ(4～3月)'!I$26:I$582)</f>
        <v>0</v>
      </c>
      <c r="G55" s="134">
        <f>SUMIF('内訳ﾘｽﾄ(4～3月)'!$D$26:$D$582,$B55,'内訳ﾘｽﾄ(4～3月)'!J$26:J$582)</f>
        <v>0</v>
      </c>
      <c r="H55" s="134">
        <f>SUMIF('内訳ﾘｽﾄ(4～3月)'!$D$26:$D$582,$B55,'内訳ﾘｽﾄ(4～3月)'!K$26:K$582)</f>
        <v>0</v>
      </c>
      <c r="I55" s="134">
        <f>SUMIF('内訳ﾘｽﾄ(4～3月)'!$D$26:$D$582,$B55,'内訳ﾘｽﾄ(4～3月)'!L$26:L$582)</f>
        <v>0</v>
      </c>
      <c r="J55" s="134">
        <f>SUMIF('内訳ﾘｽﾄ(4～3月)'!$D$26:$D$582,$B55,'内訳ﾘｽﾄ(4～3月)'!M$26:M$582)</f>
        <v>0</v>
      </c>
      <c r="K55" s="134">
        <f>SUMIF('内訳ﾘｽﾄ(4～3月)'!$D$26:$D$582,$B55,'内訳ﾘｽﾄ(4～3月)'!N$26:N$582)</f>
        <v>0</v>
      </c>
      <c r="L55" s="134">
        <f>SUMIF('内訳ﾘｽﾄ(4～3月)'!$D$26:$D$582,$B55,'内訳ﾘｽﾄ(4～3月)'!O$26:O$582)</f>
        <v>0</v>
      </c>
      <c r="M55" s="134">
        <f>SUMIF('内訳ﾘｽﾄ(4～3月)'!$D$26:$D$582,$B55,'内訳ﾘｽﾄ(4～3月)'!P$26:P$582)</f>
        <v>0</v>
      </c>
      <c r="N55" s="134">
        <f>SUMIF('内訳ﾘｽﾄ(4～3月)'!$D$26:$D$582,$B55,'内訳ﾘｽﾄ(4～3月)'!Q$26:Q$582)</f>
        <v>0</v>
      </c>
      <c r="O55" s="134">
        <f>SUMIF('内訳ﾘｽﾄ(4～3月)'!$D$26:$D$373,'採算表(VND)'!$B55,'内訳ﾘｽﾄ(4～3月)'!R$26:R$373)</f>
        <v>0</v>
      </c>
      <c r="AQ55" s="66"/>
      <c r="AR55" s="66"/>
      <c r="AS55" s="66"/>
      <c r="AT55" s="66"/>
      <c r="AU55" s="64"/>
      <c r="AV55" s="65"/>
      <c r="AW55" s="65"/>
      <c r="AX55" s="65"/>
      <c r="AY55" s="65"/>
      <c r="BA55" s="67"/>
      <c r="BB55" s="67"/>
      <c r="BC55" s="67"/>
      <c r="BD55" s="67"/>
      <c r="BF55" s="64"/>
      <c r="BG55" s="64"/>
      <c r="BH55" s="64"/>
      <c r="BI55" s="64"/>
    </row>
    <row r="56" spans="1:61" ht="11.25" customHeight="1">
      <c r="A56" s="32"/>
      <c r="B56" s="31" t="s">
        <v>113</v>
      </c>
      <c r="C56" s="134">
        <f>SUMIF('内訳ﾘｽﾄ(4～3月)'!$D$26:$D$582,$B56,'内訳ﾘｽﾄ(4～3月)'!F$26:F$582)</f>
        <v>0</v>
      </c>
      <c r="D56" s="134">
        <f>SUMIF('内訳ﾘｽﾄ(4～3月)'!$D$26:$D$582,$B56,'内訳ﾘｽﾄ(4～3月)'!G$26:G$582)</f>
        <v>0</v>
      </c>
      <c r="E56" s="134">
        <f>SUMIF('内訳ﾘｽﾄ(4～3月)'!$D$26:$D$582,$B56,'内訳ﾘｽﾄ(4～3月)'!H$26:H$582)</f>
        <v>0</v>
      </c>
      <c r="F56" s="134">
        <f>SUMIF('内訳ﾘｽﾄ(4～3月)'!$D$26:$D$582,$B56,'内訳ﾘｽﾄ(4～3月)'!I$26:I$582)</f>
        <v>0</v>
      </c>
      <c r="G56" s="134">
        <f>SUMIF('内訳ﾘｽﾄ(4～3月)'!$D$26:$D$582,$B56,'内訳ﾘｽﾄ(4～3月)'!J$26:J$582)</f>
        <v>0</v>
      </c>
      <c r="H56" s="134">
        <f>SUMIF('内訳ﾘｽﾄ(4～3月)'!$D$26:$D$582,$B56,'内訳ﾘｽﾄ(4～3月)'!K$26:K$582)</f>
        <v>0</v>
      </c>
      <c r="I56" s="134">
        <f>SUMIF('内訳ﾘｽﾄ(4～3月)'!$D$26:$D$582,$B56,'内訳ﾘｽﾄ(4～3月)'!L$26:L$582)</f>
        <v>0</v>
      </c>
      <c r="J56" s="134">
        <f>SUMIF('内訳ﾘｽﾄ(4～3月)'!$D$26:$D$582,$B56,'内訳ﾘｽﾄ(4～3月)'!M$26:M$582)</f>
        <v>0</v>
      </c>
      <c r="K56" s="134">
        <f>SUMIF('内訳ﾘｽﾄ(4～3月)'!$D$26:$D$582,$B56,'内訳ﾘｽﾄ(4～3月)'!N$26:N$582)</f>
        <v>0</v>
      </c>
      <c r="L56" s="134">
        <f>SUMIF('内訳ﾘｽﾄ(4～3月)'!$D$26:$D$582,$B56,'内訳ﾘｽﾄ(4～3月)'!O$26:O$582)</f>
        <v>0</v>
      </c>
      <c r="M56" s="134">
        <f>SUMIF('内訳ﾘｽﾄ(4～3月)'!$D$26:$D$582,$B56,'内訳ﾘｽﾄ(4～3月)'!P$26:P$582)</f>
        <v>0</v>
      </c>
      <c r="N56" s="134">
        <f>SUMIF('内訳ﾘｽﾄ(4～3月)'!$D$26:$D$582,$B56,'内訳ﾘｽﾄ(4～3月)'!Q$26:Q$582)</f>
        <v>0</v>
      </c>
      <c r="O56" s="134">
        <f>SUMIF('内訳ﾘｽﾄ(4～3月)'!$D$26:$D$373,'採算表(VND)'!$B56,'内訳ﾘｽﾄ(4～3月)'!R$26:R$373)</f>
        <v>0</v>
      </c>
      <c r="AQ56" s="66"/>
      <c r="AR56" s="66"/>
      <c r="AS56" s="66"/>
      <c r="AT56" s="66"/>
      <c r="AU56" s="64"/>
      <c r="AV56" s="65"/>
      <c r="AW56" s="65"/>
      <c r="AX56" s="65"/>
      <c r="AY56" s="65"/>
      <c r="BA56" s="67"/>
      <c r="BB56" s="67"/>
      <c r="BC56" s="67"/>
      <c r="BD56" s="67"/>
      <c r="BF56" s="64"/>
      <c r="BG56" s="64"/>
      <c r="BH56" s="64"/>
      <c r="BI56" s="64"/>
    </row>
    <row r="57" spans="1:61" ht="11.25" customHeight="1">
      <c r="A57" s="32"/>
      <c r="B57" s="31" t="s">
        <v>114</v>
      </c>
      <c r="C57" s="134">
        <f>SUMIF('内訳ﾘｽﾄ(4～3月)'!$D$26:$D$582,$B57,'内訳ﾘｽﾄ(4～3月)'!F$26:F$582)</f>
        <v>1576139092</v>
      </c>
      <c r="D57" s="134">
        <f>SUMIF('内訳ﾘｽﾄ(4～3月)'!$D$26:$D$582,$B57,'内訳ﾘｽﾄ(4～3月)'!G$26:G$582)</f>
        <v>1450621347</v>
      </c>
      <c r="E57" s="134">
        <f>SUMIF('内訳ﾘｽﾄ(4～3月)'!$D$26:$D$582,$B57,'内訳ﾘｽﾄ(4～3月)'!H$26:H$582)</f>
        <v>1451687944</v>
      </c>
      <c r="F57" s="134">
        <f>SUMIF('内訳ﾘｽﾄ(4～3月)'!$D$26:$D$582,$B57,'内訳ﾘｽﾄ(4～3月)'!I$26:I$582)</f>
        <v>1451696307</v>
      </c>
      <c r="G57" s="134">
        <f>SUMIF('内訳ﾘｽﾄ(4～3月)'!$D$26:$D$582,$B57,'内訳ﾘｽﾄ(4～3月)'!J$26:J$582)</f>
        <v>1452702385</v>
      </c>
      <c r="H57" s="134">
        <f>SUMIF('内訳ﾘｽﾄ(4～3月)'!$D$26:$D$582,$B57,'内訳ﾘｽﾄ(4～3月)'!K$26:K$582)</f>
        <v>1452535225</v>
      </c>
      <c r="I57" s="134">
        <f>SUMIF('内訳ﾘｽﾄ(4～3月)'!$D$26:$D$582,$B57,'内訳ﾘｽﾄ(4～3月)'!L$26:L$582)</f>
        <v>1452388470</v>
      </c>
      <c r="J57" s="134">
        <f>SUMIF('内訳ﾘｽﾄ(4～3月)'!$D$26:$D$582,$B57,'内訳ﾘｽﾄ(4～3月)'!M$26:M$582)</f>
        <v>1450257741</v>
      </c>
      <c r="K57" s="134">
        <f>SUMIF('内訳ﾘｽﾄ(4～3月)'!$D$26:$D$582,$B57,'内訳ﾘｽﾄ(4～3月)'!N$26:N$582)</f>
        <v>1450182257</v>
      </c>
      <c r="L57" s="134">
        <f>SUMIF('内訳ﾘｽﾄ(4～3月)'!$D$26:$D$582,$B57,'内訳ﾘｽﾄ(4～3月)'!O$26:O$582)</f>
        <v>1449663032</v>
      </c>
      <c r="M57" s="134">
        <f>SUMIF('内訳ﾘｽﾄ(4～3月)'!$D$26:$D$582,$B57,'内訳ﾘｽﾄ(4～3月)'!P$26:P$582)</f>
        <v>1447748372</v>
      </c>
      <c r="N57" s="134">
        <f>SUMIF('内訳ﾘｽﾄ(4～3月)'!$D$26:$D$582,$B57,'内訳ﾘｽﾄ(4～3月)'!Q$26:Q$582)</f>
        <v>1447215435</v>
      </c>
      <c r="O57" s="134">
        <f>SUMIF('内訳ﾘｽﾄ(4～3月)'!$D$26:$D$373,'採算表(VND)'!$B57,'内訳ﾘｽﾄ(4～3月)'!R$26:R$373)</f>
        <v>12505773186</v>
      </c>
      <c r="AQ57" s="66"/>
      <c r="AR57" s="66"/>
      <c r="AS57" s="66"/>
      <c r="AT57" s="66"/>
      <c r="AU57" s="64"/>
      <c r="AV57" s="65"/>
      <c r="AW57" s="65"/>
      <c r="AX57" s="65"/>
      <c r="AY57" s="65"/>
      <c r="BA57" s="67"/>
      <c r="BB57" s="67"/>
      <c r="BC57" s="67"/>
      <c r="BD57" s="67"/>
      <c r="BF57" s="64"/>
      <c r="BG57" s="64"/>
      <c r="BH57" s="64"/>
      <c r="BI57" s="64"/>
    </row>
    <row r="58" spans="1:61" ht="11.25" customHeight="1">
      <c r="A58" s="32"/>
      <c r="B58" s="31" t="s">
        <v>122</v>
      </c>
      <c r="C58" s="134">
        <f>SUMIF('内訳ﾘｽﾄ(4～3月)'!$D$26:$D$582,$B58,'内訳ﾘｽﾄ(4～3月)'!F$26:F$582)</f>
        <v>0</v>
      </c>
      <c r="D58" s="134">
        <f>SUMIF('内訳ﾘｽﾄ(4～3月)'!$D$26:$D$582,$B58,'内訳ﾘｽﾄ(4～3月)'!G$26:G$582)</f>
        <v>0</v>
      </c>
      <c r="E58" s="134">
        <f>SUMIF('内訳ﾘｽﾄ(4～3月)'!$D$26:$D$582,$B58,'内訳ﾘｽﾄ(4～3月)'!H$26:H$582)</f>
        <v>0</v>
      </c>
      <c r="F58" s="134">
        <f>SUMIF('内訳ﾘｽﾄ(4～3月)'!$D$26:$D$582,$B58,'内訳ﾘｽﾄ(4～3月)'!I$26:I$582)</f>
        <v>0</v>
      </c>
      <c r="G58" s="134">
        <f>SUMIF('内訳ﾘｽﾄ(4～3月)'!$D$26:$D$582,$B58,'内訳ﾘｽﾄ(4～3月)'!J$26:J$582)</f>
        <v>0</v>
      </c>
      <c r="H58" s="134">
        <f>SUMIF('内訳ﾘｽﾄ(4～3月)'!$D$26:$D$582,$B58,'内訳ﾘｽﾄ(4～3月)'!K$26:K$582)</f>
        <v>0</v>
      </c>
      <c r="I58" s="134">
        <f>SUMIF('内訳ﾘｽﾄ(4～3月)'!$D$26:$D$582,$B58,'内訳ﾘｽﾄ(4～3月)'!L$26:L$582)</f>
        <v>0</v>
      </c>
      <c r="J58" s="134">
        <f>SUMIF('内訳ﾘｽﾄ(4～3月)'!$D$26:$D$582,$B58,'内訳ﾘｽﾄ(4～3月)'!M$26:M$582)</f>
        <v>0</v>
      </c>
      <c r="K58" s="134">
        <f>SUMIF('内訳ﾘｽﾄ(4～3月)'!$D$26:$D$582,$B58,'内訳ﾘｽﾄ(4～3月)'!N$26:N$582)</f>
        <v>0</v>
      </c>
      <c r="L58" s="134">
        <f>SUMIF('内訳ﾘｽﾄ(4～3月)'!$D$26:$D$582,$B58,'内訳ﾘｽﾄ(4～3月)'!O$26:O$582)</f>
        <v>0</v>
      </c>
      <c r="M58" s="134">
        <f>SUMIF('内訳ﾘｽﾄ(4～3月)'!$D$26:$D$582,$B58,'内訳ﾘｽﾄ(4～3月)'!P$26:P$582)</f>
        <v>0</v>
      </c>
      <c r="N58" s="134">
        <f>SUMIF('内訳ﾘｽﾄ(4～3月)'!$D$26:$D$582,$B58,'内訳ﾘｽﾄ(4～3月)'!Q$26:Q$582)</f>
        <v>0</v>
      </c>
      <c r="O58" s="134">
        <f>SUMIF('内訳ﾘｽﾄ(4～3月)'!$D$26:$D$373,'採算表(VND)'!$B58,'内訳ﾘｽﾄ(4～3月)'!R$26:R$373)</f>
        <v>0</v>
      </c>
      <c r="AQ58" s="66"/>
      <c r="AR58" s="66"/>
      <c r="AS58" s="66"/>
      <c r="AT58" s="66"/>
      <c r="AU58" s="64"/>
      <c r="AV58" s="65"/>
      <c r="AW58" s="65"/>
      <c r="AX58" s="65"/>
      <c r="AY58" s="65"/>
      <c r="BA58" s="67"/>
      <c r="BB58" s="67"/>
      <c r="BC58" s="67"/>
      <c r="BD58" s="67"/>
      <c r="BF58" s="64"/>
      <c r="BG58" s="64"/>
      <c r="BH58" s="64"/>
      <c r="BI58" s="64"/>
    </row>
    <row r="59" spans="1:61" ht="11.25" customHeight="1">
      <c r="A59" s="32"/>
      <c r="B59" s="31" t="s">
        <v>121</v>
      </c>
      <c r="C59" s="134">
        <f>SUMIF('内訳ﾘｽﾄ(4～3月)'!$D$26:$D$582,$B59,'内訳ﾘｽﾄ(4～3月)'!F$26:F$582)</f>
        <v>0</v>
      </c>
      <c r="D59" s="134">
        <f>SUMIF('内訳ﾘｽﾄ(4～3月)'!$D$26:$D$582,$B59,'内訳ﾘｽﾄ(4～3月)'!G$26:G$582)</f>
        <v>0</v>
      </c>
      <c r="E59" s="134">
        <f>SUMIF('内訳ﾘｽﾄ(4～3月)'!$D$26:$D$582,$B59,'内訳ﾘｽﾄ(4～3月)'!H$26:H$582)</f>
        <v>0</v>
      </c>
      <c r="F59" s="134">
        <f>SUMIF('内訳ﾘｽﾄ(4～3月)'!$D$26:$D$582,$B59,'内訳ﾘｽﾄ(4～3月)'!I$26:I$582)</f>
        <v>0</v>
      </c>
      <c r="G59" s="134">
        <f>SUMIF('内訳ﾘｽﾄ(4～3月)'!$D$26:$D$582,$B59,'内訳ﾘｽﾄ(4～3月)'!J$26:J$582)</f>
        <v>0</v>
      </c>
      <c r="H59" s="134">
        <f>SUMIF('内訳ﾘｽﾄ(4～3月)'!$D$26:$D$582,$B59,'内訳ﾘｽﾄ(4～3月)'!K$26:K$582)</f>
        <v>0</v>
      </c>
      <c r="I59" s="134">
        <f>SUMIF('内訳ﾘｽﾄ(4～3月)'!$D$26:$D$582,$B59,'内訳ﾘｽﾄ(4～3月)'!L$26:L$582)</f>
        <v>0</v>
      </c>
      <c r="J59" s="134">
        <f>SUMIF('内訳ﾘｽﾄ(4～3月)'!$D$26:$D$582,$B59,'内訳ﾘｽﾄ(4～3月)'!M$26:M$582)</f>
        <v>0</v>
      </c>
      <c r="K59" s="134">
        <f>SUMIF('内訳ﾘｽﾄ(4～3月)'!$D$26:$D$582,$B59,'内訳ﾘｽﾄ(4～3月)'!N$26:N$582)</f>
        <v>0</v>
      </c>
      <c r="L59" s="134">
        <f>SUMIF('内訳ﾘｽﾄ(4～3月)'!$D$26:$D$582,$B59,'内訳ﾘｽﾄ(4～3月)'!O$26:O$582)</f>
        <v>0</v>
      </c>
      <c r="M59" s="134">
        <f>SUMIF('内訳ﾘｽﾄ(4～3月)'!$D$26:$D$582,$B59,'内訳ﾘｽﾄ(4～3月)'!P$26:P$582)</f>
        <v>0</v>
      </c>
      <c r="N59" s="134">
        <f>SUMIF('内訳ﾘｽﾄ(4～3月)'!$D$26:$D$582,$B59,'内訳ﾘｽﾄ(4～3月)'!Q$26:Q$582)</f>
        <v>0</v>
      </c>
      <c r="O59" s="134">
        <f>SUMIF('内訳ﾘｽﾄ(4～3月)'!$D$26:$D$373,'採算表(VND)'!$B59,'内訳ﾘｽﾄ(4～3月)'!R$26:R$373)</f>
        <v>0</v>
      </c>
      <c r="AQ59" s="66"/>
      <c r="AR59" s="66"/>
      <c r="AS59" s="66"/>
      <c r="AT59" s="66"/>
      <c r="AU59" s="64"/>
      <c r="AV59" s="65"/>
      <c r="AW59" s="65"/>
      <c r="AX59" s="65"/>
      <c r="AY59" s="65"/>
      <c r="BA59" s="67"/>
      <c r="BB59" s="67"/>
      <c r="BC59" s="67"/>
      <c r="BD59" s="67"/>
      <c r="BF59" s="64"/>
      <c r="BG59" s="64"/>
      <c r="BH59" s="64"/>
      <c r="BI59" s="64"/>
    </row>
    <row r="60" spans="1:61" ht="11.25" customHeight="1">
      <c r="A60" s="32"/>
      <c r="B60" s="31" t="s">
        <v>123</v>
      </c>
      <c r="C60" s="134">
        <f>SUMIF('内訳ﾘｽﾄ(4～3月)'!$D$26:$D$582,$B60,'内訳ﾘｽﾄ(4～3月)'!F$26:F$582)</f>
        <v>0</v>
      </c>
      <c r="D60" s="134">
        <f>SUMIF('内訳ﾘｽﾄ(4～3月)'!$D$26:$D$582,$B60,'内訳ﾘｽﾄ(4～3月)'!G$26:G$582)</f>
        <v>0</v>
      </c>
      <c r="E60" s="134">
        <f>SUMIF('内訳ﾘｽﾄ(4～3月)'!$D$26:$D$582,$B60,'内訳ﾘｽﾄ(4～3月)'!H$26:H$582)</f>
        <v>0</v>
      </c>
      <c r="F60" s="134">
        <f>SUMIF('内訳ﾘｽﾄ(4～3月)'!$D$26:$D$582,$B60,'内訳ﾘｽﾄ(4～3月)'!I$26:I$582)</f>
        <v>0</v>
      </c>
      <c r="G60" s="134">
        <f>SUMIF('内訳ﾘｽﾄ(4～3月)'!$D$26:$D$582,$B60,'内訳ﾘｽﾄ(4～3月)'!J$26:J$582)</f>
        <v>0</v>
      </c>
      <c r="H60" s="134">
        <f>SUMIF('内訳ﾘｽﾄ(4～3月)'!$D$26:$D$582,$B60,'内訳ﾘｽﾄ(4～3月)'!K$26:K$582)</f>
        <v>0</v>
      </c>
      <c r="I60" s="134">
        <f>SUMIF('内訳ﾘｽﾄ(4～3月)'!$D$26:$D$582,$B60,'内訳ﾘｽﾄ(4～3月)'!L$26:L$582)</f>
        <v>0</v>
      </c>
      <c r="J60" s="134">
        <f>SUMIF('内訳ﾘｽﾄ(4～3月)'!$D$26:$D$582,$B60,'内訳ﾘｽﾄ(4～3月)'!M$26:M$582)</f>
        <v>0</v>
      </c>
      <c r="K60" s="134">
        <f>SUMIF('内訳ﾘｽﾄ(4～3月)'!$D$26:$D$582,$B60,'内訳ﾘｽﾄ(4～3月)'!N$26:N$582)</f>
        <v>0</v>
      </c>
      <c r="L60" s="134">
        <f>SUMIF('内訳ﾘｽﾄ(4～3月)'!$D$26:$D$582,$B60,'内訳ﾘｽﾄ(4～3月)'!O$26:O$582)</f>
        <v>0</v>
      </c>
      <c r="M60" s="134">
        <f>SUMIF('内訳ﾘｽﾄ(4～3月)'!$D$26:$D$582,$B60,'内訳ﾘｽﾄ(4～3月)'!P$26:P$582)</f>
        <v>0</v>
      </c>
      <c r="N60" s="134">
        <f>SUMIF('内訳ﾘｽﾄ(4～3月)'!$D$26:$D$582,$B60,'内訳ﾘｽﾄ(4～3月)'!Q$26:Q$582)</f>
        <v>0</v>
      </c>
      <c r="O60" s="134">
        <f>SUMIF('内訳ﾘｽﾄ(4～3月)'!$D$26:$D$373,'採算表(VND)'!$B60,'内訳ﾘｽﾄ(4～3月)'!R$26:R$373)</f>
        <v>0</v>
      </c>
      <c r="AQ60" s="66"/>
      <c r="AR60" s="66"/>
      <c r="AS60" s="66"/>
      <c r="AT60" s="66"/>
      <c r="AU60" s="64"/>
      <c r="AV60" s="65"/>
      <c r="AW60" s="65"/>
      <c r="AX60" s="65"/>
      <c r="AY60" s="65"/>
      <c r="BA60" s="67"/>
      <c r="BB60" s="67"/>
      <c r="BC60" s="67"/>
      <c r="BD60" s="67"/>
      <c r="BF60" s="64"/>
      <c r="BG60" s="64"/>
      <c r="BH60" s="64"/>
      <c r="BI60" s="64"/>
    </row>
    <row r="61" spans="1:61" ht="11.25" customHeight="1">
      <c r="A61" s="32"/>
      <c r="B61" s="31" t="s">
        <v>106</v>
      </c>
      <c r="C61" s="134">
        <f>IF('内訳ﾘｽﾄ(4～3月)'!$D$5="製造",SUMIF('内訳ﾘｽﾄ(4～3月)'!$D$26:$D$582,$B61,'内訳ﾘｽﾄ(4～3月)'!F$26:F$582),IF('内訳ﾘｽﾄ(4～3月)'!$D$5="部内間接",-SUM(C$14:C$60,C$65),0))</f>
        <v>0</v>
      </c>
      <c r="D61" s="134">
        <f>IF('内訳ﾘｽﾄ(4～3月)'!$D$5="製造",SUMIF('内訳ﾘｽﾄ(4～3月)'!$D$26:$D$582,$B61,'内訳ﾘｽﾄ(4～3月)'!G$26:G$582),IF('内訳ﾘｽﾄ(4～3月)'!$D$5="部内間接",-SUM(D$14:D$60,D$65),0))</f>
        <v>0</v>
      </c>
      <c r="E61" s="134">
        <f>IF('内訳ﾘｽﾄ(4～3月)'!$D$5="製造",SUMIF('内訳ﾘｽﾄ(4～3月)'!$D$26:$D$582,$B61,'内訳ﾘｽﾄ(4～3月)'!H$26:H$582),IF('内訳ﾘｽﾄ(4～3月)'!$D$5="部内間接",-SUM(E$14:E$60,E$65),0))</f>
        <v>0</v>
      </c>
      <c r="F61" s="134">
        <f>IF('内訳ﾘｽﾄ(4～3月)'!$D$5="製造",SUMIF('内訳ﾘｽﾄ(4～3月)'!$D$26:$D$582,$B61,'内訳ﾘｽﾄ(4～3月)'!I$26:I$582),IF('内訳ﾘｽﾄ(4～3月)'!$D$5="部内間接",-SUM(F$14:F$60,F$65),0))</f>
        <v>0</v>
      </c>
      <c r="G61" s="134">
        <f>IF('内訳ﾘｽﾄ(4～3月)'!$D$5="製造",SUMIF('内訳ﾘｽﾄ(4～3月)'!$D$26:$D$582,$B61,'内訳ﾘｽﾄ(4～3月)'!J$26:J$582),IF('内訳ﾘｽﾄ(4～3月)'!$D$5="部内間接",-SUM(G$14:G$60,G$65),0))</f>
        <v>0</v>
      </c>
      <c r="H61" s="134">
        <f>IF('内訳ﾘｽﾄ(4～3月)'!$D$5="製造",SUMIF('内訳ﾘｽﾄ(4～3月)'!$D$26:$D$582,$B61,'内訳ﾘｽﾄ(4～3月)'!K$26:K$582),IF('内訳ﾘｽﾄ(4～3月)'!$D$5="部内間接",-SUM(H$14:H$60,H$65),0))</f>
        <v>0</v>
      </c>
      <c r="I61" s="134">
        <f>IF('内訳ﾘｽﾄ(4～3月)'!$D$5="製造",SUMIF('内訳ﾘｽﾄ(4～3月)'!$D$26:$D$582,$B61,'内訳ﾘｽﾄ(4～3月)'!L$26:L$582),IF('内訳ﾘｽﾄ(4～3月)'!$D$5="部内間接",-SUM(I$14:I$60,I$65),0))</f>
        <v>0</v>
      </c>
      <c r="J61" s="134">
        <f>IF('内訳ﾘｽﾄ(4～3月)'!$D$5="製造",SUMIF('内訳ﾘｽﾄ(4～3月)'!$D$26:$D$582,$B61,'内訳ﾘｽﾄ(4～3月)'!M$26:M$582),IF('内訳ﾘｽﾄ(4～3月)'!$D$5="部内間接",-SUM(J$14:J$60,J$65),0))</f>
        <v>0</v>
      </c>
      <c r="K61" s="134">
        <f>IF('内訳ﾘｽﾄ(4～3月)'!$D$5="製造",SUMIF('内訳ﾘｽﾄ(4～3月)'!$D$26:$D$582,$B61,'内訳ﾘｽﾄ(4～3月)'!N$26:N$582),IF('内訳ﾘｽﾄ(4～3月)'!$D$5="部内間接",-SUM(K$14:K$60,K$65),0))</f>
        <v>0</v>
      </c>
      <c r="L61" s="134">
        <f>IF('内訳ﾘｽﾄ(4～3月)'!$D$5="製造",SUMIF('内訳ﾘｽﾄ(4～3月)'!$D$26:$D$582,$B61,'内訳ﾘｽﾄ(4～3月)'!O$26:O$582),IF('内訳ﾘｽﾄ(4～3月)'!$D$5="部内間接",-SUM(L$14:L$60,L$65),0))</f>
        <v>0</v>
      </c>
      <c r="M61" s="134">
        <f>IF('内訳ﾘｽﾄ(4～3月)'!$D$5="製造",SUMIF('内訳ﾘｽﾄ(4～3月)'!$D$26:$D$582,$B61,'内訳ﾘｽﾄ(4～3月)'!P$26:P$582),IF('内訳ﾘｽﾄ(4～3月)'!$D$5="部内間接",-SUM(M$14:M$60,M$65),0))</f>
        <v>0</v>
      </c>
      <c r="N61" s="134">
        <f>IF('内訳ﾘｽﾄ(4～3月)'!$D$5="製造",SUMIF('内訳ﾘｽﾄ(4～3月)'!$D$26:$D$582,$B61,'内訳ﾘｽﾄ(4～3月)'!Q$26:Q$582),IF('内訳ﾘｽﾄ(4～3月)'!$D$5="部内間接",-SUM(N$14:N$60,N$65),0))</f>
        <v>0</v>
      </c>
      <c r="O61" s="134">
        <f>IF('内訳ﾘｽﾄ(4～3月)'!$D$5="部内間接",-SUM(O$65,O$14:O$60),IF('内訳ﾘｽﾄ(4～3月)'!$D$5="製造",SUMIF('内訳ﾘｽﾄ(4～3月)'!$D$26:$D$373,'採算表(VND)'!$B61,'内訳ﾘｽﾄ(4～3月)'!R$26:R$373),0))</f>
        <v>0</v>
      </c>
      <c r="AQ61" s="66"/>
      <c r="AR61" s="66"/>
      <c r="AS61" s="66"/>
      <c r="AT61" s="66"/>
      <c r="AU61" s="64"/>
      <c r="AV61" s="65"/>
      <c r="AW61" s="65"/>
      <c r="AX61" s="65"/>
      <c r="AY61" s="65"/>
      <c r="BA61" s="67"/>
      <c r="BB61" s="67"/>
      <c r="BC61" s="67"/>
      <c r="BD61" s="67"/>
      <c r="BF61" s="64"/>
      <c r="BG61" s="64"/>
      <c r="BH61" s="64"/>
      <c r="BI61" s="64"/>
    </row>
    <row r="62" spans="1:61" ht="11.25" customHeight="1">
      <c r="A62" s="32"/>
      <c r="B62" s="31" t="s">
        <v>418</v>
      </c>
      <c r="C62" s="134">
        <f>IF('内訳ﾘｽﾄ(4～3月)'!$D$5="製造",SUMIF('内訳ﾘｽﾄ(4～3月)'!$D$26:$D$582,$B62,'内訳ﾘｽﾄ(4～3月)'!F$26:F$582),IF('内訳ﾘｽﾄ(4～3月)'!$D$5="部外間接1",-SUM(C$14:C$60,C$65),0))</f>
        <v>0</v>
      </c>
      <c r="D62" s="134">
        <f>IF('内訳ﾘｽﾄ(4～3月)'!$D$5="製造",SUMIF('内訳ﾘｽﾄ(4～3月)'!$D$26:$D$582,$B62,'内訳ﾘｽﾄ(4～3月)'!G$26:G$582),IF('内訳ﾘｽﾄ(4～3月)'!$D$5="部外間接1",-SUM(D$14:D$60,D$65),0))</f>
        <v>0</v>
      </c>
      <c r="E62" s="134">
        <f>IF('内訳ﾘｽﾄ(4～3月)'!$D$5="製造",SUMIF('内訳ﾘｽﾄ(4～3月)'!$D$26:$D$582,$B62,'内訳ﾘｽﾄ(4～3月)'!H$26:H$582),IF('内訳ﾘｽﾄ(4～3月)'!$D$5="部外間接1",-SUM(E$14:E$60,E$65),0))</f>
        <v>0</v>
      </c>
      <c r="F62" s="134">
        <f>IF('内訳ﾘｽﾄ(4～3月)'!$D$5="製造",SUMIF('内訳ﾘｽﾄ(4～3月)'!$D$26:$D$582,$B62,'内訳ﾘｽﾄ(4～3月)'!I$26:I$582),IF('内訳ﾘｽﾄ(4～3月)'!$D$5="部外間接1",-SUM(F$14:F$60,F$65),0))</f>
        <v>0</v>
      </c>
      <c r="G62" s="134">
        <f>IF('内訳ﾘｽﾄ(4～3月)'!$D$5="製造",SUMIF('内訳ﾘｽﾄ(4～3月)'!$D$26:$D$582,$B62,'内訳ﾘｽﾄ(4～3月)'!J$26:J$582),IF('内訳ﾘｽﾄ(4～3月)'!$D$5="部外間接1",-SUM(G$14:G$60,G$65),0))</f>
        <v>0</v>
      </c>
      <c r="H62" s="134">
        <f>IF('内訳ﾘｽﾄ(4～3月)'!$D$5="製造",SUMIF('内訳ﾘｽﾄ(4～3月)'!$D$26:$D$582,$B62,'内訳ﾘｽﾄ(4～3月)'!K$26:K$582),IF('内訳ﾘｽﾄ(4～3月)'!$D$5="部外間接1",-SUM(H$14:H$60,H$65),0))</f>
        <v>0</v>
      </c>
      <c r="I62" s="134">
        <f>IF('内訳ﾘｽﾄ(4～3月)'!$D$5="製造",SUMIF('内訳ﾘｽﾄ(4～3月)'!$D$26:$D$582,$B62,'内訳ﾘｽﾄ(4～3月)'!L$26:L$582),IF('内訳ﾘｽﾄ(4～3月)'!$D$5="部外間接1",-SUM(I$14:I$60,I$65),0))</f>
        <v>0</v>
      </c>
      <c r="J62" s="134">
        <f>IF('内訳ﾘｽﾄ(4～3月)'!$D$5="製造",SUMIF('内訳ﾘｽﾄ(4～3月)'!$D$26:$D$582,$B62,'内訳ﾘｽﾄ(4～3月)'!M$26:M$582),IF('内訳ﾘｽﾄ(4～3月)'!$D$5="部外間接1",-SUM(J$14:J$60,J$65),0))</f>
        <v>0</v>
      </c>
      <c r="K62" s="134">
        <f>IF('内訳ﾘｽﾄ(4～3月)'!$D$5="製造",SUMIF('内訳ﾘｽﾄ(4～3月)'!$D$26:$D$582,$B62,'内訳ﾘｽﾄ(4～3月)'!N$26:N$582),IF('内訳ﾘｽﾄ(4～3月)'!$D$5="部外間接1",-SUM(K$14:K$60,K$65),0))</f>
        <v>0</v>
      </c>
      <c r="L62" s="134">
        <f>IF('内訳ﾘｽﾄ(4～3月)'!$D$5="製造",SUMIF('内訳ﾘｽﾄ(4～3月)'!$D$26:$D$582,$B62,'内訳ﾘｽﾄ(4～3月)'!O$26:O$582),IF('内訳ﾘｽﾄ(4～3月)'!$D$5="部外間接1",-SUM(L$14:L$60,L$65),0))</f>
        <v>0</v>
      </c>
      <c r="M62" s="134">
        <f>IF('内訳ﾘｽﾄ(4～3月)'!$D$5="製造",SUMIF('内訳ﾘｽﾄ(4～3月)'!$D$26:$D$582,$B62,'内訳ﾘｽﾄ(4～3月)'!P$26:P$582),IF('内訳ﾘｽﾄ(4～3月)'!$D$5="部外間接1",-SUM(M$14:M$60,M$65),0))</f>
        <v>0</v>
      </c>
      <c r="N62" s="134">
        <f>IF('内訳ﾘｽﾄ(4～3月)'!$D$5="製造",SUMIF('内訳ﾘｽﾄ(4～3月)'!$D$26:$D$582,$B62,'内訳ﾘｽﾄ(4～3月)'!Q$26:Q$582),IF('内訳ﾘｽﾄ(4～3月)'!$D$5="部外間接1",-SUM(N$14:N$60,N$65),0))</f>
        <v>0</v>
      </c>
      <c r="O62" s="134">
        <f>IF('内訳ﾘｽﾄ(4～3月)'!$D$5="部外間接1",-SUM(O$65,O$14:O$60),IF('内訳ﾘｽﾄ(4～3月)'!$D$5="製造",SUMIF('内訳ﾘｽﾄ(4～3月)'!$D$26:$D$373,'採算表(VND)'!$B62,'内訳ﾘｽﾄ(4～3月)'!R$26:R$373),0))</f>
        <v>0</v>
      </c>
      <c r="AQ62" s="66"/>
      <c r="AR62" s="66"/>
      <c r="AS62" s="66"/>
      <c r="AT62" s="66"/>
      <c r="AU62" s="64"/>
      <c r="AV62" s="65"/>
      <c r="AW62" s="65"/>
      <c r="AX62" s="65"/>
      <c r="AY62" s="65"/>
      <c r="BA62" s="67"/>
      <c r="BB62" s="67"/>
      <c r="BC62" s="67"/>
      <c r="BD62" s="67"/>
      <c r="BF62" s="64"/>
      <c r="BG62" s="64"/>
      <c r="BH62" s="64"/>
      <c r="BI62" s="64"/>
    </row>
    <row r="63" spans="1:61" ht="11.25" customHeight="1">
      <c r="A63" s="32"/>
      <c r="B63" s="31" t="s">
        <v>419</v>
      </c>
      <c r="C63" s="134">
        <f>IF('内訳ﾘｽﾄ(4～3月)'!$D$5="製造",SUMIF('内訳ﾘｽﾄ(4～3月)'!$D$26:$D$582,$B63,'内訳ﾘｽﾄ(4～3月)'!F$26:F$582),IF('内訳ﾘｽﾄ(4～3月)'!$D$5="部外間接2",-SUM(C$14:C$60,C$65),0))</f>
        <v>0</v>
      </c>
      <c r="D63" s="134">
        <f>IF('内訳ﾘｽﾄ(4～3月)'!$D$5="製造",SUMIF('内訳ﾘｽﾄ(4～3月)'!$D$26:$D$582,$B63,'内訳ﾘｽﾄ(4～3月)'!G$26:G$582),IF('内訳ﾘｽﾄ(4～3月)'!$D$5="部外間接2",-SUM(D$14:D$60,D$65),0))</f>
        <v>0</v>
      </c>
      <c r="E63" s="134">
        <f>IF('内訳ﾘｽﾄ(4～3月)'!$D$5="製造",SUMIF('内訳ﾘｽﾄ(4～3月)'!$D$26:$D$582,$B63,'内訳ﾘｽﾄ(4～3月)'!H$26:H$582),IF('内訳ﾘｽﾄ(4～3月)'!$D$5="部外間接2",-SUM(E$14:E$60,E$65),0))</f>
        <v>0</v>
      </c>
      <c r="F63" s="134">
        <f>IF('内訳ﾘｽﾄ(4～3月)'!$D$5="製造",SUMIF('内訳ﾘｽﾄ(4～3月)'!$D$26:$D$582,$B63,'内訳ﾘｽﾄ(4～3月)'!I$26:I$582),IF('内訳ﾘｽﾄ(4～3月)'!$D$5="部外間接2",-SUM(F$14:F$60,F$65),0))</f>
        <v>0</v>
      </c>
      <c r="G63" s="134">
        <f>IF('内訳ﾘｽﾄ(4～3月)'!$D$5="製造",SUMIF('内訳ﾘｽﾄ(4～3月)'!$D$26:$D$582,$B63,'内訳ﾘｽﾄ(4～3月)'!J$26:J$582),IF('内訳ﾘｽﾄ(4～3月)'!$D$5="部外間接2",-SUM(G$14:G$60,G$65),0))</f>
        <v>0</v>
      </c>
      <c r="H63" s="134">
        <f>IF('内訳ﾘｽﾄ(4～3月)'!$D$5="製造",SUMIF('内訳ﾘｽﾄ(4～3月)'!$D$26:$D$582,$B63,'内訳ﾘｽﾄ(4～3月)'!K$26:K$582),IF('内訳ﾘｽﾄ(4～3月)'!$D$5="部外間接2",-SUM(H$14:H$60,H$65),0))</f>
        <v>0</v>
      </c>
      <c r="I63" s="134">
        <f>IF('内訳ﾘｽﾄ(4～3月)'!$D$5="製造",SUMIF('内訳ﾘｽﾄ(4～3月)'!$D$26:$D$582,$B63,'内訳ﾘｽﾄ(4～3月)'!L$26:L$582),IF('内訳ﾘｽﾄ(4～3月)'!$D$5="部外間接2",-SUM(I$14:I$60,I$65),0))</f>
        <v>0</v>
      </c>
      <c r="J63" s="134">
        <f>IF('内訳ﾘｽﾄ(4～3月)'!$D$5="製造",SUMIF('内訳ﾘｽﾄ(4～3月)'!$D$26:$D$582,$B63,'内訳ﾘｽﾄ(4～3月)'!M$26:M$582),IF('内訳ﾘｽﾄ(4～3月)'!$D$5="部外間接2",-SUM(J$14:J$60,J$65),0))</f>
        <v>0</v>
      </c>
      <c r="K63" s="134">
        <f>IF('内訳ﾘｽﾄ(4～3月)'!$D$5="製造",SUMIF('内訳ﾘｽﾄ(4～3月)'!$D$26:$D$582,$B63,'内訳ﾘｽﾄ(4～3月)'!N$26:N$582),IF('内訳ﾘｽﾄ(4～3月)'!$D$5="部外間接2",-SUM(K$14:K$60,K$65),0))</f>
        <v>0</v>
      </c>
      <c r="L63" s="134">
        <f>IF('内訳ﾘｽﾄ(4～3月)'!$D$5="製造",SUMIF('内訳ﾘｽﾄ(4～3月)'!$D$26:$D$582,$B63,'内訳ﾘｽﾄ(4～3月)'!O$26:O$582),IF('内訳ﾘｽﾄ(4～3月)'!$D$5="部外間接2",-SUM(L$14:L$60,L$65),0))</f>
        <v>0</v>
      </c>
      <c r="M63" s="134">
        <f>IF('内訳ﾘｽﾄ(4～3月)'!$D$5="製造",SUMIF('内訳ﾘｽﾄ(4～3月)'!$D$26:$D$582,$B63,'内訳ﾘｽﾄ(4～3月)'!P$26:P$582),IF('内訳ﾘｽﾄ(4～3月)'!$D$5="部外間接2",-SUM(M$14:M$60,M$65),0))</f>
        <v>0</v>
      </c>
      <c r="N63" s="134">
        <f>IF('内訳ﾘｽﾄ(4～3月)'!$D$5="製造",SUMIF('内訳ﾘｽﾄ(4～3月)'!$D$26:$D$582,$B63,'内訳ﾘｽﾄ(4～3月)'!Q$26:Q$582),IF('内訳ﾘｽﾄ(4～3月)'!$D$5="部外間接2",-SUM(N$14:N$60,N$65),0))</f>
        <v>0</v>
      </c>
      <c r="O63" s="134">
        <f>IF('内訳ﾘｽﾄ(4～3月)'!$D$5="部外間接2",-SUM(O$65,O$14:O$60),IF('内訳ﾘｽﾄ(4～3月)'!$D$5="製造",SUMIF('内訳ﾘｽﾄ(4～3月)'!$D$26:$D$373,'採算表(VND)'!$B63,'内訳ﾘｽﾄ(4～3月)'!R$26:R$373),0))</f>
        <v>0</v>
      </c>
      <c r="AQ63" s="66"/>
      <c r="AR63" s="66"/>
      <c r="AS63" s="66"/>
      <c r="AT63" s="66"/>
      <c r="AU63" s="64"/>
      <c r="AV63" s="65"/>
      <c r="AW63" s="65"/>
      <c r="AX63" s="65"/>
      <c r="AY63" s="65"/>
      <c r="BA63" s="67"/>
      <c r="BB63" s="67"/>
      <c r="BC63" s="67"/>
      <c r="BD63" s="67"/>
      <c r="BF63" s="64"/>
      <c r="BG63" s="64"/>
      <c r="BH63" s="64"/>
      <c r="BI63" s="64"/>
    </row>
    <row r="64" spans="1:61" ht="11.25" customHeight="1">
      <c r="A64" s="32"/>
      <c r="B64" s="31" t="s">
        <v>143</v>
      </c>
      <c r="C64" s="134">
        <f>IF('内訳ﾘｽﾄ(4～3月)'!$D$5="製造",SUMIF('内訳ﾘｽﾄ(4～3月)'!$D$26:$D$582,$B64,'内訳ﾘｽﾄ(4～3月)'!F$26:F$582),IF('内訳ﾘｽﾄ(4～3月)'!$D$5="工場間接",-SUM(C$14:C$60,C$65),0))</f>
        <v>-8977590659</v>
      </c>
      <c r="D64" s="134">
        <f>IF('内訳ﾘｽﾄ(4～3月)'!$D$5="製造",SUMIF('内訳ﾘｽﾄ(4～3月)'!$D$26:$D$582,$B64,'内訳ﾘｽﾄ(4～3月)'!G$26:G$582),IF('内訳ﾘｽﾄ(4～3月)'!$D$5="工場間接",-SUM(D$14:D$60,D$65),0))</f>
        <v>-12468970925</v>
      </c>
      <c r="E64" s="134">
        <f>IF('内訳ﾘｽﾄ(4～3月)'!$D$5="製造",SUMIF('内訳ﾘｽﾄ(4～3月)'!$D$26:$D$582,$B64,'内訳ﾘｽﾄ(4～3月)'!H$26:H$582),IF('内訳ﾘｽﾄ(4～3月)'!$D$5="工場間接",-SUM(E$14:E$60,E$65),0))</f>
        <v>-10396604617</v>
      </c>
      <c r="F64" s="134">
        <f>IF('内訳ﾘｽﾄ(4～3月)'!$D$5="製造",SUMIF('内訳ﾘｽﾄ(4～3月)'!$D$26:$D$582,$B64,'内訳ﾘｽﾄ(4～3月)'!I$26:I$582),IF('内訳ﾘｽﾄ(4～3月)'!$D$5="工場間接",-SUM(F$14:F$60,F$65),0))</f>
        <v>-11521796791</v>
      </c>
      <c r="G64" s="134">
        <f>IF('内訳ﾘｽﾄ(4～3月)'!$D$5="製造",SUMIF('内訳ﾘｽﾄ(4～3月)'!$D$26:$D$582,$B64,'内訳ﾘｽﾄ(4～3月)'!J$26:J$582),IF('内訳ﾘｽﾄ(4～3月)'!$D$5="工場間接",-SUM(G$14:G$60,G$65),0))</f>
        <v>-7386064123</v>
      </c>
      <c r="H64" s="134">
        <f>IF('内訳ﾘｽﾄ(4～3月)'!$D$5="製造",SUMIF('内訳ﾘｽﾄ(4～3月)'!$D$26:$D$582,$B64,'内訳ﾘｽﾄ(4～3月)'!K$26:K$582),IF('内訳ﾘｽﾄ(4～3月)'!$D$5="工場間接",-SUM(H$14:H$60,H$65),0))</f>
        <v>-6324077104</v>
      </c>
      <c r="I64" s="134">
        <f>IF('内訳ﾘｽﾄ(4～3月)'!$D$5="製造",SUMIF('内訳ﾘｽﾄ(4～3月)'!$D$26:$D$582,$B64,'内訳ﾘｽﾄ(4～3月)'!L$26:L$582),IF('内訳ﾘｽﾄ(4～3月)'!$D$5="工場間接",-SUM(I$14:I$60,I$65),0))</f>
        <v>-7659454090</v>
      </c>
      <c r="J64" s="134">
        <f>IF('内訳ﾘｽﾄ(4～3月)'!$D$5="製造",SUMIF('内訳ﾘｽﾄ(4～3月)'!$D$26:$D$582,$B64,'内訳ﾘｽﾄ(4～3月)'!M$26:M$582),IF('内訳ﾘｽﾄ(4～3月)'!$D$5="工場間接",-SUM(J$14:J$60,J$65),0))</f>
        <v>-8198210288</v>
      </c>
      <c r="K64" s="134">
        <f>IF('内訳ﾘｽﾄ(4～3月)'!$D$5="製造",SUMIF('内訳ﾘｽﾄ(4～3月)'!$D$26:$D$582,$B64,'内訳ﾘｽﾄ(4～3月)'!N$26:N$582),IF('内訳ﾘｽﾄ(4～3月)'!$D$5="工場間接",-SUM(K$14:K$60,K$65),0))</f>
        <v>-7837706018</v>
      </c>
      <c r="L64" s="134">
        <f>IF('内訳ﾘｽﾄ(4～3月)'!$D$5="製造",SUMIF('内訳ﾘｽﾄ(4～3月)'!$D$26:$D$582,$B64,'内訳ﾘｽﾄ(4～3月)'!O$26:O$582),IF('内訳ﾘｽﾄ(4～3月)'!$D$5="工場間接",-SUM(L$14:L$60,L$65),0))</f>
        <v>-7739436051</v>
      </c>
      <c r="M64" s="134">
        <f>IF('内訳ﾘｽﾄ(4～3月)'!$D$5="製造",SUMIF('内訳ﾘｽﾄ(4～3月)'!$D$26:$D$582,$B64,'内訳ﾘｽﾄ(4～3月)'!P$26:P$582),IF('内訳ﾘｽﾄ(4～3月)'!$D$5="工場間接",-SUM(M$14:M$60,M$65),0))</f>
        <v>-5628046432</v>
      </c>
      <c r="N64" s="134">
        <f>IF('内訳ﾘｽﾄ(4～3月)'!$D$5="製造",SUMIF('内訳ﾘｽﾄ(4～3月)'!$D$26:$D$582,$B64,'内訳ﾘｽﾄ(4～3月)'!Q$26:Q$582),IF('内訳ﾘｽﾄ(4～3月)'!$D$5="工場間接",-SUM(N$14:N$60,N$65),0))</f>
        <v>-5823789386</v>
      </c>
      <c r="O64" s="134">
        <f>IF('内訳ﾘｽﾄ(4～3月)'!$D$5="工場間接",-SUM(O$65,O$14:O$60),IF('内訳ﾘｽﾄ(4～3月)'!$D$5="製造",SUMIF('内訳ﾘｽﾄ(4～3月)'!$D$26:$D$373,'採算表(VND)'!$B64,'内訳ﾘｽﾄ(4～3月)'!R$26:R$373),0))</f>
        <v>-95264682063</v>
      </c>
      <c r="AQ64" s="66"/>
      <c r="AR64" s="66"/>
      <c r="AS64" s="66"/>
      <c r="AT64" s="66"/>
      <c r="AU64" s="64"/>
      <c r="AV64" s="65"/>
      <c r="AW64" s="65"/>
      <c r="AX64" s="65"/>
      <c r="AY64" s="65"/>
      <c r="BA64" s="67"/>
      <c r="BB64" s="67"/>
      <c r="BC64" s="67"/>
      <c r="BD64" s="67"/>
      <c r="BF64" s="64"/>
      <c r="BG64" s="64"/>
      <c r="BH64" s="64"/>
      <c r="BI64" s="64"/>
    </row>
    <row r="65" spans="1:61" ht="11.25" customHeight="1">
      <c r="A65" s="32"/>
      <c r="B65" s="31" t="s">
        <v>111</v>
      </c>
      <c r="C65" s="132">
        <f>SUMIF('内訳ﾘｽﾄ(4～3月)'!$D$26:$D$582,$B65,'内訳ﾘｽﾄ(4～3月)'!F$26:F$582)</f>
        <v>0</v>
      </c>
      <c r="D65" s="132">
        <f>SUMIF('内訳ﾘｽﾄ(4～3月)'!$D$26:$D$582,$B65,'内訳ﾘｽﾄ(4～3月)'!G$26:G$582)</f>
        <v>0</v>
      </c>
      <c r="E65" s="132">
        <f>SUMIF('内訳ﾘｽﾄ(4～3月)'!$D$26:$D$582,$B65,'内訳ﾘｽﾄ(4～3月)'!H$26:H$582)</f>
        <v>0</v>
      </c>
      <c r="F65" s="132">
        <f>SUMIF('内訳ﾘｽﾄ(4～3月)'!$D$26:$D$582,$B65,'内訳ﾘｽﾄ(4～3月)'!I$26:I$582)</f>
        <v>0</v>
      </c>
      <c r="G65" s="132">
        <f>SUMIF('内訳ﾘｽﾄ(4～3月)'!$D$26:$D$582,$B65,'内訳ﾘｽﾄ(4～3月)'!J$26:J$582)</f>
        <v>0</v>
      </c>
      <c r="H65" s="132">
        <f>SUMIF('内訳ﾘｽﾄ(4～3月)'!$D$26:$D$582,$B65,'内訳ﾘｽﾄ(4～3月)'!K$26:K$582)</f>
        <v>0</v>
      </c>
      <c r="I65" s="132">
        <f>SUMIF('内訳ﾘｽﾄ(4～3月)'!$D$26:$D$582,$B65,'内訳ﾘｽﾄ(4～3月)'!L$26:L$582)</f>
        <v>0</v>
      </c>
      <c r="J65" s="132">
        <f>SUMIF('内訳ﾘｽﾄ(4～3月)'!$D$26:$D$582,$B65,'内訳ﾘｽﾄ(4～3月)'!M$26:M$582)</f>
        <v>0</v>
      </c>
      <c r="K65" s="132">
        <f>SUMIF('内訳ﾘｽﾄ(4～3月)'!$D$26:$D$582,$B65,'内訳ﾘｽﾄ(4～3月)'!N$26:N$582)</f>
        <v>0</v>
      </c>
      <c r="L65" s="132">
        <f>SUMIF('内訳ﾘｽﾄ(4～3月)'!$D$26:$D$582,$B65,'内訳ﾘｽﾄ(4～3月)'!O$26:O$582)</f>
        <v>0</v>
      </c>
      <c r="M65" s="132">
        <f>SUMIF('内訳ﾘｽﾄ(4～3月)'!$D$26:$D$582,$B65,'内訳ﾘｽﾄ(4～3月)'!P$26:P$582)</f>
        <v>0</v>
      </c>
      <c r="N65" s="132">
        <f>SUMIF('内訳ﾘｽﾄ(4～3月)'!$D$26:$D$582,$B65,'内訳ﾘｽﾄ(4～3月)'!Q$26:Q$582)</f>
        <v>0</v>
      </c>
      <c r="O65" s="132">
        <f>SUMIF('内訳ﾘｽﾄ(4～3月)'!$D$26:$D$373,'採算表(VND)'!$B65,'内訳ﾘｽﾄ(4～3月)'!R$26:R$373)</f>
        <v>0</v>
      </c>
      <c r="AQ65" s="66"/>
      <c r="AR65" s="66"/>
      <c r="AS65" s="66"/>
      <c r="AT65" s="66"/>
      <c r="AU65" s="64"/>
      <c r="AV65" s="65"/>
      <c r="AW65" s="65"/>
      <c r="AX65" s="65"/>
      <c r="AY65" s="65"/>
      <c r="BA65" s="67"/>
      <c r="BB65" s="67"/>
      <c r="BC65" s="67"/>
      <c r="BD65" s="67"/>
      <c r="BF65" s="64"/>
      <c r="BG65" s="64"/>
      <c r="BH65" s="64"/>
      <c r="BI65" s="64"/>
    </row>
    <row r="66" spans="1:61" ht="11.25" customHeight="1">
      <c r="A66" s="20"/>
      <c r="B66" s="26" t="s">
        <v>77</v>
      </c>
      <c r="C66" s="130">
        <f>C12-C13</f>
        <v>0</v>
      </c>
      <c r="D66" s="130">
        <f t="shared" ref="D66:N66" si="4">D12-D13</f>
        <v>0</v>
      </c>
      <c r="E66" s="130">
        <f t="shared" si="4"/>
        <v>0</v>
      </c>
      <c r="F66" s="130">
        <f t="shared" si="4"/>
        <v>0</v>
      </c>
      <c r="G66" s="130">
        <f t="shared" si="4"/>
        <v>0</v>
      </c>
      <c r="H66" s="130">
        <f t="shared" si="4"/>
        <v>0</v>
      </c>
      <c r="I66" s="130">
        <f t="shared" si="4"/>
        <v>0</v>
      </c>
      <c r="J66" s="130">
        <f t="shared" si="4"/>
        <v>0</v>
      </c>
      <c r="K66" s="130">
        <f t="shared" si="4"/>
        <v>0</v>
      </c>
      <c r="L66" s="130">
        <f t="shared" si="4"/>
        <v>0</v>
      </c>
      <c r="M66" s="130">
        <f t="shared" si="4"/>
        <v>0</v>
      </c>
      <c r="N66" s="130">
        <f t="shared" si="4"/>
        <v>0</v>
      </c>
      <c r="O66" s="130">
        <f>IF(ISBLANK(O4),"",O12-O13)</f>
        <v>0</v>
      </c>
      <c r="AQ66" s="66"/>
      <c r="AR66" s="66"/>
      <c r="AS66" s="66"/>
      <c r="AT66" s="66"/>
      <c r="AU66" s="64"/>
      <c r="AV66" s="65"/>
      <c r="AW66" s="65"/>
      <c r="AX66" s="65"/>
      <c r="AY66" s="65"/>
      <c r="BA66" s="67"/>
      <c r="BB66" s="67"/>
      <c r="BC66" s="67"/>
      <c r="BD66" s="67"/>
      <c r="BF66" s="64"/>
      <c r="BG66" s="64"/>
      <c r="BH66" s="64"/>
      <c r="BI66" s="64"/>
    </row>
    <row r="67" spans="1:61" ht="11.25" customHeight="1">
      <c r="A67" s="20"/>
      <c r="B67" s="22" t="s">
        <v>78</v>
      </c>
      <c r="C67" s="135">
        <f>C73+C79</f>
        <v>0</v>
      </c>
      <c r="D67" s="135">
        <f t="shared" ref="D67:N67" si="5">D73+D79</f>
        <v>0</v>
      </c>
      <c r="E67" s="135">
        <f t="shared" si="5"/>
        <v>0</v>
      </c>
      <c r="F67" s="135">
        <f t="shared" si="5"/>
        <v>0</v>
      </c>
      <c r="G67" s="135">
        <f t="shared" si="5"/>
        <v>0</v>
      </c>
      <c r="H67" s="135">
        <f t="shared" si="5"/>
        <v>0</v>
      </c>
      <c r="I67" s="135">
        <f t="shared" si="5"/>
        <v>0</v>
      </c>
      <c r="J67" s="135">
        <f t="shared" si="5"/>
        <v>0</v>
      </c>
      <c r="K67" s="135">
        <f t="shared" si="5"/>
        <v>0</v>
      </c>
      <c r="L67" s="135">
        <f t="shared" si="5"/>
        <v>0</v>
      </c>
      <c r="M67" s="135">
        <f t="shared" si="5"/>
        <v>0</v>
      </c>
      <c r="N67" s="135">
        <f t="shared" si="5"/>
        <v>0</v>
      </c>
      <c r="O67" s="135">
        <f>IF(ISBLANK(O4),"",O73+O79)</f>
        <v>0</v>
      </c>
      <c r="AQ67" s="66"/>
      <c r="AR67" s="66"/>
      <c r="AS67" s="66"/>
      <c r="AT67" s="66"/>
      <c r="AU67" s="64"/>
      <c r="AV67" s="65"/>
      <c r="AW67" s="65"/>
      <c r="AX67" s="65"/>
      <c r="AY67" s="65"/>
      <c r="BA67" s="67"/>
      <c r="BB67" s="67"/>
      <c r="BC67" s="67"/>
      <c r="BD67" s="67"/>
      <c r="BF67" s="64"/>
      <c r="BG67" s="64"/>
      <c r="BH67" s="64"/>
      <c r="BI67" s="64"/>
    </row>
    <row r="68" spans="1:61" ht="11.25" customHeight="1">
      <c r="A68" s="32"/>
      <c r="B68" s="40" t="s">
        <v>87</v>
      </c>
      <c r="C68" s="136">
        <f>SUMIF('内訳ﾘｽﾄ(4～3月)'!$D$8:$D$15,'採算表(VND)'!$B68,'内訳ﾘｽﾄ(4～3月)'!F$8:F$15)</f>
        <v>2278</v>
      </c>
      <c r="D68" s="136">
        <f>SUMIF('内訳ﾘｽﾄ(4～3月)'!$D$8:$D$15,'採算表(VND)'!$B68,'内訳ﾘｽﾄ(4～3月)'!G$8:G$15)</f>
        <v>2142</v>
      </c>
      <c r="E68" s="136">
        <f>SUMIF('内訳ﾘｽﾄ(4～3月)'!$D$8:$D$15,'採算表(VND)'!$B68,'内訳ﾘｽﾄ(4～3月)'!H$8:H$15)</f>
        <v>2392.75</v>
      </c>
      <c r="F68" s="136">
        <f>SUMIF('内訳ﾘｽﾄ(4～3月)'!$D$8:$D$15,'採算表(VND)'!$B68,'内訳ﾘｽﾄ(4～3月)'!I$8:I$15)</f>
        <v>2664.75</v>
      </c>
      <c r="G68" s="136">
        <f>SUMIF('内訳ﾘｽﾄ(4～3月)'!$D$8:$D$15,'採算表(VND)'!$B68,'内訳ﾘｽﾄ(4～3月)'!J$8:J$15)</f>
        <v>2261</v>
      </c>
      <c r="H68" s="136">
        <f>SUMIF('内訳ﾘｽﾄ(4～3月)'!$D$8:$D$15,'採算表(VND)'!$B68,'内訳ﾘｽﾄ(4～3月)'!K$8:K$15)</f>
        <v>2154.75</v>
      </c>
      <c r="I68" s="136">
        <f>SUMIF('内訳ﾘｽﾄ(4～3月)'!$D$8:$D$15,'採算表(VND)'!$B68,'内訳ﾘｽﾄ(4～3月)'!L$8:L$15)</f>
        <v>2664.75</v>
      </c>
      <c r="J68" s="136">
        <f>SUMIF('内訳ﾘｽﾄ(4～3月)'!$D$8:$D$15,'採算表(VND)'!$B68,'内訳ﾘｽﾄ(4～3月)'!M$8:M$15)</f>
        <v>2307.75</v>
      </c>
      <c r="K68" s="136">
        <f>SUMIF('内訳ﾘｽﾄ(4～3月)'!$D$8:$D$15,'採算表(VND)'!$B68,'内訳ﾘｽﾄ(4～3月)'!N$8:N$15)</f>
        <v>2499</v>
      </c>
      <c r="L68" s="136">
        <f>SUMIF('内訳ﾘｽﾄ(4～3月)'!$D$8:$D$15,'採算表(VND)'!$B68,'内訳ﾘｽﾄ(4～3月)'!O$8:O$15)</f>
        <v>2235.5</v>
      </c>
      <c r="M68" s="136">
        <f>SUMIF('内訳ﾘｽﾄ(4～3月)'!$D$8:$D$15,'採算表(VND)'!$B68,'内訳ﾘｽﾄ(4～3月)'!P$8:P$15)</f>
        <v>1712.75</v>
      </c>
      <c r="N68" s="136">
        <f>SUMIF('内訳ﾘｽﾄ(4～3月)'!$D$8:$D$15,'採算表(VND)'!$B68,'内訳ﾘｽﾄ(4～3月)'!Q$8:Q$15)</f>
        <v>2235.5</v>
      </c>
      <c r="O68" s="136">
        <f>SUMIF('内訳ﾘｽﾄ(4～3月)'!$D$8:$D$15,'採算表(VND)'!$B68,'内訳ﾘｽﾄ(4～3月)'!$R$8:$R$15)</f>
        <v>27548.5</v>
      </c>
      <c r="AQ68" s="66"/>
      <c r="AR68" s="66"/>
      <c r="AS68" s="66"/>
      <c r="AT68" s="66"/>
      <c r="AU68" s="64"/>
      <c r="AV68" s="65"/>
      <c r="AW68" s="65"/>
      <c r="AX68" s="65"/>
      <c r="AY68" s="65"/>
      <c r="BA68" s="67"/>
      <c r="BB68" s="67"/>
      <c r="BC68" s="67"/>
      <c r="BD68" s="67"/>
      <c r="BF68" s="64"/>
      <c r="BG68" s="64"/>
      <c r="BH68" s="64"/>
      <c r="BI68" s="64"/>
    </row>
    <row r="69" spans="1:61" ht="11.25" customHeight="1">
      <c r="A69" s="32"/>
      <c r="B69" s="40" t="s">
        <v>88</v>
      </c>
      <c r="C69" s="137">
        <f>IF('内訳ﾘｽﾄ(4～3月)'!$D$5="製造",SUMIF('内訳ﾘｽﾄ(4～3月)'!$D$8:$D$15,$B69,'内訳ﾘｽﾄ(4～3月)'!F$8:F$15),IF('内訳ﾘｽﾄ(4～3月)'!$D$5="部内間接",-C$68,0))</f>
        <v>0</v>
      </c>
      <c r="D69" s="137">
        <f>IF('内訳ﾘｽﾄ(4～3月)'!$D$5="製造",SUMIF('内訳ﾘｽﾄ(4～3月)'!$D$8:$D$15,$B69,'内訳ﾘｽﾄ(4～3月)'!G$8:G$15),IF('内訳ﾘｽﾄ(4～3月)'!$D$5="部内間接",-D$68,0))</f>
        <v>0</v>
      </c>
      <c r="E69" s="137">
        <f>IF('内訳ﾘｽﾄ(4～3月)'!$D$5="製造",SUMIF('内訳ﾘｽﾄ(4～3月)'!$D$8:$D$15,$B69,'内訳ﾘｽﾄ(4～3月)'!H$8:H$15),IF('内訳ﾘｽﾄ(4～3月)'!$D$5="部内間接",-E$68,0))</f>
        <v>0</v>
      </c>
      <c r="F69" s="137">
        <f>IF('内訳ﾘｽﾄ(4～3月)'!$D$5="製造",SUMIF('内訳ﾘｽﾄ(4～3月)'!$D$8:$D$15,$B69,'内訳ﾘｽﾄ(4～3月)'!I$8:I$15),IF('内訳ﾘｽﾄ(4～3月)'!$D$5="部内間接",-F$68,0))</f>
        <v>0</v>
      </c>
      <c r="G69" s="137">
        <f>IF('内訳ﾘｽﾄ(4～3月)'!$D$5="製造",SUMIF('内訳ﾘｽﾄ(4～3月)'!$D$8:$D$15,$B69,'内訳ﾘｽﾄ(4～3月)'!J$8:J$15),IF('内訳ﾘｽﾄ(4～3月)'!$D$5="部内間接",-G$68,0))</f>
        <v>0</v>
      </c>
      <c r="H69" s="137">
        <f>IF('内訳ﾘｽﾄ(4～3月)'!$D$5="製造",SUMIF('内訳ﾘｽﾄ(4～3月)'!$D$8:$D$15,$B69,'内訳ﾘｽﾄ(4～3月)'!K$8:K$15),IF('内訳ﾘｽﾄ(4～3月)'!$D$5="部内間接",-H$68,0))</f>
        <v>0</v>
      </c>
      <c r="I69" s="137">
        <f>IF('内訳ﾘｽﾄ(4～3月)'!$D$5="製造",SUMIF('内訳ﾘｽﾄ(4～3月)'!$D$8:$D$15,$B69,'内訳ﾘｽﾄ(4～3月)'!L$8:L$15),IF('内訳ﾘｽﾄ(4～3月)'!$D$5="部内間接",-I$68,0))</f>
        <v>0</v>
      </c>
      <c r="J69" s="137">
        <f>IF('内訳ﾘｽﾄ(4～3月)'!$D$5="製造",SUMIF('内訳ﾘｽﾄ(4～3月)'!$D$8:$D$15,$B69,'内訳ﾘｽﾄ(4～3月)'!M$8:M$15),IF('内訳ﾘｽﾄ(4～3月)'!$D$5="部内間接",-J$68,0))</f>
        <v>0</v>
      </c>
      <c r="K69" s="137">
        <f>IF('内訳ﾘｽﾄ(4～3月)'!$D$5="製造",SUMIF('内訳ﾘｽﾄ(4～3月)'!$D$8:$D$15,$B69,'内訳ﾘｽﾄ(4～3月)'!N$8:N$15),IF('内訳ﾘｽﾄ(4～3月)'!$D$5="部内間接",-K$68,0))</f>
        <v>0</v>
      </c>
      <c r="L69" s="137">
        <f>IF('内訳ﾘｽﾄ(4～3月)'!$D$5="製造",SUMIF('内訳ﾘｽﾄ(4～3月)'!$D$8:$D$15,$B69,'内訳ﾘｽﾄ(4～3月)'!O$8:O$15),IF('内訳ﾘｽﾄ(4～3月)'!$D$5="部内間接",-L$68,0))</f>
        <v>0</v>
      </c>
      <c r="M69" s="137">
        <f>IF('内訳ﾘｽﾄ(4～3月)'!$D$5="製造",SUMIF('内訳ﾘｽﾄ(4～3月)'!$D$8:$D$15,$B69,'内訳ﾘｽﾄ(4～3月)'!P$8:P$15),IF('内訳ﾘｽﾄ(4～3月)'!$D$5="部内間接",-M$68,0))</f>
        <v>0</v>
      </c>
      <c r="N69" s="137">
        <f>IF('内訳ﾘｽﾄ(4～3月)'!$D$5="製造",SUMIF('内訳ﾘｽﾄ(4～3月)'!$D$8:$D$15,$B69,'内訳ﾘｽﾄ(4～3月)'!Q$8:Q$15),IF('内訳ﾘｽﾄ(4～3月)'!$D$5="部内間接",-N$68,0))</f>
        <v>0</v>
      </c>
      <c r="O69" s="137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66"/>
      <c r="AR69" s="66"/>
      <c r="AS69" s="66"/>
      <c r="AT69" s="66"/>
      <c r="AU69" s="64"/>
      <c r="AV69" s="65"/>
      <c r="AW69" s="65"/>
      <c r="AX69" s="65"/>
      <c r="AY69" s="65"/>
      <c r="BA69" s="67"/>
      <c r="BB69" s="67"/>
      <c r="BC69" s="67"/>
      <c r="BD69" s="67"/>
      <c r="BF69" s="64"/>
      <c r="BG69" s="64"/>
      <c r="BH69" s="64"/>
      <c r="BI69" s="64"/>
    </row>
    <row r="70" spans="1:61" ht="11.25" customHeight="1">
      <c r="A70" s="32"/>
      <c r="B70" s="41" t="s">
        <v>126</v>
      </c>
      <c r="C70" s="138">
        <f>IF('内訳ﾘｽﾄ(4～3月)'!$D$5="製造",SUMIF('内訳ﾘｽﾄ(4～3月)'!$D$8:$D$15,$B70,'内訳ﾘｽﾄ(4～3月)'!F$8:F$15),IF('内訳ﾘｽﾄ(4～3月)'!$D$5="部外間接1",-C$68,0))</f>
        <v>0</v>
      </c>
      <c r="D70" s="138">
        <f>IF('内訳ﾘｽﾄ(4～3月)'!$D$5="製造",SUMIF('内訳ﾘｽﾄ(4～3月)'!$D$8:$D$15,$B70,'内訳ﾘｽﾄ(4～3月)'!G$8:G$15),IF('内訳ﾘｽﾄ(4～3月)'!$D$5="部外間接1",-D$68,0))</f>
        <v>0</v>
      </c>
      <c r="E70" s="138">
        <f>IF('内訳ﾘｽﾄ(4～3月)'!$D$5="製造",SUMIF('内訳ﾘｽﾄ(4～3月)'!$D$8:$D$15,$B70,'内訳ﾘｽﾄ(4～3月)'!H$8:H$15),IF('内訳ﾘｽﾄ(4～3月)'!$D$5="部外間接1",-E$68,0))</f>
        <v>0</v>
      </c>
      <c r="F70" s="138">
        <f>IF('内訳ﾘｽﾄ(4～3月)'!$D$5="製造",SUMIF('内訳ﾘｽﾄ(4～3月)'!$D$8:$D$15,$B70,'内訳ﾘｽﾄ(4～3月)'!I$8:I$15),IF('内訳ﾘｽﾄ(4～3月)'!$D$5="部外間接1",-F$68,0))</f>
        <v>0</v>
      </c>
      <c r="G70" s="138">
        <f>IF('内訳ﾘｽﾄ(4～3月)'!$D$5="製造",SUMIF('内訳ﾘｽﾄ(4～3月)'!$D$8:$D$15,$B70,'内訳ﾘｽﾄ(4～3月)'!J$8:J$15),IF('内訳ﾘｽﾄ(4～3月)'!$D$5="部外間接1",-G$68,0))</f>
        <v>0</v>
      </c>
      <c r="H70" s="138">
        <f>IF('内訳ﾘｽﾄ(4～3月)'!$D$5="製造",SUMIF('内訳ﾘｽﾄ(4～3月)'!$D$8:$D$15,$B70,'内訳ﾘｽﾄ(4～3月)'!K$8:K$15),IF('内訳ﾘｽﾄ(4～3月)'!$D$5="部外間接1",-H$68,0))</f>
        <v>0</v>
      </c>
      <c r="I70" s="138">
        <f>IF('内訳ﾘｽﾄ(4～3月)'!$D$5="製造",SUMIF('内訳ﾘｽﾄ(4～3月)'!$D$8:$D$15,$B70,'内訳ﾘｽﾄ(4～3月)'!L$8:L$15),IF('内訳ﾘｽﾄ(4～3月)'!$D$5="部外間接1",-I$68,0))</f>
        <v>0</v>
      </c>
      <c r="J70" s="138">
        <f>IF('内訳ﾘｽﾄ(4～3月)'!$D$5="製造",SUMIF('内訳ﾘｽﾄ(4～3月)'!$D$8:$D$15,$B70,'内訳ﾘｽﾄ(4～3月)'!M$8:M$15),IF('内訳ﾘｽﾄ(4～3月)'!$D$5="部外間接1",-J$68,0))</f>
        <v>0</v>
      </c>
      <c r="K70" s="138">
        <f>IF('内訳ﾘｽﾄ(4～3月)'!$D$5="製造",SUMIF('内訳ﾘｽﾄ(4～3月)'!$D$8:$D$15,$B70,'内訳ﾘｽﾄ(4～3月)'!N$8:N$15),IF('内訳ﾘｽﾄ(4～3月)'!$D$5="部外間接1",-K$68,0))</f>
        <v>0</v>
      </c>
      <c r="L70" s="138">
        <f>IF('内訳ﾘｽﾄ(4～3月)'!$D$5="製造",SUMIF('内訳ﾘｽﾄ(4～3月)'!$D$8:$D$15,$B70,'内訳ﾘｽﾄ(4～3月)'!O$8:O$15),IF('内訳ﾘｽﾄ(4～3月)'!$D$5="部外間接1",-L$68,0))</f>
        <v>0</v>
      </c>
      <c r="M70" s="138">
        <f>IF('内訳ﾘｽﾄ(4～3月)'!$D$5="製造",SUMIF('内訳ﾘｽﾄ(4～3月)'!$D$8:$D$15,$B70,'内訳ﾘｽﾄ(4～3月)'!P$8:P$15),IF('内訳ﾘｽﾄ(4～3月)'!$D$5="部外間接1",-M$68,0))</f>
        <v>0</v>
      </c>
      <c r="N70" s="138">
        <f>IF('内訳ﾘｽﾄ(4～3月)'!$D$5="製造",SUMIF('内訳ﾘｽﾄ(4～3月)'!$D$8:$D$15,$B70,'内訳ﾘｽﾄ(4～3月)'!Q$8:Q$15),IF('内訳ﾘｽﾄ(4～3月)'!$D$5="部外間接1",-N$68,0))</f>
        <v>0</v>
      </c>
      <c r="O70" s="138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66"/>
      <c r="AR70" s="66"/>
      <c r="AS70" s="66"/>
      <c r="AT70" s="66"/>
      <c r="AU70" s="64"/>
      <c r="AV70" s="65"/>
      <c r="AW70" s="65"/>
      <c r="AX70" s="65"/>
      <c r="AY70" s="65"/>
      <c r="BA70" s="67"/>
      <c r="BB70" s="67"/>
      <c r="BC70" s="67"/>
      <c r="BD70" s="67"/>
      <c r="BF70" s="64"/>
      <c r="BG70" s="64"/>
      <c r="BH70" s="64"/>
      <c r="BI70" s="64"/>
    </row>
    <row r="71" spans="1:61" ht="11.25" customHeight="1">
      <c r="A71" s="32"/>
      <c r="B71" s="41" t="s">
        <v>127</v>
      </c>
      <c r="C71" s="138">
        <f>IF('内訳ﾘｽﾄ(4～3月)'!$D$5="製造",SUMIF('内訳ﾘｽﾄ(4～3月)'!$D$8:$D$15,$B71,'内訳ﾘｽﾄ(4～3月)'!F$8:F$15),IF('内訳ﾘｽﾄ(4～3月)'!$D$5="部外間接2",-C$68,0))</f>
        <v>0</v>
      </c>
      <c r="D71" s="138">
        <f>IF('内訳ﾘｽﾄ(4～3月)'!$D$5="製造",SUMIF('内訳ﾘｽﾄ(4～3月)'!$D$8:$D$15,$B71,'内訳ﾘｽﾄ(4～3月)'!G$8:G$15),IF('内訳ﾘｽﾄ(4～3月)'!$D$5="部外間接2",-D$68,0))</f>
        <v>0</v>
      </c>
      <c r="E71" s="138">
        <f>IF('内訳ﾘｽﾄ(4～3月)'!$D$5="製造",SUMIF('内訳ﾘｽﾄ(4～3月)'!$D$8:$D$15,$B71,'内訳ﾘｽﾄ(4～3月)'!H$8:H$15),IF('内訳ﾘｽﾄ(4～3月)'!$D$5="部外間接2",-E$68,0))</f>
        <v>0</v>
      </c>
      <c r="F71" s="138">
        <f>IF('内訳ﾘｽﾄ(4～3月)'!$D$5="製造",SUMIF('内訳ﾘｽﾄ(4～3月)'!$D$8:$D$15,$B71,'内訳ﾘｽﾄ(4～3月)'!I$8:I$15),IF('内訳ﾘｽﾄ(4～3月)'!$D$5="部外間接2",-F$68,0))</f>
        <v>0</v>
      </c>
      <c r="G71" s="138">
        <f>IF('内訳ﾘｽﾄ(4～3月)'!$D$5="製造",SUMIF('内訳ﾘｽﾄ(4～3月)'!$D$8:$D$15,$B71,'内訳ﾘｽﾄ(4～3月)'!J$8:J$15),IF('内訳ﾘｽﾄ(4～3月)'!$D$5="部外間接2",-G$68,0))</f>
        <v>0</v>
      </c>
      <c r="H71" s="138">
        <f>IF('内訳ﾘｽﾄ(4～3月)'!$D$5="製造",SUMIF('内訳ﾘｽﾄ(4～3月)'!$D$8:$D$15,$B71,'内訳ﾘｽﾄ(4～3月)'!K$8:K$15),IF('内訳ﾘｽﾄ(4～3月)'!$D$5="部外間接2",-H$68,0))</f>
        <v>0</v>
      </c>
      <c r="I71" s="138">
        <f>IF('内訳ﾘｽﾄ(4～3月)'!$D$5="製造",SUMIF('内訳ﾘｽﾄ(4～3月)'!$D$8:$D$15,$B71,'内訳ﾘｽﾄ(4～3月)'!L$8:L$15),IF('内訳ﾘｽﾄ(4～3月)'!$D$5="部外間接2",-I$68,0))</f>
        <v>0</v>
      </c>
      <c r="J71" s="138">
        <f>IF('内訳ﾘｽﾄ(4～3月)'!$D$5="製造",SUMIF('内訳ﾘｽﾄ(4～3月)'!$D$8:$D$15,$B71,'内訳ﾘｽﾄ(4～3月)'!M$8:M$15),IF('内訳ﾘｽﾄ(4～3月)'!$D$5="部外間接2",-J$68,0))</f>
        <v>0</v>
      </c>
      <c r="K71" s="138">
        <f>IF('内訳ﾘｽﾄ(4～3月)'!$D$5="製造",SUMIF('内訳ﾘｽﾄ(4～3月)'!$D$8:$D$15,$B71,'内訳ﾘｽﾄ(4～3月)'!N$8:N$15),IF('内訳ﾘｽﾄ(4～3月)'!$D$5="部外間接2",-K$68,0))</f>
        <v>0</v>
      </c>
      <c r="L71" s="138">
        <f>IF('内訳ﾘｽﾄ(4～3月)'!$D$5="製造",SUMIF('内訳ﾘｽﾄ(4～3月)'!$D$8:$D$15,$B71,'内訳ﾘｽﾄ(4～3月)'!O$8:O$15),IF('内訳ﾘｽﾄ(4～3月)'!$D$5="部外間接2",-L$68,0))</f>
        <v>0</v>
      </c>
      <c r="M71" s="138">
        <f>IF('内訳ﾘｽﾄ(4～3月)'!$D$5="製造",SUMIF('内訳ﾘｽﾄ(4～3月)'!$D$8:$D$15,$B71,'内訳ﾘｽﾄ(4～3月)'!P$8:P$15),IF('内訳ﾘｽﾄ(4～3月)'!$D$5="部外間接2",-M$68,0))</f>
        <v>0</v>
      </c>
      <c r="N71" s="138">
        <f>IF('内訳ﾘｽﾄ(4～3月)'!$D$5="製造",SUMIF('内訳ﾘｽﾄ(4～3月)'!$D$8:$D$15,$B71,'内訳ﾘｽﾄ(4～3月)'!Q$8:Q$15),IF('内訳ﾘｽﾄ(4～3月)'!$D$5="部外間接2",-N$68,0))</f>
        <v>0</v>
      </c>
      <c r="O71" s="138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66"/>
      <c r="AR71" s="66"/>
      <c r="AS71" s="66"/>
      <c r="AT71" s="66"/>
      <c r="AU71" s="64"/>
      <c r="AV71" s="65"/>
      <c r="AW71" s="65"/>
      <c r="AX71" s="65"/>
      <c r="AY71" s="65"/>
      <c r="BA71" s="67"/>
      <c r="BB71" s="67"/>
      <c r="BC71" s="67"/>
      <c r="BD71" s="67"/>
      <c r="BF71" s="64"/>
      <c r="BG71" s="64"/>
      <c r="BH71" s="64"/>
      <c r="BI71" s="64"/>
    </row>
    <row r="72" spans="1:61" ht="11.25" customHeight="1">
      <c r="A72" s="32"/>
      <c r="B72" s="34" t="s">
        <v>89</v>
      </c>
      <c r="C72" s="139">
        <f>IF('内訳ﾘｽﾄ(4～3月)'!$D$5="製造",SUMIF('内訳ﾘｽﾄ(4～3月)'!$D$8:$D$15,$B72,'内訳ﾘｽﾄ(4～3月)'!F$8:F$15),IF('内訳ﾘｽﾄ(4～3月)'!$D$5="工場間接",-C$68,0))</f>
        <v>-2278</v>
      </c>
      <c r="D72" s="139">
        <f>IF('内訳ﾘｽﾄ(4～3月)'!$D$5="製造",SUMIF('内訳ﾘｽﾄ(4～3月)'!$D$8:$D$15,$B72,'内訳ﾘｽﾄ(4～3月)'!G$8:G$15),IF('内訳ﾘｽﾄ(4～3月)'!$D$5="工場間接",-D$68,0))</f>
        <v>-2142</v>
      </c>
      <c r="E72" s="139">
        <f>IF('内訳ﾘｽﾄ(4～3月)'!$D$5="製造",SUMIF('内訳ﾘｽﾄ(4～3月)'!$D$8:$D$15,$B72,'内訳ﾘｽﾄ(4～3月)'!H$8:H$15),IF('内訳ﾘｽﾄ(4～3月)'!$D$5="工場間接",-E$68,0))</f>
        <v>-2392.75</v>
      </c>
      <c r="F72" s="139">
        <f>IF('内訳ﾘｽﾄ(4～3月)'!$D$5="製造",SUMIF('内訳ﾘｽﾄ(4～3月)'!$D$8:$D$15,$B72,'内訳ﾘｽﾄ(4～3月)'!I$8:I$15),IF('内訳ﾘｽﾄ(4～3月)'!$D$5="工場間接",-F$68,0))</f>
        <v>-2664.75</v>
      </c>
      <c r="G72" s="139">
        <f>IF('内訳ﾘｽﾄ(4～3月)'!$D$5="製造",SUMIF('内訳ﾘｽﾄ(4～3月)'!$D$8:$D$15,$B72,'内訳ﾘｽﾄ(4～3月)'!J$8:J$15),IF('内訳ﾘｽﾄ(4～3月)'!$D$5="工場間接",-G$68,0))</f>
        <v>-2261</v>
      </c>
      <c r="H72" s="139">
        <f>IF('内訳ﾘｽﾄ(4～3月)'!$D$5="製造",SUMIF('内訳ﾘｽﾄ(4～3月)'!$D$8:$D$15,$B72,'内訳ﾘｽﾄ(4～3月)'!K$8:K$15),IF('内訳ﾘｽﾄ(4～3月)'!$D$5="工場間接",-H$68,0))</f>
        <v>-2154.75</v>
      </c>
      <c r="I72" s="139">
        <f>IF('内訳ﾘｽﾄ(4～3月)'!$D$5="製造",SUMIF('内訳ﾘｽﾄ(4～3月)'!$D$8:$D$15,$B72,'内訳ﾘｽﾄ(4～3月)'!L$8:L$15),IF('内訳ﾘｽﾄ(4～3月)'!$D$5="工場間接",-I$68,0))</f>
        <v>-2664.75</v>
      </c>
      <c r="J72" s="139">
        <f>IF('内訳ﾘｽﾄ(4～3月)'!$D$5="製造",SUMIF('内訳ﾘｽﾄ(4～3月)'!$D$8:$D$15,$B72,'内訳ﾘｽﾄ(4～3月)'!M$8:M$15),IF('内訳ﾘｽﾄ(4～3月)'!$D$5="工場間接",-J$68,0))</f>
        <v>-2307.75</v>
      </c>
      <c r="K72" s="139">
        <f>IF('内訳ﾘｽﾄ(4～3月)'!$D$5="製造",SUMIF('内訳ﾘｽﾄ(4～3月)'!$D$8:$D$15,$B72,'内訳ﾘｽﾄ(4～3月)'!N$8:N$15),IF('内訳ﾘｽﾄ(4～3月)'!$D$5="工場間接",-K$68,0))</f>
        <v>-2499</v>
      </c>
      <c r="L72" s="139">
        <f>IF('内訳ﾘｽﾄ(4～3月)'!$D$5="製造",SUMIF('内訳ﾘｽﾄ(4～3月)'!$D$8:$D$15,$B72,'内訳ﾘｽﾄ(4～3月)'!O$8:O$15),IF('内訳ﾘｽﾄ(4～3月)'!$D$5="工場間接",-L$68,0))</f>
        <v>-2235.5</v>
      </c>
      <c r="M72" s="139">
        <f>IF('内訳ﾘｽﾄ(4～3月)'!$D$5="製造",SUMIF('内訳ﾘｽﾄ(4～3月)'!$D$8:$D$15,$B72,'内訳ﾘｽﾄ(4～3月)'!P$8:P$15),IF('内訳ﾘｽﾄ(4～3月)'!$D$5="工場間接",-M$68,0))</f>
        <v>-1712.75</v>
      </c>
      <c r="N72" s="139">
        <f>IF('内訳ﾘｽﾄ(4～3月)'!$D$5="製造",SUMIF('内訳ﾘｽﾄ(4～3月)'!$D$8:$D$15,$B72,'内訳ﾘｽﾄ(4～3月)'!Q$8:Q$15),IF('内訳ﾘｽﾄ(4～3月)'!$D$5="工場間接",-N$68,0))</f>
        <v>-2235.5</v>
      </c>
      <c r="O72" s="139">
        <f>IF('内訳ﾘｽﾄ(4～3月)'!$D$5="工場間接",-SUM(O$68),IF('内訳ﾘｽﾄ(4～3月)'!$D$5="製造",SUMIF('内訳ﾘｽﾄ(4～3月)'!$D$8:$D$15,'採算表(VND)'!$B72,'内訳ﾘｽﾄ(4～3月)'!$R$8:$R$15),0))</f>
        <v>-27548.5</v>
      </c>
      <c r="AQ72" s="66"/>
      <c r="AR72" s="66"/>
      <c r="AS72" s="66"/>
      <c r="AT72" s="66"/>
      <c r="AU72" s="64"/>
      <c r="AV72" s="65"/>
      <c r="AW72" s="65"/>
      <c r="AX72" s="65"/>
      <c r="AY72" s="65"/>
      <c r="BA72" s="67"/>
      <c r="BB72" s="67"/>
      <c r="BC72" s="67"/>
      <c r="BD72" s="67"/>
      <c r="BF72" s="64"/>
      <c r="BG72" s="64"/>
      <c r="BH72" s="64"/>
      <c r="BI72" s="64"/>
    </row>
    <row r="73" spans="1:61" ht="11.25" customHeight="1">
      <c r="A73" s="32"/>
      <c r="B73" s="35" t="s">
        <v>90</v>
      </c>
      <c r="C73" s="140">
        <f>SUM(C68:C72)</f>
        <v>0</v>
      </c>
      <c r="D73" s="140">
        <f t="shared" ref="D73:N73" si="6">SUM(D68:D72)</f>
        <v>0</v>
      </c>
      <c r="E73" s="140">
        <f t="shared" si="6"/>
        <v>0</v>
      </c>
      <c r="F73" s="140">
        <f t="shared" si="6"/>
        <v>0</v>
      </c>
      <c r="G73" s="140">
        <f t="shared" si="6"/>
        <v>0</v>
      </c>
      <c r="H73" s="140">
        <f t="shared" si="6"/>
        <v>0</v>
      </c>
      <c r="I73" s="140">
        <f t="shared" si="6"/>
        <v>0</v>
      </c>
      <c r="J73" s="140">
        <f t="shared" si="6"/>
        <v>0</v>
      </c>
      <c r="K73" s="140">
        <f t="shared" si="6"/>
        <v>0</v>
      </c>
      <c r="L73" s="140">
        <f t="shared" si="6"/>
        <v>0</v>
      </c>
      <c r="M73" s="140">
        <f t="shared" si="6"/>
        <v>0</v>
      </c>
      <c r="N73" s="140">
        <f t="shared" si="6"/>
        <v>0</v>
      </c>
      <c r="O73" s="140">
        <f>IF(ISBLANK(O4),"",SUM(O68:O72))</f>
        <v>0</v>
      </c>
      <c r="AQ73" s="66"/>
      <c r="AR73" s="66"/>
      <c r="AS73" s="66"/>
      <c r="AT73" s="66"/>
      <c r="AU73" s="64"/>
      <c r="AV73" s="65"/>
      <c r="AW73" s="65"/>
      <c r="AX73" s="65"/>
      <c r="AY73" s="65"/>
      <c r="BA73" s="67"/>
      <c r="BB73" s="67"/>
      <c r="BC73" s="67"/>
      <c r="BD73" s="67"/>
      <c r="BF73" s="64"/>
      <c r="BG73" s="64"/>
      <c r="BH73" s="64"/>
      <c r="BI73" s="64"/>
    </row>
    <row r="74" spans="1:61" ht="11.25" customHeight="1">
      <c r="A74" s="32"/>
      <c r="B74" s="33" t="s">
        <v>86</v>
      </c>
      <c r="C74" s="136">
        <f>SUMIF('内訳ﾘｽﾄ(4～3月)'!$D$16:$D$23,'採算表(VND)'!$B74,'内訳ﾘｽﾄ(4～3月)'!F$16:F$23)</f>
        <v>267</v>
      </c>
      <c r="D74" s="136">
        <f>SUMIF('内訳ﾘｽﾄ(4～3月)'!$D$16:$D$23,'採算表(VND)'!$B74,'内訳ﾘｽﾄ(4～3月)'!G$16:G$23)</f>
        <v>272</v>
      </c>
      <c r="E74" s="136">
        <f>SUMIF('内訳ﾘｽﾄ(4～3月)'!$D$16:$D$23,'採算表(VND)'!$B74,'内訳ﾘｽﾄ(4～3月)'!H$16:H$23)</f>
        <v>263</v>
      </c>
      <c r="F74" s="136">
        <f>SUMIF('内訳ﾘｽﾄ(4～3月)'!$D$16:$D$23,'採算表(VND)'!$B74,'内訳ﾘｽﾄ(4～3月)'!I$16:I$23)</f>
        <v>296</v>
      </c>
      <c r="G74" s="136">
        <f>SUMIF('内訳ﾘｽﾄ(4～3月)'!$D$16:$D$23,'採算表(VND)'!$B74,'内訳ﾘｽﾄ(4～3月)'!J$16:J$23)</f>
        <v>286</v>
      </c>
      <c r="H74" s="136">
        <f>SUMIF('内訳ﾘｽﾄ(4～3月)'!$D$16:$D$23,'採算表(VND)'!$B74,'内訳ﾘｽﾄ(4～3月)'!K$16:K$23)</f>
        <v>277</v>
      </c>
      <c r="I74" s="136">
        <f>SUMIF('内訳ﾘｽﾄ(4～3月)'!$D$16:$D$23,'採算表(VND)'!$B74,'内訳ﾘｽﾄ(4～3月)'!L$16:L$23)</f>
        <v>291</v>
      </c>
      <c r="J74" s="136">
        <f>SUMIF('内訳ﾘｽﾄ(4～3月)'!$D$16:$D$23,'採算表(VND)'!$B74,'内訳ﾘｽﾄ(4～3月)'!M$16:M$23)</f>
        <v>277</v>
      </c>
      <c r="K74" s="136">
        <f>SUMIF('内訳ﾘｽﾄ(4～3月)'!$D$16:$D$23,'採算表(VND)'!$B74,'内訳ﾘｽﾄ(4～3月)'!N$16:N$23)</f>
        <v>286</v>
      </c>
      <c r="L74" s="136">
        <f>SUMIF('内訳ﾘｽﾄ(4～3月)'!$D$16:$D$23,'採算表(VND)'!$B74,'内訳ﾘｽﾄ(4～3月)'!O$16:O$23)</f>
        <v>274</v>
      </c>
      <c r="M74" s="136">
        <f>SUMIF('内訳ﾘｽﾄ(4～3月)'!$D$16:$D$23,'採算表(VND)'!$B74,'内訳ﾘｽﾄ(4～3月)'!P$16:P$23)</f>
        <v>238</v>
      </c>
      <c r="N74" s="136">
        <f>SUMIF('内訳ﾘｽﾄ(4～3月)'!$D$16:$D$23,'採算表(VND)'!$B74,'内訳ﾘｽﾄ(4～3月)'!Q$16:Q$23)</f>
        <v>292</v>
      </c>
      <c r="O74" s="136">
        <f>SUMIF('内訳ﾘｽﾄ(4～3月)'!$D$16:$D$23,'採算表(VND)'!$B74,'内訳ﾘｽﾄ(4～3月)'!$R$16:$R$23)</f>
        <v>3319</v>
      </c>
      <c r="AQ74" s="66"/>
      <c r="AR74" s="66"/>
      <c r="AS74" s="66"/>
      <c r="AT74" s="66"/>
      <c r="AU74" s="64"/>
      <c r="AV74" s="65"/>
      <c r="AW74" s="65"/>
      <c r="AX74" s="65"/>
      <c r="AY74" s="65"/>
      <c r="BA74" s="67"/>
      <c r="BB74" s="67"/>
      <c r="BC74" s="67"/>
      <c r="BD74" s="67"/>
      <c r="BF74" s="64"/>
      <c r="BG74" s="64"/>
      <c r="BH74" s="64"/>
      <c r="BI74" s="64"/>
    </row>
    <row r="75" spans="1:61">
      <c r="A75" s="32"/>
      <c r="B75" s="31" t="s">
        <v>88</v>
      </c>
      <c r="C75" s="137">
        <f>IF('内訳ﾘｽﾄ(4～3月)'!$D$5="製造",SUMIF('内訳ﾘｽﾄ(4～3月)'!$D$16:$D$23,$B75,'内訳ﾘｽﾄ(4～3月)'!F$16:F$23),IF('内訳ﾘｽﾄ(4～3月)'!$D$5="部内間接",-C$74,0))</f>
        <v>0</v>
      </c>
      <c r="D75" s="137">
        <f>IF('内訳ﾘｽﾄ(4～3月)'!$D$5="製造",SUMIF('内訳ﾘｽﾄ(4～3月)'!$D$16:$D$23,$B75,'内訳ﾘｽﾄ(4～3月)'!G$16:G$23),IF('内訳ﾘｽﾄ(4～3月)'!$D$5="部内間接",-D$74,0))</f>
        <v>0</v>
      </c>
      <c r="E75" s="137">
        <f>IF('内訳ﾘｽﾄ(4～3月)'!$D$5="製造",SUMIF('内訳ﾘｽﾄ(4～3月)'!$D$16:$D$23,$B75,'内訳ﾘｽﾄ(4～3月)'!H$16:H$23),IF('内訳ﾘｽﾄ(4～3月)'!$D$5="部内間接",-E$74,0))</f>
        <v>0</v>
      </c>
      <c r="F75" s="137">
        <f>IF('内訳ﾘｽﾄ(4～3月)'!$D$5="製造",SUMIF('内訳ﾘｽﾄ(4～3月)'!$D$16:$D$23,$B75,'内訳ﾘｽﾄ(4～3月)'!I$16:I$23),IF('内訳ﾘｽﾄ(4～3月)'!$D$5="部内間接",-F$74,0))</f>
        <v>0</v>
      </c>
      <c r="G75" s="137">
        <f>IF('内訳ﾘｽﾄ(4～3月)'!$D$5="製造",SUMIF('内訳ﾘｽﾄ(4～3月)'!$D$16:$D$23,$B75,'内訳ﾘｽﾄ(4～3月)'!J$16:J$23),IF('内訳ﾘｽﾄ(4～3月)'!$D$5="部内間接",-G$74,0))</f>
        <v>0</v>
      </c>
      <c r="H75" s="137">
        <f>IF('内訳ﾘｽﾄ(4～3月)'!$D$5="製造",SUMIF('内訳ﾘｽﾄ(4～3月)'!$D$16:$D$23,$B75,'内訳ﾘｽﾄ(4～3月)'!K$16:K$23),IF('内訳ﾘｽﾄ(4～3月)'!$D$5="部内間接",-H$74,0))</f>
        <v>0</v>
      </c>
      <c r="I75" s="137">
        <f>IF('内訳ﾘｽﾄ(4～3月)'!$D$5="製造",SUMIF('内訳ﾘｽﾄ(4～3月)'!$D$16:$D$23,$B75,'内訳ﾘｽﾄ(4～3月)'!L$16:L$23),IF('内訳ﾘｽﾄ(4～3月)'!$D$5="部内間接",-I$74,0))</f>
        <v>0</v>
      </c>
      <c r="J75" s="137">
        <f>IF('内訳ﾘｽﾄ(4～3月)'!$D$5="製造",SUMIF('内訳ﾘｽﾄ(4～3月)'!$D$16:$D$23,$B75,'内訳ﾘｽﾄ(4～3月)'!M$16:M$23),IF('内訳ﾘｽﾄ(4～3月)'!$D$5="部内間接",-J$74,0))</f>
        <v>0</v>
      </c>
      <c r="K75" s="137">
        <f>IF('内訳ﾘｽﾄ(4～3月)'!$D$5="製造",SUMIF('内訳ﾘｽﾄ(4～3月)'!$D$16:$D$23,$B75,'内訳ﾘｽﾄ(4～3月)'!N$16:N$23),IF('内訳ﾘｽﾄ(4～3月)'!$D$5="部内間接",-K$74,0))</f>
        <v>0</v>
      </c>
      <c r="L75" s="137">
        <f>IF('内訳ﾘｽﾄ(4～3月)'!$D$5="製造",SUMIF('内訳ﾘｽﾄ(4～3月)'!$D$16:$D$23,$B75,'内訳ﾘｽﾄ(4～3月)'!O$16:O$23),IF('内訳ﾘｽﾄ(4～3月)'!$D$5="部内間接",-L$74,0))</f>
        <v>0</v>
      </c>
      <c r="M75" s="137">
        <f>IF('内訳ﾘｽﾄ(4～3月)'!$D$5="製造",SUMIF('内訳ﾘｽﾄ(4～3月)'!$D$16:$D$23,$B75,'内訳ﾘｽﾄ(4～3月)'!P$16:P$23),IF('内訳ﾘｽﾄ(4～3月)'!$D$5="部内間接",-M$74,0))</f>
        <v>0</v>
      </c>
      <c r="N75" s="137">
        <f>IF('内訳ﾘｽﾄ(4～3月)'!$D$5="製造",SUMIF('内訳ﾘｽﾄ(4～3月)'!$D$16:$D$23,$B75,'内訳ﾘｽﾄ(4～3月)'!Q$16:Q$23),IF('内訳ﾘｽﾄ(4～3月)'!$D$5="部内間接",-N$74,0))</f>
        <v>0</v>
      </c>
      <c r="O75" s="137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66"/>
      <c r="AR75" s="66"/>
      <c r="AS75" s="66"/>
      <c r="AT75" s="66"/>
      <c r="AU75" s="64"/>
      <c r="AV75" s="65"/>
      <c r="AW75" s="65"/>
      <c r="AX75" s="65"/>
      <c r="AY75" s="65"/>
      <c r="BA75" s="67"/>
      <c r="BB75" s="67"/>
      <c r="BC75" s="67"/>
      <c r="BD75" s="67"/>
      <c r="BF75" s="64"/>
      <c r="BG75" s="64"/>
      <c r="BH75" s="64"/>
      <c r="BI75" s="64"/>
    </row>
    <row r="76" spans="1:61">
      <c r="A76" s="32"/>
      <c r="B76" s="31" t="s">
        <v>126</v>
      </c>
      <c r="C76" s="138">
        <f>IF('内訳ﾘｽﾄ(4～3月)'!$D$5="製造",SUMIF('内訳ﾘｽﾄ(4～3月)'!$D$16:$D$23,$B76,'内訳ﾘｽﾄ(4～3月)'!F$16:F$23),IF('内訳ﾘｽﾄ(4～3月)'!$D$5="部外間接1",-C$74,0))</f>
        <v>0</v>
      </c>
      <c r="D76" s="138">
        <f>IF('内訳ﾘｽﾄ(4～3月)'!$D$5="製造",SUMIF('内訳ﾘｽﾄ(4～3月)'!$D$16:$D$23,$B76,'内訳ﾘｽﾄ(4～3月)'!G$16:G$23),IF('内訳ﾘｽﾄ(4～3月)'!$D$5="部外間接1",-D$74,0))</f>
        <v>0</v>
      </c>
      <c r="E76" s="138">
        <f>IF('内訳ﾘｽﾄ(4～3月)'!$D$5="製造",SUMIF('内訳ﾘｽﾄ(4～3月)'!$D$16:$D$23,$B76,'内訳ﾘｽﾄ(4～3月)'!H$16:H$23),IF('内訳ﾘｽﾄ(4～3月)'!$D$5="部外間接1",-E$74,0))</f>
        <v>0</v>
      </c>
      <c r="F76" s="138">
        <f>IF('内訳ﾘｽﾄ(4～3月)'!$D$5="製造",SUMIF('内訳ﾘｽﾄ(4～3月)'!$D$16:$D$23,$B76,'内訳ﾘｽﾄ(4～3月)'!I$16:I$23),IF('内訳ﾘｽﾄ(4～3月)'!$D$5="部外間接1",-F$74,0))</f>
        <v>0</v>
      </c>
      <c r="G76" s="138">
        <f>IF('内訳ﾘｽﾄ(4～3月)'!$D$5="製造",SUMIF('内訳ﾘｽﾄ(4～3月)'!$D$16:$D$23,$B76,'内訳ﾘｽﾄ(4～3月)'!J$16:J$23),IF('内訳ﾘｽﾄ(4～3月)'!$D$5="部外間接1",-G$74,0))</f>
        <v>0</v>
      </c>
      <c r="H76" s="138">
        <f>IF('内訳ﾘｽﾄ(4～3月)'!$D$5="製造",SUMIF('内訳ﾘｽﾄ(4～3月)'!$D$16:$D$23,$B76,'内訳ﾘｽﾄ(4～3月)'!K$16:K$23),IF('内訳ﾘｽﾄ(4～3月)'!$D$5="部外間接1",-H$74,0))</f>
        <v>0</v>
      </c>
      <c r="I76" s="138">
        <f>IF('内訳ﾘｽﾄ(4～3月)'!$D$5="製造",SUMIF('内訳ﾘｽﾄ(4～3月)'!$D$16:$D$23,$B76,'内訳ﾘｽﾄ(4～3月)'!L$16:L$23),IF('内訳ﾘｽﾄ(4～3月)'!$D$5="部外間接1",-I$74,0))</f>
        <v>0</v>
      </c>
      <c r="J76" s="138">
        <f>IF('内訳ﾘｽﾄ(4～3月)'!$D$5="製造",SUMIF('内訳ﾘｽﾄ(4～3月)'!$D$16:$D$23,$B76,'内訳ﾘｽﾄ(4～3月)'!M$16:M$23),IF('内訳ﾘｽﾄ(4～3月)'!$D$5="部外間接1",-J$74,0))</f>
        <v>0</v>
      </c>
      <c r="K76" s="138">
        <f>IF('内訳ﾘｽﾄ(4～3月)'!$D$5="製造",SUMIF('内訳ﾘｽﾄ(4～3月)'!$D$16:$D$23,$B76,'内訳ﾘｽﾄ(4～3月)'!N$16:N$23),IF('内訳ﾘｽﾄ(4～3月)'!$D$5="部外間接1",-K$74,0))</f>
        <v>0</v>
      </c>
      <c r="L76" s="138">
        <f>IF('内訳ﾘｽﾄ(4～3月)'!$D$5="製造",SUMIF('内訳ﾘｽﾄ(4～3月)'!$D$16:$D$23,$B76,'内訳ﾘｽﾄ(4～3月)'!O$16:O$23),IF('内訳ﾘｽﾄ(4～3月)'!$D$5="部外間接1",-L$74,0))</f>
        <v>0</v>
      </c>
      <c r="M76" s="138">
        <f>IF('内訳ﾘｽﾄ(4～3月)'!$D$5="製造",SUMIF('内訳ﾘｽﾄ(4～3月)'!$D$16:$D$23,$B76,'内訳ﾘｽﾄ(4～3月)'!P$16:P$23),IF('内訳ﾘｽﾄ(4～3月)'!$D$5="部外間接1",-M$74,0))</f>
        <v>0</v>
      </c>
      <c r="N76" s="138">
        <f>IF('内訳ﾘｽﾄ(4～3月)'!$D$5="製造",SUMIF('内訳ﾘｽﾄ(4～3月)'!$D$16:$D$23,$B76,'内訳ﾘｽﾄ(4～3月)'!Q$16:Q$23),IF('内訳ﾘｽﾄ(4～3月)'!$D$5="部外間接1",-N$74,0))</f>
        <v>0</v>
      </c>
      <c r="O76" s="138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66"/>
      <c r="AR76" s="66"/>
      <c r="AS76" s="66"/>
      <c r="AT76" s="66"/>
      <c r="AU76" s="64"/>
      <c r="AV76" s="65"/>
      <c r="AW76" s="65"/>
      <c r="AX76" s="65"/>
      <c r="AY76" s="65"/>
      <c r="BA76" s="67"/>
      <c r="BB76" s="67"/>
      <c r="BC76" s="67"/>
      <c r="BD76" s="67"/>
      <c r="BF76" s="64"/>
      <c r="BG76" s="64"/>
      <c r="BH76" s="64"/>
      <c r="BI76" s="64"/>
    </row>
    <row r="77" spans="1:61">
      <c r="A77" s="32"/>
      <c r="B77" s="31" t="s">
        <v>127</v>
      </c>
      <c r="C77" s="138">
        <f>IF('内訳ﾘｽﾄ(4～3月)'!$D$5="製造",SUMIF('内訳ﾘｽﾄ(4～3月)'!$D$16:$D$23,$B77,'内訳ﾘｽﾄ(4～3月)'!F$16:F$23),IF('内訳ﾘｽﾄ(4～3月)'!$D$5="部外間接2",-C$74,0))</f>
        <v>0</v>
      </c>
      <c r="D77" s="138">
        <f>IF('内訳ﾘｽﾄ(4～3月)'!$D$5="製造",SUMIF('内訳ﾘｽﾄ(4～3月)'!$D$16:$D$23,$B77,'内訳ﾘｽﾄ(4～3月)'!G$16:G$23),IF('内訳ﾘｽﾄ(4～3月)'!$D$5="部外間接2",-D$74,0))</f>
        <v>0</v>
      </c>
      <c r="E77" s="138">
        <f>IF('内訳ﾘｽﾄ(4～3月)'!$D$5="製造",SUMIF('内訳ﾘｽﾄ(4～3月)'!$D$16:$D$23,$B77,'内訳ﾘｽﾄ(4～3月)'!H$16:H$23),IF('内訳ﾘｽﾄ(4～3月)'!$D$5="部外間接2",-E$74,0))</f>
        <v>0</v>
      </c>
      <c r="F77" s="138">
        <f>IF('内訳ﾘｽﾄ(4～3月)'!$D$5="製造",SUMIF('内訳ﾘｽﾄ(4～3月)'!$D$16:$D$23,$B77,'内訳ﾘｽﾄ(4～3月)'!I$16:I$23),IF('内訳ﾘｽﾄ(4～3月)'!$D$5="部外間接2",-F$74,0))</f>
        <v>0</v>
      </c>
      <c r="G77" s="138">
        <f>IF('内訳ﾘｽﾄ(4～3月)'!$D$5="製造",SUMIF('内訳ﾘｽﾄ(4～3月)'!$D$16:$D$23,$B77,'内訳ﾘｽﾄ(4～3月)'!J$16:J$23),IF('内訳ﾘｽﾄ(4～3月)'!$D$5="部外間接2",-G$74,0))</f>
        <v>0</v>
      </c>
      <c r="H77" s="138">
        <f>IF('内訳ﾘｽﾄ(4～3月)'!$D$5="製造",SUMIF('内訳ﾘｽﾄ(4～3月)'!$D$16:$D$23,$B77,'内訳ﾘｽﾄ(4～3月)'!K$16:K$23),IF('内訳ﾘｽﾄ(4～3月)'!$D$5="部外間接2",-H$74,0))</f>
        <v>0</v>
      </c>
      <c r="I77" s="138">
        <f>IF('内訳ﾘｽﾄ(4～3月)'!$D$5="製造",SUMIF('内訳ﾘｽﾄ(4～3月)'!$D$16:$D$23,$B77,'内訳ﾘｽﾄ(4～3月)'!L$16:L$23),IF('内訳ﾘｽﾄ(4～3月)'!$D$5="部外間接2",-I$74,0))</f>
        <v>0</v>
      </c>
      <c r="J77" s="138">
        <f>IF('内訳ﾘｽﾄ(4～3月)'!$D$5="製造",SUMIF('内訳ﾘｽﾄ(4～3月)'!$D$16:$D$23,$B77,'内訳ﾘｽﾄ(4～3月)'!M$16:M$23),IF('内訳ﾘｽﾄ(4～3月)'!$D$5="部外間接2",-J$74,0))</f>
        <v>0</v>
      </c>
      <c r="K77" s="138">
        <f>IF('内訳ﾘｽﾄ(4～3月)'!$D$5="製造",SUMIF('内訳ﾘｽﾄ(4～3月)'!$D$16:$D$23,$B77,'内訳ﾘｽﾄ(4～3月)'!N$16:N$23),IF('内訳ﾘｽﾄ(4～3月)'!$D$5="部外間接2",-K$74,0))</f>
        <v>0</v>
      </c>
      <c r="L77" s="138">
        <f>IF('内訳ﾘｽﾄ(4～3月)'!$D$5="製造",SUMIF('内訳ﾘｽﾄ(4～3月)'!$D$16:$D$23,$B77,'内訳ﾘｽﾄ(4～3月)'!O$16:O$23),IF('内訳ﾘｽﾄ(4～3月)'!$D$5="部外間接2",-L$74,0))</f>
        <v>0</v>
      </c>
      <c r="M77" s="138">
        <f>IF('内訳ﾘｽﾄ(4～3月)'!$D$5="製造",SUMIF('内訳ﾘｽﾄ(4～3月)'!$D$16:$D$23,$B77,'内訳ﾘｽﾄ(4～3月)'!P$16:P$23),IF('内訳ﾘｽﾄ(4～3月)'!$D$5="部外間接2",-M$74,0))</f>
        <v>0</v>
      </c>
      <c r="N77" s="138">
        <f>IF('内訳ﾘｽﾄ(4～3月)'!$D$5="製造",SUMIF('内訳ﾘｽﾄ(4～3月)'!$D$16:$D$23,$B77,'内訳ﾘｽﾄ(4～3月)'!Q$16:Q$23),IF('内訳ﾘｽﾄ(4～3月)'!$D$5="部外間接2",-N$74,0))</f>
        <v>0</v>
      </c>
      <c r="O77" s="138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66"/>
      <c r="AR77" s="66"/>
      <c r="AS77" s="66"/>
      <c r="AT77" s="66"/>
      <c r="AU77" s="64"/>
      <c r="AV77" s="65"/>
      <c r="AW77" s="65"/>
      <c r="AX77" s="65"/>
      <c r="AY77" s="65"/>
      <c r="BA77" s="67"/>
      <c r="BB77" s="67"/>
      <c r="BC77" s="67"/>
      <c r="BD77" s="67"/>
      <c r="BF77" s="64"/>
      <c r="BG77" s="64"/>
      <c r="BH77" s="64"/>
      <c r="BI77" s="64"/>
    </row>
    <row r="78" spans="1:61">
      <c r="A78" s="32"/>
      <c r="B78" s="34" t="s">
        <v>450</v>
      </c>
      <c r="C78" s="139">
        <f>IF('内訳ﾘｽﾄ(4～3月)'!$D$5="製造",SUMIF('内訳ﾘｽﾄ(4～3月)'!$D$16:$D$23,$B78,'内訳ﾘｽﾄ(4～3月)'!F$16:F$23),IF('内訳ﾘｽﾄ(4～3月)'!$D$5="工場間接",-C$74,0))</f>
        <v>-267</v>
      </c>
      <c r="D78" s="139">
        <f>IF('内訳ﾘｽﾄ(4～3月)'!$D$5="製造",SUMIF('内訳ﾘｽﾄ(4～3月)'!$D$16:$D$23,$B78,'内訳ﾘｽﾄ(4～3月)'!G$16:G$23),IF('内訳ﾘｽﾄ(4～3月)'!$D$5="工場間接",-D$74,0))</f>
        <v>-272</v>
      </c>
      <c r="E78" s="139">
        <f>IF('内訳ﾘｽﾄ(4～3月)'!$D$5="製造",SUMIF('内訳ﾘｽﾄ(4～3月)'!$D$16:$D$23,$B78,'内訳ﾘｽﾄ(4～3月)'!H$16:H$23),IF('内訳ﾘｽﾄ(4～3月)'!$D$5="工場間接",-E$74,0))</f>
        <v>-263</v>
      </c>
      <c r="F78" s="139">
        <f>IF('内訳ﾘｽﾄ(4～3月)'!$D$5="製造",SUMIF('内訳ﾘｽﾄ(4～3月)'!$D$16:$D$23,$B78,'内訳ﾘｽﾄ(4～3月)'!I$16:I$23),IF('内訳ﾘｽﾄ(4～3月)'!$D$5="工場間接",-F$74,0))</f>
        <v>-296</v>
      </c>
      <c r="G78" s="139">
        <f>IF('内訳ﾘｽﾄ(4～3月)'!$D$5="製造",SUMIF('内訳ﾘｽﾄ(4～3月)'!$D$16:$D$23,$B78,'内訳ﾘｽﾄ(4～3月)'!J$16:J$23),IF('内訳ﾘｽﾄ(4～3月)'!$D$5="工場間接",-G$74,0))</f>
        <v>-286</v>
      </c>
      <c r="H78" s="139">
        <f>IF('内訳ﾘｽﾄ(4～3月)'!$D$5="製造",SUMIF('内訳ﾘｽﾄ(4～3月)'!$D$16:$D$23,$B78,'内訳ﾘｽﾄ(4～3月)'!K$16:K$23),IF('内訳ﾘｽﾄ(4～3月)'!$D$5="工場間接",-H$74,0))</f>
        <v>-277</v>
      </c>
      <c r="I78" s="139">
        <f>IF('内訳ﾘｽﾄ(4～3月)'!$D$5="製造",SUMIF('内訳ﾘｽﾄ(4～3月)'!$D$16:$D$23,$B78,'内訳ﾘｽﾄ(4～3月)'!L$16:L$23),IF('内訳ﾘｽﾄ(4～3月)'!$D$5="工場間接",-I$74,0))</f>
        <v>-291</v>
      </c>
      <c r="J78" s="139">
        <f>IF('内訳ﾘｽﾄ(4～3月)'!$D$5="製造",SUMIF('内訳ﾘｽﾄ(4～3月)'!$D$16:$D$23,$B78,'内訳ﾘｽﾄ(4～3月)'!M$16:M$23),IF('内訳ﾘｽﾄ(4～3月)'!$D$5="工場間接",-J$74,0))</f>
        <v>-277</v>
      </c>
      <c r="K78" s="139">
        <f>IF('内訳ﾘｽﾄ(4～3月)'!$D$5="製造",SUMIF('内訳ﾘｽﾄ(4～3月)'!$D$16:$D$23,$B78,'内訳ﾘｽﾄ(4～3月)'!N$16:N$23),IF('内訳ﾘｽﾄ(4～3月)'!$D$5="工場間接",-K$74,0))</f>
        <v>-286</v>
      </c>
      <c r="L78" s="139">
        <f>IF('内訳ﾘｽﾄ(4～3月)'!$D$5="製造",SUMIF('内訳ﾘｽﾄ(4～3月)'!$D$16:$D$23,$B78,'内訳ﾘｽﾄ(4～3月)'!O$16:O$23),IF('内訳ﾘｽﾄ(4～3月)'!$D$5="工場間接",-L$74,0))</f>
        <v>-274</v>
      </c>
      <c r="M78" s="139">
        <f>IF('内訳ﾘｽﾄ(4～3月)'!$D$5="製造",SUMIF('内訳ﾘｽﾄ(4～3月)'!$D$16:$D$23,$B78,'内訳ﾘｽﾄ(4～3月)'!P$16:P$23),IF('内訳ﾘｽﾄ(4～3月)'!$D$5="工場間接",-M$74,0))</f>
        <v>-238</v>
      </c>
      <c r="N78" s="139">
        <f>IF('内訳ﾘｽﾄ(4～3月)'!$D$5="製造",SUMIF('内訳ﾘｽﾄ(4～3月)'!$D$16:$D$23,$B78,'内訳ﾘｽﾄ(4～3月)'!Q$16:Q$23),IF('内訳ﾘｽﾄ(4～3月)'!$D$5="工場間接",-N$74,0))</f>
        <v>-292</v>
      </c>
      <c r="O78" s="139">
        <f>IF('内訳ﾘｽﾄ(4～3月)'!$D$5="工場間接",-SUM(O$74),IF('内訳ﾘｽﾄ(4～3月)'!$D$5="製造",SUMIF('内訳ﾘｽﾄ(4～3月)'!$D$16:$D$23,'採算表(VND)'!$B78,'内訳ﾘｽﾄ(4～3月)'!$R$16:$R$23),0))</f>
        <v>-3319</v>
      </c>
      <c r="AQ78" s="66"/>
      <c r="AR78" s="66"/>
      <c r="AS78" s="66"/>
      <c r="AT78" s="66"/>
      <c r="AU78" s="64"/>
      <c r="AV78" s="65"/>
      <c r="AW78" s="65"/>
      <c r="AX78" s="65"/>
      <c r="AY78" s="65"/>
      <c r="BA78" s="67"/>
      <c r="BB78" s="67"/>
      <c r="BC78" s="67"/>
      <c r="BD78" s="67"/>
      <c r="BF78" s="64"/>
      <c r="BG78" s="64"/>
      <c r="BH78" s="64"/>
      <c r="BI78" s="64"/>
    </row>
    <row r="79" spans="1:61" ht="14.25" customHeight="1">
      <c r="A79" s="32"/>
      <c r="B79" s="35" t="s">
        <v>91</v>
      </c>
      <c r="C79" s="140">
        <f>SUM(C74:C78)</f>
        <v>0</v>
      </c>
      <c r="D79" s="140">
        <f t="shared" ref="D79:N79" si="7">SUM(D74:D78)</f>
        <v>0</v>
      </c>
      <c r="E79" s="140">
        <f t="shared" si="7"/>
        <v>0</v>
      </c>
      <c r="F79" s="140">
        <f t="shared" si="7"/>
        <v>0</v>
      </c>
      <c r="G79" s="140">
        <f t="shared" si="7"/>
        <v>0</v>
      </c>
      <c r="H79" s="140">
        <f t="shared" si="7"/>
        <v>0</v>
      </c>
      <c r="I79" s="140">
        <f t="shared" si="7"/>
        <v>0</v>
      </c>
      <c r="J79" s="140">
        <f t="shared" si="7"/>
        <v>0</v>
      </c>
      <c r="K79" s="140">
        <f t="shared" si="7"/>
        <v>0</v>
      </c>
      <c r="L79" s="140">
        <f t="shared" si="7"/>
        <v>0</v>
      </c>
      <c r="M79" s="140">
        <f t="shared" si="7"/>
        <v>0</v>
      </c>
      <c r="N79" s="140">
        <f t="shared" si="7"/>
        <v>0</v>
      </c>
      <c r="O79" s="140">
        <f>IF(ISBLANK(O10),"",SUM(O74:O78))</f>
        <v>0</v>
      </c>
      <c r="AQ79" s="66"/>
      <c r="AR79" s="66"/>
      <c r="AS79" s="66"/>
      <c r="AT79" s="66"/>
      <c r="AU79" s="64"/>
      <c r="AV79" s="65"/>
      <c r="AW79" s="65"/>
      <c r="AX79" s="65"/>
      <c r="AY79" s="65"/>
      <c r="BA79" s="67"/>
      <c r="BB79" s="67"/>
      <c r="BC79" s="67"/>
      <c r="BD79" s="67"/>
      <c r="BF79" s="64"/>
      <c r="BG79" s="64"/>
      <c r="BH79" s="64"/>
      <c r="BI79" s="64"/>
    </row>
    <row r="80" spans="1:61" ht="14.25" customHeight="1">
      <c r="A80" s="20"/>
      <c r="B80" s="26" t="s">
        <v>79</v>
      </c>
      <c r="C80" s="141">
        <f>IFERROR(ROUNDDOWN(C66/C67,0),0)</f>
        <v>0</v>
      </c>
      <c r="D80" s="141">
        <f t="shared" ref="D80:N80" si="8">IFERROR(ROUNDDOWN(D66/D67,0),0)</f>
        <v>0</v>
      </c>
      <c r="E80" s="141">
        <f t="shared" si="8"/>
        <v>0</v>
      </c>
      <c r="F80" s="141">
        <f t="shared" si="8"/>
        <v>0</v>
      </c>
      <c r="G80" s="141">
        <f t="shared" si="8"/>
        <v>0</v>
      </c>
      <c r="H80" s="141">
        <f t="shared" si="8"/>
        <v>0</v>
      </c>
      <c r="I80" s="141">
        <f t="shared" si="8"/>
        <v>0</v>
      </c>
      <c r="J80" s="141">
        <f t="shared" si="8"/>
        <v>0</v>
      </c>
      <c r="K80" s="141">
        <f t="shared" si="8"/>
        <v>0</v>
      </c>
      <c r="L80" s="141">
        <f t="shared" si="8"/>
        <v>0</v>
      </c>
      <c r="M80" s="141">
        <f t="shared" si="8"/>
        <v>0</v>
      </c>
      <c r="N80" s="141">
        <f t="shared" si="8"/>
        <v>0</v>
      </c>
      <c r="O80" s="141">
        <f>IFERROR(ROUNDDOWN(O66/O67,0),0)</f>
        <v>0</v>
      </c>
      <c r="AQ80" s="66"/>
      <c r="AR80" s="66"/>
      <c r="AS80" s="66"/>
      <c r="AT80" s="66"/>
      <c r="AU80" s="64"/>
      <c r="AV80" s="65"/>
      <c r="AW80" s="65"/>
      <c r="AX80" s="65"/>
      <c r="AY80" s="65"/>
      <c r="BA80" s="67"/>
      <c r="BB80" s="67"/>
      <c r="BC80" s="67"/>
      <c r="BD80" s="67"/>
      <c r="BF80" s="64"/>
      <c r="BG80" s="64"/>
      <c r="BH80" s="64"/>
      <c r="BI80" s="64"/>
    </row>
    <row r="81" spans="1:61" ht="14.25" customHeight="1">
      <c r="A81" s="20"/>
      <c r="B81" s="36" t="s">
        <v>80</v>
      </c>
      <c r="C81" s="142">
        <f>IFERROR(ROUNDDOWN(C12/C67,0),0)</f>
        <v>0</v>
      </c>
      <c r="D81" s="142">
        <f t="shared" ref="D81:N81" si="9">IFERROR(ROUNDDOWN(D12/D67,0),0)</f>
        <v>0</v>
      </c>
      <c r="E81" s="142">
        <f t="shared" si="9"/>
        <v>0</v>
      </c>
      <c r="F81" s="142">
        <f t="shared" si="9"/>
        <v>0</v>
      </c>
      <c r="G81" s="142">
        <f t="shared" si="9"/>
        <v>0</v>
      </c>
      <c r="H81" s="142">
        <f t="shared" si="9"/>
        <v>0</v>
      </c>
      <c r="I81" s="142">
        <f t="shared" si="9"/>
        <v>0</v>
      </c>
      <c r="J81" s="142">
        <f t="shared" si="9"/>
        <v>0</v>
      </c>
      <c r="K81" s="142">
        <f t="shared" si="9"/>
        <v>0</v>
      </c>
      <c r="L81" s="142">
        <f t="shared" si="9"/>
        <v>0</v>
      </c>
      <c r="M81" s="142">
        <f t="shared" si="9"/>
        <v>0</v>
      </c>
      <c r="N81" s="142">
        <f t="shared" si="9"/>
        <v>0</v>
      </c>
      <c r="O81" s="142">
        <f>IFERROR(ROUNDDOWN(O12/O67,0),0)</f>
        <v>0</v>
      </c>
      <c r="AQ81" s="66"/>
      <c r="AR81" s="66"/>
      <c r="AS81" s="66"/>
      <c r="AT81" s="66"/>
      <c r="AU81" s="64"/>
      <c r="AV81" s="65"/>
      <c r="AW81" s="65"/>
      <c r="AX81" s="65"/>
      <c r="AY81" s="65"/>
      <c r="BA81" s="67"/>
      <c r="BB81" s="67"/>
      <c r="BC81" s="67"/>
      <c r="BD81" s="67"/>
      <c r="BF81" s="64"/>
      <c r="BG81" s="64"/>
      <c r="BH81" s="64"/>
      <c r="BI81" s="64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56"/>
      <c r="B86" s="51" t="s">
        <v>17</v>
      </c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AQ86" s="66"/>
      <c r="AR86" s="66"/>
      <c r="AS86" s="66"/>
      <c r="AT86" s="66"/>
      <c r="AU86" s="64"/>
      <c r="AV86" s="65"/>
      <c r="AW86" s="65"/>
      <c r="AX86" s="65"/>
      <c r="AY86" s="65"/>
      <c r="BA86" s="67"/>
      <c r="BB86" s="67"/>
      <c r="BC86" s="67"/>
      <c r="BD86" s="67"/>
      <c r="BF86" s="64"/>
      <c r="BG86" s="64"/>
      <c r="BH86" s="64"/>
      <c r="BI86" s="64"/>
    </row>
    <row r="87" spans="1:61">
      <c r="A87" s="37"/>
      <c r="B87" s="52" t="s">
        <v>343</v>
      </c>
      <c r="C87" s="124">
        <f>SUMIF('内訳ﾘｽﾄ(4～3月)'!$D$24:$D$25,'採算表(VND)'!$B87,'内訳ﾘｽﾄ(4～3月)'!F$24:F$25)</f>
        <v>0</v>
      </c>
      <c r="D87" s="124">
        <f>SUMIF('内訳ﾘｽﾄ(4～3月)'!$D$24:$D$25,'採算表(VND)'!$B87,'内訳ﾘｽﾄ(4～3月)'!G$24:G$25)</f>
        <v>0</v>
      </c>
      <c r="E87" s="124">
        <f>SUMIF('内訳ﾘｽﾄ(4～3月)'!$D$24:$D$25,'採算表(VND)'!$B87,'内訳ﾘｽﾄ(4～3月)'!H$24:H$25)</f>
        <v>0</v>
      </c>
      <c r="F87" s="124">
        <f>SUMIF('内訳ﾘｽﾄ(4～3月)'!$D$24:$D$25,'採算表(VND)'!$B87,'内訳ﾘｽﾄ(4～3月)'!I$24:I$25)</f>
        <v>0</v>
      </c>
      <c r="G87" s="124">
        <f>SUMIF('内訳ﾘｽﾄ(4～3月)'!$D$24:$D$25,'採算表(VND)'!$B87,'内訳ﾘｽﾄ(4～3月)'!J$24:J$25)</f>
        <v>0</v>
      </c>
      <c r="H87" s="124">
        <f>SUMIF('内訳ﾘｽﾄ(4～3月)'!$D$24:$D$25,'採算表(VND)'!$B87,'内訳ﾘｽﾄ(4～3月)'!K$24:K$25)</f>
        <v>0</v>
      </c>
      <c r="I87" s="124">
        <f>SUMIF('内訳ﾘｽﾄ(4～3月)'!$D$24:$D$25,'採算表(VND)'!$B87,'内訳ﾘｽﾄ(4～3月)'!L$24:L$25)</f>
        <v>0</v>
      </c>
      <c r="J87" s="124">
        <f>SUMIF('内訳ﾘｽﾄ(4～3月)'!$D$24:$D$25,'採算表(VND)'!$B87,'内訳ﾘｽﾄ(4～3月)'!M$24:M$25)</f>
        <v>0</v>
      </c>
      <c r="K87" s="124">
        <f>SUMIF('内訳ﾘｽﾄ(4～3月)'!$D$24:$D$25,'採算表(VND)'!$B87,'内訳ﾘｽﾄ(4～3月)'!N$24:N$25)</f>
        <v>0</v>
      </c>
      <c r="L87" s="124">
        <f>SUMIF('内訳ﾘｽﾄ(4～3月)'!$D$24:$D$25,'採算表(VND)'!$B87,'内訳ﾘｽﾄ(4～3月)'!O$24:O$25)</f>
        <v>0</v>
      </c>
      <c r="M87" s="124">
        <f>SUMIF('内訳ﾘｽﾄ(4～3月)'!$D$24:$D$25,'採算表(VND)'!$B87,'内訳ﾘｽﾄ(4～3月)'!P$24:P$25)</f>
        <v>0</v>
      </c>
      <c r="N87" s="124">
        <f>SUMIF('内訳ﾘｽﾄ(4～3月)'!$D$24:$D$25,'採算表(VND)'!$B87,'内訳ﾘｽﾄ(4～3月)'!Q$24:Q$25)</f>
        <v>0</v>
      </c>
      <c r="O87" s="124">
        <f>SUMIF('内訳ﾘｽﾄ(4～3月)'!$D$24:$D$25,'採算表(VND)'!$B87,'内訳ﾘｽﾄ(4～3月)'!R$24:R$25)</f>
        <v>0</v>
      </c>
      <c r="AQ87" s="66"/>
      <c r="AR87" s="66"/>
      <c r="AS87" s="66"/>
      <c r="AT87" s="66"/>
      <c r="AU87" s="64"/>
      <c r="AV87" s="65"/>
      <c r="AW87" s="65"/>
      <c r="AX87" s="65"/>
      <c r="AY87" s="65"/>
      <c r="BA87" s="67"/>
      <c r="BB87" s="67"/>
      <c r="BC87" s="67"/>
      <c r="BD87" s="67"/>
      <c r="BF87" s="64"/>
      <c r="BG87" s="64"/>
      <c r="BH87" s="64"/>
      <c r="BI87" s="64"/>
    </row>
    <row r="88" spans="1:61">
      <c r="A88" s="37"/>
      <c r="B88" s="52" t="s">
        <v>344</v>
      </c>
      <c r="C88" s="124">
        <f>SUMIF('内訳ﾘｽﾄ(4～3月)'!$D$24:$D$25,'採算表(VND)'!$B88,'内訳ﾘｽﾄ(4～3月)'!F$24:F$25)</f>
        <v>14</v>
      </c>
      <c r="D88" s="124">
        <f>SUMIF('内訳ﾘｽﾄ(4～3月)'!$D$24:$D$25,'採算表(VND)'!$B88,'内訳ﾘｽﾄ(4～3月)'!G$24:G$25)</f>
        <v>14</v>
      </c>
      <c r="E88" s="124">
        <f>SUMIF('内訳ﾘｽﾄ(4～3月)'!$D$24:$D$25,'採算表(VND)'!$B88,'内訳ﾘｽﾄ(4～3月)'!H$24:H$25)</f>
        <v>14</v>
      </c>
      <c r="F88" s="124">
        <f>SUMIF('内訳ﾘｽﾄ(4～3月)'!$D$24:$D$25,'採算表(VND)'!$B88,'内訳ﾘｽﾄ(4～3月)'!I$24:I$25)</f>
        <v>14</v>
      </c>
      <c r="G88" s="124">
        <f>SUMIF('内訳ﾘｽﾄ(4～3月)'!$D$24:$D$25,'採算表(VND)'!$B88,'内訳ﾘｽﾄ(4～3月)'!J$24:J$25)</f>
        <v>14</v>
      </c>
      <c r="H88" s="124">
        <f>SUMIF('内訳ﾘｽﾄ(4～3月)'!$D$24:$D$25,'採算表(VND)'!$B88,'内訳ﾘｽﾄ(4～3月)'!K$24:K$25)</f>
        <v>14</v>
      </c>
      <c r="I88" s="124">
        <f>SUMIF('内訳ﾘｽﾄ(4～3月)'!$D$24:$D$25,'採算表(VND)'!$B88,'内訳ﾘｽﾄ(4～3月)'!L$24:L$25)</f>
        <v>14</v>
      </c>
      <c r="J88" s="124">
        <f>SUMIF('内訳ﾘｽﾄ(4～3月)'!$D$24:$D$25,'採算表(VND)'!$B88,'内訳ﾘｽﾄ(4～3月)'!M$24:M$25)</f>
        <v>14</v>
      </c>
      <c r="K88" s="124">
        <f>SUMIF('内訳ﾘｽﾄ(4～3月)'!$D$24:$D$25,'採算表(VND)'!$B88,'内訳ﾘｽﾄ(4～3月)'!N$24:N$25)</f>
        <v>14</v>
      </c>
      <c r="L88" s="124">
        <f>SUMIF('内訳ﾘｽﾄ(4～3月)'!$D$24:$D$25,'採算表(VND)'!$B88,'内訳ﾘｽﾄ(4～3月)'!O$24:O$25)</f>
        <v>14</v>
      </c>
      <c r="M88" s="124">
        <f>SUMIF('内訳ﾘｽﾄ(4～3月)'!$D$24:$D$25,'採算表(VND)'!$B88,'内訳ﾘｽﾄ(4～3月)'!P$24:P$25)</f>
        <v>14</v>
      </c>
      <c r="N88" s="124">
        <f>SUMIF('内訳ﾘｽﾄ(4～3月)'!$D$24:$D$25,'採算表(VND)'!$B88,'内訳ﾘｽﾄ(4～3月)'!Q$24:Q$25)</f>
        <v>14</v>
      </c>
      <c r="O88" s="124">
        <f>SUMIF('内訳ﾘｽﾄ(4～3月)'!$D$24:$D$25,'採算表(VND)'!$B88,'内訳ﾘｽﾄ(4～3月)'!R$24:R$25)</f>
        <v>14</v>
      </c>
      <c r="AQ88" s="66"/>
      <c r="AR88" s="66"/>
      <c r="AS88" s="66"/>
      <c r="AT88" s="66"/>
      <c r="AU88" s="64"/>
      <c r="AV88" s="65"/>
      <c r="AW88" s="65"/>
      <c r="AX88" s="65"/>
      <c r="AY88" s="65"/>
      <c r="BA88" s="67"/>
      <c r="BB88" s="67"/>
      <c r="BC88" s="67"/>
      <c r="BD88" s="67"/>
      <c r="BF88" s="64"/>
      <c r="BG88" s="64"/>
      <c r="BH88" s="64"/>
      <c r="BI88" s="64"/>
    </row>
    <row r="89" spans="1:61">
      <c r="A89" s="38"/>
      <c r="B89" s="53" t="s">
        <v>18</v>
      </c>
      <c r="C89" s="125">
        <f t="shared" ref="C89:N89" si="10">C87+C88</f>
        <v>14</v>
      </c>
      <c r="D89" s="125">
        <f t="shared" si="10"/>
        <v>14</v>
      </c>
      <c r="E89" s="125">
        <f t="shared" si="10"/>
        <v>14</v>
      </c>
      <c r="F89" s="125">
        <f t="shared" si="10"/>
        <v>14</v>
      </c>
      <c r="G89" s="125">
        <f t="shared" si="10"/>
        <v>14</v>
      </c>
      <c r="H89" s="125">
        <f t="shared" si="10"/>
        <v>14</v>
      </c>
      <c r="I89" s="125">
        <f t="shared" si="10"/>
        <v>14</v>
      </c>
      <c r="J89" s="125">
        <f t="shared" si="10"/>
        <v>14</v>
      </c>
      <c r="K89" s="125">
        <f t="shared" si="10"/>
        <v>14</v>
      </c>
      <c r="L89" s="125">
        <f t="shared" si="10"/>
        <v>14</v>
      </c>
      <c r="M89" s="125">
        <f t="shared" si="10"/>
        <v>14</v>
      </c>
      <c r="N89" s="125">
        <f t="shared" si="10"/>
        <v>14</v>
      </c>
      <c r="O89" s="125">
        <f>O87+O88</f>
        <v>14</v>
      </c>
      <c r="AQ89" s="66"/>
      <c r="AR89" s="66"/>
      <c r="AS89" s="66"/>
      <c r="AT89" s="66"/>
      <c r="AU89" s="64"/>
      <c r="AV89" s="65"/>
      <c r="AW89" s="65"/>
      <c r="AX89" s="65"/>
      <c r="AY89" s="65"/>
      <c r="BA89" s="67"/>
      <c r="BB89" s="67"/>
      <c r="BC89" s="67"/>
      <c r="BD89" s="67"/>
      <c r="BF89" s="64"/>
      <c r="BG89" s="64"/>
      <c r="BH89" s="64"/>
      <c r="BI89" s="64"/>
    </row>
    <row r="90" spans="1:61">
      <c r="AQ90" s="66"/>
      <c r="AR90" s="66"/>
      <c r="AS90" s="66"/>
      <c r="AT90" s="66"/>
      <c r="AU90" s="64"/>
      <c r="AV90" s="65"/>
      <c r="AW90" s="65"/>
      <c r="AX90" s="65"/>
      <c r="AY90" s="65"/>
      <c r="BA90" s="67"/>
      <c r="BB90" s="67"/>
      <c r="BC90" s="67"/>
      <c r="BD90" s="67"/>
      <c r="BF90" s="64"/>
      <c r="BG90" s="64"/>
      <c r="BH90" s="64"/>
      <c r="BI90" s="64"/>
    </row>
    <row r="91" spans="1:61">
      <c r="B91" s="51" t="s">
        <v>19</v>
      </c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AQ91" s="66"/>
      <c r="AR91" s="66"/>
      <c r="AS91" s="66"/>
      <c r="AT91" s="66"/>
      <c r="AU91" s="64"/>
      <c r="AV91" s="65"/>
      <c r="AW91" s="65"/>
      <c r="AX91" s="65"/>
      <c r="AY91" s="65"/>
      <c r="BA91" s="67"/>
      <c r="BB91" s="67"/>
      <c r="BC91" s="67"/>
      <c r="BD91" s="67"/>
      <c r="BF91" s="64"/>
      <c r="BG91" s="64"/>
      <c r="BH91" s="64"/>
      <c r="BI91" s="64"/>
    </row>
    <row r="92" spans="1:61">
      <c r="B92" s="52" t="s">
        <v>324</v>
      </c>
      <c r="C92" s="135">
        <f>SUMIF('内訳ﾘｽﾄ(4～3月)'!$B$8:$B$15,$B92,'内訳ﾘｽﾄ(4～3月)'!F$8:F$15)</f>
        <v>0</v>
      </c>
      <c r="D92" s="135">
        <f>SUMIF('内訳ﾘｽﾄ(4～3月)'!$B$8:$B$15,$B92,'内訳ﾘｽﾄ(4～3月)'!G$8:G$15)</f>
        <v>0</v>
      </c>
      <c r="E92" s="135">
        <f>SUMIF('内訳ﾘｽﾄ(4～3月)'!$B$8:$B$15,$B92,'内訳ﾘｽﾄ(4～3月)'!H$8:H$15)</f>
        <v>0</v>
      </c>
      <c r="F92" s="135">
        <f>SUMIF('内訳ﾘｽﾄ(4～3月)'!$B$8:$B$15,$B92,'内訳ﾘｽﾄ(4～3月)'!I$8:I$15)</f>
        <v>0</v>
      </c>
      <c r="G92" s="135">
        <f>SUMIF('内訳ﾘｽﾄ(4～3月)'!$B$8:$B$15,$B92,'内訳ﾘｽﾄ(4～3月)'!J$8:J$15)</f>
        <v>0</v>
      </c>
      <c r="H92" s="135">
        <f>SUMIF('内訳ﾘｽﾄ(4～3月)'!$B$8:$B$15,$B92,'内訳ﾘｽﾄ(4～3月)'!K$8:K$15)</f>
        <v>0</v>
      </c>
      <c r="I92" s="135">
        <f>SUMIF('内訳ﾘｽﾄ(4～3月)'!$B$8:$B$15,$B92,'内訳ﾘｽﾄ(4～3月)'!L$8:L$15)</f>
        <v>0</v>
      </c>
      <c r="J92" s="135">
        <f>SUMIF('内訳ﾘｽﾄ(4～3月)'!$B$8:$B$15,$B92,'内訳ﾘｽﾄ(4～3月)'!M$8:M$15)</f>
        <v>0</v>
      </c>
      <c r="K92" s="135">
        <f>SUMIF('内訳ﾘｽﾄ(4～3月)'!$B$8:$B$15,$B92,'内訳ﾘｽﾄ(4～3月)'!N$8:N$15)</f>
        <v>0</v>
      </c>
      <c r="L92" s="135">
        <f>SUMIF('内訳ﾘｽﾄ(4～3月)'!$B$8:$B$15,$B92,'内訳ﾘｽﾄ(4～3月)'!O$8:O$15)</f>
        <v>0</v>
      </c>
      <c r="M92" s="135">
        <f>SUMIF('内訳ﾘｽﾄ(4～3月)'!$B$8:$B$15,$B92,'内訳ﾘｽﾄ(4～3月)'!P$8:P$15)</f>
        <v>0</v>
      </c>
      <c r="N92" s="135">
        <f>SUMIF('内訳ﾘｽﾄ(4～3月)'!$B$8:$B$15,$B92,'内訳ﾘｽﾄ(4～3月)'!Q$8:Q$15)</f>
        <v>0</v>
      </c>
      <c r="O92" s="135">
        <f>SUMIF('内訳ﾘｽﾄ(4～3月)'!$B$8:$B$15,$B92,'内訳ﾘｽﾄ(4～3月)'!R$8:R$15)</f>
        <v>0</v>
      </c>
      <c r="AQ92" s="66"/>
      <c r="AR92" s="66"/>
      <c r="AS92" s="66"/>
      <c r="AT92" s="66"/>
      <c r="AU92" s="64"/>
      <c r="AV92" s="65"/>
      <c r="AW92" s="65"/>
      <c r="AX92" s="65"/>
      <c r="AY92" s="65"/>
      <c r="BA92" s="67"/>
      <c r="BB92" s="67"/>
      <c r="BC92" s="67"/>
      <c r="BD92" s="67"/>
      <c r="BF92" s="64"/>
      <c r="BG92" s="64"/>
      <c r="BH92" s="64"/>
      <c r="BI92" s="64"/>
    </row>
    <row r="93" spans="1:61">
      <c r="B93" s="52" t="s">
        <v>325</v>
      </c>
      <c r="C93" s="135">
        <f>SUMIF('内訳ﾘｽﾄ(4～3月)'!$B$8:$B$15,$B93,'内訳ﾘｽﾄ(4～3月)'!F$8:F$15)</f>
        <v>2278</v>
      </c>
      <c r="D93" s="135">
        <f>SUMIF('内訳ﾘｽﾄ(4～3月)'!$B$8:$B$15,$B93,'内訳ﾘｽﾄ(4～3月)'!G$8:G$15)</f>
        <v>2142</v>
      </c>
      <c r="E93" s="135">
        <f>SUMIF('内訳ﾘｽﾄ(4～3月)'!$B$8:$B$15,$B93,'内訳ﾘｽﾄ(4～3月)'!H$8:H$15)</f>
        <v>2392.75</v>
      </c>
      <c r="F93" s="135">
        <f>SUMIF('内訳ﾘｽﾄ(4～3月)'!$B$8:$B$15,$B93,'内訳ﾘｽﾄ(4～3月)'!I$8:I$15)</f>
        <v>2664.75</v>
      </c>
      <c r="G93" s="135">
        <f>SUMIF('内訳ﾘｽﾄ(4～3月)'!$B$8:$B$15,$B93,'内訳ﾘｽﾄ(4～3月)'!J$8:J$15)</f>
        <v>2261</v>
      </c>
      <c r="H93" s="135">
        <f>SUMIF('内訳ﾘｽﾄ(4～3月)'!$B$8:$B$15,$B93,'内訳ﾘｽﾄ(4～3月)'!K$8:K$15)</f>
        <v>2154.75</v>
      </c>
      <c r="I93" s="135">
        <f>SUMIF('内訳ﾘｽﾄ(4～3月)'!$B$8:$B$15,$B93,'内訳ﾘｽﾄ(4～3月)'!L$8:L$15)</f>
        <v>2664.75</v>
      </c>
      <c r="J93" s="135">
        <f>SUMIF('内訳ﾘｽﾄ(4～3月)'!$B$8:$B$15,$B93,'内訳ﾘｽﾄ(4～3月)'!M$8:M$15)</f>
        <v>2307.75</v>
      </c>
      <c r="K93" s="135">
        <f>SUMIF('内訳ﾘｽﾄ(4～3月)'!$B$8:$B$15,$B93,'内訳ﾘｽﾄ(4～3月)'!N$8:N$15)</f>
        <v>2499</v>
      </c>
      <c r="L93" s="135">
        <f>SUMIF('内訳ﾘｽﾄ(4～3月)'!$B$8:$B$15,$B93,'内訳ﾘｽﾄ(4～3月)'!O$8:O$15)</f>
        <v>2235.5</v>
      </c>
      <c r="M93" s="135">
        <f>SUMIF('内訳ﾘｽﾄ(4～3月)'!$B$8:$B$15,$B93,'内訳ﾘｽﾄ(4～3月)'!P$8:P$15)</f>
        <v>1712.75</v>
      </c>
      <c r="N93" s="135">
        <f>SUMIF('内訳ﾘｽﾄ(4～3月)'!$B$8:$B$15,$B93,'内訳ﾘｽﾄ(4～3月)'!Q$8:Q$15)</f>
        <v>2235.5</v>
      </c>
      <c r="O93" s="135">
        <f>SUMIF('内訳ﾘｽﾄ(4～3月)'!$B$8:$B$15,$B93,'内訳ﾘｽﾄ(4～3月)'!R$8:R$15)</f>
        <v>27548.5</v>
      </c>
      <c r="AQ93" s="66"/>
      <c r="AR93" s="66"/>
      <c r="AS93" s="66"/>
      <c r="AT93" s="66"/>
      <c r="AU93" s="64"/>
      <c r="AV93" s="65"/>
      <c r="AW93" s="65"/>
      <c r="AX93" s="65"/>
      <c r="AY93" s="65"/>
      <c r="BA93" s="67"/>
      <c r="BB93" s="67"/>
      <c r="BC93" s="67"/>
      <c r="BD93" s="67"/>
      <c r="BF93" s="64"/>
      <c r="BG93" s="64"/>
      <c r="BH93" s="64"/>
      <c r="BI93" s="64"/>
    </row>
    <row r="94" spans="1:61">
      <c r="B94" s="54" t="s">
        <v>18</v>
      </c>
      <c r="C94" s="143">
        <f t="shared" ref="C94:N94" si="11">C92+C93</f>
        <v>2278</v>
      </c>
      <c r="D94" s="143">
        <f t="shared" si="11"/>
        <v>2142</v>
      </c>
      <c r="E94" s="143">
        <f t="shared" si="11"/>
        <v>2392.75</v>
      </c>
      <c r="F94" s="143">
        <f t="shared" si="11"/>
        <v>2664.75</v>
      </c>
      <c r="G94" s="143">
        <f t="shared" si="11"/>
        <v>2261</v>
      </c>
      <c r="H94" s="143">
        <f t="shared" si="11"/>
        <v>2154.75</v>
      </c>
      <c r="I94" s="143">
        <f t="shared" si="11"/>
        <v>2664.75</v>
      </c>
      <c r="J94" s="143">
        <f t="shared" si="11"/>
        <v>2307.75</v>
      </c>
      <c r="K94" s="143">
        <f t="shared" si="11"/>
        <v>2499</v>
      </c>
      <c r="L94" s="143">
        <f t="shared" si="11"/>
        <v>2235.5</v>
      </c>
      <c r="M94" s="143">
        <f t="shared" si="11"/>
        <v>1712.75</v>
      </c>
      <c r="N94" s="143">
        <f t="shared" si="11"/>
        <v>2235.5</v>
      </c>
      <c r="O94" s="143">
        <f>O92+O93</f>
        <v>27548.5</v>
      </c>
      <c r="AQ94" s="66"/>
      <c r="AR94" s="66"/>
      <c r="AS94" s="66"/>
      <c r="AT94" s="66"/>
      <c r="AU94" s="64"/>
      <c r="AV94" s="65"/>
      <c r="AW94" s="65"/>
      <c r="AX94" s="65"/>
      <c r="AY94" s="65"/>
      <c r="BA94" s="67"/>
      <c r="BB94" s="67"/>
      <c r="BC94" s="67"/>
      <c r="BD94" s="67"/>
      <c r="BF94" s="64"/>
      <c r="BG94" s="64"/>
      <c r="BH94" s="64"/>
      <c r="BI94" s="64"/>
    </row>
    <row r="95" spans="1:61"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AQ95" s="66"/>
      <c r="AR95" s="66"/>
      <c r="AS95" s="66"/>
      <c r="AT95" s="66"/>
      <c r="AU95" s="64"/>
      <c r="AV95" s="65"/>
      <c r="AW95" s="65"/>
      <c r="AX95" s="65"/>
      <c r="AY95" s="65"/>
      <c r="BA95" s="67"/>
      <c r="BB95" s="67"/>
      <c r="BC95" s="67"/>
      <c r="BD95" s="67"/>
      <c r="BF95" s="64"/>
      <c r="BG95" s="64"/>
      <c r="BH95" s="64"/>
      <c r="BI95" s="64"/>
    </row>
    <row r="96" spans="1:61">
      <c r="B96" s="51" t="s">
        <v>20</v>
      </c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AQ96" s="66"/>
      <c r="AR96" s="66"/>
      <c r="AS96" s="66"/>
      <c r="AT96" s="66"/>
      <c r="AU96" s="64"/>
      <c r="AV96" s="65"/>
      <c r="AW96" s="65"/>
      <c r="AX96" s="65"/>
      <c r="AY96" s="65"/>
      <c r="BA96" s="67"/>
      <c r="BB96" s="67"/>
      <c r="BC96" s="67"/>
      <c r="BD96" s="67"/>
      <c r="BF96" s="64"/>
      <c r="BG96" s="64"/>
      <c r="BH96" s="64"/>
      <c r="BI96" s="64"/>
    </row>
    <row r="97" spans="2:61">
      <c r="B97" s="52" t="s">
        <v>326</v>
      </c>
      <c r="C97" s="135">
        <f>SUMIF('内訳ﾘｽﾄ(4～3月)'!$B$16:$B$23,$B97,'内訳ﾘｽﾄ(4～3月)'!F$16:F$23)</f>
        <v>0</v>
      </c>
      <c r="D97" s="135">
        <f>SUMIF('内訳ﾘｽﾄ(4～3月)'!$B$16:$B$23,$B97,'内訳ﾘｽﾄ(4～3月)'!G$16:G$23)</f>
        <v>0</v>
      </c>
      <c r="E97" s="135">
        <f>SUMIF('内訳ﾘｽﾄ(4～3月)'!$B$16:$B$23,$B97,'内訳ﾘｽﾄ(4～3月)'!H$16:H$23)</f>
        <v>0</v>
      </c>
      <c r="F97" s="135">
        <f>SUMIF('内訳ﾘｽﾄ(4～3月)'!$B$16:$B$23,$B97,'内訳ﾘｽﾄ(4～3月)'!I$16:I$23)</f>
        <v>0</v>
      </c>
      <c r="G97" s="135">
        <f>SUMIF('内訳ﾘｽﾄ(4～3月)'!$B$16:$B$23,$B97,'内訳ﾘｽﾄ(4～3月)'!J$16:J$23)</f>
        <v>0</v>
      </c>
      <c r="H97" s="135">
        <f>SUMIF('内訳ﾘｽﾄ(4～3月)'!$B$16:$B$23,$B97,'内訳ﾘｽﾄ(4～3月)'!K$16:K$23)</f>
        <v>0</v>
      </c>
      <c r="I97" s="135">
        <f>SUMIF('内訳ﾘｽﾄ(4～3月)'!$B$16:$B$23,$B97,'内訳ﾘｽﾄ(4～3月)'!L$16:L$23)</f>
        <v>0</v>
      </c>
      <c r="J97" s="135">
        <f>SUMIF('内訳ﾘｽﾄ(4～3月)'!$B$16:$B$23,$B97,'内訳ﾘｽﾄ(4～3月)'!M$16:M$23)</f>
        <v>0</v>
      </c>
      <c r="K97" s="135">
        <f>SUMIF('内訳ﾘｽﾄ(4～3月)'!$B$16:$B$23,$B97,'内訳ﾘｽﾄ(4～3月)'!N$16:N$23)</f>
        <v>0</v>
      </c>
      <c r="L97" s="135">
        <f>SUMIF('内訳ﾘｽﾄ(4～3月)'!$B$16:$B$23,$B97,'内訳ﾘｽﾄ(4～3月)'!O$16:O$23)</f>
        <v>0</v>
      </c>
      <c r="M97" s="135">
        <f>SUMIF('内訳ﾘｽﾄ(4～3月)'!$B$16:$B$23,$B97,'内訳ﾘｽﾄ(4～3月)'!P$16:P$23)</f>
        <v>0</v>
      </c>
      <c r="N97" s="135">
        <f>SUMIF('内訳ﾘｽﾄ(4～3月)'!$B$16:$B$23,$B97,'内訳ﾘｽﾄ(4～3月)'!Q$16:Q$23)</f>
        <v>0</v>
      </c>
      <c r="O97" s="135">
        <f>SUMIF('内訳ﾘｽﾄ(4～3月)'!$B$16:$B$23,$B97,'内訳ﾘｽﾄ(4～3月)'!R$16:R$23)</f>
        <v>0</v>
      </c>
      <c r="AQ97" s="66"/>
      <c r="AR97" s="66"/>
      <c r="AS97" s="66"/>
      <c r="AT97" s="66"/>
      <c r="AU97" s="64"/>
      <c r="AV97" s="65"/>
      <c r="AW97" s="65"/>
      <c r="AX97" s="65"/>
      <c r="AY97" s="65"/>
      <c r="BA97" s="67"/>
      <c r="BB97" s="67"/>
      <c r="BC97" s="67"/>
      <c r="BD97" s="67"/>
      <c r="BF97" s="64"/>
      <c r="BG97" s="64"/>
      <c r="BH97" s="64"/>
      <c r="BI97" s="64"/>
    </row>
    <row r="98" spans="2:61">
      <c r="B98" s="52" t="s">
        <v>327</v>
      </c>
      <c r="C98" s="135">
        <f>SUMIF('内訳ﾘｽﾄ(4～3月)'!$B$16:$B$23,$B98,'内訳ﾘｽﾄ(4～3月)'!F$16:F$23)</f>
        <v>267</v>
      </c>
      <c r="D98" s="135">
        <f>SUMIF('内訳ﾘｽﾄ(4～3月)'!$B$16:$B$23,$B98,'内訳ﾘｽﾄ(4～3月)'!G$16:G$23)</f>
        <v>272</v>
      </c>
      <c r="E98" s="135">
        <f>SUMIF('内訳ﾘｽﾄ(4～3月)'!$B$16:$B$23,$B98,'内訳ﾘｽﾄ(4～3月)'!H$16:H$23)</f>
        <v>263</v>
      </c>
      <c r="F98" s="135">
        <f>SUMIF('内訳ﾘｽﾄ(4～3月)'!$B$16:$B$23,$B98,'内訳ﾘｽﾄ(4～3月)'!I$16:I$23)</f>
        <v>296</v>
      </c>
      <c r="G98" s="135">
        <f>SUMIF('内訳ﾘｽﾄ(4～3月)'!$B$16:$B$23,$B98,'内訳ﾘｽﾄ(4～3月)'!J$16:J$23)</f>
        <v>286</v>
      </c>
      <c r="H98" s="135">
        <f>SUMIF('内訳ﾘｽﾄ(4～3月)'!$B$16:$B$23,$B98,'内訳ﾘｽﾄ(4～3月)'!K$16:K$23)</f>
        <v>277</v>
      </c>
      <c r="I98" s="135">
        <f>SUMIF('内訳ﾘｽﾄ(4～3月)'!$B$16:$B$23,$B98,'内訳ﾘｽﾄ(4～3月)'!L$16:L$23)</f>
        <v>291</v>
      </c>
      <c r="J98" s="135">
        <f>SUMIF('内訳ﾘｽﾄ(4～3月)'!$B$16:$B$23,$B98,'内訳ﾘｽﾄ(4～3月)'!M$16:M$23)</f>
        <v>277</v>
      </c>
      <c r="K98" s="135">
        <f>SUMIF('内訳ﾘｽﾄ(4～3月)'!$B$16:$B$23,$B98,'内訳ﾘｽﾄ(4～3月)'!N$16:N$23)</f>
        <v>286</v>
      </c>
      <c r="L98" s="135">
        <f>SUMIF('内訳ﾘｽﾄ(4～3月)'!$B$16:$B$23,$B98,'内訳ﾘｽﾄ(4～3月)'!O$16:O$23)</f>
        <v>274</v>
      </c>
      <c r="M98" s="135">
        <f>SUMIF('内訳ﾘｽﾄ(4～3月)'!$B$16:$B$23,$B98,'内訳ﾘｽﾄ(4～3月)'!P$16:P$23)</f>
        <v>238</v>
      </c>
      <c r="N98" s="135">
        <f>SUMIF('内訳ﾘｽﾄ(4～3月)'!$B$16:$B$23,$B98,'内訳ﾘｽﾄ(4～3月)'!Q$16:Q$23)</f>
        <v>292</v>
      </c>
      <c r="O98" s="135">
        <f>SUMIF('内訳ﾘｽﾄ(4～3月)'!$B$16:$B$23,$B98,'内訳ﾘｽﾄ(4～3月)'!R$16:R$23)</f>
        <v>3319</v>
      </c>
      <c r="AQ98" s="66"/>
      <c r="AR98" s="66"/>
      <c r="AS98" s="66"/>
      <c r="AT98" s="66"/>
      <c r="AU98" s="64"/>
      <c r="AV98" s="65"/>
      <c r="AW98" s="65"/>
      <c r="AX98" s="65"/>
      <c r="AY98" s="65"/>
      <c r="BA98" s="67"/>
      <c r="BB98" s="67"/>
      <c r="BC98" s="67"/>
      <c r="BD98" s="67"/>
      <c r="BF98" s="64"/>
      <c r="BG98" s="64"/>
      <c r="BH98" s="64"/>
      <c r="BI98" s="64"/>
    </row>
    <row r="99" spans="2:61">
      <c r="B99" s="54" t="s">
        <v>18</v>
      </c>
      <c r="C99" s="143">
        <f t="shared" ref="C99:N99" si="12">C97+C98</f>
        <v>267</v>
      </c>
      <c r="D99" s="143">
        <f t="shared" si="12"/>
        <v>272</v>
      </c>
      <c r="E99" s="143">
        <f t="shared" si="12"/>
        <v>263</v>
      </c>
      <c r="F99" s="143">
        <f t="shared" si="12"/>
        <v>296</v>
      </c>
      <c r="G99" s="143">
        <f t="shared" si="12"/>
        <v>286</v>
      </c>
      <c r="H99" s="143">
        <f t="shared" si="12"/>
        <v>277</v>
      </c>
      <c r="I99" s="143">
        <f t="shared" si="12"/>
        <v>291</v>
      </c>
      <c r="J99" s="143">
        <f t="shared" si="12"/>
        <v>277</v>
      </c>
      <c r="K99" s="143">
        <f t="shared" si="12"/>
        <v>286</v>
      </c>
      <c r="L99" s="143">
        <f t="shared" si="12"/>
        <v>274</v>
      </c>
      <c r="M99" s="143">
        <f t="shared" si="12"/>
        <v>238</v>
      </c>
      <c r="N99" s="143">
        <f t="shared" si="12"/>
        <v>292</v>
      </c>
      <c r="O99" s="143">
        <f>O97+O98</f>
        <v>3319</v>
      </c>
      <c r="AQ99" s="66"/>
      <c r="AR99" s="66"/>
      <c r="AS99" s="66"/>
      <c r="AT99" s="66"/>
      <c r="AU99" s="64"/>
      <c r="AV99" s="65"/>
      <c r="AW99" s="65"/>
      <c r="AX99" s="65"/>
      <c r="AY99" s="65"/>
      <c r="BA99" s="67"/>
      <c r="BB99" s="67"/>
      <c r="BC99" s="67"/>
      <c r="BD99" s="67"/>
      <c r="BF99" s="64"/>
      <c r="BG99" s="64"/>
      <c r="BH99" s="64"/>
      <c r="BI99" s="64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C582"/>
  <sheetViews>
    <sheetView tabSelected="1" zoomScale="80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S45" sqref="S45"/>
    </sheetView>
  </sheetViews>
  <sheetFormatPr defaultColWidth="9" defaultRowHeight="11.5"/>
  <cols>
    <col min="1" max="1" width="2" style="1" customWidth="1"/>
    <col min="2" max="2" width="12.36328125" style="266" customWidth="1"/>
    <col min="3" max="3" width="12.08984375" style="248" customWidth="1"/>
    <col min="4" max="4" width="7.453125" style="314" customWidth="1"/>
    <col min="5" max="5" width="7.6328125" style="2" customWidth="1"/>
    <col min="6" max="6" width="13.36328125" style="232" bestFit="1" customWidth="1"/>
    <col min="7" max="7" width="14.1796875" style="233" bestFit="1" customWidth="1"/>
    <col min="8" max="8" width="14" style="233" customWidth="1"/>
    <col min="9" max="9" width="15.36328125" style="233" customWidth="1"/>
    <col min="10" max="10" width="13.36328125" style="233" customWidth="1"/>
    <col min="11" max="12" width="13.08984375" style="233" bestFit="1" customWidth="1"/>
    <col min="13" max="13" width="14" style="233" customWidth="1"/>
    <col min="14" max="14" width="13.08984375" style="233" bestFit="1" customWidth="1"/>
    <col min="15" max="16" width="14" style="233" customWidth="1"/>
    <col min="17" max="17" width="13.90625" style="233" customWidth="1"/>
    <col min="18" max="18" width="14.6328125" style="234" customWidth="1"/>
    <col min="19" max="19" width="60.36328125" style="248" customWidth="1"/>
    <col min="20" max="20" width="8.90625" style="63" hidden="1" customWidth="1"/>
    <col min="21" max="21" width="9" style="248" customWidth="1"/>
    <col min="22" max="23" width="9" style="3" customWidth="1"/>
    <col min="24" max="16384" width="9" style="3"/>
  </cols>
  <sheetData>
    <row r="1" spans="1:55" ht="25">
      <c r="A1" s="164" t="s">
        <v>672</v>
      </c>
      <c r="B1" s="249"/>
      <c r="C1" s="267"/>
      <c r="D1" s="309"/>
      <c r="E1" s="43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6"/>
      <c r="Q1" s="195"/>
      <c r="R1" s="197"/>
      <c r="S1" s="235"/>
      <c r="T1" s="8"/>
    </row>
    <row r="2" spans="1:55" ht="17.5">
      <c r="A2" s="94"/>
      <c r="B2" s="250">
        <v>25390</v>
      </c>
      <c r="C2" s="268"/>
      <c r="D2" s="309"/>
      <c r="E2" s="163" t="s">
        <v>92</v>
      </c>
      <c r="F2" s="198">
        <f ca="1">OFFSET(稼働日!$B$2,MATCH('内訳ﾘｽﾄ(4～3月)'!F4,稼働日!$A$3:$A$14,0),0)</f>
        <v>20</v>
      </c>
      <c r="G2" s="198">
        <f ca="1">OFFSET(稼働日!$B$2,MATCH('内訳ﾘｽﾄ(4～3月)'!G4,稼働日!$A$3:$A$14,0),0)</f>
        <v>19</v>
      </c>
      <c r="H2" s="198">
        <f ca="1">OFFSET(稼働日!$B$2,MATCH('内訳ﾘｽﾄ(4～3月)'!H4,稼働日!$A$3:$A$14,0),0)</f>
        <v>21</v>
      </c>
      <c r="I2" s="198">
        <f ca="1">OFFSET(稼働日!$B$2,MATCH('内訳ﾘｽﾄ(4～3月)'!I4,稼働日!$A$3:$A$14,0),0)</f>
        <v>23</v>
      </c>
      <c r="J2" s="198">
        <f ca="1">OFFSET(稼働日!$B$2,MATCH('内訳ﾘｽﾄ(4～3月)'!J4,稼働日!$A$3:$A$14,0),0)</f>
        <v>20</v>
      </c>
      <c r="K2" s="198">
        <f ca="1">OFFSET(稼働日!$B$2,MATCH('内訳ﾘｽﾄ(4～3月)'!K4,稼働日!$A$3:$A$14,0),0)</f>
        <v>19</v>
      </c>
      <c r="L2" s="198">
        <f ca="1">OFFSET(稼働日!$B$2,MATCH('内訳ﾘｽﾄ(4～3月)'!L4,稼働日!$A$3:$A$14,0),0)</f>
        <v>23</v>
      </c>
      <c r="M2" s="198">
        <f ca="1">OFFSET(稼働日!$B$2,MATCH('内訳ﾘｽﾄ(4～3月)'!M4,稼働日!$A$3:$A$14,0),0)</f>
        <v>20</v>
      </c>
      <c r="N2" s="198">
        <f ca="1">OFFSET(稼働日!$B$2,MATCH('内訳ﾘｽﾄ(4～3月)'!N4,稼働日!$A$3:$A$14,0),0)</f>
        <v>22</v>
      </c>
      <c r="O2" s="199">
        <f ca="1">OFFSET(稼働日!$B$2,MATCH('内訳ﾘｽﾄ(4～3月)'!O4,稼働日!$A$3:$A$14,0),0)</f>
        <v>20</v>
      </c>
      <c r="P2" s="199">
        <f ca="1">OFFSET(稼働日!$B$2,MATCH('内訳ﾘｽﾄ(4～3月)'!P4,稼働日!$A$3:$A$14,0),0)</f>
        <v>15</v>
      </c>
      <c r="Q2" s="199">
        <f ca="1">OFFSET(稼働日!$B$2,MATCH('内訳ﾘｽﾄ(4～3月)'!Q4,稼働日!$A$3:$A$14,0),0)</f>
        <v>20</v>
      </c>
      <c r="R2" s="200"/>
      <c r="S2" s="235"/>
    </row>
    <row r="3" spans="1:55" s="95" customFormat="1" ht="13.5" thickBot="1">
      <c r="A3" s="94"/>
      <c r="B3" s="251"/>
      <c r="C3" s="269"/>
      <c r="D3" s="310"/>
      <c r="E3" s="166" t="s">
        <v>579</v>
      </c>
      <c r="F3" s="201" t="str">
        <f t="array" ref="F3">IF(SUM((F8:F25)-ROUNDDOWN((F8:F25)*4,0)/4)&lt;&gt;0,"時間➝0.25の倍数では無い",IF(SUM(ROUND((F26:F582),0)-ROUND((F26:F582),4))&lt;&gt;0,"経費➝小数点",IF(F5&lt;&gt;IF($D$5="製造",'採算表(VND)'!C13,-VLOOKUP($D$5&amp;"経費",'採算表(VND)'!$B:$N,'採算表(VND)'!C3,0)),"経費➝NG","OK")))</f>
        <v>OK</v>
      </c>
      <c r="G3" s="201" t="str">
        <f t="array" ref="G3">IF(SUM((G8:G25)-ROUNDDOWN((G8:G25)*4,0)/4)&lt;&gt;0,"時間➝0.25の倍数では無い",IF(SUM(ROUND((G26:G582),0)-ROUND((G26:G582),4))&lt;&gt;0,"経費➝小数点",IF(G5&lt;&gt;IF($D$5="製造",'採算表(VND)'!D13,-VLOOKUP($D$5&amp;"経費",'採算表(VND)'!$B:$N,'採算表(VND)'!D3,0)),"経費➝NG","OK")))</f>
        <v>OK</v>
      </c>
      <c r="H3" s="201" t="str">
        <f t="array" ref="H3">IF(SUM((H8:H25)-ROUNDDOWN((H8:H25)*4,0)/4)&lt;&gt;0,"時間➝0.25の倍数では無い",IF(SUM(ROUND((H26:H582),0)-ROUND((H26:H582),4))&lt;&gt;0,"経費➝小数点",IF(H5&lt;&gt;IF($D$5="製造",'採算表(VND)'!E13,-VLOOKUP($D$5&amp;"経費",'採算表(VND)'!$B:$N,'採算表(VND)'!E3,0)),"経費➝NG","OK")))</f>
        <v>OK</v>
      </c>
      <c r="I3" s="201" t="str">
        <f t="array" ref="I3">IF(SUM((I8:I25)-ROUNDDOWN((I8:I25)*4,0)/4)&lt;&gt;0,"時間➝0.25の倍数では無い",IF(SUM(ROUND((I26:I582),0)-ROUND((I26:I582),4))&lt;&gt;0,"経費➝小数点",IF(I5&lt;&gt;IF($D$5="製造",'採算表(VND)'!F13,-VLOOKUP($D$5&amp;"経費",'採算表(VND)'!$B:$N,'採算表(VND)'!F3,0)),"経費➝NG","OK")))</f>
        <v>OK</v>
      </c>
      <c r="J3" s="201" t="str">
        <f t="array" ref="J3">IF(SUM((J8:J25)-ROUNDDOWN((J8:J25)*4,0)/4)&lt;&gt;0,"時間➝0.25の倍数では無い",IF(SUM(ROUND((J26:J582),0)-ROUND((J26:J582),4))&lt;&gt;0,"経費➝小数点",IF(J5&lt;&gt;IF($D$5="製造",'採算表(VND)'!G13,-VLOOKUP($D$5&amp;"経費",'採算表(VND)'!$B:$N,'採算表(VND)'!G3,0)),"経費➝NG","OK")))</f>
        <v>OK</v>
      </c>
      <c r="K3" s="201" t="str">
        <f t="array" ref="K3">IF(SUM((K8:K25)-ROUNDDOWN((K8:K25)*4,0)/4)&lt;&gt;0,"時間➝0.25の倍数では無い",IF(SUM(ROUND((K26:K582),0)-ROUND((K26:K582),4))&lt;&gt;0,"経費➝小数点",IF(K5&lt;&gt;IF($D$5="製造",'採算表(VND)'!H13,-VLOOKUP($D$5&amp;"経費",'採算表(VND)'!$B:$N,'採算表(VND)'!H3,0)),"経費➝NG","OK")))</f>
        <v>OK</v>
      </c>
      <c r="L3" s="201" t="str">
        <f t="array" ref="L3">IF(SUM((L8:L25)-ROUNDDOWN((L8:L25)*4,0)/4)&lt;&gt;0,"時間➝0.25の倍数では無い",IF(SUM(ROUND((L26:L582),0)-ROUND((L26:L582),4))&lt;&gt;0,"経費➝小数点",IF(L5&lt;&gt;IF($D$5="製造",'採算表(VND)'!I13,-VLOOKUP($D$5&amp;"経費",'採算表(VND)'!$B:$N,'採算表(VND)'!I3,0)),"経費➝NG","OK")))</f>
        <v>OK</v>
      </c>
      <c r="M3" s="201" t="str">
        <f t="array" ref="M3">IF(SUM((M8:M25)-ROUNDDOWN((M8:M25)*4,0)/4)&lt;&gt;0,"時間➝0.25の倍数では無い",IF(SUM(ROUND((M26:M582),0)-ROUND((M26:M582),4))&lt;&gt;0,"経費➝小数点",IF(M5&lt;&gt;IF($D$5="製造",'採算表(VND)'!J13,-VLOOKUP($D$5&amp;"経費",'採算表(VND)'!$B:$N,'採算表(VND)'!J3,0)),"経費➝NG","OK")))</f>
        <v>OK</v>
      </c>
      <c r="N3" s="201" t="str">
        <f t="array" ref="N3">IF(SUM((N8:N25)-ROUNDDOWN((N8:N25)*4,0)/4)&lt;&gt;0,"時間➝0.25の倍数では無い",IF(SUM(ROUND((N26:N582),0)-ROUND((N26:N582),4))&lt;&gt;0,"経費➝小数点",IF(N5&lt;&gt;IF($D$5="製造",'採算表(VND)'!K13,-VLOOKUP($D$5&amp;"経費",'採算表(VND)'!$B:$N,'採算表(VND)'!K3,0)),"経費➝NG","OK")))</f>
        <v>OK</v>
      </c>
      <c r="O3" s="201" t="str">
        <f t="array" ref="O3">IF(SUM((O8:O25)-ROUNDDOWN((O8:O25)*4,0)/4)&lt;&gt;0,"時間➝0.25の倍数では無い",IF(SUM(ROUND((O26:O582),0)-ROUND((O26:O582),4))&lt;&gt;0,"経費➝小数点",IF(O5&lt;&gt;IF($D$5="製造",'採算表(VND)'!L13,-VLOOKUP($D$5&amp;"経費",'採算表(VND)'!$B:$N,'採算表(VND)'!L3,0)),"経費➝NG","OK")))</f>
        <v>OK</v>
      </c>
      <c r="P3" s="201" t="str">
        <f t="array" ref="P3">IF(SUM((P8:P25)-ROUNDDOWN((P8:P25)*4,0)/4)&lt;&gt;0,"時間➝0.25の倍数では無い",IF(SUM(ROUND((P26:P582),0)-ROUND((P26:P582),4))&lt;&gt;0,"経費➝小数点",IF(P5&lt;&gt;IF($D$5="製造",'採算表(VND)'!M13,-VLOOKUP($D$5&amp;"経費",'採算表(VND)'!$B:$N,'採算表(VND)'!M3,0)),"経費➝NG","OK")))</f>
        <v>OK</v>
      </c>
      <c r="Q3" s="201" t="str">
        <f t="array" ref="Q3">IF(SUM((Q8:Q25)-ROUNDDOWN((Q8:Q25)*4,0)/4)&lt;&gt;0,"時間➝0.25の倍数では無い",IF(SUM(ROUND((Q26:Q582),0)-ROUND((Q26:Q582),4))&lt;&gt;0,"経費➝小数点",IF(Q5&lt;&gt;IF($D$5="製造",'採算表(VND)'!N13,-VLOOKUP($D$5&amp;"経費",'採算表(VND)'!$B:$N,'採算表(VND)'!N3,0)),"経費➝NG","OK")))</f>
        <v>OK</v>
      </c>
      <c r="R3" s="202"/>
      <c r="S3" s="236"/>
      <c r="T3" s="96"/>
      <c r="U3" s="269"/>
    </row>
    <row r="4" spans="1:55" s="5" customFormat="1" ht="13" thickBot="1">
      <c r="A4" s="4"/>
      <c r="B4" s="252" t="s">
        <v>580</v>
      </c>
      <c r="C4" s="239" t="s">
        <v>38</v>
      </c>
      <c r="D4" s="311" t="s">
        <v>82</v>
      </c>
      <c r="E4" s="295" t="s">
        <v>83</v>
      </c>
      <c r="F4" s="203">
        <v>4</v>
      </c>
      <c r="G4" s="203">
        <v>5</v>
      </c>
      <c r="H4" s="203">
        <v>6</v>
      </c>
      <c r="I4" s="203">
        <v>7</v>
      </c>
      <c r="J4" s="203">
        <v>8</v>
      </c>
      <c r="K4" s="203">
        <v>9</v>
      </c>
      <c r="L4" s="203">
        <v>10</v>
      </c>
      <c r="M4" s="203">
        <v>11</v>
      </c>
      <c r="N4" s="203">
        <v>12</v>
      </c>
      <c r="O4" s="203">
        <v>1</v>
      </c>
      <c r="P4" s="203">
        <v>2</v>
      </c>
      <c r="Q4" s="203">
        <v>3</v>
      </c>
      <c r="R4" s="204" t="s">
        <v>581</v>
      </c>
      <c r="S4" s="237" t="s">
        <v>728</v>
      </c>
      <c r="T4" s="85"/>
      <c r="U4" s="291"/>
    </row>
    <row r="5" spans="1:55" ht="14" thickBot="1">
      <c r="B5" s="253">
        <v>1412000026</v>
      </c>
      <c r="C5" s="270" t="str">
        <f>VLOOKUP($B$5,原価センタ!$A:$E,2,0)</f>
        <v>施設課</v>
      </c>
      <c r="D5" s="312" t="str">
        <f>VLOOKUP($B$5,原価センタ!$A:$E,4,0)</f>
        <v>工場間接</v>
      </c>
      <c r="E5" s="296" t="str">
        <f>VLOOKUP($B$5,原価センタ!$A:$E,5,0)</f>
        <v>一般</v>
      </c>
      <c r="F5" s="205">
        <f t="shared" ref="F5:R5" si="0">SUM(F29:F582)</f>
        <v>8977590659</v>
      </c>
      <c r="G5" s="205">
        <f t="shared" si="0"/>
        <v>12468970925</v>
      </c>
      <c r="H5" s="205">
        <f t="shared" si="0"/>
        <v>10396604617</v>
      </c>
      <c r="I5" s="205">
        <f t="shared" si="0"/>
        <v>11521796791</v>
      </c>
      <c r="J5" s="205">
        <f t="shared" si="0"/>
        <v>7386064123</v>
      </c>
      <c r="K5" s="205">
        <f t="shared" si="0"/>
        <v>6324077104</v>
      </c>
      <c r="L5" s="205">
        <f t="shared" si="0"/>
        <v>7659454090</v>
      </c>
      <c r="M5" s="205">
        <f t="shared" si="0"/>
        <v>8198210288</v>
      </c>
      <c r="N5" s="205">
        <f t="shared" si="0"/>
        <v>7837706018</v>
      </c>
      <c r="O5" s="205">
        <f t="shared" si="0"/>
        <v>7739436051</v>
      </c>
      <c r="P5" s="205">
        <f t="shared" si="0"/>
        <v>5628046432</v>
      </c>
      <c r="Q5" s="205">
        <f t="shared" si="0"/>
        <v>5823789386</v>
      </c>
      <c r="R5" s="206">
        <f t="shared" si="0"/>
        <v>100291746484</v>
      </c>
      <c r="S5" s="237"/>
      <c r="T5" s="86"/>
      <c r="BA5"/>
      <c r="BB5"/>
    </row>
    <row r="6" spans="1:55" s="98" customFormat="1" ht="15" customHeight="1" thickBot="1">
      <c r="A6" s="97"/>
      <c r="B6" s="254"/>
      <c r="C6" s="238"/>
      <c r="D6" s="313"/>
      <c r="E6" s="43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8"/>
      <c r="S6" s="238"/>
      <c r="T6" s="99"/>
      <c r="U6" s="238"/>
      <c r="BA6"/>
      <c r="BB6"/>
    </row>
    <row r="7" spans="1:55" s="7" customFormat="1" ht="22.5" thickBot="1">
      <c r="A7" s="6"/>
      <c r="B7" s="255"/>
      <c r="C7" s="271" t="s">
        <v>84</v>
      </c>
      <c r="D7" s="272" t="s">
        <v>125</v>
      </c>
      <c r="E7" s="297" t="s">
        <v>39</v>
      </c>
      <c r="F7" s="209" t="s">
        <v>154</v>
      </c>
      <c r="G7" s="210" t="s">
        <v>153</v>
      </c>
      <c r="H7" s="210" t="s">
        <v>153</v>
      </c>
      <c r="I7" s="210" t="s">
        <v>153</v>
      </c>
      <c r="J7" s="210" t="s">
        <v>153</v>
      </c>
      <c r="K7" s="210" t="s">
        <v>153</v>
      </c>
      <c r="L7" s="210" t="s">
        <v>153</v>
      </c>
      <c r="M7" s="210" t="s">
        <v>153</v>
      </c>
      <c r="N7" s="210" t="s">
        <v>153</v>
      </c>
      <c r="O7" s="210" t="s">
        <v>153</v>
      </c>
      <c r="P7" s="210" t="s">
        <v>153</v>
      </c>
      <c r="Q7" s="211" t="s">
        <v>153</v>
      </c>
      <c r="R7" s="204" t="s">
        <v>153</v>
      </c>
      <c r="S7" s="239" t="s">
        <v>641</v>
      </c>
      <c r="T7" s="9" t="s">
        <v>417</v>
      </c>
      <c r="U7" s="292"/>
      <c r="V7" s="70"/>
      <c r="W7" s="70"/>
      <c r="BA7"/>
      <c r="BB7"/>
      <c r="BC7" s="7" t="s">
        <v>417</v>
      </c>
    </row>
    <row r="8" spans="1:55" s="149" customFormat="1" ht="13.5">
      <c r="A8" s="146"/>
      <c r="B8" s="256" t="s">
        <v>324</v>
      </c>
      <c r="C8" s="273" t="s">
        <v>334</v>
      </c>
      <c r="D8" s="274" t="s">
        <v>81</v>
      </c>
      <c r="E8" s="298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3">
        <f>SUM(F8:Q8)</f>
        <v>0</v>
      </c>
      <c r="S8" s="240"/>
      <c r="T8" s="147"/>
      <c r="U8" s="293"/>
      <c r="V8" s="148"/>
      <c r="W8" s="148"/>
      <c r="BA8"/>
      <c r="BB8"/>
    </row>
    <row r="9" spans="1:55" s="149" customFormat="1" ht="13.5">
      <c r="A9" s="146"/>
      <c r="B9" s="257" t="s">
        <v>325</v>
      </c>
      <c r="C9" s="273" t="s">
        <v>335</v>
      </c>
      <c r="D9" s="275" t="s">
        <v>81</v>
      </c>
      <c r="E9" s="299"/>
      <c r="F9" s="214">
        <v>2278</v>
      </c>
      <c r="G9" s="214">
        <v>2142</v>
      </c>
      <c r="H9" s="214">
        <v>2392.75</v>
      </c>
      <c r="I9" s="214">
        <v>2664.75</v>
      </c>
      <c r="J9" s="214">
        <v>2261</v>
      </c>
      <c r="K9" s="214">
        <v>2154.75</v>
      </c>
      <c r="L9" s="214">
        <v>2664.75</v>
      </c>
      <c r="M9" s="214">
        <v>2307.75</v>
      </c>
      <c r="N9" s="214">
        <v>2499</v>
      </c>
      <c r="O9" s="214">
        <v>2235.5</v>
      </c>
      <c r="P9" s="214">
        <v>1712.75</v>
      </c>
      <c r="Q9" s="214">
        <v>2235.5</v>
      </c>
      <c r="R9" s="215">
        <f t="shared" ref="R9:R23" si="1">SUM(F9:Q9)</f>
        <v>27548.5</v>
      </c>
      <c r="S9" s="241"/>
      <c r="T9" s="150"/>
      <c r="U9" s="293"/>
      <c r="V9" s="148"/>
      <c r="W9" s="148"/>
      <c r="BA9"/>
      <c r="BB9"/>
    </row>
    <row r="10" spans="1:55" s="149" customFormat="1" ht="13.5">
      <c r="A10" s="146"/>
      <c r="B10" s="258" t="s">
        <v>324</v>
      </c>
      <c r="C10" s="273" t="s">
        <v>336</v>
      </c>
      <c r="D10" s="276" t="s">
        <v>86</v>
      </c>
      <c r="E10" s="300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6">
        <f t="shared" si="1"/>
        <v>0</v>
      </c>
      <c r="S10" s="193"/>
      <c r="T10" s="151"/>
      <c r="U10" s="293"/>
      <c r="V10" s="148"/>
      <c r="W10" s="148"/>
      <c r="BA10"/>
      <c r="BB10"/>
    </row>
    <row r="11" spans="1:55" s="154" customFormat="1" ht="13.5">
      <c r="A11" s="152"/>
      <c r="B11" s="259" t="s">
        <v>325</v>
      </c>
      <c r="C11" s="273" t="s">
        <v>337</v>
      </c>
      <c r="D11" s="276" t="s">
        <v>86</v>
      </c>
      <c r="E11" s="301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7">
        <f t="shared" si="1"/>
        <v>0</v>
      </c>
      <c r="S11" s="242"/>
      <c r="T11" s="153"/>
      <c r="U11" s="293"/>
      <c r="V11" s="148"/>
      <c r="W11" s="148"/>
      <c r="BA11"/>
      <c r="BB11"/>
    </row>
    <row r="12" spans="1:55" s="154" customFormat="1" ht="13.5">
      <c r="A12" s="152"/>
      <c r="B12" s="258"/>
      <c r="C12" s="277" t="s">
        <v>451</v>
      </c>
      <c r="D12" s="278" t="s">
        <v>452</v>
      </c>
      <c r="E12" s="302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9">
        <f t="shared" si="1"/>
        <v>0</v>
      </c>
      <c r="S12" s="243" t="s">
        <v>691</v>
      </c>
      <c r="T12" s="153"/>
      <c r="U12" s="293"/>
      <c r="V12" s="148"/>
      <c r="W12" s="148"/>
      <c r="BA12"/>
      <c r="BB12"/>
    </row>
    <row r="13" spans="1:55" s="154" customFormat="1" ht="13.5">
      <c r="A13" s="152"/>
      <c r="B13" s="258"/>
      <c r="C13" s="277" t="s">
        <v>453</v>
      </c>
      <c r="D13" s="278" t="s">
        <v>454</v>
      </c>
      <c r="E13" s="302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9">
        <f t="shared" si="1"/>
        <v>0</v>
      </c>
      <c r="S13" s="243" t="s">
        <v>691</v>
      </c>
      <c r="T13" s="153"/>
      <c r="U13" s="293"/>
      <c r="V13" s="148"/>
      <c r="W13" s="148"/>
      <c r="BA13"/>
      <c r="BB13"/>
    </row>
    <row r="14" spans="1:55" s="154" customFormat="1" ht="13.5">
      <c r="A14" s="152"/>
      <c r="B14" s="259"/>
      <c r="C14" s="277" t="s">
        <v>455</v>
      </c>
      <c r="D14" s="278" t="s">
        <v>456</v>
      </c>
      <c r="E14" s="302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9">
        <f t="shared" si="1"/>
        <v>0</v>
      </c>
      <c r="S14" s="243" t="s">
        <v>691</v>
      </c>
      <c r="T14" s="153"/>
      <c r="U14" s="293"/>
      <c r="V14" s="148"/>
      <c r="W14" s="148"/>
      <c r="BA14"/>
      <c r="BB14"/>
    </row>
    <row r="15" spans="1:55" s="154" customFormat="1" ht="13.5">
      <c r="A15" s="152"/>
      <c r="B15" s="259"/>
      <c r="C15" s="277" t="s">
        <v>457</v>
      </c>
      <c r="D15" s="278" t="s">
        <v>450</v>
      </c>
      <c r="E15" s="302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9">
        <f t="shared" si="1"/>
        <v>0</v>
      </c>
      <c r="S15" s="243" t="s">
        <v>691</v>
      </c>
      <c r="T15" s="153"/>
      <c r="U15" s="293"/>
      <c r="V15" s="148"/>
      <c r="W15" s="148"/>
      <c r="BA15"/>
      <c r="BB15"/>
    </row>
    <row r="16" spans="1:55" s="154" customFormat="1" ht="13.5">
      <c r="A16" s="152"/>
      <c r="B16" s="260" t="s">
        <v>326</v>
      </c>
      <c r="C16" s="273" t="s">
        <v>338</v>
      </c>
      <c r="D16" s="279" t="s">
        <v>86</v>
      </c>
      <c r="E16" s="301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7">
        <f t="shared" si="1"/>
        <v>0</v>
      </c>
      <c r="S16" s="242"/>
      <c r="T16" s="153"/>
      <c r="U16" s="293"/>
      <c r="V16" s="148"/>
      <c r="W16" s="148"/>
      <c r="BA16"/>
      <c r="BB16"/>
    </row>
    <row r="17" spans="1:54" s="149" customFormat="1" ht="13.5">
      <c r="A17" s="146"/>
      <c r="B17" s="260" t="s">
        <v>327</v>
      </c>
      <c r="C17" s="273" t="s">
        <v>339</v>
      </c>
      <c r="D17" s="279" t="s">
        <v>86</v>
      </c>
      <c r="E17" s="301"/>
      <c r="F17" s="214">
        <v>267</v>
      </c>
      <c r="G17" s="214">
        <v>272</v>
      </c>
      <c r="H17" s="214">
        <v>263</v>
      </c>
      <c r="I17" s="214">
        <v>296</v>
      </c>
      <c r="J17" s="214">
        <v>286</v>
      </c>
      <c r="K17" s="214">
        <v>277</v>
      </c>
      <c r="L17" s="214">
        <v>291</v>
      </c>
      <c r="M17" s="214">
        <v>277</v>
      </c>
      <c r="N17" s="214">
        <v>286</v>
      </c>
      <c r="O17" s="214">
        <v>274</v>
      </c>
      <c r="P17" s="214">
        <v>238</v>
      </c>
      <c r="Q17" s="214">
        <v>292</v>
      </c>
      <c r="R17" s="217">
        <f t="shared" si="1"/>
        <v>3319</v>
      </c>
      <c r="S17" s="242"/>
      <c r="T17" s="153"/>
      <c r="U17" s="293"/>
      <c r="V17" s="148"/>
      <c r="W17" s="148"/>
      <c r="BA17"/>
      <c r="BB17"/>
    </row>
    <row r="18" spans="1:54" s="149" customFormat="1" ht="13.5">
      <c r="A18" s="146"/>
      <c r="B18" s="258" t="s">
        <v>326</v>
      </c>
      <c r="C18" s="273" t="s">
        <v>340</v>
      </c>
      <c r="D18" s="276" t="s">
        <v>86</v>
      </c>
      <c r="E18" s="300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6">
        <f t="shared" si="1"/>
        <v>0</v>
      </c>
      <c r="S18" s="193"/>
      <c r="T18" s="151"/>
      <c r="U18" s="293"/>
      <c r="V18" s="148"/>
      <c r="W18" s="148"/>
      <c r="BA18"/>
      <c r="BB18"/>
    </row>
    <row r="19" spans="1:54" s="154" customFormat="1" ht="13.5">
      <c r="A19" s="152"/>
      <c r="B19" s="259" t="s">
        <v>327</v>
      </c>
      <c r="C19" s="273" t="s">
        <v>341</v>
      </c>
      <c r="D19" s="276" t="s">
        <v>86</v>
      </c>
      <c r="E19" s="301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>
        <f t="shared" si="1"/>
        <v>0</v>
      </c>
      <c r="S19" s="242"/>
      <c r="T19" s="153"/>
      <c r="U19" s="293"/>
      <c r="V19" s="148"/>
      <c r="W19" s="148"/>
      <c r="BA19"/>
      <c r="BB19"/>
    </row>
    <row r="20" spans="1:54" s="154" customFormat="1" ht="13.5">
      <c r="A20" s="152"/>
      <c r="B20" s="259"/>
      <c r="C20" s="277" t="s">
        <v>458</v>
      </c>
      <c r="D20" s="278" t="s">
        <v>452</v>
      </c>
      <c r="E20" s="302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9">
        <f t="shared" si="1"/>
        <v>0</v>
      </c>
      <c r="S20" s="243" t="s">
        <v>691</v>
      </c>
      <c r="T20" s="153"/>
      <c r="U20" s="293"/>
      <c r="V20" s="148"/>
      <c r="W20" s="148"/>
      <c r="BA20"/>
      <c r="BB20"/>
    </row>
    <row r="21" spans="1:54" s="154" customFormat="1" ht="13.5">
      <c r="A21" s="152"/>
      <c r="B21" s="259"/>
      <c r="C21" s="277" t="s">
        <v>342</v>
      </c>
      <c r="D21" s="278" t="s">
        <v>454</v>
      </c>
      <c r="E21" s="302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9">
        <f t="shared" si="1"/>
        <v>0</v>
      </c>
      <c r="S21" s="243" t="s">
        <v>691</v>
      </c>
      <c r="T21" s="153"/>
      <c r="U21" s="293"/>
      <c r="V21" s="148"/>
      <c r="W21" s="148"/>
      <c r="BA21"/>
      <c r="BB21"/>
    </row>
    <row r="22" spans="1:54" s="154" customFormat="1" ht="13.5">
      <c r="A22" s="152"/>
      <c r="B22" s="259"/>
      <c r="C22" s="277" t="s">
        <v>459</v>
      </c>
      <c r="D22" s="278" t="s">
        <v>456</v>
      </c>
      <c r="E22" s="302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9">
        <f t="shared" si="1"/>
        <v>0</v>
      </c>
      <c r="S22" s="243" t="s">
        <v>691</v>
      </c>
      <c r="T22" s="153"/>
      <c r="U22" s="293"/>
      <c r="V22" s="148"/>
      <c r="W22" s="148"/>
      <c r="BA22"/>
      <c r="BB22"/>
    </row>
    <row r="23" spans="1:54" s="154" customFormat="1" ht="13.5">
      <c r="A23" s="152"/>
      <c r="B23" s="259"/>
      <c r="C23" s="277" t="s">
        <v>460</v>
      </c>
      <c r="D23" s="278" t="s">
        <v>450</v>
      </c>
      <c r="E23" s="302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9">
        <f t="shared" si="1"/>
        <v>0</v>
      </c>
      <c r="S23" s="243" t="s">
        <v>691</v>
      </c>
      <c r="T23" s="153"/>
      <c r="U23" s="293"/>
      <c r="V23" s="148"/>
      <c r="W23" s="148"/>
      <c r="BA23"/>
      <c r="BB23"/>
    </row>
    <row r="24" spans="1:54" s="154" customFormat="1" ht="13.5">
      <c r="A24" s="152"/>
      <c r="B24" s="261" t="s">
        <v>343</v>
      </c>
      <c r="C24" s="280" t="s">
        <v>343</v>
      </c>
      <c r="D24" s="281" t="s">
        <v>343</v>
      </c>
      <c r="E24" s="303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16">
        <f>Q24</f>
        <v>0</v>
      </c>
      <c r="S24" s="193"/>
      <c r="T24" s="151"/>
      <c r="U24" s="294"/>
      <c r="V24" s="148"/>
      <c r="W24" s="148"/>
      <c r="BA24"/>
      <c r="BB24"/>
    </row>
    <row r="25" spans="1:54" s="149" customFormat="1" ht="15" thickBot="1">
      <c r="A25" s="146"/>
      <c r="B25" s="260" t="s">
        <v>344</v>
      </c>
      <c r="C25" s="282" t="s">
        <v>344</v>
      </c>
      <c r="D25" s="279" t="s">
        <v>344</v>
      </c>
      <c r="E25" s="304"/>
      <c r="F25" s="222">
        <v>14</v>
      </c>
      <c r="G25" s="222">
        <v>14</v>
      </c>
      <c r="H25" s="222">
        <v>14</v>
      </c>
      <c r="I25" s="222">
        <v>14</v>
      </c>
      <c r="J25" s="222">
        <v>14</v>
      </c>
      <c r="K25" s="222">
        <v>14</v>
      </c>
      <c r="L25" s="222">
        <v>14</v>
      </c>
      <c r="M25" s="222">
        <v>14</v>
      </c>
      <c r="N25" s="222">
        <v>14</v>
      </c>
      <c r="O25" s="222">
        <v>14</v>
      </c>
      <c r="P25" s="222">
        <v>14</v>
      </c>
      <c r="Q25" s="222">
        <v>14</v>
      </c>
      <c r="R25" s="223">
        <f>Q25</f>
        <v>14</v>
      </c>
      <c r="S25" s="244"/>
      <c r="T25" s="159"/>
      <c r="U25" s="294"/>
      <c r="V25" s="167">
        <v>4</v>
      </c>
      <c r="W25" s="167">
        <v>5</v>
      </c>
      <c r="X25" s="167">
        <v>6</v>
      </c>
      <c r="Y25" s="167">
        <v>7</v>
      </c>
      <c r="Z25" s="167">
        <v>8</v>
      </c>
      <c r="AA25" s="167">
        <v>9</v>
      </c>
      <c r="AB25" s="167">
        <v>10</v>
      </c>
      <c r="AC25" s="167">
        <v>11</v>
      </c>
      <c r="AD25" s="167">
        <v>12</v>
      </c>
      <c r="AE25" s="167">
        <v>1</v>
      </c>
      <c r="AF25" s="167">
        <v>2</v>
      </c>
      <c r="AG25" s="167">
        <v>3</v>
      </c>
      <c r="BA25"/>
      <c r="BB25"/>
    </row>
    <row r="26" spans="1:54" s="149" customFormat="1" ht="13.5">
      <c r="A26" s="146"/>
      <c r="B26" s="262">
        <v>9114120002</v>
      </c>
      <c r="C26" s="283" t="str">
        <f>IFERROR(IF(VLOOKUP($B26,勘定科目!$A:$H,HLOOKUP($E$5,勘定科目!$F$1:$H$2,2,0),0)="","",VLOOKUP($B26,勘定科目!$A:$E,2,0)),"")</f>
        <v>社外出荷</v>
      </c>
      <c r="D26" s="284" t="str">
        <f>IF(C26="","",VLOOKUP($B26,勘定科目!$A:$E,4,0))</f>
        <v>社外出荷</v>
      </c>
      <c r="E26" s="305"/>
      <c r="F26" s="224">
        <f t="shared" ref="F26:Q28" si="2">ROUNDDOWN(V26*$B$2,0)</f>
        <v>0</v>
      </c>
      <c r="G26" s="224">
        <f t="shared" si="2"/>
        <v>0</v>
      </c>
      <c r="H26" s="224">
        <f t="shared" si="2"/>
        <v>0</v>
      </c>
      <c r="I26" s="224">
        <f t="shared" si="2"/>
        <v>0</v>
      </c>
      <c r="J26" s="224">
        <f t="shared" si="2"/>
        <v>0</v>
      </c>
      <c r="K26" s="224">
        <f t="shared" si="2"/>
        <v>0</v>
      </c>
      <c r="L26" s="224">
        <f t="shared" si="2"/>
        <v>0</v>
      </c>
      <c r="M26" s="224">
        <f t="shared" si="2"/>
        <v>0</v>
      </c>
      <c r="N26" s="224">
        <f t="shared" si="2"/>
        <v>0</v>
      </c>
      <c r="O26" s="224">
        <f t="shared" si="2"/>
        <v>0</v>
      </c>
      <c r="P26" s="224">
        <f t="shared" si="2"/>
        <v>0</v>
      </c>
      <c r="Q26" s="224">
        <f t="shared" si="2"/>
        <v>0</v>
      </c>
      <c r="R26" s="225">
        <f t="shared" ref="R26:R91" si="3">SUM(F26:Q26)</f>
        <v>0</v>
      </c>
      <c r="S26" s="245" t="s">
        <v>75</v>
      </c>
      <c r="T26" s="155"/>
      <c r="U26" s="293"/>
      <c r="V26" s="156"/>
      <c r="W26" s="156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BA26"/>
      <c r="BB26"/>
    </row>
    <row r="27" spans="1:54" s="149" customFormat="1" ht="13.5">
      <c r="A27" s="158"/>
      <c r="B27" s="263">
        <v>9114120004</v>
      </c>
      <c r="C27" s="285" t="str">
        <f>IFERROR(IF(VLOOKUP($B27,勘定科目!$A:$H,HLOOKUP($E$5,勘定科目!$F$1:$H$2,2,0),0)="","",VLOOKUP($B27,勘定科目!$A:$E,2,0)),"")</f>
        <v>社内売</v>
      </c>
      <c r="D27" s="286" t="str">
        <f>IF(C27="","",VLOOKUP($B27,勘定科目!$A:$E,4,0))</f>
        <v>社内売</v>
      </c>
      <c r="E27" s="306"/>
      <c r="F27" s="226">
        <f t="shared" si="2"/>
        <v>0</v>
      </c>
      <c r="G27" s="226">
        <f t="shared" si="2"/>
        <v>0</v>
      </c>
      <c r="H27" s="226">
        <f t="shared" si="2"/>
        <v>0</v>
      </c>
      <c r="I27" s="226">
        <f t="shared" si="2"/>
        <v>0</v>
      </c>
      <c r="J27" s="226">
        <f t="shared" si="2"/>
        <v>0</v>
      </c>
      <c r="K27" s="226">
        <f t="shared" si="2"/>
        <v>0</v>
      </c>
      <c r="L27" s="226">
        <f t="shared" si="2"/>
        <v>0</v>
      </c>
      <c r="M27" s="226">
        <f t="shared" si="2"/>
        <v>0</v>
      </c>
      <c r="N27" s="226">
        <f t="shared" si="2"/>
        <v>0</v>
      </c>
      <c r="O27" s="226">
        <f t="shared" si="2"/>
        <v>0</v>
      </c>
      <c r="P27" s="226">
        <f t="shared" si="2"/>
        <v>0</v>
      </c>
      <c r="Q27" s="226">
        <f t="shared" si="2"/>
        <v>0</v>
      </c>
      <c r="R27" s="225">
        <f t="shared" si="3"/>
        <v>0</v>
      </c>
      <c r="S27" s="246" t="s">
        <v>75</v>
      </c>
      <c r="T27" s="151"/>
      <c r="U27" s="293"/>
      <c r="V27" s="156"/>
      <c r="W27" s="156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BA27"/>
      <c r="BB27"/>
    </row>
    <row r="28" spans="1:54" s="149" customFormat="1" ht="13.5">
      <c r="A28" s="158"/>
      <c r="B28" s="263">
        <v>9114120014</v>
      </c>
      <c r="C28" s="285" t="str">
        <f>IFERROR(IF(VLOOKUP($B28,勘定科目!$A:$H,HLOOKUP($E$5,勘定科目!$F$1:$H$2,2,0),0)="","",VLOOKUP($B28,勘定科目!$A:$E,2,0)),"")</f>
        <v>社内買</v>
      </c>
      <c r="D28" s="286" t="str">
        <f>IF(C28="","",VLOOKUP($B28,勘定科目!$A:$E,4,0))</f>
        <v>社内買</v>
      </c>
      <c r="E28" s="306"/>
      <c r="F28" s="226">
        <f t="shared" si="2"/>
        <v>0</v>
      </c>
      <c r="G28" s="226">
        <f t="shared" si="2"/>
        <v>0</v>
      </c>
      <c r="H28" s="226">
        <f t="shared" si="2"/>
        <v>0</v>
      </c>
      <c r="I28" s="226">
        <f t="shared" si="2"/>
        <v>0</v>
      </c>
      <c r="J28" s="226">
        <f t="shared" si="2"/>
        <v>0</v>
      </c>
      <c r="K28" s="226">
        <f t="shared" si="2"/>
        <v>0</v>
      </c>
      <c r="L28" s="226">
        <f t="shared" si="2"/>
        <v>0</v>
      </c>
      <c r="M28" s="226">
        <f t="shared" si="2"/>
        <v>0</v>
      </c>
      <c r="N28" s="226">
        <f t="shared" si="2"/>
        <v>0</v>
      </c>
      <c r="O28" s="226">
        <f t="shared" si="2"/>
        <v>0</v>
      </c>
      <c r="P28" s="226">
        <f t="shared" si="2"/>
        <v>0</v>
      </c>
      <c r="Q28" s="226">
        <f t="shared" si="2"/>
        <v>0</v>
      </c>
      <c r="R28" s="225">
        <f t="shared" si="3"/>
        <v>0</v>
      </c>
      <c r="S28" s="246" t="s">
        <v>75</v>
      </c>
      <c r="T28" s="151"/>
      <c r="U28" s="293"/>
      <c r="V28" s="156"/>
      <c r="W28" s="156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BA28"/>
      <c r="BB28"/>
    </row>
    <row r="29" spans="1:54" s="149" customFormat="1" ht="14" thickBot="1">
      <c r="A29" s="158"/>
      <c r="B29" s="264">
        <v>9114120006</v>
      </c>
      <c r="C29" s="287" t="str">
        <f>IFERROR(IF(VLOOKUP($B29,勘定科目!$A:$H,HLOOKUP($E$5,勘定科目!$F$1:$H$2,2,0),0)="","",VLOOKUP($B29,勘定科目!$A:$E,2,0)),"")</f>
        <v>材料費(指図出庫）</v>
      </c>
      <c r="D29" s="288" t="str">
        <f>IF(C29="","",VLOOKUP($B29,勘定科目!$A:$E,4,0))</f>
        <v>材料費</v>
      </c>
      <c r="E29" s="307"/>
      <c r="F29" s="227">
        <f t="shared" ref="F29:Q29" si="4">ROUNDUP(V29*$B$2,0)</f>
        <v>0</v>
      </c>
      <c r="G29" s="227">
        <f t="shared" si="4"/>
        <v>0</v>
      </c>
      <c r="H29" s="227">
        <f t="shared" si="4"/>
        <v>0</v>
      </c>
      <c r="I29" s="227">
        <f t="shared" si="4"/>
        <v>0</v>
      </c>
      <c r="J29" s="227">
        <f t="shared" si="4"/>
        <v>0</v>
      </c>
      <c r="K29" s="227">
        <f t="shared" si="4"/>
        <v>0</v>
      </c>
      <c r="L29" s="227">
        <f t="shared" si="4"/>
        <v>0</v>
      </c>
      <c r="M29" s="227">
        <f t="shared" si="4"/>
        <v>0</v>
      </c>
      <c r="N29" s="227">
        <f t="shared" si="4"/>
        <v>0</v>
      </c>
      <c r="O29" s="227">
        <f t="shared" si="4"/>
        <v>0</v>
      </c>
      <c r="P29" s="227">
        <f t="shared" si="4"/>
        <v>0</v>
      </c>
      <c r="Q29" s="227">
        <f t="shared" si="4"/>
        <v>0</v>
      </c>
      <c r="R29" s="228">
        <f t="shared" si="3"/>
        <v>0</v>
      </c>
      <c r="S29" s="247" t="s">
        <v>75</v>
      </c>
      <c r="T29" s="159"/>
      <c r="U29" s="293"/>
      <c r="V29" s="156"/>
      <c r="W29" s="156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BA29"/>
      <c r="BB29"/>
    </row>
    <row r="30" spans="1:54" s="154" customFormat="1" ht="13.5">
      <c r="B30" s="265"/>
      <c r="C30" s="289" t="str">
        <f>IFERROR(IF(VLOOKUP($B30,勘定科目!$A:$H,HLOOKUP($E$5,勘定科目!$F$1:$H$2,2,0),0)="","",VLOOKUP($B30,勘定科目!$A:$E,2,0)),"")</f>
        <v/>
      </c>
      <c r="D30" s="276" t="str">
        <f>IF(C30="","",VLOOKUP($B30,勘定科目!$A:$E,4,0))</f>
        <v/>
      </c>
      <c r="E30" s="308"/>
      <c r="F30" s="229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16">
        <f t="shared" si="3"/>
        <v>0</v>
      </c>
      <c r="S30" s="193"/>
      <c r="T30" s="151"/>
      <c r="U30" s="293"/>
      <c r="V30" s="148"/>
      <c r="W30" s="148"/>
      <c r="BA30"/>
      <c r="BB30"/>
    </row>
    <row r="31" spans="1:54" s="154" customFormat="1" ht="13.5">
      <c r="B31" s="265">
        <v>9114120018</v>
      </c>
      <c r="C31" s="289" t="str">
        <f>IFERROR(IF(VLOOKUP($B31,勘定科目!$A:$H,HLOOKUP($E$5,勘定科目!$F$1:$H$2,2,0),0)="","",VLOOKUP($B31,勘定科目!$A:$E,2,0)),"")</f>
        <v>部内間接経費</v>
      </c>
      <c r="D31" s="276" t="str">
        <f>IF(C31="","",VLOOKUP($B31,勘定科目!$A:$E,4,0))</f>
        <v>部内間接経費</v>
      </c>
      <c r="E31" s="308"/>
      <c r="F31" s="229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16">
        <f t="shared" si="3"/>
        <v>0</v>
      </c>
      <c r="S31" s="193" t="s">
        <v>691</v>
      </c>
      <c r="T31" s="151"/>
      <c r="U31" s="293"/>
      <c r="V31" s="148"/>
      <c r="W31" s="148"/>
      <c r="BA31"/>
      <c r="BB31"/>
    </row>
    <row r="32" spans="1:54" s="154" customFormat="1" ht="13.5">
      <c r="B32" s="265">
        <v>9114120029</v>
      </c>
      <c r="C32" s="289" t="str">
        <f>IFERROR(IF(VLOOKUP($B32,勘定科目!$A:$H,HLOOKUP($E$5,勘定科目!$F$1:$H$2,2,0),0)="","",VLOOKUP($B32,勘定科目!$A:$E,2,0)),"")</f>
        <v>部外間接経費1</v>
      </c>
      <c r="D32" s="276" t="str">
        <f>IF(C32="","",VLOOKUP($B32,勘定科目!$A:$E,4,0))</f>
        <v>部外間接経費1</v>
      </c>
      <c r="E32" s="308"/>
      <c r="F32" s="229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16">
        <f t="shared" si="3"/>
        <v>0</v>
      </c>
      <c r="S32" s="193" t="s">
        <v>691</v>
      </c>
      <c r="T32" s="151"/>
      <c r="U32" s="293"/>
      <c r="V32" s="148"/>
      <c r="W32" s="148"/>
      <c r="BA32"/>
      <c r="BB32"/>
    </row>
    <row r="33" spans="1:54" s="154" customFormat="1" ht="13.5">
      <c r="B33" s="265">
        <v>9114120030</v>
      </c>
      <c r="C33" s="289" t="str">
        <f>IFERROR(IF(VLOOKUP($B33,勘定科目!$A:$H,HLOOKUP($E$5,勘定科目!$F$1:$H$2,2,0),0)="","",VLOOKUP($B33,勘定科目!$A:$E,2,0)),"")</f>
        <v>部外間接経費2</v>
      </c>
      <c r="D33" s="276" t="str">
        <f>IF(C33="","",VLOOKUP($B33,勘定科目!$A:$E,4,0))</f>
        <v>部外間接経費2</v>
      </c>
      <c r="E33" s="308"/>
      <c r="F33" s="229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16">
        <f t="shared" si="3"/>
        <v>0</v>
      </c>
      <c r="S33" s="193" t="s">
        <v>691</v>
      </c>
      <c r="T33" s="151"/>
      <c r="U33" s="293"/>
      <c r="V33" s="148"/>
      <c r="W33" s="148"/>
      <c r="BA33"/>
      <c r="BB33"/>
    </row>
    <row r="34" spans="1:54" s="154" customFormat="1" ht="13.5">
      <c r="B34" s="265">
        <v>9114120021</v>
      </c>
      <c r="C34" s="289" t="str">
        <f>IFERROR(IF(VLOOKUP($B34,勘定科目!$A:$H,HLOOKUP($E$5,勘定科目!$F$1:$H$2,2,0),0)="","",VLOOKUP($B34,勘定科目!$A:$E,2,0)),"")</f>
        <v>工場間接経費</v>
      </c>
      <c r="D34" s="276" t="str">
        <f>IF(C34="","",VLOOKUP($B34,勘定科目!$A:$E,4,0))</f>
        <v>工場間接経費</v>
      </c>
      <c r="E34" s="308"/>
      <c r="F34" s="229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16">
        <f t="shared" si="3"/>
        <v>0</v>
      </c>
      <c r="S34" s="193" t="s">
        <v>691</v>
      </c>
      <c r="T34" s="151"/>
      <c r="U34" s="293"/>
      <c r="V34" s="148"/>
      <c r="W34" s="148"/>
      <c r="BA34"/>
      <c r="BB34"/>
    </row>
    <row r="35" spans="1:54" s="154" customFormat="1" ht="13.5">
      <c r="B35" s="265"/>
      <c r="C35" s="289" t="str">
        <f>IFERROR(IF(VLOOKUP($B35,勘定科目!$A:$H,HLOOKUP($E$5,勘定科目!$F$1:$H$2,2,0),0)="","",VLOOKUP($B35,勘定科目!$A:$E,2,0)),"")</f>
        <v/>
      </c>
      <c r="D35" s="276" t="str">
        <f>IF(C35="","",VLOOKUP($B35,勘定科目!$A:$E,4,0))</f>
        <v/>
      </c>
      <c r="E35" s="308"/>
      <c r="F35" s="229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16">
        <f t="shared" si="3"/>
        <v>0</v>
      </c>
      <c r="S35" s="193"/>
      <c r="T35" s="151"/>
      <c r="U35" s="293"/>
      <c r="V35" s="148"/>
      <c r="W35" s="148"/>
      <c r="BA35"/>
      <c r="BB35"/>
    </row>
    <row r="36" spans="1:54" s="149" customFormat="1" ht="13.5">
      <c r="A36" s="158"/>
      <c r="B36" s="263">
        <v>9114120009</v>
      </c>
      <c r="C36" s="273" t="str">
        <f>IFERROR(IF(VLOOKUP($B36,勘定科目!$A:$H,HLOOKUP($E$5,勘定科目!$F$1:$H$2,2,0),0)="","",VLOOKUP($B36,勘定科目!$A:$E,2,0)),"")</f>
        <v>社内金利（在庫）</v>
      </c>
      <c r="D36" s="290" t="str">
        <f>IF(C36="","",VLOOKUP($B36,勘定科目!$A:$E,4,0))</f>
        <v>在庫金利</v>
      </c>
      <c r="E36" s="303"/>
      <c r="F36" s="229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16">
        <f t="shared" si="3"/>
        <v>0</v>
      </c>
      <c r="S36" s="193"/>
      <c r="T36" s="151"/>
      <c r="U36" s="192"/>
      <c r="V36" s="160"/>
      <c r="W36" s="160"/>
      <c r="BA36"/>
      <c r="BB36"/>
    </row>
    <row r="37" spans="1:54" s="149" customFormat="1" ht="13.5">
      <c r="A37" s="158"/>
      <c r="B37" s="263"/>
      <c r="C37" s="273" t="str">
        <f>IFERROR(IF(VLOOKUP($B37,勘定科目!$A:$H,HLOOKUP($E$5,勘定科目!$F$1:$H$2,2,0),0)="","",VLOOKUP($B37,勘定科目!$A:$E,2,0)),"")</f>
        <v/>
      </c>
      <c r="D37" s="290" t="str">
        <f>IF(C37="","",VLOOKUP($B37,勘定科目!$A:$E,4,0))</f>
        <v/>
      </c>
      <c r="E37" s="303"/>
      <c r="F37" s="229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16">
        <f t="shared" si="3"/>
        <v>0</v>
      </c>
      <c r="S37" s="193"/>
      <c r="T37" s="151"/>
      <c r="U37" s="192"/>
      <c r="V37" s="160"/>
      <c r="W37" s="160"/>
      <c r="BA37"/>
      <c r="BB37"/>
    </row>
    <row r="38" spans="1:54" s="149" customFormat="1" ht="13.5">
      <c r="A38" s="158"/>
      <c r="B38" s="265"/>
      <c r="C38" s="273" t="str">
        <f>IFERROR(IF(VLOOKUP($B38,勘定科目!$A:$H,HLOOKUP($E$5,勘定科目!$F$1:$H$2,2,0),0)="","",VLOOKUP($B38,勘定科目!$A:$E,2,0)),"")</f>
        <v/>
      </c>
      <c r="D38" s="290" t="str">
        <f>IF(C38="","",VLOOKUP($B38,勘定科目!$A:$E,4,0))</f>
        <v/>
      </c>
      <c r="E38" s="303"/>
      <c r="F38" s="214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16">
        <f t="shared" si="3"/>
        <v>0</v>
      </c>
      <c r="S38" s="193"/>
      <c r="T38" s="151"/>
      <c r="U38" s="192"/>
      <c r="V38" s="160"/>
      <c r="W38" s="160"/>
      <c r="BA38"/>
      <c r="BB38"/>
    </row>
    <row r="39" spans="1:54" s="149" customFormat="1" ht="13.5">
      <c r="A39" s="158"/>
      <c r="B39" s="265">
        <v>6005046622</v>
      </c>
      <c r="C39" s="273" t="str">
        <f>IFERROR(IF(VLOOKUP($B39,勘定科目!$A:$H,HLOOKUP($E$5,勘定科目!$F$1:$H$2,2,0),0)="","",VLOOKUP($B39,勘定科目!$A:$E,2,0)),"")</f>
        <v>修繕費（一般）</v>
      </c>
      <c r="D39" s="290" t="str">
        <f>IF(C39="","",VLOOKUP($B39,勘定科目!$A:$E,4,0))</f>
        <v>修繕費</v>
      </c>
      <c r="E39" s="303"/>
      <c r="F39" s="214">
        <v>25000000</v>
      </c>
      <c r="G39" s="231">
        <v>26000000</v>
      </c>
      <c r="H39" s="231">
        <v>26000000</v>
      </c>
      <c r="I39" s="231">
        <v>27000000</v>
      </c>
      <c r="J39" s="231">
        <v>26000000</v>
      </c>
      <c r="K39" s="231">
        <v>25000000</v>
      </c>
      <c r="L39" s="231">
        <v>26000000</v>
      </c>
      <c r="M39" s="231">
        <v>27000000</v>
      </c>
      <c r="N39" s="231">
        <v>26000000</v>
      </c>
      <c r="O39" s="231">
        <v>27000000</v>
      </c>
      <c r="P39" s="231">
        <v>26000000</v>
      </c>
      <c r="Q39" s="231">
        <v>25000000</v>
      </c>
      <c r="R39" s="216">
        <f t="shared" si="3"/>
        <v>312000000</v>
      </c>
      <c r="S39" s="193" t="s">
        <v>838</v>
      </c>
      <c r="T39" s="151"/>
      <c r="U39" s="192" t="s">
        <v>723</v>
      </c>
      <c r="V39" s="160"/>
      <c r="W39" s="160"/>
      <c r="BA39"/>
      <c r="BB39"/>
    </row>
    <row r="40" spans="1:54" s="149" customFormat="1" ht="13.5">
      <c r="A40" s="158"/>
      <c r="B40" s="265">
        <v>6005046622</v>
      </c>
      <c r="C40" s="273" t="str">
        <f>IFERROR(IF(VLOOKUP($B40,勘定科目!$A:$H,HLOOKUP($E$5,勘定科目!$F$1:$H$2,2,0),0)="","",VLOOKUP($B40,勘定科目!$A:$E,2,0)),"")</f>
        <v>修繕費（一般）</v>
      </c>
      <c r="D40" s="290" t="str">
        <f>IF(C40="","",VLOOKUP($B40,勘定科目!$A:$E,4,0))</f>
        <v>修繕費</v>
      </c>
      <c r="E40" s="303"/>
      <c r="F40" s="214"/>
      <c r="G40" s="231"/>
      <c r="H40" s="214">
        <v>1350000000</v>
      </c>
      <c r="I40" s="231"/>
      <c r="J40" s="214"/>
      <c r="K40" s="231"/>
      <c r="L40" s="214"/>
      <c r="M40" s="231"/>
      <c r="N40" s="214"/>
      <c r="O40" s="231"/>
      <c r="P40" s="214"/>
      <c r="Q40" s="231"/>
      <c r="R40" s="216">
        <f t="shared" si="3"/>
        <v>1350000000</v>
      </c>
      <c r="S40" s="193" t="s">
        <v>974</v>
      </c>
      <c r="T40" s="151"/>
      <c r="U40" s="192" t="s">
        <v>723</v>
      </c>
      <c r="V40" s="160"/>
      <c r="W40" s="160"/>
      <c r="BA40"/>
      <c r="BB40"/>
    </row>
    <row r="41" spans="1:54" s="149" customFormat="1" ht="13.5">
      <c r="A41" s="158"/>
      <c r="B41" s="265">
        <v>6005046622</v>
      </c>
      <c r="C41" s="273" t="str">
        <f>IFERROR(IF(VLOOKUP($B41,勘定科目!$A:$H,HLOOKUP($E$5,勘定科目!$F$1:$H$2,2,0),0)="","",VLOOKUP($B41,勘定科目!$A:$E,2,0)),"")</f>
        <v>修繕費（一般）</v>
      </c>
      <c r="D41" s="290" t="str">
        <f>IF(C41="","",VLOOKUP($B41,勘定科目!$A:$E,4,0))</f>
        <v>修繕費</v>
      </c>
      <c r="E41" s="303"/>
      <c r="F41" s="214">
        <v>6700000</v>
      </c>
      <c r="G41" s="231"/>
      <c r="H41" s="214"/>
      <c r="I41" s="214">
        <v>6700000</v>
      </c>
      <c r="J41" s="214"/>
      <c r="K41" s="231"/>
      <c r="L41" s="214">
        <v>6700000</v>
      </c>
      <c r="M41" s="231"/>
      <c r="N41" s="214"/>
      <c r="O41" s="214">
        <v>6700000</v>
      </c>
      <c r="P41" s="214"/>
      <c r="Q41" s="231"/>
      <c r="R41" s="216">
        <f t="shared" si="3"/>
        <v>26800000</v>
      </c>
      <c r="S41" s="193" t="s">
        <v>839</v>
      </c>
      <c r="T41" s="151"/>
      <c r="U41" s="192" t="s">
        <v>723</v>
      </c>
      <c r="V41" s="160"/>
      <c r="W41" s="160"/>
      <c r="BA41"/>
      <c r="BB41"/>
    </row>
    <row r="42" spans="1:54" s="149" customFormat="1" ht="13.5">
      <c r="A42" s="158"/>
      <c r="B42" s="265">
        <v>6005046622</v>
      </c>
      <c r="C42" s="273" t="str">
        <f>IFERROR(IF(VLOOKUP($B42,勘定科目!$A:$H,HLOOKUP($E$5,勘定科目!$F$1:$H$2,2,0),0)="","",VLOOKUP($B42,勘定科目!$A:$E,2,0)),"")</f>
        <v>修繕費（一般）</v>
      </c>
      <c r="D42" s="290" t="str">
        <f>IF(C42="","",VLOOKUP($B42,勘定科目!$A:$E,4,0))</f>
        <v>修繕費</v>
      </c>
      <c r="E42" s="303"/>
      <c r="F42" s="214">
        <v>60000000</v>
      </c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16">
        <f t="shared" si="3"/>
        <v>60000000</v>
      </c>
      <c r="S42" s="193" t="s">
        <v>856</v>
      </c>
      <c r="T42" s="151"/>
      <c r="U42" s="192" t="s">
        <v>723</v>
      </c>
      <c r="V42" s="160"/>
      <c r="W42" s="160"/>
      <c r="BA42"/>
      <c r="BB42"/>
    </row>
    <row r="43" spans="1:54" s="149" customFormat="1" ht="13.5">
      <c r="A43" s="158"/>
      <c r="B43" s="265">
        <v>6005046622</v>
      </c>
      <c r="C43" s="273" t="str">
        <f>IFERROR(IF(VLOOKUP($B43,勘定科目!$A:$H,HLOOKUP($E$5,勘定科目!$F$1:$H$2,2,0),0)="","",VLOOKUP($B43,勘定科目!$A:$E,2,0)),"")</f>
        <v>修繕費（一般）</v>
      </c>
      <c r="D43" s="290" t="str">
        <f>IF(C43="","",VLOOKUP($B43,勘定科目!$A:$E,4,0))</f>
        <v>修繕費</v>
      </c>
      <c r="E43" s="303"/>
      <c r="F43" s="214"/>
      <c r="G43" s="231">
        <v>120000000</v>
      </c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16">
        <f t="shared" si="3"/>
        <v>120000000</v>
      </c>
      <c r="S43" s="193" t="s">
        <v>857</v>
      </c>
      <c r="T43" s="151"/>
      <c r="U43" s="192" t="s">
        <v>723</v>
      </c>
      <c r="V43" s="160"/>
      <c r="W43" s="160"/>
      <c r="BA43"/>
      <c r="BB43"/>
    </row>
    <row r="44" spans="1:54" s="149" customFormat="1" ht="13.5">
      <c r="A44" s="158"/>
      <c r="B44" s="265">
        <v>6005046622</v>
      </c>
      <c r="C44" s="273" t="str">
        <f>IFERROR(IF(VLOOKUP($B44,勘定科目!$A:$H,HLOOKUP($E$5,勘定科目!$F$1:$H$2,2,0),0)="","",VLOOKUP($B44,勘定科目!$A:$E,2,0)),"")</f>
        <v>修繕費（一般）</v>
      </c>
      <c r="D44" s="290" t="str">
        <f>IF(C44="","",VLOOKUP($B44,勘定科目!$A:$E,4,0))</f>
        <v>修繕費</v>
      </c>
      <c r="E44" s="303"/>
      <c r="F44" s="214"/>
      <c r="G44" s="231"/>
      <c r="H44" s="231"/>
      <c r="I44" s="231">
        <v>2700000000</v>
      </c>
      <c r="J44" s="231"/>
      <c r="K44" s="231"/>
      <c r="L44" s="231"/>
      <c r="M44" s="231"/>
      <c r="N44" s="231"/>
      <c r="O44" s="231"/>
      <c r="P44" s="231"/>
      <c r="Q44" s="231"/>
      <c r="R44" s="216">
        <f t="shared" si="3"/>
        <v>2700000000</v>
      </c>
      <c r="S44" s="193" t="s">
        <v>858</v>
      </c>
      <c r="T44" s="151"/>
      <c r="U44" s="192" t="s">
        <v>723</v>
      </c>
      <c r="V44" s="160"/>
      <c r="W44" s="160"/>
      <c r="BA44"/>
      <c r="BB44"/>
    </row>
    <row r="45" spans="1:54" s="149" customFormat="1" ht="13.5">
      <c r="A45" s="158"/>
      <c r="B45" s="265">
        <v>6005046622</v>
      </c>
      <c r="C45" s="273" t="str">
        <f>IFERROR(IF(VLOOKUP($B45,勘定科目!$A:$H,HLOOKUP($E$5,勘定科目!$F$1:$H$2,2,0),0)="","",VLOOKUP($B45,勘定科目!$A:$E,2,0)),"")</f>
        <v>修繕費（一般）</v>
      </c>
      <c r="D45" s="290" t="str">
        <f>IF(C45="","",VLOOKUP($B45,勘定科目!$A:$E,4,0))</f>
        <v>修繕費</v>
      </c>
      <c r="E45" s="303"/>
      <c r="F45" s="214"/>
      <c r="G45" s="231">
        <v>1700000000</v>
      </c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16">
        <f t="shared" si="3"/>
        <v>1700000000</v>
      </c>
      <c r="S45" s="193" t="s">
        <v>1009</v>
      </c>
      <c r="T45" s="151"/>
      <c r="U45" s="192" t="s">
        <v>723</v>
      </c>
      <c r="V45" s="160"/>
      <c r="W45" s="160"/>
      <c r="BA45"/>
      <c r="BB45"/>
    </row>
    <row r="46" spans="1:54" s="149" customFormat="1" ht="13.5">
      <c r="A46" s="158"/>
      <c r="B46" s="265">
        <v>6005046622</v>
      </c>
      <c r="C46" s="273" t="str">
        <f>IFERROR(IF(VLOOKUP($B46,勘定科目!$A:$H,HLOOKUP($E$5,勘定科目!$F$1:$H$2,2,0),0)="","",VLOOKUP($B46,勘定科目!$A:$E,2,0)),"")</f>
        <v>修繕費（一般）</v>
      </c>
      <c r="D46" s="290" t="str">
        <f>IF(C46="","",VLOOKUP($B46,勘定科目!$A:$E,4,0))</f>
        <v>修繕費</v>
      </c>
      <c r="E46" s="303"/>
      <c r="F46" s="214">
        <v>345000000</v>
      </c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16">
        <f t="shared" ref="R46" si="5">SUM(F46:Q46)</f>
        <v>345000000</v>
      </c>
      <c r="S46" s="193" t="s">
        <v>1006</v>
      </c>
      <c r="T46" s="151"/>
      <c r="U46" s="192" t="s">
        <v>723</v>
      </c>
      <c r="V46" s="160"/>
      <c r="W46" s="160"/>
      <c r="BA46"/>
      <c r="BB46"/>
    </row>
    <row r="47" spans="1:54" s="149" customFormat="1" ht="13.5">
      <c r="A47" s="158"/>
      <c r="B47" s="265">
        <v>6005046622</v>
      </c>
      <c r="C47" s="273" t="str">
        <f>IFERROR(IF(VLOOKUP($B47,勘定科目!$A:$H,HLOOKUP($E$5,勘定科目!$F$1:$H$2,2,0),0)="","",VLOOKUP($B47,勘定科目!$A:$E,2,0)),"")</f>
        <v>修繕費（一般）</v>
      </c>
      <c r="D47" s="290" t="str">
        <f>IF(C47="","",VLOOKUP($B47,勘定科目!$A:$E,4,0))</f>
        <v>修繕費</v>
      </c>
      <c r="E47" s="303"/>
      <c r="F47" s="214">
        <v>70000000</v>
      </c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16">
        <f t="shared" ref="R47" si="6">SUM(F47:Q47)</f>
        <v>70000000</v>
      </c>
      <c r="S47" s="193" t="s">
        <v>1007</v>
      </c>
      <c r="T47" s="151"/>
      <c r="U47" s="192" t="s">
        <v>723</v>
      </c>
      <c r="V47" s="160"/>
      <c r="W47" s="160"/>
      <c r="BA47"/>
      <c r="BB47"/>
    </row>
    <row r="48" spans="1:54" s="149" customFormat="1" ht="13.5">
      <c r="A48" s="158"/>
      <c r="B48" s="265">
        <v>6005046622</v>
      </c>
      <c r="C48" s="273" t="str">
        <f>IFERROR(IF(VLOOKUP($B48,勘定科目!$A:$H,HLOOKUP($E$5,勘定科目!$F$1:$H$2,2,0),0)="","",VLOOKUP($B48,勘定科目!$A:$E,2,0)),"")</f>
        <v>修繕費（一般）</v>
      </c>
      <c r="D48" s="290" t="str">
        <f>IF(C48="","",VLOOKUP($B48,勘定科目!$A:$E,4,0))</f>
        <v>修繕費</v>
      </c>
      <c r="E48" s="303"/>
      <c r="F48" s="214"/>
      <c r="G48" s="231"/>
      <c r="H48" s="231"/>
      <c r="I48" s="214"/>
      <c r="J48" s="231"/>
      <c r="K48" s="231"/>
      <c r="L48" s="214"/>
      <c r="M48" s="231">
        <v>24000000</v>
      </c>
      <c r="N48" s="231"/>
      <c r="O48" s="214"/>
      <c r="P48" s="231"/>
      <c r="Q48" s="231"/>
      <c r="R48" s="216">
        <f t="shared" si="3"/>
        <v>24000000</v>
      </c>
      <c r="S48" s="193" t="s">
        <v>938</v>
      </c>
      <c r="T48" s="151"/>
      <c r="U48" s="192" t="s">
        <v>721</v>
      </c>
      <c r="V48" s="160"/>
      <c r="W48" s="160"/>
      <c r="BA48"/>
      <c r="BB48"/>
    </row>
    <row r="49" spans="1:54" s="149" customFormat="1" ht="13.5">
      <c r="A49" s="158"/>
      <c r="B49" s="265">
        <v>6005046622</v>
      </c>
      <c r="C49" s="273" t="str">
        <f>IFERROR(IF(VLOOKUP($B49,勘定科目!$A:$H,HLOOKUP($E$5,勘定科目!$F$1:$H$2,2,0),0)="","",VLOOKUP($B49,勘定科目!$A:$E,2,0)),"")</f>
        <v>修繕費（一般）</v>
      </c>
      <c r="D49" s="290" t="str">
        <f>IF(C49="","",VLOOKUP($B49,勘定科目!$A:$E,4,0))</f>
        <v>修繕費</v>
      </c>
      <c r="E49" s="303"/>
      <c r="F49" s="214"/>
      <c r="G49" s="231"/>
      <c r="H49" s="231"/>
      <c r="I49" s="214"/>
      <c r="J49" s="231"/>
      <c r="K49" s="231"/>
      <c r="L49" s="214"/>
      <c r="M49" s="231"/>
      <c r="N49" s="231">
        <v>25000000</v>
      </c>
      <c r="O49" s="214"/>
      <c r="P49" s="231"/>
      <c r="Q49" s="231"/>
      <c r="R49" s="216">
        <f t="shared" si="3"/>
        <v>25000000</v>
      </c>
      <c r="S49" s="193" t="s">
        <v>939</v>
      </c>
      <c r="T49" s="151"/>
      <c r="U49" s="192" t="s">
        <v>721</v>
      </c>
      <c r="V49" s="160"/>
      <c r="W49" s="160"/>
      <c r="BA49"/>
      <c r="BB49"/>
    </row>
    <row r="50" spans="1:54" s="149" customFormat="1" ht="13.5">
      <c r="A50" s="158"/>
      <c r="B50" s="265">
        <v>6005046622</v>
      </c>
      <c r="C50" s="273" t="str">
        <f>IFERROR(IF(VLOOKUP($B50,勘定科目!$A:$H,HLOOKUP($E$5,勘定科目!$F$1:$H$2,2,0),0)="","",VLOOKUP($B50,勘定科目!$A:$E,2,0)),"")</f>
        <v>修繕費（一般）</v>
      </c>
      <c r="D50" s="290" t="str">
        <f>IF(C50="","",VLOOKUP($B50,勘定科目!$A:$E,4,0))</f>
        <v>修繕費</v>
      </c>
      <c r="E50" s="303"/>
      <c r="F50" s="214"/>
      <c r="G50" s="231"/>
      <c r="H50" s="231"/>
      <c r="I50" s="214"/>
      <c r="J50" s="231"/>
      <c r="K50" s="231"/>
      <c r="L50" s="214"/>
      <c r="M50" s="231"/>
      <c r="N50" s="231"/>
      <c r="O50" s="214">
        <v>24500000</v>
      </c>
      <c r="P50" s="231"/>
      <c r="Q50" s="231"/>
      <c r="R50" s="216">
        <f t="shared" si="3"/>
        <v>24500000</v>
      </c>
      <c r="S50" s="193" t="s">
        <v>990</v>
      </c>
      <c r="T50" s="151"/>
      <c r="U50" s="192" t="s">
        <v>721</v>
      </c>
      <c r="V50" s="160"/>
      <c r="W50" s="160"/>
      <c r="BA50"/>
      <c r="BB50"/>
    </row>
    <row r="51" spans="1:54" s="149" customFormat="1" ht="13.5">
      <c r="A51" s="158"/>
      <c r="B51" s="265">
        <v>6005046622</v>
      </c>
      <c r="C51" s="273" t="str">
        <f>IFERROR(IF(VLOOKUP($B51,勘定科目!$A:$H,HLOOKUP($E$5,勘定科目!$F$1:$H$2,2,0),0)="","",VLOOKUP($B51,勘定科目!$A:$E,2,0)),"")</f>
        <v>修繕費（一般）</v>
      </c>
      <c r="D51" s="290" t="str">
        <f>IF(C51="","",VLOOKUP($B51,勘定科目!$A:$E,4,0))</f>
        <v>修繕費</v>
      </c>
      <c r="E51" s="303"/>
      <c r="F51" s="214"/>
      <c r="G51" s="231"/>
      <c r="H51" s="231"/>
      <c r="I51" s="214"/>
      <c r="J51" s="231"/>
      <c r="K51" s="231"/>
      <c r="L51" s="214"/>
      <c r="M51" s="231"/>
      <c r="N51" s="231"/>
      <c r="O51" s="214"/>
      <c r="P51" s="214">
        <v>25000000</v>
      </c>
      <c r="Q51" s="231"/>
      <c r="R51" s="216">
        <f t="shared" si="3"/>
        <v>25000000</v>
      </c>
      <c r="S51" s="193" t="s">
        <v>940</v>
      </c>
      <c r="T51" s="151"/>
      <c r="U51" s="192" t="s">
        <v>721</v>
      </c>
      <c r="V51" s="160"/>
      <c r="W51" s="160"/>
      <c r="BA51"/>
      <c r="BB51"/>
    </row>
    <row r="52" spans="1:54" s="149" customFormat="1" ht="13.5">
      <c r="A52" s="158"/>
      <c r="B52" s="265">
        <v>6005046622</v>
      </c>
      <c r="C52" s="273" t="str">
        <f>IFERROR(IF(VLOOKUP($B52,勘定科目!$A:$H,HLOOKUP($E$5,勘定科目!$F$1:$H$2,2,0),0)="","",VLOOKUP($B52,勘定科目!$A:$E,2,0)),"")</f>
        <v>修繕費（一般）</v>
      </c>
      <c r="D52" s="290" t="str">
        <f>IF(C52="","",VLOOKUP($B52,勘定科目!$A:$E,4,0))</f>
        <v>修繕費</v>
      </c>
      <c r="E52" s="303"/>
      <c r="F52" s="214"/>
      <c r="G52" s="231"/>
      <c r="H52" s="231">
        <v>120000000</v>
      </c>
      <c r="I52" s="214"/>
      <c r="J52" s="231"/>
      <c r="K52" s="231"/>
      <c r="L52" s="214"/>
      <c r="M52" s="231"/>
      <c r="N52" s="231"/>
      <c r="O52" s="214"/>
      <c r="P52" s="231"/>
      <c r="Q52" s="231"/>
      <c r="R52" s="216">
        <f t="shared" si="3"/>
        <v>120000000</v>
      </c>
      <c r="S52" s="193" t="s">
        <v>865</v>
      </c>
      <c r="T52" s="151"/>
      <c r="U52" s="192" t="s">
        <v>721</v>
      </c>
      <c r="V52" s="160"/>
      <c r="W52" s="160"/>
      <c r="BA52"/>
      <c r="BB52"/>
    </row>
    <row r="53" spans="1:54" s="149" customFormat="1" ht="13.5">
      <c r="A53" s="158"/>
      <c r="B53" s="265">
        <v>6005046622</v>
      </c>
      <c r="C53" s="273" t="str">
        <f>IFERROR(IF(VLOOKUP($B53,勘定科目!$A:$H,HLOOKUP($E$5,勘定科目!$F$1:$H$2,2,0),0)="","",VLOOKUP($B53,勘定科目!$A:$E,2,0)),"")</f>
        <v>修繕費（一般）</v>
      </c>
      <c r="D53" s="290" t="str">
        <f>IF(C53="","",VLOOKUP($B53,勘定科目!$A:$E,4,0))</f>
        <v>修繕費</v>
      </c>
      <c r="E53" s="303"/>
      <c r="F53" s="214"/>
      <c r="G53" s="231"/>
      <c r="H53" s="231"/>
      <c r="I53" s="214"/>
      <c r="J53" s="231"/>
      <c r="K53" s="231"/>
      <c r="L53" s="214"/>
      <c r="M53" s="231"/>
      <c r="N53" s="231"/>
      <c r="O53" s="214">
        <v>600000000</v>
      </c>
      <c r="P53" s="231"/>
      <c r="Q53" s="231"/>
      <c r="R53" s="216">
        <f t="shared" si="3"/>
        <v>600000000</v>
      </c>
      <c r="S53" s="193" t="s">
        <v>866</v>
      </c>
      <c r="T53" s="151"/>
      <c r="U53" s="192" t="s">
        <v>721</v>
      </c>
      <c r="V53" s="160"/>
      <c r="W53" s="160"/>
      <c r="BA53"/>
      <c r="BB53"/>
    </row>
    <row r="54" spans="1:54" s="149" customFormat="1" ht="13.5">
      <c r="A54" s="158"/>
      <c r="B54" s="265">
        <v>6005046622</v>
      </c>
      <c r="C54" s="273" t="str">
        <f>IFERROR(IF(VLOOKUP($B54,勘定科目!$A:$H,HLOOKUP($E$5,勘定科目!$F$1:$H$2,2,0),0)="","",VLOOKUP($B54,勘定科目!$A:$E,2,0)),"")</f>
        <v>修繕費（一般）</v>
      </c>
      <c r="D54" s="290" t="str">
        <f>IF(C54="","",VLOOKUP($B54,勘定科目!$A:$E,4,0))</f>
        <v>修繕費</v>
      </c>
      <c r="E54" s="303"/>
      <c r="F54" s="214"/>
      <c r="G54" s="231">
        <v>160000000</v>
      </c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16">
        <f t="shared" si="3"/>
        <v>160000000</v>
      </c>
      <c r="S54" s="193" t="s">
        <v>885</v>
      </c>
      <c r="T54" s="151"/>
      <c r="U54" s="192" t="s">
        <v>721</v>
      </c>
      <c r="V54" s="160"/>
      <c r="W54" s="160"/>
      <c r="BA54"/>
      <c r="BB54"/>
    </row>
    <row r="55" spans="1:54" s="149" customFormat="1" ht="13.5">
      <c r="A55" s="158"/>
      <c r="B55" s="265">
        <v>6005046622</v>
      </c>
      <c r="C55" s="273" t="str">
        <f>IFERROR(IF(VLOOKUP($B55,勘定科目!$A:$H,HLOOKUP($E$5,勘定科目!$F$1:$H$2,2,0),0)="","",VLOOKUP($B55,勘定科目!$A:$E,2,0)),"")</f>
        <v>修繕費（一般）</v>
      </c>
      <c r="D55" s="290" t="str">
        <f>IF(C55="","",VLOOKUP($B55,勘定科目!$A:$E,4,0))</f>
        <v>修繕費</v>
      </c>
      <c r="E55" s="303"/>
      <c r="F55" s="214"/>
      <c r="G55" s="231"/>
      <c r="H55" s="231"/>
      <c r="I55" s="231"/>
      <c r="J55" s="231"/>
      <c r="K55" s="231"/>
      <c r="L55" s="231">
        <v>20000000</v>
      </c>
      <c r="M55" s="231"/>
      <c r="N55" s="231"/>
      <c r="O55" s="231"/>
      <c r="P55" s="231"/>
      <c r="Q55" s="231"/>
      <c r="R55" s="216">
        <f t="shared" si="3"/>
        <v>20000000</v>
      </c>
      <c r="S55" s="193" t="s">
        <v>886</v>
      </c>
      <c r="T55" s="151"/>
      <c r="U55" s="192" t="s">
        <v>721</v>
      </c>
      <c r="V55" s="160"/>
      <c r="W55" s="160"/>
      <c r="BA55"/>
      <c r="BB55"/>
    </row>
    <row r="56" spans="1:54" s="149" customFormat="1" ht="13.5">
      <c r="A56" s="158"/>
      <c r="B56" s="265">
        <v>6005046622</v>
      </c>
      <c r="C56" s="273" t="str">
        <f>IFERROR(IF(VLOOKUP($B56,勘定科目!$A:$H,HLOOKUP($E$5,勘定科目!$F$1:$H$2,2,0),0)="","",VLOOKUP($B56,勘定科目!$A:$E,2,0)),"")</f>
        <v>修繕費（一般）</v>
      </c>
      <c r="D56" s="290" t="str">
        <f>IF(C56="","",VLOOKUP($B56,勘定科目!$A:$E,4,0))</f>
        <v>修繕費</v>
      </c>
      <c r="E56" s="303"/>
      <c r="F56" s="214"/>
      <c r="G56" s="231"/>
      <c r="H56" s="231"/>
      <c r="I56" s="231"/>
      <c r="J56" s="231"/>
      <c r="K56" s="231"/>
      <c r="L56" s="231"/>
      <c r="M56" s="231"/>
      <c r="N56" s="231">
        <f>1*11000000</f>
        <v>11000000</v>
      </c>
      <c r="O56" s="231"/>
      <c r="P56" s="231"/>
      <c r="Q56" s="231"/>
      <c r="R56" s="216">
        <f t="shared" si="3"/>
        <v>11000000</v>
      </c>
      <c r="S56" s="193" t="s">
        <v>915</v>
      </c>
      <c r="T56" s="151" t="s">
        <v>721</v>
      </c>
      <c r="U56" s="192" t="s">
        <v>721</v>
      </c>
      <c r="V56" s="160"/>
      <c r="W56" s="160"/>
      <c r="BA56"/>
      <c r="BB56"/>
    </row>
    <row r="57" spans="1:54" s="149" customFormat="1" ht="13.5">
      <c r="A57" s="158"/>
      <c r="B57" s="263">
        <v>6005046622</v>
      </c>
      <c r="C57" s="273" t="str">
        <f>IFERROR(IF(VLOOKUP($B57,勘定科目!$A:$H,HLOOKUP($E$5,勘定科目!$F$1:$H$2,2,0),0)="","",VLOOKUP($B57,勘定科目!$A:$E,2,0)),"")</f>
        <v>修繕費（一般）</v>
      </c>
      <c r="D57" s="290" t="str">
        <f>IF(C57="","",VLOOKUP($B57,勘定科目!$A:$E,4,0))</f>
        <v>修繕費</v>
      </c>
      <c r="E57" s="303"/>
      <c r="F57" s="214"/>
      <c r="G57" s="231"/>
      <c r="H57" s="231"/>
      <c r="I57" s="231"/>
      <c r="J57" s="231"/>
      <c r="K57" s="231"/>
      <c r="L57" s="231">
        <v>20000000</v>
      </c>
      <c r="M57" s="231"/>
      <c r="N57" s="231"/>
      <c r="O57" s="231"/>
      <c r="P57" s="231"/>
      <c r="Q57" s="231"/>
      <c r="R57" s="216">
        <f>SUM(F57:Q57)</f>
        <v>20000000</v>
      </c>
      <c r="S57" s="193" t="s">
        <v>932</v>
      </c>
      <c r="T57" s="151"/>
      <c r="U57" s="192" t="s">
        <v>721</v>
      </c>
      <c r="V57" s="160"/>
      <c r="W57" s="160"/>
      <c r="BA57"/>
      <c r="BB57"/>
    </row>
    <row r="58" spans="1:54" s="149" customFormat="1" ht="13.5">
      <c r="A58" s="158"/>
      <c r="B58" s="265">
        <v>6005046622</v>
      </c>
      <c r="C58" s="273" t="str">
        <f>IFERROR(IF(VLOOKUP($B58,勘定科目!$A:$H,HLOOKUP($E$5,勘定科目!$F$1:$H$2,2,0),0)="","",VLOOKUP($B58,勘定科目!$A:$E,2,0)),"")</f>
        <v>修繕費（一般）</v>
      </c>
      <c r="D58" s="290" t="str">
        <f>IF(C58="","",VLOOKUP($B58,勘定科目!$A:$E,4,0))</f>
        <v>修繕費</v>
      </c>
      <c r="E58" s="303"/>
      <c r="F58" s="214"/>
      <c r="G58" s="231">
        <v>17500000</v>
      </c>
      <c r="H58" s="231"/>
      <c r="I58" s="231">
        <v>17500000</v>
      </c>
      <c r="J58" s="231"/>
      <c r="K58" s="231"/>
      <c r="L58" s="231"/>
      <c r="M58" s="231"/>
      <c r="N58" s="231"/>
      <c r="O58" s="231"/>
      <c r="P58" s="231"/>
      <c r="Q58" s="231"/>
      <c r="R58" s="216">
        <f t="shared" si="3"/>
        <v>35000000</v>
      </c>
      <c r="S58" s="193" t="s">
        <v>870</v>
      </c>
      <c r="T58" s="151"/>
      <c r="U58" s="192" t="s">
        <v>720</v>
      </c>
      <c r="V58" s="160"/>
      <c r="W58" s="160"/>
      <c r="BA58"/>
      <c r="BB58"/>
    </row>
    <row r="59" spans="1:54" s="149" customFormat="1" ht="13.5">
      <c r="A59" s="158"/>
      <c r="B59" s="265">
        <v>6005046622</v>
      </c>
      <c r="C59" s="273" t="str">
        <f>IFERROR(IF(VLOOKUP($B59,勘定科目!$A:$H,HLOOKUP($E$5,勘定科目!$F$1:$H$2,2,0),0)="","",VLOOKUP($B59,勘定科目!$A:$E,2,0)),"")</f>
        <v>修繕費（一般）</v>
      </c>
      <c r="D59" s="290" t="str">
        <f>IF(C59="","",VLOOKUP($B59,勘定科目!$A:$E,4,0))</f>
        <v>修繕費</v>
      </c>
      <c r="E59" s="303"/>
      <c r="F59" s="214"/>
      <c r="G59" s="231">
        <v>2500000000</v>
      </c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16">
        <f t="shared" si="3"/>
        <v>2500000000</v>
      </c>
      <c r="S59" s="193" t="s">
        <v>937</v>
      </c>
      <c r="T59" s="151"/>
      <c r="U59" s="192" t="s">
        <v>720</v>
      </c>
      <c r="V59" s="160"/>
      <c r="W59" s="160"/>
      <c r="BA59"/>
      <c r="BB59"/>
    </row>
    <row r="60" spans="1:54" s="149" customFormat="1" ht="13.5">
      <c r="A60" s="158"/>
      <c r="B60" s="265">
        <v>6005046622</v>
      </c>
      <c r="C60" s="273" t="str">
        <f>IFERROR(IF(VLOOKUP($B60,勘定科目!$A:$H,HLOOKUP($E$5,勘定科目!$F$1:$H$2,2,0),0)="","",VLOOKUP($B60,勘定科目!$A:$E,2,0)),"")</f>
        <v>修繕費（一般）</v>
      </c>
      <c r="D60" s="290" t="str">
        <f>IF(C60="","",VLOOKUP($B60,勘定科目!$A:$E,4,0))</f>
        <v>修繕費</v>
      </c>
      <c r="E60" s="303"/>
      <c r="F60" s="214">
        <v>100000000</v>
      </c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16">
        <f t="shared" si="3"/>
        <v>100000000</v>
      </c>
      <c r="S60" s="193" t="s">
        <v>916</v>
      </c>
      <c r="T60" s="151"/>
      <c r="U60" s="192" t="s">
        <v>720</v>
      </c>
      <c r="V60" s="160"/>
      <c r="W60" s="160"/>
      <c r="BA60"/>
      <c r="BB60"/>
    </row>
    <row r="61" spans="1:54" s="149" customFormat="1" ht="13.5">
      <c r="A61" s="158"/>
      <c r="B61" s="265">
        <v>6005046622</v>
      </c>
      <c r="C61" s="273" t="str">
        <f>IFERROR(IF(VLOOKUP($B61,勘定科目!$A:$H,HLOOKUP($E$5,勘定科目!$F$1:$H$2,2,0),0)="","",VLOOKUP($B61,勘定科目!$A:$E,2,0)),"")</f>
        <v>修繕費（一般）</v>
      </c>
      <c r="D61" s="290" t="str">
        <f>IF(C61="","",VLOOKUP($B61,勘定科目!$A:$E,4,0))</f>
        <v>修繕費</v>
      </c>
      <c r="E61" s="303"/>
      <c r="F61" s="214"/>
      <c r="G61" s="231">
        <v>1000000000</v>
      </c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16">
        <f t="shared" si="3"/>
        <v>1000000000</v>
      </c>
      <c r="S61" s="193" t="s">
        <v>867</v>
      </c>
      <c r="T61" s="151"/>
      <c r="U61" s="192" t="s">
        <v>720</v>
      </c>
      <c r="V61" s="160"/>
      <c r="W61" s="160"/>
      <c r="BA61"/>
      <c r="BB61"/>
    </row>
    <row r="62" spans="1:54" s="149" customFormat="1" ht="13.5">
      <c r="A62" s="158"/>
      <c r="B62" s="265">
        <v>6005046622</v>
      </c>
      <c r="C62" s="273" t="str">
        <f>IFERROR(IF(VLOOKUP($B62,勘定科目!$A:$H,HLOOKUP($E$5,勘定科目!$F$1:$H$2,2,0),0)="","",VLOOKUP($B62,勘定科目!$A:$E,2,0)),"")</f>
        <v>修繕費（一般）</v>
      </c>
      <c r="D62" s="290" t="str">
        <f>IF(C62="","",VLOOKUP($B62,勘定科目!$A:$E,4,0))</f>
        <v>修繕費</v>
      </c>
      <c r="E62" s="303"/>
      <c r="F62" s="214">
        <v>130000000</v>
      </c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16">
        <f t="shared" si="3"/>
        <v>130000000</v>
      </c>
      <c r="S62" s="193" t="s">
        <v>868</v>
      </c>
      <c r="T62" s="151"/>
      <c r="U62" s="192" t="s">
        <v>720</v>
      </c>
      <c r="V62" s="160"/>
      <c r="W62" s="160"/>
      <c r="BA62"/>
      <c r="BB62"/>
    </row>
    <row r="63" spans="1:54" s="149" customFormat="1" ht="13.5">
      <c r="A63" s="158"/>
      <c r="B63" s="265">
        <v>6005046622</v>
      </c>
      <c r="C63" s="273" t="str">
        <f>IFERROR(IF(VLOOKUP($B63,勘定科目!$A:$H,HLOOKUP($E$5,勘定科目!$F$1:$H$2,2,0),0)="","",VLOOKUP($B63,勘定科目!$A:$E,2,0)),"")</f>
        <v>修繕費（一般）</v>
      </c>
      <c r="D63" s="290" t="str">
        <f>IF(C63="","",VLOOKUP($B63,勘定科目!$A:$E,4,0))</f>
        <v>修繕費</v>
      </c>
      <c r="E63" s="303"/>
      <c r="F63" s="214"/>
      <c r="G63" s="231">
        <v>20000000</v>
      </c>
      <c r="H63" s="231">
        <v>20000000</v>
      </c>
      <c r="I63" s="231">
        <v>20000000</v>
      </c>
      <c r="J63" s="231"/>
      <c r="K63" s="231"/>
      <c r="L63" s="231"/>
      <c r="M63" s="231"/>
      <c r="N63" s="231"/>
      <c r="O63" s="231"/>
      <c r="P63" s="231"/>
      <c r="Q63" s="231"/>
      <c r="R63" s="216">
        <f t="shared" si="3"/>
        <v>60000000</v>
      </c>
      <c r="S63" s="193" t="s">
        <v>917</v>
      </c>
      <c r="T63" s="151"/>
      <c r="U63" s="192" t="s">
        <v>720</v>
      </c>
      <c r="V63" s="160"/>
      <c r="W63" s="160"/>
      <c r="BA63"/>
      <c r="BB63"/>
    </row>
    <row r="64" spans="1:54" s="149" customFormat="1" ht="13.5">
      <c r="A64" s="158"/>
      <c r="B64" s="265">
        <v>6005046622</v>
      </c>
      <c r="C64" s="273" t="str">
        <f>IFERROR(IF(VLOOKUP($B64,勘定科目!$A:$H,HLOOKUP($E$5,勘定科目!$F$1:$H$2,2,0),0)="","",VLOOKUP($B64,勘定科目!$A:$E,2,0)),"")</f>
        <v>修繕費（一般）</v>
      </c>
      <c r="D64" s="290" t="str">
        <f>IF(C64="","",VLOOKUP($B64,勘定科目!$A:$E,4,0))</f>
        <v>修繕費</v>
      </c>
      <c r="E64" s="303"/>
      <c r="F64" s="214">
        <f>1400000*15</f>
        <v>21000000</v>
      </c>
      <c r="G64" s="231"/>
      <c r="H64" s="231"/>
      <c r="I64" s="214">
        <f>1400000*15</f>
        <v>21000000</v>
      </c>
      <c r="J64" s="231"/>
      <c r="K64" s="231"/>
      <c r="L64" s="231"/>
      <c r="M64" s="214">
        <f>1400000*15</f>
        <v>21000000</v>
      </c>
      <c r="N64" s="231"/>
      <c r="O64" s="231"/>
      <c r="P64" s="231"/>
      <c r="Q64" s="214">
        <f>1400000*15</f>
        <v>21000000</v>
      </c>
      <c r="R64" s="216">
        <f t="shared" si="3"/>
        <v>84000000</v>
      </c>
      <c r="S64" s="193" t="s">
        <v>869</v>
      </c>
      <c r="T64" s="151"/>
      <c r="U64" s="192" t="s">
        <v>720</v>
      </c>
      <c r="V64" s="160"/>
      <c r="W64" s="160"/>
      <c r="BA64"/>
      <c r="BB64"/>
    </row>
    <row r="65" spans="1:54" s="149" customFormat="1" ht="13.5">
      <c r="A65" s="158"/>
      <c r="B65" s="265">
        <v>6005046622</v>
      </c>
      <c r="C65" s="273" t="str">
        <f>IFERROR(IF(VLOOKUP($B65,勘定科目!$A:$H,HLOOKUP($E$5,勘定科目!$F$1:$H$2,2,0),0)="","",VLOOKUP($B65,勘定科目!$A:$E,2,0)),"")</f>
        <v>修繕費（一般）</v>
      </c>
      <c r="D65" s="290" t="str">
        <f>IF(C65="","",VLOOKUP($B65,勘定科目!$A:$E,4,0))</f>
        <v>修繕費</v>
      </c>
      <c r="E65" s="303"/>
      <c r="F65" s="214"/>
      <c r="G65" s="231">
        <v>22000000</v>
      </c>
      <c r="H65" s="231"/>
      <c r="I65" s="231"/>
      <c r="J65" s="231"/>
      <c r="K65" s="231"/>
      <c r="L65" s="231">
        <v>22000000</v>
      </c>
      <c r="M65" s="231"/>
      <c r="N65" s="231"/>
      <c r="O65" s="231"/>
      <c r="P65" s="231"/>
      <c r="Q65" s="231"/>
      <c r="R65" s="216">
        <f t="shared" si="3"/>
        <v>44000000</v>
      </c>
      <c r="S65" s="193" t="s">
        <v>871</v>
      </c>
      <c r="T65" s="151"/>
      <c r="U65" s="192" t="s">
        <v>720</v>
      </c>
      <c r="V65" s="160"/>
      <c r="W65" s="160"/>
      <c r="BA65"/>
      <c r="BB65"/>
    </row>
    <row r="66" spans="1:54" s="149" customFormat="1" ht="13.5">
      <c r="A66" s="158"/>
      <c r="B66" s="265">
        <v>6005046622</v>
      </c>
      <c r="C66" s="273" t="str">
        <f>IFERROR(IF(VLOOKUP($B66,勘定科目!$A:$H,HLOOKUP($E$5,勘定科目!$F$1:$H$2,2,0),0)="","",VLOOKUP($B66,勘定科目!$A:$E,2,0)),"")</f>
        <v>修繕費（一般）</v>
      </c>
      <c r="D66" s="290" t="str">
        <f>IF(C66="","",VLOOKUP($B66,勘定科目!$A:$E,4,0))</f>
        <v>修繕費</v>
      </c>
      <c r="E66" s="303"/>
      <c r="F66" s="214"/>
      <c r="G66" s="231">
        <v>16000000</v>
      </c>
      <c r="H66" s="231"/>
      <c r="I66" s="231">
        <v>16000000</v>
      </c>
      <c r="J66" s="231"/>
      <c r="K66" s="231"/>
      <c r="L66" s="231"/>
      <c r="M66" s="231"/>
      <c r="N66" s="231"/>
      <c r="O66" s="231">
        <v>16000000</v>
      </c>
      <c r="P66" s="231"/>
      <c r="Q66" s="231"/>
      <c r="R66" s="216">
        <f t="shared" si="3"/>
        <v>48000000</v>
      </c>
      <c r="S66" s="193" t="s">
        <v>872</v>
      </c>
      <c r="T66" s="151"/>
      <c r="U66" s="192" t="s">
        <v>720</v>
      </c>
      <c r="V66" s="160"/>
      <c r="W66" s="160"/>
      <c r="BA66"/>
      <c r="BB66"/>
    </row>
    <row r="67" spans="1:54" s="149" customFormat="1" ht="13.5">
      <c r="A67" s="158"/>
      <c r="B67" s="265">
        <v>6005046622</v>
      </c>
      <c r="C67" s="273" t="str">
        <f>IFERROR(IF(VLOOKUP($B67,勘定科目!$A:$H,HLOOKUP($E$5,勘定科目!$F$1:$H$2,2,0),0)="","",VLOOKUP($B67,勘定科目!$A:$E,2,0)),"")</f>
        <v>修繕費（一般）</v>
      </c>
      <c r="D67" s="290" t="str">
        <f>IF(C67="","",VLOOKUP($B67,勘定科目!$A:$E,4,0))</f>
        <v>修繕費</v>
      </c>
      <c r="E67" s="303"/>
      <c r="F67" s="214">
        <v>10000000</v>
      </c>
      <c r="G67" s="231"/>
      <c r="H67" s="231"/>
      <c r="I67" s="214">
        <v>10000000</v>
      </c>
      <c r="J67" s="214"/>
      <c r="K67" s="231"/>
      <c r="L67" s="214"/>
      <c r="M67" s="214">
        <v>10000000</v>
      </c>
      <c r="N67" s="214"/>
      <c r="O67" s="231"/>
      <c r="P67" s="231"/>
      <c r="Q67" s="214">
        <v>10000000</v>
      </c>
      <c r="R67" s="216">
        <f t="shared" si="3"/>
        <v>40000000</v>
      </c>
      <c r="S67" s="193" t="s">
        <v>873</v>
      </c>
      <c r="T67" s="151"/>
      <c r="U67" s="192" t="s">
        <v>720</v>
      </c>
      <c r="V67" s="160"/>
      <c r="W67" s="160"/>
      <c r="BA67"/>
      <c r="BB67"/>
    </row>
    <row r="68" spans="1:54" s="149" customFormat="1" ht="13.5">
      <c r="A68" s="158"/>
      <c r="B68" s="265">
        <v>6005046622</v>
      </c>
      <c r="C68" s="273" t="str">
        <f>IFERROR(IF(VLOOKUP($B68,勘定科目!$A:$H,HLOOKUP($E$5,勘定科目!$F$1:$H$2,2,0),0)="","",VLOOKUP($B68,勘定科目!$A:$E,2,0)),"")</f>
        <v>修繕費（一般）</v>
      </c>
      <c r="D68" s="290" t="str">
        <f>IF(C68="","",VLOOKUP($B68,勘定科目!$A:$E,4,0))</f>
        <v>修繕費</v>
      </c>
      <c r="E68" s="303"/>
      <c r="F68" s="214">
        <v>24000000</v>
      </c>
      <c r="G68" s="214">
        <v>24000000</v>
      </c>
      <c r="H68" s="214">
        <v>24000000</v>
      </c>
      <c r="I68" s="214">
        <v>24000000</v>
      </c>
      <c r="J68" s="214">
        <v>24000000</v>
      </c>
      <c r="K68" s="214">
        <v>24000000</v>
      </c>
      <c r="L68" s="214">
        <v>24000000</v>
      </c>
      <c r="M68" s="214">
        <v>24000000</v>
      </c>
      <c r="N68" s="214">
        <v>24000000</v>
      </c>
      <c r="O68" s="214">
        <v>24000000</v>
      </c>
      <c r="P68" s="214">
        <v>24000000</v>
      </c>
      <c r="Q68" s="214">
        <v>24000000</v>
      </c>
      <c r="R68" s="216">
        <f t="shared" si="3"/>
        <v>288000000</v>
      </c>
      <c r="S68" s="193" t="s">
        <v>874</v>
      </c>
      <c r="T68" s="151"/>
      <c r="U68" s="192" t="s">
        <v>720</v>
      </c>
      <c r="V68" s="160"/>
      <c r="W68" s="160"/>
      <c r="BA68"/>
      <c r="BB68"/>
    </row>
    <row r="69" spans="1:54" s="149" customFormat="1" ht="13.5">
      <c r="A69" s="158"/>
      <c r="B69" s="265">
        <v>6005046622</v>
      </c>
      <c r="C69" s="273" t="str">
        <f>IFERROR(IF(VLOOKUP($B69,勘定科目!$A:$H,HLOOKUP($E$5,勘定科目!$F$1:$H$2,2,0),0)="","",VLOOKUP($B69,勘定科目!$A:$E,2,0)),"")</f>
        <v>修繕費（一般）</v>
      </c>
      <c r="D69" s="290" t="str">
        <f>IF(C69="","",VLOOKUP($B69,勘定科目!$A:$E,4,0))</f>
        <v>修繕費</v>
      </c>
      <c r="E69" s="303"/>
      <c r="F69" s="214">
        <v>5020000</v>
      </c>
      <c r="G69" s="231"/>
      <c r="H69" s="214">
        <v>5020000</v>
      </c>
      <c r="I69" s="231"/>
      <c r="J69" s="214">
        <v>5020000</v>
      </c>
      <c r="K69" s="231"/>
      <c r="L69" s="214">
        <v>5020000</v>
      </c>
      <c r="M69" s="231"/>
      <c r="N69" s="231"/>
      <c r="O69" s="231"/>
      <c r="P69" s="231"/>
      <c r="Q69" s="231"/>
      <c r="R69" s="216">
        <f t="shared" si="3"/>
        <v>20080000</v>
      </c>
      <c r="S69" s="193" t="s">
        <v>892</v>
      </c>
      <c r="T69" s="151"/>
      <c r="U69" s="192" t="s">
        <v>720</v>
      </c>
      <c r="V69" s="160"/>
      <c r="W69" s="160"/>
      <c r="BA69"/>
      <c r="BB69"/>
    </row>
    <row r="70" spans="1:54" s="149" customFormat="1" ht="13.5">
      <c r="A70" s="158"/>
      <c r="B70" s="265">
        <v>6005046622</v>
      </c>
      <c r="C70" s="273" t="str">
        <f>IFERROR(IF(VLOOKUP($B70,勘定科目!$A:$H,HLOOKUP($E$5,勘定科目!$F$1:$H$2,2,0),0)="","",VLOOKUP($B70,勘定科目!$A:$E,2,0)),"")</f>
        <v>修繕費（一般）</v>
      </c>
      <c r="D70" s="290" t="str">
        <f>IF(C70="","",VLOOKUP($B70,勘定科目!$A:$E,4,0))</f>
        <v>修繕費</v>
      </c>
      <c r="E70" s="303"/>
      <c r="F70" s="214">
        <v>14125000</v>
      </c>
      <c r="G70" s="231"/>
      <c r="H70" s="214">
        <v>14125000</v>
      </c>
      <c r="I70" s="231"/>
      <c r="J70" s="214">
        <v>14125000</v>
      </c>
      <c r="K70" s="231"/>
      <c r="L70" s="214">
        <v>14125000</v>
      </c>
      <c r="M70" s="231"/>
      <c r="N70" s="231"/>
      <c r="O70" s="231"/>
      <c r="P70" s="231"/>
      <c r="Q70" s="231"/>
      <c r="R70" s="216">
        <f t="shared" si="3"/>
        <v>56500000</v>
      </c>
      <c r="S70" s="193" t="s">
        <v>891</v>
      </c>
      <c r="T70" s="151"/>
      <c r="U70" s="192" t="s">
        <v>720</v>
      </c>
      <c r="V70" s="160"/>
      <c r="W70" s="160"/>
      <c r="BA70"/>
      <c r="BB70"/>
    </row>
    <row r="71" spans="1:54" s="149" customFormat="1" ht="13.5">
      <c r="A71" s="158"/>
      <c r="B71" s="265">
        <v>6005046622</v>
      </c>
      <c r="C71" s="273" t="str">
        <f>IFERROR(IF(VLOOKUP($B71,勘定科目!$A:$H,HLOOKUP($E$5,勘定科目!$F$1:$H$2,2,0),0)="","",VLOOKUP($B71,勘定科目!$A:$E,2,0)),"")</f>
        <v>修繕費（一般）</v>
      </c>
      <c r="D71" s="290" t="str">
        <f>IF(C71="","",VLOOKUP($B71,勘定科目!$A:$E,4,0))</f>
        <v>修繕費</v>
      </c>
      <c r="E71" s="303"/>
      <c r="F71" s="214">
        <v>400000</v>
      </c>
      <c r="G71" s="231"/>
      <c r="H71" s="214">
        <v>400000</v>
      </c>
      <c r="I71" s="231"/>
      <c r="J71" s="214">
        <v>400000</v>
      </c>
      <c r="K71" s="231"/>
      <c r="L71" s="214">
        <v>400000</v>
      </c>
      <c r="M71" s="231"/>
      <c r="N71" s="231"/>
      <c r="O71" s="231"/>
      <c r="P71" s="231"/>
      <c r="Q71" s="231"/>
      <c r="R71" s="216">
        <f t="shared" si="3"/>
        <v>1600000</v>
      </c>
      <c r="S71" s="193" t="s">
        <v>890</v>
      </c>
      <c r="T71" s="151"/>
      <c r="U71" s="192" t="s">
        <v>720</v>
      </c>
      <c r="V71" s="160"/>
      <c r="W71" s="160"/>
      <c r="BA71"/>
      <c r="BB71"/>
    </row>
    <row r="72" spans="1:54" s="149" customFormat="1" ht="13.5">
      <c r="A72" s="158"/>
      <c r="B72" s="265">
        <v>6005046622</v>
      </c>
      <c r="C72" s="273" t="str">
        <f>IFERROR(IF(VLOOKUP($B72,勘定科目!$A:$H,HLOOKUP($E$5,勘定科目!$F$1:$H$2,2,0),0)="","",VLOOKUP($B72,勘定科目!$A:$E,2,0)),"")</f>
        <v>修繕費（一般）</v>
      </c>
      <c r="D72" s="290" t="str">
        <f>IF(C72="","",VLOOKUP($B72,勘定科目!$A:$E,4,0))</f>
        <v>修繕費</v>
      </c>
      <c r="E72" s="303"/>
      <c r="F72" s="214">
        <v>900000</v>
      </c>
      <c r="G72" s="231"/>
      <c r="H72" s="214">
        <v>900000</v>
      </c>
      <c r="I72" s="231"/>
      <c r="J72" s="214">
        <v>900000</v>
      </c>
      <c r="K72" s="231"/>
      <c r="L72" s="214">
        <v>900000</v>
      </c>
      <c r="M72" s="231"/>
      <c r="N72" s="231"/>
      <c r="O72" s="231"/>
      <c r="P72" s="231"/>
      <c r="Q72" s="231"/>
      <c r="R72" s="216">
        <f t="shared" si="3"/>
        <v>3600000</v>
      </c>
      <c r="S72" s="193" t="s">
        <v>889</v>
      </c>
      <c r="T72" s="151"/>
      <c r="U72" s="192" t="s">
        <v>720</v>
      </c>
      <c r="V72" s="160"/>
      <c r="W72" s="160"/>
      <c r="BA72"/>
      <c r="BB72"/>
    </row>
    <row r="73" spans="1:54" s="149" customFormat="1" ht="13.5">
      <c r="A73" s="158"/>
      <c r="B73" s="265">
        <v>6005046622</v>
      </c>
      <c r="C73" s="273" t="str">
        <f>IFERROR(IF(VLOOKUP($B73,勘定科目!$A:$H,HLOOKUP($E$5,勘定科目!$F$1:$H$2,2,0),0)="","",VLOOKUP($B73,勘定科目!$A:$E,2,0)),"")</f>
        <v>修繕費（一般）</v>
      </c>
      <c r="D73" s="290" t="str">
        <f>IF(C73="","",VLOOKUP($B73,勘定科目!$A:$E,4,0))</f>
        <v>修繕費</v>
      </c>
      <c r="E73" s="303"/>
      <c r="F73" s="214">
        <v>1000000</v>
      </c>
      <c r="G73" s="231"/>
      <c r="H73" s="214">
        <v>1000000</v>
      </c>
      <c r="I73" s="231"/>
      <c r="J73" s="214">
        <v>1000000</v>
      </c>
      <c r="K73" s="231"/>
      <c r="L73" s="214">
        <v>1000000</v>
      </c>
      <c r="M73" s="231"/>
      <c r="N73" s="231"/>
      <c r="O73" s="231"/>
      <c r="P73" s="231"/>
      <c r="Q73" s="231"/>
      <c r="R73" s="216">
        <f t="shared" si="3"/>
        <v>4000000</v>
      </c>
      <c r="S73" s="193" t="s">
        <v>888</v>
      </c>
      <c r="T73" s="151"/>
      <c r="U73" s="192" t="s">
        <v>720</v>
      </c>
      <c r="V73" s="160"/>
      <c r="W73" s="160"/>
      <c r="BA73"/>
      <c r="BB73"/>
    </row>
    <row r="74" spans="1:54" s="149" customFormat="1" ht="13.5">
      <c r="A74" s="158"/>
      <c r="B74" s="265">
        <v>6005046622</v>
      </c>
      <c r="C74" s="273" t="str">
        <f>IFERROR(IF(VLOOKUP($B74,勘定科目!$A:$H,HLOOKUP($E$5,勘定科目!$F$1:$H$2,2,0),0)="","",VLOOKUP($B74,勘定科目!$A:$E,2,0)),"")</f>
        <v>修繕費（一般）</v>
      </c>
      <c r="D74" s="290" t="str">
        <f>IF(C74="","",VLOOKUP($B74,勘定科目!$A:$E,4,0))</f>
        <v>修繕費</v>
      </c>
      <c r="E74" s="303"/>
      <c r="F74" s="214">
        <v>200000</v>
      </c>
      <c r="G74" s="231"/>
      <c r="H74" s="214">
        <v>200000</v>
      </c>
      <c r="I74" s="231"/>
      <c r="J74" s="214">
        <v>200000</v>
      </c>
      <c r="K74" s="231"/>
      <c r="L74" s="214">
        <v>200000</v>
      </c>
      <c r="M74" s="231"/>
      <c r="N74" s="231"/>
      <c r="O74" s="231"/>
      <c r="P74" s="231"/>
      <c r="Q74" s="231"/>
      <c r="R74" s="216">
        <f t="shared" si="3"/>
        <v>800000</v>
      </c>
      <c r="S74" s="193" t="s">
        <v>887</v>
      </c>
      <c r="T74" s="151"/>
      <c r="U74" s="192" t="s">
        <v>720</v>
      </c>
      <c r="V74" s="160"/>
      <c r="W74" s="160"/>
      <c r="BA74"/>
      <c r="BB74"/>
    </row>
    <row r="75" spans="1:54" s="149" customFormat="1" ht="13.5">
      <c r="A75" s="158"/>
      <c r="B75" s="265">
        <v>6005046622</v>
      </c>
      <c r="C75" s="273" t="str">
        <f>IFERROR(IF(VLOOKUP($B75,勘定科目!$A:$H,HLOOKUP($E$5,勘定科目!$F$1:$H$2,2,0),0)="","",VLOOKUP($B75,勘定科目!$A:$E,2,0)),"")</f>
        <v>修繕費（一般）</v>
      </c>
      <c r="D75" s="290" t="str">
        <f>IF(C75="","",VLOOKUP($B75,勘定科目!$A:$E,4,0))</f>
        <v>修繕費</v>
      </c>
      <c r="E75" s="303"/>
      <c r="F75" s="214">
        <v>18414000</v>
      </c>
      <c r="G75" s="214">
        <v>18414000</v>
      </c>
      <c r="H75" s="214">
        <v>18414000</v>
      </c>
      <c r="I75" s="214">
        <v>18414000</v>
      </c>
      <c r="J75" s="214">
        <v>18414000</v>
      </c>
      <c r="K75" s="214">
        <v>18414000</v>
      </c>
      <c r="L75" s="231"/>
      <c r="M75" s="214">
        <v>18414000</v>
      </c>
      <c r="N75" s="231"/>
      <c r="O75" s="214">
        <v>18414000</v>
      </c>
      <c r="P75" s="231"/>
      <c r="Q75" s="214">
        <v>18414000</v>
      </c>
      <c r="R75" s="216">
        <f t="shared" si="3"/>
        <v>165726000</v>
      </c>
      <c r="S75" s="193" t="s">
        <v>918</v>
      </c>
      <c r="T75" s="151"/>
      <c r="U75" s="192" t="s">
        <v>720</v>
      </c>
      <c r="V75" s="160"/>
      <c r="W75" s="160"/>
      <c r="BA75"/>
      <c r="BB75"/>
    </row>
    <row r="76" spans="1:54" s="149" customFormat="1" ht="13.5">
      <c r="A76" s="158"/>
      <c r="B76" s="265">
        <v>6005046622</v>
      </c>
      <c r="C76" s="273" t="str">
        <f>IFERROR(IF(VLOOKUP($B76,勘定科目!$A:$H,HLOOKUP($E$5,勘定科目!$F$1:$H$2,2,0),0)="","",VLOOKUP($B76,勘定科目!$A:$E,2,0)),"")</f>
        <v>修繕費（一般）</v>
      </c>
      <c r="D76" s="290" t="str">
        <f>IF(C76="","",VLOOKUP($B76,勘定科目!$A:$E,4,0))</f>
        <v>修繕費</v>
      </c>
      <c r="E76" s="303"/>
      <c r="F76" s="214">
        <v>3100000</v>
      </c>
      <c r="G76" s="214">
        <v>3100000</v>
      </c>
      <c r="H76" s="214">
        <v>3100000</v>
      </c>
      <c r="I76" s="214">
        <v>3100000</v>
      </c>
      <c r="J76" s="214">
        <v>3100000</v>
      </c>
      <c r="K76" s="214">
        <v>3100000</v>
      </c>
      <c r="L76" s="231"/>
      <c r="M76" s="214">
        <v>3100000</v>
      </c>
      <c r="N76" s="231"/>
      <c r="O76" s="214">
        <v>3100000</v>
      </c>
      <c r="P76" s="231"/>
      <c r="Q76" s="214">
        <v>3100000</v>
      </c>
      <c r="R76" s="216">
        <f t="shared" si="3"/>
        <v>27900000</v>
      </c>
      <c r="S76" s="193" t="s">
        <v>893</v>
      </c>
      <c r="T76" s="151"/>
      <c r="U76" s="192" t="s">
        <v>720</v>
      </c>
      <c r="V76" s="160"/>
      <c r="W76" s="160"/>
      <c r="BA76"/>
      <c r="BB76"/>
    </row>
    <row r="77" spans="1:54" s="149" customFormat="1" ht="13.5">
      <c r="A77" s="158"/>
      <c r="B77" s="265">
        <v>6005046622</v>
      </c>
      <c r="C77" s="273" t="str">
        <f>IFERROR(IF(VLOOKUP($B77,勘定科目!$A:$H,HLOOKUP($E$5,勘定科目!$F$1:$H$2,2,0),0)="","",VLOOKUP($B77,勘定科目!$A:$E,2,0)),"")</f>
        <v>修繕費（一般）</v>
      </c>
      <c r="D77" s="290" t="str">
        <f>IF(C77="","",VLOOKUP($B77,勘定科目!$A:$E,4,0))</f>
        <v>修繕費</v>
      </c>
      <c r="E77" s="303"/>
      <c r="F77" s="214">
        <v>16500000</v>
      </c>
      <c r="G77" s="214">
        <v>16500000</v>
      </c>
      <c r="H77" s="214">
        <v>16500000</v>
      </c>
      <c r="I77" s="214">
        <v>16500000</v>
      </c>
      <c r="J77" s="214">
        <v>16500000</v>
      </c>
      <c r="K77" s="214">
        <v>16500000</v>
      </c>
      <c r="L77" s="231"/>
      <c r="M77" s="214">
        <v>16500000</v>
      </c>
      <c r="N77" s="231"/>
      <c r="O77" s="214">
        <v>16500000</v>
      </c>
      <c r="P77" s="231"/>
      <c r="Q77" s="214">
        <v>16500000</v>
      </c>
      <c r="R77" s="216">
        <f t="shared" si="3"/>
        <v>148500000</v>
      </c>
      <c r="S77" s="193" t="s">
        <v>894</v>
      </c>
      <c r="T77" s="151"/>
      <c r="U77" s="192" t="s">
        <v>720</v>
      </c>
      <c r="V77" s="160"/>
      <c r="W77" s="160"/>
      <c r="BA77"/>
      <c r="BB77"/>
    </row>
    <row r="78" spans="1:54" s="149" customFormat="1" ht="13.5">
      <c r="A78" s="158"/>
      <c r="B78" s="265">
        <v>6005046622</v>
      </c>
      <c r="C78" s="273" t="str">
        <f>IFERROR(IF(VLOOKUP($B78,勘定科目!$A:$H,HLOOKUP($E$5,勘定科目!$F$1:$H$2,2,0),0)="","",VLOOKUP($B78,勘定科目!$A:$E,2,0)),"")</f>
        <v>修繕費（一般）</v>
      </c>
      <c r="D78" s="290" t="str">
        <f>IF(C78="","",VLOOKUP($B78,勘定科目!$A:$E,4,0))</f>
        <v>修繕費</v>
      </c>
      <c r="E78" s="303"/>
      <c r="F78" s="214">
        <v>13000000</v>
      </c>
      <c r="G78" s="214">
        <v>13000000</v>
      </c>
      <c r="H78" s="214">
        <v>13000000</v>
      </c>
      <c r="I78" s="214">
        <v>13000000</v>
      </c>
      <c r="J78" s="214">
        <v>13000000</v>
      </c>
      <c r="K78" s="214">
        <v>13000000</v>
      </c>
      <c r="L78" s="231"/>
      <c r="M78" s="214">
        <v>13000000</v>
      </c>
      <c r="N78" s="231"/>
      <c r="O78" s="214">
        <v>13000000</v>
      </c>
      <c r="P78" s="231"/>
      <c r="Q78" s="214">
        <v>13000000</v>
      </c>
      <c r="R78" s="216">
        <f t="shared" si="3"/>
        <v>117000000</v>
      </c>
      <c r="S78" s="193" t="s">
        <v>895</v>
      </c>
      <c r="T78" s="151"/>
      <c r="U78" s="192" t="s">
        <v>720</v>
      </c>
      <c r="V78" s="160"/>
      <c r="W78" s="160"/>
      <c r="BA78"/>
      <c r="BB78"/>
    </row>
    <row r="79" spans="1:54" s="149" customFormat="1" ht="13.5">
      <c r="A79" s="158"/>
      <c r="B79" s="265">
        <v>6005046622</v>
      </c>
      <c r="C79" s="273" t="str">
        <f>IFERROR(IF(VLOOKUP($B79,勘定科目!$A:$H,HLOOKUP($E$5,勘定科目!$F$1:$H$2,2,0),0)="","",VLOOKUP($B79,勘定科目!$A:$E,2,0)),"")</f>
        <v>修繕費（一般）</v>
      </c>
      <c r="D79" s="290" t="str">
        <f>IF(C79="","",VLOOKUP($B79,勘定科目!$A:$E,4,0))</f>
        <v>修繕費</v>
      </c>
      <c r="E79" s="303"/>
      <c r="F79" s="214">
        <v>19200000</v>
      </c>
      <c r="G79" s="214">
        <v>19200000</v>
      </c>
      <c r="H79" s="214">
        <v>19200000</v>
      </c>
      <c r="I79" s="214">
        <v>19200000</v>
      </c>
      <c r="J79" s="214">
        <v>19200000</v>
      </c>
      <c r="K79" s="214">
        <v>19200000</v>
      </c>
      <c r="L79" s="231"/>
      <c r="M79" s="214">
        <v>19200000</v>
      </c>
      <c r="N79" s="231"/>
      <c r="O79" s="214">
        <v>19200000</v>
      </c>
      <c r="P79" s="231"/>
      <c r="Q79" s="214">
        <v>19200000</v>
      </c>
      <c r="R79" s="216">
        <f t="shared" si="3"/>
        <v>172800000</v>
      </c>
      <c r="S79" s="193" t="s">
        <v>896</v>
      </c>
      <c r="T79" s="151"/>
      <c r="U79" s="192" t="s">
        <v>720</v>
      </c>
      <c r="V79" s="160"/>
      <c r="W79" s="160"/>
      <c r="BA79"/>
      <c r="BB79"/>
    </row>
    <row r="80" spans="1:54" s="149" customFormat="1" ht="13.5">
      <c r="A80" s="158"/>
      <c r="B80" s="265">
        <v>6005046622</v>
      </c>
      <c r="C80" s="273" t="str">
        <f>IFERROR(IF(VLOOKUP($B80,勘定科目!$A:$H,HLOOKUP($E$5,勘定科目!$F$1:$H$2,2,0),0)="","",VLOOKUP($B80,勘定科目!$A:$E,2,0)),"")</f>
        <v>修繕費（一般）</v>
      </c>
      <c r="D80" s="290" t="str">
        <f>IF(C80="","",VLOOKUP($B80,勘定科目!$A:$E,4,0))</f>
        <v>修繕費</v>
      </c>
      <c r="E80" s="303"/>
      <c r="F80" s="231">
        <f>40*500000</f>
        <v>20000000</v>
      </c>
      <c r="G80" s="231"/>
      <c r="H80" s="231"/>
      <c r="I80" s="231"/>
      <c r="J80" s="231"/>
      <c r="K80" s="231"/>
      <c r="L80" s="231"/>
      <c r="M80" s="231"/>
      <c r="N80" s="231">
        <f>40*500000</f>
        <v>20000000</v>
      </c>
      <c r="O80" s="231"/>
      <c r="P80" s="231"/>
      <c r="Q80" s="231">
        <f>40*500000</f>
        <v>20000000</v>
      </c>
      <c r="R80" s="216">
        <f t="shared" si="3"/>
        <v>60000000</v>
      </c>
      <c r="S80" s="193" t="s">
        <v>919</v>
      </c>
      <c r="T80" s="151"/>
      <c r="U80" s="192" t="s">
        <v>720</v>
      </c>
      <c r="V80" s="160"/>
      <c r="W80" s="160"/>
      <c r="BA80"/>
      <c r="BB80"/>
    </row>
    <row r="81" spans="1:54" s="149" customFormat="1" ht="13.5">
      <c r="A81" s="158"/>
      <c r="B81" s="265">
        <v>6005046622</v>
      </c>
      <c r="C81" s="273" t="str">
        <f>IFERROR(IF(VLOOKUP($B81,勘定科目!$A:$H,HLOOKUP($E$5,勘定科目!$F$1:$H$2,2,0),0)="","",VLOOKUP($B81,勘定科目!$A:$E,2,0)),"")</f>
        <v>修繕費（一般）</v>
      </c>
      <c r="D81" s="290" t="str">
        <f>IF(C81="","",VLOOKUP($B81,勘定科目!$A:$E,4,0))</f>
        <v>修繕費</v>
      </c>
      <c r="E81" s="303"/>
      <c r="F81" s="214">
        <v>25000000</v>
      </c>
      <c r="G81" s="214">
        <v>25000000</v>
      </c>
      <c r="H81" s="214">
        <v>25000000</v>
      </c>
      <c r="I81" s="214">
        <v>25000000</v>
      </c>
      <c r="J81" s="214">
        <v>25000000</v>
      </c>
      <c r="K81" s="214">
        <v>25000000</v>
      </c>
      <c r="L81" s="214">
        <v>25000000</v>
      </c>
      <c r="M81" s="214">
        <v>25000000</v>
      </c>
      <c r="N81" s="214">
        <v>25000000</v>
      </c>
      <c r="O81" s="214"/>
      <c r="P81" s="214"/>
      <c r="Q81" s="214"/>
      <c r="R81" s="216">
        <f t="shared" si="3"/>
        <v>225000000</v>
      </c>
      <c r="S81" s="193" t="s">
        <v>920</v>
      </c>
      <c r="T81" s="151"/>
      <c r="U81" s="192" t="s">
        <v>720</v>
      </c>
      <c r="V81" s="160"/>
      <c r="W81" s="160"/>
      <c r="BA81"/>
      <c r="BB81"/>
    </row>
    <row r="82" spans="1:54" s="149" customFormat="1" ht="13.5">
      <c r="A82" s="158"/>
      <c r="B82" s="265">
        <v>6005046622</v>
      </c>
      <c r="C82" s="273" t="str">
        <f>IFERROR(IF(VLOOKUP($B82,勘定科目!$A:$H,HLOOKUP($E$5,勘定科目!$F$1:$H$2,2,0),0)="","",VLOOKUP($B82,勘定科目!$A:$E,2,0)),"")</f>
        <v>修繕費（一般）</v>
      </c>
      <c r="D82" s="290" t="str">
        <f>IF(C82="","",VLOOKUP($B82,勘定科目!$A:$E,4,0))</f>
        <v>修繕費</v>
      </c>
      <c r="E82" s="303"/>
      <c r="F82" s="214"/>
      <c r="G82" s="214">
        <v>17400000</v>
      </c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6">
        <f t="shared" si="3"/>
        <v>17400000</v>
      </c>
      <c r="S82" s="193" t="s">
        <v>921</v>
      </c>
      <c r="T82" s="151"/>
      <c r="U82" s="192" t="s">
        <v>720</v>
      </c>
      <c r="V82" s="160"/>
      <c r="W82" s="160"/>
      <c r="BA82"/>
      <c r="BB82"/>
    </row>
    <row r="83" spans="1:54" s="149" customFormat="1" ht="13.5">
      <c r="A83" s="158"/>
      <c r="B83" s="265">
        <v>6005046622</v>
      </c>
      <c r="C83" s="273" t="str">
        <f>IFERROR(IF(VLOOKUP($B83,勘定科目!$A:$H,HLOOKUP($E$5,勘定科目!$F$1:$H$2,2,0),0)="","",VLOOKUP($B83,勘定科目!$A:$E,2,0)),"")</f>
        <v>修繕費（一般）</v>
      </c>
      <c r="D83" s="290" t="str">
        <f>IF(C83="","",VLOOKUP($B83,勘定科目!$A:$E,4,0))</f>
        <v>修繕費</v>
      </c>
      <c r="E83" s="303"/>
      <c r="F83" s="214"/>
      <c r="G83" s="231"/>
      <c r="H83" s="231">
        <v>300000000</v>
      </c>
      <c r="I83" s="231"/>
      <c r="J83" s="231"/>
      <c r="K83" s="231"/>
      <c r="L83" s="231"/>
      <c r="M83" s="231"/>
      <c r="N83" s="231"/>
      <c r="O83" s="231"/>
      <c r="P83" s="231"/>
      <c r="Q83" s="231"/>
      <c r="R83" s="216">
        <f t="shared" si="3"/>
        <v>300000000</v>
      </c>
      <c r="S83" s="193" t="s">
        <v>897</v>
      </c>
      <c r="T83" s="151"/>
      <c r="U83" s="192" t="s">
        <v>719</v>
      </c>
      <c r="V83" s="160"/>
      <c r="W83" s="160"/>
      <c r="BA83"/>
      <c r="BB83"/>
    </row>
    <row r="84" spans="1:54" s="149" customFormat="1" ht="13.5">
      <c r="A84" s="158"/>
      <c r="B84" s="265">
        <v>6005046622</v>
      </c>
      <c r="C84" s="273" t="str">
        <f>IFERROR(IF(VLOOKUP($B84,勘定科目!$A:$H,HLOOKUP($E$5,勘定科目!$F$1:$H$2,2,0),0)="","",VLOOKUP($B84,勘定科目!$A:$E,2,0)),"")</f>
        <v>修繕費（一般）</v>
      </c>
      <c r="D84" s="290" t="str">
        <f>IF(C84="","",VLOOKUP($B84,勘定科目!$A:$E,4,0))</f>
        <v>修繕費</v>
      </c>
      <c r="E84" s="303"/>
      <c r="F84" s="214">
        <v>360000000</v>
      </c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16">
        <f t="shared" si="3"/>
        <v>360000000</v>
      </c>
      <c r="S84" s="193" t="s">
        <v>922</v>
      </c>
      <c r="T84" s="151"/>
      <c r="U84" s="192" t="s">
        <v>719</v>
      </c>
      <c r="V84" s="160"/>
      <c r="W84" s="160"/>
      <c r="BA84"/>
      <c r="BB84"/>
    </row>
    <row r="85" spans="1:54" s="149" customFormat="1" ht="13.5">
      <c r="A85" s="158"/>
      <c r="B85" s="265">
        <v>6005046622</v>
      </c>
      <c r="C85" s="273" t="str">
        <f>IFERROR(IF(VLOOKUP($B85,勘定科目!$A:$H,HLOOKUP($E$5,勘定科目!$F$1:$H$2,2,0),0)="","",VLOOKUP($B85,勘定科目!$A:$E,2,0)),"")</f>
        <v>修繕費（一般）</v>
      </c>
      <c r="D85" s="290" t="str">
        <f>IF(C85="","",VLOOKUP($B85,勘定科目!$A:$E,4,0))</f>
        <v>修繕費</v>
      </c>
      <c r="E85" s="303"/>
      <c r="F85" s="214">
        <v>300000000</v>
      </c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16">
        <f t="shared" si="3"/>
        <v>300000000</v>
      </c>
      <c r="S85" s="193" t="s">
        <v>923</v>
      </c>
      <c r="T85" s="151"/>
      <c r="U85" s="192" t="s">
        <v>719</v>
      </c>
      <c r="V85" s="160"/>
      <c r="W85" s="160"/>
      <c r="BA85"/>
      <c r="BB85"/>
    </row>
    <row r="86" spans="1:54" s="149" customFormat="1" ht="13.5">
      <c r="A86" s="158"/>
      <c r="B86" s="265">
        <v>6005046622</v>
      </c>
      <c r="C86" s="273" t="str">
        <f>IFERROR(IF(VLOOKUP($B86,勘定科目!$A:$H,HLOOKUP($E$5,勘定科目!$F$1:$H$2,2,0),0)="","",VLOOKUP($B86,勘定科目!$A:$E,2,0)),"")</f>
        <v>修繕費（一般）</v>
      </c>
      <c r="D86" s="290" t="str">
        <f>IF(C86="","",VLOOKUP($B86,勘定科目!$A:$E,4,0))</f>
        <v>修繕費</v>
      </c>
      <c r="E86" s="303"/>
      <c r="F86" s="214"/>
      <c r="G86" s="231"/>
      <c r="H86" s="231"/>
      <c r="I86" s="231"/>
      <c r="J86" s="231"/>
      <c r="K86" s="231"/>
      <c r="L86" s="231"/>
      <c r="M86" s="231"/>
      <c r="N86" s="231">
        <v>1400000000</v>
      </c>
      <c r="O86" s="231"/>
      <c r="P86" s="231"/>
      <c r="Q86" s="231"/>
      <c r="R86" s="216">
        <f t="shared" si="3"/>
        <v>1400000000</v>
      </c>
      <c r="S86" s="193" t="s">
        <v>1008</v>
      </c>
      <c r="T86" s="151"/>
      <c r="U86" s="192" t="s">
        <v>719</v>
      </c>
      <c r="V86" s="160"/>
      <c r="W86" s="160"/>
      <c r="BA86"/>
      <c r="BB86"/>
    </row>
    <row r="87" spans="1:54" s="149" customFormat="1" ht="13.5">
      <c r="A87" s="158"/>
      <c r="B87" s="265">
        <v>6005046622</v>
      </c>
      <c r="C87" s="273" t="str">
        <f>IFERROR(IF(VLOOKUP($B87,勘定科目!$A:$H,HLOOKUP($E$5,勘定科目!$F$1:$H$2,2,0),0)="","",VLOOKUP($B87,勘定科目!$A:$E,2,0)),"")</f>
        <v>修繕費（一般）</v>
      </c>
      <c r="D87" s="290" t="str">
        <f>IF(C87="","",VLOOKUP($B87,勘定科目!$A:$E,4,0))</f>
        <v>修繕費</v>
      </c>
      <c r="E87" s="303"/>
      <c r="F87" s="214"/>
      <c r="G87" s="231"/>
      <c r="H87" s="231"/>
      <c r="I87" s="231"/>
      <c r="J87" s="231">
        <v>600000000</v>
      </c>
      <c r="K87" s="231"/>
      <c r="L87" s="231"/>
      <c r="M87" s="231"/>
      <c r="N87" s="231"/>
      <c r="O87" s="231"/>
      <c r="P87" s="231"/>
      <c r="Q87" s="231"/>
      <c r="R87" s="216">
        <f t="shared" si="3"/>
        <v>600000000</v>
      </c>
      <c r="S87" s="193" t="s">
        <v>898</v>
      </c>
      <c r="T87" s="151"/>
      <c r="U87" s="192" t="s">
        <v>719</v>
      </c>
      <c r="V87" s="160"/>
      <c r="W87" s="160"/>
      <c r="BA87"/>
      <c r="BB87"/>
    </row>
    <row r="88" spans="1:54" s="149" customFormat="1" ht="13.5">
      <c r="A88" s="158"/>
      <c r="B88" s="265">
        <v>6005046622</v>
      </c>
      <c r="C88" s="273" t="str">
        <f>IFERROR(IF(VLOOKUP($B88,勘定科目!$A:$H,HLOOKUP($E$5,勘定科目!$F$1:$H$2,2,0),0)="","",VLOOKUP($B88,勘定科目!$A:$E,2,0)),"")</f>
        <v>修繕費（一般）</v>
      </c>
      <c r="D88" s="290" t="str">
        <f>IF(C88="","",VLOOKUP($B88,勘定科目!$A:$E,4,0))</f>
        <v>修繕費</v>
      </c>
      <c r="E88" s="303"/>
      <c r="F88" s="214"/>
      <c r="G88" s="231"/>
      <c r="H88" s="231"/>
      <c r="I88" s="231"/>
      <c r="J88" s="231"/>
      <c r="K88" s="231"/>
      <c r="L88" s="231">
        <v>61500000</v>
      </c>
      <c r="M88" s="231"/>
      <c r="N88" s="231"/>
      <c r="O88" s="231"/>
      <c r="P88" s="231"/>
      <c r="Q88" s="231"/>
      <c r="R88" s="216">
        <f t="shared" si="3"/>
        <v>61500000</v>
      </c>
      <c r="S88" s="193" t="s">
        <v>924</v>
      </c>
      <c r="T88" s="151"/>
      <c r="U88" s="192" t="s">
        <v>725</v>
      </c>
      <c r="V88" s="160"/>
      <c r="W88" s="160"/>
      <c r="BA88"/>
      <c r="BB88"/>
    </row>
    <row r="89" spans="1:54" s="149" customFormat="1" ht="13.5">
      <c r="A89" s="158"/>
      <c r="B89" s="265">
        <v>6005046622</v>
      </c>
      <c r="C89" s="273" t="str">
        <f>IFERROR(IF(VLOOKUP($B89,勘定科目!$A:$H,HLOOKUP($E$5,勘定科目!$F$1:$H$2,2,0),0)="","",VLOOKUP($B89,勘定科目!$A:$E,2,0)),"")</f>
        <v>修繕費（一般）</v>
      </c>
      <c r="D89" s="290" t="str">
        <f>IF(C89="","",VLOOKUP($B89,勘定科目!$A:$E,4,0))</f>
        <v>修繕費</v>
      </c>
      <c r="E89" s="303"/>
      <c r="F89" s="214"/>
      <c r="G89" s="231"/>
      <c r="H89" s="231"/>
      <c r="I89" s="231"/>
      <c r="J89" s="231"/>
      <c r="K89" s="231"/>
      <c r="L89" s="231">
        <v>35800000</v>
      </c>
      <c r="M89" s="231"/>
      <c r="N89" s="231"/>
      <c r="O89" s="231"/>
      <c r="P89" s="231"/>
      <c r="Q89" s="231"/>
      <c r="R89" s="216">
        <f t="shared" si="3"/>
        <v>35800000</v>
      </c>
      <c r="S89" s="193" t="s">
        <v>899</v>
      </c>
      <c r="T89" s="151"/>
      <c r="U89" s="192" t="s">
        <v>725</v>
      </c>
      <c r="V89" s="160"/>
      <c r="W89" s="160"/>
      <c r="BA89"/>
      <c r="BB89"/>
    </row>
    <row r="90" spans="1:54" s="149" customFormat="1" ht="13.5">
      <c r="A90" s="158"/>
      <c r="B90" s="265">
        <v>6005046622</v>
      </c>
      <c r="C90" s="273" t="str">
        <f>IFERROR(IF(VLOOKUP($B90,勘定科目!$A:$H,HLOOKUP($E$5,勘定科目!$F$1:$H$2,2,0),0)="","",VLOOKUP($B90,勘定科目!$A:$E,2,0)),"")</f>
        <v>修繕費（一般）</v>
      </c>
      <c r="D90" s="290" t="str">
        <f>IF(C90="","",VLOOKUP($B90,勘定科目!$A:$E,4,0))</f>
        <v>修繕費</v>
      </c>
      <c r="E90" s="303"/>
      <c r="F90" s="214">
        <v>21450000</v>
      </c>
      <c r="G90" s="231"/>
      <c r="H90" s="231">
        <v>21450000</v>
      </c>
      <c r="I90" s="231"/>
      <c r="J90" s="231">
        <v>21450000</v>
      </c>
      <c r="K90" s="231"/>
      <c r="L90" s="231">
        <v>21450000</v>
      </c>
      <c r="M90" s="231"/>
      <c r="N90" s="231">
        <v>21450000</v>
      </c>
      <c r="O90" s="231"/>
      <c r="P90" s="231"/>
      <c r="Q90" s="231"/>
      <c r="R90" s="216">
        <f t="shared" si="3"/>
        <v>107250000</v>
      </c>
      <c r="S90" s="193" t="s">
        <v>900</v>
      </c>
      <c r="T90" s="151"/>
      <c r="U90" s="192" t="s">
        <v>725</v>
      </c>
      <c r="V90" s="160"/>
      <c r="W90" s="160"/>
      <c r="BA90"/>
      <c r="BB90"/>
    </row>
    <row r="91" spans="1:54" s="149" customFormat="1" ht="13.5">
      <c r="A91" s="158"/>
      <c r="B91" s="265">
        <v>6005046622</v>
      </c>
      <c r="C91" s="273" t="str">
        <f>IFERROR(IF(VLOOKUP($B91,勘定科目!$A:$H,HLOOKUP($E$5,勘定科目!$F$1:$H$2,2,0),0)="","",VLOOKUP($B91,勘定科目!$A:$E,2,0)),"")</f>
        <v>修繕費（一般）</v>
      </c>
      <c r="D91" s="290" t="str">
        <f>IF(C91="","",VLOOKUP($B91,勘定科目!$A:$E,4,0))</f>
        <v>修繕費</v>
      </c>
      <c r="E91" s="303"/>
      <c r="F91" s="214">
        <v>24000000</v>
      </c>
      <c r="G91" s="231">
        <v>24000000</v>
      </c>
      <c r="H91" s="231">
        <v>24000000</v>
      </c>
      <c r="I91" s="231">
        <v>24000000</v>
      </c>
      <c r="J91" s="231">
        <v>24000000</v>
      </c>
      <c r="K91" s="231">
        <v>24000000</v>
      </c>
      <c r="L91" s="231">
        <v>24000000</v>
      </c>
      <c r="M91" s="231">
        <v>24000000</v>
      </c>
      <c r="N91" s="231">
        <v>24000000</v>
      </c>
      <c r="O91" s="231">
        <v>24000000</v>
      </c>
      <c r="P91" s="231"/>
      <c r="Q91" s="231"/>
      <c r="R91" s="216">
        <f t="shared" si="3"/>
        <v>240000000</v>
      </c>
      <c r="S91" s="193" t="s">
        <v>901</v>
      </c>
      <c r="T91" s="151"/>
      <c r="U91" s="192" t="s">
        <v>725</v>
      </c>
      <c r="V91" s="160"/>
      <c r="W91" s="160"/>
      <c r="BA91"/>
      <c r="BB91"/>
    </row>
    <row r="92" spans="1:54" s="149" customFormat="1" ht="13.5">
      <c r="A92" s="146"/>
      <c r="B92" s="263">
        <v>6005046622</v>
      </c>
      <c r="C92" s="273" t="str">
        <f>IFERROR(IF(VLOOKUP($B92,勘定科目!$A:$H,HLOOKUP($E$5,勘定科目!$F$1:$H$2,2,0),0)="","",VLOOKUP($B92,勘定科目!$A:$E,2,0)),"")</f>
        <v>修繕費（一般）</v>
      </c>
      <c r="D92" s="290" t="str">
        <f>IF(C92="","",VLOOKUP($B92,勘定科目!$A:$E,4,0))</f>
        <v>修繕費</v>
      </c>
      <c r="E92" s="303"/>
      <c r="F92" s="229">
        <v>6700000</v>
      </c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16">
        <f t="shared" ref="R92:R106" si="7">SUM(F92:Q92)</f>
        <v>6700000</v>
      </c>
      <c r="S92" s="193" t="s">
        <v>902</v>
      </c>
      <c r="T92" s="151"/>
      <c r="U92" s="192" t="s">
        <v>724</v>
      </c>
      <c r="V92" s="160"/>
      <c r="W92" s="160"/>
      <c r="BA92"/>
      <c r="BB92"/>
    </row>
    <row r="93" spans="1:54" s="149" customFormat="1" ht="13.5">
      <c r="A93" s="146"/>
      <c r="B93" s="263">
        <v>6005046622</v>
      </c>
      <c r="C93" s="273" t="str">
        <f>IFERROR(IF(VLOOKUP($B93,勘定科目!$A:$H,HLOOKUP($E$5,勘定科目!$F$1:$H$2,2,0),0)="","",VLOOKUP($B93,勘定科目!$A:$E,2,0)),"")</f>
        <v>修繕費（一般）</v>
      </c>
      <c r="D93" s="290" t="str">
        <f>IF(C93="","",VLOOKUP($B93,勘定科目!$A:$E,4,0))</f>
        <v>修繕費</v>
      </c>
      <c r="E93" s="303"/>
      <c r="F93" s="229"/>
      <c r="G93" s="230"/>
      <c r="H93" s="230">
        <v>2200000</v>
      </c>
      <c r="I93" s="230"/>
      <c r="J93" s="230"/>
      <c r="K93" s="230"/>
      <c r="L93" s="230"/>
      <c r="M93" s="230"/>
      <c r="N93" s="230"/>
      <c r="O93" s="230"/>
      <c r="P93" s="230"/>
      <c r="Q93" s="230"/>
      <c r="R93" s="216">
        <f t="shared" si="7"/>
        <v>2200000</v>
      </c>
      <c r="S93" s="193" t="s">
        <v>903</v>
      </c>
      <c r="T93" s="151"/>
      <c r="U93" s="192" t="s">
        <v>724</v>
      </c>
      <c r="V93" s="160"/>
      <c r="W93" s="160"/>
      <c r="BA93"/>
      <c r="BB93"/>
    </row>
    <row r="94" spans="1:54" s="149" customFormat="1" ht="13.5">
      <c r="A94" s="146"/>
      <c r="B94" s="263">
        <v>6005046622</v>
      </c>
      <c r="C94" s="273" t="str">
        <f>IFERROR(IF(VLOOKUP($B94,勘定科目!$A:$H,HLOOKUP($E$5,勘定科目!$F$1:$H$2,2,0),0)="","",VLOOKUP($B94,勘定科目!$A:$E,2,0)),"")</f>
        <v>修繕費（一般）</v>
      </c>
      <c r="D94" s="290" t="str">
        <f>IF(C94="","",VLOOKUP($B94,勘定科目!$A:$E,4,0))</f>
        <v>修繕費</v>
      </c>
      <c r="E94" s="303"/>
      <c r="F94" s="229">
        <v>23700000</v>
      </c>
      <c r="G94" s="230">
        <v>18200000</v>
      </c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16">
        <f t="shared" si="7"/>
        <v>41900000</v>
      </c>
      <c r="S94" s="193" t="s">
        <v>904</v>
      </c>
      <c r="T94" s="151"/>
      <c r="U94" s="192" t="s">
        <v>724</v>
      </c>
      <c r="V94" s="160"/>
      <c r="W94" s="160"/>
      <c r="BA94"/>
      <c r="BB94"/>
    </row>
    <row r="95" spans="1:54" s="149" customFormat="1" ht="13.5">
      <c r="A95" s="146"/>
      <c r="B95" s="263">
        <v>6005046622</v>
      </c>
      <c r="C95" s="273" t="str">
        <f>IFERROR(IF(VLOOKUP($B95,勘定科目!$A:$H,HLOOKUP($E$5,勘定科目!$F$1:$H$2,2,0),0)="","",VLOOKUP($B95,勘定科目!$A:$E,2,0)),"")</f>
        <v>修繕費（一般）</v>
      </c>
      <c r="D95" s="290" t="str">
        <f>IF(C95="","",VLOOKUP($B95,勘定科目!$A:$E,4,0))</f>
        <v>修繕費</v>
      </c>
      <c r="E95" s="303"/>
      <c r="F95" s="229">
        <v>24500000</v>
      </c>
      <c r="G95" s="229">
        <v>24500000</v>
      </c>
      <c r="H95" s="229">
        <v>24500000</v>
      </c>
      <c r="I95" s="229">
        <v>24500000</v>
      </c>
      <c r="J95" s="229">
        <v>24500000</v>
      </c>
      <c r="K95" s="229">
        <v>24500000</v>
      </c>
      <c r="L95" s="229">
        <v>24500000</v>
      </c>
      <c r="M95" s="229">
        <v>24500000</v>
      </c>
      <c r="N95" s="229">
        <v>24500000</v>
      </c>
      <c r="O95" s="229">
        <v>24500000</v>
      </c>
      <c r="P95" s="229">
        <v>24500000</v>
      </c>
      <c r="Q95" s="229">
        <v>24500000</v>
      </c>
      <c r="R95" s="216">
        <f t="shared" si="7"/>
        <v>294000000</v>
      </c>
      <c r="S95" s="193" t="s">
        <v>905</v>
      </c>
      <c r="T95" s="151"/>
      <c r="U95" s="192" t="s">
        <v>724</v>
      </c>
      <c r="V95" s="160"/>
      <c r="W95" s="160"/>
      <c r="BA95"/>
      <c r="BB95"/>
    </row>
    <row r="96" spans="1:54" s="149" customFormat="1" ht="13.5">
      <c r="A96" s="146"/>
      <c r="B96" s="263">
        <v>6005046622</v>
      </c>
      <c r="C96" s="273" t="str">
        <f>IFERROR(IF(VLOOKUP($B96,勘定科目!$A:$H,HLOOKUP($E$5,勘定科目!$F$1:$H$2,2,0),0)="","",VLOOKUP($B96,勘定科目!$A:$E,2,0)),"")</f>
        <v>修繕費（一般）</v>
      </c>
      <c r="D96" s="290" t="str">
        <f>IF(C96="","",VLOOKUP($B96,勘定科目!$A:$E,4,0))</f>
        <v>修繕費</v>
      </c>
      <c r="E96" s="303"/>
      <c r="F96" s="229">
        <v>24500000</v>
      </c>
      <c r="G96" s="229">
        <v>24500000</v>
      </c>
      <c r="H96" s="229">
        <v>24500000</v>
      </c>
      <c r="I96" s="229">
        <v>24500000</v>
      </c>
      <c r="J96" s="229">
        <v>24500000</v>
      </c>
      <c r="K96" s="229">
        <v>24500000</v>
      </c>
      <c r="L96" s="229">
        <v>24500000</v>
      </c>
      <c r="M96" s="229">
        <v>24500000</v>
      </c>
      <c r="N96" s="229">
        <v>24500000</v>
      </c>
      <c r="O96" s="229">
        <v>24500000</v>
      </c>
      <c r="P96" s="229">
        <v>24500000</v>
      </c>
      <c r="Q96" s="229">
        <v>24500000</v>
      </c>
      <c r="R96" s="216">
        <f t="shared" si="7"/>
        <v>294000000</v>
      </c>
      <c r="S96" s="193" t="s">
        <v>1004</v>
      </c>
      <c r="T96" s="151"/>
      <c r="U96" s="192" t="s">
        <v>724</v>
      </c>
      <c r="V96" s="160"/>
      <c r="W96" s="160"/>
      <c r="BA96"/>
      <c r="BB96"/>
    </row>
    <row r="97" spans="1:54" s="149" customFormat="1" ht="13.5">
      <c r="A97" s="146"/>
      <c r="B97" s="263">
        <v>6005046622</v>
      </c>
      <c r="C97" s="273" t="str">
        <f>IFERROR(IF(VLOOKUP($B97,勘定科目!$A:$H,HLOOKUP($E$5,勘定科目!$F$1:$H$2,2,0),0)="","",VLOOKUP($B97,勘定科目!$A:$E,2,0)),"")</f>
        <v>修繕費（一般）</v>
      </c>
      <c r="D97" s="290" t="str">
        <f>IF(C97="","",VLOOKUP($B97,勘定科目!$A:$E,4,0))</f>
        <v>修繕費</v>
      </c>
      <c r="E97" s="303"/>
      <c r="F97" s="229">
        <v>24500000</v>
      </c>
      <c r="G97" s="229">
        <v>24500000</v>
      </c>
      <c r="H97" s="229">
        <v>24500000</v>
      </c>
      <c r="I97" s="229">
        <v>24500000</v>
      </c>
      <c r="J97" s="229">
        <v>24500000</v>
      </c>
      <c r="K97" s="229">
        <v>24500000</v>
      </c>
      <c r="L97" s="229">
        <v>24500000</v>
      </c>
      <c r="M97" s="229">
        <v>24500000</v>
      </c>
      <c r="N97" s="229">
        <v>24500000</v>
      </c>
      <c r="O97" s="229">
        <v>24500000</v>
      </c>
      <c r="P97" s="229">
        <v>24500000</v>
      </c>
      <c r="Q97" s="229">
        <v>24500000</v>
      </c>
      <c r="R97" s="216">
        <f t="shared" si="7"/>
        <v>294000000</v>
      </c>
      <c r="S97" s="193" t="s">
        <v>1005</v>
      </c>
      <c r="T97" s="151"/>
      <c r="U97" s="192" t="s">
        <v>724</v>
      </c>
      <c r="V97" s="160"/>
      <c r="W97" s="160"/>
      <c r="BA97"/>
      <c r="BB97"/>
    </row>
    <row r="98" spans="1:54" s="149" customFormat="1" ht="13.5">
      <c r="A98" s="146"/>
      <c r="B98" s="263">
        <v>6005046622</v>
      </c>
      <c r="C98" s="273" t="str">
        <f>IFERROR(IF(VLOOKUP($B98,勘定科目!$A:$H,HLOOKUP($E$5,勘定科目!$F$1:$H$2,2,0),0)="","",VLOOKUP($B98,勘定科目!$A:$E,2,0)),"")</f>
        <v>修繕費（一般）</v>
      </c>
      <c r="D98" s="290" t="str">
        <f>IF(C98="","",VLOOKUP($B98,勘定科目!$A:$E,4,0))</f>
        <v>修繕費</v>
      </c>
      <c r="E98" s="303"/>
      <c r="F98" s="230">
        <v>18000000</v>
      </c>
      <c r="G98" s="230">
        <v>18000000</v>
      </c>
      <c r="H98" s="230"/>
      <c r="I98" s="230">
        <v>18000000</v>
      </c>
      <c r="J98" s="230"/>
      <c r="K98" s="230">
        <v>18000000</v>
      </c>
      <c r="L98" s="230">
        <v>18000000</v>
      </c>
      <c r="M98" s="230">
        <v>18000000</v>
      </c>
      <c r="N98" s="230"/>
      <c r="O98" s="230">
        <v>18000000</v>
      </c>
      <c r="P98" s="230"/>
      <c r="Q98" s="230">
        <v>18000000</v>
      </c>
      <c r="R98" s="216">
        <f t="shared" si="7"/>
        <v>144000000</v>
      </c>
      <c r="S98" s="193" t="s">
        <v>908</v>
      </c>
      <c r="T98" s="194"/>
      <c r="U98" s="192" t="s">
        <v>726</v>
      </c>
      <c r="V98" s="160"/>
      <c r="W98" s="160"/>
      <c r="BA98"/>
      <c r="BB98"/>
    </row>
    <row r="99" spans="1:54" s="149" customFormat="1" ht="13.5">
      <c r="A99" s="146"/>
      <c r="B99" s="263">
        <v>6005046622</v>
      </c>
      <c r="C99" s="273" t="str">
        <f>IFERROR(IF(VLOOKUP($B99,勘定科目!$A:$H,HLOOKUP($E$5,勘定科目!$F$1:$H$2,2,0),0)="","",VLOOKUP($B99,勘定科目!$A:$E,2,0)),"")</f>
        <v>修繕費（一般）</v>
      </c>
      <c r="D99" s="290" t="str">
        <f>IF(C99="","",VLOOKUP($B99,勘定科目!$A:$E,4,0))</f>
        <v>修繕費</v>
      </c>
      <c r="E99" s="303"/>
      <c r="F99" s="229">
        <v>22000000</v>
      </c>
      <c r="G99" s="229">
        <v>22000000</v>
      </c>
      <c r="H99" s="229">
        <v>22000000</v>
      </c>
      <c r="I99" s="229">
        <v>22000000</v>
      </c>
      <c r="J99" s="229">
        <v>22000000</v>
      </c>
      <c r="K99" s="230"/>
      <c r="L99" s="229">
        <v>22000000</v>
      </c>
      <c r="M99" s="230"/>
      <c r="N99" s="229">
        <v>22000000</v>
      </c>
      <c r="O99" s="230"/>
      <c r="P99" s="229">
        <v>22000000</v>
      </c>
      <c r="Q99" s="230"/>
      <c r="R99" s="216">
        <f t="shared" si="7"/>
        <v>176000000</v>
      </c>
      <c r="S99" s="193" t="s">
        <v>909</v>
      </c>
      <c r="T99" s="194"/>
      <c r="U99" s="192" t="s">
        <v>726</v>
      </c>
      <c r="V99" s="160"/>
      <c r="W99" s="160"/>
      <c r="BA99"/>
      <c r="BB99"/>
    </row>
    <row r="100" spans="1:54" s="149" customFormat="1" ht="13.5">
      <c r="A100" s="146"/>
      <c r="B100" s="263">
        <v>6005046622</v>
      </c>
      <c r="C100" s="273" t="str">
        <f>IFERROR(IF(VLOOKUP($B100,勘定科目!$A:$H,HLOOKUP($E$5,勘定科目!$F$1:$H$2,2,0),0)="","",VLOOKUP($B100,勘定科目!$A:$E,2,0)),"")</f>
        <v>修繕費（一般）</v>
      </c>
      <c r="D100" s="290" t="str">
        <f>IF(C100="","",VLOOKUP($B100,勘定科目!$A:$E,4,0))</f>
        <v>修繕費</v>
      </c>
      <c r="E100" s="303"/>
      <c r="F100" s="229">
        <v>17000000</v>
      </c>
      <c r="G100" s="229">
        <v>17000000</v>
      </c>
      <c r="H100" s="229">
        <v>17000000</v>
      </c>
      <c r="I100" s="229">
        <v>17000000</v>
      </c>
      <c r="J100" s="229">
        <v>17000000</v>
      </c>
      <c r="K100" s="229">
        <v>17000000</v>
      </c>
      <c r="L100" s="229">
        <v>17000000</v>
      </c>
      <c r="M100" s="229">
        <v>17000000</v>
      </c>
      <c r="N100" s="229">
        <v>17000000</v>
      </c>
      <c r="O100" s="229">
        <v>17000000</v>
      </c>
      <c r="P100" s="229">
        <v>17000000</v>
      </c>
      <c r="Q100" s="229">
        <v>17000000</v>
      </c>
      <c r="R100" s="216">
        <f t="shared" si="7"/>
        <v>204000000</v>
      </c>
      <c r="S100" s="193" t="s">
        <v>926</v>
      </c>
      <c r="T100" s="194"/>
      <c r="U100" s="192" t="s">
        <v>726</v>
      </c>
      <c r="V100" s="160"/>
      <c r="W100" s="160"/>
      <c r="BA100"/>
      <c r="BB100"/>
    </row>
    <row r="101" spans="1:54" s="149" customFormat="1" ht="13.5">
      <c r="A101" s="146"/>
      <c r="B101" s="263">
        <v>6005046622</v>
      </c>
      <c r="C101" s="273" t="str">
        <f>IFERROR(IF(VLOOKUP($B101,勘定科目!$A:$H,HLOOKUP($E$5,勘定科目!$F$1:$H$2,2,0),0)="","",VLOOKUP($B101,勘定科目!$A:$E,2,0)),"")</f>
        <v>修繕費（一般）</v>
      </c>
      <c r="D101" s="290" t="str">
        <f>IF(C101="","",VLOOKUP($B101,勘定科目!$A:$E,4,0))</f>
        <v>修繕費</v>
      </c>
      <c r="E101" s="303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16">
        <v>330000000</v>
      </c>
      <c r="S101" s="193" t="s">
        <v>998</v>
      </c>
      <c r="T101" s="194"/>
      <c r="U101" s="192" t="s">
        <v>726</v>
      </c>
      <c r="V101" s="160"/>
      <c r="W101" s="160"/>
      <c r="BA101"/>
      <c r="BB101"/>
    </row>
    <row r="102" spans="1:54" s="149" customFormat="1" ht="13.5">
      <c r="A102" s="146"/>
      <c r="B102" s="263">
        <v>6005046622</v>
      </c>
      <c r="C102" s="273" t="str">
        <f>IFERROR(IF(VLOOKUP($B102,勘定科目!$A:$H,HLOOKUP($E$5,勘定科目!$F$1:$H$2,2,0),0)="","",VLOOKUP($B102,勘定科目!$A:$E,2,0)),"")</f>
        <v>修繕費（一般）</v>
      </c>
      <c r="D102" s="290" t="str">
        <f>IF(C102="","",VLOOKUP($B102,勘定科目!$A:$E,4,0))</f>
        <v>修繕費</v>
      </c>
      <c r="E102" s="303"/>
      <c r="F102" s="229">
        <v>10300000</v>
      </c>
      <c r="G102" s="229">
        <v>10300000</v>
      </c>
      <c r="H102" s="229">
        <v>10300000</v>
      </c>
      <c r="I102" s="229">
        <v>10300000</v>
      </c>
      <c r="J102" s="229">
        <v>10300000</v>
      </c>
      <c r="K102" s="229">
        <v>10300000</v>
      </c>
      <c r="L102" s="229">
        <v>10300000</v>
      </c>
      <c r="M102" s="229">
        <v>10300000</v>
      </c>
      <c r="N102" s="229">
        <v>10300000</v>
      </c>
      <c r="O102" s="229">
        <v>10300000</v>
      </c>
      <c r="P102" s="229">
        <v>10300000</v>
      </c>
      <c r="Q102" s="229">
        <v>10300000</v>
      </c>
      <c r="R102" s="216">
        <f t="shared" si="7"/>
        <v>123600000</v>
      </c>
      <c r="S102" s="193" t="s">
        <v>927</v>
      </c>
      <c r="T102" s="194"/>
      <c r="U102" s="192" t="s">
        <v>726</v>
      </c>
      <c r="V102" s="160"/>
      <c r="W102" s="160"/>
      <c r="BA102"/>
      <c r="BB102"/>
    </row>
    <row r="103" spans="1:54" s="149" customFormat="1" ht="13.5">
      <c r="A103" s="146"/>
      <c r="B103" s="263">
        <v>6005046622</v>
      </c>
      <c r="C103" s="273" t="str">
        <f>IFERROR(IF(VLOOKUP($B103,勘定科目!$A:$H,HLOOKUP($E$5,勘定科目!$F$1:$H$2,2,0),0)="","",VLOOKUP($B103,勘定科目!$A:$E,2,0)),"")</f>
        <v>修繕費（一般）</v>
      </c>
      <c r="D103" s="290" t="str">
        <f>IF(C103="","",VLOOKUP($B103,勘定科目!$A:$E,4,0))</f>
        <v>修繕費</v>
      </c>
      <c r="E103" s="303"/>
      <c r="F103" s="230">
        <v>20000000</v>
      </c>
      <c r="G103" s="230">
        <v>20000000</v>
      </c>
      <c r="H103" s="230">
        <v>20000000</v>
      </c>
      <c r="I103" s="230">
        <v>20000000</v>
      </c>
      <c r="J103" s="230">
        <v>20000000</v>
      </c>
      <c r="K103" s="230">
        <v>20000000</v>
      </c>
      <c r="L103" s="230">
        <v>16000000</v>
      </c>
      <c r="M103" s="230"/>
      <c r="N103" s="230"/>
      <c r="O103" s="230"/>
      <c r="P103" s="230"/>
      <c r="Q103" s="230"/>
      <c r="R103" s="216">
        <f t="shared" si="7"/>
        <v>136000000</v>
      </c>
      <c r="S103" s="193" t="s">
        <v>910</v>
      </c>
      <c r="T103" s="194"/>
      <c r="U103" s="192" t="s">
        <v>726</v>
      </c>
      <c r="V103" s="160"/>
      <c r="W103" s="160"/>
      <c r="BA103"/>
      <c r="BB103"/>
    </row>
    <row r="104" spans="1:54" s="149" customFormat="1" ht="13.5">
      <c r="A104" s="146"/>
      <c r="B104" s="263">
        <v>6005046622</v>
      </c>
      <c r="C104" s="273" t="str">
        <f>IFERROR(IF(VLOOKUP($B104,勘定科目!$A:$H,HLOOKUP($E$5,勘定科目!$F$1:$H$2,2,0),0)="","",VLOOKUP($B104,勘定科目!$A:$E,2,0)),"")</f>
        <v>修繕費（一般）</v>
      </c>
      <c r="D104" s="290" t="str">
        <f>IF(C104="","",VLOOKUP($B104,勘定科目!$A:$E,4,0))</f>
        <v>修繕費</v>
      </c>
      <c r="E104" s="303"/>
      <c r="F104" s="229">
        <v>16400000</v>
      </c>
      <c r="G104" s="230"/>
      <c r="H104" s="230"/>
      <c r="I104" s="229">
        <v>16400000</v>
      </c>
      <c r="J104" s="230"/>
      <c r="K104" s="230"/>
      <c r="L104" s="229">
        <v>16400000</v>
      </c>
      <c r="M104" s="230"/>
      <c r="N104" s="230"/>
      <c r="O104" s="229">
        <v>16400000</v>
      </c>
      <c r="P104" s="230"/>
      <c r="Q104" s="230"/>
      <c r="R104" s="216">
        <f t="shared" si="7"/>
        <v>65600000</v>
      </c>
      <c r="S104" s="193" t="s">
        <v>928</v>
      </c>
      <c r="T104" s="194"/>
      <c r="U104" s="192" t="s">
        <v>726</v>
      </c>
      <c r="V104" s="160"/>
      <c r="W104" s="160"/>
      <c r="BA104"/>
      <c r="BB104"/>
    </row>
    <row r="105" spans="1:54" s="149" customFormat="1" ht="13.5">
      <c r="A105" s="146"/>
      <c r="B105" s="263">
        <v>6005046622</v>
      </c>
      <c r="C105" s="273" t="s">
        <v>297</v>
      </c>
      <c r="D105" s="290" t="s">
        <v>59</v>
      </c>
      <c r="E105" s="303"/>
      <c r="F105" s="229"/>
      <c r="G105" s="230"/>
      <c r="H105" s="230"/>
      <c r="I105" s="229">
        <v>100000000</v>
      </c>
      <c r="J105" s="230"/>
      <c r="K105" s="230"/>
      <c r="L105" s="229"/>
      <c r="M105" s="230"/>
      <c r="N105" s="230"/>
      <c r="O105" s="229"/>
      <c r="P105" s="230"/>
      <c r="Q105" s="230"/>
      <c r="R105" s="216">
        <f t="shared" si="7"/>
        <v>100000000</v>
      </c>
      <c r="S105" s="193" t="s">
        <v>975</v>
      </c>
      <c r="T105" s="194"/>
      <c r="U105" s="192" t="s">
        <v>722</v>
      </c>
      <c r="V105" s="160"/>
      <c r="W105" s="160"/>
      <c r="BA105"/>
      <c r="BB105"/>
    </row>
    <row r="106" spans="1:54" s="149" customFormat="1" ht="13.5">
      <c r="A106" s="146"/>
      <c r="B106" s="263">
        <v>6005046622</v>
      </c>
      <c r="C106" s="273" t="s">
        <v>297</v>
      </c>
      <c r="D106" s="290" t="s">
        <v>59</v>
      </c>
      <c r="E106" s="303"/>
      <c r="F106" s="229"/>
      <c r="G106" s="229"/>
      <c r="H106" s="230"/>
      <c r="I106" s="229">
        <v>930000000</v>
      </c>
      <c r="J106" s="230"/>
      <c r="K106" s="230"/>
      <c r="L106" s="229"/>
      <c r="M106" s="230"/>
      <c r="N106" s="230"/>
      <c r="O106" s="229"/>
      <c r="P106" s="230"/>
      <c r="Q106" s="230"/>
      <c r="R106" s="216">
        <f t="shared" si="7"/>
        <v>930000000</v>
      </c>
      <c r="S106" s="193" t="s">
        <v>929</v>
      </c>
      <c r="T106" s="194"/>
      <c r="U106" s="192" t="s">
        <v>722</v>
      </c>
      <c r="V106" s="160"/>
      <c r="W106" s="160"/>
      <c r="BA106"/>
      <c r="BB106"/>
    </row>
    <row r="107" spans="1:54" s="149" customFormat="1" ht="13.5">
      <c r="A107" s="146"/>
      <c r="B107" s="263"/>
      <c r="C107" s="273"/>
      <c r="D107" s="290"/>
      <c r="E107" s="303"/>
      <c r="F107" s="229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16"/>
      <c r="S107" s="193"/>
      <c r="T107" s="151"/>
      <c r="U107" s="192"/>
      <c r="V107" s="160"/>
      <c r="W107" s="160"/>
      <c r="BA107"/>
      <c r="BB107"/>
    </row>
    <row r="108" spans="1:54" s="149" customFormat="1" ht="13.5">
      <c r="A108" s="146"/>
      <c r="B108" s="263">
        <v>6005046635</v>
      </c>
      <c r="C108" s="273" t="str">
        <f>IFERROR(IF(VLOOKUP($B108,勘定科目!$A:$H,HLOOKUP($E$5,勘定科目!$F$1:$H$2,2,0),0)="","",VLOOKUP($B108,勘定科目!$A:$E,2,0)),"")</f>
        <v>保守料（一般）</v>
      </c>
      <c r="D108" s="290" t="str">
        <f>IF(C108="","",VLOOKUP($B108,勘定科目!$A:$E,4,0))</f>
        <v>修繕費</v>
      </c>
      <c r="E108" s="303"/>
      <c r="F108" s="229">
        <v>50000000</v>
      </c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16">
        <f t="shared" ref="R108:R115" si="8">SUM(F108:Q108)</f>
        <v>50000000</v>
      </c>
      <c r="S108" s="193" t="s">
        <v>911</v>
      </c>
      <c r="T108" s="151"/>
      <c r="U108" s="192" t="s">
        <v>719</v>
      </c>
      <c r="V108" s="160"/>
      <c r="W108" s="160"/>
      <c r="BA108"/>
      <c r="BB108"/>
    </row>
    <row r="109" spans="1:54" s="149" customFormat="1" ht="13.5">
      <c r="A109" s="146"/>
      <c r="B109" s="263">
        <v>6005046635</v>
      </c>
      <c r="C109" s="273" t="str">
        <f>IFERROR(IF(VLOOKUP($B109,勘定科目!$A:$H,HLOOKUP($E$5,勘定科目!$F$1:$H$2,2,0),0)="","",VLOOKUP($B109,勘定科目!$A:$E,2,0)),"")</f>
        <v>保守料（一般）</v>
      </c>
      <c r="D109" s="290" t="str">
        <f>IF(C109="","",VLOOKUP($B109,勘定科目!$A:$E,4,0))</f>
        <v>修繕費</v>
      </c>
      <c r="E109" s="303"/>
      <c r="F109" s="229"/>
      <c r="G109" s="230">
        <v>400000000</v>
      </c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16">
        <f t="shared" si="8"/>
        <v>400000000</v>
      </c>
      <c r="S109" s="193" t="s">
        <v>912</v>
      </c>
      <c r="T109" s="151"/>
      <c r="U109" s="192" t="s">
        <v>719</v>
      </c>
      <c r="V109" s="160"/>
      <c r="W109" s="160"/>
      <c r="BA109"/>
      <c r="BB109"/>
    </row>
    <row r="110" spans="1:54" s="149" customFormat="1" ht="13.5">
      <c r="A110" s="146"/>
      <c r="B110" s="263">
        <v>6005046635</v>
      </c>
      <c r="C110" s="273" t="str">
        <f>IFERROR(IF(VLOOKUP($B110,勘定科目!$A:$H,HLOOKUP($E$5,勘定科目!$F$1:$H$2,2,0),0)="","",VLOOKUP($B110,勘定科目!$A:$E,2,0)),"")</f>
        <v>保守料（一般）</v>
      </c>
      <c r="D110" s="290" t="str">
        <f>IF(C110="","",VLOOKUP($B110,勘定科目!$A:$E,4,0))</f>
        <v>修繕費</v>
      </c>
      <c r="E110" s="303"/>
      <c r="F110" s="229">
        <v>63000000</v>
      </c>
      <c r="G110" s="229">
        <v>63000000</v>
      </c>
      <c r="H110" s="229">
        <v>63000000</v>
      </c>
      <c r="I110" s="229">
        <v>63000000</v>
      </c>
      <c r="J110" s="229">
        <v>63000000</v>
      </c>
      <c r="K110" s="229">
        <v>63000000</v>
      </c>
      <c r="L110" s="229">
        <v>63000000</v>
      </c>
      <c r="M110" s="229">
        <v>63000000</v>
      </c>
      <c r="N110" s="229">
        <v>63000000</v>
      </c>
      <c r="O110" s="229">
        <v>63000000</v>
      </c>
      <c r="P110" s="229">
        <v>63000000</v>
      </c>
      <c r="Q110" s="229">
        <v>63000000</v>
      </c>
      <c r="R110" s="216">
        <f t="shared" si="8"/>
        <v>756000000</v>
      </c>
      <c r="S110" s="193" t="s">
        <v>913</v>
      </c>
      <c r="T110" s="151"/>
      <c r="U110" s="192" t="s">
        <v>719</v>
      </c>
      <c r="V110" s="160"/>
      <c r="W110" s="160"/>
      <c r="BA110"/>
      <c r="BB110"/>
    </row>
    <row r="111" spans="1:54" s="149" customFormat="1" ht="13.5">
      <c r="A111" s="146"/>
      <c r="B111" s="263">
        <v>6005046635</v>
      </c>
      <c r="C111" s="273" t="str">
        <f>IFERROR(IF(VLOOKUP($B111,勘定科目!$A:$H,HLOOKUP($E$5,勘定科目!$F$1:$H$2,2,0),0)="","",VLOOKUP($B111,勘定科目!$A:$E,2,0)),"")</f>
        <v>保守料（一般）</v>
      </c>
      <c r="D111" s="290" t="str">
        <f>IF(C111="","",VLOOKUP($B111,勘定科目!$A:$E,4,0))</f>
        <v>修繕費</v>
      </c>
      <c r="E111" s="303"/>
      <c r="F111" s="229"/>
      <c r="G111" s="230"/>
      <c r="H111" s="230">
        <v>2200000000</v>
      </c>
      <c r="I111" s="230"/>
      <c r="J111" s="230"/>
      <c r="K111" s="230"/>
      <c r="L111" s="230"/>
      <c r="M111" s="230"/>
      <c r="N111" s="230"/>
      <c r="O111" s="230"/>
      <c r="P111" s="230"/>
      <c r="Q111" s="230"/>
      <c r="R111" s="216">
        <f t="shared" si="8"/>
        <v>2200000000</v>
      </c>
      <c r="S111" s="193" t="s">
        <v>930</v>
      </c>
      <c r="T111" s="151"/>
      <c r="U111" s="192" t="s">
        <v>719</v>
      </c>
      <c r="V111" s="160"/>
      <c r="W111" s="160"/>
      <c r="BA111"/>
      <c r="BB111"/>
    </row>
    <row r="112" spans="1:54" s="149" customFormat="1" ht="13.5">
      <c r="A112" s="146"/>
      <c r="B112" s="263">
        <v>6005046635</v>
      </c>
      <c r="C112" s="273" t="str">
        <f>IFERROR(IF(VLOOKUP($B112,勘定科目!$A:$H,HLOOKUP($E$5,勘定科目!$F$1:$H$2,2,0),0)="","",VLOOKUP($B112,勘定科目!$A:$E,2,0)),"")</f>
        <v>保守料（一般）</v>
      </c>
      <c r="D112" s="290" t="str">
        <f>IF(C112="","",VLOOKUP($B112,勘定科目!$A:$E,4,0))</f>
        <v>修繕費</v>
      </c>
      <c r="E112" s="303"/>
      <c r="F112" s="229">
        <v>15000000</v>
      </c>
      <c r="G112" s="229">
        <v>15000000</v>
      </c>
      <c r="H112" s="229">
        <v>15000000</v>
      </c>
      <c r="I112" s="229">
        <v>15000000</v>
      </c>
      <c r="J112" s="229">
        <v>15000000</v>
      </c>
      <c r="K112" s="229">
        <v>15000000</v>
      </c>
      <c r="L112" s="229">
        <v>15000000</v>
      </c>
      <c r="M112" s="229">
        <v>15000000</v>
      </c>
      <c r="N112" s="229">
        <v>15000000</v>
      </c>
      <c r="O112" s="229">
        <v>15000000</v>
      </c>
      <c r="P112" s="229">
        <v>15000000</v>
      </c>
      <c r="Q112" s="229">
        <v>15000000</v>
      </c>
      <c r="R112" s="216">
        <f t="shared" si="8"/>
        <v>180000000</v>
      </c>
      <c r="S112" s="193" t="s">
        <v>933</v>
      </c>
      <c r="T112" s="151"/>
      <c r="U112" s="192" t="s">
        <v>719</v>
      </c>
      <c r="V112" s="160"/>
      <c r="W112" s="160"/>
      <c r="BA112"/>
      <c r="BB112"/>
    </row>
    <row r="113" spans="1:54" s="149" customFormat="1" ht="13.5">
      <c r="A113" s="146"/>
      <c r="B113" s="263">
        <v>6005046635</v>
      </c>
      <c r="C113" s="273" t="str">
        <f>IFERROR(IF(VLOOKUP($B113,勘定科目!$A:$H,HLOOKUP($E$5,勘定科目!$F$1:$H$2,2,0),0)="","",VLOOKUP($B113,勘定科目!$A:$E,2,0)),"")</f>
        <v>保守料（一般）</v>
      </c>
      <c r="D113" s="290" t="str">
        <f>IF(C113="","",VLOOKUP($B113,勘定科目!$A:$E,4,0))</f>
        <v>修繕費</v>
      </c>
      <c r="E113" s="303"/>
      <c r="F113" s="229"/>
      <c r="G113" s="230"/>
      <c r="H113" s="230"/>
      <c r="I113" s="230"/>
      <c r="J113" s="230">
        <v>40000000</v>
      </c>
      <c r="K113" s="230"/>
      <c r="L113" s="230"/>
      <c r="M113" s="230"/>
      <c r="N113" s="230"/>
      <c r="O113" s="230"/>
      <c r="P113" s="230"/>
      <c r="Q113" s="230"/>
      <c r="R113" s="216">
        <f t="shared" si="8"/>
        <v>40000000</v>
      </c>
      <c r="S113" s="193" t="s">
        <v>934</v>
      </c>
      <c r="T113" s="151"/>
      <c r="U113" s="192" t="s">
        <v>719</v>
      </c>
      <c r="V113" s="160"/>
      <c r="W113" s="160"/>
      <c r="BA113"/>
      <c r="BB113"/>
    </row>
    <row r="114" spans="1:54" s="149" customFormat="1" ht="13.5">
      <c r="A114" s="146"/>
      <c r="B114" s="263">
        <v>6005046635</v>
      </c>
      <c r="C114" s="273" t="str">
        <f>IFERROR(IF(VLOOKUP($B114,勘定科目!$A:$H,HLOOKUP($E$5,勘定科目!$F$1:$H$2,2,0),0)="","",VLOOKUP($B114,勘定科目!$A:$E,2,0)),"")</f>
        <v>保守料（一般）</v>
      </c>
      <c r="D114" s="290" t="str">
        <f>IF(C114="","",VLOOKUP($B114,勘定科目!$A:$E,4,0))</f>
        <v>修繕費</v>
      </c>
      <c r="E114" s="303"/>
      <c r="F114" s="229"/>
      <c r="G114" s="230"/>
      <c r="H114" s="230">
        <v>120000000</v>
      </c>
      <c r="I114" s="230"/>
      <c r="J114" s="230"/>
      <c r="K114" s="230"/>
      <c r="L114" s="230"/>
      <c r="M114" s="230"/>
      <c r="N114" s="230"/>
      <c r="O114" s="230"/>
      <c r="P114" s="230"/>
      <c r="Q114" s="230"/>
      <c r="R114" s="216">
        <f t="shared" si="8"/>
        <v>120000000</v>
      </c>
      <c r="S114" s="193" t="s">
        <v>935</v>
      </c>
      <c r="T114" s="151"/>
      <c r="U114" s="192" t="s">
        <v>719</v>
      </c>
      <c r="V114" s="160"/>
      <c r="W114" s="160"/>
      <c r="BA114"/>
      <c r="BB114"/>
    </row>
    <row r="115" spans="1:54" s="149" customFormat="1" ht="13.5">
      <c r="A115" s="146"/>
      <c r="B115" s="263">
        <v>6005046635</v>
      </c>
      <c r="C115" s="273" t="str">
        <f>IFERROR(IF(VLOOKUP($B115,勘定科目!$A:$H,HLOOKUP($E$5,勘定科目!$F$1:$H$2,2,0),0)="","",VLOOKUP($B115,勘定科目!$A:$E,2,0)),"")</f>
        <v>保守料（一般）</v>
      </c>
      <c r="D115" s="290" t="str">
        <f>IF(C115="","",VLOOKUP($B115,勘定科目!$A:$E,4,0))</f>
        <v>修繕費</v>
      </c>
      <c r="E115" s="303"/>
      <c r="F115" s="229"/>
      <c r="G115" s="230">
        <v>140000000</v>
      </c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16">
        <f t="shared" si="8"/>
        <v>140000000</v>
      </c>
      <c r="S115" s="193" t="s">
        <v>936</v>
      </c>
      <c r="T115" s="151"/>
      <c r="U115" s="192" t="s">
        <v>719</v>
      </c>
      <c r="V115" s="160"/>
      <c r="W115" s="160"/>
      <c r="BA115"/>
      <c r="BB115"/>
    </row>
    <row r="116" spans="1:54" s="149" customFormat="1" ht="13.5">
      <c r="A116" s="146"/>
      <c r="B116" s="263">
        <v>6005046635</v>
      </c>
      <c r="C116" s="273" t="str">
        <f>IFERROR(IF(VLOOKUP($B116,勘定科目!$A:$H,HLOOKUP($E$5,勘定科目!$F$1:$H$2,2,0),0)="","",VLOOKUP($B116,勘定科目!$A:$E,2,0)),"")</f>
        <v>保守料（一般）</v>
      </c>
      <c r="D116" s="290" t="str">
        <f>IF(C116="","",VLOOKUP($B116,勘定科目!$A:$E,4,0))</f>
        <v>修繕費</v>
      </c>
      <c r="E116" s="303"/>
      <c r="F116" s="229"/>
      <c r="G116" s="230"/>
      <c r="H116" s="230"/>
      <c r="I116" s="230"/>
      <c r="J116" s="230">
        <v>320400000</v>
      </c>
      <c r="K116" s="230"/>
      <c r="L116" s="230"/>
      <c r="M116" s="230"/>
      <c r="N116" s="230"/>
      <c r="O116" s="230"/>
      <c r="P116" s="230"/>
      <c r="Q116" s="230"/>
      <c r="R116" s="216">
        <f t="shared" ref="R116:R199" si="9">SUM(F116:Q116)</f>
        <v>320400000</v>
      </c>
      <c r="S116" s="193" t="s">
        <v>693</v>
      </c>
      <c r="T116" s="194"/>
      <c r="U116" s="192" t="s">
        <v>720</v>
      </c>
      <c r="V116" s="160"/>
      <c r="W116" s="160"/>
      <c r="BA116"/>
      <c r="BB116"/>
    </row>
    <row r="117" spans="1:54" s="149" customFormat="1" ht="13.5">
      <c r="A117" s="146"/>
      <c r="B117" s="263">
        <v>6005046635</v>
      </c>
      <c r="C117" s="273" t="str">
        <f>IFERROR(IF(VLOOKUP($B117,勘定科目!$A:$H,HLOOKUP($E$5,勘定科目!$F$1:$H$2,2,0),0)="","",VLOOKUP($B117,勘定科目!$A:$E,2,0)),"")</f>
        <v>保守料（一般）</v>
      </c>
      <c r="D117" s="290" t="str">
        <f>IF(C117="","",VLOOKUP($B117,勘定科目!$A:$E,4,0))</f>
        <v>修繕費</v>
      </c>
      <c r="E117" s="303"/>
      <c r="F117" s="214">
        <v>75281750</v>
      </c>
      <c r="G117" s="214">
        <v>75281750</v>
      </c>
      <c r="H117" s="214">
        <v>75281750</v>
      </c>
      <c r="I117" s="214">
        <v>75281750</v>
      </c>
      <c r="J117" s="214">
        <v>75281750</v>
      </c>
      <c r="K117" s="214">
        <v>75281750</v>
      </c>
      <c r="L117" s="214">
        <v>75281750</v>
      </c>
      <c r="M117" s="214">
        <v>75281750</v>
      </c>
      <c r="N117" s="214">
        <v>75281750</v>
      </c>
      <c r="O117" s="214">
        <v>75281750</v>
      </c>
      <c r="P117" s="214">
        <v>75281750</v>
      </c>
      <c r="Q117" s="214">
        <v>75281750</v>
      </c>
      <c r="R117" s="216">
        <f t="shared" si="9"/>
        <v>903381000</v>
      </c>
      <c r="S117" s="193" t="s">
        <v>694</v>
      </c>
      <c r="T117" s="194"/>
      <c r="U117" s="192" t="s">
        <v>720</v>
      </c>
      <c r="V117" s="160"/>
      <c r="W117" s="160"/>
      <c r="BA117"/>
      <c r="BB117"/>
    </row>
    <row r="118" spans="1:54" s="149" customFormat="1" ht="13.5">
      <c r="A118" s="146"/>
      <c r="B118" s="263">
        <v>6005046635</v>
      </c>
      <c r="C118" s="273" t="str">
        <f>IFERROR(IF(VLOOKUP($B118,勘定科目!$A:$H,HLOOKUP($E$5,勘定科目!$F$1:$H$2,2,0),0)="","",VLOOKUP($B118,勘定科目!$A:$E,2,0)),"")</f>
        <v>保守料（一般）</v>
      </c>
      <c r="D118" s="290" t="str">
        <f>IF(C118="","",VLOOKUP($B118,勘定科目!$A:$E,4,0))</f>
        <v>修繕費</v>
      </c>
      <c r="E118" s="303"/>
      <c r="F118" s="229">
        <v>33000000</v>
      </c>
      <c r="G118" s="230">
        <v>33000000</v>
      </c>
      <c r="H118" s="230">
        <v>33000000</v>
      </c>
      <c r="I118" s="230">
        <v>33000000</v>
      </c>
      <c r="J118" s="230">
        <v>33000000</v>
      </c>
      <c r="K118" s="230">
        <v>33000000</v>
      </c>
      <c r="L118" s="230">
        <v>33000000</v>
      </c>
      <c r="M118" s="230">
        <v>33000000</v>
      </c>
      <c r="N118" s="230">
        <v>33000000</v>
      </c>
      <c r="O118" s="230">
        <v>33000000</v>
      </c>
      <c r="P118" s="230">
        <v>33000000</v>
      </c>
      <c r="Q118" s="230">
        <v>33000000</v>
      </c>
      <c r="R118" s="216">
        <f t="shared" si="9"/>
        <v>396000000</v>
      </c>
      <c r="S118" s="193" t="s">
        <v>695</v>
      </c>
      <c r="T118" s="194"/>
      <c r="U118" s="192" t="s">
        <v>721</v>
      </c>
      <c r="V118" s="160"/>
      <c r="W118" s="160"/>
      <c r="BA118"/>
      <c r="BB118"/>
    </row>
    <row r="119" spans="1:54" s="149" customFormat="1" ht="13.5">
      <c r="A119" s="146"/>
      <c r="B119" s="263">
        <v>6005046635</v>
      </c>
      <c r="C119" s="273" t="str">
        <f>IFERROR(IF(VLOOKUP($B119,勘定科目!$A:$H,HLOOKUP($E$5,勘定科目!$F$1:$H$2,2,0),0)="","",VLOOKUP($B119,勘定科目!$A:$E,2,0)),"")</f>
        <v>保守料（一般）</v>
      </c>
      <c r="D119" s="290" t="str">
        <f>IF(C119="","",VLOOKUP($B119,勘定科目!$A:$E,4,0))</f>
        <v>修繕費</v>
      </c>
      <c r="E119" s="303"/>
      <c r="F119" s="229">
        <v>21060000</v>
      </c>
      <c r="G119" s="230">
        <v>21060000</v>
      </c>
      <c r="H119" s="230">
        <v>21060000</v>
      </c>
      <c r="I119" s="230">
        <v>21060000</v>
      </c>
      <c r="J119" s="230">
        <v>21060000</v>
      </c>
      <c r="K119" s="230">
        <v>21060000</v>
      </c>
      <c r="L119" s="230">
        <v>21060000</v>
      </c>
      <c r="M119" s="230">
        <v>21060000</v>
      </c>
      <c r="N119" s="230">
        <v>21060000</v>
      </c>
      <c r="O119" s="230">
        <v>21060000</v>
      </c>
      <c r="P119" s="230">
        <v>21060000</v>
      </c>
      <c r="Q119" s="230">
        <v>21060000</v>
      </c>
      <c r="R119" s="216">
        <f t="shared" si="9"/>
        <v>252720000</v>
      </c>
      <c r="S119" s="193" t="s">
        <v>696</v>
      </c>
      <c r="T119" s="194"/>
      <c r="U119" s="192" t="s">
        <v>721</v>
      </c>
      <c r="V119" s="160"/>
      <c r="W119" s="160"/>
      <c r="BA119"/>
      <c r="BB119"/>
    </row>
    <row r="120" spans="1:54" s="149" customFormat="1" ht="13.5">
      <c r="A120" s="146"/>
      <c r="B120" s="263">
        <v>6005046635</v>
      </c>
      <c r="C120" s="273" t="str">
        <f>IFERROR(IF(VLOOKUP($B120,勘定科目!$A:$H,HLOOKUP($E$5,勘定科目!$F$1:$H$2,2,0),0)="","",VLOOKUP($B120,勘定科目!$A:$E,2,0)),"")</f>
        <v>保守料（一般）</v>
      </c>
      <c r="D120" s="290" t="str">
        <f>IF(C120="","",VLOOKUP($B120,勘定科目!$A:$E,4,0))</f>
        <v>修繕費</v>
      </c>
      <c r="E120" s="303"/>
      <c r="F120" s="229">
        <v>22411000</v>
      </c>
      <c r="G120" s="230">
        <v>22411000</v>
      </c>
      <c r="H120" s="230">
        <v>22411000</v>
      </c>
      <c r="I120" s="230">
        <v>22411000</v>
      </c>
      <c r="J120" s="230">
        <v>22411000</v>
      </c>
      <c r="K120" s="230">
        <v>22411000</v>
      </c>
      <c r="L120" s="230">
        <v>22411000</v>
      </c>
      <c r="M120" s="230">
        <v>22411000</v>
      </c>
      <c r="N120" s="230">
        <v>22411000</v>
      </c>
      <c r="O120" s="230">
        <v>22411000</v>
      </c>
      <c r="P120" s="230">
        <v>22411000</v>
      </c>
      <c r="Q120" s="230">
        <v>22411000</v>
      </c>
      <c r="R120" s="216">
        <f t="shared" si="9"/>
        <v>268932000</v>
      </c>
      <c r="S120" s="193" t="s">
        <v>697</v>
      </c>
      <c r="T120" s="194"/>
      <c r="U120" s="192" t="s">
        <v>721</v>
      </c>
      <c r="V120" s="160"/>
      <c r="W120" s="160"/>
      <c r="BA120"/>
      <c r="BB120"/>
    </row>
    <row r="121" spans="1:54" s="149" customFormat="1" ht="13.5">
      <c r="A121" s="146"/>
      <c r="B121" s="263">
        <v>6005046635</v>
      </c>
      <c r="C121" s="273" t="str">
        <f>IFERROR(IF(VLOOKUP($B121,勘定科目!$A:$H,HLOOKUP($E$5,勘定科目!$F$1:$H$2,2,0),0)="","",VLOOKUP($B121,勘定科目!$A:$E,2,0)),"")</f>
        <v>保守料（一般）</v>
      </c>
      <c r="D121" s="290" t="str">
        <f>IF(C121="","",VLOOKUP($B121,勘定科目!$A:$E,4,0))</f>
        <v>修繕費</v>
      </c>
      <c r="E121" s="303"/>
      <c r="F121" s="229">
        <v>42600000</v>
      </c>
      <c r="G121" s="229">
        <v>42600000</v>
      </c>
      <c r="H121" s="229">
        <v>42600000</v>
      </c>
      <c r="I121" s="229">
        <v>42600000</v>
      </c>
      <c r="J121" s="229">
        <v>42600000</v>
      </c>
      <c r="K121" s="229">
        <v>42600000</v>
      </c>
      <c r="L121" s="229">
        <v>42600000</v>
      </c>
      <c r="M121" s="229">
        <v>42600000</v>
      </c>
      <c r="N121" s="229">
        <v>42600000</v>
      </c>
      <c r="O121" s="229">
        <v>42600000</v>
      </c>
      <c r="P121" s="229">
        <v>42600000</v>
      </c>
      <c r="Q121" s="229">
        <v>42600000</v>
      </c>
      <c r="R121" s="216">
        <f t="shared" si="9"/>
        <v>511200000</v>
      </c>
      <c r="S121" s="193" t="s">
        <v>698</v>
      </c>
      <c r="T121" s="194"/>
      <c r="U121" s="192" t="s">
        <v>721</v>
      </c>
      <c r="V121" s="160"/>
      <c r="W121" s="160"/>
      <c r="BA121"/>
      <c r="BB121"/>
    </row>
    <row r="122" spans="1:54" s="149" customFormat="1" ht="13.5">
      <c r="A122" s="146"/>
      <c r="B122" s="263">
        <v>6005046635</v>
      </c>
      <c r="C122" s="273" t="str">
        <f>IFERROR(IF(VLOOKUP($B122,勘定科目!$A:$H,HLOOKUP($E$5,勘定科目!$F$1:$H$2,2,0),0)="","",VLOOKUP($B122,勘定科目!$A:$E,2,0)),"")</f>
        <v>保守料（一般）</v>
      </c>
      <c r="D122" s="290" t="str">
        <f>IF(C122="","",VLOOKUP($B122,勘定科目!$A:$E,4,0))</f>
        <v>修繕費</v>
      </c>
      <c r="E122" s="303"/>
      <c r="F122" s="229">
        <v>24500000</v>
      </c>
      <c r="G122" s="229">
        <v>24500000</v>
      </c>
      <c r="H122" s="229">
        <v>24500000</v>
      </c>
      <c r="I122" s="229">
        <v>24500000</v>
      </c>
      <c r="J122" s="229">
        <v>24500000</v>
      </c>
      <c r="K122" s="229">
        <v>24500000</v>
      </c>
      <c r="L122" s="229">
        <v>24500000</v>
      </c>
      <c r="M122" s="229">
        <v>24500000</v>
      </c>
      <c r="N122" s="229">
        <v>24500000</v>
      </c>
      <c r="O122" s="229">
        <v>24500000</v>
      </c>
      <c r="P122" s="229">
        <v>24500000</v>
      </c>
      <c r="Q122" s="229">
        <v>24500000</v>
      </c>
      <c r="R122" s="216">
        <f t="shared" si="9"/>
        <v>294000000</v>
      </c>
      <c r="S122" s="193" t="s">
        <v>699</v>
      </c>
      <c r="T122" s="194"/>
      <c r="U122" s="192" t="s">
        <v>721</v>
      </c>
      <c r="V122" s="160"/>
      <c r="W122" s="160"/>
      <c r="BA122"/>
      <c r="BB122"/>
    </row>
    <row r="123" spans="1:54" s="149" customFormat="1" ht="13.5">
      <c r="A123" s="158"/>
      <c r="B123" s="263">
        <v>6005046635</v>
      </c>
      <c r="C123" s="273" t="str">
        <f>IFERROR(IF(VLOOKUP($B123,勘定科目!$A:$H,HLOOKUP($E$5,勘定科目!$F$1:$H$2,2,0),0)="","",VLOOKUP($B123,勘定科目!$A:$E,2,0)),"")</f>
        <v>保守料（一般）</v>
      </c>
      <c r="D123" s="290" t="str">
        <f>IF(C123="","",VLOOKUP($B123,勘定科目!$A:$E,4,0))</f>
        <v>修繕費</v>
      </c>
      <c r="E123" s="303"/>
      <c r="F123" s="214"/>
      <c r="G123" s="231"/>
      <c r="H123" s="231"/>
      <c r="I123" s="231"/>
      <c r="J123" s="231"/>
      <c r="K123" s="231">
        <f>4*3000000</f>
        <v>12000000</v>
      </c>
      <c r="L123" s="231"/>
      <c r="M123" s="231"/>
      <c r="N123" s="231"/>
      <c r="O123" s="231"/>
      <c r="P123" s="231"/>
      <c r="Q123" s="231">
        <f>4*3000000</f>
        <v>12000000</v>
      </c>
      <c r="R123" s="216">
        <f t="shared" ref="R123:R128" si="10">SUM(F123:Q123)</f>
        <v>24000000</v>
      </c>
      <c r="S123" s="193" t="s">
        <v>860</v>
      </c>
      <c r="T123" s="151"/>
      <c r="U123" s="192" t="s">
        <v>721</v>
      </c>
      <c r="V123" s="160"/>
      <c r="W123" s="160"/>
      <c r="BA123"/>
      <c r="BB123"/>
    </row>
    <row r="124" spans="1:54" s="149" customFormat="1" ht="13.5">
      <c r="A124" s="158"/>
      <c r="B124" s="263">
        <v>6005046635</v>
      </c>
      <c r="C124" s="273" t="str">
        <f>IFERROR(IF(VLOOKUP($B124,勘定科目!$A:$H,HLOOKUP($E$5,勘定科目!$F$1:$H$2,2,0),0)="","",VLOOKUP($B124,勘定科目!$A:$E,2,0)),"")</f>
        <v>保守料（一般）</v>
      </c>
      <c r="D124" s="290" t="str">
        <f>IF(C124="","",VLOOKUP($B124,勘定科目!$A:$E,4,0))</f>
        <v>修繕費</v>
      </c>
      <c r="E124" s="303"/>
      <c r="F124" s="214"/>
      <c r="G124" s="231"/>
      <c r="H124" s="231"/>
      <c r="I124" s="231"/>
      <c r="J124" s="231"/>
      <c r="K124" s="231">
        <f>12*260000</f>
        <v>3120000</v>
      </c>
      <c r="L124" s="231"/>
      <c r="M124" s="231"/>
      <c r="N124" s="231"/>
      <c r="O124" s="231"/>
      <c r="P124" s="231"/>
      <c r="Q124" s="231">
        <f>12*260000</f>
        <v>3120000</v>
      </c>
      <c r="R124" s="216">
        <f t="shared" si="10"/>
        <v>6240000</v>
      </c>
      <c r="S124" s="193" t="s">
        <v>861</v>
      </c>
      <c r="T124" s="151"/>
      <c r="U124" s="192" t="s">
        <v>721</v>
      </c>
      <c r="V124" s="160"/>
      <c r="W124" s="160"/>
      <c r="BA124"/>
      <c r="BB124"/>
    </row>
    <row r="125" spans="1:54" s="149" customFormat="1" ht="13.5">
      <c r="A125" s="158"/>
      <c r="B125" s="263">
        <v>6005046635</v>
      </c>
      <c r="C125" s="273" t="str">
        <f>IFERROR(IF(VLOOKUP($B125,勘定科目!$A:$H,HLOOKUP($E$5,勘定科目!$F$1:$H$2,2,0),0)="","",VLOOKUP($B125,勘定科目!$A:$E,2,0)),"")</f>
        <v>保守料（一般）</v>
      </c>
      <c r="D125" s="290" t="str">
        <f>IF(C125="","",VLOOKUP($B125,勘定科目!$A:$E,4,0))</f>
        <v>修繕費</v>
      </c>
      <c r="E125" s="303"/>
      <c r="F125" s="214"/>
      <c r="G125" s="231"/>
      <c r="H125" s="231"/>
      <c r="I125" s="231"/>
      <c r="J125" s="231"/>
      <c r="K125" s="231">
        <f>9*280000</f>
        <v>2520000</v>
      </c>
      <c r="L125" s="231"/>
      <c r="M125" s="231"/>
      <c r="N125" s="231"/>
      <c r="O125" s="231"/>
      <c r="P125" s="231"/>
      <c r="Q125" s="231">
        <f>9*280000</f>
        <v>2520000</v>
      </c>
      <c r="R125" s="216">
        <f t="shared" si="10"/>
        <v>5040000</v>
      </c>
      <c r="S125" s="193" t="s">
        <v>862</v>
      </c>
      <c r="T125" s="151"/>
      <c r="U125" s="192" t="s">
        <v>721</v>
      </c>
      <c r="V125" s="160"/>
      <c r="W125" s="160"/>
      <c r="BA125"/>
      <c r="BB125"/>
    </row>
    <row r="126" spans="1:54" s="149" customFormat="1" ht="13.5">
      <c r="A126" s="158"/>
      <c r="B126" s="263">
        <v>6005046635</v>
      </c>
      <c r="C126" s="273" t="str">
        <f>IFERROR(IF(VLOOKUP($B126,勘定科目!$A:$H,HLOOKUP($E$5,勘定科目!$F$1:$H$2,2,0),0)="","",VLOOKUP($B126,勘定科目!$A:$E,2,0)),"")</f>
        <v>保守料（一般）</v>
      </c>
      <c r="D126" s="290" t="str">
        <f>IF(C126="","",VLOOKUP($B126,勘定科目!$A:$E,4,0))</f>
        <v>修繕費</v>
      </c>
      <c r="E126" s="303"/>
      <c r="F126" s="214"/>
      <c r="G126" s="231"/>
      <c r="H126" s="231"/>
      <c r="I126" s="231"/>
      <c r="J126" s="231"/>
      <c r="K126" s="231">
        <f>160000*2</f>
        <v>320000</v>
      </c>
      <c r="L126" s="231"/>
      <c r="M126" s="231"/>
      <c r="N126" s="231"/>
      <c r="O126" s="231"/>
      <c r="P126" s="231"/>
      <c r="Q126" s="231">
        <f>160000*2</f>
        <v>320000</v>
      </c>
      <c r="R126" s="216">
        <f t="shared" si="10"/>
        <v>640000</v>
      </c>
      <c r="S126" s="193" t="s">
        <v>863</v>
      </c>
      <c r="T126" s="151"/>
      <c r="U126" s="192" t="s">
        <v>721</v>
      </c>
      <c r="V126" s="160"/>
      <c r="W126" s="160"/>
      <c r="BA126"/>
      <c r="BB126"/>
    </row>
    <row r="127" spans="1:54" s="149" customFormat="1" ht="13.5">
      <c r="A127" s="158"/>
      <c r="B127" s="263">
        <v>6005046635</v>
      </c>
      <c r="C127" s="273" t="str">
        <f>IFERROR(IF(VLOOKUP($B127,勘定科目!$A:$H,HLOOKUP($E$5,勘定科目!$F$1:$H$2,2,0),0)="","",VLOOKUP($B127,勘定科目!$A:$E,2,0)),"")</f>
        <v>保守料（一般）</v>
      </c>
      <c r="D127" s="290" t="str">
        <f>IF(C127="","",VLOOKUP($B127,勘定科目!$A:$E,4,0))</f>
        <v>修繕費</v>
      </c>
      <c r="E127" s="303"/>
      <c r="F127" s="214"/>
      <c r="G127" s="231"/>
      <c r="H127" s="231"/>
      <c r="I127" s="231"/>
      <c r="J127" s="231"/>
      <c r="K127" s="231"/>
      <c r="L127" s="231"/>
      <c r="M127" s="231"/>
      <c r="N127" s="231">
        <v>20000000</v>
      </c>
      <c r="O127" s="231"/>
      <c r="P127" s="231"/>
      <c r="Q127" s="231"/>
      <c r="R127" s="216">
        <f t="shared" si="10"/>
        <v>20000000</v>
      </c>
      <c r="S127" s="193" t="s">
        <v>864</v>
      </c>
      <c r="T127" s="151"/>
      <c r="U127" s="192" t="s">
        <v>721</v>
      </c>
      <c r="V127" s="160"/>
      <c r="W127" s="160"/>
      <c r="BA127"/>
      <c r="BB127"/>
    </row>
    <row r="128" spans="1:54" s="149" customFormat="1" ht="13.5">
      <c r="A128" s="158"/>
      <c r="B128" s="263">
        <v>6005046635</v>
      </c>
      <c r="C128" s="273" t="str">
        <f>IFERROR(IF(VLOOKUP($B128,勘定科目!$A:$H,HLOOKUP($E$5,勘定科目!$F$1:$H$2,2,0),0)="","",VLOOKUP($B128,勘定科目!$A:$E,2,0)),"")</f>
        <v>保守料（一般）</v>
      </c>
      <c r="D128" s="290" t="str">
        <f>IF(C128="","",VLOOKUP($B128,勘定科目!$A:$E,4,0))</f>
        <v>修繕費</v>
      </c>
      <c r="E128" s="303"/>
      <c r="F128" s="214">
        <v>1200000</v>
      </c>
      <c r="G128" s="231"/>
      <c r="H128" s="231"/>
      <c r="I128" s="214">
        <v>1200000</v>
      </c>
      <c r="J128" s="231"/>
      <c r="K128" s="231"/>
      <c r="L128" s="214">
        <v>1200000</v>
      </c>
      <c r="M128" s="231"/>
      <c r="N128" s="231"/>
      <c r="O128" s="214">
        <v>1200000</v>
      </c>
      <c r="P128" s="231"/>
      <c r="Q128" s="231"/>
      <c r="R128" s="216">
        <f t="shared" si="10"/>
        <v>4800000</v>
      </c>
      <c r="S128" s="193" t="s">
        <v>864</v>
      </c>
      <c r="T128" s="151"/>
      <c r="U128" s="192" t="s">
        <v>721</v>
      </c>
      <c r="V128" s="160"/>
      <c r="W128" s="160"/>
      <c r="BA128"/>
      <c r="BB128"/>
    </row>
    <row r="129" spans="1:54" s="149" customFormat="1" ht="13.5">
      <c r="A129" s="146"/>
      <c r="B129" s="263">
        <v>6005046635</v>
      </c>
      <c r="C129" s="273" t="str">
        <f>IFERROR(IF(VLOOKUP($B129,勘定科目!$A:$H,HLOOKUP($E$5,勘定科目!$F$1:$H$2,2,0),0)="","",VLOOKUP($B129,勘定科目!$A:$E,2,0)),"")</f>
        <v>保守料（一般）</v>
      </c>
      <c r="D129" s="290" t="str">
        <f>IF(C129="","",VLOOKUP($B129,勘定科目!$A:$E,4,0))</f>
        <v>修繕費</v>
      </c>
      <c r="E129" s="303"/>
      <c r="F129" s="229"/>
      <c r="G129" s="230">
        <v>160000000</v>
      </c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16">
        <f t="shared" si="9"/>
        <v>160000000</v>
      </c>
      <c r="S129" s="193" t="s">
        <v>700</v>
      </c>
      <c r="T129" s="194"/>
      <c r="U129" s="192" t="s">
        <v>721</v>
      </c>
      <c r="V129" s="160"/>
      <c r="W129" s="160"/>
      <c r="BA129"/>
      <c r="BB129"/>
    </row>
    <row r="130" spans="1:54" s="149" customFormat="1" ht="13.5">
      <c r="A130" s="146"/>
      <c r="B130" s="263">
        <v>6005046635</v>
      </c>
      <c r="C130" s="273" t="str">
        <f>IFERROR(IF(VLOOKUP($B130,勘定科目!$A:$H,HLOOKUP($E$5,勘定科目!$F$1:$H$2,2,0),0)="","",VLOOKUP($B130,勘定科目!$A:$E,2,0)),"")</f>
        <v>保守料（一般）</v>
      </c>
      <c r="D130" s="290" t="str">
        <f>IF(C130="","",VLOOKUP($B130,勘定科目!$A:$E,4,0))</f>
        <v>修繕費</v>
      </c>
      <c r="E130" s="303"/>
      <c r="F130" s="229"/>
      <c r="G130" s="230"/>
      <c r="H130" s="230"/>
      <c r="I130" s="230"/>
      <c r="J130" s="230"/>
      <c r="K130" s="230"/>
      <c r="L130" s="230"/>
      <c r="M130" s="230">
        <f>810000000+1090000000</f>
        <v>1900000000</v>
      </c>
      <c r="N130" s="230"/>
      <c r="O130" s="230"/>
      <c r="P130" s="230"/>
      <c r="Q130" s="230"/>
      <c r="R130" s="216">
        <f t="shared" si="9"/>
        <v>1900000000</v>
      </c>
      <c r="S130" s="193" t="s">
        <v>991</v>
      </c>
      <c r="T130" s="194"/>
      <c r="U130" s="192" t="s">
        <v>722</v>
      </c>
      <c r="V130" s="160"/>
      <c r="W130" s="160"/>
      <c r="BA130"/>
      <c r="BB130"/>
    </row>
    <row r="131" spans="1:54" s="149" customFormat="1" ht="13.5">
      <c r="A131" s="146"/>
      <c r="B131" s="263">
        <v>6005046635</v>
      </c>
      <c r="C131" s="273" t="str">
        <f>IFERROR(IF(VLOOKUP($B131,勘定科目!$A:$H,HLOOKUP($E$5,勘定科目!$F$1:$H$2,2,0),0)="","",VLOOKUP($B131,勘定科目!$A:$E,2,0)),"")</f>
        <v>保守料（一般）</v>
      </c>
      <c r="D131" s="290" t="str">
        <f>IF(C131="","",VLOOKUP($B131,勘定科目!$A:$E,4,0))</f>
        <v>修繕費</v>
      </c>
      <c r="E131" s="303"/>
      <c r="F131" s="229"/>
      <c r="G131" s="230"/>
      <c r="H131" s="230"/>
      <c r="I131" s="230"/>
      <c r="J131" s="230"/>
      <c r="K131" s="230"/>
      <c r="L131" s="230"/>
      <c r="M131" s="230">
        <v>228000000</v>
      </c>
      <c r="N131" s="230"/>
      <c r="O131" s="230"/>
      <c r="P131" s="230"/>
      <c r="Q131" s="230"/>
      <c r="R131" s="230">
        <f>SUM(F131:Q131)</f>
        <v>228000000</v>
      </c>
      <c r="S131" s="193" t="s">
        <v>701</v>
      </c>
      <c r="T131" s="194"/>
      <c r="U131" s="192" t="s">
        <v>722</v>
      </c>
      <c r="V131" s="160"/>
      <c r="W131" s="160"/>
      <c r="BA131"/>
      <c r="BB131"/>
    </row>
    <row r="132" spans="1:54" s="149" customFormat="1" ht="13.5">
      <c r="A132" s="146"/>
      <c r="B132" s="265">
        <v>6005046635</v>
      </c>
      <c r="C132" s="273" t="s">
        <v>298</v>
      </c>
      <c r="D132" s="290" t="s">
        <v>59</v>
      </c>
      <c r="E132" s="300"/>
      <c r="F132" s="229">
        <v>90000000</v>
      </c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>
        <f>SUM(F132:Q132)</f>
        <v>90000000</v>
      </c>
      <c r="S132" s="193" t="s">
        <v>1003</v>
      </c>
      <c r="T132" s="246"/>
      <c r="U132" s="192" t="s">
        <v>722</v>
      </c>
      <c r="V132" s="160"/>
      <c r="W132" s="160"/>
      <c r="BA132"/>
      <c r="BB132"/>
    </row>
    <row r="133" spans="1:54" s="149" customFormat="1" ht="13.5">
      <c r="A133" s="146"/>
      <c r="B133" s="263">
        <v>6005046635</v>
      </c>
      <c r="C133" s="273" t="str">
        <f>IFERROR(IF(VLOOKUP($B133,勘定科目!$A:$H,HLOOKUP($E$5,勘定科目!$F$1:$H$2,2,0),0)="","",VLOOKUP($B133,勘定科目!$A:$E,2,0)),"")</f>
        <v>保守料（一般）</v>
      </c>
      <c r="D133" s="290" t="str">
        <f>IF(C133="","",VLOOKUP($B133,勘定科目!$A:$E,4,0))</f>
        <v>修繕費</v>
      </c>
      <c r="E133" s="303"/>
      <c r="F133" s="229"/>
      <c r="G133" s="230"/>
      <c r="H133" s="230"/>
      <c r="I133" s="230"/>
      <c r="J133" s="230">
        <v>90000000</v>
      </c>
      <c r="K133" s="230"/>
      <c r="L133" s="230"/>
      <c r="M133" s="230"/>
      <c r="N133" s="230"/>
      <c r="O133" s="230"/>
      <c r="P133" s="230"/>
      <c r="Q133" s="230"/>
      <c r="R133" s="216">
        <f t="shared" si="9"/>
        <v>90000000</v>
      </c>
      <c r="S133" s="193" t="s">
        <v>702</v>
      </c>
      <c r="T133" s="194"/>
      <c r="U133" s="192" t="s">
        <v>723</v>
      </c>
      <c r="V133" s="160"/>
      <c r="W133" s="160"/>
      <c r="BA133"/>
      <c r="BB133"/>
    </row>
    <row r="134" spans="1:54" s="149" customFormat="1" ht="13.5">
      <c r="A134" s="146"/>
      <c r="B134" s="263">
        <v>6005046635</v>
      </c>
      <c r="C134" s="273" t="str">
        <f>IFERROR(IF(VLOOKUP($B134,勘定科目!$A:$H,HLOOKUP($E$5,勘定科目!$F$1:$H$2,2,0),0)="","",VLOOKUP($B134,勘定科目!$A:$E,2,0)),"")</f>
        <v>保守料（一般）</v>
      </c>
      <c r="D134" s="290" t="str">
        <f>IF(C134="","",VLOOKUP($B134,勘定科目!$A:$E,4,0))</f>
        <v>修繕費</v>
      </c>
      <c r="E134" s="303"/>
      <c r="F134" s="229"/>
      <c r="G134" s="230"/>
      <c r="H134" s="230">
        <v>26250000</v>
      </c>
      <c r="I134" s="230"/>
      <c r="J134" s="230"/>
      <c r="K134" s="230">
        <v>26250000</v>
      </c>
      <c r="L134" s="230"/>
      <c r="M134" s="230"/>
      <c r="N134" s="230">
        <v>26250000</v>
      </c>
      <c r="O134" s="230"/>
      <c r="P134" s="230"/>
      <c r="Q134" s="230">
        <v>26250000</v>
      </c>
      <c r="R134" s="216">
        <f t="shared" si="9"/>
        <v>105000000</v>
      </c>
      <c r="S134" s="193" t="s">
        <v>703</v>
      </c>
      <c r="T134" s="194" t="s">
        <v>723</v>
      </c>
      <c r="U134" s="192" t="s">
        <v>723</v>
      </c>
      <c r="V134" s="160"/>
      <c r="W134" s="160"/>
      <c r="BA134"/>
      <c r="BB134"/>
    </row>
    <row r="135" spans="1:54" s="149" customFormat="1" ht="13.5">
      <c r="A135" s="146"/>
      <c r="B135" s="263">
        <v>6005046635</v>
      </c>
      <c r="C135" s="273" t="str">
        <f>IFERROR(IF(VLOOKUP($B135,勘定科目!$A:$H,HLOOKUP($E$5,勘定科目!$F$1:$H$2,2,0),0)="","",VLOOKUP($B135,勘定科目!$A:$E,2,0)),"")</f>
        <v>保守料（一般）</v>
      </c>
      <c r="D135" s="290" t="str">
        <f>IF(C135="","",VLOOKUP($B135,勘定科目!$A:$E,4,0))</f>
        <v>修繕費</v>
      </c>
      <c r="E135" s="303"/>
      <c r="F135" s="229"/>
      <c r="G135" s="230">
        <v>134400000</v>
      </c>
      <c r="H135" s="230"/>
      <c r="I135" s="230"/>
      <c r="J135" s="230"/>
      <c r="K135" s="230"/>
      <c r="L135" s="230"/>
      <c r="M135" s="230">
        <v>134400000</v>
      </c>
      <c r="N135" s="230"/>
      <c r="O135" s="230"/>
      <c r="P135" s="230"/>
      <c r="Q135" s="230"/>
      <c r="R135" s="216">
        <f>SUM(F135:Q135)</f>
        <v>268800000</v>
      </c>
      <c r="S135" s="193" t="s">
        <v>715</v>
      </c>
      <c r="T135" s="194"/>
      <c r="U135" s="192" t="s">
        <v>723</v>
      </c>
      <c r="V135" s="160"/>
      <c r="W135" s="160"/>
      <c r="BA135"/>
      <c r="BB135"/>
    </row>
    <row r="136" spans="1:54" s="149" customFormat="1" ht="13.5">
      <c r="A136" s="146"/>
      <c r="B136" s="263">
        <v>6005046635</v>
      </c>
      <c r="C136" s="273" t="str">
        <f>IFERROR(IF(VLOOKUP($B136,勘定科目!$A:$H,HLOOKUP($E$5,勘定科目!$F$1:$H$2,2,0),0)="","",VLOOKUP($B136,勘定科目!$A:$E,2,0)),"")</f>
        <v>保守料（一般）</v>
      </c>
      <c r="D136" s="290" t="str">
        <f>IF(C136="","",VLOOKUP($B136,勘定科目!$A:$E,4,0))</f>
        <v>修繕費</v>
      </c>
      <c r="E136" s="303"/>
      <c r="F136" s="229"/>
      <c r="G136" s="230"/>
      <c r="H136" s="230"/>
      <c r="I136" s="230">
        <v>120000000</v>
      </c>
      <c r="J136" s="230"/>
      <c r="K136" s="230"/>
      <c r="L136" s="230"/>
      <c r="M136" s="230"/>
      <c r="N136" s="230"/>
      <c r="O136" s="230">
        <v>120000000</v>
      </c>
      <c r="P136" s="230"/>
      <c r="Q136" s="230"/>
      <c r="R136" s="216">
        <f>SUM(F136:Q136)</f>
        <v>240000000</v>
      </c>
      <c r="S136" s="193" t="s">
        <v>716</v>
      </c>
      <c r="T136" s="194"/>
      <c r="U136" s="192" t="s">
        <v>723</v>
      </c>
      <c r="V136" s="160"/>
      <c r="W136" s="160"/>
      <c r="BA136"/>
      <c r="BB136"/>
    </row>
    <row r="137" spans="1:54" s="149" customFormat="1" ht="13.5">
      <c r="A137" s="158"/>
      <c r="B137" s="265">
        <v>6005046635</v>
      </c>
      <c r="C137" s="273" t="str">
        <f>IFERROR(IF(VLOOKUP($B137,勘定科目!$A:$H,HLOOKUP($E$5,勘定科目!$F$1:$H$2,2,0),0)="","",VLOOKUP($B137,勘定科目!$A:$E,2,0)),"")</f>
        <v>保守料（一般）</v>
      </c>
      <c r="D137" s="290" t="str">
        <f>IF(C137="","",VLOOKUP($B137,勘定科目!$A:$E,4,0))</f>
        <v>修繕費</v>
      </c>
      <c r="E137" s="303"/>
      <c r="F137" s="214">
        <v>1300000</v>
      </c>
      <c r="G137" s="231"/>
      <c r="H137" s="214">
        <v>1300000</v>
      </c>
      <c r="I137" s="231"/>
      <c r="J137" s="214">
        <v>1300000</v>
      </c>
      <c r="K137" s="231"/>
      <c r="L137" s="214">
        <v>1300000</v>
      </c>
      <c r="M137" s="231"/>
      <c r="N137" s="214">
        <v>1300000</v>
      </c>
      <c r="O137" s="231"/>
      <c r="P137" s="214">
        <v>1300000</v>
      </c>
      <c r="Q137" s="231"/>
      <c r="R137" s="216">
        <f>SUM(F137:Q137)</f>
        <v>7800000</v>
      </c>
      <c r="S137" s="193" t="s">
        <v>914</v>
      </c>
      <c r="T137" s="151"/>
      <c r="U137" s="192" t="s">
        <v>723</v>
      </c>
      <c r="V137" s="160"/>
      <c r="W137" s="160"/>
      <c r="BA137"/>
      <c r="BB137"/>
    </row>
    <row r="138" spans="1:54" s="149" customFormat="1" ht="13.5">
      <c r="A138" s="146"/>
      <c r="B138" s="263">
        <v>6005046635</v>
      </c>
      <c r="C138" s="273" t="str">
        <f>IFERROR(IF(VLOOKUP($B138,勘定科目!$A:$H,HLOOKUP($E$5,勘定科目!$F$1:$H$2,2,0),0)="","",VLOOKUP($B138,勘定科目!$A:$E,2,0)),"")</f>
        <v>保守料（一般）</v>
      </c>
      <c r="D138" s="290" t="str">
        <f>IF(C138="","",VLOOKUP($B138,勘定科目!$A:$E,4,0))</f>
        <v>修繕費</v>
      </c>
      <c r="E138" s="303"/>
      <c r="F138" s="229">
        <v>58060000</v>
      </c>
      <c r="G138" s="229">
        <v>58060000</v>
      </c>
      <c r="H138" s="229">
        <v>58060000</v>
      </c>
      <c r="I138" s="229">
        <v>58060000</v>
      </c>
      <c r="J138" s="229">
        <v>58060000</v>
      </c>
      <c r="K138" s="229">
        <v>58060000</v>
      </c>
      <c r="L138" s="229">
        <v>58060000</v>
      </c>
      <c r="M138" s="229">
        <v>58060000</v>
      </c>
      <c r="N138" s="229">
        <v>58060000</v>
      </c>
      <c r="O138" s="229">
        <v>58060000</v>
      </c>
      <c r="P138" s="229">
        <v>58060000</v>
      </c>
      <c r="Q138" s="229">
        <v>58060000</v>
      </c>
      <c r="R138" s="216">
        <f t="shared" si="9"/>
        <v>696720000</v>
      </c>
      <c r="S138" s="193" t="s">
        <v>840</v>
      </c>
      <c r="T138" s="194"/>
      <c r="U138" s="192" t="s">
        <v>719</v>
      </c>
      <c r="V138" s="160"/>
      <c r="W138" s="160"/>
      <c r="BA138"/>
      <c r="BB138"/>
    </row>
    <row r="139" spans="1:54" s="149" customFormat="1" ht="13.5">
      <c r="A139" s="146"/>
      <c r="B139" s="263">
        <v>6005046635</v>
      </c>
      <c r="C139" s="273" t="str">
        <f>IFERROR(IF(VLOOKUP($B139,勘定科目!$A:$H,HLOOKUP($E$5,勘定科目!$F$1:$H$2,2,0),0)="","",VLOOKUP($B139,勘定科目!$A:$E,2,0)),"")</f>
        <v>保守料（一般）</v>
      </c>
      <c r="D139" s="290" t="str">
        <f>IF(C139="","",VLOOKUP($B139,勘定科目!$A:$E,4,0))</f>
        <v>修繕費</v>
      </c>
      <c r="E139" s="303"/>
      <c r="F139" s="229"/>
      <c r="G139" s="230"/>
      <c r="H139" s="230"/>
      <c r="I139" s="230"/>
      <c r="J139" s="230"/>
      <c r="K139" s="230"/>
      <c r="L139" s="230">
        <v>140000000</v>
      </c>
      <c r="M139" s="230"/>
      <c r="N139" s="230"/>
      <c r="O139" s="230"/>
      <c r="P139" s="230"/>
      <c r="Q139" s="230"/>
      <c r="R139" s="216">
        <f t="shared" si="9"/>
        <v>140000000</v>
      </c>
      <c r="S139" s="193" t="s">
        <v>727</v>
      </c>
      <c r="T139" s="194"/>
      <c r="U139" s="192" t="s">
        <v>719</v>
      </c>
      <c r="V139" s="160"/>
      <c r="W139" s="160"/>
      <c r="BA139"/>
      <c r="BB139"/>
    </row>
    <row r="140" spans="1:54" s="149" customFormat="1" ht="13.5">
      <c r="A140" s="146"/>
      <c r="B140" s="263">
        <v>6005046635</v>
      </c>
      <c r="C140" s="273" t="str">
        <f>IFERROR(IF(VLOOKUP($B140,勘定科目!$A:$H,HLOOKUP($E$5,勘定科目!$F$1:$H$2,2,0),0)="","",VLOOKUP($B140,勘定科目!$A:$E,2,0)),"")</f>
        <v>保守料（一般）</v>
      </c>
      <c r="D140" s="290" t="str">
        <f>IF(C140="","",VLOOKUP($B140,勘定科目!$A:$E,4,0))</f>
        <v>修繕費</v>
      </c>
      <c r="E140" s="303"/>
      <c r="F140" s="229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>
        <v>15000000</v>
      </c>
      <c r="R140" s="216">
        <f t="shared" si="9"/>
        <v>15000000</v>
      </c>
      <c r="S140" s="193" t="s">
        <v>704</v>
      </c>
      <c r="T140" s="194"/>
      <c r="U140" s="192" t="s">
        <v>719</v>
      </c>
      <c r="V140" s="160"/>
      <c r="W140" s="160"/>
      <c r="BA140"/>
      <c r="BB140"/>
    </row>
    <row r="141" spans="1:54" s="149" customFormat="1" ht="13.5">
      <c r="A141" s="146"/>
      <c r="B141" s="263">
        <v>6005046635</v>
      </c>
      <c r="C141" s="273" t="str">
        <f>IFERROR(IF(VLOOKUP($B141,勘定科目!$A:$H,HLOOKUP($E$5,勘定科目!$F$1:$H$2,2,0),0)="","",VLOOKUP($B141,勘定科目!$A:$E,2,0)),"")</f>
        <v>保守料（一般）</v>
      </c>
      <c r="D141" s="290" t="str">
        <f>IF(C141="","",VLOOKUP($B141,勘定科目!$A:$E,4,0))</f>
        <v>修繕費</v>
      </c>
      <c r="E141" s="303"/>
      <c r="F141" s="229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>
        <v>780000</v>
      </c>
      <c r="R141" s="216">
        <f t="shared" si="9"/>
        <v>780000</v>
      </c>
      <c r="S141" s="193" t="s">
        <v>993</v>
      </c>
      <c r="T141" s="194"/>
      <c r="U141" s="192" t="s">
        <v>719</v>
      </c>
      <c r="V141" s="160"/>
      <c r="W141" s="160"/>
      <c r="BA141"/>
      <c r="BB141"/>
    </row>
    <row r="142" spans="1:54" s="149" customFormat="1" ht="13.5">
      <c r="A142" s="146"/>
      <c r="B142" s="263">
        <v>6005046635</v>
      </c>
      <c r="C142" s="273" t="str">
        <f>IFERROR(IF(VLOOKUP($B142,勘定科目!$A:$H,HLOOKUP($E$5,勘定科目!$F$1:$H$2,2,0),0)="","",VLOOKUP($B142,勘定科目!$A:$E,2,0)),"")</f>
        <v>保守料（一般）</v>
      </c>
      <c r="D142" s="290" t="str">
        <f>IF(C142="","",VLOOKUP($B142,勘定科目!$A:$E,4,0))</f>
        <v>修繕費</v>
      </c>
      <c r="E142" s="303"/>
      <c r="F142" s="229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>
        <v>500000</v>
      </c>
      <c r="R142" s="216">
        <f t="shared" ref="R142:R163" si="11">SUM(F142:Q142)</f>
        <v>500000</v>
      </c>
      <c r="S142" s="193" t="s">
        <v>994</v>
      </c>
      <c r="T142" s="194"/>
      <c r="U142" s="192" t="s">
        <v>719</v>
      </c>
      <c r="V142" s="160"/>
      <c r="W142" s="160"/>
      <c r="BA142"/>
      <c r="BB142"/>
    </row>
    <row r="143" spans="1:54" s="149" customFormat="1" ht="13.5">
      <c r="A143" s="146"/>
      <c r="B143" s="263">
        <v>6005046635</v>
      </c>
      <c r="C143" s="273" t="str">
        <f>IFERROR(IF(VLOOKUP($B143,勘定科目!$A:$H,HLOOKUP($E$5,勘定科目!$F$1:$H$2,2,0),0)="","",VLOOKUP($B143,勘定科目!$A:$E,2,0)),"")</f>
        <v>保守料（一般）</v>
      </c>
      <c r="D143" s="290" t="str">
        <f>IF(C143="","",VLOOKUP($B143,勘定科目!$A:$E,4,0))</f>
        <v>修繕費</v>
      </c>
      <c r="E143" s="303"/>
      <c r="F143" s="229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>
        <v>500000</v>
      </c>
      <c r="R143" s="216">
        <f t="shared" si="11"/>
        <v>500000</v>
      </c>
      <c r="S143" s="193" t="s">
        <v>992</v>
      </c>
      <c r="T143" s="194"/>
      <c r="U143" s="192" t="s">
        <v>719</v>
      </c>
      <c r="V143" s="160"/>
      <c r="W143" s="160"/>
      <c r="BA143"/>
      <c r="BB143"/>
    </row>
    <row r="144" spans="1:54" s="149" customFormat="1" ht="13.5">
      <c r="A144" s="146"/>
      <c r="B144" s="263">
        <v>6005046635</v>
      </c>
      <c r="C144" s="273" t="str">
        <f>IFERROR(IF(VLOOKUP($B144,勘定科目!$A:$H,HLOOKUP($E$5,勘定科目!$F$1:$H$2,2,0),0)="","",VLOOKUP($B144,勘定科目!$A:$E,2,0)),"")</f>
        <v>保守料（一般）</v>
      </c>
      <c r="D144" s="290" t="str">
        <f>IF(C144="","",VLOOKUP($B144,勘定科目!$A:$E,4,0))</f>
        <v>修繕費</v>
      </c>
      <c r="E144" s="303"/>
      <c r="F144" s="229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>
        <v>16000000</v>
      </c>
      <c r="R144" s="216">
        <f t="shared" si="11"/>
        <v>16000000</v>
      </c>
      <c r="S144" s="193" t="s">
        <v>705</v>
      </c>
      <c r="T144" s="194"/>
      <c r="U144" s="192" t="s">
        <v>719</v>
      </c>
      <c r="V144" s="160"/>
      <c r="W144" s="160"/>
      <c r="BA144"/>
      <c r="BB144"/>
    </row>
    <row r="145" spans="1:54" s="149" customFormat="1" ht="13.5">
      <c r="A145" s="146"/>
      <c r="B145" s="263">
        <v>6005046635</v>
      </c>
      <c r="C145" s="273" t="str">
        <f>IFERROR(IF(VLOOKUP($B145,勘定科目!$A:$H,HLOOKUP($E$5,勘定科目!$F$1:$H$2,2,0),0)="","",VLOOKUP($B145,勘定科目!$A:$E,2,0)),"")</f>
        <v>保守料（一般）</v>
      </c>
      <c r="D145" s="290" t="str">
        <f>IF(C145="","",VLOOKUP($B145,勘定科目!$A:$E,4,0))</f>
        <v>修繕費</v>
      </c>
      <c r="E145" s="303"/>
      <c r="F145" s="229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>
        <v>16000000</v>
      </c>
      <c r="R145" s="216">
        <f t="shared" si="11"/>
        <v>16000000</v>
      </c>
      <c r="S145" s="193" t="s">
        <v>853</v>
      </c>
      <c r="T145" s="194"/>
      <c r="U145" s="192" t="s">
        <v>719</v>
      </c>
      <c r="V145" s="160"/>
      <c r="W145" s="160"/>
      <c r="BA145"/>
      <c r="BB145"/>
    </row>
    <row r="146" spans="1:54" s="149" customFormat="1" ht="13.5">
      <c r="A146" s="146"/>
      <c r="B146" s="263">
        <v>6005046635</v>
      </c>
      <c r="C146" s="273" t="str">
        <f>IFERROR(IF(VLOOKUP($B146,勘定科目!$A:$H,HLOOKUP($E$5,勘定科目!$F$1:$H$2,2,0),0)="","",VLOOKUP($B146,勘定科目!$A:$E,2,0)),"")</f>
        <v>保守料（一般）</v>
      </c>
      <c r="D146" s="290" t="str">
        <f>IF(C146="","",VLOOKUP($B146,勘定科目!$A:$E,4,0))</f>
        <v>修繕費</v>
      </c>
      <c r="E146" s="303"/>
      <c r="F146" s="229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>
        <v>8000000</v>
      </c>
      <c r="R146" s="216">
        <f t="shared" si="11"/>
        <v>8000000</v>
      </c>
      <c r="S146" s="193" t="s">
        <v>995</v>
      </c>
      <c r="T146" s="194"/>
      <c r="U146" s="192" t="s">
        <v>719</v>
      </c>
      <c r="V146" s="160"/>
      <c r="W146" s="160"/>
      <c r="BA146"/>
      <c r="BB146"/>
    </row>
    <row r="147" spans="1:54" s="149" customFormat="1" ht="13.5">
      <c r="A147" s="146"/>
      <c r="B147" s="263">
        <v>6005046635</v>
      </c>
      <c r="C147" s="273" t="str">
        <f>IFERROR(IF(VLOOKUP($B147,勘定科目!$A:$H,HLOOKUP($E$5,勘定科目!$F$1:$H$2,2,0),0)="","",VLOOKUP($B147,勘定科目!$A:$E,2,0)),"")</f>
        <v>保守料（一般）</v>
      </c>
      <c r="D147" s="290" t="str">
        <f>IF(C147="","",VLOOKUP($B147,勘定科目!$A:$E,4,0))</f>
        <v>修繕費</v>
      </c>
      <c r="E147" s="303"/>
      <c r="F147" s="229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>
        <v>4000000</v>
      </c>
      <c r="R147" s="216">
        <f t="shared" si="11"/>
        <v>4000000</v>
      </c>
      <c r="S147" s="193" t="s">
        <v>996</v>
      </c>
      <c r="T147" s="194"/>
      <c r="U147" s="192" t="s">
        <v>719</v>
      </c>
      <c r="V147" s="160"/>
      <c r="W147" s="160"/>
      <c r="BA147"/>
      <c r="BB147"/>
    </row>
    <row r="148" spans="1:54" s="149" customFormat="1" ht="13.5">
      <c r="A148" s="146"/>
      <c r="B148" s="263">
        <v>6005046635</v>
      </c>
      <c r="C148" s="273" t="str">
        <f>IFERROR(IF(VLOOKUP($B148,勘定科目!$A:$H,HLOOKUP($E$5,勘定科目!$F$1:$H$2,2,0),0)="","",VLOOKUP($B148,勘定科目!$A:$E,2,0)),"")</f>
        <v>保守料（一般）</v>
      </c>
      <c r="D148" s="290" t="str">
        <f>IF(C148="","",VLOOKUP($B148,勘定科目!$A:$E,4,0))</f>
        <v>修繕費</v>
      </c>
      <c r="E148" s="303"/>
      <c r="F148" s="229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>
        <v>9000000</v>
      </c>
      <c r="R148" s="216">
        <f t="shared" si="11"/>
        <v>9000000</v>
      </c>
      <c r="S148" s="193" t="s">
        <v>997</v>
      </c>
      <c r="T148" s="194"/>
      <c r="U148" s="192" t="s">
        <v>719</v>
      </c>
      <c r="V148" s="160"/>
      <c r="W148" s="160"/>
      <c r="BA148"/>
      <c r="BB148"/>
    </row>
    <row r="149" spans="1:54" s="149" customFormat="1" ht="13.5">
      <c r="A149" s="146"/>
      <c r="B149" s="263">
        <v>6005046635</v>
      </c>
      <c r="C149" s="273" t="str">
        <f>IFERROR(IF(VLOOKUP($B149,勘定科目!$A:$H,HLOOKUP($E$5,勘定科目!$F$1:$H$2,2,0),0)="","",VLOOKUP($B149,勘定科目!$A:$E,2,0)),"")</f>
        <v>保守料（一般）</v>
      </c>
      <c r="D149" s="290" t="str">
        <f>IF(C149="","",VLOOKUP($B149,勘定科目!$A:$E,4,0))</f>
        <v>修繕費</v>
      </c>
      <c r="E149" s="303"/>
      <c r="F149" s="229"/>
      <c r="G149" s="230"/>
      <c r="H149" s="230">
        <v>4150000</v>
      </c>
      <c r="I149" s="230"/>
      <c r="J149" s="230"/>
      <c r="K149" s="230"/>
      <c r="L149" s="230"/>
      <c r="M149" s="230"/>
      <c r="N149" s="230"/>
      <c r="O149" s="230"/>
      <c r="P149" s="230"/>
      <c r="Q149" s="230"/>
      <c r="R149" s="216">
        <f t="shared" si="11"/>
        <v>4150000</v>
      </c>
      <c r="S149" s="193" t="s">
        <v>706</v>
      </c>
      <c r="T149" s="194"/>
      <c r="U149" s="192" t="s">
        <v>719</v>
      </c>
      <c r="V149" s="160"/>
      <c r="W149" s="160"/>
      <c r="BA149"/>
      <c r="BB149"/>
    </row>
    <row r="150" spans="1:54" s="149" customFormat="1" ht="13.5">
      <c r="A150" s="146"/>
      <c r="B150" s="263">
        <v>6005046635</v>
      </c>
      <c r="C150" s="273" t="str">
        <f>IFERROR(IF(VLOOKUP($B150,勘定科目!$A:$H,HLOOKUP($E$5,勘定科目!$F$1:$H$2,2,0),0)="","",VLOOKUP($B150,勘定科目!$A:$E,2,0)),"")</f>
        <v>保守料（一般）</v>
      </c>
      <c r="D150" s="290" t="str">
        <f>IF(C150="","",VLOOKUP($B150,勘定科目!$A:$E,4,0))</f>
        <v>修繕費</v>
      </c>
      <c r="E150" s="303"/>
      <c r="F150" s="229"/>
      <c r="G150" s="230"/>
      <c r="H150" s="230">
        <v>6000000</v>
      </c>
      <c r="I150" s="230"/>
      <c r="J150" s="230"/>
      <c r="K150" s="230"/>
      <c r="L150" s="230"/>
      <c r="M150" s="230"/>
      <c r="N150" s="230"/>
      <c r="O150" s="230"/>
      <c r="P150" s="230"/>
      <c r="Q150" s="230"/>
      <c r="R150" s="216">
        <f t="shared" si="11"/>
        <v>6000000</v>
      </c>
      <c r="S150" s="193" t="s">
        <v>841</v>
      </c>
      <c r="T150" s="194"/>
      <c r="U150" s="192" t="s">
        <v>719</v>
      </c>
      <c r="V150" s="160"/>
      <c r="W150" s="160"/>
      <c r="BA150"/>
      <c r="BB150"/>
    </row>
    <row r="151" spans="1:54" s="149" customFormat="1" ht="13.5">
      <c r="A151" s="146"/>
      <c r="B151" s="263">
        <v>6005046635</v>
      </c>
      <c r="C151" s="273" t="str">
        <f>IFERROR(IF(VLOOKUP($B151,勘定科目!$A:$H,HLOOKUP($E$5,勘定科目!$F$1:$H$2,2,0),0)="","",VLOOKUP($B151,勘定科目!$A:$E,2,0)),"")</f>
        <v>保守料（一般）</v>
      </c>
      <c r="D151" s="290" t="str">
        <f>IF(C151="","",VLOOKUP($B151,勘定科目!$A:$E,4,0))</f>
        <v>修繕費</v>
      </c>
      <c r="E151" s="303"/>
      <c r="F151" s="229"/>
      <c r="G151" s="230"/>
      <c r="H151" s="230">
        <v>3900000</v>
      </c>
      <c r="I151" s="230"/>
      <c r="J151" s="230"/>
      <c r="K151" s="230"/>
      <c r="L151" s="230"/>
      <c r="M151" s="230"/>
      <c r="N151" s="230"/>
      <c r="O151" s="230"/>
      <c r="P151" s="230"/>
      <c r="Q151" s="230"/>
      <c r="R151" s="216">
        <f t="shared" si="11"/>
        <v>3900000</v>
      </c>
      <c r="S151" s="193" t="s">
        <v>707</v>
      </c>
      <c r="T151" s="194"/>
      <c r="U151" s="192" t="s">
        <v>719</v>
      </c>
      <c r="V151" s="160"/>
      <c r="W151" s="160"/>
      <c r="BA151"/>
      <c r="BB151"/>
    </row>
    <row r="152" spans="1:54" s="149" customFormat="1" ht="13.5">
      <c r="A152" s="146"/>
      <c r="B152" s="263">
        <v>6005046635</v>
      </c>
      <c r="C152" s="273" t="str">
        <f>IFERROR(IF(VLOOKUP($B152,勘定科目!$A:$H,HLOOKUP($E$5,勘定科目!$F$1:$H$2,2,0),0)="","",VLOOKUP($B152,勘定科目!$A:$E,2,0)),"")</f>
        <v>保守料（一般）</v>
      </c>
      <c r="D152" s="290" t="str">
        <f>IF(C152="","",VLOOKUP($B152,勘定科目!$A:$E,4,0))</f>
        <v>修繕費</v>
      </c>
      <c r="E152" s="303"/>
      <c r="F152" s="229"/>
      <c r="G152" s="230"/>
      <c r="H152" s="230">
        <v>2000000</v>
      </c>
      <c r="I152" s="230"/>
      <c r="J152" s="230"/>
      <c r="K152" s="230"/>
      <c r="L152" s="230"/>
      <c r="M152" s="230"/>
      <c r="N152" s="230"/>
      <c r="O152" s="230"/>
      <c r="P152" s="230"/>
      <c r="Q152" s="230"/>
      <c r="R152" s="216">
        <f t="shared" si="11"/>
        <v>2000000</v>
      </c>
      <c r="S152" s="193" t="s">
        <v>708</v>
      </c>
      <c r="T152" s="194"/>
      <c r="U152" s="192" t="s">
        <v>719</v>
      </c>
      <c r="V152" s="160"/>
      <c r="W152" s="160"/>
      <c r="BA152"/>
      <c r="BB152"/>
    </row>
    <row r="153" spans="1:54" s="149" customFormat="1" ht="13.5">
      <c r="A153" s="146"/>
      <c r="B153" s="263">
        <v>6005046635</v>
      </c>
      <c r="C153" s="273" t="str">
        <f>IFERROR(IF(VLOOKUP($B153,勘定科目!$A:$H,HLOOKUP($E$5,勘定科目!$F$1:$H$2,2,0),0)="","",VLOOKUP($B153,勘定科目!$A:$E,2,0)),"")</f>
        <v>保守料（一般）</v>
      </c>
      <c r="D153" s="290" t="str">
        <f>IF(C153="","",VLOOKUP($B153,勘定科目!$A:$E,4,0))</f>
        <v>修繕費</v>
      </c>
      <c r="E153" s="303"/>
      <c r="F153" s="229"/>
      <c r="G153" s="230"/>
      <c r="H153" s="230">
        <v>1100000</v>
      </c>
      <c r="I153" s="230"/>
      <c r="J153" s="230"/>
      <c r="K153" s="230"/>
      <c r="L153" s="230"/>
      <c r="M153" s="230"/>
      <c r="N153" s="230"/>
      <c r="O153" s="230"/>
      <c r="P153" s="230"/>
      <c r="Q153" s="230"/>
      <c r="R153" s="216">
        <f t="shared" si="11"/>
        <v>1100000</v>
      </c>
      <c r="S153" s="193" t="s">
        <v>709</v>
      </c>
      <c r="T153" s="194"/>
      <c r="U153" s="192" t="s">
        <v>719</v>
      </c>
      <c r="V153" s="160"/>
      <c r="W153" s="160"/>
      <c r="BA153"/>
      <c r="BB153"/>
    </row>
    <row r="154" spans="1:54" s="149" customFormat="1" ht="13.5">
      <c r="A154" s="146"/>
      <c r="B154" s="263">
        <v>6005046635</v>
      </c>
      <c r="C154" s="273" t="str">
        <f>IFERROR(IF(VLOOKUP($B154,勘定科目!$A:$H,HLOOKUP($E$5,勘定科目!$F$1:$H$2,2,0),0)="","",VLOOKUP($B154,勘定科目!$A:$E,2,0)),"")</f>
        <v>保守料（一般）</v>
      </c>
      <c r="D154" s="290" t="str">
        <f>IF(C154="","",VLOOKUP($B154,勘定科目!$A:$E,4,0))</f>
        <v>修繕費</v>
      </c>
      <c r="E154" s="303"/>
      <c r="F154" s="229"/>
      <c r="G154" s="230"/>
      <c r="H154" s="230">
        <v>12000000</v>
      </c>
      <c r="I154" s="230"/>
      <c r="J154" s="230"/>
      <c r="K154" s="230"/>
      <c r="L154" s="230"/>
      <c r="M154" s="230"/>
      <c r="N154" s="230"/>
      <c r="O154" s="230"/>
      <c r="P154" s="230"/>
      <c r="Q154" s="230"/>
      <c r="R154" s="216">
        <f t="shared" si="11"/>
        <v>12000000</v>
      </c>
      <c r="S154" s="193" t="s">
        <v>842</v>
      </c>
      <c r="T154" s="194"/>
      <c r="U154" s="192" t="s">
        <v>719</v>
      </c>
      <c r="V154" s="160"/>
      <c r="W154" s="160"/>
      <c r="BA154"/>
      <c r="BB154"/>
    </row>
    <row r="155" spans="1:54" s="149" customFormat="1" ht="13.5">
      <c r="A155" s="146"/>
      <c r="B155" s="263">
        <v>6005046635</v>
      </c>
      <c r="C155" s="273" t="str">
        <f>IFERROR(IF(VLOOKUP($B155,勘定科目!$A:$H,HLOOKUP($E$5,勘定科目!$F$1:$H$2,2,0),0)="","",VLOOKUP($B155,勘定科目!$A:$E,2,0)),"")</f>
        <v>保守料（一般）</v>
      </c>
      <c r="D155" s="290" t="str">
        <f>IF(C155="","",VLOOKUP($B155,勘定科目!$A:$E,4,0))</f>
        <v>修繕費</v>
      </c>
      <c r="E155" s="303"/>
      <c r="F155" s="229"/>
      <c r="G155" s="230"/>
      <c r="H155" s="230">
        <v>1000000</v>
      </c>
      <c r="I155" s="230"/>
      <c r="J155" s="230"/>
      <c r="K155" s="230"/>
      <c r="L155" s="230"/>
      <c r="M155" s="230"/>
      <c r="N155" s="230"/>
      <c r="O155" s="230"/>
      <c r="P155" s="230"/>
      <c r="Q155" s="230"/>
      <c r="R155" s="216">
        <f t="shared" si="11"/>
        <v>1000000</v>
      </c>
      <c r="S155" s="193" t="s">
        <v>976</v>
      </c>
      <c r="T155" s="194"/>
      <c r="U155" s="192" t="s">
        <v>719</v>
      </c>
      <c r="V155" s="160"/>
      <c r="W155" s="160"/>
      <c r="BA155"/>
      <c r="BB155"/>
    </row>
    <row r="156" spans="1:54" s="149" customFormat="1" ht="13.5">
      <c r="A156" s="146"/>
      <c r="B156" s="263">
        <v>6005046635</v>
      </c>
      <c r="C156" s="273" t="str">
        <f>IFERROR(IF(VLOOKUP($B156,勘定科目!$A:$H,HLOOKUP($E$5,勘定科目!$F$1:$H$2,2,0),0)="","",VLOOKUP($B156,勘定科目!$A:$E,2,0)),"")</f>
        <v>保守料（一般）</v>
      </c>
      <c r="D156" s="290" t="str">
        <f>IF(C156="","",VLOOKUP($B156,勘定科目!$A:$E,4,0))</f>
        <v>修繕費</v>
      </c>
      <c r="E156" s="303"/>
      <c r="F156" s="229"/>
      <c r="G156" s="230"/>
      <c r="H156" s="230">
        <v>1500000</v>
      </c>
      <c r="I156" s="230"/>
      <c r="J156" s="230"/>
      <c r="K156" s="230"/>
      <c r="L156" s="230"/>
      <c r="M156" s="230"/>
      <c r="N156" s="230"/>
      <c r="O156" s="230"/>
      <c r="P156" s="230"/>
      <c r="Q156" s="230"/>
      <c r="R156" s="216">
        <f t="shared" si="11"/>
        <v>1500000</v>
      </c>
      <c r="S156" s="193" t="s">
        <v>977</v>
      </c>
      <c r="T156" s="194"/>
      <c r="U156" s="192" t="s">
        <v>719</v>
      </c>
      <c r="V156" s="160"/>
      <c r="W156" s="160"/>
      <c r="BA156"/>
      <c r="BB156"/>
    </row>
    <row r="157" spans="1:54" s="149" customFormat="1" ht="13.5">
      <c r="A157" s="146"/>
      <c r="B157" s="263">
        <v>6005046635</v>
      </c>
      <c r="C157" s="273" t="str">
        <f>IFERROR(IF(VLOOKUP($B157,勘定科目!$A:$H,HLOOKUP($E$5,勘定科目!$F$1:$H$2,2,0),0)="","",VLOOKUP($B157,勘定科目!$A:$E,2,0)),"")</f>
        <v>保守料（一般）</v>
      </c>
      <c r="D157" s="290" t="str">
        <f>IF(C157="","",VLOOKUP($B157,勘定科目!$A:$E,4,0))</f>
        <v>修繕費</v>
      </c>
      <c r="E157" s="303"/>
      <c r="F157" s="229"/>
      <c r="G157" s="230"/>
      <c r="H157" s="230">
        <v>1560000</v>
      </c>
      <c r="I157" s="230"/>
      <c r="J157" s="230"/>
      <c r="K157" s="230"/>
      <c r="L157" s="230"/>
      <c r="M157" s="230"/>
      <c r="N157" s="230"/>
      <c r="O157" s="230"/>
      <c r="P157" s="230"/>
      <c r="Q157" s="230"/>
      <c r="R157" s="216">
        <f t="shared" si="11"/>
        <v>1560000</v>
      </c>
      <c r="S157" s="193" t="s">
        <v>978</v>
      </c>
      <c r="T157" s="194"/>
      <c r="U157" s="192" t="s">
        <v>719</v>
      </c>
      <c r="V157" s="160"/>
      <c r="W157" s="160"/>
      <c r="BA157"/>
      <c r="BB157"/>
    </row>
    <row r="158" spans="1:54" s="149" customFormat="1" ht="13.5">
      <c r="A158" s="146"/>
      <c r="B158" s="263">
        <v>6005046635</v>
      </c>
      <c r="C158" s="273" t="str">
        <f>IFERROR(IF(VLOOKUP($B158,勘定科目!$A:$H,HLOOKUP($E$5,勘定科目!$F$1:$H$2,2,0),0)="","",VLOOKUP($B158,勘定科目!$A:$E,2,0)),"")</f>
        <v>保守料（一般）</v>
      </c>
      <c r="D158" s="290" t="str">
        <f>IF(C158="","",VLOOKUP($B158,勘定科目!$A:$E,4,0))</f>
        <v>修繕費</v>
      </c>
      <c r="E158" s="303"/>
      <c r="F158" s="229"/>
      <c r="G158" s="230"/>
      <c r="H158" s="230"/>
      <c r="I158" s="230"/>
      <c r="J158" s="230"/>
      <c r="K158" s="230">
        <v>27000000</v>
      </c>
      <c r="L158" s="230"/>
      <c r="M158" s="230"/>
      <c r="N158" s="230"/>
      <c r="O158" s="230"/>
      <c r="P158" s="230"/>
      <c r="Q158" s="230"/>
      <c r="R158" s="216">
        <f t="shared" si="11"/>
        <v>27000000</v>
      </c>
      <c r="S158" s="193" t="s">
        <v>843</v>
      </c>
      <c r="T158" s="194"/>
      <c r="U158" s="192" t="s">
        <v>719</v>
      </c>
      <c r="V158" s="160"/>
      <c r="W158" s="160"/>
      <c r="BA158"/>
      <c r="BB158"/>
    </row>
    <row r="159" spans="1:54" s="149" customFormat="1" ht="13.5">
      <c r="A159" s="146"/>
      <c r="B159" s="263">
        <v>6005046635</v>
      </c>
      <c r="C159" s="273" t="str">
        <f>IFERROR(IF(VLOOKUP($B159,勘定科目!$A:$H,HLOOKUP($E$5,勘定科目!$F$1:$H$2,2,0),0)="","",VLOOKUP($B159,勘定科目!$A:$E,2,0)),"")</f>
        <v>保守料（一般）</v>
      </c>
      <c r="D159" s="290" t="str">
        <f>IF(C159="","",VLOOKUP($B159,勘定科目!$A:$E,4,0))</f>
        <v>修繕費</v>
      </c>
      <c r="E159" s="303"/>
      <c r="F159" s="229"/>
      <c r="G159" s="230"/>
      <c r="H159" s="230"/>
      <c r="I159" s="230"/>
      <c r="J159" s="230"/>
      <c r="K159" s="230">
        <v>8000000</v>
      </c>
      <c r="L159" s="230"/>
      <c r="M159" s="230"/>
      <c r="N159" s="230"/>
      <c r="O159" s="230"/>
      <c r="P159" s="230"/>
      <c r="Q159" s="230"/>
      <c r="R159" s="216">
        <f t="shared" si="11"/>
        <v>8000000</v>
      </c>
      <c r="S159" s="193" t="s">
        <v>979</v>
      </c>
      <c r="T159" s="194"/>
      <c r="U159" s="192" t="s">
        <v>719</v>
      </c>
      <c r="V159" s="160"/>
      <c r="W159" s="160"/>
      <c r="BA159"/>
      <c r="BB159"/>
    </row>
    <row r="160" spans="1:54" s="149" customFormat="1" ht="13.5">
      <c r="A160" s="146"/>
      <c r="B160" s="263">
        <v>6005046635</v>
      </c>
      <c r="C160" s="273" t="str">
        <f>IFERROR(IF(VLOOKUP($B160,勘定科目!$A:$H,HLOOKUP($E$5,勘定科目!$F$1:$H$2,2,0),0)="","",VLOOKUP($B160,勘定科目!$A:$E,2,0)),"")</f>
        <v>保守料（一般）</v>
      </c>
      <c r="D160" s="290" t="str">
        <f>IF(C160="","",VLOOKUP($B160,勘定科目!$A:$E,4,0))</f>
        <v>修繕費</v>
      </c>
      <c r="E160" s="303"/>
      <c r="F160" s="229"/>
      <c r="G160" s="230"/>
      <c r="H160" s="230"/>
      <c r="I160" s="230"/>
      <c r="J160" s="230"/>
      <c r="K160" s="230">
        <v>1300000</v>
      </c>
      <c r="L160" s="230"/>
      <c r="M160" s="230"/>
      <c r="N160" s="230"/>
      <c r="O160" s="230"/>
      <c r="P160" s="230"/>
      <c r="Q160" s="230"/>
      <c r="R160" s="216">
        <f t="shared" si="11"/>
        <v>1300000</v>
      </c>
      <c r="S160" s="193" t="s">
        <v>980</v>
      </c>
      <c r="T160" s="194"/>
      <c r="U160" s="192" t="s">
        <v>719</v>
      </c>
      <c r="V160" s="160"/>
      <c r="W160" s="160"/>
      <c r="BA160"/>
      <c r="BB160"/>
    </row>
    <row r="161" spans="1:54" s="149" customFormat="1" ht="13.5">
      <c r="A161" s="146"/>
      <c r="B161" s="263">
        <v>6005046635</v>
      </c>
      <c r="C161" s="273" t="str">
        <f>IFERROR(IF(VLOOKUP($B161,勘定科目!$A:$H,HLOOKUP($E$5,勘定科目!$F$1:$H$2,2,0),0)="","",VLOOKUP($B161,勘定科目!$A:$E,2,0)),"")</f>
        <v>保守料（一般）</v>
      </c>
      <c r="D161" s="290" t="str">
        <f>IF(C161="","",VLOOKUP($B161,勘定科目!$A:$E,4,0))</f>
        <v>修繕費</v>
      </c>
      <c r="E161" s="303"/>
      <c r="F161" s="229"/>
      <c r="G161" s="230"/>
      <c r="H161" s="230"/>
      <c r="I161" s="230"/>
      <c r="J161" s="230"/>
      <c r="K161" s="230">
        <v>42000000</v>
      </c>
      <c r="L161" s="230"/>
      <c r="M161" s="230"/>
      <c r="N161" s="230"/>
      <c r="O161" s="230"/>
      <c r="P161" s="230"/>
      <c r="Q161" s="230"/>
      <c r="R161" s="216">
        <f t="shared" si="11"/>
        <v>42000000</v>
      </c>
      <c r="S161" s="193" t="s">
        <v>844</v>
      </c>
      <c r="T161" s="194"/>
      <c r="U161" s="192" t="s">
        <v>719</v>
      </c>
      <c r="V161" s="160"/>
      <c r="W161" s="160"/>
      <c r="BA161"/>
      <c r="BB161"/>
    </row>
    <row r="162" spans="1:54" s="149" customFormat="1" ht="13.5">
      <c r="A162" s="146"/>
      <c r="B162" s="263">
        <v>6005046635</v>
      </c>
      <c r="C162" s="273" t="str">
        <f>IFERROR(IF(VLOOKUP($B162,勘定科目!$A:$H,HLOOKUP($E$5,勘定科目!$F$1:$H$2,2,0),0)="","",VLOOKUP($B162,勘定科目!$A:$E,2,0)),"")</f>
        <v>保守料（一般）</v>
      </c>
      <c r="D162" s="290" t="str">
        <f>IF(C162="","",VLOOKUP($B162,勘定科目!$A:$E,4,0))</f>
        <v>修繕費</v>
      </c>
      <c r="E162" s="303"/>
      <c r="F162" s="229"/>
      <c r="G162" s="230"/>
      <c r="H162" s="230"/>
      <c r="I162" s="230"/>
      <c r="J162" s="230"/>
      <c r="K162" s="230">
        <v>4280000</v>
      </c>
      <c r="L162" s="230"/>
      <c r="M162" s="230"/>
      <c r="N162" s="230"/>
      <c r="O162" s="230"/>
      <c r="P162" s="230"/>
      <c r="Q162" s="230"/>
      <c r="R162" s="216">
        <f t="shared" si="11"/>
        <v>4280000</v>
      </c>
      <c r="S162" s="193" t="s">
        <v>845</v>
      </c>
      <c r="T162" s="194"/>
      <c r="U162" s="192" t="s">
        <v>719</v>
      </c>
      <c r="V162" s="160"/>
      <c r="W162" s="160"/>
      <c r="BA162"/>
      <c r="BB162"/>
    </row>
    <row r="163" spans="1:54" s="149" customFormat="1" ht="13.5">
      <c r="A163" s="146"/>
      <c r="B163" s="263">
        <v>6005046635</v>
      </c>
      <c r="C163" s="273" t="str">
        <f>IFERROR(IF(VLOOKUP($B163,勘定科目!$A:$H,HLOOKUP($E$5,勘定科目!$F$1:$H$2,2,0),0)="","",VLOOKUP($B163,勘定科目!$A:$E,2,0)),"")</f>
        <v>保守料（一般）</v>
      </c>
      <c r="D163" s="290" t="str">
        <f>IF(C163="","",VLOOKUP($B163,勘定科目!$A:$E,4,0))</f>
        <v>修繕費</v>
      </c>
      <c r="E163" s="303"/>
      <c r="F163" s="229"/>
      <c r="G163" s="230"/>
      <c r="H163" s="230"/>
      <c r="I163" s="230"/>
      <c r="J163" s="230"/>
      <c r="K163" s="230">
        <v>27300000</v>
      </c>
      <c r="L163" s="230"/>
      <c r="M163" s="230"/>
      <c r="N163" s="230"/>
      <c r="O163" s="230"/>
      <c r="P163" s="230"/>
      <c r="Q163" s="230"/>
      <c r="R163" s="216">
        <f t="shared" si="11"/>
        <v>27300000</v>
      </c>
      <c r="S163" s="193" t="s">
        <v>846</v>
      </c>
      <c r="T163" s="194"/>
      <c r="U163" s="192" t="s">
        <v>719</v>
      </c>
      <c r="V163" s="160"/>
      <c r="W163" s="160"/>
      <c r="BA163"/>
      <c r="BB163"/>
    </row>
    <row r="164" spans="1:54" s="149" customFormat="1" ht="13.5">
      <c r="A164" s="146"/>
      <c r="B164" s="263">
        <v>6005046635</v>
      </c>
      <c r="C164" s="273" t="str">
        <f>IFERROR(IF(VLOOKUP($B164,勘定科目!$A:$H,HLOOKUP($E$5,勘定科目!$F$1:$H$2,2,0),0)="","",VLOOKUP($B164,勘定科目!$A:$E,2,0)),"")</f>
        <v>保守料（一般）</v>
      </c>
      <c r="D164" s="290" t="str">
        <f>IF(C164="","",VLOOKUP($B164,勘定科目!$A:$E,4,0))</f>
        <v>修繕費</v>
      </c>
      <c r="E164" s="303"/>
      <c r="F164" s="229"/>
      <c r="G164" s="230"/>
      <c r="H164" s="230"/>
      <c r="I164" s="230"/>
      <c r="J164" s="230"/>
      <c r="K164" s="230">
        <v>3000000</v>
      </c>
      <c r="L164" s="230"/>
      <c r="M164" s="230"/>
      <c r="N164" s="230"/>
      <c r="O164" s="230"/>
      <c r="P164" s="230"/>
      <c r="Q164" s="230"/>
      <c r="R164" s="216">
        <f t="shared" si="9"/>
        <v>3000000</v>
      </c>
      <c r="S164" s="193" t="s">
        <v>852</v>
      </c>
      <c r="T164" s="194"/>
      <c r="U164" s="192" t="s">
        <v>719</v>
      </c>
      <c r="V164" s="160"/>
      <c r="W164" s="160"/>
      <c r="BA164"/>
      <c r="BB164"/>
    </row>
    <row r="165" spans="1:54" s="149" customFormat="1" ht="13.5">
      <c r="A165" s="146"/>
      <c r="B165" s="263">
        <v>6005046635</v>
      </c>
      <c r="C165" s="273" t="str">
        <f>IFERROR(IF(VLOOKUP($B165,勘定科目!$A:$H,HLOOKUP($E$5,勘定科目!$F$1:$H$2,2,0),0)="","",VLOOKUP($B165,勘定科目!$A:$E,2,0)),"")</f>
        <v>保守料（一般）</v>
      </c>
      <c r="D165" s="290" t="str">
        <f>IF(C165="","",VLOOKUP($B165,勘定科目!$A:$E,4,0))</f>
        <v>修繕費</v>
      </c>
      <c r="E165" s="303"/>
      <c r="F165" s="229"/>
      <c r="G165" s="230"/>
      <c r="H165" s="230"/>
      <c r="I165" s="230"/>
      <c r="J165" s="230"/>
      <c r="K165" s="230">
        <v>5200000</v>
      </c>
      <c r="L165" s="230"/>
      <c r="M165" s="230"/>
      <c r="N165" s="230"/>
      <c r="O165" s="230"/>
      <c r="P165" s="230"/>
      <c r="Q165" s="230"/>
      <c r="R165" s="216">
        <f t="shared" si="9"/>
        <v>5200000</v>
      </c>
      <c r="S165" s="193" t="s">
        <v>981</v>
      </c>
      <c r="T165" s="194"/>
      <c r="U165" s="192" t="s">
        <v>719</v>
      </c>
      <c r="V165" s="160"/>
      <c r="W165" s="160"/>
      <c r="BA165"/>
      <c r="BB165"/>
    </row>
    <row r="166" spans="1:54" s="149" customFormat="1" ht="13.5">
      <c r="A166" s="146"/>
      <c r="B166" s="263">
        <v>6005046635</v>
      </c>
      <c r="C166" s="273" t="str">
        <f>IFERROR(IF(VLOOKUP($B166,勘定科目!$A:$H,HLOOKUP($E$5,勘定科目!$F$1:$H$2,2,0),0)="","",VLOOKUP($B166,勘定科目!$A:$E,2,0)),"")</f>
        <v>保守料（一般）</v>
      </c>
      <c r="D166" s="290" t="str">
        <f>IF(C166="","",VLOOKUP($B166,勘定科目!$A:$E,4,0))</f>
        <v>修繕費</v>
      </c>
      <c r="E166" s="303"/>
      <c r="F166" s="229"/>
      <c r="G166" s="230"/>
      <c r="H166" s="230"/>
      <c r="I166" s="230"/>
      <c r="J166" s="230"/>
      <c r="K166" s="230">
        <v>10000000</v>
      </c>
      <c r="L166" s="230"/>
      <c r="M166" s="230"/>
      <c r="N166" s="230"/>
      <c r="O166" s="230"/>
      <c r="P166" s="230"/>
      <c r="Q166" s="230"/>
      <c r="R166" s="216">
        <f t="shared" si="9"/>
        <v>10000000</v>
      </c>
      <c r="S166" s="193" t="s">
        <v>982</v>
      </c>
      <c r="T166" s="194"/>
      <c r="U166" s="192" t="s">
        <v>719</v>
      </c>
      <c r="V166" s="160"/>
      <c r="W166" s="160"/>
      <c r="BA166"/>
      <c r="BB166"/>
    </row>
    <row r="167" spans="1:54" s="149" customFormat="1" ht="13.5">
      <c r="A167" s="146"/>
      <c r="B167" s="263">
        <v>6005046635</v>
      </c>
      <c r="C167" s="273" t="str">
        <f>IFERROR(IF(VLOOKUP($B167,勘定科目!$A:$H,HLOOKUP($E$5,勘定科目!$F$1:$H$2,2,0),0)="","",VLOOKUP($B167,勘定科目!$A:$E,2,0)),"")</f>
        <v>保守料（一般）</v>
      </c>
      <c r="D167" s="290" t="str">
        <f>IF(C167="","",VLOOKUP($B167,勘定科目!$A:$E,4,0))</f>
        <v>修繕費</v>
      </c>
      <c r="E167" s="303"/>
      <c r="F167" s="229"/>
      <c r="G167" s="230"/>
      <c r="H167" s="230"/>
      <c r="I167" s="230"/>
      <c r="J167" s="230"/>
      <c r="K167" s="230"/>
      <c r="L167" s="230"/>
      <c r="M167" s="230"/>
      <c r="N167" s="230">
        <v>500000</v>
      </c>
      <c r="O167" s="230"/>
      <c r="P167" s="230"/>
      <c r="Q167" s="230"/>
      <c r="R167" s="216">
        <f t="shared" si="9"/>
        <v>500000</v>
      </c>
      <c r="S167" s="193" t="s">
        <v>983</v>
      </c>
      <c r="T167" s="194"/>
      <c r="U167" s="192" t="s">
        <v>719</v>
      </c>
      <c r="V167" s="160"/>
      <c r="W167" s="160"/>
      <c r="BA167"/>
      <c r="BB167"/>
    </row>
    <row r="168" spans="1:54" s="149" customFormat="1" ht="13.5">
      <c r="A168" s="146"/>
      <c r="B168" s="263">
        <v>6005046635</v>
      </c>
      <c r="C168" s="273" t="str">
        <f>IFERROR(IF(VLOOKUP($B168,勘定科目!$A:$H,HLOOKUP($E$5,勘定科目!$F$1:$H$2,2,0),0)="","",VLOOKUP($B168,勘定科目!$A:$E,2,0)),"")</f>
        <v>保守料（一般）</v>
      </c>
      <c r="D168" s="290" t="str">
        <f>IF(C168="","",VLOOKUP($B168,勘定科目!$A:$E,4,0))</f>
        <v>修繕費</v>
      </c>
      <c r="E168" s="303"/>
      <c r="F168" s="229"/>
      <c r="G168" s="230"/>
      <c r="H168" s="230"/>
      <c r="I168" s="230"/>
      <c r="J168" s="230"/>
      <c r="K168" s="230"/>
      <c r="L168" s="230"/>
      <c r="M168" s="230"/>
      <c r="N168" s="230">
        <v>1000000</v>
      </c>
      <c r="O168" s="230"/>
      <c r="P168" s="230"/>
      <c r="Q168" s="230"/>
      <c r="R168" s="216">
        <f t="shared" ref="R168:R178" si="12">SUM(F168:Q168)</f>
        <v>1000000</v>
      </c>
      <c r="S168" s="193" t="s">
        <v>847</v>
      </c>
      <c r="T168" s="194"/>
      <c r="U168" s="192" t="s">
        <v>719</v>
      </c>
      <c r="V168" s="160"/>
      <c r="W168" s="160"/>
      <c r="BA168"/>
      <c r="BB168"/>
    </row>
    <row r="169" spans="1:54" s="149" customFormat="1" ht="13.5">
      <c r="A169" s="146"/>
      <c r="B169" s="263">
        <v>6005046635</v>
      </c>
      <c r="C169" s="273" t="str">
        <f>IFERROR(IF(VLOOKUP($B169,勘定科目!$A:$H,HLOOKUP($E$5,勘定科目!$F$1:$H$2,2,0),0)="","",VLOOKUP($B169,勘定科目!$A:$E,2,0)),"")</f>
        <v>保守料（一般）</v>
      </c>
      <c r="D169" s="290" t="str">
        <f>IF(C169="","",VLOOKUP($B169,勘定科目!$A:$E,4,0))</f>
        <v>修繕費</v>
      </c>
      <c r="E169" s="303"/>
      <c r="F169" s="229"/>
      <c r="G169" s="230"/>
      <c r="H169" s="230"/>
      <c r="I169" s="230"/>
      <c r="J169" s="230"/>
      <c r="K169" s="230"/>
      <c r="L169" s="230"/>
      <c r="M169" s="230"/>
      <c r="N169" s="230">
        <v>55760000</v>
      </c>
      <c r="O169" s="230"/>
      <c r="P169" s="230"/>
      <c r="Q169" s="230"/>
      <c r="R169" s="216">
        <f t="shared" si="12"/>
        <v>55760000</v>
      </c>
      <c r="S169" s="193" t="s">
        <v>848</v>
      </c>
      <c r="T169" s="194"/>
      <c r="U169" s="192" t="s">
        <v>719</v>
      </c>
      <c r="V169" s="160"/>
      <c r="W169" s="160"/>
      <c r="BA169"/>
      <c r="BB169"/>
    </row>
    <row r="170" spans="1:54" s="149" customFormat="1" ht="13.5">
      <c r="A170" s="146"/>
      <c r="B170" s="263">
        <v>6005046635</v>
      </c>
      <c r="C170" s="273" t="str">
        <f>IFERROR(IF(VLOOKUP($B170,勘定科目!$A:$H,HLOOKUP($E$5,勘定科目!$F$1:$H$2,2,0),0)="","",VLOOKUP($B170,勘定科目!$A:$E,2,0)),"")</f>
        <v>保守料（一般）</v>
      </c>
      <c r="D170" s="290" t="str">
        <f>IF(C170="","",VLOOKUP($B170,勘定科目!$A:$E,4,0))</f>
        <v>修繕費</v>
      </c>
      <c r="E170" s="303"/>
      <c r="F170" s="229"/>
      <c r="G170" s="230"/>
      <c r="H170" s="230"/>
      <c r="I170" s="230"/>
      <c r="J170" s="230"/>
      <c r="K170" s="230"/>
      <c r="L170" s="230"/>
      <c r="M170" s="230"/>
      <c r="N170" s="230">
        <v>14400000</v>
      </c>
      <c r="O170" s="230"/>
      <c r="P170" s="230"/>
      <c r="Q170" s="230"/>
      <c r="R170" s="216">
        <f t="shared" si="12"/>
        <v>14400000</v>
      </c>
      <c r="S170" s="193" t="s">
        <v>984</v>
      </c>
      <c r="T170" s="194"/>
      <c r="U170" s="192" t="s">
        <v>719</v>
      </c>
      <c r="V170" s="160"/>
      <c r="W170" s="160"/>
      <c r="BA170"/>
      <c r="BB170"/>
    </row>
    <row r="171" spans="1:54" s="149" customFormat="1" ht="13.5">
      <c r="A171" s="146"/>
      <c r="B171" s="263">
        <v>6005046635</v>
      </c>
      <c r="C171" s="273" t="str">
        <f>IFERROR(IF(VLOOKUP($B171,勘定科目!$A:$H,HLOOKUP($E$5,勘定科目!$F$1:$H$2,2,0),0)="","",VLOOKUP($B171,勘定科目!$A:$E,2,0)),"")</f>
        <v>保守料（一般）</v>
      </c>
      <c r="D171" s="290" t="str">
        <f>IF(C171="","",VLOOKUP($B171,勘定科目!$A:$E,4,0))</f>
        <v>修繕費</v>
      </c>
      <c r="E171" s="303"/>
      <c r="F171" s="229"/>
      <c r="G171" s="230"/>
      <c r="H171" s="230"/>
      <c r="I171" s="230"/>
      <c r="J171" s="230"/>
      <c r="K171" s="230"/>
      <c r="L171" s="230"/>
      <c r="M171" s="230"/>
      <c r="N171" s="230">
        <v>500000</v>
      </c>
      <c r="O171" s="230"/>
      <c r="P171" s="230"/>
      <c r="Q171" s="230"/>
      <c r="R171" s="216">
        <f t="shared" si="12"/>
        <v>500000</v>
      </c>
      <c r="S171" s="193" t="s">
        <v>849</v>
      </c>
      <c r="T171" s="194"/>
      <c r="U171" s="192" t="s">
        <v>719</v>
      </c>
      <c r="V171" s="160"/>
      <c r="W171" s="160"/>
      <c r="BA171"/>
      <c r="BB171"/>
    </row>
    <row r="172" spans="1:54" s="149" customFormat="1" ht="13.5">
      <c r="A172" s="146"/>
      <c r="B172" s="263">
        <v>6005046635</v>
      </c>
      <c r="C172" s="273" t="str">
        <f>IFERROR(IF(VLOOKUP($B172,勘定科目!$A:$H,HLOOKUP($E$5,勘定科目!$F$1:$H$2,2,0),0)="","",VLOOKUP($B172,勘定科目!$A:$E,2,0)),"")</f>
        <v>保守料（一般）</v>
      </c>
      <c r="D172" s="290" t="str">
        <f>IF(C172="","",VLOOKUP($B172,勘定科目!$A:$E,4,0))</f>
        <v>修繕費</v>
      </c>
      <c r="E172" s="303"/>
      <c r="F172" s="229"/>
      <c r="G172" s="230"/>
      <c r="H172" s="230"/>
      <c r="I172" s="230"/>
      <c r="J172" s="230"/>
      <c r="K172" s="230"/>
      <c r="L172" s="230"/>
      <c r="M172" s="230"/>
      <c r="N172" s="230">
        <v>24000000</v>
      </c>
      <c r="O172" s="230"/>
      <c r="P172" s="230"/>
      <c r="Q172" s="230"/>
      <c r="R172" s="216">
        <f t="shared" si="12"/>
        <v>24000000</v>
      </c>
      <c r="S172" s="193" t="s">
        <v>850</v>
      </c>
      <c r="T172" s="194"/>
      <c r="U172" s="192" t="s">
        <v>719</v>
      </c>
      <c r="V172" s="160"/>
      <c r="W172" s="160"/>
      <c r="BA172"/>
      <c r="BB172"/>
    </row>
    <row r="173" spans="1:54" s="149" customFormat="1" ht="13.5">
      <c r="A173" s="146"/>
      <c r="B173" s="263">
        <v>6005046635</v>
      </c>
      <c r="C173" s="273" t="str">
        <f>IFERROR(IF(VLOOKUP($B173,勘定科目!$A:$H,HLOOKUP($E$5,勘定科目!$F$1:$H$2,2,0),0)="","",VLOOKUP($B173,勘定科目!$A:$E,2,0)),"")</f>
        <v>保守料（一般）</v>
      </c>
      <c r="D173" s="290" t="str">
        <f>IF(C173="","",VLOOKUP($B173,勘定科目!$A:$E,4,0))</f>
        <v>修繕費</v>
      </c>
      <c r="E173" s="303"/>
      <c r="F173" s="229"/>
      <c r="G173" s="230"/>
      <c r="H173" s="230"/>
      <c r="I173" s="230"/>
      <c r="J173" s="230"/>
      <c r="K173" s="230"/>
      <c r="L173" s="230"/>
      <c r="M173" s="230"/>
      <c r="N173" s="230">
        <v>1000000</v>
      </c>
      <c r="O173" s="230"/>
      <c r="P173" s="230"/>
      <c r="Q173" s="230"/>
      <c r="R173" s="216">
        <f t="shared" si="12"/>
        <v>1000000</v>
      </c>
      <c r="S173" s="193" t="s">
        <v>985</v>
      </c>
      <c r="T173" s="194"/>
      <c r="U173" s="192" t="s">
        <v>719</v>
      </c>
      <c r="V173" s="160"/>
      <c r="W173" s="160"/>
      <c r="BA173"/>
      <c r="BB173"/>
    </row>
    <row r="174" spans="1:54" s="149" customFormat="1" ht="13.5">
      <c r="A174" s="146"/>
      <c r="B174" s="263">
        <v>6005046635</v>
      </c>
      <c r="C174" s="273" t="str">
        <f>IFERROR(IF(VLOOKUP($B174,勘定科目!$A:$H,HLOOKUP($E$5,勘定科目!$F$1:$H$2,2,0),0)="","",VLOOKUP($B174,勘定科目!$A:$E,2,0)),"")</f>
        <v>保守料（一般）</v>
      </c>
      <c r="D174" s="290" t="str">
        <f>IF(C174="","",VLOOKUP($B174,勘定科目!$A:$E,4,0))</f>
        <v>修繕費</v>
      </c>
      <c r="E174" s="303"/>
      <c r="F174" s="229"/>
      <c r="G174" s="230"/>
      <c r="H174" s="230"/>
      <c r="I174" s="230"/>
      <c r="J174" s="230"/>
      <c r="K174" s="230"/>
      <c r="L174" s="230"/>
      <c r="M174" s="230"/>
      <c r="N174" s="230">
        <v>20000000</v>
      </c>
      <c r="O174" s="230"/>
      <c r="P174" s="230"/>
      <c r="Q174" s="230"/>
      <c r="R174" s="216">
        <f t="shared" si="12"/>
        <v>20000000</v>
      </c>
      <c r="S174" s="193" t="s">
        <v>851</v>
      </c>
      <c r="T174" s="194"/>
      <c r="U174" s="192" t="s">
        <v>719</v>
      </c>
      <c r="V174" s="160"/>
      <c r="W174" s="160"/>
      <c r="BA174"/>
      <c r="BB174"/>
    </row>
    <row r="175" spans="1:54" s="149" customFormat="1" ht="13.5">
      <c r="A175" s="146"/>
      <c r="B175" s="263">
        <v>6005046635</v>
      </c>
      <c r="C175" s="273" t="str">
        <f>IFERROR(IF(VLOOKUP($B175,勘定科目!$A:$H,HLOOKUP($E$5,勘定科目!$F$1:$H$2,2,0),0)="","",VLOOKUP($B175,勘定科目!$A:$E,2,0)),"")</f>
        <v>保守料（一般）</v>
      </c>
      <c r="D175" s="290" t="str">
        <f>IF(C175="","",VLOOKUP($B175,勘定科目!$A:$E,4,0))</f>
        <v>修繕費</v>
      </c>
      <c r="E175" s="303"/>
      <c r="F175" s="229"/>
      <c r="G175" s="230"/>
      <c r="H175" s="230"/>
      <c r="I175" s="230"/>
      <c r="J175" s="230"/>
      <c r="K175" s="230">
        <f>93600000*1.1</f>
        <v>102960000.00000001</v>
      </c>
      <c r="L175" s="230"/>
      <c r="M175" s="230"/>
      <c r="N175" s="230"/>
      <c r="O175" s="230"/>
      <c r="P175" s="230"/>
      <c r="Q175" s="230"/>
      <c r="R175" s="216">
        <f t="shared" si="12"/>
        <v>102960000.00000001</v>
      </c>
      <c r="S175" s="193" t="s">
        <v>710</v>
      </c>
      <c r="T175" s="194"/>
      <c r="U175" s="192" t="s">
        <v>724</v>
      </c>
      <c r="V175" s="160"/>
      <c r="W175" s="160"/>
      <c r="BA175"/>
      <c r="BB175"/>
    </row>
    <row r="176" spans="1:54" s="149" customFormat="1" ht="13.5">
      <c r="A176" s="146"/>
      <c r="B176" s="263">
        <v>6005046635</v>
      </c>
      <c r="C176" s="273" t="str">
        <f>IFERROR(IF(VLOOKUP($B176,勘定科目!$A:$H,HLOOKUP($E$5,勘定科目!$F$1:$H$2,2,0),0)="","",VLOOKUP($B176,勘定科目!$A:$E,2,0)),"")</f>
        <v>保守料（一般）</v>
      </c>
      <c r="D176" s="290" t="str">
        <f>IF(C176="","",VLOOKUP($B176,勘定科目!$A:$E,4,0))</f>
        <v>修繕費</v>
      </c>
      <c r="E176" s="303"/>
      <c r="F176" s="229"/>
      <c r="G176" s="230"/>
      <c r="H176" s="230"/>
      <c r="I176" s="230"/>
      <c r="J176" s="230"/>
      <c r="K176" s="230"/>
      <c r="L176" s="230">
        <f>93000000*1.1</f>
        <v>102300000.00000001</v>
      </c>
      <c r="M176" s="230"/>
      <c r="N176" s="230"/>
      <c r="O176" s="230"/>
      <c r="P176" s="230"/>
      <c r="Q176" s="230"/>
      <c r="R176" s="216">
        <f t="shared" si="12"/>
        <v>102300000.00000001</v>
      </c>
      <c r="S176" s="193" t="s">
        <v>711</v>
      </c>
      <c r="T176" s="194"/>
      <c r="U176" s="192" t="s">
        <v>724</v>
      </c>
      <c r="V176" s="160"/>
      <c r="W176" s="160"/>
      <c r="BA176"/>
      <c r="BB176"/>
    </row>
    <row r="177" spans="1:54" s="149" customFormat="1" ht="13.5">
      <c r="A177" s="146"/>
      <c r="B177" s="263">
        <v>6005046635</v>
      </c>
      <c r="C177" s="273" t="str">
        <f>IFERROR(IF(VLOOKUP($B177,勘定科目!$A:$H,HLOOKUP($E$5,勘定科目!$F$1:$H$2,2,0),0)="","",VLOOKUP($B177,勘定科目!$A:$E,2,0)),"")</f>
        <v>保守料（一般）</v>
      </c>
      <c r="D177" s="290" t="str">
        <f>IF(C177="","",VLOOKUP($B177,勘定科目!$A:$E,4,0))</f>
        <v>修繕費</v>
      </c>
      <c r="E177" s="303"/>
      <c r="F177" s="229">
        <v>24000000</v>
      </c>
      <c r="G177" s="229">
        <v>24000000</v>
      </c>
      <c r="H177" s="229">
        <v>24000000</v>
      </c>
      <c r="I177" s="229">
        <v>24000000</v>
      </c>
      <c r="J177" s="230"/>
      <c r="K177" s="230"/>
      <c r="L177" s="230"/>
      <c r="M177" s="230"/>
      <c r="N177" s="230"/>
      <c r="O177" s="230"/>
      <c r="P177" s="230"/>
      <c r="Q177" s="230"/>
      <c r="R177" s="216">
        <f t="shared" si="12"/>
        <v>96000000</v>
      </c>
      <c r="S177" s="193" t="s">
        <v>986</v>
      </c>
      <c r="T177" s="194"/>
      <c r="U177" s="192" t="s">
        <v>724</v>
      </c>
      <c r="V177" s="160"/>
      <c r="W177" s="160"/>
      <c r="BA177"/>
      <c r="BB177"/>
    </row>
    <row r="178" spans="1:54" s="149" customFormat="1" ht="13.5">
      <c r="A178" s="146"/>
      <c r="B178" s="263">
        <v>6005046635</v>
      </c>
      <c r="C178" s="273" t="str">
        <f>IFERROR(IF(VLOOKUP($B178,勘定科目!$A:$H,HLOOKUP($E$5,勘定科目!$F$1:$H$2,2,0),0)="","",VLOOKUP($B178,勘定科目!$A:$E,2,0)),"")</f>
        <v>保守料（一般）</v>
      </c>
      <c r="D178" s="290" t="str">
        <f>IF(C178="","",VLOOKUP($B178,勘定科目!$A:$E,4,0))</f>
        <v>修繕費</v>
      </c>
      <c r="E178" s="303"/>
      <c r="F178" s="229">
        <f>1.1* 14250000</f>
        <v>15675000.000000002</v>
      </c>
      <c r="G178" s="230"/>
      <c r="H178" s="230"/>
      <c r="I178" s="229">
        <f>1.1* 14250000</f>
        <v>15675000.000000002</v>
      </c>
      <c r="J178" s="230"/>
      <c r="K178" s="230"/>
      <c r="L178" s="229">
        <f>1.1* 14250000</f>
        <v>15675000.000000002</v>
      </c>
      <c r="M178" s="230"/>
      <c r="N178" s="230"/>
      <c r="O178" s="229">
        <f>1.1* 14250000</f>
        <v>15675000.000000002</v>
      </c>
      <c r="P178" s="230"/>
      <c r="Q178" s="230"/>
      <c r="R178" s="216">
        <f t="shared" si="12"/>
        <v>62700000.000000007</v>
      </c>
      <c r="S178" s="193" t="s">
        <v>712</v>
      </c>
      <c r="T178" s="194"/>
      <c r="U178" s="192" t="s">
        <v>724</v>
      </c>
      <c r="V178" s="160"/>
      <c r="W178" s="160"/>
      <c r="BA178"/>
      <c r="BB178"/>
    </row>
    <row r="179" spans="1:54" s="149" customFormat="1" ht="13.5">
      <c r="A179" s="146"/>
      <c r="B179" s="263">
        <v>6005046635</v>
      </c>
      <c r="C179" s="273" t="str">
        <f>IFERROR(IF(VLOOKUP($B179,勘定科目!$A:$H,HLOOKUP($E$5,勘定科目!$F$1:$H$2,2,0),0)="","",VLOOKUP($B179,勘定科目!$A:$E,2,0)),"")</f>
        <v>保守料（一般）</v>
      </c>
      <c r="D179" s="290" t="str">
        <f>IF(C179="","",VLOOKUP($B179,勘定科目!$A:$E,4,0))</f>
        <v>修繕費</v>
      </c>
      <c r="E179" s="303"/>
      <c r="F179" s="229">
        <v>91000000</v>
      </c>
      <c r="G179" s="230"/>
      <c r="H179" s="230"/>
      <c r="I179" s="230">
        <v>91000000</v>
      </c>
      <c r="J179" s="230"/>
      <c r="K179" s="230"/>
      <c r="L179" s="230">
        <v>91000000</v>
      </c>
      <c r="M179" s="230"/>
      <c r="N179" s="230"/>
      <c r="O179" s="230">
        <v>91000000</v>
      </c>
      <c r="P179" s="230"/>
      <c r="Q179" s="230"/>
      <c r="R179" s="216">
        <f t="shared" si="9"/>
        <v>364000000</v>
      </c>
      <c r="S179" s="193" t="s">
        <v>854</v>
      </c>
      <c r="T179" s="194"/>
      <c r="U179" s="192" t="s">
        <v>725</v>
      </c>
      <c r="V179" s="160"/>
      <c r="W179" s="160"/>
      <c r="BA179"/>
      <c r="BB179"/>
    </row>
    <row r="180" spans="1:54" s="149" customFormat="1" ht="13.5">
      <c r="A180" s="146"/>
      <c r="B180" s="263">
        <v>6005046635</v>
      </c>
      <c r="C180" s="273" t="str">
        <f>IFERROR(IF(VLOOKUP($B180,勘定科目!$A:$H,HLOOKUP($E$5,勘定科目!$F$1:$H$2,2,0),0)="","",VLOOKUP($B180,勘定科目!$A:$E,2,0)),"")</f>
        <v>保守料（一般）</v>
      </c>
      <c r="D180" s="290" t="str">
        <f>IF(C180="","",VLOOKUP($B180,勘定科目!$A:$E,4,0))</f>
        <v>修繕費</v>
      </c>
      <c r="E180" s="303"/>
      <c r="F180" s="229">
        <v>66000000</v>
      </c>
      <c r="G180" s="230"/>
      <c r="H180" s="230"/>
      <c r="I180" s="230">
        <v>66000000</v>
      </c>
      <c r="J180" s="230"/>
      <c r="K180" s="230"/>
      <c r="L180" s="230">
        <v>66000000</v>
      </c>
      <c r="M180" s="230"/>
      <c r="N180" s="230"/>
      <c r="O180" s="230">
        <v>66000000</v>
      </c>
      <c r="P180" s="230"/>
      <c r="Q180" s="230"/>
      <c r="R180" s="216">
        <f t="shared" si="9"/>
        <v>264000000</v>
      </c>
      <c r="S180" s="193" t="s">
        <v>713</v>
      </c>
      <c r="T180" s="194"/>
      <c r="U180" s="192" t="s">
        <v>725</v>
      </c>
      <c r="V180" s="160"/>
      <c r="W180" s="160"/>
      <c r="BA180"/>
      <c r="BB180"/>
    </row>
    <row r="181" spans="1:54" s="149" customFormat="1" ht="13.5">
      <c r="A181" s="146"/>
      <c r="B181" s="263">
        <v>6005046635</v>
      </c>
      <c r="C181" s="273" t="str">
        <f>IFERROR(IF(VLOOKUP($B181,勘定科目!$A:$H,HLOOKUP($E$5,勘定科目!$F$1:$H$2,2,0),0)="","",VLOOKUP($B181,勘定科目!$A:$E,2,0)),"")</f>
        <v>保守料（一般）</v>
      </c>
      <c r="D181" s="290" t="str">
        <f>IF(C181="","",VLOOKUP($B181,勘定科目!$A:$E,4,0))</f>
        <v>修繕費</v>
      </c>
      <c r="E181" s="303"/>
      <c r="F181" s="229"/>
      <c r="G181" s="230"/>
      <c r="H181" s="230">
        <v>103000000</v>
      </c>
      <c r="I181" s="230"/>
      <c r="J181" s="230"/>
      <c r="K181" s="230"/>
      <c r="L181" s="230"/>
      <c r="M181" s="230"/>
      <c r="N181" s="230">
        <v>56600000</v>
      </c>
      <c r="O181" s="230"/>
      <c r="P181" s="230"/>
      <c r="Q181" s="230"/>
      <c r="R181" s="216">
        <f t="shared" si="9"/>
        <v>159600000</v>
      </c>
      <c r="S181" s="193" t="s">
        <v>714</v>
      </c>
      <c r="T181" s="194"/>
      <c r="U181" s="192" t="s">
        <v>725</v>
      </c>
      <c r="V181" s="160"/>
      <c r="W181" s="160"/>
      <c r="BA181"/>
      <c r="BB181"/>
    </row>
    <row r="182" spans="1:54" s="149" customFormat="1" ht="13.5">
      <c r="A182" s="146"/>
      <c r="B182" s="263">
        <v>6005046635</v>
      </c>
      <c r="C182" s="273" t="str">
        <f>IFERROR(IF(VLOOKUP($B182,勘定科目!$A:$H,HLOOKUP($E$5,勘定科目!$F$1:$H$2,2,0),0)="","",VLOOKUP($B182,勘定科目!$A:$E,2,0)),"")</f>
        <v>保守料（一般）</v>
      </c>
      <c r="D182" s="290" t="str">
        <f>IF(C182="","",VLOOKUP($B182,勘定科目!$A:$E,4,0))</f>
        <v>修繕費</v>
      </c>
      <c r="E182" s="303"/>
      <c r="F182" s="229"/>
      <c r="G182" s="230"/>
      <c r="H182" s="230"/>
      <c r="I182" s="230"/>
      <c r="J182" s="230">
        <v>225000000</v>
      </c>
      <c r="K182" s="230"/>
      <c r="L182" s="230"/>
      <c r="M182" s="230"/>
      <c r="N182" s="230"/>
      <c r="O182" s="230"/>
      <c r="P182" s="230"/>
      <c r="Q182" s="230"/>
      <c r="R182" s="216">
        <f t="shared" si="9"/>
        <v>225000000</v>
      </c>
      <c r="S182" s="193" t="s">
        <v>931</v>
      </c>
      <c r="T182" s="194"/>
      <c r="U182" s="192" t="s">
        <v>726</v>
      </c>
      <c r="V182" s="160"/>
      <c r="W182" s="160"/>
      <c r="BA182"/>
      <c r="BB182"/>
    </row>
    <row r="183" spans="1:54" s="149" customFormat="1" ht="13.5">
      <c r="A183" s="146"/>
      <c r="B183" s="263">
        <v>6005046635</v>
      </c>
      <c r="C183" s="273" t="str">
        <f>IFERROR(IF(VLOOKUP($B183,勘定科目!$A:$H,HLOOKUP($E$5,勘定科目!$F$1:$H$2,2,0),0)="","",VLOOKUP($B183,勘定科目!$A:$E,2,0)),"")</f>
        <v>保守料（一般）</v>
      </c>
      <c r="D183" s="290" t="str">
        <f>IF(C183="","",VLOOKUP($B183,勘定科目!$A:$E,4,0))</f>
        <v>修繕費</v>
      </c>
      <c r="E183" s="303"/>
      <c r="F183" s="229"/>
      <c r="G183" s="230"/>
      <c r="H183" s="230"/>
      <c r="I183" s="230"/>
      <c r="J183" s="230"/>
      <c r="K183" s="230"/>
      <c r="L183" s="230"/>
      <c r="M183" s="230"/>
      <c r="N183" s="230">
        <v>22000000</v>
      </c>
      <c r="O183" s="230"/>
      <c r="P183" s="230"/>
      <c r="Q183" s="230"/>
      <c r="R183" s="216">
        <f t="shared" si="9"/>
        <v>22000000</v>
      </c>
      <c r="S183" s="193" t="s">
        <v>717</v>
      </c>
      <c r="T183" s="194"/>
      <c r="U183" s="192" t="s">
        <v>726</v>
      </c>
      <c r="V183" s="160"/>
      <c r="W183" s="160"/>
      <c r="BA183"/>
      <c r="BB183"/>
    </row>
    <row r="184" spans="1:54" s="149" customFormat="1" ht="13.5">
      <c r="A184" s="146"/>
      <c r="B184" s="263">
        <v>6005046635</v>
      </c>
      <c r="C184" s="273" t="str">
        <f>IFERROR(IF(VLOOKUP($B184,勘定科目!$A:$H,HLOOKUP($E$5,勘定科目!$F$1:$H$2,2,0),0)="","",VLOOKUP($B184,勘定科目!$A:$E,2,0)),"")</f>
        <v>保守料（一般）</v>
      </c>
      <c r="D184" s="290" t="str">
        <f>IF(C184="","",VLOOKUP($B184,勘定科目!$A:$E,4,0))</f>
        <v>修繕費</v>
      </c>
      <c r="E184" s="303"/>
      <c r="F184" s="229"/>
      <c r="G184" s="230"/>
      <c r="H184" s="230"/>
      <c r="I184" s="230"/>
      <c r="J184" s="230"/>
      <c r="K184" s="230"/>
      <c r="L184" s="230"/>
      <c r="M184" s="230"/>
      <c r="N184" s="230">
        <v>300000000</v>
      </c>
      <c r="O184" s="230"/>
      <c r="P184" s="230"/>
      <c r="Q184" s="230"/>
      <c r="R184" s="216">
        <f t="shared" si="9"/>
        <v>300000000</v>
      </c>
      <c r="S184" s="193" t="s">
        <v>718</v>
      </c>
      <c r="T184" s="194"/>
      <c r="U184" s="192" t="s">
        <v>726</v>
      </c>
      <c r="V184" s="160"/>
      <c r="W184" s="160"/>
      <c r="BA184"/>
      <c r="BB184"/>
    </row>
    <row r="185" spans="1:54" s="149" customFormat="1" ht="13.5">
      <c r="A185" s="146"/>
      <c r="B185" s="263">
        <v>6005046635</v>
      </c>
      <c r="C185" s="273" t="str">
        <f>IFERROR(IF(VLOOKUP($B185,勘定科目!$A:$H,HLOOKUP($E$5,勘定科目!$F$1:$H$2,2,0),0)="","",VLOOKUP($B185,勘定科目!$A:$E,2,0)),"")</f>
        <v>保守料（一般）</v>
      </c>
      <c r="D185" s="290" t="str">
        <f>IF(C185="","",VLOOKUP($B185,勘定科目!$A:$E,4,0))</f>
        <v>修繕費</v>
      </c>
      <c r="E185" s="303"/>
      <c r="F185" s="229"/>
      <c r="G185" s="230"/>
      <c r="H185" s="230">
        <v>23000000</v>
      </c>
      <c r="I185" s="230">
        <v>25000000</v>
      </c>
      <c r="J185" s="230">
        <v>24000000</v>
      </c>
      <c r="K185" s="230">
        <v>22500000</v>
      </c>
      <c r="L185" s="230"/>
      <c r="M185" s="230"/>
      <c r="N185" s="230"/>
      <c r="O185" s="230"/>
      <c r="P185" s="230"/>
      <c r="Q185" s="230"/>
      <c r="R185" s="216">
        <f>SUM(F185:Q185)</f>
        <v>94500000</v>
      </c>
      <c r="S185" s="193" t="s">
        <v>925</v>
      </c>
      <c r="T185" s="194"/>
      <c r="U185" s="192" t="s">
        <v>726</v>
      </c>
      <c r="V185" s="160"/>
      <c r="W185" s="160"/>
      <c r="BA185"/>
      <c r="BB185"/>
    </row>
    <row r="186" spans="1:54" s="149" customFormat="1" ht="13.5">
      <c r="A186" s="146"/>
      <c r="B186" s="263">
        <v>6005046635</v>
      </c>
      <c r="C186" s="273" t="str">
        <f>IFERROR(IF(VLOOKUP($B186,勘定科目!$A:$H,HLOOKUP($E$5,勘定科目!$F$1:$H$2,2,0),0)="","",VLOOKUP($B186,勘定科目!$A:$E,2,0)),"")</f>
        <v>保守料（一般）</v>
      </c>
      <c r="D186" s="290" t="str">
        <f>IF(C186="","",VLOOKUP($B186,勘定科目!$A:$E,4,0))</f>
        <v>修繕費</v>
      </c>
      <c r="E186" s="303"/>
      <c r="F186" s="229">
        <v>15300000</v>
      </c>
      <c r="G186" s="229">
        <v>15300000</v>
      </c>
      <c r="H186" s="230">
        <v>10300000</v>
      </c>
      <c r="I186" s="230"/>
      <c r="J186" s="230"/>
      <c r="K186" s="230"/>
      <c r="L186" s="229">
        <v>15300000</v>
      </c>
      <c r="M186" s="229">
        <v>15300000</v>
      </c>
      <c r="N186" s="230">
        <v>10300000</v>
      </c>
      <c r="O186" s="230"/>
      <c r="P186" s="230"/>
      <c r="Q186" s="230"/>
      <c r="R186" s="216">
        <f>SUM(F186:Q186)</f>
        <v>81800000</v>
      </c>
      <c r="S186" s="193" t="s">
        <v>906</v>
      </c>
      <c r="T186" s="194"/>
      <c r="U186" s="192" t="s">
        <v>726</v>
      </c>
      <c r="V186" s="160"/>
      <c r="W186" s="160"/>
      <c r="BA186"/>
      <c r="BB186"/>
    </row>
    <row r="187" spans="1:54" s="149" customFormat="1" ht="13.5">
      <c r="A187" s="146"/>
      <c r="B187" s="263">
        <v>6005046635</v>
      </c>
      <c r="C187" s="273" t="str">
        <f>IFERROR(IF(VLOOKUP($B187,勘定科目!$A:$H,HLOOKUP($E$5,勘定科目!$F$1:$H$2,2,0),0)="","",VLOOKUP($B187,勘定科目!$A:$E,2,0)),"")</f>
        <v>保守料（一般）</v>
      </c>
      <c r="D187" s="290" t="str">
        <f>IF(C187="","",VLOOKUP($B187,勘定科目!$A:$E,4,0))</f>
        <v>修繕費</v>
      </c>
      <c r="E187" s="303"/>
      <c r="F187" s="229">
        <v>15000000</v>
      </c>
      <c r="G187" s="230">
        <v>16000000</v>
      </c>
      <c r="H187" s="230"/>
      <c r="I187" s="230"/>
      <c r="J187" s="230"/>
      <c r="K187" s="230"/>
      <c r="L187" s="229">
        <v>15000000</v>
      </c>
      <c r="M187" s="230">
        <v>16000000</v>
      </c>
      <c r="N187" s="230"/>
      <c r="O187" s="230"/>
      <c r="P187" s="230"/>
      <c r="Q187" s="230"/>
      <c r="R187" s="216">
        <f>SUM(F187:Q187)</f>
        <v>62000000</v>
      </c>
      <c r="S187" s="193" t="s">
        <v>907</v>
      </c>
      <c r="T187" s="194"/>
      <c r="U187" s="192" t="s">
        <v>726</v>
      </c>
      <c r="V187" s="160"/>
      <c r="W187" s="160"/>
      <c r="BA187"/>
      <c r="BB187"/>
    </row>
    <row r="188" spans="1:54" s="149" customFormat="1" ht="13.5">
      <c r="A188" s="146"/>
      <c r="B188" s="263"/>
      <c r="C188" s="273" t="str">
        <f>IFERROR(IF(VLOOKUP($B188,勘定科目!$A:$H,HLOOKUP($E$5,勘定科目!$F$1:$H$2,2,0),0)="","",VLOOKUP($B188,勘定科目!$A:$E,2,0)),"")</f>
        <v/>
      </c>
      <c r="D188" s="290" t="str">
        <f>IF(C188="","",VLOOKUP($B188,勘定科目!$A:$E,4,0))</f>
        <v/>
      </c>
      <c r="E188" s="303"/>
      <c r="F188" s="229"/>
      <c r="G188" s="230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16"/>
      <c r="S188" s="193"/>
      <c r="T188" s="151"/>
      <c r="U188" s="192"/>
      <c r="V188" s="160"/>
      <c r="W188" s="160"/>
      <c r="BA188"/>
      <c r="BB188"/>
    </row>
    <row r="189" spans="1:54" s="149" customFormat="1" ht="13.5">
      <c r="A189" s="146"/>
      <c r="B189" s="263">
        <v>6005016422</v>
      </c>
      <c r="C189" s="273" t="str">
        <f>IFERROR(IF(VLOOKUP($B189,勘定科目!$A:$H,HLOOKUP($E$5,勘定科目!$F$1:$H$2,2,0),0)="","",VLOOKUP($B189,勘定科目!$A:$E,2,0)),"")</f>
        <v>消耗品費（一般）</v>
      </c>
      <c r="D189" s="290" t="str">
        <f>IF(C189="","",VLOOKUP($B189,勘定科目!$A:$E,4,0))</f>
        <v>消耗品費</v>
      </c>
      <c r="E189" s="303"/>
      <c r="F189" s="229">
        <v>21000000</v>
      </c>
      <c r="G189" s="230">
        <v>21000000</v>
      </c>
      <c r="H189" s="230">
        <v>22710000</v>
      </c>
      <c r="I189" s="230">
        <v>228762000</v>
      </c>
      <c r="J189" s="230">
        <v>21000000</v>
      </c>
      <c r="K189" s="230">
        <v>19800000</v>
      </c>
      <c r="L189" s="230">
        <v>21000000</v>
      </c>
      <c r="M189" s="230">
        <v>19800000</v>
      </c>
      <c r="N189" s="230">
        <v>21000000</v>
      </c>
      <c r="O189" s="230">
        <v>20370000</v>
      </c>
      <c r="P189" s="230">
        <v>21000000</v>
      </c>
      <c r="Q189" s="230">
        <v>21000000</v>
      </c>
      <c r="R189" s="216">
        <f t="shared" si="9"/>
        <v>458442000</v>
      </c>
      <c r="S189" s="193" t="s">
        <v>729</v>
      </c>
      <c r="T189" s="151"/>
      <c r="U189" s="192" t="s">
        <v>723</v>
      </c>
      <c r="V189" s="160"/>
      <c r="W189" s="160"/>
      <c r="BA189"/>
      <c r="BB189"/>
    </row>
    <row r="190" spans="1:54" s="149" customFormat="1" ht="13.5">
      <c r="A190" s="146"/>
      <c r="B190" s="263">
        <v>6005016422</v>
      </c>
      <c r="C190" s="273" t="str">
        <f>IFERROR(IF(VLOOKUP($B190,勘定科目!$A:$H,HLOOKUP($E$5,勘定科目!$F$1:$H$2,2,0),0)="","",VLOOKUP($B190,勘定科目!$A:$E,2,0)),"")</f>
        <v>消耗品費（一般）</v>
      </c>
      <c r="D190" s="290" t="str">
        <f>IF(C190="","",VLOOKUP($B190,勘定科目!$A:$E,4,0))</f>
        <v>消耗品費</v>
      </c>
      <c r="E190" s="303"/>
      <c r="F190" s="229">
        <v>257936</v>
      </c>
      <c r="G190" s="230">
        <v>248304</v>
      </c>
      <c r="H190" s="230">
        <v>271614</v>
      </c>
      <c r="I190" s="230">
        <v>295932</v>
      </c>
      <c r="J190" s="230">
        <v>257656</v>
      </c>
      <c r="K190" s="230">
        <v>245000</v>
      </c>
      <c r="L190" s="230">
        <v>295540</v>
      </c>
      <c r="M190" s="230">
        <v>257894</v>
      </c>
      <c r="N190" s="230">
        <v>283556</v>
      </c>
      <c r="O190" s="230">
        <v>257586</v>
      </c>
      <c r="P190" s="230">
        <v>194082</v>
      </c>
      <c r="Q190" s="230">
        <v>258090</v>
      </c>
      <c r="R190" s="216">
        <f t="shared" si="9"/>
        <v>3123190</v>
      </c>
      <c r="S190" s="193" t="s">
        <v>730</v>
      </c>
      <c r="T190" s="151"/>
      <c r="U190" s="192" t="s">
        <v>731</v>
      </c>
      <c r="V190" s="160"/>
      <c r="W190" s="160"/>
      <c r="BA190"/>
      <c r="BB190"/>
    </row>
    <row r="191" spans="1:54" s="149" customFormat="1" ht="13.5">
      <c r="A191" s="146"/>
      <c r="B191" s="263">
        <v>6005016422</v>
      </c>
      <c r="C191" s="273" t="str">
        <f>IFERROR(IF(VLOOKUP($B191,勘定科目!$A:$H,HLOOKUP($E$5,勘定科目!$F$1:$H$2,2,0),0)="","",VLOOKUP($B191,勘定科目!$A:$E,2,0)),"")</f>
        <v>消耗品費（一般）</v>
      </c>
      <c r="D191" s="290" t="str">
        <f>IF(C191="","",VLOOKUP($B191,勘定科目!$A:$E,4,0))</f>
        <v>消耗品費</v>
      </c>
      <c r="E191" s="303"/>
      <c r="F191" s="229">
        <v>15708</v>
      </c>
      <c r="G191" s="230">
        <v>15820</v>
      </c>
      <c r="H191" s="230">
        <v>16198</v>
      </c>
      <c r="I191" s="230">
        <v>15582</v>
      </c>
      <c r="J191" s="230">
        <v>15120</v>
      </c>
      <c r="K191" s="230">
        <v>15302</v>
      </c>
      <c r="L191" s="230">
        <v>15834</v>
      </c>
      <c r="M191" s="230">
        <v>15596</v>
      </c>
      <c r="N191" s="230">
        <v>15736</v>
      </c>
      <c r="O191" s="230">
        <v>15792</v>
      </c>
      <c r="P191" s="230">
        <v>16044</v>
      </c>
      <c r="Q191" s="230">
        <v>15190</v>
      </c>
      <c r="R191" s="216">
        <f t="shared" si="9"/>
        <v>187922</v>
      </c>
      <c r="S191" s="193" t="s">
        <v>732</v>
      </c>
      <c r="T191" s="151"/>
      <c r="U191" s="192" t="s">
        <v>731</v>
      </c>
      <c r="V191" s="160"/>
      <c r="W191" s="160"/>
      <c r="BA191"/>
      <c r="BB191"/>
    </row>
    <row r="192" spans="1:54" s="149" customFormat="1" ht="13.5">
      <c r="A192" s="146"/>
      <c r="B192" s="263">
        <v>6005016422</v>
      </c>
      <c r="C192" s="273" t="str">
        <f>IFERROR(IF(VLOOKUP($B192,勘定科目!$A:$H,HLOOKUP($E$5,勘定科目!$F$1:$H$2,2,0),0)="","",VLOOKUP($B192,勘定科目!$A:$E,2,0)),"")</f>
        <v>消耗品費（一般）</v>
      </c>
      <c r="D192" s="290" t="str">
        <f>IF(C192="","",VLOOKUP($B192,勘定科目!$A:$E,4,0))</f>
        <v>消耗品費</v>
      </c>
      <c r="E192" s="303"/>
      <c r="F192" s="229">
        <v>1590000</v>
      </c>
      <c r="G192" s="230"/>
      <c r="H192" s="230">
        <v>1590000</v>
      </c>
      <c r="I192" s="230"/>
      <c r="J192" s="230">
        <v>1590000</v>
      </c>
      <c r="K192" s="230"/>
      <c r="L192" s="230">
        <v>1590000</v>
      </c>
      <c r="M192" s="230"/>
      <c r="N192" s="230">
        <v>1590000</v>
      </c>
      <c r="O192" s="230"/>
      <c r="P192" s="230">
        <v>1590000</v>
      </c>
      <c r="Q192" s="230"/>
      <c r="R192" s="216">
        <f t="shared" si="9"/>
        <v>9540000</v>
      </c>
      <c r="S192" s="193" t="s">
        <v>733</v>
      </c>
      <c r="T192" s="151"/>
      <c r="U192" s="192" t="s">
        <v>734</v>
      </c>
      <c r="V192" s="160"/>
      <c r="W192" s="160"/>
      <c r="BA192"/>
      <c r="BB192"/>
    </row>
    <row r="193" spans="1:54" s="149" customFormat="1" ht="13.5">
      <c r="A193" s="146"/>
      <c r="B193" s="263">
        <v>6005016422</v>
      </c>
      <c r="C193" s="273" t="str">
        <f>IFERROR(IF(VLOOKUP($B193,勘定科目!$A:$H,HLOOKUP($E$5,勘定科目!$F$1:$H$2,2,0),0)="","",VLOOKUP($B193,勘定科目!$A:$E,2,0)),"")</f>
        <v>消耗品費（一般）</v>
      </c>
      <c r="D193" s="290" t="str">
        <f>IF(C193="","",VLOOKUP($B193,勘定科目!$A:$E,4,0))</f>
        <v>消耗品費</v>
      </c>
      <c r="E193" s="303"/>
      <c r="F193" s="229">
        <v>700000</v>
      </c>
      <c r="G193" s="230"/>
      <c r="H193" s="230">
        <v>700000</v>
      </c>
      <c r="I193" s="230"/>
      <c r="J193" s="230">
        <v>700000</v>
      </c>
      <c r="K193" s="230"/>
      <c r="L193" s="230">
        <v>700000</v>
      </c>
      <c r="M193" s="230"/>
      <c r="N193" s="230">
        <v>700000</v>
      </c>
      <c r="O193" s="230"/>
      <c r="P193" s="230">
        <v>700000</v>
      </c>
      <c r="Q193" s="230"/>
      <c r="R193" s="216">
        <f t="shared" si="9"/>
        <v>4200000</v>
      </c>
      <c r="S193" s="193" t="s">
        <v>735</v>
      </c>
      <c r="T193" s="151"/>
      <c r="U193" s="192" t="s">
        <v>734</v>
      </c>
      <c r="V193" s="160"/>
      <c r="W193" s="160"/>
      <c r="BA193"/>
      <c r="BB193"/>
    </row>
    <row r="194" spans="1:54" s="149" customFormat="1" ht="13.5">
      <c r="A194" s="146"/>
      <c r="B194" s="263"/>
      <c r="C194" s="273" t="str">
        <f>IFERROR(IF(VLOOKUP($B194,勘定科目!$A:$H,HLOOKUP($E$5,勘定科目!$F$1:$H$2,2,0),0)="","",VLOOKUP($B194,勘定科目!$A:$E,2,0)),"")</f>
        <v/>
      </c>
      <c r="D194" s="290" t="str">
        <f>IF(C194="","",VLOOKUP($B194,勘定科目!$A:$E,4,0))</f>
        <v/>
      </c>
      <c r="E194" s="303"/>
      <c r="F194" s="229"/>
      <c r="G194" s="230"/>
      <c r="H194" s="230"/>
      <c r="I194" s="230"/>
      <c r="J194" s="230"/>
      <c r="K194" s="230"/>
      <c r="L194" s="230"/>
      <c r="M194" s="230"/>
      <c r="N194" s="230"/>
      <c r="O194" s="230"/>
      <c r="P194" s="230"/>
      <c r="Q194" s="230"/>
      <c r="R194" s="216"/>
      <c r="S194" s="193"/>
      <c r="T194" s="151"/>
      <c r="U194" s="192"/>
      <c r="V194" s="160"/>
      <c r="W194" s="160"/>
      <c r="BA194"/>
      <c r="BB194"/>
    </row>
    <row r="195" spans="1:54" s="149" customFormat="1" ht="13.5">
      <c r="A195" s="146"/>
      <c r="B195" s="263">
        <v>6005016423</v>
      </c>
      <c r="C195" s="273" t="str">
        <f>IFERROR(IF(VLOOKUP($B195,勘定科目!$A:$H,HLOOKUP($E$5,勘定科目!$F$1:$H$2,2,0),0)="","",VLOOKUP($B195,勘定科目!$A:$E,2,0)),"")</f>
        <v>消耗備品費（一般）</v>
      </c>
      <c r="D195" s="290" t="str">
        <f>IF(C195="","",VLOOKUP($B195,勘定科目!$A:$E,4,0))</f>
        <v>消耗工具器具備品費</v>
      </c>
      <c r="E195" s="303"/>
      <c r="F195" s="229">
        <v>22000000</v>
      </c>
      <c r="G195" s="230">
        <v>22000000</v>
      </c>
      <c r="H195" s="229">
        <v>22000000</v>
      </c>
      <c r="I195" s="230">
        <v>22000000</v>
      </c>
      <c r="J195" s="229">
        <v>22000000</v>
      </c>
      <c r="K195" s="230">
        <v>22000000</v>
      </c>
      <c r="L195" s="229">
        <v>22000000</v>
      </c>
      <c r="M195" s="230">
        <v>22000000</v>
      </c>
      <c r="N195" s="229"/>
      <c r="O195" s="230"/>
      <c r="P195" s="229"/>
      <c r="Q195" s="230"/>
      <c r="R195" s="216">
        <f t="shared" si="9"/>
        <v>176000000</v>
      </c>
      <c r="S195" s="193" t="s">
        <v>987</v>
      </c>
      <c r="T195" s="151"/>
      <c r="U195" s="192" t="s">
        <v>855</v>
      </c>
      <c r="V195" s="160"/>
      <c r="W195" s="160"/>
      <c r="BA195"/>
      <c r="BB195"/>
    </row>
    <row r="196" spans="1:54" s="149" customFormat="1" ht="13.5">
      <c r="A196" s="146"/>
      <c r="B196" s="263"/>
      <c r="C196" s="273" t="str">
        <f>IFERROR(IF(VLOOKUP($B196,勘定科目!$A:$H,HLOOKUP($E$5,勘定科目!$F$1:$H$2,2,0),0)="","",VLOOKUP($B196,勘定科目!$A:$E,2,0)),"")</f>
        <v/>
      </c>
      <c r="D196" s="290" t="str">
        <f>IF(C196="","",VLOOKUP($B196,勘定科目!$A:$E,4,0))</f>
        <v/>
      </c>
      <c r="E196" s="303"/>
      <c r="F196" s="229"/>
      <c r="G196" s="230"/>
      <c r="H196" s="230"/>
      <c r="I196" s="230"/>
      <c r="J196" s="230"/>
      <c r="K196" s="230"/>
      <c r="L196" s="230"/>
      <c r="M196" s="230"/>
      <c r="N196" s="230"/>
      <c r="O196" s="230"/>
      <c r="P196" s="230"/>
      <c r="Q196" s="230"/>
      <c r="R196" s="216"/>
      <c r="S196" s="193"/>
      <c r="T196" s="151"/>
      <c r="U196" s="192"/>
      <c r="V196" s="160"/>
      <c r="W196" s="160"/>
      <c r="BA196"/>
      <c r="BB196"/>
    </row>
    <row r="197" spans="1:54" s="149" customFormat="1" ht="13.5">
      <c r="A197" s="146"/>
      <c r="B197" s="263">
        <v>6005146629</v>
      </c>
      <c r="C197" s="273" t="str">
        <f>IFERROR(IF(VLOOKUP($B197,勘定科目!$A:$H,HLOOKUP($E$5,勘定科目!$F$1:$H$2,2,0),0)="","",VLOOKUP($B197,勘定科目!$A:$E,2,0)),"")</f>
        <v>ライセンス料（一般）</v>
      </c>
      <c r="D197" s="290" t="str">
        <f>IF(C197="","",VLOOKUP($B197,勘定科目!$A:$E,4,0))</f>
        <v>図書及び事務費</v>
      </c>
      <c r="E197" s="303"/>
      <c r="F197" s="229"/>
      <c r="G197" s="230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16">
        <f t="shared" si="9"/>
        <v>0</v>
      </c>
      <c r="S197" s="193"/>
      <c r="T197" s="151"/>
      <c r="U197" s="192"/>
      <c r="V197" s="160"/>
      <c r="W197" s="160"/>
      <c r="BA197"/>
      <c r="BB197"/>
    </row>
    <row r="198" spans="1:54" s="149" customFormat="1" ht="13.5">
      <c r="A198" s="146"/>
      <c r="B198" s="263"/>
      <c r="C198" s="273" t="str">
        <f>IFERROR(IF(VLOOKUP($B198,勘定科目!$A:$H,HLOOKUP($E$5,勘定科目!$F$1:$H$2,2,0),0)="","",VLOOKUP($B198,勘定科目!$A:$E,2,0)),"")</f>
        <v/>
      </c>
      <c r="D198" s="290" t="str">
        <f>IF(C198="","",VLOOKUP($B198,勘定科目!$A:$E,4,0))</f>
        <v/>
      </c>
      <c r="E198" s="303"/>
      <c r="F198" s="229"/>
      <c r="G198" s="230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16"/>
      <c r="S198" s="193"/>
      <c r="T198" s="151"/>
      <c r="U198" s="192"/>
      <c r="V198" s="160"/>
      <c r="W198" s="160"/>
      <c r="BA198"/>
      <c r="BB198"/>
    </row>
    <row r="199" spans="1:54" s="149" customFormat="1" ht="13.5">
      <c r="A199" s="146"/>
      <c r="B199" s="263">
        <v>6005126423</v>
      </c>
      <c r="C199" s="273" t="str">
        <f>IFERROR(IF(VLOOKUP($B199,勘定科目!$A:$H,HLOOKUP($E$5,勘定科目!$F$1:$H$2,2,0),0)="","",VLOOKUP($B199,勘定科目!$A:$E,2,0)),"")</f>
        <v>事務用品費（一般）</v>
      </c>
      <c r="D199" s="290" t="str">
        <f>IF(C199="","",VLOOKUP($B199,勘定科目!$A:$E,4,0))</f>
        <v>図書及び事務費</v>
      </c>
      <c r="E199" s="303"/>
      <c r="F199" s="229"/>
      <c r="G199" s="230"/>
      <c r="H199" s="230"/>
      <c r="I199" s="230"/>
      <c r="J199" s="230"/>
      <c r="K199" s="230"/>
      <c r="L199" s="230">
        <v>84000</v>
      </c>
      <c r="M199" s="230"/>
      <c r="N199" s="230"/>
      <c r="O199" s="230"/>
      <c r="P199" s="230"/>
      <c r="Q199" s="230"/>
      <c r="R199" s="216">
        <f t="shared" si="9"/>
        <v>84000</v>
      </c>
      <c r="S199" s="193" t="s">
        <v>876</v>
      </c>
      <c r="T199" s="151"/>
      <c r="U199" s="192" t="s">
        <v>734</v>
      </c>
      <c r="V199" s="160"/>
      <c r="W199" s="160"/>
      <c r="BA199"/>
      <c r="BB199"/>
    </row>
    <row r="200" spans="1:54" s="149" customFormat="1" ht="13.5">
      <c r="A200" s="146"/>
      <c r="B200" s="263"/>
      <c r="C200" s="273" t="str">
        <f>IFERROR(IF(VLOOKUP($B200,勘定科目!$A:$H,HLOOKUP($E$5,勘定科目!$F$1:$H$2,2,0),0)="","",VLOOKUP($B200,勘定科目!$A:$E,2,0)),"")</f>
        <v/>
      </c>
      <c r="D200" s="290" t="str">
        <f>IF(C200="","",VLOOKUP($B200,勘定科目!$A:$E,4,0))</f>
        <v/>
      </c>
      <c r="E200" s="303"/>
      <c r="F200" s="229"/>
      <c r="G200" s="230"/>
      <c r="H200" s="230"/>
      <c r="I200" s="230"/>
      <c r="J200" s="230"/>
      <c r="K200" s="230"/>
      <c r="L200" s="230"/>
      <c r="M200" s="230"/>
      <c r="N200" s="230"/>
      <c r="O200" s="230"/>
      <c r="P200" s="230"/>
      <c r="Q200" s="230"/>
      <c r="R200" s="216"/>
      <c r="S200" s="193"/>
      <c r="T200" s="151"/>
      <c r="U200" s="192"/>
      <c r="V200" s="160"/>
      <c r="W200" s="160"/>
      <c r="BA200"/>
      <c r="BB200"/>
    </row>
    <row r="201" spans="1:54" s="149" customFormat="1" ht="13.5">
      <c r="A201" s="146"/>
      <c r="B201" s="263">
        <v>6005146628</v>
      </c>
      <c r="C201" s="273" t="str">
        <f>IFERROR(IF(VLOOKUP($B201,勘定科目!$A:$H,HLOOKUP($E$5,勘定科目!$F$1:$H$2,2,0),0)="","",VLOOKUP($B201,勘定科目!$A:$E,2,0)),"")</f>
        <v>ＫＤＣシステム使用料（一般）</v>
      </c>
      <c r="D201" s="290" t="str">
        <f>IF(C201="","",VLOOKUP($B201,勘定科目!$A:$E,4,0))</f>
        <v>図書及び事務費</v>
      </c>
      <c r="E201" s="303"/>
      <c r="F201" s="229">
        <v>3200663</v>
      </c>
      <c r="G201" s="229">
        <v>3200663</v>
      </c>
      <c r="H201" s="229">
        <v>3200663</v>
      </c>
      <c r="I201" s="229">
        <v>3200663</v>
      </c>
      <c r="J201" s="229">
        <v>3200663</v>
      </c>
      <c r="K201" s="229">
        <v>3200663</v>
      </c>
      <c r="L201" s="229">
        <v>3200663</v>
      </c>
      <c r="M201" s="229">
        <v>3200663</v>
      </c>
      <c r="N201" s="229">
        <v>3200663</v>
      </c>
      <c r="O201" s="229">
        <v>3200663</v>
      </c>
      <c r="P201" s="229">
        <v>3200663</v>
      </c>
      <c r="Q201" s="229">
        <v>3200663</v>
      </c>
      <c r="R201" s="216">
        <f t="shared" ref="R201:R219" si="13">SUM(F201:Q201)</f>
        <v>38407956</v>
      </c>
      <c r="S201" s="193" t="s">
        <v>736</v>
      </c>
      <c r="T201" s="151"/>
      <c r="U201" s="192" t="s">
        <v>734</v>
      </c>
      <c r="V201" s="160"/>
      <c r="W201" s="160"/>
      <c r="BA201"/>
      <c r="BB201"/>
    </row>
    <row r="202" spans="1:54" s="149" customFormat="1" ht="13.5">
      <c r="A202" s="146"/>
      <c r="B202" s="263"/>
      <c r="C202" s="273"/>
      <c r="D202" s="290"/>
      <c r="E202" s="303"/>
      <c r="F202" s="229"/>
      <c r="G202" s="230"/>
      <c r="H202" s="230"/>
      <c r="I202" s="230"/>
      <c r="J202" s="230"/>
      <c r="K202" s="230"/>
      <c r="L202" s="230"/>
      <c r="M202" s="230"/>
      <c r="N202" s="230"/>
      <c r="O202" s="230"/>
      <c r="P202" s="230"/>
      <c r="Q202" s="230"/>
      <c r="R202" s="216"/>
      <c r="S202" s="193"/>
      <c r="T202" s="151"/>
      <c r="U202" s="192"/>
      <c r="V202" s="160"/>
      <c r="W202" s="160"/>
      <c r="BA202"/>
      <c r="BB202"/>
    </row>
    <row r="203" spans="1:54" s="149" customFormat="1" ht="13.5">
      <c r="A203" s="146"/>
      <c r="B203" s="263">
        <v>6005116654</v>
      </c>
      <c r="C203" s="273" t="str">
        <f>IFERROR(IF(VLOOKUP($B203,勘定科目!$A:$H,HLOOKUP($E$5,勘定科目!$F$1:$H$2,2,0),0)="","",VLOOKUP($B203,勘定科目!$A:$E,2,0)),"")</f>
        <v>ベトナム国内交通費（一般）</v>
      </c>
      <c r="D203" s="290" t="str">
        <f>IF(C203="","",VLOOKUP($B203,勘定科目!$A:$E,4,0))</f>
        <v>旅費交通費</v>
      </c>
      <c r="E203" s="303"/>
      <c r="F203" s="229"/>
      <c r="G203" s="230"/>
      <c r="H203" s="230"/>
      <c r="I203" s="230"/>
      <c r="J203" s="230"/>
      <c r="K203" s="230"/>
      <c r="L203" s="230"/>
      <c r="M203" s="230"/>
      <c r="N203" s="230"/>
      <c r="O203" s="230"/>
      <c r="P203" s="230"/>
      <c r="Q203" s="230"/>
      <c r="R203" s="216">
        <f t="shared" si="13"/>
        <v>0</v>
      </c>
      <c r="S203" s="193"/>
      <c r="T203" s="151"/>
      <c r="U203" s="192"/>
      <c r="V203" s="160"/>
      <c r="W203" s="160"/>
      <c r="BA203"/>
      <c r="BB203"/>
    </row>
    <row r="204" spans="1:54" s="149" customFormat="1" ht="13.5">
      <c r="A204" s="146"/>
      <c r="B204" s="263"/>
      <c r="C204" s="273"/>
      <c r="D204" s="290"/>
      <c r="E204" s="303"/>
      <c r="F204" s="229"/>
      <c r="G204" s="230"/>
      <c r="H204" s="230"/>
      <c r="I204" s="230"/>
      <c r="J204" s="230"/>
      <c r="K204" s="230"/>
      <c r="L204" s="230"/>
      <c r="M204" s="230"/>
      <c r="N204" s="230"/>
      <c r="O204" s="230"/>
      <c r="P204" s="230"/>
      <c r="Q204" s="230"/>
      <c r="R204" s="216"/>
      <c r="S204" s="193"/>
      <c r="T204" s="151"/>
      <c r="U204" s="192"/>
      <c r="V204" s="160"/>
      <c r="W204" s="160"/>
      <c r="BA204"/>
      <c r="BB204"/>
    </row>
    <row r="205" spans="1:54" s="149" customFormat="1" ht="13.5">
      <c r="A205" s="146"/>
      <c r="B205" s="263">
        <v>6005116655</v>
      </c>
      <c r="C205" s="273" t="str">
        <f>IFERROR(IF(VLOOKUP($B205,勘定科目!$A:$H,HLOOKUP($E$5,勘定科目!$F$1:$H$2,2,0),0)="","",VLOOKUP($B205,勘定科目!$A:$E,2,0)),"")</f>
        <v>海外渡航費（一般）</v>
      </c>
      <c r="D205" s="290" t="str">
        <f>IF(C205="","",VLOOKUP($B205,勘定科目!$A:$E,4,0))</f>
        <v>渡航費</v>
      </c>
      <c r="E205" s="303"/>
      <c r="F205" s="229"/>
      <c r="G205" s="230"/>
      <c r="H205" s="230"/>
      <c r="I205" s="230"/>
      <c r="J205" s="230"/>
      <c r="K205" s="230"/>
      <c r="L205" s="230"/>
      <c r="M205" s="230"/>
      <c r="N205" s="230"/>
      <c r="O205" s="230"/>
      <c r="P205" s="230"/>
      <c r="Q205" s="230"/>
      <c r="R205" s="216">
        <f t="shared" si="13"/>
        <v>0</v>
      </c>
      <c r="S205" s="193"/>
      <c r="T205" s="151"/>
      <c r="U205" s="192"/>
      <c r="V205" s="160"/>
      <c r="W205" s="160"/>
      <c r="BA205"/>
      <c r="BB205"/>
    </row>
    <row r="206" spans="1:54" s="149" customFormat="1" ht="13.5">
      <c r="A206" s="146"/>
      <c r="B206" s="263"/>
      <c r="C206" s="273" t="str">
        <f>IFERROR(IF(VLOOKUP($B206,勘定科目!$A:$H,HLOOKUP($E$5,勘定科目!$F$1:$H$2,2,0),0)="","",VLOOKUP($B206,勘定科目!$A:$E,2,0)),"")</f>
        <v/>
      </c>
      <c r="D206" s="290" t="str">
        <f>IF(C206="","",VLOOKUP($B206,勘定科目!$A:$E,4,0))</f>
        <v/>
      </c>
      <c r="E206" s="303"/>
      <c r="F206" s="229"/>
      <c r="G206" s="230"/>
      <c r="H206" s="230"/>
      <c r="I206" s="230"/>
      <c r="J206" s="230"/>
      <c r="K206" s="230"/>
      <c r="L206" s="230"/>
      <c r="M206" s="230"/>
      <c r="N206" s="230"/>
      <c r="O206" s="230"/>
      <c r="P206" s="230"/>
      <c r="Q206" s="230"/>
      <c r="R206" s="216"/>
      <c r="S206" s="193"/>
      <c r="T206" s="151"/>
      <c r="U206" s="192"/>
      <c r="V206" s="160"/>
      <c r="W206" s="160"/>
      <c r="BA206"/>
      <c r="BB206"/>
    </row>
    <row r="207" spans="1:54" s="149" customFormat="1" ht="13.5">
      <c r="A207" s="146"/>
      <c r="B207" s="263">
        <v>6005246671</v>
      </c>
      <c r="C207" s="273" t="str">
        <f>IFERROR(IF(VLOOKUP($B207,勘定科目!$A:$H,HLOOKUP($E$5,勘定科目!$F$1:$H$2,2,0),0)="","",VLOOKUP($B207,勘定科目!$A:$E,2,0)),"")</f>
        <v>雑費（一般）</v>
      </c>
      <c r="D207" s="290" t="str">
        <f>IF(C207="","",VLOOKUP($B207,勘定科目!$A:$E,4,0))</f>
        <v>雑費</v>
      </c>
      <c r="E207" s="303"/>
      <c r="F207" s="229"/>
      <c r="G207" s="230"/>
      <c r="H207" s="230"/>
      <c r="I207" s="230"/>
      <c r="J207" s="230"/>
      <c r="K207" s="230"/>
      <c r="L207" s="230"/>
      <c r="M207" s="230"/>
      <c r="N207" s="230"/>
      <c r="O207" s="230"/>
      <c r="P207" s="230"/>
      <c r="Q207" s="230"/>
      <c r="R207" s="216">
        <f t="shared" si="13"/>
        <v>0</v>
      </c>
      <c r="S207" s="193"/>
      <c r="T207" s="151"/>
      <c r="U207" s="192"/>
      <c r="V207" s="160"/>
      <c r="W207" s="160"/>
      <c r="BA207"/>
      <c r="BB207"/>
    </row>
    <row r="208" spans="1:54" s="149" customFormat="1" ht="13.5">
      <c r="A208" s="146"/>
      <c r="B208" s="263"/>
      <c r="C208" s="273" t="str">
        <f>IFERROR(IF(VLOOKUP($B208,勘定科目!$A:$H,HLOOKUP($E$5,勘定科目!$F$1:$H$2,2,0),0)="","",VLOOKUP($B208,勘定科目!$A:$E,2,0)),"")</f>
        <v/>
      </c>
      <c r="D208" s="290" t="str">
        <f>IF(C208="","",VLOOKUP($B208,勘定科目!$A:$E,4,0))</f>
        <v/>
      </c>
      <c r="E208" s="303"/>
      <c r="F208" s="229"/>
      <c r="G208" s="230"/>
      <c r="H208" s="230"/>
      <c r="I208" s="230"/>
      <c r="J208" s="230"/>
      <c r="K208" s="230"/>
      <c r="L208" s="230"/>
      <c r="M208" s="230"/>
      <c r="N208" s="230"/>
      <c r="O208" s="230"/>
      <c r="P208" s="230"/>
      <c r="Q208" s="230"/>
      <c r="R208" s="216"/>
      <c r="S208" s="193"/>
      <c r="T208" s="151"/>
      <c r="U208" s="192"/>
      <c r="V208" s="160"/>
      <c r="W208" s="160"/>
      <c r="BA208"/>
      <c r="BB208"/>
    </row>
    <row r="209" spans="1:54" s="149" customFormat="1" ht="13.5">
      <c r="A209" s="146"/>
      <c r="B209" s="263">
        <v>6005166658</v>
      </c>
      <c r="C209" s="273" t="str">
        <f>IFERROR(IF(VLOOKUP($B209,勘定科目!$A:$H,HLOOKUP($E$5,勘定科目!$F$1:$H$2,2,0),0)="","",VLOOKUP($B209,勘定科目!$A:$E,2,0)),"")</f>
        <v>接待交際費（一般）</v>
      </c>
      <c r="D209" s="290" t="str">
        <f>IF(C209="","",VLOOKUP($B209,勘定科目!$A:$E,4,0))</f>
        <v>接待交際費</v>
      </c>
      <c r="E209" s="303"/>
      <c r="F209" s="229"/>
      <c r="G209" s="230"/>
      <c r="H209" s="230"/>
      <c r="I209" s="230"/>
      <c r="J209" s="230"/>
      <c r="K209" s="230"/>
      <c r="L209" s="230"/>
      <c r="M209" s="230"/>
      <c r="N209" s="230"/>
      <c r="O209" s="230"/>
      <c r="P209" s="230"/>
      <c r="Q209" s="230"/>
      <c r="R209" s="216">
        <f t="shared" si="13"/>
        <v>0</v>
      </c>
      <c r="S209" s="193"/>
      <c r="T209" s="151"/>
      <c r="U209" s="192"/>
      <c r="V209" s="160"/>
      <c r="W209" s="160"/>
      <c r="BA209"/>
      <c r="BB209"/>
    </row>
    <row r="210" spans="1:54" s="149" customFormat="1" ht="13.5">
      <c r="A210" s="146"/>
      <c r="B210" s="263"/>
      <c r="C210" s="273"/>
      <c r="D210" s="290"/>
      <c r="E210" s="303"/>
      <c r="F210" s="229"/>
      <c r="G210" s="230"/>
      <c r="H210" s="230"/>
      <c r="I210" s="230"/>
      <c r="J210" s="230"/>
      <c r="K210" s="230"/>
      <c r="L210" s="230"/>
      <c r="M210" s="230"/>
      <c r="N210" s="230"/>
      <c r="O210" s="230"/>
      <c r="P210" s="230"/>
      <c r="Q210" s="230"/>
      <c r="R210" s="216"/>
      <c r="S210" s="193"/>
      <c r="T210" s="151"/>
      <c r="U210" s="192"/>
      <c r="V210" s="160"/>
      <c r="W210" s="160"/>
      <c r="BA210"/>
      <c r="BB210"/>
    </row>
    <row r="211" spans="1:54" s="149" customFormat="1" ht="13.5">
      <c r="A211" s="146"/>
      <c r="B211" s="263">
        <v>6005246673</v>
      </c>
      <c r="C211" s="273" t="str">
        <f>IFERROR(IF(VLOOKUP($B211,勘定科目!$A:$H,HLOOKUP($E$5,勘定科目!$F$1:$H$2,2,0),0)="","",VLOOKUP($B211,勘定科目!$A:$E,2,0)),"")</f>
        <v>その他手数料（一般）</v>
      </c>
      <c r="D211" s="290" t="str">
        <f>IF(C211="","",VLOOKUP($B211,勘定科目!$A:$E,4,0))</f>
        <v>手数料</v>
      </c>
      <c r="E211" s="303"/>
      <c r="F211" s="229">
        <v>1082381400</v>
      </c>
      <c r="G211" s="230"/>
      <c r="H211" s="230"/>
      <c r="I211" s="230">
        <v>1082381400</v>
      </c>
      <c r="J211" s="230"/>
      <c r="K211" s="230"/>
      <c r="L211" s="230">
        <v>1082381400</v>
      </c>
      <c r="M211" s="230"/>
      <c r="N211" s="230"/>
      <c r="O211" s="230">
        <v>1082381400</v>
      </c>
      <c r="P211" s="230"/>
      <c r="Q211" s="230"/>
      <c r="R211" s="216">
        <f t="shared" si="13"/>
        <v>4329525600</v>
      </c>
      <c r="S211" s="193" t="s">
        <v>737</v>
      </c>
      <c r="T211" s="151"/>
      <c r="U211" s="192" t="s">
        <v>734</v>
      </c>
      <c r="V211" s="160"/>
      <c r="W211" s="160"/>
      <c r="BA211"/>
      <c r="BB211"/>
    </row>
    <row r="212" spans="1:54" s="149" customFormat="1" ht="13.5">
      <c r="A212" s="146"/>
      <c r="B212" s="263">
        <v>6005246673</v>
      </c>
      <c r="C212" s="273" t="str">
        <f>IFERROR(IF(VLOOKUP($B212,勘定科目!$A:$H,HLOOKUP($E$5,勘定科目!$F$1:$H$2,2,0),0)="","",VLOOKUP($B212,勘定科目!$A:$E,2,0)),"")</f>
        <v>その他手数料（一般）</v>
      </c>
      <c r="D212" s="290" t="str">
        <f>IF(C212="","",VLOOKUP($B212,勘定科目!$A:$E,4,0))</f>
        <v>手数料</v>
      </c>
      <c r="E212" s="303"/>
      <c r="F212" s="229">
        <v>787458</v>
      </c>
      <c r="G212" s="230">
        <v>790468</v>
      </c>
      <c r="H212" s="230">
        <v>814814</v>
      </c>
      <c r="I212" s="230">
        <v>746284</v>
      </c>
      <c r="J212" s="230">
        <v>726474</v>
      </c>
      <c r="K212" s="230">
        <v>694260</v>
      </c>
      <c r="L212" s="230">
        <v>664048</v>
      </c>
      <c r="M212" s="230">
        <v>655816</v>
      </c>
      <c r="N212" s="230">
        <v>657678</v>
      </c>
      <c r="O212" s="230">
        <v>629552</v>
      </c>
      <c r="P212" s="230">
        <v>595868</v>
      </c>
      <c r="Q212" s="230">
        <v>623560</v>
      </c>
      <c r="R212" s="216">
        <f t="shared" si="13"/>
        <v>8386280</v>
      </c>
      <c r="S212" s="193" t="s">
        <v>738</v>
      </c>
      <c r="T212" s="151"/>
      <c r="U212" s="192" t="s">
        <v>731</v>
      </c>
      <c r="V212" s="160"/>
      <c r="W212" s="160"/>
      <c r="BA212"/>
      <c r="BB212"/>
    </row>
    <row r="213" spans="1:54" s="149" customFormat="1" ht="13.5">
      <c r="A213" s="146"/>
      <c r="B213" s="263">
        <v>6005246673</v>
      </c>
      <c r="C213" s="273" t="str">
        <f>IFERROR(IF(VLOOKUP($B213,勘定科目!$A:$H,HLOOKUP($E$5,勘定科目!$F$1:$H$2,2,0),0)="","",VLOOKUP($B213,勘定科目!$A:$E,2,0)),"")</f>
        <v>その他手数料（一般）</v>
      </c>
      <c r="D213" s="290" t="str">
        <f>IF(C213="","",VLOOKUP($B213,勘定科目!$A:$E,4,0))</f>
        <v>手数料</v>
      </c>
      <c r="E213" s="303"/>
      <c r="F213" s="229"/>
      <c r="G213" s="230"/>
      <c r="H213" s="230"/>
      <c r="I213" s="230"/>
      <c r="J213" s="230"/>
      <c r="K213" s="230"/>
      <c r="L213" s="230"/>
      <c r="M213" s="230"/>
      <c r="N213" s="230"/>
      <c r="O213" s="230"/>
      <c r="P213" s="230"/>
      <c r="Q213" s="230"/>
      <c r="R213" s="216">
        <f t="shared" si="13"/>
        <v>0</v>
      </c>
      <c r="S213" s="193" t="s">
        <v>739</v>
      </c>
      <c r="T213" s="151"/>
      <c r="U213" s="192" t="s">
        <v>734</v>
      </c>
      <c r="V213" s="160"/>
      <c r="W213" s="160"/>
      <c r="BA213"/>
      <c r="BB213"/>
    </row>
    <row r="214" spans="1:54" s="149" customFormat="1" ht="13.5">
      <c r="A214" s="146"/>
      <c r="B214" s="263">
        <v>6005246673</v>
      </c>
      <c r="C214" s="273" t="str">
        <f>IFERROR(IF(VLOOKUP($B214,勘定科目!$A:$H,HLOOKUP($E$5,勘定科目!$F$1:$H$2,2,0),0)="","",VLOOKUP($B214,勘定科目!$A:$E,2,0)),"")</f>
        <v>その他手数料（一般）</v>
      </c>
      <c r="D214" s="290" t="str">
        <f>IF(C214="","",VLOOKUP($B214,勘定科目!$A:$E,4,0))</f>
        <v>手数料</v>
      </c>
      <c r="E214" s="303"/>
      <c r="F214" s="229">
        <v>17270000</v>
      </c>
      <c r="G214" s="230"/>
      <c r="H214" s="230"/>
      <c r="I214" s="230">
        <v>17270000</v>
      </c>
      <c r="J214" s="230"/>
      <c r="K214" s="230"/>
      <c r="L214" s="230">
        <v>17270000</v>
      </c>
      <c r="M214" s="230"/>
      <c r="N214" s="230"/>
      <c r="O214" s="230">
        <v>17270000</v>
      </c>
      <c r="P214" s="230"/>
      <c r="Q214" s="230"/>
      <c r="R214" s="216">
        <f t="shared" si="13"/>
        <v>69080000</v>
      </c>
      <c r="S214" s="193" t="s">
        <v>740</v>
      </c>
      <c r="T214" s="151"/>
      <c r="U214" s="192" t="s">
        <v>721</v>
      </c>
      <c r="V214" s="160"/>
      <c r="W214" s="160"/>
      <c r="BA214"/>
      <c r="BB214"/>
    </row>
    <row r="215" spans="1:54" s="149" customFormat="1" ht="13.5">
      <c r="A215" s="146"/>
      <c r="B215" s="263">
        <v>6005246673</v>
      </c>
      <c r="C215" s="273" t="str">
        <f>IFERROR(IF(VLOOKUP($B215,勘定科目!$A:$H,HLOOKUP($E$5,勘定科目!$F$1:$H$2,2,0),0)="","",VLOOKUP($B215,勘定科目!$A:$E,2,0)),"")</f>
        <v>その他手数料（一般）</v>
      </c>
      <c r="D215" s="290" t="str">
        <f>IF(C215="","",VLOOKUP($B215,勘定科目!$A:$E,4,0))</f>
        <v>手数料</v>
      </c>
      <c r="E215" s="303"/>
      <c r="F215" s="229">
        <v>15950000</v>
      </c>
      <c r="G215" s="230"/>
      <c r="H215" s="230"/>
      <c r="I215" s="230">
        <v>15950000</v>
      </c>
      <c r="J215" s="230"/>
      <c r="K215" s="230"/>
      <c r="L215" s="230">
        <v>15950000</v>
      </c>
      <c r="M215" s="230"/>
      <c r="N215" s="230"/>
      <c r="O215" s="230">
        <v>15950000</v>
      </c>
      <c r="P215" s="230"/>
      <c r="Q215" s="230"/>
      <c r="R215" s="216">
        <f t="shared" si="13"/>
        <v>63800000</v>
      </c>
      <c r="S215" s="193" t="s">
        <v>741</v>
      </c>
      <c r="T215" s="151"/>
      <c r="U215" s="192" t="s">
        <v>721</v>
      </c>
      <c r="V215" s="160"/>
      <c r="W215" s="160"/>
      <c r="BA215"/>
      <c r="BB215"/>
    </row>
    <row r="216" spans="1:54" s="149" customFormat="1" ht="13.5">
      <c r="A216" s="146"/>
      <c r="B216" s="263">
        <v>6005246673</v>
      </c>
      <c r="C216" s="273" t="str">
        <f>IFERROR(IF(VLOOKUP($B216,勘定科目!$A:$H,HLOOKUP($E$5,勘定科目!$F$1:$H$2,2,0),0)="","",VLOOKUP($B216,勘定科目!$A:$E,2,0)),"")</f>
        <v>その他手数料（一般）</v>
      </c>
      <c r="D216" s="290" t="str">
        <f>IF(C216="","",VLOOKUP($B216,勘定科目!$A:$E,4,0))</f>
        <v>手数料</v>
      </c>
      <c r="E216" s="303"/>
      <c r="F216" s="229"/>
      <c r="G216" s="230">
        <v>25000000</v>
      </c>
      <c r="H216" s="230"/>
      <c r="I216" s="230"/>
      <c r="J216" s="230">
        <v>25000000</v>
      </c>
      <c r="K216" s="230"/>
      <c r="L216" s="230"/>
      <c r="M216" s="230">
        <v>25000000</v>
      </c>
      <c r="N216" s="230"/>
      <c r="O216" s="230"/>
      <c r="P216" s="230">
        <v>25000000</v>
      </c>
      <c r="Q216" s="230"/>
      <c r="R216" s="216">
        <f t="shared" si="13"/>
        <v>100000000</v>
      </c>
      <c r="S216" s="193" t="s">
        <v>742</v>
      </c>
      <c r="T216" s="151"/>
      <c r="U216" s="192" t="s">
        <v>721</v>
      </c>
      <c r="V216" s="160"/>
      <c r="W216" s="160"/>
      <c r="BA216"/>
      <c r="BB216"/>
    </row>
    <row r="217" spans="1:54" s="149" customFormat="1" ht="13.5">
      <c r="A217" s="146"/>
      <c r="B217" s="263">
        <v>6005246673</v>
      </c>
      <c r="C217" s="273" t="str">
        <f>IFERROR(IF(VLOOKUP($B217,勘定科目!$A:$H,HLOOKUP($E$5,勘定科目!$F$1:$H$2,2,0),0)="","",VLOOKUP($B217,勘定科目!$A:$E,2,0)),"")</f>
        <v>その他手数料（一般）</v>
      </c>
      <c r="D217" s="290" t="str">
        <f>IF(C217="","",VLOOKUP($B217,勘定科目!$A:$E,4,0))</f>
        <v>手数料</v>
      </c>
      <c r="E217" s="303"/>
      <c r="F217" s="229"/>
      <c r="G217" s="230"/>
      <c r="H217" s="230"/>
      <c r="I217" s="230"/>
      <c r="J217" s="230"/>
      <c r="K217" s="230"/>
      <c r="L217" s="230">
        <v>13000000</v>
      </c>
      <c r="M217" s="230"/>
      <c r="N217" s="230"/>
      <c r="O217" s="230"/>
      <c r="P217" s="230"/>
      <c r="Q217" s="230"/>
      <c r="R217" s="216">
        <f t="shared" si="13"/>
        <v>13000000</v>
      </c>
      <c r="S217" s="193" t="s">
        <v>743</v>
      </c>
      <c r="T217" s="151"/>
      <c r="U217" s="192" t="s">
        <v>721</v>
      </c>
      <c r="V217" s="160"/>
      <c r="W217" s="160"/>
      <c r="BA217"/>
      <c r="BB217"/>
    </row>
    <row r="218" spans="1:54" s="149" customFormat="1" ht="13.5">
      <c r="A218" s="146"/>
      <c r="B218" s="263">
        <v>6005246673</v>
      </c>
      <c r="C218" s="273" t="str">
        <f>IFERROR(IF(VLOOKUP($B218,勘定科目!$A:$H,HLOOKUP($E$5,勘定科目!$F$1:$H$2,2,0),0)="","",VLOOKUP($B218,勘定科目!$A:$E,2,0)),"")</f>
        <v>その他手数料（一般）</v>
      </c>
      <c r="D218" s="290" t="str">
        <f>IF(C218="","",VLOOKUP($B218,勘定科目!$A:$E,4,0))</f>
        <v>手数料</v>
      </c>
      <c r="E218" s="303"/>
      <c r="F218" s="229">
        <v>11000000</v>
      </c>
      <c r="G218" s="230"/>
      <c r="H218" s="229">
        <v>11000000</v>
      </c>
      <c r="I218" s="230"/>
      <c r="J218" s="229">
        <v>11000000</v>
      </c>
      <c r="K218" s="230"/>
      <c r="L218" s="229">
        <v>11000000</v>
      </c>
      <c r="M218" s="230"/>
      <c r="N218" s="229">
        <v>11000000</v>
      </c>
      <c r="O218" s="230"/>
      <c r="P218" s="229">
        <v>11000000</v>
      </c>
      <c r="Q218" s="230"/>
      <c r="R218" s="216">
        <f t="shared" si="13"/>
        <v>66000000</v>
      </c>
      <c r="S218" s="193" t="s">
        <v>988</v>
      </c>
      <c r="T218" s="151"/>
      <c r="U218" s="192" t="s">
        <v>721</v>
      </c>
      <c r="V218" s="160"/>
      <c r="W218" s="160"/>
      <c r="BA218"/>
      <c r="BB218"/>
    </row>
    <row r="219" spans="1:54" s="149" customFormat="1" ht="13.5">
      <c r="A219" s="146"/>
      <c r="B219" s="263">
        <v>6005246673</v>
      </c>
      <c r="C219" s="273" t="str">
        <f>IFERROR(IF(VLOOKUP($B219,勘定科目!$A:$H,HLOOKUP($E$5,勘定科目!$F$1:$H$2,2,0),0)="","",VLOOKUP($B219,勘定科目!$A:$E,2,0)),"")</f>
        <v>その他手数料（一般）</v>
      </c>
      <c r="D219" s="290" t="str">
        <f>IF(C219="","",VLOOKUP($B219,勘定科目!$A:$E,4,0))</f>
        <v>手数料</v>
      </c>
      <c r="E219" s="303"/>
      <c r="F219" s="229"/>
      <c r="G219" s="230"/>
      <c r="H219" s="230">
        <v>55000000</v>
      </c>
      <c r="I219" s="230"/>
      <c r="J219" s="230"/>
      <c r="K219" s="230">
        <v>55000000</v>
      </c>
      <c r="L219" s="230"/>
      <c r="M219" s="230"/>
      <c r="N219" s="230">
        <v>55000000</v>
      </c>
      <c r="O219" s="230"/>
      <c r="P219" s="230"/>
      <c r="Q219" s="230">
        <v>55000000</v>
      </c>
      <c r="R219" s="216">
        <f t="shared" si="13"/>
        <v>220000000</v>
      </c>
      <c r="S219" s="193" t="s">
        <v>744</v>
      </c>
      <c r="T219" s="151"/>
      <c r="U219" s="192" t="s">
        <v>721</v>
      </c>
      <c r="V219" s="160"/>
      <c r="W219" s="160"/>
      <c r="BA219"/>
      <c r="BB219"/>
    </row>
    <row r="220" spans="1:54" s="149" customFormat="1" ht="13.5">
      <c r="A220" s="158"/>
      <c r="B220" s="263">
        <v>6005246673</v>
      </c>
      <c r="C220" s="273" t="str">
        <f>IFERROR(IF(VLOOKUP($B220,勘定科目!$A:$H,HLOOKUP($E$5,勘定科目!$F$1:$H$2,2,0),0)="","",VLOOKUP($B220,勘定科目!$A:$E,2,0)),"")</f>
        <v>その他手数料（一般）</v>
      </c>
      <c r="D220" s="290" t="str">
        <f>IF(C220="","",VLOOKUP($B220,勘定科目!$A:$E,4,0))</f>
        <v>手数料</v>
      </c>
      <c r="E220" s="303"/>
      <c r="F220" s="214">
        <v>24500000</v>
      </c>
      <c r="G220" s="231">
        <v>18500000</v>
      </c>
      <c r="H220" s="214">
        <v>24500000</v>
      </c>
      <c r="I220" s="231">
        <v>18500000</v>
      </c>
      <c r="J220" s="214">
        <v>24500000</v>
      </c>
      <c r="K220" s="231">
        <v>18500000</v>
      </c>
      <c r="L220" s="214">
        <v>24500000</v>
      </c>
      <c r="M220" s="231">
        <v>18500000</v>
      </c>
      <c r="N220" s="214">
        <v>24500000</v>
      </c>
      <c r="O220" s="231">
        <v>18500000</v>
      </c>
      <c r="P220" s="214">
        <v>24500000</v>
      </c>
      <c r="Q220" s="231">
        <v>18500000</v>
      </c>
      <c r="R220" s="216">
        <f>SUM(F220:Q220)</f>
        <v>258000000</v>
      </c>
      <c r="S220" s="193" t="s">
        <v>989</v>
      </c>
      <c r="T220" s="151"/>
      <c r="U220" s="192" t="s">
        <v>721</v>
      </c>
      <c r="V220" s="160"/>
      <c r="W220" s="160"/>
      <c r="BA220"/>
      <c r="BB220"/>
    </row>
    <row r="221" spans="1:54" s="149" customFormat="1" ht="13.5">
      <c r="A221" s="146"/>
      <c r="B221" s="263"/>
      <c r="C221" s="273" t="str">
        <f>IFERROR(IF(VLOOKUP($B221,勘定科目!$A:$H,HLOOKUP($E$5,勘定科目!$F$1:$H$2,2,0),0)="","",VLOOKUP($B221,勘定科目!$A:$E,2,0)),"")</f>
        <v/>
      </c>
      <c r="D221" s="290" t="str">
        <f>IF(C221="","",VLOOKUP($B221,勘定科目!$A:$E,4,0))</f>
        <v/>
      </c>
      <c r="E221" s="303"/>
      <c r="F221" s="229"/>
      <c r="G221" s="23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16"/>
      <c r="S221" s="193"/>
      <c r="T221" s="151"/>
      <c r="U221" s="192"/>
      <c r="V221" s="160"/>
      <c r="W221" s="160"/>
      <c r="BA221"/>
      <c r="BB221"/>
    </row>
    <row r="222" spans="1:54" s="149" customFormat="1" ht="13.5">
      <c r="A222" s="146"/>
      <c r="B222" s="263">
        <v>6005136626</v>
      </c>
      <c r="C222" s="273" t="str">
        <f>IFERROR(IF(VLOOKUP($B222,勘定科目!$A:$H,HLOOKUP($E$5,勘定科目!$F$1:$H$2,2,0),0)="","",VLOOKUP($B222,勘定科目!$A:$E,2,0)),"")</f>
        <v>通信費（一般）</v>
      </c>
      <c r="D222" s="290" t="str">
        <f>IF(C222="","",VLOOKUP($B222,勘定科目!$A:$E,4,0))</f>
        <v>通信費</v>
      </c>
      <c r="E222" s="303"/>
      <c r="F222" s="229">
        <v>5823456</v>
      </c>
      <c r="G222" s="229">
        <v>5823456</v>
      </c>
      <c r="H222" s="229">
        <v>5823456</v>
      </c>
      <c r="I222" s="229">
        <v>5823456</v>
      </c>
      <c r="J222" s="229">
        <v>5823456</v>
      </c>
      <c r="K222" s="229">
        <v>5823456</v>
      </c>
      <c r="L222" s="229">
        <v>5823456</v>
      </c>
      <c r="M222" s="229">
        <v>5823456</v>
      </c>
      <c r="N222" s="229">
        <v>5823456</v>
      </c>
      <c r="O222" s="229">
        <v>5823456</v>
      </c>
      <c r="P222" s="229">
        <v>5823456</v>
      </c>
      <c r="Q222" s="229">
        <v>5823456</v>
      </c>
      <c r="R222" s="216">
        <f t="shared" ref="R222" si="14">SUM(F222:Q222)</f>
        <v>69881472</v>
      </c>
      <c r="S222" s="193" t="s">
        <v>745</v>
      </c>
      <c r="T222" s="151"/>
      <c r="U222" s="192" t="s">
        <v>734</v>
      </c>
      <c r="V222" s="160"/>
      <c r="W222" s="160"/>
      <c r="BA222"/>
      <c r="BB222"/>
    </row>
    <row r="223" spans="1:54" s="149" customFormat="1" ht="13.5">
      <c r="A223" s="146"/>
      <c r="B223" s="263">
        <v>6005136626</v>
      </c>
      <c r="C223" s="273" t="str">
        <f>IFERROR(IF(VLOOKUP($B223,勘定科目!$A:$H,HLOOKUP($E$5,勘定科目!$F$1:$H$2,2,0),0)="","",VLOOKUP($B223,勘定科目!$A:$E,2,0)),"")</f>
        <v>通信費（一般）</v>
      </c>
      <c r="D223" s="290" t="str">
        <f>IF(C223="","",VLOOKUP($B223,勘定科目!$A:$E,4,0))</f>
        <v>通信費</v>
      </c>
      <c r="E223" s="303"/>
      <c r="F223" s="229"/>
      <c r="G223" s="230"/>
      <c r="H223" s="230"/>
      <c r="I223" s="230"/>
      <c r="J223" s="230"/>
      <c r="K223" s="230"/>
      <c r="L223" s="230">
        <v>13700000</v>
      </c>
      <c r="M223" s="230"/>
      <c r="N223" s="230"/>
      <c r="O223" s="230"/>
      <c r="P223" s="230"/>
      <c r="Q223" s="230"/>
      <c r="R223" s="216">
        <f t="shared" ref="R223:R286" si="15">SUM(F223:Q223)</f>
        <v>13700000</v>
      </c>
      <c r="S223" s="193" t="s">
        <v>941</v>
      </c>
      <c r="T223" s="151"/>
      <c r="U223" s="192" t="s">
        <v>724</v>
      </c>
      <c r="V223" s="160"/>
      <c r="W223" s="160"/>
      <c r="BA223"/>
      <c r="BB223"/>
    </row>
    <row r="224" spans="1:54" s="149" customFormat="1" ht="13.5">
      <c r="A224" s="146"/>
      <c r="B224" s="263"/>
      <c r="C224" s="273" t="str">
        <f>IFERROR(IF(VLOOKUP($B224,勘定科目!$A:$H,HLOOKUP($E$5,勘定科目!$F$1:$H$2,2,0),0)="","",VLOOKUP($B224,勘定科目!$A:$E,2,0)),"")</f>
        <v/>
      </c>
      <c r="D224" s="290" t="str">
        <f>IF(C224="","",VLOOKUP($B224,勘定科目!$A:$E,4,0))</f>
        <v/>
      </c>
      <c r="E224" s="303"/>
      <c r="F224" s="229"/>
      <c r="G224" s="230"/>
      <c r="H224" s="230"/>
      <c r="I224" s="230"/>
      <c r="J224" s="230"/>
      <c r="K224" s="230"/>
      <c r="L224" s="230"/>
      <c r="M224" s="230"/>
      <c r="N224" s="230"/>
      <c r="O224" s="230"/>
      <c r="P224" s="230"/>
      <c r="Q224" s="230"/>
      <c r="R224" s="216"/>
      <c r="S224" s="193"/>
      <c r="T224" s="151"/>
      <c r="U224" s="192"/>
      <c r="V224" s="160"/>
      <c r="W224" s="160"/>
      <c r="BA224"/>
      <c r="BB224"/>
    </row>
    <row r="225" spans="1:54" s="149" customFormat="1" ht="13.5">
      <c r="A225" s="146"/>
      <c r="B225" s="263">
        <v>6005136657</v>
      </c>
      <c r="C225" s="273" t="str">
        <f>IFERROR(IF(VLOOKUP($B225,勘定科目!$A:$H,HLOOKUP($E$5,勘定科目!$F$1:$H$2,2,0),0)="","",VLOOKUP($B225,勘定科目!$A:$E,2,0)),"")</f>
        <v>郵送代（一般）</v>
      </c>
      <c r="D225" s="290" t="str">
        <f>IF(C225="","",VLOOKUP($B225,勘定科目!$A:$E,4,0))</f>
        <v>通信費</v>
      </c>
      <c r="E225" s="303"/>
      <c r="F225" s="229"/>
      <c r="G225" s="230"/>
      <c r="H225" s="230"/>
      <c r="I225" s="230"/>
      <c r="J225" s="230"/>
      <c r="K225" s="230"/>
      <c r="L225" s="230"/>
      <c r="M225" s="230"/>
      <c r="N225" s="230"/>
      <c r="O225" s="230"/>
      <c r="P225" s="230"/>
      <c r="Q225" s="230"/>
      <c r="R225" s="216">
        <f t="shared" si="15"/>
        <v>0</v>
      </c>
      <c r="S225" s="193" t="s">
        <v>746</v>
      </c>
      <c r="T225" s="151"/>
      <c r="U225" s="192" t="s">
        <v>734</v>
      </c>
      <c r="V225" s="160"/>
      <c r="W225" s="160"/>
      <c r="BA225"/>
      <c r="BB225"/>
    </row>
    <row r="226" spans="1:54" s="149" customFormat="1" ht="13.5">
      <c r="A226" s="146"/>
      <c r="B226" s="263"/>
      <c r="C226" s="273" t="str">
        <f>IFERROR(IF(VLOOKUP($B226,勘定科目!$A:$H,HLOOKUP($E$5,勘定科目!$F$1:$H$2,2,0),0)="","",VLOOKUP($B226,勘定科目!$A:$E,2,0)),"")</f>
        <v/>
      </c>
      <c r="D226" s="290" t="str">
        <f>IF(C226="","",VLOOKUP($B226,勘定科目!$A:$E,4,0))</f>
        <v/>
      </c>
      <c r="E226" s="303"/>
      <c r="F226" s="229"/>
      <c r="G226" s="230"/>
      <c r="H226" s="230"/>
      <c r="I226" s="230"/>
      <c r="J226" s="230"/>
      <c r="K226" s="230"/>
      <c r="L226" s="230"/>
      <c r="M226" s="230"/>
      <c r="N226" s="230"/>
      <c r="O226" s="230"/>
      <c r="P226" s="230"/>
      <c r="Q226" s="230"/>
      <c r="R226" s="216"/>
      <c r="S226" s="193"/>
      <c r="T226" s="151"/>
      <c r="U226" s="192"/>
      <c r="V226" s="160"/>
      <c r="W226" s="160"/>
      <c r="BA226"/>
      <c r="BB226"/>
    </row>
    <row r="227" spans="1:54" s="149" customFormat="1" ht="13.5">
      <c r="A227" s="146"/>
      <c r="B227" s="263">
        <v>7002048112</v>
      </c>
      <c r="C227" s="273" t="str">
        <f>IFERROR(IF(VLOOKUP($B227,勘定科目!$A:$H,HLOOKUP($E$5,勘定科目!$F$1:$H$2,2,0),0)="","",VLOOKUP($B227,勘定科目!$A:$E,2,0)),"")</f>
        <v>棚卸資産廃棄損</v>
      </c>
      <c r="D227" s="290" t="str">
        <f>IF(C227="","",VLOOKUP($B227,勘定科目!$A:$E,4,0))</f>
        <v>棚卸資産廃棄損</v>
      </c>
      <c r="E227" s="303"/>
      <c r="F227" s="229"/>
      <c r="G227" s="230"/>
      <c r="H227" s="230"/>
      <c r="I227" s="230"/>
      <c r="J227" s="230"/>
      <c r="K227" s="230"/>
      <c r="L227" s="230"/>
      <c r="M227" s="230"/>
      <c r="N227" s="230"/>
      <c r="O227" s="230"/>
      <c r="P227" s="230"/>
      <c r="Q227" s="230"/>
      <c r="R227" s="216">
        <f t="shared" si="15"/>
        <v>0</v>
      </c>
      <c r="S227" s="193"/>
      <c r="T227" s="151"/>
      <c r="U227" s="192"/>
      <c r="V227" s="160"/>
      <c r="W227" s="160"/>
      <c r="BA227"/>
      <c r="BB227"/>
    </row>
    <row r="228" spans="1:54" s="149" customFormat="1" ht="13.5">
      <c r="A228" s="146"/>
      <c r="B228" s="263"/>
      <c r="C228" s="273" t="str">
        <f>IFERROR(IF(VLOOKUP($B228,勘定科目!$A:$H,HLOOKUP($E$5,勘定科目!$F$1:$H$2,2,0),0)="","",VLOOKUP($B228,勘定科目!$A:$E,2,0)),"")</f>
        <v/>
      </c>
      <c r="D228" s="290" t="str">
        <f>IF(C228="","",VLOOKUP($B228,勘定科目!$A:$E,4,0))</f>
        <v/>
      </c>
      <c r="E228" s="303"/>
      <c r="F228" s="229"/>
      <c r="G228" s="230"/>
      <c r="H228" s="230"/>
      <c r="I228" s="230"/>
      <c r="J228" s="230"/>
      <c r="K228" s="230"/>
      <c r="L228" s="230"/>
      <c r="M228" s="230"/>
      <c r="N228" s="230"/>
      <c r="O228" s="230"/>
      <c r="P228" s="230"/>
      <c r="Q228" s="230"/>
      <c r="R228" s="216"/>
      <c r="S228" s="193"/>
      <c r="T228" s="151"/>
      <c r="U228" s="192"/>
      <c r="V228" s="160"/>
      <c r="W228" s="160"/>
      <c r="BA228"/>
      <c r="BB228"/>
    </row>
    <row r="229" spans="1:54" s="149" customFormat="1" ht="13.5">
      <c r="A229" s="146"/>
      <c r="B229" s="263">
        <v>6004086653</v>
      </c>
      <c r="C229" s="273" t="str">
        <f>IFERROR(IF(VLOOKUP($B229,勘定科目!$A:$H,HLOOKUP($E$5,勘定科目!$F$1:$H$2,2,0),0)="","",VLOOKUP($B229,勘定科目!$A:$E,2,0)),"")</f>
        <v>教育訓練費（一般）</v>
      </c>
      <c r="D229" s="290" t="str">
        <f>IF(C229="","",VLOOKUP($B229,勘定科目!$A:$E,4,0))</f>
        <v>募集教育費</v>
      </c>
      <c r="E229" s="303"/>
      <c r="F229" s="229"/>
      <c r="G229" s="230"/>
      <c r="H229" s="230"/>
      <c r="I229" s="230"/>
      <c r="J229" s="230"/>
      <c r="K229" s="230"/>
      <c r="L229" s="230"/>
      <c r="M229" s="230"/>
      <c r="N229" s="230"/>
      <c r="O229" s="230"/>
      <c r="P229" s="230"/>
      <c r="Q229" s="230"/>
      <c r="R229" s="216">
        <f t="shared" si="15"/>
        <v>0</v>
      </c>
      <c r="S229" s="193"/>
      <c r="T229" s="151"/>
      <c r="U229" s="192"/>
      <c r="V229" s="160"/>
      <c r="W229" s="160"/>
      <c r="BA229"/>
      <c r="BB229"/>
    </row>
    <row r="230" spans="1:54" s="149" customFormat="1" ht="13.5">
      <c r="A230" s="146"/>
      <c r="B230" s="263"/>
      <c r="C230" s="273" t="str">
        <f>IFERROR(IF(VLOOKUP($B230,勘定科目!$A:$H,HLOOKUP($E$5,勘定科目!$F$1:$H$2,2,0),0)="","",VLOOKUP($B230,勘定科目!$A:$E,2,0)),"")</f>
        <v/>
      </c>
      <c r="D230" s="290" t="str">
        <f>IF(C230="","",VLOOKUP($B230,勘定科目!$A:$E,4,0))</f>
        <v/>
      </c>
      <c r="E230" s="303"/>
      <c r="F230" s="229"/>
      <c r="G230" s="230"/>
      <c r="H230" s="230"/>
      <c r="I230" s="230"/>
      <c r="J230" s="230"/>
      <c r="K230" s="230"/>
      <c r="L230" s="230"/>
      <c r="M230" s="230"/>
      <c r="N230" s="230"/>
      <c r="O230" s="230"/>
      <c r="P230" s="230"/>
      <c r="Q230" s="230"/>
      <c r="R230" s="216"/>
      <c r="S230" s="193"/>
      <c r="T230" s="151"/>
      <c r="U230" s="192"/>
      <c r="V230" s="160"/>
      <c r="W230" s="160"/>
      <c r="BA230"/>
      <c r="BB230"/>
    </row>
    <row r="231" spans="1:54" s="149" customFormat="1" ht="13.5">
      <c r="A231" s="146"/>
      <c r="B231" s="263">
        <v>6005216632</v>
      </c>
      <c r="C231" s="273" t="str">
        <f>IFERROR(IF(VLOOKUP($B231,勘定科目!$A:$H,HLOOKUP($E$5,勘定科目!$F$1:$H$2,2,0),0)="","",VLOOKUP($B231,勘定科目!$A:$E,2,0)),"")</f>
        <v>委嘱報酬・設計委託費（一般）</v>
      </c>
      <c r="D231" s="290" t="str">
        <f>IF(C231="","",VLOOKUP($B231,勘定科目!$A:$E,4,0))</f>
        <v>委嘱報酬</v>
      </c>
      <c r="E231" s="303"/>
      <c r="F231" s="229"/>
      <c r="G231" s="230"/>
      <c r="H231" s="230"/>
      <c r="I231" s="230"/>
      <c r="J231" s="230"/>
      <c r="K231" s="230"/>
      <c r="L231" s="230"/>
      <c r="M231" s="230"/>
      <c r="N231" s="230"/>
      <c r="O231" s="230"/>
      <c r="P231" s="230"/>
      <c r="Q231" s="230"/>
      <c r="R231" s="216">
        <f t="shared" si="15"/>
        <v>0</v>
      </c>
      <c r="S231" s="193"/>
      <c r="T231" s="151"/>
      <c r="U231" s="192"/>
      <c r="V231" s="160"/>
      <c r="W231" s="160"/>
      <c r="BA231"/>
      <c r="BB231"/>
    </row>
    <row r="232" spans="1:54" s="149" customFormat="1" ht="13.5">
      <c r="A232" s="146"/>
      <c r="B232" s="263"/>
      <c r="C232" s="273" t="str">
        <f>IFERROR(IF(VLOOKUP($B232,勘定科目!$A:$H,HLOOKUP($E$5,勘定科目!$F$1:$H$2,2,0),0)="","",VLOOKUP($B232,勘定科目!$A:$E,2,0)),"")</f>
        <v/>
      </c>
      <c r="D232" s="290" t="str">
        <f>IF(C232="","",VLOOKUP($B232,勘定科目!$A:$E,4,0))</f>
        <v/>
      </c>
      <c r="E232" s="303"/>
      <c r="F232" s="229"/>
      <c r="G232" s="230"/>
      <c r="H232" s="230"/>
      <c r="I232" s="230"/>
      <c r="J232" s="230"/>
      <c r="K232" s="230"/>
      <c r="L232" s="230"/>
      <c r="M232" s="230"/>
      <c r="N232" s="230"/>
      <c r="O232" s="230"/>
      <c r="P232" s="230"/>
      <c r="Q232" s="230"/>
      <c r="R232" s="216"/>
      <c r="S232" s="193"/>
      <c r="T232" s="151"/>
      <c r="U232" s="192"/>
      <c r="V232" s="160"/>
      <c r="W232" s="160"/>
      <c r="BA232"/>
      <c r="BB232"/>
    </row>
    <row r="233" spans="1:54" s="149" customFormat="1" ht="13.5">
      <c r="A233" s="146"/>
      <c r="B233" s="263">
        <v>6006016628</v>
      </c>
      <c r="C233" s="273" t="str">
        <f>IFERROR(IF(VLOOKUP($B233,勘定科目!$A:$H,HLOOKUP($E$5,勘定科目!$F$1:$H$2,2,0),0)="","",VLOOKUP($B233,勘定科目!$A:$E,2,0)),"")</f>
        <v>減価償却費配賦（一般）　建物</v>
      </c>
      <c r="D233" s="290" t="str">
        <f>IF(C233="","",VLOOKUP($B233,勘定科目!$A:$E,4,0))</f>
        <v>減価償却費</v>
      </c>
      <c r="E233" s="303"/>
      <c r="F233" s="229">
        <v>1344889765</v>
      </c>
      <c r="G233" s="230">
        <v>1344827306</v>
      </c>
      <c r="H233" s="230">
        <v>1344858282</v>
      </c>
      <c r="I233" s="230">
        <v>1344850919</v>
      </c>
      <c r="J233" s="230">
        <v>1344848380</v>
      </c>
      <c r="K233" s="230">
        <v>1344745296</v>
      </c>
      <c r="L233" s="230">
        <v>1344756722</v>
      </c>
      <c r="M233" s="230">
        <v>1344755198</v>
      </c>
      <c r="N233" s="230">
        <v>1344756976</v>
      </c>
      <c r="O233" s="230">
        <v>1344754437</v>
      </c>
      <c r="P233" s="230">
        <v>1344750120</v>
      </c>
      <c r="Q233" s="230">
        <v>1344754437</v>
      </c>
      <c r="R233" s="216">
        <f t="shared" si="15"/>
        <v>16137547838</v>
      </c>
      <c r="S233" s="193" t="s">
        <v>747</v>
      </c>
      <c r="T233" s="151"/>
      <c r="U233" s="192" t="s">
        <v>748</v>
      </c>
      <c r="V233" s="160"/>
      <c r="W233" s="160"/>
      <c r="BA233"/>
      <c r="BB233"/>
    </row>
    <row r="234" spans="1:54" s="149" customFormat="1" ht="13.5">
      <c r="A234" s="146"/>
      <c r="B234" s="263"/>
      <c r="C234" s="273" t="str">
        <f>IFERROR(IF(VLOOKUP($B234,勘定科目!$A:$H,HLOOKUP($E$5,勘定科目!$F$1:$H$2,2,0),0)="","",VLOOKUP($B234,勘定科目!$A:$E,2,0)),"")</f>
        <v/>
      </c>
      <c r="D234" s="290" t="str">
        <f>IF(C234="","",VLOOKUP($B234,勘定科目!$A:$E,4,0))</f>
        <v/>
      </c>
      <c r="E234" s="303"/>
      <c r="F234" s="229"/>
      <c r="G234" s="230"/>
      <c r="H234" s="230"/>
      <c r="I234" s="230"/>
      <c r="J234" s="230"/>
      <c r="K234" s="230"/>
      <c r="L234" s="230"/>
      <c r="M234" s="230"/>
      <c r="N234" s="230"/>
      <c r="O234" s="230"/>
      <c r="P234" s="230"/>
      <c r="Q234" s="230"/>
      <c r="R234" s="216"/>
      <c r="S234" s="193"/>
      <c r="T234" s="151"/>
      <c r="U234" s="192"/>
      <c r="V234" s="160"/>
      <c r="W234" s="160"/>
      <c r="BA234"/>
      <c r="BB234"/>
    </row>
    <row r="235" spans="1:54" s="149" customFormat="1" ht="13.5">
      <c r="A235" s="146"/>
      <c r="B235" s="317">
        <v>6006016612</v>
      </c>
      <c r="C235" s="273" t="str">
        <f>IFERROR(IF(VLOOKUP($B235,勘定科目!$A:$H,HLOOKUP($E$5,勘定科目!$F$1:$H$2,2,0),0)="","",VLOOKUP($B235,勘定科目!$A:$E,2,0)),"")</f>
        <v>減価償却費（一般）　車輌運搬具</v>
      </c>
      <c r="D235" s="290" t="str">
        <f>IF(C235="","",VLOOKUP($B235,勘定科目!$A:$E,4,0))</f>
        <v>減価償却費</v>
      </c>
      <c r="E235" s="303"/>
      <c r="F235" s="229">
        <v>62630783</v>
      </c>
      <c r="G235" s="229">
        <v>62630783</v>
      </c>
      <c r="H235" s="229">
        <v>62630783</v>
      </c>
      <c r="I235" s="229">
        <v>62630783</v>
      </c>
      <c r="J235" s="229">
        <v>62630783</v>
      </c>
      <c r="K235" s="229">
        <v>62630783</v>
      </c>
      <c r="L235" s="230">
        <v>18109418</v>
      </c>
      <c r="M235" s="230">
        <v>0</v>
      </c>
      <c r="N235" s="230"/>
      <c r="O235" s="230"/>
      <c r="P235" s="230"/>
      <c r="Q235" s="230"/>
      <c r="R235" s="216">
        <f t="shared" si="15"/>
        <v>393894116</v>
      </c>
      <c r="S235" s="193" t="s">
        <v>942</v>
      </c>
      <c r="T235" s="151"/>
      <c r="U235" s="192" t="s">
        <v>749</v>
      </c>
      <c r="V235" s="160"/>
      <c r="W235" s="160"/>
      <c r="BA235"/>
      <c r="BB235"/>
    </row>
    <row r="236" spans="1:54" s="149" customFormat="1" ht="13.5">
      <c r="A236" s="146"/>
      <c r="B236" s="263"/>
      <c r="C236" s="273" t="str">
        <f>IFERROR(IF(VLOOKUP($B236,勘定科目!$A:$H,HLOOKUP($E$5,勘定科目!$F$1:$H$2,2,0),0)="","",VLOOKUP($B236,勘定科目!$A:$E,2,0)),"")</f>
        <v/>
      </c>
      <c r="D236" s="290" t="str">
        <f>IF(C236="","",VLOOKUP($B236,勘定科目!$A:$E,4,0))</f>
        <v/>
      </c>
      <c r="E236" s="303"/>
      <c r="F236" s="229"/>
      <c r="G236" s="230"/>
      <c r="H236" s="230"/>
      <c r="I236" s="230"/>
      <c r="J236" s="230"/>
      <c r="K236" s="230"/>
      <c r="L236" s="230"/>
      <c r="M236" s="230"/>
      <c r="N236" s="230"/>
      <c r="O236" s="230"/>
      <c r="P236" s="230"/>
      <c r="Q236" s="230"/>
      <c r="R236" s="216"/>
      <c r="S236" s="193"/>
      <c r="T236" s="151"/>
      <c r="U236" s="192"/>
      <c r="V236" s="160"/>
      <c r="W236" s="160"/>
      <c r="BA236"/>
      <c r="BB236"/>
    </row>
    <row r="237" spans="1:54" s="149" customFormat="1" ht="13.5">
      <c r="A237" s="146"/>
      <c r="B237" s="263">
        <v>6006016614</v>
      </c>
      <c r="C237" s="273" t="str">
        <f>IFERROR(IF(VLOOKUP($B237,勘定科目!$A:$H,HLOOKUP($E$5,勘定科目!$F$1:$H$2,2,0),0)="","",VLOOKUP($B237,勘定科目!$A:$E,2,0)),"")</f>
        <v>減価償却費（一般）　構築物</v>
      </c>
      <c r="D237" s="290" t="str">
        <f>IF(C237="","",VLOOKUP($B237,勘定科目!$A:$E,4,0))</f>
        <v>減価償却費</v>
      </c>
      <c r="E237" s="303"/>
      <c r="F237" s="229">
        <v>71943835</v>
      </c>
      <c r="G237" s="229">
        <v>71943835</v>
      </c>
      <c r="H237" s="229">
        <v>71943835</v>
      </c>
      <c r="I237" s="229">
        <v>71943835</v>
      </c>
      <c r="J237" s="229">
        <v>71943835</v>
      </c>
      <c r="K237" s="229">
        <v>71943835</v>
      </c>
      <c r="L237" s="229">
        <v>71943835</v>
      </c>
      <c r="M237" s="229">
        <v>71943835</v>
      </c>
      <c r="N237" s="229">
        <v>71943835</v>
      </c>
      <c r="O237" s="229">
        <v>71943835</v>
      </c>
      <c r="P237" s="229">
        <v>71943835</v>
      </c>
      <c r="Q237" s="229">
        <v>71943835</v>
      </c>
      <c r="R237" s="216">
        <f t="shared" si="15"/>
        <v>863326020</v>
      </c>
      <c r="S237" s="193" t="s">
        <v>750</v>
      </c>
      <c r="T237" s="151"/>
      <c r="U237" s="192" t="s">
        <v>749</v>
      </c>
      <c r="V237" s="160"/>
      <c r="W237" s="160"/>
      <c r="BA237"/>
      <c r="BB237"/>
    </row>
    <row r="238" spans="1:54" s="149" customFormat="1" ht="13.5">
      <c r="A238" s="146"/>
      <c r="B238" s="263">
        <v>6006016614</v>
      </c>
      <c r="C238" s="273" t="str">
        <f>IFERROR(IF(VLOOKUP($B238,勘定科目!$A:$H,HLOOKUP($E$5,勘定科目!$F$1:$H$2,2,0),0)="","",VLOOKUP($B238,勘定科目!$A:$E,2,0)),"")</f>
        <v>減価償却費（一般）　構築物</v>
      </c>
      <c r="D238" s="290" t="str">
        <f>IF(C238="","",VLOOKUP($B238,勘定科目!$A:$E,4,0))</f>
        <v>減価償却費</v>
      </c>
      <c r="E238" s="303"/>
      <c r="F238" s="229"/>
      <c r="G238" s="230"/>
      <c r="H238" s="230"/>
      <c r="I238" s="230"/>
      <c r="J238" s="230"/>
      <c r="K238" s="230"/>
      <c r="L238" s="230"/>
      <c r="M238" s="230"/>
      <c r="N238" s="230"/>
      <c r="O238" s="230"/>
      <c r="P238" s="230"/>
      <c r="Q238" s="230"/>
      <c r="R238" s="216">
        <f t="shared" si="15"/>
        <v>0</v>
      </c>
      <c r="S238" s="193" t="s">
        <v>751</v>
      </c>
      <c r="T238" s="151"/>
      <c r="U238" s="192" t="s">
        <v>749</v>
      </c>
      <c r="V238" s="160"/>
      <c r="W238" s="160"/>
      <c r="BA238"/>
      <c r="BB238"/>
    </row>
    <row r="239" spans="1:54" s="149" customFormat="1" ht="13.5">
      <c r="A239" s="146"/>
      <c r="B239" s="263">
        <v>6006016614</v>
      </c>
      <c r="C239" s="273" t="str">
        <f>IFERROR(IF(VLOOKUP($B239,勘定科目!$A:$H,HLOOKUP($E$5,勘定科目!$F$1:$H$2,2,0),0)="","",VLOOKUP($B239,勘定科目!$A:$E,2,0)),"")</f>
        <v>減価償却費（一般）　構築物</v>
      </c>
      <c r="D239" s="290" t="str">
        <f>IF(C239="","",VLOOKUP($B239,勘定科目!$A:$E,4,0))</f>
        <v>減価償却費</v>
      </c>
      <c r="E239" s="303"/>
      <c r="F239" s="229"/>
      <c r="G239" s="230"/>
      <c r="H239" s="230"/>
      <c r="I239" s="230"/>
      <c r="J239" s="230"/>
      <c r="K239" s="230"/>
      <c r="L239" s="230"/>
      <c r="M239" s="230"/>
      <c r="N239" s="230"/>
      <c r="O239" s="230"/>
      <c r="P239" s="230"/>
      <c r="Q239" s="230"/>
      <c r="R239" s="216">
        <f t="shared" si="15"/>
        <v>0</v>
      </c>
      <c r="S239" s="193" t="s">
        <v>752</v>
      </c>
      <c r="T239" s="151"/>
      <c r="U239" s="192" t="s">
        <v>749</v>
      </c>
      <c r="V239" s="160"/>
      <c r="W239" s="160"/>
      <c r="BA239"/>
      <c r="BB239"/>
    </row>
    <row r="240" spans="1:54" s="149" customFormat="1" ht="13.5">
      <c r="A240" s="146"/>
      <c r="B240" s="263">
        <v>6006016614</v>
      </c>
      <c r="C240" s="273" t="str">
        <f>IFERROR(IF(VLOOKUP($B240,勘定科目!$A:$H,HLOOKUP($E$5,勘定科目!$F$1:$H$2,2,0),0)="","",VLOOKUP($B240,勘定科目!$A:$E,2,0)),"")</f>
        <v>減価償却費（一般）　構築物</v>
      </c>
      <c r="D240" s="290" t="str">
        <f>IF(C240="","",VLOOKUP($B240,勘定科目!$A:$E,4,0))</f>
        <v>減価償却費</v>
      </c>
      <c r="E240" s="303"/>
      <c r="F240" s="229"/>
      <c r="G240" s="230"/>
      <c r="H240" s="230"/>
      <c r="I240" s="230"/>
      <c r="J240" s="230"/>
      <c r="K240" s="230"/>
      <c r="L240" s="230"/>
      <c r="M240" s="230"/>
      <c r="N240" s="230"/>
      <c r="O240" s="230"/>
      <c r="P240" s="230"/>
      <c r="Q240" s="230"/>
      <c r="R240" s="216">
        <f t="shared" si="15"/>
        <v>0</v>
      </c>
      <c r="S240" s="193" t="s">
        <v>753</v>
      </c>
      <c r="T240" s="151"/>
      <c r="U240" s="192" t="s">
        <v>749</v>
      </c>
      <c r="V240" s="160"/>
      <c r="W240" s="160"/>
      <c r="BA240"/>
      <c r="BB240"/>
    </row>
    <row r="241" spans="1:54" s="149" customFormat="1" ht="13.5">
      <c r="A241" s="146"/>
      <c r="B241" s="263">
        <v>6006016614</v>
      </c>
      <c r="C241" s="273" t="str">
        <f>IFERROR(IF(VLOOKUP($B241,勘定科目!$A:$H,HLOOKUP($E$5,勘定科目!$F$1:$H$2,2,0),0)="","",VLOOKUP($B241,勘定科目!$A:$E,2,0)),"")</f>
        <v>減価償却費（一般）　構築物</v>
      </c>
      <c r="D241" s="290" t="str">
        <f>IF(C241="","",VLOOKUP($B241,勘定科目!$A:$E,4,0))</f>
        <v>減価償却費</v>
      </c>
      <c r="E241" s="303"/>
      <c r="F241" s="229"/>
      <c r="G241" s="230"/>
      <c r="H241" s="230"/>
      <c r="I241" s="230"/>
      <c r="J241" s="230"/>
      <c r="K241" s="230"/>
      <c r="L241" s="230"/>
      <c r="M241" s="230"/>
      <c r="N241" s="230"/>
      <c r="O241" s="230"/>
      <c r="P241" s="230"/>
      <c r="Q241" s="230"/>
      <c r="R241" s="216">
        <f t="shared" si="15"/>
        <v>0</v>
      </c>
      <c r="S241" s="193" t="s">
        <v>754</v>
      </c>
      <c r="T241" s="151"/>
      <c r="U241" s="192" t="s">
        <v>749</v>
      </c>
      <c r="V241" s="160"/>
      <c r="W241" s="160"/>
      <c r="BA241"/>
      <c r="BB241"/>
    </row>
    <row r="242" spans="1:54" s="149" customFormat="1" ht="13.5">
      <c r="A242" s="146"/>
      <c r="B242" s="263">
        <v>6006016614</v>
      </c>
      <c r="C242" s="273" t="str">
        <f>IFERROR(IF(VLOOKUP($B242,勘定科目!$A:$H,HLOOKUP($E$5,勘定科目!$F$1:$H$2,2,0),0)="","",VLOOKUP($B242,勘定科目!$A:$E,2,0)),"")</f>
        <v>減価償却費（一般）　構築物</v>
      </c>
      <c r="D242" s="290" t="str">
        <f>IF(C242="","",VLOOKUP($B242,勘定科目!$A:$E,4,0))</f>
        <v>減価償却費</v>
      </c>
      <c r="E242" s="303"/>
      <c r="F242" s="229"/>
      <c r="G242" s="230"/>
      <c r="H242" s="230"/>
      <c r="I242" s="230"/>
      <c r="J242" s="230"/>
      <c r="K242" s="230"/>
      <c r="L242" s="230"/>
      <c r="M242" s="230"/>
      <c r="N242" s="230"/>
      <c r="O242" s="230"/>
      <c r="P242" s="230"/>
      <c r="Q242" s="230"/>
      <c r="R242" s="216">
        <f t="shared" si="15"/>
        <v>0</v>
      </c>
      <c r="S242" s="193" t="s">
        <v>755</v>
      </c>
      <c r="T242" s="151"/>
      <c r="U242" s="192" t="s">
        <v>749</v>
      </c>
      <c r="V242" s="160"/>
      <c r="W242" s="160"/>
      <c r="BA242"/>
      <c r="BB242"/>
    </row>
    <row r="243" spans="1:54" s="149" customFormat="1" ht="13.5">
      <c r="A243" s="146"/>
      <c r="B243" s="263">
        <v>6006016614</v>
      </c>
      <c r="C243" s="273" t="str">
        <f>IFERROR(IF(VLOOKUP($B243,勘定科目!$A:$H,HLOOKUP($E$5,勘定科目!$F$1:$H$2,2,0),0)="","",VLOOKUP($B243,勘定科目!$A:$E,2,0)),"")</f>
        <v>減価償却費（一般）　構築物</v>
      </c>
      <c r="D243" s="290" t="str">
        <f>IF(C243="","",VLOOKUP($B243,勘定科目!$A:$E,4,0))</f>
        <v>減価償却費</v>
      </c>
      <c r="E243" s="303"/>
      <c r="F243" s="229"/>
      <c r="G243" s="230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16">
        <f t="shared" si="15"/>
        <v>0</v>
      </c>
      <c r="S243" s="193" t="s">
        <v>756</v>
      </c>
      <c r="T243" s="151"/>
      <c r="U243" s="192" t="s">
        <v>749</v>
      </c>
      <c r="V243" s="160"/>
      <c r="W243" s="160"/>
      <c r="BA243"/>
      <c r="BB243"/>
    </row>
    <row r="244" spans="1:54" s="149" customFormat="1" ht="13.5">
      <c r="A244" s="146"/>
      <c r="B244" s="263">
        <v>6006016614</v>
      </c>
      <c r="C244" s="273" t="str">
        <f>IFERROR(IF(VLOOKUP($B244,勘定科目!$A:$H,HLOOKUP($E$5,勘定科目!$F$1:$H$2,2,0),0)="","",VLOOKUP($B244,勘定科目!$A:$E,2,0)),"")</f>
        <v>減価償却費（一般）　構築物</v>
      </c>
      <c r="D244" s="290" t="str">
        <f>IF(C244="","",VLOOKUP($B244,勘定科目!$A:$E,4,0))</f>
        <v>減価償却費</v>
      </c>
      <c r="E244" s="303"/>
      <c r="F244" s="229">
        <v>5848840</v>
      </c>
      <c r="G244" s="229">
        <v>5848840</v>
      </c>
      <c r="H244" s="229">
        <v>5848840</v>
      </c>
      <c r="I244" s="229">
        <v>5848840</v>
      </c>
      <c r="J244" s="229">
        <v>5848840</v>
      </c>
      <c r="K244" s="229">
        <v>5848840</v>
      </c>
      <c r="L244" s="229">
        <v>5848840</v>
      </c>
      <c r="M244" s="229">
        <v>5848840</v>
      </c>
      <c r="N244" s="229">
        <v>5848840</v>
      </c>
      <c r="O244" s="229">
        <v>5848840</v>
      </c>
      <c r="P244" s="229">
        <v>5848840</v>
      </c>
      <c r="Q244" s="229">
        <v>5848840</v>
      </c>
      <c r="R244" s="216">
        <f t="shared" si="15"/>
        <v>70186080</v>
      </c>
      <c r="S244" s="193" t="s">
        <v>757</v>
      </c>
      <c r="T244" s="151"/>
      <c r="U244" s="192" t="s">
        <v>749</v>
      </c>
      <c r="V244" s="160"/>
      <c r="W244" s="160"/>
      <c r="BA244"/>
      <c r="BB244"/>
    </row>
    <row r="245" spans="1:54" s="149" customFormat="1" ht="13.5">
      <c r="A245" s="146"/>
      <c r="B245" s="315">
        <v>6006016614</v>
      </c>
      <c r="C245" s="273" t="str">
        <f>IFERROR(IF(VLOOKUP($B245,勘定科目!$A:$H,HLOOKUP($E$5,勘定科目!$F$1:$H$2,2,0),0)="","",VLOOKUP($B245,勘定科目!$A:$E,2,0)),"")</f>
        <v>減価償却費（一般）　構築物</v>
      </c>
      <c r="D245" s="290" t="str">
        <f>IF(C245="","",VLOOKUP($B245,勘定科目!$A:$E,4,0))</f>
        <v>減価償却費</v>
      </c>
      <c r="E245" s="303"/>
      <c r="F245" s="229"/>
      <c r="G245" s="230">
        <v>4583333</v>
      </c>
      <c r="H245" s="230">
        <v>4583333</v>
      </c>
      <c r="I245" s="230">
        <v>4583333</v>
      </c>
      <c r="J245" s="230">
        <v>4583333</v>
      </c>
      <c r="K245" s="230">
        <v>4583333</v>
      </c>
      <c r="L245" s="230">
        <v>4583333</v>
      </c>
      <c r="M245" s="230">
        <v>4583333</v>
      </c>
      <c r="N245" s="230">
        <v>4583333</v>
      </c>
      <c r="O245" s="230">
        <v>4583333</v>
      </c>
      <c r="P245" s="230">
        <v>4583333</v>
      </c>
      <c r="Q245" s="230">
        <v>4583333</v>
      </c>
      <c r="R245" s="216">
        <f t="shared" ref="R245" si="16">SUM(F245:Q245)</f>
        <v>50416663</v>
      </c>
      <c r="S245" s="316" t="s">
        <v>877</v>
      </c>
      <c r="T245" s="151"/>
      <c r="U245" s="192" t="s">
        <v>749</v>
      </c>
      <c r="V245" s="160"/>
      <c r="W245" s="160"/>
      <c r="BA245"/>
      <c r="BB245"/>
    </row>
    <row r="246" spans="1:54" s="149" customFormat="1" ht="13.5">
      <c r="A246" s="146"/>
      <c r="B246" s="263"/>
      <c r="C246" s="273"/>
      <c r="D246" s="290"/>
      <c r="E246" s="303"/>
      <c r="F246" s="229"/>
      <c r="G246" s="230"/>
      <c r="H246" s="230"/>
      <c r="I246" s="230"/>
      <c r="J246" s="230"/>
      <c r="K246" s="230"/>
      <c r="L246" s="230"/>
      <c r="M246" s="230"/>
      <c r="N246" s="230"/>
      <c r="O246" s="230"/>
      <c r="P246" s="230"/>
      <c r="Q246" s="230"/>
      <c r="R246" s="216"/>
      <c r="S246" s="193"/>
      <c r="T246" s="151"/>
      <c r="U246" s="192"/>
      <c r="V246" s="160"/>
      <c r="W246" s="160"/>
      <c r="BA246"/>
      <c r="BB246"/>
    </row>
    <row r="247" spans="1:54" s="149" customFormat="1" ht="13.5">
      <c r="A247" s="146"/>
      <c r="B247" s="263">
        <v>6006016613</v>
      </c>
      <c r="C247" s="273" t="str">
        <f>IFERROR(IF(VLOOKUP($B247,勘定科目!$A:$H,HLOOKUP($E$5,勘定科目!$F$1:$H$2,2,0),0)="","",VLOOKUP($B247,勘定科目!$A:$E,2,0)),"")</f>
        <v>減価償却費（一般）　工具器具備品</v>
      </c>
      <c r="D247" s="290" t="str">
        <f>IF(C247="","",VLOOKUP($B247,勘定科目!$A:$E,4,0))</f>
        <v>減価償却費</v>
      </c>
      <c r="E247" s="303"/>
      <c r="F247" s="229">
        <v>6784970</v>
      </c>
      <c r="G247" s="229">
        <v>6784970</v>
      </c>
      <c r="H247" s="229">
        <v>6784970</v>
      </c>
      <c r="I247" s="229">
        <v>6784970</v>
      </c>
      <c r="J247" s="229">
        <v>6784970</v>
      </c>
      <c r="K247" s="229">
        <v>6784970</v>
      </c>
      <c r="L247" s="229">
        <v>6784970</v>
      </c>
      <c r="M247" s="229">
        <v>6784970</v>
      </c>
      <c r="N247" s="229">
        <v>6784970</v>
      </c>
      <c r="O247" s="229">
        <v>6784970</v>
      </c>
      <c r="P247" s="229">
        <v>6784970</v>
      </c>
      <c r="Q247" s="229">
        <v>6784970</v>
      </c>
      <c r="R247" s="216">
        <f t="shared" si="15"/>
        <v>81419640</v>
      </c>
      <c r="S247" s="193" t="s">
        <v>943</v>
      </c>
      <c r="T247" s="151"/>
      <c r="U247" s="192" t="s">
        <v>749</v>
      </c>
      <c r="V247" s="160"/>
      <c r="W247" s="160"/>
      <c r="BA247"/>
      <c r="BB247"/>
    </row>
    <row r="248" spans="1:54" s="149" customFormat="1" ht="13.5">
      <c r="A248" s="146"/>
      <c r="B248" s="317">
        <v>6006016613</v>
      </c>
      <c r="C248" s="273" t="str">
        <f>IFERROR(IF(VLOOKUP($B248,勘定科目!$A:$H,HLOOKUP($E$5,勘定科目!$F$1:$H$2,2,0),0)="","",VLOOKUP($B248,勘定科目!$A:$E,2,0)),"")</f>
        <v>減価償却費（一般）　工具器具備品</v>
      </c>
      <c r="D248" s="290" t="str">
        <f>IF(C248="","",VLOOKUP($B248,勘定科目!$A:$E,4,0))</f>
        <v>減価償却費</v>
      </c>
      <c r="E248" s="303"/>
      <c r="F248" s="229">
        <v>52306193</v>
      </c>
      <c r="G248" s="229">
        <v>52306193</v>
      </c>
      <c r="H248" s="229">
        <v>52306193</v>
      </c>
      <c r="I248" s="229">
        <v>52306193</v>
      </c>
      <c r="J248" s="229">
        <v>52306193</v>
      </c>
      <c r="K248" s="229">
        <v>52306193</v>
      </c>
      <c r="L248" s="230">
        <v>1884700</v>
      </c>
      <c r="M248" s="230">
        <v>0</v>
      </c>
      <c r="N248" s="230"/>
      <c r="O248" s="230"/>
      <c r="P248" s="230"/>
      <c r="Q248" s="230"/>
      <c r="R248" s="216">
        <f t="shared" si="15"/>
        <v>315721858</v>
      </c>
      <c r="S248" s="193" t="s">
        <v>944</v>
      </c>
      <c r="T248" s="151"/>
      <c r="U248" s="192" t="s">
        <v>749</v>
      </c>
      <c r="V248" s="160"/>
      <c r="W248" s="160"/>
      <c r="BA248"/>
      <c r="BB248"/>
    </row>
    <row r="249" spans="1:54" s="149" customFormat="1" ht="13.5">
      <c r="A249" s="146"/>
      <c r="B249" s="317">
        <v>6006016613</v>
      </c>
      <c r="C249" s="273" t="str">
        <f>IFERROR(IF(VLOOKUP($B249,勘定科目!$A:$H,HLOOKUP($E$5,勘定科目!$F$1:$H$2,2,0),0)="","",VLOOKUP($B249,勘定科目!$A:$E,2,0)),"")</f>
        <v>減価償却費（一般）　工具器具備品</v>
      </c>
      <c r="D249" s="290" t="str">
        <f>IF(C249="","",VLOOKUP($B249,勘定科目!$A:$E,4,0))</f>
        <v>減価償却費</v>
      </c>
      <c r="E249" s="303"/>
      <c r="F249" s="229">
        <v>17610504</v>
      </c>
      <c r="G249" s="229">
        <v>17610504</v>
      </c>
      <c r="H249" s="229">
        <v>17610504</v>
      </c>
      <c r="I249" s="229">
        <v>17610504</v>
      </c>
      <c r="J249" s="230">
        <v>634496</v>
      </c>
      <c r="K249" s="230">
        <v>0</v>
      </c>
      <c r="L249" s="230"/>
      <c r="M249" s="230"/>
      <c r="N249" s="230"/>
      <c r="O249" s="230"/>
      <c r="P249" s="230"/>
      <c r="Q249" s="230"/>
      <c r="R249" s="216">
        <f t="shared" si="15"/>
        <v>71076512</v>
      </c>
      <c r="S249" s="193" t="s">
        <v>945</v>
      </c>
      <c r="T249" s="151"/>
      <c r="U249" s="192" t="s">
        <v>749</v>
      </c>
      <c r="V249" s="160"/>
      <c r="W249" s="160"/>
      <c r="BA249"/>
      <c r="BB249"/>
    </row>
    <row r="250" spans="1:54" s="149" customFormat="1" ht="13.5">
      <c r="A250" s="146"/>
      <c r="B250" s="317">
        <v>6006016613</v>
      </c>
      <c r="C250" s="273" t="str">
        <f>IFERROR(IF(VLOOKUP($B250,勘定科目!$A:$H,HLOOKUP($E$5,勘定科目!$F$1:$H$2,2,0),0)="","",VLOOKUP($B250,勘定科目!$A:$E,2,0)),"")</f>
        <v>減価償却費（一般）　工具器具備品</v>
      </c>
      <c r="D250" s="290" t="str">
        <f>IF(C250="","",VLOOKUP($B250,勘定科目!$A:$E,4,0))</f>
        <v>減価償却費</v>
      </c>
      <c r="E250" s="303"/>
      <c r="F250" s="229">
        <v>10278126</v>
      </c>
      <c r="G250" s="229">
        <v>10278126</v>
      </c>
      <c r="H250" s="229">
        <v>10278126</v>
      </c>
      <c r="I250" s="229">
        <v>10278126</v>
      </c>
      <c r="J250" s="229">
        <v>10278126</v>
      </c>
      <c r="K250" s="230">
        <v>370440</v>
      </c>
      <c r="L250" s="230">
        <v>0</v>
      </c>
      <c r="M250" s="230"/>
      <c r="N250" s="230"/>
      <c r="O250" s="230"/>
      <c r="P250" s="230"/>
      <c r="Q250" s="230"/>
      <c r="R250" s="216">
        <f t="shared" si="15"/>
        <v>51761070</v>
      </c>
      <c r="S250" s="193" t="s">
        <v>946</v>
      </c>
      <c r="T250" s="151"/>
      <c r="U250" s="192" t="s">
        <v>749</v>
      </c>
      <c r="V250" s="160"/>
      <c r="W250" s="160"/>
      <c r="BA250"/>
      <c r="BB250"/>
    </row>
    <row r="251" spans="1:54" s="149" customFormat="1" ht="13.5">
      <c r="A251" s="146"/>
      <c r="B251" s="263">
        <v>6006016613</v>
      </c>
      <c r="C251" s="273" t="str">
        <f>IFERROR(IF(VLOOKUP($B251,勘定科目!$A:$H,HLOOKUP($E$5,勘定科目!$F$1:$H$2,2,0),0)="","",VLOOKUP($B251,勘定科目!$A:$E,2,0)),"")</f>
        <v>減価償却費（一般）　工具器具備品</v>
      </c>
      <c r="D251" s="290" t="str">
        <f>IF(C251="","",VLOOKUP($B251,勘定科目!$A:$E,4,0))</f>
        <v>減価償却費</v>
      </c>
      <c r="E251" s="303"/>
      <c r="F251" s="229">
        <v>47359967</v>
      </c>
      <c r="G251" s="229">
        <v>47359967</v>
      </c>
      <c r="H251" s="229">
        <v>47359967</v>
      </c>
      <c r="I251" s="229">
        <v>47359967</v>
      </c>
      <c r="J251" s="229">
        <v>47359967</v>
      </c>
      <c r="K251" s="229">
        <v>47359967</v>
      </c>
      <c r="L251" s="229">
        <v>47359967</v>
      </c>
      <c r="M251" s="229">
        <v>47359967</v>
      </c>
      <c r="N251" s="229">
        <v>47359967</v>
      </c>
      <c r="O251" s="229">
        <v>47359967</v>
      </c>
      <c r="P251" s="229">
        <v>47359967</v>
      </c>
      <c r="Q251" s="229">
        <v>47359967</v>
      </c>
      <c r="R251" s="216">
        <f t="shared" si="15"/>
        <v>568319604</v>
      </c>
      <c r="S251" s="193" t="s">
        <v>758</v>
      </c>
      <c r="T251" s="151"/>
      <c r="U251" s="192" t="s">
        <v>749</v>
      </c>
      <c r="V251" s="160"/>
      <c r="W251" s="160"/>
      <c r="BA251"/>
      <c r="BB251"/>
    </row>
    <row r="252" spans="1:54" s="149" customFormat="1" ht="13.5">
      <c r="A252" s="146"/>
      <c r="B252" s="317">
        <v>6006016613</v>
      </c>
      <c r="C252" s="273" t="str">
        <f>IFERROR(IF(VLOOKUP($B252,勘定科目!$A:$H,HLOOKUP($E$5,勘定科目!$F$1:$H$2,2,0),0)="","",VLOOKUP($B252,勘定科目!$A:$E,2,0)),"")</f>
        <v>減価償却費（一般）　工具器具備品</v>
      </c>
      <c r="D252" s="290" t="str">
        <f>IF(C252="","",VLOOKUP($B252,勘定科目!$A:$E,4,0))</f>
        <v>減価償却費</v>
      </c>
      <c r="E252" s="303"/>
      <c r="F252" s="229">
        <v>4521959</v>
      </c>
      <c r="G252" s="230">
        <v>4521959</v>
      </c>
      <c r="H252" s="230">
        <v>4521959</v>
      </c>
      <c r="I252" s="230">
        <v>4521959</v>
      </c>
      <c r="J252" s="230">
        <v>4521959</v>
      </c>
      <c r="K252" s="230">
        <v>4521959</v>
      </c>
      <c r="L252" s="230">
        <v>4521959</v>
      </c>
      <c r="M252" s="230">
        <v>162750</v>
      </c>
      <c r="N252" s="230">
        <v>0</v>
      </c>
      <c r="O252" s="230"/>
      <c r="P252" s="230"/>
      <c r="Q252" s="230"/>
      <c r="R252" s="216">
        <f t="shared" si="15"/>
        <v>31816463</v>
      </c>
      <c r="S252" s="193" t="s">
        <v>951</v>
      </c>
      <c r="T252" s="151"/>
      <c r="U252" s="192" t="s">
        <v>749</v>
      </c>
      <c r="V252" s="160"/>
      <c r="W252" s="160"/>
      <c r="BA252"/>
      <c r="BB252"/>
    </row>
    <row r="253" spans="1:54" s="149" customFormat="1" ht="13.5">
      <c r="A253" s="146"/>
      <c r="B253" s="317">
        <v>6006016613</v>
      </c>
      <c r="C253" s="273" t="str">
        <f>IFERROR(IF(VLOOKUP($B253,勘定科目!$A:$H,HLOOKUP($E$5,勘定科目!$F$1:$H$2,2,0),0)="","",VLOOKUP($B253,勘定科目!$A:$E,2,0)),"")</f>
        <v>減価償却費（一般）　工具器具備品</v>
      </c>
      <c r="D253" s="290" t="str">
        <f>IF(C253="","",VLOOKUP($B253,勘定科目!$A:$E,4,0))</f>
        <v>減価償却費</v>
      </c>
      <c r="E253" s="303"/>
      <c r="F253" s="229">
        <v>1017123</v>
      </c>
      <c r="G253" s="229">
        <v>1017123</v>
      </c>
      <c r="H253" s="229">
        <v>1017123</v>
      </c>
      <c r="I253" s="229">
        <v>1017123</v>
      </c>
      <c r="J253" s="229">
        <v>1017123</v>
      </c>
      <c r="K253" s="229">
        <v>1017123</v>
      </c>
      <c r="L253" s="229">
        <v>1017123</v>
      </c>
      <c r="M253" s="230">
        <v>36308</v>
      </c>
      <c r="N253" s="230">
        <v>0</v>
      </c>
      <c r="O253" s="230"/>
      <c r="P253" s="230"/>
      <c r="Q253" s="230"/>
      <c r="R253" s="216">
        <f t="shared" si="15"/>
        <v>7156169</v>
      </c>
      <c r="S253" s="193" t="s">
        <v>947</v>
      </c>
      <c r="T253" s="151"/>
      <c r="U253" s="192" t="s">
        <v>749</v>
      </c>
      <c r="V253" s="160"/>
      <c r="W253" s="160"/>
      <c r="BA253"/>
      <c r="BB253"/>
    </row>
    <row r="254" spans="1:54" s="149" customFormat="1" ht="13.5">
      <c r="A254" s="146"/>
      <c r="B254" s="317">
        <v>6006016613</v>
      </c>
      <c r="C254" s="273" t="str">
        <f>IFERROR(IF(VLOOKUP($B254,勘定科目!$A:$H,HLOOKUP($E$5,勘定科目!$F$1:$H$2,2,0),0)="","",VLOOKUP($B254,勘定科目!$A:$E,2,0)),"")</f>
        <v>減価償却費（一般）　工具器具備品</v>
      </c>
      <c r="D254" s="290" t="str">
        <f>IF(C254="","",VLOOKUP($B254,勘定科目!$A:$E,4,0))</f>
        <v>減価償却費</v>
      </c>
      <c r="E254" s="303"/>
      <c r="F254" s="229">
        <v>1210849</v>
      </c>
      <c r="G254" s="229">
        <v>1210849</v>
      </c>
      <c r="H254" s="229">
        <v>1210849</v>
      </c>
      <c r="I254" s="229">
        <v>1210849</v>
      </c>
      <c r="J254" s="229">
        <v>1210849</v>
      </c>
      <c r="K254" s="229">
        <v>1210849</v>
      </c>
      <c r="L254" s="229">
        <v>1210849</v>
      </c>
      <c r="M254" s="230">
        <v>43671</v>
      </c>
      <c r="N254" s="230">
        <v>0</v>
      </c>
      <c r="O254" s="230"/>
      <c r="P254" s="230"/>
      <c r="Q254" s="230"/>
      <c r="R254" s="216">
        <f t="shared" si="15"/>
        <v>8519614</v>
      </c>
      <c r="S254" s="193" t="s">
        <v>948</v>
      </c>
      <c r="T254" s="151"/>
      <c r="U254" s="192" t="s">
        <v>749</v>
      </c>
      <c r="V254" s="160"/>
      <c r="W254" s="160"/>
      <c r="BA254"/>
      <c r="BB254"/>
    </row>
    <row r="255" spans="1:54" s="149" customFormat="1" ht="13.5">
      <c r="A255" s="146"/>
      <c r="B255" s="317">
        <v>6006016613</v>
      </c>
      <c r="C255" s="273" t="str">
        <f>IFERROR(IF(VLOOKUP($B255,勘定科目!$A:$H,HLOOKUP($E$5,勘定科目!$F$1:$H$2,2,0),0)="","",VLOOKUP($B255,勘定科目!$A:$E,2,0)),"")</f>
        <v>減価償却費（一般）　工具器具備品</v>
      </c>
      <c r="D255" s="290" t="str">
        <f>IF(C255="","",VLOOKUP($B255,勘定科目!$A:$E,4,0))</f>
        <v>減価償却費</v>
      </c>
      <c r="E255" s="303"/>
      <c r="F255" s="229">
        <v>19208043</v>
      </c>
      <c r="G255" s="229">
        <v>19208043</v>
      </c>
      <c r="H255" s="229">
        <v>19208043</v>
      </c>
      <c r="I255" s="229">
        <v>19208043</v>
      </c>
      <c r="J255" s="229">
        <v>19208043</v>
      </c>
      <c r="K255" s="229">
        <v>19208043</v>
      </c>
      <c r="L255" s="229">
        <v>19208043</v>
      </c>
      <c r="M255" s="229">
        <v>19208043</v>
      </c>
      <c r="N255" s="230">
        <v>19208043</v>
      </c>
      <c r="O255" s="230">
        <v>0</v>
      </c>
      <c r="P255" s="230"/>
      <c r="Q255" s="230"/>
      <c r="R255" s="216">
        <f t="shared" si="15"/>
        <v>172872387</v>
      </c>
      <c r="S255" s="193" t="s">
        <v>949</v>
      </c>
      <c r="T255" s="151"/>
      <c r="U255" s="192" t="s">
        <v>749</v>
      </c>
      <c r="V255" s="160"/>
      <c r="W255" s="160"/>
      <c r="BA255"/>
      <c r="BB255"/>
    </row>
    <row r="256" spans="1:54" s="149" customFormat="1" ht="13.5">
      <c r="A256" s="146"/>
      <c r="B256" s="317">
        <v>6006016613</v>
      </c>
      <c r="C256" s="273" t="str">
        <f>IFERROR(IF(VLOOKUP($B256,勘定科目!$A:$H,HLOOKUP($E$5,勘定科目!$F$1:$H$2,2,0),0)="","",VLOOKUP($B256,勘定科目!$A:$E,2,0)),"")</f>
        <v>減価償却費（一般）　工具器具備品</v>
      </c>
      <c r="D256" s="290" t="str">
        <f>IF(C256="","",VLOOKUP($B256,勘定科目!$A:$E,4,0))</f>
        <v>減価償却費</v>
      </c>
      <c r="E256" s="303"/>
      <c r="F256" s="229">
        <v>70754821</v>
      </c>
      <c r="G256" s="229">
        <v>70754821</v>
      </c>
      <c r="H256" s="229">
        <v>70754821</v>
      </c>
      <c r="I256" s="229">
        <v>70754821</v>
      </c>
      <c r="J256" s="229">
        <v>70754821</v>
      </c>
      <c r="K256" s="229">
        <v>70754821</v>
      </c>
      <c r="L256" s="229">
        <v>70754821</v>
      </c>
      <c r="M256" s="229">
        <v>70754821</v>
      </c>
      <c r="N256" s="229">
        <v>70754821</v>
      </c>
      <c r="O256" s="230">
        <v>254</v>
      </c>
      <c r="P256" s="230">
        <v>0</v>
      </c>
      <c r="Q256" s="230"/>
      <c r="R256" s="216">
        <f t="shared" si="15"/>
        <v>636793643</v>
      </c>
      <c r="S256" s="193" t="s">
        <v>950</v>
      </c>
      <c r="T256" s="151"/>
      <c r="U256" s="192" t="s">
        <v>749</v>
      </c>
      <c r="V256" s="160"/>
      <c r="W256" s="160"/>
      <c r="BA256"/>
      <c r="BB256"/>
    </row>
    <row r="257" spans="1:54" s="149" customFormat="1" ht="13.5">
      <c r="A257" s="146"/>
      <c r="B257" s="317">
        <v>6006016613</v>
      </c>
      <c r="C257" s="273" t="str">
        <f>IFERROR(IF(VLOOKUP($B257,勘定科目!$A:$H,HLOOKUP($E$5,勘定科目!$F$1:$H$2,2,0),0)="","",VLOOKUP($B257,勘定科目!$A:$E,2,0)),"")</f>
        <v>減価償却費（一般）　工具器具備品</v>
      </c>
      <c r="D257" s="290" t="str">
        <f>IF(C257="","",VLOOKUP($B257,勘定科目!$A:$E,4,0))</f>
        <v>減価償却費</v>
      </c>
      <c r="E257" s="303"/>
      <c r="F257" s="229">
        <v>17898681</v>
      </c>
      <c r="G257" s="229">
        <v>17898681</v>
      </c>
      <c r="H257" s="229">
        <v>17898681</v>
      </c>
      <c r="I257" s="229">
        <v>17898681</v>
      </c>
      <c r="J257" s="229">
        <v>17898681</v>
      </c>
      <c r="K257" s="229">
        <v>17898681</v>
      </c>
      <c r="L257" s="229">
        <v>17898681</v>
      </c>
      <c r="M257" s="229">
        <v>17898681</v>
      </c>
      <c r="N257" s="229">
        <v>17898681</v>
      </c>
      <c r="O257" s="229">
        <v>17898681</v>
      </c>
      <c r="P257" s="230">
        <v>254</v>
      </c>
      <c r="Q257" s="230">
        <v>0</v>
      </c>
      <c r="R257" s="216">
        <f t="shared" si="15"/>
        <v>178987064</v>
      </c>
      <c r="S257" s="193" t="s">
        <v>952</v>
      </c>
      <c r="T257" s="151"/>
      <c r="U257" s="192" t="s">
        <v>749</v>
      </c>
      <c r="V257" s="160"/>
      <c r="W257" s="160"/>
      <c r="BA257"/>
      <c r="BB257"/>
    </row>
    <row r="258" spans="1:54" s="149" customFormat="1" ht="13.5">
      <c r="A258" s="146"/>
      <c r="B258" s="317">
        <v>6006016613</v>
      </c>
      <c r="C258" s="273" t="str">
        <f>IFERROR(IF(VLOOKUP($B258,勘定科目!$A:$H,HLOOKUP($E$5,勘定科目!$F$1:$H$2,2,0),0)="","",VLOOKUP($B258,勘定科目!$A:$E,2,0)),"")</f>
        <v>減価償却費（一般）　工具器具備品</v>
      </c>
      <c r="D258" s="290" t="str">
        <f>IF(C258="","",VLOOKUP($B258,勘定科目!$A:$E,4,0))</f>
        <v>減価償却費</v>
      </c>
      <c r="E258" s="303"/>
      <c r="F258" s="229">
        <v>17672456</v>
      </c>
      <c r="G258" s="229">
        <v>17672456</v>
      </c>
      <c r="H258" s="229">
        <v>17672456</v>
      </c>
      <c r="I258" s="229">
        <v>17672456</v>
      </c>
      <c r="J258" s="229">
        <v>17672456</v>
      </c>
      <c r="K258" s="229">
        <v>17672456</v>
      </c>
      <c r="L258" s="229">
        <v>17672456</v>
      </c>
      <c r="M258" s="229">
        <v>17672456</v>
      </c>
      <c r="N258" s="229">
        <v>17672456</v>
      </c>
      <c r="O258" s="229">
        <v>17672456</v>
      </c>
      <c r="P258" s="229">
        <v>17672456</v>
      </c>
      <c r="Q258" s="230">
        <v>17672202</v>
      </c>
      <c r="R258" s="216">
        <f t="shared" si="15"/>
        <v>212069218</v>
      </c>
      <c r="S258" s="193" t="s">
        <v>953</v>
      </c>
      <c r="T258" s="151"/>
      <c r="U258" s="192" t="s">
        <v>749</v>
      </c>
      <c r="V258" s="160"/>
      <c r="W258" s="160"/>
      <c r="BA258"/>
      <c r="BB258"/>
    </row>
    <row r="259" spans="1:54" s="149" customFormat="1" ht="13.5">
      <c r="A259" s="146"/>
      <c r="B259" s="263">
        <v>6006016613</v>
      </c>
      <c r="C259" s="273" t="str">
        <f>IFERROR(IF(VLOOKUP($B259,勘定科目!$A:$H,HLOOKUP($E$5,勘定科目!$F$1:$H$2,2,0),0)="","",VLOOKUP($B259,勘定科目!$A:$E,2,0)),"")</f>
        <v>減価償却費（一般）　工具器具備品</v>
      </c>
      <c r="D259" s="290" t="str">
        <f>IF(C259="","",VLOOKUP($B259,勘定科目!$A:$E,4,0))</f>
        <v>減価償却費</v>
      </c>
      <c r="E259" s="303"/>
      <c r="F259" s="229"/>
      <c r="G259" s="230"/>
      <c r="H259" s="230"/>
      <c r="I259" s="230"/>
      <c r="J259" s="230"/>
      <c r="K259" s="230"/>
      <c r="L259" s="230"/>
      <c r="M259" s="230"/>
      <c r="N259" s="230"/>
      <c r="O259" s="230"/>
      <c r="P259" s="230"/>
      <c r="Q259" s="230"/>
      <c r="R259" s="216">
        <f t="shared" si="15"/>
        <v>0</v>
      </c>
      <c r="S259" s="193" t="s">
        <v>759</v>
      </c>
      <c r="T259" s="151"/>
      <c r="U259" s="192" t="s">
        <v>749</v>
      </c>
      <c r="V259" s="160"/>
      <c r="W259" s="160"/>
      <c r="BA259"/>
      <c r="BB259"/>
    </row>
    <row r="260" spans="1:54" s="149" customFormat="1" ht="13.5">
      <c r="A260" s="146"/>
      <c r="B260" s="263">
        <v>6006016613</v>
      </c>
      <c r="C260" s="273" t="str">
        <f>IFERROR(IF(VLOOKUP($B260,勘定科目!$A:$H,HLOOKUP($E$5,勘定科目!$F$1:$H$2,2,0),0)="","",VLOOKUP($B260,勘定科目!$A:$E,2,0)),"")</f>
        <v>減価償却費（一般）　工具器具備品</v>
      </c>
      <c r="D260" s="290" t="str">
        <f>IF(C260="","",VLOOKUP($B260,勘定科目!$A:$E,4,0))</f>
        <v>減価償却費</v>
      </c>
      <c r="E260" s="303"/>
      <c r="F260" s="229"/>
      <c r="G260" s="230"/>
      <c r="H260" s="230"/>
      <c r="I260" s="230"/>
      <c r="J260" s="230"/>
      <c r="K260" s="230"/>
      <c r="L260" s="230"/>
      <c r="M260" s="230"/>
      <c r="N260" s="230"/>
      <c r="O260" s="230"/>
      <c r="P260" s="230"/>
      <c r="Q260" s="230"/>
      <c r="R260" s="216">
        <f t="shared" si="15"/>
        <v>0</v>
      </c>
      <c r="S260" s="193" t="s">
        <v>760</v>
      </c>
      <c r="T260" s="151"/>
      <c r="U260" s="192" t="s">
        <v>749</v>
      </c>
      <c r="V260" s="160"/>
      <c r="W260" s="160"/>
      <c r="BA260"/>
      <c r="BB260"/>
    </row>
    <row r="261" spans="1:54" s="149" customFormat="1" ht="13.5">
      <c r="A261" s="146"/>
      <c r="B261" s="263">
        <v>6006016613</v>
      </c>
      <c r="C261" s="273" t="str">
        <f>IFERROR(IF(VLOOKUP($B261,勘定科目!$A:$H,HLOOKUP($E$5,勘定科目!$F$1:$H$2,2,0),0)="","",VLOOKUP($B261,勘定科目!$A:$E,2,0)),"")</f>
        <v>減価償却費（一般）　工具器具備品</v>
      </c>
      <c r="D261" s="290" t="str">
        <f>IF(C261="","",VLOOKUP($B261,勘定科目!$A:$E,4,0))</f>
        <v>減価償却費</v>
      </c>
      <c r="E261" s="303"/>
      <c r="F261" s="229">
        <v>25143971</v>
      </c>
      <c r="G261" s="229">
        <v>25143971</v>
      </c>
      <c r="H261" s="229">
        <v>25143971</v>
      </c>
      <c r="I261" s="229">
        <v>25143971</v>
      </c>
      <c r="J261" s="229">
        <v>25143971</v>
      </c>
      <c r="K261" s="229">
        <v>25143971</v>
      </c>
      <c r="L261" s="229">
        <v>25143971</v>
      </c>
      <c r="M261" s="229">
        <v>25143971</v>
      </c>
      <c r="N261" s="229">
        <v>25143971</v>
      </c>
      <c r="O261" s="229">
        <v>25143971</v>
      </c>
      <c r="P261" s="229">
        <v>25143971</v>
      </c>
      <c r="Q261" s="229">
        <v>25143971</v>
      </c>
      <c r="R261" s="216">
        <f t="shared" si="15"/>
        <v>301727652</v>
      </c>
      <c r="S261" s="193" t="s">
        <v>761</v>
      </c>
      <c r="T261" s="151"/>
      <c r="U261" s="192" t="s">
        <v>749</v>
      </c>
      <c r="V261" s="160"/>
      <c r="W261" s="160"/>
      <c r="BA261"/>
      <c r="BB261"/>
    </row>
    <row r="262" spans="1:54" s="149" customFormat="1" ht="13.5">
      <c r="A262" s="146"/>
      <c r="B262" s="263">
        <v>6006016613</v>
      </c>
      <c r="C262" s="273" t="str">
        <f>IFERROR(IF(VLOOKUP($B262,勘定科目!$A:$H,HLOOKUP($E$5,勘定科目!$F$1:$H$2,2,0),0)="","",VLOOKUP($B262,勘定科目!$A:$E,2,0)),"")</f>
        <v>減価償却費（一般）　工具器具備品</v>
      </c>
      <c r="D262" s="290" t="str">
        <f>IF(C262="","",VLOOKUP($B262,勘定科目!$A:$E,4,0))</f>
        <v>減価償却費</v>
      </c>
      <c r="E262" s="303"/>
      <c r="F262" s="229"/>
      <c r="G262" s="230"/>
      <c r="H262" s="230"/>
      <c r="I262" s="230"/>
      <c r="J262" s="230"/>
      <c r="K262" s="230"/>
      <c r="L262" s="230"/>
      <c r="M262" s="230"/>
      <c r="N262" s="230"/>
      <c r="O262" s="230"/>
      <c r="P262" s="230"/>
      <c r="Q262" s="230"/>
      <c r="R262" s="216">
        <f t="shared" si="15"/>
        <v>0</v>
      </c>
      <c r="S262" s="193" t="s">
        <v>762</v>
      </c>
      <c r="T262" s="151"/>
      <c r="U262" s="192" t="s">
        <v>749</v>
      </c>
      <c r="V262" s="160"/>
      <c r="W262" s="160"/>
      <c r="BA262"/>
      <c r="BB262"/>
    </row>
    <row r="263" spans="1:54" s="149" customFormat="1" ht="13.5">
      <c r="A263" s="146"/>
      <c r="B263" s="263">
        <v>6006016613</v>
      </c>
      <c r="C263" s="273" t="str">
        <f>IFERROR(IF(VLOOKUP($B263,勘定科目!$A:$H,HLOOKUP($E$5,勘定科目!$F$1:$H$2,2,0),0)="","",VLOOKUP($B263,勘定科目!$A:$E,2,0)),"")</f>
        <v>減価償却費（一般）　工具器具備品</v>
      </c>
      <c r="D263" s="290" t="str">
        <f>IF(C263="","",VLOOKUP($B263,勘定科目!$A:$E,4,0))</f>
        <v>減価償却費</v>
      </c>
      <c r="E263" s="303"/>
      <c r="F263" s="229"/>
      <c r="G263" s="230"/>
      <c r="H263" s="230"/>
      <c r="I263" s="230"/>
      <c r="J263" s="230"/>
      <c r="K263" s="230"/>
      <c r="L263" s="230"/>
      <c r="M263" s="230"/>
      <c r="N263" s="230"/>
      <c r="O263" s="230"/>
      <c r="P263" s="230"/>
      <c r="Q263" s="230"/>
      <c r="R263" s="216">
        <f t="shared" si="15"/>
        <v>0</v>
      </c>
      <c r="S263" s="193" t="s">
        <v>763</v>
      </c>
      <c r="T263" s="151"/>
      <c r="U263" s="192" t="s">
        <v>749</v>
      </c>
      <c r="V263" s="160"/>
      <c r="W263" s="160"/>
      <c r="BA263"/>
      <c r="BB263"/>
    </row>
    <row r="264" spans="1:54" s="149" customFormat="1" ht="13.5">
      <c r="A264" s="146"/>
      <c r="B264" s="263">
        <v>6006016613</v>
      </c>
      <c r="C264" s="273" t="str">
        <f>IFERROR(IF(VLOOKUP($B264,勘定科目!$A:$H,HLOOKUP($E$5,勘定科目!$F$1:$H$2,2,0),0)="","",VLOOKUP($B264,勘定科目!$A:$E,2,0)),"")</f>
        <v>減価償却費（一般）　工具器具備品</v>
      </c>
      <c r="D264" s="290" t="str">
        <f>IF(C264="","",VLOOKUP($B264,勘定科目!$A:$E,4,0))</f>
        <v>減価償却費</v>
      </c>
      <c r="E264" s="303"/>
      <c r="F264" s="229"/>
      <c r="G264" s="230"/>
      <c r="H264" s="230"/>
      <c r="I264" s="230"/>
      <c r="J264" s="230"/>
      <c r="K264" s="230"/>
      <c r="L264" s="230"/>
      <c r="M264" s="230"/>
      <c r="N264" s="230"/>
      <c r="O264" s="230"/>
      <c r="P264" s="230"/>
      <c r="Q264" s="230"/>
      <c r="R264" s="216">
        <f t="shared" si="15"/>
        <v>0</v>
      </c>
      <c r="S264" s="193" t="s">
        <v>764</v>
      </c>
      <c r="T264" s="151"/>
      <c r="U264" s="192" t="s">
        <v>749</v>
      </c>
      <c r="V264" s="160"/>
      <c r="W264" s="160"/>
      <c r="BA264"/>
      <c r="BB264"/>
    </row>
    <row r="265" spans="1:54" s="149" customFormat="1" ht="13.5">
      <c r="A265" s="146"/>
      <c r="B265" s="263">
        <v>6006016613</v>
      </c>
      <c r="C265" s="273" t="str">
        <f>IFERROR(IF(VLOOKUP($B265,勘定科目!$A:$H,HLOOKUP($E$5,勘定科目!$F$1:$H$2,2,0),0)="","",VLOOKUP($B265,勘定科目!$A:$E,2,0)),"")</f>
        <v>減価償却費（一般）　工具器具備品</v>
      </c>
      <c r="D265" s="290" t="str">
        <f>IF(C265="","",VLOOKUP($B265,勘定科目!$A:$E,4,0))</f>
        <v>減価償却費</v>
      </c>
      <c r="E265" s="303"/>
      <c r="F265" s="229"/>
      <c r="G265" s="230"/>
      <c r="H265" s="230"/>
      <c r="I265" s="230"/>
      <c r="J265" s="230"/>
      <c r="K265" s="230"/>
      <c r="L265" s="230"/>
      <c r="M265" s="230"/>
      <c r="N265" s="230"/>
      <c r="O265" s="230"/>
      <c r="P265" s="230"/>
      <c r="Q265" s="230"/>
      <c r="R265" s="216">
        <f t="shared" si="15"/>
        <v>0</v>
      </c>
      <c r="S265" s="193" t="s">
        <v>765</v>
      </c>
      <c r="T265" s="151"/>
      <c r="U265" s="192" t="s">
        <v>749</v>
      </c>
      <c r="V265" s="160"/>
      <c r="W265" s="160"/>
      <c r="BA265"/>
      <c r="BB265"/>
    </row>
    <row r="266" spans="1:54" s="149" customFormat="1" ht="13.5">
      <c r="A266" s="146"/>
      <c r="B266" s="263">
        <v>6006016613</v>
      </c>
      <c r="C266" s="273" t="str">
        <f>IFERROR(IF(VLOOKUP($B266,勘定科目!$A:$H,HLOOKUP($E$5,勘定科目!$F$1:$H$2,2,0),0)="","",VLOOKUP($B266,勘定科目!$A:$E,2,0)),"")</f>
        <v>減価償却費（一般）　工具器具備品</v>
      </c>
      <c r="D266" s="290" t="str">
        <f>IF(C266="","",VLOOKUP($B266,勘定科目!$A:$E,4,0))</f>
        <v>減価償却費</v>
      </c>
      <c r="E266" s="303"/>
      <c r="F266" s="229"/>
      <c r="G266" s="230"/>
      <c r="H266" s="230"/>
      <c r="I266" s="230"/>
      <c r="J266" s="230"/>
      <c r="K266" s="230"/>
      <c r="L266" s="230"/>
      <c r="M266" s="230"/>
      <c r="N266" s="230"/>
      <c r="O266" s="230"/>
      <c r="P266" s="230"/>
      <c r="Q266" s="230"/>
      <c r="R266" s="216">
        <f t="shared" si="15"/>
        <v>0</v>
      </c>
      <c r="S266" s="193" t="s">
        <v>766</v>
      </c>
      <c r="T266" s="151"/>
      <c r="U266" s="192" t="s">
        <v>749</v>
      </c>
      <c r="V266" s="160"/>
      <c r="W266" s="160"/>
      <c r="BA266"/>
      <c r="BB266"/>
    </row>
    <row r="267" spans="1:54" s="149" customFormat="1" ht="13.5">
      <c r="A267" s="146"/>
      <c r="B267" s="263">
        <v>6006016613</v>
      </c>
      <c r="C267" s="273" t="str">
        <f>IFERROR(IF(VLOOKUP($B267,勘定科目!$A:$H,HLOOKUP($E$5,勘定科目!$F$1:$H$2,2,0),0)="","",VLOOKUP($B267,勘定科目!$A:$E,2,0)),"")</f>
        <v>減価償却費（一般）　工具器具備品</v>
      </c>
      <c r="D267" s="290" t="str">
        <f>IF(C267="","",VLOOKUP($B267,勘定科目!$A:$E,4,0))</f>
        <v>減価償却費</v>
      </c>
      <c r="E267" s="303"/>
      <c r="F267" s="229"/>
      <c r="G267" s="230"/>
      <c r="H267" s="230"/>
      <c r="I267" s="230"/>
      <c r="J267" s="230"/>
      <c r="K267" s="230"/>
      <c r="L267" s="230"/>
      <c r="M267" s="230"/>
      <c r="N267" s="230"/>
      <c r="O267" s="230"/>
      <c r="P267" s="230"/>
      <c r="Q267" s="230"/>
      <c r="R267" s="216">
        <f t="shared" si="15"/>
        <v>0</v>
      </c>
      <c r="S267" s="193" t="s">
        <v>767</v>
      </c>
      <c r="T267" s="151"/>
      <c r="U267" s="192" t="s">
        <v>749</v>
      </c>
      <c r="V267" s="160"/>
      <c r="W267" s="160"/>
      <c r="BA267"/>
      <c r="BB267"/>
    </row>
    <row r="268" spans="1:54" s="149" customFormat="1" ht="13.5">
      <c r="A268" s="146"/>
      <c r="B268" s="263">
        <v>6006016613</v>
      </c>
      <c r="C268" s="273" t="str">
        <f>IFERROR(IF(VLOOKUP($B268,勘定科目!$A:$H,HLOOKUP($E$5,勘定科目!$F$1:$H$2,2,0),0)="","",VLOOKUP($B268,勘定科目!$A:$E,2,0)),"")</f>
        <v>減価償却費（一般）　工具器具備品</v>
      </c>
      <c r="D268" s="290" t="str">
        <f>IF(C268="","",VLOOKUP($B268,勘定科目!$A:$E,4,0))</f>
        <v>減価償却費</v>
      </c>
      <c r="E268" s="303"/>
      <c r="F268" s="229"/>
      <c r="G268" s="230"/>
      <c r="H268" s="230"/>
      <c r="I268" s="230"/>
      <c r="J268" s="230"/>
      <c r="K268" s="230"/>
      <c r="L268" s="230"/>
      <c r="M268" s="230"/>
      <c r="N268" s="230"/>
      <c r="O268" s="230"/>
      <c r="P268" s="230"/>
      <c r="Q268" s="230"/>
      <c r="R268" s="216">
        <f t="shared" si="15"/>
        <v>0</v>
      </c>
      <c r="S268" s="193" t="s">
        <v>768</v>
      </c>
      <c r="T268" s="151"/>
      <c r="U268" s="192" t="s">
        <v>749</v>
      </c>
      <c r="V268" s="160"/>
      <c r="W268" s="160"/>
      <c r="BA268"/>
      <c r="BB268"/>
    </row>
    <row r="269" spans="1:54" s="149" customFormat="1" ht="13.5">
      <c r="A269" s="146"/>
      <c r="B269" s="263">
        <v>6006016613</v>
      </c>
      <c r="C269" s="273" t="str">
        <f>IFERROR(IF(VLOOKUP($B269,勘定科目!$A:$H,HLOOKUP($E$5,勘定科目!$F$1:$H$2,2,0),0)="","",VLOOKUP($B269,勘定科目!$A:$E,2,0)),"")</f>
        <v>減価償却費（一般）　工具器具備品</v>
      </c>
      <c r="D269" s="290" t="str">
        <f>IF(C269="","",VLOOKUP($B269,勘定科目!$A:$E,4,0))</f>
        <v>減価償却費</v>
      </c>
      <c r="E269" s="303"/>
      <c r="F269" s="229"/>
      <c r="G269" s="230"/>
      <c r="H269" s="230"/>
      <c r="I269" s="230"/>
      <c r="J269" s="230"/>
      <c r="K269" s="230"/>
      <c r="L269" s="230"/>
      <c r="M269" s="230"/>
      <c r="N269" s="230"/>
      <c r="O269" s="230"/>
      <c r="P269" s="230"/>
      <c r="Q269" s="230"/>
      <c r="R269" s="216">
        <f t="shared" si="15"/>
        <v>0</v>
      </c>
      <c r="S269" s="193" t="s">
        <v>769</v>
      </c>
      <c r="T269" s="151"/>
      <c r="U269" s="192" t="s">
        <v>749</v>
      </c>
      <c r="V269" s="160"/>
      <c r="W269" s="160"/>
      <c r="BA269"/>
      <c r="BB269"/>
    </row>
    <row r="270" spans="1:54" s="149" customFormat="1" ht="13.5">
      <c r="A270" s="146"/>
      <c r="B270" s="263">
        <v>6006016613</v>
      </c>
      <c r="C270" s="273" t="str">
        <f>IFERROR(IF(VLOOKUP($B270,勘定科目!$A:$H,HLOOKUP($E$5,勘定科目!$F$1:$H$2,2,0),0)="","",VLOOKUP($B270,勘定科目!$A:$E,2,0)),"")</f>
        <v>減価償却費（一般）　工具器具備品</v>
      </c>
      <c r="D270" s="290" t="str">
        <f>IF(C270="","",VLOOKUP($B270,勘定科目!$A:$E,4,0))</f>
        <v>減価償却費</v>
      </c>
      <c r="E270" s="303"/>
      <c r="F270" s="229">
        <v>20690311</v>
      </c>
      <c r="G270" s="229">
        <v>20690311</v>
      </c>
      <c r="H270" s="229">
        <v>20690311</v>
      </c>
      <c r="I270" s="229">
        <v>20690311</v>
      </c>
      <c r="J270" s="229">
        <v>20690311</v>
      </c>
      <c r="K270" s="229">
        <v>20690311</v>
      </c>
      <c r="L270" s="229">
        <v>20690311</v>
      </c>
      <c r="M270" s="229">
        <v>20690311</v>
      </c>
      <c r="N270" s="229">
        <v>20690311</v>
      </c>
      <c r="O270" s="229">
        <v>20690311</v>
      </c>
      <c r="P270" s="229">
        <v>20690311</v>
      </c>
      <c r="Q270" s="229">
        <v>20690311</v>
      </c>
      <c r="R270" s="216">
        <f t="shared" si="15"/>
        <v>248283732</v>
      </c>
      <c r="S270" s="193" t="s">
        <v>770</v>
      </c>
      <c r="T270" s="151"/>
      <c r="U270" s="192" t="s">
        <v>749</v>
      </c>
      <c r="V270" s="160"/>
      <c r="W270" s="160"/>
      <c r="BA270"/>
      <c r="BB270"/>
    </row>
    <row r="271" spans="1:54" s="149" customFormat="1" ht="13.5">
      <c r="A271" s="146"/>
      <c r="B271" s="263">
        <v>6006016613</v>
      </c>
      <c r="C271" s="273" t="str">
        <f>IFERROR(IF(VLOOKUP($B271,勘定科目!$A:$H,HLOOKUP($E$5,勘定科目!$F$1:$H$2,2,0),0)="","",VLOOKUP($B271,勘定科目!$A:$E,2,0)),"")</f>
        <v>減価償却費（一般）　工具器具備品</v>
      </c>
      <c r="D271" s="290" t="str">
        <f>IF(C271="","",VLOOKUP($B271,勘定科目!$A:$E,4,0))</f>
        <v>減価償却費</v>
      </c>
      <c r="E271" s="303"/>
      <c r="F271" s="229">
        <v>1858040</v>
      </c>
      <c r="G271" s="229">
        <v>1858040</v>
      </c>
      <c r="H271" s="229">
        <v>1858040</v>
      </c>
      <c r="I271" s="229">
        <v>1858040</v>
      </c>
      <c r="J271" s="229">
        <v>1858040</v>
      </c>
      <c r="K271" s="229">
        <v>1858040</v>
      </c>
      <c r="L271" s="229">
        <v>1858040</v>
      </c>
      <c r="M271" s="229">
        <v>1858040</v>
      </c>
      <c r="N271" s="229">
        <v>1858040</v>
      </c>
      <c r="O271" s="229">
        <v>1858040</v>
      </c>
      <c r="P271" s="229">
        <v>1858040</v>
      </c>
      <c r="Q271" s="229">
        <v>1858040</v>
      </c>
      <c r="R271" s="216">
        <f t="shared" si="15"/>
        <v>22296480</v>
      </c>
      <c r="S271" s="193" t="s">
        <v>771</v>
      </c>
      <c r="T271" s="151"/>
      <c r="U271" s="192" t="s">
        <v>749</v>
      </c>
      <c r="V271" s="160"/>
      <c r="W271" s="160"/>
      <c r="BA271"/>
      <c r="BB271"/>
    </row>
    <row r="272" spans="1:54" s="149" customFormat="1" ht="13.5">
      <c r="A272" s="146"/>
      <c r="B272" s="263">
        <v>6006016613</v>
      </c>
      <c r="C272" s="273" t="str">
        <f>IFERROR(IF(VLOOKUP($B272,勘定科目!$A:$H,HLOOKUP($E$5,勘定科目!$F$1:$H$2,2,0),0)="","",VLOOKUP($B272,勘定科目!$A:$E,2,0)),"")</f>
        <v>減価償却費（一般）　工具器具備品</v>
      </c>
      <c r="D272" s="290" t="str">
        <f>IF(C272="","",VLOOKUP($B272,勘定科目!$A:$E,4,0))</f>
        <v>減価償却費</v>
      </c>
      <c r="E272" s="303"/>
      <c r="F272" s="229">
        <v>4666174</v>
      </c>
      <c r="G272" s="229">
        <v>4666174</v>
      </c>
      <c r="H272" s="229">
        <v>4666174</v>
      </c>
      <c r="I272" s="229">
        <v>4666174</v>
      </c>
      <c r="J272" s="229">
        <v>4666174</v>
      </c>
      <c r="K272" s="229">
        <v>4666174</v>
      </c>
      <c r="L272" s="229">
        <v>4666174</v>
      </c>
      <c r="M272" s="229">
        <v>4666174</v>
      </c>
      <c r="N272" s="229">
        <v>4666174</v>
      </c>
      <c r="O272" s="229">
        <v>4666174</v>
      </c>
      <c r="P272" s="229">
        <v>4666174</v>
      </c>
      <c r="Q272" s="229">
        <v>4666174</v>
      </c>
      <c r="R272" s="216">
        <f t="shared" si="15"/>
        <v>55994088</v>
      </c>
      <c r="S272" s="193" t="s">
        <v>772</v>
      </c>
      <c r="T272" s="151"/>
      <c r="U272" s="192" t="s">
        <v>749</v>
      </c>
      <c r="V272" s="160"/>
      <c r="W272" s="160"/>
      <c r="BA272"/>
      <c r="BB272"/>
    </row>
    <row r="273" spans="1:54" s="149" customFormat="1" ht="13.5">
      <c r="A273" s="146"/>
      <c r="B273" s="263">
        <v>6006016613</v>
      </c>
      <c r="C273" s="273" t="str">
        <f>IFERROR(IF(VLOOKUP($B273,勘定科目!$A:$H,HLOOKUP($E$5,勘定科目!$F$1:$H$2,2,0),0)="","",VLOOKUP($B273,勘定科目!$A:$E,2,0)),"")</f>
        <v>減価償却費（一般）　工具器具備品</v>
      </c>
      <c r="D273" s="290" t="str">
        <f>IF(C273="","",VLOOKUP($B273,勘定科目!$A:$E,4,0))</f>
        <v>減価償却費</v>
      </c>
      <c r="E273" s="303"/>
      <c r="F273" s="229">
        <v>11579110</v>
      </c>
      <c r="G273" s="229">
        <v>11579110</v>
      </c>
      <c r="H273" s="229">
        <v>11579110</v>
      </c>
      <c r="I273" s="229">
        <v>11579110</v>
      </c>
      <c r="J273" s="229">
        <v>11579110</v>
      </c>
      <c r="K273" s="229">
        <v>11579110</v>
      </c>
      <c r="L273" s="229">
        <v>11579110</v>
      </c>
      <c r="M273" s="229">
        <v>11579110</v>
      </c>
      <c r="N273" s="229">
        <v>11579110</v>
      </c>
      <c r="O273" s="229">
        <v>11579110</v>
      </c>
      <c r="P273" s="229">
        <v>11579110</v>
      </c>
      <c r="Q273" s="229">
        <v>11579110</v>
      </c>
      <c r="R273" s="216">
        <f t="shared" si="15"/>
        <v>138949320</v>
      </c>
      <c r="S273" s="193" t="s">
        <v>954</v>
      </c>
      <c r="T273" s="151"/>
      <c r="U273" s="192" t="s">
        <v>749</v>
      </c>
      <c r="V273" s="160"/>
      <c r="W273" s="160"/>
      <c r="BA273"/>
      <c r="BB273"/>
    </row>
    <row r="274" spans="1:54" s="149" customFormat="1" ht="13.5">
      <c r="A274" s="146"/>
      <c r="B274" s="263">
        <v>6006016613</v>
      </c>
      <c r="C274" s="273" t="str">
        <f>IFERROR(IF(VLOOKUP($B274,勘定科目!$A:$H,HLOOKUP($E$5,勘定科目!$F$1:$H$2,2,0),0)="","",VLOOKUP($B274,勘定科目!$A:$E,2,0)),"")</f>
        <v>減価償却費（一般）　工具器具備品</v>
      </c>
      <c r="D274" s="290" t="str">
        <f>IF(C274="","",VLOOKUP($B274,勘定科目!$A:$E,4,0))</f>
        <v>減価償却費</v>
      </c>
      <c r="E274" s="303"/>
      <c r="F274" s="229">
        <v>117646850</v>
      </c>
      <c r="G274" s="229">
        <v>117646850</v>
      </c>
      <c r="H274" s="229">
        <v>117646850</v>
      </c>
      <c r="I274" s="229">
        <v>117646850</v>
      </c>
      <c r="J274" s="229">
        <v>117646850</v>
      </c>
      <c r="K274" s="229">
        <v>117646850</v>
      </c>
      <c r="L274" s="229">
        <v>117646850</v>
      </c>
      <c r="M274" s="229">
        <v>117646850</v>
      </c>
      <c r="N274" s="229">
        <v>117646850</v>
      </c>
      <c r="O274" s="229">
        <v>117646850</v>
      </c>
      <c r="P274" s="229">
        <v>117646850</v>
      </c>
      <c r="Q274" s="229">
        <v>117646850</v>
      </c>
      <c r="R274" s="216">
        <f t="shared" si="15"/>
        <v>1411762200</v>
      </c>
      <c r="S274" s="193" t="s">
        <v>955</v>
      </c>
      <c r="T274" s="151"/>
      <c r="U274" s="192" t="s">
        <v>749</v>
      </c>
      <c r="V274" s="160"/>
      <c r="W274" s="160"/>
      <c r="BA274"/>
      <c r="BB274"/>
    </row>
    <row r="275" spans="1:54" s="149" customFormat="1" ht="13.5">
      <c r="A275" s="146"/>
      <c r="B275" s="315">
        <v>6006016613</v>
      </c>
      <c r="C275" s="273" t="str">
        <f>IFERROR(IF(VLOOKUP($B275,勘定科目!$A:$H,HLOOKUP($E$5,勘定科目!$F$1:$H$2,2,0),0)="","",VLOOKUP($B275,勘定科目!$A:$E,2,0)),"")</f>
        <v>減価償却費（一般）　工具器具備品</v>
      </c>
      <c r="D275" s="290" t="str">
        <f>IF(C275="","",VLOOKUP($B275,勘定科目!$A:$E,4,0))</f>
        <v>減価償却費</v>
      </c>
      <c r="E275" s="303"/>
      <c r="F275" s="229"/>
      <c r="G275" s="230">
        <v>88055556</v>
      </c>
      <c r="H275" s="230">
        <v>88055556</v>
      </c>
      <c r="I275" s="230">
        <v>88055556</v>
      </c>
      <c r="J275" s="230">
        <v>88055556</v>
      </c>
      <c r="K275" s="230">
        <v>88055556</v>
      </c>
      <c r="L275" s="230">
        <v>88055556</v>
      </c>
      <c r="M275" s="230">
        <v>88055556</v>
      </c>
      <c r="N275" s="230">
        <v>88055556</v>
      </c>
      <c r="O275" s="230">
        <v>88055556</v>
      </c>
      <c r="P275" s="230">
        <v>88055556</v>
      </c>
      <c r="Q275" s="230">
        <v>88055556</v>
      </c>
      <c r="R275" s="216">
        <f t="shared" ref="R275:R281" si="17">SUM(F275:Q275)</f>
        <v>968611116</v>
      </c>
      <c r="S275" s="316" t="s">
        <v>878</v>
      </c>
      <c r="T275" s="151"/>
      <c r="U275" s="192" t="s">
        <v>749</v>
      </c>
      <c r="V275" s="160"/>
      <c r="W275" s="160"/>
      <c r="BA275"/>
      <c r="BB275"/>
    </row>
    <row r="276" spans="1:54" s="149" customFormat="1" ht="13.5">
      <c r="A276" s="146"/>
      <c r="B276" s="315">
        <v>6006016613</v>
      </c>
      <c r="C276" s="273" t="str">
        <f>IFERROR(IF(VLOOKUP($B276,勘定科目!$A:$H,HLOOKUP($E$5,勘定科目!$F$1:$H$2,2,0),0)="","",VLOOKUP($B276,勘定科目!$A:$E,2,0)),"")</f>
        <v>減価償却費（一般）　工具器具備品</v>
      </c>
      <c r="D276" s="290" t="str">
        <f>IF(C276="","",VLOOKUP($B276,勘定科目!$A:$E,4,0))</f>
        <v>減価償却費</v>
      </c>
      <c r="E276" s="303"/>
      <c r="F276" s="229"/>
      <c r="G276" s="230">
        <v>2500000</v>
      </c>
      <c r="H276" s="230">
        <v>2500000</v>
      </c>
      <c r="I276" s="230">
        <v>2500000</v>
      </c>
      <c r="J276" s="230">
        <v>2500000</v>
      </c>
      <c r="K276" s="230">
        <v>2500000</v>
      </c>
      <c r="L276" s="230">
        <v>2500000</v>
      </c>
      <c r="M276" s="230">
        <v>2500000</v>
      </c>
      <c r="N276" s="230">
        <v>2500000</v>
      </c>
      <c r="O276" s="230">
        <v>2500000</v>
      </c>
      <c r="P276" s="230">
        <v>2500000</v>
      </c>
      <c r="Q276" s="230">
        <v>2500000</v>
      </c>
      <c r="R276" s="216">
        <f t="shared" si="17"/>
        <v>27500000</v>
      </c>
      <c r="S276" s="316" t="s">
        <v>879</v>
      </c>
      <c r="T276" s="151"/>
      <c r="U276" s="192" t="s">
        <v>749</v>
      </c>
      <c r="V276" s="160"/>
      <c r="W276" s="160"/>
      <c r="BA276"/>
      <c r="BB276"/>
    </row>
    <row r="277" spans="1:54" s="149" customFormat="1" ht="13.5">
      <c r="A277" s="146"/>
      <c r="B277" s="315">
        <v>6006016613</v>
      </c>
      <c r="C277" s="273" t="str">
        <f>IFERROR(IF(VLOOKUP($B277,勘定科目!$A:$H,HLOOKUP($E$5,勘定科目!$F$1:$H$2,2,0),0)="","",VLOOKUP($B277,勘定科目!$A:$E,2,0)),"")</f>
        <v>減価償却費（一般）　工具器具備品</v>
      </c>
      <c r="D277" s="290" t="str">
        <f>IF(C277="","",VLOOKUP($B277,勘定科目!$A:$E,4,0))</f>
        <v>減価償却費</v>
      </c>
      <c r="E277" s="303"/>
      <c r="F277" s="229"/>
      <c r="G277" s="230"/>
      <c r="H277" s="230"/>
      <c r="I277" s="230">
        <v>5277778</v>
      </c>
      <c r="J277" s="230">
        <v>5277778</v>
      </c>
      <c r="K277" s="230">
        <v>5277778</v>
      </c>
      <c r="L277" s="230">
        <v>5277778</v>
      </c>
      <c r="M277" s="230">
        <v>5277778</v>
      </c>
      <c r="N277" s="230">
        <v>5277778</v>
      </c>
      <c r="O277" s="230">
        <v>5277778</v>
      </c>
      <c r="P277" s="230">
        <v>5277778</v>
      </c>
      <c r="Q277" s="230">
        <v>5277778</v>
      </c>
      <c r="R277" s="216">
        <f t="shared" si="17"/>
        <v>47500002</v>
      </c>
      <c r="S277" s="316" t="s">
        <v>880</v>
      </c>
      <c r="T277" s="151"/>
      <c r="U277" s="192" t="s">
        <v>749</v>
      </c>
      <c r="V277" s="160"/>
      <c r="W277" s="160"/>
      <c r="BA277"/>
      <c r="BB277"/>
    </row>
    <row r="278" spans="1:54" s="149" customFormat="1" ht="13.5">
      <c r="A278" s="146"/>
      <c r="B278" s="315">
        <v>6006016613</v>
      </c>
      <c r="C278" s="273" t="str">
        <f>IFERROR(IF(VLOOKUP($B278,勘定科目!$A:$H,HLOOKUP($E$5,勘定科目!$F$1:$H$2,2,0),0)="","",VLOOKUP($B278,勘定科目!$A:$E,2,0)),"")</f>
        <v>減価償却費（一般）　工具器具備品</v>
      </c>
      <c r="D278" s="290" t="str">
        <f>IF(C278="","",VLOOKUP($B278,勘定科目!$A:$E,4,0))</f>
        <v>減価償却費</v>
      </c>
      <c r="E278" s="303"/>
      <c r="F278" s="229"/>
      <c r="G278" s="230"/>
      <c r="H278" s="230">
        <v>1127067</v>
      </c>
      <c r="I278" s="230">
        <v>1127067</v>
      </c>
      <c r="J278" s="230">
        <v>1127067</v>
      </c>
      <c r="K278" s="230">
        <v>1127067</v>
      </c>
      <c r="L278" s="230">
        <v>1127067</v>
      </c>
      <c r="M278" s="230">
        <v>1127067</v>
      </c>
      <c r="N278" s="230">
        <v>1127067</v>
      </c>
      <c r="O278" s="230">
        <v>1127067</v>
      </c>
      <c r="P278" s="230">
        <v>1127067</v>
      </c>
      <c r="Q278" s="230">
        <v>1127067</v>
      </c>
      <c r="R278" s="216">
        <f t="shared" si="17"/>
        <v>11270670</v>
      </c>
      <c r="S278" s="316" t="s">
        <v>881</v>
      </c>
      <c r="T278" s="151"/>
      <c r="U278" s="192" t="s">
        <v>749</v>
      </c>
      <c r="V278" s="160"/>
      <c r="W278" s="160"/>
      <c r="BA278"/>
      <c r="BB278"/>
    </row>
    <row r="279" spans="1:54" s="149" customFormat="1" ht="13.5">
      <c r="A279" s="146"/>
      <c r="B279" s="315">
        <v>6006016613</v>
      </c>
      <c r="C279" s="273" t="str">
        <f>IFERROR(IF(VLOOKUP($B279,勘定科目!$A:$H,HLOOKUP($E$5,勘定科目!$F$1:$H$2,2,0),0)="","",VLOOKUP($B279,勘定科目!$A:$E,2,0)),"")</f>
        <v>減価償却費（一般）　工具器具備品</v>
      </c>
      <c r="D279" s="290" t="str">
        <f>IF(C279="","",VLOOKUP($B279,勘定科目!$A:$E,4,0))</f>
        <v>減価償却費</v>
      </c>
      <c r="E279" s="303"/>
      <c r="F279" s="229"/>
      <c r="G279" s="230"/>
      <c r="H279" s="230"/>
      <c r="I279" s="230"/>
      <c r="J279" s="230"/>
      <c r="K279" s="230"/>
      <c r="L279" s="230"/>
      <c r="M279" s="230">
        <v>12500000</v>
      </c>
      <c r="N279" s="230">
        <v>12500000</v>
      </c>
      <c r="O279" s="230">
        <v>12500000</v>
      </c>
      <c r="P279" s="230">
        <v>12500000</v>
      </c>
      <c r="Q279" s="230">
        <v>12500000</v>
      </c>
      <c r="R279" s="216">
        <f t="shared" si="17"/>
        <v>62500000</v>
      </c>
      <c r="S279" s="316" t="s">
        <v>882</v>
      </c>
      <c r="T279" s="151"/>
      <c r="U279" s="192" t="s">
        <v>749</v>
      </c>
      <c r="V279" s="160"/>
      <c r="W279" s="160"/>
      <c r="BA279"/>
      <c r="BB279"/>
    </row>
    <row r="280" spans="1:54" s="149" customFormat="1" ht="13.5">
      <c r="A280" s="146"/>
      <c r="B280" s="315">
        <v>6006016613</v>
      </c>
      <c r="C280" s="273" t="str">
        <f>IFERROR(IF(VLOOKUP($B280,勘定科目!$A:$H,HLOOKUP($E$5,勘定科目!$F$1:$H$2,2,0),0)="","",VLOOKUP($B280,勘定科目!$A:$E,2,0)),"")</f>
        <v>減価償却費（一般）　工具器具備品</v>
      </c>
      <c r="D280" s="290" t="str">
        <f>IF(C280="","",VLOOKUP($B280,勘定科目!$A:$E,4,0))</f>
        <v>減価償却費</v>
      </c>
      <c r="E280" s="303"/>
      <c r="F280" s="229"/>
      <c r="G280" s="230"/>
      <c r="H280" s="230"/>
      <c r="I280" s="230">
        <v>37782738</v>
      </c>
      <c r="J280" s="230">
        <v>37782738</v>
      </c>
      <c r="K280" s="230">
        <v>37782738</v>
      </c>
      <c r="L280" s="230">
        <v>37782738</v>
      </c>
      <c r="M280" s="230">
        <v>37782738</v>
      </c>
      <c r="N280" s="230">
        <v>37782738</v>
      </c>
      <c r="O280" s="230">
        <v>37782738</v>
      </c>
      <c r="P280" s="230">
        <v>37782738</v>
      </c>
      <c r="Q280" s="230">
        <v>37782738</v>
      </c>
      <c r="R280" s="216">
        <f t="shared" si="17"/>
        <v>340044642</v>
      </c>
      <c r="S280" s="316" t="s">
        <v>883</v>
      </c>
      <c r="T280" s="151"/>
      <c r="U280" s="192" t="s">
        <v>749</v>
      </c>
      <c r="V280" s="160"/>
      <c r="W280" s="160"/>
      <c r="BA280"/>
      <c r="BB280"/>
    </row>
    <row r="281" spans="1:54" s="149" customFormat="1" ht="13.5">
      <c r="A281" s="146"/>
      <c r="B281" s="315">
        <v>6006016613</v>
      </c>
      <c r="C281" s="273" t="str">
        <f>IFERROR(IF(VLOOKUP($B281,勘定科目!$A:$H,HLOOKUP($E$5,勘定科目!$F$1:$H$2,2,0),0)="","",VLOOKUP($B281,勘定科目!$A:$E,2,0)),"")</f>
        <v>減価償却費（一般）　工具器具備品</v>
      </c>
      <c r="D281" s="290" t="str">
        <f>IF(C281="","",VLOOKUP($B281,勘定科目!$A:$E,4,0))</f>
        <v>減価償却費</v>
      </c>
      <c r="E281" s="303"/>
      <c r="F281" s="229"/>
      <c r="G281" s="230"/>
      <c r="H281" s="230"/>
      <c r="I281" s="230"/>
      <c r="J281" s="230">
        <v>11111111</v>
      </c>
      <c r="K281" s="230">
        <v>11111111</v>
      </c>
      <c r="L281" s="230">
        <v>11111111</v>
      </c>
      <c r="M281" s="230">
        <v>11111111</v>
      </c>
      <c r="N281" s="230">
        <v>11111111</v>
      </c>
      <c r="O281" s="230">
        <v>11111111</v>
      </c>
      <c r="P281" s="230">
        <v>11111111</v>
      </c>
      <c r="Q281" s="230">
        <v>11111111</v>
      </c>
      <c r="R281" s="216">
        <f t="shared" si="17"/>
        <v>88888888</v>
      </c>
      <c r="S281" s="316" t="s">
        <v>884</v>
      </c>
      <c r="T281" s="151"/>
      <c r="U281" s="192" t="s">
        <v>749</v>
      </c>
      <c r="V281" s="160"/>
      <c r="W281" s="160"/>
      <c r="BA281"/>
      <c r="BB281"/>
    </row>
    <row r="282" spans="1:54" s="149" customFormat="1" ht="13.5">
      <c r="A282" s="146"/>
      <c r="B282" s="263"/>
      <c r="C282" s="273"/>
      <c r="D282" s="290"/>
      <c r="E282" s="303"/>
      <c r="F282" s="229"/>
      <c r="G282" s="230"/>
      <c r="H282" s="230"/>
      <c r="I282" s="230"/>
      <c r="J282" s="230"/>
      <c r="K282" s="230"/>
      <c r="L282" s="230"/>
      <c r="M282" s="230"/>
      <c r="N282" s="230"/>
      <c r="O282" s="230"/>
      <c r="P282" s="230"/>
      <c r="Q282" s="230"/>
      <c r="R282" s="216"/>
      <c r="S282" s="193"/>
      <c r="T282" s="151"/>
      <c r="U282" s="192"/>
      <c r="V282" s="160"/>
      <c r="W282" s="160"/>
      <c r="BA282"/>
      <c r="BB282"/>
    </row>
    <row r="283" spans="1:54" s="149" customFormat="1" ht="13.5">
      <c r="A283" s="146"/>
      <c r="B283" s="263">
        <v>6006016629</v>
      </c>
      <c r="C283" s="273" t="str">
        <f>IFERROR(IF(VLOOKUP($B283,勘定科目!$A:$H,HLOOKUP($E$5,勘定科目!$F$1:$H$2,2,0),0)="","",VLOOKUP($B283,勘定科目!$A:$E,2,0)),"")</f>
        <v>減価償却費配賦（一般）　土地使用権</v>
      </c>
      <c r="D283" s="290" t="str">
        <f>IF(C283="","",VLOOKUP($B283,勘定科目!$A:$E,4,0))</f>
        <v>減価償却費</v>
      </c>
      <c r="E283" s="303"/>
      <c r="F283" s="229">
        <v>90773566</v>
      </c>
      <c r="G283" s="230">
        <v>90769504</v>
      </c>
      <c r="H283" s="230">
        <v>90772805</v>
      </c>
      <c r="I283" s="230">
        <v>90772805</v>
      </c>
      <c r="J283" s="230">
        <v>90771281</v>
      </c>
      <c r="K283" s="230">
        <v>90765188</v>
      </c>
      <c r="L283" s="230">
        <v>90766457</v>
      </c>
      <c r="M283" s="230">
        <v>90765695</v>
      </c>
      <c r="N283" s="230">
        <v>90765949</v>
      </c>
      <c r="O283" s="230">
        <v>90765695</v>
      </c>
      <c r="P283" s="230">
        <v>90765695</v>
      </c>
      <c r="Q283" s="230">
        <v>90765695</v>
      </c>
      <c r="R283" s="216">
        <f t="shared" si="15"/>
        <v>1089220335</v>
      </c>
      <c r="S283" s="193" t="s">
        <v>774</v>
      </c>
      <c r="T283" s="151"/>
      <c r="U283" s="192" t="s">
        <v>748</v>
      </c>
      <c r="V283" s="160"/>
      <c r="W283" s="160"/>
      <c r="BA283"/>
      <c r="BB283"/>
    </row>
    <row r="284" spans="1:54" s="149" customFormat="1" ht="13.5">
      <c r="A284" s="146"/>
      <c r="B284" s="263"/>
      <c r="C284" s="273" t="str">
        <f>IFERROR(IF(VLOOKUP($B284,勘定科目!$A:$H,HLOOKUP($E$5,勘定科目!$F$1:$H$2,2,0),0)="","",VLOOKUP($B284,勘定科目!$A:$E,2,0)),"")</f>
        <v/>
      </c>
      <c r="D284" s="290" t="str">
        <f>IF(C284="","",VLOOKUP($B284,勘定科目!$A:$E,4,0))</f>
        <v/>
      </c>
      <c r="E284" s="303"/>
      <c r="F284" s="229"/>
      <c r="G284" s="230"/>
      <c r="H284" s="230"/>
      <c r="I284" s="230"/>
      <c r="J284" s="230"/>
      <c r="K284" s="230"/>
      <c r="L284" s="230"/>
      <c r="M284" s="230"/>
      <c r="N284" s="230"/>
      <c r="O284" s="230"/>
      <c r="P284" s="230"/>
      <c r="Q284" s="230"/>
      <c r="R284" s="216"/>
      <c r="S284" s="193"/>
      <c r="T284" s="151"/>
      <c r="U284" s="192"/>
      <c r="V284" s="160"/>
      <c r="W284" s="160"/>
      <c r="BA284"/>
      <c r="BB284"/>
    </row>
    <row r="285" spans="1:54" s="149" customFormat="1" ht="13.5">
      <c r="A285" s="146"/>
      <c r="B285" s="263">
        <v>6006016615</v>
      </c>
      <c r="C285" s="273" t="str">
        <f>IFERROR(IF(VLOOKUP($B285,勘定科目!$A:$H,HLOOKUP($E$5,勘定科目!$F$1:$H$2,2,0),0)="","",VLOOKUP($B285,勘定科目!$A:$E,2,0)),"")</f>
        <v>減価償却費（一般）　その他有形固定資産</v>
      </c>
      <c r="D285" s="290" t="str">
        <f>IF(C285="","",VLOOKUP($B285,勘定科目!$A:$E,4,0))</f>
        <v>減価償却費</v>
      </c>
      <c r="E285" s="303"/>
      <c r="F285" s="229"/>
      <c r="G285" s="230"/>
      <c r="H285" s="230"/>
      <c r="I285" s="230"/>
      <c r="J285" s="230"/>
      <c r="K285" s="230"/>
      <c r="L285" s="230"/>
      <c r="M285" s="230"/>
      <c r="N285" s="230"/>
      <c r="O285" s="230"/>
      <c r="P285" s="230"/>
      <c r="Q285" s="230"/>
      <c r="R285" s="216">
        <f t="shared" si="15"/>
        <v>0</v>
      </c>
      <c r="S285" s="193" t="s">
        <v>775</v>
      </c>
      <c r="T285" s="151"/>
      <c r="U285" s="192" t="s">
        <v>749</v>
      </c>
      <c r="V285" s="160"/>
      <c r="W285" s="160"/>
      <c r="BA285"/>
      <c r="BB285"/>
    </row>
    <row r="286" spans="1:54" s="149" customFormat="1" ht="13.5">
      <c r="A286" s="146"/>
      <c r="B286" s="263">
        <v>6006016615</v>
      </c>
      <c r="C286" s="273" t="str">
        <f>IFERROR(IF(VLOOKUP($B286,勘定科目!$A:$H,HLOOKUP($E$5,勘定科目!$F$1:$H$2,2,0),0)="","",VLOOKUP($B286,勘定科目!$A:$E,2,0)),"")</f>
        <v>減価償却費（一般）　その他有形固定資産</v>
      </c>
      <c r="D286" s="290" t="str">
        <f>IF(C286="","",VLOOKUP($B286,勘定科目!$A:$E,4,0))</f>
        <v>減価償却費</v>
      </c>
      <c r="E286" s="303"/>
      <c r="F286" s="229"/>
      <c r="G286" s="230"/>
      <c r="H286" s="230"/>
      <c r="I286" s="230"/>
      <c r="J286" s="230"/>
      <c r="K286" s="230"/>
      <c r="L286" s="230"/>
      <c r="M286" s="230"/>
      <c r="N286" s="230"/>
      <c r="O286" s="230"/>
      <c r="P286" s="230"/>
      <c r="Q286" s="230"/>
      <c r="R286" s="216">
        <f t="shared" si="15"/>
        <v>0</v>
      </c>
      <c r="S286" s="193" t="s">
        <v>776</v>
      </c>
      <c r="T286" s="151"/>
      <c r="U286" s="192" t="s">
        <v>749</v>
      </c>
      <c r="V286" s="160"/>
      <c r="W286" s="160"/>
      <c r="BA286"/>
      <c r="BB286"/>
    </row>
    <row r="287" spans="1:54" s="149" customFormat="1" ht="13.5">
      <c r="A287" s="146"/>
      <c r="B287" s="263">
        <v>6006016615</v>
      </c>
      <c r="C287" s="273" t="str">
        <f>IFERROR(IF(VLOOKUP($B287,勘定科目!$A:$H,HLOOKUP($E$5,勘定科目!$F$1:$H$2,2,0),0)="","",VLOOKUP($B287,勘定科目!$A:$E,2,0)),"")</f>
        <v>減価償却費（一般）　その他有形固定資産</v>
      </c>
      <c r="D287" s="290" t="str">
        <f>IF(C287="","",VLOOKUP($B287,勘定科目!$A:$E,4,0))</f>
        <v>減価償却費</v>
      </c>
      <c r="E287" s="303"/>
      <c r="F287" s="229">
        <v>35495982</v>
      </c>
      <c r="G287" s="229">
        <v>35495982</v>
      </c>
      <c r="H287" s="229">
        <v>35495982</v>
      </c>
      <c r="I287" s="229">
        <v>35495982</v>
      </c>
      <c r="J287" s="229">
        <v>35495982</v>
      </c>
      <c r="K287" s="229">
        <v>35495982</v>
      </c>
      <c r="L287" s="229">
        <v>35495982</v>
      </c>
      <c r="M287" s="229">
        <v>35495982</v>
      </c>
      <c r="N287" s="229">
        <v>35495982</v>
      </c>
      <c r="O287" s="229">
        <v>35495982</v>
      </c>
      <c r="P287" s="229">
        <v>35495982</v>
      </c>
      <c r="Q287" s="229">
        <v>35495982</v>
      </c>
      <c r="R287" s="216">
        <f t="shared" ref="R287:R332" si="18">SUM(F287:Q287)</f>
        <v>425951784</v>
      </c>
      <c r="S287" s="193" t="s">
        <v>777</v>
      </c>
      <c r="T287" s="151"/>
      <c r="U287" s="192" t="s">
        <v>749</v>
      </c>
      <c r="V287" s="160"/>
      <c r="W287" s="160"/>
      <c r="BA287"/>
      <c r="BB287"/>
    </row>
    <row r="288" spans="1:54" s="149" customFormat="1" ht="13.5">
      <c r="A288" s="146"/>
      <c r="B288" s="263">
        <v>6006016615</v>
      </c>
      <c r="C288" s="273" t="str">
        <f>IFERROR(IF(VLOOKUP($B288,勘定科目!$A:$H,HLOOKUP($E$5,勘定科目!$F$1:$H$2,2,0),0)="","",VLOOKUP($B288,勘定科目!$A:$E,2,0)),"")</f>
        <v>減価償却費（一般）　その他有形固定資産</v>
      </c>
      <c r="D288" s="290" t="str">
        <f>IF(C288="","",VLOOKUP($B288,勘定科目!$A:$E,4,0))</f>
        <v>減価償却費</v>
      </c>
      <c r="E288" s="303"/>
      <c r="F288" s="229">
        <v>37662510</v>
      </c>
      <c r="G288" s="229">
        <v>37662510</v>
      </c>
      <c r="H288" s="229">
        <v>37662510</v>
      </c>
      <c r="I288" s="229">
        <v>37662510</v>
      </c>
      <c r="J288" s="229">
        <v>37662510</v>
      </c>
      <c r="K288" s="229">
        <v>37662510</v>
      </c>
      <c r="L288" s="229">
        <v>37662510</v>
      </c>
      <c r="M288" s="229">
        <v>37662510</v>
      </c>
      <c r="N288" s="229">
        <v>37662510</v>
      </c>
      <c r="O288" s="229">
        <v>37662510</v>
      </c>
      <c r="P288" s="229">
        <v>37662510</v>
      </c>
      <c r="Q288" s="229">
        <v>37662510</v>
      </c>
      <c r="R288" s="216">
        <f t="shared" si="18"/>
        <v>451950120</v>
      </c>
      <c r="S288" s="193" t="s">
        <v>778</v>
      </c>
      <c r="T288" s="151"/>
      <c r="U288" s="192" t="s">
        <v>749</v>
      </c>
      <c r="V288" s="160"/>
      <c r="W288" s="160"/>
      <c r="BA288"/>
      <c r="BB288"/>
    </row>
    <row r="289" spans="1:54" s="149" customFormat="1" ht="13.5">
      <c r="A289" s="146"/>
      <c r="B289" s="263">
        <v>6006016615</v>
      </c>
      <c r="C289" s="273" t="str">
        <f>IFERROR(IF(VLOOKUP($B289,勘定科目!$A:$H,HLOOKUP($E$5,勘定科目!$F$1:$H$2,2,0),0)="","",VLOOKUP($B289,勘定科目!$A:$E,2,0)),"")</f>
        <v>減価償却費（一般）　その他有形固定資産</v>
      </c>
      <c r="D289" s="290" t="str">
        <f>IF(C289="","",VLOOKUP($B289,勘定科目!$A:$E,4,0))</f>
        <v>減価償却費</v>
      </c>
      <c r="E289" s="303"/>
      <c r="F289" s="229">
        <v>5196825</v>
      </c>
      <c r="G289" s="229">
        <v>5196825</v>
      </c>
      <c r="H289" s="229">
        <v>5196825</v>
      </c>
      <c r="I289" s="229">
        <v>5196825</v>
      </c>
      <c r="J289" s="229">
        <v>5196825</v>
      </c>
      <c r="K289" s="229">
        <v>5196825</v>
      </c>
      <c r="L289" s="229">
        <v>5196825</v>
      </c>
      <c r="M289" s="229">
        <v>5196825</v>
      </c>
      <c r="N289" s="229">
        <v>5196825</v>
      </c>
      <c r="O289" s="229">
        <v>5196825</v>
      </c>
      <c r="P289" s="229">
        <v>5196825</v>
      </c>
      <c r="Q289" s="229">
        <v>5196825</v>
      </c>
      <c r="R289" s="216">
        <f t="shared" si="18"/>
        <v>62361900</v>
      </c>
      <c r="S289" s="193" t="s">
        <v>779</v>
      </c>
      <c r="T289" s="151"/>
      <c r="U289" s="192" t="s">
        <v>749</v>
      </c>
      <c r="V289" s="160"/>
      <c r="W289" s="160"/>
      <c r="BA289"/>
      <c r="BB289"/>
    </row>
    <row r="290" spans="1:54" s="149" customFormat="1" ht="13.5">
      <c r="A290" s="146"/>
      <c r="B290" s="263">
        <v>6006016615</v>
      </c>
      <c r="C290" s="273" t="str">
        <f>IFERROR(IF(VLOOKUP($B290,勘定科目!$A:$H,HLOOKUP($E$5,勘定科目!$F$1:$H$2,2,0),0)="","",VLOOKUP($B290,勘定科目!$A:$E,2,0)),"")</f>
        <v>減価償却費（一般）　その他有形固定資産</v>
      </c>
      <c r="D290" s="290" t="str">
        <f>IF(C290="","",VLOOKUP($B290,勘定科目!$A:$E,4,0))</f>
        <v>減価償却費</v>
      </c>
      <c r="E290" s="303"/>
      <c r="F290" s="229"/>
      <c r="G290" s="230"/>
      <c r="H290" s="230"/>
      <c r="I290" s="230"/>
      <c r="J290" s="230"/>
      <c r="K290" s="230"/>
      <c r="L290" s="230"/>
      <c r="M290" s="230"/>
      <c r="N290" s="230"/>
      <c r="O290" s="230"/>
      <c r="P290" s="230"/>
      <c r="Q290" s="230"/>
      <c r="R290" s="216">
        <f t="shared" si="18"/>
        <v>0</v>
      </c>
      <c r="S290" s="193" t="s">
        <v>780</v>
      </c>
      <c r="T290" s="151"/>
      <c r="U290" s="192" t="s">
        <v>749</v>
      </c>
      <c r="V290" s="160"/>
      <c r="W290" s="160"/>
      <c r="BA290"/>
      <c r="BB290"/>
    </row>
    <row r="291" spans="1:54" s="149" customFormat="1" ht="13.5">
      <c r="A291" s="146"/>
      <c r="B291" s="263">
        <v>6006016615</v>
      </c>
      <c r="C291" s="273" t="str">
        <f>IFERROR(IF(VLOOKUP($B291,勘定科目!$A:$H,HLOOKUP($E$5,勘定科目!$F$1:$H$2,2,0),0)="","",VLOOKUP($B291,勘定科目!$A:$E,2,0)),"")</f>
        <v>減価償却費（一般）　その他有形固定資産</v>
      </c>
      <c r="D291" s="290" t="str">
        <f>IF(C291="","",VLOOKUP($B291,勘定科目!$A:$E,4,0))</f>
        <v>減価償却費</v>
      </c>
      <c r="E291" s="303"/>
      <c r="F291" s="229"/>
      <c r="G291" s="230"/>
      <c r="H291" s="230"/>
      <c r="I291" s="230"/>
      <c r="J291" s="230"/>
      <c r="K291" s="230"/>
      <c r="L291" s="230"/>
      <c r="M291" s="230"/>
      <c r="N291" s="230"/>
      <c r="O291" s="230"/>
      <c r="P291" s="230"/>
      <c r="Q291" s="230"/>
      <c r="R291" s="216">
        <f t="shared" si="18"/>
        <v>0</v>
      </c>
      <c r="S291" s="193" t="s">
        <v>781</v>
      </c>
      <c r="T291" s="151"/>
      <c r="U291" s="192" t="s">
        <v>749</v>
      </c>
      <c r="V291" s="160"/>
      <c r="W291" s="160"/>
      <c r="BA291"/>
      <c r="BB291"/>
    </row>
    <row r="292" spans="1:54" s="149" customFormat="1" ht="13.5">
      <c r="A292" s="146"/>
      <c r="B292" s="263">
        <v>6006016615</v>
      </c>
      <c r="C292" s="273" t="str">
        <f>IFERROR(IF(VLOOKUP($B292,勘定科目!$A:$H,HLOOKUP($E$5,勘定科目!$F$1:$H$2,2,0),0)="","",VLOOKUP($B292,勘定科目!$A:$E,2,0)),"")</f>
        <v>減価償却費（一般）　その他有形固定資産</v>
      </c>
      <c r="D292" s="290" t="str">
        <f>IF(C292="","",VLOOKUP($B292,勘定科目!$A:$E,4,0))</f>
        <v>減価償却費</v>
      </c>
      <c r="E292" s="303"/>
      <c r="F292" s="229"/>
      <c r="G292" s="230"/>
      <c r="H292" s="230"/>
      <c r="I292" s="230"/>
      <c r="J292" s="230"/>
      <c r="K292" s="230"/>
      <c r="L292" s="230"/>
      <c r="M292" s="230"/>
      <c r="N292" s="230"/>
      <c r="O292" s="230"/>
      <c r="P292" s="230"/>
      <c r="Q292" s="230"/>
      <c r="R292" s="216">
        <f t="shared" si="18"/>
        <v>0</v>
      </c>
      <c r="S292" s="193" t="s">
        <v>782</v>
      </c>
      <c r="T292" s="151"/>
      <c r="U292" s="192" t="s">
        <v>749</v>
      </c>
      <c r="V292" s="160"/>
      <c r="W292" s="160"/>
      <c r="BA292"/>
      <c r="BB292"/>
    </row>
    <row r="293" spans="1:54" s="149" customFormat="1" ht="13.5">
      <c r="A293" s="146"/>
      <c r="B293" s="263">
        <v>6006016615</v>
      </c>
      <c r="C293" s="273" t="str">
        <f>IFERROR(IF(VLOOKUP($B293,勘定科目!$A:$H,HLOOKUP($E$5,勘定科目!$F$1:$H$2,2,0),0)="","",VLOOKUP($B293,勘定科目!$A:$E,2,0)),"")</f>
        <v>減価償却費（一般）　その他有形固定資産</v>
      </c>
      <c r="D293" s="290" t="str">
        <f>IF(C293="","",VLOOKUP($B293,勘定科目!$A:$E,4,0))</f>
        <v>減価償却費</v>
      </c>
      <c r="E293" s="303"/>
      <c r="F293" s="229"/>
      <c r="G293" s="230"/>
      <c r="H293" s="230"/>
      <c r="I293" s="230"/>
      <c r="J293" s="230"/>
      <c r="K293" s="230"/>
      <c r="L293" s="230"/>
      <c r="M293" s="230"/>
      <c r="N293" s="230"/>
      <c r="O293" s="230"/>
      <c r="P293" s="230"/>
      <c r="Q293" s="230"/>
      <c r="R293" s="216">
        <f t="shared" si="18"/>
        <v>0</v>
      </c>
      <c r="S293" s="193" t="s">
        <v>783</v>
      </c>
      <c r="T293" s="151"/>
      <c r="U293" s="192" t="s">
        <v>749</v>
      </c>
      <c r="V293" s="160"/>
      <c r="W293" s="160"/>
      <c r="BA293"/>
      <c r="BB293"/>
    </row>
    <row r="294" spans="1:54" s="149" customFormat="1" ht="13.5">
      <c r="A294" s="146"/>
      <c r="B294" s="317">
        <v>6006016615</v>
      </c>
      <c r="C294" s="273" t="str">
        <f>IFERROR(IF(VLOOKUP($B294,勘定科目!$A:$H,HLOOKUP($E$5,勘定科目!$F$1:$H$2,2,0),0)="","",VLOOKUP($B294,勘定科目!$A:$E,2,0)),"")</f>
        <v>減価償却費（一般）　その他有形固定資産</v>
      </c>
      <c r="D294" s="290" t="str">
        <f>IF(C294="","",VLOOKUP($B294,勘定科目!$A:$E,4,0))</f>
        <v>減価償却費</v>
      </c>
      <c r="E294" s="303"/>
      <c r="F294" s="229">
        <v>3247889</v>
      </c>
      <c r="G294" s="229">
        <v>3247889</v>
      </c>
      <c r="H294" s="229">
        <v>3247889</v>
      </c>
      <c r="I294" s="229">
        <v>3247889</v>
      </c>
      <c r="J294" s="229">
        <v>3247889</v>
      </c>
      <c r="K294" s="229">
        <v>3247889</v>
      </c>
      <c r="L294" s="229">
        <v>3247889</v>
      </c>
      <c r="M294" s="230">
        <v>116794</v>
      </c>
      <c r="N294" s="230">
        <v>0</v>
      </c>
      <c r="O294" s="230"/>
      <c r="P294" s="230"/>
      <c r="Q294" s="230"/>
      <c r="R294" s="216">
        <f t="shared" si="18"/>
        <v>22852017</v>
      </c>
      <c r="S294" s="193" t="s">
        <v>956</v>
      </c>
      <c r="T294" s="151"/>
      <c r="U294" s="192" t="s">
        <v>749</v>
      </c>
      <c r="V294" s="160"/>
      <c r="W294" s="160"/>
      <c r="BA294"/>
      <c r="BB294"/>
    </row>
    <row r="295" spans="1:54" s="149" customFormat="1" ht="13.5">
      <c r="A295" s="146"/>
      <c r="B295" s="263">
        <v>6006016615</v>
      </c>
      <c r="C295" s="273" t="str">
        <f>IFERROR(IF(VLOOKUP($B295,勘定科目!$A:$H,HLOOKUP($E$5,勘定科目!$F$1:$H$2,2,0),0)="","",VLOOKUP($B295,勘定科目!$A:$E,2,0)),"")</f>
        <v>減価償却費（一般）　その他有形固定資産</v>
      </c>
      <c r="D295" s="290" t="str">
        <f>IF(C295="","",VLOOKUP($B295,勘定科目!$A:$E,4,0))</f>
        <v>減価償却費</v>
      </c>
      <c r="E295" s="303"/>
      <c r="F295" s="229">
        <v>60576224</v>
      </c>
      <c r="G295" s="229">
        <v>60576224</v>
      </c>
      <c r="H295" s="229">
        <v>60576224</v>
      </c>
      <c r="I295" s="229">
        <v>60576224</v>
      </c>
      <c r="J295" s="229">
        <v>60576224</v>
      </c>
      <c r="K295" s="229">
        <v>60576224</v>
      </c>
      <c r="L295" s="229">
        <v>60576224</v>
      </c>
      <c r="M295" s="229">
        <v>60576224</v>
      </c>
      <c r="N295" s="229">
        <v>60576224</v>
      </c>
      <c r="O295" s="229">
        <v>60576224</v>
      </c>
      <c r="P295" s="229">
        <v>60576224</v>
      </c>
      <c r="Q295" s="229">
        <v>60576224</v>
      </c>
      <c r="R295" s="216">
        <f t="shared" si="18"/>
        <v>726914688</v>
      </c>
      <c r="S295" s="193" t="s">
        <v>957</v>
      </c>
      <c r="T295" s="151"/>
      <c r="U295" s="192" t="s">
        <v>749</v>
      </c>
      <c r="V295" s="160"/>
      <c r="W295" s="160"/>
      <c r="BA295"/>
      <c r="BB295"/>
    </row>
    <row r="296" spans="1:54" s="149" customFormat="1" ht="13.5">
      <c r="A296" s="146"/>
      <c r="B296" s="263">
        <v>6006016615</v>
      </c>
      <c r="C296" s="273" t="str">
        <f>IFERROR(IF(VLOOKUP($B296,勘定科目!$A:$H,HLOOKUP($E$5,勘定科目!$F$1:$H$2,2,0),0)="","",VLOOKUP($B296,勘定科目!$A:$E,2,0)),"")</f>
        <v>減価償却費（一般）　その他有形固定資産</v>
      </c>
      <c r="D296" s="290" t="str">
        <f>IF(C296="","",VLOOKUP($B296,勘定科目!$A:$E,4,0))</f>
        <v>減価償却費</v>
      </c>
      <c r="E296" s="303"/>
      <c r="F296" s="229">
        <v>44739719</v>
      </c>
      <c r="G296" s="229">
        <v>44739719</v>
      </c>
      <c r="H296" s="229">
        <v>44739719</v>
      </c>
      <c r="I296" s="229">
        <v>44739719</v>
      </c>
      <c r="J296" s="229">
        <v>44739719</v>
      </c>
      <c r="K296" s="229">
        <v>44739719</v>
      </c>
      <c r="L296" s="229">
        <v>44739719</v>
      </c>
      <c r="M296" s="229">
        <v>44739719</v>
      </c>
      <c r="N296" s="229">
        <v>44739719</v>
      </c>
      <c r="O296" s="229">
        <v>44739719</v>
      </c>
      <c r="P296" s="229">
        <v>44739719</v>
      </c>
      <c r="Q296" s="229">
        <v>44739719</v>
      </c>
      <c r="R296" s="216">
        <f t="shared" si="18"/>
        <v>536876628</v>
      </c>
      <c r="S296" s="193" t="s">
        <v>958</v>
      </c>
      <c r="T296" s="151"/>
      <c r="U296" s="192" t="s">
        <v>749</v>
      </c>
      <c r="V296" s="160"/>
      <c r="W296" s="160"/>
      <c r="BA296"/>
      <c r="BB296"/>
    </row>
    <row r="297" spans="1:54" s="149" customFormat="1" ht="13.5">
      <c r="A297" s="146"/>
      <c r="B297" s="263">
        <v>6006016615</v>
      </c>
      <c r="C297" s="273" t="str">
        <f>IFERROR(IF(VLOOKUP($B297,勘定科目!$A:$H,HLOOKUP($E$5,勘定科目!$F$1:$H$2,2,0),0)="","",VLOOKUP($B297,勘定科目!$A:$E,2,0)),"")</f>
        <v>減価償却費（一般）　その他有形固定資産</v>
      </c>
      <c r="D297" s="290" t="str">
        <f>IF(C297="","",VLOOKUP($B297,勘定科目!$A:$E,4,0))</f>
        <v>減価償却費</v>
      </c>
      <c r="E297" s="303"/>
      <c r="F297" s="229">
        <v>54624554</v>
      </c>
      <c r="G297" s="229">
        <v>54624554</v>
      </c>
      <c r="H297" s="229">
        <v>54624554</v>
      </c>
      <c r="I297" s="229">
        <v>54624554</v>
      </c>
      <c r="J297" s="229">
        <v>54624554</v>
      </c>
      <c r="K297" s="229">
        <v>54624554</v>
      </c>
      <c r="L297" s="229">
        <v>54624554</v>
      </c>
      <c r="M297" s="229">
        <v>54624554</v>
      </c>
      <c r="N297" s="229">
        <v>54624554</v>
      </c>
      <c r="O297" s="229">
        <v>54624554</v>
      </c>
      <c r="P297" s="229">
        <v>54624554</v>
      </c>
      <c r="Q297" s="229">
        <v>54624554</v>
      </c>
      <c r="R297" s="216">
        <f t="shared" si="18"/>
        <v>655494648</v>
      </c>
      <c r="S297" s="193" t="s">
        <v>959</v>
      </c>
      <c r="T297" s="151"/>
      <c r="U297" s="192" t="s">
        <v>749</v>
      </c>
      <c r="V297" s="160"/>
      <c r="W297" s="160"/>
      <c r="BA297"/>
      <c r="BB297"/>
    </row>
    <row r="298" spans="1:54" s="149" customFormat="1" ht="13.5">
      <c r="A298" s="146"/>
      <c r="B298" s="263">
        <v>6006016615</v>
      </c>
      <c r="C298" s="273" t="str">
        <f>IFERROR(IF(VLOOKUP($B298,勘定科目!$A:$H,HLOOKUP($E$5,勘定科目!$F$1:$H$2,2,0),0)="","",VLOOKUP($B298,勘定科目!$A:$E,2,0)),"")</f>
        <v>減価償却費（一般）　その他有形固定資産</v>
      </c>
      <c r="D298" s="290" t="str">
        <f>IF(C298="","",VLOOKUP($B298,勘定科目!$A:$E,4,0))</f>
        <v>減価償却費</v>
      </c>
      <c r="E298" s="303"/>
      <c r="F298" s="229">
        <v>43133040</v>
      </c>
      <c r="G298" s="229">
        <v>43133040</v>
      </c>
      <c r="H298" s="229">
        <v>43133040</v>
      </c>
      <c r="I298" s="229">
        <v>43133040</v>
      </c>
      <c r="J298" s="229">
        <v>43133040</v>
      </c>
      <c r="K298" s="229">
        <v>43133040</v>
      </c>
      <c r="L298" s="229">
        <v>43133040</v>
      </c>
      <c r="M298" s="229">
        <v>43133040</v>
      </c>
      <c r="N298" s="229">
        <v>43133040</v>
      </c>
      <c r="O298" s="229">
        <v>43133040</v>
      </c>
      <c r="P298" s="229">
        <v>43133040</v>
      </c>
      <c r="Q298" s="229">
        <v>43133040</v>
      </c>
      <c r="R298" s="216">
        <f t="shared" si="18"/>
        <v>517596480</v>
      </c>
      <c r="S298" s="193" t="s">
        <v>960</v>
      </c>
      <c r="T298" s="151"/>
      <c r="U298" s="192" t="s">
        <v>749</v>
      </c>
      <c r="V298" s="160"/>
      <c r="W298" s="160"/>
      <c r="BA298"/>
      <c r="BB298"/>
    </row>
    <row r="299" spans="1:54" s="149" customFormat="1" ht="13.5">
      <c r="A299" s="146"/>
      <c r="B299" s="263">
        <v>6006016615</v>
      </c>
      <c r="C299" s="273" t="str">
        <f>IFERROR(IF(VLOOKUP($B299,勘定科目!$A:$H,HLOOKUP($E$5,勘定科目!$F$1:$H$2,2,0),0)="","",VLOOKUP($B299,勘定科目!$A:$E,2,0)),"")</f>
        <v>減価償却費（一般）　その他有形固定資産</v>
      </c>
      <c r="D299" s="290" t="str">
        <f>IF(C299="","",VLOOKUP($B299,勘定科目!$A:$E,4,0))</f>
        <v>減価償却費</v>
      </c>
      <c r="E299" s="303"/>
      <c r="F299" s="229">
        <v>5675935</v>
      </c>
      <c r="G299" s="229">
        <v>5675935</v>
      </c>
      <c r="H299" s="229">
        <v>5675935</v>
      </c>
      <c r="I299" s="229">
        <v>5675935</v>
      </c>
      <c r="J299" s="229">
        <v>5675935</v>
      </c>
      <c r="K299" s="229">
        <v>5675935</v>
      </c>
      <c r="L299" s="229">
        <v>5675935</v>
      </c>
      <c r="M299" s="229">
        <v>5675935</v>
      </c>
      <c r="N299" s="229">
        <v>5675935</v>
      </c>
      <c r="O299" s="229">
        <v>5675935</v>
      </c>
      <c r="P299" s="229">
        <v>5675935</v>
      </c>
      <c r="Q299" s="229">
        <v>5675935</v>
      </c>
      <c r="R299" s="216">
        <f t="shared" si="18"/>
        <v>68111220</v>
      </c>
      <c r="S299" s="193" t="s">
        <v>961</v>
      </c>
      <c r="T299" s="151"/>
      <c r="U299" s="192" t="s">
        <v>749</v>
      </c>
      <c r="V299" s="160"/>
      <c r="W299" s="160"/>
      <c r="BA299"/>
      <c r="BB299"/>
    </row>
    <row r="300" spans="1:54" s="149" customFormat="1" ht="13.5">
      <c r="A300" s="146"/>
      <c r="B300" s="263"/>
      <c r="C300" s="273"/>
      <c r="D300" s="290"/>
      <c r="E300" s="303"/>
      <c r="F300" s="229"/>
      <c r="G300" s="230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16"/>
      <c r="S300" s="193"/>
      <c r="T300" s="151"/>
      <c r="U300" s="192"/>
      <c r="V300" s="160"/>
      <c r="W300" s="160"/>
      <c r="BA300"/>
      <c r="BB300"/>
    </row>
    <row r="301" spans="1:54" s="149" customFormat="1" ht="13.5">
      <c r="A301" s="146"/>
      <c r="B301" s="263">
        <v>6006016630</v>
      </c>
      <c r="C301" s="273" t="str">
        <f>IFERROR(IF(VLOOKUP($B301,勘定科目!$A:$H,HLOOKUP($E$5,勘定科目!$F$1:$H$2,2,0),0)="","",VLOOKUP($B301,勘定科目!$A:$E,2,0)),"")</f>
        <v>減価償却費（一般）機械装置</v>
      </c>
      <c r="D301" s="290" t="str">
        <f>IF(C301="","",VLOOKUP($B301,勘定科目!$A:$E,4,0))</f>
        <v>減価償却費</v>
      </c>
      <c r="E301" s="303"/>
      <c r="F301" s="229">
        <v>1210354249</v>
      </c>
      <c r="G301" s="229">
        <v>1210354249</v>
      </c>
      <c r="H301" s="229">
        <v>1210354249</v>
      </c>
      <c r="I301" s="229">
        <v>1210354249</v>
      </c>
      <c r="J301" s="229">
        <v>1210354249</v>
      </c>
      <c r="K301" s="229">
        <v>1210354249</v>
      </c>
      <c r="L301" s="229">
        <v>1210354249</v>
      </c>
      <c r="M301" s="229">
        <v>1210354249</v>
      </c>
      <c r="N301" s="229">
        <v>1210354249</v>
      </c>
      <c r="O301" s="229">
        <v>1210354249</v>
      </c>
      <c r="P301" s="229">
        <v>1210354249</v>
      </c>
      <c r="Q301" s="229">
        <v>1210354249</v>
      </c>
      <c r="R301" s="216">
        <f t="shared" si="18"/>
        <v>14524250988</v>
      </c>
      <c r="S301" s="193" t="s">
        <v>962</v>
      </c>
      <c r="T301" s="151"/>
      <c r="U301" s="192" t="s">
        <v>749</v>
      </c>
      <c r="V301" s="160"/>
      <c r="W301" s="160"/>
      <c r="BA301"/>
      <c r="BB301"/>
    </row>
    <row r="302" spans="1:54" s="149" customFormat="1" ht="13.5">
      <c r="A302" s="146"/>
      <c r="B302" s="263"/>
      <c r="C302" s="273"/>
      <c r="D302" s="290"/>
      <c r="E302" s="303"/>
      <c r="F302" s="229"/>
      <c r="G302" s="230"/>
      <c r="H302" s="230"/>
      <c r="I302" s="230"/>
      <c r="J302" s="230"/>
      <c r="K302" s="230"/>
      <c r="L302" s="230"/>
      <c r="M302" s="230"/>
      <c r="N302" s="230"/>
      <c r="O302" s="230"/>
      <c r="P302" s="230"/>
      <c r="Q302" s="230"/>
      <c r="R302" s="216"/>
      <c r="S302" s="193"/>
      <c r="T302" s="151"/>
      <c r="U302" s="192"/>
      <c r="V302" s="160"/>
      <c r="W302" s="160"/>
      <c r="BA302"/>
      <c r="BB302"/>
    </row>
    <row r="303" spans="1:54" s="149" customFormat="1" ht="13.5">
      <c r="A303" s="146"/>
      <c r="B303" s="263">
        <v>6005146627</v>
      </c>
      <c r="C303" s="273" t="str">
        <f>IFERROR(IF(VLOOKUP($B303,勘定科目!$A:$H,HLOOKUP($E$5,勘定科目!$F$1:$H$2,2,0),0)="","",VLOOKUP($B303,勘定科目!$A:$E,2,0)),"")</f>
        <v>図書印刷費（一般）</v>
      </c>
      <c r="D303" s="290" t="str">
        <f>IF(C303="","",VLOOKUP($B303,勘定科目!$A:$E,4,0))</f>
        <v>図書及び事務費</v>
      </c>
      <c r="E303" s="303"/>
      <c r="F303" s="229"/>
      <c r="G303" s="230"/>
      <c r="H303" s="230"/>
      <c r="I303" s="230"/>
      <c r="J303" s="230"/>
      <c r="K303" s="230"/>
      <c r="L303" s="230"/>
      <c r="M303" s="230">
        <f>800*14</f>
        <v>11200</v>
      </c>
      <c r="N303" s="230"/>
      <c r="O303" s="230"/>
      <c r="P303" s="230"/>
      <c r="Q303" s="230"/>
      <c r="R303" s="216">
        <f t="shared" si="18"/>
        <v>11200</v>
      </c>
      <c r="S303" s="193" t="s">
        <v>875</v>
      </c>
      <c r="T303" s="151"/>
      <c r="U303" s="192" t="s">
        <v>734</v>
      </c>
      <c r="V303" s="160"/>
      <c r="W303" s="160"/>
      <c r="BA303"/>
      <c r="BB303"/>
    </row>
    <row r="304" spans="1:54" s="149" customFormat="1" ht="13.5">
      <c r="A304" s="146"/>
      <c r="B304" s="263"/>
      <c r="C304" s="273" t="str">
        <f>IFERROR(IF(VLOOKUP($B304,勘定科目!$A:$H,HLOOKUP($E$5,勘定科目!$F$1:$H$2,2,0),0)="","",VLOOKUP($B304,勘定科目!$A:$E,2,0)),"")</f>
        <v/>
      </c>
      <c r="D304" s="290" t="str">
        <f>IF(C304="","",VLOOKUP($B304,勘定科目!$A:$E,4,0))</f>
        <v/>
      </c>
      <c r="E304" s="303"/>
      <c r="F304" s="229"/>
      <c r="G304" s="230"/>
      <c r="H304" s="230"/>
      <c r="I304" s="230"/>
      <c r="J304" s="230"/>
      <c r="K304" s="230"/>
      <c r="L304" s="230"/>
      <c r="M304" s="230"/>
      <c r="N304" s="230"/>
      <c r="O304" s="230"/>
      <c r="P304" s="230"/>
      <c r="Q304" s="230"/>
      <c r="R304" s="216"/>
      <c r="S304" s="193"/>
      <c r="T304" s="151"/>
      <c r="U304" s="192"/>
      <c r="V304" s="160"/>
      <c r="W304" s="160"/>
      <c r="BA304"/>
      <c r="BB304"/>
    </row>
    <row r="305" spans="1:54" s="149" customFormat="1" ht="13.5">
      <c r="A305" s="146"/>
      <c r="B305" s="263">
        <v>6004086651</v>
      </c>
      <c r="C305" s="273" t="str">
        <f>IFERROR(IF(VLOOKUP($B305,勘定科目!$A:$H,HLOOKUP($E$5,勘定科目!$F$1:$H$2,2,0),0)="","",VLOOKUP($B305,勘定科目!$A:$E,2,0)),"")</f>
        <v>福利厚生費（一般）</v>
      </c>
      <c r="D305" s="290" t="str">
        <f>IF(C305="","",VLOOKUP($B305,勘定科目!$A:$E,4,0))</f>
        <v>福利厚生費</v>
      </c>
      <c r="E305" s="303"/>
      <c r="F305" s="229"/>
      <c r="G305" s="230"/>
      <c r="H305" s="230"/>
      <c r="I305" s="230"/>
      <c r="J305" s="230"/>
      <c r="K305" s="230"/>
      <c r="L305" s="230"/>
      <c r="M305" s="230">
        <f>107000*14</f>
        <v>1498000</v>
      </c>
      <c r="N305" s="230"/>
      <c r="O305" s="230"/>
      <c r="P305" s="230"/>
      <c r="Q305" s="230"/>
      <c r="R305" s="216">
        <f t="shared" si="18"/>
        <v>1498000</v>
      </c>
      <c r="S305" s="193" t="s">
        <v>785</v>
      </c>
      <c r="T305" s="151"/>
      <c r="U305" s="192" t="s">
        <v>734</v>
      </c>
      <c r="V305" s="160"/>
      <c r="W305" s="160"/>
      <c r="BA305"/>
      <c r="BB305"/>
    </row>
    <row r="306" spans="1:54" s="149" customFormat="1" ht="13.5">
      <c r="A306" s="146"/>
      <c r="B306" s="263">
        <v>6004086651</v>
      </c>
      <c r="C306" s="273" t="str">
        <f>IFERROR(IF(VLOOKUP($B306,勘定科目!$A:$H,HLOOKUP($E$5,勘定科目!$F$1:$H$2,2,0),0)="","",VLOOKUP($B306,勘定科目!$A:$E,2,0)),"")</f>
        <v>福利厚生費（一般）</v>
      </c>
      <c r="D306" s="290" t="str">
        <f>IF(C306="","",VLOOKUP($B306,勘定科目!$A:$E,4,0))</f>
        <v>福利厚生費</v>
      </c>
      <c r="E306" s="303"/>
      <c r="F306" s="229"/>
      <c r="G306" s="230"/>
      <c r="H306" s="230"/>
      <c r="I306" s="230"/>
      <c r="J306" s="230"/>
      <c r="K306" s="230"/>
      <c r="L306" s="230"/>
      <c r="M306" s="230"/>
      <c r="N306" s="230"/>
      <c r="O306" s="230"/>
      <c r="P306" s="230"/>
      <c r="Q306" s="230"/>
      <c r="R306" s="216">
        <f t="shared" si="18"/>
        <v>0</v>
      </c>
      <c r="S306" s="193" t="s">
        <v>859</v>
      </c>
      <c r="T306" s="151"/>
      <c r="U306" s="192" t="s">
        <v>723</v>
      </c>
      <c r="V306" s="160"/>
      <c r="W306" s="160"/>
      <c r="BA306"/>
      <c r="BB306"/>
    </row>
    <row r="307" spans="1:54" s="149" customFormat="1" ht="13.5">
      <c r="A307" s="146"/>
      <c r="B307" s="263">
        <v>6004086651</v>
      </c>
      <c r="C307" s="273" t="str">
        <f>IFERROR(IF(VLOOKUP($B307,勘定科目!$A:$H,HLOOKUP($E$5,勘定科目!$F$1:$H$2,2,0),0)="","",VLOOKUP($B307,勘定科目!$A:$E,2,0)),"")</f>
        <v>福利厚生費（一般）</v>
      </c>
      <c r="D307" s="290" t="str">
        <f>IF(C307="","",VLOOKUP($B307,勘定科目!$A:$E,4,0))</f>
        <v>福利厚生費</v>
      </c>
      <c r="E307" s="303"/>
      <c r="F307" s="229">
        <v>163000</v>
      </c>
      <c r="G307" s="229">
        <v>163000</v>
      </c>
      <c r="H307" s="230"/>
      <c r="I307" s="230"/>
      <c r="J307" s="230">
        <f>163000*2</f>
        <v>326000</v>
      </c>
      <c r="K307" s="230"/>
      <c r="L307" s="230">
        <f>163000*2</f>
        <v>326000</v>
      </c>
      <c r="M307" s="230">
        <f>163000*2</f>
        <v>326000</v>
      </c>
      <c r="N307" s="230">
        <f>163000*2</f>
        <v>326000</v>
      </c>
      <c r="O307" s="230">
        <f>163000*2</f>
        <v>326000</v>
      </c>
      <c r="P307" s="230">
        <v>163000</v>
      </c>
      <c r="Q307" s="230">
        <v>163000</v>
      </c>
      <c r="R307" s="216">
        <f t="shared" si="18"/>
        <v>2282000</v>
      </c>
      <c r="S307" s="193" t="s">
        <v>786</v>
      </c>
      <c r="T307" s="151"/>
      <c r="U307" s="192" t="s">
        <v>734</v>
      </c>
      <c r="V307" s="160"/>
      <c r="W307" s="160"/>
      <c r="BA307"/>
      <c r="BB307"/>
    </row>
    <row r="308" spans="1:54" s="149" customFormat="1" ht="13.5">
      <c r="A308" s="146"/>
      <c r="B308" s="263">
        <v>6004086651</v>
      </c>
      <c r="C308" s="273" t="str">
        <f>IFERROR(IF(VLOOKUP($B308,勘定科目!$A:$H,HLOOKUP($E$5,勘定科目!$F$1:$H$2,2,0),0)="","",VLOOKUP($B308,勘定科目!$A:$E,2,0)),"")</f>
        <v>福利厚生費（一般）</v>
      </c>
      <c r="D308" s="290" t="str">
        <f>IF(C308="","",VLOOKUP($B308,勘定科目!$A:$E,4,0))</f>
        <v>福利厚生費</v>
      </c>
      <c r="E308" s="303"/>
      <c r="F308" s="229">
        <v>2749356</v>
      </c>
      <c r="G308" s="230">
        <v>3173494</v>
      </c>
      <c r="H308" s="230">
        <v>2836954</v>
      </c>
      <c r="I308" s="230">
        <v>2974926</v>
      </c>
      <c r="J308" s="230">
        <v>3176668</v>
      </c>
      <c r="K308" s="230">
        <v>3187026</v>
      </c>
      <c r="L308" s="230">
        <v>2389470</v>
      </c>
      <c r="M308" s="230">
        <v>2905234</v>
      </c>
      <c r="N308" s="230">
        <v>2931184</v>
      </c>
      <c r="O308" s="230">
        <v>2757850</v>
      </c>
      <c r="P308" s="230">
        <v>2506718</v>
      </c>
      <c r="Q308" s="230">
        <v>2592456</v>
      </c>
      <c r="R308" s="216">
        <f t="shared" si="18"/>
        <v>34181336</v>
      </c>
      <c r="S308" s="193" t="s">
        <v>787</v>
      </c>
      <c r="T308" s="151"/>
      <c r="U308" s="192" t="s">
        <v>731</v>
      </c>
      <c r="V308" s="160"/>
      <c r="W308" s="160"/>
      <c r="BA308"/>
      <c r="BB308"/>
    </row>
    <row r="309" spans="1:54" s="149" customFormat="1" ht="13.5">
      <c r="A309" s="146"/>
      <c r="B309" s="263">
        <v>6004086651</v>
      </c>
      <c r="C309" s="273" t="str">
        <f>IFERROR(IF(VLOOKUP($B309,勘定科目!$A:$H,HLOOKUP($E$5,勘定科目!$F$1:$H$2,2,0),0)="","",VLOOKUP($B309,勘定科目!$A:$E,2,0)),"")</f>
        <v>福利厚生費（一般）</v>
      </c>
      <c r="D309" s="290" t="str">
        <f>IF(C309="","",VLOOKUP($B309,勘定科目!$A:$E,4,0))</f>
        <v>福利厚生費</v>
      </c>
      <c r="E309" s="303"/>
      <c r="F309" s="229"/>
      <c r="G309" s="230"/>
      <c r="H309" s="230"/>
      <c r="I309" s="230"/>
      <c r="J309" s="230"/>
      <c r="K309" s="230">
        <v>1000000</v>
      </c>
      <c r="L309" s="230"/>
      <c r="M309" s="230"/>
      <c r="N309" s="230"/>
      <c r="O309" s="230"/>
      <c r="P309" s="230"/>
      <c r="Q309" s="230"/>
      <c r="R309" s="216">
        <f t="shared" si="18"/>
        <v>1000000</v>
      </c>
      <c r="S309" s="193" t="s">
        <v>788</v>
      </c>
      <c r="T309" s="151"/>
      <c r="U309" s="192" t="s">
        <v>731</v>
      </c>
      <c r="V309" s="160"/>
      <c r="W309" s="160"/>
      <c r="BA309"/>
      <c r="BB309"/>
    </row>
    <row r="310" spans="1:54" s="149" customFormat="1" ht="13.5">
      <c r="A310" s="146"/>
      <c r="B310" s="263">
        <v>6004086651</v>
      </c>
      <c r="C310" s="273" t="str">
        <f>IFERROR(IF(VLOOKUP($B310,勘定科目!$A:$H,HLOOKUP($E$5,勘定科目!$F$1:$H$2,2,0),0)="","",VLOOKUP($B310,勘定科目!$A:$E,2,0)),"")</f>
        <v>福利厚生費（一般）</v>
      </c>
      <c r="D310" s="290" t="str">
        <f>IF(C310="","",VLOOKUP($B310,勘定科目!$A:$E,4,0))</f>
        <v>福利厚生費</v>
      </c>
      <c r="E310" s="303"/>
      <c r="F310" s="229"/>
      <c r="G310" s="230"/>
      <c r="H310" s="230"/>
      <c r="I310" s="230"/>
      <c r="J310" s="230"/>
      <c r="K310" s="230">
        <f>126000*14</f>
        <v>1764000</v>
      </c>
      <c r="L310" s="230"/>
      <c r="M310" s="230"/>
      <c r="N310" s="230"/>
      <c r="O310" s="230"/>
      <c r="P310" s="230"/>
      <c r="Q310" s="230"/>
      <c r="R310" s="216">
        <f t="shared" si="18"/>
        <v>1764000</v>
      </c>
      <c r="S310" s="193" t="s">
        <v>789</v>
      </c>
      <c r="T310" s="151"/>
      <c r="U310" s="192" t="s">
        <v>734</v>
      </c>
      <c r="V310" s="160"/>
      <c r="W310" s="160"/>
      <c r="BA310"/>
      <c r="BB310"/>
    </row>
    <row r="311" spans="1:54" s="149" customFormat="1" ht="13.5">
      <c r="A311" s="146"/>
      <c r="B311" s="263">
        <v>6004086651</v>
      </c>
      <c r="C311" s="273" t="str">
        <f>IFERROR(IF(VLOOKUP($B311,勘定科目!$A:$H,HLOOKUP($E$5,勘定科目!$F$1:$H$2,2,0),0)="","",VLOOKUP($B311,勘定科目!$A:$E,2,0)),"")</f>
        <v>福利厚生費（一般）</v>
      </c>
      <c r="D311" s="290" t="str">
        <f>IF(C311="","",VLOOKUP($B311,勘定科目!$A:$E,4,0))</f>
        <v>福利厚生費</v>
      </c>
      <c r="E311" s="303"/>
      <c r="F311" s="229"/>
      <c r="G311" s="230"/>
      <c r="H311" s="230"/>
      <c r="I311" s="230"/>
      <c r="J311" s="230"/>
      <c r="K311" s="230"/>
      <c r="L311" s="230"/>
      <c r="M311" s="230"/>
      <c r="N311" s="230"/>
      <c r="O311" s="230"/>
      <c r="P311" s="230">
        <f>14*100000</f>
        <v>1400000</v>
      </c>
      <c r="Q311" s="230"/>
      <c r="R311" s="216">
        <f t="shared" si="18"/>
        <v>1400000</v>
      </c>
      <c r="S311" s="193" t="s">
        <v>790</v>
      </c>
      <c r="T311" s="151"/>
      <c r="U311" s="192" t="s">
        <v>734</v>
      </c>
      <c r="V311" s="160"/>
      <c r="W311" s="160"/>
      <c r="BA311"/>
      <c r="BB311"/>
    </row>
    <row r="312" spans="1:54" s="149" customFormat="1" ht="13.5">
      <c r="A312" s="146"/>
      <c r="B312" s="263">
        <v>6004086651</v>
      </c>
      <c r="C312" s="273" t="str">
        <f>IFERROR(IF(VLOOKUP($B312,勘定科目!$A:$H,HLOOKUP($E$5,勘定科目!$F$1:$H$2,2,0),0)="","",VLOOKUP($B312,勘定科目!$A:$E,2,0)),"")</f>
        <v>福利厚生費（一般）</v>
      </c>
      <c r="D312" s="290" t="str">
        <f>IF(C312="","",VLOOKUP($B312,勘定科目!$A:$E,4,0))</f>
        <v>福利厚生費</v>
      </c>
      <c r="E312" s="303"/>
      <c r="F312" s="229"/>
      <c r="G312" s="230"/>
      <c r="H312" s="230"/>
      <c r="I312" s="230"/>
      <c r="J312" s="230"/>
      <c r="K312" s="230"/>
      <c r="L312" s="230"/>
      <c r="M312" s="230"/>
      <c r="N312" s="230"/>
      <c r="O312" s="230"/>
      <c r="P312" s="230"/>
      <c r="Q312" s="230">
        <f>300000*14</f>
        <v>4200000</v>
      </c>
      <c r="R312" s="216">
        <f t="shared" ref="R312" si="19">SUM(F312:Q312)</f>
        <v>4200000</v>
      </c>
      <c r="S312" s="193" t="s">
        <v>999</v>
      </c>
      <c r="T312" s="151"/>
      <c r="U312" s="192" t="s">
        <v>734</v>
      </c>
      <c r="V312" s="160"/>
      <c r="W312" s="160"/>
      <c r="BA312"/>
      <c r="BB312"/>
    </row>
    <row r="313" spans="1:54" s="149" customFormat="1" ht="13.5">
      <c r="A313" s="146"/>
      <c r="B313" s="263">
        <v>6004086651</v>
      </c>
      <c r="C313" s="273" t="str">
        <f>IFERROR(IF(VLOOKUP($B313,勘定科目!$A:$H,HLOOKUP($E$5,勘定科目!$F$1:$H$2,2,0),0)="","",VLOOKUP($B313,勘定科目!$A:$E,2,0)),"")</f>
        <v>福利厚生費（一般）</v>
      </c>
      <c r="D313" s="290" t="str">
        <f>IF(C313="","",VLOOKUP($B313,勘定科目!$A:$E,4,0))</f>
        <v>福利厚生費</v>
      </c>
      <c r="E313" s="303"/>
      <c r="F313" s="229"/>
      <c r="G313" s="229">
        <f>200000*14</f>
        <v>2800000</v>
      </c>
      <c r="H313" s="230"/>
      <c r="I313" s="230"/>
      <c r="J313" s="230"/>
      <c r="K313" s="230"/>
      <c r="L313" s="230"/>
      <c r="M313" s="230"/>
      <c r="N313" s="230"/>
      <c r="O313" s="230"/>
      <c r="P313" s="230"/>
      <c r="Q313" s="230"/>
      <c r="R313" s="216">
        <f t="shared" si="18"/>
        <v>2800000</v>
      </c>
      <c r="S313" s="193" t="s">
        <v>1000</v>
      </c>
      <c r="T313" s="151"/>
      <c r="U313" s="192" t="s">
        <v>734</v>
      </c>
      <c r="V313" s="160"/>
      <c r="W313" s="160"/>
      <c r="BA313"/>
      <c r="BB313"/>
    </row>
    <row r="314" spans="1:54" s="149" customFormat="1" ht="13.5">
      <c r="A314" s="146"/>
      <c r="B314" s="263">
        <v>6004086651</v>
      </c>
      <c r="C314" s="273" t="str">
        <f>IFERROR(IF(VLOOKUP($B314,勘定科目!$A:$H,HLOOKUP($E$5,勘定科目!$F$1:$H$2,2,0),0)="","",VLOOKUP($B314,勘定科目!$A:$E,2,0)),"")</f>
        <v>福利厚生費（一般）</v>
      </c>
      <c r="D314" s="290" t="str">
        <f>IF(C314="","",VLOOKUP($B314,勘定科目!$A:$E,4,0))</f>
        <v>福利厚生費</v>
      </c>
      <c r="E314" s="303"/>
      <c r="F314" s="229"/>
      <c r="G314" s="230">
        <f>1890000*14</f>
        <v>26460000</v>
      </c>
      <c r="H314" s="230"/>
      <c r="I314" s="230"/>
      <c r="J314" s="230"/>
      <c r="K314" s="230"/>
      <c r="L314" s="230"/>
      <c r="M314" s="230"/>
      <c r="N314" s="230"/>
      <c r="O314" s="230"/>
      <c r="P314" s="230"/>
      <c r="Q314" s="230"/>
      <c r="R314" s="216">
        <f t="shared" si="18"/>
        <v>26460000</v>
      </c>
      <c r="S314" s="193" t="s">
        <v>1002</v>
      </c>
      <c r="T314" s="151"/>
      <c r="U314" s="192" t="s">
        <v>734</v>
      </c>
      <c r="V314" s="160"/>
      <c r="W314" s="160"/>
      <c r="BA314"/>
      <c r="BB314"/>
    </row>
    <row r="315" spans="1:54" s="149" customFormat="1" ht="13.5">
      <c r="A315" s="146"/>
      <c r="B315" s="263">
        <v>6004086651</v>
      </c>
      <c r="C315" s="273" t="str">
        <f>IFERROR(IF(VLOOKUP($B315,勘定科目!$A:$H,HLOOKUP($E$5,勘定科目!$F$1:$H$2,2,0),0)="","",VLOOKUP($B315,勘定科目!$A:$E,2,0)),"")</f>
        <v>福利厚生費（一般）</v>
      </c>
      <c r="D315" s="290" t="str">
        <f>IF(C315="","",VLOOKUP($B315,勘定科目!$A:$E,4,0))</f>
        <v>福利厚生費</v>
      </c>
      <c r="E315" s="303"/>
      <c r="F315" s="229"/>
      <c r="G315" s="230"/>
      <c r="H315" s="230"/>
      <c r="I315" s="230"/>
      <c r="J315" s="230"/>
      <c r="K315" s="230"/>
      <c r="L315" s="230"/>
      <c r="M315" s="230"/>
      <c r="N315" s="230">
        <f>189000*13+204000</f>
        <v>2661000</v>
      </c>
      <c r="O315" s="230"/>
      <c r="P315" s="230"/>
      <c r="Q315" s="230"/>
      <c r="R315" s="216">
        <f t="shared" si="18"/>
        <v>2661000</v>
      </c>
      <c r="S315" s="193" t="s">
        <v>791</v>
      </c>
      <c r="T315" s="151"/>
      <c r="U315" s="192" t="s">
        <v>734</v>
      </c>
      <c r="V315" s="160"/>
      <c r="W315" s="160"/>
      <c r="BA315"/>
      <c r="BB315"/>
    </row>
    <row r="316" spans="1:54" s="149" customFormat="1" ht="13.5">
      <c r="A316" s="146"/>
      <c r="B316" s="263">
        <v>6004086651</v>
      </c>
      <c r="C316" s="273" t="str">
        <f>IFERROR(IF(VLOOKUP($B316,勘定科目!$A:$H,HLOOKUP($E$5,勘定科目!$F$1:$H$2,2,0),0)="","",VLOOKUP($B316,勘定科目!$A:$E,2,0)),"")</f>
        <v>福利厚生費（一般）</v>
      </c>
      <c r="D316" s="290" t="str">
        <f>IF(C316="","",VLOOKUP($B316,勘定科目!$A:$E,4,0))</f>
        <v>福利厚生費</v>
      </c>
      <c r="E316" s="303"/>
      <c r="F316" s="229"/>
      <c r="G316" s="230"/>
      <c r="H316" s="230"/>
      <c r="I316" s="230"/>
      <c r="J316" s="230"/>
      <c r="K316" s="230"/>
      <c r="L316" s="230">
        <f>56000*14</f>
        <v>784000</v>
      </c>
      <c r="M316" s="230"/>
      <c r="N316" s="230"/>
      <c r="O316" s="230"/>
      <c r="P316" s="230"/>
      <c r="Q316" s="230"/>
      <c r="R316" s="216">
        <f t="shared" si="18"/>
        <v>784000</v>
      </c>
      <c r="S316" s="193" t="s">
        <v>792</v>
      </c>
      <c r="T316" s="151"/>
      <c r="U316" s="192" t="s">
        <v>734</v>
      </c>
      <c r="V316" s="160"/>
      <c r="W316" s="160"/>
      <c r="BA316"/>
      <c r="BB316"/>
    </row>
    <row r="317" spans="1:54" s="149" customFormat="1" ht="13.5">
      <c r="A317" s="146"/>
      <c r="B317" s="263">
        <v>6004086651</v>
      </c>
      <c r="C317" s="273" t="str">
        <f>IFERROR(IF(VLOOKUP($B317,勘定科目!$A:$H,HLOOKUP($E$5,勘定科目!$F$1:$H$2,2,0),0)="","",VLOOKUP($B317,勘定科目!$A:$E,2,0)),"")</f>
        <v>福利厚生費（一般）</v>
      </c>
      <c r="D317" s="290" t="str">
        <f>IF(C317="","",VLOOKUP($B317,勘定科目!$A:$E,4,0))</f>
        <v>福利厚生費</v>
      </c>
      <c r="E317" s="303"/>
      <c r="F317" s="229"/>
      <c r="G317" s="230"/>
      <c r="H317" s="230"/>
      <c r="I317" s="230">
        <f>100000*14</f>
        <v>1400000</v>
      </c>
      <c r="J317" s="230"/>
      <c r="K317" s="230"/>
      <c r="L317" s="230"/>
      <c r="M317" s="230"/>
      <c r="N317" s="230"/>
      <c r="O317" s="230"/>
      <c r="P317" s="230"/>
      <c r="Q317" s="230"/>
      <c r="R317" s="216">
        <f t="shared" ref="R317" si="20">SUM(F317:Q317)</f>
        <v>1400000</v>
      </c>
      <c r="S317" s="193" t="s">
        <v>1001</v>
      </c>
      <c r="T317" s="151"/>
      <c r="U317" s="192" t="s">
        <v>734</v>
      </c>
      <c r="V317" s="160"/>
      <c r="W317" s="160"/>
      <c r="BA317"/>
      <c r="BB317"/>
    </row>
    <row r="318" spans="1:54" s="149" customFormat="1" ht="13.5">
      <c r="A318" s="146"/>
      <c r="B318" s="263"/>
      <c r="C318" s="273" t="str">
        <f>IFERROR(IF(VLOOKUP($B318,勘定科目!$A:$H,HLOOKUP($E$5,勘定科目!$F$1:$H$2,2,0),0)="","",VLOOKUP($B318,勘定科目!$A:$E,2,0)),"")</f>
        <v/>
      </c>
      <c r="D318" s="290" t="str">
        <f>IF(C318="","",VLOOKUP($B318,勘定科目!$A:$E,4,0))</f>
        <v/>
      </c>
      <c r="E318" s="303"/>
      <c r="F318" s="229"/>
      <c r="G318" s="230"/>
      <c r="H318" s="230"/>
      <c r="I318" s="230"/>
      <c r="J318" s="230"/>
      <c r="K318" s="230"/>
      <c r="L318" s="230"/>
      <c r="M318" s="230"/>
      <c r="N318" s="230"/>
      <c r="O318" s="230"/>
      <c r="P318" s="230"/>
      <c r="Q318" s="230"/>
      <c r="R318" s="216"/>
      <c r="S318" s="193"/>
      <c r="T318" s="151"/>
      <c r="U318" s="192"/>
      <c r="V318" s="160"/>
      <c r="W318" s="160"/>
      <c r="BA318"/>
      <c r="BB318"/>
    </row>
    <row r="319" spans="1:54" s="149" customFormat="1" ht="13.5">
      <c r="A319" s="146"/>
      <c r="B319" s="263">
        <v>6005056623</v>
      </c>
      <c r="C319" s="273" t="str">
        <f>IFERROR(IF(VLOOKUP($B319,勘定科目!$A:$H,HLOOKUP($E$5,勘定科目!$F$1:$H$2,2,0),0)="","",VLOOKUP($B319,勘定科目!$A:$E,2,0)),"")</f>
        <v>電気代（一般）</v>
      </c>
      <c r="D319" s="290" t="str">
        <f>IF(C319="","",VLOOKUP($B319,勘定科目!$A:$E,4,0))</f>
        <v>水道光熱費</v>
      </c>
      <c r="E319" s="303"/>
      <c r="F319" s="229">
        <v>100091971</v>
      </c>
      <c r="G319" s="230">
        <v>102376163</v>
      </c>
      <c r="H319" s="230">
        <v>128799786</v>
      </c>
      <c r="I319" s="230">
        <v>138707462</v>
      </c>
      <c r="J319" s="230">
        <v>143656952</v>
      </c>
      <c r="K319" s="230">
        <v>131764487</v>
      </c>
      <c r="L319" s="230">
        <v>132896854</v>
      </c>
      <c r="M319" s="230">
        <v>118885252</v>
      </c>
      <c r="N319" s="230">
        <v>113931700</v>
      </c>
      <c r="O319" s="230">
        <v>99920098</v>
      </c>
      <c r="P319" s="230">
        <v>100754625</v>
      </c>
      <c r="Q319" s="230">
        <v>79256835</v>
      </c>
      <c r="R319" s="216">
        <f t="shared" si="18"/>
        <v>1391042185</v>
      </c>
      <c r="S319" s="193" t="s">
        <v>793</v>
      </c>
      <c r="T319" s="151"/>
      <c r="U319" s="192" t="s">
        <v>722</v>
      </c>
      <c r="V319" s="160"/>
      <c r="W319" s="160"/>
      <c r="BA319"/>
      <c r="BB319"/>
    </row>
    <row r="320" spans="1:54" s="149" customFormat="1" ht="13.5">
      <c r="A320" s="146"/>
      <c r="B320" s="263">
        <v>6005056624</v>
      </c>
      <c r="C320" s="273" t="str">
        <f>IFERROR(IF(VLOOKUP($B320,勘定科目!$A:$H,HLOOKUP($E$5,勘定科目!$F$1:$H$2,2,0),0)="","",VLOOKUP($B320,勘定科目!$A:$E,2,0)),"")</f>
        <v>水道代（一般）</v>
      </c>
      <c r="D320" s="290" t="str">
        <f>IF(C320="","",VLOOKUP($B320,勘定科目!$A:$E,4,0))</f>
        <v>水道光熱費</v>
      </c>
      <c r="E320" s="303"/>
      <c r="F320" s="229">
        <v>406881</v>
      </c>
      <c r="G320" s="230">
        <v>449674</v>
      </c>
      <c r="H320" s="230">
        <v>507878</v>
      </c>
      <c r="I320" s="230">
        <v>725294</v>
      </c>
      <c r="J320" s="230">
        <v>649598</v>
      </c>
      <c r="K320" s="230">
        <v>563651</v>
      </c>
      <c r="L320" s="230">
        <v>386120</v>
      </c>
      <c r="M320" s="230">
        <v>537816</v>
      </c>
      <c r="N320" s="230">
        <v>537219</v>
      </c>
      <c r="O320" s="230">
        <v>364234</v>
      </c>
      <c r="P320" s="230">
        <v>273124</v>
      </c>
      <c r="Q320" s="230">
        <v>317340</v>
      </c>
      <c r="R320" s="216">
        <f t="shared" si="18"/>
        <v>5718829</v>
      </c>
      <c r="S320" s="193" t="s">
        <v>794</v>
      </c>
      <c r="T320" s="151"/>
      <c r="U320" s="192" t="s">
        <v>725</v>
      </c>
      <c r="V320" s="160"/>
      <c r="W320" s="160"/>
      <c r="BA320"/>
      <c r="BB320"/>
    </row>
    <row r="321" spans="1:54" s="149" customFormat="1" ht="13.5">
      <c r="A321" s="146"/>
      <c r="B321" s="263">
        <v>6005056625</v>
      </c>
      <c r="C321" s="273" t="str">
        <f>IFERROR(IF(VLOOKUP($B321,勘定科目!$A:$H,HLOOKUP($E$5,勘定科目!$F$1:$H$2,2,0),0)="","",VLOOKUP($B321,勘定科目!$A:$E,2,0)),"")</f>
        <v>ガス代（一般）</v>
      </c>
      <c r="D321" s="290" t="str">
        <f>IF(C321="","",VLOOKUP($B321,勘定科目!$A:$E,4,0))</f>
        <v>水道光熱費</v>
      </c>
      <c r="E321" s="303"/>
      <c r="F321" s="229">
        <v>565124</v>
      </c>
      <c r="G321" s="230">
        <v>547554</v>
      </c>
      <c r="H321" s="230">
        <v>627984</v>
      </c>
      <c r="I321" s="230">
        <v>657006</v>
      </c>
      <c r="J321" s="230">
        <v>597632</v>
      </c>
      <c r="K321" s="230">
        <v>538874</v>
      </c>
      <c r="L321" s="230">
        <v>657678</v>
      </c>
      <c r="M321" s="230">
        <v>575764</v>
      </c>
      <c r="N321" s="230">
        <v>617204</v>
      </c>
      <c r="O321" s="230">
        <v>594426</v>
      </c>
      <c r="P321" s="230">
        <v>460516</v>
      </c>
      <c r="Q321" s="230">
        <v>595588</v>
      </c>
      <c r="R321" s="216">
        <f t="shared" si="18"/>
        <v>7035350</v>
      </c>
      <c r="S321" s="193" t="s">
        <v>795</v>
      </c>
      <c r="T321" s="151"/>
      <c r="U321" s="192" t="s">
        <v>731</v>
      </c>
      <c r="V321" s="160"/>
      <c r="W321" s="160"/>
      <c r="BA321"/>
      <c r="BB321"/>
    </row>
    <row r="322" spans="1:54" s="149" customFormat="1" ht="13.5">
      <c r="A322" s="146"/>
      <c r="B322" s="263"/>
      <c r="C322" s="273" t="str">
        <f>IFERROR(IF(VLOOKUP($B322,勘定科目!$A:$H,HLOOKUP($E$5,勘定科目!$F$1:$H$2,2,0),0)="","",VLOOKUP($B322,勘定科目!$A:$E,2,0)),"")</f>
        <v/>
      </c>
      <c r="D322" s="290" t="str">
        <f>IF(C322="","",VLOOKUP($B322,勘定科目!$A:$E,4,0))</f>
        <v/>
      </c>
      <c r="E322" s="303"/>
      <c r="F322" s="229"/>
      <c r="G322" s="230"/>
      <c r="H322" s="230"/>
      <c r="I322" s="230"/>
      <c r="J322" s="230"/>
      <c r="K322" s="230"/>
      <c r="L322" s="230"/>
      <c r="M322" s="230"/>
      <c r="N322" s="230"/>
      <c r="O322" s="230"/>
      <c r="P322" s="230"/>
      <c r="Q322" s="230"/>
      <c r="R322" s="216"/>
      <c r="S322" s="193"/>
      <c r="T322" s="151"/>
      <c r="U322" s="192"/>
      <c r="V322" s="160"/>
      <c r="W322" s="160"/>
      <c r="BA322"/>
      <c r="BB322"/>
    </row>
    <row r="323" spans="1:54" s="149" customFormat="1" ht="13.5">
      <c r="A323" s="146"/>
      <c r="B323" s="263">
        <v>9114120007</v>
      </c>
      <c r="C323" s="273" t="str">
        <f>IFERROR(IF(VLOOKUP($B323,勘定科目!$A:$H,HLOOKUP($E$5,勘定科目!$F$1:$H$2,2,0),0)="","",VLOOKUP($B323,勘定科目!$A:$E,2,0)),"")</f>
        <v>社内金利（固定資産）</v>
      </c>
      <c r="D323" s="290" t="str">
        <f>IF(C323="","",VLOOKUP($B323,勘定科目!$A:$E,4,0))</f>
        <v>固定資産金利</v>
      </c>
      <c r="E323" s="303"/>
      <c r="F323" s="229">
        <v>912888817</v>
      </c>
      <c r="G323" s="230">
        <v>864430987</v>
      </c>
      <c r="H323" s="230">
        <v>864450791</v>
      </c>
      <c r="I323" s="230">
        <v>864447998</v>
      </c>
      <c r="J323" s="230">
        <v>864445713</v>
      </c>
      <c r="K323" s="230">
        <v>864379699</v>
      </c>
      <c r="L323" s="230">
        <v>864387062</v>
      </c>
      <c r="M323" s="230">
        <v>864385793</v>
      </c>
      <c r="N323" s="230">
        <v>864386554</v>
      </c>
      <c r="O323" s="230">
        <v>864385539</v>
      </c>
      <c r="P323" s="230">
        <v>864382238</v>
      </c>
      <c r="Q323" s="230">
        <v>864384777</v>
      </c>
      <c r="R323" s="216">
        <f t="shared" si="18"/>
        <v>10421355968</v>
      </c>
      <c r="S323" s="193" t="s">
        <v>796</v>
      </c>
      <c r="T323" s="151"/>
      <c r="U323" s="192" t="s">
        <v>748</v>
      </c>
      <c r="V323" s="160"/>
      <c r="W323" s="160"/>
      <c r="BA323"/>
      <c r="BB323"/>
    </row>
    <row r="324" spans="1:54" s="149" customFormat="1" ht="13.5">
      <c r="A324" s="146"/>
      <c r="B324" s="263">
        <v>9114120007</v>
      </c>
      <c r="C324" s="273" t="str">
        <f>IFERROR(IF(VLOOKUP($B324,勘定科目!$A:$H,HLOOKUP($E$5,勘定科目!$F$1:$H$2,2,0),0)="","",VLOOKUP($B324,勘定科目!$A:$E,2,0)),"")</f>
        <v>社内金利（固定資産）</v>
      </c>
      <c r="D324" s="290" t="str">
        <f>IF(C324="","",VLOOKUP($B324,勘定科目!$A:$E,4,0))</f>
        <v>固定資産金利</v>
      </c>
      <c r="E324" s="303"/>
      <c r="F324" s="229">
        <v>112874800</v>
      </c>
      <c r="G324" s="230">
        <v>109601521</v>
      </c>
      <c r="H324" s="230">
        <v>109604314</v>
      </c>
      <c r="I324" s="230">
        <v>109603298</v>
      </c>
      <c r="J324" s="230">
        <v>109602536</v>
      </c>
      <c r="K324" s="230">
        <v>109594666</v>
      </c>
      <c r="L324" s="230">
        <v>109595935</v>
      </c>
      <c r="M324" s="230">
        <v>109595173</v>
      </c>
      <c r="N324" s="230">
        <v>109595173</v>
      </c>
      <c r="O324" s="230">
        <v>109595681</v>
      </c>
      <c r="P324" s="230">
        <v>109594666</v>
      </c>
      <c r="Q324" s="230">
        <v>109596189</v>
      </c>
      <c r="R324" s="216">
        <f t="shared" si="18"/>
        <v>1318453952</v>
      </c>
      <c r="S324" s="193" t="s">
        <v>797</v>
      </c>
      <c r="T324" s="151"/>
      <c r="U324" s="192" t="s">
        <v>748</v>
      </c>
      <c r="V324" s="160"/>
      <c r="W324" s="160"/>
      <c r="BA324"/>
      <c r="BB324"/>
    </row>
    <row r="325" spans="1:54" s="149" customFormat="1" ht="13.5">
      <c r="A325" s="146"/>
      <c r="B325" s="263">
        <v>9114120007</v>
      </c>
      <c r="C325" s="273" t="str">
        <f>IFERROR(IF(VLOOKUP($B325,勘定科目!$A:$H,HLOOKUP($E$5,勘定科目!$F$1:$H$2,2,0),0)="","",VLOOKUP($B325,勘定科目!$A:$E,2,0)),"")</f>
        <v>社内金利（固定資産）</v>
      </c>
      <c r="D325" s="290" t="str">
        <f>IF(C325="","",VLOOKUP($B325,勘定科目!$A:$E,4,0))</f>
        <v>固定資産金利</v>
      </c>
      <c r="E325" s="303"/>
      <c r="F325" s="229"/>
      <c r="G325" s="230"/>
      <c r="H325" s="230"/>
      <c r="I325" s="230"/>
      <c r="J325" s="230"/>
      <c r="K325" s="230"/>
      <c r="L325" s="230"/>
      <c r="M325" s="230"/>
      <c r="N325" s="230"/>
      <c r="O325" s="230"/>
      <c r="P325" s="230"/>
      <c r="Q325" s="230"/>
      <c r="R325" s="216">
        <f t="shared" si="18"/>
        <v>0</v>
      </c>
      <c r="S325" s="193" t="s">
        <v>751</v>
      </c>
      <c r="T325" s="151"/>
      <c r="U325" s="192" t="s">
        <v>749</v>
      </c>
      <c r="V325" s="160"/>
      <c r="W325" s="160"/>
      <c r="BA325"/>
      <c r="BB325"/>
    </row>
    <row r="326" spans="1:54" s="149" customFormat="1" ht="13.5">
      <c r="A326" s="146"/>
      <c r="B326" s="263">
        <v>9114120007</v>
      </c>
      <c r="C326" s="273" t="str">
        <f>IFERROR(IF(VLOOKUP($B326,勘定科目!$A:$H,HLOOKUP($E$5,勘定科目!$F$1:$H$2,2,0),0)="","",VLOOKUP($B326,勘定科目!$A:$E,2,0)),"")</f>
        <v>社内金利（固定資産）</v>
      </c>
      <c r="D326" s="290" t="str">
        <f>IF(C326="","",VLOOKUP($B326,勘定科目!$A:$E,4,0))</f>
        <v>固定資産金利</v>
      </c>
      <c r="E326" s="303"/>
      <c r="F326" s="229"/>
      <c r="G326" s="230"/>
      <c r="H326" s="230"/>
      <c r="I326" s="230"/>
      <c r="J326" s="230"/>
      <c r="K326" s="230"/>
      <c r="L326" s="230"/>
      <c r="M326" s="230"/>
      <c r="N326" s="230"/>
      <c r="O326" s="230"/>
      <c r="P326" s="230"/>
      <c r="Q326" s="230"/>
      <c r="R326" s="216">
        <f t="shared" si="18"/>
        <v>0</v>
      </c>
      <c r="S326" s="193" t="s">
        <v>798</v>
      </c>
      <c r="T326" s="151"/>
      <c r="U326" s="192" t="s">
        <v>749</v>
      </c>
      <c r="V326" s="160"/>
      <c r="W326" s="160"/>
      <c r="BA326"/>
      <c r="BB326"/>
    </row>
    <row r="327" spans="1:54" s="149" customFormat="1" ht="13.5">
      <c r="A327" s="146"/>
      <c r="B327" s="263">
        <v>9114120007</v>
      </c>
      <c r="C327" s="273" t="str">
        <f>IFERROR(IF(VLOOKUP($B327,勘定科目!$A:$H,HLOOKUP($E$5,勘定科目!$F$1:$H$2,2,0),0)="","",VLOOKUP($B327,勘定科目!$A:$E,2,0)),"")</f>
        <v>社内金利（固定資産）</v>
      </c>
      <c r="D327" s="290" t="str">
        <f>IF(C327="","",VLOOKUP($B327,勘定科目!$A:$E,4,0))</f>
        <v>固定資産金利</v>
      </c>
      <c r="E327" s="303"/>
      <c r="F327" s="229"/>
      <c r="G327" s="230"/>
      <c r="H327" s="230"/>
      <c r="I327" s="230"/>
      <c r="J327" s="230"/>
      <c r="K327" s="230"/>
      <c r="L327" s="230"/>
      <c r="M327" s="230"/>
      <c r="N327" s="230"/>
      <c r="O327" s="230"/>
      <c r="P327" s="230"/>
      <c r="Q327" s="230"/>
      <c r="R327" s="216">
        <f t="shared" si="18"/>
        <v>0</v>
      </c>
      <c r="S327" s="193" t="s">
        <v>799</v>
      </c>
      <c r="T327" s="151"/>
      <c r="U327" s="192" t="s">
        <v>749</v>
      </c>
      <c r="V327" s="160"/>
      <c r="W327" s="160"/>
      <c r="BA327"/>
      <c r="BB327"/>
    </row>
    <row r="328" spans="1:54" s="149" customFormat="1" ht="13.5">
      <c r="A328" s="146"/>
      <c r="B328" s="263">
        <v>9114120007</v>
      </c>
      <c r="C328" s="273" t="str">
        <f>IFERROR(IF(VLOOKUP($B328,勘定科目!$A:$H,HLOOKUP($E$5,勘定科目!$F$1:$H$2,2,0),0)="","",VLOOKUP($B328,勘定科目!$A:$E,2,0)),"")</f>
        <v>社内金利（固定資産）</v>
      </c>
      <c r="D328" s="290" t="str">
        <f>IF(C328="","",VLOOKUP($B328,勘定科目!$A:$E,4,0))</f>
        <v>固定資産金利</v>
      </c>
      <c r="E328" s="303"/>
      <c r="F328" s="229"/>
      <c r="G328" s="230"/>
      <c r="H328" s="230"/>
      <c r="I328" s="230"/>
      <c r="J328" s="230"/>
      <c r="K328" s="230"/>
      <c r="L328" s="230"/>
      <c r="M328" s="230"/>
      <c r="N328" s="230"/>
      <c r="O328" s="230"/>
      <c r="P328" s="230"/>
      <c r="Q328" s="230"/>
      <c r="R328" s="216">
        <f t="shared" si="18"/>
        <v>0</v>
      </c>
      <c r="S328" s="193" t="s">
        <v>800</v>
      </c>
      <c r="T328" s="151"/>
      <c r="U328" s="192" t="s">
        <v>749</v>
      </c>
      <c r="V328" s="160"/>
      <c r="W328" s="160"/>
      <c r="BA328"/>
      <c r="BB328"/>
    </row>
    <row r="329" spans="1:54" s="149" customFormat="1" ht="13.5">
      <c r="A329" s="146"/>
      <c r="B329" s="263">
        <v>9114120007</v>
      </c>
      <c r="C329" s="273" t="str">
        <f>IFERROR(IF(VLOOKUP($B329,勘定科目!$A:$H,HLOOKUP($E$5,勘定科目!$F$1:$H$2,2,0),0)="","",VLOOKUP($B329,勘定科目!$A:$E,2,0)),"")</f>
        <v>社内金利（固定資産）</v>
      </c>
      <c r="D329" s="290" t="str">
        <f>IF(C329="","",VLOOKUP($B329,勘定科目!$A:$E,4,0))</f>
        <v>固定資産金利</v>
      </c>
      <c r="E329" s="303"/>
      <c r="F329" s="229"/>
      <c r="G329" s="230"/>
      <c r="H329" s="230"/>
      <c r="I329" s="230"/>
      <c r="J329" s="230"/>
      <c r="K329" s="230"/>
      <c r="L329" s="230"/>
      <c r="M329" s="230"/>
      <c r="N329" s="230"/>
      <c r="O329" s="230"/>
      <c r="P329" s="230"/>
      <c r="Q329" s="230"/>
      <c r="R329" s="216">
        <f t="shared" si="18"/>
        <v>0</v>
      </c>
      <c r="S329" s="193" t="s">
        <v>801</v>
      </c>
      <c r="T329" s="151"/>
      <c r="U329" s="192" t="s">
        <v>749</v>
      </c>
      <c r="V329" s="160"/>
      <c r="W329" s="160"/>
      <c r="BA329"/>
      <c r="BB329"/>
    </row>
    <row r="330" spans="1:54" s="149" customFormat="1" ht="13.5">
      <c r="A330" s="146"/>
      <c r="B330" s="263">
        <v>9114120007</v>
      </c>
      <c r="C330" s="273" t="str">
        <f>IFERROR(IF(VLOOKUP($B330,勘定科目!$A:$H,HLOOKUP($E$5,勘定科目!$F$1:$H$2,2,0),0)="","",VLOOKUP($B330,勘定科目!$A:$E,2,0)),"")</f>
        <v>社内金利（固定資産）</v>
      </c>
      <c r="D330" s="290" t="str">
        <f>IF(C330="","",VLOOKUP($B330,勘定科目!$A:$E,4,0))</f>
        <v>固定資産金利</v>
      </c>
      <c r="E330" s="303"/>
      <c r="F330" s="229"/>
      <c r="G330" s="230"/>
      <c r="H330" s="230"/>
      <c r="I330" s="230"/>
      <c r="J330" s="230"/>
      <c r="K330" s="230"/>
      <c r="L330" s="230"/>
      <c r="M330" s="230"/>
      <c r="N330" s="230"/>
      <c r="O330" s="230"/>
      <c r="P330" s="230"/>
      <c r="Q330" s="230"/>
      <c r="R330" s="216">
        <f t="shared" si="18"/>
        <v>0</v>
      </c>
      <c r="S330" s="193" t="s">
        <v>802</v>
      </c>
      <c r="T330" s="151"/>
      <c r="U330" s="192" t="s">
        <v>749</v>
      </c>
      <c r="V330" s="160"/>
      <c r="W330" s="160"/>
      <c r="BA330"/>
      <c r="BB330"/>
    </row>
    <row r="331" spans="1:54" s="149" customFormat="1" ht="13.5">
      <c r="A331" s="146"/>
      <c r="B331" s="317">
        <v>9114120007</v>
      </c>
      <c r="C331" s="273" t="str">
        <f>IFERROR(IF(VLOOKUP($B331,勘定科目!$A:$H,HLOOKUP($E$5,勘定科目!$F$1:$H$2,2,0),0)="","",VLOOKUP($B331,勘定科目!$A:$E,2,0)),"")</f>
        <v>社内金利（固定資産）</v>
      </c>
      <c r="D331" s="290" t="str">
        <f>IF(C331="","",VLOOKUP($B331,勘定科目!$A:$E,4,0))</f>
        <v>固定資産金利</v>
      </c>
      <c r="E331" s="303"/>
      <c r="F331" s="229">
        <v>3436283</v>
      </c>
      <c r="G331" s="230">
        <v>1181651</v>
      </c>
      <c r="H331" s="230">
        <v>1181651</v>
      </c>
      <c r="I331" s="230">
        <v>1181651</v>
      </c>
      <c r="J331" s="230">
        <v>1181651</v>
      </c>
      <c r="K331" s="230">
        <v>1181651</v>
      </c>
      <c r="L331" s="230">
        <v>1181651</v>
      </c>
      <c r="M331" s="230">
        <v>0</v>
      </c>
      <c r="N331" s="230"/>
      <c r="O331" s="230"/>
      <c r="P331" s="230"/>
      <c r="Q331" s="230"/>
      <c r="R331" s="216">
        <f t="shared" si="18"/>
        <v>10526189</v>
      </c>
      <c r="S331" s="193" t="s">
        <v>963</v>
      </c>
      <c r="T331" s="151"/>
      <c r="U331" s="192" t="s">
        <v>749</v>
      </c>
      <c r="V331" s="160"/>
      <c r="W331" s="160"/>
      <c r="BA331"/>
      <c r="BB331"/>
    </row>
    <row r="332" spans="1:54" s="149" customFormat="1" ht="13.5">
      <c r="A332" s="146"/>
      <c r="B332" s="263">
        <v>9114120007</v>
      </c>
      <c r="C332" s="273" t="str">
        <f>IFERROR(IF(VLOOKUP($B332,勘定科目!$A:$H,HLOOKUP($E$5,勘定科目!$F$1:$H$2,2,0),0)="","",VLOOKUP($B332,勘定科目!$A:$E,2,0)),"")</f>
        <v>社内金利（固定資産）</v>
      </c>
      <c r="D332" s="290" t="str">
        <f>IF(C332="","",VLOOKUP($B332,勘定科目!$A:$E,4,0))</f>
        <v>固定資産金利</v>
      </c>
      <c r="E332" s="303"/>
      <c r="F332" s="229"/>
      <c r="G332" s="230"/>
      <c r="H332" s="230"/>
      <c r="I332" s="230"/>
      <c r="J332" s="230"/>
      <c r="K332" s="230"/>
      <c r="L332" s="230"/>
      <c r="M332" s="230"/>
      <c r="N332" s="230"/>
      <c r="O332" s="230"/>
      <c r="P332" s="230"/>
      <c r="Q332" s="230"/>
      <c r="R332" s="216">
        <f t="shared" si="18"/>
        <v>0</v>
      </c>
      <c r="S332" s="193" t="s">
        <v>803</v>
      </c>
      <c r="T332" s="151"/>
      <c r="U332" s="192" t="s">
        <v>749</v>
      </c>
      <c r="V332" s="160"/>
      <c r="W332" s="160"/>
      <c r="BA332"/>
      <c r="BB332"/>
    </row>
    <row r="333" spans="1:54" s="149" customFormat="1" ht="13.5">
      <c r="A333" s="146"/>
      <c r="B333" s="263">
        <v>9114120007</v>
      </c>
      <c r="C333" s="273" t="str">
        <f>IFERROR(IF(VLOOKUP($B333,勘定科目!$A:$H,HLOOKUP($E$5,勘定科目!$F$1:$H$2,2,0),0)="","",VLOOKUP($B333,勘定科目!$A:$E,2,0)),"")</f>
        <v>社内金利（固定資産）</v>
      </c>
      <c r="D333" s="290" t="str">
        <f>IF(C333="","",VLOOKUP($B333,勘定科目!$A:$E,4,0))</f>
        <v>固定資産金利</v>
      </c>
      <c r="E333" s="303"/>
      <c r="F333" s="229"/>
      <c r="G333" s="230"/>
      <c r="H333" s="230"/>
      <c r="I333" s="230"/>
      <c r="J333" s="230"/>
      <c r="K333" s="230"/>
      <c r="L333" s="230"/>
      <c r="M333" s="230"/>
      <c r="N333" s="230"/>
      <c r="O333" s="230"/>
      <c r="P333" s="230"/>
      <c r="Q333" s="230"/>
      <c r="R333" s="216">
        <f t="shared" ref="R333:R379" si="21">SUM(F333:Q333)</f>
        <v>0</v>
      </c>
      <c r="S333" s="193" t="s">
        <v>804</v>
      </c>
      <c r="T333" s="151"/>
      <c r="U333" s="192" t="s">
        <v>749</v>
      </c>
      <c r="V333" s="160"/>
      <c r="W333" s="160"/>
      <c r="BA333"/>
      <c r="BB333"/>
    </row>
    <row r="334" spans="1:54" s="149" customFormat="1" ht="13.5">
      <c r="A334" s="146"/>
      <c r="B334" s="263">
        <v>9114120007</v>
      </c>
      <c r="C334" s="273" t="str">
        <f>IFERROR(IF(VLOOKUP($B334,勘定科目!$A:$H,HLOOKUP($E$5,勘定科目!$F$1:$H$2,2,0),0)="","",VLOOKUP($B334,勘定科目!$A:$E,2,0)),"")</f>
        <v>社内金利（固定資産）</v>
      </c>
      <c r="D334" s="290" t="str">
        <f>IF(C334="","",VLOOKUP($B334,勘定科目!$A:$E,4,0))</f>
        <v>固定資産金利</v>
      </c>
      <c r="E334" s="303"/>
      <c r="F334" s="229"/>
      <c r="G334" s="230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16">
        <f t="shared" si="21"/>
        <v>0</v>
      </c>
      <c r="S334" s="193" t="s">
        <v>805</v>
      </c>
      <c r="T334" s="151"/>
      <c r="U334" s="192" t="s">
        <v>749</v>
      </c>
      <c r="V334" s="160"/>
      <c r="W334" s="160"/>
      <c r="BA334"/>
      <c r="BB334"/>
    </row>
    <row r="335" spans="1:54" s="149" customFormat="1" ht="13.5">
      <c r="A335" s="146"/>
      <c r="B335" s="263">
        <v>9114120007</v>
      </c>
      <c r="C335" s="273" t="str">
        <f>IFERROR(IF(VLOOKUP($B335,勘定科目!$A:$H,HLOOKUP($E$5,勘定科目!$F$1:$H$2,2,0),0)="","",VLOOKUP($B335,勘定科目!$A:$E,2,0)),"")</f>
        <v>社内金利（固定資産）</v>
      </c>
      <c r="D335" s="290" t="str">
        <f>IF(C335="","",VLOOKUP($B335,勘定科目!$A:$E,4,0))</f>
        <v>固定資産金利</v>
      </c>
      <c r="E335" s="303"/>
      <c r="F335" s="229"/>
      <c r="G335" s="230"/>
      <c r="H335" s="230"/>
      <c r="I335" s="230"/>
      <c r="J335" s="230"/>
      <c r="K335" s="230"/>
      <c r="L335" s="230"/>
      <c r="M335" s="230"/>
      <c r="N335" s="230"/>
      <c r="O335" s="230"/>
      <c r="P335" s="230"/>
      <c r="Q335" s="230"/>
      <c r="R335" s="216">
        <f t="shared" si="21"/>
        <v>0</v>
      </c>
      <c r="S335" s="193" t="s">
        <v>806</v>
      </c>
      <c r="T335" s="151"/>
      <c r="U335" s="192" t="s">
        <v>749</v>
      </c>
      <c r="V335" s="160"/>
      <c r="W335" s="160"/>
      <c r="BA335"/>
      <c r="BB335"/>
    </row>
    <row r="336" spans="1:54" s="149" customFormat="1" ht="13.5">
      <c r="A336" s="146"/>
      <c r="B336" s="263">
        <v>9114120007</v>
      </c>
      <c r="C336" s="273" t="str">
        <f>IFERROR(IF(VLOOKUP($B336,勘定科目!$A:$H,HLOOKUP($E$5,勘定科目!$F$1:$H$2,2,0),0)="","",VLOOKUP($B336,勘定科目!$A:$E,2,0)),"")</f>
        <v>社内金利（固定資産）</v>
      </c>
      <c r="D336" s="290" t="str">
        <f>IF(C336="","",VLOOKUP($B336,勘定科目!$A:$E,4,0))</f>
        <v>固定資産金利</v>
      </c>
      <c r="E336" s="303"/>
      <c r="F336" s="229"/>
      <c r="G336" s="230"/>
      <c r="H336" s="230"/>
      <c r="I336" s="230"/>
      <c r="J336" s="230"/>
      <c r="K336" s="230"/>
      <c r="L336" s="230"/>
      <c r="M336" s="230"/>
      <c r="N336" s="230"/>
      <c r="O336" s="230"/>
      <c r="P336" s="230"/>
      <c r="Q336" s="230"/>
      <c r="R336" s="216">
        <f t="shared" si="21"/>
        <v>0</v>
      </c>
      <c r="S336" s="193" t="s">
        <v>807</v>
      </c>
      <c r="T336" s="151"/>
      <c r="U336" s="192" t="s">
        <v>749</v>
      </c>
      <c r="V336" s="160"/>
      <c r="W336" s="160"/>
      <c r="BA336"/>
      <c r="BB336"/>
    </row>
    <row r="337" spans="1:54" s="149" customFormat="1" ht="13.5">
      <c r="A337" s="146"/>
      <c r="B337" s="263">
        <v>9114120007</v>
      </c>
      <c r="C337" s="273" t="str">
        <f>IFERROR(IF(VLOOKUP($B337,勘定科目!$A:$H,HLOOKUP($E$5,勘定科目!$F$1:$H$2,2,0),0)="","",VLOOKUP($B337,勘定科目!$A:$E,2,0)),"")</f>
        <v>社内金利（固定資産）</v>
      </c>
      <c r="D337" s="290" t="str">
        <f>IF(C337="","",VLOOKUP($B337,勘定科目!$A:$E,4,0))</f>
        <v>固定資産金利</v>
      </c>
      <c r="E337" s="303"/>
      <c r="F337" s="229"/>
      <c r="G337" s="230"/>
      <c r="H337" s="230"/>
      <c r="I337" s="230"/>
      <c r="J337" s="230"/>
      <c r="K337" s="230"/>
      <c r="L337" s="230"/>
      <c r="M337" s="230"/>
      <c r="N337" s="230"/>
      <c r="O337" s="230"/>
      <c r="P337" s="230"/>
      <c r="Q337" s="230"/>
      <c r="R337" s="216">
        <f t="shared" si="21"/>
        <v>0</v>
      </c>
      <c r="S337" s="193" t="s">
        <v>808</v>
      </c>
      <c r="T337" s="151"/>
      <c r="U337" s="192" t="s">
        <v>749</v>
      </c>
      <c r="V337" s="160"/>
      <c r="W337" s="160"/>
      <c r="BA337"/>
      <c r="BB337"/>
    </row>
    <row r="338" spans="1:54" s="149" customFormat="1" ht="13.5">
      <c r="A338" s="146"/>
      <c r="B338" s="263">
        <v>9114120007</v>
      </c>
      <c r="C338" s="273" t="str">
        <f>IFERROR(IF(VLOOKUP($B338,勘定科目!$A:$H,HLOOKUP($E$5,勘定科目!$F$1:$H$2,2,0),0)="","",VLOOKUP($B338,勘定科目!$A:$E,2,0)),"")</f>
        <v>社内金利（固定資産）</v>
      </c>
      <c r="D338" s="290" t="str">
        <f>IF(C338="","",VLOOKUP($B338,勘定科目!$A:$E,4,0))</f>
        <v>固定資産金利</v>
      </c>
      <c r="E338" s="303"/>
      <c r="F338" s="229"/>
      <c r="G338" s="230"/>
      <c r="H338" s="230"/>
      <c r="I338" s="230"/>
      <c r="J338" s="230"/>
      <c r="K338" s="230"/>
      <c r="L338" s="230"/>
      <c r="M338" s="230"/>
      <c r="N338" s="230"/>
      <c r="O338" s="230"/>
      <c r="P338" s="230"/>
      <c r="Q338" s="230"/>
      <c r="R338" s="216">
        <f t="shared" si="21"/>
        <v>0</v>
      </c>
      <c r="S338" s="193" t="s">
        <v>809</v>
      </c>
      <c r="T338" s="151"/>
      <c r="U338" s="192" t="s">
        <v>749</v>
      </c>
      <c r="V338" s="160"/>
      <c r="W338" s="160"/>
      <c r="BA338"/>
      <c r="BB338"/>
    </row>
    <row r="339" spans="1:54" s="149" customFormat="1" ht="13.5">
      <c r="A339" s="146"/>
      <c r="B339" s="263">
        <v>9114120007</v>
      </c>
      <c r="C339" s="273" t="str">
        <f>IFERROR(IF(VLOOKUP($B339,勘定科目!$A:$H,HLOOKUP($E$5,勘定科目!$F$1:$H$2,2,0),0)="","",VLOOKUP($B339,勘定科目!$A:$E,2,0)),"")</f>
        <v>社内金利（固定資産）</v>
      </c>
      <c r="D339" s="290" t="str">
        <f>IF(C339="","",VLOOKUP($B339,勘定科目!$A:$E,4,0))</f>
        <v>固定資産金利</v>
      </c>
      <c r="E339" s="303"/>
      <c r="F339" s="229"/>
      <c r="G339" s="230"/>
      <c r="H339" s="230"/>
      <c r="I339" s="230"/>
      <c r="J339" s="230"/>
      <c r="K339" s="230"/>
      <c r="L339" s="230"/>
      <c r="M339" s="230"/>
      <c r="N339" s="230"/>
      <c r="O339" s="230"/>
      <c r="P339" s="230"/>
      <c r="Q339" s="230"/>
      <c r="R339" s="216">
        <f t="shared" si="21"/>
        <v>0</v>
      </c>
      <c r="S339" s="193" t="s">
        <v>810</v>
      </c>
      <c r="T339" s="151"/>
      <c r="U339" s="192" t="s">
        <v>749</v>
      </c>
      <c r="V339" s="160"/>
      <c r="W339" s="160"/>
      <c r="BA339"/>
      <c r="BB339"/>
    </row>
    <row r="340" spans="1:54" s="149" customFormat="1" ht="13.5">
      <c r="A340" s="146"/>
      <c r="B340" s="263">
        <v>9114120007</v>
      </c>
      <c r="C340" s="273" t="str">
        <f>IFERROR(IF(VLOOKUP($B340,勘定科目!$A:$H,HLOOKUP($E$5,勘定科目!$F$1:$H$2,2,0),0)="","",VLOOKUP($B340,勘定科目!$A:$E,2,0)),"")</f>
        <v>社内金利（固定資産）</v>
      </c>
      <c r="D340" s="290" t="str">
        <f>IF(C340="","",VLOOKUP($B340,勘定科目!$A:$E,4,0))</f>
        <v>固定資産金利</v>
      </c>
      <c r="E340" s="303"/>
      <c r="F340" s="229">
        <v>2640052</v>
      </c>
      <c r="G340" s="230">
        <v>1734899</v>
      </c>
      <c r="H340" s="230">
        <v>1734899</v>
      </c>
      <c r="I340" s="230">
        <v>1734899</v>
      </c>
      <c r="J340" s="230">
        <v>1734899</v>
      </c>
      <c r="K340" s="230">
        <v>1734899</v>
      </c>
      <c r="L340" s="230">
        <v>1734899</v>
      </c>
      <c r="M340" s="230">
        <v>1734899</v>
      </c>
      <c r="N340" s="230">
        <v>1734899</v>
      </c>
      <c r="O340" s="230">
        <v>1734899</v>
      </c>
      <c r="P340" s="230">
        <v>1734899</v>
      </c>
      <c r="Q340" s="230">
        <v>1734899</v>
      </c>
      <c r="R340" s="216">
        <f t="shared" si="21"/>
        <v>21723941</v>
      </c>
      <c r="S340" s="193" t="s">
        <v>811</v>
      </c>
      <c r="T340" s="151"/>
      <c r="U340" s="192" t="s">
        <v>749</v>
      </c>
      <c r="V340" s="160"/>
      <c r="W340" s="160"/>
      <c r="BA340"/>
      <c r="BB340"/>
    </row>
    <row r="341" spans="1:54" s="149" customFormat="1" ht="13.5">
      <c r="A341" s="146"/>
      <c r="B341" s="263">
        <v>9114120007</v>
      </c>
      <c r="C341" s="273" t="str">
        <f>IFERROR(IF(VLOOKUP($B341,勘定科目!$A:$H,HLOOKUP($E$5,勘定科目!$F$1:$H$2,2,0),0)="","",VLOOKUP($B341,勘定科目!$A:$E,2,0)),"")</f>
        <v>社内金利（固定資産）</v>
      </c>
      <c r="D341" s="290" t="str">
        <f>IF(C341="","",VLOOKUP($B341,勘定科目!$A:$E,4,0))</f>
        <v>固定資産金利</v>
      </c>
      <c r="E341" s="303"/>
      <c r="F341" s="229"/>
      <c r="G341" s="230"/>
      <c r="H341" s="230"/>
      <c r="I341" s="230"/>
      <c r="J341" s="230"/>
      <c r="K341" s="230"/>
      <c r="L341" s="230"/>
      <c r="M341" s="230"/>
      <c r="N341" s="230"/>
      <c r="O341" s="230"/>
      <c r="P341" s="230"/>
      <c r="Q341" s="230"/>
      <c r="R341" s="216">
        <f t="shared" si="21"/>
        <v>0</v>
      </c>
      <c r="S341" s="193" t="s">
        <v>812</v>
      </c>
      <c r="T341" s="151"/>
      <c r="U341" s="192" t="s">
        <v>749</v>
      </c>
      <c r="V341" s="160"/>
      <c r="W341" s="160"/>
      <c r="BA341"/>
      <c r="BB341"/>
    </row>
    <row r="342" spans="1:54" s="149" customFormat="1" ht="13.5">
      <c r="A342" s="146"/>
      <c r="B342" s="263">
        <v>9114120007</v>
      </c>
      <c r="C342" s="273" t="str">
        <f>IFERROR(IF(VLOOKUP($B342,勘定科目!$A:$H,HLOOKUP($E$5,勘定科目!$F$1:$H$2,2,0),0)="","",VLOOKUP($B342,勘定科目!$A:$E,2,0)),"")</f>
        <v>社内金利（固定資産）</v>
      </c>
      <c r="D342" s="290" t="str">
        <f>IF(C342="","",VLOOKUP($B342,勘定科目!$A:$E,4,0))</f>
        <v>固定資産金利</v>
      </c>
      <c r="E342" s="303"/>
      <c r="F342" s="229"/>
      <c r="G342" s="230"/>
      <c r="H342" s="230"/>
      <c r="I342" s="230"/>
      <c r="J342" s="230"/>
      <c r="K342" s="230"/>
      <c r="L342" s="230"/>
      <c r="M342" s="230"/>
      <c r="N342" s="230"/>
      <c r="O342" s="230"/>
      <c r="P342" s="230"/>
      <c r="Q342" s="230"/>
      <c r="R342" s="216">
        <f t="shared" si="21"/>
        <v>0</v>
      </c>
      <c r="S342" s="193" t="s">
        <v>813</v>
      </c>
      <c r="T342" s="151"/>
      <c r="U342" s="192" t="s">
        <v>749</v>
      </c>
      <c r="V342" s="160"/>
      <c r="W342" s="160"/>
      <c r="BA342"/>
      <c r="BB342"/>
    </row>
    <row r="343" spans="1:54" s="149" customFormat="1" ht="13.5">
      <c r="A343" s="146"/>
      <c r="B343" s="263">
        <v>9114120007</v>
      </c>
      <c r="C343" s="273" t="str">
        <f>IFERROR(IF(VLOOKUP($B343,勘定科目!$A:$H,HLOOKUP($E$5,勘定科目!$F$1:$H$2,2,0),0)="","",VLOOKUP($B343,勘定科目!$A:$E,2,0)),"")</f>
        <v>社内金利（固定資産）</v>
      </c>
      <c r="D343" s="290" t="str">
        <f>IF(C343="","",VLOOKUP($B343,勘定科目!$A:$E,4,0))</f>
        <v>固定資産金利</v>
      </c>
      <c r="E343" s="303"/>
      <c r="F343" s="229"/>
      <c r="G343" s="230"/>
      <c r="H343" s="230"/>
      <c r="I343" s="230"/>
      <c r="J343" s="230"/>
      <c r="K343" s="230"/>
      <c r="L343" s="230"/>
      <c r="M343" s="230"/>
      <c r="N343" s="230"/>
      <c r="O343" s="230"/>
      <c r="P343" s="230"/>
      <c r="Q343" s="230"/>
      <c r="R343" s="216">
        <f t="shared" si="21"/>
        <v>0</v>
      </c>
      <c r="S343" s="193" t="s">
        <v>814</v>
      </c>
      <c r="T343" s="151"/>
      <c r="U343" s="192" t="s">
        <v>749</v>
      </c>
      <c r="V343" s="160"/>
      <c r="W343" s="160"/>
      <c r="BA343"/>
      <c r="BB343"/>
    </row>
    <row r="344" spans="1:54" s="149" customFormat="1" ht="13.5">
      <c r="A344" s="146"/>
      <c r="B344" s="263">
        <v>9114120007</v>
      </c>
      <c r="C344" s="273" t="str">
        <f>IFERROR(IF(VLOOKUP($B344,勘定科目!$A:$H,HLOOKUP($E$5,勘定科目!$F$1:$H$2,2,0),0)="","",VLOOKUP($B344,勘定科目!$A:$E,2,0)),"")</f>
        <v>社内金利（固定資産）</v>
      </c>
      <c r="D344" s="290" t="str">
        <f>IF(C344="","",VLOOKUP($B344,勘定科目!$A:$E,4,0))</f>
        <v>固定資産金利</v>
      </c>
      <c r="E344" s="303"/>
      <c r="F344" s="229"/>
      <c r="G344" s="230"/>
      <c r="H344" s="230"/>
      <c r="I344" s="230"/>
      <c r="J344" s="230"/>
      <c r="K344" s="230"/>
      <c r="L344" s="230"/>
      <c r="M344" s="230"/>
      <c r="N344" s="230"/>
      <c r="O344" s="230"/>
      <c r="P344" s="230"/>
      <c r="Q344" s="230"/>
      <c r="R344" s="216">
        <f t="shared" si="21"/>
        <v>0</v>
      </c>
      <c r="S344" s="193" t="s">
        <v>815</v>
      </c>
      <c r="T344" s="151"/>
      <c r="U344" s="192" t="s">
        <v>749</v>
      </c>
      <c r="V344" s="160"/>
      <c r="W344" s="160"/>
      <c r="BA344"/>
      <c r="BB344"/>
    </row>
    <row r="345" spans="1:54" s="149" customFormat="1" ht="13.5">
      <c r="A345" s="146"/>
      <c r="B345" s="263">
        <v>9114120007</v>
      </c>
      <c r="C345" s="273" t="str">
        <f>IFERROR(IF(VLOOKUP($B345,勘定科目!$A:$H,HLOOKUP($E$5,勘定科目!$F$1:$H$2,2,0),0)="","",VLOOKUP($B345,勘定科目!$A:$E,2,0)),"")</f>
        <v>社内金利（固定資産）</v>
      </c>
      <c r="D345" s="290" t="str">
        <f>IF(C345="","",VLOOKUP($B345,勘定科目!$A:$E,4,0))</f>
        <v>固定資産金利</v>
      </c>
      <c r="E345" s="303"/>
      <c r="F345" s="229"/>
      <c r="G345" s="230"/>
      <c r="H345" s="230"/>
      <c r="I345" s="230"/>
      <c r="J345" s="230"/>
      <c r="K345" s="230"/>
      <c r="L345" s="230"/>
      <c r="M345" s="230"/>
      <c r="N345" s="230"/>
      <c r="O345" s="230"/>
      <c r="P345" s="230"/>
      <c r="Q345" s="230"/>
      <c r="R345" s="216">
        <f t="shared" si="21"/>
        <v>0</v>
      </c>
      <c r="S345" s="193" t="s">
        <v>816</v>
      </c>
      <c r="T345" s="151"/>
      <c r="U345" s="192" t="s">
        <v>749</v>
      </c>
      <c r="V345" s="160"/>
      <c r="W345" s="160"/>
      <c r="BA345"/>
      <c r="BB345"/>
    </row>
    <row r="346" spans="1:54" s="149" customFormat="1" ht="13.5">
      <c r="A346" s="146"/>
      <c r="B346" s="263">
        <v>9114120007</v>
      </c>
      <c r="C346" s="273" t="str">
        <f>IFERROR(IF(VLOOKUP($B346,勘定科目!$A:$H,HLOOKUP($E$5,勘定科目!$F$1:$H$2,2,0),0)="","",VLOOKUP($B346,勘定科目!$A:$E,2,0)),"")</f>
        <v>社内金利（固定資産）</v>
      </c>
      <c r="D346" s="290" t="str">
        <f>IF(C346="","",VLOOKUP($B346,勘定科目!$A:$E,4,0))</f>
        <v>固定資産金利</v>
      </c>
      <c r="E346" s="303"/>
      <c r="F346" s="229"/>
      <c r="G346" s="230"/>
      <c r="H346" s="230"/>
      <c r="I346" s="230"/>
      <c r="J346" s="230"/>
      <c r="K346" s="230"/>
      <c r="L346" s="230"/>
      <c r="M346" s="230"/>
      <c r="N346" s="230"/>
      <c r="O346" s="230"/>
      <c r="P346" s="230"/>
      <c r="Q346" s="230"/>
      <c r="R346" s="216">
        <f t="shared" si="21"/>
        <v>0</v>
      </c>
      <c r="S346" s="193" t="s">
        <v>817</v>
      </c>
      <c r="T346" s="151"/>
      <c r="U346" s="192" t="s">
        <v>749</v>
      </c>
      <c r="V346" s="160"/>
      <c r="W346" s="160"/>
      <c r="BA346"/>
      <c r="BB346"/>
    </row>
    <row r="347" spans="1:54" s="149" customFormat="1" ht="13.5">
      <c r="A347" s="146"/>
      <c r="B347" s="263">
        <v>9114120007</v>
      </c>
      <c r="C347" s="273" t="str">
        <f>IFERROR(IF(VLOOKUP($B347,勘定科目!$A:$H,HLOOKUP($E$5,勘定科目!$F$1:$H$2,2,0),0)="","",VLOOKUP($B347,勘定科目!$A:$E,2,0)),"")</f>
        <v>社内金利（固定資産）</v>
      </c>
      <c r="D347" s="290" t="str">
        <f>IF(C347="","",VLOOKUP($B347,勘定科目!$A:$E,4,0))</f>
        <v>固定資産金利</v>
      </c>
      <c r="E347" s="303"/>
      <c r="F347" s="229"/>
      <c r="G347" s="230"/>
      <c r="H347" s="230"/>
      <c r="I347" s="230"/>
      <c r="J347" s="230"/>
      <c r="K347" s="230"/>
      <c r="L347" s="230"/>
      <c r="M347" s="230"/>
      <c r="N347" s="230"/>
      <c r="O347" s="230"/>
      <c r="P347" s="230"/>
      <c r="Q347" s="230"/>
      <c r="R347" s="216">
        <f t="shared" si="21"/>
        <v>0</v>
      </c>
      <c r="S347" s="193" t="s">
        <v>818</v>
      </c>
      <c r="T347" s="151"/>
      <c r="U347" s="192" t="s">
        <v>749</v>
      </c>
      <c r="V347" s="160"/>
      <c r="W347" s="160"/>
      <c r="BA347"/>
      <c r="BB347"/>
    </row>
    <row r="348" spans="1:54" s="149" customFormat="1" ht="13.5">
      <c r="A348" s="146"/>
      <c r="B348" s="263">
        <v>9114120007</v>
      </c>
      <c r="C348" s="273" t="str">
        <f>IFERROR(IF(VLOOKUP($B348,勘定科目!$A:$H,HLOOKUP($E$5,勘定科目!$F$1:$H$2,2,0),0)="","",VLOOKUP($B348,勘定科目!$A:$E,2,0)),"")</f>
        <v>社内金利（固定資産）</v>
      </c>
      <c r="D348" s="290" t="str">
        <f>IF(C348="","",VLOOKUP($B348,勘定科目!$A:$E,4,0))</f>
        <v>固定資産金利</v>
      </c>
      <c r="E348" s="303"/>
      <c r="F348" s="229"/>
      <c r="G348" s="230"/>
      <c r="H348" s="230"/>
      <c r="I348" s="230"/>
      <c r="J348" s="230"/>
      <c r="K348" s="230"/>
      <c r="L348" s="230"/>
      <c r="M348" s="230"/>
      <c r="N348" s="230"/>
      <c r="O348" s="230"/>
      <c r="P348" s="230"/>
      <c r="Q348" s="230"/>
      <c r="R348" s="216">
        <f t="shared" si="21"/>
        <v>0</v>
      </c>
      <c r="S348" s="193" t="s">
        <v>819</v>
      </c>
      <c r="T348" s="151"/>
      <c r="U348" s="192" t="s">
        <v>749</v>
      </c>
      <c r="V348" s="160"/>
      <c r="W348" s="160"/>
      <c r="BA348"/>
      <c r="BB348"/>
    </row>
    <row r="349" spans="1:54" s="149" customFormat="1" ht="13.5">
      <c r="A349" s="146"/>
      <c r="B349" s="317">
        <v>9114120007</v>
      </c>
      <c r="C349" s="273" t="str">
        <f>IFERROR(IF(VLOOKUP($B349,勘定科目!$A:$H,HLOOKUP($E$5,勘定科目!$F$1:$H$2,2,0),0)="","",VLOOKUP($B349,勘定科目!$A:$E,2,0)),"")</f>
        <v>社内金利（固定資産）</v>
      </c>
      <c r="D349" s="290" t="str">
        <f>IF(C349="","",VLOOKUP($B349,勘定科目!$A:$E,4,0))</f>
        <v>固定資産金利</v>
      </c>
      <c r="E349" s="303"/>
      <c r="F349" s="229">
        <v>1210087</v>
      </c>
      <c r="G349" s="230">
        <v>518718</v>
      </c>
      <c r="H349" s="230">
        <v>518718</v>
      </c>
      <c r="I349" s="230">
        <v>518718</v>
      </c>
      <c r="J349" s="230">
        <v>518718</v>
      </c>
      <c r="K349" s="230">
        <v>518718</v>
      </c>
      <c r="L349" s="230">
        <v>518718</v>
      </c>
      <c r="M349" s="230">
        <v>518718</v>
      </c>
      <c r="N349" s="230">
        <v>518718</v>
      </c>
      <c r="O349" s="230">
        <v>0</v>
      </c>
      <c r="P349" s="230"/>
      <c r="Q349" s="230"/>
      <c r="R349" s="216">
        <f t="shared" si="21"/>
        <v>5359831</v>
      </c>
      <c r="S349" s="193" t="s">
        <v>970</v>
      </c>
      <c r="T349" s="151"/>
      <c r="U349" s="192" t="s">
        <v>749</v>
      </c>
      <c r="V349" s="160"/>
      <c r="W349" s="160"/>
      <c r="BA349"/>
      <c r="BB349"/>
    </row>
    <row r="350" spans="1:54" s="149" customFormat="1" ht="13.5">
      <c r="A350" s="146"/>
      <c r="B350" s="317">
        <v>9114120007</v>
      </c>
      <c r="C350" s="273" t="str">
        <f>IFERROR(IF(VLOOKUP($B350,勘定科目!$A:$H,HLOOKUP($E$5,勘定科目!$F$1:$H$2,2,0),0)="","",VLOOKUP($B350,勘定科目!$A:$E,2,0)),"")</f>
        <v>社内金利（固定資産）</v>
      </c>
      <c r="D350" s="290" t="str">
        <f>IF(C350="","",VLOOKUP($B350,勘定科目!$A:$E,4,0))</f>
        <v>固定資産金利</v>
      </c>
      <c r="E350" s="303"/>
      <c r="F350" s="229">
        <v>4457468</v>
      </c>
      <c r="G350" s="230">
        <v>1910344</v>
      </c>
      <c r="H350" s="230">
        <v>1910344</v>
      </c>
      <c r="I350" s="230">
        <v>1910344</v>
      </c>
      <c r="J350" s="230">
        <v>1910344</v>
      </c>
      <c r="K350" s="230">
        <v>1910344</v>
      </c>
      <c r="L350" s="230">
        <v>1910344</v>
      </c>
      <c r="M350" s="230">
        <v>1910344</v>
      </c>
      <c r="N350" s="230">
        <v>1910344</v>
      </c>
      <c r="O350" s="230">
        <v>1910344</v>
      </c>
      <c r="P350" s="230">
        <v>0</v>
      </c>
      <c r="Q350" s="230"/>
      <c r="R350" s="216">
        <f t="shared" si="21"/>
        <v>21650564</v>
      </c>
      <c r="S350" s="193" t="s">
        <v>971</v>
      </c>
      <c r="T350" s="151"/>
      <c r="U350" s="192" t="s">
        <v>749</v>
      </c>
      <c r="V350" s="160"/>
      <c r="W350" s="160"/>
      <c r="BA350"/>
      <c r="BB350"/>
    </row>
    <row r="351" spans="1:54" s="149" customFormat="1" ht="13.5">
      <c r="A351" s="146"/>
      <c r="B351" s="317">
        <v>9114120007</v>
      </c>
      <c r="C351" s="273" t="str">
        <f>IFERROR(IF(VLOOKUP($B351,勘定科目!$A:$H,HLOOKUP($E$5,勘定科目!$F$1:$H$2,2,0),0)="","",VLOOKUP($B351,勘定科目!$A:$E,2,0)),"")</f>
        <v>社内金利（固定資産）</v>
      </c>
      <c r="D351" s="290" t="str">
        <f>IF(C351="","",VLOOKUP($B351,勘定科目!$A:$E,4,0))</f>
        <v>固定資産金利</v>
      </c>
      <c r="E351" s="303"/>
      <c r="F351" s="229">
        <v>1181397</v>
      </c>
      <c r="G351" s="230">
        <v>536999</v>
      </c>
      <c r="H351" s="230">
        <v>536999</v>
      </c>
      <c r="I351" s="230">
        <v>536999</v>
      </c>
      <c r="J351" s="230">
        <v>536999</v>
      </c>
      <c r="K351" s="230">
        <v>536999</v>
      </c>
      <c r="L351" s="230">
        <v>536999</v>
      </c>
      <c r="M351" s="230">
        <v>536999</v>
      </c>
      <c r="N351" s="230">
        <v>536999</v>
      </c>
      <c r="O351" s="230">
        <v>536999</v>
      </c>
      <c r="P351" s="230">
        <v>536999</v>
      </c>
      <c r="Q351" s="230">
        <v>0</v>
      </c>
      <c r="R351" s="216">
        <f t="shared" si="21"/>
        <v>6551387</v>
      </c>
      <c r="S351" s="193" t="s">
        <v>972</v>
      </c>
      <c r="T351" s="151"/>
      <c r="U351" s="192" t="s">
        <v>749</v>
      </c>
      <c r="V351" s="160"/>
      <c r="W351" s="160"/>
      <c r="BA351"/>
      <c r="BB351"/>
    </row>
    <row r="352" spans="1:54" s="149" customFormat="1" ht="13.5">
      <c r="A352" s="146"/>
      <c r="B352" s="317">
        <v>9114120007</v>
      </c>
      <c r="C352" s="273" t="str">
        <f>IFERROR(IF(VLOOKUP($B352,勘定科目!$A:$H,HLOOKUP($E$5,勘定科目!$F$1:$H$2,2,0),0)="","",VLOOKUP($B352,勘定科目!$A:$E,2,0)),"")</f>
        <v>社内金利（固定資産）</v>
      </c>
      <c r="D352" s="290" t="str">
        <f>IF(C352="","",VLOOKUP($B352,勘定科目!$A:$E,4,0))</f>
        <v>固定資産金利</v>
      </c>
      <c r="E352" s="303"/>
      <c r="F352" s="229">
        <v>1272293</v>
      </c>
      <c r="G352" s="230">
        <v>636273</v>
      </c>
      <c r="H352" s="230">
        <v>636273</v>
      </c>
      <c r="I352" s="230">
        <v>636273</v>
      </c>
      <c r="J352" s="230">
        <v>636273</v>
      </c>
      <c r="K352" s="230">
        <v>636273</v>
      </c>
      <c r="L352" s="230">
        <v>636273</v>
      </c>
      <c r="M352" s="230">
        <v>636273</v>
      </c>
      <c r="N352" s="230">
        <v>636273</v>
      </c>
      <c r="O352" s="230">
        <v>636273</v>
      </c>
      <c r="P352" s="230">
        <v>636273</v>
      </c>
      <c r="Q352" s="230">
        <v>636273</v>
      </c>
      <c r="R352" s="216">
        <f t="shared" si="21"/>
        <v>8271296</v>
      </c>
      <c r="S352" s="193" t="s">
        <v>973</v>
      </c>
      <c r="T352" s="151"/>
      <c r="U352" s="192" t="s">
        <v>749</v>
      </c>
      <c r="V352" s="160"/>
      <c r="W352" s="160"/>
      <c r="BA352"/>
      <c r="BB352"/>
    </row>
    <row r="353" spans="1:54" s="149" customFormat="1" ht="13.5">
      <c r="A353" s="146"/>
      <c r="B353" s="263">
        <v>9114120007</v>
      </c>
      <c r="C353" s="273" t="str">
        <f>IFERROR(IF(VLOOKUP($B353,勘定科目!$A:$H,HLOOKUP($E$5,勘定科目!$F$1:$H$2,2,0),0)="","",VLOOKUP($B353,勘定科目!$A:$E,2,0)),"")</f>
        <v>社内金利（固定資産）</v>
      </c>
      <c r="D353" s="290" t="str">
        <f>IF(C353="","",VLOOKUP($B353,勘定科目!$A:$E,4,0))</f>
        <v>固定資産金利</v>
      </c>
      <c r="E353" s="303"/>
      <c r="F353" s="229"/>
      <c r="G353" s="230"/>
      <c r="H353" s="230"/>
      <c r="I353" s="230"/>
      <c r="J353" s="230"/>
      <c r="K353" s="230"/>
      <c r="L353" s="230"/>
      <c r="M353" s="230"/>
      <c r="N353" s="230"/>
      <c r="O353" s="230"/>
      <c r="P353" s="230"/>
      <c r="Q353" s="230"/>
      <c r="R353" s="216">
        <f t="shared" si="21"/>
        <v>0</v>
      </c>
      <c r="S353" s="193" t="s">
        <v>820</v>
      </c>
      <c r="T353" s="151"/>
      <c r="U353" s="192" t="s">
        <v>749</v>
      </c>
      <c r="V353" s="160"/>
      <c r="W353" s="160"/>
      <c r="BA353"/>
      <c r="BB353"/>
    </row>
    <row r="354" spans="1:54" s="149" customFormat="1" ht="13.5">
      <c r="A354" s="146"/>
      <c r="B354" s="263">
        <v>9114120007</v>
      </c>
      <c r="C354" s="273" t="str">
        <f>IFERROR(IF(VLOOKUP($B354,勘定科目!$A:$H,HLOOKUP($E$5,勘定科目!$F$1:$H$2,2,0),0)="","",VLOOKUP($B354,勘定科目!$A:$E,2,0)),"")</f>
        <v>社内金利（固定資産）</v>
      </c>
      <c r="D354" s="290" t="str">
        <f>IF(C354="","",VLOOKUP($B354,勘定科目!$A:$E,4,0))</f>
        <v>固定資産金利</v>
      </c>
      <c r="E354" s="303"/>
      <c r="F354" s="229"/>
      <c r="G354" s="230"/>
      <c r="H354" s="230"/>
      <c r="I354" s="230"/>
      <c r="J354" s="230"/>
      <c r="K354" s="230"/>
      <c r="L354" s="230"/>
      <c r="M354" s="230"/>
      <c r="N354" s="230"/>
      <c r="O354" s="230"/>
      <c r="P354" s="230"/>
      <c r="Q354" s="230"/>
      <c r="R354" s="216">
        <f t="shared" si="21"/>
        <v>0</v>
      </c>
      <c r="S354" s="193" t="s">
        <v>821</v>
      </c>
      <c r="T354" s="151"/>
      <c r="U354" s="192" t="s">
        <v>749</v>
      </c>
      <c r="V354" s="160"/>
      <c r="W354" s="160"/>
      <c r="BA354"/>
      <c r="BB354"/>
    </row>
    <row r="355" spans="1:54" s="149" customFormat="1" ht="13.5">
      <c r="A355" s="146"/>
      <c r="B355" s="263">
        <v>9114120007</v>
      </c>
      <c r="C355" s="273" t="str">
        <f>IFERROR(IF(VLOOKUP($B355,勘定科目!$A:$H,HLOOKUP($E$5,勘定科目!$F$1:$H$2,2,0),0)="","",VLOOKUP($B355,勘定科目!$A:$E,2,0)),"")</f>
        <v>社内金利（固定資産）</v>
      </c>
      <c r="D355" s="290" t="str">
        <f>IF(C355="","",VLOOKUP($B355,勘定科目!$A:$E,4,0))</f>
        <v>固定資産金利</v>
      </c>
      <c r="E355" s="303"/>
      <c r="F355" s="229">
        <v>1613788</v>
      </c>
      <c r="G355" s="230">
        <v>869100</v>
      </c>
      <c r="H355" s="230">
        <v>869100</v>
      </c>
      <c r="I355" s="230">
        <v>869100</v>
      </c>
      <c r="J355" s="230">
        <v>869100</v>
      </c>
      <c r="K355" s="230">
        <v>869100</v>
      </c>
      <c r="L355" s="230">
        <v>869100</v>
      </c>
      <c r="M355" s="230">
        <v>869100</v>
      </c>
      <c r="N355" s="230">
        <v>869100</v>
      </c>
      <c r="O355" s="230">
        <v>869100</v>
      </c>
      <c r="P355" s="230">
        <v>869100</v>
      </c>
      <c r="Q355" s="230">
        <v>869100</v>
      </c>
      <c r="R355" s="216">
        <f t="shared" si="21"/>
        <v>11173888</v>
      </c>
      <c r="S355" s="193" t="s">
        <v>822</v>
      </c>
      <c r="T355" s="151"/>
      <c r="U355" s="192" t="s">
        <v>749</v>
      </c>
      <c r="V355" s="160"/>
      <c r="W355" s="160"/>
      <c r="BA355"/>
      <c r="BB355"/>
    </row>
    <row r="356" spans="1:54" s="149" customFormat="1" ht="13.5">
      <c r="A356" s="146"/>
      <c r="B356" s="263">
        <v>9114120007</v>
      </c>
      <c r="C356" s="273" t="str">
        <f>IFERROR(IF(VLOOKUP($B356,勘定科目!$A:$H,HLOOKUP($E$5,勘定科目!$F$1:$H$2,2,0),0)="","",VLOOKUP($B356,勘定科目!$A:$E,2,0)),"")</f>
        <v>社内金利（固定資産）</v>
      </c>
      <c r="D356" s="290" t="str">
        <f>IF(C356="","",VLOOKUP($B356,勘定科目!$A:$E,4,0))</f>
        <v>固定資産金利</v>
      </c>
      <c r="E356" s="303"/>
      <c r="F356" s="229">
        <v>452196</v>
      </c>
      <c r="G356" s="230">
        <v>265072</v>
      </c>
      <c r="H356" s="230">
        <v>265072</v>
      </c>
      <c r="I356" s="230">
        <v>265072</v>
      </c>
      <c r="J356" s="230">
        <v>265072</v>
      </c>
      <c r="K356" s="230">
        <v>265072</v>
      </c>
      <c r="L356" s="230">
        <v>265072</v>
      </c>
      <c r="M356" s="230">
        <v>265072</v>
      </c>
      <c r="N356" s="230">
        <v>265072</v>
      </c>
      <c r="O356" s="230">
        <v>265072</v>
      </c>
      <c r="P356" s="230">
        <v>265072</v>
      </c>
      <c r="Q356" s="230">
        <v>265072</v>
      </c>
      <c r="R356" s="216">
        <f t="shared" si="21"/>
        <v>3367988</v>
      </c>
      <c r="S356" s="193" t="s">
        <v>823</v>
      </c>
      <c r="T356" s="151"/>
      <c r="U356" s="192" t="s">
        <v>749</v>
      </c>
      <c r="V356" s="160"/>
      <c r="W356" s="160"/>
      <c r="BA356"/>
      <c r="BB356"/>
    </row>
    <row r="357" spans="1:54" s="149" customFormat="1" ht="13.5">
      <c r="A357" s="146"/>
      <c r="B357" s="263">
        <v>9114120007</v>
      </c>
      <c r="C357" s="273" t="str">
        <f>IFERROR(IF(VLOOKUP($B357,勘定科目!$A:$H,HLOOKUP($E$5,勘定科目!$F$1:$H$2,2,0),0)="","",VLOOKUP($B357,勘定科目!$A:$E,2,0)),"")</f>
        <v>社内金利（固定資産）</v>
      </c>
      <c r="D357" s="290" t="str">
        <f>IF(C357="","",VLOOKUP($B357,勘定科目!$A:$E,4,0))</f>
        <v>固定資産金利</v>
      </c>
      <c r="E357" s="303"/>
      <c r="F357" s="229">
        <v>7082287</v>
      </c>
      <c r="G357" s="230">
        <v>5804408</v>
      </c>
      <c r="H357" s="230">
        <v>5804408</v>
      </c>
      <c r="I357" s="230">
        <v>5804408</v>
      </c>
      <c r="J357" s="230">
        <v>5804408</v>
      </c>
      <c r="K357" s="230">
        <v>5804408</v>
      </c>
      <c r="L357" s="230">
        <v>5804408</v>
      </c>
      <c r="M357" s="230">
        <v>5804408</v>
      </c>
      <c r="N357" s="230">
        <v>5804408</v>
      </c>
      <c r="O357" s="230">
        <v>5804408</v>
      </c>
      <c r="P357" s="230">
        <v>5804408</v>
      </c>
      <c r="Q357" s="230">
        <v>5804408</v>
      </c>
      <c r="R357" s="216">
        <f t="shared" si="21"/>
        <v>70930775</v>
      </c>
      <c r="S357" s="193" t="s">
        <v>824</v>
      </c>
      <c r="T357" s="151"/>
      <c r="U357" s="192" t="s">
        <v>749</v>
      </c>
      <c r="V357" s="160"/>
      <c r="W357" s="160"/>
      <c r="BA357"/>
      <c r="BB357"/>
    </row>
    <row r="358" spans="1:54" s="149" customFormat="1" ht="13.5">
      <c r="A358" s="146"/>
      <c r="B358" s="263">
        <v>9114120007</v>
      </c>
      <c r="C358" s="273" t="str">
        <f>IFERROR(IF(VLOOKUP($B358,勘定科目!$A:$H,HLOOKUP($E$5,勘定科目!$F$1:$H$2,2,0),0)="","",VLOOKUP($B358,勘定科目!$A:$E,2,0)),"")</f>
        <v>社内金利（固定資産）</v>
      </c>
      <c r="D358" s="290" t="str">
        <f>IF(C358="","",VLOOKUP($B358,勘定科目!$A:$E,4,0))</f>
        <v>固定資産金利</v>
      </c>
      <c r="E358" s="303"/>
      <c r="F358" s="229">
        <v>7627410</v>
      </c>
      <c r="G358" s="230">
        <v>6271584</v>
      </c>
      <c r="H358" s="230">
        <v>6271584</v>
      </c>
      <c r="I358" s="230">
        <v>6271584</v>
      </c>
      <c r="J358" s="230">
        <v>6271584</v>
      </c>
      <c r="K358" s="230">
        <v>6271584</v>
      </c>
      <c r="L358" s="230">
        <v>6271584</v>
      </c>
      <c r="M358" s="230">
        <v>6271584</v>
      </c>
      <c r="N358" s="230">
        <v>6271584</v>
      </c>
      <c r="O358" s="230">
        <v>6271584</v>
      </c>
      <c r="P358" s="230">
        <v>6271584</v>
      </c>
      <c r="Q358" s="230">
        <v>6271584</v>
      </c>
      <c r="R358" s="216">
        <f t="shared" si="21"/>
        <v>76614834</v>
      </c>
      <c r="S358" s="193" t="s">
        <v>825</v>
      </c>
      <c r="T358" s="151"/>
      <c r="U358" s="192" t="s">
        <v>749</v>
      </c>
      <c r="V358" s="160"/>
      <c r="W358" s="160"/>
      <c r="BA358"/>
      <c r="BB358"/>
    </row>
    <row r="359" spans="1:54" s="149" customFormat="1" ht="13.5">
      <c r="A359" s="146"/>
      <c r="B359" s="263">
        <v>9114120007</v>
      </c>
      <c r="C359" s="273" t="str">
        <f>IFERROR(IF(VLOOKUP($B359,勘定科目!$A:$H,HLOOKUP($E$5,勘定科目!$F$1:$H$2,2,0),0)="","",VLOOKUP($B359,勘定科目!$A:$E,2,0)),"")</f>
        <v>社内金利（固定資産）</v>
      </c>
      <c r="D359" s="290" t="str">
        <f>IF(C359="","",VLOOKUP($B359,勘定科目!$A:$E,4,0))</f>
        <v>固定資産金利</v>
      </c>
      <c r="E359" s="303"/>
      <c r="F359" s="229">
        <v>854881</v>
      </c>
      <c r="G359" s="230">
        <v>610630</v>
      </c>
      <c r="H359" s="230">
        <v>610630</v>
      </c>
      <c r="I359" s="230">
        <v>610630</v>
      </c>
      <c r="J359" s="230">
        <v>610630</v>
      </c>
      <c r="K359" s="230">
        <v>610630</v>
      </c>
      <c r="L359" s="230">
        <v>610630</v>
      </c>
      <c r="M359" s="230">
        <v>610630</v>
      </c>
      <c r="N359" s="230">
        <v>610630</v>
      </c>
      <c r="O359" s="230">
        <v>610630</v>
      </c>
      <c r="P359" s="230">
        <v>610630</v>
      </c>
      <c r="Q359" s="230">
        <v>610630</v>
      </c>
      <c r="R359" s="216">
        <f t="shared" si="21"/>
        <v>7571811</v>
      </c>
      <c r="S359" s="193" t="s">
        <v>826</v>
      </c>
      <c r="T359" s="151"/>
      <c r="U359" s="192" t="s">
        <v>749</v>
      </c>
      <c r="V359" s="160"/>
      <c r="W359" s="160"/>
      <c r="BA359"/>
      <c r="BB359"/>
    </row>
    <row r="360" spans="1:54" s="149" customFormat="1" ht="13.5">
      <c r="A360" s="146"/>
      <c r="B360" s="317">
        <v>9114120007</v>
      </c>
      <c r="C360" s="273" t="str">
        <f>IFERROR(IF(VLOOKUP($B360,勘定科目!$A:$H,HLOOKUP($E$5,勘定科目!$F$1:$H$2,2,0),0)="","",VLOOKUP($B360,勘定科目!$A:$E,2,0)),"")</f>
        <v>社内金利（固定資産）</v>
      </c>
      <c r="D360" s="290" t="str">
        <f>IF(C360="","",VLOOKUP($B360,勘定科目!$A:$E,4,0))</f>
        <v>固定資産金利</v>
      </c>
      <c r="E360" s="303"/>
      <c r="F360" s="229">
        <v>2830223</v>
      </c>
      <c r="G360" s="230">
        <v>947047</v>
      </c>
      <c r="H360" s="230">
        <v>947047</v>
      </c>
      <c r="I360" s="230">
        <v>947047</v>
      </c>
      <c r="J360" s="230">
        <v>947047</v>
      </c>
      <c r="K360" s="230">
        <v>947047</v>
      </c>
      <c r="L360" s="230">
        <v>947047</v>
      </c>
      <c r="M360" s="230">
        <v>0</v>
      </c>
      <c r="N360" s="230"/>
      <c r="O360" s="230"/>
      <c r="P360" s="230"/>
      <c r="Q360" s="230"/>
      <c r="R360" s="216">
        <f t="shared" si="21"/>
        <v>8512505</v>
      </c>
      <c r="S360" s="193" t="s">
        <v>964</v>
      </c>
      <c r="T360" s="151"/>
      <c r="U360" s="192" t="s">
        <v>749</v>
      </c>
      <c r="V360" s="160"/>
      <c r="W360" s="160"/>
      <c r="BA360"/>
      <c r="BB360"/>
    </row>
    <row r="361" spans="1:54" s="149" customFormat="1" ht="13.5">
      <c r="A361" s="146"/>
      <c r="B361" s="317">
        <v>9114120007</v>
      </c>
      <c r="C361" s="273" t="str">
        <f>IFERROR(IF(VLOOKUP($B361,勘定科目!$A:$H,HLOOKUP($E$5,勘定科目!$F$1:$H$2,2,0),0)="","",VLOOKUP($B361,勘定科目!$A:$E,2,0)),"")</f>
        <v>社内金利（固定資産）</v>
      </c>
      <c r="D361" s="290" t="str">
        <f>IF(C361="","",VLOOKUP($B361,勘定科目!$A:$E,4,0))</f>
        <v>固定資産金利</v>
      </c>
      <c r="E361" s="303"/>
      <c r="F361" s="229">
        <v>847264</v>
      </c>
      <c r="G361" s="230">
        <v>213276</v>
      </c>
      <c r="H361" s="230">
        <v>213276</v>
      </c>
      <c r="I361" s="230">
        <v>213276</v>
      </c>
      <c r="J361" s="230">
        <v>213276</v>
      </c>
      <c r="K361" s="230">
        <v>0</v>
      </c>
      <c r="L361" s="230"/>
      <c r="M361" s="230"/>
      <c r="N361" s="230"/>
      <c r="O361" s="230"/>
      <c r="P361" s="230"/>
      <c r="Q361" s="230"/>
      <c r="R361" s="216">
        <f t="shared" si="21"/>
        <v>1700368</v>
      </c>
      <c r="S361" s="193" t="s">
        <v>965</v>
      </c>
      <c r="T361" s="151"/>
      <c r="U361" s="192" t="s">
        <v>749</v>
      </c>
      <c r="V361" s="160"/>
      <c r="W361" s="160"/>
      <c r="BA361"/>
      <c r="BB361"/>
    </row>
    <row r="362" spans="1:54" s="149" customFormat="1" ht="13.5">
      <c r="A362" s="146"/>
      <c r="B362" s="317">
        <v>9114120007</v>
      </c>
      <c r="C362" s="273" t="str">
        <f>IFERROR(IF(VLOOKUP($B362,勘定科目!$A:$H,HLOOKUP($E$5,勘定科目!$F$1:$H$2,2,0),0)="","",VLOOKUP($B362,勘定科目!$A:$E,2,0)),"")</f>
        <v>社内金利（固定資産）</v>
      </c>
      <c r="D362" s="290" t="str">
        <f>IF(C362="","",VLOOKUP($B362,勘定科目!$A:$E,4,0))</f>
        <v>固定資産金利</v>
      </c>
      <c r="E362" s="303"/>
      <c r="F362" s="229">
        <v>525319</v>
      </c>
      <c r="G362" s="230">
        <v>155387</v>
      </c>
      <c r="H362" s="230">
        <v>155387</v>
      </c>
      <c r="I362" s="230">
        <v>155387</v>
      </c>
      <c r="J362" s="230">
        <v>155387</v>
      </c>
      <c r="K362" s="230">
        <v>155387</v>
      </c>
      <c r="L362" s="230">
        <v>0</v>
      </c>
      <c r="M362" s="230"/>
      <c r="N362" s="230"/>
      <c r="O362" s="230"/>
      <c r="P362" s="230"/>
      <c r="Q362" s="230"/>
      <c r="R362" s="216">
        <f t="shared" si="21"/>
        <v>1302254</v>
      </c>
      <c r="S362" s="193" t="s">
        <v>966</v>
      </c>
      <c r="T362" s="151"/>
      <c r="U362" s="192" t="s">
        <v>749</v>
      </c>
      <c r="V362" s="160"/>
      <c r="W362" s="160"/>
      <c r="BA362"/>
      <c r="BB362"/>
    </row>
    <row r="363" spans="1:54" s="149" customFormat="1" ht="13.5">
      <c r="A363" s="146"/>
      <c r="B363" s="263">
        <v>9114120007</v>
      </c>
      <c r="C363" s="273" t="str">
        <f>IFERROR(IF(VLOOKUP($B363,勘定科目!$A:$H,HLOOKUP($E$5,勘定科目!$F$1:$H$2,2,0),0)="","",VLOOKUP($B363,勘定科目!$A:$E,2,0)),"")</f>
        <v>社内金利（固定資産）</v>
      </c>
      <c r="D363" s="290" t="str">
        <f>IF(C363="","",VLOOKUP($B363,勘定科目!$A:$E,4,0))</f>
        <v>固定資産金利</v>
      </c>
      <c r="E363" s="303"/>
      <c r="F363" s="229">
        <v>5825228</v>
      </c>
      <c r="G363" s="230">
        <v>4120289</v>
      </c>
      <c r="H363" s="230">
        <v>4120289</v>
      </c>
      <c r="I363" s="230">
        <v>4120289</v>
      </c>
      <c r="J363" s="230">
        <v>4120289</v>
      </c>
      <c r="K363" s="230">
        <v>4120289</v>
      </c>
      <c r="L363" s="230">
        <v>4120289</v>
      </c>
      <c r="M363" s="230">
        <v>4120289</v>
      </c>
      <c r="N363" s="230">
        <v>4120289</v>
      </c>
      <c r="O363" s="230">
        <v>4120289</v>
      </c>
      <c r="P363" s="230">
        <v>4120289</v>
      </c>
      <c r="Q363" s="230">
        <v>4120289</v>
      </c>
      <c r="R363" s="216">
        <f t="shared" si="21"/>
        <v>51148407</v>
      </c>
      <c r="S363" s="193" t="s">
        <v>827</v>
      </c>
      <c r="T363" s="151"/>
      <c r="U363" s="192" t="s">
        <v>749</v>
      </c>
      <c r="V363" s="160"/>
      <c r="W363" s="160"/>
      <c r="BA363"/>
      <c r="BB363"/>
    </row>
    <row r="364" spans="1:54" s="149" customFormat="1" ht="13.5">
      <c r="A364" s="146"/>
      <c r="B364" s="317">
        <v>9114120007</v>
      </c>
      <c r="C364" s="273" t="str">
        <f>IFERROR(IF(VLOOKUP($B364,勘定科目!$A:$H,HLOOKUP($E$5,勘定科目!$F$1:$H$2,2,0),0)="","",VLOOKUP($B364,勘定科目!$A:$E,2,0)),"")</f>
        <v>社内金利（固定資産）</v>
      </c>
      <c r="D364" s="290" t="str">
        <f>IF(C364="","",VLOOKUP($B364,勘定科目!$A:$E,4,0))</f>
        <v>固定資産金利</v>
      </c>
      <c r="E364" s="303"/>
      <c r="F364" s="229">
        <v>258216</v>
      </c>
      <c r="G364" s="230">
        <v>95466</v>
      </c>
      <c r="H364" s="230">
        <v>95466</v>
      </c>
      <c r="I364" s="230">
        <v>95466</v>
      </c>
      <c r="J364" s="230">
        <v>95466</v>
      </c>
      <c r="K364" s="230">
        <v>95466</v>
      </c>
      <c r="L364" s="230">
        <v>95466</v>
      </c>
      <c r="M364" s="230">
        <v>95466</v>
      </c>
      <c r="N364" s="230">
        <v>0</v>
      </c>
      <c r="O364" s="230"/>
      <c r="P364" s="230"/>
      <c r="Q364" s="230"/>
      <c r="R364" s="216">
        <f t="shared" si="21"/>
        <v>926478</v>
      </c>
      <c r="S364" s="193" t="s">
        <v>967</v>
      </c>
      <c r="T364" s="151"/>
      <c r="U364" s="192" t="s">
        <v>749</v>
      </c>
      <c r="V364" s="160"/>
      <c r="W364" s="160"/>
      <c r="BA364"/>
      <c r="BB364"/>
    </row>
    <row r="365" spans="1:54" s="149" customFormat="1" ht="13.5">
      <c r="A365" s="146"/>
      <c r="B365" s="263">
        <v>9114120007</v>
      </c>
      <c r="C365" s="273" t="str">
        <f>IFERROR(IF(VLOOKUP($B365,勘定科目!$A:$H,HLOOKUP($E$5,勘定科目!$F$1:$H$2,2,0),0)="","",VLOOKUP($B365,勘定科目!$A:$E,2,0)),"")</f>
        <v>社内金利（固定資産）</v>
      </c>
      <c r="D365" s="290" t="str">
        <f>IF(C365="","",VLOOKUP($B365,勘定科目!$A:$E,4,0))</f>
        <v>固定資産金利</v>
      </c>
      <c r="E365" s="303"/>
      <c r="F365" s="229">
        <v>8849177</v>
      </c>
      <c r="G365" s="230">
        <v>6259143</v>
      </c>
      <c r="H365" s="230">
        <v>6259143</v>
      </c>
      <c r="I365" s="230">
        <v>6259143</v>
      </c>
      <c r="J365" s="230">
        <v>6259143</v>
      </c>
      <c r="K365" s="230">
        <v>6259143</v>
      </c>
      <c r="L365" s="230">
        <v>6259143</v>
      </c>
      <c r="M365" s="230">
        <v>6259143</v>
      </c>
      <c r="N365" s="230">
        <v>6259143</v>
      </c>
      <c r="O365" s="230">
        <v>6259143</v>
      </c>
      <c r="P365" s="230">
        <v>6259143</v>
      </c>
      <c r="Q365" s="230">
        <v>6259143</v>
      </c>
      <c r="R365" s="216">
        <f t="shared" si="21"/>
        <v>77699750</v>
      </c>
      <c r="S365" s="193" t="s">
        <v>828</v>
      </c>
      <c r="T365" s="151"/>
      <c r="U365" s="192" t="s">
        <v>749</v>
      </c>
      <c r="V365" s="160"/>
      <c r="W365" s="160"/>
      <c r="BA365"/>
      <c r="BB365"/>
    </row>
    <row r="366" spans="1:54" s="149" customFormat="1" ht="13.5">
      <c r="A366" s="146"/>
      <c r="B366" s="317">
        <v>9114120007</v>
      </c>
      <c r="C366" s="273" t="str">
        <f>IFERROR(IF(VLOOKUP($B366,勘定科目!$A:$H,HLOOKUP($E$5,勘定科目!$F$1:$H$2,2,0),0)="","",VLOOKUP($B366,勘定科目!$A:$E,2,0)),"")</f>
        <v>社内金利（固定資産）</v>
      </c>
      <c r="D366" s="290" t="str">
        <f>IF(C366="","",VLOOKUP($B366,勘定科目!$A:$E,4,0))</f>
        <v>固定資産金利</v>
      </c>
      <c r="E366" s="303"/>
      <c r="F366" s="229">
        <v>58143</v>
      </c>
      <c r="G366" s="230">
        <v>21582</v>
      </c>
      <c r="H366" s="230">
        <v>21582</v>
      </c>
      <c r="I366" s="230">
        <v>21582</v>
      </c>
      <c r="J366" s="230">
        <v>21582</v>
      </c>
      <c r="K366" s="230">
        <v>21582</v>
      </c>
      <c r="L366" s="230">
        <v>21582</v>
      </c>
      <c r="M366" s="230">
        <v>21582</v>
      </c>
      <c r="N366" s="230">
        <v>0</v>
      </c>
      <c r="O366" s="230"/>
      <c r="P366" s="230"/>
      <c r="Q366" s="230"/>
      <c r="R366" s="216">
        <f t="shared" si="21"/>
        <v>209217</v>
      </c>
      <c r="S366" s="193" t="s">
        <v>968</v>
      </c>
      <c r="T366" s="151"/>
      <c r="U366" s="192" t="s">
        <v>749</v>
      </c>
      <c r="V366" s="160"/>
      <c r="W366" s="160"/>
      <c r="BA366"/>
      <c r="BB366"/>
    </row>
    <row r="367" spans="1:54" s="149" customFormat="1" ht="13.5">
      <c r="A367" s="146"/>
      <c r="B367" s="317">
        <v>9114120007</v>
      </c>
      <c r="C367" s="273" t="str">
        <f>IFERROR(IF(VLOOKUP($B367,勘定科目!$A:$H,HLOOKUP($E$5,勘定科目!$F$1:$H$2,2,0),0)="","",VLOOKUP($B367,勘定科目!$A:$E,2,0)),"")</f>
        <v>社内金利（固定資産）</v>
      </c>
      <c r="D367" s="290" t="str">
        <f>IF(C367="","",VLOOKUP($B367,勘定科目!$A:$E,4,0))</f>
        <v>固定資産金利</v>
      </c>
      <c r="E367" s="303"/>
      <c r="F367" s="229">
        <v>69061</v>
      </c>
      <c r="G367" s="230">
        <v>25644</v>
      </c>
      <c r="H367" s="230">
        <v>25644</v>
      </c>
      <c r="I367" s="230">
        <v>25644</v>
      </c>
      <c r="J367" s="230">
        <v>25644</v>
      </c>
      <c r="K367" s="230">
        <v>25644</v>
      </c>
      <c r="L367" s="230">
        <v>25644</v>
      </c>
      <c r="M367" s="230">
        <v>25644</v>
      </c>
      <c r="N367" s="230">
        <v>0</v>
      </c>
      <c r="O367" s="230"/>
      <c r="P367" s="230"/>
      <c r="Q367" s="230"/>
      <c r="R367" s="216">
        <f t="shared" si="21"/>
        <v>248569</v>
      </c>
      <c r="S367" s="193" t="s">
        <v>948</v>
      </c>
      <c r="T367" s="151"/>
      <c r="U367" s="192" t="s">
        <v>749</v>
      </c>
      <c r="V367" s="160"/>
      <c r="W367" s="160"/>
      <c r="BA367"/>
      <c r="BB367"/>
    </row>
    <row r="368" spans="1:54" s="149" customFormat="1" ht="13.5">
      <c r="A368" s="146"/>
      <c r="B368" s="317">
        <v>9114120007</v>
      </c>
      <c r="C368" s="273" t="str">
        <f>IFERROR(IF(VLOOKUP($B368,勘定科目!$A:$H,HLOOKUP($E$5,勘定科目!$F$1:$H$2,2,0),0)="","",VLOOKUP($B368,勘定科目!$A:$E,2,0)),"")</f>
        <v>社内金利（固定資産）</v>
      </c>
      <c r="D368" s="290" t="str">
        <f>IF(C368="","",VLOOKUP($B368,勘定科目!$A:$E,4,0))</f>
        <v>固定資産金利</v>
      </c>
      <c r="E368" s="303"/>
      <c r="F368" s="229">
        <v>185601</v>
      </c>
      <c r="G368" s="230">
        <v>68553</v>
      </c>
      <c r="H368" s="230">
        <v>68553</v>
      </c>
      <c r="I368" s="230">
        <v>68553</v>
      </c>
      <c r="J368" s="230">
        <v>68553</v>
      </c>
      <c r="K368" s="230">
        <v>68553</v>
      </c>
      <c r="L368" s="230">
        <v>68553</v>
      </c>
      <c r="M368" s="230">
        <v>68553</v>
      </c>
      <c r="N368" s="230">
        <v>0</v>
      </c>
      <c r="O368" s="230"/>
      <c r="P368" s="230"/>
      <c r="Q368" s="230"/>
      <c r="R368" s="216">
        <f t="shared" si="21"/>
        <v>665472</v>
      </c>
      <c r="S368" s="193" t="s">
        <v>969</v>
      </c>
      <c r="T368" s="151"/>
      <c r="U368" s="192" t="s">
        <v>749</v>
      </c>
      <c r="V368" s="160"/>
      <c r="W368" s="160"/>
      <c r="BA368"/>
      <c r="BB368"/>
    </row>
    <row r="369" spans="1:54" s="149" customFormat="1" ht="13.5">
      <c r="A369" s="146"/>
      <c r="B369" s="263">
        <v>9114120007</v>
      </c>
      <c r="C369" s="273" t="str">
        <f>IFERROR(IF(VLOOKUP($B369,勘定科目!$A:$H,HLOOKUP($E$5,勘定科目!$F$1:$H$2,2,0),0)="","",VLOOKUP($B369,勘定科目!$A:$E,2,0)),"")</f>
        <v>社内金利（固定資産）</v>
      </c>
      <c r="D369" s="290" t="str">
        <f>IF(C369="","",VLOOKUP($B369,勘定科目!$A:$E,4,0))</f>
        <v>固定資産金利</v>
      </c>
      <c r="E369" s="303"/>
      <c r="F369" s="229">
        <v>13539979</v>
      </c>
      <c r="G369" s="230">
        <v>11359232</v>
      </c>
      <c r="H369" s="230">
        <v>11359232</v>
      </c>
      <c r="I369" s="230">
        <v>11359232</v>
      </c>
      <c r="J369" s="230">
        <v>11359232</v>
      </c>
      <c r="K369" s="230">
        <v>11359232</v>
      </c>
      <c r="L369" s="230">
        <v>11359232</v>
      </c>
      <c r="M369" s="230">
        <v>11359232</v>
      </c>
      <c r="N369" s="230">
        <v>11359232</v>
      </c>
      <c r="O369" s="230">
        <v>11359232</v>
      </c>
      <c r="P369" s="230">
        <v>11359232</v>
      </c>
      <c r="Q369" s="230">
        <v>11359232</v>
      </c>
      <c r="R369" s="216">
        <f t="shared" si="21"/>
        <v>138491531</v>
      </c>
      <c r="S369" s="193" t="s">
        <v>829</v>
      </c>
      <c r="T369" s="151"/>
      <c r="U369" s="192" t="s">
        <v>749</v>
      </c>
      <c r="V369" s="160"/>
      <c r="W369" s="160"/>
      <c r="BA369"/>
      <c r="BB369"/>
    </row>
    <row r="370" spans="1:54" s="149" customFormat="1" ht="13.5">
      <c r="A370" s="146"/>
      <c r="B370" s="263">
        <v>9114120007</v>
      </c>
      <c r="C370" s="273" t="str">
        <f>IFERROR(IF(VLOOKUP($B370,勘定科目!$A:$H,HLOOKUP($E$5,勘定科目!$F$1:$H$2,2,0),0)="","",VLOOKUP($B370,勘定科目!$A:$E,2,0)),"")</f>
        <v>社内金利（固定資産）</v>
      </c>
      <c r="D370" s="290" t="str">
        <f>IF(C370="","",VLOOKUP($B370,勘定科目!$A:$E,4,0))</f>
        <v>固定資産金利</v>
      </c>
      <c r="E370" s="303"/>
      <c r="F370" s="229">
        <v>150817</v>
      </c>
      <c r="G370" s="230">
        <v>83787</v>
      </c>
      <c r="H370" s="230">
        <v>83787</v>
      </c>
      <c r="I370" s="230">
        <v>83787</v>
      </c>
      <c r="J370" s="230">
        <v>83787</v>
      </c>
      <c r="K370" s="230">
        <v>83787</v>
      </c>
      <c r="L370" s="230">
        <v>83787</v>
      </c>
      <c r="M370" s="230">
        <v>83787</v>
      </c>
      <c r="N370" s="230">
        <v>83787</v>
      </c>
      <c r="O370" s="230">
        <v>83787</v>
      </c>
      <c r="P370" s="230">
        <v>83787</v>
      </c>
      <c r="Q370" s="230">
        <v>83787</v>
      </c>
      <c r="R370" s="216">
        <f t="shared" si="21"/>
        <v>1072474</v>
      </c>
      <c r="S370" s="193" t="s">
        <v>830</v>
      </c>
      <c r="T370" s="151"/>
      <c r="U370" s="192" t="s">
        <v>749</v>
      </c>
      <c r="V370" s="160"/>
      <c r="W370" s="160"/>
      <c r="BA370"/>
      <c r="BB370"/>
    </row>
    <row r="371" spans="1:54" s="149" customFormat="1" ht="13.5">
      <c r="A371" s="146"/>
      <c r="B371" s="263">
        <v>9114120007</v>
      </c>
      <c r="C371" s="273" t="str">
        <f>IFERROR(IF(VLOOKUP($B371,勘定科目!$A:$H,HLOOKUP($E$5,勘定科目!$F$1:$H$2,2,0),0)="","",VLOOKUP($B371,勘定科目!$A:$E,2,0)),"")</f>
        <v>社内金利（固定資産）</v>
      </c>
      <c r="D371" s="290" t="str">
        <f>IF(C371="","",VLOOKUP($B371,勘定科目!$A:$E,4,0))</f>
        <v>固定資産金利</v>
      </c>
      <c r="E371" s="303"/>
      <c r="F371" s="229">
        <v>378565</v>
      </c>
      <c r="G371" s="230">
        <v>210483</v>
      </c>
      <c r="H371" s="230">
        <v>210483</v>
      </c>
      <c r="I371" s="230">
        <v>210483</v>
      </c>
      <c r="J371" s="230">
        <v>210483</v>
      </c>
      <c r="K371" s="230">
        <v>210483</v>
      </c>
      <c r="L371" s="230">
        <v>210483</v>
      </c>
      <c r="M371" s="230">
        <v>210483</v>
      </c>
      <c r="N371" s="230">
        <v>210483</v>
      </c>
      <c r="O371" s="230">
        <v>210483</v>
      </c>
      <c r="P371" s="230">
        <v>210483</v>
      </c>
      <c r="Q371" s="230">
        <v>210483</v>
      </c>
      <c r="R371" s="216">
        <f t="shared" si="21"/>
        <v>2693878</v>
      </c>
      <c r="S371" s="193" t="s">
        <v>831</v>
      </c>
      <c r="T371" s="151"/>
      <c r="U371" s="192" t="s">
        <v>749</v>
      </c>
      <c r="V371" s="160"/>
      <c r="W371" s="160"/>
      <c r="BA371"/>
      <c r="BB371"/>
    </row>
    <row r="372" spans="1:54" s="149" customFormat="1" ht="13.5">
      <c r="A372" s="146"/>
      <c r="B372" s="263">
        <v>9114120007</v>
      </c>
      <c r="C372" s="273" t="str">
        <f>IFERROR(IF(VLOOKUP($B372,勘定科目!$A:$H,HLOOKUP($E$5,勘定科目!$F$1:$H$2,2,0),0)="","",VLOOKUP($B372,勘定科目!$A:$E,2,0)),"")</f>
        <v>社内金利（固定資産）</v>
      </c>
      <c r="D372" s="290" t="str">
        <f>IF(C372="","",VLOOKUP($B372,勘定科目!$A:$E,4,0))</f>
        <v>固定資産金利</v>
      </c>
      <c r="E372" s="303"/>
      <c r="F372" s="229">
        <v>10537104</v>
      </c>
      <c r="G372" s="230">
        <v>8926616</v>
      </c>
      <c r="H372" s="230">
        <v>8926616</v>
      </c>
      <c r="I372" s="230">
        <v>8926616</v>
      </c>
      <c r="J372" s="230">
        <v>8926616</v>
      </c>
      <c r="K372" s="230">
        <v>8926616</v>
      </c>
      <c r="L372" s="230">
        <v>8926616</v>
      </c>
      <c r="M372" s="230">
        <v>8926616</v>
      </c>
      <c r="N372" s="230">
        <v>8926616</v>
      </c>
      <c r="O372" s="230">
        <v>8926616</v>
      </c>
      <c r="P372" s="230">
        <v>8926616</v>
      </c>
      <c r="Q372" s="230">
        <v>8926616</v>
      </c>
      <c r="R372" s="216">
        <f t="shared" si="21"/>
        <v>108729880</v>
      </c>
      <c r="S372" s="193" t="s">
        <v>832</v>
      </c>
      <c r="T372" s="151"/>
      <c r="U372" s="192" t="s">
        <v>749</v>
      </c>
      <c r="V372" s="160"/>
      <c r="W372" s="160"/>
      <c r="BA372"/>
      <c r="BB372"/>
    </row>
    <row r="373" spans="1:54" s="149" customFormat="1" ht="13.5">
      <c r="A373" s="146"/>
      <c r="B373" s="263">
        <v>9114120007</v>
      </c>
      <c r="C373" s="273" t="str">
        <f>IFERROR(IF(VLOOKUP($B373,勘定科目!$A:$H,HLOOKUP($E$5,勘定科目!$F$1:$H$2,2,0),0)="","",VLOOKUP($B373,勘定科目!$A:$E,2,0)),"")</f>
        <v>社内金利（固定資産）</v>
      </c>
      <c r="D373" s="290" t="str">
        <f>IF(C373="","",VLOOKUP($B373,勘定科目!$A:$E,4,0))</f>
        <v>固定資産金利</v>
      </c>
      <c r="E373" s="303"/>
      <c r="F373" s="229">
        <v>12537582</v>
      </c>
      <c r="G373" s="230">
        <v>10571127</v>
      </c>
      <c r="H373" s="230">
        <v>10571127</v>
      </c>
      <c r="I373" s="230">
        <v>10571127</v>
      </c>
      <c r="J373" s="230">
        <v>10571127</v>
      </c>
      <c r="K373" s="230">
        <v>10571127</v>
      </c>
      <c r="L373" s="230">
        <v>10571127</v>
      </c>
      <c r="M373" s="230">
        <v>10571127</v>
      </c>
      <c r="N373" s="230">
        <v>10571127</v>
      </c>
      <c r="O373" s="230">
        <v>10571127</v>
      </c>
      <c r="P373" s="230">
        <v>10571127</v>
      </c>
      <c r="Q373" s="230">
        <v>10571127</v>
      </c>
      <c r="R373" s="216">
        <f t="shared" si="21"/>
        <v>128819979</v>
      </c>
      <c r="S373" s="193" t="s">
        <v>833</v>
      </c>
      <c r="T373" s="151"/>
      <c r="U373" s="192" t="s">
        <v>749</v>
      </c>
      <c r="V373" s="160"/>
      <c r="W373" s="160"/>
      <c r="BA373"/>
      <c r="BB373"/>
    </row>
    <row r="374" spans="1:54" s="149" customFormat="1" ht="13.5">
      <c r="A374" s="146"/>
      <c r="B374" s="263">
        <v>9114120007</v>
      </c>
      <c r="C374" s="273" t="str">
        <f>IFERROR(IF(VLOOKUP($B374,勘定科目!$A:$H,HLOOKUP($E$5,勘定科目!$F$1:$H$2,2,0),0)="","",VLOOKUP($B374,勘定科目!$A:$E,2,0)),"")</f>
        <v>社内金利（固定資産）</v>
      </c>
      <c r="D374" s="290" t="str">
        <f>IF(C374="","",VLOOKUP($B374,勘定科目!$A:$E,4,0))</f>
        <v>固定資産金利</v>
      </c>
      <c r="E374" s="303"/>
      <c r="F374" s="229">
        <v>10158793</v>
      </c>
      <c r="G374" s="230">
        <v>8605941</v>
      </c>
      <c r="H374" s="230">
        <v>8605941</v>
      </c>
      <c r="I374" s="230">
        <v>8605941</v>
      </c>
      <c r="J374" s="230">
        <v>8605941</v>
      </c>
      <c r="K374" s="230">
        <v>8605941</v>
      </c>
      <c r="L374" s="230">
        <v>8605941</v>
      </c>
      <c r="M374" s="230">
        <v>8605941</v>
      </c>
      <c r="N374" s="230">
        <v>8605941</v>
      </c>
      <c r="O374" s="230">
        <v>8605941</v>
      </c>
      <c r="P374" s="230">
        <v>8605941</v>
      </c>
      <c r="Q374" s="230">
        <v>8605941</v>
      </c>
      <c r="R374" s="216">
        <f t="shared" si="21"/>
        <v>104824144</v>
      </c>
      <c r="S374" s="193" t="s">
        <v>834</v>
      </c>
      <c r="T374" s="151"/>
      <c r="U374" s="192" t="s">
        <v>749</v>
      </c>
      <c r="V374" s="160"/>
      <c r="W374" s="160"/>
      <c r="BA374"/>
      <c r="BB374"/>
    </row>
    <row r="375" spans="1:54" s="149" customFormat="1" ht="13.5">
      <c r="A375" s="146"/>
      <c r="B375" s="263">
        <v>9114120007</v>
      </c>
      <c r="C375" s="273" t="str">
        <f>IFERROR(IF(VLOOKUP($B375,勘定科目!$A:$H,HLOOKUP($E$5,勘定科目!$F$1:$H$2,2,0),0)="","",VLOOKUP($B375,勘定科目!$A:$E,2,0)),"")</f>
        <v>社内金利（固定資産）</v>
      </c>
      <c r="D375" s="290" t="str">
        <f>IF(C375="","",VLOOKUP($B375,勘定科目!$A:$E,4,0))</f>
        <v>固定資産金利</v>
      </c>
      <c r="E375" s="303"/>
      <c r="F375" s="229">
        <v>562642</v>
      </c>
      <c r="G375" s="230">
        <v>358253</v>
      </c>
      <c r="H375" s="230">
        <v>358253</v>
      </c>
      <c r="I375" s="230">
        <v>358253</v>
      </c>
      <c r="J375" s="230">
        <v>358253</v>
      </c>
      <c r="K375" s="230">
        <v>358253</v>
      </c>
      <c r="L375" s="230">
        <v>358253</v>
      </c>
      <c r="M375" s="230">
        <v>358253</v>
      </c>
      <c r="N375" s="230">
        <v>358253</v>
      </c>
      <c r="O375" s="230">
        <v>358253</v>
      </c>
      <c r="P375" s="230">
        <v>358253</v>
      </c>
      <c r="Q375" s="230">
        <v>358253</v>
      </c>
      <c r="R375" s="216">
        <f t="shared" si="21"/>
        <v>4503425</v>
      </c>
      <c r="S375" s="193" t="s">
        <v>835</v>
      </c>
      <c r="T375" s="151"/>
      <c r="U375" s="192" t="s">
        <v>749</v>
      </c>
      <c r="V375" s="160"/>
      <c r="W375" s="160"/>
      <c r="BA375"/>
      <c r="BB375"/>
    </row>
    <row r="376" spans="1:54" s="149" customFormat="1" ht="13.5">
      <c r="A376" s="146"/>
      <c r="B376" s="263">
        <v>9114120007</v>
      </c>
      <c r="C376" s="273" t="str">
        <f>IFERROR(IF(VLOOKUP($B376,勘定科目!$A:$H,HLOOKUP($E$5,勘定科目!$F$1:$H$2,2,0),0)="","",VLOOKUP($B376,勘定科目!$A:$E,2,0)),"")</f>
        <v>社内金利（固定資産）</v>
      </c>
      <c r="D376" s="290" t="str">
        <f>IF(C376="","",VLOOKUP($B376,勘定科目!$A:$E,4,0))</f>
        <v>固定資産金利</v>
      </c>
      <c r="E376" s="303"/>
      <c r="F376" s="229">
        <v>1945382</v>
      </c>
      <c r="G376" s="230">
        <v>1528478</v>
      </c>
      <c r="H376" s="230">
        <v>1528478</v>
      </c>
      <c r="I376" s="230">
        <v>1528478</v>
      </c>
      <c r="J376" s="230">
        <v>1528478</v>
      </c>
      <c r="K376" s="230">
        <v>1528478</v>
      </c>
      <c r="L376" s="230">
        <v>1528478</v>
      </c>
      <c r="M376" s="230">
        <v>1528478</v>
      </c>
      <c r="N376" s="230">
        <v>1528478</v>
      </c>
      <c r="O376" s="230">
        <v>1528478</v>
      </c>
      <c r="P376" s="230">
        <v>1528478</v>
      </c>
      <c r="Q376" s="230">
        <v>1528478</v>
      </c>
      <c r="R376" s="216">
        <f t="shared" si="21"/>
        <v>18758640</v>
      </c>
      <c r="S376" s="193" t="s">
        <v>836</v>
      </c>
      <c r="T376" s="151"/>
      <c r="U376" s="192" t="s">
        <v>749</v>
      </c>
      <c r="V376" s="160"/>
      <c r="W376" s="160"/>
      <c r="BA376"/>
      <c r="BB376"/>
    </row>
    <row r="377" spans="1:54" s="149" customFormat="1" ht="13.5">
      <c r="A377" s="146"/>
      <c r="B377" s="263">
        <v>9114120007</v>
      </c>
      <c r="C377" s="273" t="str">
        <f>IFERROR(IF(VLOOKUP($B377,勘定科目!$A:$H,HLOOKUP($E$5,勘定科目!$F$1:$H$2,2,0),0)="","",VLOOKUP($B377,勘定科目!$A:$E,2,0)),"")</f>
        <v>社内金利（固定資産）</v>
      </c>
      <c r="D377" s="290" t="str">
        <f>IF(C377="","",VLOOKUP($B377,勘定科目!$A:$E,4,0))</f>
        <v>固定資産金利</v>
      </c>
      <c r="E377" s="303"/>
      <c r="F377" s="229">
        <v>435727438</v>
      </c>
      <c r="G377" s="230">
        <v>392154644</v>
      </c>
      <c r="H377" s="230">
        <v>392154644</v>
      </c>
      <c r="I377" s="230">
        <v>392154644</v>
      </c>
      <c r="J377" s="230">
        <v>392154644</v>
      </c>
      <c r="K377" s="230">
        <v>392154644</v>
      </c>
      <c r="L377" s="230">
        <v>392154644</v>
      </c>
      <c r="M377" s="230">
        <v>392154644</v>
      </c>
      <c r="N377" s="230">
        <v>392154644</v>
      </c>
      <c r="O377" s="230">
        <v>392154644</v>
      </c>
      <c r="P377" s="230">
        <v>392154644</v>
      </c>
      <c r="Q377" s="230">
        <v>392154644</v>
      </c>
      <c r="R377" s="216">
        <f t="shared" si="21"/>
        <v>4749428522</v>
      </c>
      <c r="S377" s="193" t="s">
        <v>784</v>
      </c>
      <c r="T377" s="151"/>
      <c r="U377" s="192" t="s">
        <v>749</v>
      </c>
      <c r="V377" s="160"/>
      <c r="W377" s="160"/>
      <c r="BA377"/>
      <c r="BB377"/>
    </row>
    <row r="378" spans="1:54" s="149" customFormat="1" ht="13.5">
      <c r="A378" s="146"/>
      <c r="B378" s="263">
        <v>9114120007</v>
      </c>
      <c r="C378" s="273" t="str">
        <f>IFERROR(IF(VLOOKUP($B378,勘定科目!$A:$H,HLOOKUP($E$5,勘定科目!$F$1:$H$2,2,0),0)="","",VLOOKUP($B378,勘定科目!$A:$E,2,0)),"")</f>
        <v>社内金利（固定資産）</v>
      </c>
      <c r="D378" s="290" t="str">
        <f>IF(C378="","",VLOOKUP($B378,勘定科目!$A:$E,4,0))</f>
        <v>固定資産金利</v>
      </c>
      <c r="E378" s="303"/>
      <c r="F378" s="229">
        <v>842186</v>
      </c>
      <c r="G378" s="230">
        <v>649222</v>
      </c>
      <c r="H378" s="230">
        <v>649222</v>
      </c>
      <c r="I378" s="230">
        <v>649222</v>
      </c>
      <c r="J378" s="230">
        <v>649222</v>
      </c>
      <c r="K378" s="230">
        <v>649222</v>
      </c>
      <c r="L378" s="230">
        <v>649222</v>
      </c>
      <c r="M378" s="230">
        <v>649222</v>
      </c>
      <c r="N378" s="230">
        <v>649222</v>
      </c>
      <c r="O378" s="230">
        <v>649222</v>
      </c>
      <c r="P378" s="230">
        <v>649222</v>
      </c>
      <c r="Q378" s="230">
        <v>649222</v>
      </c>
      <c r="R378" s="216">
        <f t="shared" si="21"/>
        <v>7983628</v>
      </c>
      <c r="S378" s="193" t="s">
        <v>837</v>
      </c>
      <c r="T378" s="151"/>
      <c r="U378" s="192" t="s">
        <v>749</v>
      </c>
      <c r="V378" s="160"/>
      <c r="W378" s="160"/>
      <c r="BA378"/>
      <c r="BB378"/>
    </row>
    <row r="379" spans="1:54" s="149" customFormat="1" ht="13.5">
      <c r="A379" s="146"/>
      <c r="B379" s="263">
        <v>9114120007</v>
      </c>
      <c r="C379" s="273" t="str">
        <f>IFERROR(IF(VLOOKUP($B379,勘定科目!$A:$H,HLOOKUP($E$5,勘定科目!$F$1:$H$2,2,0),0)="","",VLOOKUP($B379,勘定科目!$A:$E,2,0)),"")</f>
        <v>社内金利（固定資産）</v>
      </c>
      <c r="D379" s="290" t="str">
        <f>IF(C379="","",VLOOKUP($B379,勘定科目!$A:$E,4,0))</f>
        <v>固定資産金利</v>
      </c>
      <c r="E379" s="303"/>
      <c r="F379" s="229">
        <v>12718613</v>
      </c>
      <c r="G379" s="230">
        <v>9894991</v>
      </c>
      <c r="H379" s="230">
        <v>9894991</v>
      </c>
      <c r="I379" s="230">
        <v>9894991</v>
      </c>
      <c r="J379" s="230">
        <v>9894991</v>
      </c>
      <c r="K379" s="230">
        <v>9894991</v>
      </c>
      <c r="L379" s="230">
        <v>9894991</v>
      </c>
      <c r="M379" s="230">
        <v>9894991</v>
      </c>
      <c r="N379" s="230">
        <v>9894991</v>
      </c>
      <c r="O379" s="230">
        <v>9894991</v>
      </c>
      <c r="P379" s="230">
        <v>9894991</v>
      </c>
      <c r="Q379" s="230">
        <v>9894991</v>
      </c>
      <c r="R379" s="216">
        <f t="shared" si="21"/>
        <v>121563514</v>
      </c>
      <c r="S379" s="193" t="s">
        <v>773</v>
      </c>
      <c r="T379" s="151"/>
      <c r="U379" s="192" t="s">
        <v>749</v>
      </c>
      <c r="V379" s="160"/>
      <c r="W379" s="160"/>
      <c r="BA379"/>
      <c r="BB379"/>
    </row>
    <row r="380" spans="1:54" s="149" customFormat="1" ht="13.5">
      <c r="A380" s="146"/>
      <c r="B380" s="315">
        <v>9114120007</v>
      </c>
      <c r="C380" s="273" t="str">
        <f>IFERROR(IF(VLOOKUP($B380,勘定科目!$A:$H,HLOOKUP($E$5,勘定科目!$F$1:$H$2,2,0),0)="","",VLOOKUP($B380,勘定科目!$A:$E,2,0)),"")</f>
        <v>社内金利（固定資産）</v>
      </c>
      <c r="D380" s="290" t="str">
        <f>IF(C380="","",VLOOKUP($B380,勘定科目!$A:$E,4,0))</f>
        <v>固定資産金利</v>
      </c>
      <c r="E380" s="303"/>
      <c r="F380" s="229"/>
      <c r="G380" s="230"/>
      <c r="H380" s="230">
        <v>951000</v>
      </c>
      <c r="I380" s="230">
        <v>951000</v>
      </c>
      <c r="J380" s="230">
        <v>951000</v>
      </c>
      <c r="K380" s="230">
        <v>951000</v>
      </c>
      <c r="L380" s="230">
        <v>951000</v>
      </c>
      <c r="M380" s="230">
        <v>951000</v>
      </c>
      <c r="N380" s="230">
        <v>951000</v>
      </c>
      <c r="O380" s="230">
        <v>951000</v>
      </c>
      <c r="P380" s="230">
        <v>951000</v>
      </c>
      <c r="Q380" s="230">
        <v>951000</v>
      </c>
      <c r="R380" s="216">
        <f t="shared" ref="R380:R387" si="22">SUM(F380:Q380)</f>
        <v>9510000</v>
      </c>
      <c r="S380" s="316" t="s">
        <v>878</v>
      </c>
      <c r="T380" s="151"/>
      <c r="U380" s="192" t="s">
        <v>749</v>
      </c>
      <c r="V380" s="160"/>
      <c r="W380" s="160"/>
      <c r="BA380"/>
      <c r="BB380"/>
    </row>
    <row r="381" spans="1:54" s="149" customFormat="1" ht="13.5">
      <c r="A381" s="146"/>
      <c r="B381" s="315">
        <v>9114120007</v>
      </c>
      <c r="C381" s="273" t="str">
        <f>IFERROR(IF(VLOOKUP($B381,勘定科目!$A:$H,HLOOKUP($E$5,勘定科目!$F$1:$H$2,2,0),0)="","",VLOOKUP($B381,勘定科目!$A:$E,2,0)),"")</f>
        <v>社内金利（固定資産）</v>
      </c>
      <c r="D381" s="290" t="str">
        <f>IF(C381="","",VLOOKUP($B381,勘定科目!$A:$E,4,0))</f>
        <v>固定資産金利</v>
      </c>
      <c r="E381" s="303"/>
      <c r="F381" s="229"/>
      <c r="G381" s="230"/>
      <c r="H381" s="230">
        <v>27000</v>
      </c>
      <c r="I381" s="230">
        <v>27000</v>
      </c>
      <c r="J381" s="230">
        <v>27000</v>
      </c>
      <c r="K381" s="230">
        <v>27000</v>
      </c>
      <c r="L381" s="230">
        <v>27000</v>
      </c>
      <c r="M381" s="230">
        <v>27000</v>
      </c>
      <c r="N381" s="230">
        <v>27000</v>
      </c>
      <c r="O381" s="230">
        <v>27000</v>
      </c>
      <c r="P381" s="230">
        <v>27000</v>
      </c>
      <c r="Q381" s="230">
        <v>27000</v>
      </c>
      <c r="R381" s="216">
        <f t="shared" si="22"/>
        <v>270000</v>
      </c>
      <c r="S381" s="316" t="s">
        <v>879</v>
      </c>
      <c r="T381" s="151"/>
      <c r="U381" s="192" t="s">
        <v>749</v>
      </c>
      <c r="V381" s="160"/>
      <c r="W381" s="160"/>
      <c r="BA381"/>
      <c r="BB381"/>
    </row>
    <row r="382" spans="1:54" s="149" customFormat="1" ht="13.5">
      <c r="A382" s="146"/>
      <c r="B382" s="315">
        <v>9114120007</v>
      </c>
      <c r="C382" s="273" t="str">
        <f>IFERROR(IF(VLOOKUP($B382,勘定科目!$A:$H,HLOOKUP($E$5,勘定科目!$F$1:$H$2,2,0),0)="","",VLOOKUP($B382,勘定科目!$A:$E,2,0)),"")</f>
        <v>社内金利（固定資産）</v>
      </c>
      <c r="D382" s="290" t="str">
        <f>IF(C382="","",VLOOKUP($B382,勘定科目!$A:$E,4,0))</f>
        <v>固定資産金利</v>
      </c>
      <c r="E382" s="303"/>
      <c r="F382" s="229"/>
      <c r="G382" s="230"/>
      <c r="H382" s="230"/>
      <c r="I382" s="230"/>
      <c r="J382" s="230">
        <v>57000</v>
      </c>
      <c r="K382" s="230">
        <v>57000</v>
      </c>
      <c r="L382" s="230">
        <v>57000</v>
      </c>
      <c r="M382" s="230">
        <v>57000</v>
      </c>
      <c r="N382" s="230">
        <v>57000</v>
      </c>
      <c r="O382" s="230">
        <v>57000</v>
      </c>
      <c r="P382" s="230">
        <v>57000</v>
      </c>
      <c r="Q382" s="230">
        <v>57000</v>
      </c>
      <c r="R382" s="216">
        <f t="shared" si="22"/>
        <v>456000</v>
      </c>
      <c r="S382" s="316" t="s">
        <v>880</v>
      </c>
      <c r="T382" s="151"/>
      <c r="U382" s="192" t="s">
        <v>749</v>
      </c>
      <c r="V382" s="160"/>
      <c r="W382" s="160"/>
      <c r="BA382"/>
      <c r="BB382"/>
    </row>
    <row r="383" spans="1:54" s="149" customFormat="1" ht="13.5">
      <c r="A383" s="146"/>
      <c r="B383" s="315">
        <v>9114120007</v>
      </c>
      <c r="C383" s="273" t="str">
        <f>IFERROR(IF(VLOOKUP($B383,勘定科目!$A:$H,HLOOKUP($E$5,勘定科目!$F$1:$H$2,2,0),0)="","",VLOOKUP($B383,勘定科目!$A:$E,2,0)),"")</f>
        <v>社内金利（固定資産）</v>
      </c>
      <c r="D383" s="290" t="str">
        <f>IF(C383="","",VLOOKUP($B383,勘定科目!$A:$E,4,0))</f>
        <v>固定資産金利</v>
      </c>
      <c r="E383" s="303"/>
      <c r="F383" s="229"/>
      <c r="G383" s="230"/>
      <c r="H383" s="230"/>
      <c r="I383" s="230">
        <v>12172</v>
      </c>
      <c r="J383" s="230">
        <v>12172</v>
      </c>
      <c r="K383" s="230">
        <v>12172</v>
      </c>
      <c r="L383" s="230">
        <v>12172</v>
      </c>
      <c r="M383" s="230">
        <v>12172</v>
      </c>
      <c r="N383" s="230">
        <v>12172</v>
      </c>
      <c r="O383" s="230">
        <v>12172</v>
      </c>
      <c r="P383" s="230">
        <v>12172</v>
      </c>
      <c r="Q383" s="230">
        <v>12172</v>
      </c>
      <c r="R383" s="216">
        <f t="shared" si="22"/>
        <v>109548</v>
      </c>
      <c r="S383" s="316" t="s">
        <v>881</v>
      </c>
      <c r="T383" s="151"/>
      <c r="U383" s="192" t="s">
        <v>749</v>
      </c>
      <c r="V383" s="160"/>
      <c r="W383" s="160"/>
      <c r="BA383"/>
      <c r="BB383"/>
    </row>
    <row r="384" spans="1:54" s="149" customFormat="1" ht="13.5">
      <c r="A384" s="146"/>
      <c r="B384" s="315">
        <v>9114120007</v>
      </c>
      <c r="C384" s="273" t="str">
        <f>IFERROR(IF(VLOOKUP($B384,勘定科目!$A:$H,HLOOKUP($E$5,勘定科目!$F$1:$H$2,2,0),0)="","",VLOOKUP($B384,勘定科目!$A:$E,2,0)),"")</f>
        <v>社内金利（固定資産）</v>
      </c>
      <c r="D384" s="290" t="str">
        <f>IF(C384="","",VLOOKUP($B384,勘定科目!$A:$E,4,0))</f>
        <v>固定資産金利</v>
      </c>
      <c r="E384" s="303"/>
      <c r="F384" s="229"/>
      <c r="G384" s="230"/>
      <c r="H384" s="230"/>
      <c r="I384" s="230"/>
      <c r="J384" s="230"/>
      <c r="K384" s="230"/>
      <c r="L384" s="230"/>
      <c r="M384" s="230"/>
      <c r="N384" s="230">
        <v>135000</v>
      </c>
      <c r="O384" s="230">
        <v>135000</v>
      </c>
      <c r="P384" s="230">
        <v>135000</v>
      </c>
      <c r="Q384" s="230">
        <v>135000</v>
      </c>
      <c r="R384" s="216">
        <f t="shared" si="22"/>
        <v>540000</v>
      </c>
      <c r="S384" s="316" t="s">
        <v>882</v>
      </c>
      <c r="T384" s="151"/>
      <c r="U384" s="192" t="s">
        <v>749</v>
      </c>
      <c r="V384" s="160"/>
      <c r="W384" s="160"/>
      <c r="BA384"/>
      <c r="BB384"/>
    </row>
    <row r="385" spans="1:54" s="149" customFormat="1" ht="13.5">
      <c r="A385" s="146"/>
      <c r="B385" s="315">
        <v>9114120007</v>
      </c>
      <c r="C385" s="273" t="str">
        <f>IFERROR(IF(VLOOKUP($B385,勘定科目!$A:$H,HLOOKUP($E$5,勘定科目!$F$1:$H$2,2,0),0)="","",VLOOKUP($B385,勘定科目!$A:$E,2,0)),"")</f>
        <v>社内金利（固定資産）</v>
      </c>
      <c r="D385" s="290" t="str">
        <f>IF(C385="","",VLOOKUP($B385,勘定科目!$A:$E,4,0))</f>
        <v>固定資産金利</v>
      </c>
      <c r="E385" s="303"/>
      <c r="F385" s="229"/>
      <c r="G385" s="230"/>
      <c r="H385" s="230">
        <v>66000</v>
      </c>
      <c r="I385" s="230">
        <v>66000</v>
      </c>
      <c r="J385" s="230">
        <v>66000</v>
      </c>
      <c r="K385" s="230">
        <v>66000</v>
      </c>
      <c r="L385" s="230">
        <v>66000</v>
      </c>
      <c r="M385" s="230">
        <v>66000</v>
      </c>
      <c r="N385" s="230">
        <v>66000</v>
      </c>
      <c r="O385" s="230">
        <v>66000</v>
      </c>
      <c r="P385" s="230">
        <v>66000</v>
      </c>
      <c r="Q385" s="230">
        <v>66000</v>
      </c>
      <c r="R385" s="216">
        <f t="shared" si="22"/>
        <v>660000</v>
      </c>
      <c r="S385" s="316" t="s">
        <v>877</v>
      </c>
      <c r="T385" s="151"/>
      <c r="U385" s="192" t="s">
        <v>749</v>
      </c>
      <c r="V385" s="160"/>
      <c r="W385" s="160"/>
      <c r="BA385"/>
      <c r="BB385"/>
    </row>
    <row r="386" spans="1:54" s="149" customFormat="1" ht="13.5">
      <c r="A386" s="146"/>
      <c r="B386" s="315">
        <v>9114120007</v>
      </c>
      <c r="C386" s="273" t="str">
        <f>IFERROR(IF(VLOOKUP($B386,勘定科目!$A:$H,HLOOKUP($E$5,勘定科目!$F$1:$H$2,2,0),0)="","",VLOOKUP($B386,勘定科目!$A:$E,2,0)),"")</f>
        <v>社内金利（固定資産）</v>
      </c>
      <c r="D386" s="290" t="str">
        <f>IF(C386="","",VLOOKUP($B386,勘定科目!$A:$E,4,0))</f>
        <v>固定資産金利</v>
      </c>
      <c r="E386" s="303"/>
      <c r="F386" s="229"/>
      <c r="G386" s="230"/>
      <c r="H386" s="230"/>
      <c r="I386" s="230"/>
      <c r="J386" s="230">
        <v>952125</v>
      </c>
      <c r="K386" s="230">
        <v>952125</v>
      </c>
      <c r="L386" s="230">
        <v>952125</v>
      </c>
      <c r="M386" s="230">
        <v>952125</v>
      </c>
      <c r="N386" s="230">
        <v>952125</v>
      </c>
      <c r="O386" s="230">
        <v>952125</v>
      </c>
      <c r="P386" s="230">
        <v>952125</v>
      </c>
      <c r="Q386" s="230">
        <v>952125</v>
      </c>
      <c r="R386" s="216">
        <f t="shared" si="22"/>
        <v>7617000</v>
      </c>
      <c r="S386" s="316" t="s">
        <v>883</v>
      </c>
      <c r="T386" s="151"/>
      <c r="U386" s="192" t="s">
        <v>749</v>
      </c>
      <c r="V386" s="160"/>
      <c r="W386" s="160"/>
      <c r="BA386"/>
      <c r="BB386"/>
    </row>
    <row r="387" spans="1:54" s="149" customFormat="1" ht="13.5">
      <c r="A387" s="146"/>
      <c r="B387" s="315">
        <v>9114120007</v>
      </c>
      <c r="C387" s="273" t="str">
        <f>IFERROR(IF(VLOOKUP($B387,勘定科目!$A:$H,HLOOKUP($E$5,勘定科目!$F$1:$H$2,2,0),0)="","",VLOOKUP($B387,勘定科目!$A:$E,2,0)),"")</f>
        <v>社内金利（固定資産）</v>
      </c>
      <c r="D387" s="290" t="str">
        <f>IF(C387="","",VLOOKUP($B387,勘定科目!$A:$E,4,0))</f>
        <v>固定資産金利</v>
      </c>
      <c r="E387" s="303"/>
      <c r="F387" s="229"/>
      <c r="G387" s="230"/>
      <c r="H387" s="230"/>
      <c r="I387" s="230"/>
      <c r="J387" s="230"/>
      <c r="K387" s="230">
        <v>120000</v>
      </c>
      <c r="L387" s="230">
        <v>120000</v>
      </c>
      <c r="M387" s="230">
        <v>120000</v>
      </c>
      <c r="N387" s="230">
        <v>120000</v>
      </c>
      <c r="O387" s="230">
        <v>120000</v>
      </c>
      <c r="P387" s="230">
        <v>120000</v>
      </c>
      <c r="Q387" s="230">
        <v>120000</v>
      </c>
      <c r="R387" s="216">
        <f t="shared" si="22"/>
        <v>840000</v>
      </c>
      <c r="S387" s="316" t="s">
        <v>884</v>
      </c>
      <c r="T387" s="151"/>
      <c r="U387" s="192" t="s">
        <v>749</v>
      </c>
      <c r="V387" s="160"/>
      <c r="W387" s="160"/>
      <c r="BA387"/>
      <c r="BB387"/>
    </row>
    <row r="388" spans="1:54" s="149" customFormat="1" ht="13.5">
      <c r="A388" s="146"/>
      <c r="B388" s="263"/>
      <c r="C388" s="273" t="str">
        <f>IFERROR(IF(VLOOKUP($B388,勘定科目!$A:$H,HLOOKUP($E$5,勘定科目!$F$1:$H$2,2,0),0)="","",VLOOKUP($B388,勘定科目!$A:$E,2,0)),"")</f>
        <v/>
      </c>
      <c r="D388" s="290" t="str">
        <f>IF(C388="","",VLOOKUP($B388,勘定科目!$A:$E,4,0))</f>
        <v/>
      </c>
      <c r="E388" s="303"/>
      <c r="F388" s="229"/>
      <c r="G388" s="230"/>
      <c r="H388" s="230"/>
      <c r="I388" s="230"/>
      <c r="J388" s="230"/>
      <c r="K388" s="230"/>
      <c r="L388" s="230"/>
      <c r="M388" s="230"/>
      <c r="N388" s="230"/>
      <c r="O388" s="230"/>
      <c r="P388" s="230"/>
      <c r="Q388" s="230"/>
      <c r="R388" s="216"/>
      <c r="S388" s="193"/>
      <c r="T388" s="151"/>
      <c r="U388" s="192"/>
      <c r="V388" s="160"/>
      <c r="W388" s="160"/>
      <c r="BA388"/>
      <c r="BB388"/>
    </row>
    <row r="389" spans="1:54" s="149" customFormat="1" ht="13.5">
      <c r="A389" s="146"/>
      <c r="B389" s="263"/>
      <c r="C389" s="273" t="str">
        <f>IFERROR(IF(VLOOKUP($B389,勘定科目!$A:$H,HLOOKUP($E$5,勘定科目!$F$1:$H$2,2,0),0)="","",VLOOKUP($B389,勘定科目!$A:$E,2,0)),"")</f>
        <v/>
      </c>
      <c r="D389" s="290" t="str">
        <f>IF(C389="","",VLOOKUP($B389,勘定科目!$A:$E,4,0))</f>
        <v/>
      </c>
      <c r="E389" s="303"/>
      <c r="F389" s="229"/>
      <c r="G389" s="230"/>
      <c r="H389" s="230"/>
      <c r="I389" s="230"/>
      <c r="J389" s="230"/>
      <c r="K389" s="230"/>
      <c r="L389" s="230"/>
      <c r="M389" s="230"/>
      <c r="N389" s="230"/>
      <c r="O389" s="230"/>
      <c r="P389" s="230"/>
      <c r="Q389" s="230"/>
      <c r="R389" s="216"/>
      <c r="S389" s="193"/>
      <c r="T389" s="151"/>
      <c r="U389" s="192"/>
      <c r="V389" s="160"/>
      <c r="W389" s="160"/>
      <c r="BA389"/>
      <c r="BB389"/>
    </row>
    <row r="390" spans="1:54" s="149" customFormat="1" ht="13.5">
      <c r="A390" s="146"/>
      <c r="B390" s="263"/>
      <c r="C390" s="273" t="str">
        <f>IFERROR(IF(VLOOKUP($B390,勘定科目!$A:$H,HLOOKUP($E$5,勘定科目!$F$1:$H$2,2,0),0)="","",VLOOKUP($B390,勘定科目!$A:$E,2,0)),"")</f>
        <v/>
      </c>
      <c r="D390" s="290" t="str">
        <f>IF(C390="","",VLOOKUP($B390,勘定科目!$A:$E,4,0))</f>
        <v/>
      </c>
      <c r="E390" s="303"/>
      <c r="F390" s="229"/>
      <c r="G390" s="230"/>
      <c r="H390" s="230"/>
      <c r="I390" s="230"/>
      <c r="J390" s="230"/>
      <c r="K390" s="230"/>
      <c r="L390" s="230"/>
      <c r="M390" s="230"/>
      <c r="N390" s="230"/>
      <c r="O390" s="230"/>
      <c r="P390" s="230"/>
      <c r="Q390" s="230"/>
      <c r="R390" s="216"/>
      <c r="S390" s="193"/>
      <c r="T390" s="151"/>
      <c r="U390" s="192"/>
      <c r="V390" s="160"/>
      <c r="W390" s="160"/>
      <c r="BA390"/>
      <c r="BB390"/>
    </row>
    <row r="391" spans="1:54" s="149" customFormat="1" ht="13.5">
      <c r="A391" s="146"/>
      <c r="B391" s="263"/>
      <c r="C391" s="273" t="str">
        <f>IFERROR(IF(VLOOKUP($B391,勘定科目!$A:$H,HLOOKUP($E$5,勘定科目!$F$1:$H$2,2,0),0)="","",VLOOKUP($B391,勘定科目!$A:$E,2,0)),"")</f>
        <v/>
      </c>
      <c r="D391" s="290" t="str">
        <f>IF(C391="","",VLOOKUP($B391,勘定科目!$A:$E,4,0))</f>
        <v/>
      </c>
      <c r="E391" s="303"/>
      <c r="F391" s="229"/>
      <c r="G391" s="230"/>
      <c r="H391" s="230"/>
      <c r="I391" s="230"/>
      <c r="J391" s="230"/>
      <c r="K391" s="230"/>
      <c r="L391" s="230"/>
      <c r="M391" s="230"/>
      <c r="N391" s="230"/>
      <c r="O391" s="230"/>
      <c r="P391" s="230"/>
      <c r="Q391" s="230"/>
      <c r="R391" s="216"/>
      <c r="S391" s="193"/>
      <c r="T391" s="151"/>
      <c r="U391" s="192"/>
      <c r="V391" s="160"/>
      <c r="W391" s="160"/>
      <c r="BA391"/>
      <c r="BB391"/>
    </row>
    <row r="392" spans="1:54" s="149" customFormat="1" ht="13.5">
      <c r="A392" s="146"/>
      <c r="B392" s="263"/>
      <c r="C392" s="273" t="str">
        <f>IFERROR(IF(VLOOKUP($B392,勘定科目!$A:$H,HLOOKUP($E$5,勘定科目!$F$1:$H$2,2,0),0)="","",VLOOKUP($B392,勘定科目!$A:$E,2,0)),"")</f>
        <v/>
      </c>
      <c r="D392" s="290" t="str">
        <f>IF(C392="","",VLOOKUP($B392,勘定科目!$A:$E,4,0))</f>
        <v/>
      </c>
      <c r="E392" s="303"/>
      <c r="F392" s="229"/>
      <c r="G392" s="230"/>
      <c r="H392" s="230"/>
      <c r="I392" s="230"/>
      <c r="J392" s="230"/>
      <c r="K392" s="230"/>
      <c r="L392" s="230"/>
      <c r="M392" s="230"/>
      <c r="N392" s="230"/>
      <c r="O392" s="230"/>
      <c r="P392" s="230"/>
      <c r="Q392" s="230"/>
      <c r="R392" s="216"/>
      <c r="S392" s="193"/>
      <c r="T392" s="151"/>
      <c r="U392" s="192"/>
      <c r="V392" s="160"/>
      <c r="W392" s="160"/>
      <c r="BA392"/>
      <c r="BB392"/>
    </row>
    <row r="393" spans="1:54" s="149" customFormat="1" ht="13.5">
      <c r="A393" s="146"/>
      <c r="B393" s="263"/>
      <c r="C393" s="273" t="str">
        <f>IFERROR(IF(VLOOKUP($B393,勘定科目!$A:$H,HLOOKUP($E$5,勘定科目!$F$1:$H$2,2,0),0)="","",VLOOKUP($B393,勘定科目!$A:$E,2,0)),"")</f>
        <v/>
      </c>
      <c r="D393" s="290" t="str">
        <f>IF(C393="","",VLOOKUP($B393,勘定科目!$A:$E,4,0))</f>
        <v/>
      </c>
      <c r="E393" s="303"/>
      <c r="F393" s="229"/>
      <c r="G393" s="230"/>
      <c r="H393" s="230"/>
      <c r="I393" s="230"/>
      <c r="J393" s="230"/>
      <c r="K393" s="230"/>
      <c r="L393" s="230"/>
      <c r="M393" s="230"/>
      <c r="N393" s="230"/>
      <c r="O393" s="230"/>
      <c r="P393" s="230"/>
      <c r="Q393" s="230"/>
      <c r="R393" s="216"/>
      <c r="S393" s="193"/>
      <c r="T393" s="151"/>
      <c r="U393" s="192"/>
      <c r="V393" s="160"/>
      <c r="W393" s="160"/>
      <c r="BA393"/>
      <c r="BB393"/>
    </row>
    <row r="394" spans="1:54" s="149" customFormat="1" ht="13.5">
      <c r="A394" s="146"/>
      <c r="B394" s="263"/>
      <c r="C394" s="273" t="str">
        <f>IFERROR(IF(VLOOKUP($B394,勘定科目!$A:$H,HLOOKUP($E$5,勘定科目!$F$1:$H$2,2,0),0)="","",VLOOKUP($B394,勘定科目!$A:$E,2,0)),"")</f>
        <v/>
      </c>
      <c r="D394" s="290" t="str">
        <f>IF(C394="","",VLOOKUP($B394,勘定科目!$A:$E,4,0))</f>
        <v/>
      </c>
      <c r="E394" s="303"/>
      <c r="F394" s="229"/>
      <c r="G394" s="230"/>
      <c r="H394" s="230"/>
      <c r="I394" s="230"/>
      <c r="J394" s="230"/>
      <c r="K394" s="230"/>
      <c r="L394" s="230"/>
      <c r="M394" s="230"/>
      <c r="N394" s="230"/>
      <c r="O394" s="230"/>
      <c r="P394" s="230"/>
      <c r="Q394" s="230"/>
      <c r="R394" s="216"/>
      <c r="S394" s="193"/>
      <c r="T394" s="151"/>
      <c r="U394" s="192"/>
      <c r="V394" s="160"/>
      <c r="W394" s="160"/>
      <c r="BA394"/>
      <c r="BB394"/>
    </row>
    <row r="395" spans="1:54" s="149" customFormat="1" ht="13.5">
      <c r="A395" s="146"/>
      <c r="B395" s="263"/>
      <c r="C395" s="273" t="str">
        <f>IFERROR(IF(VLOOKUP($B395,勘定科目!$A:$H,HLOOKUP($E$5,勘定科目!$F$1:$H$2,2,0),0)="","",VLOOKUP($B395,勘定科目!$A:$E,2,0)),"")</f>
        <v/>
      </c>
      <c r="D395" s="290" t="str">
        <f>IF(C395="","",VLOOKUP($B395,勘定科目!$A:$E,4,0))</f>
        <v/>
      </c>
      <c r="E395" s="303"/>
      <c r="F395" s="229"/>
      <c r="G395" s="230"/>
      <c r="H395" s="230"/>
      <c r="I395" s="230"/>
      <c r="J395" s="230"/>
      <c r="K395" s="230"/>
      <c r="L395" s="230"/>
      <c r="M395" s="230"/>
      <c r="N395" s="230"/>
      <c r="O395" s="230"/>
      <c r="P395" s="230"/>
      <c r="Q395" s="230"/>
      <c r="R395" s="216"/>
      <c r="S395" s="193"/>
      <c r="T395" s="151"/>
      <c r="U395" s="192"/>
      <c r="V395" s="160"/>
      <c r="W395" s="160"/>
      <c r="BA395"/>
      <c r="BB395"/>
    </row>
    <row r="396" spans="1:54" s="149" customFormat="1" ht="13.5">
      <c r="A396" s="146"/>
      <c r="B396" s="263"/>
      <c r="C396" s="273" t="str">
        <f>IFERROR(IF(VLOOKUP($B396,勘定科目!$A:$H,HLOOKUP($E$5,勘定科目!$F$1:$H$2,2,0),0)="","",VLOOKUP($B396,勘定科目!$A:$E,2,0)),"")</f>
        <v/>
      </c>
      <c r="D396" s="290" t="str">
        <f>IF(C396="","",VLOOKUP($B396,勘定科目!$A:$E,4,0))</f>
        <v/>
      </c>
      <c r="E396" s="303"/>
      <c r="F396" s="229"/>
      <c r="G396" s="230"/>
      <c r="H396" s="230"/>
      <c r="I396" s="230"/>
      <c r="J396" s="230"/>
      <c r="K396" s="230"/>
      <c r="L396" s="230"/>
      <c r="M396" s="230"/>
      <c r="N396" s="230"/>
      <c r="O396" s="230"/>
      <c r="P396" s="230"/>
      <c r="Q396" s="230"/>
      <c r="R396" s="216"/>
      <c r="S396" s="193"/>
      <c r="T396" s="151"/>
      <c r="U396" s="192"/>
      <c r="V396" s="160"/>
      <c r="W396" s="160"/>
      <c r="BA396"/>
      <c r="BB396"/>
    </row>
    <row r="397" spans="1:54" s="149" customFormat="1" ht="13.5">
      <c r="A397" s="146"/>
      <c r="B397" s="263"/>
      <c r="C397" s="273" t="str">
        <f>IFERROR(IF(VLOOKUP($B397,勘定科目!$A:$H,HLOOKUP($E$5,勘定科目!$F$1:$H$2,2,0),0)="","",VLOOKUP($B397,勘定科目!$A:$E,2,0)),"")</f>
        <v/>
      </c>
      <c r="D397" s="290" t="str">
        <f>IF(C397="","",VLOOKUP($B397,勘定科目!$A:$E,4,0))</f>
        <v/>
      </c>
      <c r="E397" s="303"/>
      <c r="F397" s="229"/>
      <c r="G397" s="230"/>
      <c r="H397" s="230"/>
      <c r="I397" s="230"/>
      <c r="J397" s="230"/>
      <c r="K397" s="230"/>
      <c r="L397" s="230"/>
      <c r="M397" s="230"/>
      <c r="N397" s="230"/>
      <c r="O397" s="230"/>
      <c r="P397" s="230"/>
      <c r="Q397" s="230"/>
      <c r="R397" s="216"/>
      <c r="S397" s="193"/>
      <c r="T397" s="151"/>
      <c r="U397" s="192"/>
      <c r="V397" s="160"/>
      <c r="W397" s="160"/>
      <c r="BA397"/>
      <c r="BB397"/>
    </row>
    <row r="398" spans="1:54" s="149" customFormat="1" ht="13.5">
      <c r="A398" s="146"/>
      <c r="B398" s="263"/>
      <c r="C398" s="273" t="str">
        <f>IFERROR(IF(VLOOKUP($B398,勘定科目!$A:$H,HLOOKUP($E$5,勘定科目!$F$1:$H$2,2,0),0)="","",VLOOKUP($B398,勘定科目!$A:$E,2,0)),"")</f>
        <v/>
      </c>
      <c r="D398" s="290" t="str">
        <f>IF(C398="","",VLOOKUP($B398,勘定科目!$A:$E,4,0))</f>
        <v/>
      </c>
      <c r="E398" s="303"/>
      <c r="F398" s="229"/>
      <c r="G398" s="230"/>
      <c r="H398" s="230"/>
      <c r="I398" s="230"/>
      <c r="J398" s="230"/>
      <c r="K398" s="230"/>
      <c r="L398" s="230"/>
      <c r="M398" s="230"/>
      <c r="N398" s="230"/>
      <c r="O398" s="230"/>
      <c r="P398" s="230"/>
      <c r="Q398" s="230"/>
      <c r="R398" s="216"/>
      <c r="S398" s="193"/>
      <c r="T398" s="151"/>
      <c r="U398" s="192"/>
      <c r="V398" s="160"/>
      <c r="W398" s="160"/>
      <c r="BA398"/>
      <c r="BB398"/>
    </row>
    <row r="399" spans="1:54" s="149" customFormat="1" ht="13.5">
      <c r="A399" s="146"/>
      <c r="B399" s="263"/>
      <c r="C399" s="273" t="str">
        <f>IFERROR(IF(VLOOKUP($B399,勘定科目!$A:$H,HLOOKUP($E$5,勘定科目!$F$1:$H$2,2,0),0)="","",VLOOKUP($B399,勘定科目!$A:$E,2,0)),"")</f>
        <v/>
      </c>
      <c r="D399" s="290" t="str">
        <f>IF(C399="","",VLOOKUP($B399,勘定科目!$A:$E,4,0))</f>
        <v/>
      </c>
      <c r="E399" s="303"/>
      <c r="F399" s="229"/>
      <c r="G399" s="230"/>
      <c r="H399" s="230"/>
      <c r="I399" s="230"/>
      <c r="J399" s="230"/>
      <c r="K399" s="230"/>
      <c r="L399" s="230"/>
      <c r="M399" s="230"/>
      <c r="N399" s="230"/>
      <c r="O399" s="230"/>
      <c r="P399" s="230"/>
      <c r="Q399" s="230"/>
      <c r="R399" s="216"/>
      <c r="S399" s="193"/>
      <c r="T399" s="151"/>
      <c r="U399" s="192"/>
      <c r="V399" s="160"/>
      <c r="W399" s="160"/>
      <c r="BA399"/>
      <c r="BB399"/>
    </row>
    <row r="400" spans="1:54" s="149" customFormat="1" ht="13.5">
      <c r="A400" s="146"/>
      <c r="B400" s="263"/>
      <c r="C400" s="273" t="str">
        <f>IFERROR(IF(VLOOKUP($B400,勘定科目!$A:$H,HLOOKUP($E$5,勘定科目!$F$1:$H$2,2,0),0)="","",VLOOKUP($B400,勘定科目!$A:$E,2,0)),"")</f>
        <v/>
      </c>
      <c r="D400" s="290" t="str">
        <f>IF(C400="","",VLOOKUP($B400,勘定科目!$A:$E,4,0))</f>
        <v/>
      </c>
      <c r="E400" s="303"/>
      <c r="F400" s="229"/>
      <c r="G400" s="230"/>
      <c r="H400" s="230"/>
      <c r="I400" s="230"/>
      <c r="J400" s="230"/>
      <c r="K400" s="230"/>
      <c r="L400" s="230"/>
      <c r="M400" s="230"/>
      <c r="N400" s="230"/>
      <c r="O400" s="230"/>
      <c r="P400" s="230"/>
      <c r="Q400" s="230"/>
      <c r="R400" s="216"/>
      <c r="S400" s="193"/>
      <c r="T400" s="151"/>
      <c r="U400" s="192"/>
      <c r="V400" s="160"/>
      <c r="W400" s="160"/>
      <c r="BA400"/>
      <c r="BB400"/>
    </row>
    <row r="401" spans="1:54" s="149" customFormat="1" ht="13.5">
      <c r="A401" s="146"/>
      <c r="B401" s="263"/>
      <c r="C401" s="273" t="str">
        <f>IFERROR(IF(VLOOKUP($B401,勘定科目!$A:$H,HLOOKUP($E$5,勘定科目!$F$1:$H$2,2,0),0)="","",VLOOKUP($B401,勘定科目!$A:$E,2,0)),"")</f>
        <v/>
      </c>
      <c r="D401" s="290" t="str">
        <f>IF(C401="","",VLOOKUP($B401,勘定科目!$A:$E,4,0))</f>
        <v/>
      </c>
      <c r="E401" s="303"/>
      <c r="F401" s="229"/>
      <c r="G401" s="230"/>
      <c r="H401" s="230"/>
      <c r="I401" s="230"/>
      <c r="J401" s="230"/>
      <c r="K401" s="230"/>
      <c r="L401" s="230"/>
      <c r="M401" s="230"/>
      <c r="N401" s="230"/>
      <c r="O401" s="230"/>
      <c r="P401" s="230"/>
      <c r="Q401" s="230"/>
      <c r="R401" s="216"/>
      <c r="S401" s="193"/>
      <c r="T401" s="151"/>
      <c r="U401" s="192"/>
      <c r="V401" s="160"/>
      <c r="W401" s="160"/>
      <c r="BA401"/>
      <c r="BB401"/>
    </row>
    <row r="402" spans="1:54" s="149" customFormat="1" ht="13.5">
      <c r="A402" s="146"/>
      <c r="B402" s="263"/>
      <c r="C402" s="273" t="str">
        <f>IFERROR(IF(VLOOKUP($B402,勘定科目!$A:$H,HLOOKUP($E$5,勘定科目!$F$1:$H$2,2,0),0)="","",VLOOKUP($B402,勘定科目!$A:$E,2,0)),"")</f>
        <v/>
      </c>
      <c r="D402" s="290" t="str">
        <f>IF(C402="","",VLOOKUP($B402,勘定科目!$A:$E,4,0))</f>
        <v/>
      </c>
      <c r="E402" s="303"/>
      <c r="F402" s="229"/>
      <c r="G402" s="230"/>
      <c r="H402" s="230"/>
      <c r="I402" s="230"/>
      <c r="J402" s="230"/>
      <c r="K402" s="230"/>
      <c r="L402" s="230"/>
      <c r="M402" s="230"/>
      <c r="N402" s="230"/>
      <c r="O402" s="230"/>
      <c r="P402" s="230"/>
      <c r="Q402" s="230"/>
      <c r="R402" s="216"/>
      <c r="S402" s="193"/>
      <c r="T402" s="151"/>
      <c r="U402" s="192"/>
      <c r="V402" s="160"/>
      <c r="W402" s="160"/>
      <c r="BA402"/>
      <c r="BB402"/>
    </row>
    <row r="403" spans="1:54" s="149" customFormat="1" ht="13.5">
      <c r="A403" s="146"/>
      <c r="B403" s="263"/>
      <c r="C403" s="273" t="str">
        <f>IFERROR(IF(VLOOKUP($B403,勘定科目!$A:$H,HLOOKUP($E$5,勘定科目!$F$1:$H$2,2,0),0)="","",VLOOKUP($B403,勘定科目!$A:$E,2,0)),"")</f>
        <v/>
      </c>
      <c r="D403" s="290" t="str">
        <f>IF(C403="","",VLOOKUP($B403,勘定科目!$A:$E,4,0))</f>
        <v/>
      </c>
      <c r="E403" s="303"/>
      <c r="F403" s="229"/>
      <c r="G403" s="230"/>
      <c r="H403" s="230"/>
      <c r="I403" s="230"/>
      <c r="J403" s="230"/>
      <c r="K403" s="230"/>
      <c r="L403" s="230"/>
      <c r="M403" s="230"/>
      <c r="N403" s="230"/>
      <c r="O403" s="230"/>
      <c r="P403" s="230"/>
      <c r="Q403" s="230"/>
      <c r="R403" s="216"/>
      <c r="S403" s="193"/>
      <c r="T403" s="151"/>
      <c r="U403" s="192"/>
      <c r="V403" s="160"/>
      <c r="W403" s="160"/>
      <c r="BA403"/>
      <c r="BB403"/>
    </row>
    <row r="404" spans="1:54" s="149" customFormat="1" ht="13.5">
      <c r="A404" s="146"/>
      <c r="B404" s="263"/>
      <c r="C404" s="273" t="str">
        <f>IFERROR(IF(VLOOKUP($B404,勘定科目!$A:$H,HLOOKUP($E$5,勘定科目!$F$1:$H$2,2,0),0)="","",VLOOKUP($B404,勘定科目!$A:$E,2,0)),"")</f>
        <v/>
      </c>
      <c r="D404" s="290" t="str">
        <f>IF(C404="","",VLOOKUP($B404,勘定科目!$A:$E,4,0))</f>
        <v/>
      </c>
      <c r="E404" s="303"/>
      <c r="F404" s="229"/>
      <c r="G404" s="230"/>
      <c r="H404" s="230"/>
      <c r="I404" s="230"/>
      <c r="J404" s="230"/>
      <c r="K404" s="230"/>
      <c r="L404" s="230"/>
      <c r="M404" s="230"/>
      <c r="N404" s="230"/>
      <c r="O404" s="230"/>
      <c r="P404" s="230"/>
      <c r="Q404" s="230"/>
      <c r="R404" s="216"/>
      <c r="S404" s="193"/>
      <c r="T404" s="151"/>
      <c r="U404" s="192"/>
      <c r="V404" s="160"/>
      <c r="W404" s="160"/>
      <c r="BA404"/>
      <c r="BB404"/>
    </row>
    <row r="405" spans="1:54" s="149" customFormat="1" ht="13.5">
      <c r="A405" s="146"/>
      <c r="B405" s="263"/>
      <c r="C405" s="273" t="str">
        <f>IFERROR(IF(VLOOKUP($B405,勘定科目!$A:$H,HLOOKUP($E$5,勘定科目!$F$1:$H$2,2,0),0)="","",VLOOKUP($B405,勘定科目!$A:$E,2,0)),"")</f>
        <v/>
      </c>
      <c r="D405" s="290" t="str">
        <f>IF(C405="","",VLOOKUP($B405,勘定科目!$A:$E,4,0))</f>
        <v/>
      </c>
      <c r="E405" s="303"/>
      <c r="F405" s="229"/>
      <c r="G405" s="230"/>
      <c r="H405" s="230"/>
      <c r="I405" s="230"/>
      <c r="J405" s="230"/>
      <c r="K405" s="230"/>
      <c r="L405" s="230"/>
      <c r="M405" s="230"/>
      <c r="N405" s="230"/>
      <c r="O405" s="230"/>
      <c r="P405" s="230"/>
      <c r="Q405" s="230"/>
      <c r="R405" s="216"/>
      <c r="S405" s="193"/>
      <c r="T405" s="151"/>
      <c r="U405" s="192"/>
      <c r="V405" s="160"/>
      <c r="W405" s="160"/>
      <c r="BA405"/>
      <c r="BB405"/>
    </row>
    <row r="406" spans="1:54" s="149" customFormat="1" ht="13.5">
      <c r="A406" s="146"/>
      <c r="B406" s="263"/>
      <c r="C406" s="273" t="str">
        <f>IFERROR(IF(VLOOKUP($B406,勘定科目!$A:$H,HLOOKUP($E$5,勘定科目!$F$1:$H$2,2,0),0)="","",VLOOKUP($B406,勘定科目!$A:$E,2,0)),"")</f>
        <v/>
      </c>
      <c r="D406" s="290" t="str">
        <f>IF(C406="","",VLOOKUP($B406,勘定科目!$A:$E,4,0))</f>
        <v/>
      </c>
      <c r="E406" s="303"/>
      <c r="F406" s="229"/>
      <c r="G406" s="230"/>
      <c r="H406" s="230"/>
      <c r="I406" s="230"/>
      <c r="J406" s="230"/>
      <c r="K406" s="230"/>
      <c r="L406" s="230"/>
      <c r="M406" s="230"/>
      <c r="N406" s="230"/>
      <c r="O406" s="230"/>
      <c r="P406" s="230"/>
      <c r="Q406" s="230"/>
      <c r="R406" s="216"/>
      <c r="S406" s="193"/>
      <c r="T406" s="151"/>
      <c r="U406" s="192"/>
      <c r="V406" s="160"/>
      <c r="W406" s="160"/>
      <c r="BA406"/>
      <c r="BB406"/>
    </row>
    <row r="407" spans="1:54" s="149" customFormat="1" ht="13.5">
      <c r="A407" s="146"/>
      <c r="B407" s="263"/>
      <c r="C407" s="273" t="str">
        <f>IFERROR(IF(VLOOKUP($B407,勘定科目!$A:$H,HLOOKUP($E$5,勘定科目!$F$1:$H$2,2,0),0)="","",VLOOKUP($B407,勘定科目!$A:$E,2,0)),"")</f>
        <v/>
      </c>
      <c r="D407" s="290" t="str">
        <f>IF(C407="","",VLOOKUP($B407,勘定科目!$A:$E,4,0))</f>
        <v/>
      </c>
      <c r="E407" s="303"/>
      <c r="F407" s="229"/>
      <c r="G407" s="230"/>
      <c r="H407" s="230"/>
      <c r="I407" s="230"/>
      <c r="J407" s="230"/>
      <c r="K407" s="230"/>
      <c r="L407" s="230"/>
      <c r="M407" s="230"/>
      <c r="N407" s="230"/>
      <c r="O407" s="230"/>
      <c r="P407" s="230"/>
      <c r="Q407" s="230"/>
      <c r="R407" s="216"/>
      <c r="S407" s="193"/>
      <c r="T407" s="151"/>
      <c r="U407" s="192"/>
      <c r="V407" s="160"/>
      <c r="W407" s="160"/>
      <c r="BA407"/>
      <c r="BB407"/>
    </row>
    <row r="408" spans="1:54" s="149" customFormat="1" ht="13.5">
      <c r="A408" s="146"/>
      <c r="B408" s="263"/>
      <c r="C408" s="273" t="str">
        <f>IFERROR(IF(VLOOKUP($B408,勘定科目!$A:$H,HLOOKUP($E$5,勘定科目!$F$1:$H$2,2,0),0)="","",VLOOKUP($B408,勘定科目!$A:$E,2,0)),"")</f>
        <v/>
      </c>
      <c r="D408" s="290" t="str">
        <f>IF(C408="","",VLOOKUP($B408,勘定科目!$A:$E,4,0))</f>
        <v/>
      </c>
      <c r="E408" s="303"/>
      <c r="F408" s="229"/>
      <c r="G408" s="230"/>
      <c r="H408" s="230"/>
      <c r="I408" s="230"/>
      <c r="J408" s="230"/>
      <c r="K408" s="230"/>
      <c r="L408" s="230"/>
      <c r="M408" s="230"/>
      <c r="N408" s="230"/>
      <c r="O408" s="230"/>
      <c r="P408" s="230"/>
      <c r="Q408" s="230"/>
      <c r="R408" s="216"/>
      <c r="S408" s="193"/>
      <c r="T408" s="151"/>
      <c r="U408" s="192"/>
      <c r="V408" s="160"/>
      <c r="W408" s="160"/>
      <c r="BA408"/>
      <c r="BB408"/>
    </row>
    <row r="409" spans="1:54" s="149" customFormat="1" ht="13.5">
      <c r="A409" s="146"/>
      <c r="B409" s="263"/>
      <c r="C409" s="273" t="str">
        <f>IFERROR(IF(VLOOKUP($B409,勘定科目!$A:$H,HLOOKUP($E$5,勘定科目!$F$1:$H$2,2,0),0)="","",VLOOKUP($B409,勘定科目!$A:$E,2,0)),"")</f>
        <v/>
      </c>
      <c r="D409" s="290" t="str">
        <f>IF(C409="","",VLOOKUP($B409,勘定科目!$A:$E,4,0))</f>
        <v/>
      </c>
      <c r="E409" s="303"/>
      <c r="F409" s="229"/>
      <c r="G409" s="23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16"/>
      <c r="S409" s="193"/>
      <c r="T409" s="151"/>
      <c r="U409" s="192"/>
      <c r="V409" s="160"/>
      <c r="W409" s="160"/>
      <c r="BA409"/>
      <c r="BB409"/>
    </row>
    <row r="410" spans="1:54" s="149" customFormat="1" ht="13.5">
      <c r="A410" s="146"/>
      <c r="B410" s="263"/>
      <c r="C410" s="273" t="str">
        <f>IFERROR(IF(VLOOKUP($B410,勘定科目!$A:$H,HLOOKUP($E$5,勘定科目!$F$1:$H$2,2,0),0)="","",VLOOKUP($B410,勘定科目!$A:$E,2,0)),"")</f>
        <v/>
      </c>
      <c r="D410" s="290" t="str">
        <f>IF(C410="","",VLOOKUP($B410,勘定科目!$A:$E,4,0))</f>
        <v/>
      </c>
      <c r="E410" s="303"/>
      <c r="F410" s="229"/>
      <c r="G410" s="230"/>
      <c r="H410" s="230"/>
      <c r="I410" s="230"/>
      <c r="J410" s="230"/>
      <c r="K410" s="230"/>
      <c r="L410" s="230"/>
      <c r="M410" s="230"/>
      <c r="N410" s="230"/>
      <c r="O410" s="230"/>
      <c r="P410" s="230"/>
      <c r="Q410" s="230"/>
      <c r="R410" s="216"/>
      <c r="S410" s="193"/>
      <c r="T410" s="151"/>
      <c r="U410" s="192"/>
      <c r="V410" s="160"/>
      <c r="W410" s="160"/>
      <c r="BA410"/>
      <c r="BB410"/>
    </row>
    <row r="411" spans="1:54" s="149" customFormat="1" ht="13.5">
      <c r="A411" s="146"/>
      <c r="B411" s="263"/>
      <c r="C411" s="273" t="str">
        <f>IFERROR(IF(VLOOKUP($B411,勘定科目!$A:$H,HLOOKUP($E$5,勘定科目!$F$1:$H$2,2,0),0)="","",VLOOKUP($B411,勘定科目!$A:$E,2,0)),"")</f>
        <v/>
      </c>
      <c r="D411" s="290" t="str">
        <f>IF(C411="","",VLOOKUP($B411,勘定科目!$A:$E,4,0))</f>
        <v/>
      </c>
      <c r="E411" s="303"/>
      <c r="F411" s="229"/>
      <c r="G411" s="230"/>
      <c r="H411" s="230"/>
      <c r="I411" s="230"/>
      <c r="J411" s="230"/>
      <c r="K411" s="230"/>
      <c r="L411" s="230"/>
      <c r="M411" s="230"/>
      <c r="N411" s="230"/>
      <c r="O411" s="230"/>
      <c r="P411" s="230"/>
      <c r="Q411" s="230"/>
      <c r="R411" s="216"/>
      <c r="S411" s="193"/>
      <c r="T411" s="151"/>
      <c r="U411" s="192"/>
      <c r="V411" s="160"/>
      <c r="W411" s="160"/>
      <c r="BA411"/>
      <c r="BB411"/>
    </row>
    <row r="412" spans="1:54" s="149" customFormat="1" ht="13.5">
      <c r="A412" s="146"/>
      <c r="B412" s="263"/>
      <c r="C412" s="273" t="str">
        <f>IFERROR(IF(VLOOKUP($B412,勘定科目!$A:$H,HLOOKUP($E$5,勘定科目!$F$1:$H$2,2,0),0)="","",VLOOKUP($B412,勘定科目!$A:$E,2,0)),"")</f>
        <v/>
      </c>
      <c r="D412" s="290" t="str">
        <f>IF(C412="","",VLOOKUP($B412,勘定科目!$A:$E,4,0))</f>
        <v/>
      </c>
      <c r="E412" s="303"/>
      <c r="F412" s="229"/>
      <c r="G412" s="230"/>
      <c r="H412" s="230"/>
      <c r="I412" s="230"/>
      <c r="J412" s="230"/>
      <c r="K412" s="230"/>
      <c r="L412" s="230"/>
      <c r="M412" s="230"/>
      <c r="N412" s="230"/>
      <c r="O412" s="230"/>
      <c r="P412" s="230"/>
      <c r="Q412" s="230"/>
      <c r="R412" s="216"/>
      <c r="S412" s="193"/>
      <c r="T412" s="151"/>
      <c r="U412" s="192"/>
      <c r="V412" s="160"/>
      <c r="W412" s="160"/>
      <c r="BA412"/>
      <c r="BB412"/>
    </row>
    <row r="413" spans="1:54" s="149" customFormat="1" ht="13.5">
      <c r="A413" s="146"/>
      <c r="B413" s="263"/>
      <c r="C413" s="273" t="str">
        <f>IFERROR(IF(VLOOKUP($B413,勘定科目!$A:$H,HLOOKUP($E$5,勘定科目!$F$1:$H$2,2,0),0)="","",VLOOKUP($B413,勘定科目!$A:$E,2,0)),"")</f>
        <v/>
      </c>
      <c r="D413" s="290" t="str">
        <f>IF(C413="","",VLOOKUP($B413,勘定科目!$A:$E,4,0))</f>
        <v/>
      </c>
      <c r="E413" s="303"/>
      <c r="F413" s="229"/>
      <c r="G413" s="230"/>
      <c r="H413" s="230"/>
      <c r="I413" s="230"/>
      <c r="J413" s="230"/>
      <c r="K413" s="230"/>
      <c r="L413" s="230"/>
      <c r="M413" s="230"/>
      <c r="N413" s="230"/>
      <c r="O413" s="230"/>
      <c r="P413" s="230"/>
      <c r="Q413" s="230"/>
      <c r="R413" s="216"/>
      <c r="S413" s="193"/>
      <c r="T413" s="151"/>
      <c r="U413" s="192"/>
      <c r="V413" s="160"/>
      <c r="W413" s="160"/>
      <c r="BA413"/>
      <c r="BB413"/>
    </row>
    <row r="414" spans="1:54" s="149" customFormat="1" ht="13.5">
      <c r="A414" s="146"/>
      <c r="B414" s="263"/>
      <c r="C414" s="273" t="str">
        <f>IFERROR(IF(VLOOKUP($B414,勘定科目!$A:$H,HLOOKUP($E$5,勘定科目!$F$1:$H$2,2,0),0)="","",VLOOKUP($B414,勘定科目!$A:$E,2,0)),"")</f>
        <v/>
      </c>
      <c r="D414" s="290" t="str">
        <f>IF(C414="","",VLOOKUP($B414,勘定科目!$A:$E,4,0))</f>
        <v/>
      </c>
      <c r="E414" s="303"/>
      <c r="F414" s="229"/>
      <c r="G414" s="230"/>
      <c r="H414" s="230"/>
      <c r="I414" s="230"/>
      <c r="J414" s="230"/>
      <c r="K414" s="230"/>
      <c r="L414" s="230"/>
      <c r="M414" s="230"/>
      <c r="N414" s="230"/>
      <c r="O414" s="230"/>
      <c r="P414" s="230"/>
      <c r="Q414" s="230"/>
      <c r="R414" s="216"/>
      <c r="S414" s="193"/>
      <c r="T414" s="151"/>
      <c r="U414" s="192"/>
      <c r="V414" s="160"/>
      <c r="W414" s="160"/>
      <c r="BA414"/>
      <c r="BB414"/>
    </row>
    <row r="415" spans="1:54" s="149" customFormat="1" ht="13.5">
      <c r="A415" s="146"/>
      <c r="B415" s="263"/>
      <c r="C415" s="273" t="str">
        <f>IFERROR(IF(VLOOKUP($B415,勘定科目!$A:$H,HLOOKUP($E$5,勘定科目!$F$1:$H$2,2,0),0)="","",VLOOKUP($B415,勘定科目!$A:$E,2,0)),"")</f>
        <v/>
      </c>
      <c r="D415" s="290" t="str">
        <f>IF(C415="","",VLOOKUP($B415,勘定科目!$A:$E,4,0))</f>
        <v/>
      </c>
      <c r="E415" s="303"/>
      <c r="F415" s="229"/>
      <c r="G415" s="230"/>
      <c r="H415" s="230"/>
      <c r="I415" s="230"/>
      <c r="J415" s="230"/>
      <c r="K415" s="230"/>
      <c r="L415" s="230"/>
      <c r="M415" s="230"/>
      <c r="N415" s="230"/>
      <c r="O415" s="230"/>
      <c r="P415" s="230"/>
      <c r="Q415" s="230"/>
      <c r="R415" s="216"/>
      <c r="S415" s="193"/>
      <c r="T415" s="151"/>
      <c r="U415" s="192"/>
      <c r="V415" s="160"/>
      <c r="W415" s="160"/>
      <c r="BA415"/>
      <c r="BB415"/>
    </row>
    <row r="416" spans="1:54" s="149" customFormat="1" ht="13.5">
      <c r="A416" s="146"/>
      <c r="B416" s="263"/>
      <c r="C416" s="273" t="str">
        <f>IFERROR(IF(VLOOKUP($B416,勘定科目!$A:$H,HLOOKUP($E$5,勘定科目!$F$1:$H$2,2,0),0)="","",VLOOKUP($B416,勘定科目!$A:$E,2,0)),"")</f>
        <v/>
      </c>
      <c r="D416" s="290" t="str">
        <f>IF(C416="","",VLOOKUP($B416,勘定科目!$A:$E,4,0))</f>
        <v/>
      </c>
      <c r="E416" s="303"/>
      <c r="F416" s="229"/>
      <c r="G416" s="230"/>
      <c r="H416" s="230"/>
      <c r="I416" s="230"/>
      <c r="J416" s="230"/>
      <c r="K416" s="230"/>
      <c r="L416" s="230"/>
      <c r="M416" s="230"/>
      <c r="N416" s="230"/>
      <c r="O416" s="230"/>
      <c r="P416" s="230"/>
      <c r="Q416" s="230"/>
      <c r="R416" s="216"/>
      <c r="S416" s="193"/>
      <c r="T416" s="151"/>
      <c r="U416" s="192"/>
      <c r="V416" s="160"/>
      <c r="W416" s="160"/>
      <c r="BA416"/>
      <c r="BB416"/>
    </row>
    <row r="417" spans="1:54" s="149" customFormat="1" ht="13.5">
      <c r="A417" s="146"/>
      <c r="B417" s="263"/>
      <c r="C417" s="273" t="str">
        <f>IFERROR(IF(VLOOKUP($B417,勘定科目!$A:$H,HLOOKUP($E$5,勘定科目!$F$1:$H$2,2,0),0)="","",VLOOKUP($B417,勘定科目!$A:$E,2,0)),"")</f>
        <v/>
      </c>
      <c r="D417" s="290" t="str">
        <f>IF(C417="","",VLOOKUP($B417,勘定科目!$A:$E,4,0))</f>
        <v/>
      </c>
      <c r="E417" s="303"/>
      <c r="F417" s="229"/>
      <c r="G417" s="230"/>
      <c r="H417" s="230"/>
      <c r="I417" s="230"/>
      <c r="J417" s="230"/>
      <c r="K417" s="230"/>
      <c r="L417" s="230"/>
      <c r="M417" s="230"/>
      <c r="N417" s="230"/>
      <c r="O417" s="230"/>
      <c r="P417" s="230"/>
      <c r="Q417" s="230"/>
      <c r="R417" s="216"/>
      <c r="S417" s="193"/>
      <c r="T417" s="151"/>
      <c r="U417" s="192"/>
      <c r="V417" s="160"/>
      <c r="W417" s="160"/>
      <c r="BA417"/>
      <c r="BB417"/>
    </row>
    <row r="418" spans="1:54" s="149" customFormat="1" ht="13.5">
      <c r="A418" s="146"/>
      <c r="B418" s="263"/>
      <c r="C418" s="273" t="str">
        <f>IFERROR(IF(VLOOKUP($B418,勘定科目!$A:$H,HLOOKUP($E$5,勘定科目!$F$1:$H$2,2,0),0)="","",VLOOKUP($B418,勘定科目!$A:$E,2,0)),"")</f>
        <v/>
      </c>
      <c r="D418" s="290" t="str">
        <f>IF(C418="","",VLOOKUP($B418,勘定科目!$A:$E,4,0))</f>
        <v/>
      </c>
      <c r="E418" s="303"/>
      <c r="F418" s="229"/>
      <c r="G418" s="230"/>
      <c r="H418" s="230"/>
      <c r="I418" s="230"/>
      <c r="J418" s="230"/>
      <c r="K418" s="230"/>
      <c r="L418" s="230"/>
      <c r="M418" s="230"/>
      <c r="N418" s="230"/>
      <c r="O418" s="230"/>
      <c r="P418" s="230"/>
      <c r="Q418" s="230"/>
      <c r="R418" s="216"/>
      <c r="S418" s="193"/>
      <c r="T418" s="151"/>
      <c r="U418" s="192"/>
      <c r="V418" s="160"/>
      <c r="W418" s="160"/>
      <c r="BA418"/>
      <c r="BB418"/>
    </row>
    <row r="419" spans="1:54" s="149" customFormat="1" ht="13.5">
      <c r="A419" s="146"/>
      <c r="B419" s="263"/>
      <c r="C419" s="273" t="str">
        <f>IFERROR(IF(VLOOKUP($B419,勘定科目!$A:$H,HLOOKUP($E$5,勘定科目!$F$1:$H$2,2,0),0)="","",VLOOKUP($B419,勘定科目!$A:$E,2,0)),"")</f>
        <v/>
      </c>
      <c r="D419" s="290" t="str">
        <f>IF(C419="","",VLOOKUP($B419,勘定科目!$A:$E,4,0))</f>
        <v/>
      </c>
      <c r="E419" s="303"/>
      <c r="F419" s="229"/>
      <c r="G419" s="230"/>
      <c r="H419" s="230"/>
      <c r="I419" s="230"/>
      <c r="J419" s="230"/>
      <c r="K419" s="230"/>
      <c r="L419" s="230"/>
      <c r="M419" s="230"/>
      <c r="N419" s="230"/>
      <c r="O419" s="230"/>
      <c r="P419" s="230"/>
      <c r="Q419" s="230"/>
      <c r="R419" s="216"/>
      <c r="S419" s="193"/>
      <c r="T419" s="151"/>
      <c r="U419" s="192"/>
      <c r="V419" s="160"/>
      <c r="W419" s="160"/>
      <c r="BA419"/>
      <c r="BB419"/>
    </row>
    <row r="420" spans="1:54" s="149" customFormat="1" ht="13.5">
      <c r="A420" s="146"/>
      <c r="B420" s="263"/>
      <c r="C420" s="273" t="str">
        <f>IFERROR(IF(VLOOKUP($B420,勘定科目!$A:$H,HLOOKUP($E$5,勘定科目!$F$1:$H$2,2,0),0)="","",VLOOKUP($B420,勘定科目!$A:$E,2,0)),"")</f>
        <v/>
      </c>
      <c r="D420" s="290" t="str">
        <f>IF(C420="","",VLOOKUP($B420,勘定科目!$A:$E,4,0))</f>
        <v/>
      </c>
      <c r="E420" s="303"/>
      <c r="F420" s="229"/>
      <c r="G420" s="230"/>
      <c r="H420" s="230"/>
      <c r="I420" s="230"/>
      <c r="J420" s="230"/>
      <c r="K420" s="230"/>
      <c r="L420" s="230"/>
      <c r="M420" s="230"/>
      <c r="N420" s="230"/>
      <c r="O420" s="230"/>
      <c r="P420" s="230"/>
      <c r="Q420" s="230"/>
      <c r="R420" s="216"/>
      <c r="S420" s="193"/>
      <c r="T420" s="151"/>
      <c r="U420" s="192"/>
      <c r="V420" s="160"/>
      <c r="W420" s="160"/>
      <c r="BA420"/>
      <c r="BB420"/>
    </row>
    <row r="421" spans="1:54" s="149" customFormat="1" ht="13.5">
      <c r="A421" s="146"/>
      <c r="B421" s="263"/>
      <c r="C421" s="273" t="str">
        <f>IFERROR(IF(VLOOKUP($B421,勘定科目!$A:$H,HLOOKUP($E$5,勘定科目!$F$1:$H$2,2,0),0)="","",VLOOKUP($B421,勘定科目!$A:$E,2,0)),"")</f>
        <v/>
      </c>
      <c r="D421" s="290" t="str">
        <f>IF(C421="","",VLOOKUP($B421,勘定科目!$A:$E,4,0))</f>
        <v/>
      </c>
      <c r="E421" s="303"/>
      <c r="F421" s="229"/>
      <c r="G421" s="230"/>
      <c r="H421" s="230"/>
      <c r="I421" s="230"/>
      <c r="J421" s="230"/>
      <c r="K421" s="230"/>
      <c r="L421" s="230"/>
      <c r="M421" s="230"/>
      <c r="N421" s="230"/>
      <c r="O421" s="230"/>
      <c r="P421" s="230"/>
      <c r="Q421" s="230"/>
      <c r="R421" s="216"/>
      <c r="S421" s="193"/>
      <c r="T421" s="151"/>
      <c r="U421" s="192"/>
      <c r="V421" s="160"/>
      <c r="W421" s="160"/>
      <c r="BA421"/>
      <c r="BB421"/>
    </row>
    <row r="422" spans="1:54" s="149" customFormat="1" ht="13.5">
      <c r="A422" s="146"/>
      <c r="B422" s="263"/>
      <c r="C422" s="273" t="str">
        <f>IFERROR(IF(VLOOKUP($B422,勘定科目!$A:$H,HLOOKUP($E$5,勘定科目!$F$1:$H$2,2,0),0)="","",VLOOKUP($B422,勘定科目!$A:$E,2,0)),"")</f>
        <v/>
      </c>
      <c r="D422" s="290" t="str">
        <f>IF(C422="","",VLOOKUP($B422,勘定科目!$A:$E,4,0))</f>
        <v/>
      </c>
      <c r="E422" s="303"/>
      <c r="F422" s="229"/>
      <c r="G422" s="230"/>
      <c r="H422" s="230"/>
      <c r="I422" s="230"/>
      <c r="J422" s="230"/>
      <c r="K422" s="230"/>
      <c r="L422" s="230"/>
      <c r="M422" s="230"/>
      <c r="N422" s="230"/>
      <c r="O422" s="230"/>
      <c r="P422" s="230"/>
      <c r="Q422" s="230"/>
      <c r="R422" s="216"/>
      <c r="S422" s="193"/>
      <c r="T422" s="151"/>
      <c r="U422" s="192"/>
      <c r="V422" s="160"/>
      <c r="W422" s="160"/>
      <c r="BA422"/>
      <c r="BB422"/>
    </row>
    <row r="423" spans="1:54" s="149" customFormat="1" ht="13.5">
      <c r="A423" s="146"/>
      <c r="B423" s="263"/>
      <c r="C423" s="273" t="str">
        <f>IFERROR(IF(VLOOKUP($B423,勘定科目!$A:$H,HLOOKUP($E$5,勘定科目!$F$1:$H$2,2,0),0)="","",VLOOKUP($B423,勘定科目!$A:$E,2,0)),"")</f>
        <v/>
      </c>
      <c r="D423" s="290" t="str">
        <f>IF(C423="","",VLOOKUP($B423,勘定科目!$A:$E,4,0))</f>
        <v/>
      </c>
      <c r="E423" s="303"/>
      <c r="F423" s="229"/>
      <c r="G423" s="230"/>
      <c r="H423" s="230"/>
      <c r="I423" s="230"/>
      <c r="J423" s="230"/>
      <c r="K423" s="230"/>
      <c r="L423" s="230"/>
      <c r="M423" s="230"/>
      <c r="N423" s="230"/>
      <c r="O423" s="230"/>
      <c r="P423" s="230"/>
      <c r="Q423" s="230"/>
      <c r="R423" s="216"/>
      <c r="S423" s="193"/>
      <c r="T423" s="151"/>
      <c r="U423" s="192"/>
      <c r="V423" s="160"/>
      <c r="W423" s="160"/>
      <c r="BA423"/>
      <c r="BB423"/>
    </row>
    <row r="424" spans="1:54" s="149" customFormat="1" ht="13.5">
      <c r="A424" s="146"/>
      <c r="B424" s="263"/>
      <c r="C424" s="273" t="str">
        <f>IFERROR(IF(VLOOKUP($B424,勘定科目!$A:$H,HLOOKUP($E$5,勘定科目!$F$1:$H$2,2,0),0)="","",VLOOKUP($B424,勘定科目!$A:$E,2,0)),"")</f>
        <v/>
      </c>
      <c r="D424" s="290" t="str">
        <f>IF(C424="","",VLOOKUP($B424,勘定科目!$A:$E,4,0))</f>
        <v/>
      </c>
      <c r="E424" s="303"/>
      <c r="F424" s="229"/>
      <c r="G424" s="230"/>
      <c r="H424" s="230"/>
      <c r="I424" s="230"/>
      <c r="J424" s="230"/>
      <c r="K424" s="230"/>
      <c r="L424" s="230"/>
      <c r="M424" s="230"/>
      <c r="N424" s="230"/>
      <c r="O424" s="230"/>
      <c r="P424" s="230"/>
      <c r="Q424" s="230"/>
      <c r="R424" s="216"/>
      <c r="S424" s="193"/>
      <c r="T424" s="151"/>
      <c r="U424" s="192"/>
      <c r="V424" s="160"/>
      <c r="W424" s="160"/>
      <c r="BA424"/>
      <c r="BB424"/>
    </row>
    <row r="425" spans="1:54" s="149" customFormat="1" ht="13.5">
      <c r="A425" s="146"/>
      <c r="B425" s="263"/>
      <c r="C425" s="273" t="str">
        <f>IFERROR(IF(VLOOKUP($B425,勘定科目!$A:$H,HLOOKUP($E$5,勘定科目!$F$1:$H$2,2,0),0)="","",VLOOKUP($B425,勘定科目!$A:$E,2,0)),"")</f>
        <v/>
      </c>
      <c r="D425" s="290" t="str">
        <f>IF(C425="","",VLOOKUP($B425,勘定科目!$A:$E,4,0))</f>
        <v/>
      </c>
      <c r="E425" s="303"/>
      <c r="F425" s="229"/>
      <c r="G425" s="230"/>
      <c r="H425" s="230"/>
      <c r="I425" s="230"/>
      <c r="J425" s="230"/>
      <c r="K425" s="230"/>
      <c r="L425" s="230"/>
      <c r="M425" s="230"/>
      <c r="N425" s="230"/>
      <c r="O425" s="230"/>
      <c r="P425" s="230"/>
      <c r="Q425" s="230"/>
      <c r="R425" s="216"/>
      <c r="S425" s="193"/>
      <c r="T425" s="151"/>
      <c r="U425" s="192"/>
      <c r="V425" s="160"/>
      <c r="W425" s="160"/>
      <c r="BA425"/>
      <c r="BB425"/>
    </row>
    <row r="426" spans="1:54" s="149" customFormat="1" ht="13.5">
      <c r="A426" s="146"/>
      <c r="B426" s="263"/>
      <c r="C426" s="273" t="str">
        <f>IFERROR(IF(VLOOKUP($B426,勘定科目!$A:$H,HLOOKUP($E$5,勘定科目!$F$1:$H$2,2,0),0)="","",VLOOKUP($B426,勘定科目!$A:$E,2,0)),"")</f>
        <v/>
      </c>
      <c r="D426" s="290" t="str">
        <f>IF(C426="","",VLOOKUP($B426,勘定科目!$A:$E,4,0))</f>
        <v/>
      </c>
      <c r="E426" s="303"/>
      <c r="F426" s="229"/>
      <c r="G426" s="230"/>
      <c r="H426" s="230"/>
      <c r="I426" s="230"/>
      <c r="J426" s="230"/>
      <c r="K426" s="230"/>
      <c r="L426" s="230"/>
      <c r="M426" s="230"/>
      <c r="N426" s="230"/>
      <c r="O426" s="230"/>
      <c r="P426" s="230"/>
      <c r="Q426" s="230"/>
      <c r="R426" s="216"/>
      <c r="S426" s="193"/>
      <c r="T426" s="151"/>
      <c r="U426" s="192"/>
      <c r="V426" s="160"/>
      <c r="W426" s="160"/>
      <c r="BA426"/>
      <c r="BB426"/>
    </row>
    <row r="427" spans="1:54" s="149" customFormat="1" ht="13.5">
      <c r="A427" s="146"/>
      <c r="B427" s="263"/>
      <c r="C427" s="273" t="str">
        <f>IFERROR(IF(VLOOKUP($B427,勘定科目!$A:$H,HLOOKUP($E$5,勘定科目!$F$1:$H$2,2,0),0)="","",VLOOKUP($B427,勘定科目!$A:$E,2,0)),"")</f>
        <v/>
      </c>
      <c r="D427" s="290" t="str">
        <f>IF(C427="","",VLOOKUP($B427,勘定科目!$A:$E,4,0))</f>
        <v/>
      </c>
      <c r="E427" s="303"/>
      <c r="F427" s="229"/>
      <c r="G427" s="230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16"/>
      <c r="S427" s="193"/>
      <c r="T427" s="151"/>
      <c r="U427" s="192"/>
      <c r="V427" s="160"/>
      <c r="W427" s="160"/>
      <c r="BA427"/>
      <c r="BB427"/>
    </row>
    <row r="428" spans="1:54" s="149" customFormat="1" ht="13.5">
      <c r="A428" s="146"/>
      <c r="B428" s="263"/>
      <c r="C428" s="273" t="str">
        <f>IFERROR(IF(VLOOKUP($B428,勘定科目!$A:$H,HLOOKUP($E$5,勘定科目!$F$1:$H$2,2,0),0)="","",VLOOKUP($B428,勘定科目!$A:$E,2,0)),"")</f>
        <v/>
      </c>
      <c r="D428" s="290" t="str">
        <f>IF(C428="","",VLOOKUP($B428,勘定科目!$A:$E,4,0))</f>
        <v/>
      </c>
      <c r="E428" s="303"/>
      <c r="F428" s="229"/>
      <c r="G428" s="23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16"/>
      <c r="S428" s="193"/>
      <c r="T428" s="151"/>
      <c r="U428" s="192"/>
      <c r="V428" s="160"/>
      <c r="W428" s="160"/>
      <c r="BA428"/>
      <c r="BB428"/>
    </row>
    <row r="429" spans="1:54" s="149" customFormat="1" ht="13.5">
      <c r="A429" s="146"/>
      <c r="B429" s="263"/>
      <c r="C429" s="273" t="str">
        <f>IFERROR(IF(VLOOKUP($B429,勘定科目!$A:$H,HLOOKUP($E$5,勘定科目!$F$1:$H$2,2,0),0)="","",VLOOKUP($B429,勘定科目!$A:$E,2,0)),"")</f>
        <v/>
      </c>
      <c r="D429" s="290" t="str">
        <f>IF(C429="","",VLOOKUP($B429,勘定科目!$A:$E,4,0))</f>
        <v/>
      </c>
      <c r="E429" s="303"/>
      <c r="F429" s="229"/>
      <c r="G429" s="230"/>
      <c r="H429" s="230"/>
      <c r="I429" s="230"/>
      <c r="J429" s="230"/>
      <c r="K429" s="230"/>
      <c r="L429" s="230"/>
      <c r="M429" s="230"/>
      <c r="N429" s="230"/>
      <c r="O429" s="230"/>
      <c r="P429" s="230"/>
      <c r="Q429" s="230"/>
      <c r="R429" s="216"/>
      <c r="S429" s="193"/>
      <c r="T429" s="151"/>
      <c r="U429" s="192"/>
      <c r="V429" s="160"/>
      <c r="W429" s="160"/>
      <c r="BA429"/>
      <c r="BB429"/>
    </row>
    <row r="430" spans="1:54" s="149" customFormat="1" ht="13.5">
      <c r="A430" s="146"/>
      <c r="B430" s="263"/>
      <c r="C430" s="273" t="str">
        <f>IFERROR(IF(VLOOKUP($B430,勘定科目!$A:$H,HLOOKUP($E$5,勘定科目!$F$1:$H$2,2,0),0)="","",VLOOKUP($B430,勘定科目!$A:$E,2,0)),"")</f>
        <v/>
      </c>
      <c r="D430" s="290" t="str">
        <f>IF(C430="","",VLOOKUP($B430,勘定科目!$A:$E,4,0))</f>
        <v/>
      </c>
      <c r="E430" s="303"/>
      <c r="F430" s="229"/>
      <c r="G430" s="230"/>
      <c r="H430" s="230"/>
      <c r="I430" s="230"/>
      <c r="J430" s="230"/>
      <c r="K430" s="230"/>
      <c r="L430" s="230"/>
      <c r="M430" s="230"/>
      <c r="N430" s="230"/>
      <c r="O430" s="230"/>
      <c r="P430" s="230"/>
      <c r="Q430" s="230"/>
      <c r="R430" s="216"/>
      <c r="S430" s="193"/>
      <c r="T430" s="151"/>
      <c r="U430" s="192"/>
      <c r="V430" s="160"/>
      <c r="W430" s="160"/>
      <c r="BA430"/>
      <c r="BB430"/>
    </row>
    <row r="431" spans="1:54" s="149" customFormat="1" ht="13.5">
      <c r="A431" s="146"/>
      <c r="B431" s="263"/>
      <c r="C431" s="273" t="str">
        <f>IFERROR(IF(VLOOKUP($B431,勘定科目!$A:$H,HLOOKUP($E$5,勘定科目!$F$1:$H$2,2,0),0)="","",VLOOKUP($B431,勘定科目!$A:$E,2,0)),"")</f>
        <v/>
      </c>
      <c r="D431" s="290" t="str">
        <f>IF(C431="","",VLOOKUP($B431,勘定科目!$A:$E,4,0))</f>
        <v/>
      </c>
      <c r="E431" s="303"/>
      <c r="F431" s="229"/>
      <c r="G431" s="230"/>
      <c r="H431" s="230"/>
      <c r="I431" s="230"/>
      <c r="J431" s="230"/>
      <c r="K431" s="230"/>
      <c r="L431" s="230"/>
      <c r="M431" s="230"/>
      <c r="N431" s="230"/>
      <c r="O431" s="230"/>
      <c r="P431" s="230"/>
      <c r="Q431" s="230"/>
      <c r="R431" s="216"/>
      <c r="S431" s="193"/>
      <c r="T431" s="151"/>
      <c r="U431" s="192"/>
      <c r="V431" s="160"/>
      <c r="W431" s="160"/>
      <c r="BA431"/>
      <c r="BB431"/>
    </row>
    <row r="432" spans="1:54" s="149" customFormat="1" ht="13.5">
      <c r="A432" s="146"/>
      <c r="B432" s="263"/>
      <c r="C432" s="273" t="str">
        <f>IFERROR(IF(VLOOKUP($B432,勘定科目!$A:$H,HLOOKUP($E$5,勘定科目!$F$1:$H$2,2,0),0)="","",VLOOKUP($B432,勘定科目!$A:$E,2,0)),"")</f>
        <v/>
      </c>
      <c r="D432" s="290" t="str">
        <f>IF(C432="","",VLOOKUP($B432,勘定科目!$A:$E,4,0))</f>
        <v/>
      </c>
      <c r="E432" s="303"/>
      <c r="F432" s="229"/>
      <c r="G432" s="230"/>
      <c r="H432" s="230"/>
      <c r="I432" s="230"/>
      <c r="J432" s="230"/>
      <c r="K432" s="230"/>
      <c r="L432" s="230"/>
      <c r="M432" s="230"/>
      <c r="N432" s="230"/>
      <c r="O432" s="230"/>
      <c r="P432" s="230"/>
      <c r="Q432" s="230"/>
      <c r="R432" s="216"/>
      <c r="S432" s="193"/>
      <c r="T432" s="151"/>
      <c r="U432" s="192"/>
      <c r="V432" s="160"/>
      <c r="W432" s="160"/>
      <c r="BA432"/>
      <c r="BB432"/>
    </row>
    <row r="433" spans="1:54" s="149" customFormat="1" ht="13.5">
      <c r="A433" s="146"/>
      <c r="B433" s="263"/>
      <c r="C433" s="273" t="str">
        <f>IFERROR(IF(VLOOKUP($B433,勘定科目!$A:$H,HLOOKUP($E$5,勘定科目!$F$1:$H$2,2,0),0)="","",VLOOKUP($B433,勘定科目!$A:$E,2,0)),"")</f>
        <v/>
      </c>
      <c r="D433" s="290" t="str">
        <f>IF(C433="","",VLOOKUP($B433,勘定科目!$A:$E,4,0))</f>
        <v/>
      </c>
      <c r="E433" s="303"/>
      <c r="F433" s="229"/>
      <c r="G433" s="230"/>
      <c r="H433" s="230"/>
      <c r="I433" s="230"/>
      <c r="J433" s="230"/>
      <c r="K433" s="230"/>
      <c r="L433" s="230"/>
      <c r="M433" s="230"/>
      <c r="N433" s="230"/>
      <c r="O433" s="230"/>
      <c r="P433" s="230"/>
      <c r="Q433" s="230"/>
      <c r="R433" s="216"/>
      <c r="S433" s="193"/>
      <c r="T433" s="151"/>
      <c r="U433" s="192"/>
      <c r="V433" s="160"/>
      <c r="W433" s="160"/>
      <c r="BA433"/>
      <c r="BB433"/>
    </row>
    <row r="434" spans="1:54" s="149" customFormat="1" ht="13.5">
      <c r="A434" s="146"/>
      <c r="B434" s="263"/>
      <c r="C434" s="273" t="str">
        <f>IFERROR(IF(VLOOKUP($B434,勘定科目!$A:$H,HLOOKUP($E$5,勘定科目!$F$1:$H$2,2,0),0)="","",VLOOKUP($B434,勘定科目!$A:$E,2,0)),"")</f>
        <v/>
      </c>
      <c r="D434" s="290" t="str">
        <f>IF(C434="","",VLOOKUP($B434,勘定科目!$A:$E,4,0))</f>
        <v/>
      </c>
      <c r="E434" s="303"/>
      <c r="F434" s="229"/>
      <c r="G434" s="230"/>
      <c r="H434" s="230"/>
      <c r="I434" s="230"/>
      <c r="J434" s="230"/>
      <c r="K434" s="230"/>
      <c r="L434" s="230"/>
      <c r="M434" s="230"/>
      <c r="N434" s="230"/>
      <c r="O434" s="230"/>
      <c r="P434" s="230"/>
      <c r="Q434" s="230"/>
      <c r="R434" s="216"/>
      <c r="S434" s="193"/>
      <c r="T434" s="151"/>
      <c r="U434" s="192"/>
      <c r="V434" s="160"/>
      <c r="W434" s="160"/>
      <c r="BA434"/>
      <c r="BB434"/>
    </row>
    <row r="435" spans="1:54" s="149" customFormat="1" ht="13.5">
      <c r="A435" s="146"/>
      <c r="B435" s="263"/>
      <c r="C435" s="273" t="str">
        <f>IFERROR(IF(VLOOKUP($B435,勘定科目!$A:$H,HLOOKUP($E$5,勘定科目!$F$1:$H$2,2,0),0)="","",VLOOKUP($B435,勘定科目!$A:$E,2,0)),"")</f>
        <v/>
      </c>
      <c r="D435" s="290" t="str">
        <f>IF(C435="","",VLOOKUP($B435,勘定科目!$A:$E,4,0))</f>
        <v/>
      </c>
      <c r="E435" s="303"/>
      <c r="F435" s="229"/>
      <c r="G435" s="230"/>
      <c r="H435" s="230"/>
      <c r="I435" s="230"/>
      <c r="J435" s="230"/>
      <c r="K435" s="230"/>
      <c r="L435" s="230"/>
      <c r="M435" s="230"/>
      <c r="N435" s="230"/>
      <c r="O435" s="230"/>
      <c r="P435" s="230"/>
      <c r="Q435" s="230"/>
      <c r="R435" s="216"/>
      <c r="S435" s="193"/>
      <c r="T435" s="151"/>
      <c r="U435" s="192"/>
      <c r="V435" s="160"/>
      <c r="W435" s="160"/>
      <c r="BA435"/>
      <c r="BB435"/>
    </row>
    <row r="436" spans="1:54" s="149" customFormat="1" ht="13.5">
      <c r="A436" s="146"/>
      <c r="B436" s="263"/>
      <c r="C436" s="273" t="str">
        <f>IFERROR(IF(VLOOKUP($B436,勘定科目!$A:$H,HLOOKUP($E$5,勘定科目!$F$1:$H$2,2,0),0)="","",VLOOKUP($B436,勘定科目!$A:$E,2,0)),"")</f>
        <v/>
      </c>
      <c r="D436" s="290" t="str">
        <f>IF(C436="","",VLOOKUP($B436,勘定科目!$A:$E,4,0))</f>
        <v/>
      </c>
      <c r="E436" s="303"/>
      <c r="F436" s="229"/>
      <c r="G436" s="230"/>
      <c r="H436" s="230"/>
      <c r="I436" s="230"/>
      <c r="J436" s="230"/>
      <c r="K436" s="230"/>
      <c r="L436" s="230"/>
      <c r="M436" s="230"/>
      <c r="N436" s="230"/>
      <c r="O436" s="230"/>
      <c r="P436" s="230"/>
      <c r="Q436" s="230"/>
      <c r="R436" s="216"/>
      <c r="S436" s="193"/>
      <c r="T436" s="151"/>
      <c r="U436" s="192"/>
      <c r="V436" s="160"/>
      <c r="W436" s="160"/>
      <c r="BA436"/>
      <c r="BB436"/>
    </row>
    <row r="437" spans="1:54" s="149" customFormat="1" ht="13.5">
      <c r="A437" s="146"/>
      <c r="B437" s="263"/>
      <c r="C437" s="273" t="str">
        <f>IFERROR(IF(VLOOKUP($B437,勘定科目!$A:$H,HLOOKUP($E$5,勘定科目!$F$1:$H$2,2,0),0)="","",VLOOKUP($B437,勘定科目!$A:$E,2,0)),"")</f>
        <v/>
      </c>
      <c r="D437" s="290" t="str">
        <f>IF(C437="","",VLOOKUP($B437,勘定科目!$A:$E,4,0))</f>
        <v/>
      </c>
      <c r="E437" s="303"/>
      <c r="F437" s="229"/>
      <c r="G437" s="230"/>
      <c r="H437" s="230"/>
      <c r="I437" s="230"/>
      <c r="J437" s="230"/>
      <c r="K437" s="230"/>
      <c r="L437" s="230"/>
      <c r="M437" s="230"/>
      <c r="N437" s="230"/>
      <c r="O437" s="230"/>
      <c r="P437" s="230"/>
      <c r="Q437" s="230"/>
      <c r="R437" s="216"/>
      <c r="S437" s="193"/>
      <c r="T437" s="151"/>
      <c r="U437" s="192"/>
      <c r="V437" s="160"/>
      <c r="W437" s="160"/>
      <c r="BA437"/>
      <c r="BB437"/>
    </row>
    <row r="438" spans="1:54" s="149" customFormat="1" ht="13.5">
      <c r="A438" s="146"/>
      <c r="B438" s="263"/>
      <c r="C438" s="273" t="str">
        <f>IFERROR(IF(VLOOKUP($B438,勘定科目!$A:$H,HLOOKUP($E$5,勘定科目!$F$1:$H$2,2,0),0)="","",VLOOKUP($B438,勘定科目!$A:$E,2,0)),"")</f>
        <v/>
      </c>
      <c r="D438" s="290" t="str">
        <f>IF(C438="","",VLOOKUP($B438,勘定科目!$A:$E,4,0))</f>
        <v/>
      </c>
      <c r="E438" s="303"/>
      <c r="F438" s="229"/>
      <c r="G438" s="230"/>
      <c r="H438" s="230"/>
      <c r="I438" s="230"/>
      <c r="J438" s="230"/>
      <c r="K438" s="230"/>
      <c r="L438" s="230"/>
      <c r="M438" s="230"/>
      <c r="N438" s="230"/>
      <c r="O438" s="230"/>
      <c r="P438" s="230"/>
      <c r="Q438" s="230"/>
      <c r="R438" s="216"/>
      <c r="S438" s="193"/>
      <c r="T438" s="151"/>
      <c r="U438" s="192"/>
      <c r="V438" s="160"/>
      <c r="W438" s="160"/>
      <c r="BA438"/>
      <c r="BB438"/>
    </row>
    <row r="439" spans="1:54" s="149" customFormat="1" ht="13.5">
      <c r="A439" s="146"/>
      <c r="B439" s="263"/>
      <c r="C439" s="273" t="str">
        <f>IFERROR(IF(VLOOKUP($B439,勘定科目!$A:$H,HLOOKUP($E$5,勘定科目!$F$1:$H$2,2,0),0)="","",VLOOKUP($B439,勘定科目!$A:$E,2,0)),"")</f>
        <v/>
      </c>
      <c r="D439" s="290" t="str">
        <f>IF(C439="","",VLOOKUP($B439,勘定科目!$A:$E,4,0))</f>
        <v/>
      </c>
      <c r="E439" s="303"/>
      <c r="F439" s="229"/>
      <c r="G439" s="230"/>
      <c r="H439" s="230"/>
      <c r="I439" s="230"/>
      <c r="J439" s="230"/>
      <c r="K439" s="230"/>
      <c r="L439" s="230"/>
      <c r="M439" s="230"/>
      <c r="N439" s="230"/>
      <c r="O439" s="230"/>
      <c r="P439" s="230"/>
      <c r="Q439" s="230"/>
      <c r="R439" s="216"/>
      <c r="S439" s="193"/>
      <c r="T439" s="151"/>
      <c r="U439" s="192"/>
      <c r="V439" s="160"/>
      <c r="W439" s="160"/>
      <c r="BA439"/>
      <c r="BB439"/>
    </row>
    <row r="440" spans="1:54" s="149" customFormat="1" ht="13.5">
      <c r="A440" s="146"/>
      <c r="B440" s="263"/>
      <c r="C440" s="273" t="str">
        <f>IFERROR(IF(VLOOKUP($B440,勘定科目!$A:$H,HLOOKUP($E$5,勘定科目!$F$1:$H$2,2,0),0)="","",VLOOKUP($B440,勘定科目!$A:$E,2,0)),"")</f>
        <v/>
      </c>
      <c r="D440" s="290" t="str">
        <f>IF(C440="","",VLOOKUP($B440,勘定科目!$A:$E,4,0))</f>
        <v/>
      </c>
      <c r="E440" s="303"/>
      <c r="F440" s="229"/>
      <c r="G440" s="230"/>
      <c r="H440" s="230"/>
      <c r="I440" s="230"/>
      <c r="J440" s="230"/>
      <c r="K440" s="230"/>
      <c r="L440" s="230"/>
      <c r="M440" s="230"/>
      <c r="N440" s="230"/>
      <c r="O440" s="230"/>
      <c r="P440" s="230"/>
      <c r="Q440" s="230"/>
      <c r="R440" s="216"/>
      <c r="S440" s="193"/>
      <c r="T440" s="151"/>
      <c r="U440" s="192"/>
      <c r="V440" s="160"/>
      <c r="W440" s="160"/>
      <c r="BA440"/>
      <c r="BB440"/>
    </row>
    <row r="441" spans="1:54" s="149" customFormat="1" ht="13.5">
      <c r="A441" s="146"/>
      <c r="B441" s="263"/>
      <c r="C441" s="273" t="str">
        <f>IFERROR(IF(VLOOKUP($B441,勘定科目!$A:$H,HLOOKUP($E$5,勘定科目!$F$1:$H$2,2,0),0)="","",VLOOKUP($B441,勘定科目!$A:$E,2,0)),"")</f>
        <v/>
      </c>
      <c r="D441" s="290" t="str">
        <f>IF(C441="","",VLOOKUP($B441,勘定科目!$A:$E,4,0))</f>
        <v/>
      </c>
      <c r="E441" s="303"/>
      <c r="F441" s="229"/>
      <c r="G441" s="230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16"/>
      <c r="S441" s="193"/>
      <c r="T441" s="151"/>
      <c r="U441" s="192"/>
      <c r="V441" s="160"/>
      <c r="W441" s="160"/>
      <c r="BA441"/>
      <c r="BB441"/>
    </row>
    <row r="442" spans="1:54" s="149" customFormat="1" ht="13.5">
      <c r="A442" s="146"/>
      <c r="B442" s="263"/>
      <c r="C442" s="273" t="str">
        <f>IFERROR(IF(VLOOKUP($B442,勘定科目!$A:$H,HLOOKUP($E$5,勘定科目!$F$1:$H$2,2,0),0)="","",VLOOKUP($B442,勘定科目!$A:$E,2,0)),"")</f>
        <v/>
      </c>
      <c r="D442" s="290" t="str">
        <f>IF(C442="","",VLOOKUP($B442,勘定科目!$A:$E,4,0))</f>
        <v/>
      </c>
      <c r="E442" s="303"/>
      <c r="F442" s="229"/>
      <c r="G442" s="230"/>
      <c r="H442" s="230"/>
      <c r="I442" s="230"/>
      <c r="J442" s="230"/>
      <c r="K442" s="230"/>
      <c r="L442" s="230"/>
      <c r="M442" s="230"/>
      <c r="N442" s="230"/>
      <c r="O442" s="230"/>
      <c r="P442" s="230"/>
      <c r="Q442" s="230"/>
      <c r="R442" s="216"/>
      <c r="S442" s="193"/>
      <c r="T442" s="151"/>
      <c r="U442" s="192"/>
      <c r="V442" s="160"/>
      <c r="W442" s="160"/>
      <c r="BA442"/>
      <c r="BB442"/>
    </row>
    <row r="443" spans="1:54" s="149" customFormat="1" ht="13.5">
      <c r="A443" s="146"/>
      <c r="B443" s="263"/>
      <c r="C443" s="273" t="str">
        <f>IFERROR(IF(VLOOKUP($B443,勘定科目!$A:$H,HLOOKUP($E$5,勘定科目!$F$1:$H$2,2,0),0)="","",VLOOKUP($B443,勘定科目!$A:$E,2,0)),"")</f>
        <v/>
      </c>
      <c r="D443" s="290" t="str">
        <f>IF(C443="","",VLOOKUP($B443,勘定科目!$A:$E,4,0))</f>
        <v/>
      </c>
      <c r="E443" s="303"/>
      <c r="F443" s="229"/>
      <c r="G443" s="230"/>
      <c r="H443" s="230"/>
      <c r="I443" s="230"/>
      <c r="J443" s="230"/>
      <c r="K443" s="230"/>
      <c r="L443" s="230"/>
      <c r="M443" s="230"/>
      <c r="N443" s="230"/>
      <c r="O443" s="230"/>
      <c r="P443" s="230"/>
      <c r="Q443" s="230"/>
      <c r="R443" s="216"/>
      <c r="S443" s="193"/>
      <c r="T443" s="151"/>
      <c r="U443" s="192"/>
      <c r="V443" s="160"/>
      <c r="W443" s="160"/>
      <c r="BA443"/>
      <c r="BB443"/>
    </row>
    <row r="444" spans="1:54" s="149" customFormat="1" ht="13.5">
      <c r="A444" s="146"/>
      <c r="B444" s="263"/>
      <c r="C444" s="273" t="str">
        <f>IFERROR(IF(VLOOKUP($B444,勘定科目!$A:$H,HLOOKUP($E$5,勘定科目!$F$1:$H$2,2,0),0)="","",VLOOKUP($B444,勘定科目!$A:$E,2,0)),"")</f>
        <v/>
      </c>
      <c r="D444" s="290" t="str">
        <f>IF(C444="","",VLOOKUP($B444,勘定科目!$A:$E,4,0))</f>
        <v/>
      </c>
      <c r="E444" s="303"/>
      <c r="F444" s="229"/>
      <c r="G444" s="230"/>
      <c r="H444" s="230"/>
      <c r="I444" s="230"/>
      <c r="J444" s="230"/>
      <c r="K444" s="230"/>
      <c r="L444" s="230"/>
      <c r="M444" s="230"/>
      <c r="N444" s="230"/>
      <c r="O444" s="230"/>
      <c r="P444" s="230"/>
      <c r="Q444" s="230"/>
      <c r="R444" s="216"/>
      <c r="S444" s="193"/>
      <c r="T444" s="151"/>
      <c r="U444" s="192"/>
      <c r="V444" s="160"/>
      <c r="W444" s="160"/>
      <c r="BA444"/>
      <c r="BB444"/>
    </row>
    <row r="445" spans="1:54" s="149" customFormat="1" ht="13.5">
      <c r="A445" s="146"/>
      <c r="B445" s="263"/>
      <c r="C445" s="273" t="str">
        <f>IFERROR(IF(VLOOKUP($B445,勘定科目!$A:$H,HLOOKUP($E$5,勘定科目!$F$1:$H$2,2,0),0)="","",VLOOKUP($B445,勘定科目!$A:$E,2,0)),"")</f>
        <v/>
      </c>
      <c r="D445" s="290" t="str">
        <f>IF(C445="","",VLOOKUP($B445,勘定科目!$A:$E,4,0))</f>
        <v/>
      </c>
      <c r="E445" s="303"/>
      <c r="F445" s="229"/>
      <c r="G445" s="230"/>
      <c r="H445" s="230"/>
      <c r="I445" s="230"/>
      <c r="J445" s="230"/>
      <c r="K445" s="230"/>
      <c r="L445" s="230"/>
      <c r="M445" s="230"/>
      <c r="N445" s="230"/>
      <c r="O445" s="230"/>
      <c r="P445" s="230"/>
      <c r="Q445" s="230"/>
      <c r="R445" s="216"/>
      <c r="S445" s="193"/>
      <c r="T445" s="151"/>
      <c r="U445" s="192"/>
      <c r="V445" s="160"/>
      <c r="W445" s="160"/>
      <c r="BA445"/>
      <c r="BB445"/>
    </row>
    <row r="446" spans="1:54" s="149" customFormat="1" ht="13.5">
      <c r="A446" s="146"/>
      <c r="B446" s="263"/>
      <c r="C446" s="273" t="str">
        <f>IFERROR(IF(VLOOKUP($B446,勘定科目!$A:$H,HLOOKUP($E$5,勘定科目!$F$1:$H$2,2,0),0)="","",VLOOKUP($B446,勘定科目!$A:$E,2,0)),"")</f>
        <v/>
      </c>
      <c r="D446" s="290" t="str">
        <f>IF(C446="","",VLOOKUP($B446,勘定科目!$A:$E,4,0))</f>
        <v/>
      </c>
      <c r="E446" s="303"/>
      <c r="F446" s="229"/>
      <c r="G446" s="230"/>
      <c r="H446" s="230"/>
      <c r="I446" s="230"/>
      <c r="J446" s="230"/>
      <c r="K446" s="230"/>
      <c r="L446" s="230"/>
      <c r="M446" s="230"/>
      <c r="N446" s="230"/>
      <c r="O446" s="230"/>
      <c r="P446" s="230"/>
      <c r="Q446" s="230"/>
      <c r="R446" s="216"/>
      <c r="S446" s="193"/>
      <c r="T446" s="151"/>
      <c r="U446" s="192"/>
      <c r="V446" s="160"/>
      <c r="W446" s="160"/>
      <c r="BA446"/>
      <c r="BB446"/>
    </row>
    <row r="447" spans="1:54" s="149" customFormat="1" ht="13.5">
      <c r="A447" s="146"/>
      <c r="B447" s="263"/>
      <c r="C447" s="273" t="str">
        <f>IFERROR(IF(VLOOKUP($B447,勘定科目!$A:$H,HLOOKUP($E$5,勘定科目!$F$1:$H$2,2,0),0)="","",VLOOKUP($B447,勘定科目!$A:$E,2,0)),"")</f>
        <v/>
      </c>
      <c r="D447" s="290" t="str">
        <f>IF(C447="","",VLOOKUP($B447,勘定科目!$A:$E,4,0))</f>
        <v/>
      </c>
      <c r="E447" s="303"/>
      <c r="F447" s="229"/>
      <c r="G447" s="230"/>
      <c r="H447" s="230"/>
      <c r="I447" s="230"/>
      <c r="J447" s="230"/>
      <c r="K447" s="230"/>
      <c r="L447" s="230"/>
      <c r="M447" s="230"/>
      <c r="N447" s="230"/>
      <c r="O447" s="230"/>
      <c r="P447" s="230"/>
      <c r="Q447" s="230"/>
      <c r="R447" s="216"/>
      <c r="S447" s="193"/>
      <c r="T447" s="151"/>
      <c r="U447" s="192"/>
      <c r="V447" s="160"/>
      <c r="W447" s="160"/>
      <c r="BA447"/>
      <c r="BB447"/>
    </row>
    <row r="448" spans="1:54" s="149" customFormat="1" ht="13.5">
      <c r="A448" s="146"/>
      <c r="B448" s="263"/>
      <c r="C448" s="273" t="str">
        <f>IFERROR(IF(VLOOKUP($B448,勘定科目!$A:$H,HLOOKUP($E$5,勘定科目!$F$1:$H$2,2,0),0)="","",VLOOKUP($B448,勘定科目!$A:$E,2,0)),"")</f>
        <v/>
      </c>
      <c r="D448" s="290" t="str">
        <f>IF(C448="","",VLOOKUP($B448,勘定科目!$A:$E,4,0))</f>
        <v/>
      </c>
      <c r="E448" s="303"/>
      <c r="F448" s="229"/>
      <c r="G448" s="230"/>
      <c r="H448" s="230"/>
      <c r="I448" s="230"/>
      <c r="J448" s="230"/>
      <c r="K448" s="230"/>
      <c r="L448" s="230"/>
      <c r="M448" s="230"/>
      <c r="N448" s="230"/>
      <c r="O448" s="230"/>
      <c r="P448" s="230"/>
      <c r="Q448" s="230"/>
      <c r="R448" s="216"/>
      <c r="S448" s="193"/>
      <c r="T448" s="151"/>
      <c r="U448" s="192"/>
      <c r="V448" s="160"/>
      <c r="W448" s="160"/>
      <c r="BA448"/>
      <c r="BB448"/>
    </row>
    <row r="449" spans="1:54" s="149" customFormat="1" ht="13.5">
      <c r="A449" s="146"/>
      <c r="B449" s="263"/>
      <c r="C449" s="273" t="str">
        <f>IFERROR(IF(VLOOKUP($B449,勘定科目!$A:$H,HLOOKUP($E$5,勘定科目!$F$1:$H$2,2,0),0)="","",VLOOKUP($B449,勘定科目!$A:$E,2,0)),"")</f>
        <v/>
      </c>
      <c r="D449" s="290" t="str">
        <f>IF(C449="","",VLOOKUP($B449,勘定科目!$A:$E,4,0))</f>
        <v/>
      </c>
      <c r="E449" s="303"/>
      <c r="F449" s="229"/>
      <c r="G449" s="230"/>
      <c r="H449" s="230"/>
      <c r="I449" s="230"/>
      <c r="J449" s="230"/>
      <c r="K449" s="230"/>
      <c r="L449" s="230"/>
      <c r="M449" s="230"/>
      <c r="N449" s="230"/>
      <c r="O449" s="230"/>
      <c r="P449" s="230"/>
      <c r="Q449" s="230"/>
      <c r="R449" s="216"/>
      <c r="S449" s="193"/>
      <c r="T449" s="151"/>
      <c r="U449" s="192"/>
      <c r="V449" s="160"/>
      <c r="W449" s="160"/>
      <c r="BA449"/>
      <c r="BB449"/>
    </row>
    <row r="450" spans="1:54" s="149" customFormat="1" ht="13.5">
      <c r="A450" s="146"/>
      <c r="B450" s="263"/>
      <c r="C450" s="273" t="str">
        <f>IFERROR(IF(VLOOKUP($B450,勘定科目!$A:$H,HLOOKUP($E$5,勘定科目!$F$1:$H$2,2,0),0)="","",VLOOKUP($B450,勘定科目!$A:$E,2,0)),"")</f>
        <v/>
      </c>
      <c r="D450" s="290" t="str">
        <f>IF(C450="","",VLOOKUP($B450,勘定科目!$A:$E,4,0))</f>
        <v/>
      </c>
      <c r="E450" s="303"/>
      <c r="F450" s="229"/>
      <c r="G450" s="230"/>
      <c r="H450" s="230"/>
      <c r="I450" s="230"/>
      <c r="J450" s="230"/>
      <c r="K450" s="230"/>
      <c r="L450" s="230"/>
      <c r="M450" s="230"/>
      <c r="N450" s="230"/>
      <c r="O450" s="230"/>
      <c r="P450" s="230"/>
      <c r="Q450" s="230"/>
      <c r="R450" s="216"/>
      <c r="S450" s="193"/>
      <c r="T450" s="151"/>
      <c r="U450" s="192"/>
      <c r="V450" s="160"/>
      <c r="W450" s="160"/>
      <c r="BA450"/>
      <c r="BB450"/>
    </row>
    <row r="451" spans="1:54" s="149" customFormat="1" ht="13.5">
      <c r="A451" s="146"/>
      <c r="B451" s="263"/>
      <c r="C451" s="273" t="str">
        <f>IFERROR(IF(VLOOKUP($B451,勘定科目!$A:$H,HLOOKUP($E$5,勘定科目!$F$1:$H$2,2,0),0)="","",VLOOKUP($B451,勘定科目!$A:$E,2,0)),"")</f>
        <v/>
      </c>
      <c r="D451" s="290" t="str">
        <f>IF(C451="","",VLOOKUP($B451,勘定科目!$A:$E,4,0))</f>
        <v/>
      </c>
      <c r="E451" s="303"/>
      <c r="F451" s="229"/>
      <c r="G451" s="230"/>
      <c r="H451" s="230"/>
      <c r="I451" s="230"/>
      <c r="J451" s="230"/>
      <c r="K451" s="230"/>
      <c r="L451" s="230"/>
      <c r="M451" s="230"/>
      <c r="N451" s="230"/>
      <c r="O451" s="230"/>
      <c r="P451" s="230"/>
      <c r="Q451" s="230"/>
      <c r="R451" s="216"/>
      <c r="S451" s="193"/>
      <c r="T451" s="151"/>
      <c r="U451" s="192"/>
      <c r="V451" s="160"/>
      <c r="W451" s="160"/>
      <c r="BA451"/>
      <c r="BB451"/>
    </row>
    <row r="452" spans="1:54" s="149" customFormat="1" ht="13.5">
      <c r="A452" s="146"/>
      <c r="B452" s="263"/>
      <c r="C452" s="273" t="str">
        <f>IFERROR(IF(VLOOKUP($B452,勘定科目!$A:$H,HLOOKUP($E$5,勘定科目!$F$1:$H$2,2,0),0)="","",VLOOKUP($B452,勘定科目!$A:$E,2,0)),"")</f>
        <v/>
      </c>
      <c r="D452" s="290" t="str">
        <f>IF(C452="","",VLOOKUP($B452,勘定科目!$A:$E,4,0))</f>
        <v/>
      </c>
      <c r="E452" s="303"/>
      <c r="F452" s="229"/>
      <c r="G452" s="230"/>
      <c r="H452" s="230"/>
      <c r="I452" s="230"/>
      <c r="J452" s="230"/>
      <c r="K452" s="230"/>
      <c r="L452" s="230"/>
      <c r="M452" s="230"/>
      <c r="N452" s="230"/>
      <c r="O452" s="230"/>
      <c r="P452" s="230"/>
      <c r="Q452" s="230"/>
      <c r="R452" s="216"/>
      <c r="S452" s="193"/>
      <c r="T452" s="151"/>
      <c r="U452" s="192"/>
      <c r="V452" s="160"/>
      <c r="W452" s="160"/>
      <c r="BA452"/>
      <c r="BB452"/>
    </row>
    <row r="453" spans="1:54" s="149" customFormat="1" ht="13.5">
      <c r="A453" s="146"/>
      <c r="B453" s="263"/>
      <c r="C453" s="273" t="str">
        <f>IFERROR(IF(VLOOKUP($B453,勘定科目!$A:$H,HLOOKUP($E$5,勘定科目!$F$1:$H$2,2,0),0)="","",VLOOKUP($B453,勘定科目!$A:$E,2,0)),"")</f>
        <v/>
      </c>
      <c r="D453" s="290" t="str">
        <f>IF(C453="","",VLOOKUP($B453,勘定科目!$A:$E,4,0))</f>
        <v/>
      </c>
      <c r="E453" s="303"/>
      <c r="F453" s="229"/>
      <c r="G453" s="230"/>
      <c r="H453" s="230"/>
      <c r="I453" s="230"/>
      <c r="J453" s="230"/>
      <c r="K453" s="230"/>
      <c r="L453" s="230"/>
      <c r="M453" s="230"/>
      <c r="N453" s="230"/>
      <c r="O453" s="230"/>
      <c r="P453" s="230"/>
      <c r="Q453" s="230"/>
      <c r="R453" s="216"/>
      <c r="S453" s="193"/>
      <c r="T453" s="151"/>
      <c r="U453" s="192"/>
      <c r="V453" s="160"/>
      <c r="W453" s="160"/>
      <c r="BA453"/>
      <c r="BB453"/>
    </row>
    <row r="454" spans="1:54" s="149" customFormat="1" ht="13.5">
      <c r="A454" s="146"/>
      <c r="B454" s="263"/>
      <c r="C454" s="273" t="str">
        <f>IFERROR(IF(VLOOKUP($B454,勘定科目!$A:$H,HLOOKUP($E$5,勘定科目!$F$1:$H$2,2,0),0)="","",VLOOKUP($B454,勘定科目!$A:$E,2,0)),"")</f>
        <v/>
      </c>
      <c r="D454" s="290" t="str">
        <f>IF(C454="","",VLOOKUP($B454,勘定科目!$A:$E,4,0))</f>
        <v/>
      </c>
      <c r="E454" s="303"/>
      <c r="F454" s="229"/>
      <c r="G454" s="230"/>
      <c r="H454" s="230"/>
      <c r="I454" s="230"/>
      <c r="J454" s="230"/>
      <c r="K454" s="230"/>
      <c r="L454" s="230"/>
      <c r="M454" s="230"/>
      <c r="N454" s="230"/>
      <c r="O454" s="230"/>
      <c r="P454" s="230"/>
      <c r="Q454" s="230"/>
      <c r="R454" s="216"/>
      <c r="S454" s="193"/>
      <c r="T454" s="151"/>
      <c r="U454" s="192"/>
      <c r="V454" s="160"/>
      <c r="W454" s="160"/>
      <c r="BA454"/>
      <c r="BB454"/>
    </row>
    <row r="455" spans="1:54" s="149" customFormat="1" ht="13.5">
      <c r="A455" s="146"/>
      <c r="B455" s="263"/>
      <c r="C455" s="273" t="str">
        <f>IFERROR(IF(VLOOKUP($B455,勘定科目!$A:$H,HLOOKUP($E$5,勘定科目!$F$1:$H$2,2,0),0)="","",VLOOKUP($B455,勘定科目!$A:$E,2,0)),"")</f>
        <v/>
      </c>
      <c r="D455" s="290" t="str">
        <f>IF(C455="","",VLOOKUP($B455,勘定科目!$A:$E,4,0))</f>
        <v/>
      </c>
      <c r="E455" s="303"/>
      <c r="F455" s="229"/>
      <c r="G455" s="230"/>
      <c r="H455" s="230"/>
      <c r="I455" s="230"/>
      <c r="J455" s="230"/>
      <c r="K455" s="230"/>
      <c r="L455" s="230"/>
      <c r="M455" s="230"/>
      <c r="N455" s="230"/>
      <c r="O455" s="230"/>
      <c r="P455" s="230"/>
      <c r="Q455" s="230"/>
      <c r="R455" s="216"/>
      <c r="S455" s="193"/>
      <c r="T455" s="151"/>
      <c r="U455" s="192"/>
      <c r="V455" s="160"/>
      <c r="W455" s="160"/>
      <c r="BA455"/>
      <c r="BB455"/>
    </row>
    <row r="456" spans="1:54" s="149" customFormat="1" ht="13.5">
      <c r="A456" s="146"/>
      <c r="B456" s="263"/>
      <c r="C456" s="273" t="str">
        <f>IFERROR(IF(VLOOKUP($B456,勘定科目!$A:$H,HLOOKUP($E$5,勘定科目!$F$1:$H$2,2,0),0)="","",VLOOKUP($B456,勘定科目!$A:$E,2,0)),"")</f>
        <v/>
      </c>
      <c r="D456" s="290" t="str">
        <f>IF(C456="","",VLOOKUP($B456,勘定科目!$A:$E,4,0))</f>
        <v/>
      </c>
      <c r="E456" s="303"/>
      <c r="F456" s="229"/>
      <c r="G456" s="230"/>
      <c r="H456" s="230"/>
      <c r="I456" s="230"/>
      <c r="J456" s="230"/>
      <c r="K456" s="230"/>
      <c r="L456" s="230"/>
      <c r="M456" s="230"/>
      <c r="N456" s="230"/>
      <c r="O456" s="230"/>
      <c r="P456" s="230"/>
      <c r="Q456" s="230"/>
      <c r="R456" s="216"/>
      <c r="S456" s="193"/>
      <c r="T456" s="151"/>
      <c r="U456" s="192"/>
      <c r="V456" s="160"/>
      <c r="W456" s="160"/>
      <c r="BA456"/>
      <c r="BB456"/>
    </row>
    <row r="457" spans="1:54" s="149" customFormat="1" ht="13.5">
      <c r="A457" s="146"/>
      <c r="B457" s="263"/>
      <c r="C457" s="273" t="str">
        <f>IFERROR(IF(VLOOKUP($B457,勘定科目!$A:$H,HLOOKUP($E$5,勘定科目!$F$1:$H$2,2,0),0)="","",VLOOKUP($B457,勘定科目!$A:$E,2,0)),"")</f>
        <v/>
      </c>
      <c r="D457" s="290" t="str">
        <f>IF(C457="","",VLOOKUP($B457,勘定科目!$A:$E,4,0))</f>
        <v/>
      </c>
      <c r="E457" s="303"/>
      <c r="F457" s="229"/>
      <c r="G457" s="230"/>
      <c r="H457" s="230"/>
      <c r="I457" s="230"/>
      <c r="J457" s="230"/>
      <c r="K457" s="230"/>
      <c r="L457" s="230"/>
      <c r="M457" s="230"/>
      <c r="N457" s="230"/>
      <c r="O457" s="230"/>
      <c r="P457" s="230"/>
      <c r="Q457" s="230"/>
      <c r="R457" s="216"/>
      <c r="S457" s="193"/>
      <c r="T457" s="151"/>
      <c r="U457" s="192"/>
      <c r="V457" s="160"/>
      <c r="W457" s="160"/>
      <c r="BA457"/>
      <c r="BB457"/>
    </row>
    <row r="458" spans="1:54" s="149" customFormat="1" ht="13.5">
      <c r="A458" s="146"/>
      <c r="B458" s="263"/>
      <c r="C458" s="273" t="str">
        <f>IFERROR(IF(VLOOKUP($B458,勘定科目!$A:$H,HLOOKUP($E$5,勘定科目!$F$1:$H$2,2,0),0)="","",VLOOKUP($B458,勘定科目!$A:$E,2,0)),"")</f>
        <v/>
      </c>
      <c r="D458" s="290" t="str">
        <f>IF(C458="","",VLOOKUP($B458,勘定科目!$A:$E,4,0))</f>
        <v/>
      </c>
      <c r="E458" s="303"/>
      <c r="F458" s="229"/>
      <c r="G458" s="230"/>
      <c r="H458" s="230"/>
      <c r="I458" s="230"/>
      <c r="J458" s="230"/>
      <c r="K458" s="230"/>
      <c r="L458" s="230"/>
      <c r="M458" s="230"/>
      <c r="N458" s="230"/>
      <c r="O458" s="230"/>
      <c r="P458" s="230"/>
      <c r="Q458" s="230"/>
      <c r="R458" s="216"/>
      <c r="S458" s="193"/>
      <c r="T458" s="151"/>
      <c r="U458" s="192"/>
      <c r="V458" s="160"/>
      <c r="W458" s="160"/>
      <c r="BA458"/>
      <c r="BB458"/>
    </row>
    <row r="459" spans="1:54" s="149" customFormat="1" ht="13.5">
      <c r="A459" s="146"/>
      <c r="B459" s="263"/>
      <c r="C459" s="273" t="str">
        <f>IFERROR(IF(VLOOKUP($B459,勘定科目!$A:$H,HLOOKUP($E$5,勘定科目!$F$1:$H$2,2,0),0)="","",VLOOKUP($B459,勘定科目!$A:$E,2,0)),"")</f>
        <v/>
      </c>
      <c r="D459" s="290" t="str">
        <f>IF(C459="","",VLOOKUP($B459,勘定科目!$A:$E,4,0))</f>
        <v/>
      </c>
      <c r="E459" s="303"/>
      <c r="F459" s="229"/>
      <c r="G459" s="230"/>
      <c r="H459" s="230"/>
      <c r="I459" s="230"/>
      <c r="J459" s="230"/>
      <c r="K459" s="230"/>
      <c r="L459" s="230"/>
      <c r="M459" s="230"/>
      <c r="N459" s="230"/>
      <c r="O459" s="230"/>
      <c r="P459" s="230"/>
      <c r="Q459" s="230"/>
      <c r="R459" s="216"/>
      <c r="S459" s="193"/>
      <c r="T459" s="151"/>
      <c r="U459" s="192"/>
      <c r="V459" s="160"/>
      <c r="W459" s="160"/>
      <c r="BA459"/>
      <c r="BB459"/>
    </row>
    <row r="460" spans="1:54" s="149" customFormat="1" ht="13.5">
      <c r="A460" s="146"/>
      <c r="B460" s="263"/>
      <c r="C460" s="273" t="str">
        <f>IFERROR(IF(VLOOKUP($B460,勘定科目!$A:$H,HLOOKUP($E$5,勘定科目!$F$1:$H$2,2,0),0)="","",VLOOKUP($B460,勘定科目!$A:$E,2,0)),"")</f>
        <v/>
      </c>
      <c r="D460" s="290" t="str">
        <f>IF(C460="","",VLOOKUP($B460,勘定科目!$A:$E,4,0))</f>
        <v/>
      </c>
      <c r="E460" s="303"/>
      <c r="F460" s="229"/>
      <c r="G460" s="230"/>
      <c r="H460" s="230"/>
      <c r="I460" s="230"/>
      <c r="J460" s="230"/>
      <c r="K460" s="230"/>
      <c r="L460" s="230"/>
      <c r="M460" s="230"/>
      <c r="N460" s="230"/>
      <c r="O460" s="230"/>
      <c r="P460" s="230"/>
      <c r="Q460" s="230"/>
      <c r="R460" s="216"/>
      <c r="S460" s="193"/>
      <c r="T460" s="151"/>
      <c r="U460" s="192"/>
      <c r="V460" s="160"/>
      <c r="W460" s="160"/>
      <c r="BA460"/>
      <c r="BB460"/>
    </row>
    <row r="461" spans="1:54" s="149" customFormat="1" ht="13.5">
      <c r="A461" s="146"/>
      <c r="B461" s="263"/>
      <c r="C461" s="273" t="str">
        <f>IFERROR(IF(VLOOKUP($B461,勘定科目!$A:$H,HLOOKUP($E$5,勘定科目!$F$1:$H$2,2,0),0)="","",VLOOKUP($B461,勘定科目!$A:$E,2,0)),"")</f>
        <v/>
      </c>
      <c r="D461" s="290" t="str">
        <f>IF(C461="","",VLOOKUP($B461,勘定科目!$A:$E,4,0))</f>
        <v/>
      </c>
      <c r="E461" s="303"/>
      <c r="F461" s="229"/>
      <c r="G461" s="230"/>
      <c r="H461" s="230"/>
      <c r="I461" s="230"/>
      <c r="J461" s="230"/>
      <c r="K461" s="230"/>
      <c r="L461" s="230"/>
      <c r="M461" s="230"/>
      <c r="N461" s="230"/>
      <c r="O461" s="230"/>
      <c r="P461" s="230"/>
      <c r="Q461" s="230"/>
      <c r="R461" s="216"/>
      <c r="S461" s="193"/>
      <c r="T461" s="151"/>
      <c r="U461" s="192"/>
      <c r="V461" s="160"/>
      <c r="W461" s="160"/>
      <c r="BA461"/>
      <c r="BB461"/>
    </row>
    <row r="462" spans="1:54" s="149" customFormat="1" ht="13.5">
      <c r="A462" s="146"/>
      <c r="B462" s="263"/>
      <c r="C462" s="273" t="str">
        <f>IFERROR(IF(VLOOKUP($B462,勘定科目!$A:$H,HLOOKUP($E$5,勘定科目!$F$1:$H$2,2,0),0)="","",VLOOKUP($B462,勘定科目!$A:$E,2,0)),"")</f>
        <v/>
      </c>
      <c r="D462" s="290" t="str">
        <f>IF(C462="","",VLOOKUP($B462,勘定科目!$A:$E,4,0))</f>
        <v/>
      </c>
      <c r="E462" s="303"/>
      <c r="F462" s="229"/>
      <c r="G462" s="230"/>
      <c r="H462" s="230"/>
      <c r="I462" s="230"/>
      <c r="J462" s="230"/>
      <c r="K462" s="230"/>
      <c r="L462" s="230"/>
      <c r="M462" s="230"/>
      <c r="N462" s="230"/>
      <c r="O462" s="230"/>
      <c r="P462" s="230"/>
      <c r="Q462" s="230"/>
      <c r="R462" s="216"/>
      <c r="S462" s="193"/>
      <c r="T462" s="151"/>
      <c r="U462" s="192"/>
      <c r="V462" s="160"/>
      <c r="W462" s="160"/>
      <c r="BA462"/>
      <c r="BB462"/>
    </row>
    <row r="463" spans="1:54" s="149" customFormat="1" ht="13.5">
      <c r="A463" s="146"/>
      <c r="B463" s="263"/>
      <c r="C463" s="273" t="str">
        <f>IFERROR(IF(VLOOKUP($B463,勘定科目!$A:$H,HLOOKUP($E$5,勘定科目!$F$1:$H$2,2,0),0)="","",VLOOKUP($B463,勘定科目!$A:$E,2,0)),"")</f>
        <v/>
      </c>
      <c r="D463" s="290" t="str">
        <f>IF(C463="","",VLOOKUP($B463,勘定科目!$A:$E,4,0))</f>
        <v/>
      </c>
      <c r="E463" s="303"/>
      <c r="F463" s="229"/>
      <c r="G463" s="230"/>
      <c r="H463" s="230"/>
      <c r="I463" s="230"/>
      <c r="J463" s="230"/>
      <c r="K463" s="230"/>
      <c r="L463" s="230"/>
      <c r="M463" s="230"/>
      <c r="N463" s="230"/>
      <c r="O463" s="230"/>
      <c r="P463" s="230"/>
      <c r="Q463" s="230"/>
      <c r="R463" s="216"/>
      <c r="S463" s="193"/>
      <c r="T463" s="151"/>
      <c r="U463" s="192"/>
      <c r="V463" s="160"/>
      <c r="W463" s="160"/>
      <c r="BA463"/>
      <c r="BB463"/>
    </row>
    <row r="464" spans="1:54" s="149" customFormat="1" ht="13.5">
      <c r="A464" s="146"/>
      <c r="B464" s="263"/>
      <c r="C464" s="273" t="str">
        <f>IFERROR(IF(VLOOKUP($B464,勘定科目!$A:$H,HLOOKUP($E$5,勘定科目!$F$1:$H$2,2,0),0)="","",VLOOKUP($B464,勘定科目!$A:$E,2,0)),"")</f>
        <v/>
      </c>
      <c r="D464" s="290" t="str">
        <f>IF(C464="","",VLOOKUP($B464,勘定科目!$A:$E,4,0))</f>
        <v/>
      </c>
      <c r="E464" s="303"/>
      <c r="F464" s="229"/>
      <c r="G464" s="230"/>
      <c r="H464" s="230"/>
      <c r="I464" s="230"/>
      <c r="J464" s="230"/>
      <c r="K464" s="230"/>
      <c r="L464" s="230"/>
      <c r="M464" s="230"/>
      <c r="N464" s="230"/>
      <c r="O464" s="230"/>
      <c r="P464" s="230"/>
      <c r="Q464" s="230"/>
      <c r="R464" s="216"/>
      <c r="S464" s="193"/>
      <c r="T464" s="151"/>
      <c r="U464" s="192"/>
      <c r="V464" s="160"/>
      <c r="W464" s="160"/>
      <c r="BA464"/>
      <c r="BB464"/>
    </row>
    <row r="465" spans="1:54" s="149" customFormat="1" ht="13.5">
      <c r="A465" s="146"/>
      <c r="B465" s="263"/>
      <c r="C465" s="273" t="str">
        <f>IFERROR(IF(VLOOKUP($B465,勘定科目!$A:$H,HLOOKUP($E$5,勘定科目!$F$1:$H$2,2,0),0)="","",VLOOKUP($B465,勘定科目!$A:$E,2,0)),"")</f>
        <v/>
      </c>
      <c r="D465" s="290" t="str">
        <f>IF(C465="","",VLOOKUP($B465,勘定科目!$A:$E,4,0))</f>
        <v/>
      </c>
      <c r="E465" s="303"/>
      <c r="F465" s="229"/>
      <c r="G465" s="230"/>
      <c r="H465" s="230"/>
      <c r="I465" s="230"/>
      <c r="J465" s="230"/>
      <c r="K465" s="230"/>
      <c r="L465" s="230"/>
      <c r="M465" s="230"/>
      <c r="N465" s="230"/>
      <c r="O465" s="230"/>
      <c r="P465" s="230"/>
      <c r="Q465" s="230"/>
      <c r="R465" s="216"/>
      <c r="S465" s="193"/>
      <c r="T465" s="151"/>
      <c r="U465" s="192"/>
      <c r="V465" s="160"/>
      <c r="W465" s="160"/>
      <c r="BA465"/>
      <c r="BB465"/>
    </row>
    <row r="466" spans="1:54" s="149" customFormat="1" ht="13.5">
      <c r="A466" s="146"/>
      <c r="B466" s="263"/>
      <c r="C466" s="273" t="str">
        <f>IFERROR(IF(VLOOKUP($B466,勘定科目!$A:$H,HLOOKUP($E$5,勘定科目!$F$1:$H$2,2,0),0)="","",VLOOKUP($B466,勘定科目!$A:$E,2,0)),"")</f>
        <v/>
      </c>
      <c r="D466" s="290" t="str">
        <f>IF(C466="","",VLOOKUP($B466,勘定科目!$A:$E,4,0))</f>
        <v/>
      </c>
      <c r="E466" s="303"/>
      <c r="F466" s="229"/>
      <c r="G466" s="230"/>
      <c r="H466" s="230"/>
      <c r="I466" s="230"/>
      <c r="J466" s="230"/>
      <c r="K466" s="230"/>
      <c r="L466" s="230"/>
      <c r="M466" s="230"/>
      <c r="N466" s="230"/>
      <c r="O466" s="230"/>
      <c r="P466" s="230"/>
      <c r="Q466" s="230"/>
      <c r="R466" s="216"/>
      <c r="S466" s="193"/>
      <c r="T466" s="151"/>
      <c r="U466" s="192"/>
      <c r="V466" s="160"/>
      <c r="W466" s="160"/>
      <c r="BA466"/>
      <c r="BB466"/>
    </row>
    <row r="467" spans="1:54" s="149" customFormat="1" ht="13.5">
      <c r="A467" s="146"/>
      <c r="B467" s="263"/>
      <c r="C467" s="273" t="str">
        <f>IFERROR(IF(VLOOKUP($B467,勘定科目!$A:$H,HLOOKUP($E$5,勘定科目!$F$1:$H$2,2,0),0)="","",VLOOKUP($B467,勘定科目!$A:$E,2,0)),"")</f>
        <v/>
      </c>
      <c r="D467" s="290" t="str">
        <f>IF(C467="","",VLOOKUP($B467,勘定科目!$A:$E,4,0))</f>
        <v/>
      </c>
      <c r="E467" s="303"/>
      <c r="F467" s="229"/>
      <c r="G467" s="230"/>
      <c r="H467" s="230"/>
      <c r="I467" s="230"/>
      <c r="J467" s="230"/>
      <c r="K467" s="230"/>
      <c r="L467" s="230"/>
      <c r="M467" s="230"/>
      <c r="N467" s="230"/>
      <c r="O467" s="230"/>
      <c r="P467" s="230"/>
      <c r="Q467" s="230"/>
      <c r="R467" s="216"/>
      <c r="S467" s="193"/>
      <c r="T467" s="151"/>
      <c r="U467" s="192"/>
      <c r="V467" s="160"/>
      <c r="W467" s="160"/>
      <c r="BA467"/>
      <c r="BB467"/>
    </row>
    <row r="468" spans="1:54" s="149" customFormat="1" ht="13.5">
      <c r="A468" s="146"/>
      <c r="B468" s="263"/>
      <c r="C468" s="273" t="str">
        <f>IFERROR(IF(VLOOKUP($B468,勘定科目!$A:$H,HLOOKUP($E$5,勘定科目!$F$1:$H$2,2,0),0)="","",VLOOKUP($B468,勘定科目!$A:$E,2,0)),"")</f>
        <v/>
      </c>
      <c r="D468" s="290" t="str">
        <f>IF(C468="","",VLOOKUP($B468,勘定科目!$A:$E,4,0))</f>
        <v/>
      </c>
      <c r="E468" s="303"/>
      <c r="F468" s="229"/>
      <c r="G468" s="230"/>
      <c r="H468" s="230"/>
      <c r="I468" s="230"/>
      <c r="J468" s="230"/>
      <c r="K468" s="230"/>
      <c r="L468" s="230"/>
      <c r="M468" s="230"/>
      <c r="N468" s="230"/>
      <c r="O468" s="230"/>
      <c r="P468" s="230"/>
      <c r="Q468" s="230"/>
      <c r="R468" s="216"/>
      <c r="S468" s="193"/>
      <c r="T468" s="151"/>
      <c r="U468" s="192"/>
      <c r="V468" s="160"/>
      <c r="W468" s="160"/>
      <c r="BA468"/>
      <c r="BB468"/>
    </row>
    <row r="469" spans="1:54" s="149" customFormat="1" ht="13.5">
      <c r="A469" s="146"/>
      <c r="B469" s="263"/>
      <c r="C469" s="273" t="str">
        <f>IFERROR(IF(VLOOKUP($B469,勘定科目!$A:$H,HLOOKUP($E$5,勘定科目!$F$1:$H$2,2,0),0)="","",VLOOKUP($B469,勘定科目!$A:$E,2,0)),"")</f>
        <v/>
      </c>
      <c r="D469" s="290" t="str">
        <f>IF(C469="","",VLOOKUP($B469,勘定科目!$A:$E,4,0))</f>
        <v/>
      </c>
      <c r="E469" s="303"/>
      <c r="F469" s="229"/>
      <c r="G469" s="230"/>
      <c r="H469" s="230"/>
      <c r="I469" s="230"/>
      <c r="J469" s="230"/>
      <c r="K469" s="230"/>
      <c r="L469" s="230"/>
      <c r="M469" s="230"/>
      <c r="N469" s="230"/>
      <c r="O469" s="230"/>
      <c r="P469" s="230"/>
      <c r="Q469" s="230"/>
      <c r="R469" s="216"/>
      <c r="S469" s="193"/>
      <c r="T469" s="151"/>
      <c r="U469" s="192"/>
      <c r="V469" s="160"/>
      <c r="W469" s="160"/>
      <c r="BA469"/>
      <c r="BB469"/>
    </row>
    <row r="470" spans="1:54" s="149" customFormat="1" ht="13.5">
      <c r="A470" s="146"/>
      <c r="B470" s="263"/>
      <c r="C470" s="273" t="str">
        <f>IFERROR(IF(VLOOKUP($B470,勘定科目!$A:$H,HLOOKUP($E$5,勘定科目!$F$1:$H$2,2,0),0)="","",VLOOKUP($B470,勘定科目!$A:$E,2,0)),"")</f>
        <v/>
      </c>
      <c r="D470" s="290" t="str">
        <f>IF(C470="","",VLOOKUP($B470,勘定科目!$A:$E,4,0))</f>
        <v/>
      </c>
      <c r="E470" s="303"/>
      <c r="F470" s="229"/>
      <c r="G470" s="230"/>
      <c r="H470" s="230"/>
      <c r="I470" s="230"/>
      <c r="J470" s="230"/>
      <c r="K470" s="230"/>
      <c r="L470" s="230"/>
      <c r="M470" s="230"/>
      <c r="N470" s="230"/>
      <c r="O470" s="230"/>
      <c r="P470" s="230"/>
      <c r="Q470" s="230"/>
      <c r="R470" s="216"/>
      <c r="S470" s="193"/>
      <c r="T470" s="151"/>
      <c r="U470" s="192"/>
      <c r="V470" s="160"/>
      <c r="W470" s="160"/>
      <c r="BA470"/>
      <c r="BB470"/>
    </row>
    <row r="471" spans="1:54" s="149" customFormat="1" ht="13.5">
      <c r="A471" s="146"/>
      <c r="B471" s="263"/>
      <c r="C471" s="273" t="str">
        <f>IFERROR(IF(VLOOKUP($B471,勘定科目!$A:$H,HLOOKUP($E$5,勘定科目!$F$1:$H$2,2,0),0)="","",VLOOKUP($B471,勘定科目!$A:$E,2,0)),"")</f>
        <v/>
      </c>
      <c r="D471" s="290" t="str">
        <f>IF(C471="","",VLOOKUP($B471,勘定科目!$A:$E,4,0))</f>
        <v/>
      </c>
      <c r="E471" s="303"/>
      <c r="F471" s="229"/>
      <c r="G471" s="230"/>
      <c r="H471" s="230"/>
      <c r="I471" s="230"/>
      <c r="J471" s="230"/>
      <c r="K471" s="230"/>
      <c r="L471" s="230"/>
      <c r="M471" s="230"/>
      <c r="N471" s="230"/>
      <c r="O471" s="230"/>
      <c r="P471" s="230"/>
      <c r="Q471" s="230"/>
      <c r="R471" s="216"/>
      <c r="S471" s="193"/>
      <c r="T471" s="151"/>
      <c r="U471" s="192"/>
      <c r="V471" s="160"/>
      <c r="W471" s="160"/>
      <c r="BA471"/>
      <c r="BB471"/>
    </row>
    <row r="472" spans="1:54" s="149" customFormat="1" ht="13.5">
      <c r="A472" s="146"/>
      <c r="B472" s="263"/>
      <c r="C472" s="273" t="str">
        <f>IFERROR(IF(VLOOKUP($B472,勘定科目!$A:$H,HLOOKUP($E$5,勘定科目!$F$1:$H$2,2,0),0)="","",VLOOKUP($B472,勘定科目!$A:$E,2,0)),"")</f>
        <v/>
      </c>
      <c r="D472" s="290" t="str">
        <f>IF(C472="","",VLOOKUP($B472,勘定科目!$A:$E,4,0))</f>
        <v/>
      </c>
      <c r="E472" s="303"/>
      <c r="F472" s="229"/>
      <c r="G472" s="230"/>
      <c r="H472" s="230"/>
      <c r="I472" s="230"/>
      <c r="J472" s="230"/>
      <c r="K472" s="230"/>
      <c r="L472" s="230"/>
      <c r="M472" s="230"/>
      <c r="N472" s="230"/>
      <c r="O472" s="230"/>
      <c r="P472" s="230"/>
      <c r="Q472" s="230"/>
      <c r="R472" s="216"/>
      <c r="S472" s="193"/>
      <c r="T472" s="151"/>
      <c r="U472" s="192"/>
      <c r="V472" s="160"/>
      <c r="W472" s="160"/>
      <c r="BA472"/>
      <c r="BB472"/>
    </row>
    <row r="473" spans="1:54" s="149" customFormat="1" ht="13.5">
      <c r="A473" s="146"/>
      <c r="B473" s="263"/>
      <c r="C473" s="273" t="str">
        <f>IFERROR(IF(VLOOKUP($B473,勘定科目!$A:$H,HLOOKUP($E$5,勘定科目!$F$1:$H$2,2,0),0)="","",VLOOKUP($B473,勘定科目!$A:$E,2,0)),"")</f>
        <v/>
      </c>
      <c r="D473" s="290" t="str">
        <f>IF(C473="","",VLOOKUP($B473,勘定科目!$A:$E,4,0))</f>
        <v/>
      </c>
      <c r="E473" s="303"/>
      <c r="F473" s="229"/>
      <c r="G473" s="230"/>
      <c r="H473" s="230"/>
      <c r="I473" s="230"/>
      <c r="J473" s="230"/>
      <c r="K473" s="230"/>
      <c r="L473" s="230"/>
      <c r="M473" s="230"/>
      <c r="N473" s="230"/>
      <c r="O473" s="230"/>
      <c r="P473" s="230"/>
      <c r="Q473" s="230"/>
      <c r="R473" s="216"/>
      <c r="S473" s="193"/>
      <c r="T473" s="151"/>
      <c r="U473" s="192"/>
      <c r="V473" s="160"/>
      <c r="W473" s="160"/>
      <c r="BA473"/>
      <c r="BB473"/>
    </row>
    <row r="474" spans="1:54" s="149" customFormat="1" ht="13.5">
      <c r="A474" s="146"/>
      <c r="B474" s="263"/>
      <c r="C474" s="273" t="str">
        <f>IFERROR(IF(VLOOKUP($B474,勘定科目!$A:$H,HLOOKUP($E$5,勘定科目!$F$1:$H$2,2,0),0)="","",VLOOKUP($B474,勘定科目!$A:$E,2,0)),"")</f>
        <v/>
      </c>
      <c r="D474" s="290" t="str">
        <f>IF(C474="","",VLOOKUP($B474,勘定科目!$A:$E,4,0))</f>
        <v/>
      </c>
      <c r="E474" s="303"/>
      <c r="F474" s="229"/>
      <c r="G474" s="230"/>
      <c r="H474" s="230"/>
      <c r="I474" s="230"/>
      <c r="J474" s="230"/>
      <c r="K474" s="230"/>
      <c r="L474" s="230"/>
      <c r="M474" s="230"/>
      <c r="N474" s="230"/>
      <c r="O474" s="230"/>
      <c r="P474" s="230"/>
      <c r="Q474" s="230"/>
      <c r="R474" s="216"/>
      <c r="S474" s="193"/>
      <c r="T474" s="151"/>
      <c r="U474" s="192"/>
      <c r="V474" s="160"/>
      <c r="W474" s="160"/>
      <c r="BA474"/>
      <c r="BB474"/>
    </row>
    <row r="475" spans="1:54" s="149" customFormat="1" ht="13.5">
      <c r="A475" s="146"/>
      <c r="B475" s="263"/>
      <c r="C475" s="273" t="str">
        <f>IFERROR(IF(VLOOKUP($B475,勘定科目!$A:$H,HLOOKUP($E$5,勘定科目!$F$1:$H$2,2,0),0)="","",VLOOKUP($B475,勘定科目!$A:$E,2,0)),"")</f>
        <v/>
      </c>
      <c r="D475" s="290" t="str">
        <f>IF(C475="","",VLOOKUP($B475,勘定科目!$A:$E,4,0))</f>
        <v/>
      </c>
      <c r="E475" s="303"/>
      <c r="F475" s="229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16"/>
      <c r="S475" s="193"/>
      <c r="T475" s="151"/>
      <c r="U475" s="192"/>
      <c r="V475" s="160"/>
      <c r="W475" s="160"/>
      <c r="BA475"/>
      <c r="BB475"/>
    </row>
    <row r="476" spans="1:54" s="149" customFormat="1" ht="13.5">
      <c r="A476" s="146"/>
      <c r="B476" s="263"/>
      <c r="C476" s="273" t="str">
        <f>IFERROR(IF(VLOOKUP($B476,勘定科目!$A:$H,HLOOKUP($E$5,勘定科目!$F$1:$H$2,2,0),0)="","",VLOOKUP($B476,勘定科目!$A:$E,2,0)),"")</f>
        <v/>
      </c>
      <c r="D476" s="290" t="str">
        <f>IF(C476="","",VLOOKUP($B476,勘定科目!$A:$E,4,0))</f>
        <v/>
      </c>
      <c r="E476" s="303"/>
      <c r="F476" s="229"/>
      <c r="G476" s="230"/>
      <c r="H476" s="230"/>
      <c r="I476" s="230"/>
      <c r="J476" s="230"/>
      <c r="K476" s="230"/>
      <c r="L476" s="230"/>
      <c r="M476" s="230"/>
      <c r="N476" s="230"/>
      <c r="O476" s="230"/>
      <c r="P476" s="230"/>
      <c r="Q476" s="230"/>
      <c r="R476" s="216"/>
      <c r="S476" s="193"/>
      <c r="T476" s="151"/>
      <c r="U476" s="192"/>
      <c r="V476" s="160"/>
      <c r="W476" s="160"/>
      <c r="BA476"/>
      <c r="BB476"/>
    </row>
    <row r="477" spans="1:54" s="149" customFormat="1" ht="13.5">
      <c r="A477" s="146"/>
      <c r="B477" s="263"/>
      <c r="C477" s="273" t="str">
        <f>IFERROR(IF(VLOOKUP($B477,勘定科目!$A:$H,HLOOKUP($E$5,勘定科目!$F$1:$H$2,2,0),0)="","",VLOOKUP($B477,勘定科目!$A:$E,2,0)),"")</f>
        <v/>
      </c>
      <c r="D477" s="290" t="str">
        <f>IF(C477="","",VLOOKUP($B477,勘定科目!$A:$E,4,0))</f>
        <v/>
      </c>
      <c r="E477" s="303"/>
      <c r="F477" s="229"/>
      <c r="G477" s="230"/>
      <c r="H477" s="230"/>
      <c r="I477" s="230"/>
      <c r="J477" s="230"/>
      <c r="K477" s="230"/>
      <c r="L477" s="230"/>
      <c r="M477" s="230"/>
      <c r="N477" s="230"/>
      <c r="O477" s="230"/>
      <c r="P477" s="230"/>
      <c r="Q477" s="230"/>
      <c r="R477" s="216"/>
      <c r="S477" s="193"/>
      <c r="T477" s="151"/>
      <c r="U477" s="192"/>
      <c r="V477" s="160"/>
      <c r="W477" s="160"/>
      <c r="BA477"/>
      <c r="BB477"/>
    </row>
    <row r="478" spans="1:54" s="149" customFormat="1" ht="13.5">
      <c r="A478" s="146"/>
      <c r="B478" s="263"/>
      <c r="C478" s="273" t="str">
        <f>IFERROR(IF(VLOOKUP($B478,勘定科目!$A:$H,HLOOKUP($E$5,勘定科目!$F$1:$H$2,2,0),0)="","",VLOOKUP($B478,勘定科目!$A:$E,2,0)),"")</f>
        <v/>
      </c>
      <c r="D478" s="290" t="str">
        <f>IF(C478="","",VLOOKUP($B478,勘定科目!$A:$E,4,0))</f>
        <v/>
      </c>
      <c r="E478" s="303"/>
      <c r="F478" s="229"/>
      <c r="G478" s="230"/>
      <c r="H478" s="230"/>
      <c r="I478" s="230"/>
      <c r="J478" s="230"/>
      <c r="K478" s="230"/>
      <c r="L478" s="230"/>
      <c r="M478" s="230"/>
      <c r="N478" s="230"/>
      <c r="O478" s="230"/>
      <c r="P478" s="230"/>
      <c r="Q478" s="230"/>
      <c r="R478" s="216"/>
      <c r="S478" s="193"/>
      <c r="T478" s="151"/>
      <c r="U478" s="192"/>
      <c r="V478" s="160"/>
      <c r="W478" s="160"/>
      <c r="BA478"/>
      <c r="BB478"/>
    </row>
    <row r="479" spans="1:54" s="149" customFormat="1" ht="13.5">
      <c r="A479" s="146"/>
      <c r="B479" s="263"/>
      <c r="C479" s="273" t="str">
        <f>IFERROR(IF(VLOOKUP($B479,勘定科目!$A:$H,HLOOKUP($E$5,勘定科目!$F$1:$H$2,2,0),0)="","",VLOOKUP($B479,勘定科目!$A:$E,2,0)),"")</f>
        <v/>
      </c>
      <c r="D479" s="290" t="str">
        <f>IF(C479="","",VLOOKUP($B479,勘定科目!$A:$E,4,0))</f>
        <v/>
      </c>
      <c r="E479" s="303"/>
      <c r="F479" s="229"/>
      <c r="G479" s="230"/>
      <c r="H479" s="230"/>
      <c r="I479" s="230"/>
      <c r="J479" s="230"/>
      <c r="K479" s="230"/>
      <c r="L479" s="230"/>
      <c r="M479" s="230"/>
      <c r="N479" s="230"/>
      <c r="O479" s="230"/>
      <c r="P479" s="230"/>
      <c r="Q479" s="230"/>
      <c r="R479" s="216"/>
      <c r="S479" s="193"/>
      <c r="T479" s="151"/>
      <c r="U479" s="192"/>
      <c r="V479" s="160"/>
      <c r="W479" s="160"/>
      <c r="BA479"/>
      <c r="BB479"/>
    </row>
    <row r="480" spans="1:54" s="149" customFormat="1" ht="13.5">
      <c r="A480" s="146"/>
      <c r="B480" s="263"/>
      <c r="C480" s="273" t="str">
        <f>IFERROR(IF(VLOOKUP($B480,勘定科目!$A:$H,HLOOKUP($E$5,勘定科目!$F$1:$H$2,2,0),0)="","",VLOOKUP($B480,勘定科目!$A:$E,2,0)),"")</f>
        <v/>
      </c>
      <c r="D480" s="290" t="str">
        <f>IF(C480="","",VLOOKUP($B480,勘定科目!$A:$E,4,0))</f>
        <v/>
      </c>
      <c r="E480" s="303"/>
      <c r="F480" s="229"/>
      <c r="G480" s="230"/>
      <c r="H480" s="230"/>
      <c r="I480" s="230"/>
      <c r="J480" s="230"/>
      <c r="K480" s="230"/>
      <c r="L480" s="230"/>
      <c r="M480" s="230"/>
      <c r="N480" s="230"/>
      <c r="O480" s="230"/>
      <c r="P480" s="230"/>
      <c r="Q480" s="230"/>
      <c r="R480" s="216"/>
      <c r="S480" s="193"/>
      <c r="T480" s="151"/>
      <c r="U480" s="192"/>
      <c r="V480" s="160"/>
      <c r="W480" s="160"/>
      <c r="BA480"/>
      <c r="BB480"/>
    </row>
    <row r="481" spans="1:54" s="149" customFormat="1" ht="13.5">
      <c r="A481" s="146"/>
      <c r="B481" s="263"/>
      <c r="C481" s="273" t="str">
        <f>IFERROR(IF(VLOOKUP($B481,勘定科目!$A:$H,HLOOKUP($E$5,勘定科目!$F$1:$H$2,2,0),0)="","",VLOOKUP($B481,勘定科目!$A:$E,2,0)),"")</f>
        <v/>
      </c>
      <c r="D481" s="290" t="str">
        <f>IF(C481="","",VLOOKUP($B481,勘定科目!$A:$E,4,0))</f>
        <v/>
      </c>
      <c r="E481" s="303"/>
      <c r="F481" s="229"/>
      <c r="G481" s="230"/>
      <c r="H481" s="230"/>
      <c r="I481" s="230"/>
      <c r="J481" s="230"/>
      <c r="K481" s="230"/>
      <c r="L481" s="230"/>
      <c r="M481" s="230"/>
      <c r="N481" s="230"/>
      <c r="O481" s="230"/>
      <c r="P481" s="230"/>
      <c r="Q481" s="230"/>
      <c r="R481" s="216"/>
      <c r="S481" s="193"/>
      <c r="T481" s="151"/>
      <c r="U481" s="192"/>
      <c r="V481" s="160"/>
      <c r="W481" s="160"/>
      <c r="BA481"/>
      <c r="BB481"/>
    </row>
    <row r="482" spans="1:54" s="149" customFormat="1" ht="13.5">
      <c r="A482" s="146"/>
      <c r="B482" s="263"/>
      <c r="C482" s="273" t="str">
        <f>IFERROR(IF(VLOOKUP($B482,勘定科目!$A:$H,HLOOKUP($E$5,勘定科目!$F$1:$H$2,2,0),0)="","",VLOOKUP($B482,勘定科目!$A:$E,2,0)),"")</f>
        <v/>
      </c>
      <c r="D482" s="290" t="str">
        <f>IF(C482="","",VLOOKUP($B482,勘定科目!$A:$E,4,0))</f>
        <v/>
      </c>
      <c r="E482" s="303"/>
      <c r="F482" s="229"/>
      <c r="G482" s="230"/>
      <c r="H482" s="230"/>
      <c r="I482" s="230"/>
      <c r="J482" s="230"/>
      <c r="K482" s="230"/>
      <c r="L482" s="230"/>
      <c r="M482" s="230"/>
      <c r="N482" s="230"/>
      <c r="O482" s="230"/>
      <c r="P482" s="230"/>
      <c r="Q482" s="230"/>
      <c r="R482" s="216"/>
      <c r="S482" s="193"/>
      <c r="T482" s="151"/>
      <c r="U482" s="192"/>
      <c r="V482" s="160"/>
      <c r="W482" s="160"/>
      <c r="BA482"/>
      <c r="BB482"/>
    </row>
    <row r="483" spans="1:54" s="149" customFormat="1" ht="13.5">
      <c r="A483" s="146"/>
      <c r="B483" s="263"/>
      <c r="C483" s="273" t="str">
        <f>IFERROR(IF(VLOOKUP($B483,勘定科目!$A:$H,HLOOKUP($E$5,勘定科目!$F$1:$H$2,2,0),0)="","",VLOOKUP($B483,勘定科目!$A:$E,2,0)),"")</f>
        <v/>
      </c>
      <c r="D483" s="290" t="str">
        <f>IF(C483="","",VLOOKUP($B483,勘定科目!$A:$E,4,0))</f>
        <v/>
      </c>
      <c r="E483" s="303"/>
      <c r="F483" s="229"/>
      <c r="G483" s="230"/>
      <c r="H483" s="230"/>
      <c r="I483" s="230"/>
      <c r="J483" s="230"/>
      <c r="K483" s="230"/>
      <c r="L483" s="230"/>
      <c r="M483" s="230"/>
      <c r="N483" s="230"/>
      <c r="O483" s="230"/>
      <c r="P483" s="230"/>
      <c r="Q483" s="230"/>
      <c r="R483" s="216"/>
      <c r="S483" s="193"/>
      <c r="T483" s="151"/>
      <c r="U483" s="192"/>
      <c r="V483" s="160"/>
      <c r="W483" s="160"/>
      <c r="BA483"/>
      <c r="BB483"/>
    </row>
    <row r="484" spans="1:54" s="149" customFormat="1" ht="13.5">
      <c r="A484" s="146"/>
      <c r="B484" s="263"/>
      <c r="C484" s="273" t="str">
        <f>IFERROR(IF(VLOOKUP($B484,勘定科目!$A:$H,HLOOKUP($E$5,勘定科目!$F$1:$H$2,2,0),0)="","",VLOOKUP($B484,勘定科目!$A:$E,2,0)),"")</f>
        <v/>
      </c>
      <c r="D484" s="290" t="str">
        <f>IF(C484="","",VLOOKUP($B484,勘定科目!$A:$E,4,0))</f>
        <v/>
      </c>
      <c r="E484" s="303"/>
      <c r="F484" s="229"/>
      <c r="G484" s="230"/>
      <c r="H484" s="230"/>
      <c r="I484" s="230"/>
      <c r="J484" s="230"/>
      <c r="K484" s="230"/>
      <c r="L484" s="230"/>
      <c r="M484" s="230"/>
      <c r="N484" s="230"/>
      <c r="O484" s="230"/>
      <c r="P484" s="230"/>
      <c r="Q484" s="230"/>
      <c r="R484" s="216"/>
      <c r="S484" s="193"/>
      <c r="T484" s="151"/>
      <c r="U484" s="192"/>
      <c r="V484" s="160"/>
      <c r="W484" s="160"/>
      <c r="BA484"/>
      <c r="BB484"/>
    </row>
    <row r="485" spans="1:54" s="149" customFormat="1" ht="13.5">
      <c r="A485" s="146"/>
      <c r="B485" s="263"/>
      <c r="C485" s="273" t="str">
        <f>IFERROR(IF(VLOOKUP($B485,勘定科目!$A:$H,HLOOKUP($E$5,勘定科目!$F$1:$H$2,2,0),0)="","",VLOOKUP($B485,勘定科目!$A:$E,2,0)),"")</f>
        <v/>
      </c>
      <c r="D485" s="290" t="str">
        <f>IF(C485="","",VLOOKUP($B485,勘定科目!$A:$E,4,0))</f>
        <v/>
      </c>
      <c r="E485" s="303"/>
      <c r="F485" s="229"/>
      <c r="G485" s="230"/>
      <c r="H485" s="230"/>
      <c r="I485" s="230"/>
      <c r="J485" s="230"/>
      <c r="K485" s="230"/>
      <c r="L485" s="230"/>
      <c r="M485" s="230"/>
      <c r="N485" s="230"/>
      <c r="O485" s="230"/>
      <c r="P485" s="230"/>
      <c r="Q485" s="230"/>
      <c r="R485" s="216"/>
      <c r="S485" s="193"/>
      <c r="T485" s="151"/>
      <c r="U485" s="192"/>
      <c r="V485" s="160"/>
      <c r="W485" s="160"/>
      <c r="BA485"/>
      <c r="BB485"/>
    </row>
    <row r="486" spans="1:54" s="149" customFormat="1" ht="13.5">
      <c r="A486" s="146"/>
      <c r="B486" s="263"/>
      <c r="C486" s="273" t="str">
        <f>IFERROR(IF(VLOOKUP($B486,勘定科目!$A:$H,HLOOKUP($E$5,勘定科目!$F$1:$H$2,2,0),0)="","",VLOOKUP($B486,勘定科目!$A:$E,2,0)),"")</f>
        <v/>
      </c>
      <c r="D486" s="290" t="str">
        <f>IF(C486="","",VLOOKUP($B486,勘定科目!$A:$E,4,0))</f>
        <v/>
      </c>
      <c r="E486" s="303"/>
      <c r="F486" s="229"/>
      <c r="G486" s="230"/>
      <c r="H486" s="230"/>
      <c r="I486" s="230"/>
      <c r="J486" s="230"/>
      <c r="K486" s="230"/>
      <c r="L486" s="230"/>
      <c r="M486" s="230"/>
      <c r="N486" s="230"/>
      <c r="O486" s="230"/>
      <c r="P486" s="230"/>
      <c r="Q486" s="230"/>
      <c r="R486" s="216"/>
      <c r="S486" s="193"/>
      <c r="T486" s="151"/>
      <c r="U486" s="192"/>
      <c r="V486" s="160"/>
      <c r="W486" s="160"/>
      <c r="BA486"/>
      <c r="BB486"/>
    </row>
    <row r="487" spans="1:54" s="149" customFormat="1" ht="13.5">
      <c r="A487" s="146"/>
      <c r="B487" s="263"/>
      <c r="C487" s="273" t="str">
        <f>IFERROR(IF(VLOOKUP($B487,勘定科目!$A:$H,HLOOKUP($E$5,勘定科目!$F$1:$H$2,2,0),0)="","",VLOOKUP($B487,勘定科目!$A:$E,2,0)),"")</f>
        <v/>
      </c>
      <c r="D487" s="290" t="str">
        <f>IF(C487="","",VLOOKUP($B487,勘定科目!$A:$E,4,0))</f>
        <v/>
      </c>
      <c r="E487" s="303"/>
      <c r="F487" s="229"/>
      <c r="G487" s="230"/>
      <c r="H487" s="230"/>
      <c r="I487" s="230"/>
      <c r="J487" s="230"/>
      <c r="K487" s="230"/>
      <c r="L487" s="230"/>
      <c r="M487" s="230"/>
      <c r="N487" s="230"/>
      <c r="O487" s="230"/>
      <c r="P487" s="230"/>
      <c r="Q487" s="230"/>
      <c r="R487" s="216"/>
      <c r="S487" s="193"/>
      <c r="T487" s="151"/>
      <c r="U487" s="192"/>
      <c r="V487" s="160"/>
      <c r="W487" s="160"/>
      <c r="BA487"/>
      <c r="BB487"/>
    </row>
    <row r="488" spans="1:54" s="149" customFormat="1" ht="13.5">
      <c r="A488" s="146"/>
      <c r="B488" s="263"/>
      <c r="C488" s="273" t="str">
        <f>IFERROR(IF(VLOOKUP($B488,勘定科目!$A:$H,HLOOKUP($E$5,勘定科目!$F$1:$H$2,2,0),0)="","",VLOOKUP($B488,勘定科目!$A:$E,2,0)),"")</f>
        <v/>
      </c>
      <c r="D488" s="290" t="str">
        <f>IF(C488="","",VLOOKUP($B488,勘定科目!$A:$E,4,0))</f>
        <v/>
      </c>
      <c r="E488" s="303"/>
      <c r="F488" s="229"/>
      <c r="G488" s="230"/>
      <c r="H488" s="230"/>
      <c r="I488" s="230"/>
      <c r="J488" s="230"/>
      <c r="K488" s="230"/>
      <c r="L488" s="230"/>
      <c r="M488" s="230"/>
      <c r="N488" s="230"/>
      <c r="O488" s="230"/>
      <c r="P488" s="230"/>
      <c r="Q488" s="230"/>
      <c r="R488" s="216"/>
      <c r="S488" s="193"/>
      <c r="T488" s="151"/>
      <c r="U488" s="192"/>
      <c r="V488" s="160"/>
      <c r="W488" s="160"/>
      <c r="BA488"/>
      <c r="BB488"/>
    </row>
    <row r="489" spans="1:54" s="149" customFormat="1" ht="13.5">
      <c r="A489" s="146"/>
      <c r="B489" s="263"/>
      <c r="C489" s="273" t="str">
        <f>IFERROR(IF(VLOOKUP($B489,勘定科目!$A:$H,HLOOKUP($E$5,勘定科目!$F$1:$H$2,2,0),0)="","",VLOOKUP($B489,勘定科目!$A:$E,2,0)),"")</f>
        <v/>
      </c>
      <c r="D489" s="290" t="str">
        <f>IF(C489="","",VLOOKUP($B489,勘定科目!$A:$E,4,0))</f>
        <v/>
      </c>
      <c r="E489" s="303"/>
      <c r="F489" s="229"/>
      <c r="G489" s="230"/>
      <c r="H489" s="230"/>
      <c r="I489" s="230"/>
      <c r="J489" s="230"/>
      <c r="K489" s="230"/>
      <c r="L489" s="230"/>
      <c r="M489" s="230"/>
      <c r="N489" s="230"/>
      <c r="O489" s="230"/>
      <c r="P489" s="230"/>
      <c r="Q489" s="230"/>
      <c r="R489" s="216"/>
      <c r="S489" s="193"/>
      <c r="T489" s="151"/>
      <c r="U489" s="192"/>
      <c r="V489" s="160"/>
      <c r="W489" s="160"/>
      <c r="BA489"/>
      <c r="BB489"/>
    </row>
    <row r="490" spans="1:54" s="149" customFormat="1" ht="13.5">
      <c r="A490" s="146"/>
      <c r="B490" s="263"/>
      <c r="C490" s="273" t="str">
        <f>IFERROR(IF(VLOOKUP($B490,勘定科目!$A:$H,HLOOKUP($E$5,勘定科目!$F$1:$H$2,2,0),0)="","",VLOOKUP($B490,勘定科目!$A:$E,2,0)),"")</f>
        <v/>
      </c>
      <c r="D490" s="290" t="str">
        <f>IF(C490="","",VLOOKUP($B490,勘定科目!$A:$E,4,0))</f>
        <v/>
      </c>
      <c r="E490" s="303"/>
      <c r="F490" s="229"/>
      <c r="G490" s="230"/>
      <c r="H490" s="230"/>
      <c r="I490" s="230"/>
      <c r="J490" s="230"/>
      <c r="K490" s="230"/>
      <c r="L490" s="230"/>
      <c r="M490" s="230"/>
      <c r="N490" s="230"/>
      <c r="O490" s="230"/>
      <c r="P490" s="230"/>
      <c r="Q490" s="230"/>
      <c r="R490" s="216"/>
      <c r="S490" s="193"/>
      <c r="T490" s="151"/>
      <c r="U490" s="192"/>
      <c r="V490" s="160"/>
      <c r="W490" s="160"/>
      <c r="BA490"/>
      <c r="BB490"/>
    </row>
    <row r="491" spans="1:54" s="149" customFormat="1" ht="13.5">
      <c r="A491" s="146"/>
      <c r="B491" s="263"/>
      <c r="C491" s="273" t="str">
        <f>IFERROR(IF(VLOOKUP($B491,勘定科目!$A:$H,HLOOKUP($E$5,勘定科目!$F$1:$H$2,2,0),0)="","",VLOOKUP($B491,勘定科目!$A:$E,2,0)),"")</f>
        <v/>
      </c>
      <c r="D491" s="290" t="str">
        <f>IF(C491="","",VLOOKUP($B491,勘定科目!$A:$E,4,0))</f>
        <v/>
      </c>
      <c r="E491" s="303"/>
      <c r="F491" s="229"/>
      <c r="G491" s="230"/>
      <c r="H491" s="230"/>
      <c r="I491" s="230"/>
      <c r="J491" s="230"/>
      <c r="K491" s="230"/>
      <c r="L491" s="230"/>
      <c r="M491" s="230"/>
      <c r="N491" s="230"/>
      <c r="O491" s="230"/>
      <c r="P491" s="230"/>
      <c r="Q491" s="230"/>
      <c r="R491" s="216"/>
      <c r="S491" s="193"/>
      <c r="T491" s="151"/>
      <c r="U491" s="192"/>
      <c r="V491" s="160"/>
      <c r="W491" s="160"/>
      <c r="BA491"/>
      <c r="BB491"/>
    </row>
    <row r="492" spans="1:54" s="149" customFormat="1" ht="13.5">
      <c r="A492" s="146"/>
      <c r="B492" s="263"/>
      <c r="C492" s="273" t="str">
        <f>IFERROR(IF(VLOOKUP($B492,勘定科目!$A:$H,HLOOKUP($E$5,勘定科目!$F$1:$H$2,2,0),0)="","",VLOOKUP($B492,勘定科目!$A:$E,2,0)),"")</f>
        <v/>
      </c>
      <c r="D492" s="290" t="str">
        <f>IF(C492="","",VLOOKUP($B492,勘定科目!$A:$E,4,0))</f>
        <v/>
      </c>
      <c r="E492" s="303"/>
      <c r="F492" s="229"/>
      <c r="G492" s="230"/>
      <c r="H492" s="230"/>
      <c r="I492" s="230"/>
      <c r="J492" s="230"/>
      <c r="K492" s="230"/>
      <c r="L492" s="230"/>
      <c r="M492" s="230"/>
      <c r="N492" s="230"/>
      <c r="O492" s="230"/>
      <c r="P492" s="230"/>
      <c r="Q492" s="230"/>
      <c r="R492" s="216"/>
      <c r="S492" s="193"/>
      <c r="T492" s="151"/>
      <c r="U492" s="192"/>
      <c r="V492" s="160"/>
      <c r="W492" s="160"/>
      <c r="BA492"/>
      <c r="BB492"/>
    </row>
    <row r="493" spans="1:54" s="149" customFormat="1" ht="13.5">
      <c r="A493" s="146"/>
      <c r="B493" s="263"/>
      <c r="C493" s="273" t="str">
        <f>IFERROR(IF(VLOOKUP($B493,勘定科目!$A:$H,HLOOKUP($E$5,勘定科目!$F$1:$H$2,2,0),0)="","",VLOOKUP($B493,勘定科目!$A:$E,2,0)),"")</f>
        <v/>
      </c>
      <c r="D493" s="290" t="str">
        <f>IF(C493="","",VLOOKUP($B493,勘定科目!$A:$E,4,0))</f>
        <v/>
      </c>
      <c r="E493" s="303"/>
      <c r="F493" s="229"/>
      <c r="G493" s="230"/>
      <c r="H493" s="230"/>
      <c r="I493" s="230"/>
      <c r="J493" s="230"/>
      <c r="K493" s="230"/>
      <c r="L493" s="230"/>
      <c r="M493" s="230"/>
      <c r="N493" s="230"/>
      <c r="O493" s="230"/>
      <c r="P493" s="230"/>
      <c r="Q493" s="230"/>
      <c r="R493" s="216"/>
      <c r="S493" s="193"/>
      <c r="T493" s="151"/>
      <c r="U493" s="192"/>
      <c r="V493" s="160"/>
      <c r="W493" s="160"/>
      <c r="BA493"/>
      <c r="BB493"/>
    </row>
    <row r="494" spans="1:54" s="149" customFormat="1" ht="13.5">
      <c r="A494" s="146"/>
      <c r="B494" s="263"/>
      <c r="C494" s="273" t="str">
        <f>IFERROR(IF(VLOOKUP($B494,勘定科目!$A:$H,HLOOKUP($E$5,勘定科目!$F$1:$H$2,2,0),0)="","",VLOOKUP($B494,勘定科目!$A:$E,2,0)),"")</f>
        <v/>
      </c>
      <c r="D494" s="290" t="str">
        <f>IF(C494="","",VLOOKUP($B494,勘定科目!$A:$E,4,0))</f>
        <v/>
      </c>
      <c r="E494" s="303"/>
      <c r="F494" s="229"/>
      <c r="G494" s="230"/>
      <c r="H494" s="230"/>
      <c r="I494" s="230"/>
      <c r="J494" s="230"/>
      <c r="K494" s="230"/>
      <c r="L494" s="230"/>
      <c r="M494" s="230"/>
      <c r="N494" s="230"/>
      <c r="O494" s="230"/>
      <c r="P494" s="230"/>
      <c r="Q494" s="230"/>
      <c r="R494" s="216"/>
      <c r="S494" s="193"/>
      <c r="T494" s="151"/>
      <c r="U494" s="192"/>
      <c r="V494" s="160"/>
      <c r="W494" s="160"/>
      <c r="BA494"/>
      <c r="BB494"/>
    </row>
    <row r="495" spans="1:54" s="149" customFormat="1" ht="13.5">
      <c r="A495" s="146"/>
      <c r="B495" s="263"/>
      <c r="C495" s="273" t="str">
        <f>IFERROR(IF(VLOOKUP($B495,勘定科目!$A:$H,HLOOKUP($E$5,勘定科目!$F$1:$H$2,2,0),0)="","",VLOOKUP($B495,勘定科目!$A:$E,2,0)),"")</f>
        <v/>
      </c>
      <c r="D495" s="290" t="str">
        <f>IF(C495="","",VLOOKUP($B495,勘定科目!$A:$E,4,0))</f>
        <v/>
      </c>
      <c r="E495" s="303"/>
      <c r="F495" s="229"/>
      <c r="G495" s="230"/>
      <c r="H495" s="230"/>
      <c r="I495" s="230"/>
      <c r="J495" s="230"/>
      <c r="K495" s="230"/>
      <c r="L495" s="230"/>
      <c r="M495" s="230"/>
      <c r="N495" s="230"/>
      <c r="O495" s="230"/>
      <c r="P495" s="230"/>
      <c r="Q495" s="230"/>
      <c r="R495" s="216"/>
      <c r="S495" s="193"/>
      <c r="T495" s="151"/>
      <c r="U495" s="192"/>
      <c r="V495" s="160"/>
      <c r="W495" s="160"/>
      <c r="BA495"/>
      <c r="BB495"/>
    </row>
    <row r="496" spans="1:54" s="149" customFormat="1" ht="13.5">
      <c r="A496" s="146"/>
      <c r="B496" s="263"/>
      <c r="C496" s="273" t="str">
        <f>IFERROR(IF(VLOOKUP($B496,勘定科目!$A:$H,HLOOKUP($E$5,勘定科目!$F$1:$H$2,2,0),0)="","",VLOOKUP($B496,勘定科目!$A:$E,2,0)),"")</f>
        <v/>
      </c>
      <c r="D496" s="290" t="str">
        <f>IF(C496="","",VLOOKUP($B496,勘定科目!$A:$E,4,0))</f>
        <v/>
      </c>
      <c r="E496" s="303"/>
      <c r="F496" s="229"/>
      <c r="G496" s="230"/>
      <c r="H496" s="230"/>
      <c r="I496" s="230"/>
      <c r="J496" s="230"/>
      <c r="K496" s="230"/>
      <c r="L496" s="230"/>
      <c r="M496" s="230"/>
      <c r="N496" s="230"/>
      <c r="O496" s="230"/>
      <c r="P496" s="230"/>
      <c r="Q496" s="230"/>
      <c r="R496" s="216"/>
      <c r="S496" s="193"/>
      <c r="T496" s="151"/>
      <c r="U496" s="192"/>
      <c r="V496" s="160"/>
      <c r="W496" s="160"/>
      <c r="BA496"/>
      <c r="BB496"/>
    </row>
    <row r="497" spans="1:54" s="149" customFormat="1" ht="13.5">
      <c r="A497" s="146"/>
      <c r="B497" s="263"/>
      <c r="C497" s="273" t="str">
        <f>IFERROR(IF(VLOOKUP($B497,勘定科目!$A:$H,HLOOKUP($E$5,勘定科目!$F$1:$H$2,2,0),0)="","",VLOOKUP($B497,勘定科目!$A:$E,2,0)),"")</f>
        <v/>
      </c>
      <c r="D497" s="290" t="str">
        <f>IF(C497="","",VLOOKUP($B497,勘定科目!$A:$E,4,0))</f>
        <v/>
      </c>
      <c r="E497" s="303"/>
      <c r="F497" s="229"/>
      <c r="G497" s="230"/>
      <c r="H497" s="230"/>
      <c r="I497" s="230"/>
      <c r="J497" s="230"/>
      <c r="K497" s="230"/>
      <c r="L497" s="230"/>
      <c r="M497" s="230"/>
      <c r="N497" s="230"/>
      <c r="O497" s="230"/>
      <c r="P497" s="230"/>
      <c r="Q497" s="230"/>
      <c r="R497" s="216"/>
      <c r="S497" s="193"/>
      <c r="T497" s="151"/>
      <c r="U497" s="192"/>
      <c r="V497" s="160"/>
      <c r="W497" s="160"/>
      <c r="BA497"/>
      <c r="BB497"/>
    </row>
    <row r="498" spans="1:54" s="149" customFormat="1" ht="13.5">
      <c r="A498" s="146"/>
      <c r="B498" s="263"/>
      <c r="C498" s="273" t="str">
        <f>IFERROR(IF(VLOOKUP($B498,勘定科目!$A:$H,HLOOKUP($E$5,勘定科目!$F$1:$H$2,2,0),0)="","",VLOOKUP($B498,勘定科目!$A:$E,2,0)),"")</f>
        <v/>
      </c>
      <c r="D498" s="290" t="str">
        <f>IF(C498="","",VLOOKUP($B498,勘定科目!$A:$E,4,0))</f>
        <v/>
      </c>
      <c r="E498" s="303"/>
      <c r="F498" s="229"/>
      <c r="G498" s="230"/>
      <c r="H498" s="230"/>
      <c r="I498" s="230"/>
      <c r="J498" s="230"/>
      <c r="K498" s="230"/>
      <c r="L498" s="230"/>
      <c r="M498" s="230"/>
      <c r="N498" s="230"/>
      <c r="O498" s="230"/>
      <c r="P498" s="230"/>
      <c r="Q498" s="230"/>
      <c r="R498" s="216"/>
      <c r="S498" s="193"/>
      <c r="T498" s="151"/>
      <c r="U498" s="192"/>
      <c r="V498" s="160"/>
      <c r="W498" s="160"/>
      <c r="BA498"/>
      <c r="BB498"/>
    </row>
    <row r="499" spans="1:54" s="149" customFormat="1" ht="13.5">
      <c r="A499" s="146"/>
      <c r="B499" s="263"/>
      <c r="C499" s="273" t="str">
        <f>IFERROR(IF(VLOOKUP($B499,勘定科目!$A:$H,HLOOKUP($E$5,勘定科目!$F$1:$H$2,2,0),0)="","",VLOOKUP($B499,勘定科目!$A:$E,2,0)),"")</f>
        <v/>
      </c>
      <c r="D499" s="290" t="str">
        <f>IF(C499="","",VLOOKUP($B499,勘定科目!$A:$E,4,0))</f>
        <v/>
      </c>
      <c r="E499" s="303"/>
      <c r="F499" s="229"/>
      <c r="G499" s="230"/>
      <c r="H499" s="230"/>
      <c r="I499" s="230"/>
      <c r="J499" s="230"/>
      <c r="K499" s="230"/>
      <c r="L499" s="230"/>
      <c r="M499" s="230"/>
      <c r="N499" s="230"/>
      <c r="O499" s="230"/>
      <c r="P499" s="230"/>
      <c r="Q499" s="230"/>
      <c r="R499" s="216"/>
      <c r="S499" s="193"/>
      <c r="T499" s="151"/>
      <c r="U499" s="192"/>
      <c r="V499" s="160"/>
      <c r="W499" s="160"/>
      <c r="BA499"/>
      <c r="BB499"/>
    </row>
    <row r="500" spans="1:54" s="149" customFormat="1" ht="13.5">
      <c r="A500" s="146"/>
      <c r="B500" s="263"/>
      <c r="C500" s="273" t="str">
        <f>IFERROR(IF(VLOOKUP($B500,勘定科目!$A:$H,HLOOKUP($E$5,勘定科目!$F$1:$H$2,2,0),0)="","",VLOOKUP($B500,勘定科目!$A:$E,2,0)),"")</f>
        <v/>
      </c>
      <c r="D500" s="290" t="str">
        <f>IF(C500="","",VLOOKUP($B500,勘定科目!$A:$E,4,0))</f>
        <v/>
      </c>
      <c r="E500" s="303"/>
      <c r="F500" s="229"/>
      <c r="G500" s="230"/>
      <c r="H500" s="230"/>
      <c r="I500" s="230"/>
      <c r="J500" s="230"/>
      <c r="K500" s="230"/>
      <c r="L500" s="230"/>
      <c r="M500" s="230"/>
      <c r="N500" s="230"/>
      <c r="O500" s="230"/>
      <c r="P500" s="230"/>
      <c r="Q500" s="230"/>
      <c r="R500" s="216"/>
      <c r="S500" s="193"/>
      <c r="T500" s="151"/>
      <c r="U500" s="192"/>
      <c r="V500" s="160"/>
      <c r="W500" s="160"/>
      <c r="BA500"/>
      <c r="BB500"/>
    </row>
    <row r="501" spans="1:54" s="149" customFormat="1" ht="13.5">
      <c r="A501" s="146"/>
      <c r="B501" s="263"/>
      <c r="C501" s="273" t="str">
        <f>IFERROR(IF(VLOOKUP($B501,勘定科目!$A:$H,HLOOKUP($E$5,勘定科目!$F$1:$H$2,2,0),0)="","",VLOOKUP($B501,勘定科目!$A:$E,2,0)),"")</f>
        <v/>
      </c>
      <c r="D501" s="290" t="str">
        <f>IF(C501="","",VLOOKUP($B501,勘定科目!$A:$E,4,0))</f>
        <v/>
      </c>
      <c r="E501" s="303"/>
      <c r="F501" s="229"/>
      <c r="G501" s="230"/>
      <c r="H501" s="230"/>
      <c r="I501" s="230"/>
      <c r="J501" s="230"/>
      <c r="K501" s="230"/>
      <c r="L501" s="230"/>
      <c r="M501" s="230"/>
      <c r="N501" s="230"/>
      <c r="O501" s="230"/>
      <c r="P501" s="230"/>
      <c r="Q501" s="230"/>
      <c r="R501" s="216"/>
      <c r="S501" s="193"/>
      <c r="T501" s="151"/>
      <c r="U501" s="192"/>
      <c r="V501" s="160"/>
      <c r="W501" s="160"/>
      <c r="BA501"/>
      <c r="BB501"/>
    </row>
    <row r="502" spans="1:54" s="149" customFormat="1" ht="13.5">
      <c r="A502" s="146"/>
      <c r="B502" s="263"/>
      <c r="C502" s="273" t="str">
        <f>IFERROR(IF(VLOOKUP($B502,勘定科目!$A:$H,HLOOKUP($E$5,勘定科目!$F$1:$H$2,2,0),0)="","",VLOOKUP($B502,勘定科目!$A:$E,2,0)),"")</f>
        <v/>
      </c>
      <c r="D502" s="290" t="str">
        <f>IF(C502="","",VLOOKUP($B502,勘定科目!$A:$E,4,0))</f>
        <v/>
      </c>
      <c r="E502" s="303"/>
      <c r="F502" s="229"/>
      <c r="G502" s="230"/>
      <c r="H502" s="230"/>
      <c r="I502" s="230"/>
      <c r="J502" s="230"/>
      <c r="K502" s="230"/>
      <c r="L502" s="230"/>
      <c r="M502" s="230"/>
      <c r="N502" s="230"/>
      <c r="O502" s="230"/>
      <c r="P502" s="230"/>
      <c r="Q502" s="230"/>
      <c r="R502" s="216"/>
      <c r="S502" s="193"/>
      <c r="T502" s="151"/>
      <c r="U502" s="192"/>
      <c r="V502" s="160"/>
      <c r="W502" s="160"/>
      <c r="BA502"/>
      <c r="BB502"/>
    </row>
    <row r="503" spans="1:54" s="149" customFormat="1" ht="13.5">
      <c r="A503" s="146"/>
      <c r="B503" s="263"/>
      <c r="C503" s="273" t="str">
        <f>IFERROR(IF(VLOOKUP($B503,勘定科目!$A:$H,HLOOKUP($E$5,勘定科目!$F$1:$H$2,2,0),0)="","",VLOOKUP($B503,勘定科目!$A:$E,2,0)),"")</f>
        <v/>
      </c>
      <c r="D503" s="290" t="str">
        <f>IF(C503="","",VLOOKUP($B503,勘定科目!$A:$E,4,0))</f>
        <v/>
      </c>
      <c r="E503" s="303"/>
      <c r="F503" s="229"/>
      <c r="G503" s="230"/>
      <c r="H503" s="230"/>
      <c r="I503" s="230"/>
      <c r="J503" s="230"/>
      <c r="K503" s="230"/>
      <c r="L503" s="230"/>
      <c r="M503" s="230"/>
      <c r="N503" s="230"/>
      <c r="O503" s="230"/>
      <c r="P503" s="230"/>
      <c r="Q503" s="230"/>
      <c r="R503" s="216"/>
      <c r="S503" s="193"/>
      <c r="T503" s="151"/>
      <c r="U503" s="192"/>
      <c r="V503" s="160"/>
      <c r="W503" s="160"/>
      <c r="BA503"/>
      <c r="BB503"/>
    </row>
    <row r="504" spans="1:54" s="149" customFormat="1" ht="13.5">
      <c r="A504" s="146"/>
      <c r="B504" s="263"/>
      <c r="C504" s="273" t="str">
        <f>IFERROR(IF(VLOOKUP($B504,勘定科目!$A:$H,HLOOKUP($E$5,勘定科目!$F$1:$H$2,2,0),0)="","",VLOOKUP($B504,勘定科目!$A:$E,2,0)),"")</f>
        <v/>
      </c>
      <c r="D504" s="290" t="str">
        <f>IF(C504="","",VLOOKUP($B504,勘定科目!$A:$E,4,0))</f>
        <v/>
      </c>
      <c r="E504" s="303"/>
      <c r="F504" s="229"/>
      <c r="G504" s="230"/>
      <c r="H504" s="230"/>
      <c r="I504" s="230"/>
      <c r="J504" s="230"/>
      <c r="K504" s="230"/>
      <c r="L504" s="230"/>
      <c r="M504" s="230"/>
      <c r="N504" s="230"/>
      <c r="O504" s="230"/>
      <c r="P504" s="230"/>
      <c r="Q504" s="230"/>
      <c r="R504" s="216"/>
      <c r="S504" s="193"/>
      <c r="T504" s="151"/>
      <c r="U504" s="192"/>
      <c r="V504" s="160"/>
      <c r="W504" s="160"/>
      <c r="BA504"/>
      <c r="BB504"/>
    </row>
    <row r="505" spans="1:54" s="149" customFormat="1" ht="13.5">
      <c r="A505" s="146"/>
      <c r="B505" s="263"/>
      <c r="C505" s="273" t="str">
        <f>IFERROR(IF(VLOOKUP($B505,勘定科目!$A:$H,HLOOKUP($E$5,勘定科目!$F$1:$H$2,2,0),0)="","",VLOOKUP($B505,勘定科目!$A:$E,2,0)),"")</f>
        <v/>
      </c>
      <c r="D505" s="290" t="str">
        <f>IF(C505="","",VLOOKUP($B505,勘定科目!$A:$E,4,0))</f>
        <v/>
      </c>
      <c r="E505" s="303"/>
      <c r="F505" s="229"/>
      <c r="G505" s="230"/>
      <c r="H505" s="230"/>
      <c r="I505" s="230"/>
      <c r="J505" s="230"/>
      <c r="K505" s="230"/>
      <c r="L505" s="230"/>
      <c r="M505" s="230"/>
      <c r="N505" s="230"/>
      <c r="O505" s="230"/>
      <c r="P505" s="230"/>
      <c r="Q505" s="230"/>
      <c r="R505" s="216"/>
      <c r="S505" s="193"/>
      <c r="T505" s="151"/>
      <c r="U505" s="192"/>
      <c r="V505" s="160"/>
      <c r="W505" s="160"/>
      <c r="BA505"/>
      <c r="BB505"/>
    </row>
    <row r="506" spans="1:54" s="149" customFormat="1" ht="13.5">
      <c r="A506" s="146"/>
      <c r="B506" s="263"/>
      <c r="C506" s="273" t="str">
        <f>IFERROR(IF(VLOOKUP($B506,勘定科目!$A:$H,HLOOKUP($E$5,勘定科目!$F$1:$H$2,2,0),0)="","",VLOOKUP($B506,勘定科目!$A:$E,2,0)),"")</f>
        <v/>
      </c>
      <c r="D506" s="290" t="str">
        <f>IF(C506="","",VLOOKUP($B506,勘定科目!$A:$E,4,0))</f>
        <v/>
      </c>
      <c r="E506" s="303"/>
      <c r="F506" s="229"/>
      <c r="G506" s="230"/>
      <c r="H506" s="230"/>
      <c r="I506" s="230"/>
      <c r="J506" s="230"/>
      <c r="K506" s="230"/>
      <c r="L506" s="230"/>
      <c r="M506" s="230"/>
      <c r="N506" s="230"/>
      <c r="O506" s="230"/>
      <c r="P506" s="230"/>
      <c r="Q506" s="230"/>
      <c r="R506" s="216"/>
      <c r="S506" s="193"/>
      <c r="T506" s="151"/>
      <c r="U506" s="192"/>
      <c r="V506" s="160"/>
      <c r="W506" s="160"/>
      <c r="BA506"/>
      <c r="BB506"/>
    </row>
    <row r="507" spans="1:54" s="149" customFormat="1" ht="13.5">
      <c r="A507" s="146"/>
      <c r="B507" s="263"/>
      <c r="C507" s="273" t="str">
        <f>IFERROR(IF(VLOOKUP($B507,勘定科目!$A:$H,HLOOKUP($E$5,勘定科目!$F$1:$H$2,2,0),0)="","",VLOOKUP($B507,勘定科目!$A:$E,2,0)),"")</f>
        <v/>
      </c>
      <c r="D507" s="290" t="str">
        <f>IF(C507="","",VLOOKUP($B507,勘定科目!$A:$E,4,0))</f>
        <v/>
      </c>
      <c r="E507" s="303"/>
      <c r="F507" s="229"/>
      <c r="G507" s="230"/>
      <c r="H507" s="230"/>
      <c r="I507" s="230"/>
      <c r="J507" s="230"/>
      <c r="K507" s="230"/>
      <c r="L507" s="230"/>
      <c r="M507" s="230"/>
      <c r="N507" s="230"/>
      <c r="O507" s="230"/>
      <c r="P507" s="230"/>
      <c r="Q507" s="230"/>
      <c r="R507" s="216"/>
      <c r="S507" s="193"/>
      <c r="T507" s="151"/>
      <c r="U507" s="192"/>
      <c r="V507" s="160"/>
      <c r="W507" s="160"/>
      <c r="BA507"/>
      <c r="BB507"/>
    </row>
    <row r="508" spans="1:54" s="149" customFormat="1" ht="13.5">
      <c r="A508" s="146"/>
      <c r="B508" s="263"/>
      <c r="C508" s="273" t="str">
        <f>IFERROR(IF(VLOOKUP($B508,勘定科目!$A:$H,HLOOKUP($E$5,勘定科目!$F$1:$H$2,2,0),0)="","",VLOOKUP($B508,勘定科目!$A:$E,2,0)),"")</f>
        <v/>
      </c>
      <c r="D508" s="290" t="str">
        <f>IF(C508="","",VLOOKUP($B508,勘定科目!$A:$E,4,0))</f>
        <v/>
      </c>
      <c r="E508" s="303"/>
      <c r="F508" s="229"/>
      <c r="G508" s="230"/>
      <c r="H508" s="230"/>
      <c r="I508" s="230"/>
      <c r="J508" s="230"/>
      <c r="K508" s="230"/>
      <c r="L508" s="230"/>
      <c r="M508" s="230"/>
      <c r="N508" s="230"/>
      <c r="O508" s="230"/>
      <c r="P508" s="230"/>
      <c r="Q508" s="230"/>
      <c r="R508" s="216"/>
      <c r="S508" s="193"/>
      <c r="T508" s="151"/>
      <c r="U508" s="192"/>
      <c r="V508" s="160"/>
      <c r="W508" s="160"/>
      <c r="BA508"/>
      <c r="BB508"/>
    </row>
    <row r="509" spans="1:54" s="149" customFormat="1" ht="13.5">
      <c r="A509" s="146"/>
      <c r="B509" s="263"/>
      <c r="C509" s="273" t="str">
        <f>IFERROR(IF(VLOOKUP($B509,勘定科目!$A:$H,HLOOKUP($E$5,勘定科目!$F$1:$H$2,2,0),0)="","",VLOOKUP($B509,勘定科目!$A:$E,2,0)),"")</f>
        <v/>
      </c>
      <c r="D509" s="290" t="str">
        <f>IF(C509="","",VLOOKUP($B509,勘定科目!$A:$E,4,0))</f>
        <v/>
      </c>
      <c r="E509" s="303"/>
      <c r="F509" s="229"/>
      <c r="G509" s="230"/>
      <c r="H509" s="230"/>
      <c r="I509" s="230"/>
      <c r="J509" s="230"/>
      <c r="K509" s="230"/>
      <c r="L509" s="230"/>
      <c r="M509" s="230"/>
      <c r="N509" s="230"/>
      <c r="O509" s="230"/>
      <c r="P509" s="230"/>
      <c r="Q509" s="230"/>
      <c r="R509" s="216"/>
      <c r="S509" s="193"/>
      <c r="T509" s="151"/>
      <c r="U509" s="192"/>
      <c r="V509" s="160"/>
      <c r="W509" s="160"/>
      <c r="BA509"/>
      <c r="BB509"/>
    </row>
    <row r="510" spans="1:54" s="149" customFormat="1" ht="13.5">
      <c r="A510" s="146"/>
      <c r="B510" s="263"/>
      <c r="C510" s="273" t="str">
        <f>IFERROR(IF(VLOOKUP($B510,勘定科目!$A:$H,HLOOKUP($E$5,勘定科目!$F$1:$H$2,2,0),0)="","",VLOOKUP($B510,勘定科目!$A:$E,2,0)),"")</f>
        <v/>
      </c>
      <c r="D510" s="290" t="str">
        <f>IF(C510="","",VLOOKUP($B510,勘定科目!$A:$E,4,0))</f>
        <v/>
      </c>
      <c r="E510" s="303"/>
      <c r="F510" s="229"/>
      <c r="G510" s="230"/>
      <c r="H510" s="230"/>
      <c r="I510" s="230"/>
      <c r="J510" s="230"/>
      <c r="K510" s="230"/>
      <c r="L510" s="230"/>
      <c r="M510" s="230"/>
      <c r="N510" s="230"/>
      <c r="O510" s="230"/>
      <c r="P510" s="230"/>
      <c r="Q510" s="230"/>
      <c r="R510" s="216"/>
      <c r="S510" s="193"/>
      <c r="T510" s="151"/>
      <c r="U510" s="192"/>
      <c r="V510" s="160"/>
      <c r="W510" s="160"/>
      <c r="BA510"/>
      <c r="BB510"/>
    </row>
    <row r="511" spans="1:54" s="149" customFormat="1" ht="13.5">
      <c r="A511" s="146"/>
      <c r="B511" s="263"/>
      <c r="C511" s="273" t="str">
        <f>IFERROR(IF(VLOOKUP($B511,勘定科目!$A:$H,HLOOKUP($E$5,勘定科目!$F$1:$H$2,2,0),0)="","",VLOOKUP($B511,勘定科目!$A:$E,2,0)),"")</f>
        <v/>
      </c>
      <c r="D511" s="290" t="str">
        <f>IF(C511="","",VLOOKUP($B511,勘定科目!$A:$E,4,0))</f>
        <v/>
      </c>
      <c r="E511" s="303"/>
      <c r="F511" s="229"/>
      <c r="G511" s="230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16"/>
      <c r="S511" s="193"/>
      <c r="T511" s="151"/>
      <c r="U511" s="192"/>
      <c r="V511" s="160"/>
      <c r="W511" s="160"/>
      <c r="BA511"/>
      <c r="BB511"/>
    </row>
    <row r="512" spans="1:54" s="149" customFormat="1" ht="13.5">
      <c r="A512" s="146"/>
      <c r="B512" s="263"/>
      <c r="C512" s="273" t="str">
        <f>IFERROR(IF(VLOOKUP($B512,勘定科目!$A:$H,HLOOKUP($E$5,勘定科目!$F$1:$H$2,2,0),0)="","",VLOOKUP($B512,勘定科目!$A:$E,2,0)),"")</f>
        <v/>
      </c>
      <c r="D512" s="290" t="str">
        <f>IF(C512="","",VLOOKUP($B512,勘定科目!$A:$E,4,0))</f>
        <v/>
      </c>
      <c r="E512" s="303"/>
      <c r="F512" s="229"/>
      <c r="G512" s="230"/>
      <c r="H512" s="230"/>
      <c r="I512" s="230"/>
      <c r="J512" s="230"/>
      <c r="K512" s="230"/>
      <c r="L512" s="230"/>
      <c r="M512" s="230"/>
      <c r="N512" s="230"/>
      <c r="O512" s="230"/>
      <c r="P512" s="230"/>
      <c r="Q512" s="230"/>
      <c r="R512" s="216"/>
      <c r="S512" s="193"/>
      <c r="T512" s="151"/>
      <c r="U512" s="192"/>
      <c r="V512" s="160"/>
      <c r="W512" s="160"/>
      <c r="BA512"/>
      <c r="BB512"/>
    </row>
    <row r="513" spans="1:54" s="149" customFormat="1" ht="13.5">
      <c r="A513" s="146"/>
      <c r="B513" s="263"/>
      <c r="C513" s="273" t="str">
        <f>IFERROR(IF(VLOOKUP($B513,勘定科目!$A:$H,HLOOKUP($E$5,勘定科目!$F$1:$H$2,2,0),0)="","",VLOOKUP($B513,勘定科目!$A:$E,2,0)),"")</f>
        <v/>
      </c>
      <c r="D513" s="290" t="str">
        <f>IF(C513="","",VLOOKUP($B513,勘定科目!$A:$E,4,0))</f>
        <v/>
      </c>
      <c r="E513" s="303"/>
      <c r="F513" s="229"/>
      <c r="G513" s="230"/>
      <c r="H513" s="230"/>
      <c r="I513" s="230"/>
      <c r="J513" s="230"/>
      <c r="K513" s="230"/>
      <c r="L513" s="230"/>
      <c r="M513" s="230"/>
      <c r="N513" s="230"/>
      <c r="O513" s="230"/>
      <c r="P513" s="230"/>
      <c r="Q513" s="230"/>
      <c r="R513" s="216"/>
      <c r="S513" s="193"/>
      <c r="T513" s="151"/>
      <c r="U513" s="192"/>
      <c r="V513" s="160"/>
      <c r="W513" s="160"/>
      <c r="BA513"/>
      <c r="BB513"/>
    </row>
    <row r="514" spans="1:54" s="149" customFormat="1" ht="13.5">
      <c r="A514" s="146"/>
      <c r="B514" s="263"/>
      <c r="C514" s="273" t="str">
        <f>IFERROR(IF(VLOOKUP($B514,勘定科目!$A:$H,HLOOKUP($E$5,勘定科目!$F$1:$H$2,2,0),0)="","",VLOOKUP($B514,勘定科目!$A:$E,2,0)),"")</f>
        <v/>
      </c>
      <c r="D514" s="290" t="str">
        <f>IF(C514="","",VLOOKUP($B514,勘定科目!$A:$E,4,0))</f>
        <v/>
      </c>
      <c r="E514" s="303"/>
      <c r="F514" s="229"/>
      <c r="G514" s="230"/>
      <c r="H514" s="230"/>
      <c r="I514" s="230"/>
      <c r="J514" s="230"/>
      <c r="K514" s="230"/>
      <c r="L514" s="230"/>
      <c r="M514" s="230"/>
      <c r="N514" s="230"/>
      <c r="O514" s="230"/>
      <c r="P514" s="230"/>
      <c r="Q514" s="230"/>
      <c r="R514" s="216"/>
      <c r="S514" s="193"/>
      <c r="T514" s="151"/>
      <c r="U514" s="192"/>
      <c r="V514" s="160"/>
      <c r="W514" s="160"/>
      <c r="BA514"/>
      <c r="BB514"/>
    </row>
    <row r="515" spans="1:54" s="149" customFormat="1" ht="13.5">
      <c r="A515" s="146"/>
      <c r="B515" s="263"/>
      <c r="C515" s="273" t="str">
        <f>IFERROR(IF(VLOOKUP($B515,勘定科目!$A:$H,HLOOKUP($E$5,勘定科目!$F$1:$H$2,2,0),0)="","",VLOOKUP($B515,勘定科目!$A:$E,2,0)),"")</f>
        <v/>
      </c>
      <c r="D515" s="290" t="str">
        <f>IF(C515="","",VLOOKUP($B515,勘定科目!$A:$E,4,0))</f>
        <v/>
      </c>
      <c r="E515" s="303"/>
      <c r="F515" s="229"/>
      <c r="G515" s="230"/>
      <c r="H515" s="230"/>
      <c r="I515" s="230"/>
      <c r="J515" s="230"/>
      <c r="K515" s="230"/>
      <c r="L515" s="230"/>
      <c r="M515" s="230"/>
      <c r="N515" s="230"/>
      <c r="O515" s="230"/>
      <c r="P515" s="230"/>
      <c r="Q515" s="230"/>
      <c r="R515" s="216"/>
      <c r="S515" s="193"/>
      <c r="T515" s="151"/>
      <c r="U515" s="192"/>
      <c r="V515" s="160"/>
      <c r="W515" s="160"/>
      <c r="BA515"/>
      <c r="BB515"/>
    </row>
    <row r="516" spans="1:54" s="149" customFormat="1" ht="13.5">
      <c r="A516" s="146"/>
      <c r="B516" s="263"/>
      <c r="C516" s="273" t="str">
        <f>IFERROR(IF(VLOOKUP($B516,勘定科目!$A:$H,HLOOKUP($E$5,勘定科目!$F$1:$H$2,2,0),0)="","",VLOOKUP($B516,勘定科目!$A:$E,2,0)),"")</f>
        <v/>
      </c>
      <c r="D516" s="290" t="str">
        <f>IF(C516="","",VLOOKUP($B516,勘定科目!$A:$E,4,0))</f>
        <v/>
      </c>
      <c r="E516" s="303"/>
      <c r="F516" s="229"/>
      <c r="G516" s="230"/>
      <c r="H516" s="230"/>
      <c r="I516" s="230"/>
      <c r="J516" s="230"/>
      <c r="K516" s="230"/>
      <c r="L516" s="230"/>
      <c r="M516" s="230"/>
      <c r="N516" s="230"/>
      <c r="O516" s="230"/>
      <c r="P516" s="230"/>
      <c r="Q516" s="230"/>
      <c r="R516" s="216"/>
      <c r="S516" s="193"/>
      <c r="T516" s="151"/>
      <c r="U516" s="192"/>
      <c r="V516" s="160"/>
      <c r="W516" s="160"/>
      <c r="BA516"/>
      <c r="BB516"/>
    </row>
    <row r="517" spans="1:54" s="149" customFormat="1" ht="13.5">
      <c r="A517" s="146"/>
      <c r="B517" s="263"/>
      <c r="C517" s="273" t="str">
        <f>IFERROR(IF(VLOOKUP($B517,勘定科目!$A:$H,HLOOKUP($E$5,勘定科目!$F$1:$H$2,2,0),0)="","",VLOOKUP($B517,勘定科目!$A:$E,2,0)),"")</f>
        <v/>
      </c>
      <c r="D517" s="290" t="str">
        <f>IF(C517="","",VLOOKUP($B517,勘定科目!$A:$E,4,0))</f>
        <v/>
      </c>
      <c r="E517" s="303"/>
      <c r="F517" s="229"/>
      <c r="G517" s="230"/>
      <c r="H517" s="230"/>
      <c r="I517" s="230"/>
      <c r="J517" s="230"/>
      <c r="K517" s="230"/>
      <c r="L517" s="230"/>
      <c r="M517" s="230"/>
      <c r="N517" s="230"/>
      <c r="O517" s="230"/>
      <c r="P517" s="230"/>
      <c r="Q517" s="230"/>
      <c r="R517" s="216"/>
      <c r="S517" s="193"/>
      <c r="T517" s="151"/>
      <c r="U517" s="192"/>
      <c r="V517" s="160"/>
      <c r="W517" s="160"/>
      <c r="BA517"/>
      <c r="BB517"/>
    </row>
    <row r="518" spans="1:54" s="149" customFormat="1" ht="13.5">
      <c r="A518" s="146"/>
      <c r="B518" s="263"/>
      <c r="C518" s="273" t="str">
        <f>IFERROR(IF(VLOOKUP($B518,勘定科目!$A:$H,HLOOKUP($E$5,勘定科目!$F$1:$H$2,2,0),0)="","",VLOOKUP($B518,勘定科目!$A:$E,2,0)),"")</f>
        <v/>
      </c>
      <c r="D518" s="290" t="str">
        <f>IF(C518="","",VLOOKUP($B518,勘定科目!$A:$E,4,0))</f>
        <v/>
      </c>
      <c r="E518" s="303"/>
      <c r="F518" s="229"/>
      <c r="G518" s="230"/>
      <c r="H518" s="230"/>
      <c r="I518" s="230"/>
      <c r="J518" s="230"/>
      <c r="K518" s="230"/>
      <c r="L518" s="230"/>
      <c r="M518" s="230"/>
      <c r="N518" s="230"/>
      <c r="O518" s="230"/>
      <c r="P518" s="230"/>
      <c r="Q518" s="230"/>
      <c r="R518" s="216"/>
      <c r="S518" s="193"/>
      <c r="T518" s="151"/>
      <c r="U518" s="192"/>
      <c r="V518" s="160"/>
      <c r="W518" s="160"/>
      <c r="BA518"/>
      <c r="BB518"/>
    </row>
    <row r="519" spans="1:54" s="149" customFormat="1" ht="13.5">
      <c r="A519" s="146"/>
      <c r="B519" s="263"/>
      <c r="C519" s="273" t="str">
        <f>IFERROR(IF(VLOOKUP($B519,勘定科目!$A:$H,HLOOKUP($E$5,勘定科目!$F$1:$H$2,2,0),0)="","",VLOOKUP($B519,勘定科目!$A:$E,2,0)),"")</f>
        <v/>
      </c>
      <c r="D519" s="290" t="str">
        <f>IF(C519="","",VLOOKUP($B519,勘定科目!$A:$E,4,0))</f>
        <v/>
      </c>
      <c r="E519" s="303"/>
      <c r="F519" s="229"/>
      <c r="G519" s="230"/>
      <c r="H519" s="230"/>
      <c r="I519" s="230"/>
      <c r="J519" s="230"/>
      <c r="K519" s="230"/>
      <c r="L519" s="230"/>
      <c r="M519" s="230"/>
      <c r="N519" s="230"/>
      <c r="O519" s="230"/>
      <c r="P519" s="230"/>
      <c r="Q519" s="230"/>
      <c r="R519" s="216"/>
      <c r="S519" s="193"/>
      <c r="T519" s="151"/>
      <c r="U519" s="192"/>
      <c r="V519" s="160"/>
      <c r="W519" s="160"/>
      <c r="BA519"/>
      <c r="BB519"/>
    </row>
    <row r="520" spans="1:54" s="149" customFormat="1" ht="13.5">
      <c r="A520" s="146"/>
      <c r="B520" s="263"/>
      <c r="C520" s="273" t="str">
        <f>IFERROR(IF(VLOOKUP($B520,勘定科目!$A:$H,HLOOKUP($E$5,勘定科目!$F$1:$H$2,2,0),0)="","",VLOOKUP($B520,勘定科目!$A:$E,2,0)),"")</f>
        <v/>
      </c>
      <c r="D520" s="290" t="str">
        <f>IF(C520="","",VLOOKUP($B520,勘定科目!$A:$E,4,0))</f>
        <v/>
      </c>
      <c r="E520" s="303"/>
      <c r="F520" s="229"/>
      <c r="G520" s="230"/>
      <c r="H520" s="230"/>
      <c r="I520" s="230"/>
      <c r="J520" s="230"/>
      <c r="K520" s="230"/>
      <c r="L520" s="230"/>
      <c r="M520" s="230"/>
      <c r="N520" s="230"/>
      <c r="O520" s="230"/>
      <c r="P520" s="230"/>
      <c r="Q520" s="230"/>
      <c r="R520" s="216"/>
      <c r="S520" s="193"/>
      <c r="T520" s="151"/>
      <c r="U520" s="192"/>
      <c r="V520" s="160"/>
      <c r="W520" s="160"/>
      <c r="BA520"/>
      <c r="BB520"/>
    </row>
    <row r="521" spans="1:54" s="149" customFormat="1" ht="13.5">
      <c r="A521" s="146"/>
      <c r="B521" s="263"/>
      <c r="C521" s="273" t="str">
        <f>IFERROR(IF(VLOOKUP($B521,勘定科目!$A:$H,HLOOKUP($E$5,勘定科目!$F$1:$H$2,2,0),0)="","",VLOOKUP($B521,勘定科目!$A:$E,2,0)),"")</f>
        <v/>
      </c>
      <c r="D521" s="290" t="str">
        <f>IF(C521="","",VLOOKUP($B521,勘定科目!$A:$E,4,0))</f>
        <v/>
      </c>
      <c r="E521" s="303"/>
      <c r="F521" s="229"/>
      <c r="G521" s="230"/>
      <c r="H521" s="230"/>
      <c r="I521" s="230"/>
      <c r="J521" s="230"/>
      <c r="K521" s="230"/>
      <c r="L521" s="230"/>
      <c r="M521" s="230"/>
      <c r="N521" s="230"/>
      <c r="O521" s="230"/>
      <c r="P521" s="230"/>
      <c r="Q521" s="230"/>
      <c r="R521" s="216"/>
      <c r="S521" s="193"/>
      <c r="T521" s="151"/>
      <c r="U521" s="192"/>
      <c r="V521" s="160"/>
      <c r="W521" s="160"/>
      <c r="BA521"/>
      <c r="BB521"/>
    </row>
    <row r="522" spans="1:54" s="149" customFormat="1" ht="13.5">
      <c r="A522" s="146"/>
      <c r="B522" s="263"/>
      <c r="C522" s="273" t="str">
        <f>IFERROR(IF(VLOOKUP($B522,勘定科目!$A:$H,HLOOKUP($E$5,勘定科目!$F$1:$H$2,2,0),0)="","",VLOOKUP($B522,勘定科目!$A:$E,2,0)),"")</f>
        <v/>
      </c>
      <c r="D522" s="290" t="str">
        <f>IF(C522="","",VLOOKUP($B522,勘定科目!$A:$E,4,0))</f>
        <v/>
      </c>
      <c r="E522" s="303"/>
      <c r="F522" s="229"/>
      <c r="G522" s="230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16"/>
      <c r="S522" s="193"/>
      <c r="T522" s="151"/>
      <c r="U522" s="192"/>
      <c r="V522" s="160"/>
      <c r="W522" s="160"/>
      <c r="BA522"/>
      <c r="BB522"/>
    </row>
    <row r="523" spans="1:54" s="149" customFormat="1" ht="13.5">
      <c r="A523" s="146"/>
      <c r="B523" s="263"/>
      <c r="C523" s="273" t="str">
        <f>IFERROR(IF(VLOOKUP($B523,勘定科目!$A:$H,HLOOKUP($E$5,勘定科目!$F$1:$H$2,2,0),0)="","",VLOOKUP($B523,勘定科目!$A:$E,2,0)),"")</f>
        <v/>
      </c>
      <c r="D523" s="290" t="str">
        <f>IF(C523="","",VLOOKUP($B523,勘定科目!$A:$E,4,0))</f>
        <v/>
      </c>
      <c r="E523" s="303"/>
      <c r="F523" s="229"/>
      <c r="G523" s="230"/>
      <c r="H523" s="230"/>
      <c r="I523" s="230"/>
      <c r="J523" s="230"/>
      <c r="K523" s="230"/>
      <c r="L523" s="230"/>
      <c r="M523" s="230"/>
      <c r="N523" s="230"/>
      <c r="O523" s="230"/>
      <c r="P523" s="230"/>
      <c r="Q523" s="230"/>
      <c r="R523" s="216"/>
      <c r="S523" s="193"/>
      <c r="T523" s="151"/>
      <c r="U523" s="192"/>
      <c r="V523" s="160"/>
      <c r="W523" s="160"/>
      <c r="BA523"/>
      <c r="BB523"/>
    </row>
    <row r="524" spans="1:54" s="149" customFormat="1" ht="13.5">
      <c r="A524" s="146"/>
      <c r="B524" s="263"/>
      <c r="C524" s="273" t="str">
        <f>IFERROR(IF(VLOOKUP($B524,勘定科目!$A:$H,HLOOKUP($E$5,勘定科目!$F$1:$H$2,2,0),0)="","",VLOOKUP($B524,勘定科目!$A:$E,2,0)),"")</f>
        <v/>
      </c>
      <c r="D524" s="290" t="str">
        <f>IF(C524="","",VLOOKUP($B524,勘定科目!$A:$E,4,0))</f>
        <v/>
      </c>
      <c r="E524" s="303"/>
      <c r="F524" s="229"/>
      <c r="G524" s="230"/>
      <c r="H524" s="230"/>
      <c r="I524" s="230"/>
      <c r="J524" s="230"/>
      <c r="K524" s="230"/>
      <c r="L524" s="230"/>
      <c r="M524" s="230"/>
      <c r="N524" s="230"/>
      <c r="O524" s="230"/>
      <c r="P524" s="230"/>
      <c r="Q524" s="230"/>
      <c r="R524" s="216"/>
      <c r="S524" s="193"/>
      <c r="T524" s="151"/>
      <c r="U524" s="192"/>
      <c r="V524" s="160"/>
      <c r="W524" s="160"/>
      <c r="BA524"/>
      <c r="BB524"/>
    </row>
    <row r="525" spans="1:54" s="149" customFormat="1" ht="13.5">
      <c r="A525" s="146"/>
      <c r="B525" s="263"/>
      <c r="C525" s="273" t="str">
        <f>IFERROR(IF(VLOOKUP($B525,勘定科目!$A:$H,HLOOKUP($E$5,勘定科目!$F$1:$H$2,2,0),0)="","",VLOOKUP($B525,勘定科目!$A:$E,2,0)),"")</f>
        <v/>
      </c>
      <c r="D525" s="290" t="str">
        <f>IF(C525="","",VLOOKUP($B525,勘定科目!$A:$E,4,0))</f>
        <v/>
      </c>
      <c r="E525" s="303"/>
      <c r="F525" s="229"/>
      <c r="G525" s="230"/>
      <c r="H525" s="230"/>
      <c r="I525" s="230"/>
      <c r="J525" s="230"/>
      <c r="K525" s="230"/>
      <c r="L525" s="230"/>
      <c r="M525" s="230"/>
      <c r="N525" s="230"/>
      <c r="O525" s="230"/>
      <c r="P525" s="230"/>
      <c r="Q525" s="230"/>
      <c r="R525" s="216"/>
      <c r="S525" s="193"/>
      <c r="T525" s="151"/>
      <c r="U525" s="192"/>
      <c r="V525" s="160"/>
      <c r="W525" s="160"/>
      <c r="BA525"/>
      <c r="BB525"/>
    </row>
    <row r="526" spans="1:54" s="149" customFormat="1" ht="13.5">
      <c r="A526" s="146"/>
      <c r="B526" s="263"/>
      <c r="C526" s="273" t="str">
        <f>IFERROR(IF(VLOOKUP($B526,勘定科目!$A:$H,HLOOKUP($E$5,勘定科目!$F$1:$H$2,2,0),0)="","",VLOOKUP($B526,勘定科目!$A:$E,2,0)),"")</f>
        <v/>
      </c>
      <c r="D526" s="290" t="str">
        <f>IF(C526="","",VLOOKUP($B526,勘定科目!$A:$E,4,0))</f>
        <v/>
      </c>
      <c r="E526" s="303"/>
      <c r="F526" s="229"/>
      <c r="G526" s="230"/>
      <c r="H526" s="230"/>
      <c r="I526" s="230"/>
      <c r="J526" s="230"/>
      <c r="K526" s="230"/>
      <c r="L526" s="230"/>
      <c r="M526" s="230"/>
      <c r="N526" s="230"/>
      <c r="O526" s="230"/>
      <c r="P526" s="230"/>
      <c r="Q526" s="230"/>
      <c r="R526" s="216"/>
      <c r="S526" s="193"/>
      <c r="T526" s="151"/>
      <c r="U526" s="192"/>
      <c r="V526" s="160"/>
      <c r="W526" s="160"/>
      <c r="BA526"/>
      <c r="BB526"/>
    </row>
    <row r="527" spans="1:54" s="149" customFormat="1" ht="13.5">
      <c r="A527" s="146"/>
      <c r="B527" s="263"/>
      <c r="C527" s="273" t="str">
        <f>IFERROR(IF(VLOOKUP($B527,勘定科目!$A:$H,HLOOKUP($E$5,勘定科目!$F$1:$H$2,2,0),0)="","",VLOOKUP($B527,勘定科目!$A:$E,2,0)),"")</f>
        <v/>
      </c>
      <c r="D527" s="290" t="str">
        <f>IF(C527="","",VLOOKUP($B527,勘定科目!$A:$E,4,0))</f>
        <v/>
      </c>
      <c r="E527" s="303"/>
      <c r="F527" s="229"/>
      <c r="G527" s="230"/>
      <c r="H527" s="230"/>
      <c r="I527" s="230"/>
      <c r="J527" s="230"/>
      <c r="K527" s="230"/>
      <c r="L527" s="230"/>
      <c r="M527" s="230"/>
      <c r="N527" s="230"/>
      <c r="O527" s="230"/>
      <c r="P527" s="230"/>
      <c r="Q527" s="230"/>
      <c r="R527" s="216"/>
      <c r="S527" s="193"/>
      <c r="T527" s="151"/>
      <c r="U527" s="192"/>
      <c r="V527" s="160"/>
      <c r="W527" s="160"/>
      <c r="BA527"/>
      <c r="BB527"/>
    </row>
    <row r="528" spans="1:54" s="149" customFormat="1" ht="13.5">
      <c r="A528" s="146"/>
      <c r="B528" s="263"/>
      <c r="C528" s="273" t="str">
        <f>IFERROR(IF(VLOOKUP($B528,勘定科目!$A:$H,HLOOKUP($E$5,勘定科目!$F$1:$H$2,2,0),0)="","",VLOOKUP($B528,勘定科目!$A:$E,2,0)),"")</f>
        <v/>
      </c>
      <c r="D528" s="290" t="str">
        <f>IF(C528="","",VLOOKUP($B528,勘定科目!$A:$E,4,0))</f>
        <v/>
      </c>
      <c r="E528" s="303"/>
      <c r="F528" s="229"/>
      <c r="G528" s="230"/>
      <c r="H528" s="230"/>
      <c r="I528" s="230"/>
      <c r="J528" s="230"/>
      <c r="K528" s="230"/>
      <c r="L528" s="230"/>
      <c r="M528" s="230"/>
      <c r="N528" s="230"/>
      <c r="O528" s="230"/>
      <c r="P528" s="230"/>
      <c r="Q528" s="230"/>
      <c r="R528" s="216"/>
      <c r="S528" s="193"/>
      <c r="T528" s="151"/>
      <c r="U528" s="192"/>
      <c r="V528" s="160"/>
      <c r="W528" s="160"/>
      <c r="BA528"/>
      <c r="BB528"/>
    </row>
    <row r="529" spans="1:54" s="149" customFormat="1" ht="13.5">
      <c r="A529" s="146"/>
      <c r="B529" s="263"/>
      <c r="C529" s="273" t="str">
        <f>IFERROR(IF(VLOOKUP($B529,勘定科目!$A:$H,HLOOKUP($E$5,勘定科目!$F$1:$H$2,2,0),0)="","",VLOOKUP($B529,勘定科目!$A:$E,2,0)),"")</f>
        <v/>
      </c>
      <c r="D529" s="290" t="str">
        <f>IF(C529="","",VLOOKUP($B529,勘定科目!$A:$E,4,0))</f>
        <v/>
      </c>
      <c r="E529" s="303"/>
      <c r="F529" s="229"/>
      <c r="G529" s="230"/>
      <c r="H529" s="230"/>
      <c r="I529" s="230"/>
      <c r="J529" s="230"/>
      <c r="K529" s="230"/>
      <c r="L529" s="230"/>
      <c r="M529" s="230"/>
      <c r="N529" s="230"/>
      <c r="O529" s="230"/>
      <c r="P529" s="230"/>
      <c r="Q529" s="230"/>
      <c r="R529" s="216"/>
      <c r="S529" s="193"/>
      <c r="T529" s="151"/>
      <c r="U529" s="192"/>
      <c r="V529" s="160"/>
      <c r="W529" s="160"/>
      <c r="BA529"/>
      <c r="BB529"/>
    </row>
    <row r="530" spans="1:54" s="149" customFormat="1" ht="13.5">
      <c r="A530" s="146"/>
      <c r="B530" s="263"/>
      <c r="C530" s="273" t="str">
        <f>IFERROR(IF(VLOOKUP($B530,勘定科目!$A:$H,HLOOKUP($E$5,勘定科目!$F$1:$H$2,2,0),0)="","",VLOOKUP($B530,勘定科目!$A:$E,2,0)),"")</f>
        <v/>
      </c>
      <c r="D530" s="290" t="str">
        <f>IF(C530="","",VLOOKUP($B530,勘定科目!$A:$E,4,0))</f>
        <v/>
      </c>
      <c r="E530" s="303"/>
      <c r="F530" s="229"/>
      <c r="G530" s="230"/>
      <c r="H530" s="230"/>
      <c r="I530" s="230"/>
      <c r="J530" s="230"/>
      <c r="K530" s="230"/>
      <c r="L530" s="230"/>
      <c r="M530" s="230"/>
      <c r="N530" s="230"/>
      <c r="O530" s="230"/>
      <c r="P530" s="230"/>
      <c r="Q530" s="230"/>
      <c r="R530" s="216"/>
      <c r="S530" s="193"/>
      <c r="T530" s="151"/>
      <c r="U530" s="192"/>
      <c r="V530" s="160"/>
      <c r="W530" s="160"/>
      <c r="BA530"/>
      <c r="BB530"/>
    </row>
    <row r="531" spans="1:54" s="149" customFormat="1" ht="13.5">
      <c r="A531" s="146"/>
      <c r="B531" s="263"/>
      <c r="C531" s="273" t="str">
        <f>IFERROR(IF(VLOOKUP($B531,勘定科目!$A:$H,HLOOKUP($E$5,勘定科目!$F$1:$H$2,2,0),0)="","",VLOOKUP($B531,勘定科目!$A:$E,2,0)),"")</f>
        <v/>
      </c>
      <c r="D531" s="290" t="str">
        <f>IF(C531="","",VLOOKUP($B531,勘定科目!$A:$E,4,0))</f>
        <v/>
      </c>
      <c r="E531" s="303"/>
      <c r="F531" s="229"/>
      <c r="G531" s="230"/>
      <c r="H531" s="230"/>
      <c r="I531" s="230"/>
      <c r="J531" s="230"/>
      <c r="K531" s="230"/>
      <c r="L531" s="230"/>
      <c r="M531" s="230"/>
      <c r="N531" s="230"/>
      <c r="O531" s="230"/>
      <c r="P531" s="230"/>
      <c r="Q531" s="230"/>
      <c r="R531" s="216"/>
      <c r="S531" s="193"/>
      <c r="T531" s="151"/>
      <c r="U531" s="192"/>
      <c r="V531" s="160"/>
      <c r="W531" s="160"/>
      <c r="BA531"/>
      <c r="BB531"/>
    </row>
    <row r="532" spans="1:54" s="149" customFormat="1" ht="13.5">
      <c r="A532" s="146"/>
      <c r="B532" s="263"/>
      <c r="C532" s="273" t="str">
        <f>IFERROR(IF(VLOOKUP($B532,勘定科目!$A:$H,HLOOKUP($E$5,勘定科目!$F$1:$H$2,2,0),0)="","",VLOOKUP($B532,勘定科目!$A:$E,2,0)),"")</f>
        <v/>
      </c>
      <c r="D532" s="290" t="str">
        <f>IF(C532="","",VLOOKUP($B532,勘定科目!$A:$E,4,0))</f>
        <v/>
      </c>
      <c r="E532" s="303"/>
      <c r="F532" s="229"/>
      <c r="G532" s="230"/>
      <c r="H532" s="230"/>
      <c r="I532" s="230"/>
      <c r="J532" s="230"/>
      <c r="K532" s="230"/>
      <c r="L532" s="230"/>
      <c r="M532" s="230"/>
      <c r="N532" s="230"/>
      <c r="O532" s="230"/>
      <c r="P532" s="230"/>
      <c r="Q532" s="230"/>
      <c r="R532" s="216"/>
      <c r="S532" s="193"/>
      <c r="T532" s="151"/>
      <c r="U532" s="192"/>
      <c r="V532" s="160"/>
      <c r="W532" s="160"/>
      <c r="BA532"/>
      <c r="BB532"/>
    </row>
    <row r="533" spans="1:54" s="149" customFormat="1" ht="13.5">
      <c r="A533" s="146"/>
      <c r="B533" s="263"/>
      <c r="C533" s="273" t="str">
        <f>IFERROR(IF(VLOOKUP($B533,勘定科目!$A:$H,HLOOKUP($E$5,勘定科目!$F$1:$H$2,2,0),0)="","",VLOOKUP($B533,勘定科目!$A:$E,2,0)),"")</f>
        <v/>
      </c>
      <c r="D533" s="290" t="str">
        <f>IF(C533="","",VLOOKUP($B533,勘定科目!$A:$E,4,0))</f>
        <v/>
      </c>
      <c r="E533" s="303"/>
      <c r="F533" s="229"/>
      <c r="G533" s="230"/>
      <c r="H533" s="230"/>
      <c r="I533" s="230"/>
      <c r="J533" s="230"/>
      <c r="K533" s="230"/>
      <c r="L533" s="230"/>
      <c r="M533" s="230"/>
      <c r="N533" s="230"/>
      <c r="O533" s="230"/>
      <c r="P533" s="230"/>
      <c r="Q533" s="230"/>
      <c r="R533" s="216"/>
      <c r="S533" s="193"/>
      <c r="T533" s="151"/>
      <c r="U533" s="192"/>
      <c r="V533" s="160"/>
      <c r="W533" s="160"/>
      <c r="BA533"/>
      <c r="BB533"/>
    </row>
    <row r="534" spans="1:54" s="149" customFormat="1" ht="13.5">
      <c r="A534" s="146"/>
      <c r="B534" s="263"/>
      <c r="C534" s="273" t="str">
        <f>IFERROR(IF(VLOOKUP($B534,勘定科目!$A:$H,HLOOKUP($E$5,勘定科目!$F$1:$H$2,2,0),0)="","",VLOOKUP($B534,勘定科目!$A:$E,2,0)),"")</f>
        <v/>
      </c>
      <c r="D534" s="290" t="str">
        <f>IF(C534="","",VLOOKUP($B534,勘定科目!$A:$E,4,0))</f>
        <v/>
      </c>
      <c r="E534" s="303"/>
      <c r="F534" s="229"/>
      <c r="G534" s="230"/>
      <c r="H534" s="230"/>
      <c r="I534" s="230"/>
      <c r="J534" s="230"/>
      <c r="K534" s="230"/>
      <c r="L534" s="230"/>
      <c r="M534" s="230"/>
      <c r="N534" s="230"/>
      <c r="O534" s="230"/>
      <c r="P534" s="230"/>
      <c r="Q534" s="230"/>
      <c r="R534" s="216"/>
      <c r="S534" s="193"/>
      <c r="T534" s="151"/>
      <c r="U534" s="192"/>
      <c r="V534" s="160"/>
      <c r="W534" s="160"/>
      <c r="BA534"/>
      <c r="BB534"/>
    </row>
    <row r="535" spans="1:54" s="149" customFormat="1" ht="13.5">
      <c r="A535" s="146"/>
      <c r="B535" s="263"/>
      <c r="C535" s="273" t="str">
        <f>IFERROR(IF(VLOOKUP($B535,勘定科目!$A:$H,HLOOKUP($E$5,勘定科目!$F$1:$H$2,2,0),0)="","",VLOOKUP($B535,勘定科目!$A:$E,2,0)),"")</f>
        <v/>
      </c>
      <c r="D535" s="290" t="str">
        <f>IF(C535="","",VLOOKUP($B535,勘定科目!$A:$E,4,0))</f>
        <v/>
      </c>
      <c r="E535" s="303"/>
      <c r="F535" s="229"/>
      <c r="G535" s="230"/>
      <c r="H535" s="230"/>
      <c r="I535" s="230"/>
      <c r="J535" s="230"/>
      <c r="K535" s="230"/>
      <c r="L535" s="230"/>
      <c r="M535" s="230"/>
      <c r="N535" s="230"/>
      <c r="O535" s="230"/>
      <c r="P535" s="230"/>
      <c r="Q535" s="230"/>
      <c r="R535" s="216"/>
      <c r="S535" s="193"/>
      <c r="T535" s="151"/>
      <c r="U535" s="192"/>
      <c r="V535" s="160"/>
      <c r="W535" s="160"/>
      <c r="BA535"/>
      <c r="BB535"/>
    </row>
    <row r="536" spans="1:54" s="149" customFormat="1" ht="13.5">
      <c r="A536" s="146"/>
      <c r="B536" s="263"/>
      <c r="C536" s="273" t="str">
        <f>IFERROR(IF(VLOOKUP($B536,勘定科目!$A:$H,HLOOKUP($E$5,勘定科目!$F$1:$H$2,2,0),0)="","",VLOOKUP($B536,勘定科目!$A:$E,2,0)),"")</f>
        <v/>
      </c>
      <c r="D536" s="290" t="str">
        <f>IF(C536="","",VLOOKUP($B536,勘定科目!$A:$E,4,0))</f>
        <v/>
      </c>
      <c r="E536" s="303"/>
      <c r="F536" s="229"/>
      <c r="G536" s="230"/>
      <c r="H536" s="230"/>
      <c r="I536" s="230"/>
      <c r="J536" s="230"/>
      <c r="K536" s="230"/>
      <c r="L536" s="230"/>
      <c r="M536" s="230"/>
      <c r="N536" s="230"/>
      <c r="O536" s="230"/>
      <c r="P536" s="230"/>
      <c r="Q536" s="230"/>
      <c r="R536" s="216"/>
      <c r="S536" s="193"/>
      <c r="T536" s="151"/>
      <c r="U536" s="192"/>
      <c r="V536" s="160"/>
      <c r="W536" s="160"/>
      <c r="BA536"/>
      <c r="BB536"/>
    </row>
    <row r="537" spans="1:54" s="149" customFormat="1" ht="13.5">
      <c r="A537" s="146"/>
      <c r="B537" s="263"/>
      <c r="C537" s="273" t="str">
        <f>IFERROR(IF(VLOOKUP($B537,勘定科目!$A:$H,HLOOKUP($E$5,勘定科目!$F$1:$H$2,2,0),0)="","",VLOOKUP($B537,勘定科目!$A:$E,2,0)),"")</f>
        <v/>
      </c>
      <c r="D537" s="290" t="str">
        <f>IF(C537="","",VLOOKUP($B537,勘定科目!$A:$E,4,0))</f>
        <v/>
      </c>
      <c r="E537" s="303"/>
      <c r="F537" s="229"/>
      <c r="G537" s="230"/>
      <c r="H537" s="230"/>
      <c r="I537" s="230"/>
      <c r="J537" s="230"/>
      <c r="K537" s="230"/>
      <c r="L537" s="230"/>
      <c r="M537" s="230"/>
      <c r="N537" s="230"/>
      <c r="O537" s="230"/>
      <c r="P537" s="230"/>
      <c r="Q537" s="230"/>
      <c r="R537" s="216"/>
      <c r="S537" s="193"/>
      <c r="T537" s="151"/>
      <c r="U537" s="192"/>
      <c r="V537" s="160"/>
      <c r="W537" s="160"/>
      <c r="BA537"/>
      <c r="BB537"/>
    </row>
    <row r="538" spans="1:54" s="149" customFormat="1" ht="13.5">
      <c r="A538" s="146"/>
      <c r="B538" s="263"/>
      <c r="C538" s="273" t="str">
        <f>IFERROR(IF(VLOOKUP($B538,勘定科目!$A:$H,HLOOKUP($E$5,勘定科目!$F$1:$H$2,2,0),0)="","",VLOOKUP($B538,勘定科目!$A:$E,2,0)),"")</f>
        <v/>
      </c>
      <c r="D538" s="290" t="str">
        <f>IF(C538="","",VLOOKUP($B538,勘定科目!$A:$E,4,0))</f>
        <v/>
      </c>
      <c r="E538" s="303"/>
      <c r="F538" s="229"/>
      <c r="G538" s="230"/>
      <c r="H538" s="230"/>
      <c r="I538" s="230"/>
      <c r="J538" s="230"/>
      <c r="K538" s="230"/>
      <c r="L538" s="230"/>
      <c r="M538" s="230"/>
      <c r="N538" s="230"/>
      <c r="O538" s="230"/>
      <c r="P538" s="230"/>
      <c r="Q538" s="230"/>
      <c r="R538" s="216"/>
      <c r="S538" s="193"/>
      <c r="T538" s="151"/>
      <c r="U538" s="192"/>
      <c r="V538" s="160"/>
      <c r="W538" s="160"/>
      <c r="BA538"/>
      <c r="BB538"/>
    </row>
    <row r="539" spans="1:54" s="149" customFormat="1" ht="13.5">
      <c r="A539" s="146"/>
      <c r="B539" s="263"/>
      <c r="C539" s="273" t="str">
        <f>IFERROR(IF(VLOOKUP($B539,勘定科目!$A:$H,HLOOKUP($E$5,勘定科目!$F$1:$H$2,2,0),0)="","",VLOOKUP($B539,勘定科目!$A:$E,2,0)),"")</f>
        <v/>
      </c>
      <c r="D539" s="290" t="str">
        <f>IF(C539="","",VLOOKUP($B539,勘定科目!$A:$E,4,0))</f>
        <v/>
      </c>
      <c r="E539" s="303"/>
      <c r="F539" s="229"/>
      <c r="G539" s="230"/>
      <c r="H539" s="230"/>
      <c r="I539" s="230"/>
      <c r="J539" s="230"/>
      <c r="K539" s="230"/>
      <c r="L539" s="230"/>
      <c r="M539" s="230"/>
      <c r="N539" s="230"/>
      <c r="O539" s="230"/>
      <c r="P539" s="230"/>
      <c r="Q539" s="230"/>
      <c r="R539" s="216"/>
      <c r="S539" s="193"/>
      <c r="T539" s="151"/>
      <c r="U539" s="192"/>
      <c r="V539" s="160"/>
      <c r="W539" s="160"/>
      <c r="BA539"/>
      <c r="BB539"/>
    </row>
    <row r="540" spans="1:54" s="149" customFormat="1" ht="13.5">
      <c r="A540" s="146"/>
      <c r="B540" s="263"/>
      <c r="C540" s="273" t="str">
        <f>IFERROR(IF(VLOOKUP($B540,勘定科目!$A:$H,HLOOKUP($E$5,勘定科目!$F$1:$H$2,2,0),0)="","",VLOOKUP($B540,勘定科目!$A:$E,2,0)),"")</f>
        <v/>
      </c>
      <c r="D540" s="290" t="str">
        <f>IF(C540="","",VLOOKUP($B540,勘定科目!$A:$E,4,0))</f>
        <v/>
      </c>
      <c r="E540" s="303"/>
      <c r="F540" s="229"/>
      <c r="G540" s="230"/>
      <c r="H540" s="230"/>
      <c r="I540" s="230"/>
      <c r="J540" s="230"/>
      <c r="K540" s="230"/>
      <c r="L540" s="230"/>
      <c r="M540" s="230"/>
      <c r="N540" s="230"/>
      <c r="O540" s="230"/>
      <c r="P540" s="230"/>
      <c r="Q540" s="230"/>
      <c r="R540" s="216"/>
      <c r="S540" s="193"/>
      <c r="T540" s="151"/>
      <c r="U540" s="192"/>
      <c r="V540" s="160"/>
      <c r="W540" s="160"/>
      <c r="BA540"/>
      <c r="BB540"/>
    </row>
    <row r="541" spans="1:54" s="149" customFormat="1" ht="13.5">
      <c r="A541" s="146"/>
      <c r="B541" s="263"/>
      <c r="C541" s="273" t="str">
        <f>IFERROR(IF(VLOOKUP($B541,勘定科目!$A:$H,HLOOKUP($E$5,勘定科目!$F$1:$H$2,2,0),0)="","",VLOOKUP($B541,勘定科目!$A:$E,2,0)),"")</f>
        <v/>
      </c>
      <c r="D541" s="290" t="str">
        <f>IF(C541="","",VLOOKUP($B541,勘定科目!$A:$E,4,0))</f>
        <v/>
      </c>
      <c r="E541" s="303"/>
      <c r="F541" s="229"/>
      <c r="G541" s="230"/>
      <c r="H541" s="230"/>
      <c r="I541" s="230"/>
      <c r="J541" s="230"/>
      <c r="K541" s="230"/>
      <c r="L541" s="230"/>
      <c r="M541" s="230"/>
      <c r="N541" s="230"/>
      <c r="O541" s="230"/>
      <c r="P541" s="230"/>
      <c r="Q541" s="230"/>
      <c r="R541" s="216"/>
      <c r="S541" s="193"/>
      <c r="T541" s="151"/>
      <c r="U541" s="192"/>
      <c r="V541" s="160"/>
      <c r="W541" s="160"/>
      <c r="BA541"/>
      <c r="BB541"/>
    </row>
    <row r="542" spans="1:54" s="149" customFormat="1" ht="13.5">
      <c r="A542" s="146"/>
      <c r="B542" s="263"/>
      <c r="C542" s="273" t="str">
        <f>IFERROR(IF(VLOOKUP($B542,勘定科目!$A:$H,HLOOKUP($E$5,勘定科目!$F$1:$H$2,2,0),0)="","",VLOOKUP($B542,勘定科目!$A:$E,2,0)),"")</f>
        <v/>
      </c>
      <c r="D542" s="290" t="str">
        <f>IF(C542="","",VLOOKUP($B542,勘定科目!$A:$E,4,0))</f>
        <v/>
      </c>
      <c r="E542" s="303"/>
      <c r="F542" s="229"/>
      <c r="G542" s="230"/>
      <c r="H542" s="230"/>
      <c r="I542" s="230"/>
      <c r="J542" s="230"/>
      <c r="K542" s="230"/>
      <c r="L542" s="230"/>
      <c r="M542" s="230"/>
      <c r="N542" s="230"/>
      <c r="O542" s="230"/>
      <c r="P542" s="230"/>
      <c r="Q542" s="230"/>
      <c r="R542" s="216"/>
      <c r="S542" s="193"/>
      <c r="T542" s="151"/>
      <c r="U542" s="192"/>
      <c r="V542" s="160"/>
      <c r="W542" s="160"/>
      <c r="BA542"/>
      <c r="BB542"/>
    </row>
    <row r="543" spans="1:54" s="149" customFormat="1" ht="13.5">
      <c r="A543" s="146"/>
      <c r="B543" s="263"/>
      <c r="C543" s="273" t="str">
        <f>IFERROR(IF(VLOOKUP($B543,勘定科目!$A:$H,HLOOKUP($E$5,勘定科目!$F$1:$H$2,2,0),0)="","",VLOOKUP($B543,勘定科目!$A:$E,2,0)),"")</f>
        <v/>
      </c>
      <c r="D543" s="290" t="str">
        <f>IF(C543="","",VLOOKUP($B543,勘定科目!$A:$E,4,0))</f>
        <v/>
      </c>
      <c r="E543" s="303"/>
      <c r="F543" s="229"/>
      <c r="G543" s="230"/>
      <c r="H543" s="230"/>
      <c r="I543" s="230"/>
      <c r="J543" s="230"/>
      <c r="K543" s="230"/>
      <c r="L543" s="230"/>
      <c r="M543" s="230"/>
      <c r="N543" s="230"/>
      <c r="O543" s="230"/>
      <c r="P543" s="230"/>
      <c r="Q543" s="230"/>
      <c r="R543" s="216"/>
      <c r="S543" s="193"/>
      <c r="T543" s="151"/>
      <c r="U543" s="192"/>
      <c r="V543" s="160"/>
      <c r="W543" s="160"/>
      <c r="BA543"/>
      <c r="BB543"/>
    </row>
    <row r="544" spans="1:54" s="149" customFormat="1" ht="13.5">
      <c r="A544" s="146"/>
      <c r="B544" s="263"/>
      <c r="C544" s="273" t="str">
        <f>IFERROR(IF(VLOOKUP($B544,勘定科目!$A:$H,HLOOKUP($E$5,勘定科目!$F$1:$H$2,2,0),0)="","",VLOOKUP($B544,勘定科目!$A:$E,2,0)),"")</f>
        <v/>
      </c>
      <c r="D544" s="290" t="str">
        <f>IF(C544="","",VLOOKUP($B544,勘定科目!$A:$E,4,0))</f>
        <v/>
      </c>
      <c r="E544" s="303"/>
      <c r="F544" s="229"/>
      <c r="G544" s="230"/>
      <c r="H544" s="230"/>
      <c r="I544" s="230"/>
      <c r="J544" s="230"/>
      <c r="K544" s="230"/>
      <c r="L544" s="230"/>
      <c r="M544" s="230"/>
      <c r="N544" s="230"/>
      <c r="O544" s="230"/>
      <c r="P544" s="230"/>
      <c r="Q544" s="230"/>
      <c r="R544" s="216"/>
      <c r="S544" s="193"/>
      <c r="T544" s="151"/>
      <c r="U544" s="192"/>
      <c r="V544" s="160"/>
      <c r="W544" s="160"/>
      <c r="BA544"/>
      <c r="BB544"/>
    </row>
    <row r="545" spans="1:54" s="149" customFormat="1" ht="13.5">
      <c r="A545" s="146"/>
      <c r="B545" s="263"/>
      <c r="C545" s="273" t="str">
        <f>IFERROR(IF(VLOOKUP($B545,勘定科目!$A:$H,HLOOKUP($E$5,勘定科目!$F$1:$H$2,2,0),0)="","",VLOOKUP($B545,勘定科目!$A:$E,2,0)),"")</f>
        <v/>
      </c>
      <c r="D545" s="290" t="str">
        <f>IF(C545="","",VLOOKUP($B545,勘定科目!$A:$E,4,0))</f>
        <v/>
      </c>
      <c r="E545" s="303"/>
      <c r="F545" s="229"/>
      <c r="G545" s="230"/>
      <c r="H545" s="230"/>
      <c r="I545" s="230"/>
      <c r="J545" s="230"/>
      <c r="K545" s="230"/>
      <c r="L545" s="230"/>
      <c r="M545" s="230"/>
      <c r="N545" s="230"/>
      <c r="O545" s="230"/>
      <c r="P545" s="230"/>
      <c r="Q545" s="230"/>
      <c r="R545" s="216"/>
      <c r="S545" s="193"/>
      <c r="T545" s="151"/>
      <c r="U545" s="192"/>
      <c r="V545" s="160"/>
      <c r="W545" s="160"/>
      <c r="BA545"/>
      <c r="BB545"/>
    </row>
    <row r="546" spans="1:54" s="149" customFormat="1" ht="13.5">
      <c r="A546" s="146"/>
      <c r="B546" s="263"/>
      <c r="C546" s="273" t="str">
        <f>IFERROR(IF(VLOOKUP($B546,勘定科目!$A:$H,HLOOKUP($E$5,勘定科目!$F$1:$H$2,2,0),0)="","",VLOOKUP($B546,勘定科目!$A:$E,2,0)),"")</f>
        <v/>
      </c>
      <c r="D546" s="290" t="str">
        <f>IF(C546="","",VLOOKUP($B546,勘定科目!$A:$E,4,0))</f>
        <v/>
      </c>
      <c r="E546" s="303"/>
      <c r="F546" s="229"/>
      <c r="G546" s="230"/>
      <c r="H546" s="230"/>
      <c r="I546" s="230"/>
      <c r="J546" s="230"/>
      <c r="K546" s="230"/>
      <c r="L546" s="230"/>
      <c r="M546" s="230"/>
      <c r="N546" s="230"/>
      <c r="O546" s="230"/>
      <c r="P546" s="230"/>
      <c r="Q546" s="230"/>
      <c r="R546" s="216"/>
      <c r="S546" s="193"/>
      <c r="T546" s="151"/>
      <c r="U546" s="192"/>
      <c r="V546" s="160"/>
      <c r="W546" s="160"/>
      <c r="BA546"/>
      <c r="BB546"/>
    </row>
    <row r="547" spans="1:54" s="149" customFormat="1" ht="13.5">
      <c r="A547" s="146"/>
      <c r="B547" s="263"/>
      <c r="C547" s="273" t="str">
        <f>IFERROR(IF(VLOOKUP($B547,勘定科目!$A:$H,HLOOKUP($E$5,勘定科目!$F$1:$H$2,2,0),0)="","",VLOOKUP($B547,勘定科目!$A:$E,2,0)),"")</f>
        <v/>
      </c>
      <c r="D547" s="290" t="str">
        <f>IF(C547="","",VLOOKUP($B547,勘定科目!$A:$E,4,0))</f>
        <v/>
      </c>
      <c r="E547" s="303"/>
      <c r="F547" s="229"/>
      <c r="G547" s="230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16"/>
      <c r="S547" s="193"/>
      <c r="T547" s="151"/>
      <c r="U547" s="192"/>
      <c r="V547" s="160"/>
      <c r="W547" s="160"/>
      <c r="BA547"/>
      <c r="BB547"/>
    </row>
    <row r="548" spans="1:54" s="149" customFormat="1" ht="13.5">
      <c r="A548" s="146"/>
      <c r="B548" s="263"/>
      <c r="C548" s="273" t="str">
        <f>IFERROR(IF(VLOOKUP($B548,勘定科目!$A:$H,HLOOKUP($E$5,勘定科目!$F$1:$H$2,2,0),0)="","",VLOOKUP($B548,勘定科目!$A:$E,2,0)),"")</f>
        <v/>
      </c>
      <c r="D548" s="290" t="str">
        <f>IF(C548="","",VLOOKUP($B548,勘定科目!$A:$E,4,0))</f>
        <v/>
      </c>
      <c r="E548" s="303"/>
      <c r="F548" s="229"/>
      <c r="G548" s="230"/>
      <c r="H548" s="230"/>
      <c r="I548" s="230"/>
      <c r="J548" s="230"/>
      <c r="K548" s="230"/>
      <c r="L548" s="230"/>
      <c r="M548" s="230"/>
      <c r="N548" s="230"/>
      <c r="O548" s="230"/>
      <c r="P548" s="230"/>
      <c r="Q548" s="230"/>
      <c r="R548" s="216"/>
      <c r="S548" s="193"/>
      <c r="T548" s="151"/>
      <c r="U548" s="192"/>
      <c r="V548" s="160"/>
      <c r="W548" s="160"/>
      <c r="BA548"/>
      <c r="BB548"/>
    </row>
    <row r="549" spans="1:54" s="149" customFormat="1" ht="13.5">
      <c r="A549" s="146"/>
      <c r="B549" s="263"/>
      <c r="C549" s="273" t="str">
        <f>IFERROR(IF(VLOOKUP($B549,勘定科目!$A:$H,HLOOKUP($E$5,勘定科目!$F$1:$H$2,2,0),0)="","",VLOOKUP($B549,勘定科目!$A:$E,2,0)),"")</f>
        <v/>
      </c>
      <c r="D549" s="290" t="str">
        <f>IF(C549="","",VLOOKUP($B549,勘定科目!$A:$E,4,0))</f>
        <v/>
      </c>
      <c r="E549" s="303"/>
      <c r="F549" s="229"/>
      <c r="G549" s="230"/>
      <c r="H549" s="230"/>
      <c r="I549" s="230"/>
      <c r="J549" s="230"/>
      <c r="K549" s="230"/>
      <c r="L549" s="230"/>
      <c r="M549" s="230"/>
      <c r="N549" s="230"/>
      <c r="O549" s="230"/>
      <c r="P549" s="230"/>
      <c r="Q549" s="230"/>
      <c r="R549" s="216"/>
      <c r="S549" s="193"/>
      <c r="T549" s="151"/>
      <c r="U549" s="192"/>
      <c r="V549" s="160"/>
      <c r="W549" s="160"/>
      <c r="BA549"/>
      <c r="BB549"/>
    </row>
    <row r="550" spans="1:54" s="149" customFormat="1" ht="13.5">
      <c r="A550" s="146"/>
      <c r="B550" s="263"/>
      <c r="C550" s="273" t="str">
        <f>IFERROR(IF(VLOOKUP($B550,勘定科目!$A:$H,HLOOKUP($E$5,勘定科目!$F$1:$H$2,2,0),0)="","",VLOOKUP($B550,勘定科目!$A:$E,2,0)),"")</f>
        <v/>
      </c>
      <c r="D550" s="290" t="str">
        <f>IF(C550="","",VLOOKUP($B550,勘定科目!$A:$E,4,0))</f>
        <v/>
      </c>
      <c r="E550" s="303"/>
      <c r="F550" s="229"/>
      <c r="G550" s="230"/>
      <c r="H550" s="230"/>
      <c r="I550" s="230"/>
      <c r="J550" s="230"/>
      <c r="K550" s="230"/>
      <c r="L550" s="230"/>
      <c r="M550" s="230"/>
      <c r="N550" s="230"/>
      <c r="O550" s="230"/>
      <c r="P550" s="230"/>
      <c r="Q550" s="230"/>
      <c r="R550" s="216"/>
      <c r="S550" s="193"/>
      <c r="T550" s="151"/>
      <c r="U550" s="192"/>
      <c r="V550" s="160"/>
      <c r="W550" s="160"/>
      <c r="BA550"/>
      <c r="BB550"/>
    </row>
    <row r="551" spans="1:54" s="149" customFormat="1" ht="13.5">
      <c r="A551" s="146"/>
      <c r="B551" s="263"/>
      <c r="C551" s="273" t="str">
        <f>IFERROR(IF(VLOOKUP($B551,勘定科目!$A:$H,HLOOKUP($E$5,勘定科目!$F$1:$H$2,2,0),0)="","",VLOOKUP($B551,勘定科目!$A:$E,2,0)),"")</f>
        <v/>
      </c>
      <c r="D551" s="290" t="str">
        <f>IF(C551="","",VLOOKUP($B551,勘定科目!$A:$E,4,0))</f>
        <v/>
      </c>
      <c r="E551" s="303"/>
      <c r="F551" s="229"/>
      <c r="G551" s="230"/>
      <c r="H551" s="230"/>
      <c r="I551" s="230"/>
      <c r="J551" s="230"/>
      <c r="K551" s="230"/>
      <c r="L551" s="230"/>
      <c r="M551" s="230"/>
      <c r="N551" s="230"/>
      <c r="O551" s="230"/>
      <c r="P551" s="230"/>
      <c r="Q551" s="230"/>
      <c r="R551" s="216"/>
      <c r="S551" s="193"/>
      <c r="T551" s="151"/>
      <c r="U551" s="192"/>
      <c r="V551" s="160"/>
      <c r="W551" s="160"/>
      <c r="BA551"/>
      <c r="BB551"/>
    </row>
    <row r="552" spans="1:54" s="149" customFormat="1" ht="13.5">
      <c r="A552" s="146"/>
      <c r="B552" s="263"/>
      <c r="C552" s="273" t="str">
        <f>IFERROR(IF(VLOOKUP($B552,勘定科目!$A:$H,HLOOKUP($E$5,勘定科目!$F$1:$H$2,2,0),0)="","",VLOOKUP($B552,勘定科目!$A:$E,2,0)),"")</f>
        <v/>
      </c>
      <c r="D552" s="290" t="str">
        <f>IF(C552="","",VLOOKUP($B552,勘定科目!$A:$E,4,0))</f>
        <v/>
      </c>
      <c r="E552" s="303"/>
      <c r="F552" s="229"/>
      <c r="G552" s="230"/>
      <c r="H552" s="230"/>
      <c r="I552" s="230"/>
      <c r="J552" s="230"/>
      <c r="K552" s="230"/>
      <c r="L552" s="230"/>
      <c r="M552" s="230"/>
      <c r="N552" s="230"/>
      <c r="O552" s="230"/>
      <c r="P552" s="230"/>
      <c r="Q552" s="230"/>
      <c r="R552" s="216"/>
      <c r="S552" s="193"/>
      <c r="T552" s="151"/>
      <c r="U552" s="192"/>
      <c r="V552" s="160"/>
      <c r="W552" s="160"/>
      <c r="BA552"/>
      <c r="BB552"/>
    </row>
    <row r="553" spans="1:54" s="149" customFormat="1" ht="13.5">
      <c r="A553" s="146"/>
      <c r="B553" s="263"/>
      <c r="C553" s="273" t="str">
        <f>IFERROR(IF(VLOOKUP($B553,勘定科目!$A:$H,HLOOKUP($E$5,勘定科目!$F$1:$H$2,2,0),0)="","",VLOOKUP($B553,勘定科目!$A:$E,2,0)),"")</f>
        <v/>
      </c>
      <c r="D553" s="290" t="str">
        <f>IF(C553="","",VLOOKUP($B553,勘定科目!$A:$E,4,0))</f>
        <v/>
      </c>
      <c r="E553" s="303"/>
      <c r="F553" s="229"/>
      <c r="G553" s="230"/>
      <c r="H553" s="230"/>
      <c r="I553" s="230"/>
      <c r="J553" s="230"/>
      <c r="K553" s="230"/>
      <c r="L553" s="230"/>
      <c r="M553" s="230"/>
      <c r="N553" s="230"/>
      <c r="O553" s="230"/>
      <c r="P553" s="230"/>
      <c r="Q553" s="230"/>
      <c r="R553" s="216"/>
      <c r="S553" s="193"/>
      <c r="T553" s="151"/>
      <c r="U553" s="192"/>
      <c r="V553" s="160"/>
      <c r="W553" s="160"/>
      <c r="BA553"/>
      <c r="BB553"/>
    </row>
    <row r="554" spans="1:54" s="149" customFormat="1" ht="13.5">
      <c r="A554" s="146"/>
      <c r="B554" s="263"/>
      <c r="C554" s="273" t="str">
        <f>IFERROR(IF(VLOOKUP($B554,勘定科目!$A:$H,HLOOKUP($E$5,勘定科目!$F$1:$H$2,2,0),0)="","",VLOOKUP($B554,勘定科目!$A:$E,2,0)),"")</f>
        <v/>
      </c>
      <c r="D554" s="290" t="str">
        <f>IF(C554="","",VLOOKUP($B554,勘定科目!$A:$E,4,0))</f>
        <v/>
      </c>
      <c r="E554" s="303"/>
      <c r="F554" s="229"/>
      <c r="G554" s="230"/>
      <c r="H554" s="230"/>
      <c r="I554" s="230"/>
      <c r="J554" s="230"/>
      <c r="K554" s="230"/>
      <c r="L554" s="230"/>
      <c r="M554" s="230"/>
      <c r="N554" s="230"/>
      <c r="O554" s="230"/>
      <c r="P554" s="230"/>
      <c r="Q554" s="230"/>
      <c r="R554" s="216"/>
      <c r="S554" s="193"/>
      <c r="T554" s="151"/>
      <c r="U554" s="192"/>
      <c r="V554" s="160"/>
      <c r="W554" s="160"/>
      <c r="BA554"/>
      <c r="BB554"/>
    </row>
    <row r="555" spans="1:54" s="149" customFormat="1" ht="13.5">
      <c r="A555" s="146"/>
      <c r="B555" s="263"/>
      <c r="C555" s="273" t="str">
        <f>IFERROR(IF(VLOOKUP($B555,勘定科目!$A:$H,HLOOKUP($E$5,勘定科目!$F$1:$H$2,2,0),0)="","",VLOOKUP($B555,勘定科目!$A:$E,2,0)),"")</f>
        <v/>
      </c>
      <c r="D555" s="290" t="str">
        <f>IF(C555="","",VLOOKUP($B555,勘定科目!$A:$E,4,0))</f>
        <v/>
      </c>
      <c r="E555" s="303"/>
      <c r="F555" s="229"/>
      <c r="G555" s="230"/>
      <c r="H555" s="230"/>
      <c r="I555" s="230"/>
      <c r="J555" s="230"/>
      <c r="K555" s="230"/>
      <c r="L555" s="230"/>
      <c r="M555" s="230"/>
      <c r="N555" s="230"/>
      <c r="O555" s="230"/>
      <c r="P555" s="230"/>
      <c r="Q555" s="230"/>
      <c r="R555" s="216"/>
      <c r="S555" s="193"/>
      <c r="T555" s="151"/>
      <c r="U555" s="192"/>
      <c r="V555" s="160"/>
      <c r="W555" s="160"/>
      <c r="BA555"/>
      <c r="BB555"/>
    </row>
    <row r="556" spans="1:54" s="149" customFormat="1" ht="13.5">
      <c r="A556" s="146"/>
      <c r="B556" s="263"/>
      <c r="C556" s="273" t="str">
        <f>IFERROR(IF(VLOOKUP($B556,勘定科目!$A:$H,HLOOKUP($E$5,勘定科目!$F$1:$H$2,2,0),0)="","",VLOOKUP($B556,勘定科目!$A:$E,2,0)),"")</f>
        <v/>
      </c>
      <c r="D556" s="290" t="str">
        <f>IF(C556="","",VLOOKUP($B556,勘定科目!$A:$E,4,0))</f>
        <v/>
      </c>
      <c r="E556" s="303"/>
      <c r="F556" s="229"/>
      <c r="G556" s="230"/>
      <c r="H556" s="230"/>
      <c r="I556" s="230"/>
      <c r="J556" s="230"/>
      <c r="K556" s="230"/>
      <c r="L556" s="230"/>
      <c r="M556" s="230"/>
      <c r="N556" s="230"/>
      <c r="O556" s="230"/>
      <c r="P556" s="230"/>
      <c r="Q556" s="230"/>
      <c r="R556" s="216"/>
      <c r="S556" s="193"/>
      <c r="T556" s="151"/>
      <c r="U556" s="192"/>
      <c r="V556" s="160"/>
      <c r="W556" s="160"/>
      <c r="BA556"/>
      <c r="BB556"/>
    </row>
    <row r="557" spans="1:54" s="149" customFormat="1" ht="13.5">
      <c r="A557" s="146"/>
      <c r="B557" s="263"/>
      <c r="C557" s="273" t="str">
        <f>IFERROR(IF(VLOOKUP($B557,勘定科目!$A:$H,HLOOKUP($E$5,勘定科目!$F$1:$H$2,2,0),0)="","",VLOOKUP($B557,勘定科目!$A:$E,2,0)),"")</f>
        <v/>
      </c>
      <c r="D557" s="290" t="str">
        <f>IF(C557="","",VLOOKUP($B557,勘定科目!$A:$E,4,0))</f>
        <v/>
      </c>
      <c r="E557" s="303"/>
      <c r="F557" s="229"/>
      <c r="G557" s="230"/>
      <c r="H557" s="230"/>
      <c r="I557" s="230"/>
      <c r="J557" s="230"/>
      <c r="K557" s="230"/>
      <c r="L557" s="230"/>
      <c r="M557" s="230"/>
      <c r="N557" s="230"/>
      <c r="O557" s="230"/>
      <c r="P557" s="230"/>
      <c r="Q557" s="230"/>
      <c r="R557" s="216"/>
      <c r="S557" s="193"/>
      <c r="T557" s="151"/>
      <c r="U557" s="192"/>
      <c r="V557" s="160"/>
      <c r="W557" s="160"/>
      <c r="BA557"/>
      <c r="BB557"/>
    </row>
    <row r="558" spans="1:54" s="149" customFormat="1" ht="13.5">
      <c r="A558" s="146"/>
      <c r="B558" s="263"/>
      <c r="C558" s="273" t="str">
        <f>IFERROR(IF(VLOOKUP($B558,勘定科目!$A:$H,HLOOKUP($E$5,勘定科目!$F$1:$H$2,2,0),0)="","",VLOOKUP($B558,勘定科目!$A:$E,2,0)),"")</f>
        <v/>
      </c>
      <c r="D558" s="290" t="str">
        <f>IF(C558="","",VLOOKUP($B558,勘定科目!$A:$E,4,0))</f>
        <v/>
      </c>
      <c r="E558" s="303"/>
      <c r="F558" s="229"/>
      <c r="G558" s="230"/>
      <c r="H558" s="230"/>
      <c r="I558" s="230"/>
      <c r="J558" s="230"/>
      <c r="K558" s="230"/>
      <c r="L558" s="230"/>
      <c r="M558" s="230"/>
      <c r="N558" s="230"/>
      <c r="O558" s="230"/>
      <c r="P558" s="230"/>
      <c r="Q558" s="230"/>
      <c r="R558" s="216"/>
      <c r="S558" s="193"/>
      <c r="T558" s="151"/>
      <c r="U558" s="192"/>
      <c r="V558" s="160"/>
      <c r="W558" s="160"/>
      <c r="BA558"/>
      <c r="BB558"/>
    </row>
    <row r="559" spans="1:54" s="149" customFormat="1" ht="13.5">
      <c r="A559" s="146"/>
      <c r="B559" s="263"/>
      <c r="C559" s="273" t="str">
        <f>IFERROR(IF(VLOOKUP($B559,勘定科目!$A:$H,HLOOKUP($E$5,勘定科目!$F$1:$H$2,2,0),0)="","",VLOOKUP($B559,勘定科目!$A:$E,2,0)),"")</f>
        <v/>
      </c>
      <c r="D559" s="290" t="str">
        <f>IF(C559="","",VLOOKUP($B559,勘定科目!$A:$E,4,0))</f>
        <v/>
      </c>
      <c r="E559" s="303"/>
      <c r="F559" s="229"/>
      <c r="G559" s="230"/>
      <c r="H559" s="230"/>
      <c r="I559" s="230"/>
      <c r="J559" s="230"/>
      <c r="K559" s="230"/>
      <c r="L559" s="230"/>
      <c r="M559" s="230"/>
      <c r="N559" s="230"/>
      <c r="O559" s="230"/>
      <c r="P559" s="230"/>
      <c r="Q559" s="230"/>
      <c r="R559" s="216"/>
      <c r="S559" s="193"/>
      <c r="T559" s="151"/>
      <c r="U559" s="192"/>
      <c r="V559" s="160"/>
      <c r="W559" s="160"/>
      <c r="BA559"/>
      <c r="BB559"/>
    </row>
    <row r="560" spans="1:54" s="149" customFormat="1" ht="13.5">
      <c r="A560" s="146"/>
      <c r="B560" s="263"/>
      <c r="C560" s="273" t="str">
        <f>IFERROR(IF(VLOOKUP($B560,勘定科目!$A:$H,HLOOKUP($E$5,勘定科目!$F$1:$H$2,2,0),0)="","",VLOOKUP($B560,勘定科目!$A:$E,2,0)),"")</f>
        <v/>
      </c>
      <c r="D560" s="290" t="str">
        <f>IF(C560="","",VLOOKUP($B560,勘定科目!$A:$E,4,0))</f>
        <v/>
      </c>
      <c r="E560" s="303"/>
      <c r="F560" s="229"/>
      <c r="G560" s="230"/>
      <c r="H560" s="230"/>
      <c r="I560" s="230"/>
      <c r="J560" s="230"/>
      <c r="K560" s="230"/>
      <c r="L560" s="230"/>
      <c r="M560" s="230"/>
      <c r="N560" s="230"/>
      <c r="O560" s="230"/>
      <c r="P560" s="230"/>
      <c r="Q560" s="230"/>
      <c r="R560" s="216"/>
      <c r="S560" s="193"/>
      <c r="T560" s="151"/>
      <c r="U560" s="192"/>
      <c r="V560" s="160"/>
      <c r="W560" s="160"/>
      <c r="BA560"/>
      <c r="BB560"/>
    </row>
    <row r="561" spans="1:54" s="149" customFormat="1" ht="13.5">
      <c r="A561" s="146"/>
      <c r="B561" s="263"/>
      <c r="C561" s="273" t="str">
        <f>IFERROR(IF(VLOOKUP($B561,勘定科目!$A:$H,HLOOKUP($E$5,勘定科目!$F$1:$H$2,2,0),0)="","",VLOOKUP($B561,勘定科目!$A:$E,2,0)),"")</f>
        <v/>
      </c>
      <c r="D561" s="290" t="str">
        <f>IF(C561="","",VLOOKUP($B561,勘定科目!$A:$E,4,0))</f>
        <v/>
      </c>
      <c r="E561" s="303"/>
      <c r="F561" s="229"/>
      <c r="G561" s="230"/>
      <c r="H561" s="230"/>
      <c r="I561" s="230"/>
      <c r="J561" s="230"/>
      <c r="K561" s="230"/>
      <c r="L561" s="230"/>
      <c r="M561" s="230"/>
      <c r="N561" s="230"/>
      <c r="O561" s="230"/>
      <c r="P561" s="230"/>
      <c r="Q561" s="230"/>
      <c r="R561" s="216"/>
      <c r="S561" s="193"/>
      <c r="T561" s="151"/>
      <c r="U561" s="192"/>
      <c r="V561" s="160"/>
      <c r="W561" s="160"/>
      <c r="BA561"/>
      <c r="BB561"/>
    </row>
    <row r="562" spans="1:54" s="149" customFormat="1" ht="13.5">
      <c r="A562" s="146"/>
      <c r="B562" s="263"/>
      <c r="C562" s="273" t="str">
        <f>IFERROR(IF(VLOOKUP($B562,勘定科目!$A:$H,HLOOKUP($E$5,勘定科目!$F$1:$H$2,2,0),0)="","",VLOOKUP($B562,勘定科目!$A:$E,2,0)),"")</f>
        <v/>
      </c>
      <c r="D562" s="290" t="str">
        <f>IF(C562="","",VLOOKUP($B562,勘定科目!$A:$E,4,0))</f>
        <v/>
      </c>
      <c r="E562" s="303"/>
      <c r="F562" s="229"/>
      <c r="G562" s="230"/>
      <c r="H562" s="230"/>
      <c r="I562" s="230"/>
      <c r="J562" s="230"/>
      <c r="K562" s="230"/>
      <c r="L562" s="230"/>
      <c r="M562" s="230"/>
      <c r="N562" s="230"/>
      <c r="O562" s="230"/>
      <c r="P562" s="230"/>
      <c r="Q562" s="230"/>
      <c r="R562" s="216"/>
      <c r="S562" s="193"/>
      <c r="T562" s="151"/>
      <c r="U562" s="192"/>
      <c r="V562" s="160"/>
      <c r="W562" s="160"/>
      <c r="BA562"/>
      <c r="BB562"/>
    </row>
    <row r="563" spans="1:54" s="149" customFormat="1" ht="13.5">
      <c r="A563" s="146"/>
      <c r="B563" s="263"/>
      <c r="C563" s="273" t="str">
        <f>IFERROR(IF(VLOOKUP($B563,勘定科目!$A:$H,HLOOKUP($E$5,勘定科目!$F$1:$H$2,2,0),0)="","",VLOOKUP($B563,勘定科目!$A:$E,2,0)),"")</f>
        <v/>
      </c>
      <c r="D563" s="290" t="str">
        <f>IF(C563="","",VLOOKUP($B563,勘定科目!$A:$E,4,0))</f>
        <v/>
      </c>
      <c r="E563" s="303"/>
      <c r="F563" s="229"/>
      <c r="G563" s="230"/>
      <c r="H563" s="230"/>
      <c r="I563" s="230"/>
      <c r="J563" s="230"/>
      <c r="K563" s="230"/>
      <c r="L563" s="230"/>
      <c r="M563" s="230"/>
      <c r="N563" s="230"/>
      <c r="O563" s="230"/>
      <c r="P563" s="230"/>
      <c r="Q563" s="230"/>
      <c r="R563" s="216"/>
      <c r="S563" s="193"/>
      <c r="T563" s="151"/>
      <c r="U563" s="192"/>
      <c r="V563" s="160"/>
      <c r="W563" s="160"/>
      <c r="BA563"/>
      <c r="BB563"/>
    </row>
    <row r="564" spans="1:54" s="149" customFormat="1" ht="13.5">
      <c r="A564" s="146"/>
      <c r="B564" s="263"/>
      <c r="C564" s="273" t="str">
        <f>IFERROR(IF(VLOOKUP($B564,勘定科目!$A:$H,HLOOKUP($E$5,勘定科目!$F$1:$H$2,2,0),0)="","",VLOOKUP($B564,勘定科目!$A:$E,2,0)),"")</f>
        <v/>
      </c>
      <c r="D564" s="290" t="str">
        <f>IF(C564="","",VLOOKUP($B564,勘定科目!$A:$E,4,0))</f>
        <v/>
      </c>
      <c r="E564" s="303"/>
      <c r="F564" s="229"/>
      <c r="G564" s="230"/>
      <c r="H564" s="230"/>
      <c r="I564" s="230"/>
      <c r="J564" s="230"/>
      <c r="K564" s="230"/>
      <c r="L564" s="230"/>
      <c r="M564" s="230"/>
      <c r="N564" s="230"/>
      <c r="O564" s="230"/>
      <c r="P564" s="230"/>
      <c r="Q564" s="230"/>
      <c r="R564" s="216"/>
      <c r="S564" s="193"/>
      <c r="T564" s="151"/>
      <c r="U564" s="192"/>
      <c r="V564" s="160"/>
      <c r="W564" s="160"/>
      <c r="BA564"/>
      <c r="BB564"/>
    </row>
    <row r="565" spans="1:54" s="149" customFormat="1" ht="13.5">
      <c r="A565" s="146"/>
      <c r="B565" s="263"/>
      <c r="C565" s="273" t="str">
        <f>IFERROR(IF(VLOOKUP($B565,勘定科目!$A:$H,HLOOKUP($E$5,勘定科目!$F$1:$H$2,2,0),0)="","",VLOOKUP($B565,勘定科目!$A:$E,2,0)),"")</f>
        <v/>
      </c>
      <c r="D565" s="290" t="str">
        <f>IF(C565="","",VLOOKUP($B565,勘定科目!$A:$E,4,0))</f>
        <v/>
      </c>
      <c r="E565" s="303"/>
      <c r="F565" s="229"/>
      <c r="G565" s="230"/>
      <c r="H565" s="230"/>
      <c r="I565" s="230"/>
      <c r="J565" s="230"/>
      <c r="K565" s="230"/>
      <c r="L565" s="230"/>
      <c r="M565" s="230"/>
      <c r="N565" s="230"/>
      <c r="O565" s="230"/>
      <c r="P565" s="230"/>
      <c r="Q565" s="230"/>
      <c r="R565" s="216"/>
      <c r="S565" s="193"/>
      <c r="T565" s="151"/>
      <c r="U565" s="192"/>
      <c r="V565" s="160"/>
      <c r="W565" s="160"/>
      <c r="BA565"/>
      <c r="BB565"/>
    </row>
    <row r="566" spans="1:54" s="149" customFormat="1" ht="13.5">
      <c r="A566" s="146"/>
      <c r="B566" s="263"/>
      <c r="C566" s="273" t="str">
        <f>IFERROR(IF(VLOOKUP($B566,勘定科目!$A:$H,HLOOKUP($E$5,勘定科目!$F$1:$H$2,2,0),0)="","",VLOOKUP($B566,勘定科目!$A:$E,2,0)),"")</f>
        <v/>
      </c>
      <c r="D566" s="290" t="str">
        <f>IF(C566="","",VLOOKUP($B566,勘定科目!$A:$E,4,0))</f>
        <v/>
      </c>
      <c r="E566" s="303"/>
      <c r="F566" s="229"/>
      <c r="G566" s="230"/>
      <c r="H566" s="230"/>
      <c r="I566" s="230"/>
      <c r="J566" s="230"/>
      <c r="K566" s="230"/>
      <c r="L566" s="230"/>
      <c r="M566" s="230"/>
      <c r="N566" s="230"/>
      <c r="O566" s="230"/>
      <c r="P566" s="230"/>
      <c r="Q566" s="230"/>
      <c r="R566" s="216"/>
      <c r="S566" s="193"/>
      <c r="T566" s="151"/>
      <c r="U566" s="192"/>
      <c r="V566" s="160"/>
      <c r="W566" s="160"/>
      <c r="BA566"/>
      <c r="BB566"/>
    </row>
    <row r="567" spans="1:54" s="149" customFormat="1" ht="13.5">
      <c r="A567" s="146"/>
      <c r="B567" s="263"/>
      <c r="C567" s="273" t="str">
        <f>IFERROR(IF(VLOOKUP($B567,勘定科目!$A:$H,HLOOKUP($E$5,勘定科目!$F$1:$H$2,2,0),0)="","",VLOOKUP($B567,勘定科目!$A:$E,2,0)),"")</f>
        <v/>
      </c>
      <c r="D567" s="290" t="str">
        <f>IF(C567="","",VLOOKUP($B567,勘定科目!$A:$E,4,0))</f>
        <v/>
      </c>
      <c r="E567" s="303"/>
      <c r="F567" s="229"/>
      <c r="G567" s="230"/>
      <c r="H567" s="230"/>
      <c r="I567" s="230"/>
      <c r="J567" s="230"/>
      <c r="K567" s="230"/>
      <c r="L567" s="230"/>
      <c r="M567" s="230"/>
      <c r="N567" s="230"/>
      <c r="O567" s="230"/>
      <c r="P567" s="230"/>
      <c r="Q567" s="230"/>
      <c r="R567" s="216"/>
      <c r="S567" s="193"/>
      <c r="T567" s="151"/>
      <c r="U567" s="192"/>
      <c r="V567" s="160"/>
      <c r="W567" s="160"/>
      <c r="BA567"/>
      <c r="BB567"/>
    </row>
    <row r="568" spans="1:54" s="149" customFormat="1" ht="13.5">
      <c r="A568" s="146"/>
      <c r="B568" s="263"/>
      <c r="C568" s="273" t="str">
        <f>IFERROR(IF(VLOOKUP($B568,勘定科目!$A:$H,HLOOKUP($E$5,勘定科目!$F$1:$H$2,2,0),0)="","",VLOOKUP($B568,勘定科目!$A:$E,2,0)),"")</f>
        <v/>
      </c>
      <c r="D568" s="290" t="str">
        <f>IF(C568="","",VLOOKUP($B568,勘定科目!$A:$E,4,0))</f>
        <v/>
      </c>
      <c r="E568" s="303"/>
      <c r="F568" s="229"/>
      <c r="G568" s="230"/>
      <c r="H568" s="230"/>
      <c r="I568" s="230"/>
      <c r="J568" s="230"/>
      <c r="K568" s="230"/>
      <c r="L568" s="230"/>
      <c r="M568" s="230"/>
      <c r="N568" s="230"/>
      <c r="O568" s="230"/>
      <c r="P568" s="230"/>
      <c r="Q568" s="230"/>
      <c r="R568" s="216"/>
      <c r="S568" s="193"/>
      <c r="T568" s="151"/>
      <c r="U568" s="192"/>
      <c r="V568" s="160"/>
      <c r="W568" s="160"/>
      <c r="BA568"/>
      <c r="BB568"/>
    </row>
    <row r="569" spans="1:54" s="149" customFormat="1" ht="13.5">
      <c r="A569" s="146"/>
      <c r="B569" s="263"/>
      <c r="C569" s="273" t="str">
        <f>IFERROR(IF(VLOOKUP($B569,勘定科目!$A:$H,HLOOKUP($E$5,勘定科目!$F$1:$H$2,2,0),0)="","",VLOOKUP($B569,勘定科目!$A:$E,2,0)),"")</f>
        <v/>
      </c>
      <c r="D569" s="290" t="str">
        <f>IF(C569="","",VLOOKUP($B569,勘定科目!$A:$E,4,0))</f>
        <v/>
      </c>
      <c r="E569" s="303"/>
      <c r="F569" s="229"/>
      <c r="G569" s="230"/>
      <c r="H569" s="230"/>
      <c r="I569" s="230"/>
      <c r="J569" s="230"/>
      <c r="K569" s="230"/>
      <c r="L569" s="230"/>
      <c r="M569" s="230"/>
      <c r="N569" s="230"/>
      <c r="O569" s="230"/>
      <c r="P569" s="230"/>
      <c r="Q569" s="230"/>
      <c r="R569" s="216"/>
      <c r="S569" s="193"/>
      <c r="T569" s="151"/>
      <c r="U569" s="192"/>
      <c r="V569" s="160"/>
      <c r="W569" s="160"/>
      <c r="BA569"/>
      <c r="BB569"/>
    </row>
    <row r="570" spans="1:54" s="149" customFormat="1" ht="13.5">
      <c r="A570" s="146"/>
      <c r="B570" s="263"/>
      <c r="C570" s="273" t="str">
        <f>IFERROR(IF(VLOOKUP($B570,勘定科目!$A:$H,HLOOKUP($E$5,勘定科目!$F$1:$H$2,2,0),0)="","",VLOOKUP($B570,勘定科目!$A:$E,2,0)),"")</f>
        <v/>
      </c>
      <c r="D570" s="290" t="str">
        <f>IF(C570="","",VLOOKUP($B570,勘定科目!$A:$E,4,0))</f>
        <v/>
      </c>
      <c r="E570" s="303"/>
      <c r="F570" s="229"/>
      <c r="G570" s="230"/>
      <c r="H570" s="230"/>
      <c r="I570" s="230"/>
      <c r="J570" s="230"/>
      <c r="K570" s="230"/>
      <c r="L570" s="230"/>
      <c r="M570" s="230"/>
      <c r="N570" s="230"/>
      <c r="O570" s="230"/>
      <c r="P570" s="230"/>
      <c r="Q570" s="230"/>
      <c r="R570" s="216"/>
      <c r="S570" s="193"/>
      <c r="T570" s="151"/>
      <c r="U570" s="192"/>
      <c r="V570" s="160"/>
      <c r="W570" s="160"/>
      <c r="BA570"/>
      <c r="BB570"/>
    </row>
    <row r="571" spans="1:54" s="149" customFormat="1" ht="13.5">
      <c r="A571" s="146"/>
      <c r="B571" s="263"/>
      <c r="C571" s="273" t="str">
        <f>IFERROR(IF(VLOOKUP($B571,勘定科目!$A:$H,HLOOKUP($E$5,勘定科目!$F$1:$H$2,2,0),0)="","",VLOOKUP($B571,勘定科目!$A:$E,2,0)),"")</f>
        <v/>
      </c>
      <c r="D571" s="290" t="str">
        <f>IF(C571="","",VLOOKUP($B571,勘定科目!$A:$E,4,0))</f>
        <v/>
      </c>
      <c r="E571" s="303"/>
      <c r="F571" s="229"/>
      <c r="G571" s="230"/>
      <c r="H571" s="230"/>
      <c r="I571" s="230"/>
      <c r="J571" s="230"/>
      <c r="K571" s="230"/>
      <c r="L571" s="230"/>
      <c r="M571" s="230"/>
      <c r="N571" s="230"/>
      <c r="O571" s="230"/>
      <c r="P571" s="230"/>
      <c r="Q571" s="230"/>
      <c r="R571" s="216"/>
      <c r="S571" s="193"/>
      <c r="T571" s="151"/>
      <c r="U571" s="192"/>
      <c r="V571" s="160"/>
      <c r="W571" s="160"/>
      <c r="BA571"/>
      <c r="BB571"/>
    </row>
    <row r="572" spans="1:54" s="149" customFormat="1" ht="13.5">
      <c r="A572" s="146"/>
      <c r="B572" s="263"/>
      <c r="C572" s="273" t="str">
        <f>IFERROR(IF(VLOOKUP($B572,勘定科目!$A:$H,HLOOKUP($E$5,勘定科目!$F$1:$H$2,2,0),0)="","",VLOOKUP($B572,勘定科目!$A:$E,2,0)),"")</f>
        <v/>
      </c>
      <c r="D572" s="290" t="str">
        <f>IF(C572="","",VLOOKUP($B572,勘定科目!$A:$E,4,0))</f>
        <v/>
      </c>
      <c r="E572" s="303"/>
      <c r="F572" s="229"/>
      <c r="G572" s="230"/>
      <c r="H572" s="230"/>
      <c r="I572" s="230"/>
      <c r="J572" s="230"/>
      <c r="K572" s="230"/>
      <c r="L572" s="230"/>
      <c r="M572" s="230"/>
      <c r="N572" s="230"/>
      <c r="O572" s="230"/>
      <c r="P572" s="230"/>
      <c r="Q572" s="230"/>
      <c r="R572" s="216"/>
      <c r="S572" s="193"/>
      <c r="T572" s="151"/>
      <c r="U572" s="192"/>
      <c r="V572" s="160"/>
      <c r="W572" s="160"/>
      <c r="BA572"/>
      <c r="BB572"/>
    </row>
    <row r="573" spans="1:54" s="149" customFormat="1" ht="13.5">
      <c r="A573" s="146"/>
      <c r="B573" s="263"/>
      <c r="C573" s="273" t="str">
        <f>IFERROR(IF(VLOOKUP($B573,勘定科目!$A:$H,HLOOKUP($E$5,勘定科目!$F$1:$H$2,2,0),0)="","",VLOOKUP($B573,勘定科目!$A:$E,2,0)),"")</f>
        <v/>
      </c>
      <c r="D573" s="290" t="str">
        <f>IF(C573="","",VLOOKUP($B573,勘定科目!$A:$E,4,0))</f>
        <v/>
      </c>
      <c r="E573" s="303"/>
      <c r="F573" s="229"/>
      <c r="G573" s="230"/>
      <c r="H573" s="230"/>
      <c r="I573" s="230"/>
      <c r="J573" s="230"/>
      <c r="K573" s="230"/>
      <c r="L573" s="230"/>
      <c r="M573" s="230"/>
      <c r="N573" s="230"/>
      <c r="O573" s="230"/>
      <c r="P573" s="230"/>
      <c r="Q573" s="230"/>
      <c r="R573" s="216"/>
      <c r="S573" s="193"/>
      <c r="T573" s="151"/>
      <c r="U573" s="192"/>
      <c r="V573" s="160"/>
      <c r="W573" s="160"/>
      <c r="BA573"/>
      <c r="BB573"/>
    </row>
    <row r="574" spans="1:54" s="149" customFormat="1" ht="13.5">
      <c r="A574" s="146"/>
      <c r="B574" s="263"/>
      <c r="C574" s="273" t="str">
        <f>IFERROR(IF(VLOOKUP($B574,勘定科目!$A:$H,HLOOKUP($E$5,勘定科目!$F$1:$H$2,2,0),0)="","",VLOOKUP($B574,勘定科目!$A:$E,2,0)),"")</f>
        <v/>
      </c>
      <c r="D574" s="290" t="str">
        <f>IF(C574="","",VLOOKUP($B574,勘定科目!$A:$E,4,0))</f>
        <v/>
      </c>
      <c r="E574" s="303"/>
      <c r="F574" s="229"/>
      <c r="G574" s="230"/>
      <c r="H574" s="230"/>
      <c r="I574" s="230"/>
      <c r="J574" s="230"/>
      <c r="K574" s="230"/>
      <c r="L574" s="230"/>
      <c r="M574" s="230"/>
      <c r="N574" s="230"/>
      <c r="O574" s="230"/>
      <c r="P574" s="230"/>
      <c r="Q574" s="230"/>
      <c r="R574" s="216"/>
      <c r="S574" s="193"/>
      <c r="T574" s="151"/>
      <c r="U574" s="192"/>
      <c r="V574" s="160"/>
      <c r="W574" s="160"/>
      <c r="BA574"/>
      <c r="BB574"/>
    </row>
    <row r="575" spans="1:54" s="149" customFormat="1" ht="13.5">
      <c r="A575" s="146"/>
      <c r="B575" s="263"/>
      <c r="C575" s="273" t="str">
        <f>IFERROR(IF(VLOOKUP($B575,勘定科目!$A:$H,HLOOKUP($E$5,勘定科目!$F$1:$H$2,2,0),0)="","",VLOOKUP($B575,勘定科目!$A:$E,2,0)),"")</f>
        <v/>
      </c>
      <c r="D575" s="290" t="str">
        <f>IF(C575="","",VLOOKUP($B575,勘定科目!$A:$E,4,0))</f>
        <v/>
      </c>
      <c r="E575" s="303"/>
      <c r="F575" s="229"/>
      <c r="G575" s="230"/>
      <c r="H575" s="230"/>
      <c r="I575" s="230"/>
      <c r="J575" s="230"/>
      <c r="K575" s="230"/>
      <c r="L575" s="230"/>
      <c r="M575" s="230"/>
      <c r="N575" s="230"/>
      <c r="O575" s="230"/>
      <c r="P575" s="230"/>
      <c r="Q575" s="230"/>
      <c r="R575" s="216"/>
      <c r="S575" s="193"/>
      <c r="T575" s="151"/>
      <c r="U575" s="192"/>
      <c r="V575" s="160"/>
      <c r="W575" s="160"/>
      <c r="BA575"/>
      <c r="BB575"/>
    </row>
    <row r="576" spans="1:54" s="149" customFormat="1" ht="13.5">
      <c r="A576" s="146"/>
      <c r="B576" s="263"/>
      <c r="C576" s="273" t="str">
        <f>IFERROR(IF(VLOOKUP($B576,勘定科目!$A:$H,HLOOKUP($E$5,勘定科目!$F$1:$H$2,2,0),0)="","",VLOOKUP($B576,勘定科目!$A:$E,2,0)),"")</f>
        <v/>
      </c>
      <c r="D576" s="290" t="str">
        <f>IF(C576="","",VLOOKUP($B576,勘定科目!$A:$E,4,0))</f>
        <v/>
      </c>
      <c r="E576" s="303"/>
      <c r="F576" s="229"/>
      <c r="G576" s="230"/>
      <c r="H576" s="230"/>
      <c r="I576" s="230"/>
      <c r="J576" s="230"/>
      <c r="K576" s="230"/>
      <c r="L576" s="230"/>
      <c r="M576" s="230"/>
      <c r="N576" s="230"/>
      <c r="O576" s="230"/>
      <c r="P576" s="230"/>
      <c r="Q576" s="230"/>
      <c r="R576" s="216"/>
      <c r="S576" s="193"/>
      <c r="T576" s="151"/>
      <c r="U576" s="192"/>
      <c r="V576" s="160"/>
      <c r="W576" s="160"/>
      <c r="BA576"/>
      <c r="BB576"/>
    </row>
    <row r="577" spans="1:54" s="149" customFormat="1" ht="13.5">
      <c r="A577" s="146"/>
      <c r="B577" s="263"/>
      <c r="C577" s="273" t="str">
        <f>IFERROR(IF(VLOOKUP($B577,勘定科目!$A:$H,HLOOKUP($E$5,勘定科目!$F$1:$H$2,2,0),0)="","",VLOOKUP($B577,勘定科目!$A:$E,2,0)),"")</f>
        <v/>
      </c>
      <c r="D577" s="290" t="str">
        <f>IF(C577="","",VLOOKUP($B577,勘定科目!$A:$E,4,0))</f>
        <v/>
      </c>
      <c r="E577" s="303"/>
      <c r="F577" s="229"/>
      <c r="G577" s="230"/>
      <c r="H577" s="230"/>
      <c r="I577" s="230"/>
      <c r="J577" s="230"/>
      <c r="K577" s="230"/>
      <c r="L577" s="230"/>
      <c r="M577" s="230"/>
      <c r="N577" s="230"/>
      <c r="O577" s="230"/>
      <c r="P577" s="230"/>
      <c r="Q577" s="230"/>
      <c r="R577" s="216"/>
      <c r="S577" s="193"/>
      <c r="T577" s="151"/>
      <c r="U577" s="192"/>
      <c r="V577" s="160"/>
      <c r="W577" s="160"/>
      <c r="BA577"/>
      <c r="BB577"/>
    </row>
    <row r="578" spans="1:54" s="149" customFormat="1" ht="13.5">
      <c r="A578" s="146"/>
      <c r="B578" s="263"/>
      <c r="C578" s="273" t="str">
        <f>IFERROR(IF(VLOOKUP($B578,勘定科目!$A:$H,HLOOKUP($E$5,勘定科目!$F$1:$H$2,2,0),0)="","",VLOOKUP($B578,勘定科目!$A:$E,2,0)),"")</f>
        <v/>
      </c>
      <c r="D578" s="290" t="str">
        <f>IF(C578="","",VLOOKUP($B578,勘定科目!$A:$E,4,0))</f>
        <v/>
      </c>
      <c r="E578" s="303"/>
      <c r="F578" s="229"/>
      <c r="G578" s="230"/>
      <c r="H578" s="230"/>
      <c r="I578" s="230"/>
      <c r="J578" s="230"/>
      <c r="K578" s="230"/>
      <c r="L578" s="230"/>
      <c r="M578" s="230"/>
      <c r="N578" s="230"/>
      <c r="O578" s="230"/>
      <c r="P578" s="230"/>
      <c r="Q578" s="230"/>
      <c r="R578" s="216"/>
      <c r="S578" s="193"/>
      <c r="T578" s="151"/>
      <c r="U578" s="192"/>
      <c r="V578" s="160"/>
      <c r="W578" s="160"/>
      <c r="BA578"/>
      <c r="BB578"/>
    </row>
    <row r="579" spans="1:54" s="149" customFormat="1" ht="13.5">
      <c r="A579" s="146"/>
      <c r="B579" s="263"/>
      <c r="C579" s="273" t="str">
        <f>IFERROR(IF(VLOOKUP($B579,勘定科目!$A:$H,HLOOKUP($E$5,勘定科目!$F$1:$H$2,2,0),0)="","",VLOOKUP($B579,勘定科目!$A:$E,2,0)),"")</f>
        <v/>
      </c>
      <c r="D579" s="290" t="str">
        <f>IF(C579="","",VLOOKUP($B579,勘定科目!$A:$E,4,0))</f>
        <v/>
      </c>
      <c r="E579" s="303"/>
      <c r="F579" s="229"/>
      <c r="G579" s="230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16"/>
      <c r="S579" s="193"/>
      <c r="T579" s="151"/>
      <c r="U579" s="192"/>
      <c r="V579" s="160"/>
      <c r="W579" s="160"/>
      <c r="BA579"/>
      <c r="BB579"/>
    </row>
    <row r="580" spans="1:54" s="149" customFormat="1" ht="13.5">
      <c r="A580" s="146"/>
      <c r="B580" s="263"/>
      <c r="C580" s="273" t="str">
        <f>IFERROR(IF(VLOOKUP($B580,勘定科目!$A:$H,HLOOKUP($E$5,勘定科目!$F$1:$H$2,2,0),0)="","",VLOOKUP($B580,勘定科目!$A:$E,2,0)),"")</f>
        <v/>
      </c>
      <c r="D580" s="290" t="str">
        <f>IF(C580="","",VLOOKUP($B580,勘定科目!$A:$E,4,0))</f>
        <v/>
      </c>
      <c r="E580" s="303"/>
      <c r="F580" s="229"/>
      <c r="G580" s="230"/>
      <c r="H580" s="230"/>
      <c r="I580" s="230"/>
      <c r="J580" s="230"/>
      <c r="K580" s="230"/>
      <c r="L580" s="230"/>
      <c r="M580" s="230"/>
      <c r="N580" s="230"/>
      <c r="O580" s="230"/>
      <c r="P580" s="230"/>
      <c r="Q580" s="230"/>
      <c r="R580" s="216"/>
      <c r="S580" s="193"/>
      <c r="T580" s="151"/>
      <c r="U580" s="192"/>
      <c r="V580" s="160"/>
      <c r="W580" s="160"/>
      <c r="BA580"/>
      <c r="BB580"/>
    </row>
    <row r="581" spans="1:54" s="149" customFormat="1" ht="13.5">
      <c r="A581" s="146"/>
      <c r="B581" s="263"/>
      <c r="C581" s="273" t="str">
        <f>IFERROR(IF(VLOOKUP($B581,勘定科目!$A:$H,HLOOKUP($E$5,勘定科目!$F$1:$H$2,2,0),0)="","",VLOOKUP($B581,勘定科目!$A:$E,2,0)),"")</f>
        <v/>
      </c>
      <c r="D581" s="290" t="str">
        <f>IF(C581="","",VLOOKUP($B581,勘定科目!$A:$E,4,0))</f>
        <v/>
      </c>
      <c r="E581" s="303"/>
      <c r="F581" s="229"/>
      <c r="G581" s="230"/>
      <c r="H581" s="230"/>
      <c r="I581" s="230"/>
      <c r="J581" s="230"/>
      <c r="K581" s="230"/>
      <c r="L581" s="230"/>
      <c r="M581" s="230"/>
      <c r="N581" s="230"/>
      <c r="O581" s="230"/>
      <c r="P581" s="230"/>
      <c r="Q581" s="230"/>
      <c r="R581" s="216"/>
      <c r="S581" s="193"/>
      <c r="T581" s="151"/>
      <c r="U581" s="192"/>
      <c r="V581" s="160"/>
      <c r="W581" s="160"/>
      <c r="BA581"/>
      <c r="BB581"/>
    </row>
    <row r="582" spans="1:54" s="149" customFormat="1" ht="13.5">
      <c r="A582" s="146"/>
      <c r="B582" s="263"/>
      <c r="C582" s="273" t="str">
        <f>IFERROR(IF(VLOOKUP($B582,勘定科目!$A:$H,HLOOKUP($E$5,勘定科目!$F$1:$H$2,2,0),0)="","",VLOOKUP($B582,勘定科目!$A:$E,2,0)),"")</f>
        <v/>
      </c>
      <c r="D582" s="290" t="str">
        <f>IF(C582="","",VLOOKUP($B582,勘定科目!$A:$E,4,0))</f>
        <v/>
      </c>
      <c r="E582" s="303"/>
      <c r="F582" s="229"/>
      <c r="G582" s="230"/>
      <c r="H582" s="230"/>
      <c r="I582" s="230"/>
      <c r="J582" s="230"/>
      <c r="K582" s="230"/>
      <c r="L582" s="230"/>
      <c r="M582" s="230"/>
      <c r="N582" s="230"/>
      <c r="O582" s="230"/>
      <c r="P582" s="230"/>
      <c r="Q582" s="230"/>
      <c r="R582" s="216"/>
      <c r="S582" s="193"/>
      <c r="T582" s="151"/>
      <c r="U582" s="192"/>
      <c r="V582" s="160"/>
      <c r="W582" s="160"/>
      <c r="BA582"/>
      <c r="BB582"/>
    </row>
  </sheetData>
  <autoFilter ref="A7:U582" xr:uid="{FE6623DA-3E1A-4270-AF61-C1BA17953568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380:T381 T8:T373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2" customWidth="1"/>
    <col min="2" max="2" width="12.453125" style="42" customWidth="1"/>
    <col min="3" max="3" width="25.08984375" style="42" customWidth="1"/>
    <col min="4" max="4" width="37.08984375" style="42" customWidth="1"/>
    <col min="5" max="18" width="14.08984375" style="42" customWidth="1"/>
    <col min="19" max="19" width="12.90625" style="50" customWidth="1"/>
    <col min="20" max="16384" width="9" style="42"/>
  </cols>
  <sheetData>
    <row r="1" spans="2:19" ht="16.5">
      <c r="B1" s="46" t="s">
        <v>328</v>
      </c>
      <c r="D1" s="47" t="str">
        <f>'内訳ﾘｽﾄ(4～3月)'!C5</f>
        <v>施設課</v>
      </c>
      <c r="E1" s="171" t="s">
        <v>329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/>
      <c r="R1"/>
      <c r="S1" s="48"/>
    </row>
    <row r="2" spans="2:19">
      <c r="S2" s="48"/>
    </row>
    <row r="3" spans="2:19" s="181" customFormat="1" ht="26">
      <c r="B3" s="176" t="s">
        <v>330</v>
      </c>
      <c r="C3" s="176" t="s">
        <v>146</v>
      </c>
      <c r="D3" s="177" t="s">
        <v>147</v>
      </c>
      <c r="E3" s="178">
        <v>4</v>
      </c>
      <c r="F3" s="178">
        <v>5</v>
      </c>
      <c r="G3" s="178">
        <v>6</v>
      </c>
      <c r="H3" s="178">
        <v>7</v>
      </c>
      <c r="I3" s="178">
        <v>8</v>
      </c>
      <c r="J3" s="178">
        <v>9</v>
      </c>
      <c r="K3" s="178">
        <v>10</v>
      </c>
      <c r="L3" s="178">
        <v>11</v>
      </c>
      <c r="M3" s="178">
        <v>12</v>
      </c>
      <c r="N3" s="178">
        <v>1</v>
      </c>
      <c r="O3" s="178">
        <v>2</v>
      </c>
      <c r="P3" s="178">
        <v>3</v>
      </c>
      <c r="Q3" s="179" t="s">
        <v>642</v>
      </c>
      <c r="R3" s="182" t="s">
        <v>643</v>
      </c>
      <c r="S3" s="180" t="s">
        <v>417</v>
      </c>
    </row>
    <row r="4" spans="2:19">
      <c r="B4" s="170"/>
      <c r="C4" s="170"/>
      <c r="D4" s="58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5"/>
      <c r="R4" s="175">
        <f>SUM(E4:P4)</f>
        <v>0</v>
      </c>
      <c r="S4" s="168"/>
    </row>
    <row r="5" spans="2:19">
      <c r="B5" s="57"/>
      <c r="C5" s="57"/>
      <c r="D5" s="58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5"/>
      <c r="R5" s="175">
        <f t="shared" ref="R5:R50" si="0">SUM(E5:P5)</f>
        <v>0</v>
      </c>
      <c r="S5" s="168"/>
    </row>
    <row r="6" spans="2:19">
      <c r="B6" s="57"/>
      <c r="C6" s="57"/>
      <c r="D6" s="58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5"/>
      <c r="R6" s="175">
        <f t="shared" si="0"/>
        <v>0</v>
      </c>
      <c r="S6" s="168"/>
    </row>
    <row r="7" spans="2:19" ht="14">
      <c r="B7" s="57"/>
      <c r="C7" s="59"/>
      <c r="D7" s="58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5"/>
      <c r="R7" s="175">
        <f t="shared" si="0"/>
        <v>0</v>
      </c>
      <c r="S7" s="168"/>
    </row>
    <row r="8" spans="2:19">
      <c r="B8" s="57"/>
      <c r="C8" s="60"/>
      <c r="D8" s="57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5"/>
      <c r="R8" s="175">
        <f t="shared" si="0"/>
        <v>0</v>
      </c>
      <c r="S8" s="168"/>
    </row>
    <row r="9" spans="2:19">
      <c r="B9" s="57"/>
      <c r="C9" s="57"/>
      <c r="D9" s="57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5"/>
      <c r="R9" s="175">
        <f t="shared" si="0"/>
        <v>0</v>
      </c>
      <c r="S9" s="168"/>
    </row>
    <row r="10" spans="2:19">
      <c r="B10" s="57"/>
      <c r="C10" s="57"/>
      <c r="D10" s="57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5"/>
      <c r="R10" s="175">
        <f t="shared" si="0"/>
        <v>0</v>
      </c>
      <c r="S10" s="168"/>
    </row>
    <row r="11" spans="2:19">
      <c r="B11" s="57"/>
      <c r="C11" s="57"/>
      <c r="D11" s="57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5"/>
      <c r="R11" s="175">
        <f t="shared" si="0"/>
        <v>0</v>
      </c>
      <c r="S11" s="168"/>
    </row>
    <row r="12" spans="2:19">
      <c r="B12" s="57"/>
      <c r="C12" s="57"/>
      <c r="D12" s="57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5"/>
      <c r="R12" s="175">
        <f t="shared" si="0"/>
        <v>0</v>
      </c>
      <c r="S12" s="168"/>
    </row>
    <row r="13" spans="2:19">
      <c r="B13" s="57"/>
      <c r="C13" s="57"/>
      <c r="D13" s="57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5"/>
      <c r="R13" s="175">
        <f t="shared" si="0"/>
        <v>0</v>
      </c>
      <c r="S13" s="168"/>
    </row>
    <row r="14" spans="2:19">
      <c r="B14" s="57"/>
      <c r="C14" s="57"/>
      <c r="D14" s="57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5"/>
      <c r="R14" s="175">
        <f t="shared" si="0"/>
        <v>0</v>
      </c>
      <c r="S14" s="168"/>
    </row>
    <row r="15" spans="2:19">
      <c r="B15" s="57"/>
      <c r="C15" s="57"/>
      <c r="D15" s="57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5"/>
      <c r="R15" s="175">
        <f t="shared" si="0"/>
        <v>0</v>
      </c>
      <c r="S15" s="168"/>
    </row>
    <row r="16" spans="2:19">
      <c r="B16" s="57"/>
      <c r="C16" s="57"/>
      <c r="D16" s="57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5"/>
      <c r="R16" s="175">
        <f t="shared" si="0"/>
        <v>0</v>
      </c>
      <c r="S16" s="168"/>
    </row>
    <row r="17" spans="2:19">
      <c r="B17" s="57"/>
      <c r="C17" s="57"/>
      <c r="D17" s="57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5"/>
      <c r="R17" s="175">
        <f t="shared" si="0"/>
        <v>0</v>
      </c>
      <c r="S17" s="168"/>
    </row>
    <row r="18" spans="2:19">
      <c r="B18" s="57"/>
      <c r="C18" s="57"/>
      <c r="D18" s="57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5"/>
      <c r="R18" s="175">
        <f t="shared" si="0"/>
        <v>0</v>
      </c>
      <c r="S18" s="168"/>
    </row>
    <row r="19" spans="2:19">
      <c r="B19" s="57"/>
      <c r="C19" s="57"/>
      <c r="D19" s="57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5"/>
      <c r="R19" s="175">
        <f t="shared" si="0"/>
        <v>0</v>
      </c>
      <c r="S19" s="168"/>
    </row>
    <row r="20" spans="2:19">
      <c r="B20" s="57"/>
      <c r="C20" s="57"/>
      <c r="D20" s="57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5"/>
      <c r="R20" s="175">
        <f t="shared" si="0"/>
        <v>0</v>
      </c>
      <c r="S20" s="168"/>
    </row>
    <row r="21" spans="2:19">
      <c r="B21" s="57"/>
      <c r="C21" s="57"/>
      <c r="D21" s="57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5"/>
      <c r="R21" s="175">
        <f t="shared" si="0"/>
        <v>0</v>
      </c>
      <c r="S21" s="168"/>
    </row>
    <row r="22" spans="2:19">
      <c r="B22" s="57"/>
      <c r="C22" s="57"/>
      <c r="D22" s="57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5"/>
      <c r="R22" s="175">
        <f t="shared" si="0"/>
        <v>0</v>
      </c>
      <c r="S22" s="168"/>
    </row>
    <row r="23" spans="2:19">
      <c r="B23" s="57"/>
      <c r="C23" s="57"/>
      <c r="D23" s="57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5"/>
      <c r="R23" s="175">
        <f t="shared" si="0"/>
        <v>0</v>
      </c>
      <c r="S23" s="168"/>
    </row>
    <row r="24" spans="2:19">
      <c r="B24" s="57"/>
      <c r="C24" s="57"/>
      <c r="D24" s="57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5"/>
      <c r="R24" s="175">
        <f t="shared" si="0"/>
        <v>0</v>
      </c>
      <c r="S24" s="168"/>
    </row>
    <row r="25" spans="2:19">
      <c r="B25" s="57"/>
      <c r="C25" s="57"/>
      <c r="D25" s="57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5"/>
      <c r="R25" s="175">
        <f t="shared" si="0"/>
        <v>0</v>
      </c>
      <c r="S25" s="168"/>
    </row>
    <row r="26" spans="2:19">
      <c r="B26" s="57"/>
      <c r="C26" s="57"/>
      <c r="D26" s="57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5"/>
      <c r="R26" s="175">
        <f t="shared" si="0"/>
        <v>0</v>
      </c>
      <c r="S26" s="168"/>
    </row>
    <row r="27" spans="2:19">
      <c r="B27" s="57"/>
      <c r="C27" s="57"/>
      <c r="D27" s="57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5"/>
      <c r="R27" s="175">
        <f t="shared" si="0"/>
        <v>0</v>
      </c>
      <c r="S27" s="168"/>
    </row>
    <row r="28" spans="2:19">
      <c r="B28" s="57"/>
      <c r="C28" s="57"/>
      <c r="D28" s="57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5"/>
      <c r="R28" s="175">
        <f t="shared" si="0"/>
        <v>0</v>
      </c>
      <c r="S28" s="168"/>
    </row>
    <row r="29" spans="2:19">
      <c r="B29" s="57"/>
      <c r="C29" s="57"/>
      <c r="D29" s="57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5"/>
      <c r="R29" s="175">
        <f t="shared" si="0"/>
        <v>0</v>
      </c>
      <c r="S29" s="168"/>
    </row>
    <row r="30" spans="2:19">
      <c r="B30" s="57"/>
      <c r="C30" s="57"/>
      <c r="D30" s="57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5"/>
      <c r="R30" s="175">
        <f t="shared" si="0"/>
        <v>0</v>
      </c>
      <c r="S30" s="168"/>
    </row>
    <row r="31" spans="2:19">
      <c r="B31" s="57"/>
      <c r="C31" s="57"/>
      <c r="D31" s="57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5"/>
      <c r="R31" s="175">
        <f t="shared" si="0"/>
        <v>0</v>
      </c>
      <c r="S31" s="168"/>
    </row>
    <row r="32" spans="2:19">
      <c r="B32" s="57"/>
      <c r="C32" s="57"/>
      <c r="D32" s="57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5"/>
      <c r="R32" s="175">
        <f t="shared" si="0"/>
        <v>0</v>
      </c>
      <c r="S32" s="168"/>
    </row>
    <row r="33" spans="2:19">
      <c r="B33" s="57"/>
      <c r="C33" s="57"/>
      <c r="D33" s="57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5"/>
      <c r="R33" s="175">
        <f t="shared" si="0"/>
        <v>0</v>
      </c>
      <c r="S33" s="168"/>
    </row>
    <row r="34" spans="2:19">
      <c r="B34" s="57"/>
      <c r="C34" s="57"/>
      <c r="D34" s="57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5"/>
      <c r="R34" s="175">
        <f t="shared" si="0"/>
        <v>0</v>
      </c>
      <c r="S34" s="168"/>
    </row>
    <row r="35" spans="2:19">
      <c r="B35" s="57"/>
      <c r="C35" s="57"/>
      <c r="D35" s="57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5"/>
      <c r="R35" s="175">
        <f t="shared" si="0"/>
        <v>0</v>
      </c>
      <c r="S35" s="168"/>
    </row>
    <row r="36" spans="2:19">
      <c r="B36" s="57"/>
      <c r="C36" s="57"/>
      <c r="D36" s="57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5"/>
      <c r="R36" s="175">
        <f t="shared" si="0"/>
        <v>0</v>
      </c>
      <c r="S36" s="168"/>
    </row>
    <row r="37" spans="2:19">
      <c r="B37" s="57"/>
      <c r="C37" s="57"/>
      <c r="D37" s="57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5"/>
      <c r="R37" s="175">
        <f t="shared" si="0"/>
        <v>0</v>
      </c>
      <c r="S37" s="168"/>
    </row>
    <row r="38" spans="2:19">
      <c r="B38" s="57"/>
      <c r="C38" s="57"/>
      <c r="D38" s="57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5"/>
      <c r="R38" s="175">
        <f t="shared" si="0"/>
        <v>0</v>
      </c>
      <c r="S38" s="168"/>
    </row>
    <row r="39" spans="2:19">
      <c r="B39" s="57"/>
      <c r="C39" s="57"/>
      <c r="D39" s="57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5"/>
      <c r="R39" s="175">
        <f t="shared" si="0"/>
        <v>0</v>
      </c>
      <c r="S39" s="168"/>
    </row>
    <row r="40" spans="2:19">
      <c r="B40" s="57"/>
      <c r="C40" s="57"/>
      <c r="D40" s="57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5"/>
      <c r="R40" s="175">
        <f t="shared" si="0"/>
        <v>0</v>
      </c>
      <c r="S40" s="168"/>
    </row>
    <row r="41" spans="2:19">
      <c r="B41" s="57"/>
      <c r="C41" s="57"/>
      <c r="D41" s="57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5"/>
      <c r="R41" s="175">
        <f t="shared" si="0"/>
        <v>0</v>
      </c>
      <c r="S41" s="168"/>
    </row>
    <row r="42" spans="2:19">
      <c r="B42" s="57"/>
      <c r="C42" s="57"/>
      <c r="D42" s="57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5"/>
      <c r="R42" s="175">
        <f t="shared" si="0"/>
        <v>0</v>
      </c>
      <c r="S42" s="168"/>
    </row>
    <row r="43" spans="2:19">
      <c r="B43" s="57"/>
      <c r="C43" s="57"/>
      <c r="D43" s="57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5"/>
      <c r="R43" s="175">
        <f t="shared" si="0"/>
        <v>0</v>
      </c>
      <c r="S43" s="168"/>
    </row>
    <row r="44" spans="2:19">
      <c r="B44" s="57"/>
      <c r="C44" s="57"/>
      <c r="D44" s="57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5"/>
      <c r="R44" s="175">
        <f t="shared" si="0"/>
        <v>0</v>
      </c>
      <c r="S44" s="168"/>
    </row>
    <row r="45" spans="2:19">
      <c r="B45" s="57"/>
      <c r="C45" s="57"/>
      <c r="D45" s="57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5"/>
      <c r="R45" s="175">
        <f t="shared" si="0"/>
        <v>0</v>
      </c>
      <c r="S45" s="168"/>
    </row>
    <row r="46" spans="2:19">
      <c r="B46" s="57"/>
      <c r="C46" s="57"/>
      <c r="D46" s="57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5"/>
      <c r="R46" s="175">
        <f t="shared" si="0"/>
        <v>0</v>
      </c>
      <c r="S46" s="168"/>
    </row>
    <row r="47" spans="2:19">
      <c r="B47" s="57"/>
      <c r="C47" s="57"/>
      <c r="D47" s="57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5"/>
      <c r="R47" s="175">
        <f t="shared" si="0"/>
        <v>0</v>
      </c>
      <c r="S47" s="168"/>
    </row>
    <row r="48" spans="2:19">
      <c r="B48" s="57"/>
      <c r="C48" s="57"/>
      <c r="D48" s="57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5"/>
      <c r="R48" s="175">
        <f t="shared" si="0"/>
        <v>0</v>
      </c>
      <c r="S48" s="168"/>
    </row>
    <row r="49" spans="2:19">
      <c r="B49" s="57"/>
      <c r="C49" s="57"/>
      <c r="D49" s="57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5"/>
      <c r="R49" s="175">
        <f t="shared" si="0"/>
        <v>0</v>
      </c>
      <c r="S49" s="168"/>
    </row>
    <row r="50" spans="2:19">
      <c r="B50" s="49"/>
      <c r="C50" s="49"/>
      <c r="D50" s="49" t="s">
        <v>148</v>
      </c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>
        <f t="shared" si="0"/>
        <v>0</v>
      </c>
      <c r="S50" s="169"/>
    </row>
    <row r="51" spans="2:19">
      <c r="S51" s="42"/>
    </row>
    <row r="52" spans="2:19">
      <c r="B52" s="77" t="s">
        <v>402</v>
      </c>
    </row>
    <row r="53" spans="2:19">
      <c r="B53" s="42" t="s">
        <v>331</v>
      </c>
    </row>
    <row r="54" spans="2:19">
      <c r="B54" s="42" t="s">
        <v>332</v>
      </c>
    </row>
    <row r="55" spans="2:19">
      <c r="B55" s="42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89" bestFit="1" customWidth="1"/>
    <col min="2" max="2" width="34.90625" style="90" bestFit="1" customWidth="1"/>
    <col min="3" max="3" width="32.6328125" style="90" bestFit="1" customWidth="1"/>
    <col min="4" max="4" width="18" style="90" bestFit="1" customWidth="1"/>
    <col min="5" max="5" width="32.6328125" style="90" bestFit="1" customWidth="1"/>
    <col min="6" max="7" width="8.36328125" style="90" bestFit="1" customWidth="1"/>
    <col min="8" max="8" width="9" style="89"/>
    <col min="9" max="9" width="41.08984375" style="90" bestFit="1" customWidth="1"/>
    <col min="10" max="16384" width="9" style="90"/>
  </cols>
  <sheetData>
    <row r="1" spans="1:9" s="75" customFormat="1" ht="11.5">
      <c r="A1" s="71" t="s">
        <v>345</v>
      </c>
      <c r="B1" s="72" t="s">
        <v>157</v>
      </c>
      <c r="C1" s="72" t="s">
        <v>346</v>
      </c>
      <c r="D1" s="73" t="s">
        <v>158</v>
      </c>
      <c r="E1" s="74" t="s">
        <v>347</v>
      </c>
      <c r="F1" s="74" t="s">
        <v>159</v>
      </c>
      <c r="G1" s="74" t="s">
        <v>160</v>
      </c>
      <c r="H1" s="74" t="s">
        <v>161</v>
      </c>
      <c r="I1" s="74" t="s">
        <v>348</v>
      </c>
    </row>
    <row r="2" spans="1:9" s="75" customFormat="1" ht="0.75" customHeight="1">
      <c r="A2" s="92"/>
      <c r="B2" s="93"/>
      <c r="C2" s="93"/>
      <c r="D2" s="93"/>
      <c r="E2" s="93"/>
      <c r="F2" s="100">
        <f>COLUMNS($A$2:F2)</f>
        <v>6</v>
      </c>
      <c r="G2" s="100">
        <f>COLUMNS($A$2:G2)</f>
        <v>7</v>
      </c>
      <c r="H2" s="100">
        <f>COLUMNS($A$2:H2)</f>
        <v>8</v>
      </c>
      <c r="I2" s="93"/>
    </row>
    <row r="3" spans="1:9" s="75" customFormat="1">
      <c r="A3" s="88">
        <v>7001065118</v>
      </c>
      <c r="B3" t="s">
        <v>116</v>
      </c>
      <c r="C3" t="s">
        <v>32</v>
      </c>
      <c r="D3" t="s">
        <v>116</v>
      </c>
      <c r="E3" t="s">
        <v>14</v>
      </c>
      <c r="F3" s="91" t="s">
        <v>461</v>
      </c>
      <c r="G3" s="91">
        <v>7001065118</v>
      </c>
      <c r="H3" s="91">
        <v>7001065118</v>
      </c>
      <c r="I3"/>
    </row>
    <row r="4" spans="1:9" s="75" customFormat="1">
      <c r="A4" s="88">
        <v>7001075118</v>
      </c>
      <c r="B4" t="s">
        <v>33</v>
      </c>
      <c r="C4" t="s">
        <v>32</v>
      </c>
      <c r="D4" t="s">
        <v>116</v>
      </c>
      <c r="E4" t="s">
        <v>14</v>
      </c>
      <c r="F4" s="91" t="s">
        <v>462</v>
      </c>
      <c r="G4" s="91">
        <v>7001075118</v>
      </c>
      <c r="H4" s="91">
        <v>7001075118</v>
      </c>
      <c r="I4"/>
    </row>
    <row r="5" spans="1:9" s="75" customFormat="1">
      <c r="A5" s="88">
        <v>7001065119</v>
      </c>
      <c r="B5" t="s">
        <v>40</v>
      </c>
      <c r="C5" t="s">
        <v>32</v>
      </c>
      <c r="D5" t="s">
        <v>116</v>
      </c>
      <c r="E5" t="s">
        <v>14</v>
      </c>
      <c r="F5" s="91" t="s">
        <v>463</v>
      </c>
      <c r="G5" s="91">
        <v>7001065119</v>
      </c>
      <c r="H5" s="91">
        <v>7001065119</v>
      </c>
      <c r="I5"/>
    </row>
    <row r="6" spans="1:9" s="75" customFormat="1">
      <c r="A6" s="88">
        <v>5001016131</v>
      </c>
      <c r="B6" t="s">
        <v>400</v>
      </c>
      <c r="C6" t="s">
        <v>35</v>
      </c>
      <c r="D6" t="s">
        <v>101</v>
      </c>
      <c r="E6" t="s">
        <v>349</v>
      </c>
      <c r="F6" s="91" t="s">
        <v>464</v>
      </c>
      <c r="G6" s="91"/>
      <c r="H6" s="91"/>
      <c r="I6" t="s">
        <v>446</v>
      </c>
    </row>
    <row r="7" spans="1:9" s="75" customFormat="1">
      <c r="A7" s="88">
        <v>5001016134</v>
      </c>
      <c r="B7" t="s">
        <v>416</v>
      </c>
      <c r="C7" t="s">
        <v>35</v>
      </c>
      <c r="D7" t="s">
        <v>101</v>
      </c>
      <c r="E7" t="s">
        <v>349</v>
      </c>
      <c r="F7" s="91" t="s">
        <v>465</v>
      </c>
      <c r="G7" s="91">
        <v>5001016134</v>
      </c>
      <c r="H7" s="91">
        <v>5001016134</v>
      </c>
      <c r="I7" t="s">
        <v>447</v>
      </c>
    </row>
    <row r="8" spans="1:9" s="75" customFormat="1">
      <c r="A8" s="88">
        <v>5001016135</v>
      </c>
      <c r="B8" t="s">
        <v>152</v>
      </c>
      <c r="C8" t="s">
        <v>35</v>
      </c>
      <c r="D8" t="s">
        <v>101</v>
      </c>
      <c r="E8" t="s">
        <v>349</v>
      </c>
      <c r="F8" s="91" t="s">
        <v>466</v>
      </c>
      <c r="G8" s="91">
        <v>5001016135</v>
      </c>
      <c r="H8" s="91">
        <v>5001016135</v>
      </c>
      <c r="I8"/>
    </row>
    <row r="9" spans="1:9" s="75" customFormat="1">
      <c r="A9" s="88">
        <v>5001016136</v>
      </c>
      <c r="B9" t="s">
        <v>103</v>
      </c>
      <c r="C9" t="s">
        <v>35</v>
      </c>
      <c r="D9" t="s">
        <v>101</v>
      </c>
      <c r="E9" t="s">
        <v>349</v>
      </c>
      <c r="F9" s="91" t="s">
        <v>467</v>
      </c>
      <c r="G9" s="91">
        <v>5001016136</v>
      </c>
      <c r="H9" s="91">
        <v>5001016136</v>
      </c>
      <c r="I9"/>
    </row>
    <row r="10" spans="1:9" s="75" customFormat="1">
      <c r="A10" s="88">
        <v>5001016142</v>
      </c>
      <c r="B10" t="s">
        <v>163</v>
      </c>
      <c r="C10" t="s">
        <v>35</v>
      </c>
      <c r="D10" t="s">
        <v>120</v>
      </c>
      <c r="E10" t="s">
        <v>350</v>
      </c>
      <c r="F10" s="91" t="s">
        <v>468</v>
      </c>
      <c r="G10" s="91">
        <v>5001016142</v>
      </c>
      <c r="H10" s="91">
        <v>5001016142</v>
      </c>
      <c r="I10"/>
    </row>
    <row r="11" spans="1:9" s="75" customFormat="1">
      <c r="A11" s="88">
        <v>5001016149</v>
      </c>
      <c r="B11" t="s">
        <v>351</v>
      </c>
      <c r="C11" t="s">
        <v>35</v>
      </c>
      <c r="D11" t="s">
        <v>101</v>
      </c>
      <c r="E11" t="s">
        <v>349</v>
      </c>
      <c r="F11" s="91" t="s">
        <v>685</v>
      </c>
      <c r="G11" s="91">
        <v>5001016149</v>
      </c>
      <c r="H11" s="91">
        <v>5001016149</v>
      </c>
      <c r="I11" t="s">
        <v>352</v>
      </c>
    </row>
    <row r="12" spans="1:9" s="75" customFormat="1">
      <c r="A12" s="88">
        <v>5001016151</v>
      </c>
      <c r="B12" t="s">
        <v>162</v>
      </c>
      <c r="C12" t="s">
        <v>35</v>
      </c>
      <c r="D12" t="s">
        <v>101</v>
      </c>
      <c r="E12" t="s">
        <v>349</v>
      </c>
      <c r="F12" s="91" t="s">
        <v>469</v>
      </c>
      <c r="G12" s="91"/>
      <c r="H12" s="91"/>
      <c r="I12" t="s">
        <v>448</v>
      </c>
    </row>
    <row r="13" spans="1:9" s="75" customFormat="1">
      <c r="A13" s="88">
        <v>5004046221</v>
      </c>
      <c r="B13" t="s">
        <v>164</v>
      </c>
      <c r="C13" t="s">
        <v>149</v>
      </c>
      <c r="D13" t="s">
        <v>41</v>
      </c>
      <c r="E13" t="s">
        <v>149</v>
      </c>
      <c r="F13" s="91" t="s">
        <v>470</v>
      </c>
      <c r="G13" s="91"/>
      <c r="H13" s="91"/>
      <c r="I13"/>
    </row>
    <row r="14" spans="1:9" s="75" customFormat="1">
      <c r="A14" s="88">
        <v>5004046371</v>
      </c>
      <c r="B14" t="s">
        <v>165</v>
      </c>
      <c r="C14" t="s">
        <v>150</v>
      </c>
      <c r="D14" t="s">
        <v>41</v>
      </c>
      <c r="E14" t="s">
        <v>149</v>
      </c>
      <c r="F14" s="91" t="s">
        <v>471</v>
      </c>
      <c r="G14" s="91"/>
      <c r="H14" s="91"/>
      <c r="I14"/>
    </row>
    <row r="15" spans="1:9" s="75" customFormat="1">
      <c r="A15" s="88">
        <v>5005016371</v>
      </c>
      <c r="B15" t="s">
        <v>166</v>
      </c>
      <c r="C15" t="s">
        <v>151</v>
      </c>
      <c r="D15" t="s">
        <v>55</v>
      </c>
      <c r="E15" t="s">
        <v>353</v>
      </c>
      <c r="F15" s="91" t="s">
        <v>472</v>
      </c>
      <c r="G15" s="91"/>
      <c r="H15" s="91"/>
      <c r="I15"/>
    </row>
    <row r="16" spans="1:9" s="75" customFormat="1">
      <c r="A16" s="88">
        <v>5005016372</v>
      </c>
      <c r="B16" t="s">
        <v>167</v>
      </c>
      <c r="C16" t="s">
        <v>151</v>
      </c>
      <c r="D16" t="s">
        <v>55</v>
      </c>
      <c r="E16" t="s">
        <v>353</v>
      </c>
      <c r="F16" s="91" t="s">
        <v>473</v>
      </c>
      <c r="G16" s="91"/>
      <c r="H16" s="91"/>
      <c r="I16"/>
    </row>
    <row r="17" spans="1:9" s="75" customFormat="1">
      <c r="A17" s="88">
        <v>5005016373</v>
      </c>
      <c r="B17" t="s">
        <v>413</v>
      </c>
      <c r="C17" t="s">
        <v>151</v>
      </c>
      <c r="D17" t="s">
        <v>55</v>
      </c>
      <c r="E17" t="s">
        <v>353</v>
      </c>
      <c r="F17" s="91" t="s">
        <v>474</v>
      </c>
      <c r="G17" s="91"/>
      <c r="H17" s="91"/>
      <c r="I17" t="s">
        <v>448</v>
      </c>
    </row>
    <row r="18" spans="1:9" s="75" customFormat="1">
      <c r="A18" s="88">
        <v>5005026371</v>
      </c>
      <c r="B18" t="s">
        <v>168</v>
      </c>
      <c r="C18" t="s">
        <v>151</v>
      </c>
      <c r="D18" t="s">
        <v>104</v>
      </c>
      <c r="E18" t="s">
        <v>354</v>
      </c>
      <c r="F18" s="91" t="s">
        <v>475</v>
      </c>
      <c r="G18" s="91"/>
      <c r="H18" s="91"/>
      <c r="I18"/>
    </row>
    <row r="19" spans="1:9" s="75" customFormat="1">
      <c r="A19" s="88">
        <v>5005026372</v>
      </c>
      <c r="B19" t="s">
        <v>169</v>
      </c>
      <c r="C19" t="s">
        <v>151</v>
      </c>
      <c r="D19" t="s">
        <v>54</v>
      </c>
      <c r="E19" t="s">
        <v>355</v>
      </c>
      <c r="F19" s="91" t="s">
        <v>476</v>
      </c>
      <c r="G19" s="91"/>
      <c r="H19" s="91"/>
      <c r="I19"/>
    </row>
    <row r="20" spans="1:9" s="75" customFormat="1">
      <c r="A20" s="88">
        <v>5006016241</v>
      </c>
      <c r="B20" t="s">
        <v>170</v>
      </c>
      <c r="C20" t="s">
        <v>21</v>
      </c>
      <c r="D20" t="s">
        <v>45</v>
      </c>
      <c r="E20" t="s">
        <v>356</v>
      </c>
      <c r="F20" s="91" t="s">
        <v>477</v>
      </c>
      <c r="G20" s="91"/>
      <c r="H20" s="91"/>
      <c r="I20"/>
    </row>
    <row r="21" spans="1:9" s="75" customFormat="1">
      <c r="A21" s="88">
        <v>5006016242</v>
      </c>
      <c r="B21" t="s">
        <v>22</v>
      </c>
      <c r="C21" t="s">
        <v>21</v>
      </c>
      <c r="D21" t="s">
        <v>45</v>
      </c>
      <c r="E21" t="s">
        <v>356</v>
      </c>
      <c r="F21" s="91" t="s">
        <v>478</v>
      </c>
      <c r="G21" s="91"/>
      <c r="H21" s="91"/>
      <c r="I21"/>
    </row>
    <row r="22" spans="1:9" s="75" customFormat="1">
      <c r="A22" s="88">
        <v>5006016243</v>
      </c>
      <c r="B22" t="s">
        <v>23</v>
      </c>
      <c r="C22" t="s">
        <v>21</v>
      </c>
      <c r="D22" t="s">
        <v>45</v>
      </c>
      <c r="E22" t="s">
        <v>356</v>
      </c>
      <c r="F22" s="91" t="s">
        <v>479</v>
      </c>
      <c r="G22" s="91"/>
      <c r="H22" s="91"/>
      <c r="I22"/>
    </row>
    <row r="23" spans="1:9" s="75" customFormat="1">
      <c r="A23" s="88">
        <v>5006016244</v>
      </c>
      <c r="B23" t="s">
        <v>24</v>
      </c>
      <c r="C23" t="s">
        <v>21</v>
      </c>
      <c r="D23" t="s">
        <v>45</v>
      </c>
      <c r="E23" t="s">
        <v>356</v>
      </c>
      <c r="F23" s="91" t="s">
        <v>480</v>
      </c>
      <c r="G23" s="91"/>
      <c r="H23" s="91"/>
      <c r="I23"/>
    </row>
    <row r="24" spans="1:9" s="75" customFormat="1">
      <c r="A24" s="88">
        <v>5006016245</v>
      </c>
      <c r="B24" t="s">
        <v>25</v>
      </c>
      <c r="C24" t="s">
        <v>21</v>
      </c>
      <c r="D24" t="s">
        <v>45</v>
      </c>
      <c r="E24" t="s">
        <v>356</v>
      </c>
      <c r="F24" s="91" t="s">
        <v>481</v>
      </c>
      <c r="G24" s="91"/>
      <c r="H24" s="91"/>
      <c r="I24"/>
    </row>
    <row r="25" spans="1:9" s="75" customFormat="1">
      <c r="A25" s="88">
        <v>5005036246</v>
      </c>
      <c r="B25" t="s">
        <v>171</v>
      </c>
      <c r="C25" t="s">
        <v>21</v>
      </c>
      <c r="D25" t="s">
        <v>46</v>
      </c>
      <c r="E25" t="s">
        <v>357</v>
      </c>
      <c r="F25" s="91" t="s">
        <v>482</v>
      </c>
      <c r="G25" s="91"/>
      <c r="H25" s="91"/>
      <c r="I25"/>
    </row>
    <row r="26" spans="1:9" s="75" customFormat="1">
      <c r="A26" s="88">
        <v>5006016247</v>
      </c>
      <c r="B26" t="s">
        <v>172</v>
      </c>
      <c r="C26" t="s">
        <v>21</v>
      </c>
      <c r="D26" t="s">
        <v>45</v>
      </c>
      <c r="E26" t="s">
        <v>356</v>
      </c>
      <c r="F26" s="91" t="s">
        <v>483</v>
      </c>
      <c r="G26" s="91"/>
      <c r="H26" s="91"/>
      <c r="I26"/>
    </row>
    <row r="27" spans="1:9" s="75" customFormat="1">
      <c r="A27" s="88">
        <v>5006016248</v>
      </c>
      <c r="B27" t="s">
        <v>173</v>
      </c>
      <c r="C27" t="s">
        <v>21</v>
      </c>
      <c r="D27" t="s">
        <v>45</v>
      </c>
      <c r="E27" t="s">
        <v>356</v>
      </c>
      <c r="F27" s="91" t="s">
        <v>484</v>
      </c>
      <c r="G27" s="91"/>
      <c r="H27" s="91"/>
      <c r="I27"/>
    </row>
    <row r="28" spans="1:9" s="75" customFormat="1">
      <c r="A28" s="88">
        <v>5006016249</v>
      </c>
      <c r="B28" t="s">
        <v>26</v>
      </c>
      <c r="C28" t="s">
        <v>21</v>
      </c>
      <c r="D28" t="s">
        <v>45</v>
      </c>
      <c r="E28" t="s">
        <v>356</v>
      </c>
      <c r="F28" s="91" t="s">
        <v>485</v>
      </c>
      <c r="G28" s="91"/>
      <c r="H28" s="91"/>
      <c r="I28"/>
    </row>
    <row r="29" spans="1:9" s="75" customFormat="1">
      <c r="A29" s="88">
        <v>5006016250</v>
      </c>
      <c r="B29" t="s">
        <v>27</v>
      </c>
      <c r="C29" t="s">
        <v>21</v>
      </c>
      <c r="D29" t="s">
        <v>45</v>
      </c>
      <c r="E29" t="s">
        <v>356</v>
      </c>
      <c r="F29" s="91" t="s">
        <v>486</v>
      </c>
      <c r="G29" s="91"/>
      <c r="H29" s="91"/>
      <c r="I29"/>
    </row>
    <row r="30" spans="1:9" s="75" customFormat="1">
      <c r="A30" s="88">
        <v>5006016251</v>
      </c>
      <c r="B30" t="s">
        <v>28</v>
      </c>
      <c r="C30" t="s">
        <v>21</v>
      </c>
      <c r="D30" t="s">
        <v>45</v>
      </c>
      <c r="E30" t="s">
        <v>356</v>
      </c>
      <c r="F30" s="91" t="s">
        <v>487</v>
      </c>
      <c r="G30" s="91"/>
      <c r="H30" s="91"/>
      <c r="I30"/>
    </row>
    <row r="31" spans="1:9" s="75" customFormat="1">
      <c r="A31" s="88">
        <v>5006016252</v>
      </c>
      <c r="B31" t="s">
        <v>29</v>
      </c>
      <c r="C31" t="s">
        <v>21</v>
      </c>
      <c r="D31" t="s">
        <v>45</v>
      </c>
      <c r="E31" t="s">
        <v>356</v>
      </c>
      <c r="F31" s="91" t="s">
        <v>488</v>
      </c>
      <c r="G31" s="91"/>
      <c r="H31" s="91"/>
      <c r="I31"/>
    </row>
    <row r="32" spans="1:9" s="75" customFormat="1">
      <c r="A32" s="88">
        <v>5006016253</v>
      </c>
      <c r="B32" t="s">
        <v>174</v>
      </c>
      <c r="C32" t="s">
        <v>21</v>
      </c>
      <c r="D32" t="s">
        <v>45</v>
      </c>
      <c r="E32" t="s">
        <v>356</v>
      </c>
      <c r="F32" s="91" t="s">
        <v>489</v>
      </c>
      <c r="G32" s="91"/>
      <c r="H32" s="91"/>
      <c r="I32"/>
    </row>
    <row r="33" spans="1:9" s="75" customFormat="1">
      <c r="A33" s="88">
        <v>5006016254</v>
      </c>
      <c r="B33" t="s">
        <v>175</v>
      </c>
      <c r="C33" t="s">
        <v>21</v>
      </c>
      <c r="D33" t="s">
        <v>45</v>
      </c>
      <c r="E33" t="s">
        <v>356</v>
      </c>
      <c r="F33" s="91" t="s">
        <v>490</v>
      </c>
      <c r="G33" s="91"/>
      <c r="H33" s="91"/>
      <c r="I33"/>
    </row>
    <row r="34" spans="1:9" s="75" customFormat="1">
      <c r="A34" s="88">
        <v>5006016255</v>
      </c>
      <c r="B34" t="s">
        <v>176</v>
      </c>
      <c r="C34" t="s">
        <v>21</v>
      </c>
      <c r="D34" t="s">
        <v>45</v>
      </c>
      <c r="E34" t="s">
        <v>356</v>
      </c>
      <c r="F34" s="91" t="s">
        <v>491</v>
      </c>
      <c r="G34" s="91"/>
      <c r="H34" s="91"/>
      <c r="I34"/>
    </row>
    <row r="35" spans="1:9" s="75" customFormat="1">
      <c r="A35" s="88">
        <v>5006016256</v>
      </c>
      <c r="B35" t="s">
        <v>177</v>
      </c>
      <c r="C35" t="s">
        <v>21</v>
      </c>
      <c r="D35" t="s">
        <v>45</v>
      </c>
      <c r="E35" t="s">
        <v>356</v>
      </c>
      <c r="F35" s="91" t="s">
        <v>492</v>
      </c>
      <c r="G35" s="91"/>
      <c r="H35" s="91"/>
      <c r="I35"/>
    </row>
    <row r="36" spans="1:9" s="75" customFormat="1">
      <c r="A36" s="88">
        <v>5006016257</v>
      </c>
      <c r="B36" t="s">
        <v>30</v>
      </c>
      <c r="C36" t="s">
        <v>21</v>
      </c>
      <c r="D36" t="s">
        <v>45</v>
      </c>
      <c r="E36" t="s">
        <v>356</v>
      </c>
      <c r="F36" s="91" t="s">
        <v>493</v>
      </c>
      <c r="G36" s="91"/>
      <c r="H36" s="91"/>
      <c r="I36"/>
    </row>
    <row r="37" spans="1:9" s="75" customFormat="1">
      <c r="A37" s="88">
        <v>5006016258</v>
      </c>
      <c r="B37" t="s">
        <v>178</v>
      </c>
      <c r="C37" t="s">
        <v>21</v>
      </c>
      <c r="D37" t="s">
        <v>45</v>
      </c>
      <c r="E37" t="s">
        <v>356</v>
      </c>
      <c r="F37" s="91" t="s">
        <v>494</v>
      </c>
      <c r="G37" s="91"/>
      <c r="H37" s="91"/>
      <c r="I37"/>
    </row>
    <row r="38" spans="1:9" s="75" customFormat="1">
      <c r="A38" s="88">
        <v>5006016259</v>
      </c>
      <c r="B38" t="s">
        <v>179</v>
      </c>
      <c r="C38" t="s">
        <v>21</v>
      </c>
      <c r="D38" t="s">
        <v>45</v>
      </c>
      <c r="E38" t="s">
        <v>356</v>
      </c>
      <c r="F38" s="91" t="s">
        <v>495</v>
      </c>
      <c r="G38" s="91"/>
      <c r="H38" s="91"/>
      <c r="I38"/>
    </row>
    <row r="39" spans="1:9" s="75" customFormat="1">
      <c r="A39" s="88">
        <v>5006016260</v>
      </c>
      <c r="B39" t="s">
        <v>180</v>
      </c>
      <c r="C39" t="s">
        <v>21</v>
      </c>
      <c r="D39" t="s">
        <v>45</v>
      </c>
      <c r="E39" t="s">
        <v>356</v>
      </c>
      <c r="F39" s="91" t="s">
        <v>496</v>
      </c>
      <c r="G39" s="91"/>
      <c r="H39" s="91"/>
      <c r="I39"/>
    </row>
    <row r="40" spans="1:9" s="75" customFormat="1">
      <c r="A40" s="88">
        <v>5006016261</v>
      </c>
      <c r="B40" t="s">
        <v>181</v>
      </c>
      <c r="C40" t="s">
        <v>21</v>
      </c>
      <c r="D40" t="s">
        <v>45</v>
      </c>
      <c r="E40" t="s">
        <v>356</v>
      </c>
      <c r="F40" s="91" t="s">
        <v>497</v>
      </c>
      <c r="G40" s="91"/>
      <c r="H40" s="91"/>
      <c r="I40"/>
    </row>
    <row r="41" spans="1:9" s="75" customFormat="1">
      <c r="A41" s="88">
        <v>5004096281</v>
      </c>
      <c r="B41" t="s">
        <v>182</v>
      </c>
      <c r="C41" t="s">
        <v>31</v>
      </c>
      <c r="D41" t="s">
        <v>115</v>
      </c>
      <c r="E41" t="s">
        <v>358</v>
      </c>
      <c r="F41" s="91" t="s">
        <v>498</v>
      </c>
      <c r="G41" s="91"/>
      <c r="H41" s="91"/>
      <c r="I41"/>
    </row>
    <row r="42" spans="1:9" s="75" customFormat="1">
      <c r="A42" s="88">
        <v>5005046281</v>
      </c>
      <c r="B42" t="s">
        <v>183</v>
      </c>
      <c r="C42" t="s">
        <v>31</v>
      </c>
      <c r="D42" t="s">
        <v>59</v>
      </c>
      <c r="E42" t="s">
        <v>359</v>
      </c>
      <c r="F42" s="91" t="s">
        <v>499</v>
      </c>
      <c r="G42" s="91"/>
      <c r="H42" s="91"/>
      <c r="I42"/>
    </row>
    <row r="43" spans="1:9" s="75" customFormat="1">
      <c r="A43" s="88">
        <v>5005046282</v>
      </c>
      <c r="B43" t="s">
        <v>184</v>
      </c>
      <c r="C43" t="s">
        <v>31</v>
      </c>
      <c r="D43" t="s">
        <v>59</v>
      </c>
      <c r="E43" t="s">
        <v>359</v>
      </c>
      <c r="F43" s="91" t="s">
        <v>500</v>
      </c>
      <c r="G43" s="91"/>
      <c r="H43" s="91"/>
      <c r="I43"/>
    </row>
    <row r="44" spans="1:9" s="75" customFormat="1">
      <c r="A44" s="88">
        <v>5005046283</v>
      </c>
      <c r="B44" t="s">
        <v>185</v>
      </c>
      <c r="C44" t="s">
        <v>31</v>
      </c>
      <c r="D44" t="s">
        <v>59</v>
      </c>
      <c r="E44" t="s">
        <v>359</v>
      </c>
      <c r="F44" s="91" t="s">
        <v>501</v>
      </c>
      <c r="G44" s="91"/>
      <c r="H44" s="91"/>
      <c r="I44"/>
    </row>
    <row r="45" spans="1:9" s="75" customFormat="1">
      <c r="A45" s="88">
        <v>5005046284</v>
      </c>
      <c r="B45" t="s">
        <v>412</v>
      </c>
      <c r="C45" t="s">
        <v>31</v>
      </c>
      <c r="D45" t="s">
        <v>59</v>
      </c>
      <c r="E45" t="s">
        <v>359</v>
      </c>
      <c r="F45" s="91" t="s">
        <v>502</v>
      </c>
      <c r="G45" s="91"/>
      <c r="H45" s="91"/>
      <c r="I45" t="s">
        <v>448</v>
      </c>
    </row>
    <row r="46" spans="1:9" s="75" customFormat="1">
      <c r="A46" s="88">
        <v>5005066281</v>
      </c>
      <c r="B46" t="s">
        <v>186</v>
      </c>
      <c r="C46" t="s">
        <v>31</v>
      </c>
      <c r="D46" t="s">
        <v>97</v>
      </c>
      <c r="E46" t="s">
        <v>360</v>
      </c>
      <c r="F46" s="91" t="s">
        <v>503</v>
      </c>
      <c r="G46" s="91"/>
      <c r="H46" s="91"/>
      <c r="I46"/>
    </row>
    <row r="47" spans="1:9" s="75" customFormat="1">
      <c r="A47" s="88">
        <v>5005066282</v>
      </c>
      <c r="B47" t="s">
        <v>187</v>
      </c>
      <c r="C47" t="s">
        <v>31</v>
      </c>
      <c r="D47" t="s">
        <v>97</v>
      </c>
      <c r="E47" t="s">
        <v>360</v>
      </c>
      <c r="F47" s="91" t="s">
        <v>504</v>
      </c>
      <c r="G47" s="91"/>
      <c r="H47" s="91"/>
      <c r="I47"/>
    </row>
    <row r="48" spans="1:9" s="75" customFormat="1">
      <c r="A48" s="88">
        <v>5005056281</v>
      </c>
      <c r="B48" t="s">
        <v>188</v>
      </c>
      <c r="C48" t="s">
        <v>31</v>
      </c>
      <c r="D48" t="s">
        <v>97</v>
      </c>
      <c r="E48" t="s">
        <v>360</v>
      </c>
      <c r="F48" s="91" t="s">
        <v>505</v>
      </c>
      <c r="G48" s="91"/>
      <c r="H48" s="91"/>
      <c r="I48"/>
    </row>
    <row r="49" spans="1:9" s="75" customFormat="1">
      <c r="A49" s="88">
        <v>5005076281</v>
      </c>
      <c r="B49" t="s">
        <v>189</v>
      </c>
      <c r="C49" t="s">
        <v>31</v>
      </c>
      <c r="D49" t="s">
        <v>61</v>
      </c>
      <c r="E49" t="s">
        <v>361</v>
      </c>
      <c r="F49" s="91" t="s">
        <v>506</v>
      </c>
      <c r="G49" s="91"/>
      <c r="H49" s="91"/>
      <c r="I49"/>
    </row>
    <row r="50" spans="1:9" s="75" customFormat="1">
      <c r="A50" s="88">
        <v>5005076282</v>
      </c>
      <c r="B50" t="s">
        <v>190</v>
      </c>
      <c r="C50" t="s">
        <v>31</v>
      </c>
      <c r="D50" t="s">
        <v>61</v>
      </c>
      <c r="E50" t="s">
        <v>361</v>
      </c>
      <c r="F50" s="91" t="s">
        <v>507</v>
      </c>
      <c r="G50" s="91"/>
      <c r="H50" s="91"/>
      <c r="I50"/>
    </row>
    <row r="51" spans="1:9" s="75" customFormat="1">
      <c r="A51" s="88">
        <v>5005076283</v>
      </c>
      <c r="B51" t="s">
        <v>191</v>
      </c>
      <c r="C51" t="s">
        <v>31</v>
      </c>
      <c r="D51" t="s">
        <v>61</v>
      </c>
      <c r="E51" t="s">
        <v>361</v>
      </c>
      <c r="F51" s="91" t="s">
        <v>508</v>
      </c>
      <c r="G51" s="91"/>
      <c r="H51" s="91"/>
      <c r="I51"/>
    </row>
    <row r="52" spans="1:9" s="75" customFormat="1">
      <c r="A52" s="88">
        <v>5005076284</v>
      </c>
      <c r="B52" t="s">
        <v>192</v>
      </c>
      <c r="C52" t="s">
        <v>31</v>
      </c>
      <c r="D52" t="s">
        <v>61</v>
      </c>
      <c r="E52" t="s">
        <v>361</v>
      </c>
      <c r="F52" s="91" t="s">
        <v>509</v>
      </c>
      <c r="G52" s="91"/>
      <c r="H52" s="91"/>
      <c r="I52"/>
    </row>
    <row r="53" spans="1:9" s="75" customFormat="1">
      <c r="A53" s="88">
        <v>5005076285</v>
      </c>
      <c r="B53" s="189" t="s">
        <v>590</v>
      </c>
      <c r="C53" t="s">
        <v>31</v>
      </c>
      <c r="D53" t="s">
        <v>61</v>
      </c>
      <c r="E53" t="s">
        <v>361</v>
      </c>
      <c r="F53" s="91" t="s">
        <v>510</v>
      </c>
      <c r="G53" s="91"/>
      <c r="H53" s="91"/>
      <c r="I53"/>
    </row>
    <row r="54" spans="1:9" s="75" customFormat="1">
      <c r="A54" s="88">
        <v>5005076286</v>
      </c>
      <c r="B54" s="189" t="s">
        <v>591</v>
      </c>
      <c r="C54" t="s">
        <v>31</v>
      </c>
      <c r="D54" t="s">
        <v>61</v>
      </c>
      <c r="E54" t="s">
        <v>361</v>
      </c>
      <c r="F54" s="91" t="s">
        <v>511</v>
      </c>
      <c r="G54" s="91"/>
      <c r="H54" s="91"/>
      <c r="I54"/>
    </row>
    <row r="55" spans="1:9" s="75" customFormat="1">
      <c r="A55" s="88">
        <v>5005076287</v>
      </c>
      <c r="B55" s="189" t="s">
        <v>676</v>
      </c>
      <c r="C55" t="s">
        <v>31</v>
      </c>
      <c r="D55" t="s">
        <v>61</v>
      </c>
      <c r="E55" t="s">
        <v>361</v>
      </c>
      <c r="F55" s="91" t="s">
        <v>512</v>
      </c>
      <c r="G55" s="91"/>
      <c r="H55" s="91"/>
      <c r="I55"/>
    </row>
    <row r="56" spans="1:9" s="75" customFormat="1">
      <c r="A56" s="88">
        <v>5005076288</v>
      </c>
      <c r="B56" t="s">
        <v>193</v>
      </c>
      <c r="C56" t="s">
        <v>31</v>
      </c>
      <c r="D56" t="s">
        <v>60</v>
      </c>
      <c r="E56" t="s">
        <v>362</v>
      </c>
      <c r="F56" s="91" t="s">
        <v>513</v>
      </c>
      <c r="G56" s="91"/>
      <c r="H56" s="91"/>
      <c r="I56"/>
    </row>
    <row r="57" spans="1:9" s="75" customFormat="1">
      <c r="A57" s="88">
        <v>5005076289</v>
      </c>
      <c r="B57" t="s">
        <v>194</v>
      </c>
      <c r="C57" t="s">
        <v>31</v>
      </c>
      <c r="D57" t="s">
        <v>61</v>
      </c>
      <c r="E57" t="s">
        <v>361</v>
      </c>
      <c r="F57" s="91" t="s">
        <v>514</v>
      </c>
      <c r="G57" s="91"/>
      <c r="H57" s="91"/>
      <c r="I57"/>
    </row>
    <row r="58" spans="1:9" s="75" customFormat="1">
      <c r="A58" s="88">
        <v>5005076291</v>
      </c>
      <c r="B58" t="s">
        <v>409</v>
      </c>
      <c r="C58" t="s">
        <v>31</v>
      </c>
      <c r="D58" t="s">
        <v>61</v>
      </c>
      <c r="E58" t="s">
        <v>361</v>
      </c>
      <c r="F58" s="91" t="s">
        <v>515</v>
      </c>
      <c r="G58" s="91"/>
      <c r="H58" s="91"/>
      <c r="I58" t="s">
        <v>448</v>
      </c>
    </row>
    <row r="59" spans="1:9" s="75" customFormat="1">
      <c r="A59" s="88">
        <v>5005076292</v>
      </c>
      <c r="B59" t="s">
        <v>410</v>
      </c>
      <c r="C59" t="s">
        <v>31</v>
      </c>
      <c r="D59" t="s">
        <v>61</v>
      </c>
      <c r="E59" t="s">
        <v>361</v>
      </c>
      <c r="F59" s="91" t="s">
        <v>516</v>
      </c>
      <c r="G59" s="91"/>
      <c r="H59" s="91"/>
      <c r="I59" t="s">
        <v>448</v>
      </c>
    </row>
    <row r="60" spans="1:9" s="75" customFormat="1">
      <c r="A60" s="88">
        <v>5005076293</v>
      </c>
      <c r="B60" t="s">
        <v>411</v>
      </c>
      <c r="C60" t="s">
        <v>31</v>
      </c>
      <c r="D60" t="s">
        <v>61</v>
      </c>
      <c r="E60" t="s">
        <v>361</v>
      </c>
      <c r="F60" s="91" t="s">
        <v>517</v>
      </c>
      <c r="G60" s="91"/>
      <c r="H60" s="91"/>
      <c r="I60" t="s">
        <v>448</v>
      </c>
    </row>
    <row r="61" spans="1:9" s="75" customFormat="1">
      <c r="A61" s="88">
        <v>5005076294</v>
      </c>
      <c r="B61" t="s">
        <v>414</v>
      </c>
      <c r="C61" t="s">
        <v>31</v>
      </c>
      <c r="D61" t="s">
        <v>61</v>
      </c>
      <c r="E61" t="s">
        <v>361</v>
      </c>
      <c r="F61" s="91" t="s">
        <v>518</v>
      </c>
      <c r="G61" s="91"/>
      <c r="H61" s="91"/>
      <c r="I61" t="s">
        <v>448</v>
      </c>
    </row>
    <row r="62" spans="1:9" s="75" customFormat="1">
      <c r="A62" s="88">
        <v>5005086281</v>
      </c>
      <c r="B62" t="s">
        <v>195</v>
      </c>
      <c r="C62" t="s">
        <v>31</v>
      </c>
      <c r="D62" t="s">
        <v>44</v>
      </c>
      <c r="E62" t="s">
        <v>363</v>
      </c>
      <c r="F62" s="91" t="s">
        <v>519</v>
      </c>
      <c r="G62" s="91"/>
      <c r="H62" s="91"/>
      <c r="I62"/>
    </row>
    <row r="63" spans="1:9" s="75" customFormat="1">
      <c r="A63" s="88">
        <v>5005136281</v>
      </c>
      <c r="B63" t="s">
        <v>196</v>
      </c>
      <c r="C63" t="s">
        <v>31</v>
      </c>
      <c r="D63" t="s">
        <v>58</v>
      </c>
      <c r="E63" t="s">
        <v>364</v>
      </c>
      <c r="F63" s="91" t="s">
        <v>520</v>
      </c>
      <c r="G63" s="91"/>
      <c r="H63" s="91"/>
      <c r="I63"/>
    </row>
    <row r="64" spans="1:9" s="75" customFormat="1">
      <c r="A64" s="88">
        <v>5005246281</v>
      </c>
      <c r="B64" t="s">
        <v>197</v>
      </c>
      <c r="C64" t="s">
        <v>31</v>
      </c>
      <c r="D64" t="s">
        <v>98</v>
      </c>
      <c r="E64" t="s">
        <v>365</v>
      </c>
      <c r="F64" s="91" t="s">
        <v>521</v>
      </c>
      <c r="G64" s="91"/>
      <c r="H64" s="91"/>
      <c r="I64"/>
    </row>
    <row r="65" spans="1:9" s="75" customFormat="1">
      <c r="A65" s="88">
        <v>5005246282</v>
      </c>
      <c r="B65" t="s">
        <v>198</v>
      </c>
      <c r="C65" t="s">
        <v>31</v>
      </c>
      <c r="D65" t="s">
        <v>98</v>
      </c>
      <c r="E65" t="s">
        <v>365</v>
      </c>
      <c r="F65" s="91" t="s">
        <v>522</v>
      </c>
      <c r="G65" s="91"/>
      <c r="H65" s="91"/>
      <c r="I65"/>
    </row>
    <row r="66" spans="1:9" s="75" customFormat="1">
      <c r="A66" s="88">
        <v>5005246283</v>
      </c>
      <c r="B66" t="s">
        <v>199</v>
      </c>
      <c r="C66" t="s">
        <v>31</v>
      </c>
      <c r="D66" t="s">
        <v>98</v>
      </c>
      <c r="E66" t="s">
        <v>365</v>
      </c>
      <c r="F66" s="91" t="s">
        <v>523</v>
      </c>
      <c r="G66" s="91"/>
      <c r="H66" s="91"/>
      <c r="I66"/>
    </row>
    <row r="67" spans="1:9" s="75" customFormat="1">
      <c r="A67" s="88">
        <v>5005246284</v>
      </c>
      <c r="B67" t="s">
        <v>200</v>
      </c>
      <c r="C67" t="s">
        <v>31</v>
      </c>
      <c r="D67" t="s">
        <v>99</v>
      </c>
      <c r="E67" t="s">
        <v>366</v>
      </c>
      <c r="F67" s="91" t="s">
        <v>524</v>
      </c>
      <c r="G67" s="91"/>
      <c r="H67" s="91"/>
      <c r="I67"/>
    </row>
    <row r="68" spans="1:9" s="75" customFormat="1">
      <c r="A68" s="88">
        <v>5005216281</v>
      </c>
      <c r="B68" t="s">
        <v>201</v>
      </c>
      <c r="C68" t="s">
        <v>31</v>
      </c>
      <c r="D68" t="s">
        <v>51</v>
      </c>
      <c r="E68" t="s">
        <v>367</v>
      </c>
      <c r="F68" s="91" t="s">
        <v>525</v>
      </c>
      <c r="G68" s="91"/>
      <c r="H68" s="91"/>
      <c r="I68"/>
    </row>
    <row r="69" spans="1:9" s="75" customFormat="1">
      <c r="A69" s="88">
        <v>5005226281</v>
      </c>
      <c r="B69" t="s">
        <v>202</v>
      </c>
      <c r="C69" t="s">
        <v>31</v>
      </c>
      <c r="D69" t="s">
        <v>49</v>
      </c>
      <c r="E69" t="s">
        <v>368</v>
      </c>
      <c r="F69" s="91" t="s">
        <v>526</v>
      </c>
      <c r="G69" s="91"/>
      <c r="H69" s="91"/>
      <c r="I69"/>
    </row>
    <row r="70" spans="1:9" s="75" customFormat="1">
      <c r="A70" s="88">
        <v>5005236281</v>
      </c>
      <c r="B70" t="s">
        <v>203</v>
      </c>
      <c r="C70" t="s">
        <v>31</v>
      </c>
      <c r="D70" t="s">
        <v>47</v>
      </c>
      <c r="E70" t="s">
        <v>369</v>
      </c>
      <c r="F70" s="91" t="s">
        <v>527</v>
      </c>
      <c r="G70" s="91"/>
      <c r="H70" s="91"/>
      <c r="I70"/>
    </row>
    <row r="71" spans="1:9" s="75" customFormat="1">
      <c r="A71" s="88">
        <v>5005236282</v>
      </c>
      <c r="B71" t="s">
        <v>204</v>
      </c>
      <c r="C71" t="s">
        <v>31</v>
      </c>
      <c r="D71" t="s">
        <v>47</v>
      </c>
      <c r="E71" t="s">
        <v>369</v>
      </c>
      <c r="F71" s="91" t="s">
        <v>528</v>
      </c>
      <c r="G71" s="91"/>
      <c r="H71" s="91"/>
      <c r="I71"/>
    </row>
    <row r="72" spans="1:9" s="75" customFormat="1">
      <c r="A72" s="88">
        <v>5005246285</v>
      </c>
      <c r="B72" t="s">
        <v>205</v>
      </c>
      <c r="C72" t="s">
        <v>31</v>
      </c>
      <c r="D72" t="s">
        <v>50</v>
      </c>
      <c r="E72" t="s">
        <v>370</v>
      </c>
      <c r="F72" s="91" t="s">
        <v>529</v>
      </c>
      <c r="G72" s="91"/>
      <c r="H72" s="91"/>
      <c r="I72"/>
    </row>
    <row r="73" spans="1:9" s="75" customFormat="1">
      <c r="A73" s="88">
        <v>5005246286</v>
      </c>
      <c r="B73" t="s">
        <v>206</v>
      </c>
      <c r="C73" t="s">
        <v>31</v>
      </c>
      <c r="D73" t="s">
        <v>50</v>
      </c>
      <c r="E73" t="s">
        <v>370</v>
      </c>
      <c r="F73" s="91" t="s">
        <v>530</v>
      </c>
      <c r="G73" s="91"/>
      <c r="H73" s="91"/>
      <c r="I73"/>
    </row>
    <row r="74" spans="1:9" s="75" customFormat="1">
      <c r="A74" s="88">
        <v>5005246287</v>
      </c>
      <c r="B74" t="s">
        <v>207</v>
      </c>
      <c r="C74" t="s">
        <v>31</v>
      </c>
      <c r="D74" t="s">
        <v>50</v>
      </c>
      <c r="E74" t="s">
        <v>370</v>
      </c>
      <c r="F74" s="91" t="s">
        <v>531</v>
      </c>
      <c r="G74" s="91"/>
      <c r="H74" s="91"/>
      <c r="I74"/>
    </row>
    <row r="75" spans="1:9" s="75" customFormat="1">
      <c r="A75" s="88">
        <v>5005246288</v>
      </c>
      <c r="B75" t="s">
        <v>208</v>
      </c>
      <c r="C75" t="s">
        <v>31</v>
      </c>
      <c r="D75" t="s">
        <v>98</v>
      </c>
      <c r="E75" t="s">
        <v>365</v>
      </c>
      <c r="F75" s="91" t="s">
        <v>532</v>
      </c>
      <c r="G75" s="91"/>
      <c r="H75" s="91"/>
      <c r="I75"/>
    </row>
    <row r="76" spans="1:9" s="75" customFormat="1">
      <c r="A76" s="88">
        <v>5004086291</v>
      </c>
      <c r="B76" t="s">
        <v>209</v>
      </c>
      <c r="C76" t="s">
        <v>36</v>
      </c>
      <c r="D76" t="s">
        <v>42</v>
      </c>
      <c r="E76" t="s">
        <v>371</v>
      </c>
      <c r="F76" s="91" t="s">
        <v>533</v>
      </c>
      <c r="G76" s="91"/>
      <c r="H76" s="91"/>
      <c r="I76"/>
    </row>
    <row r="77" spans="1:9" s="75" customFormat="1">
      <c r="A77" s="88">
        <v>5004086293</v>
      </c>
      <c r="B77" t="s">
        <v>210</v>
      </c>
      <c r="C77" t="s">
        <v>36</v>
      </c>
      <c r="D77" t="s">
        <v>115</v>
      </c>
      <c r="E77" t="s">
        <v>358</v>
      </c>
      <c r="F77" s="91" t="s">
        <v>534</v>
      </c>
      <c r="G77" s="91"/>
      <c r="H77" s="91"/>
      <c r="I77"/>
    </row>
    <row r="78" spans="1:9" s="75" customFormat="1">
      <c r="A78" s="88">
        <v>5005116291</v>
      </c>
      <c r="B78" t="s">
        <v>211</v>
      </c>
      <c r="C78" t="s">
        <v>36</v>
      </c>
      <c r="D78" t="s">
        <v>56</v>
      </c>
      <c r="E78" t="s">
        <v>372</v>
      </c>
      <c r="F78" s="91" t="s">
        <v>535</v>
      </c>
      <c r="G78" s="91"/>
      <c r="H78" s="91"/>
      <c r="I78"/>
    </row>
    <row r="79" spans="1:9" s="75" customFormat="1">
      <c r="A79" s="88">
        <v>5005116292</v>
      </c>
      <c r="B79" t="s">
        <v>212</v>
      </c>
      <c r="C79" t="s">
        <v>36</v>
      </c>
      <c r="D79" t="s">
        <v>57</v>
      </c>
      <c r="E79" t="s">
        <v>373</v>
      </c>
      <c r="F79" s="91" t="s">
        <v>536</v>
      </c>
      <c r="G79" s="91"/>
      <c r="H79" s="91"/>
      <c r="I79"/>
    </row>
    <row r="80" spans="1:9" s="75" customFormat="1">
      <c r="A80" s="88">
        <v>5005136291</v>
      </c>
      <c r="B80" t="s">
        <v>213</v>
      </c>
      <c r="C80" t="s">
        <v>36</v>
      </c>
      <c r="D80" t="s">
        <v>58</v>
      </c>
      <c r="E80" t="s">
        <v>364</v>
      </c>
      <c r="F80" s="91" t="s">
        <v>537</v>
      </c>
      <c r="G80" s="91"/>
      <c r="H80" s="91"/>
      <c r="I80"/>
    </row>
    <row r="81" spans="1:9" s="75" customFormat="1">
      <c r="A81" s="88">
        <v>5005166291</v>
      </c>
      <c r="B81" t="s">
        <v>214</v>
      </c>
      <c r="C81" t="s">
        <v>36</v>
      </c>
      <c r="D81" t="s">
        <v>53</v>
      </c>
      <c r="E81" t="s">
        <v>374</v>
      </c>
      <c r="F81" s="91" t="s">
        <v>686</v>
      </c>
      <c r="G81" s="91"/>
      <c r="H81" s="91"/>
      <c r="I81"/>
    </row>
    <row r="82" spans="1:9" s="75" customFormat="1">
      <c r="A82" s="88">
        <v>5005186292</v>
      </c>
      <c r="B82" t="s">
        <v>215</v>
      </c>
      <c r="C82" t="s">
        <v>36</v>
      </c>
      <c r="D82" t="s">
        <v>48</v>
      </c>
      <c r="E82" t="s">
        <v>375</v>
      </c>
      <c r="F82" s="91" t="s">
        <v>538</v>
      </c>
      <c r="G82" s="91"/>
      <c r="H82" s="91"/>
      <c r="I82"/>
    </row>
    <row r="83" spans="1:9" s="75" customFormat="1">
      <c r="A83" s="88">
        <v>5005196373</v>
      </c>
      <c r="B83" t="s">
        <v>376</v>
      </c>
      <c r="C83" t="s">
        <v>151</v>
      </c>
      <c r="D83" t="s">
        <v>63</v>
      </c>
      <c r="E83" t="s">
        <v>377</v>
      </c>
      <c r="F83" s="91" t="s">
        <v>687</v>
      </c>
      <c r="G83" s="91">
        <v>5005196373</v>
      </c>
      <c r="H83" s="91">
        <v>5005196373</v>
      </c>
      <c r="I83" t="s">
        <v>352</v>
      </c>
    </row>
    <row r="84" spans="1:9" s="75" customFormat="1">
      <c r="A84" s="88">
        <v>5005196277</v>
      </c>
      <c r="B84" t="s">
        <v>378</v>
      </c>
      <c r="C84" t="s">
        <v>31</v>
      </c>
      <c r="D84" t="s">
        <v>63</v>
      </c>
      <c r="E84" t="s">
        <v>377</v>
      </c>
      <c r="F84" s="91" t="s">
        <v>688</v>
      </c>
      <c r="G84" s="91">
        <v>5005196277</v>
      </c>
      <c r="H84" s="91">
        <v>5005196277</v>
      </c>
      <c r="I84" t="s">
        <v>352</v>
      </c>
    </row>
    <row r="85" spans="1:9" s="75" customFormat="1">
      <c r="A85" s="88">
        <v>5005246291</v>
      </c>
      <c r="B85" t="s">
        <v>216</v>
      </c>
      <c r="C85" t="s">
        <v>36</v>
      </c>
      <c r="D85" t="s">
        <v>99</v>
      </c>
      <c r="E85" t="s">
        <v>366</v>
      </c>
      <c r="F85" s="91" t="s">
        <v>539</v>
      </c>
      <c r="G85" s="91"/>
      <c r="H85" s="91"/>
      <c r="I85"/>
    </row>
    <row r="86" spans="1:9" s="75" customFormat="1">
      <c r="A86" s="88">
        <v>5005246292</v>
      </c>
      <c r="B86" t="s">
        <v>217</v>
      </c>
      <c r="C86" t="s">
        <v>36</v>
      </c>
      <c r="D86" t="s">
        <v>64</v>
      </c>
      <c r="E86" t="s">
        <v>379</v>
      </c>
      <c r="F86" s="91" t="s">
        <v>540</v>
      </c>
      <c r="G86" s="91"/>
      <c r="H86" s="91"/>
      <c r="I86"/>
    </row>
    <row r="87" spans="1:9" s="75" customFormat="1">
      <c r="A87" s="88">
        <v>5005246294</v>
      </c>
      <c r="B87" t="s">
        <v>399</v>
      </c>
      <c r="C87" t="s">
        <v>36</v>
      </c>
      <c r="D87" t="s">
        <v>64</v>
      </c>
      <c r="E87" t="s">
        <v>379</v>
      </c>
      <c r="F87" s="91" t="s">
        <v>689</v>
      </c>
      <c r="G87" s="91"/>
      <c r="H87" s="91"/>
      <c r="I87" t="s">
        <v>449</v>
      </c>
    </row>
    <row r="88" spans="1:9" s="75" customFormat="1">
      <c r="A88" s="88">
        <v>5005256291</v>
      </c>
      <c r="B88" t="s">
        <v>218</v>
      </c>
      <c r="C88" t="s">
        <v>36</v>
      </c>
      <c r="D88" t="s">
        <v>62</v>
      </c>
      <c r="E88" t="s">
        <v>380</v>
      </c>
      <c r="F88" s="91" t="s">
        <v>541</v>
      </c>
      <c r="G88" s="91"/>
      <c r="H88" s="91"/>
      <c r="I88"/>
    </row>
    <row r="89" spans="1:9" s="75" customFormat="1">
      <c r="A89" s="88">
        <v>5101016174</v>
      </c>
      <c r="B89" t="s">
        <v>219</v>
      </c>
      <c r="C89" t="s">
        <v>132</v>
      </c>
      <c r="D89" t="s">
        <v>102</v>
      </c>
      <c r="E89" t="s">
        <v>12</v>
      </c>
      <c r="F89" s="91" t="s">
        <v>542</v>
      </c>
      <c r="G89" s="91"/>
      <c r="H89" s="91"/>
      <c r="I89"/>
    </row>
    <row r="90" spans="1:9" s="75" customFormat="1">
      <c r="A90" s="88">
        <v>5101016179</v>
      </c>
      <c r="B90" t="s">
        <v>220</v>
      </c>
      <c r="C90" t="s">
        <v>132</v>
      </c>
      <c r="D90" t="s">
        <v>43</v>
      </c>
      <c r="E90" t="s">
        <v>381</v>
      </c>
      <c r="F90" s="91" t="s">
        <v>543</v>
      </c>
      <c r="G90" s="91"/>
      <c r="H90" s="91"/>
      <c r="I90"/>
    </row>
    <row r="91" spans="1:9" s="75" customFormat="1">
      <c r="A91" s="88">
        <v>5101016187</v>
      </c>
      <c r="B91" t="s">
        <v>221</v>
      </c>
      <c r="C91" t="s">
        <v>132</v>
      </c>
      <c r="D91" t="s">
        <v>117</v>
      </c>
      <c r="E91" t="s">
        <v>382</v>
      </c>
      <c r="F91" s="91" t="s">
        <v>544</v>
      </c>
      <c r="G91" s="91"/>
      <c r="H91" s="91"/>
      <c r="I91"/>
    </row>
    <row r="92" spans="1:9" s="75" customFormat="1">
      <c r="A92" s="88">
        <v>5101016189</v>
      </c>
      <c r="B92" t="s">
        <v>383</v>
      </c>
      <c r="C92" t="s">
        <v>34</v>
      </c>
      <c r="D92" t="s">
        <v>116</v>
      </c>
      <c r="E92" t="s">
        <v>14</v>
      </c>
      <c r="F92" s="91" t="s">
        <v>690</v>
      </c>
      <c r="G92" s="91"/>
      <c r="H92" s="91"/>
      <c r="I92" t="s">
        <v>352</v>
      </c>
    </row>
    <row r="93" spans="1:9" s="75" customFormat="1">
      <c r="A93" s="88">
        <v>6004046511</v>
      </c>
      <c r="B93" t="s">
        <v>222</v>
      </c>
      <c r="C93" t="s">
        <v>128</v>
      </c>
      <c r="D93" t="s">
        <v>41</v>
      </c>
      <c r="E93" t="s">
        <v>149</v>
      </c>
      <c r="F93" s="91"/>
      <c r="G93" s="91"/>
      <c r="H93" s="91">
        <v>6004046511</v>
      </c>
      <c r="I93"/>
    </row>
    <row r="94" spans="1:9" s="75" customFormat="1">
      <c r="A94" s="88">
        <v>6003036412</v>
      </c>
      <c r="B94" t="s">
        <v>223</v>
      </c>
      <c r="C94" t="s">
        <v>129</v>
      </c>
      <c r="D94" t="s">
        <v>60</v>
      </c>
      <c r="E94" t="s">
        <v>362</v>
      </c>
      <c r="F94" s="91"/>
      <c r="G94" s="91"/>
      <c r="H94" s="91">
        <v>6003036412</v>
      </c>
      <c r="I94"/>
    </row>
    <row r="95" spans="1:9" s="75" customFormat="1">
      <c r="A95" s="88">
        <v>6005016413</v>
      </c>
      <c r="B95" t="s">
        <v>224</v>
      </c>
      <c r="C95" t="s">
        <v>130</v>
      </c>
      <c r="D95" t="s">
        <v>55</v>
      </c>
      <c r="E95" t="s">
        <v>353</v>
      </c>
      <c r="F95" s="91"/>
      <c r="G95" s="91"/>
      <c r="H95" s="91">
        <v>6005016413</v>
      </c>
      <c r="I95"/>
    </row>
    <row r="96" spans="1:9" s="75" customFormat="1">
      <c r="A96" s="88">
        <v>6005016414</v>
      </c>
      <c r="B96" t="s">
        <v>403</v>
      </c>
      <c r="C96" t="s">
        <v>130</v>
      </c>
      <c r="D96" t="s">
        <v>104</v>
      </c>
      <c r="E96" t="s">
        <v>354</v>
      </c>
      <c r="F96" s="91"/>
      <c r="G96" s="91">
        <v>6005016414</v>
      </c>
      <c r="H96" s="91">
        <v>6005016414</v>
      </c>
      <c r="I96" t="s">
        <v>448</v>
      </c>
    </row>
    <row r="97" spans="1:9" s="75" customFormat="1">
      <c r="A97" s="88">
        <v>6006016521</v>
      </c>
      <c r="B97" t="s">
        <v>225</v>
      </c>
      <c r="C97" t="s">
        <v>21</v>
      </c>
      <c r="D97" t="s">
        <v>45</v>
      </c>
      <c r="E97" t="s">
        <v>356</v>
      </c>
      <c r="F97" s="91"/>
      <c r="G97" s="91"/>
      <c r="H97" s="91">
        <v>6006016521</v>
      </c>
      <c r="I97"/>
    </row>
    <row r="98" spans="1:9" s="75" customFormat="1">
      <c r="A98" s="88">
        <v>6006016522</v>
      </c>
      <c r="B98" t="s">
        <v>133</v>
      </c>
      <c r="C98" t="s">
        <v>21</v>
      </c>
      <c r="D98" t="s">
        <v>45</v>
      </c>
      <c r="E98" t="s">
        <v>356</v>
      </c>
      <c r="F98" s="91"/>
      <c r="G98" s="91"/>
      <c r="H98" s="91">
        <v>6006016522</v>
      </c>
      <c r="I98"/>
    </row>
    <row r="99" spans="1:9" s="75" customFormat="1">
      <c r="A99" s="88">
        <v>6006016523</v>
      </c>
      <c r="B99" t="s">
        <v>134</v>
      </c>
      <c r="C99" t="s">
        <v>21</v>
      </c>
      <c r="D99" t="s">
        <v>45</v>
      </c>
      <c r="E99" t="s">
        <v>356</v>
      </c>
      <c r="F99" s="91"/>
      <c r="G99" s="91"/>
      <c r="H99" s="91">
        <v>6006016523</v>
      </c>
      <c r="I99"/>
    </row>
    <row r="100" spans="1:9" s="75" customFormat="1">
      <c r="A100" s="88">
        <v>6006016524</v>
      </c>
      <c r="B100" t="s">
        <v>135</v>
      </c>
      <c r="C100" t="s">
        <v>21</v>
      </c>
      <c r="D100" t="s">
        <v>45</v>
      </c>
      <c r="E100" t="s">
        <v>356</v>
      </c>
      <c r="F100" s="91"/>
      <c r="G100" s="91"/>
      <c r="H100" s="91">
        <v>6006016524</v>
      </c>
      <c r="I100"/>
    </row>
    <row r="101" spans="1:9" s="75" customFormat="1">
      <c r="A101" s="88">
        <v>6006016525</v>
      </c>
      <c r="B101" t="s">
        <v>136</v>
      </c>
      <c r="C101" t="s">
        <v>21</v>
      </c>
      <c r="D101" t="s">
        <v>45</v>
      </c>
      <c r="E101" t="s">
        <v>356</v>
      </c>
      <c r="F101" s="91"/>
      <c r="G101" s="91"/>
      <c r="H101" s="91">
        <v>6006016525</v>
      </c>
      <c r="I101"/>
    </row>
    <row r="102" spans="1:9" s="75" customFormat="1">
      <c r="A102" s="88">
        <v>6006016526</v>
      </c>
      <c r="B102" t="s">
        <v>226</v>
      </c>
      <c r="C102" t="s">
        <v>21</v>
      </c>
      <c r="D102" t="s">
        <v>45</v>
      </c>
      <c r="E102" t="s">
        <v>356</v>
      </c>
      <c r="F102" s="91"/>
      <c r="G102" s="91"/>
      <c r="H102" s="91">
        <v>6006016526</v>
      </c>
      <c r="I102"/>
    </row>
    <row r="103" spans="1:9" s="75" customFormat="1">
      <c r="A103" s="88">
        <v>6006016527</v>
      </c>
      <c r="B103" t="s">
        <v>227</v>
      </c>
      <c r="C103" t="s">
        <v>21</v>
      </c>
      <c r="D103" t="s">
        <v>45</v>
      </c>
      <c r="E103" t="s">
        <v>356</v>
      </c>
      <c r="F103" s="91"/>
      <c r="G103" s="91"/>
      <c r="H103" s="91">
        <v>6006016527</v>
      </c>
      <c r="I103"/>
    </row>
    <row r="104" spans="1:9" s="75" customFormat="1">
      <c r="A104" s="88">
        <v>6006016528</v>
      </c>
      <c r="B104" t="s">
        <v>137</v>
      </c>
      <c r="C104" t="s">
        <v>21</v>
      </c>
      <c r="D104" t="s">
        <v>45</v>
      </c>
      <c r="E104" t="s">
        <v>356</v>
      </c>
      <c r="F104" s="91"/>
      <c r="G104" s="91"/>
      <c r="H104" s="91">
        <v>6006016528</v>
      </c>
      <c r="I104"/>
    </row>
    <row r="105" spans="1:9" s="75" customFormat="1">
      <c r="A105" s="88">
        <v>6006016529</v>
      </c>
      <c r="B105" t="s">
        <v>138</v>
      </c>
      <c r="C105" t="s">
        <v>21</v>
      </c>
      <c r="D105" t="s">
        <v>45</v>
      </c>
      <c r="E105" t="s">
        <v>356</v>
      </c>
      <c r="F105" s="91"/>
      <c r="G105" s="91"/>
      <c r="H105" s="91">
        <v>6006016529</v>
      </c>
      <c r="I105"/>
    </row>
    <row r="106" spans="1:9" s="75" customFormat="1">
      <c r="A106" s="88">
        <v>6006016530</v>
      </c>
      <c r="B106" t="s">
        <v>139</v>
      </c>
      <c r="C106" t="s">
        <v>21</v>
      </c>
      <c r="D106" t="s">
        <v>45</v>
      </c>
      <c r="E106" t="s">
        <v>356</v>
      </c>
      <c r="F106" s="91"/>
      <c r="G106" s="91"/>
      <c r="H106" s="91">
        <v>6006016530</v>
      </c>
      <c r="I106"/>
    </row>
    <row r="107" spans="1:9" s="75" customFormat="1">
      <c r="A107" s="88">
        <v>6006016531</v>
      </c>
      <c r="B107" t="s">
        <v>140</v>
      </c>
      <c r="C107" t="s">
        <v>21</v>
      </c>
      <c r="D107" t="s">
        <v>45</v>
      </c>
      <c r="E107" t="s">
        <v>356</v>
      </c>
      <c r="F107" s="91"/>
      <c r="G107" s="91"/>
      <c r="H107" s="91">
        <v>6006016531</v>
      </c>
      <c r="I107"/>
    </row>
    <row r="108" spans="1:9" s="75" customFormat="1">
      <c r="A108" s="88">
        <v>6006016532</v>
      </c>
      <c r="B108" t="s">
        <v>228</v>
      </c>
      <c r="C108" t="s">
        <v>21</v>
      </c>
      <c r="D108" t="s">
        <v>45</v>
      </c>
      <c r="E108" t="s">
        <v>356</v>
      </c>
      <c r="F108" s="91"/>
      <c r="G108" s="91"/>
      <c r="H108" s="91">
        <v>6006016532</v>
      </c>
      <c r="I108"/>
    </row>
    <row r="109" spans="1:9" s="75" customFormat="1">
      <c r="A109" s="88">
        <v>6006016533</v>
      </c>
      <c r="B109" t="s">
        <v>229</v>
      </c>
      <c r="C109" t="s">
        <v>21</v>
      </c>
      <c r="D109" t="s">
        <v>45</v>
      </c>
      <c r="E109" t="s">
        <v>356</v>
      </c>
      <c r="F109" s="91"/>
      <c r="G109" s="91"/>
      <c r="H109" s="91">
        <v>6006016533</v>
      </c>
      <c r="I109"/>
    </row>
    <row r="110" spans="1:9" s="75" customFormat="1">
      <c r="A110" s="88">
        <v>6006016534</v>
      </c>
      <c r="B110" t="s">
        <v>230</v>
      </c>
      <c r="C110" t="s">
        <v>21</v>
      </c>
      <c r="D110" t="s">
        <v>45</v>
      </c>
      <c r="E110" t="s">
        <v>356</v>
      </c>
      <c r="F110" s="91"/>
      <c r="G110" s="91"/>
      <c r="H110" s="91">
        <v>6006016534</v>
      </c>
      <c r="I110"/>
    </row>
    <row r="111" spans="1:9" s="75" customFormat="1">
      <c r="A111" s="88">
        <v>6006016535</v>
      </c>
      <c r="B111" t="s">
        <v>231</v>
      </c>
      <c r="C111" t="s">
        <v>21</v>
      </c>
      <c r="D111" t="s">
        <v>45</v>
      </c>
      <c r="E111" t="s">
        <v>356</v>
      </c>
      <c r="F111" s="91"/>
      <c r="G111" s="91"/>
      <c r="H111" s="91">
        <v>6006016535</v>
      </c>
      <c r="I111"/>
    </row>
    <row r="112" spans="1:9" s="75" customFormat="1">
      <c r="A112" s="88">
        <v>6006016536</v>
      </c>
      <c r="B112" t="s">
        <v>94</v>
      </c>
      <c r="C112" t="s">
        <v>21</v>
      </c>
      <c r="D112" t="s">
        <v>45</v>
      </c>
      <c r="E112" t="s">
        <v>356</v>
      </c>
      <c r="F112" s="91"/>
      <c r="G112" s="91"/>
      <c r="H112" s="91">
        <v>6006016536</v>
      </c>
      <c r="I112"/>
    </row>
    <row r="113" spans="1:9" s="75" customFormat="1">
      <c r="A113" s="88">
        <v>6006016537</v>
      </c>
      <c r="B113" t="s">
        <v>232</v>
      </c>
      <c r="C113" t="s">
        <v>21</v>
      </c>
      <c r="D113" t="s">
        <v>45</v>
      </c>
      <c r="E113" t="s">
        <v>356</v>
      </c>
      <c r="F113" s="91"/>
      <c r="G113" s="91"/>
      <c r="H113" s="91">
        <v>6006016537</v>
      </c>
      <c r="I113"/>
    </row>
    <row r="114" spans="1:9" s="75" customFormat="1">
      <c r="A114" s="88">
        <v>6006016538</v>
      </c>
      <c r="B114" t="s">
        <v>233</v>
      </c>
      <c r="C114" t="s">
        <v>21</v>
      </c>
      <c r="D114" t="s">
        <v>45</v>
      </c>
      <c r="E114" t="s">
        <v>356</v>
      </c>
      <c r="F114" s="91"/>
      <c r="G114" s="91"/>
      <c r="H114" s="91">
        <v>6006016538</v>
      </c>
      <c r="I114"/>
    </row>
    <row r="115" spans="1:9" s="75" customFormat="1">
      <c r="A115" s="88">
        <v>6006016539</v>
      </c>
      <c r="B115" t="s">
        <v>234</v>
      </c>
      <c r="C115" t="s">
        <v>21</v>
      </c>
      <c r="D115" t="s">
        <v>45</v>
      </c>
      <c r="E115" t="s">
        <v>356</v>
      </c>
      <c r="F115" s="91"/>
      <c r="G115" s="91"/>
      <c r="H115" s="91">
        <v>6006016539</v>
      </c>
      <c r="I115"/>
    </row>
    <row r="116" spans="1:9" s="75" customFormat="1">
      <c r="A116" s="88">
        <v>6006016540</v>
      </c>
      <c r="B116" t="s">
        <v>235</v>
      </c>
      <c r="C116" t="s">
        <v>21</v>
      </c>
      <c r="D116" t="s">
        <v>45</v>
      </c>
      <c r="E116" t="s">
        <v>356</v>
      </c>
      <c r="F116" s="91"/>
      <c r="G116" s="91"/>
      <c r="H116" s="91">
        <v>6006016540</v>
      </c>
      <c r="I116"/>
    </row>
    <row r="117" spans="1:9" s="75" customFormat="1">
      <c r="A117" s="88">
        <v>6005046541</v>
      </c>
      <c r="B117" t="s">
        <v>236</v>
      </c>
      <c r="C117" t="s">
        <v>95</v>
      </c>
      <c r="D117" t="s">
        <v>59</v>
      </c>
      <c r="E117" t="s">
        <v>359</v>
      </c>
      <c r="F117" s="91"/>
      <c r="G117" s="91"/>
      <c r="H117" s="91">
        <v>6005046541</v>
      </c>
      <c r="I117"/>
    </row>
    <row r="118" spans="1:9" s="75" customFormat="1">
      <c r="A118" s="88">
        <v>6005046542</v>
      </c>
      <c r="B118" t="s">
        <v>237</v>
      </c>
      <c r="C118" t="s">
        <v>95</v>
      </c>
      <c r="D118" t="s">
        <v>59</v>
      </c>
      <c r="E118" t="s">
        <v>359</v>
      </c>
      <c r="F118" s="91"/>
      <c r="G118" s="91"/>
      <c r="H118" s="91">
        <v>6005046542</v>
      </c>
      <c r="I118"/>
    </row>
    <row r="119" spans="1:9" s="75" customFormat="1">
      <c r="A119" s="88">
        <v>6003016541</v>
      </c>
      <c r="B119" t="s">
        <v>238</v>
      </c>
      <c r="C119" t="s">
        <v>96</v>
      </c>
      <c r="D119" t="s">
        <v>50</v>
      </c>
      <c r="E119" t="s">
        <v>370</v>
      </c>
      <c r="F119" s="91"/>
      <c r="G119" s="91"/>
      <c r="H119" s="91">
        <v>6003016541</v>
      </c>
      <c r="I119"/>
    </row>
    <row r="120" spans="1:9" s="75" customFormat="1">
      <c r="A120" s="88">
        <v>6003026541</v>
      </c>
      <c r="B120" t="s">
        <v>239</v>
      </c>
      <c r="C120" t="s">
        <v>96</v>
      </c>
      <c r="D120" t="s">
        <v>64</v>
      </c>
      <c r="E120" t="s">
        <v>379</v>
      </c>
      <c r="F120" s="91"/>
      <c r="G120" s="91"/>
      <c r="H120" s="91">
        <v>6003026541</v>
      </c>
      <c r="I120"/>
    </row>
    <row r="121" spans="1:9" s="75" customFormat="1">
      <c r="A121" s="88">
        <v>6003036541</v>
      </c>
      <c r="B121" t="s">
        <v>240</v>
      </c>
      <c r="C121" t="s">
        <v>96</v>
      </c>
      <c r="D121" t="s">
        <v>61</v>
      </c>
      <c r="E121" t="s">
        <v>361</v>
      </c>
      <c r="F121" s="91"/>
      <c r="G121" s="91"/>
      <c r="H121" s="91">
        <v>6003036541</v>
      </c>
      <c r="I121"/>
    </row>
    <row r="122" spans="1:9" s="75" customFormat="1">
      <c r="A122" s="88">
        <v>6003036542</v>
      </c>
      <c r="B122" t="s">
        <v>241</v>
      </c>
      <c r="C122" t="s">
        <v>96</v>
      </c>
      <c r="D122" t="s">
        <v>61</v>
      </c>
      <c r="E122" t="s">
        <v>361</v>
      </c>
      <c r="F122" s="91"/>
      <c r="G122" s="91"/>
      <c r="H122" s="91">
        <v>6003036542</v>
      </c>
      <c r="I122"/>
    </row>
    <row r="123" spans="1:9" s="75" customFormat="1">
      <c r="A123" s="88">
        <v>6003036543</v>
      </c>
      <c r="B123" t="s">
        <v>242</v>
      </c>
      <c r="C123" t="s">
        <v>96</v>
      </c>
      <c r="D123" t="s">
        <v>61</v>
      </c>
      <c r="E123" t="s">
        <v>361</v>
      </c>
      <c r="F123" s="91" t="s">
        <v>545</v>
      </c>
      <c r="G123" s="91"/>
      <c r="H123" s="91">
        <v>6003036543</v>
      </c>
      <c r="I123"/>
    </row>
    <row r="124" spans="1:9" s="75" customFormat="1">
      <c r="A124" s="88">
        <v>6003036544</v>
      </c>
      <c r="B124" t="s">
        <v>243</v>
      </c>
      <c r="C124" t="s">
        <v>96</v>
      </c>
      <c r="D124" t="s">
        <v>61</v>
      </c>
      <c r="E124" t="s">
        <v>361</v>
      </c>
      <c r="F124" s="91" t="s">
        <v>546</v>
      </c>
      <c r="G124" s="91">
        <v>6003036544</v>
      </c>
      <c r="H124" s="91">
        <v>6003036544</v>
      </c>
      <c r="I124"/>
    </row>
    <row r="125" spans="1:9" s="75" customFormat="1">
      <c r="A125" s="88">
        <v>6003036545</v>
      </c>
      <c r="B125" t="s">
        <v>244</v>
      </c>
      <c r="C125" t="s">
        <v>96</v>
      </c>
      <c r="D125" t="s">
        <v>61</v>
      </c>
      <c r="E125" t="s">
        <v>361</v>
      </c>
      <c r="F125" s="91"/>
      <c r="G125" s="91"/>
      <c r="H125" s="91">
        <v>6003036545</v>
      </c>
      <c r="I125"/>
    </row>
    <row r="126" spans="1:9" s="75" customFormat="1">
      <c r="A126" s="88">
        <v>6003036546</v>
      </c>
      <c r="B126" t="s">
        <v>245</v>
      </c>
      <c r="C126" t="s">
        <v>96</v>
      </c>
      <c r="D126" t="s">
        <v>61</v>
      </c>
      <c r="E126" t="s">
        <v>361</v>
      </c>
      <c r="F126" s="91"/>
      <c r="G126" s="91"/>
      <c r="H126" s="91">
        <v>6003036546</v>
      </c>
      <c r="I126"/>
    </row>
    <row r="127" spans="1:9" s="75" customFormat="1">
      <c r="A127" s="88">
        <v>6003036547</v>
      </c>
      <c r="B127" t="s">
        <v>246</v>
      </c>
      <c r="C127" t="s">
        <v>96</v>
      </c>
      <c r="D127" t="s">
        <v>61</v>
      </c>
      <c r="E127" t="s">
        <v>361</v>
      </c>
      <c r="F127" s="91"/>
      <c r="G127" s="91"/>
      <c r="H127" s="91">
        <v>6003036547</v>
      </c>
      <c r="I127"/>
    </row>
    <row r="128" spans="1:9" s="75" customFormat="1">
      <c r="A128" s="88">
        <v>6003036548</v>
      </c>
      <c r="B128" t="s">
        <v>247</v>
      </c>
      <c r="C128" t="s">
        <v>96</v>
      </c>
      <c r="D128" t="s">
        <v>61</v>
      </c>
      <c r="E128" t="s">
        <v>361</v>
      </c>
      <c r="F128" s="91"/>
      <c r="G128" s="91"/>
      <c r="H128" s="91">
        <v>6003036548</v>
      </c>
      <c r="I128"/>
    </row>
    <row r="129" spans="1:9" s="75" customFormat="1">
      <c r="A129" s="88">
        <v>6003036549</v>
      </c>
      <c r="B129" t="s">
        <v>248</v>
      </c>
      <c r="C129" t="s">
        <v>96</v>
      </c>
      <c r="D129" t="s">
        <v>61</v>
      </c>
      <c r="E129" t="s">
        <v>361</v>
      </c>
      <c r="F129" s="91"/>
      <c r="G129" s="91"/>
      <c r="H129" s="91">
        <v>6003036549</v>
      </c>
      <c r="I129"/>
    </row>
    <row r="130" spans="1:9" s="75" customFormat="1">
      <c r="A130" s="88">
        <v>6003036550</v>
      </c>
      <c r="B130" t="s">
        <v>249</v>
      </c>
      <c r="C130" t="s">
        <v>96</v>
      </c>
      <c r="D130" t="s">
        <v>61</v>
      </c>
      <c r="E130" t="s">
        <v>361</v>
      </c>
      <c r="F130" s="91"/>
      <c r="G130" s="91"/>
      <c r="H130" s="91">
        <v>6003036550</v>
      </c>
      <c r="I130"/>
    </row>
    <row r="131" spans="1:9" s="75" customFormat="1">
      <c r="A131" s="88">
        <v>6003036551</v>
      </c>
      <c r="B131" t="s">
        <v>250</v>
      </c>
      <c r="C131" t="s">
        <v>96</v>
      </c>
      <c r="D131" t="s">
        <v>61</v>
      </c>
      <c r="E131" t="s">
        <v>361</v>
      </c>
      <c r="F131" s="91"/>
      <c r="G131" s="91"/>
      <c r="H131" s="91">
        <v>6003036551</v>
      </c>
      <c r="I131"/>
    </row>
    <row r="132" spans="1:9" s="75" customFormat="1">
      <c r="A132" s="88">
        <v>6003036552</v>
      </c>
      <c r="B132" t="s">
        <v>251</v>
      </c>
      <c r="C132" t="s">
        <v>96</v>
      </c>
      <c r="D132" t="s">
        <v>61</v>
      </c>
      <c r="E132" t="s">
        <v>361</v>
      </c>
      <c r="F132" s="91" t="s">
        <v>547</v>
      </c>
      <c r="G132" s="91"/>
      <c r="H132" s="91">
        <v>6003036552</v>
      </c>
      <c r="I132"/>
    </row>
    <row r="133" spans="1:9" s="75" customFormat="1">
      <c r="A133" s="88">
        <v>6003036554</v>
      </c>
      <c r="B133" t="s">
        <v>405</v>
      </c>
      <c r="C133" t="s">
        <v>96</v>
      </c>
      <c r="D133" t="s">
        <v>61</v>
      </c>
      <c r="E133" t="s">
        <v>361</v>
      </c>
      <c r="F133" s="91" t="s">
        <v>548</v>
      </c>
      <c r="G133" s="91">
        <v>6003036554</v>
      </c>
      <c r="H133" s="91">
        <v>6003036554</v>
      </c>
      <c r="I133" t="s">
        <v>448</v>
      </c>
    </row>
    <row r="134" spans="1:9" s="75" customFormat="1">
      <c r="A134" s="88">
        <v>6003036555</v>
      </c>
      <c r="B134" t="s">
        <v>406</v>
      </c>
      <c r="C134" t="s">
        <v>96</v>
      </c>
      <c r="D134" t="s">
        <v>61</v>
      </c>
      <c r="E134" t="s">
        <v>361</v>
      </c>
      <c r="F134" s="91" t="s">
        <v>549</v>
      </c>
      <c r="G134" s="91">
        <v>6003036555</v>
      </c>
      <c r="H134" s="91">
        <v>6003036555</v>
      </c>
      <c r="I134" t="s">
        <v>448</v>
      </c>
    </row>
    <row r="135" spans="1:9" s="75" customFormat="1">
      <c r="A135" s="88">
        <v>6003036556</v>
      </c>
      <c r="B135" t="s">
        <v>407</v>
      </c>
      <c r="C135" t="s">
        <v>96</v>
      </c>
      <c r="D135" t="s">
        <v>61</v>
      </c>
      <c r="E135" t="s">
        <v>361</v>
      </c>
      <c r="F135" s="91" t="s">
        <v>550</v>
      </c>
      <c r="G135" s="91">
        <v>6003036556</v>
      </c>
      <c r="H135" s="91">
        <v>6003036556</v>
      </c>
      <c r="I135" t="s">
        <v>448</v>
      </c>
    </row>
    <row r="136" spans="1:9" s="75" customFormat="1">
      <c r="A136" s="88">
        <v>6003036557</v>
      </c>
      <c r="B136" t="s">
        <v>408</v>
      </c>
      <c r="C136" t="s">
        <v>96</v>
      </c>
      <c r="D136" t="s">
        <v>61</v>
      </c>
      <c r="E136" t="s">
        <v>361</v>
      </c>
      <c r="F136" s="91" t="s">
        <v>551</v>
      </c>
      <c r="G136" s="91">
        <v>6003036557</v>
      </c>
      <c r="H136" s="91">
        <v>6003036557</v>
      </c>
      <c r="I136" t="s">
        <v>448</v>
      </c>
    </row>
    <row r="137" spans="1:9" s="75" customFormat="1">
      <c r="A137" s="88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91"/>
      <c r="G137" s="91"/>
      <c r="H137" s="91">
        <v>6004096541</v>
      </c>
      <c r="I137"/>
    </row>
    <row r="138" spans="1:9" s="75" customFormat="1">
      <c r="A138" s="88">
        <v>6005056541</v>
      </c>
      <c r="B138" t="s">
        <v>253</v>
      </c>
      <c r="C138" t="s">
        <v>96</v>
      </c>
      <c r="D138" t="s">
        <v>97</v>
      </c>
      <c r="E138" t="s">
        <v>360</v>
      </c>
      <c r="F138" s="91"/>
      <c r="G138" s="91"/>
      <c r="H138" s="91">
        <v>6005056541</v>
      </c>
      <c r="I138"/>
    </row>
    <row r="139" spans="1:9" s="75" customFormat="1">
      <c r="A139" s="88">
        <v>6005056542</v>
      </c>
      <c r="B139" t="s">
        <v>254</v>
      </c>
      <c r="C139" t="s">
        <v>96</v>
      </c>
      <c r="D139" t="s">
        <v>97</v>
      </c>
      <c r="E139" t="s">
        <v>360</v>
      </c>
      <c r="F139" s="91"/>
      <c r="G139" s="91"/>
      <c r="H139" s="91">
        <v>6005056542</v>
      </c>
      <c r="I139"/>
    </row>
    <row r="140" spans="1:9" s="75" customFormat="1">
      <c r="A140" s="88">
        <v>6005056543</v>
      </c>
      <c r="B140" t="s">
        <v>255</v>
      </c>
      <c r="C140" t="s">
        <v>96</v>
      </c>
      <c r="D140" t="s">
        <v>97</v>
      </c>
      <c r="E140" t="s">
        <v>360</v>
      </c>
      <c r="F140" s="91"/>
      <c r="G140" s="91"/>
      <c r="H140" s="91">
        <v>6005056543</v>
      </c>
      <c r="I140"/>
    </row>
    <row r="141" spans="1:9" s="75" customFormat="1">
      <c r="A141" s="88">
        <v>6005136541</v>
      </c>
      <c r="B141" t="s">
        <v>256</v>
      </c>
      <c r="C141" t="s">
        <v>96</v>
      </c>
      <c r="D141" t="s">
        <v>58</v>
      </c>
      <c r="E141" t="s">
        <v>364</v>
      </c>
      <c r="F141" s="91"/>
      <c r="G141" s="91"/>
      <c r="H141" s="91">
        <v>6005136541</v>
      </c>
      <c r="I141"/>
    </row>
    <row r="142" spans="1:9" s="75" customFormat="1">
      <c r="A142" s="88">
        <v>6005146541</v>
      </c>
      <c r="B142" t="s">
        <v>257</v>
      </c>
      <c r="C142" t="s">
        <v>96</v>
      </c>
      <c r="D142" t="s">
        <v>98</v>
      </c>
      <c r="E142" t="s">
        <v>365</v>
      </c>
      <c r="F142" s="91"/>
      <c r="G142" s="91"/>
      <c r="H142" s="91">
        <v>6005146541</v>
      </c>
      <c r="I142"/>
    </row>
    <row r="143" spans="1:9" s="75" customFormat="1">
      <c r="A143" s="88">
        <v>6005146542</v>
      </c>
      <c r="B143" t="s">
        <v>258</v>
      </c>
      <c r="C143" t="s">
        <v>96</v>
      </c>
      <c r="D143" t="s">
        <v>98</v>
      </c>
      <c r="E143" t="s">
        <v>365</v>
      </c>
      <c r="F143" s="91"/>
      <c r="G143" s="91"/>
      <c r="H143" s="91">
        <v>6005146542</v>
      </c>
      <c r="I143"/>
    </row>
    <row r="144" spans="1:9" s="75" customFormat="1">
      <c r="A144" s="88">
        <v>6005146543</v>
      </c>
      <c r="B144" t="s">
        <v>259</v>
      </c>
      <c r="C144" t="s">
        <v>96</v>
      </c>
      <c r="D144" t="s">
        <v>98</v>
      </c>
      <c r="E144" t="s">
        <v>365</v>
      </c>
      <c r="F144" s="91"/>
      <c r="G144" s="91"/>
      <c r="H144" s="91">
        <v>6005146543</v>
      </c>
      <c r="I144"/>
    </row>
    <row r="145" spans="1:9" s="75" customFormat="1">
      <c r="A145" s="88">
        <v>6005156541</v>
      </c>
      <c r="B145" t="s">
        <v>260</v>
      </c>
      <c r="C145" t="s">
        <v>96</v>
      </c>
      <c r="D145" t="s">
        <v>64</v>
      </c>
      <c r="E145" t="s">
        <v>379</v>
      </c>
      <c r="F145" s="91"/>
      <c r="G145" s="91"/>
      <c r="H145" s="91">
        <v>6005156541</v>
      </c>
      <c r="I145"/>
    </row>
    <row r="146" spans="1:9" s="75" customFormat="1">
      <c r="A146" s="88">
        <v>6005206541</v>
      </c>
      <c r="B146" t="s">
        <v>261</v>
      </c>
      <c r="C146" t="s">
        <v>96</v>
      </c>
      <c r="D146" t="s">
        <v>99</v>
      </c>
      <c r="E146" t="s">
        <v>366</v>
      </c>
      <c r="F146" s="91"/>
      <c r="G146" s="91"/>
      <c r="H146" s="91">
        <v>6005206541</v>
      </c>
      <c r="I146"/>
    </row>
    <row r="147" spans="1:9" s="75" customFormat="1">
      <c r="A147" s="88">
        <v>6005216541</v>
      </c>
      <c r="B147" t="s">
        <v>262</v>
      </c>
      <c r="C147" t="s">
        <v>96</v>
      </c>
      <c r="D147" t="s">
        <v>51</v>
      </c>
      <c r="E147" t="s">
        <v>367</v>
      </c>
      <c r="F147" s="91"/>
      <c r="G147" s="91"/>
      <c r="H147" s="91">
        <v>6005216541</v>
      </c>
      <c r="I147"/>
    </row>
    <row r="148" spans="1:9" s="75" customFormat="1">
      <c r="A148" s="88">
        <v>6005226541</v>
      </c>
      <c r="B148" t="s">
        <v>263</v>
      </c>
      <c r="C148" t="s">
        <v>96</v>
      </c>
      <c r="D148" t="s">
        <v>49</v>
      </c>
      <c r="E148" t="s">
        <v>368</v>
      </c>
      <c r="F148" s="91"/>
      <c r="G148" s="91"/>
      <c r="H148" s="91">
        <v>6005226541</v>
      </c>
      <c r="I148"/>
    </row>
    <row r="149" spans="1:9" s="75" customFormat="1">
      <c r="A149" s="88">
        <v>6005236541</v>
      </c>
      <c r="B149" t="s">
        <v>264</v>
      </c>
      <c r="C149" t="s">
        <v>96</v>
      </c>
      <c r="D149" t="s">
        <v>47</v>
      </c>
      <c r="E149" t="s">
        <v>369</v>
      </c>
      <c r="F149" s="91"/>
      <c r="G149" s="91"/>
      <c r="H149" s="91">
        <v>6005236541</v>
      </c>
      <c r="I149"/>
    </row>
    <row r="150" spans="1:9" s="75" customFormat="1">
      <c r="A150" s="88">
        <v>6005246541</v>
      </c>
      <c r="B150" t="s">
        <v>265</v>
      </c>
      <c r="C150" t="s">
        <v>96</v>
      </c>
      <c r="D150" t="s">
        <v>50</v>
      </c>
      <c r="E150" t="s">
        <v>370</v>
      </c>
      <c r="F150" s="91"/>
      <c r="G150" s="91"/>
      <c r="H150" s="91">
        <v>6005246541</v>
      </c>
      <c r="I150"/>
    </row>
    <row r="151" spans="1:9" s="75" customFormat="1">
      <c r="A151" s="88">
        <v>6005246542</v>
      </c>
      <c r="B151" t="s">
        <v>266</v>
      </c>
      <c r="C151" t="s">
        <v>96</v>
      </c>
      <c r="D151" t="s">
        <v>50</v>
      </c>
      <c r="E151" t="s">
        <v>370</v>
      </c>
      <c r="F151" s="91" t="s">
        <v>552</v>
      </c>
      <c r="G151" s="91">
        <v>6005246542</v>
      </c>
      <c r="H151" s="91">
        <v>6005246542</v>
      </c>
      <c r="I151"/>
    </row>
    <row r="152" spans="1:9" s="75" customFormat="1">
      <c r="A152" s="88">
        <v>6005246543</v>
      </c>
      <c r="B152" t="s">
        <v>267</v>
      </c>
      <c r="C152" t="s">
        <v>96</v>
      </c>
      <c r="D152" t="s">
        <v>50</v>
      </c>
      <c r="E152" t="s">
        <v>370</v>
      </c>
      <c r="F152" s="91" t="s">
        <v>553</v>
      </c>
      <c r="G152" s="91">
        <v>6005246543</v>
      </c>
      <c r="H152" s="91">
        <v>6005246543</v>
      </c>
      <c r="I152"/>
    </row>
    <row r="153" spans="1:9" s="75" customFormat="1">
      <c r="A153" s="88">
        <v>6005246544</v>
      </c>
      <c r="B153" t="s">
        <v>268</v>
      </c>
      <c r="C153" t="s">
        <v>96</v>
      </c>
      <c r="D153" t="s">
        <v>98</v>
      </c>
      <c r="E153" t="s">
        <v>365</v>
      </c>
      <c r="F153" s="91"/>
      <c r="G153" s="91"/>
      <c r="H153" s="91">
        <v>6005246544</v>
      </c>
      <c r="I153"/>
    </row>
    <row r="154" spans="1:9" s="75" customFormat="1">
      <c r="A154" s="88">
        <v>6004086551</v>
      </c>
      <c r="B154" t="s">
        <v>269</v>
      </c>
      <c r="C154" t="s">
        <v>36</v>
      </c>
      <c r="D154" t="s">
        <v>42</v>
      </c>
      <c r="E154" t="s">
        <v>371</v>
      </c>
      <c r="F154" s="91"/>
      <c r="G154" s="91"/>
      <c r="H154" s="91">
        <v>6004086551</v>
      </c>
      <c r="I154"/>
    </row>
    <row r="155" spans="1:9" s="75" customFormat="1">
      <c r="A155" s="88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91"/>
      <c r="G155" s="91"/>
      <c r="H155" s="91">
        <v>6004086553</v>
      </c>
      <c r="I155"/>
    </row>
    <row r="156" spans="1:9" s="75" customFormat="1">
      <c r="A156" s="88">
        <v>6005116551</v>
      </c>
      <c r="B156" t="s">
        <v>271</v>
      </c>
      <c r="C156" t="s">
        <v>36</v>
      </c>
      <c r="D156" t="s">
        <v>56</v>
      </c>
      <c r="E156" t="s">
        <v>372</v>
      </c>
      <c r="F156" s="91"/>
      <c r="G156" s="91"/>
      <c r="H156" s="91">
        <v>6005116551</v>
      </c>
      <c r="I156"/>
    </row>
    <row r="157" spans="1:9" s="75" customFormat="1">
      <c r="A157" s="88">
        <v>6005116552</v>
      </c>
      <c r="B157" t="s">
        <v>272</v>
      </c>
      <c r="C157" t="s">
        <v>36</v>
      </c>
      <c r="D157" t="s">
        <v>57</v>
      </c>
      <c r="E157" t="s">
        <v>373</v>
      </c>
      <c r="F157" s="91"/>
      <c r="G157" s="91"/>
      <c r="H157" s="91">
        <v>6005116552</v>
      </c>
      <c r="I157"/>
    </row>
    <row r="158" spans="1:9" s="75" customFormat="1">
      <c r="A158" s="88">
        <v>6005136551</v>
      </c>
      <c r="B158" t="s">
        <v>273</v>
      </c>
      <c r="C158" t="s">
        <v>36</v>
      </c>
      <c r="D158" t="s">
        <v>58</v>
      </c>
      <c r="E158" t="s">
        <v>364</v>
      </c>
      <c r="F158" s="91"/>
      <c r="G158" s="91"/>
      <c r="H158" s="91">
        <v>6005136551</v>
      </c>
      <c r="I158"/>
    </row>
    <row r="159" spans="1:9" s="75" customFormat="1">
      <c r="A159" s="88">
        <v>6005166551</v>
      </c>
      <c r="B159" t="s">
        <v>274</v>
      </c>
      <c r="C159" t="s">
        <v>36</v>
      </c>
      <c r="D159" t="s">
        <v>53</v>
      </c>
      <c r="E159" t="s">
        <v>374</v>
      </c>
      <c r="F159" s="91"/>
      <c r="G159" s="91"/>
      <c r="H159" s="91">
        <v>6005166551</v>
      </c>
      <c r="I159"/>
    </row>
    <row r="160" spans="1:9" s="75" customFormat="1">
      <c r="A160" s="88">
        <v>6005186552</v>
      </c>
      <c r="B160" t="s">
        <v>275</v>
      </c>
      <c r="C160" t="s">
        <v>36</v>
      </c>
      <c r="D160" t="s">
        <v>48</v>
      </c>
      <c r="E160" t="s">
        <v>375</v>
      </c>
      <c r="F160" s="91"/>
      <c r="G160" s="91"/>
      <c r="H160" s="91">
        <v>6005186552</v>
      </c>
      <c r="I160"/>
    </row>
    <row r="161" spans="1:9" s="75" customFormat="1">
      <c r="A161" s="88">
        <v>6005246551</v>
      </c>
      <c r="B161" t="s">
        <v>276</v>
      </c>
      <c r="C161" t="s">
        <v>36</v>
      </c>
      <c r="D161" t="s">
        <v>99</v>
      </c>
      <c r="E161" t="s">
        <v>366</v>
      </c>
      <c r="F161" s="91"/>
      <c r="G161" s="91"/>
      <c r="H161" s="91">
        <v>6005246551</v>
      </c>
      <c r="I161"/>
    </row>
    <row r="162" spans="1:9" s="75" customFormat="1">
      <c r="A162" s="88">
        <v>6005246552</v>
      </c>
      <c r="B162" t="s">
        <v>277</v>
      </c>
      <c r="C162" t="s">
        <v>36</v>
      </c>
      <c r="D162" t="s">
        <v>64</v>
      </c>
      <c r="E162" t="s">
        <v>379</v>
      </c>
      <c r="F162" s="91"/>
      <c r="G162" s="91"/>
      <c r="H162" s="91">
        <v>6005246552</v>
      </c>
      <c r="I162"/>
    </row>
    <row r="163" spans="1:9" s="75" customFormat="1">
      <c r="A163" s="88">
        <v>6005246553</v>
      </c>
      <c r="B163" t="s">
        <v>278</v>
      </c>
      <c r="C163" t="s">
        <v>36</v>
      </c>
      <c r="D163" t="s">
        <v>62</v>
      </c>
      <c r="E163" t="s">
        <v>380</v>
      </c>
      <c r="F163" s="91"/>
      <c r="G163" s="91"/>
      <c r="H163" s="91">
        <v>6005246553</v>
      </c>
      <c r="I163"/>
    </row>
    <row r="164" spans="1:9" s="75" customFormat="1">
      <c r="A164" s="88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91"/>
      <c r="G164" s="91">
        <v>6004046421</v>
      </c>
      <c r="H164" s="91"/>
      <c r="I164"/>
    </row>
    <row r="165" spans="1:9" s="75" customFormat="1">
      <c r="A165" s="88">
        <v>6005016422</v>
      </c>
      <c r="B165" t="s">
        <v>415</v>
      </c>
      <c r="C165" t="s">
        <v>0</v>
      </c>
      <c r="D165" t="s">
        <v>55</v>
      </c>
      <c r="E165" t="s">
        <v>353</v>
      </c>
      <c r="F165" s="91"/>
      <c r="G165" s="91">
        <v>6005016422</v>
      </c>
      <c r="H165" s="91"/>
      <c r="I165" t="s">
        <v>447</v>
      </c>
    </row>
    <row r="166" spans="1:9" s="75" customFormat="1">
      <c r="A166" s="88">
        <v>6005016423</v>
      </c>
      <c r="B166" t="s">
        <v>404</v>
      </c>
      <c r="C166" t="s">
        <v>0</v>
      </c>
      <c r="D166" t="s">
        <v>104</v>
      </c>
      <c r="E166" t="s">
        <v>354</v>
      </c>
      <c r="F166" s="91"/>
      <c r="G166" s="91">
        <v>6005016423</v>
      </c>
      <c r="H166" s="91">
        <v>6005016423</v>
      </c>
      <c r="I166" t="s">
        <v>448</v>
      </c>
    </row>
    <row r="167" spans="1:9" s="75" customFormat="1">
      <c r="A167" s="88">
        <v>6005126423</v>
      </c>
      <c r="B167" t="s">
        <v>280</v>
      </c>
      <c r="C167" t="s">
        <v>1</v>
      </c>
      <c r="D167" t="s">
        <v>98</v>
      </c>
      <c r="E167" t="s">
        <v>365</v>
      </c>
      <c r="F167" s="91"/>
      <c r="G167" s="91">
        <v>6005126423</v>
      </c>
      <c r="H167" s="91"/>
      <c r="I167"/>
    </row>
    <row r="168" spans="1:9" s="75" customFormat="1">
      <c r="A168" s="88">
        <v>6006016611</v>
      </c>
      <c r="B168" t="s">
        <v>281</v>
      </c>
      <c r="C168" t="s">
        <v>21</v>
      </c>
      <c r="D168" t="s">
        <v>45</v>
      </c>
      <c r="E168" t="s">
        <v>356</v>
      </c>
      <c r="F168" s="91"/>
      <c r="G168" s="91">
        <v>6006016611</v>
      </c>
      <c r="H168" s="91"/>
      <c r="I168"/>
    </row>
    <row r="169" spans="1:9" s="75" customFormat="1">
      <c r="A169" s="88">
        <v>6006016612</v>
      </c>
      <c r="B169" t="s">
        <v>2</v>
      </c>
      <c r="C169" t="s">
        <v>21</v>
      </c>
      <c r="D169" t="s">
        <v>45</v>
      </c>
      <c r="E169" t="s">
        <v>356</v>
      </c>
      <c r="F169" s="91"/>
      <c r="G169" s="91">
        <v>6006016612</v>
      </c>
      <c r="H169" s="91"/>
      <c r="I169"/>
    </row>
    <row r="170" spans="1:9" s="75" customFormat="1">
      <c r="A170" s="88">
        <v>6006016613</v>
      </c>
      <c r="B170" t="s">
        <v>3</v>
      </c>
      <c r="C170" t="s">
        <v>21</v>
      </c>
      <c r="D170" t="s">
        <v>45</v>
      </c>
      <c r="E170" t="s">
        <v>356</v>
      </c>
      <c r="F170" s="91"/>
      <c r="G170" s="91">
        <v>6006016613</v>
      </c>
      <c r="H170" s="91"/>
      <c r="I170"/>
    </row>
    <row r="171" spans="1:9" s="75" customFormat="1">
      <c r="A171" s="88">
        <v>6006016614</v>
      </c>
      <c r="B171" t="s">
        <v>4</v>
      </c>
      <c r="C171" t="s">
        <v>21</v>
      </c>
      <c r="D171" t="s">
        <v>45</v>
      </c>
      <c r="E171" t="s">
        <v>356</v>
      </c>
      <c r="F171" s="91"/>
      <c r="G171" s="91">
        <v>6006016614</v>
      </c>
      <c r="H171" s="91"/>
      <c r="I171"/>
    </row>
    <row r="172" spans="1:9" s="75" customFormat="1">
      <c r="A172" s="88">
        <v>6006016615</v>
      </c>
      <c r="B172" t="s">
        <v>282</v>
      </c>
      <c r="C172" t="s">
        <v>21</v>
      </c>
      <c r="D172" t="s">
        <v>45</v>
      </c>
      <c r="E172" t="s">
        <v>356</v>
      </c>
      <c r="F172" s="91"/>
      <c r="G172" s="91">
        <v>6006016615</v>
      </c>
      <c r="H172" s="91"/>
      <c r="I172"/>
    </row>
    <row r="173" spans="1:9" s="75" customFormat="1">
      <c r="A173" s="88">
        <v>6006016616</v>
      </c>
      <c r="B173" t="s">
        <v>283</v>
      </c>
      <c r="C173" t="s">
        <v>21</v>
      </c>
      <c r="D173" t="s">
        <v>45</v>
      </c>
      <c r="E173" t="s">
        <v>356</v>
      </c>
      <c r="F173" s="91"/>
      <c r="G173" s="91">
        <v>6006016616</v>
      </c>
      <c r="H173" s="91"/>
      <c r="I173"/>
    </row>
    <row r="174" spans="1:9" s="75" customFormat="1">
      <c r="A174" s="88">
        <v>6006016617</v>
      </c>
      <c r="B174" t="s">
        <v>5</v>
      </c>
      <c r="C174" t="s">
        <v>21</v>
      </c>
      <c r="D174" t="s">
        <v>45</v>
      </c>
      <c r="E174" t="s">
        <v>356</v>
      </c>
      <c r="F174" s="91"/>
      <c r="G174" s="91">
        <v>6006016617</v>
      </c>
      <c r="H174" s="91"/>
      <c r="I174"/>
    </row>
    <row r="175" spans="1:9" s="75" customFormat="1">
      <c r="A175" s="88">
        <v>6006016618</v>
      </c>
      <c r="B175" t="s">
        <v>6</v>
      </c>
      <c r="C175" t="s">
        <v>21</v>
      </c>
      <c r="D175" t="s">
        <v>45</v>
      </c>
      <c r="E175" t="s">
        <v>356</v>
      </c>
      <c r="F175" s="91"/>
      <c r="G175" s="91">
        <v>6006016618</v>
      </c>
      <c r="H175" s="91"/>
      <c r="I175"/>
    </row>
    <row r="176" spans="1:9" s="75" customFormat="1">
      <c r="A176" s="88">
        <v>6006016619</v>
      </c>
      <c r="B176" t="s">
        <v>7</v>
      </c>
      <c r="C176" t="s">
        <v>21</v>
      </c>
      <c r="D176" t="s">
        <v>45</v>
      </c>
      <c r="E176" t="s">
        <v>356</v>
      </c>
      <c r="F176" s="91"/>
      <c r="G176" s="91">
        <v>6006016619</v>
      </c>
      <c r="H176" s="91"/>
      <c r="I176"/>
    </row>
    <row r="177" spans="1:9" s="75" customFormat="1">
      <c r="A177" s="88">
        <v>6006016620</v>
      </c>
      <c r="B177" t="s">
        <v>284</v>
      </c>
      <c r="C177" t="s">
        <v>21</v>
      </c>
      <c r="D177" t="s">
        <v>45</v>
      </c>
      <c r="E177" t="s">
        <v>356</v>
      </c>
      <c r="F177" s="91"/>
      <c r="G177" s="91">
        <v>6006016620</v>
      </c>
      <c r="H177" s="91"/>
      <c r="I177"/>
    </row>
    <row r="178" spans="1:9" s="75" customFormat="1">
      <c r="A178" s="88">
        <v>6006016621</v>
      </c>
      <c r="B178" t="s">
        <v>285</v>
      </c>
      <c r="C178" t="s">
        <v>21</v>
      </c>
      <c r="D178" t="s">
        <v>45</v>
      </c>
      <c r="E178" t="s">
        <v>356</v>
      </c>
      <c r="F178" s="91"/>
      <c r="G178" s="91">
        <v>6006016621</v>
      </c>
      <c r="H178" s="91"/>
      <c r="I178"/>
    </row>
    <row r="179" spans="1:9" s="75" customFormat="1">
      <c r="A179" s="88">
        <v>6006016622</v>
      </c>
      <c r="B179" t="s">
        <v>286</v>
      </c>
      <c r="C179" t="s">
        <v>21</v>
      </c>
      <c r="D179" t="s">
        <v>45</v>
      </c>
      <c r="E179" t="s">
        <v>356</v>
      </c>
      <c r="F179" s="91"/>
      <c r="G179" s="91">
        <v>6006016622</v>
      </c>
      <c r="H179" s="91"/>
      <c r="I179"/>
    </row>
    <row r="180" spans="1:9" s="75" customFormat="1">
      <c r="A180" s="88">
        <v>6006016623</v>
      </c>
      <c r="B180" t="s">
        <v>287</v>
      </c>
      <c r="C180" t="s">
        <v>21</v>
      </c>
      <c r="D180" t="s">
        <v>45</v>
      </c>
      <c r="E180" t="s">
        <v>356</v>
      </c>
      <c r="F180" s="91"/>
      <c r="G180" s="91">
        <v>6006016623</v>
      </c>
      <c r="H180" s="91"/>
      <c r="I180"/>
    </row>
    <row r="181" spans="1:9" s="75" customFormat="1">
      <c r="A181" s="88">
        <v>6006016624</v>
      </c>
      <c r="B181" t="s">
        <v>8</v>
      </c>
      <c r="C181" t="s">
        <v>21</v>
      </c>
      <c r="D181" t="s">
        <v>45</v>
      </c>
      <c r="E181" t="s">
        <v>356</v>
      </c>
      <c r="F181" s="91"/>
      <c r="G181" s="91">
        <v>6006016624</v>
      </c>
      <c r="H181" s="91"/>
      <c r="I181"/>
    </row>
    <row r="182" spans="1:9" s="75" customFormat="1">
      <c r="A182" s="88">
        <v>6006016625</v>
      </c>
      <c r="B182" t="s">
        <v>288</v>
      </c>
      <c r="C182" t="s">
        <v>21</v>
      </c>
      <c r="D182" t="s">
        <v>45</v>
      </c>
      <c r="E182" t="s">
        <v>356</v>
      </c>
      <c r="F182" s="91"/>
      <c r="G182" s="91">
        <v>6006016625</v>
      </c>
      <c r="H182" s="91"/>
      <c r="I182"/>
    </row>
    <row r="183" spans="1:9" s="75" customFormat="1">
      <c r="A183" s="88">
        <v>6006016626</v>
      </c>
      <c r="B183" t="s">
        <v>289</v>
      </c>
      <c r="C183" t="s">
        <v>21</v>
      </c>
      <c r="D183" t="s">
        <v>45</v>
      </c>
      <c r="E183" t="s">
        <v>356</v>
      </c>
      <c r="F183" s="91"/>
      <c r="G183" s="91">
        <v>6006016626</v>
      </c>
      <c r="H183" s="91"/>
      <c r="I183"/>
    </row>
    <row r="184" spans="1:9" s="75" customFormat="1">
      <c r="A184" s="88">
        <v>6006016627</v>
      </c>
      <c r="B184" t="s">
        <v>290</v>
      </c>
      <c r="C184" t="s">
        <v>21</v>
      </c>
      <c r="D184" t="s">
        <v>45</v>
      </c>
      <c r="E184" t="s">
        <v>356</v>
      </c>
      <c r="F184" s="91"/>
      <c r="G184" s="91">
        <v>6006016627</v>
      </c>
      <c r="H184" s="91"/>
      <c r="I184"/>
    </row>
    <row r="185" spans="1:9" s="75" customFormat="1">
      <c r="A185" s="88">
        <v>6006016628</v>
      </c>
      <c r="B185" t="s">
        <v>291</v>
      </c>
      <c r="C185" t="s">
        <v>21</v>
      </c>
      <c r="D185" t="s">
        <v>45</v>
      </c>
      <c r="E185" t="s">
        <v>356</v>
      </c>
      <c r="F185" s="91"/>
      <c r="G185" s="91">
        <v>6006016628</v>
      </c>
      <c r="H185" s="91"/>
      <c r="I185"/>
    </row>
    <row r="186" spans="1:9" s="75" customFormat="1">
      <c r="A186" s="88">
        <v>6006016629</v>
      </c>
      <c r="B186" t="s">
        <v>292</v>
      </c>
      <c r="C186" t="s">
        <v>21</v>
      </c>
      <c r="D186" t="s">
        <v>45</v>
      </c>
      <c r="E186" t="s">
        <v>356</v>
      </c>
      <c r="F186" s="91"/>
      <c r="G186" s="91">
        <v>6006016629</v>
      </c>
      <c r="H186" s="91"/>
      <c r="I186"/>
    </row>
    <row r="187" spans="1:9" s="75" customFormat="1">
      <c r="A187" s="88">
        <v>6005186425</v>
      </c>
      <c r="B187" t="s">
        <v>293</v>
      </c>
      <c r="C187" t="s">
        <v>9</v>
      </c>
      <c r="D187" t="s">
        <v>48</v>
      </c>
      <c r="E187" t="s">
        <v>375</v>
      </c>
      <c r="F187" s="91"/>
      <c r="G187" s="91">
        <v>6005186425</v>
      </c>
      <c r="H187" s="91"/>
      <c r="I187"/>
    </row>
    <row r="188" spans="1:9" s="75" customFormat="1">
      <c r="A188" s="88">
        <v>6005186429</v>
      </c>
      <c r="B188" t="s">
        <v>294</v>
      </c>
      <c r="C188" t="s">
        <v>9</v>
      </c>
      <c r="D188" t="s">
        <v>48</v>
      </c>
      <c r="E188" t="s">
        <v>375</v>
      </c>
      <c r="F188" s="91"/>
      <c r="G188" s="91">
        <v>6005186429</v>
      </c>
      <c r="H188" s="91"/>
      <c r="I188"/>
    </row>
    <row r="189" spans="1:9" s="75" customFormat="1">
      <c r="A189" s="88">
        <v>6005266426</v>
      </c>
      <c r="B189" t="s">
        <v>295</v>
      </c>
      <c r="C189" t="s">
        <v>10</v>
      </c>
      <c r="D189" t="s">
        <v>64</v>
      </c>
      <c r="E189" t="s">
        <v>379</v>
      </c>
      <c r="F189" s="91"/>
      <c r="G189" s="91">
        <v>6005266426</v>
      </c>
      <c r="H189" s="91"/>
      <c r="I189"/>
    </row>
    <row r="190" spans="1:9" s="75" customFormat="1">
      <c r="A190" s="88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91"/>
      <c r="G190" s="91">
        <v>6004096621</v>
      </c>
      <c r="H190" s="91"/>
      <c r="I190"/>
    </row>
    <row r="191" spans="1:9" s="75" customFormat="1">
      <c r="A191" s="88">
        <v>6005046622</v>
      </c>
      <c r="B191" t="s">
        <v>297</v>
      </c>
      <c r="C191" t="s">
        <v>11</v>
      </c>
      <c r="D191" t="s">
        <v>59</v>
      </c>
      <c r="E191" t="s">
        <v>359</v>
      </c>
      <c r="F191" s="91"/>
      <c r="G191" s="91">
        <v>6005046622</v>
      </c>
      <c r="H191" s="91"/>
      <c r="I191"/>
    </row>
    <row r="192" spans="1:9" s="75" customFormat="1">
      <c r="A192" s="88">
        <v>6005046635</v>
      </c>
      <c r="B192" t="s">
        <v>298</v>
      </c>
      <c r="C192" t="s">
        <v>11</v>
      </c>
      <c r="D192" t="s">
        <v>59</v>
      </c>
      <c r="E192" t="s">
        <v>359</v>
      </c>
      <c r="F192" s="91"/>
      <c r="G192" s="91">
        <v>6005046635</v>
      </c>
      <c r="H192" s="91"/>
      <c r="I192"/>
    </row>
    <row r="193" spans="1:9" s="75" customFormat="1">
      <c r="A193" s="88">
        <v>6005056623</v>
      </c>
      <c r="B193" t="s">
        <v>299</v>
      </c>
      <c r="C193" t="s">
        <v>11</v>
      </c>
      <c r="D193" t="s">
        <v>97</v>
      </c>
      <c r="E193" t="s">
        <v>360</v>
      </c>
      <c r="F193" s="91"/>
      <c r="G193" s="91">
        <v>6005056623</v>
      </c>
      <c r="H193" s="91"/>
      <c r="I193"/>
    </row>
    <row r="194" spans="1:9" s="75" customFormat="1">
      <c r="A194" s="88">
        <v>6005056624</v>
      </c>
      <c r="B194" t="s">
        <v>300</v>
      </c>
      <c r="C194" t="s">
        <v>11</v>
      </c>
      <c r="D194" t="s">
        <v>97</v>
      </c>
      <c r="E194" t="s">
        <v>360</v>
      </c>
      <c r="F194" s="91"/>
      <c r="G194" s="91">
        <v>6005056624</v>
      </c>
      <c r="H194" s="91"/>
      <c r="I194"/>
    </row>
    <row r="195" spans="1:9" s="75" customFormat="1">
      <c r="A195" s="88">
        <v>6005056625</v>
      </c>
      <c r="B195" t="s">
        <v>301</v>
      </c>
      <c r="C195" t="s">
        <v>11</v>
      </c>
      <c r="D195" t="s">
        <v>97</v>
      </c>
      <c r="E195" t="s">
        <v>360</v>
      </c>
      <c r="F195" s="91"/>
      <c r="G195" s="91">
        <v>6005056625</v>
      </c>
      <c r="H195" s="91"/>
      <c r="I195"/>
    </row>
    <row r="196" spans="1:9" s="75" customFormat="1">
      <c r="A196" s="88">
        <v>6005136626</v>
      </c>
      <c r="B196" t="s">
        <v>302</v>
      </c>
      <c r="C196" t="s">
        <v>11</v>
      </c>
      <c r="D196" t="s">
        <v>58</v>
      </c>
      <c r="E196" t="s">
        <v>364</v>
      </c>
      <c r="F196" s="91"/>
      <c r="G196" s="91">
        <v>6005136626</v>
      </c>
      <c r="H196" s="91"/>
      <c r="I196"/>
    </row>
    <row r="197" spans="1:9" s="75" customFormat="1">
      <c r="A197" s="88">
        <v>6005146627</v>
      </c>
      <c r="B197" t="s">
        <v>303</v>
      </c>
      <c r="C197" t="s">
        <v>11</v>
      </c>
      <c r="D197" t="s">
        <v>98</v>
      </c>
      <c r="E197" t="s">
        <v>365</v>
      </c>
      <c r="F197" s="91"/>
      <c r="G197" s="91">
        <v>6005146627</v>
      </c>
      <c r="H197" s="91"/>
      <c r="I197"/>
    </row>
    <row r="198" spans="1:9" s="75" customFormat="1">
      <c r="A198" s="88">
        <v>6005146628</v>
      </c>
      <c r="B198" t="s">
        <v>304</v>
      </c>
      <c r="C198" t="s">
        <v>11</v>
      </c>
      <c r="D198" t="s">
        <v>98</v>
      </c>
      <c r="E198" t="s">
        <v>365</v>
      </c>
      <c r="F198" s="91"/>
      <c r="G198" s="91">
        <v>6005146628</v>
      </c>
      <c r="H198" s="91"/>
      <c r="I198"/>
    </row>
    <row r="199" spans="1:9" s="75" customFormat="1">
      <c r="A199" s="88">
        <v>6005146629</v>
      </c>
      <c r="B199" t="s">
        <v>305</v>
      </c>
      <c r="C199" t="s">
        <v>11</v>
      </c>
      <c r="D199" t="s">
        <v>98</v>
      </c>
      <c r="E199" t="s">
        <v>365</v>
      </c>
      <c r="F199" s="91"/>
      <c r="G199" s="91">
        <v>6005146629</v>
      </c>
      <c r="H199" s="91"/>
      <c r="I199"/>
    </row>
    <row r="200" spans="1:9" s="75" customFormat="1">
      <c r="A200" s="88">
        <v>6005156630</v>
      </c>
      <c r="B200" t="s">
        <v>306</v>
      </c>
      <c r="C200" t="s">
        <v>11</v>
      </c>
      <c r="D200" t="s">
        <v>64</v>
      </c>
      <c r="E200" t="s">
        <v>379</v>
      </c>
      <c r="F200" s="91"/>
      <c r="G200" s="91">
        <v>6005156630</v>
      </c>
      <c r="H200" s="91"/>
      <c r="I200"/>
    </row>
    <row r="201" spans="1:9" s="75" customFormat="1">
      <c r="A201" s="88">
        <v>6005206631</v>
      </c>
      <c r="B201" t="s">
        <v>307</v>
      </c>
      <c r="C201" t="s">
        <v>11</v>
      </c>
      <c r="D201" t="s">
        <v>99</v>
      </c>
      <c r="E201" t="s">
        <v>366</v>
      </c>
      <c r="F201" s="91"/>
      <c r="G201" s="91">
        <v>6005206631</v>
      </c>
      <c r="H201" s="91"/>
      <c r="I201"/>
    </row>
    <row r="202" spans="1:9" s="75" customFormat="1">
      <c r="A202" s="88">
        <v>6005216632</v>
      </c>
      <c r="B202" t="s">
        <v>308</v>
      </c>
      <c r="C202" t="s">
        <v>11</v>
      </c>
      <c r="D202" t="s">
        <v>51</v>
      </c>
      <c r="E202" t="s">
        <v>367</v>
      </c>
      <c r="F202" s="91"/>
      <c r="G202" s="91">
        <v>6005216632</v>
      </c>
      <c r="H202" s="91"/>
      <c r="I202"/>
    </row>
    <row r="203" spans="1:9" s="75" customFormat="1">
      <c r="A203" s="88">
        <v>6005226633</v>
      </c>
      <c r="B203" t="s">
        <v>309</v>
      </c>
      <c r="C203" t="s">
        <v>11</v>
      </c>
      <c r="D203" t="s">
        <v>49</v>
      </c>
      <c r="E203" t="s">
        <v>368</v>
      </c>
      <c r="F203" s="91"/>
      <c r="G203" s="91">
        <v>6005226633</v>
      </c>
      <c r="H203" s="91"/>
      <c r="I203"/>
    </row>
    <row r="204" spans="1:9" s="75" customFormat="1">
      <c r="A204" s="88">
        <v>6005236634</v>
      </c>
      <c r="B204" t="s">
        <v>310</v>
      </c>
      <c r="C204" t="s">
        <v>11</v>
      </c>
      <c r="D204" t="s">
        <v>47</v>
      </c>
      <c r="E204" t="s">
        <v>369</v>
      </c>
      <c r="F204" s="91"/>
      <c r="G204" s="91">
        <v>6005236634</v>
      </c>
      <c r="H204" s="91"/>
      <c r="I204"/>
    </row>
    <row r="205" spans="1:9" s="75" customFormat="1">
      <c r="A205" s="88">
        <v>6005246636</v>
      </c>
      <c r="B205" t="s">
        <v>311</v>
      </c>
      <c r="C205" t="s">
        <v>11</v>
      </c>
      <c r="D205" t="s">
        <v>50</v>
      </c>
      <c r="E205" t="s">
        <v>370</v>
      </c>
      <c r="F205" s="91"/>
      <c r="G205" s="91">
        <v>6005246636</v>
      </c>
      <c r="H205" s="91"/>
      <c r="I205"/>
    </row>
    <row r="206" spans="1:9" s="75" customFormat="1">
      <c r="A206" s="88">
        <v>6005246672</v>
      </c>
      <c r="B206" t="s">
        <v>312</v>
      </c>
      <c r="C206" t="s">
        <v>11</v>
      </c>
      <c r="D206" t="s">
        <v>50</v>
      </c>
      <c r="E206" t="s">
        <v>370</v>
      </c>
      <c r="F206" s="91"/>
      <c r="G206" s="91">
        <v>6005246672</v>
      </c>
      <c r="H206" s="91"/>
      <c r="I206"/>
    </row>
    <row r="207" spans="1:9" s="75" customFormat="1">
      <c r="A207" s="88">
        <v>6005246673</v>
      </c>
      <c r="B207" t="s">
        <v>313</v>
      </c>
      <c r="C207" t="s">
        <v>11</v>
      </c>
      <c r="D207" t="s">
        <v>50</v>
      </c>
      <c r="E207" t="s">
        <v>370</v>
      </c>
      <c r="F207" s="91"/>
      <c r="G207" s="91">
        <v>6005246673</v>
      </c>
      <c r="H207" s="91"/>
      <c r="I207"/>
    </row>
    <row r="208" spans="1:9" s="75" customFormat="1">
      <c r="A208" s="88">
        <v>6005246674</v>
      </c>
      <c r="B208" t="s">
        <v>314</v>
      </c>
      <c r="C208" t="s">
        <v>11</v>
      </c>
      <c r="D208" t="s">
        <v>50</v>
      </c>
      <c r="E208" t="s">
        <v>370</v>
      </c>
      <c r="F208" s="91"/>
      <c r="G208" s="91">
        <v>6005246674</v>
      </c>
      <c r="H208" s="91"/>
      <c r="I208"/>
    </row>
    <row r="209" spans="1:9" s="75" customFormat="1">
      <c r="A209" s="88">
        <v>6004086651</v>
      </c>
      <c r="B209" t="s">
        <v>315</v>
      </c>
      <c r="C209" t="s">
        <v>36</v>
      </c>
      <c r="D209" t="s">
        <v>42</v>
      </c>
      <c r="E209" t="s">
        <v>371</v>
      </c>
      <c r="F209" s="91"/>
      <c r="G209" s="91">
        <v>6004086651</v>
      </c>
      <c r="H209" s="91"/>
      <c r="I209"/>
    </row>
    <row r="210" spans="1:9" s="75" customFormat="1">
      <c r="A210" s="88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91"/>
      <c r="G210" s="91">
        <v>6004086653</v>
      </c>
      <c r="H210" s="91"/>
      <c r="I210"/>
    </row>
    <row r="211" spans="1:9" s="75" customFormat="1">
      <c r="A211" s="88">
        <v>6005116654</v>
      </c>
      <c r="B211" t="s">
        <v>317</v>
      </c>
      <c r="C211" t="s">
        <v>36</v>
      </c>
      <c r="D211" t="s">
        <v>56</v>
      </c>
      <c r="E211" t="s">
        <v>372</v>
      </c>
      <c r="F211" s="91"/>
      <c r="G211" s="91">
        <v>6005116654</v>
      </c>
      <c r="H211" s="91"/>
      <c r="I211"/>
    </row>
    <row r="212" spans="1:9" s="75" customFormat="1">
      <c r="A212" s="88">
        <v>6005116655</v>
      </c>
      <c r="B212" t="s">
        <v>318</v>
      </c>
      <c r="C212" t="s">
        <v>36</v>
      </c>
      <c r="D212" t="s">
        <v>57</v>
      </c>
      <c r="E212" t="s">
        <v>373</v>
      </c>
      <c r="F212" s="91"/>
      <c r="G212" s="91">
        <v>6005116655</v>
      </c>
      <c r="H212" s="91"/>
      <c r="I212"/>
    </row>
    <row r="213" spans="1:9" s="75" customFormat="1">
      <c r="A213" s="88">
        <v>6005136657</v>
      </c>
      <c r="B213" t="s">
        <v>319</v>
      </c>
      <c r="C213" t="s">
        <v>36</v>
      </c>
      <c r="D213" t="s">
        <v>58</v>
      </c>
      <c r="E213" t="s">
        <v>364</v>
      </c>
      <c r="F213" s="91"/>
      <c r="G213" s="91">
        <v>6005136657</v>
      </c>
      <c r="H213" s="91"/>
      <c r="I213"/>
    </row>
    <row r="214" spans="1:9" s="75" customFormat="1">
      <c r="A214" s="88">
        <v>6005166658</v>
      </c>
      <c r="B214" t="s">
        <v>320</v>
      </c>
      <c r="C214" t="s">
        <v>36</v>
      </c>
      <c r="D214" t="s">
        <v>53</v>
      </c>
      <c r="E214" t="s">
        <v>374</v>
      </c>
      <c r="F214" s="91"/>
      <c r="G214" s="91">
        <v>6005166658</v>
      </c>
      <c r="H214" s="91"/>
      <c r="I214"/>
    </row>
    <row r="215" spans="1:9" s="75" customFormat="1">
      <c r="A215" s="88">
        <v>6005176659</v>
      </c>
      <c r="B215" t="s">
        <v>321</v>
      </c>
      <c r="C215" t="s">
        <v>36</v>
      </c>
      <c r="D215" t="s">
        <v>64</v>
      </c>
      <c r="E215" t="s">
        <v>379</v>
      </c>
      <c r="F215" s="91"/>
      <c r="G215" s="91">
        <v>6005176659</v>
      </c>
      <c r="H215" s="91"/>
      <c r="I215"/>
    </row>
    <row r="216" spans="1:9" s="75" customFormat="1">
      <c r="A216" s="88">
        <v>6005246671</v>
      </c>
      <c r="B216" t="s">
        <v>322</v>
      </c>
      <c r="C216" t="s">
        <v>36</v>
      </c>
      <c r="D216" t="s">
        <v>64</v>
      </c>
      <c r="E216" t="s">
        <v>379</v>
      </c>
      <c r="F216" s="91"/>
      <c r="G216" s="91">
        <v>6005246671</v>
      </c>
      <c r="H216" s="91"/>
      <c r="I216"/>
    </row>
    <row r="217" spans="1:9" s="75" customFormat="1">
      <c r="A217" s="88">
        <v>6005246675</v>
      </c>
      <c r="B217" t="s">
        <v>323</v>
      </c>
      <c r="C217" t="s">
        <v>36</v>
      </c>
      <c r="D217" t="s">
        <v>99</v>
      </c>
      <c r="E217" t="s">
        <v>366</v>
      </c>
      <c r="F217" s="91"/>
      <c r="G217" s="91">
        <v>6005246675</v>
      </c>
      <c r="H217" s="91"/>
      <c r="I217"/>
    </row>
    <row r="218" spans="1:9" s="75" customFormat="1">
      <c r="A218" s="88">
        <v>6005246676</v>
      </c>
      <c r="B218" t="s">
        <v>445</v>
      </c>
      <c r="C218" t="s">
        <v>36</v>
      </c>
      <c r="D218" t="s">
        <v>64</v>
      </c>
      <c r="E218" t="s">
        <v>379</v>
      </c>
      <c r="F218" s="91"/>
      <c r="G218" s="91">
        <v>6005246676</v>
      </c>
      <c r="H218" s="91"/>
      <c r="I218" t="s">
        <v>449</v>
      </c>
    </row>
    <row r="219" spans="1:9" s="75" customFormat="1">
      <c r="A219" s="88">
        <v>8001017111</v>
      </c>
      <c r="B219" t="s">
        <v>13</v>
      </c>
      <c r="C219" t="s">
        <v>14</v>
      </c>
      <c r="D219" t="s">
        <v>118</v>
      </c>
      <c r="E219" t="s">
        <v>384</v>
      </c>
      <c r="F219" s="91" t="s">
        <v>554</v>
      </c>
      <c r="G219" s="91">
        <v>8001017111</v>
      </c>
      <c r="H219" s="91">
        <v>8001017111</v>
      </c>
      <c r="I219"/>
    </row>
    <row r="220" spans="1:9" s="75" customFormat="1">
      <c r="A220" s="88">
        <v>8001027111</v>
      </c>
      <c r="B220" t="s">
        <v>66</v>
      </c>
      <c r="C220" t="s">
        <v>14</v>
      </c>
      <c r="D220" t="s">
        <v>118</v>
      </c>
      <c r="E220" t="s">
        <v>384</v>
      </c>
      <c r="F220" s="91" t="s">
        <v>555</v>
      </c>
      <c r="G220" s="91">
        <v>8001027111</v>
      </c>
      <c r="H220" s="91">
        <v>8001027111</v>
      </c>
      <c r="I220"/>
    </row>
    <row r="221" spans="1:9" s="75" customFormat="1">
      <c r="A221" s="88">
        <v>8001037111</v>
      </c>
      <c r="B221" t="s">
        <v>67</v>
      </c>
      <c r="C221" t="s">
        <v>14</v>
      </c>
      <c r="D221" t="s">
        <v>118</v>
      </c>
      <c r="E221" t="s">
        <v>384</v>
      </c>
      <c r="F221" s="91" t="s">
        <v>556</v>
      </c>
      <c r="G221" s="91">
        <v>8001037111</v>
      </c>
      <c r="H221" s="91">
        <v>8001037111</v>
      </c>
      <c r="I221"/>
    </row>
    <row r="222" spans="1:9" s="75" customFormat="1">
      <c r="A222" s="88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91" t="s">
        <v>557</v>
      </c>
      <c r="G222" s="91">
        <v>7002048111</v>
      </c>
      <c r="H222" s="91">
        <v>7002048111</v>
      </c>
      <c r="I222"/>
    </row>
    <row r="223" spans="1:9" s="75" customFormat="1">
      <c r="A223" s="88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91" t="s">
        <v>558</v>
      </c>
      <c r="G223" s="91">
        <v>7002048112</v>
      </c>
      <c r="H223" s="91">
        <v>7002048112</v>
      </c>
      <c r="I223"/>
    </row>
    <row r="224" spans="1:9" s="75" customFormat="1">
      <c r="A224" s="88">
        <v>8002018111</v>
      </c>
      <c r="B224" t="s">
        <v>16</v>
      </c>
      <c r="C224" t="s">
        <v>15</v>
      </c>
      <c r="D224" t="s">
        <v>119</v>
      </c>
      <c r="E224" t="s">
        <v>386</v>
      </c>
      <c r="F224" s="91" t="s">
        <v>559</v>
      </c>
      <c r="G224" s="91">
        <v>8002018111</v>
      </c>
      <c r="H224" s="91">
        <v>8002018111</v>
      </c>
      <c r="I224"/>
    </row>
    <row r="225" spans="1:9" s="75" customFormat="1">
      <c r="A225" s="88">
        <v>8002028111</v>
      </c>
      <c r="B225" t="s">
        <v>68</v>
      </c>
      <c r="C225" t="s">
        <v>15</v>
      </c>
      <c r="D225" t="s">
        <v>119</v>
      </c>
      <c r="E225" t="s">
        <v>386</v>
      </c>
      <c r="F225" s="91" t="s">
        <v>560</v>
      </c>
      <c r="G225" s="91">
        <v>8002028111</v>
      </c>
      <c r="H225" s="91">
        <v>8002028111</v>
      </c>
      <c r="I225"/>
    </row>
    <row r="226" spans="1:9" s="75" customFormat="1">
      <c r="A226" s="88">
        <v>8002038111</v>
      </c>
      <c r="B226" t="s">
        <v>69</v>
      </c>
      <c r="C226" t="s">
        <v>15</v>
      </c>
      <c r="D226" t="s">
        <v>119</v>
      </c>
      <c r="E226" t="s">
        <v>386</v>
      </c>
      <c r="F226" s="91" t="s">
        <v>561</v>
      </c>
      <c r="G226" s="91">
        <v>8002038111</v>
      </c>
      <c r="H226" s="91">
        <v>8002038111</v>
      </c>
      <c r="I226"/>
    </row>
    <row r="227" spans="1:9" s="75" customFormat="1">
      <c r="A227" s="88">
        <v>9114120002</v>
      </c>
      <c r="B227" t="s">
        <v>70</v>
      </c>
      <c r="C227"/>
      <c r="D227" t="s">
        <v>70</v>
      </c>
      <c r="E227" t="s">
        <v>387</v>
      </c>
      <c r="F227" s="91" t="s">
        <v>562</v>
      </c>
      <c r="G227" s="91">
        <v>9114120002</v>
      </c>
      <c r="H227" s="91">
        <v>9114120002</v>
      </c>
      <c r="I227"/>
    </row>
    <row r="228" spans="1:9" s="75" customFormat="1">
      <c r="A228" s="88">
        <v>9114120004</v>
      </c>
      <c r="B228" t="s">
        <v>73</v>
      </c>
      <c r="C228"/>
      <c r="D228" t="s">
        <v>73</v>
      </c>
      <c r="E228" t="s">
        <v>388</v>
      </c>
      <c r="F228" s="91" t="s">
        <v>563</v>
      </c>
      <c r="G228" s="91">
        <v>9114120004</v>
      </c>
      <c r="H228" s="91">
        <v>9114120004</v>
      </c>
      <c r="I228"/>
    </row>
    <row r="229" spans="1:9" s="75" customFormat="1">
      <c r="A229" s="88">
        <v>9114120005</v>
      </c>
      <c r="B229" t="s">
        <v>107</v>
      </c>
      <c r="C229"/>
      <c r="D229" t="s">
        <v>121</v>
      </c>
      <c r="E229" t="s">
        <v>389</v>
      </c>
      <c r="F229" s="91" t="s">
        <v>564</v>
      </c>
      <c r="G229" s="91">
        <v>9114120005</v>
      </c>
      <c r="H229" s="91">
        <v>9114120005</v>
      </c>
      <c r="I229"/>
    </row>
    <row r="230" spans="1:9" s="75" customFormat="1">
      <c r="A230" s="190">
        <v>9114120006</v>
      </c>
      <c r="B230" s="191" t="s">
        <v>142</v>
      </c>
      <c r="C230"/>
      <c r="D230" s="191" t="s">
        <v>101</v>
      </c>
      <c r="E230" t="s">
        <v>349</v>
      </c>
      <c r="F230" s="91" t="s">
        <v>565</v>
      </c>
      <c r="G230" s="91">
        <v>9114120006</v>
      </c>
      <c r="H230" s="91">
        <v>9114120006</v>
      </c>
      <c r="I230"/>
    </row>
    <row r="231" spans="1:9" s="75" customFormat="1">
      <c r="A231" s="88">
        <v>9114120007</v>
      </c>
      <c r="B231" t="s">
        <v>108</v>
      </c>
      <c r="C231"/>
      <c r="D231" t="s">
        <v>114</v>
      </c>
      <c r="E231" t="s">
        <v>390</v>
      </c>
      <c r="F231" s="91" t="s">
        <v>566</v>
      </c>
      <c r="G231" s="91">
        <v>9114120007</v>
      </c>
      <c r="H231" s="91">
        <v>9114120007</v>
      </c>
      <c r="I231"/>
    </row>
    <row r="232" spans="1:9" s="75" customFormat="1">
      <c r="A232" s="88">
        <v>9114120008</v>
      </c>
      <c r="B232" t="s">
        <v>102</v>
      </c>
      <c r="C232"/>
      <c r="D232" t="s">
        <v>102</v>
      </c>
      <c r="E232" t="s">
        <v>12</v>
      </c>
      <c r="F232" s="91" t="s">
        <v>567</v>
      </c>
      <c r="G232" s="91"/>
      <c r="H232" s="91"/>
      <c r="I232"/>
    </row>
    <row r="233" spans="1:9" s="75" customFormat="1">
      <c r="A233" s="88">
        <v>9114120009</v>
      </c>
      <c r="B233" t="s">
        <v>109</v>
      </c>
      <c r="C233"/>
      <c r="D233" t="s">
        <v>122</v>
      </c>
      <c r="E233" t="s">
        <v>391</v>
      </c>
      <c r="F233" s="91" t="s">
        <v>568</v>
      </c>
      <c r="G233" s="91">
        <v>9114120009</v>
      </c>
      <c r="H233" s="91">
        <v>9114120009</v>
      </c>
      <c r="I233"/>
    </row>
    <row r="234" spans="1:9" s="75" customFormat="1">
      <c r="A234" s="88">
        <v>9114120011</v>
      </c>
      <c r="B234" t="s">
        <v>100</v>
      </c>
      <c r="C234"/>
      <c r="D234" t="s">
        <v>100</v>
      </c>
      <c r="E234" t="s">
        <v>392</v>
      </c>
      <c r="F234" s="91" t="s">
        <v>569</v>
      </c>
      <c r="G234" s="91">
        <v>9114120011</v>
      </c>
      <c r="H234" s="91">
        <v>9114120011</v>
      </c>
      <c r="I234"/>
    </row>
    <row r="235" spans="1:9" s="75" customFormat="1">
      <c r="A235" s="88">
        <v>9114120014</v>
      </c>
      <c r="B235" t="s">
        <v>74</v>
      </c>
      <c r="C235"/>
      <c r="D235" t="s">
        <v>74</v>
      </c>
      <c r="E235" t="s">
        <v>393</v>
      </c>
      <c r="F235" s="91" t="s">
        <v>570</v>
      </c>
      <c r="G235" s="91">
        <v>9114120014</v>
      </c>
      <c r="H235" s="91">
        <v>9114120014</v>
      </c>
      <c r="I235"/>
    </row>
    <row r="236" spans="1:9" s="75" customFormat="1">
      <c r="A236" s="88">
        <v>9114120018</v>
      </c>
      <c r="B236" t="s">
        <v>106</v>
      </c>
      <c r="C236"/>
      <c r="D236" t="s">
        <v>106</v>
      </c>
      <c r="E236" t="s">
        <v>394</v>
      </c>
      <c r="F236" s="91" t="s">
        <v>571</v>
      </c>
      <c r="G236" s="91">
        <v>9114120018</v>
      </c>
      <c r="H236" s="91">
        <v>9114120018</v>
      </c>
      <c r="I236"/>
    </row>
    <row r="237" spans="1:9" s="75" customFormat="1">
      <c r="A237" s="88">
        <v>9114120021</v>
      </c>
      <c r="B237" t="s">
        <v>143</v>
      </c>
      <c r="C237"/>
      <c r="D237" t="s">
        <v>143</v>
      </c>
      <c r="E237" t="s">
        <v>395</v>
      </c>
      <c r="F237" s="91" t="s">
        <v>572</v>
      </c>
      <c r="G237" s="91">
        <v>9114120021</v>
      </c>
      <c r="H237" s="91">
        <v>9114120021</v>
      </c>
      <c r="I237"/>
    </row>
    <row r="238" spans="1:9" s="75" customFormat="1">
      <c r="A238" s="88">
        <v>9114120028</v>
      </c>
      <c r="B238" t="s">
        <v>113</v>
      </c>
      <c r="C238"/>
      <c r="D238" t="s">
        <v>113</v>
      </c>
      <c r="E238" t="s">
        <v>396</v>
      </c>
      <c r="F238" s="91" t="s">
        <v>573</v>
      </c>
      <c r="G238" s="91">
        <v>9114120028</v>
      </c>
      <c r="H238" s="91">
        <v>9114120028</v>
      </c>
      <c r="I238"/>
    </row>
    <row r="239" spans="1:9" s="75" customFormat="1">
      <c r="A239" s="88">
        <v>9114120029</v>
      </c>
      <c r="B239" t="s">
        <v>677</v>
      </c>
      <c r="C239"/>
      <c r="D239" t="s">
        <v>677</v>
      </c>
      <c r="E239" t="s">
        <v>397</v>
      </c>
      <c r="F239" s="91" t="s">
        <v>574</v>
      </c>
      <c r="G239" s="91">
        <v>9114120029</v>
      </c>
      <c r="H239" s="91">
        <v>9114120029</v>
      </c>
      <c r="I239"/>
    </row>
    <row r="240" spans="1:9" s="75" customFormat="1">
      <c r="A240" s="88">
        <v>9114120030</v>
      </c>
      <c r="B240" t="s">
        <v>678</v>
      </c>
      <c r="C240"/>
      <c r="D240" t="s">
        <v>678</v>
      </c>
      <c r="E240" t="s">
        <v>398</v>
      </c>
      <c r="F240" s="91" t="s">
        <v>575</v>
      </c>
      <c r="G240" s="91">
        <v>9114120030</v>
      </c>
      <c r="H240" s="91">
        <v>9114120030</v>
      </c>
      <c r="I240"/>
    </row>
    <row r="241" spans="1:9" s="75" customFormat="1">
      <c r="A241" s="88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91"/>
      <c r="H241"/>
      <c r="I241"/>
    </row>
    <row r="242" spans="1:9" s="75" customFormat="1">
      <c r="A242" s="89">
        <v>5005016373</v>
      </c>
      <c r="B242" s="90" t="s">
        <v>413</v>
      </c>
      <c r="C242" s="90" t="s">
        <v>151</v>
      </c>
      <c r="D242" s="90" t="s">
        <v>55</v>
      </c>
      <c r="E242" s="90" t="s">
        <v>151</v>
      </c>
      <c r="F242" s="90" t="s">
        <v>474</v>
      </c>
      <c r="G242" s="90"/>
      <c r="H242" s="91"/>
      <c r="I242" s="90"/>
    </row>
    <row r="243" spans="1:9" s="75" customFormat="1">
      <c r="A243" s="89">
        <v>6005016422</v>
      </c>
      <c r="B243" s="90" t="s">
        <v>415</v>
      </c>
      <c r="C243" s="90" t="s">
        <v>0</v>
      </c>
      <c r="D243" s="90" t="s">
        <v>55</v>
      </c>
      <c r="E243" s="90" t="s">
        <v>353</v>
      </c>
      <c r="F243" s="90"/>
      <c r="G243" s="90">
        <v>6005016422</v>
      </c>
      <c r="I243" s="90"/>
    </row>
    <row r="244" spans="1:9" s="75" customFormat="1">
      <c r="A244" s="89">
        <v>5001016151</v>
      </c>
      <c r="B244" s="90" t="s">
        <v>162</v>
      </c>
      <c r="C244" s="90" t="s">
        <v>35</v>
      </c>
      <c r="D244" s="90" t="s">
        <v>101</v>
      </c>
      <c r="E244" s="90" t="s">
        <v>35</v>
      </c>
      <c r="F244" s="90" t="s">
        <v>469</v>
      </c>
      <c r="G244" s="90"/>
      <c r="H244" s="91"/>
      <c r="I244" s="90"/>
    </row>
    <row r="245" spans="1:9">
      <c r="A245" s="89">
        <v>6006016630</v>
      </c>
      <c r="B245" s="90" t="s">
        <v>674</v>
      </c>
      <c r="C245" s="90" t="s">
        <v>675</v>
      </c>
      <c r="D245" s="90" t="s">
        <v>45</v>
      </c>
      <c r="E245" s="90" t="s">
        <v>356</v>
      </c>
      <c r="G245" s="90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G20" sqref="G20"/>
    </sheetView>
  </sheetViews>
  <sheetFormatPr defaultColWidth="9" defaultRowHeight="13"/>
  <cols>
    <col min="1" max="1" width="11.6328125" style="186" bestFit="1" customWidth="1"/>
    <col min="2" max="2" width="19" style="183" bestFit="1" customWidth="1"/>
    <col min="3" max="3" width="3.90625" style="184" bestFit="1" customWidth="1"/>
    <col min="4" max="4" width="10.08984375" style="183" bestFit="1" customWidth="1"/>
    <col min="5" max="5" width="9" style="183"/>
    <col min="6" max="6" width="10.90625" style="183" bestFit="1" customWidth="1"/>
    <col min="7" max="7" width="19.453125" style="183" bestFit="1" customWidth="1"/>
    <col min="8" max="8" width="9" style="183"/>
    <col min="9" max="9" width="13.453125" style="183" customWidth="1"/>
    <col min="10" max="16384" width="9" style="183"/>
  </cols>
  <sheetData>
    <row r="1" spans="1:7">
      <c r="B1" s="183" t="s">
        <v>93</v>
      </c>
      <c r="D1" s="183" t="s">
        <v>692</v>
      </c>
      <c r="E1" s="183" t="s">
        <v>83</v>
      </c>
    </row>
    <row r="2" spans="1:7">
      <c r="A2" s="186">
        <v>1412000004</v>
      </c>
      <c r="B2" s="185" t="s">
        <v>664</v>
      </c>
      <c r="C2" s="184" t="s">
        <v>592</v>
      </c>
      <c r="D2" s="183" t="s">
        <v>159</v>
      </c>
      <c r="E2" s="183" t="s">
        <v>159</v>
      </c>
      <c r="G2" s="183" t="s">
        <v>639</v>
      </c>
    </row>
    <row r="3" spans="1:7">
      <c r="A3" s="187">
        <v>1412000005</v>
      </c>
      <c r="B3" s="185" t="s">
        <v>665</v>
      </c>
      <c r="C3" s="184" t="s">
        <v>593</v>
      </c>
      <c r="D3" s="183" t="s">
        <v>159</v>
      </c>
      <c r="E3" s="183" t="s">
        <v>159</v>
      </c>
    </row>
    <row r="4" spans="1:7">
      <c r="A4" s="187">
        <v>1412000062</v>
      </c>
      <c r="B4" s="185" t="s">
        <v>645</v>
      </c>
      <c r="C4" s="184" t="s">
        <v>595</v>
      </c>
      <c r="D4" s="183" t="s">
        <v>444</v>
      </c>
      <c r="E4" s="183" t="s">
        <v>159</v>
      </c>
    </row>
    <row r="5" spans="1:7">
      <c r="A5" s="187">
        <v>1412000034</v>
      </c>
      <c r="B5" s="185" t="s">
        <v>422</v>
      </c>
      <c r="C5" s="184" t="s">
        <v>598</v>
      </c>
      <c r="D5" s="183" t="s">
        <v>159</v>
      </c>
      <c r="E5" s="183" t="s">
        <v>159</v>
      </c>
    </row>
    <row r="6" spans="1:7">
      <c r="A6" s="187">
        <v>1412000048</v>
      </c>
      <c r="B6" s="185" t="s">
        <v>421</v>
      </c>
      <c r="C6" s="184" t="s">
        <v>599</v>
      </c>
      <c r="D6" s="183" t="s">
        <v>444</v>
      </c>
      <c r="E6" s="183" t="s">
        <v>159</v>
      </c>
    </row>
    <row r="7" spans="1:7">
      <c r="A7" s="186">
        <v>1412000055</v>
      </c>
      <c r="B7" s="183" t="s">
        <v>658</v>
      </c>
      <c r="C7" s="184" t="s">
        <v>600</v>
      </c>
      <c r="D7" s="183" t="s">
        <v>444</v>
      </c>
      <c r="E7" s="183" t="s">
        <v>159</v>
      </c>
    </row>
    <row r="8" spans="1:7">
      <c r="A8" s="187">
        <v>1412000050</v>
      </c>
      <c r="B8" s="185" t="s">
        <v>618</v>
      </c>
      <c r="C8" s="184" t="s">
        <v>619</v>
      </c>
      <c r="D8" s="183" t="s">
        <v>159</v>
      </c>
      <c r="E8" s="183" t="s">
        <v>159</v>
      </c>
    </row>
    <row r="9" spans="1:7">
      <c r="A9" s="186">
        <v>1412000077</v>
      </c>
      <c r="B9" s="185" t="s">
        <v>620</v>
      </c>
      <c r="C9" s="184" t="s">
        <v>621</v>
      </c>
      <c r="D9" s="183" t="s">
        <v>159</v>
      </c>
      <c r="E9" s="183" t="s">
        <v>159</v>
      </c>
    </row>
    <row r="10" spans="1:7">
      <c r="A10" s="187">
        <v>1412000053</v>
      </c>
      <c r="B10" s="185" t="s">
        <v>582</v>
      </c>
      <c r="C10" s="184" t="s">
        <v>596</v>
      </c>
      <c r="D10" s="183" t="s">
        <v>444</v>
      </c>
      <c r="E10" s="183" t="s">
        <v>159</v>
      </c>
    </row>
    <row r="11" spans="1:7">
      <c r="A11" s="187">
        <v>1412000008</v>
      </c>
      <c r="B11" s="185" t="s">
        <v>432</v>
      </c>
      <c r="C11" s="184" t="s">
        <v>605</v>
      </c>
      <c r="D11" s="183" t="s">
        <v>444</v>
      </c>
      <c r="E11" s="183" t="s">
        <v>159</v>
      </c>
    </row>
    <row r="12" spans="1:7">
      <c r="A12" s="187">
        <v>1412000010</v>
      </c>
      <c r="B12" s="185" t="s">
        <v>430</v>
      </c>
      <c r="C12" s="184" t="s">
        <v>606</v>
      </c>
      <c r="D12" s="183" t="s">
        <v>576</v>
      </c>
      <c r="E12" s="183" t="s">
        <v>159</v>
      </c>
    </row>
    <row r="13" spans="1:7">
      <c r="A13" s="187">
        <v>1412000054</v>
      </c>
      <c r="B13" s="185" t="s">
        <v>423</v>
      </c>
      <c r="C13" s="184" t="s">
        <v>607</v>
      </c>
      <c r="D13" s="183" t="s">
        <v>576</v>
      </c>
      <c r="E13" s="183" t="s">
        <v>159</v>
      </c>
    </row>
    <row r="14" spans="1:7">
      <c r="A14" s="187">
        <v>1412000036</v>
      </c>
      <c r="B14" s="185" t="s">
        <v>644</v>
      </c>
      <c r="C14" s="184" t="s">
        <v>610</v>
      </c>
      <c r="D14" s="183" t="s">
        <v>444</v>
      </c>
      <c r="E14" s="183" t="s">
        <v>159</v>
      </c>
    </row>
    <row r="15" spans="1:7">
      <c r="A15" s="187">
        <v>1412000006</v>
      </c>
      <c r="B15" s="185" t="s">
        <v>424</v>
      </c>
      <c r="C15" s="184" t="s">
        <v>613</v>
      </c>
      <c r="D15" s="183" t="s">
        <v>576</v>
      </c>
      <c r="E15" s="183" t="s">
        <v>159</v>
      </c>
    </row>
    <row r="16" spans="1:7">
      <c r="A16" s="187">
        <v>1412000039</v>
      </c>
      <c r="B16" s="185" t="s">
        <v>425</v>
      </c>
      <c r="C16" s="184" t="s">
        <v>614</v>
      </c>
      <c r="D16" s="183" t="s">
        <v>576</v>
      </c>
      <c r="E16" s="183" t="s">
        <v>159</v>
      </c>
    </row>
    <row r="17" spans="1:5">
      <c r="A17" s="187">
        <v>1412000040</v>
      </c>
      <c r="B17" s="185" t="s">
        <v>443</v>
      </c>
      <c r="C17" s="184" t="s">
        <v>615</v>
      </c>
      <c r="D17" s="183" t="s">
        <v>576</v>
      </c>
      <c r="E17" s="183" t="s">
        <v>159</v>
      </c>
    </row>
    <row r="18" spans="1:5">
      <c r="A18" s="186">
        <v>1412000013</v>
      </c>
      <c r="B18" s="185" t="s">
        <v>666</v>
      </c>
      <c r="C18" s="184" t="s">
        <v>608</v>
      </c>
      <c r="D18" s="183" t="s">
        <v>576</v>
      </c>
      <c r="E18" s="183" t="s">
        <v>159</v>
      </c>
    </row>
    <row r="19" spans="1:5">
      <c r="A19" s="186">
        <v>1412000080</v>
      </c>
      <c r="B19" s="185" t="s">
        <v>440</v>
      </c>
      <c r="C19" s="184" t="s">
        <v>604</v>
      </c>
      <c r="D19" s="183" t="s">
        <v>576</v>
      </c>
      <c r="E19" s="183" t="s">
        <v>159</v>
      </c>
    </row>
    <row r="20" spans="1:5">
      <c r="A20" s="186">
        <v>1412000044</v>
      </c>
      <c r="B20" s="185" t="s">
        <v>442</v>
      </c>
      <c r="C20" s="184" t="s">
        <v>603</v>
      </c>
      <c r="D20" s="183" t="s">
        <v>444</v>
      </c>
      <c r="E20" s="183" t="s">
        <v>159</v>
      </c>
    </row>
    <row r="21" spans="1:5">
      <c r="A21" s="187">
        <v>1412000056</v>
      </c>
      <c r="B21" s="185" t="s">
        <v>441</v>
      </c>
      <c r="C21" s="184" t="s">
        <v>602</v>
      </c>
      <c r="D21" s="183" t="s">
        <v>159</v>
      </c>
      <c r="E21" s="183" t="s">
        <v>159</v>
      </c>
    </row>
    <row r="22" spans="1:5">
      <c r="A22" s="187">
        <v>1412000018</v>
      </c>
      <c r="B22" s="185" t="s">
        <v>428</v>
      </c>
      <c r="C22" s="184" t="s">
        <v>625</v>
      </c>
      <c r="D22" s="183" t="s">
        <v>577</v>
      </c>
      <c r="E22" s="183" t="s">
        <v>159</v>
      </c>
    </row>
    <row r="23" spans="1:5">
      <c r="A23" s="187">
        <v>1412000019</v>
      </c>
      <c r="B23" s="185" t="s">
        <v>588</v>
      </c>
      <c r="C23" s="184" t="s">
        <v>626</v>
      </c>
      <c r="D23" s="183" t="s">
        <v>577</v>
      </c>
      <c r="E23" s="183" t="s">
        <v>159</v>
      </c>
    </row>
    <row r="24" spans="1:5">
      <c r="A24" s="187">
        <v>1412000058</v>
      </c>
      <c r="B24" s="185" t="s">
        <v>433</v>
      </c>
      <c r="C24" s="184" t="s">
        <v>627</v>
      </c>
      <c r="D24" s="183" t="s">
        <v>577</v>
      </c>
      <c r="E24" s="183" t="s">
        <v>159</v>
      </c>
    </row>
    <row r="25" spans="1:5">
      <c r="A25" s="187">
        <v>1412000042</v>
      </c>
      <c r="B25" s="185" t="s">
        <v>434</v>
      </c>
      <c r="C25" s="184" t="s">
        <v>628</v>
      </c>
      <c r="D25" s="183" t="s">
        <v>577</v>
      </c>
      <c r="E25" s="183" t="s">
        <v>159</v>
      </c>
    </row>
    <row r="26" spans="1:5">
      <c r="A26" s="187">
        <v>1412000021</v>
      </c>
      <c r="B26" s="185" t="s">
        <v>435</v>
      </c>
      <c r="C26" s="184" t="s">
        <v>629</v>
      </c>
      <c r="D26" s="183" t="s">
        <v>577</v>
      </c>
      <c r="E26" s="183" t="s">
        <v>159</v>
      </c>
    </row>
    <row r="27" spans="1:5">
      <c r="A27" s="187">
        <v>1412000022</v>
      </c>
      <c r="B27" s="185" t="s">
        <v>439</v>
      </c>
      <c r="C27" s="184" t="s">
        <v>631</v>
      </c>
      <c r="D27" s="183" t="s">
        <v>577</v>
      </c>
      <c r="E27" s="183" t="s">
        <v>159</v>
      </c>
    </row>
    <row r="28" spans="1:5">
      <c r="A28" s="187">
        <v>1412000024</v>
      </c>
      <c r="B28" s="185" t="s">
        <v>437</v>
      </c>
      <c r="C28" s="184" t="s">
        <v>632</v>
      </c>
      <c r="D28" s="183" t="s">
        <v>578</v>
      </c>
      <c r="E28" s="183" t="s">
        <v>160</v>
      </c>
    </row>
    <row r="29" spans="1:5">
      <c r="A29" s="187">
        <v>1412000025</v>
      </c>
      <c r="B29" s="185" t="s">
        <v>426</v>
      </c>
      <c r="C29" s="184" t="s">
        <v>633</v>
      </c>
      <c r="D29" s="183" t="s">
        <v>578</v>
      </c>
      <c r="E29" s="183" t="s">
        <v>160</v>
      </c>
    </row>
    <row r="30" spans="1:5">
      <c r="A30" s="187">
        <v>1412000026</v>
      </c>
      <c r="B30" s="185" t="s">
        <v>431</v>
      </c>
      <c r="C30" s="184" t="s">
        <v>634</v>
      </c>
      <c r="D30" s="183" t="s">
        <v>578</v>
      </c>
      <c r="E30" s="183" t="s">
        <v>160</v>
      </c>
    </row>
    <row r="31" spans="1:5">
      <c r="A31" s="187">
        <v>1412000028</v>
      </c>
      <c r="B31" s="185" t="s">
        <v>427</v>
      </c>
      <c r="C31" s="184" t="s">
        <v>635</v>
      </c>
      <c r="D31" s="183" t="s">
        <v>578</v>
      </c>
      <c r="E31" s="183" t="s">
        <v>160</v>
      </c>
    </row>
    <row r="32" spans="1:5">
      <c r="A32" s="187">
        <v>1412000029</v>
      </c>
      <c r="B32" s="185" t="s">
        <v>436</v>
      </c>
      <c r="C32" s="184" t="s">
        <v>636</v>
      </c>
      <c r="D32" s="183" t="s">
        <v>578</v>
      </c>
      <c r="E32" s="183" t="s">
        <v>160</v>
      </c>
    </row>
    <row r="33" spans="1:5">
      <c r="A33" s="187">
        <v>1412000030</v>
      </c>
      <c r="B33" s="185" t="s">
        <v>438</v>
      </c>
      <c r="C33" s="184" t="s">
        <v>637</v>
      </c>
      <c r="D33" s="183" t="s">
        <v>578</v>
      </c>
      <c r="E33" s="183" t="s">
        <v>161</v>
      </c>
    </row>
    <row r="34" spans="1:5">
      <c r="A34" s="187">
        <v>1412000086</v>
      </c>
      <c r="B34" s="185" t="s">
        <v>429</v>
      </c>
      <c r="C34" s="184" t="s">
        <v>638</v>
      </c>
      <c r="D34" s="183" t="s">
        <v>578</v>
      </c>
      <c r="E34" s="183" t="s">
        <v>160</v>
      </c>
    </row>
    <row r="35" spans="1:5">
      <c r="A35" s="187">
        <v>1412000063</v>
      </c>
      <c r="B35" s="185" t="s">
        <v>667</v>
      </c>
      <c r="C35" s="184" t="s">
        <v>601</v>
      </c>
      <c r="D35" s="183" t="s">
        <v>444</v>
      </c>
      <c r="E35" s="183" t="s">
        <v>159</v>
      </c>
    </row>
    <row r="36" spans="1:5">
      <c r="A36" s="187">
        <v>1412000066</v>
      </c>
      <c r="B36" s="185" t="s">
        <v>420</v>
      </c>
      <c r="C36" s="184" t="s">
        <v>594</v>
      </c>
      <c r="D36" s="183" t="s">
        <v>159</v>
      </c>
      <c r="E36" s="183" t="s">
        <v>159</v>
      </c>
    </row>
    <row r="37" spans="1:5">
      <c r="A37" s="187">
        <v>1412000035</v>
      </c>
      <c r="B37" s="185" t="s">
        <v>587</v>
      </c>
      <c r="C37" s="184" t="s">
        <v>609</v>
      </c>
      <c r="D37" s="183" t="s">
        <v>576</v>
      </c>
      <c r="E37" s="183" t="s">
        <v>159</v>
      </c>
    </row>
    <row r="38" spans="1:5">
      <c r="A38" s="187">
        <v>1412000016</v>
      </c>
      <c r="B38" s="185" t="s">
        <v>584</v>
      </c>
      <c r="C38" s="184" t="s">
        <v>616</v>
      </c>
      <c r="D38" s="183" t="s">
        <v>576</v>
      </c>
      <c r="E38" s="183" t="s">
        <v>159</v>
      </c>
    </row>
    <row r="39" spans="1:5">
      <c r="A39" s="187">
        <v>1412000069</v>
      </c>
      <c r="B39" s="185" t="s">
        <v>585</v>
      </c>
      <c r="C39" s="184" t="s">
        <v>617</v>
      </c>
      <c r="D39" s="183" t="s">
        <v>576</v>
      </c>
      <c r="E39" s="183" t="s">
        <v>159</v>
      </c>
    </row>
    <row r="40" spans="1:5">
      <c r="A40" s="187">
        <v>1412000070</v>
      </c>
      <c r="B40" s="185" t="s">
        <v>589</v>
      </c>
      <c r="C40" s="184" t="s">
        <v>630</v>
      </c>
      <c r="D40" s="183" t="s">
        <v>577</v>
      </c>
      <c r="E40" s="183" t="s">
        <v>159</v>
      </c>
    </row>
    <row r="41" spans="1:5">
      <c r="A41" s="187">
        <v>1412000072</v>
      </c>
      <c r="B41" s="185" t="s">
        <v>646</v>
      </c>
      <c r="C41" s="184" t="s">
        <v>611</v>
      </c>
      <c r="D41" s="183" t="s">
        <v>444</v>
      </c>
      <c r="E41" s="183" t="s">
        <v>161</v>
      </c>
    </row>
    <row r="42" spans="1:5">
      <c r="A42" s="187">
        <v>1412000073</v>
      </c>
      <c r="B42" s="185" t="s">
        <v>586</v>
      </c>
      <c r="C42" s="184" t="s">
        <v>612</v>
      </c>
      <c r="D42" s="183" t="s">
        <v>444</v>
      </c>
      <c r="E42" s="183" t="s">
        <v>159</v>
      </c>
    </row>
    <row r="43" spans="1:5">
      <c r="A43" s="186">
        <v>1412000075</v>
      </c>
      <c r="B43" s="185" t="s">
        <v>583</v>
      </c>
      <c r="C43" s="184" t="s">
        <v>597</v>
      </c>
      <c r="D43" s="183" t="s">
        <v>444</v>
      </c>
      <c r="E43" s="183" t="s">
        <v>159</v>
      </c>
    </row>
    <row r="44" spans="1:5">
      <c r="A44" s="186">
        <v>1412000057</v>
      </c>
      <c r="B44" s="185" t="s">
        <v>622</v>
      </c>
      <c r="C44" s="184" t="s">
        <v>623</v>
      </c>
      <c r="D44" s="183" t="s">
        <v>159</v>
      </c>
      <c r="E44" s="183" t="s">
        <v>159</v>
      </c>
    </row>
    <row r="45" spans="1:5">
      <c r="A45" s="187">
        <v>1412000078</v>
      </c>
      <c r="B45" s="185" t="s">
        <v>668</v>
      </c>
      <c r="C45" s="184" t="s">
        <v>624</v>
      </c>
      <c r="D45" s="183" t="s">
        <v>159</v>
      </c>
      <c r="E45" s="183" t="s">
        <v>159</v>
      </c>
    </row>
    <row r="46" spans="1:5">
      <c r="A46" s="186">
        <v>1412000081</v>
      </c>
      <c r="B46" s="185" t="s">
        <v>647</v>
      </c>
      <c r="C46" s="184" t="s">
        <v>640</v>
      </c>
      <c r="D46" s="183" t="s">
        <v>159</v>
      </c>
      <c r="E46" s="183" t="s">
        <v>159</v>
      </c>
    </row>
    <row r="47" spans="1:5">
      <c r="A47" s="186">
        <v>1412000083</v>
      </c>
      <c r="B47" s="185" t="s">
        <v>648</v>
      </c>
      <c r="C47" s="184" t="s">
        <v>650</v>
      </c>
      <c r="D47" s="183" t="s">
        <v>159</v>
      </c>
      <c r="E47" s="183" t="s">
        <v>159</v>
      </c>
    </row>
    <row r="48" spans="1:5">
      <c r="A48" s="186">
        <v>1412000084</v>
      </c>
      <c r="B48" s="183" t="s">
        <v>649</v>
      </c>
      <c r="C48" s="184" t="s">
        <v>654</v>
      </c>
      <c r="D48" s="183" t="s">
        <v>576</v>
      </c>
      <c r="E48" s="183" t="s">
        <v>159</v>
      </c>
    </row>
    <row r="49" spans="1:5">
      <c r="A49" s="186">
        <v>1412000087</v>
      </c>
      <c r="B49" s="185" t="s">
        <v>651</v>
      </c>
      <c r="C49" s="184" t="s">
        <v>655</v>
      </c>
      <c r="D49" s="183" t="s">
        <v>444</v>
      </c>
      <c r="E49" s="183" t="s">
        <v>159</v>
      </c>
    </row>
    <row r="50" spans="1:5">
      <c r="A50" s="186">
        <v>1412000088</v>
      </c>
      <c r="B50" s="183" t="s">
        <v>652</v>
      </c>
      <c r="C50" s="184" t="s">
        <v>656</v>
      </c>
      <c r="D50" s="183" t="s">
        <v>444</v>
      </c>
      <c r="E50" s="183" t="s">
        <v>159</v>
      </c>
    </row>
    <row r="51" spans="1:5">
      <c r="A51" s="186">
        <v>1412000089</v>
      </c>
      <c r="B51" s="183" t="s">
        <v>653</v>
      </c>
      <c r="C51" s="184" t="s">
        <v>657</v>
      </c>
      <c r="D51" s="183" t="s">
        <v>576</v>
      </c>
      <c r="E51" s="183" t="s">
        <v>159</v>
      </c>
    </row>
    <row r="52" spans="1:5">
      <c r="A52" s="186">
        <v>1412000091</v>
      </c>
      <c r="B52" s="183" t="s">
        <v>660</v>
      </c>
      <c r="C52" s="188" t="s">
        <v>659</v>
      </c>
      <c r="D52" s="183" t="s">
        <v>578</v>
      </c>
      <c r="E52" s="183" t="s">
        <v>160</v>
      </c>
    </row>
    <row r="53" spans="1:5">
      <c r="A53" s="186">
        <v>1412000092</v>
      </c>
      <c r="B53" s="183" t="s">
        <v>661</v>
      </c>
      <c r="C53" s="188" t="s">
        <v>662</v>
      </c>
      <c r="D53" s="183" t="s">
        <v>576</v>
      </c>
      <c r="E53" s="183" t="s">
        <v>159</v>
      </c>
    </row>
    <row r="54" spans="1:5">
      <c r="A54" s="186">
        <v>1412000093</v>
      </c>
      <c r="B54" s="183" t="s">
        <v>669</v>
      </c>
      <c r="C54" s="188" t="s">
        <v>663</v>
      </c>
      <c r="D54" s="183" t="s">
        <v>578</v>
      </c>
      <c r="E54" s="183" t="s">
        <v>160</v>
      </c>
    </row>
    <row r="55" spans="1:5">
      <c r="A55" s="186">
        <v>1412000094</v>
      </c>
      <c r="B55" s="183" t="s">
        <v>670</v>
      </c>
      <c r="C55" s="188" t="s">
        <v>681</v>
      </c>
      <c r="D55" s="183" t="s">
        <v>444</v>
      </c>
      <c r="E55" s="183" t="s">
        <v>159</v>
      </c>
    </row>
    <row r="56" spans="1:5">
      <c r="A56" s="186">
        <v>1412000096</v>
      </c>
      <c r="B56" s="185" t="s">
        <v>671</v>
      </c>
      <c r="C56" s="188" t="s">
        <v>682</v>
      </c>
      <c r="D56" s="183" t="s">
        <v>159</v>
      </c>
      <c r="E56" s="183" t="s">
        <v>159</v>
      </c>
    </row>
    <row r="57" spans="1:5">
      <c r="A57" s="186">
        <v>1412000098</v>
      </c>
      <c r="B57" s="183" t="s">
        <v>679</v>
      </c>
      <c r="C57" s="188" t="s">
        <v>683</v>
      </c>
      <c r="D57" s="183" t="s">
        <v>159</v>
      </c>
      <c r="E57" s="183" t="s">
        <v>159</v>
      </c>
    </row>
    <row r="58" spans="1:5">
      <c r="A58" s="186">
        <v>1412000099</v>
      </c>
      <c r="B58" s="183" t="s">
        <v>680</v>
      </c>
      <c r="C58" s="188" t="s">
        <v>684</v>
      </c>
      <c r="D58" s="183" t="s">
        <v>159</v>
      </c>
      <c r="E58" s="183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161"/>
  </cols>
  <sheetData>
    <row r="2" spans="1:2">
      <c r="A2" s="101" t="s">
        <v>673</v>
      </c>
      <c r="B2" s="161" t="s">
        <v>401</v>
      </c>
    </row>
    <row r="3" spans="1:2" ht="14.5">
      <c r="A3" s="76">
        <v>4</v>
      </c>
      <c r="B3" s="162">
        <v>20</v>
      </c>
    </row>
    <row r="4" spans="1:2" ht="14.5">
      <c r="A4" s="76">
        <v>5</v>
      </c>
      <c r="B4" s="162">
        <v>19</v>
      </c>
    </row>
    <row r="5" spans="1:2" ht="14.5">
      <c r="A5" s="76">
        <v>6</v>
      </c>
      <c r="B5" s="162">
        <v>21</v>
      </c>
    </row>
    <row r="6" spans="1:2" ht="14.5">
      <c r="A6" s="76">
        <v>7</v>
      </c>
      <c r="B6" s="162">
        <v>23</v>
      </c>
    </row>
    <row r="7" spans="1:2" ht="14.5">
      <c r="A7" s="76">
        <v>8</v>
      </c>
      <c r="B7" s="162">
        <v>20</v>
      </c>
    </row>
    <row r="8" spans="1:2" ht="14.5">
      <c r="A8" s="76">
        <v>9</v>
      </c>
      <c r="B8" s="162">
        <v>19</v>
      </c>
    </row>
    <row r="9" spans="1:2" ht="14.5">
      <c r="A9" s="76">
        <v>10</v>
      </c>
      <c r="B9" s="162">
        <v>23</v>
      </c>
    </row>
    <row r="10" spans="1:2" ht="14.5">
      <c r="A10" s="76">
        <v>11</v>
      </c>
      <c r="B10" s="162">
        <v>20</v>
      </c>
    </row>
    <row r="11" spans="1:2" ht="14.5">
      <c r="A11" s="76">
        <v>12</v>
      </c>
      <c r="B11" s="162">
        <v>22</v>
      </c>
    </row>
    <row r="12" spans="1:2" ht="14.5">
      <c r="A12" s="76">
        <v>1</v>
      </c>
      <c r="B12" s="162">
        <v>20</v>
      </c>
    </row>
    <row r="13" spans="1:2" ht="14.5">
      <c r="A13" s="76">
        <v>2</v>
      </c>
      <c r="B13" s="162">
        <v>15</v>
      </c>
    </row>
    <row r="14" spans="1:2" ht="14.5">
      <c r="A14" s="76">
        <v>3</v>
      </c>
      <c r="B14" s="162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Thiện Duyên(Nguyen Thi Thien Duyen)</cp:lastModifiedBy>
  <cp:lastPrinted>2017-10-06T02:39:42Z</cp:lastPrinted>
  <dcterms:created xsi:type="dcterms:W3CDTF">2002-04-10T08:05:47Z</dcterms:created>
  <dcterms:modified xsi:type="dcterms:W3CDTF">2025-01-07T04:07:32Z</dcterms:modified>
</cp:coreProperties>
</file>