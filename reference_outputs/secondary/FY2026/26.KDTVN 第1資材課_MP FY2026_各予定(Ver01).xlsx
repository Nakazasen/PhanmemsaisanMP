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5DA37A78-F47E-46B1-A657-4D25882FBBB0}" xr6:coauthVersionLast="47" xr6:coauthVersionMax="47" xr10:uidLastSave="{00000000-0000-0000-0000-000000000000}"/>
  <bookViews>
    <workbookView xWindow="-120" yWindow="-120" windowWidth="20730" windowHeight="11160" tabRatio="702" activeTab="2" xr2:uid="{40963A8C-5A43-4D23-831E-FECDC6644011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'内訳ﾘｽﾄ(4～3月)'!$A$7:$BC$7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10" l="1"/>
  <c r="G61" i="10"/>
  <c r="H61" i="10"/>
  <c r="H93" i="10" l="1"/>
  <c r="L58" i="10" l="1"/>
  <c r="I58" i="10" l="1"/>
  <c r="I81" i="10" l="1"/>
  <c r="J81" i="10"/>
  <c r="H81" i="10"/>
  <c r="F81" i="10"/>
  <c r="F84" i="10"/>
  <c r="G85" i="10" l="1"/>
  <c r="G84" i="10"/>
  <c r="F85" i="10"/>
  <c r="O58" i="10" l="1"/>
  <c r="J58" i="10"/>
  <c r="H58" i="10"/>
  <c r="F58" i="10"/>
  <c r="F39" i="10" l="1"/>
  <c r="P59" i="10"/>
  <c r="P60" i="10"/>
  <c r="G72" i="10"/>
  <c r="M63" i="10"/>
  <c r="N66" i="10"/>
  <c r="M62" i="10"/>
  <c r="L74" i="10"/>
  <c r="L73" i="10"/>
  <c r="L67" i="10" l="1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988" i="10" s="1"/>
  <c r="D988" i="10" s="1"/>
  <c r="D5" i="10"/>
  <c r="H2" i="36"/>
  <c r="G2" i="36"/>
  <c r="F2" i="36"/>
  <c r="N98" i="5"/>
  <c r="M98" i="5"/>
  <c r="M98" i="32" s="1"/>
  <c r="L98" i="5"/>
  <c r="L98" i="32" s="1"/>
  <c r="K98" i="5"/>
  <c r="K98" i="32" s="1"/>
  <c r="J98" i="5"/>
  <c r="J98" i="32" s="1"/>
  <c r="I98" i="5"/>
  <c r="I98" i="32" s="1"/>
  <c r="H98" i="5"/>
  <c r="G98" i="5"/>
  <c r="F98" i="5"/>
  <c r="E98" i="5"/>
  <c r="D98" i="5"/>
  <c r="D98" i="32" s="1"/>
  <c r="C98" i="5"/>
  <c r="C98" i="32" s="1"/>
  <c r="N97" i="5"/>
  <c r="N99" i="5" s="1"/>
  <c r="M97" i="5"/>
  <c r="L97" i="5"/>
  <c r="L97" i="32" s="1"/>
  <c r="K97" i="5"/>
  <c r="J97" i="5"/>
  <c r="J97" i="32" s="1"/>
  <c r="I97" i="5"/>
  <c r="H97" i="5"/>
  <c r="H97" i="32" s="1"/>
  <c r="G97" i="5"/>
  <c r="G97" i="32" s="1"/>
  <c r="F97" i="5"/>
  <c r="F99" i="5" s="1"/>
  <c r="E97" i="5"/>
  <c r="D97" i="5"/>
  <c r="C97" i="5"/>
  <c r="N93" i="5"/>
  <c r="N93" i="32" s="1"/>
  <c r="M93" i="5"/>
  <c r="M93" i="32" s="1"/>
  <c r="L93" i="5"/>
  <c r="L93" i="32" s="1"/>
  <c r="L94" i="32" s="1"/>
  <c r="K93" i="5"/>
  <c r="K93" i="32" s="1"/>
  <c r="K94" i="32" s="1"/>
  <c r="J93" i="5"/>
  <c r="J93" i="32" s="1"/>
  <c r="I93" i="5"/>
  <c r="I93" i="32" s="1"/>
  <c r="H93" i="5"/>
  <c r="G93" i="5"/>
  <c r="F93" i="5"/>
  <c r="F93" i="32" s="1"/>
  <c r="E93" i="5"/>
  <c r="E93" i="32" s="1"/>
  <c r="D93" i="5"/>
  <c r="D93" i="32" s="1"/>
  <c r="C93" i="5"/>
  <c r="C93" i="32" s="1"/>
  <c r="N92" i="5"/>
  <c r="N94" i="5" s="1"/>
  <c r="M92" i="5"/>
  <c r="M92" i="32" s="1"/>
  <c r="L92" i="5"/>
  <c r="L92" i="32" s="1"/>
  <c r="K92" i="5"/>
  <c r="K92" i="32" s="1"/>
  <c r="J92" i="5"/>
  <c r="I92" i="5"/>
  <c r="H92" i="5"/>
  <c r="H94" i="5" s="1"/>
  <c r="G92" i="5"/>
  <c r="G92" i="32" s="1"/>
  <c r="F92" i="5"/>
  <c r="F94" i="5" s="1"/>
  <c r="E92" i="5"/>
  <c r="E92" i="32" s="1"/>
  <c r="D92" i="5"/>
  <c r="C92" i="5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K87" i="5"/>
  <c r="J87" i="5"/>
  <c r="I87" i="5"/>
  <c r="H87" i="5"/>
  <c r="H87" i="32" s="1"/>
  <c r="G87" i="5"/>
  <c r="G87" i="32" s="1"/>
  <c r="F87" i="5"/>
  <c r="E87" i="5"/>
  <c r="E87" i="32" s="1"/>
  <c r="D87" i="5"/>
  <c r="D87" i="32" s="1"/>
  <c r="C87" i="5"/>
  <c r="N74" i="5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N74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L87" i="32"/>
  <c r="H93" i="32"/>
  <c r="D97" i="32"/>
  <c r="D4" i="32"/>
  <c r="E4" i="32"/>
  <c r="F4" i="32"/>
  <c r="G4" i="32"/>
  <c r="H4" i="32"/>
  <c r="I4" i="32"/>
  <c r="J4" i="32"/>
  <c r="K4" i="32"/>
  <c r="L4" i="32"/>
  <c r="M4" i="32"/>
  <c r="N4" i="32"/>
  <c r="O4" i="32"/>
  <c r="H98" i="32"/>
  <c r="I68" i="32"/>
  <c r="C87" i="32"/>
  <c r="K87" i="32"/>
  <c r="F98" i="32"/>
  <c r="N98" i="32"/>
  <c r="E89" i="5"/>
  <c r="I87" i="32"/>
  <c r="I89" i="5"/>
  <c r="C92" i="32"/>
  <c r="G93" i="32"/>
  <c r="G98" i="32"/>
  <c r="G99" i="32" s="1"/>
  <c r="E97" i="32"/>
  <c r="J92" i="32"/>
  <c r="M97" i="32"/>
  <c r="C846" i="10"/>
  <c r="D846" i="10" s="1"/>
  <c r="C857" i="10"/>
  <c r="D857" i="10" s="1"/>
  <c r="C908" i="10"/>
  <c r="D908" i="10" s="1"/>
  <c r="C337" i="10"/>
  <c r="D337" i="10" s="1"/>
  <c r="C395" i="10"/>
  <c r="D395" i="10" s="1"/>
  <c r="C121" i="10"/>
  <c r="D121" i="10" s="1"/>
  <c r="C422" i="10"/>
  <c r="D422" i="10" s="1"/>
  <c r="C744" i="10"/>
  <c r="D744" i="10" s="1"/>
  <c r="C241" i="10"/>
  <c r="D241" i="10" s="1"/>
  <c r="C404" i="10"/>
  <c r="D404" i="10" s="1"/>
  <c r="C601" i="10"/>
  <c r="D601" i="10" s="1"/>
  <c r="C982" i="10"/>
  <c r="D982" i="10" s="1"/>
  <c r="C670" i="10"/>
  <c r="D670" i="10" s="1"/>
  <c r="C74" i="10"/>
  <c r="D74" i="10" s="1"/>
  <c r="C535" i="10"/>
  <c r="D535" i="10" s="1"/>
  <c r="C470" i="10"/>
  <c r="D470" i="10" s="1"/>
  <c r="C907" i="10"/>
  <c r="D907" i="10" s="1"/>
  <c r="C746" i="10"/>
  <c r="D746" i="10" s="1"/>
  <c r="C66" i="10"/>
  <c r="D66" i="10" s="1"/>
  <c r="C570" i="10"/>
  <c r="D570" i="10" s="1"/>
  <c r="C696" i="10"/>
  <c r="D696" i="10" s="1"/>
  <c r="C303" i="10"/>
  <c r="D303" i="10" s="1"/>
  <c r="C455" i="10"/>
  <c r="D455" i="10" s="1"/>
  <c r="C725" i="10"/>
  <c r="D725" i="10" s="1"/>
  <c r="C106" i="10"/>
  <c r="D106" i="10" s="1"/>
  <c r="C878" i="10"/>
  <c r="D878" i="10" s="1"/>
  <c r="C239" i="10"/>
  <c r="D239" i="10" s="1"/>
  <c r="C190" i="10"/>
  <c r="D190" i="10" s="1"/>
  <c r="C302" i="10"/>
  <c r="D302" i="10" s="1"/>
  <c r="C697" i="10"/>
  <c r="D697" i="10" s="1"/>
  <c r="C710" i="10"/>
  <c r="D710" i="10" s="1"/>
  <c r="C51" i="10"/>
  <c r="D51" i="10" s="1"/>
  <c r="C309" i="10"/>
  <c r="D309" i="10" s="1"/>
  <c r="C757" i="10"/>
  <c r="D757" i="10" s="1"/>
  <c r="C93" i="10"/>
  <c r="D93" i="10" s="1"/>
  <c r="C912" i="10"/>
  <c r="D912" i="10" s="1"/>
  <c r="C269" i="10"/>
  <c r="D269" i="10" s="1"/>
  <c r="C220" i="10"/>
  <c r="D220" i="10" s="1"/>
  <c r="C320" i="10"/>
  <c r="D320" i="10" s="1"/>
  <c r="C923" i="10"/>
  <c r="D923" i="10" s="1"/>
  <c r="C715" i="10"/>
  <c r="D715" i="10" s="1"/>
  <c r="C802" i="10"/>
  <c r="D802" i="10" s="1"/>
  <c r="C67" i="10"/>
  <c r="D67" i="10" s="1"/>
  <c r="C832" i="10"/>
  <c r="D832" i="10" s="1"/>
  <c r="C208" i="10"/>
  <c r="D208" i="10" s="1"/>
  <c r="C918" i="10"/>
  <c r="D918" i="10" s="1"/>
  <c r="C821" i="10"/>
  <c r="D821" i="10" s="1"/>
  <c r="C152" i="10"/>
  <c r="D152" i="10" s="1"/>
  <c r="C53" i="10"/>
  <c r="D53" i="10" s="1"/>
  <c r="C520" i="10"/>
  <c r="D520" i="10" s="1"/>
  <c r="C963" i="10"/>
  <c r="D963" i="10"/>
  <c r="C865" i="10"/>
  <c r="D865" i="10"/>
  <c r="C319" i="10"/>
  <c r="D319" i="10" s="1"/>
  <c r="C96" i="10"/>
  <c r="D96" i="10" s="1"/>
  <c r="C238" i="10"/>
  <c r="D238" i="10" s="1"/>
  <c r="C458" i="10"/>
  <c r="D458" i="10" s="1"/>
  <c r="C344" i="10"/>
  <c r="D344" i="10" s="1"/>
  <c r="C724" i="10"/>
  <c r="D724" i="10" s="1"/>
  <c r="C672" i="10"/>
  <c r="D672" i="10" s="1"/>
  <c r="C617" i="10"/>
  <c r="D617" i="10" s="1"/>
  <c r="C688" i="10"/>
  <c r="D688" i="10" s="1"/>
  <c r="C766" i="10"/>
  <c r="D766" i="10" s="1"/>
  <c r="C317" i="10"/>
  <c r="D317" i="10" s="1"/>
  <c r="C868" i="10"/>
  <c r="D868" i="10" s="1"/>
  <c r="C660" i="10"/>
  <c r="D660" i="10" s="1"/>
  <c r="C179" i="10"/>
  <c r="D179" i="10" s="1"/>
  <c r="C661" i="10"/>
  <c r="D661" i="10" s="1"/>
  <c r="C873" i="10"/>
  <c r="D873" i="10" s="1"/>
  <c r="C189" i="10"/>
  <c r="D189" i="10" s="1"/>
  <c r="C146" i="10"/>
  <c r="D146" i="10" s="1"/>
  <c r="C116" i="10"/>
  <c r="D116" i="10" s="1"/>
  <c r="C37" i="10"/>
  <c r="D37" i="10" s="1"/>
  <c r="C325" i="10"/>
  <c r="D325" i="10" s="1"/>
  <c r="C587" i="10"/>
  <c r="D587" i="10" s="1"/>
  <c r="C827" i="10"/>
  <c r="D827" i="10" s="1"/>
  <c r="C999" i="10"/>
  <c r="D999" i="10" s="1"/>
  <c r="C994" i="10"/>
  <c r="D994" i="10"/>
  <c r="C909" i="10"/>
  <c r="D909" i="10" s="1"/>
  <c r="C204" i="10"/>
  <c r="D204" i="10" s="1"/>
  <c r="C351" i="10"/>
  <c r="D351" i="10" s="1"/>
  <c r="C539" i="10"/>
  <c r="D539" i="10" s="1"/>
  <c r="C88" i="10"/>
  <c r="D88" i="10" s="1"/>
  <c r="C34" i="10"/>
  <c r="D34" i="10" s="1"/>
  <c r="C273" i="10"/>
  <c r="D273" i="10" s="1"/>
  <c r="C529" i="10"/>
  <c r="D529" i="10" s="1"/>
  <c r="C547" i="10"/>
  <c r="D547" i="10" s="1"/>
  <c r="C278" i="10"/>
  <c r="D278" i="10" s="1"/>
  <c r="C362" i="10"/>
  <c r="D362" i="10" s="1"/>
  <c r="C478" i="10"/>
  <c r="D478" i="10" s="1"/>
  <c r="C487" i="10"/>
  <c r="D487" i="10" s="1"/>
  <c r="C700" i="10"/>
  <c r="D700" i="10" s="1"/>
  <c r="C860" i="10"/>
  <c r="D860" i="10" s="1"/>
  <c r="K69" i="5"/>
  <c r="E61" i="5"/>
  <c r="E61" i="32" s="1"/>
  <c r="I62" i="5"/>
  <c r="I62" i="32" s="1"/>
  <c r="C609" i="10"/>
  <c r="D609" i="10" s="1"/>
  <c r="C625" i="10"/>
  <c r="D625" i="10" s="1"/>
  <c r="C641" i="10"/>
  <c r="D641" i="10" s="1"/>
  <c r="C657" i="10"/>
  <c r="D657" i="10" s="1"/>
  <c r="C674" i="10"/>
  <c r="D674" i="10" s="1"/>
  <c r="C699" i="10"/>
  <c r="D699" i="10" s="1"/>
  <c r="C718" i="10"/>
  <c r="D718" i="10" s="1"/>
  <c r="C736" i="10"/>
  <c r="D736" i="10" s="1"/>
  <c r="C755" i="10"/>
  <c r="D755" i="10" s="1"/>
  <c r="C782" i="10"/>
  <c r="D782" i="10" s="1"/>
  <c r="C818" i="10"/>
  <c r="D818" i="10"/>
  <c r="C534" i="10"/>
  <c r="D534" i="10" s="1"/>
  <c r="C399" i="10"/>
  <c r="D399" i="10" s="1"/>
  <c r="C235" i="10"/>
  <c r="D235" i="10" s="1"/>
  <c r="C773" i="10"/>
  <c r="D773" i="10" s="1"/>
  <c r="C943" i="10"/>
  <c r="D943" i="10" s="1"/>
  <c r="C828" i="10"/>
  <c r="D828" i="10" s="1"/>
  <c r="C880" i="10"/>
  <c r="D880" i="10" s="1"/>
  <c r="C977" i="10"/>
  <c r="D977" i="10"/>
  <c r="C721" i="10"/>
  <c r="D721" i="10" s="1"/>
  <c r="C550" i="10"/>
  <c r="D550" i="10" s="1"/>
  <c r="C407" i="10"/>
  <c r="D407" i="10" s="1"/>
  <c r="C245" i="10"/>
  <c r="D245" i="10" s="1"/>
  <c r="C73" i="10"/>
  <c r="D73" i="10" s="1"/>
  <c r="C125" i="10"/>
  <c r="D125" i="10" s="1"/>
  <c r="C157" i="10"/>
  <c r="D157" i="10" s="1"/>
  <c r="C203" i="10"/>
  <c r="D203" i="10" s="1"/>
  <c r="C903" i="10"/>
  <c r="D903" i="10" s="1"/>
  <c r="C974" i="10"/>
  <c r="D974" i="10" s="1"/>
  <c r="C859" i="10"/>
  <c r="D859" i="10" s="1"/>
  <c r="C680" i="10"/>
  <c r="D680" i="10" s="1"/>
  <c r="C777" i="10"/>
  <c r="D777" i="10" s="1"/>
  <c r="C885" i="10"/>
  <c r="D885" i="10" s="1"/>
  <c r="C213" i="10"/>
  <c r="D213" i="10" s="1"/>
  <c r="C185" i="10"/>
  <c r="D185" i="10" s="1"/>
  <c r="C160" i="10"/>
  <c r="D160" i="10" s="1"/>
  <c r="C144" i="10"/>
  <c r="D144" i="10" s="1"/>
  <c r="C128" i="10"/>
  <c r="D128" i="10" s="1"/>
  <c r="C114" i="10"/>
  <c r="D114" i="10" s="1"/>
  <c r="C85" i="10"/>
  <c r="D85" i="10" s="1"/>
  <c r="C216" i="10"/>
  <c r="D216" i="10" s="1"/>
  <c r="C247" i="10"/>
  <c r="D247" i="10" s="1"/>
  <c r="C339" i="10"/>
  <c r="D339" i="10" s="1"/>
  <c r="C477" i="10"/>
  <c r="D477" i="10" s="1"/>
  <c r="C596" i="10"/>
  <c r="D596" i="10" s="1"/>
  <c r="C770" i="10"/>
  <c r="D770" i="10" s="1"/>
  <c r="C835" i="10"/>
  <c r="D835" i="10" s="1"/>
  <c r="C925" i="10"/>
  <c r="D925" i="10" s="1"/>
  <c r="C831" i="10"/>
  <c r="D831" i="10" s="1"/>
  <c r="C917" i="10"/>
  <c r="D917" i="10" s="1"/>
  <c r="C677" i="10"/>
  <c r="D677" i="10" s="1"/>
  <c r="C801" i="10"/>
  <c r="D801" i="10" s="1"/>
  <c r="C929" i="10"/>
  <c r="D929" i="10" s="1"/>
  <c r="C79" i="10"/>
  <c r="D79" i="10" s="1"/>
  <c r="C188" i="10"/>
  <c r="D188" i="10" s="1"/>
  <c r="C283" i="10"/>
  <c r="D283" i="10" s="1"/>
  <c r="C387" i="10"/>
  <c r="D387" i="10" s="1"/>
  <c r="C460" i="10"/>
  <c r="D460" i="10" s="1"/>
  <c r="C555" i="10"/>
  <c r="D555" i="10" s="1"/>
  <c r="C748" i="10"/>
  <c r="D748" i="10" s="1"/>
  <c r="C84" i="10"/>
  <c r="D84" i="10" s="1"/>
  <c r="C64" i="10"/>
  <c r="D64" i="10" s="1"/>
  <c r="C32" i="10"/>
  <c r="D32" i="10" s="1"/>
  <c r="C222" i="10"/>
  <c r="D222" i="10" s="1"/>
  <c r="C281" i="10"/>
  <c r="D281" i="10" s="1"/>
  <c r="C409" i="10"/>
  <c r="D409" i="10" s="1"/>
  <c r="C536" i="10"/>
  <c r="D536" i="10" s="1"/>
  <c r="C397" i="10"/>
  <c r="D397" i="10" s="1"/>
  <c r="C552" i="10"/>
  <c r="D552" i="10" s="1"/>
  <c r="C738" i="10"/>
  <c r="D738" i="10" s="1"/>
  <c r="C282" i="10"/>
  <c r="D282" i="10" s="1"/>
  <c r="C322" i="10"/>
  <c r="D322" i="10" s="1"/>
  <c r="C364" i="10"/>
  <c r="D364" i="10" s="1"/>
  <c r="C408" i="10"/>
  <c r="D408" i="10" s="1"/>
  <c r="C481" i="10"/>
  <c r="D481" i="10" s="1"/>
  <c r="C592" i="10"/>
  <c r="D592" i="10" s="1"/>
  <c r="C495" i="10"/>
  <c r="D495" i="10" s="1"/>
  <c r="C575" i="10"/>
  <c r="D575" i="10" s="1"/>
  <c r="C714" i="10"/>
  <c r="D714" i="10" s="1"/>
  <c r="C904" i="10"/>
  <c r="D904" i="10" s="1"/>
  <c r="C894" i="10"/>
  <c r="D894" i="10" s="1"/>
  <c r="C615" i="10"/>
  <c r="D615" i="10" s="1"/>
  <c r="C631" i="10"/>
  <c r="D631" i="10" s="1"/>
  <c r="C647" i="10"/>
  <c r="D647" i="10" s="1"/>
  <c r="C664" i="10"/>
  <c r="D664" i="10" s="1"/>
  <c r="C686" i="10"/>
  <c r="D686" i="10" s="1"/>
  <c r="C707" i="10"/>
  <c r="D707" i="10" s="1"/>
  <c r="C723" i="10"/>
  <c r="D723" i="10" s="1"/>
  <c r="C742" i="10"/>
  <c r="D742" i="10" s="1"/>
  <c r="C763" i="10"/>
  <c r="D763" i="10" s="1"/>
  <c r="C784" i="10"/>
  <c r="D784" i="10" s="1"/>
  <c r="C823" i="10"/>
  <c r="D823" i="10" s="1"/>
  <c r="C518" i="10"/>
  <c r="D518" i="10" s="1"/>
  <c r="C371" i="10"/>
  <c r="D371" i="10" s="1"/>
  <c r="C219" i="10"/>
  <c r="D219" i="10" s="1"/>
  <c r="C985" i="10"/>
  <c r="D985" i="10" s="1"/>
  <c r="C729" i="10"/>
  <c r="D729" i="10" s="1"/>
  <c r="C922" i="10"/>
  <c r="D922" i="10" s="1"/>
  <c r="C995" i="10"/>
  <c r="D995" i="10" s="1"/>
  <c r="C872" i="10"/>
  <c r="D872" i="10" s="1"/>
  <c r="C957" i="10"/>
  <c r="D957" i="10" s="1"/>
  <c r="C701" i="10"/>
  <c r="D701" i="10" s="1"/>
  <c r="C532" i="10"/>
  <c r="D532" i="10" s="1"/>
  <c r="C323" i="10"/>
  <c r="D323" i="10" s="1"/>
  <c r="C176" i="10"/>
  <c r="D176" i="10" s="1"/>
  <c r="C105" i="10"/>
  <c r="D105" i="10" s="1"/>
  <c r="C137" i="10"/>
  <c r="D137" i="10" s="1"/>
  <c r="C171" i="10"/>
  <c r="D171" i="10" s="1"/>
  <c r="C998" i="10"/>
  <c r="D998" i="10" s="1"/>
  <c r="C855" i="10"/>
  <c r="D855" i="10" s="1"/>
  <c r="C926" i="10"/>
  <c r="D926" i="10" s="1"/>
  <c r="C822" i="10"/>
  <c r="D822" i="10" s="1"/>
  <c r="C713" i="10"/>
  <c r="D713" i="10" s="1"/>
  <c r="C809" i="10"/>
  <c r="D809" i="10" s="1"/>
  <c r="C937" i="10"/>
  <c r="D937" i="10" s="1"/>
  <c r="C173" i="10"/>
  <c r="D173" i="10" s="1"/>
  <c r="C154" i="10"/>
  <c r="D154" i="10" s="1"/>
  <c r="C138" i="10"/>
  <c r="D138" i="10" s="1"/>
  <c r="C122" i="10"/>
  <c r="D122" i="10" s="1"/>
  <c r="C108" i="10"/>
  <c r="D108" i="10" s="1"/>
  <c r="C61" i="10"/>
  <c r="D61" i="10" s="1"/>
  <c r="C184" i="10"/>
  <c r="D184" i="10" s="1"/>
  <c r="C279" i="10"/>
  <c r="D279" i="10" s="1"/>
  <c r="C420" i="10"/>
  <c r="D420" i="10" s="1"/>
  <c r="C512" i="10"/>
  <c r="D512" i="10" s="1"/>
  <c r="C652" i="10"/>
  <c r="D652" i="10" s="1"/>
  <c r="C1000" i="10"/>
  <c r="D1000" i="10" s="1"/>
  <c r="C870" i="10"/>
  <c r="D870" i="10" s="1"/>
  <c r="C955" i="10"/>
  <c r="D955" i="10" s="1"/>
  <c r="C866" i="10"/>
  <c r="D866" i="10" s="1"/>
  <c r="C951" i="10"/>
  <c r="D951" i="10" s="1"/>
  <c r="C717" i="10"/>
  <c r="D717" i="10" s="1"/>
  <c r="C845" i="10"/>
  <c r="D845" i="10" s="1"/>
  <c r="C973" i="10"/>
  <c r="D973" i="10" s="1"/>
  <c r="C55" i="10"/>
  <c r="D55" i="10" s="1"/>
  <c r="C231" i="10"/>
  <c r="D231" i="10" s="1"/>
  <c r="C315" i="10"/>
  <c r="D315" i="10" s="1"/>
  <c r="C415" i="10"/>
  <c r="D415" i="10" s="1"/>
  <c r="C480" i="10"/>
  <c r="D480" i="10" s="1"/>
  <c r="C582" i="10"/>
  <c r="D582" i="10" s="1"/>
  <c r="C98" i="10"/>
  <c r="D98" i="10" s="1"/>
  <c r="C76" i="10"/>
  <c r="D76" i="10" s="1"/>
  <c r="C50" i="10"/>
  <c r="D50" i="10" s="1"/>
  <c r="C194" i="10"/>
  <c r="D194" i="10" s="1"/>
  <c r="C236" i="10"/>
  <c r="D236" i="10" s="1"/>
  <c r="C329" i="10"/>
  <c r="D329" i="10" s="1"/>
  <c r="C463" i="10"/>
  <c r="D463" i="10" s="1"/>
  <c r="C668" i="10"/>
  <c r="D668" i="10" s="1"/>
  <c r="C451" i="10"/>
  <c r="D451" i="10" s="1"/>
  <c r="C600" i="10"/>
  <c r="D600" i="10" s="1"/>
  <c r="C258" i="10"/>
  <c r="D258" i="10" s="1"/>
  <c r="C300" i="10"/>
  <c r="D300" i="10" s="1"/>
  <c r="C340" i="10"/>
  <c r="D340" i="10" s="1"/>
  <c r="C384" i="10"/>
  <c r="D384" i="10" s="1"/>
  <c r="C432" i="10"/>
  <c r="D432" i="10" s="1"/>
  <c r="C528" i="10"/>
  <c r="D528" i="10" s="1"/>
  <c r="C703" i="10"/>
  <c r="D703" i="10" s="1"/>
  <c r="C530" i="10"/>
  <c r="D530" i="10" s="1"/>
  <c r="C612" i="10"/>
  <c r="D612" i="10" s="1"/>
  <c r="C786" i="10"/>
  <c r="D786" i="10" s="1"/>
  <c r="C790" i="10"/>
  <c r="D790" i="10" s="1"/>
  <c r="F61" i="5"/>
  <c r="F61" i="32" s="1"/>
  <c r="K62" i="5"/>
  <c r="K62" i="32" s="1"/>
  <c r="L70" i="5"/>
  <c r="L70" i="32" s="1"/>
  <c r="C70" i="5"/>
  <c r="C70" i="32" s="1"/>
  <c r="C611" i="10"/>
  <c r="D611" i="10" s="1"/>
  <c r="C619" i="10"/>
  <c r="D619" i="10" s="1"/>
  <c r="C627" i="10"/>
  <c r="D627" i="10" s="1"/>
  <c r="C635" i="10"/>
  <c r="D635" i="10" s="1"/>
  <c r="C643" i="10"/>
  <c r="D643" i="10" s="1"/>
  <c r="C651" i="10"/>
  <c r="D651" i="10" s="1"/>
  <c r="C659" i="10"/>
  <c r="D659" i="10" s="1"/>
  <c r="C671" i="10"/>
  <c r="D671" i="10" s="1"/>
  <c r="C678" i="10"/>
  <c r="D678" i="10" s="1"/>
  <c r="C691" i="10"/>
  <c r="D691" i="10" s="1"/>
  <c r="C702" i="10"/>
  <c r="D702" i="10" s="1"/>
  <c r="C720" i="10"/>
  <c r="D720" i="10" s="1"/>
  <c r="C728" i="10"/>
  <c r="D728" i="10" s="1"/>
  <c r="C747" i="10"/>
  <c r="D747" i="10" s="1"/>
  <c r="C758" i="10"/>
  <c r="D758" i="10" s="1"/>
  <c r="C768" i="10"/>
  <c r="D768" i="10" s="1"/>
  <c r="C776" i="10"/>
  <c r="D776" i="10" s="1"/>
  <c r="C787" i="10"/>
  <c r="D787" i="10" s="1"/>
  <c r="C807" i="10"/>
  <c r="D807" i="10" s="1"/>
  <c r="C762" i="10"/>
  <c r="D762" i="10" s="1"/>
  <c r="C501" i="10"/>
  <c r="D501" i="10" s="1"/>
  <c r="C431" i="10"/>
  <c r="D431" i="10" s="1"/>
  <c r="C361" i="10"/>
  <c r="D361" i="10" s="1"/>
  <c r="C267" i="10"/>
  <c r="D267" i="10" s="1"/>
  <c r="C196" i="10"/>
  <c r="D196" i="10" s="1"/>
  <c r="C83" i="10"/>
  <c r="D83" i="10" s="1"/>
  <c r="C965" i="10"/>
  <c r="D965" i="10" s="1"/>
  <c r="C838" i="10"/>
  <c r="D838" i="10" s="1"/>
  <c r="C709" i="10"/>
  <c r="D709" i="10" s="1"/>
  <c r="C962" i="10"/>
  <c r="D962" i="10" s="1"/>
  <c r="C914" i="10"/>
  <c r="D914" i="10" s="1"/>
  <c r="C858" i="10"/>
  <c r="D858" i="10" s="1"/>
  <c r="C966" i="10"/>
  <c r="D966" i="10"/>
  <c r="C921" i="10"/>
  <c r="D921" i="10" s="1"/>
  <c r="C862" i="10"/>
  <c r="D862" i="10" s="1"/>
  <c r="C913" i="10"/>
  <c r="D913" i="10" s="1"/>
  <c r="C785" i="10"/>
  <c r="D785" i="10" s="1"/>
  <c r="C996" i="10"/>
  <c r="D996" i="10" s="1"/>
  <c r="C624" i="10"/>
  <c r="D624" i="10" s="1"/>
  <c r="C515" i="10"/>
  <c r="D515" i="10" s="1"/>
  <c r="C442" i="10"/>
  <c r="D442" i="10" s="1"/>
  <c r="C379" i="10"/>
  <c r="D379" i="10" s="1"/>
  <c r="C295" i="10"/>
  <c r="D295" i="10" s="1"/>
  <c r="C229" i="10"/>
  <c r="D229" i="10" s="1"/>
  <c r="C41" i="10"/>
  <c r="D41" i="10" s="1"/>
  <c r="C89" i="10"/>
  <c r="D89" i="10" s="1"/>
  <c r="C113" i="10"/>
  <c r="D113" i="10" s="1"/>
  <c r="C129" i="10"/>
  <c r="D129" i="10" s="1"/>
  <c r="C145" i="10"/>
  <c r="D145" i="10" s="1"/>
  <c r="C161" i="10"/>
  <c r="D161" i="10" s="1"/>
  <c r="C211" i="10"/>
  <c r="D211" i="10" s="1"/>
  <c r="C940" i="10"/>
  <c r="D940" i="10" s="1"/>
  <c r="C892" i="10"/>
  <c r="D892" i="10"/>
  <c r="C836" i="10"/>
  <c r="D836" i="10" s="1"/>
  <c r="C944" i="10"/>
  <c r="D944" i="10" s="1"/>
  <c r="C896" i="10"/>
  <c r="D896" i="10" s="1"/>
  <c r="C851" i="10"/>
  <c r="D851" i="10" s="1"/>
  <c r="C803" i="10"/>
  <c r="D803" i="10" s="1"/>
  <c r="C693" i="10"/>
  <c r="D693" i="10" s="1"/>
  <c r="C789" i="10"/>
  <c r="D789" i="10" s="1"/>
  <c r="C841" i="10"/>
  <c r="D841" i="10" s="1"/>
  <c r="C905" i="10"/>
  <c r="D905" i="10" s="1"/>
  <c r="C969" i="10"/>
  <c r="D969" i="10" s="1"/>
  <c r="C209" i="10"/>
  <c r="D209" i="10" s="1"/>
  <c r="C197" i="10"/>
  <c r="D197" i="10" s="1"/>
  <c r="C181" i="10"/>
  <c r="D181" i="10" s="1"/>
  <c r="C166" i="10"/>
  <c r="D166" i="10" s="1"/>
  <c r="C158" i="10"/>
  <c r="D158" i="10" s="1"/>
  <c r="C150" i="10"/>
  <c r="D150" i="10" s="1"/>
  <c r="C142" i="10"/>
  <c r="D142" i="10" s="1"/>
  <c r="C134" i="10"/>
  <c r="D134" i="10" s="1"/>
  <c r="C126" i="10"/>
  <c r="D126" i="10" s="1"/>
  <c r="C118" i="10"/>
  <c r="D118" i="10"/>
  <c r="C112" i="10"/>
  <c r="D112" i="10" s="1"/>
  <c r="C77" i="10"/>
  <c r="D77" i="10" s="1"/>
  <c r="C45" i="10"/>
  <c r="D45" i="10" s="1"/>
  <c r="C225" i="10"/>
  <c r="D225" i="10" s="1"/>
  <c r="C261" i="10"/>
  <c r="D261" i="10" s="1"/>
  <c r="C307" i="10"/>
  <c r="D307" i="10" s="1"/>
  <c r="C343" i="10"/>
  <c r="D343" i="10" s="1"/>
  <c r="C446" i="10"/>
  <c r="D446" i="10" s="1"/>
  <c r="C494" i="10"/>
  <c r="D494" i="10" s="1"/>
  <c r="C553" i="10"/>
  <c r="D553" i="10" s="1"/>
  <c r="C603" i="10"/>
  <c r="D603" i="10" s="1"/>
  <c r="C695" i="10"/>
  <c r="D695" i="10" s="1"/>
  <c r="C978" i="10"/>
  <c r="D978" i="10" s="1"/>
  <c r="C806" i="10"/>
  <c r="D806" i="10" s="1"/>
  <c r="C848" i="10"/>
  <c r="D848" i="10" s="1"/>
  <c r="C891" i="10"/>
  <c r="D891" i="10" s="1"/>
  <c r="C934" i="10"/>
  <c r="D934" i="10" s="1"/>
  <c r="C976" i="10"/>
  <c r="D976" i="10" s="1"/>
  <c r="C844" i="10"/>
  <c r="D844" i="10" s="1"/>
  <c r="C887" i="10"/>
  <c r="D887" i="10"/>
  <c r="C930" i="10"/>
  <c r="D930" i="10" s="1"/>
  <c r="C972" i="10"/>
  <c r="D972" i="10" s="1"/>
  <c r="C685" i="10"/>
  <c r="D685" i="10" s="1"/>
  <c r="C749" i="10"/>
  <c r="D749" i="10" s="1"/>
  <c r="C813" i="10"/>
  <c r="D813" i="10" s="1"/>
  <c r="C877" i="10"/>
  <c r="D877" i="10" s="1"/>
  <c r="C941" i="10"/>
  <c r="D941" i="10" s="1"/>
  <c r="C103" i="10"/>
  <c r="D103" i="10" s="1"/>
  <c r="C71" i="10"/>
  <c r="D71" i="10" s="1"/>
  <c r="C39" i="10"/>
  <c r="D39" i="10" s="1"/>
  <c r="C172" i="10"/>
  <c r="D172" i="10" s="1"/>
  <c r="C251" i="10"/>
  <c r="D251" i="10" s="1"/>
  <c r="C287" i="10"/>
  <c r="D287" i="10" s="1"/>
  <c r="C333" i="10"/>
  <c r="D333" i="10" s="1"/>
  <c r="C401" i="10"/>
  <c r="D401" i="10" s="1"/>
  <c r="C428" i="10"/>
  <c r="D428" i="10" s="1"/>
  <c r="C466" i="10"/>
  <c r="D466" i="10" s="1"/>
  <c r="C505" i="10"/>
  <c r="D505" i="10" s="1"/>
  <c r="C564" i="10"/>
  <c r="D564" i="10" s="1"/>
  <c r="C597" i="10"/>
  <c r="D597" i="10" s="1"/>
  <c r="C104" i="10"/>
  <c r="D104" i="10" s="1"/>
  <c r="C92" i="10"/>
  <c r="D92" i="10" s="1"/>
  <c r="C82" i="10"/>
  <c r="D82" i="10" s="1"/>
  <c r="C72" i="10"/>
  <c r="D72" i="10" s="1"/>
  <c r="C58" i="10"/>
  <c r="D58" i="10" s="1"/>
  <c r="C42" i="10"/>
  <c r="D42" i="10" s="1"/>
  <c r="C210" i="10"/>
  <c r="D210" i="10" s="1"/>
  <c r="C178" i="10"/>
  <c r="D178" i="10" s="1"/>
  <c r="C228" i="10"/>
  <c r="D228" i="10" s="1"/>
  <c r="C244" i="10"/>
  <c r="D244" i="10" s="1"/>
  <c r="C297" i="10"/>
  <c r="D297" i="10" s="1"/>
  <c r="C359" i="10"/>
  <c r="D359" i="10" s="1"/>
  <c r="C439" i="10"/>
  <c r="D439" i="10" s="1"/>
  <c r="C491" i="10"/>
  <c r="D491" i="10" s="1"/>
  <c r="C568" i="10"/>
  <c r="D568" i="10" s="1"/>
  <c r="C756" i="10"/>
  <c r="D756" i="10" s="1"/>
  <c r="C426" i="10"/>
  <c r="D426" i="10" s="1"/>
  <c r="C486" i="10"/>
  <c r="D486" i="10" s="1"/>
  <c r="C571" i="10"/>
  <c r="D571" i="10" s="1"/>
  <c r="C650" i="10"/>
  <c r="D650" i="10" s="1"/>
  <c r="C246" i="10"/>
  <c r="D246" i="10" s="1"/>
  <c r="C268" i="10"/>
  <c r="D268" i="10" s="1"/>
  <c r="C290" i="10"/>
  <c r="D290" i="10" s="1"/>
  <c r="C310" i="10"/>
  <c r="D310" i="10" s="1"/>
  <c r="C330" i="10"/>
  <c r="D330" i="10" s="1"/>
  <c r="C352" i="10"/>
  <c r="D352" i="10" s="1"/>
  <c r="C372" i="10"/>
  <c r="D372" i="10" s="1"/>
  <c r="C394" i="10"/>
  <c r="D394" i="10" s="1"/>
  <c r="C414" i="10"/>
  <c r="D414" i="10" s="1"/>
  <c r="C453" i="10"/>
  <c r="D453" i="10" s="1"/>
  <c r="C499" i="10"/>
  <c r="D499" i="10" s="1"/>
  <c r="C560" i="10"/>
  <c r="D560" i="10" s="1"/>
  <c r="C632" i="10"/>
  <c r="D632" i="10" s="1"/>
  <c r="C772" i="10"/>
  <c r="D772" i="10" s="1"/>
  <c r="C511" i="10"/>
  <c r="D511" i="10" s="1"/>
  <c r="C551" i="10"/>
  <c r="D551" i="10" s="1"/>
  <c r="C591" i="10"/>
  <c r="D591" i="10" s="1"/>
  <c r="C646" i="10"/>
  <c r="D646" i="10" s="1"/>
  <c r="C767" i="10"/>
  <c r="D767" i="10" s="1"/>
  <c r="C271" i="10"/>
  <c r="D271" i="10" s="1"/>
  <c r="C558" i="10"/>
  <c r="D558" i="10" s="1"/>
  <c r="C890" i="10"/>
  <c r="D890" i="10" s="1"/>
  <c r="C669" i="10"/>
  <c r="D669" i="10" s="1"/>
  <c r="C682" i="10"/>
  <c r="D682" i="10" s="1"/>
  <c r="C863" i="10"/>
  <c r="D863" i="10" s="1"/>
  <c r="C964" i="10"/>
  <c r="D964" i="10" s="1"/>
  <c r="C180" i="10"/>
  <c r="D180" i="10" s="1"/>
  <c r="C115" i="10"/>
  <c r="D115" i="10" s="1"/>
  <c r="C861" i="10"/>
  <c r="D861" i="10" s="1"/>
  <c r="C854" i="10"/>
  <c r="D854" i="10" s="1"/>
  <c r="C797" i="10"/>
  <c r="D797" i="10" s="1"/>
  <c r="C540" i="10"/>
  <c r="D540" i="10" s="1"/>
  <c r="C805" i="10"/>
  <c r="D805" i="10" s="1"/>
  <c r="C475" i="10"/>
  <c r="D475" i="10" s="1"/>
  <c r="C753" i="10"/>
  <c r="D753" i="10" s="1"/>
  <c r="C263" i="10"/>
  <c r="D263" i="10" s="1"/>
  <c r="C960" i="10"/>
  <c r="D960" i="10" s="1"/>
  <c r="C127" i="10"/>
  <c r="D127" i="10" s="1"/>
  <c r="C644" i="10"/>
  <c r="D644" i="10" s="1"/>
  <c r="C990" i="10"/>
  <c r="D990" i="10"/>
  <c r="C889" i="10"/>
  <c r="D889" i="10" s="1"/>
  <c r="C107" i="10"/>
  <c r="D107" i="10" s="1"/>
  <c r="C403" i="10"/>
  <c r="D403" i="10" s="1"/>
  <c r="C815" i="10"/>
  <c r="D815" i="10" s="1"/>
  <c r="C775" i="10"/>
  <c r="D775" i="10" s="1"/>
  <c r="C730" i="10"/>
  <c r="D730" i="10" s="1"/>
  <c r="C676" i="10"/>
  <c r="D676" i="10" s="1"/>
  <c r="C640" i="10"/>
  <c r="D640" i="10" s="1"/>
  <c r="C618" i="10"/>
  <c r="D618" i="10" s="1"/>
  <c r="C599" i="10"/>
  <c r="D599" i="10" s="1"/>
  <c r="C583" i="10"/>
  <c r="D583" i="10" s="1"/>
  <c r="C554" i="10"/>
  <c r="D554" i="10" s="1"/>
  <c r="C538" i="10"/>
  <c r="D538" i="10" s="1"/>
  <c r="C522" i="10"/>
  <c r="D522" i="10" s="1"/>
  <c r="C506" i="10"/>
  <c r="D506" i="10" s="1"/>
  <c r="C490" i="10"/>
  <c r="D490" i="10" s="1"/>
  <c r="C26" i="10"/>
  <c r="D26" i="10" s="1"/>
  <c r="C754" i="10"/>
  <c r="D754" i="10" s="1"/>
  <c r="C684" i="10"/>
  <c r="D684" i="10" s="1"/>
  <c r="C642" i="10"/>
  <c r="D642" i="10" s="1"/>
  <c r="C595" i="10"/>
  <c r="D595" i="10" s="1"/>
  <c r="C577" i="10"/>
  <c r="D577" i="10" s="1"/>
  <c r="C556" i="10"/>
  <c r="D556" i="10" s="1"/>
  <c r="C531" i="10"/>
  <c r="D531" i="10" s="1"/>
  <c r="C513" i="10"/>
  <c r="D513" i="10" s="1"/>
  <c r="C492" i="10"/>
  <c r="D492" i="10" s="1"/>
  <c r="C472" i="10"/>
  <c r="D472" i="10" s="1"/>
  <c r="C456" i="10"/>
  <c r="D456" i="10" s="1"/>
  <c r="C440" i="10"/>
  <c r="D440" i="10" s="1"/>
  <c r="C424" i="10"/>
  <c r="D424" i="10" s="1"/>
  <c r="C412" i="10"/>
  <c r="D412" i="10" s="1"/>
  <c r="C406" i="10"/>
  <c r="D406" i="10" s="1"/>
  <c r="C398" i="10"/>
  <c r="D398" i="10" s="1"/>
  <c r="C390" i="10"/>
  <c r="D390" i="10" s="1"/>
  <c r="C382" i="10"/>
  <c r="D382" i="10" s="1"/>
  <c r="C374" i="10"/>
  <c r="D374" i="10" s="1"/>
  <c r="C366" i="10"/>
  <c r="D366" i="10" s="1"/>
  <c r="C358" i="10"/>
  <c r="D358" i="10" s="1"/>
  <c r="C350" i="10"/>
  <c r="D350" i="10" s="1"/>
  <c r="C342" i="10"/>
  <c r="D342" i="10" s="1"/>
  <c r="C334" i="10"/>
  <c r="D334" i="10" s="1"/>
  <c r="C326" i="10"/>
  <c r="D326" i="10" s="1"/>
  <c r="C318" i="10"/>
  <c r="D318" i="10" s="1"/>
  <c r="C312" i="10"/>
  <c r="D312" i="10" s="1"/>
  <c r="C304" i="10"/>
  <c r="D304" i="10" s="1"/>
  <c r="C296" i="10"/>
  <c r="D296" i="10" s="1"/>
  <c r="C288" i="10"/>
  <c r="D288" i="10" s="1"/>
  <c r="C280" i="10"/>
  <c r="D280" i="10" s="1"/>
  <c r="C272" i="10"/>
  <c r="D272" i="10" s="1"/>
  <c r="C264" i="10"/>
  <c r="D264" i="10" s="1"/>
  <c r="C256" i="10"/>
  <c r="D256" i="10" s="1"/>
  <c r="C248" i="10"/>
  <c r="D248" i="10" s="1"/>
  <c r="C778" i="10"/>
  <c r="D778" i="10" s="1"/>
  <c r="C698" i="10"/>
  <c r="D698" i="10" s="1"/>
  <c r="C638" i="10"/>
  <c r="D638" i="10" s="1"/>
  <c r="C604" i="10"/>
  <c r="D604" i="10" s="1"/>
  <c r="C580" i="10"/>
  <c r="D580" i="10" s="1"/>
  <c r="C561" i="10"/>
  <c r="D561" i="10" s="1"/>
  <c r="C537" i="10"/>
  <c r="D537" i="10" s="1"/>
  <c r="C500" i="10"/>
  <c r="D500" i="10" s="1"/>
  <c r="C462" i="10"/>
  <c r="D462" i="10" s="1"/>
  <c r="C444" i="10"/>
  <c r="D444" i="10" s="1"/>
  <c r="C419" i="10"/>
  <c r="D419" i="10" s="1"/>
  <c r="C389" i="10"/>
  <c r="D389" i="10" s="1"/>
  <c r="C357" i="10"/>
  <c r="D357" i="10" s="1"/>
  <c r="C722" i="10"/>
  <c r="D722" i="10" s="1"/>
  <c r="C605" i="10"/>
  <c r="D605" i="10" s="1"/>
  <c r="C614" i="10"/>
  <c r="D614" i="10" s="1"/>
  <c r="C733" i="10"/>
  <c r="D733" i="10" s="1"/>
  <c r="C507" i="10"/>
  <c r="D507" i="10" s="1"/>
  <c r="C221" i="10"/>
  <c r="D221" i="10" s="1"/>
  <c r="C277" i="10"/>
  <c r="D277" i="10" s="1"/>
  <c r="C834" i="10"/>
  <c r="D834" i="10" s="1"/>
  <c r="C135" i="10"/>
  <c r="D135" i="10" s="1"/>
  <c r="C971" i="10"/>
  <c r="D971" i="10" s="1"/>
  <c r="C131" i="10"/>
  <c r="D131" i="10" s="1"/>
  <c r="C830" i="10"/>
  <c r="D830" i="10" s="1"/>
  <c r="C183" i="10"/>
  <c r="D183" i="10" s="1"/>
  <c r="C525" i="10"/>
  <c r="D525" i="10" s="1"/>
  <c r="C689" i="10"/>
  <c r="D689" i="10" s="1"/>
  <c r="C227" i="10"/>
  <c r="D227" i="10" s="1"/>
  <c r="C867" i="10"/>
  <c r="D867" i="10" s="1"/>
  <c r="C898" i="10"/>
  <c r="D898" i="10" s="1"/>
  <c r="C953" i="10"/>
  <c r="D953" i="10" s="1"/>
  <c r="C81" i="10"/>
  <c r="D81" i="10" s="1"/>
  <c r="C450" i="10"/>
  <c r="D450" i="10" s="1"/>
  <c r="C819" i="10"/>
  <c r="D819" i="10" s="1"/>
  <c r="C911" i="10"/>
  <c r="D911" i="10"/>
  <c r="C423" i="10"/>
  <c r="D423" i="10" s="1"/>
  <c r="C97" i="10"/>
  <c r="D97" i="10" s="1"/>
  <c r="C212" i="10"/>
  <c r="D212" i="10" s="1"/>
  <c r="C143" i="10"/>
  <c r="D143" i="10" s="1"/>
  <c r="C817" i="10"/>
  <c r="D817" i="10" s="1"/>
  <c r="C886" i="10"/>
  <c r="D886" i="10" s="1"/>
  <c r="C175" i="10"/>
  <c r="D175" i="10" s="1"/>
  <c r="C593" i="10"/>
  <c r="D593" i="10" s="1"/>
  <c r="C804" i="10"/>
  <c r="D804" i="10" s="1"/>
  <c r="C759" i="10"/>
  <c r="D759" i="10" s="1"/>
  <c r="C692" i="10"/>
  <c r="D692" i="10" s="1"/>
  <c r="C634" i="10"/>
  <c r="D634" i="10" s="1"/>
  <c r="C607" i="10"/>
  <c r="D607" i="10" s="1"/>
  <c r="C586" i="10"/>
  <c r="D586" i="10" s="1"/>
  <c r="C567" i="10"/>
  <c r="D567" i="10" s="1"/>
  <c r="C546" i="10"/>
  <c r="D546" i="10" s="1"/>
  <c r="C527" i="10"/>
  <c r="D527" i="10" s="1"/>
  <c r="C503" i="10"/>
  <c r="D503" i="10" s="1"/>
  <c r="C482" i="10"/>
  <c r="D482" i="10" s="1"/>
  <c r="C764" i="10"/>
  <c r="D764" i="10" s="1"/>
  <c r="C679" i="10"/>
  <c r="D679" i="10" s="1"/>
  <c r="C626" i="10"/>
  <c r="D626" i="10" s="1"/>
  <c r="C581" i="10"/>
  <c r="D581" i="10" s="1"/>
  <c r="C549" i="10"/>
  <c r="D549" i="10" s="1"/>
  <c r="C524" i="10"/>
  <c r="D524" i="10" s="1"/>
  <c r="C496" i="10"/>
  <c r="D496" i="10" s="1"/>
  <c r="C469" i="10"/>
  <c r="D469" i="10" s="1"/>
  <c r="C448" i="10"/>
  <c r="D448" i="10" s="1"/>
  <c r="C429" i="10"/>
  <c r="D429" i="10" s="1"/>
  <c r="C402" i="10"/>
  <c r="D402" i="10" s="1"/>
  <c r="C392" i="10"/>
  <c r="D392" i="10" s="1"/>
  <c r="C380" i="10"/>
  <c r="D380" i="10" s="1"/>
  <c r="C370" i="10"/>
  <c r="D370" i="10" s="1"/>
  <c r="C360" i="10"/>
  <c r="D360" i="10" s="1"/>
  <c r="C348" i="10"/>
  <c r="D348" i="10" s="1"/>
  <c r="C338" i="10"/>
  <c r="D338" i="10" s="1"/>
  <c r="C328" i="10"/>
  <c r="D328" i="10" s="1"/>
  <c r="C316" i="10"/>
  <c r="D316" i="10" s="1"/>
  <c r="C308" i="10"/>
  <c r="D308" i="10" s="1"/>
  <c r="C298" i="10"/>
  <c r="D298" i="10" s="1"/>
  <c r="C286" i="10"/>
  <c r="D286" i="10" s="1"/>
  <c r="C276" i="10"/>
  <c r="D276" i="10" s="1"/>
  <c r="C266" i="10"/>
  <c r="D266" i="10" s="1"/>
  <c r="C254" i="10"/>
  <c r="D254" i="10" s="1"/>
  <c r="C820" i="10"/>
  <c r="D820" i="10" s="1"/>
  <c r="C711" i="10"/>
  <c r="D711" i="10" s="1"/>
  <c r="C630" i="10"/>
  <c r="D630" i="10" s="1"/>
  <c r="C590" i="10"/>
  <c r="D590" i="10" s="1"/>
  <c r="C566" i="10"/>
  <c r="D566" i="10" s="1"/>
  <c r="C533" i="10"/>
  <c r="D533" i="10" s="1"/>
  <c r="C476" i="10"/>
  <c r="D476" i="10" s="1"/>
  <c r="C447" i="10"/>
  <c r="D447" i="10" s="1"/>
  <c r="C413" i="10"/>
  <c r="D413" i="10" s="1"/>
  <c r="C373" i="10"/>
  <c r="D373" i="10" s="1"/>
  <c r="C740" i="10"/>
  <c r="D740" i="10" s="1"/>
  <c r="C598" i="10"/>
  <c r="D598" i="10"/>
  <c r="C548" i="10"/>
  <c r="D548" i="10" s="1"/>
  <c r="C516" i="10"/>
  <c r="D516" i="10" s="1"/>
  <c r="C484" i="10"/>
  <c r="D484" i="10" s="1"/>
  <c r="C459" i="10"/>
  <c r="D459" i="10" s="1"/>
  <c r="C435" i="10"/>
  <c r="D435" i="10" s="1"/>
  <c r="C391" i="10"/>
  <c r="D391" i="10" s="1"/>
  <c r="C353" i="10"/>
  <c r="D353" i="10" s="1"/>
  <c r="C321" i="10"/>
  <c r="D321" i="10" s="1"/>
  <c r="C289" i="10"/>
  <c r="D289" i="10" s="1"/>
  <c r="C265" i="10"/>
  <c r="D265" i="10" s="1"/>
  <c r="C242" i="10"/>
  <c r="D242" i="10" s="1"/>
  <c r="C234" i="10"/>
  <c r="D234" i="10" s="1"/>
  <c r="C226" i="10"/>
  <c r="D226" i="10" s="1"/>
  <c r="C218" i="10"/>
  <c r="D218" i="10" s="1"/>
  <c r="C182" i="10"/>
  <c r="D182" i="10" s="1"/>
  <c r="C198" i="10"/>
  <c r="D198" i="10" s="1"/>
  <c r="C214" i="10"/>
  <c r="D214" i="10" s="1"/>
  <c r="C36" i="10"/>
  <c r="D36" i="10" s="1"/>
  <c r="C44" i="10"/>
  <c r="D44" i="10" s="1"/>
  <c r="C52" i="10"/>
  <c r="D52" i="10" s="1"/>
  <c r="C60" i="10"/>
  <c r="D60" i="10" s="1"/>
  <c r="C741" i="10"/>
  <c r="D741" i="10" s="1"/>
  <c r="C798" i="10"/>
  <c r="D798" i="10" s="1"/>
  <c r="C474" i="10"/>
  <c r="D474" i="10" s="1"/>
  <c r="C385" i="10"/>
  <c r="D385" i="10" s="1"/>
  <c r="C192" i="10"/>
  <c r="D192" i="10" s="1"/>
  <c r="C159" i="10"/>
  <c r="D159" i="10" s="1"/>
  <c r="C968" i="10"/>
  <c r="D968" i="10" s="1"/>
  <c r="C155" i="10"/>
  <c r="D155" i="10" s="1"/>
  <c r="C788" i="10"/>
  <c r="D788" i="10" s="1"/>
  <c r="C751" i="10"/>
  <c r="D751" i="10" s="1"/>
  <c r="C663" i="10"/>
  <c r="D663" i="10" s="1"/>
  <c r="C628" i="10"/>
  <c r="D628" i="10" s="1"/>
  <c r="C602" i="10"/>
  <c r="D602" i="10" s="1"/>
  <c r="C578" i="10"/>
  <c r="D578" i="10" s="1"/>
  <c r="C562" i="10"/>
  <c r="D562" i="10" s="1"/>
  <c r="C543" i="10"/>
  <c r="D543" i="10" s="1"/>
  <c r="C519" i="10"/>
  <c r="D519" i="10" s="1"/>
  <c r="C498" i="10"/>
  <c r="D498" i="10" s="1"/>
  <c r="C479" i="10"/>
  <c r="D479" i="10" s="1"/>
  <c r="C743" i="10"/>
  <c r="D743" i="10" s="1"/>
  <c r="C654" i="10"/>
  <c r="D654" i="10" s="1"/>
  <c r="C606" i="10"/>
  <c r="D606" i="10" s="1"/>
  <c r="C574" i="10"/>
  <c r="D574" i="10" s="1"/>
  <c r="C545" i="10"/>
  <c r="D545" i="10" s="1"/>
  <c r="C517" i="10"/>
  <c r="D517" i="10" s="1"/>
  <c r="C485" i="10"/>
  <c r="D485" i="10" s="1"/>
  <c r="C464" i="10"/>
  <c r="D464" i="10" s="1"/>
  <c r="C445" i="10"/>
  <c r="D445" i="10" s="1"/>
  <c r="C421" i="10"/>
  <c r="D421" i="10" s="1"/>
  <c r="C410" i="10"/>
  <c r="D410" i="10" s="1"/>
  <c r="C400" i="10"/>
  <c r="D400" i="10" s="1"/>
  <c r="C388" i="10"/>
  <c r="D388" i="10" s="1"/>
  <c r="C378" i="10"/>
  <c r="D378" i="10" s="1"/>
  <c r="C368" i="10"/>
  <c r="D368" i="10" s="1"/>
  <c r="C356" i="10"/>
  <c r="D356" i="10" s="1"/>
  <c r="C346" i="10"/>
  <c r="D346" i="10" s="1"/>
  <c r="C336" i="10"/>
  <c r="D336" i="10" s="1"/>
  <c r="C324" i="10"/>
  <c r="D324" i="10" s="1"/>
  <c r="C306" i="10"/>
  <c r="D306" i="10" s="1"/>
  <c r="C294" i="10"/>
  <c r="D294" i="10" s="1"/>
  <c r="C284" i="10"/>
  <c r="D284" i="10" s="1"/>
  <c r="C274" i="10"/>
  <c r="D274" i="10" s="1"/>
  <c r="C262" i="10"/>
  <c r="D262" i="10" s="1"/>
  <c r="C252" i="10"/>
  <c r="D252" i="10" s="1"/>
  <c r="C794" i="10"/>
  <c r="D794" i="10" s="1"/>
  <c r="C687" i="10"/>
  <c r="D687" i="10" s="1"/>
  <c r="C620" i="10"/>
  <c r="D620" i="10" s="1"/>
  <c r="C585" i="10"/>
  <c r="D585" i="10" s="1"/>
  <c r="C557" i="10"/>
  <c r="D557" i="10" s="1"/>
  <c r="C523" i="10"/>
  <c r="D523" i="10" s="1"/>
  <c r="C465" i="10"/>
  <c r="D465" i="10" s="1"/>
  <c r="C433" i="10"/>
  <c r="D433" i="10" s="1"/>
  <c r="C405" i="10"/>
  <c r="D405" i="10" s="1"/>
  <c r="C365" i="10"/>
  <c r="D365" i="10" s="1"/>
  <c r="C706" i="10"/>
  <c r="D706" i="10" s="1"/>
  <c r="C579" i="10"/>
  <c r="D579" i="10" s="1"/>
  <c r="C541" i="10"/>
  <c r="D541" i="10" s="1"/>
  <c r="C504" i="10"/>
  <c r="D504" i="10" s="1"/>
  <c r="C473" i="10"/>
  <c r="D473" i="10" s="1"/>
  <c r="C454" i="10"/>
  <c r="D454" i="10" s="1"/>
  <c r="C425" i="10"/>
  <c r="D425" i="10" s="1"/>
  <c r="C377" i="10"/>
  <c r="D377" i="10" s="1"/>
  <c r="C345" i="10"/>
  <c r="D345" i="10" s="1"/>
  <c r="C313" i="10"/>
  <c r="D313" i="10" s="1"/>
  <c r="C257" i="10"/>
  <c r="D257" i="10" s="1"/>
  <c r="C240" i="10"/>
  <c r="D240" i="10" s="1"/>
  <c r="C232" i="10"/>
  <c r="D232" i="10" s="1"/>
  <c r="C224" i="10"/>
  <c r="D224" i="10" s="1"/>
  <c r="C170" i="10"/>
  <c r="D170" i="10" s="1"/>
  <c r="C186" i="10"/>
  <c r="D186" i="10" s="1"/>
  <c r="C202" i="10"/>
  <c r="D202" i="10" s="1"/>
  <c r="C30" i="10"/>
  <c r="D30" i="10" s="1"/>
  <c r="C38" i="10"/>
  <c r="D38" i="10" s="1"/>
  <c r="C46" i="10"/>
  <c r="D46" i="10" s="1"/>
  <c r="C54" i="10"/>
  <c r="D54" i="10" s="1"/>
  <c r="C62" i="10"/>
  <c r="D62" i="10" s="1"/>
  <c r="C70" i="10"/>
  <c r="D70" i="10" s="1"/>
  <c r="C78" i="10"/>
  <c r="D78" i="10" s="1"/>
  <c r="C86" i="10"/>
  <c r="D86" i="10" s="1"/>
  <c r="C94" i="10"/>
  <c r="D94" i="10" s="1"/>
  <c r="C102" i="10"/>
  <c r="D102" i="10" s="1"/>
  <c r="C613" i="10"/>
  <c r="D613" i="10" s="1"/>
  <c r="C621" i="10"/>
  <c r="D621" i="10" s="1"/>
  <c r="C629" i="10"/>
  <c r="D629" i="10" s="1"/>
  <c r="C637" i="10"/>
  <c r="D637" i="10" s="1"/>
  <c r="C645" i="10"/>
  <c r="D645" i="10" s="1"/>
  <c r="C653" i="10"/>
  <c r="D653" i="10" s="1"/>
  <c r="C662" i="10"/>
  <c r="D662" i="10" s="1"/>
  <c r="C675" i="10"/>
  <c r="D675" i="10" s="1"/>
  <c r="C683" i="10"/>
  <c r="D683" i="10" s="1"/>
  <c r="C694" i="10"/>
  <c r="D694" i="10" s="1"/>
  <c r="C704" i="10"/>
  <c r="D704" i="10" s="1"/>
  <c r="C712" i="10"/>
  <c r="D712" i="10" s="1"/>
  <c r="C731" i="10"/>
  <c r="D731" i="10" s="1"/>
  <c r="C739" i="10"/>
  <c r="D739" i="10" s="1"/>
  <c r="C750" i="10"/>
  <c r="D750" i="10" s="1"/>
  <c r="C760" i="10"/>
  <c r="D760" i="10" s="1"/>
  <c r="C771" i="10"/>
  <c r="D771" i="10" s="1"/>
  <c r="C779" i="10"/>
  <c r="D779" i="10" s="1"/>
  <c r="C791" i="10"/>
  <c r="D791" i="10" s="1"/>
  <c r="C812" i="10"/>
  <c r="D812" i="10" s="1"/>
  <c r="C716" i="10"/>
  <c r="D716" i="10" s="1"/>
  <c r="C584" i="10"/>
  <c r="D584" i="10" s="1"/>
  <c r="C483" i="10"/>
  <c r="D483" i="10"/>
  <c r="C418" i="10"/>
  <c r="D418" i="10" s="1"/>
  <c r="C331" i="10"/>
  <c r="D331" i="10" s="1"/>
  <c r="C253" i="10"/>
  <c r="D253" i="10" s="1"/>
  <c r="C35" i="10"/>
  <c r="D35" i="10" s="1"/>
  <c r="C99" i="10"/>
  <c r="D99" i="10" s="1"/>
  <c r="C916" i="10"/>
  <c r="D916" i="10" s="1"/>
  <c r="C793" i="10"/>
  <c r="D793" i="10" s="1"/>
  <c r="C665" i="10"/>
  <c r="D665" i="10" s="1"/>
  <c r="C954" i="10"/>
  <c r="D954" i="10"/>
  <c r="C906" i="10"/>
  <c r="D906" i="10" s="1"/>
  <c r="C837" i="10"/>
  <c r="D837" i="10" s="1"/>
  <c r="C958" i="10"/>
  <c r="D958" i="10" s="1"/>
  <c r="C910" i="10"/>
  <c r="D910" i="10"/>
  <c r="C843" i="10"/>
  <c r="D843" i="10" s="1"/>
  <c r="C795" i="10"/>
  <c r="D795" i="10" s="1"/>
  <c r="C893" i="10"/>
  <c r="D893" i="10" s="1"/>
  <c r="C765" i="10"/>
  <c r="D765" i="10" s="1"/>
  <c r="C810" i="10"/>
  <c r="D810" i="10" s="1"/>
  <c r="C565" i="10"/>
  <c r="D565" i="10" s="1"/>
  <c r="C467" i="10"/>
  <c r="D467" i="10" s="1"/>
  <c r="C417" i="10"/>
  <c r="D417" i="10" s="1"/>
  <c r="C369" i="10"/>
  <c r="D369" i="10" s="1"/>
  <c r="C259" i="10"/>
  <c r="D259" i="10" s="1"/>
  <c r="C57" i="10"/>
  <c r="D57" i="10" s="1"/>
  <c r="C117" i="10"/>
  <c r="D117" i="10" s="1"/>
  <c r="C133" i="10"/>
  <c r="D133" i="10" s="1"/>
  <c r="C149" i="10"/>
  <c r="D149" i="10" s="1"/>
  <c r="C165" i="10"/>
  <c r="D165" i="10" s="1"/>
  <c r="C187" i="10"/>
  <c r="D187" i="10" s="1"/>
  <c r="K70" i="5"/>
  <c r="K70" i="32" s="1"/>
  <c r="C932" i="10"/>
  <c r="D932" i="10" s="1"/>
  <c r="C884" i="10"/>
  <c r="D884" i="10" s="1"/>
  <c r="C992" i="10"/>
  <c r="D992" i="10"/>
  <c r="C936" i="10"/>
  <c r="D936" i="10" s="1"/>
  <c r="C888" i="10"/>
  <c r="D888" i="10" s="1"/>
  <c r="C839" i="10"/>
  <c r="D839" i="10" s="1"/>
  <c r="C792" i="10"/>
  <c r="D792" i="10" s="1"/>
  <c r="C745" i="10"/>
  <c r="D745" i="10" s="1"/>
  <c r="C853" i="10"/>
  <c r="D853" i="10" s="1"/>
  <c r="C919" i="10"/>
  <c r="D919" i="10" s="1"/>
  <c r="C981" i="10"/>
  <c r="D981" i="10"/>
  <c r="C205" i="10"/>
  <c r="D205" i="10" s="1"/>
  <c r="C193" i="10"/>
  <c r="D193" i="10" s="1"/>
  <c r="C177" i="10"/>
  <c r="D177" i="10" s="1"/>
  <c r="C164" i="10"/>
  <c r="D164" i="10" s="1"/>
  <c r="C156" i="10"/>
  <c r="D156" i="10" s="1"/>
  <c r="C148" i="10"/>
  <c r="D148" i="10" s="1"/>
  <c r="C140" i="10"/>
  <c r="D140" i="10" s="1"/>
  <c r="C132" i="10"/>
  <c r="D132" i="10"/>
  <c r="C124" i="10"/>
  <c r="D124" i="10" s="1"/>
  <c r="C110" i="10"/>
  <c r="D110" i="10" s="1"/>
  <c r="C101" i="10"/>
  <c r="D101" i="10" s="1"/>
  <c r="C69" i="10"/>
  <c r="D69" i="10" s="1"/>
  <c r="C200" i="10"/>
  <c r="D200" i="10" s="1"/>
  <c r="C233" i="10"/>
  <c r="D233" i="10" s="1"/>
  <c r="C275" i="10"/>
  <c r="D275" i="10" s="1"/>
  <c r="C311" i="10"/>
  <c r="D311" i="10"/>
  <c r="C367" i="10"/>
  <c r="D367" i="10" s="1"/>
  <c r="C452" i="10"/>
  <c r="D452" i="10" s="1"/>
  <c r="C502" i="10"/>
  <c r="D502" i="10" s="1"/>
  <c r="C569" i="10"/>
  <c r="D569" i="10" s="1"/>
  <c r="C616" i="10"/>
  <c r="D616" i="10" s="1"/>
  <c r="C719" i="10"/>
  <c r="D719" i="10" s="1"/>
  <c r="C986" i="10"/>
  <c r="D986" i="10" s="1"/>
  <c r="C814" i="10"/>
  <c r="D814" i="10"/>
  <c r="C856" i="10"/>
  <c r="D856" i="10" s="1"/>
  <c r="C899" i="10"/>
  <c r="D899" i="10" s="1"/>
  <c r="C942" i="10"/>
  <c r="D942" i="10" s="1"/>
  <c r="C984" i="10"/>
  <c r="D984" i="10"/>
  <c r="C852" i="10"/>
  <c r="D852" i="10" s="1"/>
  <c r="C895" i="10"/>
  <c r="D895" i="10" s="1"/>
  <c r="C938" i="10"/>
  <c r="D938" i="10" s="1"/>
  <c r="C980" i="10"/>
  <c r="D980" i="10"/>
  <c r="C705" i="10"/>
  <c r="D705" i="10" s="1"/>
  <c r="C769" i="10"/>
  <c r="D769" i="10" s="1"/>
  <c r="C833" i="10"/>
  <c r="D833" i="10" s="1"/>
  <c r="C897" i="10"/>
  <c r="D897" i="10"/>
  <c r="C961" i="10"/>
  <c r="D961" i="10" s="1"/>
  <c r="C95" i="10"/>
  <c r="D95" i="10" s="1"/>
  <c r="C63" i="10"/>
  <c r="D63" i="10" s="1"/>
  <c r="C31" i="10"/>
  <c r="D31" i="10" s="1"/>
  <c r="C223" i="10"/>
  <c r="D223" i="10" s="1"/>
  <c r="C255" i="10"/>
  <c r="D255" i="10" s="1"/>
  <c r="C301" i="10"/>
  <c r="D301" i="10" s="1"/>
  <c r="C347" i="10"/>
  <c r="D347" i="10" s="1"/>
  <c r="C411" i="10"/>
  <c r="D411" i="10" s="1"/>
  <c r="C434" i="10"/>
  <c r="D434" i="10" s="1"/>
  <c r="C471" i="10"/>
  <c r="D471" i="10" s="1"/>
  <c r="C521" i="10"/>
  <c r="D521" i="10" s="1"/>
  <c r="C572" i="10"/>
  <c r="D572" i="10" s="1"/>
  <c r="C636" i="10"/>
  <c r="D636" i="10" s="1"/>
  <c r="C100" i="10"/>
  <c r="D100" i="10" s="1"/>
  <c r="C90" i="10"/>
  <c r="D90" i="10" s="1"/>
  <c r="C80" i="10"/>
  <c r="D80" i="10" s="1"/>
  <c r="C68" i="10"/>
  <c r="D68" i="10" s="1"/>
  <c r="C56" i="10"/>
  <c r="D56" i="10" s="1"/>
  <c r="C40" i="10"/>
  <c r="D40" i="10" s="1"/>
  <c r="C206" i="10"/>
  <c r="D206" i="10" s="1"/>
  <c r="C174" i="10"/>
  <c r="D174" i="10" s="1"/>
  <c r="C230" i="10"/>
  <c r="D230" i="10" s="1"/>
  <c r="C249" i="10"/>
  <c r="D249" i="10" s="1"/>
  <c r="C305" i="10"/>
  <c r="D305" i="10" s="1"/>
  <c r="C363" i="10"/>
  <c r="D363" i="10" s="1"/>
  <c r="C449" i="10"/>
  <c r="D449" i="10" s="1"/>
  <c r="C497" i="10"/>
  <c r="D497" i="10" s="1"/>
  <c r="C573" i="10"/>
  <c r="D573" i="10" s="1"/>
  <c r="C799" i="10"/>
  <c r="D799" i="10" s="1"/>
  <c r="C430" i="10"/>
  <c r="D430" i="10" s="1"/>
  <c r="C509" i="10"/>
  <c r="D509" i="10" s="1"/>
  <c r="C576" i="10"/>
  <c r="D576" i="10" s="1"/>
  <c r="C673" i="10"/>
  <c r="D673" i="10" s="1"/>
  <c r="C250" i="10"/>
  <c r="D250" i="10" s="1"/>
  <c r="C270" i="10"/>
  <c r="D270" i="10" s="1"/>
  <c r="C292" i="10"/>
  <c r="D292" i="10" s="1"/>
  <c r="C314" i="10"/>
  <c r="D314" i="10" s="1"/>
  <c r="C332" i="10"/>
  <c r="D332" i="10" s="1"/>
  <c r="C354" i="10"/>
  <c r="D354" i="10" s="1"/>
  <c r="C376" i="10"/>
  <c r="D376" i="10" s="1"/>
  <c r="C396" i="10"/>
  <c r="D396" i="10" s="1"/>
  <c r="C416" i="10"/>
  <c r="D416" i="10" s="1"/>
  <c r="C461" i="10"/>
  <c r="D461" i="10" s="1"/>
  <c r="C510" i="10"/>
  <c r="D510" i="10" s="1"/>
  <c r="C563" i="10"/>
  <c r="D563" i="10" s="1"/>
  <c r="C648" i="10"/>
  <c r="D648" i="10" s="1"/>
  <c r="C783" i="10"/>
  <c r="D783" i="10" s="1"/>
  <c r="C514" i="10"/>
  <c r="D514" i="10" s="1"/>
  <c r="C559" i="10"/>
  <c r="D559" i="10" s="1"/>
  <c r="C594" i="10"/>
  <c r="D594" i="10" s="1"/>
  <c r="C656" i="10"/>
  <c r="D656" i="10" s="1"/>
  <c r="C780" i="10"/>
  <c r="D780" i="10" s="1"/>
  <c r="C237" i="10"/>
  <c r="D237" i="10" s="1"/>
  <c r="C335" i="10"/>
  <c r="D335" i="10" s="1"/>
  <c r="C987" i="10"/>
  <c r="D987" i="10" s="1"/>
  <c r="C882" i="10"/>
  <c r="D882" i="10"/>
  <c r="C950" i="10"/>
  <c r="D950" i="10" s="1"/>
  <c r="O72" i="5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H75" i="5"/>
  <c r="C64" i="5"/>
  <c r="C64" i="32" s="1"/>
  <c r="L76" i="5"/>
  <c r="L76" i="32" s="1"/>
  <c r="M78" i="5"/>
  <c r="M78" i="32" s="1"/>
  <c r="M61" i="5"/>
  <c r="M61" i="32" s="1"/>
  <c r="I75" i="5"/>
  <c r="I75" i="32" s="1"/>
  <c r="D62" i="5"/>
  <c r="D62" i="32" s="1"/>
  <c r="F70" i="5"/>
  <c r="F70" i="32" s="1"/>
  <c r="D61" i="5"/>
  <c r="D61" i="32" s="1"/>
  <c r="I71" i="5"/>
  <c r="I71" i="32" s="1"/>
  <c r="J75" i="5"/>
  <c r="J75" i="32" s="1"/>
  <c r="N78" i="5"/>
  <c r="N78" i="32" s="1"/>
  <c r="L78" i="5"/>
  <c r="L78" i="32" s="1"/>
  <c r="J71" i="5"/>
  <c r="J71" i="32" s="1"/>
  <c r="C61" i="5"/>
  <c r="C61" i="32" s="1"/>
  <c r="J70" i="5"/>
  <c r="J70" i="32" s="1"/>
  <c r="G64" i="5"/>
  <c r="G64" i="32" s="1"/>
  <c r="M76" i="5"/>
  <c r="M76" i="32" s="1"/>
  <c r="H62" i="5"/>
  <c r="H62" i="32" s="1"/>
  <c r="O64" i="5"/>
  <c r="E72" i="5"/>
  <c r="E72" i="32" s="1"/>
  <c r="E77" i="5"/>
  <c r="E77" i="32" s="1"/>
  <c r="G72" i="5"/>
  <c r="G72" i="32" s="1"/>
  <c r="L72" i="5"/>
  <c r="L72" i="32" s="1"/>
  <c r="E71" i="5"/>
  <c r="E71" i="32" s="1"/>
  <c r="H70" i="5"/>
  <c r="H76" i="5"/>
  <c r="H76" i="32" s="1"/>
  <c r="G75" i="5"/>
  <c r="G75" i="32" s="1"/>
  <c r="I69" i="5"/>
  <c r="C62" i="5"/>
  <c r="C62" i="32" s="1"/>
  <c r="C71" i="5"/>
  <c r="C71" i="32" s="1"/>
  <c r="F75" i="5"/>
  <c r="F75" i="32" s="1"/>
  <c r="G61" i="5"/>
  <c r="G61" i="32" s="1"/>
  <c r="I77" i="5"/>
  <c r="I77" i="32" s="1"/>
  <c r="E62" i="5"/>
  <c r="E62" i="32" s="1"/>
  <c r="D70" i="5"/>
  <c r="D70" i="32" s="1"/>
  <c r="N77" i="5"/>
  <c r="E69" i="5"/>
  <c r="E69" i="32" s="1"/>
  <c r="L61" i="5"/>
  <c r="L61" i="32" s="1"/>
  <c r="M62" i="5"/>
  <c r="M62" i="32" s="1"/>
  <c r="F69" i="5"/>
  <c r="F69" i="32" s="1"/>
  <c r="F64" i="5"/>
  <c r="F64" i="32" s="1"/>
  <c r="K64" i="5"/>
  <c r="K64" i="32" s="1"/>
  <c r="N70" i="5"/>
  <c r="N70" i="32" s="1"/>
  <c r="M69" i="5"/>
  <c r="M69" i="32" s="1"/>
  <c r="K76" i="5"/>
  <c r="K76" i="32" s="1"/>
  <c r="D78" i="5"/>
  <c r="D78" i="32" s="1"/>
  <c r="C72" i="5"/>
  <c r="C72" i="32" s="1"/>
  <c r="F72" i="5"/>
  <c r="F72" i="32" s="1"/>
  <c r="L69" i="5"/>
  <c r="J69" i="5"/>
  <c r="J69" i="32" s="1"/>
  <c r="I70" i="5"/>
  <c r="I70" i="32" s="1"/>
  <c r="L62" i="5"/>
  <c r="L62" i="32" s="1"/>
  <c r="I72" i="5"/>
  <c r="I72" i="32" s="1"/>
  <c r="O61" i="5"/>
  <c r="H61" i="5"/>
  <c r="H61" i="32" s="1"/>
  <c r="D72" i="5"/>
  <c r="D72" i="32" s="1"/>
  <c r="E70" i="5"/>
  <c r="E70" i="32" s="1"/>
  <c r="O75" i="5"/>
  <c r="C78" i="5"/>
  <c r="C78" i="32" s="1"/>
  <c r="N75" i="5"/>
  <c r="N75" i="32" s="1"/>
  <c r="G76" i="5"/>
  <c r="G76" i="32" s="1"/>
  <c r="J64" i="5"/>
  <c r="J64" i="32" s="1"/>
  <c r="H72" i="5"/>
  <c r="H72" i="32" s="1"/>
  <c r="L75" i="5"/>
  <c r="L75" i="32" s="1"/>
  <c r="C75" i="5"/>
  <c r="C75" i="32" s="1"/>
  <c r="N64" i="5"/>
  <c r="N64" i="32" s="1"/>
  <c r="N61" i="5"/>
  <c r="N61" i="32" s="1"/>
  <c r="E64" i="5"/>
  <c r="E64" i="32" s="1"/>
  <c r="D76" i="5"/>
  <c r="D76" i="32" s="1"/>
  <c r="I78" i="5"/>
  <c r="I78" i="32" s="1"/>
  <c r="L64" i="5"/>
  <c r="L64" i="32" s="1"/>
  <c r="F62" i="5"/>
  <c r="F62" i="32" s="1"/>
  <c r="K71" i="5"/>
  <c r="K71" i="32" s="1"/>
  <c r="I64" i="5"/>
  <c r="I64" i="32" s="1"/>
  <c r="D75" i="5"/>
  <c r="D69" i="5"/>
  <c r="D69" i="32" s="1"/>
  <c r="G77" i="5"/>
  <c r="G77" i="32" s="1"/>
  <c r="O78" i="5"/>
  <c r="N69" i="5"/>
  <c r="O62" i="5"/>
  <c r="M64" i="5"/>
  <c r="M64" i="32" s="1"/>
  <c r="J78" i="5"/>
  <c r="J78" i="32" s="1"/>
  <c r="O69" i="5"/>
  <c r="M70" i="5"/>
  <c r="M70" i="32" s="1"/>
  <c r="J76" i="5"/>
  <c r="J76" i="32" s="1"/>
  <c r="N62" i="5"/>
  <c r="N62" i="32" s="1"/>
  <c r="G70" i="5"/>
  <c r="G70" i="32" s="1"/>
  <c r="K75" i="5"/>
  <c r="K75" i="32" s="1"/>
  <c r="D64" i="5"/>
  <c r="D64" i="32" s="1"/>
  <c r="G62" i="5"/>
  <c r="G62" i="32" s="1"/>
  <c r="E75" i="5"/>
  <c r="E75" i="32" s="1"/>
  <c r="M71" i="5"/>
  <c r="M71" i="32" s="1"/>
  <c r="I61" i="5"/>
  <c r="I61" i="32" s="1"/>
  <c r="E78" i="5"/>
  <c r="E78" i="32" s="1"/>
  <c r="J77" i="5"/>
  <c r="J77" i="32" s="1"/>
  <c r="G78" i="5"/>
  <c r="G78" i="32" s="1"/>
  <c r="G69" i="5"/>
  <c r="G69" i="32" s="1"/>
  <c r="K61" i="5"/>
  <c r="K61" i="32" s="1"/>
  <c r="H64" i="5"/>
  <c r="H64" i="32" s="1"/>
  <c r="C76" i="5"/>
  <c r="C76" i="32" s="1"/>
  <c r="J62" i="5"/>
  <c r="J62" i="32" s="1"/>
  <c r="C69" i="5"/>
  <c r="J61" i="5"/>
  <c r="J61" i="32" s="1"/>
  <c r="H77" i="5"/>
  <c r="H77" i="32" s="1"/>
  <c r="O70" i="5"/>
  <c r="F76" i="5"/>
  <c r="F76" i="32" s="1"/>
  <c r="E76" i="5"/>
  <c r="K78" i="5"/>
  <c r="K78" i="32" s="1"/>
  <c r="J72" i="5"/>
  <c r="J72" i="32" s="1"/>
  <c r="M75" i="5"/>
  <c r="H69" i="5"/>
  <c r="H69" i="32" s="1"/>
  <c r="F78" i="5"/>
  <c r="F78" i="32" s="1"/>
  <c r="O76" i="5"/>
  <c r="D1" i="21"/>
  <c r="B2" i="5"/>
  <c r="B2" i="32" s="1"/>
  <c r="C526" i="10"/>
  <c r="D526" i="10" s="1"/>
  <c r="C375" i="10"/>
  <c r="D375" i="10" s="1"/>
  <c r="C33" i="10"/>
  <c r="D33" i="10" s="1"/>
  <c r="C123" i="10"/>
  <c r="D123" i="10" s="1"/>
  <c r="C207" i="10"/>
  <c r="D207" i="10" s="1"/>
  <c r="C825" i="10"/>
  <c r="D825" i="10" s="1"/>
  <c r="C975" i="10"/>
  <c r="D975" i="10" s="1"/>
  <c r="C871" i="10"/>
  <c r="D871" i="10"/>
  <c r="C939" i="10"/>
  <c r="D939" i="10" s="1"/>
  <c r="C840" i="10"/>
  <c r="D840" i="10"/>
  <c r="C489" i="10"/>
  <c r="D489" i="10" s="1"/>
  <c r="C43" i="10"/>
  <c r="D43" i="10" s="1"/>
  <c r="C215" i="10"/>
  <c r="D215" i="10" s="1"/>
  <c r="C27" i="10"/>
  <c r="D27" i="10" s="1"/>
  <c r="C864" i="10"/>
  <c r="D864" i="10" s="1"/>
  <c r="C438" i="10"/>
  <c r="D438" i="10" s="1"/>
  <c r="C65" i="10"/>
  <c r="D65" i="10" s="1"/>
  <c r="C967" i="10"/>
  <c r="D967" i="10"/>
  <c r="C931" i="10"/>
  <c r="D931" i="10" s="1"/>
  <c r="C735" i="10"/>
  <c r="D735" i="10" s="1"/>
  <c r="C327" i="10"/>
  <c r="D327" i="10" s="1"/>
  <c r="C163" i="10"/>
  <c r="D163" i="10" s="1"/>
  <c r="C956" i="10"/>
  <c r="D956" i="10" s="1"/>
  <c r="C816" i="10"/>
  <c r="D816" i="10" s="1"/>
  <c r="C383" i="10"/>
  <c r="D383" i="10" s="1"/>
  <c r="C167" i="10"/>
  <c r="D167" i="10" s="1"/>
  <c r="C991" i="10"/>
  <c r="D991" i="10" s="1"/>
  <c r="C952" i="10"/>
  <c r="D952" i="10" s="1"/>
  <c r="C75" i="10"/>
  <c r="D75" i="10" s="1"/>
  <c r="C927" i="10"/>
  <c r="D927" i="10" s="1"/>
  <c r="C508" i="10"/>
  <c r="D508" i="10" s="1"/>
  <c r="C191" i="10"/>
  <c r="D191" i="10" s="1"/>
  <c r="C979" i="10"/>
  <c r="D979" i="10" s="1"/>
  <c r="C199" i="10"/>
  <c r="D199" i="10" s="1"/>
  <c r="C436" i="10"/>
  <c r="D436" i="10" s="1"/>
  <c r="C920" i="10"/>
  <c r="D920" i="10" s="1"/>
  <c r="C285" i="10"/>
  <c r="D285" i="10" s="1"/>
  <c r="C119" i="10"/>
  <c r="D119" i="10" s="1"/>
  <c r="C147" i="10"/>
  <c r="D147" i="10" s="1"/>
  <c r="C493" i="10"/>
  <c r="D493" i="10" s="1"/>
  <c r="C341" i="10"/>
  <c r="D341" i="10" s="1"/>
  <c r="C59" i="10"/>
  <c r="D59" i="10" s="1"/>
  <c r="C139" i="10"/>
  <c r="D139" i="10" s="1"/>
  <c r="C28" i="10"/>
  <c r="D28" i="10" s="1"/>
  <c r="C761" i="10"/>
  <c r="D761" i="10" s="1"/>
  <c r="C948" i="10"/>
  <c r="D948" i="10"/>
  <c r="C850" i="10"/>
  <c r="D850" i="10" s="1"/>
  <c r="C915" i="10"/>
  <c r="D915" i="10" s="1"/>
  <c r="C808" i="10"/>
  <c r="D808" i="10" s="1"/>
  <c r="C393" i="10"/>
  <c r="D393" i="10" s="1"/>
  <c r="C91" i="10"/>
  <c r="D91" i="10" s="1"/>
  <c r="C945" i="10"/>
  <c r="D945" i="10" s="1"/>
  <c r="C842" i="10"/>
  <c r="D842" i="10" s="1"/>
  <c r="C800" i="10"/>
  <c r="D800" i="10" s="1"/>
  <c r="C291" i="10"/>
  <c r="D291" i="10" s="1"/>
  <c r="C111" i="10"/>
  <c r="D111" i="10" s="1"/>
  <c r="C881" i="10"/>
  <c r="D881" i="10" s="1"/>
  <c r="C946" i="10"/>
  <c r="D946" i="10" s="1"/>
  <c r="C883" i="10"/>
  <c r="D883" i="10" s="1"/>
  <c r="C544" i="10"/>
  <c r="D544" i="10" s="1"/>
  <c r="C243" i="10"/>
  <c r="D243" i="10" s="1"/>
  <c r="C933" i="10"/>
  <c r="D933" i="10"/>
  <c r="C900" i="10"/>
  <c r="D900" i="10" s="1"/>
  <c r="C732" i="10"/>
  <c r="D732" i="10" s="1"/>
  <c r="C299" i="10"/>
  <c r="D299" i="10" s="1"/>
  <c r="C924" i="10"/>
  <c r="D924" i="10" s="1"/>
  <c r="C935" i="10"/>
  <c r="D935" i="10" s="1"/>
  <c r="C902" i="10"/>
  <c r="D902" i="10" s="1"/>
  <c r="C608" i="10"/>
  <c r="D608" i="10" s="1"/>
  <c r="C151" i="10"/>
  <c r="D151" i="10" s="1"/>
  <c r="C826" i="10"/>
  <c r="D826" i="10" s="1"/>
  <c r="C355" i="10"/>
  <c r="D355" i="10" s="1"/>
  <c r="C997" i="10"/>
  <c r="D997" i="10" s="1"/>
  <c r="C875" i="10"/>
  <c r="D875" i="10" s="1"/>
  <c r="C869" i="10"/>
  <c r="D869" i="10" s="1"/>
  <c r="C49" i="10"/>
  <c r="D49" i="10" s="1"/>
  <c r="C349" i="10"/>
  <c r="D349" i="10" s="1"/>
  <c r="C879" i="10"/>
  <c r="D879" i="10"/>
  <c r="C989" i="10"/>
  <c r="D989" i="10" s="1"/>
  <c r="E94" i="32"/>
  <c r="K89" i="32"/>
  <c r="K69" i="32"/>
  <c r="R29" i="10"/>
  <c r="F77" i="5" l="1"/>
  <c r="F77" i="32" s="1"/>
  <c r="M77" i="5"/>
  <c r="M77" i="32" s="1"/>
  <c r="H71" i="5"/>
  <c r="H71" i="32" s="1"/>
  <c r="N71" i="5"/>
  <c r="N71" i="32" s="1"/>
  <c r="M94" i="5"/>
  <c r="G99" i="5"/>
  <c r="R26" i="10"/>
  <c r="F71" i="5"/>
  <c r="F71" i="32" s="1"/>
  <c r="F73" i="32" s="1"/>
  <c r="I99" i="5"/>
  <c r="O93" i="5"/>
  <c r="G71" i="5"/>
  <c r="G71" i="32" s="1"/>
  <c r="G73" i="32" s="1"/>
  <c r="K77" i="5"/>
  <c r="K77" i="32" s="1"/>
  <c r="K79" i="32" s="1"/>
  <c r="I89" i="32"/>
  <c r="G89" i="5"/>
  <c r="O92" i="5"/>
  <c r="O94" i="5" s="1"/>
  <c r="J89" i="5"/>
  <c r="C89" i="32"/>
  <c r="C77" i="5"/>
  <c r="C77" i="32" s="1"/>
  <c r="C79" i="32" s="1"/>
  <c r="L89" i="5"/>
  <c r="J94" i="32"/>
  <c r="O68" i="5"/>
  <c r="O71" i="5" s="1"/>
  <c r="N89" i="5"/>
  <c r="R27" i="10"/>
  <c r="L89" i="32"/>
  <c r="N73" i="5"/>
  <c r="M89" i="32"/>
  <c r="N92" i="32"/>
  <c r="N94" i="32" s="1"/>
  <c r="F89" i="5"/>
  <c r="J87" i="32"/>
  <c r="J89" i="32" s="1"/>
  <c r="F92" i="32"/>
  <c r="F94" i="32" s="1"/>
  <c r="R28" i="10"/>
  <c r="E89" i="32"/>
  <c r="M99" i="5"/>
  <c r="R5" i="10"/>
  <c r="O74" i="5"/>
  <c r="O77" i="5" s="1"/>
  <c r="G73" i="5"/>
  <c r="D71" i="5"/>
  <c r="D71" i="32" s="1"/>
  <c r="D73" i="32" s="1"/>
  <c r="L71" i="5"/>
  <c r="L71" i="32" s="1"/>
  <c r="I73" i="5"/>
  <c r="C94" i="5"/>
  <c r="I69" i="32"/>
  <c r="I73" i="32" s="1"/>
  <c r="C94" i="32"/>
  <c r="J94" i="5"/>
  <c r="E73" i="32"/>
  <c r="E73" i="5"/>
  <c r="G94" i="5"/>
  <c r="O93" i="32"/>
  <c r="O88" i="32"/>
  <c r="G89" i="32"/>
  <c r="M89" i="5"/>
  <c r="C89" i="5"/>
  <c r="H89" i="32"/>
  <c r="F87" i="32"/>
  <c r="F89" i="32" s="1"/>
  <c r="H89" i="5"/>
  <c r="O89" i="5"/>
  <c r="D89" i="32"/>
  <c r="O97" i="5"/>
  <c r="H79" i="5"/>
  <c r="J79" i="5"/>
  <c r="D77" i="5"/>
  <c r="D77" i="32" s="1"/>
  <c r="L77" i="5"/>
  <c r="L77" i="32" s="1"/>
  <c r="L79" i="32" s="1"/>
  <c r="F97" i="32"/>
  <c r="F99" i="32" s="1"/>
  <c r="J99" i="5"/>
  <c r="J99" i="32"/>
  <c r="F79" i="32"/>
  <c r="H75" i="32"/>
  <c r="H79" i="32" s="1"/>
  <c r="F79" i="5"/>
  <c r="M75" i="32"/>
  <c r="M79" i="32" s="1"/>
  <c r="O98" i="5"/>
  <c r="D99" i="5"/>
  <c r="I79" i="32"/>
  <c r="I79" i="5"/>
  <c r="I67" i="5" s="1"/>
  <c r="J79" i="32"/>
  <c r="H99" i="32"/>
  <c r="G79" i="5"/>
  <c r="O74" i="32"/>
  <c r="D99" i="32"/>
  <c r="G79" i="32"/>
  <c r="M73" i="32"/>
  <c r="K73" i="32"/>
  <c r="N69" i="32"/>
  <c r="N73" i="32" s="1"/>
  <c r="O68" i="32"/>
  <c r="M73" i="5"/>
  <c r="J73" i="32"/>
  <c r="J73" i="5"/>
  <c r="J67" i="5" s="1"/>
  <c r="L99" i="32"/>
  <c r="L99" i="5"/>
  <c r="K94" i="5"/>
  <c r="K89" i="5"/>
  <c r="N97" i="32"/>
  <c r="N99" i="32" s="1"/>
  <c r="D89" i="5"/>
  <c r="M94" i="32"/>
  <c r="H99" i="5"/>
  <c r="I97" i="32"/>
  <c r="I99" i="32" s="1"/>
  <c r="L94" i="5"/>
  <c r="E94" i="5"/>
  <c r="N87" i="32"/>
  <c r="G94" i="32"/>
  <c r="C73" i="5"/>
  <c r="C69" i="32"/>
  <c r="O62" i="32"/>
  <c r="H70" i="32"/>
  <c r="H73" i="32" s="1"/>
  <c r="H73" i="5"/>
  <c r="E79" i="5"/>
  <c r="E76" i="32"/>
  <c r="E79" i="32" s="1"/>
  <c r="O78" i="32"/>
  <c r="L69" i="32"/>
  <c r="O61" i="32"/>
  <c r="O64" i="32"/>
  <c r="D75" i="32"/>
  <c r="N77" i="32"/>
  <c r="N79" i="5"/>
  <c r="D94" i="5"/>
  <c r="D92" i="32"/>
  <c r="K73" i="5"/>
  <c r="O72" i="32"/>
  <c r="C97" i="32"/>
  <c r="C99" i="5"/>
  <c r="E98" i="32"/>
  <c r="O98" i="32" s="1"/>
  <c r="E99" i="5"/>
  <c r="I92" i="32"/>
  <c r="I94" i="32" s="1"/>
  <c r="I94" i="5"/>
  <c r="K97" i="32"/>
  <c r="K99" i="32" s="1"/>
  <c r="K99" i="5"/>
  <c r="C983" i="10"/>
  <c r="D983" i="10" s="1"/>
  <c r="C874" i="10"/>
  <c r="D874" i="10" s="1"/>
  <c r="C949" i="10"/>
  <c r="D949" i="10" s="1"/>
  <c r="C217" i="10"/>
  <c r="D217" i="10" s="1"/>
  <c r="C734" i="10"/>
  <c r="D734" i="10" s="1"/>
  <c r="C168" i="10"/>
  <c r="D168" i="10" s="1"/>
  <c r="C386" i="10"/>
  <c r="D386" i="10" s="1"/>
  <c r="C141" i="10"/>
  <c r="D141" i="10" s="1"/>
  <c r="C441" i="10"/>
  <c r="D441" i="10" s="1"/>
  <c r="C655" i="10"/>
  <c r="D655" i="10" s="1"/>
  <c r="C849" i="10"/>
  <c r="D849" i="10" s="1"/>
  <c r="C136" i="10"/>
  <c r="D136" i="10" s="1"/>
  <c r="C993" i="10"/>
  <c r="D993" i="10" s="1"/>
  <c r="C610" i="10"/>
  <c r="D610" i="10" s="1"/>
  <c r="C667" i="10"/>
  <c r="D667" i="10" s="1"/>
  <c r="C829" i="10"/>
  <c r="D829" i="10" s="1"/>
  <c r="C130" i="10"/>
  <c r="D130" i="10" s="1"/>
  <c r="C87" i="10"/>
  <c r="D87" i="10" s="1"/>
  <c r="C727" i="10"/>
  <c r="D727" i="10" s="1"/>
  <c r="C623" i="10"/>
  <c r="D623" i="10" s="1"/>
  <c r="C774" i="10"/>
  <c r="D774" i="10" s="1"/>
  <c r="C947" i="10"/>
  <c r="D947" i="10" s="1"/>
  <c r="C195" i="10"/>
  <c r="D195" i="10" s="1"/>
  <c r="C169" i="10"/>
  <c r="D169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162" i="10"/>
  <c r="D162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153" i="10"/>
  <c r="D153" i="10" s="1"/>
  <c r="C811" i="10"/>
  <c r="D811" i="10" s="1"/>
  <c r="C201" i="10"/>
  <c r="D201" i="10" s="1"/>
  <c r="C120" i="10"/>
  <c r="D120" i="10" s="1"/>
  <c r="C293" i="10"/>
  <c r="D293" i="10" s="1"/>
  <c r="C29" i="10"/>
  <c r="D29" i="10" s="1"/>
  <c r="C959" i="10"/>
  <c r="D959" i="10" s="1"/>
  <c r="C47" i="10"/>
  <c r="D47" i="10" s="1"/>
  <c r="C488" i="10"/>
  <c r="D488" i="10" s="1"/>
  <c r="C48" i="10"/>
  <c r="D48" i="10" s="1"/>
  <c r="C468" i="10"/>
  <c r="D468" i="10" s="1"/>
  <c r="C260" i="10"/>
  <c r="D260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109" i="10"/>
  <c r="D109" i="10" s="1"/>
  <c r="C847" i="10"/>
  <c r="D847" i="10" s="1"/>
  <c r="H92" i="32"/>
  <c r="H94" i="32" s="1"/>
  <c r="M99" i="32"/>
  <c r="M79" i="5" l="1"/>
  <c r="D73" i="5"/>
  <c r="N67" i="5"/>
  <c r="K79" i="5"/>
  <c r="K67" i="5" s="1"/>
  <c r="C79" i="5"/>
  <c r="C67" i="5" s="1"/>
  <c r="F73" i="5"/>
  <c r="F67" i="5" s="1"/>
  <c r="O71" i="32"/>
  <c r="H67" i="5"/>
  <c r="N10" i="5"/>
  <c r="N10" i="32" s="1"/>
  <c r="L73" i="5"/>
  <c r="O73" i="5"/>
  <c r="G67" i="32"/>
  <c r="F67" i="32"/>
  <c r="O77" i="32"/>
  <c r="M67" i="5"/>
  <c r="O70" i="32"/>
  <c r="E67" i="5"/>
  <c r="D79" i="5"/>
  <c r="D67" i="5" s="1"/>
  <c r="G67" i="5"/>
  <c r="M67" i="32"/>
  <c r="E39" i="5"/>
  <c r="E39" i="32" s="1"/>
  <c r="H67" i="32"/>
  <c r="L73" i="32"/>
  <c r="L67" i="32" s="1"/>
  <c r="I67" i="32"/>
  <c r="E67" i="32"/>
  <c r="K67" i="32"/>
  <c r="E99" i="32"/>
  <c r="O99" i="5"/>
  <c r="L79" i="5"/>
  <c r="J67" i="32"/>
  <c r="O76" i="32"/>
  <c r="N89" i="32"/>
  <c r="O87" i="32"/>
  <c r="O89" i="32" s="1"/>
  <c r="N79" i="32"/>
  <c r="N67" i="32" s="1"/>
  <c r="M9" i="5"/>
  <c r="M9" i="32" s="1"/>
  <c r="G51" i="5"/>
  <c r="G51" i="32" s="1"/>
  <c r="L42" i="5"/>
  <c r="L42" i="32" s="1"/>
  <c r="D52" i="5"/>
  <c r="D52" i="32" s="1"/>
  <c r="H59" i="5"/>
  <c r="H59" i="32" s="1"/>
  <c r="J33" i="5"/>
  <c r="J33" i="32" s="1"/>
  <c r="K17" i="5"/>
  <c r="K17" i="32" s="1"/>
  <c r="H20" i="5"/>
  <c r="H20" i="32" s="1"/>
  <c r="C33" i="5"/>
  <c r="C33" i="32" s="1"/>
  <c r="F41" i="5"/>
  <c r="F41" i="32" s="1"/>
  <c r="O56" i="5"/>
  <c r="E9" i="5"/>
  <c r="E9" i="32" s="1"/>
  <c r="F19" i="5"/>
  <c r="F19" i="32" s="1"/>
  <c r="H33" i="5"/>
  <c r="H33" i="32" s="1"/>
  <c r="N16" i="5"/>
  <c r="N16" i="32" s="1"/>
  <c r="D41" i="5"/>
  <c r="D41" i="32" s="1"/>
  <c r="F26" i="5"/>
  <c r="F26" i="32" s="1"/>
  <c r="K20" i="5"/>
  <c r="K20" i="32" s="1"/>
  <c r="J51" i="5"/>
  <c r="J51" i="32" s="1"/>
  <c r="J23" i="5"/>
  <c r="J23" i="32" s="1"/>
  <c r="N42" i="5"/>
  <c r="N42" i="32" s="1"/>
  <c r="J43" i="5"/>
  <c r="J43" i="32" s="1"/>
  <c r="C7" i="5"/>
  <c r="C7" i="32" s="1"/>
  <c r="M27" i="5"/>
  <c r="M27" i="32" s="1"/>
  <c r="H18" i="5"/>
  <c r="H18" i="32" s="1"/>
  <c r="I30" i="5"/>
  <c r="I30" i="32" s="1"/>
  <c r="E10" i="5"/>
  <c r="E10" i="32" s="1"/>
  <c r="H39" i="5"/>
  <c r="H39" i="32" s="1"/>
  <c r="L35" i="5"/>
  <c r="L35" i="32" s="1"/>
  <c r="F27" i="5"/>
  <c r="F27" i="32" s="1"/>
  <c r="O30" i="5"/>
  <c r="G29" i="5"/>
  <c r="G29" i="32" s="1"/>
  <c r="O60" i="5"/>
  <c r="H46" i="5"/>
  <c r="H46" i="32" s="1"/>
  <c r="M10" i="5"/>
  <c r="M10" i="32" s="1"/>
  <c r="J53" i="5"/>
  <c r="J53" i="32" s="1"/>
  <c r="G24" i="5"/>
  <c r="G24" i="32" s="1"/>
  <c r="L52" i="5"/>
  <c r="L52" i="32" s="1"/>
  <c r="K52" i="5"/>
  <c r="K52" i="32" s="1"/>
  <c r="K48" i="5"/>
  <c r="K48" i="32" s="1"/>
  <c r="N29" i="5"/>
  <c r="N29" i="32" s="1"/>
  <c r="K56" i="5"/>
  <c r="K56" i="32" s="1"/>
  <c r="H65" i="5"/>
  <c r="H65" i="32" s="1"/>
  <c r="O21" i="5"/>
  <c r="E34" i="5"/>
  <c r="E34" i="32" s="1"/>
  <c r="I33" i="5"/>
  <c r="I33" i="32" s="1"/>
  <c r="O16" i="5"/>
  <c r="C6" i="5"/>
  <c r="N43" i="5"/>
  <c r="N43" i="32" s="1"/>
  <c r="O29" i="5"/>
  <c r="I45" i="5"/>
  <c r="I45" i="32" s="1"/>
  <c r="J26" i="5"/>
  <c r="J26" i="32" s="1"/>
  <c r="J60" i="5"/>
  <c r="J60" i="32" s="1"/>
  <c r="K26" i="5"/>
  <c r="K26" i="32" s="1"/>
  <c r="H27" i="5"/>
  <c r="H27" i="32" s="1"/>
  <c r="O17" i="5"/>
  <c r="J9" i="5"/>
  <c r="J9" i="32" s="1"/>
  <c r="L40" i="5"/>
  <c r="L40" i="32" s="1"/>
  <c r="K40" i="5"/>
  <c r="K40" i="32" s="1"/>
  <c r="L51" i="5"/>
  <c r="L51" i="32" s="1"/>
  <c r="L41" i="5"/>
  <c r="L41" i="32" s="1"/>
  <c r="J19" i="5"/>
  <c r="J19" i="32" s="1"/>
  <c r="C41" i="5"/>
  <c r="C41" i="32" s="1"/>
  <c r="E21" i="5"/>
  <c r="E21" i="32" s="1"/>
  <c r="N6" i="5"/>
  <c r="C46" i="5"/>
  <c r="C46" i="32" s="1"/>
  <c r="J28" i="5"/>
  <c r="J28" i="32" s="1"/>
  <c r="H37" i="5"/>
  <c r="H37" i="32" s="1"/>
  <c r="N53" i="5"/>
  <c r="N53" i="32" s="1"/>
  <c r="I38" i="5"/>
  <c r="I38" i="32" s="1"/>
  <c r="I41" i="5"/>
  <c r="I41" i="32" s="1"/>
  <c r="M44" i="5"/>
  <c r="M44" i="32" s="1"/>
  <c r="F53" i="5"/>
  <c r="F53" i="32" s="1"/>
  <c r="O15" i="5"/>
  <c r="D10" i="5"/>
  <c r="D10" i="32" s="1"/>
  <c r="H42" i="5"/>
  <c r="H42" i="32" s="1"/>
  <c r="N40" i="5"/>
  <c r="N40" i="32" s="1"/>
  <c r="M36" i="5"/>
  <c r="M36" i="32" s="1"/>
  <c r="G46" i="5"/>
  <c r="G46" i="32" s="1"/>
  <c r="I52" i="5"/>
  <c r="I52" i="32" s="1"/>
  <c r="O28" i="5"/>
  <c r="L31" i="5"/>
  <c r="L31" i="32" s="1"/>
  <c r="H56" i="5"/>
  <c r="H56" i="32" s="1"/>
  <c r="O45" i="5"/>
  <c r="M38" i="5"/>
  <c r="M38" i="32" s="1"/>
  <c r="G28" i="5"/>
  <c r="G28" i="32" s="1"/>
  <c r="I65" i="5"/>
  <c r="I65" i="32" s="1"/>
  <c r="L17" i="5"/>
  <c r="L17" i="32" s="1"/>
  <c r="M48" i="5"/>
  <c r="M48" i="32" s="1"/>
  <c r="H30" i="5"/>
  <c r="H30" i="32" s="1"/>
  <c r="H35" i="5"/>
  <c r="H35" i="32" s="1"/>
  <c r="M19" i="5"/>
  <c r="M19" i="32" s="1"/>
  <c r="F24" i="5"/>
  <c r="F24" i="32" s="1"/>
  <c r="L23" i="5"/>
  <c r="L23" i="32" s="1"/>
  <c r="E23" i="5"/>
  <c r="E23" i="32" s="1"/>
  <c r="J49" i="5"/>
  <c r="J49" i="32" s="1"/>
  <c r="H41" i="5"/>
  <c r="H41" i="32" s="1"/>
  <c r="E56" i="5"/>
  <c r="E56" i="32" s="1"/>
  <c r="M25" i="5"/>
  <c r="M25" i="32" s="1"/>
  <c r="C16" i="5"/>
  <c r="C16" i="32" s="1"/>
  <c r="M49" i="5"/>
  <c r="M49" i="32" s="1"/>
  <c r="L16" i="5"/>
  <c r="L16" i="32" s="1"/>
  <c r="H36" i="5"/>
  <c r="H36" i="32" s="1"/>
  <c r="J14" i="5"/>
  <c r="I31" i="5"/>
  <c r="I31" i="32" s="1"/>
  <c r="K25" i="5"/>
  <c r="K25" i="32" s="1"/>
  <c r="F59" i="5"/>
  <c r="F59" i="32" s="1"/>
  <c r="N46" i="5"/>
  <c r="N46" i="32" s="1"/>
  <c r="D51" i="5"/>
  <c r="D51" i="32" s="1"/>
  <c r="F47" i="5"/>
  <c r="F47" i="32" s="1"/>
  <c r="D22" i="5"/>
  <c r="D22" i="32" s="1"/>
  <c r="E31" i="5"/>
  <c r="E31" i="32" s="1"/>
  <c r="D28" i="5"/>
  <c r="D28" i="32" s="1"/>
  <c r="H19" i="5"/>
  <c r="H19" i="32" s="1"/>
  <c r="J45" i="5"/>
  <c r="J45" i="32" s="1"/>
  <c r="O37" i="5"/>
  <c r="D29" i="5"/>
  <c r="D29" i="32" s="1"/>
  <c r="K10" i="5"/>
  <c r="K10" i="32" s="1"/>
  <c r="I32" i="5"/>
  <c r="I32" i="32" s="1"/>
  <c r="K37" i="5"/>
  <c r="K37" i="32" s="1"/>
  <c r="M47" i="5"/>
  <c r="M47" i="32" s="1"/>
  <c r="M51" i="5"/>
  <c r="M51" i="32" s="1"/>
  <c r="J27" i="5"/>
  <c r="J27" i="32" s="1"/>
  <c r="G20" i="5"/>
  <c r="G20" i="32" s="1"/>
  <c r="I23" i="5"/>
  <c r="I23" i="32" s="1"/>
  <c r="E65" i="5"/>
  <c r="E65" i="32" s="1"/>
  <c r="C31" i="5"/>
  <c r="C31" i="32" s="1"/>
  <c r="E36" i="5"/>
  <c r="E36" i="32" s="1"/>
  <c r="E46" i="5"/>
  <c r="E46" i="32" s="1"/>
  <c r="O46" i="5"/>
  <c r="K29" i="5"/>
  <c r="K29" i="32" s="1"/>
  <c r="C24" i="5"/>
  <c r="C24" i="32" s="1"/>
  <c r="K50" i="5"/>
  <c r="K50" i="32" s="1"/>
  <c r="C38" i="5"/>
  <c r="C38" i="32" s="1"/>
  <c r="E52" i="5"/>
  <c r="E52" i="32" s="1"/>
  <c r="K41" i="5"/>
  <c r="K41" i="32" s="1"/>
  <c r="D49" i="5"/>
  <c r="D49" i="32" s="1"/>
  <c r="I36" i="5"/>
  <c r="I36" i="32" s="1"/>
  <c r="C50" i="5"/>
  <c r="C50" i="32" s="1"/>
  <c r="G23" i="5"/>
  <c r="G23" i="32" s="1"/>
  <c r="L46" i="5"/>
  <c r="L46" i="32" s="1"/>
  <c r="N20" i="5"/>
  <c r="N20" i="32" s="1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K24" i="5"/>
  <c r="K24" i="32" s="1"/>
  <c r="M14" i="5"/>
  <c r="L7" i="5"/>
  <c r="L7" i="32" s="1"/>
  <c r="O18" i="5"/>
  <c r="N37" i="5"/>
  <c r="N37" i="32" s="1"/>
  <c r="H60" i="5"/>
  <c r="H60" i="32" s="1"/>
  <c r="E22" i="5"/>
  <c r="E22" i="32" s="1"/>
  <c r="E44" i="5"/>
  <c r="E44" i="32" s="1"/>
  <c r="H21" i="5"/>
  <c r="H21" i="32" s="1"/>
  <c r="H29" i="5"/>
  <c r="H29" i="32" s="1"/>
  <c r="E28" i="5"/>
  <c r="E28" i="32" s="1"/>
  <c r="G6" i="5"/>
  <c r="K27" i="5"/>
  <c r="K27" i="32" s="1"/>
  <c r="K31" i="5"/>
  <c r="K31" i="32" s="1"/>
  <c r="K44" i="5"/>
  <c r="K44" i="32" s="1"/>
  <c r="J31" i="5"/>
  <c r="J31" i="32" s="1"/>
  <c r="H32" i="5"/>
  <c r="H32" i="32" s="1"/>
  <c r="N25" i="5"/>
  <c r="N25" i="32" s="1"/>
  <c r="M50" i="5"/>
  <c r="M50" i="32" s="1"/>
  <c r="J47" i="5"/>
  <c r="J47" i="32" s="1"/>
  <c r="M55" i="5"/>
  <c r="M55" i="32" s="1"/>
  <c r="I19" i="5"/>
  <c r="I19" i="32" s="1"/>
  <c r="C47" i="5"/>
  <c r="C47" i="32" s="1"/>
  <c r="D56" i="5"/>
  <c r="D56" i="32" s="1"/>
  <c r="D43" i="5"/>
  <c r="D43" i="32" s="1"/>
  <c r="C55" i="5"/>
  <c r="C55" i="32" s="1"/>
  <c r="C30" i="5"/>
  <c r="C30" i="32" s="1"/>
  <c r="O48" i="5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O19" i="5"/>
  <c r="E6" i="5"/>
  <c r="D35" i="5"/>
  <c r="D35" i="32" s="1"/>
  <c r="O55" i="5"/>
  <c r="N60" i="5"/>
  <c r="N60" i="32" s="1"/>
  <c r="L37" i="5"/>
  <c r="L37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56" i="5"/>
  <c r="I56" i="32" s="1"/>
  <c r="H43" i="5"/>
  <c r="H43" i="32" s="1"/>
  <c r="D37" i="5"/>
  <c r="D37" i="32" s="1"/>
  <c r="D18" i="5"/>
  <c r="D18" i="32" s="1"/>
  <c r="D39" i="5"/>
  <c r="D39" i="32" s="1"/>
  <c r="N65" i="5"/>
  <c r="N65" i="32" s="1"/>
  <c r="E40" i="5"/>
  <c r="E40" i="32" s="1"/>
  <c r="K54" i="5"/>
  <c r="K54" i="32" s="1"/>
  <c r="O58" i="5"/>
  <c r="G42" i="5"/>
  <c r="G42" i="32" s="1"/>
  <c r="C48" i="5"/>
  <c r="C48" i="32" s="1"/>
  <c r="J40" i="5"/>
  <c r="J40" i="32" s="1"/>
  <c r="L30" i="5"/>
  <c r="L30" i="32" s="1"/>
  <c r="H24" i="5"/>
  <c r="H24" i="32" s="1"/>
  <c r="M53" i="5"/>
  <c r="M53" i="32" s="1"/>
  <c r="F60" i="5"/>
  <c r="F60" i="32" s="1"/>
  <c r="I46" i="5"/>
  <c r="I46" i="32" s="1"/>
  <c r="E26" i="5"/>
  <c r="E26" i="32" s="1"/>
  <c r="O31" i="5"/>
  <c r="D16" i="5"/>
  <c r="D16" i="32" s="1"/>
  <c r="C42" i="5"/>
  <c r="C42" i="32" s="1"/>
  <c r="E7" i="5"/>
  <c r="E7" i="32" s="1"/>
  <c r="F43" i="5"/>
  <c r="F43" i="32" s="1"/>
  <c r="I14" i="5"/>
  <c r="M41" i="5"/>
  <c r="M41" i="32" s="1"/>
  <c r="L57" i="5"/>
  <c r="L57" i="32" s="1"/>
  <c r="H34" i="5"/>
  <c r="H34" i="32" s="1"/>
  <c r="C35" i="5"/>
  <c r="C35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F20" i="5"/>
  <c r="F20" i="32" s="1"/>
  <c r="J32" i="5"/>
  <c r="J32" i="32" s="1"/>
  <c r="G59" i="5"/>
  <c r="G59" i="32" s="1"/>
  <c r="F30" i="5"/>
  <c r="F30" i="32" s="1"/>
  <c r="H44" i="5"/>
  <c r="H44" i="32" s="1"/>
  <c r="H26" i="5"/>
  <c r="H26" i="32" s="1"/>
  <c r="H58" i="5"/>
  <c r="H58" i="32" s="1"/>
  <c r="C15" i="5"/>
  <c r="C15" i="32" s="1"/>
  <c r="H10" i="5"/>
  <c r="H10" i="32" s="1"/>
  <c r="D24" i="5"/>
  <c r="D24" i="32" s="1"/>
  <c r="E41" i="5"/>
  <c r="E41" i="32" s="1"/>
  <c r="M57" i="5"/>
  <c r="M57" i="32" s="1"/>
  <c r="D50" i="5"/>
  <c r="D50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N38" i="5"/>
  <c r="N38" i="32" s="1"/>
  <c r="K6" i="5"/>
  <c r="F15" i="5"/>
  <c r="F15" i="32" s="1"/>
  <c r="J16" i="5"/>
  <c r="J16" i="32" s="1"/>
  <c r="F25" i="5"/>
  <c r="F25" i="32" s="1"/>
  <c r="J57" i="5"/>
  <c r="J57" i="32" s="1"/>
  <c r="J7" i="5"/>
  <c r="J7" i="32" s="1"/>
  <c r="K22" i="5"/>
  <c r="K22" i="32" s="1"/>
  <c r="F35" i="5"/>
  <c r="F35" i="32" s="1"/>
  <c r="C52" i="5"/>
  <c r="C52" i="32" s="1"/>
  <c r="F31" i="5"/>
  <c r="F31" i="32" s="1"/>
  <c r="E58" i="5"/>
  <c r="E58" i="32" s="1"/>
  <c r="C9" i="5"/>
  <c r="C9" i="32" s="1"/>
  <c r="M45" i="5"/>
  <c r="M45" i="32" s="1"/>
  <c r="L25" i="5"/>
  <c r="L25" i="32" s="1"/>
  <c r="F50" i="5"/>
  <c r="F50" i="32" s="1"/>
  <c r="H48" i="5"/>
  <c r="H48" i="32" s="1"/>
  <c r="L34" i="5"/>
  <c r="L34" i="32" s="1"/>
  <c r="E43" i="5"/>
  <c r="E43" i="32" s="1"/>
  <c r="F46" i="5"/>
  <c r="F46" i="32" s="1"/>
  <c r="G41" i="5"/>
  <c r="G41" i="32" s="1"/>
  <c r="O6" i="5"/>
  <c r="G60" i="5"/>
  <c r="G60" i="32" s="1"/>
  <c r="O7" i="5"/>
  <c r="C37" i="5"/>
  <c r="C37" i="32" s="1"/>
  <c r="D65" i="5"/>
  <c r="D65" i="32" s="1"/>
  <c r="N27" i="5"/>
  <c r="N27" i="32" s="1"/>
  <c r="G33" i="5"/>
  <c r="G33" i="32" s="1"/>
  <c r="C32" i="5"/>
  <c r="C32" i="32" s="1"/>
  <c r="K59" i="5"/>
  <c r="K59" i="32" s="1"/>
  <c r="G54" i="5"/>
  <c r="G54" i="32" s="1"/>
  <c r="D58" i="5"/>
  <c r="D58" i="32" s="1"/>
  <c r="M54" i="5"/>
  <c r="M54" i="32" s="1"/>
  <c r="E57" i="5"/>
  <c r="E57" i="32" s="1"/>
  <c r="H16" i="5"/>
  <c r="H16" i="32" s="1"/>
  <c r="G55" i="5"/>
  <c r="G55" i="32" s="1"/>
  <c r="D26" i="5"/>
  <c r="D26" i="32" s="1"/>
  <c r="I53" i="5"/>
  <c r="I53" i="32" s="1"/>
  <c r="E17" i="5"/>
  <c r="E17" i="32" s="1"/>
  <c r="J17" i="5"/>
  <c r="J17" i="32" s="1"/>
  <c r="H54" i="5"/>
  <c r="H54" i="32" s="1"/>
  <c r="O47" i="5"/>
  <c r="J24" i="5"/>
  <c r="J24" i="32" s="1"/>
  <c r="D57" i="5"/>
  <c r="D57" i="32" s="1"/>
  <c r="J42" i="5"/>
  <c r="J42" i="32" s="1"/>
  <c r="F48" i="5"/>
  <c r="F48" i="32" s="1"/>
  <c r="E37" i="5"/>
  <c r="E37" i="32" s="1"/>
  <c r="N31" i="5"/>
  <c r="N31" i="32" s="1"/>
  <c r="F9" i="5"/>
  <c r="F9" i="32" s="1"/>
  <c r="D55" i="5"/>
  <c r="D55" i="32" s="1"/>
  <c r="G45" i="5"/>
  <c r="G45" i="32" s="1"/>
  <c r="K30" i="5"/>
  <c r="K30" i="32" s="1"/>
  <c r="C40" i="5"/>
  <c r="C40" i="32" s="1"/>
  <c r="I57" i="5"/>
  <c r="I57" i="32" s="1"/>
  <c r="F23" i="5"/>
  <c r="F23" i="32" s="1"/>
  <c r="D40" i="5"/>
  <c r="D40" i="32" s="1"/>
  <c r="N36" i="5"/>
  <c r="N36" i="32" s="1"/>
  <c r="M31" i="5"/>
  <c r="M31" i="32" s="1"/>
  <c r="I51" i="5"/>
  <c r="I51" i="32" s="1"/>
  <c r="C14" i="5"/>
  <c r="N33" i="5"/>
  <c r="N33" i="32" s="1"/>
  <c r="E54" i="5"/>
  <c r="E54" i="32" s="1"/>
  <c r="O59" i="5"/>
  <c r="I54" i="5"/>
  <c r="I54" i="32" s="1"/>
  <c r="G52" i="5"/>
  <c r="G52" i="32" s="1"/>
  <c r="C44" i="5"/>
  <c r="C44" i="32" s="1"/>
  <c r="L33" i="5"/>
  <c r="L33" i="32" s="1"/>
  <c r="E32" i="5"/>
  <c r="E32" i="32" s="1"/>
  <c r="E27" i="5"/>
  <c r="E27" i="32" s="1"/>
  <c r="J48" i="5"/>
  <c r="J48" i="32" s="1"/>
  <c r="E48" i="5"/>
  <c r="E48" i="32" s="1"/>
  <c r="J65" i="5"/>
  <c r="J65" i="32" s="1"/>
  <c r="K14" i="5"/>
  <c r="L55" i="5"/>
  <c r="L55" i="32" s="1"/>
  <c r="L58" i="5"/>
  <c r="L58" i="32" s="1"/>
  <c r="O42" i="5"/>
  <c r="N49" i="5"/>
  <c r="N49" i="32" s="1"/>
  <c r="E14" i="5"/>
  <c r="K7" i="5"/>
  <c r="K7" i="32" s="1"/>
  <c r="C26" i="5"/>
  <c r="C26" i="32" s="1"/>
  <c r="L47" i="5"/>
  <c r="L47" i="32" s="1"/>
  <c r="F65" i="5"/>
  <c r="F65" i="32" s="1"/>
  <c r="M29" i="5"/>
  <c r="M29" i="32" s="1"/>
  <c r="H31" i="5"/>
  <c r="H31" i="32" s="1"/>
  <c r="N47" i="5"/>
  <c r="N47" i="32" s="1"/>
  <c r="C29" i="5"/>
  <c r="C29" i="32" s="1"/>
  <c r="I17" i="5"/>
  <c r="I17" i="32" s="1"/>
  <c r="I37" i="5"/>
  <c r="I37" i="32" s="1"/>
  <c r="G26" i="5"/>
  <c r="G26" i="32" s="1"/>
  <c r="D54" i="5"/>
  <c r="D54" i="32" s="1"/>
  <c r="I50" i="5"/>
  <c r="I50" i="32" s="1"/>
  <c r="G15" i="5"/>
  <c r="G15" i="32" s="1"/>
  <c r="J25" i="5"/>
  <c r="J25" i="32" s="1"/>
  <c r="H6" i="5"/>
  <c r="C19" i="5"/>
  <c r="C19" i="32" s="1"/>
  <c r="G50" i="5"/>
  <c r="G50" i="32" s="1"/>
  <c r="D47" i="5"/>
  <c r="D47" i="32" s="1"/>
  <c r="E60" i="5"/>
  <c r="E60" i="32" s="1"/>
  <c r="G36" i="5"/>
  <c r="G36" i="32" s="1"/>
  <c r="L39" i="5"/>
  <c r="L39" i="32" s="1"/>
  <c r="O39" i="5"/>
  <c r="N32" i="5"/>
  <c r="N32" i="32" s="1"/>
  <c r="D48" i="5"/>
  <c r="D48" i="32" s="1"/>
  <c r="J20" i="5"/>
  <c r="J20" i="32" s="1"/>
  <c r="C51" i="5"/>
  <c r="C51" i="32" s="1"/>
  <c r="L6" i="5"/>
  <c r="F33" i="5"/>
  <c r="F33" i="32" s="1"/>
  <c r="I43" i="5"/>
  <c r="I43" i="32" s="1"/>
  <c r="N14" i="5"/>
  <c r="D17" i="5"/>
  <c r="D17" i="32" s="1"/>
  <c r="F38" i="5"/>
  <c r="F38" i="32" s="1"/>
  <c r="C54" i="5"/>
  <c r="C54" i="32" s="1"/>
  <c r="D53" i="5"/>
  <c r="D53" i="32" s="1"/>
  <c r="O41" i="5"/>
  <c r="K49" i="5"/>
  <c r="K49" i="32" s="1"/>
  <c r="K16" i="5"/>
  <c r="K16" i="32" s="1"/>
  <c r="G34" i="5"/>
  <c r="G34" i="32" s="1"/>
  <c r="J44" i="5"/>
  <c r="J44" i="32" s="1"/>
  <c r="F21" i="5"/>
  <c r="F21" i="32" s="1"/>
  <c r="J56" i="5"/>
  <c r="J56" i="32" s="1"/>
  <c r="N48" i="5"/>
  <c r="N48" i="32" s="1"/>
  <c r="E16" i="5"/>
  <c r="E16" i="32" s="1"/>
  <c r="L44" i="5"/>
  <c r="L44" i="32" s="1"/>
  <c r="K65" i="5"/>
  <c r="K65" i="32" s="1"/>
  <c r="N7" i="5"/>
  <c r="N7" i="32" s="1"/>
  <c r="C28" i="5"/>
  <c r="C28" i="32" s="1"/>
  <c r="N26" i="5"/>
  <c r="N26" i="32" s="1"/>
  <c r="I58" i="5"/>
  <c r="I58" i="32" s="1"/>
  <c r="J50" i="5"/>
  <c r="J50" i="32" s="1"/>
  <c r="M28" i="5"/>
  <c r="M28" i="32" s="1"/>
  <c r="L54" i="5"/>
  <c r="L54" i="32" s="1"/>
  <c r="E24" i="5"/>
  <c r="E24" i="32" s="1"/>
  <c r="I44" i="5"/>
  <c r="I44" i="32" s="1"/>
  <c r="K46" i="5"/>
  <c r="K46" i="32" s="1"/>
  <c r="L38" i="5"/>
  <c r="L38" i="32" s="1"/>
  <c r="I47" i="5"/>
  <c r="I47" i="32" s="1"/>
  <c r="K35" i="5"/>
  <c r="K35" i="32" s="1"/>
  <c r="D30" i="5"/>
  <c r="D30" i="32" s="1"/>
  <c r="F34" i="5"/>
  <c r="F34" i="32" s="1"/>
  <c r="M17" i="5"/>
  <c r="M17" i="32" s="1"/>
  <c r="G16" i="5"/>
  <c r="G16" i="32" s="1"/>
  <c r="G9" i="5"/>
  <c r="G9" i="32" s="1"/>
  <c r="D19" i="5"/>
  <c r="D19" i="32" s="1"/>
  <c r="J30" i="5"/>
  <c r="J30" i="32" s="1"/>
  <c r="C10" i="5"/>
  <c r="C10" i="32" s="1"/>
  <c r="N52" i="5"/>
  <c r="N52" i="32" s="1"/>
  <c r="J22" i="5"/>
  <c r="J22" i="32" s="1"/>
  <c r="H17" i="5"/>
  <c r="H17" i="32" s="1"/>
  <c r="D36" i="5"/>
  <c r="D36" i="32" s="1"/>
  <c r="F55" i="5"/>
  <c r="F55" i="32" s="1"/>
  <c r="K21" i="5"/>
  <c r="K21" i="32" s="1"/>
  <c r="D38" i="5"/>
  <c r="D38" i="32" s="1"/>
  <c r="K18" i="5"/>
  <c r="K18" i="32" s="1"/>
  <c r="D15" i="5"/>
  <c r="D15" i="32" s="1"/>
  <c r="C21" i="5"/>
  <c r="C21" i="32" s="1"/>
  <c r="F17" i="5"/>
  <c r="F17" i="32" s="1"/>
  <c r="L15" i="5"/>
  <c r="L15" i="32" s="1"/>
  <c r="G14" i="5"/>
  <c r="E18" i="5"/>
  <c r="E18" i="32" s="1"/>
  <c r="N44" i="5"/>
  <c r="N44" i="32" s="1"/>
  <c r="O35" i="5"/>
  <c r="N51" i="5"/>
  <c r="N51" i="32" s="1"/>
  <c r="G40" i="5"/>
  <c r="G40" i="32" s="1"/>
  <c r="H22" i="5"/>
  <c r="H22" i="32" s="1"/>
  <c r="H15" i="5"/>
  <c r="H15" i="32" s="1"/>
  <c r="G30" i="5"/>
  <c r="G30" i="32" s="1"/>
  <c r="I18" i="5"/>
  <c r="I18" i="32" s="1"/>
  <c r="F36" i="5"/>
  <c r="F36" i="32" s="1"/>
  <c r="N41" i="5"/>
  <c r="N41" i="32" s="1"/>
  <c r="M6" i="5"/>
  <c r="H49" i="5"/>
  <c r="H49" i="32" s="1"/>
  <c r="C59" i="5"/>
  <c r="C59" i="32" s="1"/>
  <c r="N34" i="5"/>
  <c r="N34" i="32" s="1"/>
  <c r="C99" i="32"/>
  <c r="O97" i="32"/>
  <c r="O99" i="32" s="1"/>
  <c r="E42" i="5"/>
  <c r="E42" i="32" s="1"/>
  <c r="I20" i="5"/>
  <c r="I20" i="32" s="1"/>
  <c r="N57" i="5"/>
  <c r="N57" i="32" s="1"/>
  <c r="I27" i="5"/>
  <c r="I27" i="32" s="1"/>
  <c r="D94" i="32"/>
  <c r="O92" i="32"/>
  <c r="O94" i="32" s="1"/>
  <c r="C25" i="5"/>
  <c r="C25" i="32" s="1"/>
  <c r="I42" i="5"/>
  <c r="I42" i="32" s="1"/>
  <c r="J46" i="5"/>
  <c r="J46" i="32" s="1"/>
  <c r="J59" i="5"/>
  <c r="J59" i="32" s="1"/>
  <c r="C34" i="5"/>
  <c r="C34" i="32" s="1"/>
  <c r="O9" i="5"/>
  <c r="J41" i="5"/>
  <c r="J41" i="32" s="1"/>
  <c r="C20" i="5"/>
  <c r="C20" i="32" s="1"/>
  <c r="L19" i="5"/>
  <c r="L19" i="32" s="1"/>
  <c r="I48" i="5"/>
  <c r="I48" i="32" s="1"/>
  <c r="J58" i="5"/>
  <c r="J58" i="32" s="1"/>
  <c r="C57" i="5"/>
  <c r="C57" i="32" s="1"/>
  <c r="G38" i="5"/>
  <c r="G38" i="32" s="1"/>
  <c r="O23" i="5"/>
  <c r="K43" i="5"/>
  <c r="K43" i="32" s="1"/>
  <c r="N54" i="5"/>
  <c r="N54" i="32" s="1"/>
  <c r="M30" i="5"/>
  <c r="M30" i="32" s="1"/>
  <c r="G37" i="5"/>
  <c r="G37" i="32" s="1"/>
  <c r="N15" i="5"/>
  <c r="N15" i="32" s="1"/>
  <c r="M39" i="5"/>
  <c r="M39" i="32" s="1"/>
  <c r="N18" i="5"/>
  <c r="N18" i="32" s="1"/>
  <c r="D46" i="5"/>
  <c r="D46" i="32" s="1"/>
  <c r="O57" i="5"/>
  <c r="N24" i="5"/>
  <c r="N24" i="32" s="1"/>
  <c r="O20" i="5"/>
  <c r="L9" i="5"/>
  <c r="L9" i="32" s="1"/>
  <c r="L18" i="5"/>
  <c r="L18" i="32" s="1"/>
  <c r="N23" i="5"/>
  <c r="N23" i="32" s="1"/>
  <c r="J37" i="5"/>
  <c r="J37" i="32" s="1"/>
  <c r="I22" i="5"/>
  <c r="I22" i="32" s="1"/>
  <c r="K57" i="5"/>
  <c r="K57" i="32" s="1"/>
  <c r="M32" i="5"/>
  <c r="M32" i="32" s="1"/>
  <c r="I6" i="5"/>
  <c r="C27" i="5"/>
  <c r="C27" i="32" s="1"/>
  <c r="D34" i="5"/>
  <c r="D34" i="32" s="1"/>
  <c r="L26" i="5"/>
  <c r="L26" i="32" s="1"/>
  <c r="K53" i="5"/>
  <c r="K53" i="32" s="1"/>
  <c r="D27" i="5"/>
  <c r="D27" i="32" s="1"/>
  <c r="F58" i="5"/>
  <c r="F58" i="32" s="1"/>
  <c r="D20" i="5"/>
  <c r="D20" i="32" s="1"/>
  <c r="C39" i="5"/>
  <c r="C39" i="32" s="1"/>
  <c r="M24" i="5"/>
  <c r="M24" i="32" s="1"/>
  <c r="I40" i="5"/>
  <c r="I40" i="32" s="1"/>
  <c r="E47" i="5"/>
  <c r="E47" i="32" s="1"/>
  <c r="O27" i="5"/>
  <c r="G56" i="5"/>
  <c r="G56" i="32" s="1"/>
  <c r="C17" i="5"/>
  <c r="C17" i="32" s="1"/>
  <c r="E38" i="5"/>
  <c r="E38" i="32" s="1"/>
  <c r="N59" i="5"/>
  <c r="N59" i="32" s="1"/>
  <c r="M15" i="5"/>
  <c r="M15" i="32" s="1"/>
  <c r="L28" i="5"/>
  <c r="L28" i="32" s="1"/>
  <c r="O44" i="5"/>
  <c r="O33" i="5"/>
  <c r="M22" i="5"/>
  <c r="M22" i="32" s="1"/>
  <c r="M43" i="5"/>
  <c r="M43" i="32" s="1"/>
  <c r="C53" i="5"/>
  <c r="C53" i="32" s="1"/>
  <c r="D6" i="5"/>
  <c r="G18" i="5"/>
  <c r="G18" i="32" s="1"/>
  <c r="D7" i="5"/>
  <c r="D7" i="32" s="1"/>
  <c r="G25" i="5"/>
  <c r="G25" i="32" s="1"/>
  <c r="F32" i="5"/>
  <c r="F32" i="32" s="1"/>
  <c r="H45" i="5"/>
  <c r="H45" i="32" s="1"/>
  <c r="O14" i="5"/>
  <c r="J54" i="5"/>
  <c r="J54" i="32" s="1"/>
  <c r="N17" i="5"/>
  <c r="N17" i="32" s="1"/>
  <c r="C45" i="5"/>
  <c r="C45" i="32" s="1"/>
  <c r="O43" i="5"/>
  <c r="K34" i="5"/>
  <c r="K34" i="32" s="1"/>
  <c r="O32" i="5"/>
  <c r="D59" i="5"/>
  <c r="D59" i="32" s="1"/>
  <c r="D79" i="32"/>
  <c r="D67" i="32" s="1"/>
  <c r="O75" i="32"/>
  <c r="C73" i="32"/>
  <c r="C67" i="32" s="1"/>
  <c r="O69" i="32"/>
  <c r="O53" i="5"/>
  <c r="N50" i="5"/>
  <c r="N50" i="32" s="1"/>
  <c r="G35" i="5"/>
  <c r="G35" i="32" s="1"/>
  <c r="O10" i="5"/>
  <c r="O79" i="5" s="1"/>
  <c r="O67" i="5" s="1"/>
  <c r="G31" i="5"/>
  <c r="G31" i="32" s="1"/>
  <c r="E30" i="5"/>
  <c r="E30" i="32" s="1"/>
  <c r="M60" i="5"/>
  <c r="M60" i="32" s="1"/>
  <c r="I24" i="5"/>
  <c r="I24" i="32" s="1"/>
  <c r="K36" i="5"/>
  <c r="K36" i="32" s="1"/>
  <c r="J10" i="5"/>
  <c r="J10" i="32" s="1"/>
  <c r="G32" i="5"/>
  <c r="G32" i="32" s="1"/>
  <c r="K23" i="5"/>
  <c r="K23" i="32" s="1"/>
  <c r="H40" i="5"/>
  <c r="H40" i="32" s="1"/>
  <c r="M20" i="5"/>
  <c r="M20" i="32" s="1"/>
  <c r="E45" i="5"/>
  <c r="E45" i="32" s="1"/>
  <c r="F45" i="5"/>
  <c r="F45" i="32" s="1"/>
  <c r="F22" i="5"/>
  <c r="F22" i="32" s="1"/>
  <c r="L24" i="5"/>
  <c r="L24" i="32" s="1"/>
  <c r="L65" i="5"/>
  <c r="L65" i="32" s="1"/>
  <c r="L60" i="5"/>
  <c r="L60" i="32" s="1"/>
  <c r="E49" i="5"/>
  <c r="E49" i="32" s="1"/>
  <c r="H50" i="5"/>
  <c r="H50" i="32" s="1"/>
  <c r="G49" i="5"/>
  <c r="G49" i="32" s="1"/>
  <c r="G21" i="5"/>
  <c r="G21" i="32" s="1"/>
  <c r="L10" i="5"/>
  <c r="L10" i="32" s="1"/>
  <c r="M42" i="5"/>
  <c r="M42" i="32" s="1"/>
  <c r="M56" i="5"/>
  <c r="M56" i="32" s="1"/>
  <c r="F6" i="5"/>
  <c r="L29" i="5"/>
  <c r="L29" i="32" s="1"/>
  <c r="K32" i="5"/>
  <c r="K32" i="32" s="1"/>
  <c r="H9" i="5"/>
  <c r="H9" i="32" s="1"/>
  <c r="I28" i="5"/>
  <c r="I28" i="32" s="1"/>
  <c r="K15" i="5"/>
  <c r="K15" i="32" s="1"/>
  <c r="J55" i="5"/>
  <c r="J55" i="32" s="1"/>
  <c r="K19" i="5"/>
  <c r="K19" i="32" s="1"/>
  <c r="F49" i="5"/>
  <c r="F49" i="32" s="1"/>
  <c r="J39" i="5"/>
  <c r="J39" i="32" s="1"/>
  <c r="O54" i="5"/>
  <c r="N56" i="5"/>
  <c r="N56" i="32" s="1"/>
  <c r="I25" i="5"/>
  <c r="I25" i="32" s="1"/>
  <c r="M7" i="5"/>
  <c r="M7" i="32" s="1"/>
  <c r="K39" i="5"/>
  <c r="K39" i="32" s="1"/>
  <c r="I49" i="5"/>
  <c r="I49" i="32" s="1"/>
  <c r="J36" i="5"/>
  <c r="J36" i="32" s="1"/>
  <c r="I35" i="5"/>
  <c r="I35" i="32" s="1"/>
  <c r="H14" i="5"/>
  <c r="O51" i="5"/>
  <c r="N21" i="5"/>
  <c r="N21" i="32" s="1"/>
  <c r="J6" i="5"/>
  <c r="G53" i="5"/>
  <c r="G53" i="32" s="1"/>
  <c r="F29" i="5"/>
  <c r="F29" i="32" s="1"/>
  <c r="I10" i="5"/>
  <c r="I10" i="32" s="1"/>
  <c r="J18" i="5"/>
  <c r="J18" i="32" s="1"/>
  <c r="O50" i="5"/>
  <c r="C56" i="5"/>
  <c r="C56" i="32" s="1"/>
  <c r="F51" i="5"/>
  <c r="F51" i="32" s="1"/>
  <c r="M33" i="5"/>
  <c r="M33" i="32" s="1"/>
  <c r="L53" i="5"/>
  <c r="L53" i="32" s="1"/>
  <c r="F44" i="5"/>
  <c r="F44" i="32" s="1"/>
  <c r="N9" i="5"/>
  <c r="N9" i="32" s="1"/>
  <c r="E25" i="5"/>
  <c r="E25" i="32" s="1"/>
  <c r="L21" i="5"/>
  <c r="L21" i="32" s="1"/>
  <c r="M34" i="5"/>
  <c r="M34" i="32" s="1"/>
  <c r="F14" i="5"/>
  <c r="J52" i="5"/>
  <c r="J52" i="32" s="1"/>
  <c r="C23" i="5"/>
  <c r="C23" i="32" s="1"/>
  <c r="F40" i="5"/>
  <c r="F40" i="32" s="1"/>
  <c r="I34" i="5"/>
  <c r="I34" i="32" s="1"/>
  <c r="K42" i="5"/>
  <c r="K42" i="32" s="1"/>
  <c r="D45" i="5"/>
  <c r="D45" i="32" s="1"/>
  <c r="G22" i="5"/>
  <c r="G22" i="32" s="1"/>
  <c r="O25" i="5"/>
  <c r="L32" i="5"/>
  <c r="L32" i="32" s="1"/>
  <c r="M59" i="5"/>
  <c r="M59" i="32" s="1"/>
  <c r="J21" i="5"/>
  <c r="J21" i="32" s="1"/>
  <c r="L22" i="5"/>
  <c r="L22" i="32" s="1"/>
  <c r="E51" i="5"/>
  <c r="E51" i="32" s="1"/>
  <c r="G43" i="5"/>
  <c r="G43" i="32" s="1"/>
  <c r="J34" i="5"/>
  <c r="J34" i="32" s="1"/>
  <c r="G17" i="5"/>
  <c r="G17" i="32" s="1"/>
  <c r="G48" i="5"/>
  <c r="G48" i="32" s="1"/>
  <c r="G65" i="5"/>
  <c r="G65" i="32" s="1"/>
  <c r="H51" i="5"/>
  <c r="H51" i="32" s="1"/>
  <c r="L27" i="5"/>
  <c r="L27" i="32" s="1"/>
  <c r="N30" i="5"/>
  <c r="N30" i="32" s="1"/>
  <c r="C65" i="5"/>
  <c r="C65" i="32" s="1"/>
  <c r="K38" i="5"/>
  <c r="K38" i="32" s="1"/>
  <c r="G10" i="5"/>
  <c r="G10" i="32" s="1"/>
  <c r="E19" i="5"/>
  <c r="E19" i="32" s="1"/>
  <c r="I16" i="5"/>
  <c r="I16" i="32" s="1"/>
  <c r="F18" i="5"/>
  <c r="F18" i="32" s="1"/>
  <c r="D23" i="5"/>
  <c r="D23" i="32" s="1"/>
  <c r="F39" i="5"/>
  <c r="F39" i="32" s="1"/>
  <c r="D9" i="5"/>
  <c r="D9" i="32" s="1"/>
  <c r="N22" i="5"/>
  <c r="N22" i="32" s="1"/>
  <c r="O40" i="5"/>
  <c r="L49" i="5"/>
  <c r="L49" i="32" s="1"/>
  <c r="O79" i="32" l="1"/>
  <c r="O73" i="32"/>
  <c r="L67" i="5"/>
  <c r="O67" i="32"/>
  <c r="O54" i="32"/>
  <c r="O26" i="32"/>
  <c r="O49" i="32"/>
  <c r="O18" i="32"/>
  <c r="O63" i="5"/>
  <c r="O13" i="5" s="1"/>
  <c r="L63" i="5"/>
  <c r="L14" i="32"/>
  <c r="O38" i="32"/>
  <c r="O56" i="32"/>
  <c r="O65" i="32"/>
  <c r="O23" i="32"/>
  <c r="H63" i="5"/>
  <c r="H14" i="32"/>
  <c r="O53" i="32"/>
  <c r="O57" i="32"/>
  <c r="O20" i="32"/>
  <c r="M6" i="32"/>
  <c r="M8" i="32" s="1"/>
  <c r="M5" i="32" s="1"/>
  <c r="M12" i="32" s="1"/>
  <c r="M8" i="5"/>
  <c r="M5" i="5" s="1"/>
  <c r="M12" i="5" s="1"/>
  <c r="G63" i="5"/>
  <c r="G14" i="32"/>
  <c r="O28" i="32"/>
  <c r="L6" i="32"/>
  <c r="L8" i="32" s="1"/>
  <c r="L5" i="32" s="1"/>
  <c r="L12" i="32" s="1"/>
  <c r="L8" i="5"/>
  <c r="L5" i="5" s="1"/>
  <c r="L12" i="5" s="1"/>
  <c r="H8" i="5"/>
  <c r="H5" i="5" s="1"/>
  <c r="H12" i="5" s="1"/>
  <c r="H6" i="32"/>
  <c r="H8" i="32" s="1"/>
  <c r="H5" i="32" s="1"/>
  <c r="H12" i="32" s="1"/>
  <c r="O29" i="32"/>
  <c r="E63" i="5"/>
  <c r="E14" i="32"/>
  <c r="O44" i="32"/>
  <c r="O8" i="5"/>
  <c r="O5" i="5" s="1"/>
  <c r="O12" i="5" s="1"/>
  <c r="O52" i="32"/>
  <c r="K6" i="32"/>
  <c r="K8" i="32" s="1"/>
  <c r="K5" i="32" s="1"/>
  <c r="K12" i="32" s="1"/>
  <c r="K8" i="5"/>
  <c r="K5" i="5" s="1"/>
  <c r="K12" i="5" s="1"/>
  <c r="O60" i="32"/>
  <c r="O15" i="32"/>
  <c r="O48" i="32"/>
  <c r="O55" i="32"/>
  <c r="M63" i="5"/>
  <c r="M14" i="32"/>
  <c r="O58" i="32"/>
  <c r="O24" i="32"/>
  <c r="J63" i="5"/>
  <c r="J14" i="32"/>
  <c r="O16" i="32"/>
  <c r="C6" i="32"/>
  <c r="C8" i="5"/>
  <c r="C5" i="5" s="1"/>
  <c r="C12" i="5" s="1"/>
  <c r="F63" i="5"/>
  <c r="F14" i="32"/>
  <c r="F6" i="32"/>
  <c r="F8" i="32" s="1"/>
  <c r="F5" i="32" s="1"/>
  <c r="F12" i="32" s="1"/>
  <c r="F8" i="5"/>
  <c r="F5" i="5" s="1"/>
  <c r="F12" i="5" s="1"/>
  <c r="O59" i="32"/>
  <c r="G6" i="32"/>
  <c r="G8" i="32" s="1"/>
  <c r="G5" i="32" s="1"/>
  <c r="G12" i="32" s="1"/>
  <c r="G8" i="5"/>
  <c r="G5" i="5" s="1"/>
  <c r="G12" i="5" s="1"/>
  <c r="O46" i="32"/>
  <c r="J6" i="32"/>
  <c r="J8" i="32" s="1"/>
  <c r="J5" i="32" s="1"/>
  <c r="J12" i="32" s="1"/>
  <c r="J8" i="5"/>
  <c r="J5" i="5" s="1"/>
  <c r="J12" i="5" s="1"/>
  <c r="O17" i="32"/>
  <c r="O10" i="32"/>
  <c r="N63" i="5"/>
  <c r="N14" i="32"/>
  <c r="O51" i="32"/>
  <c r="K63" i="5"/>
  <c r="K14" i="32"/>
  <c r="O40" i="32"/>
  <c r="O32" i="32"/>
  <c r="O37" i="32"/>
  <c r="O9" i="32"/>
  <c r="O22" i="32"/>
  <c r="O36" i="32"/>
  <c r="O50" i="32"/>
  <c r="O31" i="32"/>
  <c r="O41" i="32"/>
  <c r="O7" i="32"/>
  <c r="O45" i="32"/>
  <c r="O27" i="32"/>
  <c r="C63" i="5"/>
  <c r="C14" i="32"/>
  <c r="O42" i="32"/>
  <c r="D6" i="32"/>
  <c r="D8" i="32" s="1"/>
  <c r="D5" i="32" s="1"/>
  <c r="D12" i="32" s="1"/>
  <c r="D8" i="5"/>
  <c r="D5" i="5" s="1"/>
  <c r="D12" i="5" s="1"/>
  <c r="O39" i="32"/>
  <c r="I6" i="32"/>
  <c r="I8" i="32" s="1"/>
  <c r="I5" i="32" s="1"/>
  <c r="I12" i="32" s="1"/>
  <c r="I8" i="5"/>
  <c r="I5" i="5" s="1"/>
  <c r="I12" i="5" s="1"/>
  <c r="O34" i="32"/>
  <c r="O25" i="32"/>
  <c r="O21" i="32"/>
  <c r="O19" i="32"/>
  <c r="O35" i="32"/>
  <c r="I63" i="5"/>
  <c r="I14" i="32"/>
  <c r="E8" i="5"/>
  <c r="E5" i="5" s="1"/>
  <c r="E12" i="5" s="1"/>
  <c r="E6" i="32"/>
  <c r="E8" i="32" s="1"/>
  <c r="E5" i="32" s="1"/>
  <c r="E12" i="32" s="1"/>
  <c r="O30" i="32"/>
  <c r="O47" i="32"/>
  <c r="D63" i="5"/>
  <c r="D14" i="32"/>
  <c r="O43" i="32"/>
  <c r="N6" i="32"/>
  <c r="N8" i="32" s="1"/>
  <c r="N5" i="32" s="1"/>
  <c r="N12" i="32" s="1"/>
  <c r="N8" i="5"/>
  <c r="N5" i="5" s="1"/>
  <c r="N12" i="5" s="1"/>
  <c r="O33" i="32"/>
  <c r="L13" i="5" l="1"/>
  <c r="E13" i="5"/>
  <c r="G13" i="5"/>
  <c r="G66" i="5" s="1"/>
  <c r="G80" i="5" s="1"/>
  <c r="N13" i="5"/>
  <c r="J13" i="5"/>
  <c r="I13" i="5"/>
  <c r="I66" i="5" s="1"/>
  <c r="I80" i="5" s="1"/>
  <c r="K13" i="5"/>
  <c r="D13" i="5"/>
  <c r="D66" i="5" s="1"/>
  <c r="D80" i="5" s="1"/>
  <c r="F13" i="5"/>
  <c r="F66" i="5" s="1"/>
  <c r="F80" i="5" s="1"/>
  <c r="E81" i="32"/>
  <c r="G81" i="5"/>
  <c r="K81" i="32"/>
  <c r="M81" i="5"/>
  <c r="C63" i="32"/>
  <c r="C13" i="32" s="1"/>
  <c r="F3" i="10" a="1"/>
  <c r="F3" i="10" s="1"/>
  <c r="J81" i="32"/>
  <c r="M63" i="32"/>
  <c r="M13" i="32" s="1"/>
  <c r="M66" i="32" s="1"/>
  <c r="M80" i="32" s="1"/>
  <c r="P3" i="10" a="1"/>
  <c r="P3" i="10" s="1"/>
  <c r="O81" i="5"/>
  <c r="O66" i="5"/>
  <c r="O80" i="5" s="1"/>
  <c r="E63" i="32"/>
  <c r="E13" i="32" s="1"/>
  <c r="E66" i="32" s="1"/>
  <c r="E80" i="32" s="1"/>
  <c r="H3" i="10" a="1"/>
  <c r="H3" i="10" s="1"/>
  <c r="L81" i="5"/>
  <c r="L66" i="5"/>
  <c r="L80" i="5" s="1"/>
  <c r="L63" i="32"/>
  <c r="L13" i="32" s="1"/>
  <c r="L66" i="32" s="1"/>
  <c r="L80" i="32" s="1"/>
  <c r="O3" i="10" a="1"/>
  <c r="O3" i="10" s="1"/>
  <c r="L3" i="10" a="1"/>
  <c r="L3" i="10" s="1"/>
  <c r="I63" i="32"/>
  <c r="I13" i="32" s="1"/>
  <c r="I66" i="32" s="1"/>
  <c r="I80" i="32" s="1"/>
  <c r="O14" i="32"/>
  <c r="F81" i="32"/>
  <c r="N81" i="32"/>
  <c r="I81" i="5"/>
  <c r="D81" i="32"/>
  <c r="I81" i="32"/>
  <c r="F81" i="5"/>
  <c r="F63" i="32"/>
  <c r="F13" i="32" s="1"/>
  <c r="F66" i="32" s="1"/>
  <c r="F80" i="32" s="1"/>
  <c r="I3" i="10" a="1"/>
  <c r="I3" i="10" s="1"/>
  <c r="K66" i="5"/>
  <c r="K80" i="5" s="1"/>
  <c r="K81" i="5"/>
  <c r="L81" i="32"/>
  <c r="G63" i="32"/>
  <c r="G13" i="32" s="1"/>
  <c r="G66" i="32" s="1"/>
  <c r="G80" i="32" s="1"/>
  <c r="J3" i="10" a="1"/>
  <c r="J3" i="10" s="1"/>
  <c r="H63" i="32"/>
  <c r="H13" i="32" s="1"/>
  <c r="H66" i="32" s="1"/>
  <c r="H80" i="32" s="1"/>
  <c r="K3" i="10" a="1"/>
  <c r="K3" i="10" s="1"/>
  <c r="N66" i="5"/>
  <c r="N80" i="5" s="1"/>
  <c r="N81" i="5"/>
  <c r="C81" i="5"/>
  <c r="H81" i="32"/>
  <c r="D63" i="32"/>
  <c r="D13" i="32" s="1"/>
  <c r="D66" i="32" s="1"/>
  <c r="D80" i="32" s="1"/>
  <c r="G3" i="10" a="1"/>
  <c r="G3" i="10" s="1"/>
  <c r="E81" i="5"/>
  <c r="E66" i="5"/>
  <c r="E80" i="5" s="1"/>
  <c r="D81" i="5"/>
  <c r="C13" i="5"/>
  <c r="C66" i="5" s="1"/>
  <c r="C80" i="5" s="1"/>
  <c r="K63" i="32"/>
  <c r="K13" i="32" s="1"/>
  <c r="K66" i="32" s="1"/>
  <c r="K80" i="32" s="1"/>
  <c r="N3" i="10" a="1"/>
  <c r="N3" i="10" s="1"/>
  <c r="N63" i="32"/>
  <c r="N13" i="32" s="1"/>
  <c r="N66" i="32" s="1"/>
  <c r="N80" i="32" s="1"/>
  <c r="Q3" i="10" a="1"/>
  <c r="Q3" i="10" s="1"/>
  <c r="J81" i="5"/>
  <c r="J66" i="5"/>
  <c r="J80" i="5" s="1"/>
  <c r="G81" i="32"/>
  <c r="C8" i="32"/>
  <c r="C5" i="32" s="1"/>
  <c r="C12" i="32" s="1"/>
  <c r="O6" i="32"/>
  <c r="O8" i="32" s="1"/>
  <c r="O5" i="32" s="1"/>
  <c r="O12" i="32" s="1"/>
  <c r="J63" i="32"/>
  <c r="J13" i="32" s="1"/>
  <c r="J66" i="32" s="1"/>
  <c r="J80" i="32" s="1"/>
  <c r="M3" i="10" a="1"/>
  <c r="M3" i="10" s="1"/>
  <c r="M13" i="5"/>
  <c r="M66" i="5" s="1"/>
  <c r="M80" i="5" s="1"/>
  <c r="H81" i="5"/>
  <c r="M81" i="32"/>
  <c r="H13" i="5"/>
  <c r="H66" i="5" s="1"/>
  <c r="H80" i="5" s="1"/>
  <c r="O81" i="32" l="1"/>
  <c r="C81" i="32"/>
  <c r="C66" i="32"/>
  <c r="C80" i="32" s="1"/>
  <c r="O63" i="32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1EF3E736-C76F-4F42-B54D-C0D687A5BB30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3EF6D95B-2CEE-43B3-B369-FD19E0144FFB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<sst xmlns="http://schemas.openxmlformats.org/spreadsheetml/2006/main" count="1684" uniqueCount="746">
  <si>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</si>
  <si>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</si>
  <si>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</si>
  <si>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</si>
  <si>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</si>
  <si>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</si>
  <si>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</si>
  <si>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</si>
  <si>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</si>
  <si>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</si>
  <si>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</si>
  <si>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</si>
  <si>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</si>
  <si>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</si>
  <si>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</si>
  <si>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</si>
  <si>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</si>
  <si>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</si>
  <si>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</si>
  <si>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</si>
  <si>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</si>
  <si>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</si>
  <si>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</si>
  <si>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</si>
  <si>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</si>
  <si>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</si>
  <si>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</si>
  <si>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</si>
  <si>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</si>
  <si>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</si>
  <si>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</si>
  <si>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</si>
  <si>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</si>
  <si>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</si>
  <si>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</si>
  <si>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</si>
  <si>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</si>
  <si>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</si>
  <si>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</si>
  <si>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</si>
  <si>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</si>
  <si>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</si>
  <si>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</si>
  <si>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</si>
  <si>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</si>
  <si>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</si>
  <si>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</si>
  <si>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</si>
  <si>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</si>
  <si>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</si>
  <si>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</si>
  <si>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</si>
  <si>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</si>
  <si>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</si>
  <si>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</si>
  <si>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</si>
  <si>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</si>
  <si>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</si>
  <si>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</si>
  <si>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</si>
  <si>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</si>
  <si>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</si>
  <si>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</si>
  <si>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</si>
  <si>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</si>
  <si>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</si>
  <si>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</si>
  <si>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</si>
  <si>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</si>
  <si>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</si>
  <si>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</si>
  <si>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</si>
  <si>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</si>
  <si>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</si>
  <si>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</si>
  <si>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</si>
  <si>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</si>
  <si>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</si>
  <si>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</si>
  <si>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</si>
  <si>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</si>
  <si>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</si>
  <si>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</si>
  <si>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</si>
  <si>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</si>
  <si>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</si>
  <si>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</si>
  <si>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</si>
  <si>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</si>
  <si>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</si>
  <si>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</si>
  <si>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</si>
  <si>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</si>
  <si>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</si>
  <si>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</si>
  <si>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</si>
  <si>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</si>
  <si>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</si>
  <si>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</si>
  <si>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</si>
  <si>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</si>
  <si>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</si>
  <si>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</si>
  <si>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</si>
  <si>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</si>
  <si>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</si>
  <si>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</si>
  <si>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</si>
  <si>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</si>
  <si>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</si>
  <si>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</si>
  <si>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</si>
  <si>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</si>
  <si>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</si>
  <si>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</si>
  <si>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</si>
  <si>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</si>
  <si>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</si>
  <si>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</si>
  <si>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</si>
  <si>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</si>
  <si>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</si>
  <si>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</si>
  <si>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</si>
  <si>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</si>
  <si>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</si>
  <si>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</si>
  <si>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</si>
  <si>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</si>
  <si>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</si>
  <si>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</si>
  <si>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</si>
  <si>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</si>
  <si>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</si>
  <si>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</si>
  <si>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</si>
  <si>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</si>
  <si>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</si>
  <si>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</si>
  <si>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</si>
  <si>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</si>
  <si>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</si>
  <si>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</si>
  <si>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</si>
  <si>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</si>
  <si>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</si>
  <si>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</si>
  <si>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</si>
  <si>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</si>
  <si>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</si>
  <si>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</si>
  <si>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</si>
  <si>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</si>
  <si>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</si>
  <si>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</si>
  <si>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</si>
  <si>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</si>
  <si>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</si>
  <si>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</si>
  <si>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</si>
  <si>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</si>
  <si>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</si>
  <si>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</si>
  <si>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</si>
  <si>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</si>
  <si>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</si>
  <si>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</si>
  <si>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</si>
  <si>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</si>
  <si>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</si>
  <si>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</si>
  <si>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</si>
  <si>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</si>
  <si>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</si>
  <si>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</si>
  <si>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</si>
  <si>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</si>
  <si>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</si>
  <si>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</si>
  <si>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</si>
  <si>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</si>
  <si>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</si>
  <si>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</si>
  <si>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</si>
  <si>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</si>
  <si>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</si>
  <si>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</si>
  <si>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</si>
  <si>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</si>
  <si>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</si>
  <si>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</si>
  <si>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</si>
  <si>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</si>
  <si>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</si>
  <si>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</si>
  <si>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</si>
  <si>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</si>
  <si>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</si>
  <si>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</si>
  <si>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</si>
  <si>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</si>
  <si>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</si>
  <si>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</si>
  <si>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</si>
  <si>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</si>
  <si>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</si>
  <si>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</si>
  <si>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</si>
  <si>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</si>
  <si>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</si>
  <si>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</si>
  <si>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</si>
  <si>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</si>
  <si>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</si>
  <si>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</si>
  <si>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</si>
  <si>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</si>
  <si>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</si>
  <si>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</si>
  <si>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</si>
  <si>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</si>
  <si>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</si>
  <si>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</si>
  <si>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</si>
  <si>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</si>
  <si>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</si>
  <si>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</si>
  <si>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</si>
  <si>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</si>
  <si>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</si>
  <si>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</si>
  <si>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</si>
  <si>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</si>
  <si>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</si>
  <si>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</si>
  <si>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</si>
  <si>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</si>
  <si>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</si>
  <si>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</si>
  <si>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</si>
  <si>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</si>
  <si>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</si>
  <si>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</si>
  <si>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</si>
  <si>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</si>
  <si>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</si>
  <si>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</si>
  <si>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</si>
  <si>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</si>
  <si>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</si>
  <si>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</si>
  <si>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</si>
  <si>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</si>
  <si>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</si>
  <si>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</si>
  <si>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</si>
  <si>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</si>
  <si>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</si>
  <si>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</si>
  <si>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</si>
  <si>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</si>
  <si>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</si>
  <si>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</si>
  <si>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</si>
  <si>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</si>
  <si>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</si>
  <si>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</si>
  <si>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</si>
  <si>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</si>
  <si>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</si>
  <si>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</si>
  <si>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</si>
  <si>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</si>
  <si>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</si>
  <si>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</si>
  <si>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</si>
  <si>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</si>
  <si>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</si>
  <si>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</si>
  <si>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</si>
  <si>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</si>
  <si>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</si>
  <si>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</si>
  <si>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</si>
  <si>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</si>
  <si>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</si>
  <si>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</si>
  <si>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</si>
  <si>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</si>
  <si>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</si>
  <si>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</si>
  <si>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</si>
  <si>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</si>
  <si>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</si>
  <si>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</si>
  <si>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</si>
  <si>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</si>
  <si>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</si>
  <si>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</si>
  <si>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</si>
  <si>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</si>
  <si>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</si>
  <si>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</si>
  <si>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</si>
  <si>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</si>
  <si>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</si>
  <si>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</si>
  <si>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</si>
  <si>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</si>
  <si>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</si>
  <si>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</si>
  <si>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</si>
  <si>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</si>
  <si>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</si>
  <si>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</si>
  <si>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</si>
  <si>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</si>
  <si>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</si>
  <si>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</si>
  <si>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</si>
  <si>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</si>
  <si>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</si>
  <si>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</si>
  <si>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</si>
  <si>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</si>
  <si>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</si>
  <si>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</si>
  <si>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</si>
  <si>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</si>
  <si>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</si>
  <si>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</si>
  <si>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</si>
  <si>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</si>
  <si>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</si>
  <si>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</si>
  <si>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</si>
  <si>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</si>
  <si>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</si>
  <si>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</si>
  <si>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</si>
  <si>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</si>
  <si>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</si>
  <si>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</si>
  <si>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</si>
  <si>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</si>
  <si>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</si>
  <si>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</si>
  <si>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</si>
  <si>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</si>
  <si>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</si>
  <si>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</si>
  <si>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</si>
  <si>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</si>
  <si>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</si>
  <si>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</si>
  <si>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</si>
  <si>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</si>
  <si>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</si>
  <si>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</si>
  <si>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</si>
  <si>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</si>
  <si>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</si>
  <si>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</si>
  <si>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</si>
  <si>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</si>
  <si>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</si>
  <si>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</si>
  <si>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</si>
  <si>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</si>
  <si>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</si>
  <si>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</si>
  <si>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</si>
  <si>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</si>
  <si>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</si>
  <si>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</si>
  <si>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</si>
  <si>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</si>
  <si>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</si>
  <si>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</si>
  <si>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</si>
  <si>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</si>
  <si>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</si>
  <si>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</si>
  <si>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</si>
  <si>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</si>
  <si>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</si>
  <si>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</si>
  <si>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</si>
  <si>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</si>
  <si>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</si>
  <si>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</si>
  <si>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</si>
  <si>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</si>
  <si>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</si>
  <si>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</si>
  <si>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</si>
  <si>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</si>
  <si>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</si>
  <si>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</si>
  <si>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</si>
  <si>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</si>
  <si>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</si>
  <si>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</si>
  <si>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</si>
  <si>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</si>
  <si>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</si>
  <si>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</si>
  <si>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</si>
  <si>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</si>
  <si>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</si>
  <si>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</si>
  <si>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</si>
  <si>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</si>
  <si>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</si>
  <si>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</si>
  <si>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</si>
  <si>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</si>
  <si>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</si>
  <si>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</si>
  <si>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</si>
  <si>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</si>
  <si>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</si>
  <si>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</si>
  <si>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</si>
  <si>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</si>
  <si>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</si>
  <si>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</si>
  <si>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</si>
  <si>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</si>
  <si>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</si>
  <si>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</si>
  <si>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</si>
  <si>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</si>
  <si>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</si>
  <si>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</si>
  <si>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</si>
  <si>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</si>
  <si>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</si>
  <si>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</si>
  <si>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</si>
  <si>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</si>
  <si>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</si>
  <si>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</si>
  <si>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</si>
  <si>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</si>
  <si>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</si>
  <si>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</si>
  <si>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</si>
  <si>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</si>
  <si>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</si>
  <si>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</si>
  <si>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</si>
  <si>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</si>
  <si>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</si>
  <si>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</si>
  <si>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</si>
  <si>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</si>
  <si>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</si>
  <si>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</si>
  <si>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</si>
  <si>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</si>
  <si>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</si>
  <si>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</si>
  <si>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</si>
  <si>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</si>
  <si>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</si>
  <si>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</si>
  <si>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</si>
  <si>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</si>
  <si>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</si>
  <si>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</si>
  <si>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</si>
  <si>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</si>
  <si>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</si>
  <si>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</si>
  <si>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</si>
  <si>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</si>
  <si>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</si>
  <si>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</si>
  <si>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</si>
  <si>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</si>
  <si>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</si>
  <si>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</si>
  <si>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</si>
  <si>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</si>
  <si>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</si>
  <si>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</si>
  <si>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</si>
  <si>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</si>
  <si>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</si>
  <si>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</si>
  <si>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</si>
  <si>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</si>
  <si>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</si>
  <si>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</si>
  <si>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</si>
  <si>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</si>
  <si>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</si>
  <si>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</si>
  <si>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</si>
  <si>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</si>
  <si>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</si>
  <si>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</si>
  <si>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</si>
  <si>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</si>
  <si>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</si>
  <si>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</si>
  <si>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</si>
  <si>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</si>
  <si>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</si>
  <si>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</si>
  <si>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</si>
  <si>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</si>
  <si>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</si>
  <si>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</si>
  <si>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</si>
  <si>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</si>
  <si>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</si>
  <si>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</si>
  <si>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</si>
  <si>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</si>
  <si>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</si>
  <si>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</si>
  <si>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</si>
  <si>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</si>
  <si>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</si>
  <si>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</si>
  <si>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</si>
  <si>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</si>
  <si>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</si>
  <si>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</si>
  <si>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</si>
  <si>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</si>
  <si>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</si>
  <si>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</si>
  <si>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</si>
  <si>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</si>
  <si>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</si>
  <si>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</si>
  <si>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</si>
  <si>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</si>
  <si>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</si>
  <si>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</si>
  <si>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</si>
  <si>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</si>
  <si>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</si>
  <si>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</si>
  <si>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</si>
  <si>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</si>
  <si>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</si>
  <si>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</si>
  <si>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</si>
  <si>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</si>
  <si>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</si>
  <si>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</si>
  <si>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</si>
  <si>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</si>
  <si>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</si>
  <si>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</si>
  <si>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</si>
  <si>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</si>
  <si>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</si>
  <si>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</si>
  <si>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</si>
  <si>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</si>
  <si>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</si>
  <si>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</si>
  <si>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</si>
  <si>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</si>
  <si>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</si>
  <si>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</si>
  <si>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</si>
  <si>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</si>
  <si>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</si>
  <si>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</si>
  <si>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</si>
  <si>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</si>
  <si>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</si>
  <si>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</si>
  <si>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</si>
  <si>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</si>
  <si>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</si>
  <si>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</si>
  <si>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</si>
  <si>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</si>
  <si>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</si>
  <si>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</si>
  <si>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</si>
  <si>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</si>
  <si>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</si>
  <si>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</si>
  <si>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</si>
  <si>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</si>
  <si>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</si>
  <si>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</si>
  <si>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</si>
  <si>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</si>
  <si>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</si>
  <si>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</si>
  <si>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</si>
  <si>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</si>
  <si>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</si>
  <si>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</si>
  <si>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</si>
  <si>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</si>
  <si>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</si>
  <si>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</si>
  <si>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</si>
  <si>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</si>
  <si>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</si>
  <si>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</si>
  <si>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</si>
  <si>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</si>
  <si>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</si>
  <si>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</si>
  <si>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</si>
  <si>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</si>
  <si>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</si>
  <si>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</si>
  <si>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</si>
  <si>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</si>
  <si>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</si>
  <si>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</si>
  <si>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</si>
  <si>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</si>
  <si>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</si>
  <si>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</si>
  <si>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</si>
  <si>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</si>
  <si>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</si>
  <si>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</si>
  <si>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</si>
  <si>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</si>
  <si>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</si>
  <si>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</si>
  <si>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</si>
  <si>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</si>
  <si>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</si>
  <si>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</si>
  <si>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</si>
  <si>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</si>
  <si>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</si>
  <si>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</si>
  <si>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</si>
  <si>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</si>
  <si>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</si>
  <si>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</si>
  <si>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</si>
  <si>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</si>
  <si>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</si>
  <si>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</si>
  <si>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</si>
  <si>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</si>
  <si>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</si>
  <si>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</si>
  <si>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</si>
  <si>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</si>
  <si>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</si>
  <si>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</si>
  <si>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</si>
  <si>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</si>
  <si>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</si>
  <si>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</si>
  <si>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</si>
  <si>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</si>
  <si>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</si>
  <si>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</si>
  <si>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</si>
  <si>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</si>
  <si>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</si>
  <si>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</si>
  <si>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</si>
  <si>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</si>
  <si>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</si>
  <si>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</si>
  <si>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</si>
  <si>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</si>
  <si>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</si>
  <si>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</si>
  <si>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</si>
  <si>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</si>
  <si>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</si>
  <si>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</si>
  <si>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</si>
  <si>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</si>
  <si>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</si>
  <si>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</si>
  <si>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</si>
  <si>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</si>
  <si>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</si>
  <si>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</si>
  <si>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</si>
  <si>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</si>
  <si>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システム使用料 SAP/R3, Mail( IT)</t>
  </si>
  <si>
    <t>EDI 本社振替 EDI Gate( QLVT)</t>
  </si>
  <si>
    <t>建屋償却費 Building</t>
  </si>
  <si>
    <t>土地使用権償却費 Land</t>
  </si>
  <si>
    <t>固定資産金利（Interest） /建物 Building Interest</t>
  </si>
  <si>
    <t>固定資産金利（Interest） /土地 Land Interest</t>
  </si>
  <si>
    <t>電気代（製）Tiền điện</t>
  </si>
  <si>
    <t>水道代 Tiền nước</t>
  </si>
  <si>
    <t>食堂燃料費（製）Gas</t>
  </si>
  <si>
    <t>手先い費 Nước rửa tay</t>
  </si>
  <si>
    <t>アルコール消毒 Cồn khử trùng</t>
  </si>
  <si>
    <t>トイレットペーパ Giấy vệ sinh</t>
  </si>
  <si>
    <t>清掃費用 Chi phí làm sạch</t>
  </si>
  <si>
    <t xml:space="preserve">出向社員通勤送迎費用 Xe đưa đón người Nhật </t>
  </si>
  <si>
    <t xml:space="preserve">ローカル社員送迎費 Xe đưa đón người Việt </t>
  </si>
  <si>
    <t>電話代 Tiền điện thoại</t>
  </si>
  <si>
    <t>Tiền cơm trưa 24700/suất 食事費 前月16～当月15日 (2022年07月01日 =&gt; 24,700VND値あがり食べとなります);</t>
  </si>
  <si>
    <t>マスク Khẩu trang 前月16日から当月15日までの出勤日( dự tính t5 tính từ ngày 16/04 đến 15/5)対象：bus使用者だけ（chỉ tính ng sử dụng xe bus)</t>
  </si>
  <si>
    <t>郵送代（製） (chi phí chuyển phát nhanh nước ngoài</t>
  </si>
  <si>
    <t xml:space="preserve"> (chi phí chuyển phát nhanh trong nước)</t>
  </si>
  <si>
    <t>文房具: Văn phòng phẩm( dấu chức danh Mr Thành)</t>
  </si>
  <si>
    <t>FY2024総務課より滞在カードや労働許可書を申請する
thẻ tạm trú, giấy phép lao động cho người nước ngoài FY2024</t>
  </si>
  <si>
    <t>Pocket 2023: 1000</t>
  </si>
  <si>
    <t>新入社員  社員証（新入社員用・再発行時、写真含む. Thẻ từ chấm công + Ảnh/66500</t>
  </si>
  <si>
    <t>新入社員  社員証用ケース Vỏ thẻ + móc thẻ/3400</t>
  </si>
  <si>
    <t>新入社員  ペン Bút /2200</t>
  </si>
  <si>
    <t>新入社員  ノート Số /9100</t>
  </si>
  <si>
    <t>新入社員　机と椅子 bàn ghế</t>
  </si>
  <si>
    <t>新入社員採用時健診 Khám sức khỏe người mới  phân bổ vào tháng tiếp theo 175000 đ/người</t>
  </si>
  <si>
    <t>新入社員  制服ズボン Quần  VND 2*118.600 vnđ</t>
  </si>
  <si>
    <t>新入社員  帽子（白） Mũ trắng 34.496 VND</t>
  </si>
  <si>
    <t>新入社員  シューズ（ 女性: VND） Giày vải Nữ: 82.000 VNĐ Nam 87000 VNĐ từ 1/1/2023</t>
  </si>
  <si>
    <t>社員旅行 / Tourist company T5: 1.890.000 vnđ/người</t>
  </si>
  <si>
    <t>京セラフェスティバルLễ hội Kyocera T9: 126.000 VNĐ</t>
  </si>
  <si>
    <t>月餅 Bánh Trung Thu T10: 56.000 VNĐ</t>
  </si>
  <si>
    <t>10年勤続記念コンパTiệc kỷ niệm 10 năm gắn bó; 549000VND ( Tưởng, MA, HY, Quý)</t>
  </si>
  <si>
    <t>10年勤続記念品Quà kỷ niệm cho CNV 10 năm gắn bó 382000VND</t>
  </si>
  <si>
    <t>運動会 Đại hội thể thao T11: 107.000 VNĐ</t>
  </si>
  <si>
    <t>健康診断（ローカル）/ Khám sức khỏe T12:( Nam 189.000 vnđ nữ 204.000 vnđ)</t>
  </si>
  <si>
    <t>ポケットカレンダー Lịch bỏ túi T11: 800 VNĐ</t>
  </si>
  <si>
    <t>Tiệc khuấy động năm tài chính
FY2024決起コンパ（対象：全部門） T5 200.000 vnđ/người</t>
  </si>
  <si>
    <t>忘年会 Tiệc tất niên 300,000/人　T2</t>
  </si>
  <si>
    <t xml:space="preserve">Tiền sinh nhật 誕生日会　163,000 vnd/人: </t>
  </si>
  <si>
    <t xml:space="preserve">残業taxi ( tiền taxi tăng ca)( theo mail hành chính) </t>
  </si>
  <si>
    <t>tiền taxi( chuyến 29+ 30+31 đibằng xe công ty dự tính 1.050.000 vnđ)Đối ứng model mới Spica + Leo tháng 7,8,12,01</t>
  </si>
  <si>
    <t>新入社員  制服（夏） Đồng phục ngắn tay (Hè) 2* 165000</t>
  </si>
  <si>
    <t>新入社員  制服（冬） Đồng phục dài tay (Đông) , 175000VND *2</t>
  </si>
  <si>
    <t>新入社員　PC : Desktop + Office/ Mua 6 laptop do không hỗ trợ Win</t>
  </si>
  <si>
    <t>お年玉 Tiền lì xì 100,000/人 T2- ng nhật</t>
  </si>
  <si>
    <t>Tiền mừng Linh sinh con</t>
  </si>
  <si>
    <t>In namecard ( Tomita, MN. BN, Thành)</t>
  </si>
  <si>
    <t>新入社員  フィロソフィ手帳 Sổ tay philosophy/13600/</t>
  </si>
  <si>
    <t>フィロソフィ論文参加賞/ Giải luận văn Philo T7: 100000/người- Thúy Hằng, Tomita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</si>
</sst>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3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5" fillId="34" borderId="39" xfId="0" applyNumberFormat="1" applyFont="1" applyFill="1" applyBorder="1" applyAlignment="1" applyProtection="1">
      <alignment wrapText="1"/>
      <protection locked="0"/>
    </xf>
    <xf numFmtId="40" fontId="86" fillId="33" borderId="0" xfId="0" applyNumberFormat="1" applyFont="1" applyFill="1"/>
    <xf numFmtId="1" fontId="86" fillId="0" borderId="34" xfId="0" applyNumberFormat="1" applyFont="1" applyFill="1" applyBorder="1" applyAlignment="1" applyProtection="1">
      <alignment horizontal="center"/>
      <protection locked="0"/>
    </xf>
    <xf numFmtId="40" fontId="86" fillId="0" borderId="19" xfId="0" applyNumberFormat="1" applyFont="1" applyFill="1" applyBorder="1"/>
    <xf numFmtId="40" fontId="86" fillId="0" borderId="38" xfId="0" applyNumberFormat="1" applyFont="1" applyFill="1" applyBorder="1"/>
    <xf numFmtId="40" fontId="86" fillId="33" borderId="41" xfId="0" applyNumberFormat="1" applyFont="1" applyFill="1" applyBorder="1" applyAlignment="1">
      <alignment horizontal="center"/>
    </xf>
    <xf numFmtId="40" fontId="86" fillId="34" borderId="39" xfId="68" applyNumberFormat="1" applyFont="1" applyFill="1" applyBorder="1" applyAlignment="1" applyProtection="1">
      <alignment horizontal="right" vertical="center"/>
      <protection locked="0"/>
    </xf>
    <xf numFmtId="40" fontId="86" fillId="34" borderId="39" xfId="66" applyFont="1" applyFill="1" applyBorder="1" applyAlignment="1" applyProtection="1">
      <alignment horizontal="right" vertical="center"/>
      <protection locked="0"/>
    </xf>
    <xf numFmtId="40" fontId="86" fillId="34" borderId="39" xfId="67" applyNumberFormat="1" applyFont="1" applyFill="1" applyBorder="1" applyProtection="1">
      <protection locked="0"/>
    </xf>
    <xf numFmtId="40" fontId="86" fillId="34" borderId="39" xfId="0" applyNumberFormat="1" applyFont="1" applyFill="1" applyBorder="1" applyProtection="1">
      <protection locked="0"/>
    </xf>
    <xf numFmtId="40" fontId="86" fillId="0" borderId="39" xfId="0" applyNumberFormat="1" applyFont="1" applyFill="1" applyBorder="1" applyProtection="1">
      <protection locked="0"/>
    </xf>
    <xf numFmtId="40" fontId="86" fillId="0" borderId="0" xfId="0" applyNumberFormat="1" applyFont="1"/>
    <xf numFmtId="0" fontId="87" fillId="0" borderId="0" xfId="0" applyFont="1"/>
  </cellXfs>
  <cellStyles count="175">
    <cellStyle name="_FY2014 MP作成依頼（KDTCN).1207(3)" xfId="1" xr:uid="{905EBC15-BA61-495C-813D-462CAA058A55}"/>
    <cellStyle name="20% - Accent1" xfId="2" xr:uid="{0D217542-1D06-4667-BE46-F62C0BFA8E4D}"/>
    <cellStyle name="20% - Accent2" xfId="3" xr:uid="{E97178F4-F045-4B2A-A109-BD112E8193E7}"/>
    <cellStyle name="20% - Accent3" xfId="4" xr:uid="{709C5CF8-9BD1-49C9-A88A-3D5C9F45CB56}"/>
    <cellStyle name="20% - Accent4" xfId="5" xr:uid="{12766B2F-EFA6-43F1-9661-CC45BCD60893}"/>
    <cellStyle name="20% - Accent5" xfId="6" xr:uid="{CE3AB2F1-1E0F-4EA0-803E-B6629C516FCD}"/>
    <cellStyle name="20% - Accent6" xfId="7" xr:uid="{B44A74CC-FAE3-4FBD-8004-6D8CCCBEC819}"/>
    <cellStyle name="20% - アクセント 1" xfId="8" xr:uid="{D35C397A-C206-40C9-98D8-CF5223DE928F}"/>
    <cellStyle name="20% - アクセント 1 2" xfId="9" xr:uid="{DCA65A8F-A9C0-4547-89BC-D03F0D35206A}"/>
    <cellStyle name="20% - アクセント 2" xfId="10" xr:uid="{2A1B2277-F77E-4C96-9118-7CEDD4BF3304}"/>
    <cellStyle name="20% - アクセント 2 2" xfId="11" xr:uid="{67915375-9342-4E88-8214-26B0A6598D7D}"/>
    <cellStyle name="20% - アクセント 3" xfId="12" xr:uid="{559DB391-41EC-4391-AF4B-81C77F797D67}"/>
    <cellStyle name="20% - アクセント 3 2" xfId="13" xr:uid="{0ED189BE-F12E-44D1-8308-8A9596ACA960}"/>
    <cellStyle name="20% - アクセント 4" xfId="14" xr:uid="{469127BB-7844-4B84-B15E-44F75BA2B95C}"/>
    <cellStyle name="20% - アクセント 4 2" xfId="15" xr:uid="{941AFF68-26A1-4898-A76B-FD66BEB4B2D0}"/>
    <cellStyle name="20% - アクセント 5" xfId="16" xr:uid="{CE83F05B-BFC1-43E5-8886-C212C18B7701}"/>
    <cellStyle name="20% - アクセント 5 2" xfId="17" xr:uid="{02F07815-582E-43AB-A2F3-57DFA9827D19}"/>
    <cellStyle name="20% - アクセント 6" xfId="18" xr:uid="{E7E66045-7D10-492B-855F-61413400C1E9}"/>
    <cellStyle name="20% - アクセント 6 2" xfId="19" xr:uid="{590252D0-3548-4AE6-8C4F-4E168A634048}"/>
    <cellStyle name="3232" xfId="20" xr:uid="{D0E7DA7F-1AD1-4CAA-B17C-2B129088157E}"/>
    <cellStyle name="40% - Accent1" xfId="21" xr:uid="{179FBBB2-BC97-40AD-B58E-F64249652240}"/>
    <cellStyle name="40% - Accent2" xfId="22" xr:uid="{874C7755-3CA7-4D49-B003-503261A2DBF6}"/>
    <cellStyle name="40% - Accent3" xfId="23" xr:uid="{F14C7A1B-E226-4362-8FEE-E6AAB8C290FE}"/>
    <cellStyle name="40% - Accent4" xfId="24" xr:uid="{882DFCE6-B16F-4CDB-9FC3-C0AB4B7DB52B}"/>
    <cellStyle name="40% - Accent5" xfId="25" xr:uid="{C4134286-16DD-435F-A4D8-C7792027FB45}"/>
    <cellStyle name="40% - Accent6" xfId="26" xr:uid="{B105E68B-B8F5-4FE0-A704-E6BE0839516E}"/>
    <cellStyle name="40% - アクセント 1" xfId="27" xr:uid="{F0353941-1559-4212-A6D1-B420001832FB}"/>
    <cellStyle name="40% - アクセント 1 2" xfId="28" xr:uid="{FF37D3F6-53CD-4A08-928C-E79BAB0E7351}"/>
    <cellStyle name="40% - アクセント 2" xfId="29" xr:uid="{0116E5FE-5F11-427D-A26F-D7BFDBF31A1D}"/>
    <cellStyle name="40% - アクセント 2 2" xfId="30" xr:uid="{2C6F6403-FB3F-413C-92DD-04DC2794EB3C}"/>
    <cellStyle name="40% - アクセント 3" xfId="31" xr:uid="{C277FCDE-CFCB-4057-9C67-492BA9C21C8B}"/>
    <cellStyle name="40% - アクセント 3 2" xfId="32" xr:uid="{253ECFF4-B0C1-443A-AA3C-A533DC5CAD0E}"/>
    <cellStyle name="40% - アクセント 4" xfId="33" xr:uid="{F63BCB0E-F30A-481D-BEBE-8F08C6FDBF58}"/>
    <cellStyle name="40% - アクセント 4 2" xfId="34" xr:uid="{1CD18A9D-115D-41C9-A3B6-AF4749E4B88E}"/>
    <cellStyle name="40% - アクセント 5" xfId="35" xr:uid="{0E410E89-34B1-4465-9F12-AA37105AE961}"/>
    <cellStyle name="40% - アクセント 5 2" xfId="36" xr:uid="{4AB6BED8-56DF-4100-9069-5369F93FAEE0}"/>
    <cellStyle name="40% - アクセント 6" xfId="37" xr:uid="{8784DED5-98D1-4471-94D0-7793C23487DD}"/>
    <cellStyle name="40% - アクセント 6 2" xfId="38" xr:uid="{21F1E577-7399-42B9-853E-5569F35B9EA9}"/>
    <cellStyle name="60% - Accent1" xfId="39" xr:uid="{71AC4CEC-E267-46F2-AE5E-8112C8F39BC8}"/>
    <cellStyle name="60% - Accent2" xfId="40" xr:uid="{91499A3C-7EBE-46EB-A7B8-D3B18A84AB9E}"/>
    <cellStyle name="60% - Accent3" xfId="41" xr:uid="{377D3981-4197-461F-A8E5-CEA86AF6C34B}"/>
    <cellStyle name="60% - Accent4" xfId="42" xr:uid="{CE41199F-A6E9-47FA-ACC2-142FA10EA8F9}"/>
    <cellStyle name="60% - Accent5" xfId="43" xr:uid="{CDFF9A94-4B72-4E56-B12C-1FB14507D33F}"/>
    <cellStyle name="60% - Accent6" xfId="44" xr:uid="{227A3CB5-1C3B-4E83-BE5B-D0B90F48A9F9}"/>
    <cellStyle name="60% - アクセント 1" xfId="45" xr:uid="{05509B1F-6276-4D95-A1DB-CDC30C87DDC2}"/>
    <cellStyle name="60% - アクセント 1 2" xfId="46" xr:uid="{A2339A41-8C41-4101-AEEF-C8E5E935257C}"/>
    <cellStyle name="60% - アクセント 2" xfId="47" xr:uid="{DAB75F72-EDB9-4C5A-A87D-CD63397B3882}"/>
    <cellStyle name="60% - アクセント 2 2" xfId="48" xr:uid="{6C081B48-6E93-4C7F-BA5B-0379BE6D9AB0}"/>
    <cellStyle name="60% - アクセント 3" xfId="49" xr:uid="{CC9CFB27-EB7B-414F-99BF-FF3A26E3E7A8}"/>
    <cellStyle name="60% - アクセント 3 2" xfId="50" xr:uid="{5C7CFE30-6860-4B31-9BBC-ADFD337A0359}"/>
    <cellStyle name="60% - アクセント 4" xfId="51" xr:uid="{109B8A8E-62AC-4610-843E-175E7E31D5B1}"/>
    <cellStyle name="60% - アクセント 4 2" xfId="52" xr:uid="{7873BC24-B090-43DF-BA57-3D01DA3540B6}"/>
    <cellStyle name="60% - アクセント 5" xfId="53" xr:uid="{8D068D06-0AE8-44DC-94CE-D0683591CF6A}"/>
    <cellStyle name="60% - アクセント 5 2" xfId="54" xr:uid="{F37B417E-57BD-4DCF-A329-D17FB41896EB}"/>
    <cellStyle name="60% - アクセント 6" xfId="55" xr:uid="{DEEE360E-7221-4BE0-AC27-A16A1E521FB0}"/>
    <cellStyle name="60% - アクセント 6 2" xfId="56" xr:uid="{C56CEB68-4556-4A8E-A19B-153742096357}"/>
    <cellStyle name="Accent1" xfId="57" xr:uid="{0D8D06C4-2C7E-4672-8680-16252FAF174A}"/>
    <cellStyle name="Accent2" xfId="58" xr:uid="{DA4C6A6E-C778-4A8D-A39B-2D2326CE94CE}"/>
    <cellStyle name="Accent3" xfId="59" xr:uid="{6F757903-A286-4D24-8990-B4983316EA9F}"/>
    <cellStyle name="Accent4" xfId="60" xr:uid="{A2F05A2B-5A79-4AAA-B02D-BF270A23A3E2}"/>
    <cellStyle name="Accent5" xfId="61" xr:uid="{2C3A7691-5C3F-4D07-8EC1-5BF9DAA624F1}"/>
    <cellStyle name="Accent6" xfId="62" xr:uid="{63E18D80-A5A6-46DA-B8B7-AE059D10BC0D}"/>
    <cellStyle name="Bad" xfId="63" xr:uid="{8B410182-60D1-4219-86D0-7D9D9B4DC756}"/>
    <cellStyle name="Calculation" xfId="64" xr:uid="{AA493321-A9B7-4AFE-BC88-3D7F0A6849DF}"/>
    <cellStyle name="Check Cell" xfId="65" xr:uid="{A29D0FB2-42FE-4B68-8C9B-50539D648FF6}"/>
    <cellStyle name="Comma" xfId="66" builtinId="3"/>
    <cellStyle name="Comma [0]" xfId="67" builtinId="6"/>
    <cellStyle name="Comma [0] 2" xfId="68" xr:uid="{D0093530-0DF3-4579-94B7-FDAB93032674}"/>
    <cellStyle name="Comma [0] 2 2" xfId="69" xr:uid="{F6BE6AC4-FD76-4C2B-8891-5302F470835F}"/>
    <cellStyle name="Comma [0] 3" xfId="70" xr:uid="{F1531127-22D2-4B4F-B913-CBF002FE04FF}"/>
    <cellStyle name="Comma [0] 4" xfId="71" xr:uid="{348BFE71-D357-4439-A088-AFDC9C189F09}"/>
    <cellStyle name="Comma 2" xfId="72" xr:uid="{10E7D57C-9E36-47C4-AF62-A8C32351E806}"/>
    <cellStyle name="Comma 2 3" xfId="73" xr:uid="{5178F76D-B6DF-427E-8851-F3596C91F5F1}"/>
    <cellStyle name="Comma 3" xfId="74" xr:uid="{782D2BE1-736D-4BDE-9D83-02CFD0D5DA18}"/>
    <cellStyle name="Comma 3 2 2" xfId="75" xr:uid="{39A87E7E-0D19-4681-B210-7EC65B431B97}"/>
    <cellStyle name="Comma 4" xfId="76" xr:uid="{25667970-E5A1-4A4F-B6D6-2F22108BEAD4}"/>
    <cellStyle name="Comma 5" xfId="77" xr:uid="{8EC2F058-9E6D-4663-8E3F-ECEB6467E290}"/>
    <cellStyle name="Comma 6" xfId="78" xr:uid="{7303FFCF-AF5F-4024-8E78-2A78E9AFD7BC}"/>
    <cellStyle name="Currency [0] 2" xfId="79" xr:uid="{6F5F477F-3D29-47E5-9A74-3B8C66513AA5}"/>
    <cellStyle name="Explanatory Text" xfId="80" xr:uid="{19833C16-08F2-4BA8-98D9-C15B9DD0DDD4}"/>
    <cellStyle name="Good" xfId="81" xr:uid="{1F00E654-FFC6-4E75-970F-603A052C3D31}"/>
    <cellStyle name="Heading 1" xfId="82" xr:uid="{D12B41EC-92DD-4B29-BBEC-4A82FEACCB3E}"/>
    <cellStyle name="Heading 2" xfId="83" xr:uid="{531593D2-8723-4D58-A219-2F936504CC69}"/>
    <cellStyle name="Heading 3" xfId="84" xr:uid="{D48BABF4-FE3C-48D7-B2A0-099515A576C2}"/>
    <cellStyle name="Heading 4" xfId="85" xr:uid="{474F2872-28FA-42DF-8306-B8E9E82DAEE4}"/>
    <cellStyle name="Input" xfId="86" xr:uid="{B15ED965-19EC-4E21-B6F8-CC67D7A59C0A}"/>
    <cellStyle name="Linked Cell" xfId="87" xr:uid="{0B69AE84-F3DF-4EEB-AA53-AC5B14CD99B5}"/>
    <cellStyle name="Neutral" xfId="88" xr:uid="{2E7D47AA-1C29-422F-BEC1-CC1983007637}"/>
    <cellStyle name="Normal" xfId="0" builtinId="0"/>
    <cellStyle name="Normal 2" xfId="89" xr:uid="{1B306A26-C315-486F-B8C5-A874D3824C63}"/>
    <cellStyle name="Normal 2 2" xfId="90" xr:uid="{CE686D2D-B264-431E-BBA8-6561393211A2}"/>
    <cellStyle name="Normal 3" xfId="91" xr:uid="{54D5A7C6-7AAF-4767-804C-23D25E411051}"/>
    <cellStyle name="Normal 4" xfId="92" xr:uid="{2327144C-58A7-454D-9472-7549E47261E3}"/>
    <cellStyle name="Normal 5" xfId="93" xr:uid="{3FE8F391-BA73-463C-A005-43FCBA9AA605}"/>
    <cellStyle name="Note" xfId="94" xr:uid="{8E252E84-B63D-47F6-B9CE-9E98B3B44525}"/>
    <cellStyle name="Output" xfId="95" xr:uid="{8DF83AA4-B08F-49ED-8456-660CFB99D500}"/>
    <cellStyle name="Percent 2" xfId="96" xr:uid="{BE6C4F79-9905-42FC-96AD-6B6A9A025A21}"/>
    <cellStyle name="Percent 3" xfId="97" xr:uid="{AA2EA847-6DED-45BF-8FE1-15532F82059C}"/>
    <cellStyle name="Title" xfId="98" xr:uid="{A5985C72-7AA9-4BEC-B546-966F34112080}"/>
    <cellStyle name="Total" xfId="99" xr:uid="{65F40675-398F-458E-9C23-B34338A7ACE9}"/>
    <cellStyle name="Warning Text" xfId="100" xr:uid="{FBDD3F88-C45F-445A-A780-70E3A89CCA9E}"/>
    <cellStyle name="アクセント 1" xfId="101" xr:uid="{8BFCD4A1-37D7-4252-87C9-9067643E7832}"/>
    <cellStyle name="アクセント 1 2" xfId="102" xr:uid="{EFFBBB6D-5E10-4CD6-A9B9-A30D8C5ED369}"/>
    <cellStyle name="アクセント 2" xfId="103" xr:uid="{F11D900E-299C-4744-AFF9-E5EDE1ED8CB3}"/>
    <cellStyle name="アクセント 2 2" xfId="104" xr:uid="{6524F2E1-7907-4626-BFF3-988815A3258F}"/>
    <cellStyle name="アクセント 3" xfId="105" xr:uid="{944A9C86-7048-4E31-9747-6E42637A7D37}"/>
    <cellStyle name="アクセント 3 2" xfId="106" xr:uid="{16B5007B-682F-4D3A-AC4F-294F04211C94}"/>
    <cellStyle name="アクセント 4" xfId="107" xr:uid="{6877C302-E8A9-49E4-B3D2-E0D80C7CE738}"/>
    <cellStyle name="アクセント 4 2" xfId="108" xr:uid="{A6EF14C0-A70B-46EA-A975-EA76899968FE}"/>
    <cellStyle name="アクセント 5" xfId="109" xr:uid="{9C51F987-CF27-49E5-B967-C0E27130588E}"/>
    <cellStyle name="アクセント 5 2" xfId="110" xr:uid="{15B3146A-E73F-4BC5-A1DC-D1A94C579F7F}"/>
    <cellStyle name="アクセント 6" xfId="111" xr:uid="{85950A70-A335-43E6-9F8C-A52FE5A48A25}"/>
    <cellStyle name="アクセント 6 2" xfId="112" xr:uid="{EC449D4B-0920-4292-8BA9-5C310630D0E6}"/>
    <cellStyle name="タイトル" xfId="113" xr:uid="{27B09154-8086-4CC2-8828-5EDF2093DF29}"/>
    <cellStyle name="タイトル 2" xfId="114" xr:uid="{A7263480-4AE6-4615-A8E1-BD0CBD7B6E11}"/>
    <cellStyle name="チェック セル" xfId="115" xr:uid="{2B9A81A4-E3BF-4123-BFB8-B89E73C84B63}"/>
    <cellStyle name="チェック セル 2" xfId="116" xr:uid="{2A71D70C-B7FB-4794-9552-8875C96DA768}"/>
    <cellStyle name="どちらでもない" xfId="117" xr:uid="{B7F8FDC6-5771-4A71-B90A-AA16ABAB4F7E}"/>
    <cellStyle name="どちらでもない 2" xfId="118" xr:uid="{5D2CCD94-5F29-497A-96D5-6AD02900F725}"/>
    <cellStyle name="パーセント 2" xfId="119" xr:uid="{C3ECB49F-7D37-48B7-ABFD-434B0D2F59FE}"/>
    <cellStyle name="パーセント 3" xfId="120" xr:uid="{E9FF2D80-18DE-4AEF-8603-A4D68F31EF19}"/>
    <cellStyle name="パーセント 3 2" xfId="121" xr:uid="{345EB5AD-7555-4FB8-B6B9-00D11193CBA7}"/>
    <cellStyle name="メモ" xfId="122" xr:uid="{EC981E76-856B-47F5-9228-B757DECD8713}"/>
    <cellStyle name="メモ 2" xfId="123" xr:uid="{637B9E18-2C5E-4930-A32E-CBE9C1D0116F}"/>
    <cellStyle name="リンク セル" xfId="124" xr:uid="{BC87CA56-985D-426F-95D1-91CA4D30102D}"/>
    <cellStyle name="リンク セル 2" xfId="125" xr:uid="{CE576DA1-8AA1-4F1D-A629-4140143E7C87}"/>
    <cellStyle name="一般_KMHK FY2008 時間当り採算 2007年4月 ( Month Plan )" xfId="128" xr:uid="{EFE0E9F1-9127-4FB2-9D38-C96935E34396}"/>
    <cellStyle name="一般_設備投資金額一覽表" xfId="129" xr:uid="{47C3C9AA-E9DC-4002-B232-9AA126A2ACC7}"/>
    <cellStyle name="入力" xfId="161" xr:uid="{1AF3162B-336F-42F6-996C-D82195F241F5}"/>
    <cellStyle name="入力 2" xfId="162" xr:uid="{CA7AD855-BAA2-4CB3-9296-272CEA6A3559}"/>
    <cellStyle name="出力" xfId="154" xr:uid="{457A2A33-B0C4-41E9-B428-739A04D13FED}"/>
    <cellStyle name="出力 2" xfId="155" xr:uid="{B86CD0F5-AC9C-4C2A-A5BD-21B205DDF700}"/>
    <cellStyle name="常规_総生産分析(0605-0606)" xfId="156" xr:uid="{7BF8DD35-9C49-49CD-846D-81B488A19D19}"/>
    <cellStyle name="悪い" xfId="126" xr:uid="{E2D8E88E-FC8C-45EB-95F2-A37AB7874465}"/>
    <cellStyle name="悪い 2" xfId="127" xr:uid="{58E7B644-C6AB-4937-B4BF-37DC6A1AF958}"/>
    <cellStyle name="未定義" xfId="172" xr:uid="{A347D702-2B11-4E77-9E7C-434CFB19DF21}"/>
    <cellStyle name="桁区切り [0.00] 2" xfId="134" xr:uid="{3DBFCC0D-4FAE-43C9-B736-83CFF4457E45}"/>
    <cellStyle name="桁区切り [0.00] 2 2" xfId="135" xr:uid="{5D020990-7CB8-417A-897E-116D8F2ABAF5}"/>
    <cellStyle name="桁区切り [0.00] 2 3" xfId="136" xr:uid="{3A574365-881D-4D68-8BE2-CCA70214D9C3}"/>
    <cellStyle name="桁区切り 2" xfId="137" xr:uid="{A1334882-974E-4634-B030-FB6BF349631D}"/>
    <cellStyle name="桁区切り 2 2" xfId="138" xr:uid="{0D60F9BF-EB13-4C94-B554-F1EE8C851855}"/>
    <cellStyle name="桁区切り 2 3" xfId="139" xr:uid="{915D9C2C-2D4B-443B-8A8C-E521689F8D43}"/>
    <cellStyle name="桁区切り 3" xfId="140" xr:uid="{42F182AC-FB02-446F-9788-E0692434226E}"/>
    <cellStyle name="桁区切り 4" xfId="141" xr:uid="{3B9544F6-50AF-48F1-9678-CA8A6C9EDC51}"/>
    <cellStyle name="桁区切り 5" xfId="142" xr:uid="{82BC2E29-2265-4FF8-92D2-3F830551710F}"/>
    <cellStyle name="桁区切り 6" xfId="143" xr:uid="{DE46EBB6-6387-4959-A38B-142BA9A15AF9}"/>
    <cellStyle name="標準 2" xfId="163" xr:uid="{66409A4B-24C4-4EE6-A199-1A15C8008185}"/>
    <cellStyle name="標準 2 2" xfId="164" xr:uid="{2E59CB1C-374E-4896-91F3-E11AD88550BA}"/>
    <cellStyle name="標準 3" xfId="165" xr:uid="{B92148A7-2747-4366-AC6C-B6818DAA00B2}"/>
    <cellStyle name="標準 3 2" xfId="166" xr:uid="{73FA6510-09F4-419A-9D6C-C178E3C608EC}"/>
    <cellStyle name="標準 4" xfId="167" xr:uid="{1BCCBA1D-9DF8-4F9F-8658-7D66738933BD}"/>
    <cellStyle name="標準 4 2" xfId="168" xr:uid="{97CB1B23-E7C4-4139-99B3-9B60C7E2D6B6}"/>
    <cellStyle name="標準_★予定用採算表フォーム（製造課用）" xfId="169" xr:uid="{330E9EFC-50C8-42AB-9094-EC3C89E79212}"/>
    <cellStyle name="標準_03.2012 08 31 KDTVN採算表及集計表 FY2013_09（製技用）" xfId="170" xr:uid="{BC255179-D0DE-4D54-93AA-694BE1A55163}"/>
    <cellStyle name="標準_KDTVN 2012年9月1日付原価センタ" xfId="171" xr:uid="{F85F89CC-44C4-4964-A823-C214042246BC}"/>
    <cellStyle name="良い" xfId="173" xr:uid="{AFA4F6CA-23F2-4890-A4A6-B9F73BB88B3E}"/>
    <cellStyle name="良い 2" xfId="174" xr:uid="{573E4E66-D90D-4DCA-A365-6E417AE12BAA}"/>
    <cellStyle name="見出し 1" xfId="144" xr:uid="{97E480C0-D2E1-4D4F-BBDD-A60B99F30E36}"/>
    <cellStyle name="見出し 1 2" xfId="145" xr:uid="{65EF17C9-CDA8-4BEC-8793-09FE87B9FA3D}"/>
    <cellStyle name="見出し 2" xfId="146" xr:uid="{F52832BD-A61A-4470-8684-30D9190AAFBD}"/>
    <cellStyle name="見出し 2 2" xfId="147" xr:uid="{D2FC4AD7-A4FB-4979-8E99-61B638F019CA}"/>
    <cellStyle name="見出し 3" xfId="148" xr:uid="{9F69C5DC-24A4-49B5-8862-290F424019B9}"/>
    <cellStyle name="見出し 3 2" xfId="149" xr:uid="{44874C77-58B2-45FF-A04D-10EF7DB6A3C9}"/>
    <cellStyle name="見出し 4" xfId="150" xr:uid="{ED794522-529C-466B-AD98-17732E5553A4}"/>
    <cellStyle name="見出し 4 2" xfId="151" xr:uid="{24F9C5BB-49EA-4A8B-AE78-F2476396E071}"/>
    <cellStyle name="計算" xfId="130" xr:uid="{CF4B5ACB-89F6-4760-B755-30F6081A91B9}"/>
    <cellStyle name="計算 2" xfId="131" xr:uid="{BA7E05E2-6DA7-4393-B38B-6959FDC70A0E}"/>
    <cellStyle name="説明文" xfId="157" xr:uid="{10B0D283-0BF2-4B70-912C-738BEAC241D6}"/>
    <cellStyle name="説明文 2" xfId="158" xr:uid="{D468C21D-2DB1-47A8-832E-00252F336C44}"/>
    <cellStyle name="警告文" xfId="132" xr:uid="{1AEA0C8A-67ED-4DDB-934A-38786F35B4A4}"/>
    <cellStyle name="警告文 2" xfId="133" xr:uid="{947C0506-7679-4CB1-ACB3-87FC85BB8FAD}"/>
    <cellStyle name="通貨 2" xfId="159" xr:uid="{BDB615ED-2766-4EE3-9B61-8FDF72A28586}"/>
    <cellStyle name="通貨 3" xfId="160" xr:uid="{14E67678-15BA-42FD-B720-15B8747F543E}"/>
    <cellStyle name="集計" xfId="152" xr:uid="{6C68CF30-F3B2-4E6C-A9FD-B08209E34F9A}"/>
    <cellStyle name="集計 2" xfId="153" xr:uid="{D1914B75-9114-4879-ADEA-FA449A7101D9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4CAD-2D1B-451C-96C4-98F03967E046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第1資材課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4.9999999997453415E-2</v>
      </c>
      <c r="D13" s="133">
        <f t="shared" ref="D13:O13" si="3">SUM(D14:D65)</f>
        <v>6.0000000000400178E-2</v>
      </c>
      <c r="E13" s="133">
        <f t="shared" si="3"/>
        <v>5.0000000000181899E-2</v>
      </c>
      <c r="F13" s="133">
        <f t="shared" si="3"/>
        <v>4.9999999999272404E-2</v>
      </c>
      <c r="G13" s="133">
        <f t="shared" si="3"/>
        <v>3.9999999999054126E-2</v>
      </c>
      <c r="H13" s="133">
        <f t="shared" si="3"/>
        <v>5.0000000000181899E-2</v>
      </c>
      <c r="I13" s="133">
        <f t="shared" si="3"/>
        <v>3.999999999996362E-2</v>
      </c>
      <c r="J13" s="133">
        <f t="shared" si="3"/>
        <v>3.999999999996362E-2</v>
      </c>
      <c r="K13" s="133">
        <f t="shared" si="3"/>
        <v>5.0000000000181899E-2</v>
      </c>
      <c r="L13" s="133">
        <f t="shared" si="3"/>
        <v>3.999999999996362E-2</v>
      </c>
      <c r="M13" s="133">
        <f t="shared" si="3"/>
        <v>5.9999999999490683E-2</v>
      </c>
      <c r="N13" s="133">
        <f t="shared" si="3"/>
        <v>3.999999999996362E-2</v>
      </c>
      <c r="O13" s="133">
        <f t="shared" si="3"/>
        <v>0.569999999992433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432.67</v>
      </c>
      <c r="D20" s="136">
        <f>ROUNDUP('採算表(VND)'!D20/$N$1,2)</f>
        <v>430.69</v>
      </c>
      <c r="E20" s="136">
        <f>ROUNDUP('採算表(VND)'!E20/$N$1,2)</f>
        <v>430.8</v>
      </c>
      <c r="F20" s="136">
        <f>ROUNDUP('採算表(VND)'!F20/$N$1,2)</f>
        <v>430.42</v>
      </c>
      <c r="G20" s="136">
        <f>ROUNDUP('採算表(VND)'!G20/$N$1,2)</f>
        <v>430.28999999999996</v>
      </c>
      <c r="H20" s="136">
        <f>ROUNDUP('採算表(VND)'!H20/$N$1,2)</f>
        <v>424.71999999999997</v>
      </c>
      <c r="I20" s="136">
        <f>ROUNDUP('採算表(VND)'!I20/$N$1,2)</f>
        <v>423.09999999999997</v>
      </c>
      <c r="J20" s="136">
        <f>ROUNDUP('採算表(VND)'!J20/$N$1,2)</f>
        <v>423.05</v>
      </c>
      <c r="K20" s="136">
        <f>ROUNDUP('採算表(VND)'!K20/$N$1,2)</f>
        <v>423.08</v>
      </c>
      <c r="L20" s="136">
        <f>ROUNDUP('採算表(VND)'!L20/$N$1,2)</f>
        <v>422.94</v>
      </c>
      <c r="M20" s="136">
        <f>ROUNDUP('採算表(VND)'!M20/$N$1,2)</f>
        <v>422.74</v>
      </c>
      <c r="N20" s="136">
        <f>ROUNDUP('採算表(VND)'!N20/$N$1,2)</f>
        <v>422.95</v>
      </c>
      <c r="O20" s="136">
        <f t="shared" si="4"/>
        <v>5117.4499999999989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13.09</v>
      </c>
      <c r="D25" s="136">
        <f>ROUNDUP('採算表(VND)'!D25/$N$1,2)</f>
        <v>13.379999999999999</v>
      </c>
      <c r="E25" s="136">
        <f>ROUNDUP('採算表(VND)'!E25/$N$1,2)</f>
        <v>14.58</v>
      </c>
      <c r="F25" s="136">
        <f>ROUNDUP('採算表(VND)'!F25/$N$1,2)</f>
        <v>15.78</v>
      </c>
      <c r="G25" s="136">
        <f>ROUNDUP('採算表(VND)'!G25/$N$1,2)</f>
        <v>13.82</v>
      </c>
      <c r="H25" s="136">
        <f>ROUNDUP('採算表(VND)'!H25/$N$1,2)</f>
        <v>13.19</v>
      </c>
      <c r="I25" s="136">
        <f>ROUNDUP('採算表(VND)'!I25/$N$1,2)</f>
        <v>15.77</v>
      </c>
      <c r="J25" s="136">
        <f>ROUNDUP('採算表(VND)'!J25/$N$1,2)</f>
        <v>13.85</v>
      </c>
      <c r="K25" s="136">
        <f>ROUNDUP('採算表(VND)'!K25/$N$1,2)</f>
        <v>15.16</v>
      </c>
      <c r="L25" s="136">
        <f>ROUNDUP('採算表(VND)'!L25/$N$1,2)</f>
        <v>13.85</v>
      </c>
      <c r="M25" s="136">
        <f>ROUNDUP('採算表(VND)'!M25/$N$1,2)</f>
        <v>10.65</v>
      </c>
      <c r="N25" s="136">
        <f>ROUNDUP('採算表(VND)'!N25/$N$1,2)</f>
        <v>13.84</v>
      </c>
      <c r="O25" s="136">
        <f t="shared" si="4"/>
        <v>166.96</v>
      </c>
    </row>
    <row r="26" spans="1:15" ht="11.25" customHeight="1">
      <c r="A26" s="34"/>
      <c r="B26" s="37" t="s">
        <v>104</v>
      </c>
      <c r="C26" s="136">
        <f>ROUNDUP('採算表(VND)'!C26/$N$1,2)</f>
        <v>659.71</v>
      </c>
      <c r="D26" s="136">
        <f>ROUNDUP('採算表(VND)'!D26/$N$1,2)</f>
        <v>0</v>
      </c>
      <c r="E26" s="136">
        <f>ROUNDUP('採算表(VND)'!E26/$N$1,2)</f>
        <v>659.71</v>
      </c>
      <c r="F26" s="136">
        <f>ROUNDUP('採算表(VND)'!F26/$N$1,2)</f>
        <v>1979.1299999999999</v>
      </c>
      <c r="G26" s="136">
        <f>ROUNDUP('採算表(VND)'!G26/$N$1,2)</f>
        <v>659.71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3958.26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284.34999999999997</v>
      </c>
      <c r="D28" s="136">
        <f>ROUNDUP('採算表(VND)'!D28/$N$1,2)</f>
        <v>284.34999999999997</v>
      </c>
      <c r="E28" s="136">
        <f>ROUNDUP('採算表(VND)'!E28/$N$1,2)</f>
        <v>284.34999999999997</v>
      </c>
      <c r="F28" s="136">
        <f>ROUNDUP('採算表(VND)'!F28/$N$1,2)</f>
        <v>284.34999999999997</v>
      </c>
      <c r="G28" s="136">
        <f>ROUNDUP('採算表(VND)'!G28/$N$1,2)</f>
        <v>284.34999999999997</v>
      </c>
      <c r="H28" s="136">
        <f>ROUNDUP('採算表(VND)'!H28/$N$1,2)</f>
        <v>284.34999999999997</v>
      </c>
      <c r="I28" s="136">
        <f>ROUNDUP('採算表(VND)'!I28/$N$1,2)</f>
        <v>284.34999999999997</v>
      </c>
      <c r="J28" s="136">
        <f>ROUNDUP('採算表(VND)'!J28/$N$1,2)</f>
        <v>284.34999999999997</v>
      </c>
      <c r="K28" s="136">
        <f>ROUNDUP('採算表(VND)'!K28/$N$1,2)</f>
        <v>284.34999999999997</v>
      </c>
      <c r="L28" s="136">
        <f>ROUNDUP('採算表(VND)'!L28/$N$1,2)</f>
        <v>284.34999999999997</v>
      </c>
      <c r="M28" s="136">
        <f>ROUNDUP('採算表(VND)'!M28/$N$1,2)</f>
        <v>284.34999999999997</v>
      </c>
      <c r="N28" s="136">
        <f>ROUNDUP('採算表(VND)'!N28/$N$1,2)</f>
        <v>284.34999999999997</v>
      </c>
      <c r="O28" s="136">
        <f t="shared" si="4"/>
        <v>3412.1999999999994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101.96000000000001</v>
      </c>
      <c r="D30" s="136">
        <f>ROUNDUP('採算表(VND)'!D30/$N$1,2)</f>
        <v>106.28</v>
      </c>
      <c r="E30" s="136">
        <f>ROUNDUP('採算表(VND)'!E30/$N$1,2)</f>
        <v>127.59</v>
      </c>
      <c r="F30" s="136">
        <f>ROUNDUP('採算表(VND)'!F30/$N$1,2)</f>
        <v>145.45999999999998</v>
      </c>
      <c r="G30" s="136">
        <f>ROUNDUP('採算表(VND)'!G30/$N$1,2)</f>
        <v>141.07</v>
      </c>
      <c r="H30" s="136">
        <f>ROUNDUP('採算表(VND)'!H30/$N$1,2)</f>
        <v>127.11</v>
      </c>
      <c r="I30" s="136">
        <f>ROUNDUP('採算表(VND)'!I30/$N$1,2)</f>
        <v>122.53</v>
      </c>
      <c r="J30" s="136">
        <f>ROUNDUP('採算表(VND)'!J30/$N$1,2)</f>
        <v>120.71000000000001</v>
      </c>
      <c r="K30" s="136">
        <f>ROUNDUP('採算表(VND)'!K30/$N$1,2)</f>
        <v>120.09</v>
      </c>
      <c r="L30" s="136">
        <f>ROUNDUP('採算表(VND)'!L30/$N$1,2)</f>
        <v>104.82000000000001</v>
      </c>
      <c r="M30" s="136">
        <f>ROUNDUP('採算表(VND)'!M30/$N$1,2)</f>
        <v>93.100000000000009</v>
      </c>
      <c r="N30" s="136">
        <f>ROUNDUP('採算表(VND)'!N30/$N$1,2)</f>
        <v>89.11</v>
      </c>
      <c r="O30" s="136">
        <f t="shared" si="4"/>
        <v>1399.8299999999997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37.669999999999995</v>
      </c>
      <c r="D39" s="136">
        <f>ROUNDUP('採算表(VND)'!D39/$N$1,2)</f>
        <v>40.03</v>
      </c>
      <c r="E39" s="136">
        <f>ROUNDUP('採算表(VND)'!E39/$N$1,2)</f>
        <v>41.269999999999996</v>
      </c>
      <c r="F39" s="136">
        <f>ROUNDUP('採算表(VND)'!F39/$N$1,2)</f>
        <v>37.799999999999997</v>
      </c>
      <c r="G39" s="136">
        <f>ROUNDUP('採算表(VND)'!G39/$N$1,2)</f>
        <v>36.79</v>
      </c>
      <c r="H39" s="136">
        <f>ROUNDUP('採算表(VND)'!H39/$N$1,2)</f>
        <v>35.159999999999997</v>
      </c>
      <c r="I39" s="136">
        <f>ROUNDUP('採算表(VND)'!I39/$N$1,2)</f>
        <v>33.629999999999995</v>
      </c>
      <c r="J39" s="136">
        <f>ROUNDUP('採算表(VND)'!J39/$N$1,2)</f>
        <v>33.21</v>
      </c>
      <c r="K39" s="136">
        <f>ROUNDUP('採算表(VND)'!K39/$N$1,2)</f>
        <v>33.309999999999995</v>
      </c>
      <c r="L39" s="136">
        <f>ROUNDUP('採算表(VND)'!L39/$N$1,2)</f>
        <v>31.880000000000003</v>
      </c>
      <c r="M39" s="136">
        <f>ROUNDUP('採算表(VND)'!M39/$N$1,2)</f>
        <v>30.180000000000003</v>
      </c>
      <c r="N39" s="136">
        <f>ROUNDUP('採算表(VND)'!N39/$N$1,2)</f>
        <v>31.580000000000002</v>
      </c>
      <c r="O39" s="136">
        <f t="shared" si="4"/>
        <v>422.50999999999993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131.69</v>
      </c>
      <c r="D41" s="136">
        <f>ROUNDUP('採算表(VND)'!D41/$N$1,2)</f>
        <v>131.69</v>
      </c>
      <c r="E41" s="136">
        <f>ROUNDUP('採算表(VND)'!E41/$N$1,2)</f>
        <v>131.69</v>
      </c>
      <c r="F41" s="136">
        <f>ROUNDUP('採算表(VND)'!F41/$N$1,2)</f>
        <v>131.69</v>
      </c>
      <c r="G41" s="136">
        <f>ROUNDUP('採算表(VND)'!G41/$N$1,2)</f>
        <v>131.69</v>
      </c>
      <c r="H41" s="136">
        <f>ROUNDUP('採算表(VND)'!H41/$N$1,2)</f>
        <v>131.69</v>
      </c>
      <c r="I41" s="136">
        <f>ROUNDUP('採算表(VND)'!I41/$N$1,2)</f>
        <v>131.69</v>
      </c>
      <c r="J41" s="136">
        <f>ROUNDUP('採算表(VND)'!J41/$N$1,2)</f>
        <v>131.69</v>
      </c>
      <c r="K41" s="136">
        <f>ROUNDUP('採算表(VND)'!K41/$N$1,2)</f>
        <v>131.69</v>
      </c>
      <c r="L41" s="136">
        <f>ROUNDUP('採算表(VND)'!L41/$N$1,2)</f>
        <v>131.69</v>
      </c>
      <c r="M41" s="136">
        <f>ROUNDUP('採算表(VND)'!M41/$N$1,2)</f>
        <v>131.69</v>
      </c>
      <c r="N41" s="136">
        <f>ROUNDUP('採算表(VND)'!N41/$N$1,2)</f>
        <v>131.69</v>
      </c>
      <c r="O41" s="136">
        <f t="shared" si="4"/>
        <v>1580.2800000000004</v>
      </c>
    </row>
    <row r="42" spans="1:15" ht="11.25" customHeight="1">
      <c r="A42" s="38"/>
      <c r="B42" s="37" t="s">
        <v>98</v>
      </c>
      <c r="C42" s="136">
        <f>ROUNDUP('採算表(VND)'!C42/$N$1,2)</f>
        <v>10478.07</v>
      </c>
      <c r="D42" s="136">
        <f>ROUNDUP('採算表(VND)'!D42/$N$1,2)</f>
        <v>3557.84</v>
      </c>
      <c r="E42" s="136">
        <f>ROUNDUP('採算表(VND)'!E42/$N$1,2)</f>
        <v>3557.84</v>
      </c>
      <c r="F42" s="136">
        <f>ROUNDUP('採算表(VND)'!F42/$N$1,2)</f>
        <v>3557.84</v>
      </c>
      <c r="G42" s="136">
        <f>ROUNDUP('採算表(VND)'!G42/$N$1,2)</f>
        <v>3557.84</v>
      </c>
      <c r="H42" s="136">
        <f>ROUNDUP('採算表(VND)'!H42/$N$1,2)</f>
        <v>3557.84</v>
      </c>
      <c r="I42" s="136">
        <f>ROUNDUP('採算表(VND)'!I42/$N$1,2)</f>
        <v>3557.84</v>
      </c>
      <c r="J42" s="136">
        <f>ROUNDUP('採算表(VND)'!J42/$N$1,2)</f>
        <v>3558.4</v>
      </c>
      <c r="K42" s="136">
        <f>ROUNDUP('採算表(VND)'!K42/$N$1,2)</f>
        <v>3557.84</v>
      </c>
      <c r="L42" s="136">
        <f>ROUNDUP('採算表(VND)'!L42/$N$1,2)</f>
        <v>3557.84</v>
      </c>
      <c r="M42" s="136">
        <f>ROUNDUP('採算表(VND)'!M42/$N$1,2)</f>
        <v>3557.84</v>
      </c>
      <c r="N42" s="136">
        <f>ROUNDUP('採算表(VND)'!N42/$N$1,2)</f>
        <v>3557.84</v>
      </c>
      <c r="O42" s="136">
        <f t="shared" si="4"/>
        <v>49614.869999999995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785.56999999999994</v>
      </c>
      <c r="D44" s="136">
        <f>ROUNDUP('採算表(VND)'!D44/$N$1,2)</f>
        <v>1719.3799999999999</v>
      </c>
      <c r="E44" s="136">
        <f>ROUNDUP('採算表(VND)'!E44/$N$1,2)</f>
        <v>437.27</v>
      </c>
      <c r="F44" s="136">
        <f>ROUNDUP('採算表(VND)'!F44/$N$1,2)</f>
        <v>403.24</v>
      </c>
      <c r="G44" s="136">
        <f>ROUNDUP('採算表(VND)'!G44/$N$1,2)</f>
        <v>357.46</v>
      </c>
      <c r="H44" s="136">
        <f>ROUNDUP('採算表(VND)'!H44/$N$1,2)</f>
        <v>350.28999999999996</v>
      </c>
      <c r="I44" s="136">
        <f>ROUNDUP('採算表(VND)'!I44/$N$1,2)</f>
        <v>486.18</v>
      </c>
      <c r="J44" s="136">
        <f>ROUNDUP('採算表(VND)'!J44/$N$1,2)</f>
        <v>400.17</v>
      </c>
      <c r="K44" s="136">
        <f>ROUNDUP('採算表(VND)'!K44/$N$1,2)</f>
        <v>458.74</v>
      </c>
      <c r="L44" s="136">
        <f>ROUNDUP('採算表(VND)'!L44/$N$1,2)</f>
        <v>314.45999999999998</v>
      </c>
      <c r="M44" s="136">
        <f>ROUNDUP('採算表(VND)'!M44/$N$1,2)</f>
        <v>562.95000000000005</v>
      </c>
      <c r="N44" s="136">
        <f>ROUNDUP('採算表(VND)'!N44/$N$1,2)</f>
        <v>280.5</v>
      </c>
      <c r="O44" s="136">
        <f t="shared" si="4"/>
        <v>6556.21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11.82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11.82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309.14</v>
      </c>
      <c r="D57" s="139">
        <f>ROUNDUP('採算表(VND)'!D57/$N$1,2)</f>
        <v>292.21999999999997</v>
      </c>
      <c r="E57" s="139">
        <f>ROUNDUP('採算表(VND)'!E57/$N$1,2)</f>
        <v>292.28999999999996</v>
      </c>
      <c r="F57" s="139">
        <f>ROUNDUP('採算表(VND)'!F57/$N$1,2)</f>
        <v>292.02999999999997</v>
      </c>
      <c r="G57" s="139">
        <f>ROUNDUP('採算表(VND)'!G57/$N$1,2)</f>
        <v>291.95</v>
      </c>
      <c r="H57" s="139">
        <f>ROUNDUP('採算表(VND)'!H57/$N$1,2)</f>
        <v>288.17</v>
      </c>
      <c r="I57" s="139">
        <f>ROUNDUP('採算表(VND)'!I57/$N$1,2)</f>
        <v>287.06</v>
      </c>
      <c r="J57" s="139">
        <f>ROUNDUP('採算表(VND)'!J57/$N$1,2)</f>
        <v>287.03999999999996</v>
      </c>
      <c r="K57" s="139">
        <f>ROUNDUP('採算表(VND)'!K57/$N$1,2)</f>
        <v>287.06</v>
      </c>
      <c r="L57" s="139">
        <f>ROUNDUP('採算表(VND)'!L57/$N$1,2)</f>
        <v>286.95</v>
      </c>
      <c r="M57" s="139">
        <f>ROUNDUP('採算表(VND)'!M57/$N$1,2)</f>
        <v>286.82</v>
      </c>
      <c r="N57" s="139">
        <f>ROUNDUP('採算表(VND)'!N57/$N$1,2)</f>
        <v>286.95999999999998</v>
      </c>
      <c r="O57" s="139">
        <f t="shared" si="4"/>
        <v>3487.69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-13233.87</v>
      </c>
      <c r="D63" s="139">
        <f>ROUNDUP('採算表(VND)'!D63/$N$1,2)</f>
        <v>-6587.62</v>
      </c>
      <c r="E63" s="139">
        <f>ROUNDUP('採算表(VND)'!E63/$N$1,2)</f>
        <v>-5977.34</v>
      </c>
      <c r="F63" s="139">
        <f>ROUNDUP('採算表(VND)'!F63/$N$1,2)</f>
        <v>-7277.6900000000005</v>
      </c>
      <c r="G63" s="139">
        <f>ROUNDUP('採算表(VND)'!G63/$N$1,2)</f>
        <v>-5904.93</v>
      </c>
      <c r="H63" s="139">
        <f>ROUNDUP('採算表(VND)'!H63/$N$1,2)</f>
        <v>-5212.47</v>
      </c>
      <c r="I63" s="139">
        <f>ROUNDUP('採算表(VND)'!I63/$N$1,2)</f>
        <v>-5342.1100000000006</v>
      </c>
      <c r="J63" s="139">
        <f>ROUNDUP('採算表(VND)'!J63/$N$1,2)</f>
        <v>-5252.43</v>
      </c>
      <c r="K63" s="139">
        <f>ROUNDUP('採算表(VND)'!K63/$N$1,2)</f>
        <v>-5311.27</v>
      </c>
      <c r="L63" s="139">
        <f>ROUNDUP('採算表(VND)'!L63/$N$1,2)</f>
        <v>-5148.74</v>
      </c>
      <c r="M63" s="139">
        <f>ROUNDUP('採算表(VND)'!M63/$N$1,2)</f>
        <v>-5380.26</v>
      </c>
      <c r="N63" s="139">
        <f>ROUNDUP('採算表(VND)'!N63/$N$1,2)</f>
        <v>-5098.7800000000007</v>
      </c>
      <c r="O63" s="139">
        <f t="shared" si="4"/>
        <v>-75727.510000000009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-4.9999999997453415E-2</v>
      </c>
      <c r="D66" s="134">
        <f t="shared" ref="D66:O66" si="5">IF(ISBLANK(D4),"",D12-D13)</f>
        <v>-6.0000000000400178E-2</v>
      </c>
      <c r="E66" s="134">
        <f t="shared" si="5"/>
        <v>-5.0000000000181899E-2</v>
      </c>
      <c r="F66" s="134">
        <f t="shared" si="5"/>
        <v>-4.9999999999272404E-2</v>
      </c>
      <c r="G66" s="134">
        <f t="shared" si="5"/>
        <v>-3.9999999999054126E-2</v>
      </c>
      <c r="H66" s="134">
        <f t="shared" si="5"/>
        <v>-5.0000000000181899E-2</v>
      </c>
      <c r="I66" s="134">
        <f t="shared" si="5"/>
        <v>-3.999999999996362E-2</v>
      </c>
      <c r="J66" s="134">
        <f t="shared" si="5"/>
        <v>-3.999999999996362E-2</v>
      </c>
      <c r="K66" s="134">
        <f t="shared" si="5"/>
        <v>-5.0000000000181899E-2</v>
      </c>
      <c r="L66" s="134">
        <f t="shared" si="5"/>
        <v>-3.999999999996362E-2</v>
      </c>
      <c r="M66" s="134">
        <f t="shared" si="5"/>
        <v>-5.9999999999490683E-2</v>
      </c>
      <c r="N66" s="134">
        <f t="shared" si="5"/>
        <v>-3.999999999996362E-2</v>
      </c>
      <c r="O66" s="134">
        <f t="shared" si="5"/>
        <v>-0.569999999992433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2677.5</v>
      </c>
      <c r="D68" s="135">
        <f>'採算表(VND)'!D68</f>
        <v>2516</v>
      </c>
      <c r="E68" s="135">
        <f>'採算表(VND)'!E68</f>
        <v>2881.5</v>
      </c>
      <c r="F68" s="135">
        <f>'採算表(VND)'!F68</f>
        <v>3128</v>
      </c>
      <c r="G68" s="135">
        <f>'採算表(VND)'!G68</f>
        <v>2728.5</v>
      </c>
      <c r="H68" s="135">
        <f>'採算表(VND)'!H68</f>
        <v>2592.5</v>
      </c>
      <c r="I68" s="135">
        <f>'採算表(VND)'!I68</f>
        <v>3255.5</v>
      </c>
      <c r="J68" s="135">
        <f>'採算表(VND)'!J68</f>
        <v>2881.5</v>
      </c>
      <c r="K68" s="135">
        <f>'採算表(VND)'!K68</f>
        <v>3204.5</v>
      </c>
      <c r="L68" s="135">
        <f>'採算表(VND)'!L68</f>
        <v>2898.5</v>
      </c>
      <c r="M68" s="135">
        <f>'採算表(VND)'!M68</f>
        <v>2133.5</v>
      </c>
      <c r="N68" s="135">
        <f>'採算表(VND)'!N68</f>
        <v>2898.5</v>
      </c>
      <c r="O68" s="135">
        <f>SUM(C68:N68)</f>
        <v>33796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-2677.5</v>
      </c>
      <c r="D71" s="140">
        <f>'採算表(VND)'!D71</f>
        <v>-2516</v>
      </c>
      <c r="E71" s="140">
        <f>'採算表(VND)'!E71</f>
        <v>-2881.5</v>
      </c>
      <c r="F71" s="140">
        <f>'採算表(VND)'!F71</f>
        <v>-3128</v>
      </c>
      <c r="G71" s="140">
        <f>'採算表(VND)'!G71</f>
        <v>-2728.5</v>
      </c>
      <c r="H71" s="140">
        <f>'採算表(VND)'!H71</f>
        <v>-2592.5</v>
      </c>
      <c r="I71" s="140">
        <f>'採算表(VND)'!I71</f>
        <v>-3255.5</v>
      </c>
      <c r="J71" s="140">
        <f>'採算表(VND)'!J71</f>
        <v>-2881.5</v>
      </c>
      <c r="K71" s="140">
        <f>'採算表(VND)'!K71</f>
        <v>-3204.5</v>
      </c>
      <c r="L71" s="140">
        <f>'採算表(VND)'!L71</f>
        <v>-2898.5</v>
      </c>
      <c r="M71" s="140">
        <f>'採算表(VND)'!M71</f>
        <v>-2133.5</v>
      </c>
      <c r="N71" s="140">
        <f>'採算表(VND)'!N71</f>
        <v>-2898.5</v>
      </c>
      <c r="O71" s="140">
        <f>SUM(C71:N71)</f>
        <v>-33796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194</v>
      </c>
      <c r="D74" s="135">
        <f>'採算表(VND)'!D74</f>
        <v>184</v>
      </c>
      <c r="E74" s="135">
        <f>'採算表(VND)'!E74</f>
        <v>204</v>
      </c>
      <c r="F74" s="135">
        <f>'採算表(VND)'!F74</f>
        <v>214</v>
      </c>
      <c r="G74" s="135">
        <f>'採算表(VND)'!G74</f>
        <v>192</v>
      </c>
      <c r="H74" s="135">
        <f>'採算表(VND)'!H74</f>
        <v>184</v>
      </c>
      <c r="I74" s="135">
        <f>'採算表(VND)'!I74</f>
        <v>224</v>
      </c>
      <c r="J74" s="135">
        <f>'採算表(VND)'!J74</f>
        <v>194</v>
      </c>
      <c r="K74" s="135">
        <f>'採算表(VND)'!K74</f>
        <v>214</v>
      </c>
      <c r="L74" s="135">
        <f>'採算表(VND)'!L74</f>
        <v>234</v>
      </c>
      <c r="M74" s="135">
        <f>'採算表(VND)'!M74</f>
        <v>174</v>
      </c>
      <c r="N74" s="135">
        <f>'採算表(VND)'!N74</f>
        <v>234</v>
      </c>
      <c r="O74" s="135">
        <f>SUM(C74:N74)</f>
        <v>2446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-194</v>
      </c>
      <c r="D77" s="140">
        <f>'採算表(VND)'!D77</f>
        <v>-184</v>
      </c>
      <c r="E77" s="140">
        <f>'採算表(VND)'!E77</f>
        <v>-204</v>
      </c>
      <c r="F77" s="140">
        <f>'採算表(VND)'!F77</f>
        <v>-214</v>
      </c>
      <c r="G77" s="140">
        <f>'採算表(VND)'!G77</f>
        <v>-192</v>
      </c>
      <c r="H77" s="140">
        <f>'採算表(VND)'!H77</f>
        <v>-184</v>
      </c>
      <c r="I77" s="140">
        <f>'採算表(VND)'!I77</f>
        <v>-224</v>
      </c>
      <c r="J77" s="140">
        <f>'採算表(VND)'!J77</f>
        <v>-194</v>
      </c>
      <c r="K77" s="140">
        <f>'採算表(VND)'!K77</f>
        <v>-214</v>
      </c>
      <c r="L77" s="140">
        <f>'採算表(VND)'!L77</f>
        <v>-234</v>
      </c>
      <c r="M77" s="140">
        <f>'採算表(VND)'!M77</f>
        <v>-174</v>
      </c>
      <c r="N77" s="140">
        <f>'採算表(VND)'!N77</f>
        <v>-234</v>
      </c>
      <c r="O77" s="140">
        <f>SUM(C77:N77)</f>
        <v>-2446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17</v>
      </c>
      <c r="D88" s="150">
        <f>'採算表(VND)'!D88</f>
        <v>17</v>
      </c>
      <c r="E88" s="150">
        <f>'採算表(VND)'!E88</f>
        <v>17</v>
      </c>
      <c r="F88" s="150">
        <f>'採算表(VND)'!F88</f>
        <v>17</v>
      </c>
      <c r="G88" s="150">
        <f>'採算表(VND)'!G88</f>
        <v>17</v>
      </c>
      <c r="H88" s="150">
        <f>'採算表(VND)'!H88</f>
        <v>17</v>
      </c>
      <c r="I88" s="150">
        <f>'採算表(VND)'!I88</f>
        <v>17</v>
      </c>
      <c r="J88" s="150">
        <f>'採算表(VND)'!J88</f>
        <v>17</v>
      </c>
      <c r="K88" s="150">
        <f>'採算表(VND)'!K88</f>
        <v>17</v>
      </c>
      <c r="L88" s="150">
        <f>'採算表(VND)'!L88</f>
        <v>17</v>
      </c>
      <c r="M88" s="150">
        <f>'採算表(VND)'!M88</f>
        <v>17</v>
      </c>
      <c r="N88" s="150">
        <f>'採算表(VND)'!N88</f>
        <v>17</v>
      </c>
      <c r="O88" s="150">
        <f>SUM(C88:N88)</f>
        <v>204</v>
      </c>
    </row>
    <row r="89" spans="1:15">
      <c r="A89" s="44"/>
      <c r="B89" s="60" t="s">
        <v>18</v>
      </c>
      <c r="C89" s="151">
        <f t="shared" ref="C89:O89" si="11">C87+C88</f>
        <v>18</v>
      </c>
      <c r="D89" s="151">
        <f t="shared" si="11"/>
        <v>18</v>
      </c>
      <c r="E89" s="151">
        <f t="shared" si="11"/>
        <v>18</v>
      </c>
      <c r="F89" s="151">
        <f t="shared" si="11"/>
        <v>18</v>
      </c>
      <c r="G89" s="151">
        <f t="shared" si="11"/>
        <v>18</v>
      </c>
      <c r="H89" s="151">
        <f t="shared" si="11"/>
        <v>18</v>
      </c>
      <c r="I89" s="151">
        <f t="shared" si="11"/>
        <v>18</v>
      </c>
      <c r="J89" s="151">
        <f t="shared" si="11"/>
        <v>18</v>
      </c>
      <c r="K89" s="151">
        <f t="shared" si="11"/>
        <v>18</v>
      </c>
      <c r="L89" s="151">
        <f t="shared" si="11"/>
        <v>18</v>
      </c>
      <c r="M89" s="151">
        <f t="shared" si="11"/>
        <v>18</v>
      </c>
      <c r="N89" s="151">
        <f t="shared" si="11"/>
        <v>18</v>
      </c>
      <c r="O89" s="151">
        <f t="shared" si="11"/>
        <v>216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170</v>
      </c>
      <c r="D92" s="133">
        <f>'採算表(VND)'!D92</f>
        <v>161.5</v>
      </c>
      <c r="E92" s="133">
        <f>'採算表(VND)'!E92</f>
        <v>178.5</v>
      </c>
      <c r="F92" s="133">
        <f>'採算表(VND)'!F92</f>
        <v>153</v>
      </c>
      <c r="G92" s="133">
        <f>'採算表(VND)'!G92</f>
        <v>161.5</v>
      </c>
      <c r="H92" s="133">
        <f>'採算表(VND)'!H92</f>
        <v>161.5</v>
      </c>
      <c r="I92" s="133">
        <f>'採算表(VND)'!I92</f>
        <v>195.5</v>
      </c>
      <c r="J92" s="133">
        <f>'採算表(VND)'!J92</f>
        <v>170</v>
      </c>
      <c r="K92" s="133">
        <f>'採算表(VND)'!K92</f>
        <v>187</v>
      </c>
      <c r="L92" s="133">
        <f>'採算表(VND)'!L92</f>
        <v>170</v>
      </c>
      <c r="M92" s="133">
        <f>'採算表(VND)'!M92</f>
        <v>127.5</v>
      </c>
      <c r="N92" s="133">
        <f>'採算表(VND)'!N92</f>
        <v>170</v>
      </c>
      <c r="O92" s="133">
        <f>SUM(C92:N92)</f>
        <v>2006</v>
      </c>
    </row>
    <row r="93" spans="1:15">
      <c r="B93" s="59" t="s">
        <v>325</v>
      </c>
      <c r="C93" s="133">
        <f>'採算表(VND)'!C93</f>
        <v>2507.5</v>
      </c>
      <c r="D93" s="133">
        <f>'採算表(VND)'!D93</f>
        <v>2354.5</v>
      </c>
      <c r="E93" s="133">
        <f>'採算表(VND)'!E93</f>
        <v>2703</v>
      </c>
      <c r="F93" s="133">
        <f>'採算表(VND)'!F93</f>
        <v>2975</v>
      </c>
      <c r="G93" s="133">
        <f>'採算表(VND)'!G93</f>
        <v>2567</v>
      </c>
      <c r="H93" s="133">
        <f>'採算表(VND)'!H93</f>
        <v>2431</v>
      </c>
      <c r="I93" s="133">
        <f>'採算表(VND)'!I93</f>
        <v>3060</v>
      </c>
      <c r="J93" s="133">
        <f>'採算表(VND)'!J93</f>
        <v>2711.5</v>
      </c>
      <c r="K93" s="133">
        <f>'採算表(VND)'!K93</f>
        <v>3017.5</v>
      </c>
      <c r="L93" s="133">
        <f>'採算表(VND)'!L93</f>
        <v>2728.5</v>
      </c>
      <c r="M93" s="133">
        <f>'採算表(VND)'!M93</f>
        <v>2006</v>
      </c>
      <c r="N93" s="133">
        <f>'採算表(VND)'!N93</f>
        <v>2728.5</v>
      </c>
      <c r="O93" s="133">
        <f>SUM(C93:N93)</f>
        <v>31790</v>
      </c>
    </row>
    <row r="94" spans="1:15">
      <c r="B94" s="61" t="s">
        <v>18</v>
      </c>
      <c r="C94" s="147">
        <f t="shared" ref="C94:O94" si="12">C92+C93</f>
        <v>2677.5</v>
      </c>
      <c r="D94" s="147">
        <f t="shared" si="12"/>
        <v>2516</v>
      </c>
      <c r="E94" s="147">
        <f t="shared" si="12"/>
        <v>2881.5</v>
      </c>
      <c r="F94" s="147">
        <f t="shared" si="12"/>
        <v>3128</v>
      </c>
      <c r="G94" s="147">
        <f t="shared" si="12"/>
        <v>2728.5</v>
      </c>
      <c r="H94" s="147">
        <f t="shared" si="12"/>
        <v>2592.5</v>
      </c>
      <c r="I94" s="147">
        <f t="shared" si="12"/>
        <v>3255.5</v>
      </c>
      <c r="J94" s="147">
        <f t="shared" si="12"/>
        <v>2881.5</v>
      </c>
      <c r="K94" s="147">
        <f t="shared" si="12"/>
        <v>3204.5</v>
      </c>
      <c r="L94" s="147">
        <f t="shared" si="12"/>
        <v>2898.5</v>
      </c>
      <c r="M94" s="147">
        <f t="shared" si="12"/>
        <v>2133.5</v>
      </c>
      <c r="N94" s="147">
        <f t="shared" si="12"/>
        <v>2898.5</v>
      </c>
      <c r="O94" s="147">
        <f t="shared" si="12"/>
        <v>33796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40</v>
      </c>
      <c r="D97" s="133">
        <f>'採算表(VND)'!D97</f>
        <v>38</v>
      </c>
      <c r="E97" s="133">
        <f>'採算表(VND)'!E97</f>
        <v>42</v>
      </c>
      <c r="F97" s="133">
        <f>'採算表(VND)'!F97</f>
        <v>36</v>
      </c>
      <c r="G97" s="133">
        <f>'採算表(VND)'!G97</f>
        <v>38</v>
      </c>
      <c r="H97" s="133">
        <f>'採算表(VND)'!H97</f>
        <v>38</v>
      </c>
      <c r="I97" s="133">
        <f>'採算表(VND)'!I97</f>
        <v>46</v>
      </c>
      <c r="J97" s="133">
        <f>'採算表(VND)'!J97</f>
        <v>40</v>
      </c>
      <c r="K97" s="133">
        <f>'採算表(VND)'!K97</f>
        <v>44</v>
      </c>
      <c r="L97" s="133">
        <f>'採算表(VND)'!L97</f>
        <v>40</v>
      </c>
      <c r="M97" s="133">
        <f>'採算表(VND)'!M97</f>
        <v>30</v>
      </c>
      <c r="N97" s="133">
        <f>'採算表(VND)'!N97</f>
        <v>40</v>
      </c>
      <c r="O97" s="133">
        <f>SUM(C97:N97)</f>
        <v>472</v>
      </c>
    </row>
    <row r="98" spans="2:15">
      <c r="B98" s="59" t="s">
        <v>327</v>
      </c>
      <c r="C98" s="133">
        <f>'採算表(VND)'!C98</f>
        <v>154</v>
      </c>
      <c r="D98" s="133">
        <f>'採算表(VND)'!D98</f>
        <v>146</v>
      </c>
      <c r="E98" s="133">
        <f>'採算表(VND)'!E98</f>
        <v>162</v>
      </c>
      <c r="F98" s="133">
        <f>'採算表(VND)'!F98</f>
        <v>178</v>
      </c>
      <c r="G98" s="133">
        <f>'採算表(VND)'!G98</f>
        <v>154</v>
      </c>
      <c r="H98" s="133">
        <f>'採算表(VND)'!H98</f>
        <v>146</v>
      </c>
      <c r="I98" s="133">
        <f>'採算表(VND)'!I98</f>
        <v>178</v>
      </c>
      <c r="J98" s="133">
        <f>'採算表(VND)'!J98</f>
        <v>154</v>
      </c>
      <c r="K98" s="133">
        <f>'採算表(VND)'!K98</f>
        <v>170</v>
      </c>
      <c r="L98" s="133">
        <f>'採算表(VND)'!L98</f>
        <v>194</v>
      </c>
      <c r="M98" s="133">
        <f>'採算表(VND)'!M98</f>
        <v>144</v>
      </c>
      <c r="N98" s="133">
        <f>'採算表(VND)'!N98</f>
        <v>194</v>
      </c>
      <c r="O98" s="133">
        <f>SUM(C98:N98)</f>
        <v>1974</v>
      </c>
    </row>
    <row r="99" spans="2:15">
      <c r="B99" s="61" t="s">
        <v>18</v>
      </c>
      <c r="C99" s="147">
        <f t="shared" ref="C99:O99" si="13">C97+C98</f>
        <v>194</v>
      </c>
      <c r="D99" s="147">
        <f t="shared" si="13"/>
        <v>184</v>
      </c>
      <c r="E99" s="147">
        <f t="shared" si="13"/>
        <v>204</v>
      </c>
      <c r="F99" s="147">
        <f t="shared" si="13"/>
        <v>214</v>
      </c>
      <c r="G99" s="147">
        <f t="shared" si="13"/>
        <v>192</v>
      </c>
      <c r="H99" s="147">
        <f t="shared" si="13"/>
        <v>184</v>
      </c>
      <c r="I99" s="147">
        <f t="shared" si="13"/>
        <v>224</v>
      </c>
      <c r="J99" s="147">
        <f t="shared" si="13"/>
        <v>194</v>
      </c>
      <c r="K99" s="147">
        <f t="shared" si="13"/>
        <v>214</v>
      </c>
      <c r="L99" s="147">
        <f t="shared" si="13"/>
        <v>234</v>
      </c>
      <c r="M99" s="147">
        <f t="shared" si="13"/>
        <v>174</v>
      </c>
      <c r="N99" s="147">
        <f t="shared" si="13"/>
        <v>234</v>
      </c>
      <c r="O99" s="147">
        <f t="shared" si="13"/>
        <v>2446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C459-82B4-465A-A023-3A56066138BA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第1資材課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10985491</v>
      </c>
      <c r="D20" s="158">
        <f>SUMIF('内訳ﾘｽﾄ(4～3月)'!$D$26:$D$1000,$B20,'内訳ﾘｽﾄ(4～3月)'!G$26:G$1000)</f>
        <v>10934966</v>
      </c>
      <c r="E20" s="158">
        <f>SUMIF('内訳ﾘｽﾄ(4～3月)'!$D$26:$D$1000,$B20,'内訳ﾘｽﾄ(4～3月)'!H$26:H$1000)</f>
        <v>10937759</v>
      </c>
      <c r="F20" s="158">
        <f>SUMIF('内訳ﾘｽﾄ(4～3月)'!$D$26:$D$1000,$B20,'内訳ﾘｽﾄ(4～3月)'!I$26:I$1000)</f>
        <v>10928110</v>
      </c>
      <c r="G20" s="158">
        <f>SUMIF('内訳ﾘｽﾄ(4～3月)'!$D$26:$D$1000,$B20,'内訳ﾘｽﾄ(4～3月)'!J$26:J$1000)</f>
        <v>10925063</v>
      </c>
      <c r="H20" s="158">
        <f>SUMIF('内訳ﾘｽﾄ(4～3月)'!$D$26:$D$1000,$B20,'内訳ﾘｽﾄ(4～3月)'!K$26:K$1000)</f>
        <v>10783387</v>
      </c>
      <c r="I20" s="158">
        <f>SUMIF('内訳ﾘｽﾄ(4～3月)'!$D$26:$D$1000,$B20,'内訳ﾘｽﾄ(4～3月)'!L$26:L$1000)</f>
        <v>10742256</v>
      </c>
      <c r="J20" s="158">
        <f>SUMIF('内訳ﾘｽﾄ(4～3月)'!$D$26:$D$1000,$B20,'内訳ﾘｽﾄ(4～3月)'!M$26:M$1000)</f>
        <v>10740986</v>
      </c>
      <c r="K20" s="158">
        <f>SUMIF('内訳ﾘｽﾄ(4～3月)'!$D$26:$D$1000,$B20,'内訳ﾘｽﾄ(4～3月)'!N$26:N$1000)</f>
        <v>10741748</v>
      </c>
      <c r="L20" s="158">
        <f>SUMIF('内訳ﾘｽﾄ(4～3月)'!$D$26:$D$1000,$B20,'内訳ﾘｽﾄ(4～3月)'!O$26:O$1000)</f>
        <v>10738193</v>
      </c>
      <c r="M20" s="158">
        <f>SUMIF('内訳ﾘｽﾄ(4～3月)'!$D$26:$D$1000,$B20,'内訳ﾘｽﾄ(4～3月)'!P$26:P$1000)</f>
        <v>10733115</v>
      </c>
      <c r="N20" s="158">
        <f>SUMIF('内訳ﾘｽﾄ(4～3月)'!$D$26:$D$1000,$B20,'内訳ﾘｽﾄ(4～3月)'!Q$26:Q$1000)</f>
        <v>10738447</v>
      </c>
      <c r="O20" s="158">
        <f>SUMIF('内訳ﾘｽﾄ(4～3月)'!$D$26:$D$799,'採算表(VND)'!$B20,'内訳ﾘｽﾄ(4～3月)'!R$26:R$799)</f>
        <v>129929521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332282</v>
      </c>
      <c r="D25" s="158">
        <f>SUMIF('内訳ﾘｽﾄ(4～3月)'!$D$26:$D$1000,$B25,'内訳ﾘｽﾄ(4～3月)'!G$26:G$1000)</f>
        <v>339588</v>
      </c>
      <c r="E25" s="158">
        <f>SUMIF('内訳ﾘｽﾄ(4～3月)'!$D$26:$D$1000,$B25,'内訳ﾘｽﾄ(4～3月)'!H$26:H$1000)</f>
        <v>370044</v>
      </c>
      <c r="F25" s="158">
        <f>SUMIF('内訳ﾘｽﾄ(4～3月)'!$D$26:$D$1000,$B25,'内訳ﾘｽﾄ(4～3月)'!I$26:I$1000)</f>
        <v>400518</v>
      </c>
      <c r="G25" s="158">
        <f>SUMIF('内訳ﾘｽﾄ(4～3月)'!$D$26:$D$1000,$B25,'内訳ﾘｽﾄ(4～3月)'!J$26:J$1000)</f>
        <v>350712</v>
      </c>
      <c r="H25" s="158">
        <f>SUMIF('内訳ﾘｽﾄ(4～3月)'!$D$26:$D$1000,$B25,'内訳ﾘｽﾄ(4～3月)'!K$26:K$1000)</f>
        <v>334674</v>
      </c>
      <c r="I25" s="158">
        <f>SUMIF('内訳ﾘｽﾄ(4～3月)'!$D$26:$D$1000,$B25,'内訳ﾘｽﾄ(4～3月)'!L$26:L$1000)</f>
        <v>400338</v>
      </c>
      <c r="J25" s="158">
        <f>SUMIF('内訳ﾘｽﾄ(4～3月)'!$D$26:$D$1000,$B25,'内訳ﾘｽﾄ(4～3月)'!M$26:M$1000)</f>
        <v>351630</v>
      </c>
      <c r="K25" s="158">
        <f>SUMIF('内訳ﾘｽﾄ(4～3月)'!$D$26:$D$1000,$B25,'内訳ﾘｽﾄ(4～3月)'!N$26:N$1000)</f>
        <v>384804</v>
      </c>
      <c r="L25" s="158">
        <f>SUMIF('内訳ﾘｽﾄ(4～3月)'!$D$26:$D$1000,$B25,'内訳ﾘｽﾄ(4～3月)'!O$26:O$1000)</f>
        <v>351486</v>
      </c>
      <c r="M25" s="158">
        <f>SUMIF('内訳ﾘｽﾄ(4～3月)'!$D$26:$D$1000,$B25,'内訳ﾘｽﾄ(4～3月)'!P$26:P$1000)</f>
        <v>270162</v>
      </c>
      <c r="N25" s="158">
        <f>SUMIF('内訳ﾘｽﾄ(4～3月)'!$D$26:$D$1000,$B25,'内訳ﾘｽﾄ(4～3月)'!Q$26:Q$1000)</f>
        <v>351360</v>
      </c>
      <c r="O25" s="158">
        <f>SUMIF('内訳ﾘｽﾄ(4～3月)'!$D$26:$D$799,'採算表(VND)'!$B25,'内訳ﾘｽﾄ(4～3月)'!R$26:R$799)</f>
        <v>4237598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16750000</v>
      </c>
      <c r="D26" s="158">
        <f>SUMIF('内訳ﾘｽﾄ(4～3月)'!$D$26:$D$1000,$B26,'内訳ﾘｽﾄ(4～3月)'!G$26:G$1000)</f>
        <v>0</v>
      </c>
      <c r="E26" s="158">
        <f>SUMIF('内訳ﾘｽﾄ(4～3月)'!$D$26:$D$1000,$B26,'内訳ﾘｽﾄ(4～3月)'!H$26:H$1000)</f>
        <v>16750000</v>
      </c>
      <c r="F26" s="158">
        <f>SUMIF('内訳ﾘｽﾄ(4～3月)'!$D$26:$D$1000,$B26,'内訳ﾘｽﾄ(4～3月)'!I$26:I$1000)</f>
        <v>50250000</v>
      </c>
      <c r="G26" s="158">
        <f>SUMIF('内訳ﾘｽﾄ(4～3月)'!$D$26:$D$1000,$B26,'内訳ﾘｽﾄ(4～3月)'!J$26:J$1000)</f>
        <v>16750000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100500000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7219545</v>
      </c>
      <c r="D28" s="158">
        <f>SUMIF('内訳ﾘｽﾄ(4～3月)'!$D$26:$D$1000,$B28,'内訳ﾘｽﾄ(4～3月)'!G$26:G$1000)</f>
        <v>7219545</v>
      </c>
      <c r="E28" s="158">
        <f>SUMIF('内訳ﾘｽﾄ(4～3月)'!$D$26:$D$1000,$B28,'内訳ﾘｽﾄ(4～3月)'!H$26:H$1000)</f>
        <v>7219545</v>
      </c>
      <c r="F28" s="158">
        <f>SUMIF('内訳ﾘｽﾄ(4～3月)'!$D$26:$D$1000,$B28,'内訳ﾘｽﾄ(4～3月)'!I$26:I$1000)</f>
        <v>7219545</v>
      </c>
      <c r="G28" s="158">
        <f>SUMIF('内訳ﾘｽﾄ(4～3月)'!$D$26:$D$1000,$B28,'内訳ﾘｽﾄ(4～3月)'!J$26:J$1000)</f>
        <v>7219545</v>
      </c>
      <c r="H28" s="158">
        <f>SUMIF('内訳ﾘｽﾄ(4～3月)'!$D$26:$D$1000,$B28,'内訳ﾘｽﾄ(4～3月)'!K$26:K$1000)</f>
        <v>7219545</v>
      </c>
      <c r="I28" s="158">
        <f>SUMIF('内訳ﾘｽﾄ(4～3月)'!$D$26:$D$1000,$B28,'内訳ﾘｽﾄ(4～3月)'!L$26:L$1000)</f>
        <v>7219545</v>
      </c>
      <c r="J28" s="158">
        <f>SUMIF('内訳ﾘｽﾄ(4～3月)'!$D$26:$D$1000,$B28,'内訳ﾘｽﾄ(4～3月)'!M$26:M$1000)</f>
        <v>7219545</v>
      </c>
      <c r="K28" s="158">
        <f>SUMIF('内訳ﾘｽﾄ(4～3月)'!$D$26:$D$1000,$B28,'内訳ﾘｽﾄ(4～3月)'!N$26:N$1000)</f>
        <v>7219545</v>
      </c>
      <c r="L28" s="158">
        <f>SUMIF('内訳ﾘｽﾄ(4～3月)'!$D$26:$D$1000,$B28,'内訳ﾘｽﾄ(4～3月)'!O$26:O$1000)</f>
        <v>7219545</v>
      </c>
      <c r="M28" s="158">
        <f>SUMIF('内訳ﾘｽﾄ(4～3月)'!$D$26:$D$1000,$B28,'内訳ﾘｽﾄ(4～3月)'!P$26:P$1000)</f>
        <v>7219545</v>
      </c>
      <c r="N28" s="158">
        <f>SUMIF('内訳ﾘｽﾄ(4～3月)'!$D$26:$D$1000,$B28,'内訳ﾘｽﾄ(4～3月)'!Q$26:Q$1000)</f>
        <v>7219545</v>
      </c>
      <c r="O28" s="158">
        <f>SUMIF('内訳ﾘｽﾄ(4～3月)'!$D$26:$D$799,'採算表(VND)'!$B28,'内訳ﾘｽﾄ(4～3月)'!R$26:R$799)</f>
        <v>86634540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2588647</v>
      </c>
      <c r="D30" s="158">
        <f>SUMIF('内訳ﾘｽﾄ(4～3月)'!$D$26:$D$1000,$B30,'内訳ﾘｽﾄ(4～3月)'!G$26:G$1000)</f>
        <v>2698201</v>
      </c>
      <c r="E30" s="158">
        <f>SUMIF('内訳ﾘｽﾄ(4～3月)'!$D$26:$D$1000,$B30,'内訳ﾘｽﾄ(4～3月)'!H$26:H$1000)</f>
        <v>3239360</v>
      </c>
      <c r="F30" s="158">
        <f>SUMIF('内訳ﾘｽﾄ(4～3月)'!$D$26:$D$1000,$B30,'内訳ﾘｽﾄ(4～3月)'!I$26:I$1000)</f>
        <v>3693044</v>
      </c>
      <c r="G30" s="158">
        <f>SUMIF('内訳ﾘｽﾄ(4～3月)'!$D$26:$D$1000,$B30,'内訳ﾘｽﾄ(4～3月)'!J$26:J$1000)</f>
        <v>3581652</v>
      </c>
      <c r="H30" s="158">
        <f>SUMIF('内訳ﾘｽﾄ(4～3月)'!$D$26:$D$1000,$B30,'内訳ﾘｽﾄ(4～3月)'!K$26:K$1000)</f>
        <v>3227307</v>
      </c>
      <c r="I30" s="158">
        <f>SUMIF('内訳ﾘｽﾄ(4～3月)'!$D$26:$D$1000,$B30,'内訳ﾘｽﾄ(4～3月)'!L$26:L$1000)</f>
        <v>3110975</v>
      </c>
      <c r="J30" s="158">
        <f>SUMIF('内訳ﾘｽﾄ(4～3月)'!$D$26:$D$1000,$B30,'内訳ﾘｽﾄ(4～3月)'!M$26:M$1000)</f>
        <v>3064623</v>
      </c>
      <c r="K30" s="158">
        <f>SUMIF('内訳ﾘｽﾄ(4～3月)'!$D$26:$D$1000,$B30,'内訳ﾘｽﾄ(4～3月)'!N$26:N$1000)</f>
        <v>3048996</v>
      </c>
      <c r="L30" s="158">
        <f>SUMIF('内訳ﾘｽﾄ(4～3月)'!$D$26:$D$1000,$B30,'内訳ﾘｽﾄ(4～3月)'!O$26:O$1000)</f>
        <v>2661327</v>
      </c>
      <c r="M30" s="158">
        <f>SUMIF('内訳ﾘｽﾄ(4～3月)'!$D$26:$D$1000,$B30,'内訳ﾘｽﾄ(4～3月)'!P$26:P$1000)</f>
        <v>2363799</v>
      </c>
      <c r="N30" s="158">
        <f>SUMIF('内訳ﾘｽﾄ(4～3月)'!$D$26:$D$1000,$B30,'内訳ﾘｽﾄ(4～3月)'!Q$26:Q$1000)</f>
        <v>2262349</v>
      </c>
      <c r="O30" s="158">
        <f>SUMIF('内訳ﾘｽﾄ(4～3月)'!$D$26:$D$799,'採算表(VND)'!$B30,'内訳ﾘｽﾄ(4～3月)'!R$26:R$799)</f>
        <v>35540280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956199</v>
      </c>
      <c r="D39" s="158">
        <f>SUMIF('内訳ﾘｽﾄ(4～3月)'!$D$26:$D$1000,$B39,'内訳ﾘｽﾄ(4～3月)'!G$26:G$1000)</f>
        <v>1016316</v>
      </c>
      <c r="E39" s="158">
        <f>SUMIF('内訳ﾘｽﾄ(4～3月)'!$D$26:$D$1000,$B39,'内訳ﾘｽﾄ(4～3月)'!H$26:H$1000)</f>
        <v>1047618</v>
      </c>
      <c r="F39" s="158">
        <f>SUMIF('内訳ﾘｽﾄ(4～3月)'!$D$26:$D$1000,$B39,'内訳ﾘｽﾄ(4～3月)'!I$26:I$1000)</f>
        <v>959508</v>
      </c>
      <c r="G39" s="158">
        <f>SUMIF('内訳ﾘｽﾄ(4～3月)'!$D$26:$D$1000,$B39,'内訳ﾘｽﾄ(4～3月)'!J$26:J$1000)</f>
        <v>934038</v>
      </c>
      <c r="H39" s="158">
        <f>SUMIF('内訳ﾘｽﾄ(4～3月)'!$D$26:$D$1000,$B39,'内訳ﾘｽﾄ(4～3月)'!K$26:K$1000)</f>
        <v>892620</v>
      </c>
      <c r="I39" s="158">
        <f>SUMIF('内訳ﾘｽﾄ(4～3月)'!$D$26:$D$1000,$B39,'内訳ﾘｽﾄ(4～3月)'!L$26:L$1000)</f>
        <v>853776</v>
      </c>
      <c r="J39" s="158">
        <f>SUMIF('内訳ﾘｽﾄ(4～3月)'!$D$26:$D$1000,$B39,'内訳ﾘｽﾄ(4～3月)'!M$26:M$1000)</f>
        <v>843192</v>
      </c>
      <c r="K39" s="158">
        <f>SUMIF('内訳ﾘｽﾄ(4～3月)'!$D$26:$D$1000,$B39,'内訳ﾘｽﾄ(4～3月)'!N$26:N$1000)</f>
        <v>845586</v>
      </c>
      <c r="L39" s="158">
        <f>SUMIF('内訳ﾘｽﾄ(4～3月)'!$D$26:$D$1000,$B39,'内訳ﾘｽﾄ(4～3月)'!O$26:O$1000)</f>
        <v>809424</v>
      </c>
      <c r="M39" s="158">
        <f>SUMIF('内訳ﾘｽﾄ(4～3月)'!$D$26:$D$1000,$B39,'内訳ﾘｽﾄ(4～3月)'!P$26:P$1000)</f>
        <v>766116</v>
      </c>
      <c r="N39" s="158">
        <f>SUMIF('内訳ﾘｽﾄ(4～3月)'!$D$26:$D$1000,$B39,'内訳ﾘｽﾄ(4～3月)'!Q$26:Q$1000)</f>
        <v>801720</v>
      </c>
      <c r="O39" s="158">
        <f>SUMIF('内訳ﾘｽﾄ(4～3月)'!$D$26:$D$799,'採算表(VND)'!$B39,'内訳ﾘｽﾄ(4～3月)'!R$26:R$799)</f>
        <v>10726113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3343496</v>
      </c>
      <c r="D41" s="158">
        <f>SUMIF('内訳ﾘｽﾄ(4～3月)'!$D$26:$D$1000,$B41,'内訳ﾘｽﾄ(4～3月)'!G$26:G$1000)</f>
        <v>3343496</v>
      </c>
      <c r="E41" s="158">
        <f>SUMIF('内訳ﾘｽﾄ(4～3月)'!$D$26:$D$1000,$B41,'内訳ﾘｽﾄ(4～3月)'!H$26:H$1000)</f>
        <v>3343496</v>
      </c>
      <c r="F41" s="158">
        <f>SUMIF('内訳ﾘｽﾄ(4～3月)'!$D$26:$D$1000,$B41,'内訳ﾘｽﾄ(4～3月)'!I$26:I$1000)</f>
        <v>3343496</v>
      </c>
      <c r="G41" s="158">
        <f>SUMIF('内訳ﾘｽﾄ(4～3月)'!$D$26:$D$1000,$B41,'内訳ﾘｽﾄ(4～3月)'!J$26:J$1000)</f>
        <v>3343496</v>
      </c>
      <c r="H41" s="158">
        <f>SUMIF('内訳ﾘｽﾄ(4～3月)'!$D$26:$D$1000,$B41,'内訳ﾘｽﾄ(4～3月)'!K$26:K$1000)</f>
        <v>3343496</v>
      </c>
      <c r="I41" s="158">
        <f>SUMIF('内訳ﾘｽﾄ(4～3月)'!$D$26:$D$1000,$B41,'内訳ﾘｽﾄ(4～3月)'!L$26:L$1000)</f>
        <v>3343496</v>
      </c>
      <c r="J41" s="158">
        <f>SUMIF('内訳ﾘｽﾄ(4～3月)'!$D$26:$D$1000,$B41,'内訳ﾘｽﾄ(4～3月)'!M$26:M$1000)</f>
        <v>3343496</v>
      </c>
      <c r="K41" s="158">
        <f>SUMIF('内訳ﾘｽﾄ(4～3月)'!$D$26:$D$1000,$B41,'内訳ﾘｽﾄ(4～3月)'!N$26:N$1000)</f>
        <v>3343496</v>
      </c>
      <c r="L41" s="158">
        <f>SUMIF('内訳ﾘｽﾄ(4～3月)'!$D$26:$D$1000,$B41,'内訳ﾘｽﾄ(4～3月)'!O$26:O$1000)</f>
        <v>3343496</v>
      </c>
      <c r="M41" s="158">
        <f>SUMIF('内訳ﾘｽﾄ(4～3月)'!$D$26:$D$1000,$B41,'内訳ﾘｽﾄ(4～3月)'!P$26:P$1000)</f>
        <v>3343496</v>
      </c>
      <c r="N41" s="158">
        <f>SUMIF('内訳ﾘｽﾄ(4～3月)'!$D$26:$D$1000,$B41,'内訳ﾘｽﾄ(4～3月)'!Q$26:Q$1000)</f>
        <v>3343496</v>
      </c>
      <c r="O41" s="158">
        <f>SUMIF('内訳ﾘｽﾄ(4～3月)'!$D$26:$D$799,'採算表(VND)'!$B41,'内訳ﾘｽﾄ(4～3月)'!R$26:R$799)</f>
        <v>40121952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266038015</v>
      </c>
      <c r="D42" s="158">
        <f>SUMIF('内訳ﾘｽﾄ(4～3月)'!$D$26:$D$1000,$B42,'内訳ﾘｽﾄ(4～3月)'!G$26:G$1000)</f>
        <v>90333304</v>
      </c>
      <c r="E42" s="158">
        <f>SUMIF('内訳ﾘｽﾄ(4～3月)'!$D$26:$D$1000,$B42,'内訳ﾘｽﾄ(4～3月)'!H$26:H$1000)</f>
        <v>90333304</v>
      </c>
      <c r="F42" s="158">
        <f>SUMIF('内訳ﾘｽﾄ(4～3月)'!$D$26:$D$1000,$B42,'内訳ﾘｽﾄ(4～3月)'!I$26:I$1000)</f>
        <v>90333304</v>
      </c>
      <c r="G42" s="158">
        <f>SUMIF('内訳ﾘｽﾄ(4～3月)'!$D$26:$D$1000,$B42,'内訳ﾘｽﾄ(4～3月)'!J$26:J$1000)</f>
        <v>90333304</v>
      </c>
      <c r="H42" s="158">
        <f>SUMIF('内訳ﾘｽﾄ(4～3月)'!$D$26:$D$1000,$B42,'内訳ﾘｽﾄ(4～3月)'!K$26:K$1000)</f>
        <v>90333304</v>
      </c>
      <c r="I42" s="158">
        <f>SUMIF('内訳ﾘｽﾄ(4～3月)'!$D$26:$D$1000,$B42,'内訳ﾘｽﾄ(4～3月)'!L$26:L$1000)</f>
        <v>90333304</v>
      </c>
      <c r="J42" s="158">
        <f>SUMIF('内訳ﾘｽﾄ(4～3月)'!$D$26:$D$1000,$B42,'内訳ﾘｽﾄ(4～3月)'!M$26:M$1000)</f>
        <v>90347704</v>
      </c>
      <c r="K42" s="158">
        <f>SUMIF('内訳ﾘｽﾄ(4～3月)'!$D$26:$D$1000,$B42,'内訳ﾘｽﾄ(4～3月)'!N$26:N$1000)</f>
        <v>90333304</v>
      </c>
      <c r="L42" s="158">
        <f>SUMIF('内訳ﾘｽﾄ(4～3月)'!$D$26:$D$1000,$B42,'内訳ﾘｽﾄ(4～3月)'!O$26:O$1000)</f>
        <v>90333304</v>
      </c>
      <c r="M42" s="158">
        <f>SUMIF('内訳ﾘｽﾄ(4～3月)'!$D$26:$D$1000,$B42,'内訳ﾘｽﾄ(4～3月)'!P$26:P$1000)</f>
        <v>90333304</v>
      </c>
      <c r="N42" s="158">
        <f>SUMIF('内訳ﾘｽﾄ(4～3月)'!$D$26:$D$1000,$B42,'内訳ﾘｽﾄ(4～3月)'!Q$26:Q$1000)</f>
        <v>90333304</v>
      </c>
      <c r="O42" s="158">
        <f>SUMIF('内訳ﾘｽﾄ(4～3月)'!$D$26:$D$799,'採算表(VND)'!$B42,'内訳ﾘｽﾄ(4～3月)'!R$26:R$799)</f>
        <v>1259718759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19945390</v>
      </c>
      <c r="D44" s="158">
        <f>SUMIF('内訳ﾘｽﾄ(4～3月)'!$D$26:$D$1000,$B44,'内訳ﾘｽﾄ(4～3月)'!G$26:G$1000)</f>
        <v>43655001</v>
      </c>
      <c r="E44" s="158">
        <f>SUMIF('内訳ﾘｽﾄ(4～3月)'!$D$26:$D$1000,$B44,'内訳ﾘｽﾄ(4～3月)'!H$26:H$1000)</f>
        <v>11102202</v>
      </c>
      <c r="F44" s="158">
        <f>SUMIF('内訳ﾘｽﾄ(4～3月)'!$D$26:$D$1000,$B44,'内訳ﾘｽﾄ(4～3月)'!I$26:I$1000)</f>
        <v>10238132</v>
      </c>
      <c r="G44" s="158">
        <f>SUMIF('内訳ﾘｽﾄ(4～3月)'!$D$26:$D$1000,$B44,'内訳ﾘｽﾄ(4～3月)'!J$26:J$1000)</f>
        <v>9075834</v>
      </c>
      <c r="H44" s="158">
        <f>SUMIF('内訳ﾘｽﾄ(4～3月)'!$D$26:$D$1000,$B44,'内訳ﾘｽﾄ(4～3月)'!K$26:K$1000)</f>
        <v>8893831</v>
      </c>
      <c r="I44" s="158">
        <f>SUMIF('内訳ﾘｽﾄ(4～3月)'!$D$26:$D$1000,$B44,'内訳ﾘｽﾄ(4～3月)'!L$26:L$1000)</f>
        <v>12343941</v>
      </c>
      <c r="J44" s="158">
        <f>SUMIF('内訳ﾘｽﾄ(4～3月)'!$D$26:$D$1000,$B44,'内訳ﾘｽﾄ(4～3月)'!M$26:M$1000)</f>
        <v>10160249</v>
      </c>
      <c r="K44" s="158">
        <f>SUMIF('内訳ﾘｽﾄ(4～3月)'!$D$26:$D$1000,$B44,'内訳ﾘｽﾄ(4～3月)'!N$26:N$1000)</f>
        <v>11647226</v>
      </c>
      <c r="L44" s="158">
        <f>SUMIF('内訳ﾘｽﾄ(4～3月)'!$D$26:$D$1000,$B44,'内訳ﾘｽﾄ(4～3月)'!O$26:O$1000)</f>
        <v>7983891</v>
      </c>
      <c r="M44" s="158">
        <f>SUMIF('内訳ﾘｽﾄ(4～3月)'!$D$26:$D$1000,$B44,'内訳ﾘｽﾄ(4～3月)'!P$26:P$1000)</f>
        <v>14293061</v>
      </c>
      <c r="N44" s="158">
        <f>SUMIF('内訳ﾘｽﾄ(4～3月)'!$D$26:$D$1000,$B44,'内訳ﾘｽﾄ(4～3月)'!Q$26:Q$1000)</f>
        <v>7121692</v>
      </c>
      <c r="O44" s="158">
        <f>SUMIF('内訳ﾘｽﾄ(4～3月)'!$D$26:$D$799,'採算表(VND)'!$B44,'内訳ﾘｽﾄ(4～3月)'!R$26:R$799)</f>
        <v>166460450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300000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300000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7848811</v>
      </c>
      <c r="D57" s="160">
        <f>SUMIF('内訳ﾘｽﾄ(4～3月)'!$D$26:$D$1000,$B57,'内訳ﾘｽﾄ(4～3月)'!G$26:G$1000)</f>
        <v>7419212</v>
      </c>
      <c r="E57" s="160">
        <f>SUMIF('内訳ﾘｽﾄ(4～3月)'!$D$26:$D$1000,$B57,'内訳ﾘｽﾄ(4～3月)'!H$26:H$1000)</f>
        <v>7421243</v>
      </c>
      <c r="F57" s="160">
        <f>SUMIF('内訳ﾘｽﾄ(4～3月)'!$D$26:$D$1000,$B57,'内訳ﾘｽﾄ(4～3月)'!I$26:I$1000)</f>
        <v>7414641</v>
      </c>
      <c r="G57" s="160">
        <f>SUMIF('内訳ﾘｽﾄ(4～3月)'!$D$26:$D$1000,$B57,'内訳ﾘｽﾄ(4～3月)'!J$26:J$1000)</f>
        <v>7412357</v>
      </c>
      <c r="H57" s="160">
        <f>SUMIF('内訳ﾘｽﾄ(4～3月)'!$D$26:$D$1000,$B57,'内訳ﾘｽﾄ(4～3月)'!K$26:K$1000)</f>
        <v>7316383</v>
      </c>
      <c r="I57" s="160">
        <f>SUMIF('内訳ﾘｽﾄ(4～3月)'!$D$26:$D$1000,$B57,'内訳ﾘｽﾄ(4～3月)'!L$26:L$1000)</f>
        <v>7288453</v>
      </c>
      <c r="J57" s="160">
        <f>SUMIF('内訳ﾘｽﾄ(4～3月)'!$D$26:$D$1000,$B57,'内訳ﾘｽﾄ(4～3月)'!M$26:M$1000)</f>
        <v>7287692</v>
      </c>
      <c r="K57" s="160">
        <f>SUMIF('内訳ﾘｽﾄ(4～3月)'!$D$26:$D$1000,$B57,'内訳ﾘｽﾄ(4～3月)'!N$26:N$1000)</f>
        <v>7288200</v>
      </c>
      <c r="L57" s="160">
        <f>SUMIF('内訳ﾘｽﾄ(4～3月)'!$D$26:$D$1000,$B57,'内訳ﾘｽﾄ(4～3月)'!O$26:O$1000)</f>
        <v>7285660</v>
      </c>
      <c r="M57" s="160">
        <f>SUMIF('内訳ﾘｽﾄ(4～3月)'!$D$26:$D$1000,$B57,'内訳ﾘｽﾄ(4～3月)'!P$26:P$1000)</f>
        <v>7282106</v>
      </c>
      <c r="N57" s="160">
        <f>SUMIF('内訳ﾘｽﾄ(4～3月)'!$D$26:$D$1000,$B57,'内訳ﾘｽﾄ(4～3月)'!Q$26:Q$1000)</f>
        <v>7285914</v>
      </c>
      <c r="O57" s="160">
        <f>SUMIF('内訳ﾘｽﾄ(4～3月)'!$D$26:$D$799,'採算表(VND)'!$B57,'内訳ﾘｽﾄ(4～3月)'!R$26:R$799)</f>
        <v>88550672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-336007876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-167259629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-151764571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-184780298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-149926001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-132344547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-135636084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-133359117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-134852905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-130726326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-136604704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-129457827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-1922719885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2677.5</v>
      </c>
      <c r="D68" s="162">
        <f>SUMIF('内訳ﾘｽﾄ(4～3月)'!$D$8:$D$15,'採算表(VND)'!$B68,'内訳ﾘｽﾄ(4～3月)'!G$8:G$15)</f>
        <v>2516</v>
      </c>
      <c r="E68" s="162">
        <f>SUMIF('内訳ﾘｽﾄ(4～3月)'!$D$8:$D$15,'採算表(VND)'!$B68,'内訳ﾘｽﾄ(4～3月)'!H$8:H$15)</f>
        <v>2881.5</v>
      </c>
      <c r="F68" s="162">
        <f>SUMIF('内訳ﾘｽﾄ(4～3月)'!$D$8:$D$15,'採算表(VND)'!$B68,'内訳ﾘｽﾄ(4～3月)'!I$8:I$15)</f>
        <v>3128</v>
      </c>
      <c r="G68" s="162">
        <f>SUMIF('内訳ﾘｽﾄ(4～3月)'!$D$8:$D$15,'採算表(VND)'!$B68,'内訳ﾘｽﾄ(4～3月)'!J$8:J$15)</f>
        <v>2728.5</v>
      </c>
      <c r="H68" s="162">
        <f>SUMIF('内訳ﾘｽﾄ(4～3月)'!$D$8:$D$15,'採算表(VND)'!$B68,'内訳ﾘｽﾄ(4～3月)'!K$8:K$15)</f>
        <v>2592.5</v>
      </c>
      <c r="I68" s="162">
        <f>SUMIF('内訳ﾘｽﾄ(4～3月)'!$D$8:$D$15,'採算表(VND)'!$B68,'内訳ﾘｽﾄ(4～3月)'!L$8:L$15)</f>
        <v>3255.5</v>
      </c>
      <c r="J68" s="162">
        <f>SUMIF('内訳ﾘｽﾄ(4～3月)'!$D$8:$D$15,'採算表(VND)'!$B68,'内訳ﾘｽﾄ(4～3月)'!M$8:M$15)</f>
        <v>2881.5</v>
      </c>
      <c r="K68" s="162">
        <f>SUMIF('内訳ﾘｽﾄ(4～3月)'!$D$8:$D$15,'採算表(VND)'!$B68,'内訳ﾘｽﾄ(4～3月)'!N$8:N$15)</f>
        <v>3204.5</v>
      </c>
      <c r="L68" s="162">
        <f>SUMIF('内訳ﾘｽﾄ(4～3月)'!$D$8:$D$15,'採算表(VND)'!$B68,'内訳ﾘｽﾄ(4～3月)'!O$8:O$15)</f>
        <v>2898.5</v>
      </c>
      <c r="M68" s="162">
        <f>SUMIF('内訳ﾘｽﾄ(4～3月)'!$D$8:$D$15,'採算表(VND)'!$B68,'内訳ﾘｽﾄ(4～3月)'!P$8:P$15)</f>
        <v>2133.5</v>
      </c>
      <c r="N68" s="162">
        <f>SUMIF('内訳ﾘｽﾄ(4～3月)'!$D$8:$D$15,'採算表(VND)'!$B68,'内訳ﾘｽﾄ(4～3月)'!Q$8:Q$15)</f>
        <v>2898.5</v>
      </c>
      <c r="O68" s="162">
        <f>SUMIF('内訳ﾘｽﾄ(4～3月)'!$D$8:$D$15,'採算表(VND)'!$B68,'内訳ﾘｽﾄ(4～3月)'!$R$8:$R$15)</f>
        <v>33796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-2677.5</v>
      </c>
      <c r="D71" s="164">
        <f>IF('内訳ﾘｽﾄ(4～3月)'!$D$5="製造",SUMIF('内訳ﾘｽﾄ(4～3月)'!$D$8:$D$15,$B71,'内訳ﾘｽﾄ(4～3月)'!G$8:G$15),IF('内訳ﾘｽﾄ(4～3月)'!$D$5="部外間接2",-D$68,0))</f>
        <v>-2516</v>
      </c>
      <c r="E71" s="164">
        <f>IF('内訳ﾘｽﾄ(4～3月)'!$D$5="製造",SUMIF('内訳ﾘｽﾄ(4～3月)'!$D$8:$D$15,$B71,'内訳ﾘｽﾄ(4～3月)'!H$8:H$15),IF('内訳ﾘｽﾄ(4～3月)'!$D$5="部外間接2",-E$68,0))</f>
        <v>-2881.5</v>
      </c>
      <c r="F71" s="164">
        <f>IF('内訳ﾘｽﾄ(4～3月)'!$D$5="製造",SUMIF('内訳ﾘｽﾄ(4～3月)'!$D$8:$D$15,$B71,'内訳ﾘｽﾄ(4～3月)'!I$8:I$15),IF('内訳ﾘｽﾄ(4～3月)'!$D$5="部外間接2",-F$68,0))</f>
        <v>-3128</v>
      </c>
      <c r="G71" s="164">
        <f>IF('内訳ﾘｽﾄ(4～3月)'!$D$5="製造",SUMIF('内訳ﾘｽﾄ(4～3月)'!$D$8:$D$15,$B71,'内訳ﾘｽﾄ(4～3月)'!J$8:J$15),IF('内訳ﾘｽﾄ(4～3月)'!$D$5="部外間接2",-G$68,0))</f>
        <v>-2728.5</v>
      </c>
      <c r="H71" s="164">
        <f>IF('内訳ﾘｽﾄ(4～3月)'!$D$5="製造",SUMIF('内訳ﾘｽﾄ(4～3月)'!$D$8:$D$15,$B71,'内訳ﾘｽﾄ(4～3月)'!K$8:K$15),IF('内訳ﾘｽﾄ(4～3月)'!$D$5="部外間接2",-H$68,0))</f>
        <v>-2592.5</v>
      </c>
      <c r="I71" s="164">
        <f>IF('内訳ﾘｽﾄ(4～3月)'!$D$5="製造",SUMIF('内訳ﾘｽﾄ(4～3月)'!$D$8:$D$15,$B71,'内訳ﾘｽﾄ(4～3月)'!L$8:L$15),IF('内訳ﾘｽﾄ(4～3月)'!$D$5="部外間接2",-I$68,0))</f>
        <v>-3255.5</v>
      </c>
      <c r="J71" s="164">
        <f>IF('内訳ﾘｽﾄ(4～3月)'!$D$5="製造",SUMIF('内訳ﾘｽﾄ(4～3月)'!$D$8:$D$15,$B71,'内訳ﾘｽﾄ(4～3月)'!M$8:M$15),IF('内訳ﾘｽﾄ(4～3月)'!$D$5="部外間接2",-J$68,0))</f>
        <v>-2881.5</v>
      </c>
      <c r="K71" s="164">
        <f>IF('内訳ﾘｽﾄ(4～3月)'!$D$5="製造",SUMIF('内訳ﾘｽﾄ(4～3月)'!$D$8:$D$15,$B71,'内訳ﾘｽﾄ(4～3月)'!N$8:N$15),IF('内訳ﾘｽﾄ(4～3月)'!$D$5="部外間接2",-K$68,0))</f>
        <v>-3204.5</v>
      </c>
      <c r="L71" s="164">
        <f>IF('内訳ﾘｽﾄ(4～3月)'!$D$5="製造",SUMIF('内訳ﾘｽﾄ(4～3月)'!$D$8:$D$15,$B71,'内訳ﾘｽﾄ(4～3月)'!O$8:O$15),IF('内訳ﾘｽﾄ(4～3月)'!$D$5="部外間接2",-L$68,0))</f>
        <v>-2898.5</v>
      </c>
      <c r="M71" s="164">
        <f>IF('内訳ﾘｽﾄ(4～3月)'!$D$5="製造",SUMIF('内訳ﾘｽﾄ(4～3月)'!$D$8:$D$15,$B71,'内訳ﾘｽﾄ(4～3月)'!P$8:P$15),IF('内訳ﾘｽﾄ(4～3月)'!$D$5="部外間接2",-M$68,0))</f>
        <v>-2133.5</v>
      </c>
      <c r="N71" s="164">
        <f>IF('内訳ﾘｽﾄ(4～3月)'!$D$5="製造",SUMIF('内訳ﾘｽﾄ(4～3月)'!$D$8:$D$15,$B71,'内訳ﾘｽﾄ(4～3月)'!Q$8:Q$15),IF('内訳ﾘｽﾄ(4～3月)'!$D$5="部外間接2",-N$68,0))</f>
        <v>-2898.5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-33796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194</v>
      </c>
      <c r="D74" s="162">
        <f>SUMIF('内訳ﾘｽﾄ(4～3月)'!$D$16:$D$23,'採算表(VND)'!$B74,'内訳ﾘｽﾄ(4～3月)'!G$16:G$23)</f>
        <v>184</v>
      </c>
      <c r="E74" s="162">
        <f>SUMIF('内訳ﾘｽﾄ(4～3月)'!$D$16:$D$23,'採算表(VND)'!$B74,'内訳ﾘｽﾄ(4～3月)'!H$16:H$23)</f>
        <v>204</v>
      </c>
      <c r="F74" s="162">
        <f>SUMIF('内訳ﾘｽﾄ(4～3月)'!$D$16:$D$23,'採算表(VND)'!$B74,'内訳ﾘｽﾄ(4～3月)'!I$16:I$23)</f>
        <v>214</v>
      </c>
      <c r="G74" s="162">
        <f>SUMIF('内訳ﾘｽﾄ(4～3月)'!$D$16:$D$23,'採算表(VND)'!$B74,'内訳ﾘｽﾄ(4～3月)'!J$16:J$23)</f>
        <v>192</v>
      </c>
      <c r="H74" s="162">
        <f>SUMIF('内訳ﾘｽﾄ(4～3月)'!$D$16:$D$23,'採算表(VND)'!$B74,'内訳ﾘｽﾄ(4～3月)'!K$16:K$23)</f>
        <v>184</v>
      </c>
      <c r="I74" s="162">
        <f>SUMIF('内訳ﾘｽﾄ(4～3月)'!$D$16:$D$23,'採算表(VND)'!$B74,'内訳ﾘｽﾄ(4～3月)'!L$16:L$23)</f>
        <v>224</v>
      </c>
      <c r="J74" s="162">
        <f>SUMIF('内訳ﾘｽﾄ(4～3月)'!$D$16:$D$23,'採算表(VND)'!$B74,'内訳ﾘｽﾄ(4～3月)'!M$16:M$23)</f>
        <v>194</v>
      </c>
      <c r="K74" s="162">
        <f>SUMIF('内訳ﾘｽﾄ(4～3月)'!$D$16:$D$23,'採算表(VND)'!$B74,'内訳ﾘｽﾄ(4～3月)'!N$16:N$23)</f>
        <v>214</v>
      </c>
      <c r="L74" s="162">
        <f>SUMIF('内訳ﾘｽﾄ(4～3月)'!$D$16:$D$23,'採算表(VND)'!$B74,'内訳ﾘｽﾄ(4～3月)'!O$16:O$23)</f>
        <v>234</v>
      </c>
      <c r="M74" s="162">
        <f>SUMIF('内訳ﾘｽﾄ(4～3月)'!$D$16:$D$23,'採算表(VND)'!$B74,'内訳ﾘｽﾄ(4～3月)'!P$16:P$23)</f>
        <v>174</v>
      </c>
      <c r="N74" s="162">
        <f>SUMIF('内訳ﾘｽﾄ(4～3月)'!$D$16:$D$23,'採算表(VND)'!$B74,'内訳ﾘｽﾄ(4～3月)'!Q$16:Q$23)</f>
        <v>234</v>
      </c>
      <c r="O74" s="162">
        <f>SUMIF('内訳ﾘｽﾄ(4～3月)'!$D$16:$D$23,'採算表(VND)'!$B74,'内訳ﾘｽﾄ(4～3月)'!$R$16:$R$23)</f>
        <v>2446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-194</v>
      </c>
      <c r="D77" s="164">
        <f>IF('内訳ﾘｽﾄ(4～3月)'!$D$5="製造",SUMIF('内訳ﾘｽﾄ(4～3月)'!$D$16:$D$23,$B77,'内訳ﾘｽﾄ(4～3月)'!G$16:G$23),IF('内訳ﾘｽﾄ(4～3月)'!$D$5="部外間接2",-D$74,0))</f>
        <v>-184</v>
      </c>
      <c r="E77" s="164">
        <f>IF('内訳ﾘｽﾄ(4～3月)'!$D$5="製造",SUMIF('内訳ﾘｽﾄ(4～3月)'!$D$16:$D$23,$B77,'内訳ﾘｽﾄ(4～3月)'!H$16:H$23),IF('内訳ﾘｽﾄ(4～3月)'!$D$5="部外間接2",-E$74,0))</f>
        <v>-204</v>
      </c>
      <c r="F77" s="164">
        <f>IF('内訳ﾘｽﾄ(4～3月)'!$D$5="製造",SUMIF('内訳ﾘｽﾄ(4～3月)'!$D$16:$D$23,$B77,'内訳ﾘｽﾄ(4～3月)'!I$16:I$23),IF('内訳ﾘｽﾄ(4～3月)'!$D$5="部外間接2",-F$74,0))</f>
        <v>-214</v>
      </c>
      <c r="G77" s="164">
        <f>IF('内訳ﾘｽﾄ(4～3月)'!$D$5="製造",SUMIF('内訳ﾘｽﾄ(4～3月)'!$D$16:$D$23,$B77,'内訳ﾘｽﾄ(4～3月)'!J$16:J$23),IF('内訳ﾘｽﾄ(4～3月)'!$D$5="部外間接2",-G$74,0))</f>
        <v>-192</v>
      </c>
      <c r="H77" s="164">
        <f>IF('内訳ﾘｽﾄ(4～3月)'!$D$5="製造",SUMIF('内訳ﾘｽﾄ(4～3月)'!$D$16:$D$23,$B77,'内訳ﾘｽﾄ(4～3月)'!K$16:K$23),IF('内訳ﾘｽﾄ(4～3月)'!$D$5="部外間接2",-H$74,0))</f>
        <v>-184</v>
      </c>
      <c r="I77" s="164">
        <f>IF('内訳ﾘｽﾄ(4～3月)'!$D$5="製造",SUMIF('内訳ﾘｽﾄ(4～3月)'!$D$16:$D$23,$B77,'内訳ﾘｽﾄ(4～3月)'!L$16:L$23),IF('内訳ﾘｽﾄ(4～3月)'!$D$5="部外間接2",-I$74,0))</f>
        <v>-224</v>
      </c>
      <c r="J77" s="164">
        <f>IF('内訳ﾘｽﾄ(4～3月)'!$D$5="製造",SUMIF('内訳ﾘｽﾄ(4～3月)'!$D$16:$D$23,$B77,'内訳ﾘｽﾄ(4～3月)'!M$16:M$23),IF('内訳ﾘｽﾄ(4～3月)'!$D$5="部外間接2",-J$74,0))</f>
        <v>-194</v>
      </c>
      <c r="K77" s="164">
        <f>IF('内訳ﾘｽﾄ(4～3月)'!$D$5="製造",SUMIF('内訳ﾘｽﾄ(4～3月)'!$D$16:$D$23,$B77,'内訳ﾘｽﾄ(4～3月)'!N$16:N$23),IF('内訳ﾘｽﾄ(4～3月)'!$D$5="部外間接2",-K$74,0))</f>
        <v>-214</v>
      </c>
      <c r="L77" s="164">
        <f>IF('内訳ﾘｽﾄ(4～3月)'!$D$5="製造",SUMIF('内訳ﾘｽﾄ(4～3月)'!$D$16:$D$23,$B77,'内訳ﾘｽﾄ(4～3月)'!O$16:O$23),IF('内訳ﾘｽﾄ(4～3月)'!$D$5="部外間接2",-L$74,0))</f>
        <v>-234</v>
      </c>
      <c r="M77" s="164">
        <f>IF('内訳ﾘｽﾄ(4～3月)'!$D$5="製造",SUMIF('内訳ﾘｽﾄ(4～3月)'!$D$16:$D$23,$B77,'内訳ﾘｽﾄ(4～3月)'!P$16:P$23),IF('内訳ﾘｽﾄ(4～3月)'!$D$5="部外間接2",-M$74,0))</f>
        <v>-174</v>
      </c>
      <c r="N77" s="164">
        <f>IF('内訳ﾘｽﾄ(4～3月)'!$D$5="製造",SUMIF('内訳ﾘｽﾄ(4～3月)'!$D$16:$D$23,$B77,'内訳ﾘｽﾄ(4～3月)'!Q$16:Q$23),IF('内訳ﾘｽﾄ(4～3月)'!$D$5="部外間接2",-N$74,0))</f>
        <v>-234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-2446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17</v>
      </c>
      <c r="D88" s="150">
        <f>SUMIF('内訳ﾘｽﾄ(4～3月)'!$D$24:$D$25,'採算表(VND)'!$B88,'内訳ﾘｽﾄ(4～3月)'!G$24:G$25)</f>
        <v>17</v>
      </c>
      <c r="E88" s="150">
        <f>SUMIF('内訳ﾘｽﾄ(4～3月)'!$D$24:$D$25,'採算表(VND)'!$B88,'内訳ﾘｽﾄ(4～3月)'!H$24:H$25)</f>
        <v>17</v>
      </c>
      <c r="F88" s="150">
        <f>SUMIF('内訳ﾘｽﾄ(4～3月)'!$D$24:$D$25,'採算表(VND)'!$B88,'内訳ﾘｽﾄ(4～3月)'!I$24:I$25)</f>
        <v>17</v>
      </c>
      <c r="G88" s="150">
        <f>SUMIF('内訳ﾘｽﾄ(4～3月)'!$D$24:$D$25,'採算表(VND)'!$B88,'内訳ﾘｽﾄ(4～3月)'!J$24:J$25)</f>
        <v>17</v>
      </c>
      <c r="H88" s="150">
        <f>SUMIF('内訳ﾘｽﾄ(4～3月)'!$D$24:$D$25,'採算表(VND)'!$B88,'内訳ﾘｽﾄ(4～3月)'!K$24:K$25)</f>
        <v>17</v>
      </c>
      <c r="I88" s="150">
        <f>SUMIF('内訳ﾘｽﾄ(4～3月)'!$D$24:$D$25,'採算表(VND)'!$B88,'内訳ﾘｽﾄ(4～3月)'!L$24:L$25)</f>
        <v>17</v>
      </c>
      <c r="J88" s="150">
        <f>SUMIF('内訳ﾘｽﾄ(4～3月)'!$D$24:$D$25,'採算表(VND)'!$B88,'内訳ﾘｽﾄ(4～3月)'!M$24:M$25)</f>
        <v>17</v>
      </c>
      <c r="K88" s="150">
        <f>SUMIF('内訳ﾘｽﾄ(4～3月)'!$D$24:$D$25,'採算表(VND)'!$B88,'内訳ﾘｽﾄ(4～3月)'!N$24:N$25)</f>
        <v>17</v>
      </c>
      <c r="L88" s="150">
        <f>SUMIF('内訳ﾘｽﾄ(4～3月)'!$D$24:$D$25,'採算表(VND)'!$B88,'内訳ﾘｽﾄ(4～3月)'!O$24:O$25)</f>
        <v>17</v>
      </c>
      <c r="M88" s="150">
        <f>SUMIF('内訳ﾘｽﾄ(4～3月)'!$D$24:$D$25,'採算表(VND)'!$B88,'内訳ﾘｽﾄ(4～3月)'!P$24:P$25)</f>
        <v>17</v>
      </c>
      <c r="N88" s="150">
        <f>SUMIF('内訳ﾘｽﾄ(4～3月)'!$D$24:$D$25,'採算表(VND)'!$B88,'内訳ﾘｽﾄ(4～3月)'!Q$24:Q$25)</f>
        <v>17</v>
      </c>
      <c r="O88" s="150">
        <f>SUMIF('内訳ﾘｽﾄ(4～3月)'!$D$24:$D$25,'採算表(VND)'!$B88,'内訳ﾘｽﾄ(4～3月)'!R$24:R$25)</f>
        <v>17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18</v>
      </c>
      <c r="D89" s="151">
        <f t="shared" si="10"/>
        <v>18</v>
      </c>
      <c r="E89" s="151">
        <f t="shared" si="10"/>
        <v>18</v>
      </c>
      <c r="F89" s="151">
        <f t="shared" si="10"/>
        <v>18</v>
      </c>
      <c r="G89" s="151">
        <f t="shared" si="10"/>
        <v>18</v>
      </c>
      <c r="H89" s="151">
        <f t="shared" si="10"/>
        <v>18</v>
      </c>
      <c r="I89" s="151">
        <f t="shared" si="10"/>
        <v>18</v>
      </c>
      <c r="J89" s="151">
        <f t="shared" si="10"/>
        <v>18</v>
      </c>
      <c r="K89" s="151">
        <f t="shared" si="10"/>
        <v>18</v>
      </c>
      <c r="L89" s="151">
        <f t="shared" si="10"/>
        <v>18</v>
      </c>
      <c r="M89" s="151">
        <f t="shared" si="10"/>
        <v>18</v>
      </c>
      <c r="N89" s="151">
        <f t="shared" si="10"/>
        <v>18</v>
      </c>
      <c r="O89" s="151">
        <f>O87+O88</f>
        <v>18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170</v>
      </c>
      <c r="D92" s="161">
        <f>SUMIF('内訳ﾘｽﾄ(4～3月)'!$B$8:$B$15,$B92,'内訳ﾘｽﾄ(4～3月)'!G$8:G$15)</f>
        <v>161.5</v>
      </c>
      <c r="E92" s="161">
        <f>SUMIF('内訳ﾘｽﾄ(4～3月)'!$B$8:$B$15,$B92,'内訳ﾘｽﾄ(4～3月)'!H$8:H$15)</f>
        <v>178.5</v>
      </c>
      <c r="F92" s="161">
        <f>SUMIF('内訳ﾘｽﾄ(4～3月)'!$B$8:$B$15,$B92,'内訳ﾘｽﾄ(4～3月)'!I$8:I$15)</f>
        <v>153</v>
      </c>
      <c r="G92" s="161">
        <f>SUMIF('内訳ﾘｽﾄ(4～3月)'!$B$8:$B$15,$B92,'内訳ﾘｽﾄ(4～3月)'!J$8:J$15)</f>
        <v>161.5</v>
      </c>
      <c r="H92" s="161">
        <f>SUMIF('内訳ﾘｽﾄ(4～3月)'!$B$8:$B$15,$B92,'内訳ﾘｽﾄ(4～3月)'!K$8:K$15)</f>
        <v>161.5</v>
      </c>
      <c r="I92" s="161">
        <f>SUMIF('内訳ﾘｽﾄ(4～3月)'!$B$8:$B$15,$B92,'内訳ﾘｽﾄ(4～3月)'!L$8:L$15)</f>
        <v>195.5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170</v>
      </c>
      <c r="M92" s="161">
        <f>SUMIF('内訳ﾘｽﾄ(4～3月)'!$B$8:$B$15,$B92,'内訳ﾘｽﾄ(4～3月)'!P$8:P$15)</f>
        <v>127.5</v>
      </c>
      <c r="N92" s="161">
        <f>SUMIF('内訳ﾘｽﾄ(4～3月)'!$B$8:$B$15,$B92,'内訳ﾘｽﾄ(4～3月)'!Q$8:Q$15)</f>
        <v>170</v>
      </c>
      <c r="O92" s="161">
        <f>SUMIF('内訳ﾘｽﾄ(4～3月)'!$B$8:$B$15,$B92,'内訳ﾘｽﾄ(4～3月)'!R$8:R$15)</f>
        <v>2006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2507.5</v>
      </c>
      <c r="D93" s="161">
        <f>SUMIF('内訳ﾘｽﾄ(4～3月)'!$B$8:$B$15,$B93,'内訳ﾘｽﾄ(4～3月)'!G$8:G$15)</f>
        <v>2354.5</v>
      </c>
      <c r="E93" s="161">
        <f>SUMIF('内訳ﾘｽﾄ(4～3月)'!$B$8:$B$15,$B93,'内訳ﾘｽﾄ(4～3月)'!H$8:H$15)</f>
        <v>2703</v>
      </c>
      <c r="F93" s="161">
        <f>SUMIF('内訳ﾘｽﾄ(4～3月)'!$B$8:$B$15,$B93,'内訳ﾘｽﾄ(4～3月)'!I$8:I$15)</f>
        <v>2975</v>
      </c>
      <c r="G93" s="161">
        <f>SUMIF('内訳ﾘｽﾄ(4～3月)'!$B$8:$B$15,$B93,'内訳ﾘｽﾄ(4～3月)'!J$8:J$15)</f>
        <v>2567</v>
      </c>
      <c r="H93" s="161">
        <f>SUMIF('内訳ﾘｽﾄ(4～3月)'!$B$8:$B$15,$B93,'内訳ﾘｽﾄ(4～3月)'!K$8:K$15)</f>
        <v>2431</v>
      </c>
      <c r="I93" s="161">
        <f>SUMIF('内訳ﾘｽﾄ(4～3月)'!$B$8:$B$15,$B93,'内訳ﾘｽﾄ(4～3月)'!L$8:L$15)</f>
        <v>3060</v>
      </c>
      <c r="J93" s="161">
        <f>SUMIF('内訳ﾘｽﾄ(4～3月)'!$B$8:$B$15,$B93,'内訳ﾘｽﾄ(4～3月)'!M$8:M$15)</f>
        <v>2711.5</v>
      </c>
      <c r="K93" s="161">
        <f>SUMIF('内訳ﾘｽﾄ(4～3月)'!$B$8:$B$15,$B93,'内訳ﾘｽﾄ(4～3月)'!N$8:N$15)</f>
        <v>3017.5</v>
      </c>
      <c r="L93" s="161">
        <f>SUMIF('内訳ﾘｽﾄ(4～3月)'!$B$8:$B$15,$B93,'内訳ﾘｽﾄ(4～3月)'!O$8:O$15)</f>
        <v>2728.5</v>
      </c>
      <c r="M93" s="161">
        <f>SUMIF('内訳ﾘｽﾄ(4～3月)'!$B$8:$B$15,$B93,'内訳ﾘｽﾄ(4～3月)'!P$8:P$15)</f>
        <v>2006</v>
      </c>
      <c r="N93" s="161">
        <f>SUMIF('内訳ﾘｽﾄ(4～3月)'!$B$8:$B$15,$B93,'内訳ﾘｽﾄ(4～3月)'!Q$8:Q$15)</f>
        <v>2728.5</v>
      </c>
      <c r="O93" s="161">
        <f>SUMIF('内訳ﾘｽﾄ(4～3月)'!$B$8:$B$15,$B93,'内訳ﾘｽﾄ(4～3月)'!R$8:R$15)</f>
        <v>31790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2677.5</v>
      </c>
      <c r="D94" s="169">
        <f t="shared" si="11"/>
        <v>2516</v>
      </c>
      <c r="E94" s="169">
        <f t="shared" si="11"/>
        <v>2881.5</v>
      </c>
      <c r="F94" s="169">
        <f t="shared" si="11"/>
        <v>3128</v>
      </c>
      <c r="G94" s="169">
        <f t="shared" si="11"/>
        <v>2728.5</v>
      </c>
      <c r="H94" s="169">
        <f t="shared" si="11"/>
        <v>2592.5</v>
      </c>
      <c r="I94" s="169">
        <f t="shared" si="11"/>
        <v>3255.5</v>
      </c>
      <c r="J94" s="169">
        <f t="shared" si="11"/>
        <v>2881.5</v>
      </c>
      <c r="K94" s="169">
        <f t="shared" si="11"/>
        <v>3204.5</v>
      </c>
      <c r="L94" s="169">
        <f t="shared" si="11"/>
        <v>2898.5</v>
      </c>
      <c r="M94" s="169">
        <f t="shared" si="11"/>
        <v>2133.5</v>
      </c>
      <c r="N94" s="169">
        <f t="shared" si="11"/>
        <v>2898.5</v>
      </c>
      <c r="O94" s="169">
        <f>O92+O93</f>
        <v>33796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40</v>
      </c>
      <c r="D97" s="161">
        <f>SUMIF('内訳ﾘｽﾄ(4～3月)'!$B$16:$B$23,$B97,'内訳ﾘｽﾄ(4～3月)'!G$16:G$23)</f>
        <v>38</v>
      </c>
      <c r="E97" s="161">
        <f>SUMIF('内訳ﾘｽﾄ(4～3月)'!$B$16:$B$23,$B97,'内訳ﾘｽﾄ(4～3月)'!H$16:H$23)</f>
        <v>42</v>
      </c>
      <c r="F97" s="161">
        <f>SUMIF('内訳ﾘｽﾄ(4～3月)'!$B$16:$B$23,$B97,'内訳ﾘｽﾄ(4～3月)'!I$16:I$23)</f>
        <v>36</v>
      </c>
      <c r="G97" s="161">
        <f>SUMIF('内訳ﾘｽﾄ(4～3月)'!$B$16:$B$23,$B97,'内訳ﾘｽﾄ(4～3月)'!J$16:J$23)</f>
        <v>38</v>
      </c>
      <c r="H97" s="161">
        <f>SUMIF('内訳ﾘｽﾄ(4～3月)'!$B$16:$B$23,$B97,'内訳ﾘｽﾄ(4～3月)'!K$16:K$23)</f>
        <v>38</v>
      </c>
      <c r="I97" s="161">
        <f>SUMIF('内訳ﾘｽﾄ(4～3月)'!$B$16:$B$23,$B97,'内訳ﾘｽﾄ(4～3月)'!L$16:L$23)</f>
        <v>46</v>
      </c>
      <c r="J97" s="161">
        <f>SUMIF('内訳ﾘｽﾄ(4～3月)'!$B$16:$B$23,$B97,'内訳ﾘｽﾄ(4～3月)'!M$16:M$23)</f>
        <v>40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40</v>
      </c>
      <c r="M97" s="161">
        <f>SUMIF('内訳ﾘｽﾄ(4～3月)'!$B$16:$B$23,$B97,'内訳ﾘｽﾄ(4～3月)'!P$16:P$23)</f>
        <v>30</v>
      </c>
      <c r="N97" s="161">
        <f>SUMIF('内訳ﾘｽﾄ(4～3月)'!$B$16:$B$23,$B97,'内訳ﾘｽﾄ(4～3月)'!Q$16:Q$23)</f>
        <v>40</v>
      </c>
      <c r="O97" s="161">
        <f>SUMIF('内訳ﾘｽﾄ(4～3月)'!$B$16:$B$23,$B97,'内訳ﾘｽﾄ(4～3月)'!R$16:R$23)</f>
        <v>472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154</v>
      </c>
      <c r="D98" s="161">
        <f>SUMIF('内訳ﾘｽﾄ(4～3月)'!$B$16:$B$23,$B98,'内訳ﾘｽﾄ(4～3月)'!G$16:G$23)</f>
        <v>146</v>
      </c>
      <c r="E98" s="161">
        <f>SUMIF('内訳ﾘｽﾄ(4～3月)'!$B$16:$B$23,$B98,'内訳ﾘｽﾄ(4～3月)'!H$16:H$23)</f>
        <v>162</v>
      </c>
      <c r="F98" s="161">
        <f>SUMIF('内訳ﾘｽﾄ(4～3月)'!$B$16:$B$23,$B98,'内訳ﾘｽﾄ(4～3月)'!I$16:I$23)</f>
        <v>178</v>
      </c>
      <c r="G98" s="161">
        <f>SUMIF('内訳ﾘｽﾄ(4～3月)'!$B$16:$B$23,$B98,'内訳ﾘｽﾄ(4～3月)'!J$16:J$23)</f>
        <v>154</v>
      </c>
      <c r="H98" s="161">
        <f>SUMIF('内訳ﾘｽﾄ(4～3月)'!$B$16:$B$23,$B98,'内訳ﾘｽﾄ(4～3月)'!K$16:K$23)</f>
        <v>146</v>
      </c>
      <c r="I98" s="161">
        <f>SUMIF('内訳ﾘｽﾄ(4～3月)'!$B$16:$B$23,$B98,'内訳ﾘｽﾄ(4～3月)'!L$16:L$23)</f>
        <v>178</v>
      </c>
      <c r="J98" s="161">
        <f>SUMIF('内訳ﾘｽﾄ(4～3月)'!$B$16:$B$23,$B98,'内訳ﾘｽﾄ(4～3月)'!M$16:M$23)</f>
        <v>154</v>
      </c>
      <c r="K98" s="161">
        <f>SUMIF('内訳ﾘｽﾄ(4～3月)'!$B$16:$B$23,$B98,'内訳ﾘｽﾄ(4～3月)'!N$16:N$23)</f>
        <v>170</v>
      </c>
      <c r="L98" s="161">
        <f>SUMIF('内訳ﾘｽﾄ(4～3月)'!$B$16:$B$23,$B98,'内訳ﾘｽﾄ(4～3月)'!O$16:O$23)</f>
        <v>194</v>
      </c>
      <c r="M98" s="161">
        <f>SUMIF('内訳ﾘｽﾄ(4～3月)'!$B$16:$B$23,$B98,'内訳ﾘｽﾄ(4～3月)'!P$16:P$23)</f>
        <v>144</v>
      </c>
      <c r="N98" s="161">
        <f>SUMIF('内訳ﾘｽﾄ(4～3月)'!$B$16:$B$23,$B98,'内訳ﾘｽﾄ(4～3月)'!Q$16:Q$23)</f>
        <v>194</v>
      </c>
      <c r="O98" s="161">
        <f>SUMIF('内訳ﾘｽﾄ(4～3月)'!$B$16:$B$23,$B98,'内訳ﾘｽﾄ(4～3月)'!R$16:R$23)</f>
        <v>1974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194</v>
      </c>
      <c r="D99" s="169">
        <f t="shared" si="12"/>
        <v>184</v>
      </c>
      <c r="E99" s="169">
        <f t="shared" si="12"/>
        <v>204</v>
      </c>
      <c r="F99" s="169">
        <f t="shared" si="12"/>
        <v>214</v>
      </c>
      <c r="G99" s="169">
        <f t="shared" si="12"/>
        <v>192</v>
      </c>
      <c r="H99" s="169">
        <f t="shared" si="12"/>
        <v>184</v>
      </c>
      <c r="I99" s="169">
        <f t="shared" si="12"/>
        <v>224</v>
      </c>
      <c r="J99" s="169">
        <f t="shared" si="12"/>
        <v>194</v>
      </c>
      <c r="K99" s="169">
        <f t="shared" si="12"/>
        <v>214</v>
      </c>
      <c r="L99" s="169">
        <f t="shared" si="12"/>
        <v>234</v>
      </c>
      <c r="M99" s="169">
        <f t="shared" si="12"/>
        <v>174</v>
      </c>
      <c r="N99" s="169">
        <f t="shared" si="12"/>
        <v>234</v>
      </c>
      <c r="O99" s="169">
        <f>O97+O98</f>
        <v>2446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9B5567CA-D320-4860-8FDB-177ECD022655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FEB9-669B-449E-9F89-DB0AA21381A9}">
  <sheetPr codeName="Sheet3">
    <tabColor indexed="13"/>
  </sheetPr>
  <dimension ref="A1:BC1000"/>
  <sheetViews>
    <sheetView tabSelected="1" zoomScale="85" zoomScaleNormal="85" workbookViewId="0">
      <pane xSplit="4" ySplit="7" topLeftCell="L51" activePane="bottomRight" state="frozen"/>
      <selection pane="topRight" activeCell="E1" sqref="E1"/>
      <selection pane="bottomLeft" activeCell="A8" sqref="A8"/>
      <selection pane="bottomRight" activeCell="M62" sqref="M62"/>
    </sheetView>
  </sheetViews>
  <sheetFormatPr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hidden="1" customWidth="1"/>
    <col min="21" max="23" width="9" style="4" hidden="1" customWidth="1"/>
    <col min="24" max="39" width="0" style="4" hidden="1" customWidth="1"/>
    <col min="40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1412000058</v>
      </c>
      <c r="C5" s="7" t="str">
        <f>VLOOKUP($B$5,原価センタ!$A:$E,2,0)</f>
        <v>第1資材課</v>
      </c>
      <c r="D5" s="62" t="str">
        <f>VLOOKUP($B$5,原価センタ!$A:$E,4,0)</f>
        <v>部外間接2</v>
      </c>
      <c r="E5" s="62" t="str">
        <f>VLOOKUP($B$5,原価センタ!$A:$E,5,0)</f>
        <v>製造</v>
      </c>
      <c r="F5" s="252">
        <f t="shared" ref="F5:R5" si="0">SUM(F29:F1000)</f>
        <v>336007876</v>
      </c>
      <c r="G5" s="252">
        <f t="shared" si="0"/>
        <v>167259629</v>
      </c>
      <c r="H5" s="252">
        <f t="shared" si="0"/>
        <v>151764571</v>
      </c>
      <c r="I5" s="252">
        <f t="shared" si="0"/>
        <v>184780298</v>
      </c>
      <c r="J5" s="252">
        <f t="shared" si="0"/>
        <v>149926001</v>
      </c>
      <c r="K5" s="252">
        <f t="shared" si="0"/>
        <v>132344547</v>
      </c>
      <c r="L5" s="252">
        <f t="shared" si="0"/>
        <v>135636084</v>
      </c>
      <c r="M5" s="252">
        <f t="shared" si="0"/>
        <v>133359117</v>
      </c>
      <c r="N5" s="252">
        <f t="shared" si="0"/>
        <v>134852905</v>
      </c>
      <c r="O5" s="252">
        <f t="shared" si="0"/>
        <v>130726326</v>
      </c>
      <c r="P5" s="252">
        <f t="shared" si="0"/>
        <v>136604704</v>
      </c>
      <c r="Q5" s="252">
        <f t="shared" si="0"/>
        <v>129457827</v>
      </c>
      <c r="R5" s="253">
        <f t="shared" si="0"/>
        <v>1922719885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>
        <v>170</v>
      </c>
      <c r="G8" s="186">
        <v>161.5</v>
      </c>
      <c r="H8" s="186">
        <v>178.5</v>
      </c>
      <c r="I8" s="186">
        <v>153</v>
      </c>
      <c r="J8" s="186">
        <v>161.5</v>
      </c>
      <c r="K8" s="186">
        <v>161.5</v>
      </c>
      <c r="L8" s="186">
        <v>195.5</v>
      </c>
      <c r="M8" s="186">
        <v>170</v>
      </c>
      <c r="N8" s="186">
        <v>187</v>
      </c>
      <c r="O8" s="186">
        <v>170</v>
      </c>
      <c r="P8" s="186">
        <v>127.5</v>
      </c>
      <c r="Q8" s="186">
        <v>170</v>
      </c>
      <c r="R8" s="187">
        <f>SUM(F8:Q8)</f>
        <v>2006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2507.5</v>
      </c>
      <c r="G9" s="194">
        <v>2354.5</v>
      </c>
      <c r="H9" s="194">
        <v>2703</v>
      </c>
      <c r="I9" s="194">
        <v>2975</v>
      </c>
      <c r="J9" s="194">
        <v>2567</v>
      </c>
      <c r="K9" s="194">
        <v>2431</v>
      </c>
      <c r="L9" s="194">
        <v>3060</v>
      </c>
      <c r="M9" s="194">
        <v>2711.5</v>
      </c>
      <c r="N9" s="194">
        <v>3017.5</v>
      </c>
      <c r="O9" s="194">
        <v>2728.5</v>
      </c>
      <c r="P9" s="194">
        <v>2006</v>
      </c>
      <c r="Q9" s="194">
        <v>2728.5</v>
      </c>
      <c r="R9" s="195">
        <f t="shared" ref="R9:R23" si="1">SUM(F9:Q9)</f>
        <v>31790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>
        <v>40</v>
      </c>
      <c r="G16" s="194">
        <v>38</v>
      </c>
      <c r="H16" s="194">
        <v>42</v>
      </c>
      <c r="I16" s="194">
        <v>36</v>
      </c>
      <c r="J16" s="194">
        <v>38</v>
      </c>
      <c r="K16" s="194">
        <v>38</v>
      </c>
      <c r="L16" s="194">
        <v>46</v>
      </c>
      <c r="M16" s="194">
        <v>40</v>
      </c>
      <c r="N16" s="194">
        <v>44</v>
      </c>
      <c r="O16" s="194">
        <v>40</v>
      </c>
      <c r="P16" s="194">
        <v>30</v>
      </c>
      <c r="Q16" s="194">
        <v>40</v>
      </c>
      <c r="R16" s="205">
        <f t="shared" si="1"/>
        <v>472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154</v>
      </c>
      <c r="G17" s="194">
        <v>146</v>
      </c>
      <c r="H17" s="194">
        <v>162</v>
      </c>
      <c r="I17" s="194">
        <v>178</v>
      </c>
      <c r="J17" s="194">
        <v>154</v>
      </c>
      <c r="K17" s="194">
        <v>146</v>
      </c>
      <c r="L17" s="194">
        <v>178</v>
      </c>
      <c r="M17" s="194">
        <v>154</v>
      </c>
      <c r="N17" s="194">
        <v>170</v>
      </c>
      <c r="O17" s="194">
        <v>194</v>
      </c>
      <c r="P17" s="194">
        <v>144</v>
      </c>
      <c r="Q17" s="194">
        <v>194</v>
      </c>
      <c r="R17" s="205">
        <f t="shared" si="1"/>
        <v>1974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1</v>
      </c>
      <c r="G24" s="267">
        <v>1</v>
      </c>
      <c r="H24" s="267">
        <v>1</v>
      </c>
      <c r="I24" s="267">
        <v>1</v>
      </c>
      <c r="J24" s="267">
        <v>1</v>
      </c>
      <c r="K24" s="267">
        <v>1</v>
      </c>
      <c r="L24" s="267">
        <v>1</v>
      </c>
      <c r="M24" s="267">
        <v>1</v>
      </c>
      <c r="N24" s="267">
        <v>1</v>
      </c>
      <c r="O24" s="267">
        <v>1</v>
      </c>
      <c r="P24" s="267">
        <v>1</v>
      </c>
      <c r="Q24" s="267">
        <v>1</v>
      </c>
      <c r="R24" s="200">
        <f>Q24</f>
        <v>1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17</v>
      </c>
      <c r="G25" s="271">
        <v>17</v>
      </c>
      <c r="H25" s="271">
        <v>17</v>
      </c>
      <c r="I25" s="271">
        <v>17</v>
      </c>
      <c r="J25" s="271">
        <v>17</v>
      </c>
      <c r="K25" s="271">
        <v>17</v>
      </c>
      <c r="L25" s="271">
        <v>17</v>
      </c>
      <c r="M25" s="271">
        <v>17</v>
      </c>
      <c r="N25" s="271">
        <v>17</v>
      </c>
      <c r="O25" s="271">
        <v>17</v>
      </c>
      <c r="P25" s="271">
        <v>17</v>
      </c>
      <c r="Q25" s="271">
        <v>17</v>
      </c>
      <c r="R25" s="272">
        <f>Q25</f>
        <v>17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8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5005246282</v>
      </c>
      <c r="C38" s="183" t="str">
        <f>IFERROR(IF(VLOOKUP($B38,勘定科目!$A:$H,HLOOKUP($E$5,勘定科目!$F$1:$H$2,2,0),0)="","",VLOOKUP($B38,勘定科目!$A:$E,2,0)),"")</f>
        <v>ＫＤＣシステム使用料（製）</v>
      </c>
      <c r="D38" s="239" t="str">
        <f>IF(C38="","",VLOOKUP($B38,勘定科目!$A:$E,4,0))</f>
        <v>図書及び事務費</v>
      </c>
      <c r="E38" s="245"/>
      <c r="F38" s="194">
        <v>90333304</v>
      </c>
      <c r="G38" s="194">
        <v>90333304</v>
      </c>
      <c r="H38" s="194">
        <v>90333304</v>
      </c>
      <c r="I38" s="194">
        <v>90333304</v>
      </c>
      <c r="J38" s="194">
        <v>90333304</v>
      </c>
      <c r="K38" s="194">
        <v>90333304</v>
      </c>
      <c r="L38" s="194">
        <v>90333304</v>
      </c>
      <c r="M38" s="194">
        <v>90333304</v>
      </c>
      <c r="N38" s="194">
        <v>90333304</v>
      </c>
      <c r="O38" s="194">
        <v>90333304</v>
      </c>
      <c r="P38" s="194">
        <v>90333304</v>
      </c>
      <c r="Q38" s="194">
        <v>90333304</v>
      </c>
      <c r="R38" s="200">
        <f t="shared" si="3"/>
        <v>1083999648</v>
      </c>
      <c r="S38" s="201" t="s">
        <v>693</v>
      </c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5005246283</v>
      </c>
      <c r="C39" s="183" t="str">
        <f>IFERROR(IF(VLOOKUP($B39,勘定科目!$A:$H,HLOOKUP($E$5,勘定科目!$F$1:$H$2,2,0),0)="","",VLOOKUP($B39,勘定科目!$A:$E,2,0)),"")</f>
        <v>ライセンス料（製）</v>
      </c>
      <c r="D39" s="239" t="str">
        <f>IF(C39="","",VLOOKUP($B39,勘定科目!$A:$E,4,0))</f>
        <v>図書及び事務費</v>
      </c>
      <c r="E39" s="245"/>
      <c r="F39" s="194">
        <f>ROUND(1088157*161.47,0)</f>
        <v>175704711</v>
      </c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3"/>
        <v>175704711</v>
      </c>
      <c r="S39" s="201" t="s">
        <v>694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5006016260</v>
      </c>
      <c r="C40" s="183" t="str">
        <f>IFERROR(IF(VLOOKUP($B40,勘定科目!$A:$H,HLOOKUP($E$5,勘定科目!$F$1:$H$2,2,0),0)="","",VLOOKUP($B40,勘定科目!$A:$E,2,0)),"")</f>
        <v>減価償却費配賦（製）　建物</v>
      </c>
      <c r="D40" s="239" t="str">
        <f>IF(C40="","",VLOOKUP($B40,勘定科目!$A:$E,4,0))</f>
        <v>減価償却費</v>
      </c>
      <c r="E40" s="245"/>
      <c r="F40" s="194">
        <v>10290821</v>
      </c>
      <c r="G40" s="247">
        <v>10243596</v>
      </c>
      <c r="H40" s="247">
        <v>10246135</v>
      </c>
      <c r="I40" s="247">
        <v>10237248</v>
      </c>
      <c r="J40" s="247">
        <v>10234201</v>
      </c>
      <c r="K40" s="247">
        <v>10101665</v>
      </c>
      <c r="L40" s="247">
        <v>10063073</v>
      </c>
      <c r="M40" s="247">
        <v>10061803</v>
      </c>
      <c r="N40" s="247">
        <v>10062565</v>
      </c>
      <c r="O40" s="247">
        <v>10059264</v>
      </c>
      <c r="P40" s="247">
        <v>10054440</v>
      </c>
      <c r="Q40" s="247">
        <v>10059518</v>
      </c>
      <c r="R40" s="200">
        <f t="shared" si="3"/>
        <v>121714329</v>
      </c>
      <c r="S40" s="201" t="s">
        <v>695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5006016261</v>
      </c>
      <c r="C41" s="183" t="str">
        <f>IFERROR(IF(VLOOKUP($B41,勘定科目!$A:$H,HLOOKUP($E$5,勘定科目!$F$1:$H$2,2,0),0)="","",VLOOKUP($B41,勘定科目!$A:$E,2,0)),"")</f>
        <v>減価償却費配賦（製）　土地使用権</v>
      </c>
      <c r="D41" s="239" t="str">
        <f>IF(C41="","",VLOOKUP($B41,勘定科目!$A:$E,4,0))</f>
        <v>減価償却費</v>
      </c>
      <c r="E41" s="245"/>
      <c r="F41" s="194">
        <v>694670</v>
      </c>
      <c r="G41" s="247">
        <v>691370</v>
      </c>
      <c r="H41" s="247">
        <v>691624</v>
      </c>
      <c r="I41" s="247">
        <v>690862</v>
      </c>
      <c r="J41" s="247">
        <v>690862</v>
      </c>
      <c r="K41" s="247">
        <v>681722</v>
      </c>
      <c r="L41" s="247">
        <v>679183</v>
      </c>
      <c r="M41" s="247">
        <v>679183</v>
      </c>
      <c r="N41" s="247">
        <v>679183</v>
      </c>
      <c r="O41" s="247">
        <v>678929</v>
      </c>
      <c r="P41" s="247">
        <v>678675</v>
      </c>
      <c r="Q41" s="247">
        <v>678929</v>
      </c>
      <c r="R41" s="200">
        <f t="shared" si="3"/>
        <v>8215192</v>
      </c>
      <c r="S41" s="201" t="s">
        <v>696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9114120007</v>
      </c>
      <c r="C42" s="183" t="str">
        <f>IFERROR(IF(VLOOKUP($B42,勘定科目!$A:$H,HLOOKUP($E$5,勘定科目!$F$1:$H$2,2,0),0)="","",VLOOKUP($B42,勘定科目!$A:$E,2,0)),"")</f>
        <v>社内金利（固定資産）</v>
      </c>
      <c r="D42" s="239" t="str">
        <f>IF(C42="","",VLOOKUP($B42,勘定科目!$A:$E,4,0))</f>
        <v>固定資産金利</v>
      </c>
      <c r="E42" s="245"/>
      <c r="F42" s="194">
        <v>6985043</v>
      </c>
      <c r="G42" s="247">
        <v>6584389</v>
      </c>
      <c r="H42" s="247">
        <v>6586166</v>
      </c>
      <c r="I42" s="247">
        <v>6580326</v>
      </c>
      <c r="J42" s="247">
        <v>6578295</v>
      </c>
      <c r="K42" s="247">
        <v>6493239</v>
      </c>
      <c r="L42" s="247">
        <v>6468356</v>
      </c>
      <c r="M42" s="247">
        <v>6467595</v>
      </c>
      <c r="N42" s="247">
        <v>6468103</v>
      </c>
      <c r="O42" s="247">
        <v>6465817</v>
      </c>
      <c r="P42" s="247">
        <v>6462771</v>
      </c>
      <c r="Q42" s="247">
        <v>6466071</v>
      </c>
      <c r="R42" s="200">
        <f t="shared" si="3"/>
        <v>78606171</v>
      </c>
      <c r="S42" s="201" t="s">
        <v>697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9114120007</v>
      </c>
      <c r="C43" s="183" t="str">
        <f>IFERROR(IF(VLOOKUP($B43,勘定科目!$A:$H,HLOOKUP($E$5,勘定科目!$F$1:$H$2,2,0),0)="","",VLOOKUP($B43,勘定科目!$A:$E,2,0)),"")</f>
        <v>社内金利（固定資産）</v>
      </c>
      <c r="D43" s="239" t="str">
        <f>IF(C43="","",VLOOKUP($B43,勘定科目!$A:$E,4,0))</f>
        <v>固定資産金利</v>
      </c>
      <c r="E43" s="245"/>
      <c r="F43" s="194">
        <v>863768</v>
      </c>
      <c r="G43" s="247">
        <v>834823</v>
      </c>
      <c r="H43" s="247">
        <v>835077</v>
      </c>
      <c r="I43" s="247">
        <v>834315</v>
      </c>
      <c r="J43" s="247">
        <v>834062</v>
      </c>
      <c r="K43" s="247">
        <v>823144</v>
      </c>
      <c r="L43" s="247">
        <v>820097</v>
      </c>
      <c r="M43" s="247">
        <v>820097</v>
      </c>
      <c r="N43" s="247">
        <v>820097</v>
      </c>
      <c r="O43" s="247">
        <v>819843</v>
      </c>
      <c r="P43" s="247">
        <v>819335</v>
      </c>
      <c r="Q43" s="247">
        <v>819843</v>
      </c>
      <c r="R43" s="200">
        <f t="shared" si="3"/>
        <v>9944501</v>
      </c>
      <c r="S43" s="201" t="s">
        <v>698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5005066281</v>
      </c>
      <c r="C44" s="183" t="str">
        <f>IFERROR(IF(VLOOKUP($B44,勘定科目!$A:$H,HLOOKUP($E$5,勘定科目!$F$1:$H$2,2,0),0)="","",VLOOKUP($B44,勘定科目!$A:$E,2,0)),"")</f>
        <v>電気代（製）</v>
      </c>
      <c r="D44" s="239" t="str">
        <f>IF(C44="","",VLOOKUP($B44,勘定科目!$A:$E,4,0))</f>
        <v>水道光熱費</v>
      </c>
      <c r="E44" s="245"/>
      <c r="F44" s="194">
        <v>1379289</v>
      </c>
      <c r="G44" s="247">
        <v>1416053</v>
      </c>
      <c r="H44" s="247">
        <v>1778963</v>
      </c>
      <c r="I44" s="247">
        <v>1915807</v>
      </c>
      <c r="J44" s="247">
        <v>1978070</v>
      </c>
      <c r="K44" s="247">
        <v>1809774</v>
      </c>
      <c r="L44" s="247">
        <v>1768952</v>
      </c>
      <c r="M44" s="247">
        <v>1632879</v>
      </c>
      <c r="N44" s="247">
        <v>1564842</v>
      </c>
      <c r="O44" s="247">
        <v>1428769</v>
      </c>
      <c r="P44" s="247">
        <v>1420548</v>
      </c>
      <c r="Q44" s="247">
        <v>1088586</v>
      </c>
      <c r="R44" s="200">
        <f t="shared" si="3"/>
        <v>19182532</v>
      </c>
      <c r="S44" s="201" t="s">
        <v>699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5005066282</v>
      </c>
      <c r="C45" s="183" t="str">
        <f>IFERROR(IF(VLOOKUP($B45,勘定科目!$A:$H,HLOOKUP($E$5,勘定科目!$F$1:$H$2,2,0),0)="","",VLOOKUP($B45,勘定科目!$A:$E,2,0)),"")</f>
        <v>水道代（製）</v>
      </c>
      <c r="D45" s="239" t="str">
        <f>IF(C45="","",VLOOKUP($B45,勘定科目!$A:$E,4,0))</f>
        <v>水道光熱費</v>
      </c>
      <c r="E45" s="245"/>
      <c r="F45" s="194">
        <v>523136</v>
      </c>
      <c r="G45" s="247">
        <v>578150</v>
      </c>
      <c r="H45" s="247">
        <v>652989</v>
      </c>
      <c r="I45" s="247">
        <v>932515</v>
      </c>
      <c r="J45" s="247">
        <v>835198</v>
      </c>
      <c r="K45" s="247">
        <v>724695</v>
      </c>
      <c r="L45" s="247">
        <v>496437</v>
      </c>
      <c r="M45" s="247">
        <v>691476</v>
      </c>
      <c r="N45" s="247">
        <v>690606</v>
      </c>
      <c r="O45" s="247">
        <v>468296</v>
      </c>
      <c r="P45" s="247">
        <v>351159</v>
      </c>
      <c r="Q45" s="247">
        <v>408007</v>
      </c>
      <c r="R45" s="200">
        <f t="shared" si="3"/>
        <v>7352664</v>
      </c>
      <c r="S45" s="201" t="s">
        <v>700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5005056281</v>
      </c>
      <c r="C46" s="183" t="str">
        <f>IFERROR(IF(VLOOKUP($B46,勘定科目!$A:$H,HLOOKUP($E$5,勘定科目!$F$1:$H$2,2,0),0)="","",VLOOKUP($B46,勘定科目!$A:$E,2,0)),"")</f>
        <v>ガス代（製）</v>
      </c>
      <c r="D46" s="239" t="str">
        <f>IF(C46="","",VLOOKUP($B46,勘定科目!$A:$E,4,0))</f>
        <v>水道光熱費</v>
      </c>
      <c r="E46" s="245"/>
      <c r="F46" s="194">
        <v>686222</v>
      </c>
      <c r="G46" s="247">
        <v>703998</v>
      </c>
      <c r="H46" s="247">
        <v>807408</v>
      </c>
      <c r="I46" s="247">
        <v>844722</v>
      </c>
      <c r="J46" s="247">
        <v>768384</v>
      </c>
      <c r="K46" s="247">
        <v>692838</v>
      </c>
      <c r="L46" s="247">
        <v>845586</v>
      </c>
      <c r="M46" s="247">
        <v>740268</v>
      </c>
      <c r="N46" s="247">
        <v>793548</v>
      </c>
      <c r="O46" s="247">
        <v>764262</v>
      </c>
      <c r="P46" s="247">
        <v>592092</v>
      </c>
      <c r="Q46" s="247">
        <v>765756</v>
      </c>
      <c r="R46" s="200">
        <f t="shared" si="3"/>
        <v>9005084</v>
      </c>
      <c r="S46" s="201" t="s">
        <v>701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5005016372</v>
      </c>
      <c r="C47" s="183" t="str">
        <f>IFERROR(IF(VLOOKUP($B47,勘定科目!$A:$H,HLOOKUP($E$5,勘定科目!$F$1:$H$2,2,0),0)="","",VLOOKUP($B47,勘定科目!$A:$E,2,0)),"")</f>
        <v>その他消耗品（製）</v>
      </c>
      <c r="D47" s="239" t="str">
        <f>IF(C47="","",VLOOKUP($B47,勘定科目!$A:$E,4,0))</f>
        <v>消耗品費</v>
      </c>
      <c r="E47" s="245"/>
      <c r="F47" s="194">
        <v>19074</v>
      </c>
      <c r="G47" s="247">
        <v>20340</v>
      </c>
      <c r="H47" s="247">
        <v>20826</v>
      </c>
      <c r="I47" s="247">
        <v>20034</v>
      </c>
      <c r="J47" s="247">
        <v>19440</v>
      </c>
      <c r="K47" s="247">
        <v>19674</v>
      </c>
      <c r="L47" s="247">
        <v>20358</v>
      </c>
      <c r="M47" s="247">
        <v>20052</v>
      </c>
      <c r="N47" s="247">
        <v>20232</v>
      </c>
      <c r="O47" s="247">
        <v>20304</v>
      </c>
      <c r="P47" s="247">
        <v>20628</v>
      </c>
      <c r="Q47" s="247">
        <v>19530</v>
      </c>
      <c r="R47" s="200">
        <f t="shared" si="3"/>
        <v>240492</v>
      </c>
      <c r="S47" s="201" t="s">
        <v>702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5005016372</v>
      </c>
      <c r="C48" s="183" t="str">
        <f>IFERROR(IF(VLOOKUP($B48,勘定科目!$A:$H,HLOOKUP($E$5,勘定科目!$F$1:$H$2,2,0),0)="","",VLOOKUP($B48,勘定科目!$A:$E,2,0)),"")</f>
        <v>その他消耗品（製）</v>
      </c>
      <c r="D48" s="239" t="str">
        <f>IF(C48="","",VLOOKUP($B48,勘定科目!$A:$E,4,0))</f>
        <v>消耗品費</v>
      </c>
      <c r="E48" s="245"/>
      <c r="F48" s="194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00">
        <f t="shared" si="3"/>
        <v>0</v>
      </c>
      <c r="S48" s="201" t="s">
        <v>703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5005016372</v>
      </c>
      <c r="C49" s="183" t="str">
        <f>IFERROR(IF(VLOOKUP($B49,勘定科目!$A:$H,HLOOKUP($E$5,勘定科目!$F$1:$H$2,2,0),0)="","",VLOOKUP($B49,勘定科目!$A:$E,2,0)),"")</f>
        <v>その他消耗品（製）</v>
      </c>
      <c r="D49" s="239" t="str">
        <f>IF(C49="","",VLOOKUP($B49,勘定科目!$A:$E,4,0))</f>
        <v>消耗品費</v>
      </c>
      <c r="E49" s="245"/>
      <c r="F49" s="194">
        <v>313208</v>
      </c>
      <c r="G49" s="247">
        <v>319248</v>
      </c>
      <c r="H49" s="247">
        <v>349218</v>
      </c>
      <c r="I49" s="247">
        <v>380484</v>
      </c>
      <c r="J49" s="247">
        <v>331272</v>
      </c>
      <c r="K49" s="247">
        <v>315000</v>
      </c>
      <c r="L49" s="247">
        <v>379980</v>
      </c>
      <c r="M49" s="247">
        <v>331578</v>
      </c>
      <c r="N49" s="247">
        <v>364572</v>
      </c>
      <c r="O49" s="247">
        <v>331182</v>
      </c>
      <c r="P49" s="247">
        <v>249534</v>
      </c>
      <c r="Q49" s="247">
        <v>331830</v>
      </c>
      <c r="R49" s="200">
        <f t="shared" si="3"/>
        <v>3997106</v>
      </c>
      <c r="S49" s="201" t="s">
        <v>704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5005246286</v>
      </c>
      <c r="C50" s="183" t="str">
        <f>IFERROR(IF(VLOOKUP($B50,勘定科目!$A:$H,HLOOKUP($E$5,勘定科目!$F$1:$H$2,2,0),0)="","",VLOOKUP($B50,勘定科目!$A:$E,2,0)),"")</f>
        <v>その他手数料（製）</v>
      </c>
      <c r="D50" s="239" t="str">
        <f>IF(C50="","",VLOOKUP($B50,勘定科目!$A:$E,4,0))</f>
        <v>手数料</v>
      </c>
      <c r="E50" s="245"/>
      <c r="F50" s="194">
        <v>956199</v>
      </c>
      <c r="G50" s="247">
        <v>1016316</v>
      </c>
      <c r="H50" s="247">
        <v>1047618</v>
      </c>
      <c r="I50" s="247">
        <v>959508</v>
      </c>
      <c r="J50" s="247">
        <v>934038</v>
      </c>
      <c r="K50" s="247">
        <v>892620</v>
      </c>
      <c r="L50" s="247">
        <v>853776</v>
      </c>
      <c r="M50" s="247">
        <v>843192</v>
      </c>
      <c r="N50" s="247">
        <v>845586</v>
      </c>
      <c r="O50" s="247">
        <v>809424</v>
      </c>
      <c r="P50" s="247">
        <v>766116</v>
      </c>
      <c r="Q50" s="247">
        <v>801720</v>
      </c>
      <c r="R50" s="200">
        <f t="shared" si="3"/>
        <v>10726113</v>
      </c>
      <c r="S50" s="201" t="s">
        <v>705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5004086291</v>
      </c>
      <c r="C51" s="183" t="str">
        <f>IFERROR(IF(VLOOKUP($B51,勘定科目!$A:$H,HLOOKUP($E$5,勘定科目!$F$1:$H$2,2,0),0)="","",VLOOKUP($B51,勘定科目!$A:$E,2,0)),"")</f>
        <v>福利厚生費（製）</v>
      </c>
      <c r="D51" s="239" t="str">
        <f>IF(C51="","",VLOOKUP($B51,勘定科目!$A:$E,4,0))</f>
        <v>福利厚生費</v>
      </c>
      <c r="E51" s="245"/>
      <c r="F51" s="194">
        <v>748000</v>
      </c>
      <c r="G51" s="247">
        <v>763266</v>
      </c>
      <c r="H51" s="247">
        <v>740817</v>
      </c>
      <c r="I51" s="247">
        <v>740817</v>
      </c>
      <c r="J51" s="247">
        <v>808164</v>
      </c>
      <c r="K51" s="247">
        <v>763266</v>
      </c>
      <c r="L51" s="247">
        <v>763266</v>
      </c>
      <c r="M51" s="247">
        <v>808164</v>
      </c>
      <c r="N51" s="247">
        <v>763266</v>
      </c>
      <c r="O51" s="247">
        <v>763266</v>
      </c>
      <c r="P51" s="247">
        <v>763266</v>
      </c>
      <c r="Q51" s="247">
        <v>477552</v>
      </c>
      <c r="R51" s="200">
        <f t="shared" si="3"/>
        <v>8903110</v>
      </c>
      <c r="S51" s="201" t="s">
        <v>706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5004086291</v>
      </c>
      <c r="C52" s="183" t="str">
        <f>IFERROR(IF(VLOOKUP($B52,勘定科目!$A:$H,HLOOKUP($E$5,勘定科目!$F$1:$H$2,2,0),0)="","",VLOOKUP($B52,勘定科目!$A:$E,2,0)),"")</f>
        <v>福利厚生費（製）</v>
      </c>
      <c r="D52" s="239" t="str">
        <f>IF(C52="","",VLOOKUP($B52,勘定科目!$A:$E,4,0))</f>
        <v>福利厚生費</v>
      </c>
      <c r="E52" s="245"/>
      <c r="F52" s="194">
        <v>6873390</v>
      </c>
      <c r="G52" s="247">
        <v>7933735</v>
      </c>
      <c r="H52" s="247">
        <v>7092385</v>
      </c>
      <c r="I52" s="247">
        <v>7437315</v>
      </c>
      <c r="J52" s="247">
        <v>7941670</v>
      </c>
      <c r="K52" s="247">
        <v>7967565</v>
      </c>
      <c r="L52" s="247">
        <v>5973675</v>
      </c>
      <c r="M52" s="247">
        <v>7263085</v>
      </c>
      <c r="N52" s="247">
        <v>7327960</v>
      </c>
      <c r="O52" s="247">
        <v>6894625</v>
      </c>
      <c r="P52" s="247">
        <v>6266795</v>
      </c>
      <c r="Q52" s="247">
        <v>6481140</v>
      </c>
      <c r="R52" s="200">
        <f t="shared" si="3"/>
        <v>85453340</v>
      </c>
      <c r="S52" s="201" t="s">
        <v>707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5004086291</v>
      </c>
      <c r="C53" s="183" t="str">
        <f>IFERROR(IF(VLOOKUP($B53,勘定科目!$A:$H,HLOOKUP($E$5,勘定科目!$F$1:$H$2,2,0),0)="","",VLOOKUP($B53,勘定科目!$A:$E,2,0)),"")</f>
        <v>福利厚生費（製）</v>
      </c>
      <c r="D53" s="239" t="str">
        <f>IF(C53="","",VLOOKUP($B53,勘定科目!$A:$E,4,0))</f>
        <v>福利厚生費</v>
      </c>
      <c r="E53" s="245"/>
      <c r="F53" s="194"/>
      <c r="G53" s="194"/>
      <c r="H53" s="194"/>
      <c r="I53" s="247"/>
      <c r="J53" s="247"/>
      <c r="K53" s="194"/>
      <c r="L53" s="194"/>
      <c r="M53" s="194"/>
      <c r="N53" s="247"/>
      <c r="O53" s="247"/>
      <c r="P53" s="194"/>
      <c r="Q53" s="194"/>
      <c r="R53" s="200">
        <f t="shared" si="3"/>
        <v>0</v>
      </c>
      <c r="S53" s="201" t="s">
        <v>736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5005116291</v>
      </c>
      <c r="C54" s="183" t="str">
        <f>IFERROR(IF(VLOOKUP($B54,勘定科目!$A:$H,HLOOKUP($E$5,勘定科目!$F$1:$H$2,2,0),0)="","",VLOOKUP($B54,勘定科目!$A:$E,2,0)),"")</f>
        <v>ベトナム国内交通費（製）</v>
      </c>
      <c r="D54" s="239" t="str">
        <f>IF(C54="","",VLOOKUP($B54,勘定科目!$A:$E,4,0))</f>
        <v>旅費交通費</v>
      </c>
      <c r="E54" s="245"/>
      <c r="F54" s="194">
        <v>7219545</v>
      </c>
      <c r="G54" s="194">
        <v>7219545</v>
      </c>
      <c r="H54" s="194">
        <v>7219545</v>
      </c>
      <c r="I54" s="194">
        <v>7219545</v>
      </c>
      <c r="J54" s="194">
        <v>7219545</v>
      </c>
      <c r="K54" s="194">
        <v>7219545</v>
      </c>
      <c r="L54" s="194">
        <v>7219545</v>
      </c>
      <c r="M54" s="194">
        <v>7219545</v>
      </c>
      <c r="N54" s="194">
        <v>7219545</v>
      </c>
      <c r="O54" s="194">
        <v>7219545</v>
      </c>
      <c r="P54" s="194">
        <v>7219545</v>
      </c>
      <c r="Q54" s="194">
        <v>7219545</v>
      </c>
      <c r="R54" s="200">
        <f t="shared" si="3"/>
        <v>86634540</v>
      </c>
      <c r="S54" s="201" t="s">
        <v>737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5005136281</v>
      </c>
      <c r="C55" s="183" t="str">
        <f>IFERROR(IF(VLOOKUP($B55,勘定科目!$A:$H,HLOOKUP($E$5,勘定科目!$F$1:$H$2,2,0),0)="","",VLOOKUP($B55,勘定科目!$A:$E,2,0)),"")</f>
        <v>通信費（製）</v>
      </c>
      <c r="D55" s="239" t="str">
        <f>IF(C55="","",VLOOKUP($B55,勘定科目!$A:$E,4,0))</f>
        <v>通信費</v>
      </c>
      <c r="E55" s="245"/>
      <c r="F55" s="194">
        <v>2703000</v>
      </c>
      <c r="G55" s="194">
        <v>2703000</v>
      </c>
      <c r="H55" s="194">
        <v>2703000</v>
      </c>
      <c r="I55" s="194">
        <v>2703000</v>
      </c>
      <c r="J55" s="194">
        <v>2703000</v>
      </c>
      <c r="K55" s="194">
        <v>2703000</v>
      </c>
      <c r="L55" s="194">
        <v>2703000</v>
      </c>
      <c r="M55" s="194">
        <v>2703000</v>
      </c>
      <c r="N55" s="194">
        <v>2703000</v>
      </c>
      <c r="O55" s="194">
        <v>2703000</v>
      </c>
      <c r="P55" s="194">
        <v>2703000</v>
      </c>
      <c r="Q55" s="194">
        <v>2703000</v>
      </c>
      <c r="R55" s="200">
        <f t="shared" si="3"/>
        <v>32436000</v>
      </c>
      <c r="S55" s="201" t="s">
        <v>708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3"/>
        <v>0</v>
      </c>
      <c r="S56" s="201" t="s">
        <v>709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3"/>
        <v>0</v>
      </c>
      <c r="S57" s="201" t="s">
        <v>710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245"/>
      <c r="F58" s="194">
        <f>3*163000</f>
        <v>489000</v>
      </c>
      <c r="G58" s="247">
        <v>163000</v>
      </c>
      <c r="H58" s="247">
        <f>2*163000</f>
        <v>326000</v>
      </c>
      <c r="I58" s="247">
        <f>1*163000</f>
        <v>163000</v>
      </c>
      <c r="J58" s="247">
        <f>2*163000</f>
        <v>326000</v>
      </c>
      <c r="K58" s="247">
        <v>163000</v>
      </c>
      <c r="L58" s="247">
        <f>2*163000</f>
        <v>326000</v>
      </c>
      <c r="M58" s="247">
        <v>163000</v>
      </c>
      <c r="N58" s="247">
        <v>163000</v>
      </c>
      <c r="O58" s="247">
        <f>2*163000</f>
        <v>326000</v>
      </c>
      <c r="P58" s="247">
        <v>163000</v>
      </c>
      <c r="Q58" s="247">
        <v>163000</v>
      </c>
      <c r="R58" s="200">
        <f t="shared" si="3"/>
        <v>2934000</v>
      </c>
      <c r="S58" s="201" t="s">
        <v>735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>
        <f>17*100000</f>
        <v>1700000</v>
      </c>
      <c r="Q59" s="247"/>
      <c r="R59" s="200">
        <f t="shared" si="3"/>
        <v>1700000</v>
      </c>
      <c r="S59" s="201" t="s">
        <v>741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>
        <f>300000*18</f>
        <v>5400000</v>
      </c>
      <c r="Q60" s="247"/>
      <c r="R60" s="200">
        <f t="shared" si="3"/>
        <v>5400000</v>
      </c>
      <c r="S60" s="201" t="s">
        <v>734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9" t="str">
        <f>IF(C61="","",VLOOKUP($B61,勘定科目!$A:$E,4,0))</f>
        <v>福利厚生費</v>
      </c>
      <c r="E61" s="245"/>
      <c r="F61" s="194"/>
      <c r="G61" s="247">
        <f>(16*1890000)</f>
        <v>30240000</v>
      </c>
      <c r="H61" s="247">
        <f>1323000*2</f>
        <v>2646000</v>
      </c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3"/>
        <v>32886000</v>
      </c>
      <c r="S61" s="201" t="s">
        <v>725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9" t="str">
        <f>IF(C62="","",VLOOKUP($B62,勘定科目!$A:$E,4,0))</f>
        <v>福利厚生費</v>
      </c>
      <c r="E62" s="245"/>
      <c r="F62" s="194"/>
      <c r="G62" s="247"/>
      <c r="H62" s="247"/>
      <c r="I62" s="247"/>
      <c r="J62" s="247"/>
      <c r="K62" s="247"/>
      <c r="L62" s="247"/>
      <c r="M62" s="247">
        <f>18*107000</f>
        <v>1926000</v>
      </c>
      <c r="N62" s="247"/>
      <c r="O62" s="247"/>
      <c r="P62" s="247"/>
      <c r="Q62" s="247"/>
      <c r="R62" s="200">
        <f t="shared" si="3"/>
        <v>1926000</v>
      </c>
      <c r="S62" s="201" t="s">
        <v>730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5005246281</v>
      </c>
      <c r="C63" s="183" t="str">
        <f>IFERROR(IF(VLOOKUP($B63,勘定科目!$A:$H,HLOOKUP($E$5,勘定科目!$F$1:$H$2,2,0),0)="","",VLOOKUP($B63,勘定科目!$A:$E,2,0)),"")</f>
        <v>図書印刷費（製）</v>
      </c>
      <c r="D63" s="239" t="str">
        <f>IF(C63="","",VLOOKUP($B63,勘定科目!$A:$E,4,0))</f>
        <v>図書及び事務費</v>
      </c>
      <c r="E63" s="245"/>
      <c r="F63" s="194"/>
      <c r="G63" s="247"/>
      <c r="H63" s="247"/>
      <c r="I63" s="247"/>
      <c r="J63" s="247"/>
      <c r="K63" s="247"/>
      <c r="L63" s="247"/>
      <c r="M63" s="247">
        <f>18*800</f>
        <v>14400</v>
      </c>
      <c r="N63" s="247"/>
      <c r="O63" s="247"/>
      <c r="P63" s="247"/>
      <c r="Q63" s="247"/>
      <c r="R63" s="200">
        <f t="shared" si="3"/>
        <v>14400</v>
      </c>
      <c r="S63" s="201" t="s">
        <v>732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5005136291</v>
      </c>
      <c r="C64" s="183" t="str">
        <f>IFERROR(IF(VLOOKUP($B64,勘定科目!$A:$H,HLOOKUP($E$5,勘定科目!$F$1:$H$2,2,0),0)="","",VLOOKUP($B64,勘定科目!$A:$E,2,0)),"")</f>
        <v>郵送代（製）</v>
      </c>
      <c r="D64" s="239" t="str">
        <f>IF(C64="","",VLOOKUP($B64,勘定科目!$A:$E,4,0))</f>
        <v>通信費</v>
      </c>
      <c r="E64" s="245"/>
      <c r="F64" s="194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00">
        <f t="shared" si="3"/>
        <v>0</v>
      </c>
      <c r="S64" s="201" t="s">
        <v>711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5005136291</v>
      </c>
      <c r="C65" s="183" t="str">
        <f>IFERROR(IF(VLOOKUP($B65,勘定科目!$A:$H,HLOOKUP($E$5,勘定科目!$F$1:$H$2,2,0),0)="","",VLOOKUP($B65,勘定科目!$A:$E,2,0)),"")</f>
        <v>郵送代（製）</v>
      </c>
      <c r="D65" s="239" t="str">
        <f>IF(C65="","",VLOOKUP($B65,勘定科目!$A:$E,4,0))</f>
        <v>通信費</v>
      </c>
      <c r="E65" s="245"/>
      <c r="F65" s="194">
        <v>640496</v>
      </c>
      <c r="G65" s="194">
        <v>640496</v>
      </c>
      <c r="H65" s="194">
        <v>640496</v>
      </c>
      <c r="I65" s="194">
        <v>640496</v>
      </c>
      <c r="J65" s="194">
        <v>640496</v>
      </c>
      <c r="K65" s="194">
        <v>640496</v>
      </c>
      <c r="L65" s="194">
        <v>640496</v>
      </c>
      <c r="M65" s="194">
        <v>640496</v>
      </c>
      <c r="N65" s="194">
        <v>640496</v>
      </c>
      <c r="O65" s="194">
        <v>640496</v>
      </c>
      <c r="P65" s="194">
        <v>640496</v>
      </c>
      <c r="Q65" s="194">
        <v>640496</v>
      </c>
      <c r="R65" s="200">
        <f t="shared" si="3"/>
        <v>7685952</v>
      </c>
      <c r="S65" s="201" t="s">
        <v>712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194"/>
      <c r="G66" s="247"/>
      <c r="H66" s="247"/>
      <c r="I66" s="247"/>
      <c r="J66" s="247"/>
      <c r="K66" s="247"/>
      <c r="L66" s="247"/>
      <c r="M66" s="247"/>
      <c r="N66" s="247">
        <f>(5*189000)+(12*204000)</f>
        <v>3393000</v>
      </c>
      <c r="O66" s="247"/>
      <c r="P66" s="247"/>
      <c r="Q66" s="247"/>
      <c r="R66" s="200">
        <f t="shared" si="3"/>
        <v>3393000</v>
      </c>
      <c r="S66" s="201" t="s">
        <v>731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247"/>
      <c r="H67" s="247"/>
      <c r="I67" s="247"/>
      <c r="J67" s="247"/>
      <c r="K67" s="247"/>
      <c r="L67" s="247">
        <f>18*56000</f>
        <v>1008000</v>
      </c>
      <c r="M67" s="247"/>
      <c r="N67" s="247"/>
      <c r="O67" s="247"/>
      <c r="P67" s="247"/>
      <c r="Q67" s="247"/>
      <c r="R67" s="200">
        <f t="shared" si="3"/>
        <v>1008000</v>
      </c>
      <c r="S67" s="201" t="s">
        <v>727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3"/>
        <v>0</v>
      </c>
      <c r="S68" s="201" t="s">
        <v>726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247"/>
      <c r="H69" s="247"/>
      <c r="I69" s="247">
        <f>16*100000</f>
        <v>1600000</v>
      </c>
      <c r="J69" s="247"/>
      <c r="K69" s="247"/>
      <c r="L69" s="247"/>
      <c r="M69" s="247"/>
      <c r="N69" s="247"/>
      <c r="O69" s="247"/>
      <c r="P69" s="247"/>
      <c r="Q69" s="247"/>
      <c r="R69" s="200">
        <f t="shared" si="3"/>
        <v>1600000</v>
      </c>
      <c r="S69" s="201" t="s">
        <v>745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5005246288</v>
      </c>
      <c r="C70" s="183" t="str">
        <f>IFERROR(IF(VLOOKUP($B70,勘定科目!$A:$H,HLOOKUP($E$5,勘定科目!$F$1:$H$2,2,0),0)="","",VLOOKUP($B70,勘定科目!$A:$E,2,0)),"")</f>
        <v>事務用品費（製）</v>
      </c>
      <c r="D70" s="239" t="str">
        <f>IF(C70="","",VLOOKUP($B70,勘定科目!$A:$E,4,0))</f>
        <v>図書及び事務費</v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3"/>
        <v>0</v>
      </c>
      <c r="S70" s="201" t="s">
        <v>713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5005246286</v>
      </c>
      <c r="C71" s="183" t="str">
        <f>IFERROR(IF(VLOOKUP($B71,勘定科目!$A:$H,HLOOKUP($E$5,勘定科目!$F$1:$H$2,2,0),0)="","",VLOOKUP($B71,勘定科目!$A:$E,2,0)),"")</f>
        <v>その他手数料（製）</v>
      </c>
      <c r="D71" s="239" t="str">
        <f>IF(C71="","",VLOOKUP($B71,勘定科目!$A:$E,4,0))</f>
        <v>手数料</v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3"/>
        <v>0</v>
      </c>
      <c r="S71" s="201" t="s">
        <v>714</v>
      </c>
      <c r="T71" s="202"/>
      <c r="U71" s="246"/>
      <c r="V71" s="246"/>
      <c r="W71" s="246"/>
      <c r="BA71"/>
      <c r="BB71"/>
    </row>
    <row r="72" spans="1:54" s="191" customFormat="1" ht="22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194"/>
      <c r="G72" s="247">
        <f>18*200000</f>
        <v>3600000</v>
      </c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3"/>
        <v>3600000</v>
      </c>
      <c r="S72" s="300" t="s">
        <v>733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245"/>
      <c r="F73" s="194"/>
      <c r="G73" s="247"/>
      <c r="H73" s="247"/>
      <c r="I73" s="247"/>
      <c r="J73" s="247"/>
      <c r="K73" s="247"/>
      <c r="L73" s="247">
        <f>5*549000</f>
        <v>2745000</v>
      </c>
      <c r="M73" s="247"/>
      <c r="N73" s="247"/>
      <c r="O73" s="247"/>
      <c r="P73" s="247"/>
      <c r="Q73" s="247"/>
      <c r="R73" s="200">
        <f t="shared" si="3"/>
        <v>2745000</v>
      </c>
      <c r="S73" s="201" t="s">
        <v>728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245"/>
      <c r="F74" s="194"/>
      <c r="G74" s="247"/>
      <c r="H74" s="247"/>
      <c r="I74" s="247"/>
      <c r="J74" s="247"/>
      <c r="K74" s="247"/>
      <c r="L74" s="247">
        <f>4*382000</f>
        <v>1528000</v>
      </c>
      <c r="M74" s="247"/>
      <c r="N74" s="247"/>
      <c r="O74" s="247"/>
      <c r="P74" s="247"/>
      <c r="Q74" s="247"/>
      <c r="R74" s="200">
        <f t="shared" si="3"/>
        <v>1528000</v>
      </c>
      <c r="S74" s="201" t="s">
        <v>729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5005246281</v>
      </c>
      <c r="C75" s="183" t="str">
        <f>IFERROR(IF(VLOOKUP($B75,勘定科目!$A:$H,HLOOKUP($E$5,勘定科目!$F$1:$H$2,2,0),0)="","",VLOOKUP($B75,勘定科目!$A:$E,2,0)),"")</f>
        <v>図書印刷費（製）</v>
      </c>
      <c r="D75" s="239" t="str">
        <f>IF(C75="","",VLOOKUP($B75,勘定科目!$A:$E,4,0))</f>
        <v>図書及び事務費</v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3"/>
        <v>0</v>
      </c>
      <c r="S75" s="201" t="s">
        <v>715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5005246281</v>
      </c>
      <c r="C76" s="183" t="str">
        <f>IFERROR(IF(VLOOKUP($B76,勘定科目!$A:$H,HLOOKUP($E$5,勘定科目!$F$1:$H$2,2,0),0)="","",VLOOKUP($B76,勘定科目!$A:$E,2,0)),"")</f>
        <v>図書印刷費（製）</v>
      </c>
      <c r="D76" s="239" t="str">
        <f>IF(C76="","",VLOOKUP($B76,勘定科目!$A:$E,4,0))</f>
        <v>図書及び事務費</v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3"/>
        <v>0</v>
      </c>
      <c r="S76" s="201" t="s">
        <v>716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5005246281</v>
      </c>
      <c r="C77" s="183" t="str">
        <f>IFERROR(IF(VLOOKUP($B77,勘定科目!$A:$H,HLOOKUP($E$5,勘定科目!$F$1:$H$2,2,0),0)="","",VLOOKUP($B77,勘定科目!$A:$E,2,0)),"")</f>
        <v>図書印刷費（製）</v>
      </c>
      <c r="D77" s="239" t="str">
        <f>IF(C77="","",VLOOKUP($B77,勘定科目!$A:$E,4,0))</f>
        <v>図書及び事務費</v>
      </c>
      <c r="E77" s="245"/>
      <c r="F77" s="194"/>
      <c r="G77" s="194"/>
      <c r="H77" s="194"/>
      <c r="I77" s="194"/>
      <c r="J77" s="247"/>
      <c r="K77" s="247"/>
      <c r="L77" s="247"/>
      <c r="M77" s="247"/>
      <c r="N77" s="247"/>
      <c r="O77" s="247"/>
      <c r="P77" s="247"/>
      <c r="Q77" s="247"/>
      <c r="R77" s="200">
        <f t="shared" si="3"/>
        <v>0</v>
      </c>
      <c r="S77" s="201" t="s">
        <v>744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5005246281</v>
      </c>
      <c r="C78" s="183" t="str">
        <f>IFERROR(IF(VLOOKUP($B78,勘定科目!$A:$H,HLOOKUP($E$5,勘定科目!$F$1:$H$2,2,0),0)="","",VLOOKUP($B78,勘定科目!$A:$E,2,0)),"")</f>
        <v>図書印刷費（製）</v>
      </c>
      <c r="D78" s="239" t="str">
        <f>IF(C78="","",VLOOKUP($B78,勘定科目!$A:$E,4,0))</f>
        <v>図書及び事務費</v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3"/>
        <v>0</v>
      </c>
      <c r="S78" s="201" t="s">
        <v>717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5005246281</v>
      </c>
      <c r="C79" s="183" t="str">
        <f>IFERROR(IF(VLOOKUP($B79,勘定科目!$A:$H,HLOOKUP($E$5,勘定科目!$F$1:$H$2,2,0),0)="","",VLOOKUP($B79,勘定科目!$A:$E,2,0)),"")</f>
        <v>図書印刷費（製）</v>
      </c>
      <c r="D79" s="239" t="str">
        <f>IF(C79="","",VLOOKUP($B79,勘定科目!$A:$E,4,0))</f>
        <v>図書及び事務費</v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3"/>
        <v>0</v>
      </c>
      <c r="S79" s="201" t="s">
        <v>718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3"/>
        <v>0</v>
      </c>
      <c r="S80" s="201" t="s">
        <v>719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5005026371</v>
      </c>
      <c r="C81" s="183" t="str">
        <f>IFERROR(IF(VLOOKUP($B81,勘定科目!$A:$H,HLOOKUP($E$5,勘定科目!$F$1:$H$2,2,0),0)="","",VLOOKUP($B81,勘定科目!$A:$E,2,0)),"")</f>
        <v>消耗工具器具備品費（製）</v>
      </c>
      <c r="D81" s="239" t="str">
        <f>IF(C81="","",VLOOKUP($B81,勘定科目!$A:$E,4,0))</f>
        <v>消耗工具器具備品費</v>
      </c>
      <c r="E81" s="245"/>
      <c r="F81" s="194">
        <f>16750000*1</f>
        <v>16750000</v>
      </c>
      <c r="G81" s="247"/>
      <c r="H81" s="194">
        <f>16750000*1</f>
        <v>16750000</v>
      </c>
      <c r="I81" s="194">
        <f>16750000*3</f>
        <v>50250000</v>
      </c>
      <c r="J81" s="194">
        <f>16750000*1</f>
        <v>16750000</v>
      </c>
      <c r="K81" s="247"/>
      <c r="L81" s="247"/>
      <c r="M81" s="247"/>
      <c r="N81" s="247"/>
      <c r="O81" s="247"/>
      <c r="P81" s="247"/>
      <c r="Q81" s="247"/>
      <c r="R81" s="200">
        <f t="shared" si="3"/>
        <v>100500000</v>
      </c>
      <c r="S81" s="201" t="s">
        <v>740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5005026371</v>
      </c>
      <c r="C82" s="183" t="str">
        <f>IFERROR(IF(VLOOKUP($B82,勘定科目!$A:$H,HLOOKUP($E$5,勘定科目!$F$1:$H$2,2,0),0)="","",VLOOKUP($B82,勘定科目!$A:$E,2,0)),"")</f>
        <v>消耗工具器具備品費（製）</v>
      </c>
      <c r="D82" s="239" t="str">
        <f>IF(C82="","",VLOOKUP($B82,勘定科目!$A:$E,4,0))</f>
        <v>消耗工具器具備品費</v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0</v>
      </c>
      <c r="S82" s="201" t="s">
        <v>720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5004086291</v>
      </c>
      <c r="C83" s="183" t="str">
        <f>IFERROR(IF(VLOOKUP($B83,勘定科目!$A:$H,HLOOKUP($E$5,勘定科目!$F$1:$H$2,2,0),0)="","",VLOOKUP($B83,勘定科目!$A:$E,2,0)),"")</f>
        <v>福利厚生費（製）</v>
      </c>
      <c r="D83" s="239" t="str">
        <f>IF(C83="","",VLOOKUP($B83,勘定科目!$A:$E,4,0))</f>
        <v>福利厚生費</v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3"/>
        <v>0</v>
      </c>
      <c r="S83" s="201" t="s">
        <v>721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5004086291</v>
      </c>
      <c r="C84" s="183" t="str">
        <f>IFERROR(IF(VLOOKUP($B84,勘定科目!$A:$H,HLOOKUP($E$5,勘定科目!$F$1:$H$2,2,0),0)="","",VLOOKUP($B84,勘定科目!$A:$E,2,0)),"")</f>
        <v>福利厚生費（製）</v>
      </c>
      <c r="D84" s="239" t="str">
        <f>IF(C84="","",VLOOKUP($B84,勘定科目!$A:$E,4,0))</f>
        <v>福利厚生費</v>
      </c>
      <c r="E84" s="245"/>
      <c r="F84" s="194">
        <f>17*2*165000</f>
        <v>5610000</v>
      </c>
      <c r="G84" s="247">
        <f>165000*2</f>
        <v>330000</v>
      </c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3"/>
        <v>5940000</v>
      </c>
      <c r="S84" s="201" t="s">
        <v>738</v>
      </c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5004086291</v>
      </c>
      <c r="C85" s="183" t="str">
        <f>IFERROR(IF(VLOOKUP($B85,勘定科目!$A:$H,HLOOKUP($E$5,勘定科目!$F$1:$H$2,2,0),0)="","",VLOOKUP($B85,勘定科目!$A:$E,2,0)),"")</f>
        <v>福利厚生費（製）</v>
      </c>
      <c r="D85" s="239" t="str">
        <f>IF(C85="","",VLOOKUP($B85,勘定科目!$A:$E,4,0))</f>
        <v>福利厚生費</v>
      </c>
      <c r="E85" s="245"/>
      <c r="F85" s="194">
        <f>17*2*175000</f>
        <v>5950000</v>
      </c>
      <c r="G85" s="247">
        <f>175000*2</f>
        <v>350000</v>
      </c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3"/>
        <v>6300000</v>
      </c>
      <c r="S85" s="201" t="s">
        <v>739</v>
      </c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5004086291</v>
      </c>
      <c r="C86" s="183" t="str">
        <f>IFERROR(IF(VLOOKUP($B86,勘定科目!$A:$H,HLOOKUP($E$5,勘定科目!$F$1:$H$2,2,0),0)="","",VLOOKUP($B86,勘定科目!$A:$E,2,0)),"")</f>
        <v>福利厚生費（製）</v>
      </c>
      <c r="D86" s="239" t="str">
        <f>IF(C86="","",VLOOKUP($B86,勘定科目!$A:$E,4,0))</f>
        <v>福利厚生費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3"/>
        <v>0</v>
      </c>
      <c r="S86" s="201" t="s">
        <v>722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5004086291</v>
      </c>
      <c r="C87" s="183" t="str">
        <f>IFERROR(IF(VLOOKUP($B87,勘定科目!$A:$H,HLOOKUP($E$5,勘定科目!$F$1:$H$2,2,0),0)="","",VLOOKUP($B87,勘定科目!$A:$E,2,0)),"")</f>
        <v>福利厚生費（製）</v>
      </c>
      <c r="D87" s="239" t="str">
        <f>IF(C87="","",VLOOKUP($B87,勘定科目!$A:$E,4,0))</f>
        <v>福利厚生費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3"/>
        <v>0</v>
      </c>
      <c r="S87" s="201" t="s">
        <v>723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5004086291</v>
      </c>
      <c r="C88" s="183" t="str">
        <f>IFERROR(IF(VLOOKUP($B88,勘定科目!$A:$H,HLOOKUP($E$5,勘定科目!$F$1:$H$2,2,0),0)="","",VLOOKUP($B88,勘定科目!$A:$E,2,0)),"")</f>
        <v>福利厚生費（製）</v>
      </c>
      <c r="D88" s="239" t="str">
        <f>IF(C88="","",VLOOKUP($B88,勘定科目!$A:$E,4,0))</f>
        <v>福利厚生費</v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3"/>
        <v>0</v>
      </c>
      <c r="S88" s="201" t="s">
        <v>724</v>
      </c>
      <c r="T88" s="202"/>
      <c r="U88" s="246"/>
      <c r="V88" s="246"/>
      <c r="W88" s="246"/>
      <c r="BA88"/>
      <c r="BB88"/>
    </row>
    <row r="89" spans="1:54" s="311" customFormat="1" ht="13.5">
      <c r="A89" s="301"/>
      <c r="B89" s="302">
        <v>5005166291</v>
      </c>
      <c r="C89" s="303" t="str">
        <f>IFERROR(IF(VLOOKUP($B89,勘定科目!$A:$H,HLOOKUP($E$5,勘定科目!$F$1:$H$2,2,0),0)="","",VLOOKUP($B89,勘定科目!$A:$E,2,0)),"")</f>
        <v>接待交際費（製）</v>
      </c>
      <c r="D89" s="304" t="str">
        <f>IF(C89="","",VLOOKUP($B89,勘定科目!$A:$E,4,0))</f>
        <v>接待交際費</v>
      </c>
      <c r="E89" s="305"/>
      <c r="F89" s="306"/>
      <c r="G89" s="307">
        <v>300000</v>
      </c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8">
        <f t="shared" si="3"/>
        <v>300000</v>
      </c>
      <c r="S89" s="309" t="s">
        <v>742</v>
      </c>
      <c r="T89" s="310"/>
      <c r="BA89" s="312"/>
      <c r="BB89" s="312"/>
    </row>
    <row r="90" spans="1:54" s="191" customFormat="1" ht="13.5">
      <c r="A90" s="226"/>
      <c r="B90" s="180">
        <v>5005116292</v>
      </c>
      <c r="C90" s="183" t="str">
        <f>IFERROR(IF(VLOOKUP($B90,勘定科目!$A:$H,HLOOKUP($E$5,勘定科目!$F$1:$H$2,2,0),0)="","",VLOOKUP($B90,勘定科目!$A:$E,2,0)),"")</f>
        <v>海外渡航費（製）</v>
      </c>
      <c r="D90" s="239" t="str">
        <f>IF(C90="","",VLOOKUP($B90,勘定科目!$A:$E,4,0))</f>
        <v>渡航費</v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3"/>
        <v>0</v>
      </c>
      <c r="S90" s="201"/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5005246288</v>
      </c>
      <c r="C91" s="183" t="str">
        <f>IFERROR(IF(VLOOKUP($B91,勘定科目!$A:$H,HLOOKUP($E$5,勘定科目!$F$1:$H$2,2,0),0)="","",VLOOKUP($B91,勘定科目!$A:$E,2,0)),"")</f>
        <v>事務用品費（製）</v>
      </c>
      <c r="D91" s="239" t="str">
        <f>IF(C91="","",VLOOKUP($B91,勘定科目!$A:$E,4,0))</f>
        <v>図書及び事務費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3"/>
        <v>0</v>
      </c>
      <c r="S91" s="201"/>
      <c r="T91" s="202"/>
      <c r="U91" s="246"/>
      <c r="V91" s="246"/>
      <c r="W91" s="246"/>
      <c r="BA91"/>
      <c r="BB91"/>
    </row>
    <row r="92" spans="1:54" s="191" customFormat="1" ht="13.5">
      <c r="A92" s="226"/>
      <c r="B92" s="180">
        <v>5004086291</v>
      </c>
      <c r="C92" s="183" t="str">
        <f>IFERROR(IF(VLOOKUP($B92,勘定科目!$A:$H,HLOOKUP($E$5,勘定科目!$F$1:$H$2,2,0),0)="","",VLOOKUP($B92,勘定科目!$A:$E,2,0)),"")</f>
        <v>福利厚生費（製）</v>
      </c>
      <c r="D92" s="239" t="str">
        <f>IF(C92="","",VLOOKUP($B92,勘定科目!$A:$E,4,0))</f>
        <v>福利厚生費</v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3"/>
        <v>0</v>
      </c>
      <c r="S92" s="201"/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5004086291</v>
      </c>
      <c r="C93" s="183" t="str">
        <f>IFERROR(IF(VLOOKUP($B93,勘定科目!$A:$H,HLOOKUP($E$5,勘定科目!$F$1:$H$2,2,0),0)="","",VLOOKUP($B93,勘定科目!$A:$E,2,0)),"")</f>
        <v>福利厚生費（製）</v>
      </c>
      <c r="D93" s="239" t="str">
        <f>IF(C93="","",VLOOKUP($B93,勘定科目!$A:$E,4,0))</f>
        <v>福利厚生費</v>
      </c>
      <c r="E93" s="245"/>
      <c r="F93" s="194">
        <v>275000</v>
      </c>
      <c r="G93" s="194">
        <v>275000</v>
      </c>
      <c r="H93" s="194">
        <f>148500*2</f>
        <v>297000</v>
      </c>
      <c r="I93" s="194">
        <v>297000</v>
      </c>
      <c r="J93" s="247"/>
      <c r="K93" s="247"/>
      <c r="L93" s="247"/>
      <c r="M93" s="247"/>
      <c r="N93" s="247"/>
      <c r="O93" s="247"/>
      <c r="P93" s="247"/>
      <c r="Q93" s="247"/>
      <c r="R93" s="200">
        <f t="shared" si="3"/>
        <v>1144000</v>
      </c>
      <c r="S93" s="201" t="s">
        <v>743</v>
      </c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5004086291</v>
      </c>
      <c r="C94" s="183" t="str">
        <f>IFERROR(IF(VLOOKUP($B94,勘定科目!$A:$H,HLOOKUP($E$5,勘定科目!$F$1:$H$2,2,0),0)="","",VLOOKUP($B94,勘定科目!$A:$E,2,0)),"")</f>
        <v>福利厚生費（製）</v>
      </c>
      <c r="D94" s="239" t="str">
        <f>IF(C94="","",VLOOKUP($B94,勘定科目!$A:$E,4,0))</f>
        <v>福利厚生費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3"/>
        <v>0</v>
      </c>
      <c r="S94" s="201"/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5004086291</v>
      </c>
      <c r="C95" s="183" t="str">
        <f>IFERROR(IF(VLOOKUP($B95,勘定科目!$A:$H,HLOOKUP($E$5,勘定科目!$F$1:$H$2,2,0),0)="","",VLOOKUP($B95,勘定科目!$A:$E,2,0)),"")</f>
        <v>福利厚生費（製）</v>
      </c>
      <c r="D95" s="239" t="str">
        <f>IF(C95="","",VLOOKUP($B95,勘定科目!$A:$E,4,0))</f>
        <v>福利厚生費</v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3"/>
        <v>0</v>
      </c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80">
        <v>5005076283</v>
      </c>
      <c r="C96" s="183" t="str">
        <f>IFERROR(IF(VLOOKUP($B96,勘定科目!$A:$H,HLOOKUP($E$5,勘定科目!$F$1:$H$2,2,0),0)="","",VLOOKUP($B96,勘定科目!$A:$E,2,0)),"")</f>
        <v>輸入航空運賃（製）</v>
      </c>
      <c r="D96" s="239" t="str">
        <f>IF(C96="","",VLOOKUP($B96,勘定科目!$A:$E,4,0))</f>
        <v>荷造運賃</v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3"/>
        <v>0</v>
      </c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5004086291</v>
      </c>
      <c r="C97" s="183" t="str">
        <f>IFERROR(IF(VLOOKUP($B97,勘定科目!$A:$H,HLOOKUP($E$5,勘定科目!$F$1:$H$2,2,0),0)="","",VLOOKUP($B97,勘定科目!$A:$E,2,0)),"")</f>
        <v>福利厚生費（製）</v>
      </c>
      <c r="D97" s="239" t="str">
        <f>IF(C97="","",VLOOKUP($B97,勘定科目!$A:$E,4,0))</f>
        <v>福利厚生費</v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3"/>
        <v>0</v>
      </c>
      <c r="S97" s="201"/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5004086291</v>
      </c>
      <c r="C98" s="183" t="str">
        <f>IFERROR(IF(VLOOKUP($B98,勘定科目!$A:$H,HLOOKUP($E$5,勘定科目!$F$1:$H$2,2,0),0)="","",VLOOKUP($B98,勘定科目!$A:$E,2,0)),"")</f>
        <v>福利厚生費（製）</v>
      </c>
      <c r="D98" s="239" t="str">
        <f>IF(C98="","",VLOOKUP($B98,勘定科目!$A:$E,4,0))</f>
        <v>福利厚生費</v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0</v>
      </c>
      <c r="S98" s="201"/>
      <c r="T98" s="202"/>
      <c r="U98" s="246"/>
      <c r="V98" s="246"/>
      <c r="W98" s="246"/>
      <c r="BA98"/>
      <c r="BB98"/>
    </row>
    <row r="99" spans="1:54" s="191" customFormat="1" ht="13.5">
      <c r="A99" s="226"/>
      <c r="B99" s="180">
        <v>5005076281</v>
      </c>
      <c r="C99" s="183" t="str">
        <f>IFERROR(IF(VLOOKUP($B99,勘定科目!$A:$H,HLOOKUP($E$5,勘定科目!$F$1:$H$2,2,0),0)="","",VLOOKUP($B99,勘定科目!$A:$E,2,0)),"")</f>
        <v>通関申告費用（製）</v>
      </c>
      <c r="D99" s="239" t="str">
        <f>IF(C99="","",VLOOKUP($B99,勘定科目!$A:$E,4,0))</f>
        <v>荷造運賃</v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3"/>
        <v>0</v>
      </c>
      <c r="S99" s="201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5005246282</v>
      </c>
      <c r="C100" s="183" t="str">
        <f>IFERROR(IF(VLOOKUP($B100,勘定科目!$A:$H,HLOOKUP($E$5,勘定科目!$F$1:$H$2,2,0),0)="","",VLOOKUP($B100,勘定科目!$A:$E,2,0)),"")</f>
        <v>ＫＤＣシステム使用料（製）</v>
      </c>
      <c r="D100" s="239" t="str">
        <f>IF(C100="","",VLOOKUP($B100,勘定科目!$A:$E,4,0))</f>
        <v>図書及び事務費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3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>
        <v>5005056281</v>
      </c>
      <c r="C101" s="183" t="str">
        <f>IFERROR(IF(VLOOKUP($B101,勘定科目!$A:$H,HLOOKUP($E$5,勘定科目!$F$1:$H$2,2,0),0)="","",VLOOKUP($B101,勘定科目!$A:$E,2,0)),"")</f>
        <v>ガス代（製）</v>
      </c>
      <c r="D101" s="239" t="str">
        <f>IF(C101="","",VLOOKUP($B101,勘定科目!$A:$E,4,0))</f>
        <v>水道光熱費</v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3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>
        <v>5005076289</v>
      </c>
      <c r="C102" s="183" t="str">
        <f>IFERROR(IF(VLOOKUP($B102,勘定科目!$A:$H,HLOOKUP($E$5,勘定科目!$F$1:$H$2,2,0),0)="","",VLOOKUP($B102,勘定科目!$A:$E,2,0)),"")</f>
        <v>クーリエ費用（製）</v>
      </c>
      <c r="D102" s="239" t="str">
        <f>IF(C102="","",VLOOKUP($B102,勘定科目!$A:$E,4,0))</f>
        <v>荷造運賃</v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3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>
        <v>5005116291</v>
      </c>
      <c r="C103" s="183" t="str">
        <f>IFERROR(IF(VLOOKUP($B103,勘定科目!$A:$H,HLOOKUP($E$5,勘定科目!$F$1:$H$2,2,0),0)="","",VLOOKUP($B103,勘定科目!$A:$E,2,0)),"")</f>
        <v>ベトナム国内交通費（製）</v>
      </c>
      <c r="D103" s="239" t="str">
        <f>IF(C103="","",VLOOKUP($B103,勘定科目!$A:$E,4,0))</f>
        <v>旅費交通費</v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5005246288</v>
      </c>
      <c r="C104" s="183" t="str">
        <f>IFERROR(IF(VLOOKUP($B104,勘定科目!$A:$H,HLOOKUP($E$5,勘定科目!$F$1:$H$2,2,0),0)="","",VLOOKUP($B104,勘定科目!$A:$E,2,0)),"")</f>
        <v>事務用品費（製）</v>
      </c>
      <c r="D104" s="239" t="str">
        <f>IF(C104="","",VLOOKUP($B104,勘定科目!$A:$E,4,0))</f>
        <v>図書及び事務費</v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3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>
        <v>5005246281</v>
      </c>
      <c r="C105" s="183" t="str">
        <f>IFERROR(IF(VLOOKUP($B105,勘定科目!$A:$H,HLOOKUP($E$5,勘定科目!$F$1:$H$2,2,0),0)="","",VLOOKUP($B105,勘定科目!$A:$E,2,0)),"")</f>
        <v>図書印刷費（製）</v>
      </c>
      <c r="D105" s="239" t="str">
        <f>IF(C105="","",VLOOKUP($B105,勘定科目!$A:$E,4,0))</f>
        <v>図書及び事務費</v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3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5005066282</v>
      </c>
      <c r="C106" s="183" t="str">
        <f>IFERROR(IF(VLOOKUP($B106,勘定科目!$A:$H,HLOOKUP($E$5,勘定科目!$F$1:$H$2,2,0),0)="","",VLOOKUP($B106,勘定科目!$A:$E,2,0)),"")</f>
        <v>水道代（製）</v>
      </c>
      <c r="D106" s="239" t="str">
        <f>IF(C106="","",VLOOKUP($B106,勘定科目!$A:$E,4,0))</f>
        <v>水道光熱費</v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>
        <v>5005026371</v>
      </c>
      <c r="C107" s="183" t="str">
        <f>IFERROR(IF(VLOOKUP($B107,勘定科目!$A:$H,HLOOKUP($E$5,勘定科目!$F$1:$H$2,2,0),0)="","",VLOOKUP($B107,勘定科目!$A:$E,2,0)),"")</f>
        <v>消耗工具器具備品費（製）</v>
      </c>
      <c r="D107" s="239" t="str">
        <f>IF(C107="","",VLOOKUP($B107,勘定科目!$A:$E,4,0))</f>
        <v>消耗工具器具備品費</v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3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>
        <v>5006016261</v>
      </c>
      <c r="C108" s="183" t="str">
        <f>IFERROR(IF(VLOOKUP($B108,勘定科目!$A:$H,HLOOKUP($E$5,勘定科目!$F$1:$H$2,2,0),0)="","",VLOOKUP($B108,勘定科目!$A:$E,2,0)),"")</f>
        <v>減価償却費配賦（製）　土地使用権</v>
      </c>
      <c r="D108" s="239" t="str">
        <f>IF(C108="","",VLOOKUP($B108,勘定科目!$A:$E,4,0))</f>
        <v>減価償却費</v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>
        <v>5006016260</v>
      </c>
      <c r="C109" s="183" t="str">
        <f>IFERROR(IF(VLOOKUP($B109,勘定科目!$A:$H,HLOOKUP($E$5,勘定科目!$F$1:$H$2,2,0),0)="","",VLOOKUP($B109,勘定科目!$A:$E,2,0)),"")</f>
        <v>減価償却費配賦（製）　建物</v>
      </c>
      <c r="D109" s="239" t="str">
        <f>IF(C109="","",VLOOKUP($B109,勘定科目!$A:$E,4,0))</f>
        <v>減価償却費</v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3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>
        <v>5004086291</v>
      </c>
      <c r="C110" s="183" t="str">
        <f>IFERROR(IF(VLOOKUP($B110,勘定科目!$A:$H,HLOOKUP($E$5,勘定科目!$F$1:$H$2,2,0),0)="","",VLOOKUP($B110,勘定科目!$A:$E,2,0)),"")</f>
        <v>福利厚生費（製）</v>
      </c>
      <c r="D110" s="239" t="str">
        <f>IF(C110="","",VLOOKUP($B110,勘定科目!$A:$E,4,0))</f>
        <v>福利厚生費</v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3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>
        <v>5005066281</v>
      </c>
      <c r="C111" s="183" t="str">
        <f>IFERROR(IF(VLOOKUP($B111,勘定科目!$A:$H,HLOOKUP($E$5,勘定科目!$F$1:$H$2,2,0),0)="","",VLOOKUP($B111,勘定科目!$A:$E,2,0)),"")</f>
        <v>電気代（製）</v>
      </c>
      <c r="D111" s="239" t="str">
        <f>IF(C111="","",VLOOKUP($B111,勘定科目!$A:$E,4,0))</f>
        <v>水道光熱費</v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3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>
        <v>5005246287</v>
      </c>
      <c r="C112" s="183" t="str">
        <f>IFERROR(IF(VLOOKUP($B112,勘定科目!$A:$H,HLOOKUP($E$5,勘定科目!$F$1:$H$2,2,0),0)="","",VLOOKUP($B112,勘定科目!$A:$E,2,0)),"")</f>
        <v>ＫＤＣ手数料（製）</v>
      </c>
      <c r="D112" s="239" t="str">
        <f>IF(C112="","",VLOOKUP($B112,勘定科目!$A:$E,4,0))</f>
        <v>手数料</v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3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>
        <v>5005046282</v>
      </c>
      <c r="C113" s="183" t="str">
        <f>IFERROR(IF(VLOOKUP($B113,勘定科目!$A:$H,HLOOKUP($E$5,勘定科目!$F$1:$H$2,2,0),0)="","",VLOOKUP($B113,勘定科目!$A:$E,2,0)),"")</f>
        <v>その他修繕費（製）</v>
      </c>
      <c r="D113" s="239" t="str">
        <f>IF(C113="","",VLOOKUP($B113,勘定科目!$A:$E,4,0))</f>
        <v>修繕費</v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3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3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3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3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3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5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5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5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5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5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5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5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5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5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5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5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5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5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5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5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5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5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5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5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5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5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5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5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5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5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5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5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5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5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5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5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5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5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5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5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5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5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5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5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5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5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5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5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5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5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5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5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5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5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5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5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5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5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5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5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5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5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5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5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5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5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5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5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5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6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6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6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6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6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6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6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6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6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6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6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6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6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6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6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6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6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6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6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6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6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6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6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6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6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6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6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6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6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6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6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6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6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6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6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6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6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6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6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6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6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6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6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6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6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6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6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6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6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6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6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6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6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6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6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6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6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6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6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6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6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6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6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6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7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7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7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7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7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7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7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7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7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7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7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7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7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7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7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7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7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7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7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7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7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7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7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7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7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7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7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7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7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7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7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7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7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7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7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7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7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7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7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7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7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7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7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7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7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7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7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7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7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7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7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7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7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7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7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7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7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7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7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7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7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7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7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7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8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8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8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8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8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8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8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8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8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8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8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8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8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8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8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8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8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8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8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8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8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8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8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8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8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8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8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8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8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8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8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8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8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8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8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8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8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8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8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8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8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8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8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8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8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8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8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8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8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8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8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8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8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8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8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8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8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8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8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8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8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8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8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8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9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9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9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9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9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9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9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9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9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9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9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9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9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9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9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9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9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9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9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9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9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9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9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9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9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9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9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9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9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9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9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9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9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9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9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9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9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9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9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9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9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9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9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9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9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9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9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9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9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9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9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9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9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9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9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9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9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9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9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9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9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9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9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9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0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0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0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0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0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0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0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0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0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0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0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0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0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0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0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0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0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0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0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0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0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0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0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0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0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0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0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0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0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0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0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0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0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0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0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0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0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0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0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0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0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0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0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0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0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0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0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0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0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0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0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0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0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0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0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0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0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0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0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0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0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0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0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0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1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1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1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1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1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1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1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1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1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1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1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1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1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1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1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1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1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1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1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1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1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1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1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1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1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1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1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1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1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1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1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1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1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1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1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1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1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1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1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1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1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1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1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1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1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1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1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1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1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1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1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1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1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1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1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1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1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1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1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1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1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1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1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1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2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2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2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2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2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2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2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2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2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2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2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2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2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2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2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2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2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2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2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2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2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2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2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2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2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2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2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2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2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2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2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2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2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2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2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2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2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2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2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2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2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2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2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2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2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2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2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2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2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2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2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2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2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2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2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2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2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2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2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2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2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2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2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2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3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3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3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3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3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3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3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3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3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3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3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3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3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3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3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3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3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3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3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3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3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3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3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3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3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3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3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3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3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3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3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3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3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3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3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3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3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3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3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3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3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3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3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3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3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3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3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3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3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3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3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3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3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3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3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3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3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3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3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3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3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3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3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3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4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4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4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4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4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4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4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4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4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4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4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4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4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4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4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4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4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4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4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4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4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4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4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4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4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4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4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4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4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4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4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4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4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4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4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4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4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4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4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4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4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4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4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4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4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4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4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4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4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4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4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4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4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4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4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4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4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4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4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4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4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4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4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4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15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5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5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5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5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5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5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5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5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5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5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5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5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5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5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5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5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5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5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5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5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5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5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5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5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5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5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5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5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5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5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5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5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5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5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5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5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5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5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5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5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BC7" xr:uid="{D9DAFEB9-669B-449E-9F89-DB0AA21381A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A532A123-0AA3-4D45-A3CB-DB41A7D6DD5E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34A5-4E0D-4017-9C53-52C8A7863F86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第1資材課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755B6C5C-E2B1-439C-9D20-B373F2467D28}"/>
  <phoneticPr fontId="3"/>
  <dataValidations count="1">
    <dataValidation type="list" allowBlank="1" showInputMessage="1" showErrorMessage="1" sqref="S4:S49" xr:uid="{D3135A86-92FC-46CD-AE29-93179991D249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34D6-EAF7-4F9A-BC3C-A50DD6651635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32ECF2C5-16E6-43AE-B0DC-883E9E74063B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02C9-FFB3-4FCC-947C-A0AB5EBD88C3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EFD3F396-FA82-471B-9DBD-45D6B9DA48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07E1-6F5A-45D9-BBAC-2BAC96F4BD7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Bùi Thị Thúy Vân(Bui Thi Thuy Van)</cp:lastModifiedBy>
  <cp:lastPrinted>2017-10-06T02:39:42Z</cp:lastPrinted>
  <dcterms:created xsi:type="dcterms:W3CDTF">2002-04-10T08:05:47Z</dcterms:created>
  <dcterms:modified xsi:type="dcterms:W3CDTF">2025-01-08T01:22:02Z</dcterms:modified>
</cp:coreProperties>
</file>