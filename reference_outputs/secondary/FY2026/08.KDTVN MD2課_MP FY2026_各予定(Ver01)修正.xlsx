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D1465F20-9996-41AA-A668-DE70A7C6123F}" xr6:coauthVersionLast="47" xr6:coauthVersionMax="47" xr10:uidLastSave="{00000000-0000-0000-0000-000000000000}"/>
  <bookViews>
    <workbookView xWindow="-120" yWindow="-120" windowWidth="21840" windowHeight="13020" tabRatio="702" activeTab="2" xr2:uid="{F948B9DB-3B65-42D7-8FDE-79408773C40A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'内訳ﾘｽﾄ(4～3月)'!$A$7:$T$176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" i="5" l="1"/>
  <c r="N65" i="5"/>
  <c r="M65" i="5"/>
  <c r="L65" i="5"/>
  <c r="K65" i="5"/>
  <c r="J65" i="5"/>
  <c r="I65" i="5"/>
  <c r="H65" i="5"/>
  <c r="G65" i="5"/>
  <c r="F65" i="5"/>
  <c r="E65" i="5"/>
  <c r="D65" i="5"/>
  <c r="C65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N26" i="10"/>
  <c r="Q26" i="10"/>
  <c r="P26" i="10"/>
  <c r="O26" i="10"/>
  <c r="M26" i="10"/>
  <c r="L26" i="10"/>
  <c r="K26" i="10"/>
  <c r="J26" i="10"/>
  <c r="I26" i="10"/>
  <c r="H26" i="10"/>
  <c r="G26" i="10"/>
  <c r="F26" i="10"/>
  <c r="R129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26" i="10" l="1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E5" i="10"/>
  <c r="C57" i="10" s="1"/>
  <c r="D57" i="10" s="1"/>
  <c r="D5" i="10"/>
  <c r="O70" i="5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H98" i="5"/>
  <c r="G98" i="5"/>
  <c r="F98" i="5"/>
  <c r="F98" i="32" s="1"/>
  <c r="E98" i="5"/>
  <c r="E98" i="32" s="1"/>
  <c r="D98" i="5"/>
  <c r="D98" i="32" s="1"/>
  <c r="C98" i="5"/>
  <c r="C98" i="32" s="1"/>
  <c r="N97" i="5"/>
  <c r="M97" i="5"/>
  <c r="L97" i="5"/>
  <c r="K97" i="5"/>
  <c r="K97" i="32" s="1"/>
  <c r="J97" i="5"/>
  <c r="J97" i="32" s="1"/>
  <c r="I97" i="5"/>
  <c r="I97" i="32" s="1"/>
  <c r="H97" i="5"/>
  <c r="H97" i="32" s="1"/>
  <c r="G97" i="5"/>
  <c r="G97" i="32" s="1"/>
  <c r="F97" i="5"/>
  <c r="F97" i="32" s="1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I93" i="32" s="1"/>
  <c r="H93" i="5"/>
  <c r="G93" i="5"/>
  <c r="G93" i="32" s="1"/>
  <c r="F93" i="5"/>
  <c r="E93" i="5"/>
  <c r="E93" i="32" s="1"/>
  <c r="D93" i="5"/>
  <c r="D93" i="32" s="1"/>
  <c r="C93" i="5"/>
  <c r="N92" i="5"/>
  <c r="M92" i="5"/>
  <c r="M92" i="32" s="1"/>
  <c r="L92" i="5"/>
  <c r="K92" i="5"/>
  <c r="K92" i="32" s="1"/>
  <c r="J92" i="5"/>
  <c r="J92" i="32" s="1"/>
  <c r="I92" i="5"/>
  <c r="H92" i="5"/>
  <c r="G92" i="5"/>
  <c r="G92" i="32" s="1"/>
  <c r="F92" i="5"/>
  <c r="F92" i="32" s="1"/>
  <c r="E92" i="5"/>
  <c r="D92" i="5"/>
  <c r="D92" i="32" s="1"/>
  <c r="C92" i="5"/>
  <c r="C92" i="32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M87" i="5"/>
  <c r="L87" i="5"/>
  <c r="L87" i="32" s="1"/>
  <c r="K87" i="5"/>
  <c r="K87" i="32" s="1"/>
  <c r="J87" i="5"/>
  <c r="J87" i="32" s="1"/>
  <c r="I87" i="5"/>
  <c r="I87" i="32" s="1"/>
  <c r="H87" i="5"/>
  <c r="H87" i="32" s="1"/>
  <c r="G87" i="5"/>
  <c r="G87" i="32" s="1"/>
  <c r="F87" i="5"/>
  <c r="E87" i="5"/>
  <c r="D87" i="5"/>
  <c r="D87" i="32" s="1"/>
  <c r="C87" i="5"/>
  <c r="C87" i="32" s="1"/>
  <c r="N74" i="5"/>
  <c r="N74" i="32" s="1"/>
  <c r="M74" i="5"/>
  <c r="M74" i="32" s="1"/>
  <c r="L74" i="5"/>
  <c r="L74" i="32" s="1"/>
  <c r="K74" i="5"/>
  <c r="K74" i="32" s="1"/>
  <c r="J74" i="5"/>
  <c r="J74" i="32" s="1"/>
  <c r="I74" i="5"/>
  <c r="I74" i="32" s="1"/>
  <c r="H74" i="5"/>
  <c r="H74" i="32" s="1"/>
  <c r="G74" i="5"/>
  <c r="G74" i="32" s="1"/>
  <c r="F74" i="5"/>
  <c r="F74" i="32" s="1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E68" i="32" s="1"/>
  <c r="D68" i="5"/>
  <c r="D68" i="32" s="1"/>
  <c r="C68" i="5"/>
  <c r="C68" i="32" s="1"/>
  <c r="Q5" i="10"/>
  <c r="P5" i="10"/>
  <c r="O5" i="10"/>
  <c r="N5" i="10"/>
  <c r="M5" i="10"/>
  <c r="L5" i="10"/>
  <c r="K5" i="10"/>
  <c r="J5" i="10"/>
  <c r="I5" i="10"/>
  <c r="H5" i="10"/>
  <c r="G5" i="10"/>
  <c r="C1" i="5"/>
  <c r="C1" i="32" s="1"/>
  <c r="O88" i="5"/>
  <c r="O87" i="5"/>
  <c r="O76" i="5"/>
  <c r="O98" i="5"/>
  <c r="O72" i="5"/>
  <c r="O71" i="5"/>
  <c r="C5" i="10"/>
  <c r="D1" i="21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N87" i="32"/>
  <c r="H93" i="32"/>
  <c r="D4" i="32"/>
  <c r="E4" i="32"/>
  <c r="F4" i="32"/>
  <c r="G4" i="32"/>
  <c r="H4" i="32"/>
  <c r="I4" i="32"/>
  <c r="J4" i="32"/>
  <c r="K4" i="32"/>
  <c r="L4" i="32"/>
  <c r="M4" i="32"/>
  <c r="N4" i="32"/>
  <c r="O4" i="32"/>
  <c r="E87" i="32"/>
  <c r="M87" i="32"/>
  <c r="F5" i="10"/>
  <c r="K69" i="5"/>
  <c r="K69" i="32" s="1"/>
  <c r="L70" i="5"/>
  <c r="L70" i="32" s="1"/>
  <c r="C70" i="5"/>
  <c r="C70" i="32" s="1"/>
  <c r="N76" i="5"/>
  <c r="N76" i="32" s="1"/>
  <c r="I76" i="5"/>
  <c r="I76" i="32" s="1"/>
  <c r="H78" i="5"/>
  <c r="H78" i="32" s="1"/>
  <c r="M72" i="5"/>
  <c r="M72" i="32" s="1"/>
  <c r="K77" i="5"/>
  <c r="K77" i="32" s="1"/>
  <c r="L76" i="5"/>
  <c r="L76" i="32" s="1"/>
  <c r="F77" i="5"/>
  <c r="F77" i="32" s="1"/>
  <c r="I75" i="5"/>
  <c r="F70" i="5"/>
  <c r="F70" i="32" s="1"/>
  <c r="I71" i="5"/>
  <c r="I71" i="32" s="1"/>
  <c r="L78" i="5"/>
  <c r="L78" i="32" s="1"/>
  <c r="J70" i="5"/>
  <c r="J70" i="32" s="1"/>
  <c r="M76" i="5"/>
  <c r="M76" i="32" s="1"/>
  <c r="M77" i="5"/>
  <c r="M77" i="32" s="1"/>
  <c r="E72" i="5"/>
  <c r="E72" i="32" s="1"/>
  <c r="G72" i="5"/>
  <c r="G72" i="32" s="1"/>
  <c r="L72" i="5"/>
  <c r="L72" i="32" s="1"/>
  <c r="L77" i="5"/>
  <c r="L77" i="32" s="1"/>
  <c r="H70" i="5"/>
  <c r="H70" i="32" s="1"/>
  <c r="H76" i="5"/>
  <c r="H76" i="32" s="1"/>
  <c r="G75" i="5"/>
  <c r="G75" i="32" s="1"/>
  <c r="C71" i="5"/>
  <c r="C71" i="32" s="1"/>
  <c r="F75" i="5"/>
  <c r="F75" i="32" s="1"/>
  <c r="D70" i="5"/>
  <c r="D70" i="32" s="1"/>
  <c r="N77" i="5"/>
  <c r="N77" i="32" s="1"/>
  <c r="E69" i="5"/>
  <c r="E69" i="32" s="1"/>
  <c r="F69" i="5"/>
  <c r="F69" i="32" s="1"/>
  <c r="N70" i="5"/>
  <c r="N70" i="32" s="1"/>
  <c r="M69" i="5"/>
  <c r="M69" i="32" s="1"/>
  <c r="D78" i="5"/>
  <c r="D78" i="32" s="1"/>
  <c r="C72" i="5"/>
  <c r="C72" i="32" s="1"/>
  <c r="F72" i="5"/>
  <c r="F72" i="32" s="1"/>
  <c r="L69" i="5"/>
  <c r="L69" i="32" s="1"/>
  <c r="J69" i="5"/>
  <c r="J69" i="32" s="1"/>
  <c r="I70" i="5"/>
  <c r="I70" i="32" s="1"/>
  <c r="I72" i="5"/>
  <c r="I72" i="32" s="1"/>
  <c r="D72" i="5"/>
  <c r="D72" i="32" s="1"/>
  <c r="L71" i="5"/>
  <c r="L71" i="32" s="1"/>
  <c r="E70" i="5"/>
  <c r="E70" i="32" s="1"/>
  <c r="O75" i="5"/>
  <c r="C78" i="5"/>
  <c r="C78" i="32" s="1"/>
  <c r="N75" i="5"/>
  <c r="G76" i="5"/>
  <c r="G76" i="32" s="1"/>
  <c r="H72" i="5"/>
  <c r="H72" i="32" s="1"/>
  <c r="L75" i="5"/>
  <c r="L75" i="32" s="1"/>
  <c r="C75" i="5"/>
  <c r="C75" i="32" s="1"/>
  <c r="H71" i="5"/>
  <c r="H71" i="32" s="1"/>
  <c r="D76" i="5"/>
  <c r="D76" i="32" s="1"/>
  <c r="I78" i="5"/>
  <c r="I78" i="32" s="1"/>
  <c r="K71" i="5"/>
  <c r="K71" i="32" s="1"/>
  <c r="D75" i="5"/>
  <c r="D75" i="32" s="1"/>
  <c r="D69" i="5"/>
  <c r="D69" i="32" s="1"/>
  <c r="G77" i="5"/>
  <c r="G77" i="32" s="1"/>
  <c r="N69" i="5"/>
  <c r="N69" i="32" s="1"/>
  <c r="J78" i="5"/>
  <c r="J78" i="32" s="1"/>
  <c r="G71" i="5"/>
  <c r="G71" i="32" s="1"/>
  <c r="O69" i="5"/>
  <c r="M70" i="5"/>
  <c r="M70" i="32" s="1"/>
  <c r="J76" i="5"/>
  <c r="G70" i="5"/>
  <c r="G70" i="32" s="1"/>
  <c r="K75" i="5"/>
  <c r="K75" i="32" s="1"/>
  <c r="E75" i="5"/>
  <c r="E75" i="32" s="1"/>
  <c r="M71" i="5"/>
  <c r="D71" i="5"/>
  <c r="D71" i="32" s="1"/>
  <c r="E78" i="5"/>
  <c r="E78" i="32" s="1"/>
  <c r="J77" i="5"/>
  <c r="J77" i="32" s="1"/>
  <c r="G78" i="5"/>
  <c r="G78" i="32" s="1"/>
  <c r="G69" i="5"/>
  <c r="C76" i="5"/>
  <c r="C76" i="32" s="1"/>
  <c r="C77" i="5"/>
  <c r="C77" i="32" s="1"/>
  <c r="C69" i="5"/>
  <c r="C69" i="32" s="1"/>
  <c r="H77" i="5"/>
  <c r="H77" i="32" s="1"/>
  <c r="F76" i="5"/>
  <c r="F76" i="32" s="1"/>
  <c r="E76" i="5"/>
  <c r="E76" i="32" s="1"/>
  <c r="K78" i="5"/>
  <c r="K78" i="32" s="1"/>
  <c r="J72" i="5"/>
  <c r="J72" i="32" s="1"/>
  <c r="M75" i="5"/>
  <c r="M75" i="32" s="1"/>
  <c r="H69" i="5"/>
  <c r="D77" i="5"/>
  <c r="D77" i="32" s="1"/>
  <c r="F78" i="5"/>
  <c r="F78" i="32" s="1"/>
  <c r="B2" i="5"/>
  <c r="B2" i="32" s="1"/>
  <c r="N89" i="5" l="1"/>
  <c r="J89" i="32"/>
  <c r="G89" i="32"/>
  <c r="K76" i="5"/>
  <c r="K76" i="32" s="1"/>
  <c r="K79" i="32" s="1"/>
  <c r="I77" i="5"/>
  <c r="I77" i="32" s="1"/>
  <c r="E71" i="5"/>
  <c r="E71" i="32" s="1"/>
  <c r="E73" i="32" s="1"/>
  <c r="J71" i="5"/>
  <c r="J71" i="32" s="1"/>
  <c r="J73" i="32" s="1"/>
  <c r="M78" i="5"/>
  <c r="M78" i="32" s="1"/>
  <c r="M79" i="32" s="1"/>
  <c r="N72" i="5"/>
  <c r="N72" i="32" s="1"/>
  <c r="O77" i="5"/>
  <c r="O78" i="5"/>
  <c r="N78" i="5"/>
  <c r="N78" i="32" s="1"/>
  <c r="F71" i="5"/>
  <c r="F71" i="32" s="1"/>
  <c r="F73" i="32" s="1"/>
  <c r="K72" i="5"/>
  <c r="K72" i="32" s="1"/>
  <c r="N71" i="5"/>
  <c r="N71" i="32" s="1"/>
  <c r="I69" i="5"/>
  <c r="I69" i="32" s="1"/>
  <c r="I73" i="32" s="1"/>
  <c r="E77" i="5"/>
  <c r="E77" i="32" s="1"/>
  <c r="E79" i="32" s="1"/>
  <c r="J75" i="5"/>
  <c r="J75" i="32" s="1"/>
  <c r="H75" i="5"/>
  <c r="H75" i="32" s="1"/>
  <c r="H79" i="32" s="1"/>
  <c r="K70" i="5"/>
  <c r="K70" i="32" s="1"/>
  <c r="O70" i="32" s="1"/>
  <c r="J94" i="32"/>
  <c r="C139" i="10"/>
  <c r="D139" i="10" s="1"/>
  <c r="C46" i="10"/>
  <c r="D46" i="10" s="1"/>
  <c r="C99" i="10"/>
  <c r="D99" i="10" s="1"/>
  <c r="C27" i="10"/>
  <c r="D27" i="10" s="1"/>
  <c r="C35" i="10"/>
  <c r="D35" i="10" s="1"/>
  <c r="C162" i="10"/>
  <c r="D162" i="10" s="1"/>
  <c r="C50" i="10"/>
  <c r="D50" i="10" s="1"/>
  <c r="M89" i="5"/>
  <c r="C103" i="10"/>
  <c r="D103" i="10" s="1"/>
  <c r="C93" i="10"/>
  <c r="D93" i="10" s="1"/>
  <c r="E89" i="5"/>
  <c r="C115" i="10"/>
  <c r="D115" i="10" s="1"/>
  <c r="C140" i="10"/>
  <c r="D140" i="10" s="1"/>
  <c r="C111" i="10"/>
  <c r="D111" i="10" s="1"/>
  <c r="C155" i="10"/>
  <c r="D155" i="10" s="1"/>
  <c r="C41" i="10"/>
  <c r="D41" i="10" s="1"/>
  <c r="C51" i="10"/>
  <c r="D51" i="10" s="1"/>
  <c r="C176" i="10"/>
  <c r="D176" i="10" s="1"/>
  <c r="K89" i="32"/>
  <c r="N89" i="32"/>
  <c r="D89" i="32"/>
  <c r="C148" i="10"/>
  <c r="D148" i="10" s="1"/>
  <c r="C172" i="10"/>
  <c r="D172" i="10" s="1"/>
  <c r="C84" i="10"/>
  <c r="D84" i="10" s="1"/>
  <c r="C110" i="10"/>
  <c r="D110" i="10" s="1"/>
  <c r="C157" i="10"/>
  <c r="D157" i="10" s="1"/>
  <c r="C167" i="10"/>
  <c r="D167" i="10" s="1"/>
  <c r="K89" i="5"/>
  <c r="O97" i="5"/>
  <c r="O99" i="5" s="1"/>
  <c r="D89" i="5"/>
  <c r="C60" i="10"/>
  <c r="D60" i="10" s="1"/>
  <c r="C31" i="10"/>
  <c r="D31" i="10" s="1"/>
  <c r="C109" i="10"/>
  <c r="D109" i="10" s="1"/>
  <c r="O93" i="5"/>
  <c r="C72" i="10"/>
  <c r="D72" i="10" s="1"/>
  <c r="C78" i="10"/>
  <c r="D78" i="10" s="1"/>
  <c r="C147" i="10"/>
  <c r="D147" i="10" s="1"/>
  <c r="F89" i="5"/>
  <c r="C81" i="10"/>
  <c r="D81" i="10" s="1"/>
  <c r="M89" i="32"/>
  <c r="C102" i="10"/>
  <c r="D102" i="10" s="1"/>
  <c r="C165" i="10"/>
  <c r="D165" i="10" s="1"/>
  <c r="C39" i="10"/>
  <c r="D39" i="10" s="1"/>
  <c r="O68" i="32"/>
  <c r="L79" i="5"/>
  <c r="O74" i="32"/>
  <c r="L89" i="32"/>
  <c r="H89" i="32"/>
  <c r="R5" i="10"/>
  <c r="O68" i="5"/>
  <c r="O73" i="5" s="1"/>
  <c r="G89" i="5"/>
  <c r="F79" i="5"/>
  <c r="O74" i="5"/>
  <c r="H89" i="5"/>
  <c r="I89" i="32"/>
  <c r="E89" i="32"/>
  <c r="O89" i="5"/>
  <c r="C89" i="32"/>
  <c r="O88" i="32"/>
  <c r="L89" i="5"/>
  <c r="I89" i="5"/>
  <c r="C89" i="5"/>
  <c r="J99" i="5"/>
  <c r="J89" i="5"/>
  <c r="G99" i="5"/>
  <c r="H73" i="5"/>
  <c r="L73" i="32"/>
  <c r="O92" i="5"/>
  <c r="F87" i="32"/>
  <c r="F89" i="32" s="1"/>
  <c r="C99" i="5"/>
  <c r="F99" i="5"/>
  <c r="J99" i="32"/>
  <c r="L79" i="32"/>
  <c r="I75" i="32"/>
  <c r="I79" i="32" s="1"/>
  <c r="G98" i="32"/>
  <c r="G99" i="32" s="1"/>
  <c r="C113" i="10"/>
  <c r="D113" i="10" s="1"/>
  <c r="C122" i="10"/>
  <c r="D122" i="10" s="1"/>
  <c r="C43" i="10"/>
  <c r="D43" i="10" s="1"/>
  <c r="C59" i="10"/>
  <c r="D59" i="10" s="1"/>
  <c r="C40" i="10"/>
  <c r="D40" i="10" s="1"/>
  <c r="C171" i="10"/>
  <c r="D171" i="10" s="1"/>
  <c r="C108" i="10"/>
  <c r="D108" i="10" s="1"/>
  <c r="C152" i="10"/>
  <c r="D152" i="10" s="1"/>
  <c r="C129" i="10"/>
  <c r="D129" i="10" s="1"/>
  <c r="C146" i="10"/>
  <c r="D146" i="10" s="1"/>
  <c r="C100" i="10"/>
  <c r="D100" i="10" s="1"/>
  <c r="C90" i="10"/>
  <c r="D90" i="10" s="1"/>
  <c r="C137" i="10"/>
  <c r="D137" i="10" s="1"/>
  <c r="C158" i="10"/>
  <c r="D158" i="10" s="1"/>
  <c r="C126" i="10"/>
  <c r="D126" i="10" s="1"/>
  <c r="C69" i="10"/>
  <c r="D69" i="10" s="1"/>
  <c r="C160" i="10"/>
  <c r="D160" i="10" s="1"/>
  <c r="C144" i="10"/>
  <c r="D144" i="10" s="1"/>
  <c r="C120" i="10"/>
  <c r="D120" i="10" s="1"/>
  <c r="C71" i="10"/>
  <c r="D71" i="10" s="1"/>
  <c r="C56" i="10"/>
  <c r="D56" i="10" s="1"/>
  <c r="C130" i="10"/>
  <c r="D130" i="10" s="1"/>
  <c r="C53" i="10"/>
  <c r="D53" i="10" s="1"/>
  <c r="C47" i="10"/>
  <c r="D47" i="10" s="1"/>
  <c r="C68" i="10"/>
  <c r="D68" i="10" s="1"/>
  <c r="C138" i="10"/>
  <c r="D138" i="10" s="1"/>
  <c r="C32" i="10"/>
  <c r="D32" i="10" s="1"/>
  <c r="C168" i="10"/>
  <c r="D168" i="10" s="1"/>
  <c r="C114" i="10"/>
  <c r="D114" i="10" s="1"/>
  <c r="C105" i="10"/>
  <c r="D105" i="10" s="1"/>
  <c r="C173" i="10"/>
  <c r="D173" i="10" s="1"/>
  <c r="C118" i="10"/>
  <c r="D118" i="10" s="1"/>
  <c r="C37" i="10"/>
  <c r="D37" i="10" s="1"/>
  <c r="C164" i="10"/>
  <c r="D164" i="10" s="1"/>
  <c r="C73" i="10"/>
  <c r="D73" i="10" s="1"/>
  <c r="C174" i="10"/>
  <c r="D174" i="10" s="1"/>
  <c r="C52" i="10"/>
  <c r="D52" i="10" s="1"/>
  <c r="C38" i="10"/>
  <c r="D38" i="10" s="1"/>
  <c r="C70" i="10"/>
  <c r="D70" i="10" s="1"/>
  <c r="C94" i="10"/>
  <c r="D94" i="10" s="1"/>
  <c r="C49" i="10"/>
  <c r="D49" i="10" s="1"/>
  <c r="C169" i="10"/>
  <c r="D169" i="10" s="1"/>
  <c r="C132" i="10"/>
  <c r="D132" i="10" s="1"/>
  <c r="C58" i="10"/>
  <c r="D58" i="10" s="1"/>
  <c r="C97" i="10"/>
  <c r="D97" i="10" s="1"/>
  <c r="C34" i="10"/>
  <c r="D34" i="10" s="1"/>
  <c r="C121" i="10"/>
  <c r="D121" i="10" s="1"/>
  <c r="C150" i="10"/>
  <c r="D150" i="10" s="1"/>
  <c r="C104" i="10"/>
  <c r="D104" i="10" s="1"/>
  <c r="C95" i="10"/>
  <c r="D95" i="10" s="1"/>
  <c r="C74" i="10"/>
  <c r="D74" i="10" s="1"/>
  <c r="C170" i="10"/>
  <c r="D170" i="10" s="1"/>
  <c r="C175" i="10"/>
  <c r="D175" i="10" s="1"/>
  <c r="C85" i="10"/>
  <c r="D85" i="10" s="1"/>
  <c r="C101" i="10"/>
  <c r="D101" i="10" s="1"/>
  <c r="C42" i="10"/>
  <c r="D42" i="10" s="1"/>
  <c r="C153" i="10"/>
  <c r="D153" i="10" s="1"/>
  <c r="C142" i="10"/>
  <c r="D142" i="10" s="1"/>
  <c r="C63" i="10"/>
  <c r="D63" i="10" s="1"/>
  <c r="C64" i="10"/>
  <c r="D64" i="10" s="1"/>
  <c r="C127" i="10"/>
  <c r="D127" i="10" s="1"/>
  <c r="C89" i="10"/>
  <c r="D89" i="10" s="1"/>
  <c r="C36" i="10"/>
  <c r="D36" i="10" s="1"/>
  <c r="C151" i="10"/>
  <c r="D151" i="10" s="1"/>
  <c r="D79" i="5"/>
  <c r="C143" i="10"/>
  <c r="D143" i="10" s="1"/>
  <c r="C82" i="10"/>
  <c r="D82" i="10" s="1"/>
  <c r="C55" i="10"/>
  <c r="D55" i="10" s="1"/>
  <c r="C116" i="10"/>
  <c r="D116" i="10" s="1"/>
  <c r="C156" i="10"/>
  <c r="D156" i="10" s="1"/>
  <c r="C141" i="10"/>
  <c r="D141" i="10" s="1"/>
  <c r="C91" i="10"/>
  <c r="D91" i="10" s="1"/>
  <c r="C62" i="10"/>
  <c r="D62" i="10" s="1"/>
  <c r="C30" i="10"/>
  <c r="D30" i="10" s="1"/>
  <c r="C96" i="10"/>
  <c r="D96" i="10" s="1"/>
  <c r="C134" i="10"/>
  <c r="D134" i="10" s="1"/>
  <c r="C163" i="10"/>
  <c r="D163" i="10" s="1"/>
  <c r="C106" i="10"/>
  <c r="D106" i="10" s="1"/>
  <c r="E92" i="32"/>
  <c r="E94" i="32" s="1"/>
  <c r="E94" i="5"/>
  <c r="M99" i="5"/>
  <c r="M97" i="32"/>
  <c r="M99" i="32" s="1"/>
  <c r="C79" i="5"/>
  <c r="C28" i="10"/>
  <c r="D28" i="10" s="1"/>
  <c r="C33" i="10"/>
  <c r="D33" i="10" s="1"/>
  <c r="C83" i="10"/>
  <c r="D83" i="10" s="1"/>
  <c r="C131" i="10"/>
  <c r="D131" i="10" s="1"/>
  <c r="C67" i="10"/>
  <c r="D67" i="10" s="1"/>
  <c r="C159" i="10"/>
  <c r="D159" i="10" s="1"/>
  <c r="C166" i="10"/>
  <c r="D166" i="10" s="1"/>
  <c r="C48" i="10"/>
  <c r="D48" i="10" s="1"/>
  <c r="C92" i="10"/>
  <c r="D92" i="10" s="1"/>
  <c r="C87" i="10"/>
  <c r="D87" i="10" s="1"/>
  <c r="C61" i="10"/>
  <c r="D61" i="10" s="1"/>
  <c r="C124" i="10"/>
  <c r="D124" i="10" s="1"/>
  <c r="C125" i="10"/>
  <c r="D125" i="10" s="1"/>
  <c r="C86" i="10"/>
  <c r="D86" i="10" s="1"/>
  <c r="C54" i="10"/>
  <c r="D54" i="10" s="1"/>
  <c r="C44" i="10"/>
  <c r="D44" i="10" s="1"/>
  <c r="C135" i="10"/>
  <c r="D135" i="10" s="1"/>
  <c r="C123" i="10"/>
  <c r="D123" i="10" s="1"/>
  <c r="C26" i="10"/>
  <c r="D26" i="10" s="1"/>
  <c r="C119" i="10"/>
  <c r="D119" i="10" s="1"/>
  <c r="C107" i="10"/>
  <c r="D107" i="10" s="1"/>
  <c r="C75" i="10"/>
  <c r="D75" i="10" s="1"/>
  <c r="C117" i="10"/>
  <c r="D117" i="10" s="1"/>
  <c r="G94" i="32"/>
  <c r="K94" i="32"/>
  <c r="D99" i="5"/>
  <c r="C99" i="32"/>
  <c r="C73" i="32"/>
  <c r="K94" i="5"/>
  <c r="M94" i="5"/>
  <c r="E99" i="5"/>
  <c r="G79" i="5"/>
  <c r="N75" i="32"/>
  <c r="D79" i="32"/>
  <c r="D94" i="5"/>
  <c r="D73" i="32"/>
  <c r="F79" i="32"/>
  <c r="C73" i="5"/>
  <c r="G94" i="5"/>
  <c r="K99" i="5"/>
  <c r="F93" i="32"/>
  <c r="F94" i="32" s="1"/>
  <c r="F94" i="5"/>
  <c r="N99" i="5"/>
  <c r="N97" i="32"/>
  <c r="N99" i="32" s="1"/>
  <c r="H98" i="32"/>
  <c r="H99" i="5"/>
  <c r="H69" i="32"/>
  <c r="H73" i="32" s="1"/>
  <c r="L94" i="5"/>
  <c r="L92" i="32"/>
  <c r="L94" i="32" s="1"/>
  <c r="C93" i="32"/>
  <c r="C94" i="32" s="1"/>
  <c r="C94" i="5"/>
  <c r="C79" i="32"/>
  <c r="I92" i="32"/>
  <c r="I94" i="32" s="1"/>
  <c r="I94" i="5"/>
  <c r="G79" i="32"/>
  <c r="D73" i="5"/>
  <c r="L73" i="5"/>
  <c r="D94" i="32"/>
  <c r="L97" i="32"/>
  <c r="L99" i="5"/>
  <c r="I98" i="32"/>
  <c r="I99" i="32" s="1"/>
  <c r="I99" i="5"/>
  <c r="C79" i="10"/>
  <c r="D79" i="10" s="1"/>
  <c r="C161" i="10"/>
  <c r="D161" i="10" s="1"/>
  <c r="C154" i="10"/>
  <c r="D154" i="10" s="1"/>
  <c r="C145" i="10"/>
  <c r="D145" i="10" s="1"/>
  <c r="C112" i="10"/>
  <c r="D112" i="10" s="1"/>
  <c r="C29" i="10"/>
  <c r="D29" i="10" s="1"/>
  <c r="C80" i="10"/>
  <c r="D80" i="10" s="1"/>
  <c r="C149" i="10"/>
  <c r="D149" i="10" s="1"/>
  <c r="C136" i="10"/>
  <c r="D136" i="10" s="1"/>
  <c r="C76" i="10"/>
  <c r="D76" i="10" s="1"/>
  <c r="C133" i="10"/>
  <c r="D133" i="10" s="1"/>
  <c r="C128" i="10"/>
  <c r="D128" i="10" s="1"/>
  <c r="C66" i="10"/>
  <c r="D66" i="10" s="1"/>
  <c r="C98" i="10"/>
  <c r="D98" i="10" s="1"/>
  <c r="C45" i="10"/>
  <c r="D45" i="10" s="1"/>
  <c r="C88" i="10"/>
  <c r="D88" i="10" s="1"/>
  <c r="C65" i="10"/>
  <c r="D65" i="10" s="1"/>
  <c r="C77" i="10"/>
  <c r="D77" i="10" s="1"/>
  <c r="E99" i="32"/>
  <c r="H92" i="32"/>
  <c r="H94" i="32" s="1"/>
  <c r="H94" i="5"/>
  <c r="N92" i="32"/>
  <c r="N94" i="32" s="1"/>
  <c r="N94" i="5"/>
  <c r="D99" i="32"/>
  <c r="M94" i="32"/>
  <c r="K99" i="32"/>
  <c r="J76" i="32"/>
  <c r="G69" i="32"/>
  <c r="G73" i="5"/>
  <c r="M71" i="32"/>
  <c r="M73" i="32" s="1"/>
  <c r="M73" i="5"/>
  <c r="F99" i="32"/>
  <c r="J94" i="5"/>
  <c r="I79" i="5" l="1"/>
  <c r="E73" i="5"/>
  <c r="F67" i="32"/>
  <c r="F73" i="5"/>
  <c r="F67" i="5" s="1"/>
  <c r="K73" i="32"/>
  <c r="I73" i="5"/>
  <c r="I67" i="5" s="1"/>
  <c r="E79" i="5"/>
  <c r="E67" i="5" s="1"/>
  <c r="O72" i="32"/>
  <c r="M79" i="5"/>
  <c r="M67" i="5" s="1"/>
  <c r="O78" i="32"/>
  <c r="O77" i="32"/>
  <c r="K73" i="5"/>
  <c r="N73" i="5"/>
  <c r="K79" i="5"/>
  <c r="H79" i="5"/>
  <c r="H67" i="5" s="1"/>
  <c r="J73" i="5"/>
  <c r="J79" i="5"/>
  <c r="L67" i="5"/>
  <c r="N79" i="5"/>
  <c r="N73" i="32"/>
  <c r="J79" i="32"/>
  <c r="I67" i="32"/>
  <c r="K67" i="32"/>
  <c r="O94" i="5"/>
  <c r="L67" i="32"/>
  <c r="M67" i="32"/>
  <c r="C67" i="32"/>
  <c r="D67" i="5"/>
  <c r="C67" i="5"/>
  <c r="E67" i="32"/>
  <c r="F58" i="5"/>
  <c r="F58" i="32" s="1"/>
  <c r="L23" i="5"/>
  <c r="L23" i="32" s="1"/>
  <c r="C45" i="5"/>
  <c r="C45" i="32" s="1"/>
  <c r="O87" i="32"/>
  <c r="O89" i="32" s="1"/>
  <c r="O76" i="32"/>
  <c r="C33" i="5"/>
  <c r="C33" i="32" s="1"/>
  <c r="D22" i="5"/>
  <c r="D22" i="32" s="1"/>
  <c r="M14" i="5"/>
  <c r="M14" i="32" s="1"/>
  <c r="E39" i="5"/>
  <c r="E39" i="32" s="1"/>
  <c r="E42" i="5"/>
  <c r="E42" i="32" s="1"/>
  <c r="N57" i="5"/>
  <c r="N57" i="32" s="1"/>
  <c r="D7" i="5"/>
  <c r="D7" i="32" s="1"/>
  <c r="I14" i="5"/>
  <c r="I14" i="32" s="1"/>
  <c r="K9" i="5"/>
  <c r="K9" i="32" s="1"/>
  <c r="M26" i="5"/>
  <c r="M26" i="32" s="1"/>
  <c r="H40" i="5"/>
  <c r="H40" i="32" s="1"/>
  <c r="C58" i="5"/>
  <c r="C58" i="32" s="1"/>
  <c r="C32" i="5"/>
  <c r="C32" i="32" s="1"/>
  <c r="O49" i="5"/>
  <c r="O29" i="5"/>
  <c r="H41" i="5"/>
  <c r="H41" i="32" s="1"/>
  <c r="E10" i="5"/>
  <c r="E10" i="32" s="1"/>
  <c r="I33" i="5"/>
  <c r="I33" i="32" s="1"/>
  <c r="K42" i="5"/>
  <c r="K42" i="32" s="1"/>
  <c r="L17" i="5"/>
  <c r="L17" i="32" s="1"/>
  <c r="G65" i="32"/>
  <c r="H51" i="5"/>
  <c r="H51" i="32" s="1"/>
  <c r="O53" i="5"/>
  <c r="H39" i="5"/>
  <c r="H39" i="32" s="1"/>
  <c r="F49" i="5"/>
  <c r="F49" i="32" s="1"/>
  <c r="O44" i="5"/>
  <c r="O43" i="5"/>
  <c r="K34" i="5"/>
  <c r="K34" i="32" s="1"/>
  <c r="J41" i="5"/>
  <c r="J41" i="32" s="1"/>
  <c r="J39" i="5"/>
  <c r="J39" i="32" s="1"/>
  <c r="O32" i="5"/>
  <c r="H30" i="5"/>
  <c r="H30" i="32" s="1"/>
  <c r="H35" i="5"/>
  <c r="H35" i="32" s="1"/>
  <c r="D59" i="5"/>
  <c r="D59" i="32" s="1"/>
  <c r="G67" i="5"/>
  <c r="G17" i="5"/>
  <c r="G17" i="32" s="1"/>
  <c r="N10" i="5"/>
  <c r="N10" i="32" s="1"/>
  <c r="N7" i="5"/>
  <c r="N7" i="32" s="1"/>
  <c r="F15" i="5"/>
  <c r="F15" i="32" s="1"/>
  <c r="E27" i="5"/>
  <c r="E27" i="32" s="1"/>
  <c r="H52" i="5"/>
  <c r="H52" i="32" s="1"/>
  <c r="M65" i="32"/>
  <c r="O52" i="5"/>
  <c r="O38" i="5"/>
  <c r="J29" i="5"/>
  <c r="J29" i="32" s="1"/>
  <c r="E33" i="5"/>
  <c r="E33" i="32" s="1"/>
  <c r="D14" i="5"/>
  <c r="D14" i="32" s="1"/>
  <c r="I16" i="5"/>
  <c r="I16" i="32" s="1"/>
  <c r="H24" i="5"/>
  <c r="H24" i="32" s="1"/>
  <c r="G47" i="5"/>
  <c r="G47" i="32" s="1"/>
  <c r="F9" i="5"/>
  <c r="F9" i="32" s="1"/>
  <c r="G30" i="5"/>
  <c r="G30" i="32" s="1"/>
  <c r="L47" i="5"/>
  <c r="L47" i="32" s="1"/>
  <c r="F47" i="5"/>
  <c r="F47" i="32" s="1"/>
  <c r="E32" i="5"/>
  <c r="E32" i="32" s="1"/>
  <c r="E6" i="5"/>
  <c r="E6" i="32" s="1"/>
  <c r="D38" i="5"/>
  <c r="D38" i="32" s="1"/>
  <c r="L44" i="5"/>
  <c r="L44" i="32" s="1"/>
  <c r="K33" i="5"/>
  <c r="K33" i="32" s="1"/>
  <c r="I45" i="5"/>
  <c r="I45" i="32" s="1"/>
  <c r="H27" i="5"/>
  <c r="H27" i="32" s="1"/>
  <c r="L51" i="5"/>
  <c r="L51" i="32" s="1"/>
  <c r="D49" i="5"/>
  <c r="D49" i="32" s="1"/>
  <c r="G10" i="5"/>
  <c r="G10" i="32" s="1"/>
  <c r="N53" i="5"/>
  <c r="N53" i="32" s="1"/>
  <c r="D67" i="32"/>
  <c r="L9" i="5"/>
  <c r="L9" i="32" s="1"/>
  <c r="L7" i="5"/>
  <c r="L7" i="32" s="1"/>
  <c r="C6" i="5"/>
  <c r="C6" i="32" s="1"/>
  <c r="I56" i="5"/>
  <c r="I56" i="32" s="1"/>
  <c r="I27" i="5"/>
  <c r="I27" i="32" s="1"/>
  <c r="I43" i="5"/>
  <c r="I43" i="32" s="1"/>
  <c r="E29" i="5"/>
  <c r="E29" i="32" s="1"/>
  <c r="K28" i="5"/>
  <c r="K28" i="32" s="1"/>
  <c r="O35" i="5"/>
  <c r="E44" i="5"/>
  <c r="E44" i="32" s="1"/>
  <c r="F50" i="5"/>
  <c r="F50" i="32" s="1"/>
  <c r="I9" i="5"/>
  <c r="I9" i="32" s="1"/>
  <c r="N33" i="5"/>
  <c r="N33" i="32" s="1"/>
  <c r="C23" i="5"/>
  <c r="C23" i="32" s="1"/>
  <c r="I42" i="5"/>
  <c r="I42" i="32" s="1"/>
  <c r="J14" i="5"/>
  <c r="O50" i="5"/>
  <c r="H42" i="5"/>
  <c r="H42" i="32" s="1"/>
  <c r="O9" i="5"/>
  <c r="O16" i="5"/>
  <c r="L10" i="5"/>
  <c r="L10" i="32" s="1"/>
  <c r="M42" i="5"/>
  <c r="M42" i="32" s="1"/>
  <c r="K65" i="32"/>
  <c r="K24" i="5"/>
  <c r="K24" i="32" s="1"/>
  <c r="H19" i="5"/>
  <c r="H19" i="32" s="1"/>
  <c r="M56" i="5"/>
  <c r="M56" i="32" s="1"/>
  <c r="F6" i="5"/>
  <c r="F6" i="32" s="1"/>
  <c r="L29" i="5"/>
  <c r="L29" i="32" s="1"/>
  <c r="I41" i="5"/>
  <c r="I41" i="32" s="1"/>
  <c r="K20" i="5"/>
  <c r="K20" i="32" s="1"/>
  <c r="N51" i="5"/>
  <c r="N51" i="32" s="1"/>
  <c r="L33" i="5"/>
  <c r="L33" i="32" s="1"/>
  <c r="H34" i="5"/>
  <c r="H34" i="32" s="1"/>
  <c r="N55" i="5"/>
  <c r="N55" i="32" s="1"/>
  <c r="F28" i="5"/>
  <c r="F28" i="32" s="1"/>
  <c r="L56" i="5"/>
  <c r="L56" i="32" s="1"/>
  <c r="D33" i="5"/>
  <c r="D33" i="32" s="1"/>
  <c r="F57" i="5"/>
  <c r="F57" i="32" s="1"/>
  <c r="L36" i="5"/>
  <c r="L36" i="32" s="1"/>
  <c r="F56" i="5"/>
  <c r="F56" i="32" s="1"/>
  <c r="I52" i="5"/>
  <c r="I52" i="32" s="1"/>
  <c r="F60" i="5"/>
  <c r="F60" i="32" s="1"/>
  <c r="C43" i="5"/>
  <c r="C43" i="32" s="1"/>
  <c r="L55" i="5"/>
  <c r="L55" i="32" s="1"/>
  <c r="K30" i="5"/>
  <c r="K30" i="32" s="1"/>
  <c r="M29" i="5"/>
  <c r="M29" i="32" s="1"/>
  <c r="E34" i="5"/>
  <c r="E34" i="32" s="1"/>
  <c r="L46" i="5"/>
  <c r="L46" i="32" s="1"/>
  <c r="L37" i="5"/>
  <c r="L37" i="32" s="1"/>
  <c r="D15" i="5"/>
  <c r="D15" i="32" s="1"/>
  <c r="K60" i="5"/>
  <c r="K60" i="32" s="1"/>
  <c r="N20" i="5"/>
  <c r="N20" i="32" s="1"/>
  <c r="J26" i="5"/>
  <c r="J26" i="32" s="1"/>
  <c r="O17" i="5"/>
  <c r="M59" i="5"/>
  <c r="M59" i="32" s="1"/>
  <c r="K50" i="5"/>
  <c r="K50" i="32" s="1"/>
  <c r="K46" i="5"/>
  <c r="K46" i="32" s="1"/>
  <c r="G48" i="5"/>
  <c r="G48" i="32" s="1"/>
  <c r="J45" i="5"/>
  <c r="J45" i="32" s="1"/>
  <c r="M48" i="5"/>
  <c r="M48" i="32" s="1"/>
  <c r="I54" i="5"/>
  <c r="I54" i="32" s="1"/>
  <c r="I20" i="5"/>
  <c r="I20" i="32" s="1"/>
  <c r="H59" i="5"/>
  <c r="H59" i="32" s="1"/>
  <c r="K6" i="5"/>
  <c r="E53" i="5"/>
  <c r="E53" i="32" s="1"/>
  <c r="L14" i="5"/>
  <c r="L14" i="32" s="1"/>
  <c r="L57" i="5"/>
  <c r="L57" i="32" s="1"/>
  <c r="C26" i="5"/>
  <c r="C26" i="32" s="1"/>
  <c r="I58" i="5"/>
  <c r="I58" i="32" s="1"/>
  <c r="H25" i="5"/>
  <c r="H25" i="32" s="1"/>
  <c r="K26" i="5"/>
  <c r="K26" i="32" s="1"/>
  <c r="O71" i="32"/>
  <c r="L41" i="5"/>
  <c r="L41" i="32" s="1"/>
  <c r="O20" i="5"/>
  <c r="D10" i="5"/>
  <c r="D10" i="32" s="1"/>
  <c r="G52" i="5"/>
  <c r="G52" i="32" s="1"/>
  <c r="J18" i="5"/>
  <c r="J18" i="32" s="1"/>
  <c r="N24" i="5"/>
  <c r="N24" i="32" s="1"/>
  <c r="J19" i="5"/>
  <c r="J19" i="32" s="1"/>
  <c r="C56" i="5"/>
  <c r="C56" i="32" s="1"/>
  <c r="O33" i="5"/>
  <c r="K23" i="5"/>
  <c r="K23" i="32" s="1"/>
  <c r="K19" i="5"/>
  <c r="K19" i="32" s="1"/>
  <c r="D52" i="5"/>
  <c r="D52" i="32" s="1"/>
  <c r="M49" i="5"/>
  <c r="M49" i="32" s="1"/>
  <c r="O40" i="5"/>
  <c r="L49" i="5"/>
  <c r="L49" i="32" s="1"/>
  <c r="L35" i="5"/>
  <c r="L35" i="32" s="1"/>
  <c r="N50" i="5"/>
  <c r="N50" i="32" s="1"/>
  <c r="F27" i="5"/>
  <c r="F27" i="32" s="1"/>
  <c r="J51" i="5"/>
  <c r="J51" i="32" s="1"/>
  <c r="J23" i="5"/>
  <c r="J23" i="32" s="1"/>
  <c r="N42" i="5"/>
  <c r="N42" i="32" s="1"/>
  <c r="M22" i="5"/>
  <c r="M22" i="32" s="1"/>
  <c r="F32" i="5"/>
  <c r="F32" i="32" s="1"/>
  <c r="N38" i="5"/>
  <c r="N38" i="32" s="1"/>
  <c r="D16" i="5"/>
  <c r="D16" i="32" s="1"/>
  <c r="E59" i="5"/>
  <c r="E59" i="32" s="1"/>
  <c r="I15" i="5"/>
  <c r="I15" i="32" s="1"/>
  <c r="J35" i="5"/>
  <c r="J35" i="32" s="1"/>
  <c r="I29" i="5"/>
  <c r="I29" i="32" s="1"/>
  <c r="L59" i="5"/>
  <c r="L59" i="32" s="1"/>
  <c r="G27" i="5"/>
  <c r="G27" i="32" s="1"/>
  <c r="I55" i="5"/>
  <c r="I55" i="32" s="1"/>
  <c r="C51" i="5"/>
  <c r="C51" i="32" s="1"/>
  <c r="C20" i="5"/>
  <c r="C20" i="32" s="1"/>
  <c r="E22" i="5"/>
  <c r="E22" i="32" s="1"/>
  <c r="D56" i="5"/>
  <c r="D56" i="32" s="1"/>
  <c r="F54" i="5"/>
  <c r="F54" i="32" s="1"/>
  <c r="L25" i="5"/>
  <c r="L25" i="32" s="1"/>
  <c r="C40" i="5"/>
  <c r="C40" i="32" s="1"/>
  <c r="N47" i="5"/>
  <c r="N47" i="32" s="1"/>
  <c r="E40" i="5"/>
  <c r="E40" i="32" s="1"/>
  <c r="E15" i="5"/>
  <c r="E15" i="32" s="1"/>
  <c r="G57" i="5"/>
  <c r="G57" i="32" s="1"/>
  <c r="F17" i="5"/>
  <c r="F17" i="32" s="1"/>
  <c r="G39" i="5"/>
  <c r="G39" i="32" s="1"/>
  <c r="M50" i="5"/>
  <c r="M50" i="32" s="1"/>
  <c r="J60" i="5"/>
  <c r="J60" i="32" s="1"/>
  <c r="D34" i="5"/>
  <c r="D34" i="32" s="1"/>
  <c r="E49" i="5"/>
  <c r="E49" i="32" s="1"/>
  <c r="G6" i="5"/>
  <c r="G6" i="32" s="1"/>
  <c r="O36" i="5"/>
  <c r="E61" i="32"/>
  <c r="I62" i="32"/>
  <c r="K62" i="32"/>
  <c r="K63" i="32"/>
  <c r="D62" i="32"/>
  <c r="C61" i="32"/>
  <c r="G61" i="32"/>
  <c r="M62" i="32"/>
  <c r="F63" i="32"/>
  <c r="G62" i="32"/>
  <c r="I61" i="32"/>
  <c r="J61" i="32"/>
  <c r="M63" i="32"/>
  <c r="M61" i="32"/>
  <c r="H62" i="32"/>
  <c r="C62" i="32"/>
  <c r="L61" i="32"/>
  <c r="N63" i="32"/>
  <c r="F61" i="32"/>
  <c r="D63" i="32"/>
  <c r="I63" i="32"/>
  <c r="N62" i="32"/>
  <c r="K61" i="32"/>
  <c r="J62" i="32"/>
  <c r="D61" i="32"/>
  <c r="H61" i="32"/>
  <c r="F62" i="32"/>
  <c r="J63" i="32"/>
  <c r="G63" i="32"/>
  <c r="L63" i="32"/>
  <c r="E62" i="32"/>
  <c r="L62" i="32"/>
  <c r="N61" i="32"/>
  <c r="C63" i="32"/>
  <c r="E63" i="32"/>
  <c r="H63" i="32"/>
  <c r="K10" i="5"/>
  <c r="K10" i="32" s="1"/>
  <c r="I65" i="32"/>
  <c r="E31" i="5"/>
  <c r="E31" i="32" s="1"/>
  <c r="E30" i="5"/>
  <c r="E30" i="32" s="1"/>
  <c r="J49" i="5"/>
  <c r="J49" i="32" s="1"/>
  <c r="J33" i="5"/>
  <c r="J33" i="32" s="1"/>
  <c r="I47" i="5"/>
  <c r="I47" i="32" s="1"/>
  <c r="G43" i="5"/>
  <c r="G43" i="32" s="1"/>
  <c r="J59" i="5"/>
  <c r="J59" i="32" s="1"/>
  <c r="H29" i="5"/>
  <c r="H29" i="32" s="1"/>
  <c r="K31" i="5"/>
  <c r="K31" i="32" s="1"/>
  <c r="N25" i="5"/>
  <c r="N25" i="32" s="1"/>
  <c r="E52" i="5"/>
  <c r="E52" i="32" s="1"/>
  <c r="N43" i="5"/>
  <c r="N43" i="32" s="1"/>
  <c r="J54" i="5"/>
  <c r="J54" i="32" s="1"/>
  <c r="L22" i="5"/>
  <c r="L22" i="32" s="1"/>
  <c r="H43" i="5"/>
  <c r="H43" i="32" s="1"/>
  <c r="F40" i="5"/>
  <c r="F40" i="32" s="1"/>
  <c r="L40" i="5"/>
  <c r="L40" i="32" s="1"/>
  <c r="F14" i="5"/>
  <c r="F14" i="32" s="1"/>
  <c r="E9" i="5"/>
  <c r="E9" i="32" s="1"/>
  <c r="K36" i="5"/>
  <c r="K36" i="32" s="1"/>
  <c r="O56" i="5"/>
  <c r="I24" i="5"/>
  <c r="I24" i="32" s="1"/>
  <c r="M60" i="5"/>
  <c r="M60" i="32" s="1"/>
  <c r="H36" i="5"/>
  <c r="H36" i="32" s="1"/>
  <c r="L16" i="5"/>
  <c r="L16" i="32" s="1"/>
  <c r="K29" i="5"/>
  <c r="K29" i="32" s="1"/>
  <c r="E50" i="5"/>
  <c r="E50" i="32" s="1"/>
  <c r="M35" i="5"/>
  <c r="M35" i="32" s="1"/>
  <c r="K51" i="5"/>
  <c r="K51" i="32" s="1"/>
  <c r="G7" i="5"/>
  <c r="G7" i="32" s="1"/>
  <c r="O34" i="5"/>
  <c r="E54" i="5"/>
  <c r="E54" i="32" s="1"/>
  <c r="F21" i="5"/>
  <c r="F21" i="32" s="1"/>
  <c r="H49" i="5"/>
  <c r="H49" i="32" s="1"/>
  <c r="M6" i="5"/>
  <c r="M6" i="32" s="1"/>
  <c r="G34" i="5"/>
  <c r="G34" i="32" s="1"/>
  <c r="E20" i="5"/>
  <c r="E20" i="32" s="1"/>
  <c r="K45" i="5"/>
  <c r="K45" i="32" s="1"/>
  <c r="O55" i="5"/>
  <c r="O19" i="5"/>
  <c r="H23" i="5"/>
  <c r="H23" i="32" s="1"/>
  <c r="F7" i="5"/>
  <c r="F7" i="32" s="1"/>
  <c r="C50" i="5"/>
  <c r="C50" i="32" s="1"/>
  <c r="J50" i="5"/>
  <c r="J50" i="32" s="1"/>
  <c r="N26" i="5"/>
  <c r="N26" i="32" s="1"/>
  <c r="D39" i="5"/>
  <c r="D39" i="32" s="1"/>
  <c r="G25" i="5"/>
  <c r="G25" i="32" s="1"/>
  <c r="O30" i="5"/>
  <c r="C29" i="5"/>
  <c r="C29" i="32" s="1"/>
  <c r="H31" i="5"/>
  <c r="H31" i="32" s="1"/>
  <c r="F65" i="32"/>
  <c r="O6" i="5"/>
  <c r="F46" i="5"/>
  <c r="F46" i="32" s="1"/>
  <c r="D19" i="5"/>
  <c r="D19" i="32" s="1"/>
  <c r="G9" i="5"/>
  <c r="G9" i="32" s="1"/>
  <c r="O42" i="5"/>
  <c r="L58" i="5"/>
  <c r="L58" i="32" s="1"/>
  <c r="M45" i="5"/>
  <c r="M45" i="32" s="1"/>
  <c r="C9" i="5"/>
  <c r="C9" i="32" s="1"/>
  <c r="D30" i="5"/>
  <c r="D30" i="32" s="1"/>
  <c r="N39" i="5"/>
  <c r="N39" i="32" s="1"/>
  <c r="N45" i="5"/>
  <c r="N45" i="32" s="1"/>
  <c r="C35" i="5"/>
  <c r="C35" i="32" s="1"/>
  <c r="I19" i="5"/>
  <c r="I19" i="32" s="1"/>
  <c r="J40" i="5"/>
  <c r="J40" i="32" s="1"/>
  <c r="H60" i="5"/>
  <c r="H60" i="32" s="1"/>
  <c r="F22" i="5"/>
  <c r="F22" i="32" s="1"/>
  <c r="L19" i="5"/>
  <c r="L19" i="32" s="1"/>
  <c r="F33" i="5"/>
  <c r="F33" i="32" s="1"/>
  <c r="N44" i="5"/>
  <c r="N44" i="32" s="1"/>
  <c r="F37" i="5"/>
  <c r="F37" i="32" s="1"/>
  <c r="F10" i="5"/>
  <c r="F10" i="32" s="1"/>
  <c r="M38" i="5"/>
  <c r="M38" i="32" s="1"/>
  <c r="F26" i="5"/>
  <c r="F26" i="32" s="1"/>
  <c r="G31" i="5"/>
  <c r="G31" i="32" s="1"/>
  <c r="E23" i="5"/>
  <c r="E23" i="32" s="1"/>
  <c r="H22" i="5"/>
  <c r="H22" i="32" s="1"/>
  <c r="H15" i="5"/>
  <c r="H15" i="32" s="1"/>
  <c r="L65" i="32"/>
  <c r="J46" i="5"/>
  <c r="J46" i="32" s="1"/>
  <c r="M51" i="5"/>
  <c r="M51" i="32" s="1"/>
  <c r="E65" i="32"/>
  <c r="G40" i="5"/>
  <c r="G40" i="32" s="1"/>
  <c r="E24" i="5"/>
  <c r="E24" i="32" s="1"/>
  <c r="C39" i="5"/>
  <c r="C39" i="32" s="1"/>
  <c r="D23" i="5"/>
  <c r="D23" i="32" s="1"/>
  <c r="O27" i="5"/>
  <c r="D37" i="5"/>
  <c r="D37" i="32" s="1"/>
  <c r="K40" i="5"/>
  <c r="K40" i="32" s="1"/>
  <c r="J52" i="5"/>
  <c r="J52" i="32" s="1"/>
  <c r="C27" i="5"/>
  <c r="C27" i="32" s="1"/>
  <c r="I6" i="5"/>
  <c r="I6" i="32" s="1"/>
  <c r="M32" i="5"/>
  <c r="M32" i="32" s="1"/>
  <c r="K57" i="5"/>
  <c r="K57" i="32" s="1"/>
  <c r="I22" i="5"/>
  <c r="I22" i="32" s="1"/>
  <c r="J37" i="5"/>
  <c r="J37" i="32" s="1"/>
  <c r="N23" i="5"/>
  <c r="N23" i="32" s="1"/>
  <c r="E26" i="5"/>
  <c r="E26" i="32" s="1"/>
  <c r="O31" i="5"/>
  <c r="D32" i="5"/>
  <c r="D32" i="32" s="1"/>
  <c r="N35" i="5"/>
  <c r="N35" i="32" s="1"/>
  <c r="J15" i="5"/>
  <c r="J15" i="32" s="1"/>
  <c r="D42" i="5"/>
  <c r="D42" i="32" s="1"/>
  <c r="O59" i="5"/>
  <c r="N48" i="5"/>
  <c r="N48" i="32" s="1"/>
  <c r="H6" i="5"/>
  <c r="H6" i="32" s="1"/>
  <c r="I50" i="5"/>
  <c r="I50" i="32" s="1"/>
  <c r="G26" i="5"/>
  <c r="G26" i="32" s="1"/>
  <c r="I37" i="5"/>
  <c r="I37" i="32" s="1"/>
  <c r="M16" i="5"/>
  <c r="M16" i="32" s="1"/>
  <c r="O26" i="5"/>
  <c r="D35" i="5"/>
  <c r="D35" i="32" s="1"/>
  <c r="C22" i="5"/>
  <c r="C22" i="32" s="1"/>
  <c r="C36" i="5"/>
  <c r="C36" i="32" s="1"/>
  <c r="O22" i="5"/>
  <c r="E37" i="5"/>
  <c r="E37" i="32" s="1"/>
  <c r="F48" i="5"/>
  <c r="F48" i="32" s="1"/>
  <c r="C28" i="5"/>
  <c r="C28" i="32" s="1"/>
  <c r="D18" i="5"/>
  <c r="D18" i="32" s="1"/>
  <c r="J34" i="5"/>
  <c r="J34" i="32" s="1"/>
  <c r="G35" i="5"/>
  <c r="G35" i="32" s="1"/>
  <c r="G33" i="5"/>
  <c r="G33" i="32" s="1"/>
  <c r="D65" i="32"/>
  <c r="O7" i="5"/>
  <c r="G41" i="5"/>
  <c r="G41" i="32" s="1"/>
  <c r="K7" i="5"/>
  <c r="K7" i="32" s="1"/>
  <c r="E14" i="5"/>
  <c r="E14" i="32" s="1"/>
  <c r="N49" i="5"/>
  <c r="N49" i="32" s="1"/>
  <c r="G45" i="5"/>
  <c r="G45" i="32" s="1"/>
  <c r="D53" i="5"/>
  <c r="D53" i="32" s="1"/>
  <c r="M17" i="5"/>
  <c r="M17" i="32" s="1"/>
  <c r="F34" i="5"/>
  <c r="F34" i="32" s="1"/>
  <c r="D31" i="5"/>
  <c r="D31" i="32" s="1"/>
  <c r="H57" i="5"/>
  <c r="H57" i="32" s="1"/>
  <c r="F16" i="5"/>
  <c r="F16" i="32" s="1"/>
  <c r="F25" i="5"/>
  <c r="F25" i="32" s="1"/>
  <c r="J47" i="5"/>
  <c r="J47" i="32" s="1"/>
  <c r="O58" i="5"/>
  <c r="M36" i="5"/>
  <c r="M36" i="32" s="1"/>
  <c r="M15" i="5"/>
  <c r="M15" i="32" s="1"/>
  <c r="N56" i="5"/>
  <c r="N56" i="32" s="1"/>
  <c r="L6" i="5"/>
  <c r="L6" i="32" s="1"/>
  <c r="E18" i="5"/>
  <c r="E18" i="32" s="1"/>
  <c r="M23" i="5"/>
  <c r="M23" i="32" s="1"/>
  <c r="H28" i="5"/>
  <c r="H28" i="32" s="1"/>
  <c r="D44" i="5"/>
  <c r="D44" i="32" s="1"/>
  <c r="L45" i="5"/>
  <c r="L45" i="32" s="1"/>
  <c r="I39" i="5"/>
  <c r="I39" i="32" s="1"/>
  <c r="K47" i="5"/>
  <c r="K47" i="32" s="1"/>
  <c r="M46" i="5"/>
  <c r="M46" i="32" s="1"/>
  <c r="J38" i="5"/>
  <c r="J38" i="32" s="1"/>
  <c r="K58" i="5"/>
  <c r="K58" i="32" s="1"/>
  <c r="D17" i="5"/>
  <c r="D17" i="32" s="1"/>
  <c r="E7" i="5"/>
  <c r="E7" i="32" s="1"/>
  <c r="C44" i="5"/>
  <c r="C44" i="32" s="1"/>
  <c r="C16" i="5"/>
  <c r="C16" i="32" s="1"/>
  <c r="E56" i="5"/>
  <c r="E56" i="32" s="1"/>
  <c r="O10" i="5"/>
  <c r="O79" i="5" s="1"/>
  <c r="O67" i="5" s="1"/>
  <c r="F24" i="5"/>
  <c r="F24" i="32" s="1"/>
  <c r="L38" i="5"/>
  <c r="L38" i="32" s="1"/>
  <c r="F53" i="5"/>
  <c r="F53" i="32" s="1"/>
  <c r="C65" i="32"/>
  <c r="C25" i="5"/>
  <c r="C25" i="32" s="1"/>
  <c r="G20" i="5"/>
  <c r="G20" i="32" s="1"/>
  <c r="E36" i="5"/>
  <c r="E36" i="32" s="1"/>
  <c r="J16" i="5"/>
  <c r="J16" i="32" s="1"/>
  <c r="L18" i="5"/>
  <c r="L18" i="32" s="1"/>
  <c r="D9" i="5"/>
  <c r="D9" i="32" s="1"/>
  <c r="C17" i="5"/>
  <c r="C17" i="32" s="1"/>
  <c r="I40" i="5"/>
  <c r="I40" i="32" s="1"/>
  <c r="N37" i="5"/>
  <c r="N37" i="32" s="1"/>
  <c r="L26" i="5"/>
  <c r="L26" i="32" s="1"/>
  <c r="J9" i="5"/>
  <c r="J9" i="32" s="1"/>
  <c r="M34" i="5"/>
  <c r="M34" i="32" s="1"/>
  <c r="L21" i="5"/>
  <c r="L21" i="32" s="1"/>
  <c r="E25" i="5"/>
  <c r="E25" i="32" s="1"/>
  <c r="N9" i="5"/>
  <c r="N9" i="32" s="1"/>
  <c r="F44" i="5"/>
  <c r="F44" i="32" s="1"/>
  <c r="L53" i="5"/>
  <c r="L53" i="32" s="1"/>
  <c r="M33" i="5"/>
  <c r="M33" i="32" s="1"/>
  <c r="M28" i="5"/>
  <c r="M28" i="32" s="1"/>
  <c r="O24" i="5"/>
  <c r="C18" i="5"/>
  <c r="C18" i="32" s="1"/>
  <c r="L48" i="5"/>
  <c r="L48" i="32" s="1"/>
  <c r="M37" i="5"/>
  <c r="M37" i="32" s="1"/>
  <c r="H7" i="5"/>
  <c r="H7" i="32" s="1"/>
  <c r="E16" i="5"/>
  <c r="E16" i="32" s="1"/>
  <c r="D26" i="5"/>
  <c r="D26" i="32" s="1"/>
  <c r="G55" i="5"/>
  <c r="G55" i="32" s="1"/>
  <c r="M54" i="5"/>
  <c r="M54" i="32" s="1"/>
  <c r="K59" i="5"/>
  <c r="K59" i="32" s="1"/>
  <c r="I26" i="5"/>
  <c r="I26" i="32" s="1"/>
  <c r="I59" i="5"/>
  <c r="I59" i="32" s="1"/>
  <c r="N60" i="5"/>
  <c r="N60" i="32" s="1"/>
  <c r="M21" i="5"/>
  <c r="M21" i="32" s="1"/>
  <c r="E55" i="5"/>
  <c r="E55" i="32" s="1"/>
  <c r="D25" i="5"/>
  <c r="D25" i="32" s="1"/>
  <c r="C30" i="5"/>
  <c r="C30" i="32" s="1"/>
  <c r="L54" i="5"/>
  <c r="L54" i="32" s="1"/>
  <c r="N14" i="5"/>
  <c r="N14" i="32" s="1"/>
  <c r="N65" i="32"/>
  <c r="D28" i="5"/>
  <c r="D28" i="32" s="1"/>
  <c r="I31" i="5"/>
  <c r="I31" i="32" s="1"/>
  <c r="I17" i="5"/>
  <c r="I17" i="32" s="1"/>
  <c r="N27" i="5"/>
  <c r="N27" i="32" s="1"/>
  <c r="C37" i="5"/>
  <c r="C37" i="32" s="1"/>
  <c r="G60" i="5"/>
  <c r="G60" i="32" s="1"/>
  <c r="I18" i="5"/>
  <c r="I18" i="32" s="1"/>
  <c r="E43" i="5"/>
  <c r="E43" i="32" s="1"/>
  <c r="L34" i="5"/>
  <c r="L34" i="32" s="1"/>
  <c r="H48" i="5"/>
  <c r="H48" i="32" s="1"/>
  <c r="G16" i="5"/>
  <c r="G16" i="32" s="1"/>
  <c r="D55" i="5"/>
  <c r="D55" i="32" s="1"/>
  <c r="C54" i="5"/>
  <c r="C54" i="32" s="1"/>
  <c r="E58" i="5"/>
  <c r="E58" i="32" s="1"/>
  <c r="G19" i="5"/>
  <c r="G19" i="32" s="1"/>
  <c r="L20" i="5"/>
  <c r="L20" i="32" s="1"/>
  <c r="J67" i="32"/>
  <c r="J31" i="5"/>
  <c r="J31" i="32" s="1"/>
  <c r="J43" i="5"/>
  <c r="J43" i="32" s="1"/>
  <c r="K17" i="5"/>
  <c r="K17" i="32" s="1"/>
  <c r="D27" i="5"/>
  <c r="D27" i="32" s="1"/>
  <c r="N79" i="32"/>
  <c r="O75" i="32"/>
  <c r="I57" i="5"/>
  <c r="I57" i="32" s="1"/>
  <c r="D36" i="5"/>
  <c r="D36" i="32" s="1"/>
  <c r="E17" i="5"/>
  <c r="E17" i="32" s="1"/>
  <c r="H26" i="5"/>
  <c r="H26" i="32" s="1"/>
  <c r="N15" i="5"/>
  <c r="N15" i="32" s="1"/>
  <c r="G37" i="5"/>
  <c r="G37" i="32" s="1"/>
  <c r="M30" i="5"/>
  <c r="M30" i="32" s="1"/>
  <c r="N54" i="5"/>
  <c r="N54" i="32" s="1"/>
  <c r="K43" i="5"/>
  <c r="K43" i="32" s="1"/>
  <c r="O23" i="5"/>
  <c r="G38" i="5"/>
  <c r="G38" i="32" s="1"/>
  <c r="C57" i="5"/>
  <c r="C57" i="32" s="1"/>
  <c r="J58" i="5"/>
  <c r="J58" i="32" s="1"/>
  <c r="I48" i="5"/>
  <c r="I48" i="32" s="1"/>
  <c r="J48" i="5"/>
  <c r="J48" i="32" s="1"/>
  <c r="K22" i="5"/>
  <c r="K22" i="32" s="1"/>
  <c r="F35" i="5"/>
  <c r="F35" i="32" s="1"/>
  <c r="C52" i="5"/>
  <c r="C52" i="32" s="1"/>
  <c r="K14" i="5"/>
  <c r="K14" i="32" s="1"/>
  <c r="D41" i="5"/>
  <c r="D41" i="32" s="1"/>
  <c r="N16" i="5"/>
  <c r="N16" i="32" s="1"/>
  <c r="E38" i="5"/>
  <c r="E38" i="32" s="1"/>
  <c r="L31" i="5"/>
  <c r="L31" i="32" s="1"/>
  <c r="G18" i="5"/>
  <c r="G18" i="32" s="1"/>
  <c r="C53" i="5"/>
  <c r="C53" i="32" s="1"/>
  <c r="I30" i="5"/>
  <c r="I30" i="32" s="1"/>
  <c r="H18" i="5"/>
  <c r="H18" i="32" s="1"/>
  <c r="M27" i="5"/>
  <c r="M27" i="32" s="1"/>
  <c r="C7" i="5"/>
  <c r="C7" i="32" s="1"/>
  <c r="M47" i="5"/>
  <c r="M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F51" i="5"/>
  <c r="F51" i="32" s="1"/>
  <c r="D20" i="5"/>
  <c r="D20" i="32" s="1"/>
  <c r="F39" i="5"/>
  <c r="F39" i="32" s="1"/>
  <c r="O45" i="5"/>
  <c r="G56" i="5"/>
  <c r="G56" i="32" s="1"/>
  <c r="E47" i="5"/>
  <c r="E47" i="32" s="1"/>
  <c r="C34" i="5"/>
  <c r="C34" i="32" s="1"/>
  <c r="L42" i="5"/>
  <c r="L42" i="32" s="1"/>
  <c r="H33" i="5"/>
  <c r="H33" i="32" s="1"/>
  <c r="G32" i="5"/>
  <c r="G32" i="32" s="1"/>
  <c r="F19" i="5"/>
  <c r="F19" i="32" s="1"/>
  <c r="J10" i="5"/>
  <c r="J10" i="32" s="1"/>
  <c r="O21" i="5"/>
  <c r="H65" i="32"/>
  <c r="K56" i="5"/>
  <c r="K56" i="32" s="1"/>
  <c r="N29" i="5"/>
  <c r="N29" i="32" s="1"/>
  <c r="K48" i="5"/>
  <c r="K48" i="32" s="1"/>
  <c r="K52" i="5"/>
  <c r="K52" i="32" s="1"/>
  <c r="L52" i="5"/>
  <c r="L52" i="32" s="1"/>
  <c r="G24" i="5"/>
  <c r="G24" i="32" s="1"/>
  <c r="J53" i="5"/>
  <c r="J53" i="32" s="1"/>
  <c r="M10" i="5"/>
  <c r="M10" i="32" s="1"/>
  <c r="H46" i="5"/>
  <c r="H46" i="32" s="1"/>
  <c r="O60" i="5"/>
  <c r="G29" i="5"/>
  <c r="G29" i="32" s="1"/>
  <c r="I44" i="5"/>
  <c r="I44" i="32" s="1"/>
  <c r="F38" i="5"/>
  <c r="F38" i="32" s="1"/>
  <c r="N31" i="5"/>
  <c r="N31" i="32" s="1"/>
  <c r="K35" i="5"/>
  <c r="K35" i="32" s="1"/>
  <c r="K32" i="5"/>
  <c r="K32" i="32" s="1"/>
  <c r="C41" i="5"/>
  <c r="C41" i="32" s="1"/>
  <c r="M44" i="5"/>
  <c r="M44" i="32" s="1"/>
  <c r="L60" i="5"/>
  <c r="L60" i="32" s="1"/>
  <c r="L24" i="5"/>
  <c r="L24" i="32" s="1"/>
  <c r="K38" i="5"/>
  <c r="K38" i="32" s="1"/>
  <c r="J55" i="5"/>
  <c r="J55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F41" i="5"/>
  <c r="F41" i="32" s="1"/>
  <c r="N17" i="5"/>
  <c r="N17" i="32" s="1"/>
  <c r="O14" i="5"/>
  <c r="E51" i="5"/>
  <c r="E51" i="32" s="1"/>
  <c r="J21" i="5"/>
  <c r="J21" i="32" s="1"/>
  <c r="L32" i="5"/>
  <c r="L32" i="32" s="1"/>
  <c r="I10" i="5"/>
  <c r="I10" i="32" s="1"/>
  <c r="H20" i="5"/>
  <c r="H20" i="32" s="1"/>
  <c r="K53" i="5"/>
  <c r="K53" i="32" s="1"/>
  <c r="N6" i="5"/>
  <c r="E21" i="5"/>
  <c r="E21" i="32" s="1"/>
  <c r="G21" i="5"/>
  <c r="G21" i="32" s="1"/>
  <c r="H50" i="5"/>
  <c r="H50" i="32" s="1"/>
  <c r="N46" i="5"/>
  <c r="N46" i="32" s="1"/>
  <c r="F59" i="5"/>
  <c r="F59" i="32" s="1"/>
  <c r="K25" i="5"/>
  <c r="K25" i="32" s="1"/>
  <c r="N30" i="5"/>
  <c r="N30" i="32" s="1"/>
  <c r="L27" i="5"/>
  <c r="L27" i="32" s="1"/>
  <c r="F29" i="5"/>
  <c r="F29" i="32" s="1"/>
  <c r="G53" i="5"/>
  <c r="G53" i="32" s="1"/>
  <c r="J6" i="5"/>
  <c r="J6" i="32" s="1"/>
  <c r="N21" i="5"/>
  <c r="N21" i="32" s="1"/>
  <c r="O51" i="5"/>
  <c r="H14" i="5"/>
  <c r="I35" i="5"/>
  <c r="I35" i="32" s="1"/>
  <c r="J36" i="5"/>
  <c r="J36" i="32" s="1"/>
  <c r="I49" i="5"/>
  <c r="I49" i="32" s="1"/>
  <c r="K39" i="5"/>
  <c r="K39" i="32" s="1"/>
  <c r="M7" i="5"/>
  <c r="M7" i="32" s="1"/>
  <c r="I25" i="5"/>
  <c r="I25" i="32" s="1"/>
  <c r="J57" i="5"/>
  <c r="J57" i="32" s="1"/>
  <c r="J7" i="5"/>
  <c r="J7" i="32" s="1"/>
  <c r="E48" i="5"/>
  <c r="E48" i="32" s="1"/>
  <c r="J65" i="32"/>
  <c r="F31" i="5"/>
  <c r="F31" i="32" s="1"/>
  <c r="J42" i="5"/>
  <c r="J42" i="32" s="1"/>
  <c r="N22" i="5"/>
  <c r="N22" i="32" s="1"/>
  <c r="D51" i="5"/>
  <c r="D51" i="32" s="1"/>
  <c r="H56" i="5"/>
  <c r="H56" i="32" s="1"/>
  <c r="O28" i="5"/>
  <c r="D6" i="5"/>
  <c r="D6" i="32" s="1"/>
  <c r="O18" i="5"/>
  <c r="G51" i="5"/>
  <c r="G51" i="32" s="1"/>
  <c r="M9" i="5"/>
  <c r="M9" i="32" s="1"/>
  <c r="M19" i="5"/>
  <c r="M19" i="32" s="1"/>
  <c r="K37" i="5"/>
  <c r="K37" i="32" s="1"/>
  <c r="O37" i="5"/>
  <c r="D50" i="5"/>
  <c r="D50" i="32" s="1"/>
  <c r="D54" i="5"/>
  <c r="D54" i="32" s="1"/>
  <c r="C60" i="5"/>
  <c r="C60" i="32" s="1"/>
  <c r="N34" i="5"/>
  <c r="N34" i="32" s="1"/>
  <c r="O47" i="5"/>
  <c r="G59" i="5"/>
  <c r="G59" i="32" s="1"/>
  <c r="M25" i="5"/>
  <c r="M25" i="32" s="1"/>
  <c r="J28" i="5"/>
  <c r="J28" i="32" s="1"/>
  <c r="G22" i="5"/>
  <c r="G22" i="32" s="1"/>
  <c r="M20" i="5"/>
  <c r="M20" i="32" s="1"/>
  <c r="G50" i="5"/>
  <c r="G50" i="32" s="1"/>
  <c r="D60" i="5"/>
  <c r="D60" i="32" s="1"/>
  <c r="D24" i="5"/>
  <c r="D24" i="32" s="1"/>
  <c r="I7" i="5"/>
  <c r="I7" i="32" s="1"/>
  <c r="E35" i="5"/>
  <c r="E35" i="32" s="1"/>
  <c r="L15" i="5"/>
  <c r="L15" i="32" s="1"/>
  <c r="D21" i="5"/>
  <c r="D21" i="32" s="1"/>
  <c r="O25" i="5"/>
  <c r="L28" i="5"/>
  <c r="L28" i="32" s="1"/>
  <c r="C59" i="5"/>
  <c r="C59" i="32" s="1"/>
  <c r="K18" i="5"/>
  <c r="K18" i="32" s="1"/>
  <c r="G23" i="5"/>
  <c r="G23" i="32" s="1"/>
  <c r="K54" i="5"/>
  <c r="K54" i="32" s="1"/>
  <c r="I21" i="5"/>
  <c r="I21" i="32" s="1"/>
  <c r="D47" i="5"/>
  <c r="D47" i="32" s="1"/>
  <c r="F23" i="5"/>
  <c r="F23" i="32" s="1"/>
  <c r="G42" i="5"/>
  <c r="G42" i="32" s="1"/>
  <c r="O98" i="32"/>
  <c r="J44" i="5"/>
  <c r="J44" i="32" s="1"/>
  <c r="H53" i="5"/>
  <c r="H53" i="32" s="1"/>
  <c r="J24" i="5"/>
  <c r="J24" i="32" s="1"/>
  <c r="I53" i="5"/>
  <c r="I53" i="32" s="1"/>
  <c r="N36" i="5"/>
  <c r="N36" i="32" s="1"/>
  <c r="C10" i="5"/>
  <c r="C10" i="32" s="1"/>
  <c r="H10" i="5"/>
  <c r="H10" i="32" s="1"/>
  <c r="M18" i="5"/>
  <c r="M18" i="32" s="1"/>
  <c r="C38" i="5"/>
  <c r="C38" i="32" s="1"/>
  <c r="G36" i="5"/>
  <c r="G36" i="32" s="1"/>
  <c r="D40" i="5"/>
  <c r="D40" i="32" s="1"/>
  <c r="J32" i="5"/>
  <c r="J32" i="32" s="1"/>
  <c r="O54" i="5"/>
  <c r="C19" i="5"/>
  <c r="C19" i="32" s="1"/>
  <c r="M57" i="5"/>
  <c r="M57" i="32" s="1"/>
  <c r="G58" i="5"/>
  <c r="G58" i="32" s="1"/>
  <c r="C55" i="5"/>
  <c r="C55" i="32" s="1"/>
  <c r="G46" i="5"/>
  <c r="G46" i="32" s="1"/>
  <c r="D58" i="5"/>
  <c r="D58" i="32" s="1"/>
  <c r="N19" i="5"/>
  <c r="N19" i="32" s="1"/>
  <c r="H16" i="5"/>
  <c r="H16" i="32" s="1"/>
  <c r="O41" i="5"/>
  <c r="G14" i="5"/>
  <c r="G14" i="32" s="1"/>
  <c r="C21" i="5"/>
  <c r="C21" i="32" s="1"/>
  <c r="K49" i="5"/>
  <c r="K49" i="32" s="1"/>
  <c r="L50" i="5"/>
  <c r="L50" i="32" s="1"/>
  <c r="N58" i="5"/>
  <c r="N58" i="32" s="1"/>
  <c r="K55" i="5"/>
  <c r="K55" i="32" s="1"/>
  <c r="D29" i="5"/>
  <c r="D29" i="32" s="1"/>
  <c r="N40" i="5"/>
  <c r="N40" i="32" s="1"/>
  <c r="O57" i="5"/>
  <c r="C46" i="5"/>
  <c r="C46" i="32" s="1"/>
  <c r="H37" i="5"/>
  <c r="H37" i="32" s="1"/>
  <c r="I38" i="5"/>
  <c r="I38" i="32" s="1"/>
  <c r="G28" i="5"/>
  <c r="G28" i="32" s="1"/>
  <c r="O15" i="5"/>
  <c r="M24" i="5"/>
  <c r="M24" i="32" s="1"/>
  <c r="L99" i="32"/>
  <c r="O97" i="32"/>
  <c r="O93" i="32"/>
  <c r="H67" i="32"/>
  <c r="F55" i="5"/>
  <c r="F55" i="32" s="1"/>
  <c r="K41" i="5"/>
  <c r="K41" i="32" s="1"/>
  <c r="H54" i="5"/>
  <c r="H54" i="32" s="1"/>
  <c r="J25" i="5"/>
  <c r="J25" i="32" s="1"/>
  <c r="K21" i="5"/>
  <c r="K21" i="32" s="1"/>
  <c r="F52" i="5"/>
  <c r="F52" i="32" s="1"/>
  <c r="H44" i="5"/>
  <c r="H44" i="32" s="1"/>
  <c r="M52" i="5"/>
  <c r="M52" i="32" s="1"/>
  <c r="L30" i="5"/>
  <c r="L30" i="32" s="1"/>
  <c r="J20" i="5"/>
  <c r="J20" i="32" s="1"/>
  <c r="F36" i="5"/>
  <c r="F36" i="32" s="1"/>
  <c r="H38" i="5"/>
  <c r="H38" i="32" s="1"/>
  <c r="N32" i="5"/>
  <c r="N32" i="32" s="1"/>
  <c r="M31" i="5"/>
  <c r="M31" i="32" s="1"/>
  <c r="C15" i="5"/>
  <c r="C15" i="32" s="1"/>
  <c r="L43" i="5"/>
  <c r="L43" i="32" s="1"/>
  <c r="C24" i="5"/>
  <c r="C24" i="32" s="1"/>
  <c r="N59" i="5"/>
  <c r="N59" i="32" s="1"/>
  <c r="H47" i="5"/>
  <c r="H47" i="32" s="1"/>
  <c r="F18" i="5"/>
  <c r="F18" i="32" s="1"/>
  <c r="G15" i="5"/>
  <c r="G15" i="32" s="1"/>
  <c r="N28" i="5"/>
  <c r="N28" i="32" s="1"/>
  <c r="J56" i="5"/>
  <c r="J56" i="32" s="1"/>
  <c r="I51" i="5"/>
  <c r="I51" i="32" s="1"/>
  <c r="N52" i="5"/>
  <c r="N52" i="32" s="1"/>
  <c r="E41" i="5"/>
  <c r="E41" i="32" s="1"/>
  <c r="I60" i="5"/>
  <c r="I60" i="32" s="1"/>
  <c r="I36" i="5"/>
  <c r="I36" i="32" s="1"/>
  <c r="E19" i="5"/>
  <c r="E19" i="32" s="1"/>
  <c r="M39" i="5"/>
  <c r="M39" i="32" s="1"/>
  <c r="N18" i="5"/>
  <c r="N18" i="32" s="1"/>
  <c r="D46" i="5"/>
  <c r="D46" i="32" s="1"/>
  <c r="M43" i="5"/>
  <c r="M43" i="32" s="1"/>
  <c r="I34" i="5"/>
  <c r="I34" i="32" s="1"/>
  <c r="E45" i="5"/>
  <c r="E45" i="32" s="1"/>
  <c r="F45" i="5"/>
  <c r="F45" i="32" s="1"/>
  <c r="H45" i="5"/>
  <c r="H45" i="32" s="1"/>
  <c r="G49" i="5"/>
  <c r="G49" i="32" s="1"/>
  <c r="D45" i="5"/>
  <c r="D45" i="32" s="1"/>
  <c r="H99" i="32"/>
  <c r="O92" i="32"/>
  <c r="H17" i="5"/>
  <c r="H17" i="32" s="1"/>
  <c r="M53" i="5"/>
  <c r="M53" i="32" s="1"/>
  <c r="J17" i="5"/>
  <c r="J17" i="32" s="1"/>
  <c r="E57" i="5"/>
  <c r="E57" i="32" s="1"/>
  <c r="K16" i="5"/>
  <c r="K16" i="32" s="1"/>
  <c r="H55" i="5"/>
  <c r="H55" i="32" s="1"/>
  <c r="F20" i="5"/>
  <c r="F20" i="32" s="1"/>
  <c r="M40" i="5"/>
  <c r="M40" i="32" s="1"/>
  <c r="I32" i="5"/>
  <c r="I32" i="32" s="1"/>
  <c r="C14" i="5"/>
  <c r="C14" i="32" s="1"/>
  <c r="C49" i="5"/>
  <c r="C49" i="32" s="1"/>
  <c r="O48" i="5"/>
  <c r="L39" i="5"/>
  <c r="L39" i="32" s="1"/>
  <c r="J22" i="5"/>
  <c r="J22" i="32" s="1"/>
  <c r="F30" i="5"/>
  <c r="F30" i="32" s="1"/>
  <c r="M58" i="5"/>
  <c r="M58" i="32" s="1"/>
  <c r="C48" i="5"/>
  <c r="C48" i="32" s="1"/>
  <c r="O39" i="5"/>
  <c r="G44" i="5"/>
  <c r="G44" i="32" s="1"/>
  <c r="E60" i="5"/>
  <c r="E60" i="32" s="1"/>
  <c r="N41" i="5"/>
  <c r="N41" i="32" s="1"/>
  <c r="D57" i="5"/>
  <c r="D57" i="32" s="1"/>
  <c r="D48" i="5"/>
  <c r="D48" i="32" s="1"/>
  <c r="G54" i="5"/>
  <c r="G54" i="32" s="1"/>
  <c r="J30" i="5"/>
  <c r="J30" i="32" s="1"/>
  <c r="H58" i="5"/>
  <c r="H58" i="32" s="1"/>
  <c r="F42" i="5"/>
  <c r="F42" i="32" s="1"/>
  <c r="I46" i="5"/>
  <c r="I46" i="32" s="1"/>
  <c r="J14" i="32"/>
  <c r="G73" i="32"/>
  <c r="G67" i="32" s="1"/>
  <c r="O69" i="32"/>
  <c r="O73" i="32" l="1"/>
  <c r="K8" i="5"/>
  <c r="K5" i="5" s="1"/>
  <c r="K6" i="32"/>
  <c r="K8" i="32" s="1"/>
  <c r="K5" i="32" s="1"/>
  <c r="K12" i="32" s="1"/>
  <c r="K81" i="32" s="1"/>
  <c r="O79" i="32"/>
  <c r="O67" i="32" s="1"/>
  <c r="J67" i="5"/>
  <c r="N67" i="32"/>
  <c r="E8" i="32"/>
  <c r="E5" i="32" s="1"/>
  <c r="E12" i="32" s="1"/>
  <c r="E81" i="32" s="1"/>
  <c r="N8" i="5"/>
  <c r="N5" i="5" s="1"/>
  <c r="N12" i="5" s="1"/>
  <c r="K67" i="5"/>
  <c r="N67" i="5"/>
  <c r="K12" i="5"/>
  <c r="N6" i="32"/>
  <c r="N8" i="32" s="1"/>
  <c r="N5" i="32" s="1"/>
  <c r="N12" i="32" s="1"/>
  <c r="L8" i="5"/>
  <c r="L5" i="5" s="1"/>
  <c r="L12" i="5" s="1"/>
  <c r="L81" i="5" s="1"/>
  <c r="M8" i="32"/>
  <c r="M5" i="32" s="1"/>
  <c r="M12" i="32" s="1"/>
  <c r="M81" i="32" s="1"/>
  <c r="G8" i="32"/>
  <c r="G5" i="32" s="1"/>
  <c r="G12" i="32" s="1"/>
  <c r="G81" i="32" s="1"/>
  <c r="F8" i="32"/>
  <c r="F5" i="32" s="1"/>
  <c r="F12" i="32" s="1"/>
  <c r="F81" i="32" s="1"/>
  <c r="G8" i="5"/>
  <c r="G5" i="5" s="1"/>
  <c r="G12" i="5" s="1"/>
  <c r="G81" i="5" s="1"/>
  <c r="H8" i="32"/>
  <c r="H5" i="32" s="1"/>
  <c r="H12" i="32" s="1"/>
  <c r="H81" i="32" s="1"/>
  <c r="H8" i="5"/>
  <c r="H5" i="5" s="1"/>
  <c r="H12" i="5" s="1"/>
  <c r="H81" i="5" s="1"/>
  <c r="M8" i="5"/>
  <c r="M5" i="5" s="1"/>
  <c r="M12" i="5" s="1"/>
  <c r="M81" i="5" s="1"/>
  <c r="E8" i="5"/>
  <c r="E5" i="5" s="1"/>
  <c r="E12" i="5" s="1"/>
  <c r="E81" i="5" s="1"/>
  <c r="F8" i="5"/>
  <c r="F5" i="5" s="1"/>
  <c r="F12" i="5" s="1"/>
  <c r="F81" i="5" s="1"/>
  <c r="I8" i="32"/>
  <c r="I5" i="32" s="1"/>
  <c r="I12" i="32" s="1"/>
  <c r="I81" i="32" s="1"/>
  <c r="J8" i="5"/>
  <c r="J5" i="5" s="1"/>
  <c r="J12" i="5" s="1"/>
  <c r="J81" i="5" s="1"/>
  <c r="D8" i="32"/>
  <c r="D5" i="32" s="1"/>
  <c r="D12" i="32" s="1"/>
  <c r="D81" i="32" s="1"/>
  <c r="O18" i="32"/>
  <c r="L8" i="32"/>
  <c r="L5" i="32" s="1"/>
  <c r="L12" i="32" s="1"/>
  <c r="L81" i="32" s="1"/>
  <c r="O8" i="5"/>
  <c r="O5" i="5" s="1"/>
  <c r="O12" i="5" s="1"/>
  <c r="O81" i="5" s="1"/>
  <c r="D8" i="5"/>
  <c r="D5" i="5" s="1"/>
  <c r="D12" i="5" s="1"/>
  <c r="D81" i="5" s="1"/>
  <c r="O26" i="32"/>
  <c r="O50" i="32"/>
  <c r="O34" i="32"/>
  <c r="I8" i="5"/>
  <c r="I5" i="5" s="1"/>
  <c r="I12" i="5" s="1"/>
  <c r="I81" i="5" s="1"/>
  <c r="O46" i="32"/>
  <c r="O39" i="32"/>
  <c r="O32" i="32"/>
  <c r="O41" i="32"/>
  <c r="O53" i="32"/>
  <c r="O35" i="32"/>
  <c r="O65" i="32"/>
  <c r="O56" i="32"/>
  <c r="O33" i="32"/>
  <c r="O23" i="32"/>
  <c r="O54" i="32"/>
  <c r="O51" i="32"/>
  <c r="O52" i="32"/>
  <c r="O40" i="32"/>
  <c r="O16" i="32"/>
  <c r="H13" i="5"/>
  <c r="K3" i="10" s="1" a="1"/>
  <c r="K3" i="10" s="1"/>
  <c r="O20" i="32"/>
  <c r="O43" i="32"/>
  <c r="O7" i="32"/>
  <c r="O25" i="32"/>
  <c r="O37" i="32"/>
  <c r="O17" i="32"/>
  <c r="O31" i="32"/>
  <c r="O55" i="32"/>
  <c r="O9" i="32"/>
  <c r="O36" i="32"/>
  <c r="O61" i="32"/>
  <c r="O57" i="32"/>
  <c r="O22" i="32"/>
  <c r="O45" i="32"/>
  <c r="O15" i="32"/>
  <c r="O13" i="5"/>
  <c r="O58" i="32"/>
  <c r="O63" i="32"/>
  <c r="O62" i="32"/>
  <c r="O29" i="32"/>
  <c r="O27" i="32"/>
  <c r="O99" i="32"/>
  <c r="O28" i="32"/>
  <c r="J8" i="32"/>
  <c r="J5" i="32" s="1"/>
  <c r="J12" i="32" s="1"/>
  <c r="J81" i="32" s="1"/>
  <c r="J13" i="5"/>
  <c r="O59" i="32"/>
  <c r="H14" i="32"/>
  <c r="O14" i="32" s="1"/>
  <c r="C8" i="5"/>
  <c r="C5" i="5" s="1"/>
  <c r="C12" i="5" s="1"/>
  <c r="C81" i="5" s="1"/>
  <c r="O94" i="32"/>
  <c r="O24" i="32"/>
  <c r="O21" i="32"/>
  <c r="O19" i="32"/>
  <c r="O10" i="32"/>
  <c r="O60" i="32"/>
  <c r="G13" i="5"/>
  <c r="L64" i="32"/>
  <c r="L13" i="32" s="1"/>
  <c r="K13" i="5"/>
  <c r="I64" i="32"/>
  <c r="I13" i="32" s="1"/>
  <c r="O42" i="32"/>
  <c r="O44" i="32"/>
  <c r="O30" i="32"/>
  <c r="O49" i="32"/>
  <c r="O38" i="32"/>
  <c r="F13" i="5"/>
  <c r="N64" i="32"/>
  <c r="N13" i="32" s="1"/>
  <c r="M13" i="5"/>
  <c r="E64" i="32"/>
  <c r="E13" i="32" s="1"/>
  <c r="O48" i="32"/>
  <c r="D64" i="32"/>
  <c r="D13" i="32" s="1"/>
  <c r="O47" i="32"/>
  <c r="C64" i="32"/>
  <c r="C13" i="32" s="1"/>
  <c r="C8" i="32"/>
  <c r="C5" i="32" s="1"/>
  <c r="C12" i="32" s="1"/>
  <c r="C13" i="5"/>
  <c r="F3" i="10" s="1" a="1"/>
  <c r="F3" i="10" s="1"/>
  <c r="N3" i="10" a="1"/>
  <c r="N3" i="10" s="1"/>
  <c r="H64" i="32"/>
  <c r="I3" i="10" a="1"/>
  <c r="I3" i="10" s="1"/>
  <c r="J64" i="32"/>
  <c r="J13" i="32" s="1"/>
  <c r="M3" i="10" a="1"/>
  <c r="M3" i="10" s="1"/>
  <c r="K81" i="5" l="1"/>
  <c r="K66" i="5"/>
  <c r="K80" i="5" s="1"/>
  <c r="N81" i="5"/>
  <c r="N81" i="32"/>
  <c r="E66" i="32"/>
  <c r="E80" i="32" s="1"/>
  <c r="C66" i="5"/>
  <c r="C80" i="5" s="1"/>
  <c r="O6" i="32"/>
  <c r="O8" i="32" s="1"/>
  <c r="O5" i="32" s="1"/>
  <c r="O12" i="32" s="1"/>
  <c r="O81" i="32" s="1"/>
  <c r="J66" i="32"/>
  <c r="J80" i="32" s="1"/>
  <c r="L66" i="32"/>
  <c r="L80" i="32" s="1"/>
  <c r="H66" i="5"/>
  <c r="H80" i="5" s="1"/>
  <c r="G66" i="5"/>
  <c r="G80" i="5" s="1"/>
  <c r="J66" i="5"/>
  <c r="J80" i="5" s="1"/>
  <c r="D66" i="32"/>
  <c r="D80" i="32" s="1"/>
  <c r="M66" i="5"/>
  <c r="M80" i="5" s="1"/>
  <c r="H13" i="32"/>
  <c r="H66" i="32" s="1"/>
  <c r="H80" i="32" s="1"/>
  <c r="O66" i="5"/>
  <c r="O80" i="5" s="1"/>
  <c r="I66" i="32"/>
  <c r="I80" i="32" s="1"/>
  <c r="F66" i="5"/>
  <c r="F80" i="5" s="1"/>
  <c r="D13" i="5"/>
  <c r="D66" i="5" s="1"/>
  <c r="D80" i="5" s="1"/>
  <c r="E13" i="5"/>
  <c r="E66" i="5" s="1"/>
  <c r="E80" i="5" s="1"/>
  <c r="F64" i="32"/>
  <c r="F13" i="32" s="1"/>
  <c r="F66" i="32" s="1"/>
  <c r="F80" i="32" s="1"/>
  <c r="L13" i="5"/>
  <c r="L66" i="5" s="1"/>
  <c r="L80" i="5" s="1"/>
  <c r="N13" i="5"/>
  <c r="N66" i="5" s="1"/>
  <c r="N80" i="5" s="1"/>
  <c r="N66" i="32"/>
  <c r="N80" i="32" s="1"/>
  <c r="G64" i="32"/>
  <c r="G13" i="32" s="1"/>
  <c r="G66" i="32" s="1"/>
  <c r="G80" i="32" s="1"/>
  <c r="I13" i="5"/>
  <c r="I66" i="5" s="1"/>
  <c r="I80" i="5" s="1"/>
  <c r="J3" i="10" a="1"/>
  <c r="J3" i="10" s="1"/>
  <c r="M64" i="32"/>
  <c r="M13" i="32" s="1"/>
  <c r="M66" i="32" s="1"/>
  <c r="M80" i="32" s="1"/>
  <c r="P3" i="10" a="1"/>
  <c r="P3" i="10" s="1"/>
  <c r="K64" i="32"/>
  <c r="K13" i="32" s="1"/>
  <c r="K66" i="32" s="1"/>
  <c r="K80" i="32" s="1"/>
  <c r="O3" i="10" a="1"/>
  <c r="O3" i="10" s="1"/>
  <c r="C66" i="32"/>
  <c r="C80" i="32" s="1"/>
  <c r="C81" i="32"/>
  <c r="Q3" i="10" l="1" a="1"/>
  <c r="Q3" i="10" s="1"/>
  <c r="L3" i="10" a="1"/>
  <c r="L3" i="10" s="1"/>
  <c r="H3" i="10" a="1"/>
  <c r="H3" i="10" s="1"/>
  <c r="G3" i="10" a="1"/>
  <c r="G3" i="10" s="1"/>
  <c r="O64" i="32"/>
  <c r="O13" i="32" s="1"/>
  <c r="O66" i="32" s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2CD32B7F-D144-4365-8CE4-FB0870A2D9F2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D3A459D-B0A1-4B3A-BA92-65706914CC52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<sst xmlns="http://schemas.openxmlformats.org/spreadsheetml/2006/main" count="1767" uniqueCount="828">
  <si>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</si>
  <si>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</si>
  <si>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</si>
  <si>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</si>
  <si>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</si>
  <si>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</si>
  <si>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</si>
  <si>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</si>
  <si>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</si>
  <si>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</si>
  <si>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</si>
  <si>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</si>
  <si>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</si>
  <si>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</si>
  <si>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</si>
  <si>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</si>
  <si>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</si>
  <si>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</si>
  <si>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</si>
  <si>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</si>
  <si>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</si>
  <si>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</si>
  <si>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</si>
  <si>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</si>
  <si>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</si>
  <si>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</si>
  <si>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</si>
  <si>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</si>
  <si>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</si>
  <si>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</si>
  <si>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</si>
  <si>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</si>
  <si>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</si>
  <si>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</si>
  <si>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</si>
  <si>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</si>
  <si>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</si>
  <si>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</si>
  <si>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</si>
  <si>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</si>
  <si>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</si>
  <si>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</si>
  <si>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</si>
  <si>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</si>
  <si>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</si>
  <si>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</si>
  <si>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</si>
  <si>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</si>
  <si>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</si>
  <si>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</si>
  <si>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</si>
  <si>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</si>
  <si>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</si>
  <si>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</si>
  <si>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</si>
  <si>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</si>
  <si>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</si>
  <si>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</si>
  <si>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</si>
  <si>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</si>
  <si>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</si>
  <si>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</si>
  <si>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</si>
  <si>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</si>
  <si>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</si>
  <si>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</si>
  <si>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</si>
  <si>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</si>
  <si>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</si>
  <si>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</si>
  <si>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</si>
  <si>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</si>
  <si>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</si>
  <si>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</si>
  <si>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</si>
  <si>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</si>
  <si>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</si>
  <si>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</si>
  <si>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</si>
  <si>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</si>
  <si>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</si>
  <si>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</si>
  <si>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</si>
  <si>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</si>
  <si>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</si>
  <si>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</si>
  <si>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</si>
  <si>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</si>
  <si>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</si>
  <si>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</si>
  <si>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</si>
  <si>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</si>
  <si>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</si>
  <si>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</si>
  <si>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</si>
  <si>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</si>
  <si>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</si>
  <si>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</si>
  <si>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</si>
  <si>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</si>
  <si>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</si>
  <si>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</si>
  <si>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</si>
  <si>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</si>
  <si>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</si>
  <si>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</si>
  <si>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</si>
  <si>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</si>
  <si>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</si>
  <si>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</si>
  <si>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</si>
  <si>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</si>
  <si>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</si>
  <si>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</si>
  <si>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</si>
  <si>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</si>
  <si>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</si>
  <si>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</si>
  <si>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</si>
  <si>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</si>
  <si>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</si>
  <si>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</si>
  <si>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</si>
  <si>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</si>
  <si>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</si>
  <si>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</si>
  <si>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</si>
  <si>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</si>
  <si>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</si>
  <si>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</si>
  <si>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</si>
  <si>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</si>
  <si>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</si>
  <si>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</si>
  <si>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</si>
  <si>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</si>
  <si>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</si>
  <si>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</si>
  <si>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</si>
  <si>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</si>
  <si>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</si>
  <si>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</si>
  <si>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</si>
  <si>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</si>
  <si>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</si>
  <si>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</si>
  <si>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</si>
  <si>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</si>
  <si>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</si>
  <si>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</si>
  <si>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</si>
  <si>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</si>
  <si>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</si>
  <si>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</si>
  <si>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</si>
  <si>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</si>
  <si>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</si>
  <si>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</si>
  <si>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</si>
  <si>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</si>
  <si>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</si>
  <si>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</si>
  <si>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</si>
  <si>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</si>
  <si>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</si>
  <si>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</si>
  <si>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</si>
  <si>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</si>
  <si>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</si>
  <si>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</si>
  <si>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</si>
  <si>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</si>
  <si>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</si>
  <si>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</si>
  <si>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</si>
  <si>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</si>
  <si>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</si>
  <si>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</si>
  <si>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</si>
  <si>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</si>
  <si>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</si>
  <si>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</si>
  <si>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</si>
  <si>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</si>
  <si>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</si>
  <si>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</si>
  <si>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</si>
  <si>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</si>
  <si>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</si>
  <si>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</si>
  <si>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</si>
  <si>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</si>
  <si>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</si>
  <si>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</si>
  <si>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</si>
  <si>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</si>
  <si>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</si>
  <si>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</si>
  <si>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</si>
  <si>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</si>
  <si>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</si>
  <si>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</si>
  <si>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</si>
  <si>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</si>
  <si>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</si>
  <si>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</si>
  <si>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</si>
  <si>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</si>
  <si>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</si>
  <si>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</si>
  <si>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</si>
  <si>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</si>
  <si>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</si>
  <si>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</si>
  <si>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</si>
  <si>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</si>
  <si>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</si>
  <si>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</si>
  <si>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</si>
  <si>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</si>
  <si>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</si>
  <si>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</si>
  <si>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</si>
  <si>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</si>
  <si>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</si>
  <si>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</si>
  <si>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</si>
  <si>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</si>
  <si>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</si>
  <si>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</si>
  <si>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</si>
  <si>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</si>
  <si>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</si>
  <si>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</si>
  <si>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</si>
  <si>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</si>
  <si>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</si>
  <si>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</si>
  <si>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</si>
  <si>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</si>
  <si>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</si>
  <si>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</si>
  <si>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</si>
  <si>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</si>
  <si>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</si>
  <si>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</si>
  <si>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</si>
  <si>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</si>
  <si>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</si>
  <si>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</si>
  <si>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</si>
  <si>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</si>
  <si>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</si>
  <si>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</si>
  <si>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</si>
  <si>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</si>
  <si>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</si>
  <si>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</si>
  <si>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</si>
  <si>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</si>
  <si>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</si>
  <si>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</si>
  <si>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</si>
  <si>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</si>
  <si>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</si>
  <si>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</si>
  <si>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</si>
  <si>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</si>
  <si>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</si>
  <si>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</si>
  <si>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</si>
  <si>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</si>
  <si>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</si>
  <si>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</si>
  <si>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</si>
  <si>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</si>
  <si>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</si>
  <si>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</si>
  <si>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</si>
  <si>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</si>
  <si>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</si>
  <si>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</si>
  <si>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</si>
  <si>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</si>
  <si>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</si>
  <si>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</si>
  <si>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</si>
  <si>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</si>
  <si>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</si>
  <si>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</si>
  <si>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</si>
  <si>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</si>
  <si>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</si>
  <si>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</si>
  <si>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</si>
  <si>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</si>
  <si>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</si>
  <si>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</si>
  <si>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</si>
  <si>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</si>
  <si>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</si>
  <si>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</si>
  <si>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</si>
  <si>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</si>
  <si>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</si>
  <si>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</si>
  <si>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</si>
  <si>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</si>
  <si>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</si>
  <si>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</si>
  <si>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</si>
  <si>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</si>
  <si>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</si>
  <si>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</si>
  <si>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</si>
  <si>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</si>
  <si>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</si>
  <si>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</si>
  <si>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</si>
  <si>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</si>
  <si>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</si>
  <si>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</si>
  <si>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</si>
  <si>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</si>
  <si>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</si>
  <si>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</si>
  <si>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</si>
  <si>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</si>
  <si>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</si>
  <si>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</si>
  <si>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</si>
  <si>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</si>
  <si>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</si>
  <si>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</si>
  <si>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</si>
  <si>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</si>
  <si>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</si>
  <si>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</si>
  <si>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</si>
  <si>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</si>
  <si>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</si>
  <si>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</si>
  <si>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</si>
  <si>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</si>
  <si>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</si>
  <si>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</si>
  <si>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</si>
  <si>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</si>
  <si>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</si>
  <si>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</si>
  <si>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</si>
  <si>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</si>
  <si>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</si>
  <si>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</si>
  <si>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</si>
  <si>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</si>
  <si>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</si>
  <si>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</si>
  <si>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</si>
  <si>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</si>
  <si>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</si>
  <si>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</si>
  <si>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</si>
  <si>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</si>
  <si>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</si>
  <si>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</si>
  <si>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</si>
  <si>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</si>
  <si>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</si>
  <si>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</si>
  <si>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</si>
  <si>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</si>
  <si>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</si>
  <si>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</si>
  <si>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</si>
  <si>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</si>
  <si>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</si>
  <si>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</si>
  <si>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</si>
  <si>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</si>
  <si>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</si>
  <si>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</si>
  <si>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</si>
  <si>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</si>
  <si>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</si>
  <si>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</si>
  <si>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</si>
  <si>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</si>
  <si>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</si>
  <si>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</si>
  <si>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</si>
  <si>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</si>
  <si>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</si>
  <si>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</si>
  <si>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</si>
  <si>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</si>
  <si>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</si>
  <si>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</si>
  <si>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</si>
  <si>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</si>
  <si>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</si>
  <si>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</si>
  <si>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</si>
  <si>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</si>
  <si>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</si>
  <si>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</si>
  <si>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</si>
  <si>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</si>
  <si>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</si>
  <si>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</si>
  <si>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</si>
  <si>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</si>
  <si>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</si>
  <si>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</si>
  <si>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</si>
  <si>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</si>
  <si>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</si>
  <si>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</si>
  <si>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</si>
  <si>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</si>
  <si>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</si>
  <si>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</si>
  <si>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</si>
  <si>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</si>
  <si>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</si>
  <si>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</si>
  <si>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</si>
  <si>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</si>
  <si>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</si>
  <si>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</si>
  <si>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</si>
  <si>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</si>
  <si>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</si>
  <si>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</si>
  <si>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</si>
  <si>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</si>
  <si>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</si>
  <si>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</si>
  <si>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</si>
  <si>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</si>
  <si>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</si>
  <si>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</si>
  <si>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</si>
  <si>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</si>
  <si>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</si>
  <si>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</si>
  <si>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</si>
  <si>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</si>
  <si>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</si>
  <si>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</si>
  <si>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</si>
  <si>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</si>
  <si>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</si>
  <si>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</si>
  <si>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</si>
  <si>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</si>
  <si>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</si>
  <si>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</si>
  <si>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</si>
  <si>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</si>
  <si>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</si>
  <si>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</si>
  <si>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</si>
  <si>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</si>
  <si>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</si>
  <si>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</si>
  <si>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</si>
  <si>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</si>
  <si>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</si>
  <si>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</si>
  <si>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</si>
  <si>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</si>
  <si>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</si>
  <si>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</si>
  <si>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</si>
  <si>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</si>
  <si>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</si>
  <si>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</si>
  <si>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</si>
  <si>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</si>
  <si>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</si>
  <si>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</si>
  <si>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</si>
  <si>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</si>
  <si>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</si>
  <si>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</si>
  <si>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</si>
  <si>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</si>
  <si>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</si>
  <si>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</si>
  <si>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</si>
  <si>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</si>
  <si>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</si>
  <si>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</si>
  <si>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</si>
  <si>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</si>
  <si>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</si>
  <si>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</si>
  <si>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</si>
  <si>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</si>
  <si>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</si>
  <si>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</si>
  <si>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</si>
  <si>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</si>
  <si>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</si>
  <si>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</si>
  <si>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</si>
  <si>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</si>
  <si>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</si>
  <si>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</si>
  <si>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</si>
  <si>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</si>
  <si>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</si>
  <si>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</si>
  <si>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</si>
  <si>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</si>
  <si>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</si>
  <si>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</si>
  <si>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</si>
  <si>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</si>
  <si>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</si>
  <si>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</si>
  <si>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</si>
  <si>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</si>
  <si>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</si>
  <si>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</si>
  <si>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</si>
  <si>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</si>
  <si>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</si>
  <si>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</si>
  <si>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</si>
  <si>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</si>
  <si>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</si>
  <si>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</si>
  <si>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</si>
  <si>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</si>
  <si>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</si>
  <si>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</si>
  <si>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</si>
  <si>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</si>
  <si>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</si>
  <si>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</si>
  <si>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</si>
  <si>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</si>
  <si>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</si>
  <si>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</si>
  <si>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</si>
  <si>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</si>
  <si>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</si>
  <si>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</si>
  <si>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</si>
  <si>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</si>
  <si>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</si>
  <si>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</si>
  <si>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</si>
  <si>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</si>
  <si>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</si>
  <si>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</si>
  <si>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</si>
  <si>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</si>
  <si>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</si>
  <si>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</si>
  <si>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</si>
  <si>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</si>
  <si>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</si>
  <si>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</si>
  <si>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</si>
  <si>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</si>
  <si>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</si>
  <si>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</si>
  <si>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</si>
  <si>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</si>
  <si>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</si>
  <si>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</si>
  <si>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</si>
  <si>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</si>
  <si>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</si>
  <si>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</si>
  <si>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</si>
  <si>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</si>
  <si>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</si>
  <si>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</si>
  <si>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</si>
  <si>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</si>
  <si>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</si>
  <si>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</si>
  <si>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</si>
  <si>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</si>
  <si>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</si>
  <si>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</si>
  <si>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</si>
  <si>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</si>
  <si>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</si>
  <si>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</si>
  <si>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</si>
  <si>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</si>
  <si>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</si>
  <si>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</si>
  <si>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</si>
  <si>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</si>
  <si>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</si>
  <si>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</si>
  <si>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</si>
  <si>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</si>
  <si>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</si>
  <si>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</si>
  <si>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</si>
  <si>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</si>
  <si>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</si>
  <si>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</si>
  <si>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</si>
  <si>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</si>
  <si>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</si>
  <si>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</si>
  <si>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</si>
  <si>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</si>
  <si>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</si>
  <si>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</si>
  <si>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</si>
  <si>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</si>
  <si>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</si>
  <si>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</si>
  <si>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</si>
  <si>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</si>
  <si>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</si>
  <si>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</si>
  <si>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</si>
  <si>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</si>
  <si>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</si>
  <si>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</si>
  <si>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</si>
  <si>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</si>
  <si>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</si>
  <si>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</si>
  <si>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</si>
  <si>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</si>
  <si>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</si>
  <si>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</si>
  <si>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</si>
  <si>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</si>
  <si>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</si>
  <si>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</si>
  <si>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</si>
  <si>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</si>
  <si>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</si>
  <si>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</si>
  <si>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</si>
  <si>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</si>
  <si>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</si>
  <si>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</si>
  <si>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</si>
  <si>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</si>
  <si>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</si>
  <si>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</si>
  <si>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</si>
  <si>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</si>
  <si>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</si>
  <si>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</si>
  <si>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</si>
  <si>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</si>
  <si>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</si>
  <si>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</si>
  <si>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</si>
  <si>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</si>
  <si>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</si>
  <si>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</si>
  <si>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</si>
  <si>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</si>
  <si>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</si>
  <si>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</si>
  <si>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</si>
  <si>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</si>
  <si>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</si>
  <si>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</si>
  <si>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</si>
  <si>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</si>
  <si>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</si>
  <si>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</si>
  <si>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</si>
  <si>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</si>
  <si>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</si>
  <si>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</si>
  <si>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</si>
  <si>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</si>
  <si>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</si>
  <si>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</si>
  <si>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</si>
  <si>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</si>
  <si>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</si>
  <si>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</si>
  <si>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</si>
  <si>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</si>
  <si>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</si>
  <si>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VPN</t>
  </si>
  <si>
    <t/>
  </si>
  <si>
    <t>総生産情報</t>
  </si>
  <si>
    <t>一般経費↓</t>
  </si>
  <si>
    <t>固定資産金利　建物</t>
    <rPh sb="7" eb="9">
      <t>タテモノ</t>
    </rPh>
    <phoneticPr fontId="5"/>
  </si>
  <si>
    <t>電気代</t>
  </si>
  <si>
    <t>水道代</t>
  </si>
  <si>
    <t>ガス</t>
  </si>
  <si>
    <t>手洗い洗剤</t>
  </si>
  <si>
    <t>トイレットペーパー</t>
  </si>
  <si>
    <t>アルコール　消毒</t>
    <rPh sb="6" eb="8">
      <t>ショウドク</t>
    </rPh>
    <phoneticPr fontId="5"/>
  </si>
  <si>
    <t>清掃費</t>
  </si>
  <si>
    <t>出向者送迎費</t>
  </si>
  <si>
    <t>残業時のタクシー送迎費</t>
  </si>
  <si>
    <t>出向者　通勤タクシー費用　（140,000*4 朝会　160,000×8　英語　固定 ＋α)</t>
    <rPh sb="0" eb="3">
      <t>シュッコウシャ</t>
    </rPh>
    <rPh sb="4" eb="6">
      <t>ツウキン</t>
    </rPh>
    <rPh sb="10" eb="12">
      <t>ヒヨウ</t>
    </rPh>
    <rPh sb="24" eb="26">
      <t>アサカイ</t>
    </rPh>
    <rPh sb="37" eb="39">
      <t>エイゴ</t>
    </rPh>
    <rPh sb="40" eb="42">
      <t>コテイ</t>
    </rPh>
    <phoneticPr fontId="5"/>
  </si>
  <si>
    <t xml:space="preserve">月餅 </t>
  </si>
  <si>
    <t>昼食代　(前月21日～当月20日を当月)</t>
  </si>
  <si>
    <t>社員旅行</t>
  </si>
  <si>
    <t>Kyoceraフェスティバル</t>
  </si>
  <si>
    <t>運動会　</t>
  </si>
  <si>
    <t>忘年会補助金</t>
    <rPh sb="0" eb="3">
      <t>ボウネンカイ</t>
    </rPh>
    <rPh sb="3" eb="6">
      <t>ホジョキン</t>
    </rPh>
    <phoneticPr fontId="6"/>
  </si>
  <si>
    <t>お年玉</t>
    <rPh sb="1" eb="2">
      <t>トシ</t>
    </rPh>
    <rPh sb="2" eb="3">
      <t>ダマ</t>
    </rPh>
    <phoneticPr fontId="5"/>
  </si>
  <si>
    <t>誕生日会</t>
  </si>
  <si>
    <t>決起コンパ</t>
  </si>
  <si>
    <t>ポケットカレンダー</t>
  </si>
  <si>
    <t>フィロソフィ論文参加賞</t>
  </si>
  <si>
    <t>健康診断（ローカル）男性</t>
  </si>
  <si>
    <t>健康診断（ローカル）女性</t>
    <rPh sb="10" eb="12">
      <t>ジョセイ</t>
    </rPh>
    <phoneticPr fontId="5"/>
  </si>
  <si>
    <t>システム経費↓</t>
  </si>
  <si>
    <t>新入社員経費↓</t>
  </si>
  <si>
    <t>新入社員　社員証</t>
    <rPh sb="5" eb="7">
      <t>シャイン</t>
    </rPh>
    <rPh sb="7" eb="8">
      <t>ショウ</t>
    </rPh>
    <phoneticPr fontId="5"/>
  </si>
  <si>
    <t>新入社員　社員証ケース</t>
    <rPh sb="5" eb="7">
      <t>シャイン</t>
    </rPh>
    <rPh sb="7" eb="8">
      <t>ショウ</t>
    </rPh>
    <phoneticPr fontId="5"/>
  </si>
  <si>
    <t>新入社員　採用時健康診断 （採用時）男性</t>
    <rPh sb="8" eb="10">
      <t>ケンコウ</t>
    </rPh>
    <rPh sb="10" eb="12">
      <t>シンダン</t>
    </rPh>
    <phoneticPr fontId="5"/>
  </si>
  <si>
    <t>新入社員　採用時健康診断 （採用時）女性</t>
    <rPh sb="8" eb="10">
      <t>ケンコウ</t>
    </rPh>
    <rPh sb="10" eb="12">
      <t>シンダン</t>
    </rPh>
    <phoneticPr fontId="5"/>
  </si>
  <si>
    <t>新入社員　制服上着(夏服) x2枚/人</t>
    <rPh sb="7" eb="9">
      <t>ウワギ</t>
    </rPh>
    <rPh sb="11" eb="12">
      <t>フク</t>
    </rPh>
    <rPh sb="18" eb="19">
      <t>ヒト</t>
    </rPh>
    <phoneticPr fontId="6"/>
  </si>
  <si>
    <t>新入社員　制服上着(冬服) x2枚/人</t>
    <rPh sb="7" eb="9">
      <t>ウワギ</t>
    </rPh>
    <rPh sb="11" eb="12">
      <t>フク</t>
    </rPh>
    <phoneticPr fontId="5"/>
  </si>
  <si>
    <t>新入社員　靴 男性</t>
    <rPh sb="7" eb="9">
      <t>ダンセイ</t>
    </rPh>
    <phoneticPr fontId="6"/>
  </si>
  <si>
    <t xml:space="preserve">新入社員　靴 女性 </t>
    <rPh sb="7" eb="9">
      <t>ジョセイ</t>
    </rPh>
    <phoneticPr fontId="6"/>
  </si>
  <si>
    <t>INTERNSHIP↓</t>
  </si>
  <si>
    <t>社員証（新入社員用・再発行時、写真含む）
Thẻ từ chấm công + ảnh 58000VND　</t>
  </si>
  <si>
    <t>社員証用ケース Vỏ thẻ + móc thẻ 3600VND</t>
  </si>
  <si>
    <t>ペン Bút　1名×3000VND</t>
  </si>
  <si>
    <t>ノート Số　1名×400VND</t>
  </si>
  <si>
    <t xml:space="preserve">フィロソフィ手帳 Sổ tay philosophy I &amp;II　 1名×12,000VND  </t>
  </si>
  <si>
    <t>制服（夏） Đồng phục ngắn tay 1名×2X116,000VND</t>
  </si>
  <si>
    <t>制服（冬） Đồng phục dài tay 142500VND</t>
  </si>
  <si>
    <t>制服ズボン Quần　1名×116,000VND</t>
  </si>
  <si>
    <t xml:space="preserve">シューズ（男性） Giày vải nam　1名×82,000VND  </t>
  </si>
  <si>
    <t>帽子（白） Mũ trắng　1名×33,500VND</t>
  </si>
  <si>
    <t>折りたたみ　</t>
  </si>
  <si>
    <t>バス代</t>
  </si>
  <si>
    <t>宿泊代</t>
  </si>
  <si>
    <t>給料</t>
  </si>
  <si>
    <t>実習用部材費</t>
  </si>
  <si>
    <t>計測器校正費↓</t>
  </si>
  <si>
    <t>減価償却費↓</t>
  </si>
  <si>
    <t>社内金利↓</t>
  </si>
  <si>
    <t>消耗品費↓</t>
  </si>
  <si>
    <t>PC　Monitor</t>
  </si>
  <si>
    <t>Window</t>
  </si>
  <si>
    <t>テーブルタップ</t>
  </si>
  <si>
    <t>HDMIケーブル</t>
  </si>
  <si>
    <t>パソコン電池買い替え</t>
  </si>
  <si>
    <t>その他↓</t>
  </si>
  <si>
    <t>データ印×2名　(10期生＆11期生)</t>
  </si>
  <si>
    <t>新しい制服へ変更＆制服支給</t>
  </si>
  <si>
    <t>郵便代</t>
  </si>
  <si>
    <t>物品送付/クーリエ代</t>
  </si>
  <si>
    <t>輸入運賃</t>
  </si>
  <si>
    <t>税関申告費</t>
  </si>
  <si>
    <t>出向者↓</t>
  </si>
  <si>
    <t>試験研究費↓</t>
  </si>
  <si>
    <t>語学能力試験↓</t>
    <rPh sb="0" eb="2">
      <t>ゴガク</t>
    </rPh>
    <rPh sb="2" eb="4">
      <t>ノウリョク</t>
    </rPh>
    <rPh sb="4" eb="6">
      <t>シケン</t>
    </rPh>
    <phoneticPr fontId="5"/>
  </si>
  <si>
    <t>日本語能力試験受験交通費</t>
  </si>
  <si>
    <t>日本語能力試験受験料補助金</t>
  </si>
  <si>
    <t>TOEIC受験料補助金</t>
    <rPh sb="5" eb="8">
      <t>ジュケンリョウ</t>
    </rPh>
    <rPh sb="8" eb="11">
      <t>ホジョキン</t>
    </rPh>
    <phoneticPr fontId="5"/>
  </si>
  <si>
    <t>国内出張↓</t>
    <rPh sb="0" eb="2">
      <t>コクナイ</t>
    </rPh>
    <rPh sb="2" eb="4">
      <t>シュッチョウ</t>
    </rPh>
    <phoneticPr fontId="5"/>
  </si>
  <si>
    <t>交通費　ジョブフェアー参加→MD4課へ移動</t>
  </si>
  <si>
    <t>ローカルKDC出張↓</t>
  </si>
  <si>
    <t xml:space="preserve">Leo　ローカルメンバーKDC出張　2名(4・10月) 1名(2月）　VISA </t>
  </si>
  <si>
    <t>Leo　ローカルメンバーKDC出張  2名(4・10月) 1名(2月） 航空券 1500USD</t>
  </si>
  <si>
    <t>Leo　ローカルメンバーKDC出張　2名(4・10月) 1名(2月）　現地交通費　\5000</t>
  </si>
  <si>
    <t>Leo　ローカルメンバーKDC出張　2名(4・10月) 1名(2月）  空港Taxi</t>
    <rPh sb="36" eb="38">
      <t>クウコウ</t>
    </rPh>
    <phoneticPr fontId="5"/>
  </si>
  <si>
    <t>Leo　ローカルメンバーKDC出張　2名(4・10月) 1名(2月）日当</t>
  </si>
  <si>
    <t>Leo　ローカルメンバーKDC出張　2名(4・10月) 1名(2月）電話代　\3500</t>
  </si>
  <si>
    <t>Leo　ローカルメンバーKDC出張　2名(4・10月) 1名(2月）宿泊費　\6500×日数</t>
  </si>
  <si>
    <t>ローカルKDC出向↓</t>
  </si>
  <si>
    <t>支度金 3名（７月）</t>
  </si>
  <si>
    <t>フィリピン出張↓</t>
  </si>
  <si>
    <t>フィリピン語学研修　新規パスポート申請(1名）</t>
  </si>
  <si>
    <t>フィリピン語学研修　語学学校支払い（登録料、授業料）(1名）</t>
  </si>
  <si>
    <t>フィリピン語学研修　語学学校支払い（教材費、就学許可証）(1名）</t>
  </si>
  <si>
    <t>フィリピン語学研修　保険代(1名）</t>
  </si>
  <si>
    <t>フィリピン語学研修　交通費（飛行機）(1名）</t>
  </si>
  <si>
    <t>フィリピン語学研修　交通費（PH）(1名）</t>
  </si>
  <si>
    <t>フィリピン語学研修　交通費（工場－空港）(1名）</t>
  </si>
  <si>
    <t>フィリピン語学研修　日当(1名）</t>
  </si>
  <si>
    <t>フィリピン語学研修　食費(1名）</t>
  </si>
  <si>
    <t>フィリピン語学研修　宿泊費(PH)(1名）</t>
  </si>
  <si>
    <t>Fukumaの名刺</t>
  </si>
  <si>
    <t>PC（故障、寿命で購入 x2台 25,000,000 VND/台）</t>
  </si>
  <si>
    <t xml:space="preserve"> 携帯</t>
  </si>
  <si>
    <t>VISA申請　（大井）145 USD（2025/12）</t>
  </si>
  <si>
    <t>写真+公証 50,000VND</t>
  </si>
  <si>
    <t>データの翻訳 1,000,000VND</t>
  </si>
  <si>
    <t>郵便局で輸運送費 60,000VND</t>
  </si>
  <si>
    <t>プロファイルセット費用 60,000VND</t>
  </si>
  <si>
    <t>労働許可証取得時の健康診断費用 1,259,500VND</t>
  </si>
  <si>
    <t>15時間/人・月(1-12期生)で計算 係責任者は2時間のみなし残業</t>
  </si>
  <si>
    <t>減価償却費配賦　建物</t>
  </si>
  <si>
    <t>減価償却費配賦　土地使用権</t>
  </si>
  <si>
    <t>固定資産金利　土地使用権</t>
  </si>
  <si>
    <t>Local Bus送迎費 (local Member 人員比率　で計算)</t>
  </si>
  <si>
    <t>メール</t>
  </si>
  <si>
    <t>R3</t>
  </si>
  <si>
    <t>PLM</t>
  </si>
  <si>
    <t>VPS</t>
  </si>
  <si>
    <t>翻訳ツール(COTOHA)</t>
  </si>
  <si>
    <t>CAD \4,931,701/月　（新CADも含む CADユーザー追加分で予測）→FY2026～MD4課へ移動</t>
  </si>
  <si>
    <t>新入社員　Pen</t>
  </si>
  <si>
    <t>新入社員　Note</t>
  </si>
  <si>
    <t>新入社員　フィロソフィ手帳</t>
  </si>
  <si>
    <t>新入社員　帽子</t>
  </si>
  <si>
    <t>新入社員　制服(ズボン) x2枚/人</t>
  </si>
  <si>
    <t>新入社員　ポケットカレンダー</t>
  </si>
  <si>
    <t>新入社員　データ印</t>
  </si>
  <si>
    <t>新入社員　PC</t>
  </si>
  <si>
    <t>新入社員　事務机</t>
  </si>
  <si>
    <t>新入社員　事務机用椅子</t>
  </si>
  <si>
    <t>セミナー↓</t>
  </si>
  <si>
    <t>TOEIC試験交通費</t>
  </si>
  <si>
    <t>Leo　ローカルメンバーKDC出張　2名(4・10月) 1名(2月）パスポート</t>
  </si>
  <si>
    <t>Leo  ローカルメンバーKDC出張　2名(4・10月) 1名(2月）　大使館手数料　640000VND</t>
  </si>
  <si>
    <t>Leo  ローカルメンバーKDC出張　2名(4・10月) 1名(2月）　保険　57USD</t>
  </si>
  <si>
    <t>Leo  ローカルメンバーKDC出張　2名(4・10月) 1名(2月）　海外出張の携帯電話代　30USD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</si>
</sst>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&quot;¥&quot;#,##0_);[Red]\(&quot;¥&quot;#,##0\)"/>
    <numFmt numFmtId="165" formatCode="_(* #,##0.00_);_(* \(#,##0.00\);_(* &quot;-&quot;??_);_(@_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9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8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b/>
      <sz val="8"/>
      <color rgb="FFFF0000"/>
      <name val="Meiryo UI"/>
      <family val="3"/>
      <charset val="128"/>
    </font>
    <font>
      <b/>
      <sz val="8"/>
      <name val="Meiryo UI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5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5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4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8" fillId="0" borderId="42" xfId="0" applyNumberFormat="1" applyFont="1" applyFill="1" applyBorder="1"/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86" fillId="34" borderId="37" xfId="0" applyNumberFormat="1" applyFont="1" applyFill="1" applyBorder="1" applyAlignment="1" applyProtection="1">
      <alignment wrapText="1"/>
    </xf>
    <xf numFmtId="40" fontId="86" fillId="34" borderId="40" xfId="0" applyNumberFormat="1" applyFont="1" applyFill="1" applyBorder="1" applyAlignment="1" applyProtection="1">
      <alignment wrapText="1"/>
    </xf>
    <xf numFmtId="40" fontId="86" fillId="34" borderId="39" xfId="0" applyNumberFormat="1" applyFont="1" applyFill="1" applyBorder="1" applyProtection="1"/>
    <xf numFmtId="40" fontId="86" fillId="34" borderId="43" xfId="0" applyNumberFormat="1" applyFont="1" applyFill="1" applyBorder="1" applyProtection="1"/>
    <xf numFmtId="40" fontId="86" fillId="32" borderId="43" xfId="0" applyNumberFormat="1" applyFont="1" applyFill="1" applyBorder="1" applyProtection="1"/>
    <xf numFmtId="40" fontId="87" fillId="34" borderId="43" xfId="0" applyNumberFormat="1" applyFont="1" applyFill="1" applyBorder="1" applyProtection="1"/>
    <xf numFmtId="3" fontId="86" fillId="34" borderId="39" xfId="0" applyNumberFormat="1" applyFont="1" applyFill="1" applyBorder="1" applyProtection="1"/>
    <xf numFmtId="3" fontId="86" fillId="34" borderId="48" xfId="0" applyNumberFormat="1" applyFont="1" applyFill="1" applyBorder="1" applyProtection="1"/>
    <xf numFmtId="40" fontId="86" fillId="32" borderId="40" xfId="0" applyNumberFormat="1" applyFont="1" applyFill="1" applyBorder="1" applyProtection="1"/>
    <xf numFmtId="40" fontId="86" fillId="32" borderId="39" xfId="0" applyNumberFormat="1" applyFont="1" applyFill="1" applyBorder="1" applyProtection="1"/>
    <xf numFmtId="40" fontId="86" fillId="32" borderId="48" xfId="0" applyNumberFormat="1" applyFont="1" applyFill="1" applyBorder="1" applyProtection="1"/>
    <xf numFmtId="40" fontId="86" fillId="34" borderId="40" xfId="0" applyNumberFormat="1" applyFont="1" applyFill="1" applyBorder="1" applyProtection="1"/>
    <xf numFmtId="40" fontId="88" fillId="36" borderId="39" xfId="0" applyNumberFormat="1" applyFont="1" applyFill="1" applyBorder="1" applyProtection="1"/>
    <xf numFmtId="40" fontId="87" fillId="34" borderId="39" xfId="0" applyNumberFormat="1" applyFont="1" applyFill="1" applyBorder="1" applyProtection="1"/>
    <xf numFmtId="40" fontId="90" fillId="34" borderId="39" xfId="0" applyNumberFormat="1" applyFont="1" applyFill="1" applyBorder="1" applyProtection="1"/>
    <xf numFmtId="40" fontId="87" fillId="34" borderId="39" xfId="0" applyNumberFormat="1" applyFont="1" applyFill="1" applyBorder="1" applyAlignment="1" applyProtection="1">
      <alignment wrapText="1"/>
    </xf>
    <xf numFmtId="40" fontId="88" fillId="0" borderId="39" xfId="0" applyNumberFormat="1" applyFont="1" applyFill="1" applyBorder="1" applyProtection="1"/>
    <xf numFmtId="40" fontId="89" fillId="34" borderId="39" xfId="0" applyNumberFormat="1" applyFont="1" applyFill="1" applyBorder="1" applyProtection="1"/>
    <xf numFmtId="166" fontId="73" fillId="34" borderId="37" xfId="68" applyNumberFormat="1" applyFont="1" applyFill="1" applyBorder="1" applyAlignment="1" applyProtection="1">
      <alignment horizontal="right" vertical="center"/>
      <protection locked="0"/>
    </xf>
    <xf numFmtId="166" fontId="73" fillId="34" borderId="39" xfId="68" applyNumberFormat="1" applyFont="1" applyFill="1" applyBorder="1" applyAlignment="1" applyProtection="1">
      <alignment horizontal="right" vertical="center"/>
      <protection locked="0"/>
    </xf>
    <xf numFmtId="166" fontId="73" fillId="32" borderId="39" xfId="68" applyNumberFormat="1" applyFont="1" applyFill="1" applyBorder="1" applyAlignment="1" applyProtection="1">
      <alignment horizontal="right" vertical="center"/>
      <protection locked="0"/>
    </xf>
    <xf numFmtId="166" fontId="73" fillId="34" borderId="39" xfId="96" applyNumberFormat="1" applyFont="1" applyFill="1" applyBorder="1" applyAlignment="1" applyProtection="1">
      <alignment horizontal="right" vertical="center"/>
      <protection locked="0"/>
    </xf>
    <xf numFmtId="166" fontId="5" fillId="34" borderId="39" xfId="68" applyNumberFormat="1" applyFont="1" applyFill="1" applyBorder="1" applyAlignment="1" applyProtection="1">
      <alignment horizontal="right" vertical="center"/>
      <protection locked="0"/>
    </xf>
    <xf numFmtId="166" fontId="5" fillId="34" borderId="48" xfId="68" applyNumberFormat="1" applyFont="1" applyFill="1" applyBorder="1" applyAlignment="1" applyProtection="1">
      <alignment horizontal="right" vertical="center"/>
      <protection locked="0"/>
    </xf>
    <xf numFmtId="166" fontId="73" fillId="32" borderId="37" xfId="68" applyNumberFormat="1" applyFont="1" applyFill="1" applyBorder="1" applyAlignment="1" applyProtection="1">
      <alignment horizontal="right"/>
      <protection locked="0"/>
    </xf>
    <xf numFmtId="166" fontId="73" fillId="32" borderId="39" xfId="68" applyNumberFormat="1" applyFont="1" applyFill="1" applyBorder="1" applyAlignment="1" applyProtection="1">
      <alignment horizontal="right"/>
      <protection locked="0"/>
    </xf>
    <xf numFmtId="166" fontId="73" fillId="32" borderId="48" xfId="68" applyNumberFormat="1" applyFont="1" applyFill="1" applyBorder="1" applyAlignment="1" applyProtection="1">
      <alignment horizontal="right"/>
      <protection locked="0"/>
    </xf>
    <xf numFmtId="166" fontId="73" fillId="34" borderId="39" xfId="68" applyNumberFormat="1" applyFont="1" applyFill="1" applyBorder="1" applyAlignment="1" applyProtection="1">
      <alignment horizontal="right"/>
      <protection locked="0"/>
    </xf>
    <xf numFmtId="166" fontId="73" fillId="34" borderId="39" xfId="66" applyNumberFormat="1" applyFont="1" applyFill="1" applyBorder="1" applyAlignment="1" applyProtection="1">
      <alignment horizontal="right"/>
      <protection locked="0"/>
    </xf>
    <xf numFmtId="166" fontId="73" fillId="36" borderId="39" xfId="68" applyNumberFormat="1" applyFont="1" applyFill="1" applyBorder="1" applyAlignment="1" applyProtection="1">
      <alignment horizontal="right" vertical="center"/>
      <protection locked="0"/>
    </xf>
    <xf numFmtId="166" fontId="73" fillId="36" borderId="39" xfId="66" applyNumberFormat="1" applyFont="1" applyFill="1" applyBorder="1" applyAlignment="1" applyProtection="1">
      <alignment horizontal="right" vertical="center"/>
      <protection locked="0"/>
    </xf>
    <xf numFmtId="166" fontId="73" fillId="34" borderId="39" xfId="66" applyNumberFormat="1" applyFont="1" applyFill="1" applyBorder="1" applyAlignment="1" applyProtection="1">
      <alignment horizontal="right" vertical="center"/>
      <protection locked="0"/>
    </xf>
    <xf numFmtId="0" fontId="21" fillId="0" borderId="24" xfId="129" applyBorder="1" applyAlignment="1" applyProtection="1">
      <alignment horizontal="left"/>
      <protection locked="0"/>
    </xf>
    <xf numFmtId="3" fontId="21" fillId="0" borderId="24" xfId="129" applyNumberFormat="1" applyBorder="1" applyAlignment="1" applyProtection="1">
      <alignment horizontal="right"/>
      <protection locked="0"/>
    </xf>
  </cellXfs>
  <cellStyles count="175">
    <cellStyle name="_FY2014 MP作成依頼（KDTCN).1207(3)" xfId="1" xr:uid="{8B0AD34D-0D8A-41C3-9672-FFF1A4267DC2}"/>
    <cellStyle name="20% - Accent1" xfId="2" xr:uid="{180474B5-523C-45D6-914E-1A60DEAE87F9}"/>
    <cellStyle name="20% - Accent2" xfId="3" xr:uid="{A2B04415-CDBB-4B00-AE80-1B9F982EE628}"/>
    <cellStyle name="20% - Accent3" xfId="4" xr:uid="{BF774838-3A67-4C20-B76D-81E023F9951E}"/>
    <cellStyle name="20% - Accent4" xfId="5" xr:uid="{EAEFD06C-1E43-42B0-AD1A-271814787FE8}"/>
    <cellStyle name="20% - Accent5" xfId="6" xr:uid="{5A79E00F-2D94-4ACE-B0E6-98987210B64B}"/>
    <cellStyle name="20% - Accent6" xfId="7" xr:uid="{72750D35-0557-4C75-A189-DF960EA2A903}"/>
    <cellStyle name="20% - アクセント 1" xfId="8" xr:uid="{C79E0701-9680-41B5-A808-C7BE7A2FFFC4}"/>
    <cellStyle name="20% - アクセント 1 2" xfId="9" xr:uid="{07836BC9-99F5-46A6-87E2-D69DC1A127A0}"/>
    <cellStyle name="20% - アクセント 2" xfId="10" xr:uid="{FC0A8346-3F3E-4246-8C17-22E0A4777BEC}"/>
    <cellStyle name="20% - アクセント 2 2" xfId="11" xr:uid="{08C2336E-A994-4B2F-8E50-CA1A8657D178}"/>
    <cellStyle name="20% - アクセント 3" xfId="12" xr:uid="{BEA4A985-EB2C-4E9E-B962-72859B66EE71}"/>
    <cellStyle name="20% - アクセント 3 2" xfId="13" xr:uid="{36217DD9-3EBF-4F19-8FAF-F1913E2131F7}"/>
    <cellStyle name="20% - アクセント 4" xfId="14" xr:uid="{F2AC53E1-A5C8-4EFF-A1B1-D9A715AF1BBF}"/>
    <cellStyle name="20% - アクセント 4 2" xfId="15" xr:uid="{A98E1252-DA17-4934-A2DE-389E7535B403}"/>
    <cellStyle name="20% - アクセント 5" xfId="16" xr:uid="{4285B090-B13C-4E01-BBD3-8293DD08FEF4}"/>
    <cellStyle name="20% - アクセント 5 2" xfId="17" xr:uid="{F8991BE4-6F39-4B64-B712-64215D3572A8}"/>
    <cellStyle name="20% - アクセント 6" xfId="18" xr:uid="{25A81805-B44A-4036-93EB-786A5B725B69}"/>
    <cellStyle name="20% - アクセント 6 2" xfId="19" xr:uid="{6D2B933A-4378-435B-BB0C-A6D9A48D21A6}"/>
    <cellStyle name="3232" xfId="20" xr:uid="{9ABD7E99-C684-46FE-B0FF-7DDDFCFC7D6A}"/>
    <cellStyle name="40% - Accent1" xfId="21" xr:uid="{05E2169D-26F8-429B-B048-E57D3A212E86}"/>
    <cellStyle name="40% - Accent2" xfId="22" xr:uid="{F04AF6A4-BDBD-4C33-8DB9-5797AFDE1B85}"/>
    <cellStyle name="40% - Accent3" xfId="23" xr:uid="{4833E02E-40D0-4684-B44F-CBAEACF1F630}"/>
    <cellStyle name="40% - Accent4" xfId="24" xr:uid="{50CDE8FA-D907-4FF6-B2FE-01E8092233D7}"/>
    <cellStyle name="40% - Accent5" xfId="25" xr:uid="{D4EC6274-ECF9-41FB-8CF0-9F2088171FB9}"/>
    <cellStyle name="40% - Accent6" xfId="26" xr:uid="{6567B6D1-5649-4291-A782-87F13B396215}"/>
    <cellStyle name="40% - アクセント 1" xfId="27" xr:uid="{13FBF97E-0099-4055-8CFC-6F17771CC96A}"/>
    <cellStyle name="40% - アクセント 1 2" xfId="28" xr:uid="{2DFB9C3F-BB57-4073-A9D4-FB4E25E1E35D}"/>
    <cellStyle name="40% - アクセント 2" xfId="29" xr:uid="{6D0256A3-8EBD-4424-9CC6-2DE77072CD2E}"/>
    <cellStyle name="40% - アクセント 2 2" xfId="30" xr:uid="{2AA04588-059D-4CC9-AB6F-3144C08641E3}"/>
    <cellStyle name="40% - アクセント 3" xfId="31" xr:uid="{909B2A62-A2D1-4308-9853-30E54EC3EB30}"/>
    <cellStyle name="40% - アクセント 3 2" xfId="32" xr:uid="{126AE045-A1F8-4A54-B434-A9976083852B}"/>
    <cellStyle name="40% - アクセント 4" xfId="33" xr:uid="{B46D482B-72DE-4520-98EB-9085D171C6A0}"/>
    <cellStyle name="40% - アクセント 4 2" xfId="34" xr:uid="{1FFEB8D8-65ED-468D-9148-8F2763A5BC8A}"/>
    <cellStyle name="40% - アクセント 5" xfId="35" xr:uid="{45654628-D563-41F6-8018-486019CD02B5}"/>
    <cellStyle name="40% - アクセント 5 2" xfId="36" xr:uid="{9645B143-012B-4078-8D56-8098CF01B56D}"/>
    <cellStyle name="40% - アクセント 6" xfId="37" xr:uid="{1F3601AB-45F1-477F-A44B-120867DE001F}"/>
    <cellStyle name="40% - アクセント 6 2" xfId="38" xr:uid="{9F7704D7-16DA-4CE8-BD0A-7F5C67974154}"/>
    <cellStyle name="60% - Accent1" xfId="39" xr:uid="{8571B874-BA1B-490B-B012-BE34EBCC3BB4}"/>
    <cellStyle name="60% - Accent2" xfId="40" xr:uid="{A394CE1C-C977-4638-A2E5-9A4B77FD7CD4}"/>
    <cellStyle name="60% - Accent3" xfId="41" xr:uid="{E144A59B-9F8E-43FC-AE1B-453AB75C7DFB}"/>
    <cellStyle name="60% - Accent4" xfId="42" xr:uid="{1256E6CE-77C5-448A-B2D2-A44F2EC098EA}"/>
    <cellStyle name="60% - Accent5" xfId="43" xr:uid="{CEF4AF4A-C336-4426-93D0-E4FD2495D565}"/>
    <cellStyle name="60% - Accent6" xfId="44" xr:uid="{D9267FD8-FFA5-4D9F-8FBF-7AEE54975F5E}"/>
    <cellStyle name="60% - アクセント 1" xfId="45" xr:uid="{6ABECC13-1CA9-4188-8839-BFC5A10FEFD0}"/>
    <cellStyle name="60% - アクセント 1 2" xfId="46" xr:uid="{3764A75D-C543-4C1A-B02B-B702C3027A0E}"/>
    <cellStyle name="60% - アクセント 2" xfId="47" xr:uid="{2448EB91-C333-4CC5-8AAD-C9B4C4E50D2F}"/>
    <cellStyle name="60% - アクセント 2 2" xfId="48" xr:uid="{4223D01F-DAC7-4749-AE81-C8A8C7CBBFDE}"/>
    <cellStyle name="60% - アクセント 3" xfId="49" xr:uid="{8CD7223D-AA03-4B63-A599-0CE1EEA758A9}"/>
    <cellStyle name="60% - アクセント 3 2" xfId="50" xr:uid="{074E366D-CB72-423F-9EE8-2CF6FA0A96DF}"/>
    <cellStyle name="60% - アクセント 4" xfId="51" xr:uid="{007739C4-5767-4033-A33C-C3BC890A7131}"/>
    <cellStyle name="60% - アクセント 4 2" xfId="52" xr:uid="{977DF822-423F-4C5F-86AA-F903DFE347B4}"/>
    <cellStyle name="60% - アクセント 5" xfId="53" xr:uid="{66E7FAE2-74EA-4EB2-B006-F5E840016E3A}"/>
    <cellStyle name="60% - アクセント 5 2" xfId="54" xr:uid="{32352FDB-1ED3-4E59-BD35-DE0CE379F110}"/>
    <cellStyle name="60% - アクセント 6" xfId="55" xr:uid="{6800C716-B8E1-4296-89ED-0313EEAC8666}"/>
    <cellStyle name="60% - アクセント 6 2" xfId="56" xr:uid="{2A91CD24-7A22-4D0B-8586-C6D6887DE8DF}"/>
    <cellStyle name="Accent1" xfId="57" xr:uid="{9CE30B27-B2D8-4AEE-8C29-F26F67A0CF70}"/>
    <cellStyle name="Accent2" xfId="58" xr:uid="{133F9876-502E-4BD7-82B5-578F7C59394D}"/>
    <cellStyle name="Accent3" xfId="59" xr:uid="{DF3B21DC-C91D-42D7-821E-00C5E0CEBD9C}"/>
    <cellStyle name="Accent4" xfId="60" xr:uid="{B9726D71-3659-4F21-B25E-052BEA248159}"/>
    <cellStyle name="Accent5" xfId="61" xr:uid="{04EDFF23-A5EF-440E-9EF1-CC9F45D93822}"/>
    <cellStyle name="Accent6" xfId="62" xr:uid="{68ABE7C7-7550-4965-A5C7-F795C528BA59}"/>
    <cellStyle name="Bad" xfId="63" xr:uid="{EFE1F4DC-15FA-4133-80F0-F1265EDA304E}"/>
    <cellStyle name="Calculation" xfId="64" xr:uid="{8E5797B0-29D6-4A36-92FC-A6507391AAB4}"/>
    <cellStyle name="Check Cell" xfId="65" xr:uid="{E5E1EF23-1B72-496E-B39A-FA6BBB5AC7C9}"/>
    <cellStyle name="Comma" xfId="66" builtinId="3"/>
    <cellStyle name="Comma [0]" xfId="67" builtinId="6"/>
    <cellStyle name="Comma [0] 2" xfId="68" xr:uid="{A0C4AFB1-D76F-44A4-AD63-54359AD07CE3}"/>
    <cellStyle name="Comma [0] 2 2" xfId="69" xr:uid="{3F9DA1AD-82E8-43CB-B1BB-87B080D03050}"/>
    <cellStyle name="Comma [0] 3" xfId="70" xr:uid="{09A12BDF-C135-49B2-927A-14DF37E26717}"/>
    <cellStyle name="Comma [0] 4" xfId="71" xr:uid="{71544B33-32AA-44DC-9BF7-161C694AD0D4}"/>
    <cellStyle name="Comma 2" xfId="72" xr:uid="{1FBFE48A-0C57-403B-AE8A-E79CBC8CAE69}"/>
    <cellStyle name="Comma 2 3" xfId="73" xr:uid="{7A4B8872-E512-4C20-A865-0700A6647C88}"/>
    <cellStyle name="Comma 3" xfId="74" xr:uid="{BCE0900E-6EB4-4E1A-AE3A-B605BA149AB2}"/>
    <cellStyle name="Comma 3 2 2" xfId="75" xr:uid="{552333A7-38C6-4077-8CC2-CE34D4CA47BE}"/>
    <cellStyle name="Comma 4" xfId="76" xr:uid="{6BAD77FC-9A75-4670-ABEC-6FF8990C49FD}"/>
    <cellStyle name="Comma 5" xfId="77" xr:uid="{4093C5CD-FCCD-493B-A36F-286CD04131C7}"/>
    <cellStyle name="Comma 6" xfId="78" xr:uid="{AB433C6A-7BFB-4D57-B34B-B168E938E0BD}"/>
    <cellStyle name="Currency [0] 2" xfId="79" xr:uid="{84E7EED9-8CEC-4DA4-BE0B-49E46452C00F}"/>
    <cellStyle name="Explanatory Text" xfId="80" xr:uid="{EEF8BCD5-F220-4F52-B627-849DCCF5CFC5}"/>
    <cellStyle name="Good" xfId="81" xr:uid="{09734DCE-CC9F-4079-823D-DAC3067B771C}"/>
    <cellStyle name="Heading 1" xfId="82" xr:uid="{6D28A85A-3593-4C30-B3B6-2C2550643CD6}"/>
    <cellStyle name="Heading 2" xfId="83" xr:uid="{05A706A2-00B6-4918-8980-2ECA57F18A71}"/>
    <cellStyle name="Heading 3" xfId="84" xr:uid="{02A5CCE8-6B3C-4216-8D71-87FDC7508747}"/>
    <cellStyle name="Heading 4" xfId="85" xr:uid="{8E8F9B1E-FD5D-4CF9-AC67-D4051BEDD1B3}"/>
    <cellStyle name="Input" xfId="86" xr:uid="{EE7259F6-FCF0-4FDC-9FAE-5A9F685E2AD7}"/>
    <cellStyle name="Linked Cell" xfId="87" xr:uid="{1BD85911-CCE7-4C30-96A9-1B157F5B2C7B}"/>
    <cellStyle name="Neutral" xfId="88" xr:uid="{0C86CA90-B439-47FF-81F5-496C477567FE}"/>
    <cellStyle name="Normal" xfId="0" builtinId="0"/>
    <cellStyle name="Normal 2" xfId="89" xr:uid="{C5D6932D-CE41-4131-B649-C9E9ACDD6A5A}"/>
    <cellStyle name="Normal 2 2" xfId="90" xr:uid="{A0363BE7-BA90-4204-ACB0-48271A86DFE8}"/>
    <cellStyle name="Normal 3" xfId="91" xr:uid="{6A89EF02-D5F8-47A5-915F-F74118B8F592}"/>
    <cellStyle name="Normal 4" xfId="92" xr:uid="{4E9EB5A5-A26F-47D9-BDFD-20280F131AC3}"/>
    <cellStyle name="Normal 5" xfId="93" xr:uid="{EAFFB4FF-9CEA-4DF6-9403-15C3BCFDF9E9}"/>
    <cellStyle name="Note" xfId="94" xr:uid="{34A507F0-4539-46B6-8935-A9A91563DFFA}"/>
    <cellStyle name="Output" xfId="95" xr:uid="{CC7F4630-73BA-4976-B021-CFDDDA5993DC}"/>
    <cellStyle name="Percent 2" xfId="96" xr:uid="{8D9B8EED-7178-478A-B69C-AEA553A3EA27}"/>
    <cellStyle name="Percent 3" xfId="97" xr:uid="{F5AEE8DB-F0CA-4207-8C03-9FED892E3AA6}"/>
    <cellStyle name="Title" xfId="98" xr:uid="{6D2CB28B-E313-4A2F-9B06-A102C758EB66}"/>
    <cellStyle name="Total" xfId="99" xr:uid="{13C1D21C-A605-4EF0-B9AC-919A0A0B0F50}"/>
    <cellStyle name="Warning Text" xfId="100" xr:uid="{D42021EF-0BC8-4BB4-AFBA-E1C20AC1DA5C}"/>
    <cellStyle name="アクセント 1" xfId="101" xr:uid="{505F4775-6CCD-42B6-9C34-68368B5F427D}"/>
    <cellStyle name="アクセント 1 2" xfId="102" xr:uid="{7B0B6013-99D4-4313-B8C9-000B7BD91C56}"/>
    <cellStyle name="アクセント 2" xfId="103" xr:uid="{7E562726-90A7-446F-A9ED-EEBF120E9DB3}"/>
    <cellStyle name="アクセント 2 2" xfId="104" xr:uid="{44F20DC2-3CEE-4DDA-83D7-787B51125CAD}"/>
    <cellStyle name="アクセント 3" xfId="105" xr:uid="{F8E1C34F-C51D-4BC2-813F-0E937F5A847E}"/>
    <cellStyle name="アクセント 3 2" xfId="106" xr:uid="{4F4ED7FA-C728-43C2-9A3E-4D79CB16923C}"/>
    <cellStyle name="アクセント 4" xfId="107" xr:uid="{E60A6AB4-509C-4351-963F-7ED1464E9323}"/>
    <cellStyle name="アクセント 4 2" xfId="108" xr:uid="{F5C6A7A3-8263-4ECF-913C-372139B2FC04}"/>
    <cellStyle name="アクセント 5" xfId="109" xr:uid="{1D0DD02E-057A-4C52-9B24-131153625A97}"/>
    <cellStyle name="アクセント 5 2" xfId="110" xr:uid="{644E7B1E-4BEF-4039-8620-80A6754A18C0}"/>
    <cellStyle name="アクセント 6" xfId="111" xr:uid="{72066F10-B9D3-4504-BE43-6D02B6925E16}"/>
    <cellStyle name="アクセント 6 2" xfId="112" xr:uid="{F33F6038-597A-4E66-B249-752FF7B4D5FA}"/>
    <cellStyle name="タイトル" xfId="113" xr:uid="{B56FAD75-CAD3-4D31-84C0-E9B1EF638552}"/>
    <cellStyle name="タイトル 2" xfId="114" xr:uid="{36601129-193C-427F-9152-B1CCCC460F76}"/>
    <cellStyle name="チェック セル" xfId="115" xr:uid="{DB8415E9-19A2-4C86-B015-FCF0ACBFC4DE}"/>
    <cellStyle name="チェック セル 2" xfId="116" xr:uid="{239FEBDC-15DF-4180-AA31-E187F262A534}"/>
    <cellStyle name="どちらでもない" xfId="117" xr:uid="{2679D653-3056-4DAA-A682-B41676488B4B}"/>
    <cellStyle name="どちらでもない 2" xfId="118" xr:uid="{59975C06-E6E1-45B5-90B5-E66489647ECF}"/>
    <cellStyle name="パーセント 2" xfId="119" xr:uid="{93063684-B290-437C-A5E8-E2E9446CAFE1}"/>
    <cellStyle name="パーセント 3" xfId="120" xr:uid="{BC146C4A-6F16-4D4F-9FEC-952BE60947EF}"/>
    <cellStyle name="パーセント 3 2" xfId="121" xr:uid="{48094AAD-A621-487A-B78D-90F23E653227}"/>
    <cellStyle name="メモ" xfId="122" xr:uid="{84273243-9618-45D8-BED9-7A3913626664}"/>
    <cellStyle name="メモ 2" xfId="123" xr:uid="{ADB5D1E0-1EC9-4D5E-ACCA-11F6C51574FF}"/>
    <cellStyle name="リンク セル" xfId="124" xr:uid="{F3737545-C807-454E-A1FE-CFB6DFCF8C28}"/>
    <cellStyle name="リンク セル 2" xfId="125" xr:uid="{8970F4E3-D8C5-4E0A-9479-4F660082272B}"/>
    <cellStyle name="悪い" xfId="126" xr:uid="{F69DD0D1-F5B9-43E1-8FEA-49BE292D9603}"/>
    <cellStyle name="悪い 2" xfId="127" xr:uid="{C07ACB36-C2BF-453A-9358-185F014B625E}"/>
    <cellStyle name="一般_KMHK FY2008 時間当り採算 2007年4月 ( Month Plan )" xfId="128" xr:uid="{778D6392-E554-4615-BCBE-64D3AD191A53}"/>
    <cellStyle name="一般_設備投資金額一覽表" xfId="129" xr:uid="{8D195291-41AD-426D-B726-5A62532152B6}"/>
    <cellStyle name="計算" xfId="130" xr:uid="{6F5C4C80-375F-4666-BF76-EEC04DC98C7E}"/>
    <cellStyle name="計算 2" xfId="131" xr:uid="{E8B34AE7-261B-4AB3-89B5-740B093C2CE1}"/>
    <cellStyle name="警告文" xfId="132" xr:uid="{290E5CB7-DF2A-46B2-97C0-33601A355B30}"/>
    <cellStyle name="警告文 2" xfId="133" xr:uid="{15C1B7D8-F7FD-4606-BDE8-8DA46C2F32F4}"/>
    <cellStyle name="桁区切り [0.00] 2" xfId="134" xr:uid="{DAFBC7BF-BC33-4F96-9D87-B5F13D6B2631}"/>
    <cellStyle name="桁区切り [0.00] 2 2" xfId="135" xr:uid="{ADAE112F-8FCE-4D16-951D-2BA321CF9F3B}"/>
    <cellStyle name="桁区切り [0.00] 2 3" xfId="136" xr:uid="{4457748D-61C8-420E-9846-F4DD131B6210}"/>
    <cellStyle name="桁区切り 2" xfId="137" xr:uid="{F9091CE2-C61F-40E1-AE34-0F0BCF3D9DBC}"/>
    <cellStyle name="桁区切り 2 2" xfId="138" xr:uid="{810A73BD-5701-4617-93AB-EEBA30DBA0EE}"/>
    <cellStyle name="桁区切り 2 3" xfId="139" xr:uid="{C7CF742F-946C-4C68-A4FD-025CFEA41C29}"/>
    <cellStyle name="桁区切り 3" xfId="140" xr:uid="{4CC8CACC-3C51-425F-846D-47505D6EC958}"/>
    <cellStyle name="桁区切り 4" xfId="141" xr:uid="{BDCB1513-0D81-4DFD-9873-7009FDC88223}"/>
    <cellStyle name="桁区切り 5" xfId="142" xr:uid="{F5C02A89-00D6-47D9-8ED4-BB4E4EC96E51}"/>
    <cellStyle name="桁区切り 6" xfId="143" xr:uid="{DB890883-120C-48EA-9CD1-D6252EB6A33D}"/>
    <cellStyle name="見出し 1" xfId="144" xr:uid="{008A84CF-C33D-4CB0-BFB2-EED72FC67E8E}"/>
    <cellStyle name="見出し 1 2" xfId="145" xr:uid="{53A9C97E-1B21-4D8B-AB09-57DB05C8682E}"/>
    <cellStyle name="見出し 2" xfId="146" xr:uid="{7BD9B273-495F-44D8-88EE-FFB9324758FF}"/>
    <cellStyle name="見出し 2 2" xfId="147" xr:uid="{1A865227-FDD6-47FB-A5A5-0097B74658D9}"/>
    <cellStyle name="見出し 3" xfId="148" xr:uid="{2EEF272B-7B56-4177-8BE0-738F03A19E35}"/>
    <cellStyle name="見出し 3 2" xfId="149" xr:uid="{8C21855D-B1DE-469B-9535-45E56FD8D93F}"/>
    <cellStyle name="見出し 4" xfId="150" xr:uid="{8EB8FE9D-698D-4614-8CA3-E972D45EB212}"/>
    <cellStyle name="見出し 4 2" xfId="151" xr:uid="{0714E07A-8D42-479D-A440-CE7EFF5F18C1}"/>
    <cellStyle name="集計" xfId="152" xr:uid="{7FB6E6C0-34AB-449C-B42F-2B94261B1E38}"/>
    <cellStyle name="集計 2" xfId="153" xr:uid="{BFCDBC1E-CB3A-4179-9FDF-31D927DEE85D}"/>
    <cellStyle name="出力" xfId="154" xr:uid="{3C0951AB-D496-4231-81B0-BE594D5020E8}"/>
    <cellStyle name="出力 2" xfId="155" xr:uid="{405BE508-9C6D-4B35-BE90-45639522AEFA}"/>
    <cellStyle name="常规_総生産分析(0605-0606)" xfId="156" xr:uid="{5918AC58-E0A9-4651-9030-5FDEB77AC37C}"/>
    <cellStyle name="説明文" xfId="157" xr:uid="{BED0F12A-990A-42B1-8C98-78C437B3C0DF}"/>
    <cellStyle name="説明文 2" xfId="158" xr:uid="{E5858331-FB1E-4F78-9C33-1305E180D272}"/>
    <cellStyle name="通貨 2" xfId="159" xr:uid="{31611A0E-4F07-4498-B4E0-FD7077369C25}"/>
    <cellStyle name="通貨 3" xfId="160" xr:uid="{9BB8D89F-F2F2-4F71-956E-F5CF14CB7534}"/>
    <cellStyle name="入力" xfId="161" xr:uid="{C2DFFBC4-C404-48B1-90A3-87FE342B7747}"/>
    <cellStyle name="入力 2" xfId="162" xr:uid="{A412DD7B-43F2-4473-A9DA-F8B3E3E98E41}"/>
    <cellStyle name="標準 2" xfId="163" xr:uid="{45CD31A3-A69F-45E9-B761-A508978B448C}"/>
    <cellStyle name="標準 2 2" xfId="164" xr:uid="{D8F88423-13D6-4681-95A6-E906383E4B91}"/>
    <cellStyle name="標準 3" xfId="165" xr:uid="{4B041139-517A-4210-8381-E9AC991ED6F4}"/>
    <cellStyle name="標準 3 2" xfId="166" xr:uid="{20094C3E-A8C5-47C7-9CEC-3B487915C0C1}"/>
    <cellStyle name="標準 4" xfId="167" xr:uid="{B31E4CA2-773D-496B-A75F-6488CE43676C}"/>
    <cellStyle name="標準 4 2" xfId="168" xr:uid="{1334F87F-600F-4E0D-9428-9D4BB3CA926E}"/>
    <cellStyle name="標準_★予定用採算表フォーム（製造課用）" xfId="169" xr:uid="{3ECCAC35-166C-4AE8-8AB1-FF44D4B9C92D}"/>
    <cellStyle name="標準_03.2012 08 31 KDTVN採算表及集計表 FY2013_09（製技用）" xfId="170" xr:uid="{0F504DF9-E284-4B4A-9DD7-8AB3D63F8E8B}"/>
    <cellStyle name="標準_KDTVN 2012年9月1日付原価センタ" xfId="171" xr:uid="{2820F716-9605-4F17-8B6A-AEFD8811AAC4}"/>
    <cellStyle name="未定義" xfId="172" xr:uid="{733415D2-06C5-4E20-BD43-A9C469219456}"/>
    <cellStyle name="良い" xfId="173" xr:uid="{2D3E2A06-6074-41F4-99C2-5D3C62694F78}"/>
    <cellStyle name="良い 2" xfId="174" xr:uid="{D9973607-A1A0-40E7-8692-32D6D593E18F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FC4-E312-49B5-84E1-15B67FF61142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7" t="str">
        <f>'採算表(VND)'!C1</f>
        <v>MP FY2026_各予定</v>
      </c>
      <c r="D1" s="98"/>
      <c r="E1" s="98"/>
      <c r="F1" s="99"/>
      <c r="G1" s="99"/>
      <c r="H1" s="99"/>
      <c r="I1" s="98"/>
      <c r="J1" s="99"/>
      <c r="K1" s="98"/>
      <c r="L1" s="100"/>
      <c r="M1" s="98"/>
      <c r="N1" s="103">
        <f>'内訳ﾘｽﾄ(4～3月)'!B2</f>
        <v>25390</v>
      </c>
      <c r="O1" s="95"/>
    </row>
    <row r="2" spans="1:15" ht="14.25" customHeight="1" thickBot="1">
      <c r="B2" s="21" t="str">
        <f>'採算表(VND)'!B2</f>
        <v>MD2課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4"/>
      <c r="O2" s="52"/>
    </row>
    <row r="3" spans="1:15" ht="11.25" customHeight="1">
      <c r="C3" s="70"/>
      <c r="D3" s="70"/>
      <c r="E3" s="63"/>
      <c r="F3" s="70"/>
      <c r="G3" s="70"/>
      <c r="H3" s="63"/>
      <c r="I3" s="70"/>
      <c r="J3" s="63"/>
      <c r="K3" s="70"/>
      <c r="L3" s="70"/>
      <c r="M3" s="70"/>
      <c r="N3" s="70"/>
      <c r="O3" s="70"/>
    </row>
    <row r="4" spans="1:15">
      <c r="A4" s="24"/>
      <c r="B4" s="25" t="s">
        <v>71</v>
      </c>
      <c r="C4" s="69">
        <f>'採算表(VND)'!C4</f>
        <v>4</v>
      </c>
      <c r="D4" s="69">
        <f>'採算表(VND)'!D4</f>
        <v>5</v>
      </c>
      <c r="E4" s="69">
        <f>'採算表(VND)'!E4</f>
        <v>6</v>
      </c>
      <c r="F4" s="69">
        <f>'採算表(VND)'!F4</f>
        <v>7</v>
      </c>
      <c r="G4" s="69">
        <f>'採算表(VND)'!G4</f>
        <v>8</v>
      </c>
      <c r="H4" s="69">
        <f>'採算表(VND)'!H4</f>
        <v>9</v>
      </c>
      <c r="I4" s="69">
        <f>'採算表(VND)'!I4</f>
        <v>10</v>
      </c>
      <c r="J4" s="69">
        <f>'採算表(VND)'!J4</f>
        <v>11</v>
      </c>
      <c r="K4" s="69">
        <f>'採算表(VND)'!K4</f>
        <v>12</v>
      </c>
      <c r="L4" s="69">
        <f>'採算表(VND)'!L4</f>
        <v>1</v>
      </c>
      <c r="M4" s="69">
        <f>'採算表(VND)'!M4</f>
        <v>2</v>
      </c>
      <c r="N4" s="69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8">
        <f>C8+C9</f>
        <v>157155.64000000001</v>
      </c>
      <c r="D5" s="128">
        <f t="shared" ref="D5:O5" si="0">D8+D9</f>
        <v>47374.84</v>
      </c>
      <c r="E5" s="128">
        <f t="shared" si="0"/>
        <v>38917.660000000003</v>
      </c>
      <c r="F5" s="128">
        <f t="shared" si="0"/>
        <v>42405.74</v>
      </c>
      <c r="G5" s="128">
        <f t="shared" si="0"/>
        <v>44162.17</v>
      </c>
      <c r="H5" s="128">
        <f t="shared" si="0"/>
        <v>47317.94</v>
      </c>
      <c r="I5" s="128">
        <f t="shared" si="0"/>
        <v>45156.41</v>
      </c>
      <c r="J5" s="128">
        <f t="shared" si="0"/>
        <v>69216.13</v>
      </c>
      <c r="K5" s="128">
        <f t="shared" si="0"/>
        <v>71353.100000000006</v>
      </c>
      <c r="L5" s="128">
        <f t="shared" si="0"/>
        <v>71038.48</v>
      </c>
      <c r="M5" s="128">
        <f t="shared" si="0"/>
        <v>68944.97</v>
      </c>
      <c r="N5" s="128">
        <f t="shared" si="0"/>
        <v>69864.33</v>
      </c>
      <c r="O5" s="128">
        <f t="shared" si="0"/>
        <v>772907.40999999992</v>
      </c>
    </row>
    <row r="6" spans="1:15" ht="11.25" customHeight="1">
      <c r="A6" s="26"/>
      <c r="B6" s="29" t="s">
        <v>141</v>
      </c>
      <c r="C6" s="129">
        <f>ROUNDDOWN('採算表(VND)'!C6/$N$1,2)</f>
        <v>157155.64000000001</v>
      </c>
      <c r="D6" s="129">
        <f>ROUNDDOWN('採算表(VND)'!D6/$N$1,2)</f>
        <v>47374.84</v>
      </c>
      <c r="E6" s="129">
        <f>ROUNDDOWN('採算表(VND)'!E6/$N$1,2)</f>
        <v>38917.660000000003</v>
      </c>
      <c r="F6" s="129">
        <f>ROUNDDOWN('採算表(VND)'!F6/$N$1,2)</f>
        <v>42405.74</v>
      </c>
      <c r="G6" s="129">
        <f>ROUNDDOWN('採算表(VND)'!G6/$N$1,2)</f>
        <v>44162.17</v>
      </c>
      <c r="H6" s="129">
        <f>ROUNDDOWN('採算表(VND)'!H6/$N$1,2)</f>
        <v>47317.94</v>
      </c>
      <c r="I6" s="129">
        <f>ROUNDDOWN('採算表(VND)'!I6/$N$1,2)</f>
        <v>45156.41</v>
      </c>
      <c r="J6" s="129">
        <f>ROUNDDOWN('採算表(VND)'!J6/$N$1,2)</f>
        <v>69216.13</v>
      </c>
      <c r="K6" s="129">
        <f>ROUNDDOWN('採算表(VND)'!K6/$N$1,2)</f>
        <v>71353.100000000006</v>
      </c>
      <c r="L6" s="129">
        <f>ROUNDDOWN('採算表(VND)'!L6/$N$1,2)</f>
        <v>71038.48</v>
      </c>
      <c r="M6" s="129">
        <f>ROUNDDOWN('採算表(VND)'!M6/$N$1,2)</f>
        <v>68944.97</v>
      </c>
      <c r="N6" s="129">
        <f>ROUNDDOWN('採算表(VND)'!N6/$N$1,2)</f>
        <v>69864.33</v>
      </c>
      <c r="O6" s="129">
        <f>SUM(C6:N6)</f>
        <v>772907.40999999992</v>
      </c>
    </row>
    <row r="7" spans="1:15" ht="11.25" customHeight="1">
      <c r="A7" s="26"/>
      <c r="B7" s="30" t="s">
        <v>112</v>
      </c>
      <c r="C7" s="130">
        <f>ROUNDDOWN('採算表(VND)'!C7/$N$1,2)</f>
        <v>0</v>
      </c>
      <c r="D7" s="130">
        <f>ROUNDDOWN('採算表(VND)'!D7/$N$1,2)</f>
        <v>0</v>
      </c>
      <c r="E7" s="130">
        <f>ROUNDDOWN('採算表(VND)'!E7/$N$1,2)</f>
        <v>0</v>
      </c>
      <c r="F7" s="130">
        <f>ROUNDDOWN('採算表(VND)'!F7/$N$1,2)</f>
        <v>0</v>
      </c>
      <c r="G7" s="130">
        <f>ROUNDDOWN('採算表(VND)'!G7/$N$1,2)</f>
        <v>0</v>
      </c>
      <c r="H7" s="130">
        <f>ROUNDDOWN('採算表(VND)'!H7/$N$1,2)</f>
        <v>0</v>
      </c>
      <c r="I7" s="130">
        <f>ROUNDDOWN('採算表(VND)'!I7/$N$1,2)</f>
        <v>0</v>
      </c>
      <c r="J7" s="130">
        <f>ROUNDDOWN('採算表(VND)'!J7/$N$1,2)</f>
        <v>0</v>
      </c>
      <c r="K7" s="130">
        <f>ROUNDDOWN('採算表(VND)'!K7/$N$1,2)</f>
        <v>0</v>
      </c>
      <c r="L7" s="130">
        <f>ROUNDDOWN('採算表(VND)'!L7/$N$1,2)</f>
        <v>0</v>
      </c>
      <c r="M7" s="130">
        <f>ROUNDDOWN('採算表(VND)'!M7/$N$1,2)</f>
        <v>0</v>
      </c>
      <c r="N7" s="130">
        <f>ROUNDDOWN('採算表(VND)'!N7/$N$1,2)</f>
        <v>0</v>
      </c>
      <c r="O7" s="130">
        <f>SUM(C7:N7)</f>
        <v>0</v>
      </c>
    </row>
    <row r="8" spans="1:15" ht="11.25" customHeight="1">
      <c r="A8" s="26"/>
      <c r="B8" s="31" t="s">
        <v>85</v>
      </c>
      <c r="C8" s="131">
        <f t="shared" ref="C8:O8" si="1">C6+C7</f>
        <v>157155.64000000001</v>
      </c>
      <c r="D8" s="131">
        <f t="shared" si="1"/>
        <v>47374.84</v>
      </c>
      <c r="E8" s="131">
        <f t="shared" si="1"/>
        <v>38917.660000000003</v>
      </c>
      <c r="F8" s="131">
        <f t="shared" si="1"/>
        <v>42405.74</v>
      </c>
      <c r="G8" s="131">
        <f t="shared" si="1"/>
        <v>44162.17</v>
      </c>
      <c r="H8" s="131">
        <f t="shared" si="1"/>
        <v>47317.94</v>
      </c>
      <c r="I8" s="131">
        <f t="shared" si="1"/>
        <v>45156.41</v>
      </c>
      <c r="J8" s="131">
        <f t="shared" si="1"/>
        <v>69216.13</v>
      </c>
      <c r="K8" s="131">
        <f t="shared" si="1"/>
        <v>71353.100000000006</v>
      </c>
      <c r="L8" s="131">
        <f t="shared" si="1"/>
        <v>71038.48</v>
      </c>
      <c r="M8" s="131">
        <f t="shared" si="1"/>
        <v>68944.97</v>
      </c>
      <c r="N8" s="131">
        <f t="shared" si="1"/>
        <v>69864.33</v>
      </c>
      <c r="O8" s="131">
        <f t="shared" si="1"/>
        <v>772907.40999999992</v>
      </c>
    </row>
    <row r="9" spans="1:15" ht="11.25" customHeight="1">
      <c r="A9" s="26"/>
      <c r="B9" s="28" t="s">
        <v>73</v>
      </c>
      <c r="C9" s="132">
        <f>ROUNDDOWN('採算表(VND)'!C9/$N$1,2)</f>
        <v>0</v>
      </c>
      <c r="D9" s="132">
        <f>ROUNDDOWN('採算表(VND)'!D9/$N$1,2)</f>
        <v>0</v>
      </c>
      <c r="E9" s="132">
        <f>ROUNDDOWN('採算表(VND)'!E9/$N$1,2)</f>
        <v>0</v>
      </c>
      <c r="F9" s="132">
        <f>ROUNDDOWN('採算表(VND)'!F9/$N$1,2)</f>
        <v>0</v>
      </c>
      <c r="G9" s="132">
        <f>ROUNDDOWN('採算表(VND)'!G9/$N$1,2)</f>
        <v>0</v>
      </c>
      <c r="H9" s="132">
        <f>ROUNDDOWN('採算表(VND)'!H9/$N$1,2)</f>
        <v>0</v>
      </c>
      <c r="I9" s="132">
        <f>ROUNDDOWN('採算表(VND)'!I9/$N$1,2)</f>
        <v>0</v>
      </c>
      <c r="J9" s="132">
        <f>ROUNDDOWN('採算表(VND)'!J9/$N$1,2)</f>
        <v>0</v>
      </c>
      <c r="K9" s="132">
        <f>ROUNDDOWN('採算表(VND)'!K9/$N$1,2)</f>
        <v>0</v>
      </c>
      <c r="L9" s="132">
        <f>ROUNDDOWN('採算表(VND)'!L9/$N$1,2)</f>
        <v>0</v>
      </c>
      <c r="M9" s="132">
        <f>ROUNDDOWN('採算表(VND)'!M9/$N$1,2)</f>
        <v>0</v>
      </c>
      <c r="N9" s="132">
        <f>ROUNDDOWN('採算表(VND)'!N9/$N$1,2)</f>
        <v>0</v>
      </c>
      <c r="O9" s="132">
        <f>SUM(C9:N9)</f>
        <v>0</v>
      </c>
    </row>
    <row r="10" spans="1:15" ht="11.25" customHeight="1">
      <c r="A10" s="26"/>
      <c r="B10" s="28" t="s">
        <v>74</v>
      </c>
      <c r="C10" s="132">
        <f>ROUNDDOWN('採算表(VND)'!C10/$N$1,2)</f>
        <v>0</v>
      </c>
      <c r="D10" s="132">
        <f>ROUNDDOWN('採算表(VND)'!D10/$N$1,2)</f>
        <v>0</v>
      </c>
      <c r="E10" s="132">
        <f>ROUNDDOWN('採算表(VND)'!E10/$N$1,2)</f>
        <v>0</v>
      </c>
      <c r="F10" s="132">
        <f>ROUNDDOWN('採算表(VND)'!F10/$N$1,2)</f>
        <v>0</v>
      </c>
      <c r="G10" s="132">
        <f>ROUNDDOWN('採算表(VND)'!G10/$N$1,2)</f>
        <v>0</v>
      </c>
      <c r="H10" s="132">
        <f>ROUNDDOWN('採算表(VND)'!H10/$N$1,2)</f>
        <v>0</v>
      </c>
      <c r="I10" s="132">
        <f>ROUNDDOWN('採算表(VND)'!I10/$N$1,2)</f>
        <v>0</v>
      </c>
      <c r="J10" s="132">
        <f>ROUNDDOWN('採算表(VND)'!J10/$N$1,2)</f>
        <v>0</v>
      </c>
      <c r="K10" s="132">
        <f>ROUNDDOWN('採算表(VND)'!K10/$N$1,2)</f>
        <v>0</v>
      </c>
      <c r="L10" s="132">
        <f>ROUNDDOWN('採算表(VND)'!L10/$N$1,2)</f>
        <v>0</v>
      </c>
      <c r="M10" s="132">
        <f>ROUNDDOWN('採算表(VND)'!M10/$N$1,2)</f>
        <v>0</v>
      </c>
      <c r="N10" s="132">
        <f>ROUNDDOWN('採算表(VND)'!N10/$N$1,2)</f>
        <v>0</v>
      </c>
      <c r="O10" s="132">
        <f>SUM(C10:N10)</f>
        <v>0</v>
      </c>
    </row>
    <row r="11" spans="1:15" ht="1.5" customHeight="1">
      <c r="A11" s="26"/>
      <c r="B11" s="28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</row>
    <row r="12" spans="1:15" ht="11.25" customHeight="1">
      <c r="A12" s="33"/>
      <c r="B12" s="32" t="s">
        <v>75</v>
      </c>
      <c r="C12" s="133">
        <f>C5-C10</f>
        <v>157155.64000000001</v>
      </c>
      <c r="D12" s="133">
        <f t="shared" ref="D12:O12" si="2">D5-D10</f>
        <v>47374.84</v>
      </c>
      <c r="E12" s="133">
        <f t="shared" si="2"/>
        <v>38917.660000000003</v>
      </c>
      <c r="F12" s="133">
        <f t="shared" si="2"/>
        <v>42405.74</v>
      </c>
      <c r="G12" s="133">
        <f t="shared" si="2"/>
        <v>44162.17</v>
      </c>
      <c r="H12" s="133">
        <f t="shared" si="2"/>
        <v>47317.94</v>
      </c>
      <c r="I12" s="133">
        <f t="shared" si="2"/>
        <v>45156.41</v>
      </c>
      <c r="J12" s="133">
        <f t="shared" si="2"/>
        <v>69216.13</v>
      </c>
      <c r="K12" s="133">
        <f t="shared" si="2"/>
        <v>71353.100000000006</v>
      </c>
      <c r="L12" s="133">
        <f t="shared" si="2"/>
        <v>71038.48</v>
      </c>
      <c r="M12" s="133">
        <f t="shared" si="2"/>
        <v>68944.97</v>
      </c>
      <c r="N12" s="133">
        <f t="shared" si="2"/>
        <v>69864.33</v>
      </c>
      <c r="O12" s="133">
        <f t="shared" si="2"/>
        <v>772907.40999999992</v>
      </c>
    </row>
    <row r="13" spans="1:15" ht="11.25" customHeight="1">
      <c r="A13" s="26"/>
      <c r="B13" s="28" t="s">
        <v>76</v>
      </c>
      <c r="C13" s="132">
        <f>SUM(C14:C65)</f>
        <v>2526.44</v>
      </c>
      <c r="D13" s="132">
        <f t="shared" ref="D13:O13" si="3">SUM(D14:D65)</f>
        <v>3597.1800000000003</v>
      </c>
      <c r="E13" s="132">
        <f t="shared" si="3"/>
        <v>4226.84</v>
      </c>
      <c r="F13" s="132">
        <f t="shared" si="3"/>
        <v>3740.4900000000002</v>
      </c>
      <c r="G13" s="132">
        <f t="shared" si="3"/>
        <v>2300.77</v>
      </c>
      <c r="H13" s="132">
        <f t="shared" si="3"/>
        <v>2341.4</v>
      </c>
      <c r="I13" s="132">
        <f t="shared" si="3"/>
        <v>2886.6800000000003</v>
      </c>
      <c r="J13" s="132">
        <f t="shared" si="3"/>
        <v>2612.56</v>
      </c>
      <c r="K13" s="132">
        <f t="shared" si="3"/>
        <v>2627.46</v>
      </c>
      <c r="L13" s="132">
        <f t="shared" si="3"/>
        <v>2709.11</v>
      </c>
      <c r="M13" s="132">
        <f t="shared" si="3"/>
        <v>2048.12</v>
      </c>
      <c r="N13" s="132">
        <f t="shared" si="3"/>
        <v>2052.1</v>
      </c>
      <c r="O13" s="132">
        <f t="shared" si="3"/>
        <v>33669.15</v>
      </c>
    </row>
    <row r="14" spans="1:15" ht="11.25" customHeight="1">
      <c r="A14" s="34"/>
      <c r="B14" s="35" t="s">
        <v>101</v>
      </c>
      <c r="C14" s="134">
        <f>ROUNDUP('採算表(VND)'!C14/$N$1,2)</f>
        <v>0</v>
      </c>
      <c r="D14" s="134">
        <f>ROUNDUP('採算表(VND)'!D14/$N$1,2)</f>
        <v>0</v>
      </c>
      <c r="E14" s="134">
        <f>ROUNDUP('採算表(VND)'!E14/$N$1,2)</f>
        <v>0</v>
      </c>
      <c r="F14" s="134">
        <f>ROUNDUP('採算表(VND)'!F14/$N$1,2)</f>
        <v>0</v>
      </c>
      <c r="G14" s="134">
        <f>ROUNDUP('採算表(VND)'!G14/$N$1,2)</f>
        <v>0</v>
      </c>
      <c r="H14" s="134">
        <f>ROUNDUP('採算表(VND)'!H14/$N$1,2)</f>
        <v>0</v>
      </c>
      <c r="I14" s="134">
        <f>ROUNDUP('採算表(VND)'!I14/$N$1,2)</f>
        <v>0</v>
      </c>
      <c r="J14" s="134">
        <f>ROUNDUP('採算表(VND)'!J14/$N$1,2)</f>
        <v>0</v>
      </c>
      <c r="K14" s="134">
        <f>ROUNDUP('採算表(VND)'!K14/$N$1,2)</f>
        <v>0</v>
      </c>
      <c r="L14" s="134">
        <f>ROUNDUP('採算表(VND)'!L14/$N$1,2)</f>
        <v>0</v>
      </c>
      <c r="M14" s="134">
        <f>ROUNDUP('採算表(VND)'!M14/$N$1,2)</f>
        <v>0</v>
      </c>
      <c r="N14" s="134">
        <f>ROUNDUP('採算表(VND)'!N14/$N$1,2)</f>
        <v>0</v>
      </c>
      <c r="O14" s="134">
        <f t="shared" ref="O14:O65" si="4">SUM(C14:N14)</f>
        <v>0</v>
      </c>
    </row>
    <row r="15" spans="1:15" ht="11.25" customHeight="1">
      <c r="A15" s="34"/>
      <c r="B15" s="35" t="s">
        <v>124</v>
      </c>
      <c r="C15" s="134">
        <f>ROUNDUP('採算表(VND)'!C15/$N$1,2)</f>
        <v>0</v>
      </c>
      <c r="D15" s="134">
        <f>ROUNDUP('採算表(VND)'!D15/$N$1,2)</f>
        <v>0</v>
      </c>
      <c r="E15" s="134">
        <f>ROUNDUP('採算表(VND)'!E15/$N$1,2)</f>
        <v>0</v>
      </c>
      <c r="F15" s="134">
        <f>ROUNDUP('採算表(VND)'!F15/$N$1,2)</f>
        <v>0</v>
      </c>
      <c r="G15" s="134">
        <f>ROUNDUP('採算表(VND)'!G15/$N$1,2)</f>
        <v>0</v>
      </c>
      <c r="H15" s="134">
        <f>ROUNDUP('採算表(VND)'!H15/$N$1,2)</f>
        <v>0</v>
      </c>
      <c r="I15" s="134">
        <f>ROUNDUP('採算表(VND)'!I15/$N$1,2)</f>
        <v>0</v>
      </c>
      <c r="J15" s="134">
        <f>ROUNDUP('採算表(VND)'!J15/$N$1,2)</f>
        <v>0</v>
      </c>
      <c r="K15" s="134">
        <f>ROUNDUP('採算表(VND)'!K15/$N$1,2)</f>
        <v>0</v>
      </c>
      <c r="L15" s="134">
        <f>ROUNDUP('採算表(VND)'!L15/$N$1,2)</f>
        <v>0</v>
      </c>
      <c r="M15" s="134">
        <f>ROUNDUP('採算表(VND)'!M15/$N$1,2)</f>
        <v>0</v>
      </c>
      <c r="N15" s="134">
        <f>ROUNDUP('採算表(VND)'!N15/$N$1,2)</f>
        <v>0</v>
      </c>
      <c r="O15" s="134">
        <f t="shared" si="4"/>
        <v>0</v>
      </c>
    </row>
    <row r="16" spans="1:15" ht="11.25" customHeight="1">
      <c r="A16" s="34"/>
      <c r="B16" s="35" t="s">
        <v>120</v>
      </c>
      <c r="C16" s="134">
        <f>ROUNDUP('採算表(VND)'!C16/$N$1,2)</f>
        <v>0</v>
      </c>
      <c r="D16" s="134">
        <f>ROUNDUP('採算表(VND)'!D16/$N$1,2)</f>
        <v>0</v>
      </c>
      <c r="E16" s="134">
        <f>ROUNDUP('採算表(VND)'!E16/$N$1,2)</f>
        <v>0</v>
      </c>
      <c r="F16" s="134">
        <f>ROUNDUP('採算表(VND)'!F16/$N$1,2)</f>
        <v>0</v>
      </c>
      <c r="G16" s="134">
        <f>ROUNDUP('採算表(VND)'!G16/$N$1,2)</f>
        <v>0</v>
      </c>
      <c r="H16" s="134">
        <f>ROUNDUP('採算表(VND)'!H16/$N$1,2)</f>
        <v>0</v>
      </c>
      <c r="I16" s="134">
        <f>ROUNDUP('採算表(VND)'!I16/$N$1,2)</f>
        <v>0</v>
      </c>
      <c r="J16" s="134">
        <f>ROUNDUP('採算表(VND)'!J16/$N$1,2)</f>
        <v>0</v>
      </c>
      <c r="K16" s="134">
        <f>ROUNDUP('採算表(VND)'!K16/$N$1,2)</f>
        <v>0</v>
      </c>
      <c r="L16" s="134">
        <f>ROUNDUP('採算表(VND)'!L16/$N$1,2)</f>
        <v>0</v>
      </c>
      <c r="M16" s="134">
        <f>ROUNDUP('採算表(VND)'!M16/$N$1,2)</f>
        <v>0</v>
      </c>
      <c r="N16" s="134">
        <f>ROUNDUP('採算表(VND)'!N16/$N$1,2)</f>
        <v>0</v>
      </c>
      <c r="O16" s="134">
        <f t="shared" si="4"/>
        <v>0</v>
      </c>
    </row>
    <row r="17" spans="1:15" ht="11.25" customHeight="1">
      <c r="A17" s="34"/>
      <c r="B17" s="36" t="s">
        <v>102</v>
      </c>
      <c r="C17" s="135">
        <f>ROUNDUP('採算表(VND)'!C17/$N$1,2)</f>
        <v>0</v>
      </c>
      <c r="D17" s="135">
        <f>ROUNDUP('採算表(VND)'!D17/$N$1,2)</f>
        <v>0</v>
      </c>
      <c r="E17" s="135">
        <f>ROUNDUP('採算表(VND)'!E17/$N$1,2)</f>
        <v>0</v>
      </c>
      <c r="F17" s="135">
        <f>ROUNDUP('採算表(VND)'!F17/$N$1,2)</f>
        <v>0</v>
      </c>
      <c r="G17" s="135">
        <f>ROUNDUP('採算表(VND)'!G17/$N$1,2)</f>
        <v>0</v>
      </c>
      <c r="H17" s="135">
        <f>ROUNDUP('採算表(VND)'!H17/$N$1,2)</f>
        <v>0</v>
      </c>
      <c r="I17" s="135">
        <f>ROUNDUP('採算表(VND)'!I17/$N$1,2)</f>
        <v>0</v>
      </c>
      <c r="J17" s="135">
        <f>ROUNDUP('採算表(VND)'!J17/$N$1,2)</f>
        <v>0</v>
      </c>
      <c r="K17" s="135">
        <f>ROUNDUP('採算表(VND)'!K17/$N$1,2)</f>
        <v>0</v>
      </c>
      <c r="L17" s="135">
        <f>ROUNDUP('採算表(VND)'!L17/$N$1,2)</f>
        <v>0</v>
      </c>
      <c r="M17" s="135">
        <f>ROUNDUP('採算表(VND)'!M17/$N$1,2)</f>
        <v>0</v>
      </c>
      <c r="N17" s="135">
        <f>ROUNDUP('採算表(VND)'!N17/$N$1,2)</f>
        <v>0</v>
      </c>
      <c r="O17" s="135">
        <f t="shared" si="4"/>
        <v>0</v>
      </c>
    </row>
    <row r="18" spans="1:15" ht="11.25" customHeight="1">
      <c r="A18" s="34"/>
      <c r="B18" s="36" t="s">
        <v>37</v>
      </c>
      <c r="C18" s="135">
        <f>ROUNDUP('採算表(VND)'!C18/$N$1,2)</f>
        <v>0</v>
      </c>
      <c r="D18" s="135">
        <f>ROUNDUP('採算表(VND)'!D18/$N$1,2)</f>
        <v>0</v>
      </c>
      <c r="E18" s="135">
        <f>ROUNDUP('採算表(VND)'!E18/$N$1,2)</f>
        <v>0</v>
      </c>
      <c r="F18" s="135">
        <f>ROUNDUP('採算表(VND)'!F18/$N$1,2)</f>
        <v>0</v>
      </c>
      <c r="G18" s="135">
        <f>ROUNDUP('採算表(VND)'!G18/$N$1,2)</f>
        <v>0</v>
      </c>
      <c r="H18" s="135">
        <f>ROUNDUP('採算表(VND)'!H18/$N$1,2)</f>
        <v>0</v>
      </c>
      <c r="I18" s="135">
        <f>ROUNDUP('採算表(VND)'!I18/$N$1,2)</f>
        <v>0</v>
      </c>
      <c r="J18" s="135">
        <f>ROUNDUP('採算表(VND)'!J18/$N$1,2)</f>
        <v>0</v>
      </c>
      <c r="K18" s="135">
        <f>ROUNDUP('採算表(VND)'!K18/$N$1,2)</f>
        <v>0</v>
      </c>
      <c r="L18" s="135">
        <f>ROUNDUP('採算表(VND)'!L18/$N$1,2)</f>
        <v>0</v>
      </c>
      <c r="M18" s="135">
        <f>ROUNDUP('採算表(VND)'!M18/$N$1,2)</f>
        <v>0</v>
      </c>
      <c r="N18" s="135">
        <f>ROUNDUP('採算表(VND)'!N18/$N$1,2)</f>
        <v>0</v>
      </c>
      <c r="O18" s="135">
        <f t="shared" si="4"/>
        <v>0</v>
      </c>
    </row>
    <row r="19" spans="1:15" ht="11.25" customHeight="1">
      <c r="A19" s="34"/>
      <c r="B19" s="36" t="s">
        <v>43</v>
      </c>
      <c r="C19" s="135">
        <f>ROUNDUP('採算表(VND)'!C19/$N$1,2)</f>
        <v>0</v>
      </c>
      <c r="D19" s="135">
        <f>ROUNDUP('採算表(VND)'!D19/$N$1,2)</f>
        <v>0</v>
      </c>
      <c r="E19" s="135">
        <f>ROUNDUP('採算表(VND)'!E19/$N$1,2)</f>
        <v>0</v>
      </c>
      <c r="F19" s="135">
        <f>ROUNDUP('採算表(VND)'!F19/$N$1,2)</f>
        <v>0</v>
      </c>
      <c r="G19" s="135">
        <f>ROUNDUP('採算表(VND)'!G19/$N$1,2)</f>
        <v>0</v>
      </c>
      <c r="H19" s="135">
        <f>ROUNDUP('採算表(VND)'!H19/$N$1,2)</f>
        <v>0</v>
      </c>
      <c r="I19" s="135">
        <f>ROUNDUP('採算表(VND)'!I19/$N$1,2)</f>
        <v>0</v>
      </c>
      <c r="J19" s="135">
        <f>ROUNDUP('採算表(VND)'!J19/$N$1,2)</f>
        <v>0</v>
      </c>
      <c r="K19" s="135">
        <f>ROUNDUP('採算表(VND)'!K19/$N$1,2)</f>
        <v>0</v>
      </c>
      <c r="L19" s="135">
        <f>ROUNDUP('採算表(VND)'!L19/$N$1,2)</f>
        <v>0</v>
      </c>
      <c r="M19" s="135">
        <f>ROUNDUP('採算表(VND)'!M19/$N$1,2)</f>
        <v>0</v>
      </c>
      <c r="N19" s="135">
        <f>ROUNDUP('採算表(VND)'!N19/$N$1,2)</f>
        <v>0</v>
      </c>
      <c r="O19" s="135">
        <f t="shared" si="4"/>
        <v>0</v>
      </c>
    </row>
    <row r="20" spans="1:15" ht="11.25" customHeight="1">
      <c r="A20" s="34"/>
      <c r="B20" s="36" t="s">
        <v>45</v>
      </c>
      <c r="C20" s="135">
        <f>ROUNDUP('採算表(VND)'!C20/$N$1,2)</f>
        <v>130.87</v>
      </c>
      <c r="D20" s="135">
        <f>ROUNDUP('採算表(VND)'!D20/$N$1,2)</f>
        <v>130.85999999999999</v>
      </c>
      <c r="E20" s="135">
        <f>ROUNDUP('採算表(VND)'!E20/$N$1,2)</f>
        <v>136.5</v>
      </c>
      <c r="F20" s="135">
        <f>ROUNDUP('採算表(VND)'!F20/$N$1,2)</f>
        <v>136.91999999999999</v>
      </c>
      <c r="G20" s="135">
        <f>ROUNDUP('採算表(VND)'!G20/$N$1,2)</f>
        <v>110.32000000000001</v>
      </c>
      <c r="H20" s="135">
        <f>ROUNDUP('採算表(VND)'!H20/$N$1,2)</f>
        <v>109.12</v>
      </c>
      <c r="I20" s="135">
        <f>ROUNDUP('採算表(VND)'!I20/$N$1,2)</f>
        <v>109.12</v>
      </c>
      <c r="J20" s="135">
        <f>ROUNDUP('採算表(VND)'!J20/$N$1,2)</f>
        <v>109.12</v>
      </c>
      <c r="K20" s="135">
        <f>ROUNDUP('採算表(VND)'!K20/$N$1,2)</f>
        <v>108.78</v>
      </c>
      <c r="L20" s="135">
        <f>ROUNDUP('採算表(VND)'!L20/$N$1,2)</f>
        <v>108.73</v>
      </c>
      <c r="M20" s="135">
        <f>ROUNDUP('採算表(VND)'!M20/$N$1,2)</f>
        <v>108.73</v>
      </c>
      <c r="N20" s="135">
        <f>ROUNDUP('採算表(VND)'!N20/$N$1,2)</f>
        <v>109.49000000000001</v>
      </c>
      <c r="O20" s="135">
        <f t="shared" si="4"/>
        <v>1408.5600000000002</v>
      </c>
    </row>
    <row r="21" spans="1:15" ht="11.25" customHeight="1">
      <c r="A21" s="34"/>
      <c r="B21" s="36" t="s">
        <v>46</v>
      </c>
      <c r="C21" s="135">
        <f>ROUNDUP('採算表(VND)'!C21/$N$1,2)</f>
        <v>0</v>
      </c>
      <c r="D21" s="135">
        <f>ROUNDUP('採算表(VND)'!D21/$N$1,2)</f>
        <v>0</v>
      </c>
      <c r="E21" s="135">
        <f>ROUNDUP('採算表(VND)'!E21/$N$1,2)</f>
        <v>0</v>
      </c>
      <c r="F21" s="135">
        <f>ROUNDUP('採算表(VND)'!F21/$N$1,2)</f>
        <v>0</v>
      </c>
      <c r="G21" s="135">
        <f>ROUNDUP('採算表(VND)'!G21/$N$1,2)</f>
        <v>0</v>
      </c>
      <c r="H21" s="135">
        <f>ROUNDUP('採算表(VND)'!H21/$N$1,2)</f>
        <v>0</v>
      </c>
      <c r="I21" s="135">
        <f>ROUNDUP('採算表(VND)'!I21/$N$1,2)</f>
        <v>0</v>
      </c>
      <c r="J21" s="135">
        <f>ROUNDUP('採算表(VND)'!J21/$N$1,2)</f>
        <v>0</v>
      </c>
      <c r="K21" s="135">
        <f>ROUNDUP('採算表(VND)'!K21/$N$1,2)</f>
        <v>0</v>
      </c>
      <c r="L21" s="135">
        <f>ROUNDUP('採算表(VND)'!L21/$N$1,2)</f>
        <v>0</v>
      </c>
      <c r="M21" s="135">
        <f>ROUNDUP('採算表(VND)'!M21/$N$1,2)</f>
        <v>0</v>
      </c>
      <c r="N21" s="135">
        <f>ROUNDUP('採算表(VND)'!N21/$N$1,2)</f>
        <v>0</v>
      </c>
      <c r="O21" s="135">
        <f t="shared" si="4"/>
        <v>0</v>
      </c>
    </row>
    <row r="22" spans="1:15" ht="11.25" customHeight="1">
      <c r="A22" s="34"/>
      <c r="B22" s="36" t="s">
        <v>47</v>
      </c>
      <c r="C22" s="135">
        <f>ROUNDUP('採算表(VND)'!C22/$N$1,2)</f>
        <v>0</v>
      </c>
      <c r="D22" s="135">
        <f>ROUNDUP('採算表(VND)'!D22/$N$1,2)</f>
        <v>0</v>
      </c>
      <c r="E22" s="135">
        <f>ROUNDUP('採算表(VND)'!E22/$N$1,2)</f>
        <v>0</v>
      </c>
      <c r="F22" s="135">
        <f>ROUNDUP('採算表(VND)'!F22/$N$1,2)</f>
        <v>0</v>
      </c>
      <c r="G22" s="135">
        <f>ROUNDUP('採算表(VND)'!G22/$N$1,2)</f>
        <v>0</v>
      </c>
      <c r="H22" s="135">
        <f>ROUNDUP('採算表(VND)'!H22/$N$1,2)</f>
        <v>0</v>
      </c>
      <c r="I22" s="135">
        <f>ROUNDUP('採算表(VND)'!I22/$N$1,2)</f>
        <v>0</v>
      </c>
      <c r="J22" s="135">
        <f>ROUNDUP('採算表(VND)'!J22/$N$1,2)</f>
        <v>0</v>
      </c>
      <c r="K22" s="135">
        <f>ROUNDUP('採算表(VND)'!K22/$N$1,2)</f>
        <v>0</v>
      </c>
      <c r="L22" s="135">
        <f>ROUNDUP('採算表(VND)'!L22/$N$1,2)</f>
        <v>0</v>
      </c>
      <c r="M22" s="135">
        <f>ROUNDUP('採算表(VND)'!M22/$N$1,2)</f>
        <v>0</v>
      </c>
      <c r="N22" s="135">
        <f>ROUNDUP('採算表(VND)'!N22/$N$1,2)</f>
        <v>0</v>
      </c>
      <c r="O22" s="135">
        <f t="shared" si="4"/>
        <v>0</v>
      </c>
    </row>
    <row r="23" spans="1:15" ht="11.25" customHeight="1">
      <c r="A23" s="34"/>
      <c r="B23" s="36" t="s">
        <v>49</v>
      </c>
      <c r="C23" s="135">
        <f>ROUNDUP('採算表(VND)'!C23/$N$1,2)</f>
        <v>0</v>
      </c>
      <c r="D23" s="135">
        <f>ROUNDUP('採算表(VND)'!D23/$N$1,2)</f>
        <v>0</v>
      </c>
      <c r="E23" s="135">
        <f>ROUNDUP('採算表(VND)'!E23/$N$1,2)</f>
        <v>0</v>
      </c>
      <c r="F23" s="135">
        <f>ROUNDUP('採算表(VND)'!F23/$N$1,2)</f>
        <v>0</v>
      </c>
      <c r="G23" s="135">
        <f>ROUNDUP('採算表(VND)'!G23/$N$1,2)</f>
        <v>0</v>
      </c>
      <c r="H23" s="135">
        <f>ROUNDUP('採算表(VND)'!H23/$N$1,2)</f>
        <v>0</v>
      </c>
      <c r="I23" s="135">
        <f>ROUNDUP('採算表(VND)'!I23/$N$1,2)</f>
        <v>0</v>
      </c>
      <c r="J23" s="135">
        <f>ROUNDUP('採算表(VND)'!J23/$N$1,2)</f>
        <v>0</v>
      </c>
      <c r="K23" s="135">
        <f>ROUNDUP('採算表(VND)'!K23/$N$1,2)</f>
        <v>0</v>
      </c>
      <c r="L23" s="135">
        <f>ROUNDUP('採算表(VND)'!L23/$N$1,2)</f>
        <v>0</v>
      </c>
      <c r="M23" s="135">
        <f>ROUNDUP('採算表(VND)'!M23/$N$1,2)</f>
        <v>0</v>
      </c>
      <c r="N23" s="135">
        <f>ROUNDUP('採算表(VND)'!N23/$N$1,2)</f>
        <v>0</v>
      </c>
      <c r="O23" s="135">
        <f t="shared" si="4"/>
        <v>0</v>
      </c>
    </row>
    <row r="24" spans="1:15" ht="11.25" customHeight="1">
      <c r="A24" s="34"/>
      <c r="B24" s="36" t="s">
        <v>52</v>
      </c>
      <c r="C24" s="135">
        <f>ROUNDUP('採算表(VND)'!C24/$N$1,2)</f>
        <v>0</v>
      </c>
      <c r="D24" s="135">
        <f>ROUNDUP('採算表(VND)'!D24/$N$1,2)</f>
        <v>0</v>
      </c>
      <c r="E24" s="135">
        <f>ROUNDUP('採算表(VND)'!E24/$N$1,2)</f>
        <v>0</v>
      </c>
      <c r="F24" s="135">
        <f>ROUNDUP('採算表(VND)'!F24/$N$1,2)</f>
        <v>0</v>
      </c>
      <c r="G24" s="135">
        <f>ROUNDUP('採算表(VND)'!G24/$N$1,2)</f>
        <v>0</v>
      </c>
      <c r="H24" s="135">
        <f>ROUNDUP('採算表(VND)'!H24/$N$1,2)</f>
        <v>0</v>
      </c>
      <c r="I24" s="135">
        <f>ROUNDUP('採算表(VND)'!I24/$N$1,2)</f>
        <v>0</v>
      </c>
      <c r="J24" s="135">
        <f>ROUNDUP('採算表(VND)'!J24/$N$1,2)</f>
        <v>0</v>
      </c>
      <c r="K24" s="135">
        <f>ROUNDUP('採算表(VND)'!K24/$N$1,2)</f>
        <v>0</v>
      </c>
      <c r="L24" s="135">
        <f>ROUNDUP('採算表(VND)'!L24/$N$1,2)</f>
        <v>0</v>
      </c>
      <c r="M24" s="135">
        <f>ROUNDUP('採算表(VND)'!M24/$N$1,2)</f>
        <v>0</v>
      </c>
      <c r="N24" s="135">
        <f>ROUNDUP('採算表(VND)'!N24/$N$1,2)</f>
        <v>0</v>
      </c>
      <c r="O24" s="135">
        <f t="shared" si="4"/>
        <v>0</v>
      </c>
    </row>
    <row r="25" spans="1:15" ht="11.25" customHeight="1">
      <c r="A25" s="34"/>
      <c r="B25" s="36" t="s">
        <v>55</v>
      </c>
      <c r="C25" s="135">
        <f>ROUNDUP('採算表(VND)'!C25/$N$1,2)</f>
        <v>6.62</v>
      </c>
      <c r="D25" s="135">
        <f>ROUNDUP('採算表(VND)'!D25/$N$1,2)</f>
        <v>7.2799999999999994</v>
      </c>
      <c r="E25" s="135">
        <f>ROUNDUP('採算表(VND)'!E25/$N$1,2)</f>
        <v>6.95</v>
      </c>
      <c r="F25" s="135">
        <f>ROUNDUP('採算表(VND)'!F25/$N$1,2)</f>
        <v>7.9799999999999995</v>
      </c>
      <c r="G25" s="135">
        <f>ROUNDUP('採算表(VND)'!G25/$N$1,2)</f>
        <v>7.63</v>
      </c>
      <c r="H25" s="135">
        <f>ROUNDUP('採算表(VND)'!H25/$N$1,2)</f>
        <v>6.26</v>
      </c>
      <c r="I25" s="135">
        <f>ROUNDUP('採算表(VND)'!I25/$N$1,2)</f>
        <v>9.7200000000000006</v>
      </c>
      <c r="J25" s="135">
        <f>ROUNDUP('採算表(VND)'!J25/$N$1,2)</f>
        <v>8.89</v>
      </c>
      <c r="K25" s="135">
        <f>ROUNDUP('採算表(VND)'!K25/$N$1,2)</f>
        <v>8.48</v>
      </c>
      <c r="L25" s="135">
        <f>ROUNDUP('採算表(VND)'!L25/$N$1,2)</f>
        <v>7.22</v>
      </c>
      <c r="M25" s="135">
        <f>ROUNDUP('採算表(VND)'!M25/$N$1,2)</f>
        <v>8.0499999999999989</v>
      </c>
      <c r="N25" s="135">
        <f>ROUNDUP('採算表(VND)'!N25/$N$1,2)</f>
        <v>8.49</v>
      </c>
      <c r="O25" s="135">
        <f t="shared" si="4"/>
        <v>93.57</v>
      </c>
    </row>
    <row r="26" spans="1:15" ht="11.25" customHeight="1">
      <c r="A26" s="34"/>
      <c r="B26" s="37" t="s">
        <v>104</v>
      </c>
      <c r="C26" s="135">
        <f>ROUNDUP('採算表(VND)'!C26/$N$1,2)</f>
        <v>0</v>
      </c>
      <c r="D26" s="135">
        <f>ROUNDUP('採算表(VND)'!D26/$N$1,2)</f>
        <v>0</v>
      </c>
      <c r="E26" s="135">
        <f>ROUNDUP('採算表(VND)'!E26/$N$1,2)</f>
        <v>1969.28</v>
      </c>
      <c r="F26" s="135">
        <f>ROUNDUP('採算表(VND)'!F26/$N$1,2)</f>
        <v>0</v>
      </c>
      <c r="G26" s="135">
        <f>ROUNDUP('採算表(VND)'!G26/$N$1,2)</f>
        <v>0</v>
      </c>
      <c r="H26" s="135">
        <f>ROUNDUP('採算表(VND)'!H26/$N$1,2)</f>
        <v>0</v>
      </c>
      <c r="I26" s="135">
        <f>ROUNDUP('採算表(VND)'!I26/$N$1,2)</f>
        <v>0</v>
      </c>
      <c r="J26" s="135">
        <f>ROUNDUP('採算表(VND)'!J26/$N$1,2)</f>
        <v>0</v>
      </c>
      <c r="K26" s="135">
        <f>ROUNDUP('採算表(VND)'!K26/$N$1,2)</f>
        <v>0</v>
      </c>
      <c r="L26" s="135">
        <f>ROUNDUP('採算表(VND)'!L26/$N$1,2)</f>
        <v>0</v>
      </c>
      <c r="M26" s="135">
        <f>ROUNDUP('採算表(VND)'!M26/$N$1,2)</f>
        <v>0</v>
      </c>
      <c r="N26" s="135">
        <f>ROUNDUP('採算表(VND)'!N26/$N$1,2)</f>
        <v>0</v>
      </c>
      <c r="O26" s="135">
        <f t="shared" si="4"/>
        <v>1969.28</v>
      </c>
    </row>
    <row r="27" spans="1:15" ht="11.25" customHeight="1">
      <c r="A27" s="34"/>
      <c r="B27" s="37" t="s">
        <v>54</v>
      </c>
      <c r="C27" s="135">
        <f>ROUNDUP('採算表(VND)'!C27/$N$1,2)</f>
        <v>0</v>
      </c>
      <c r="D27" s="135">
        <f>ROUNDUP('採算表(VND)'!D27/$N$1,2)</f>
        <v>0</v>
      </c>
      <c r="E27" s="135">
        <f>ROUNDUP('採算表(VND)'!E27/$N$1,2)</f>
        <v>0</v>
      </c>
      <c r="F27" s="135">
        <f>ROUNDUP('採算表(VND)'!F27/$N$1,2)</f>
        <v>0</v>
      </c>
      <c r="G27" s="135">
        <f>ROUNDUP('採算表(VND)'!G27/$N$1,2)</f>
        <v>0</v>
      </c>
      <c r="H27" s="135">
        <f>ROUNDUP('採算表(VND)'!H27/$N$1,2)</f>
        <v>0</v>
      </c>
      <c r="I27" s="135">
        <f>ROUNDUP('採算表(VND)'!I27/$N$1,2)</f>
        <v>0</v>
      </c>
      <c r="J27" s="135">
        <f>ROUNDUP('採算表(VND)'!J27/$N$1,2)</f>
        <v>0</v>
      </c>
      <c r="K27" s="135">
        <f>ROUNDUP('採算表(VND)'!K27/$N$1,2)</f>
        <v>0</v>
      </c>
      <c r="L27" s="135">
        <f>ROUNDUP('採算表(VND)'!L27/$N$1,2)</f>
        <v>0</v>
      </c>
      <c r="M27" s="135">
        <f>ROUNDUP('採算表(VND)'!M27/$N$1,2)</f>
        <v>0</v>
      </c>
      <c r="N27" s="135">
        <f>ROUNDUP('採算表(VND)'!N27/$N$1,2)</f>
        <v>0</v>
      </c>
      <c r="O27" s="135">
        <f t="shared" si="4"/>
        <v>0</v>
      </c>
    </row>
    <row r="28" spans="1:15" ht="11.25" customHeight="1">
      <c r="A28" s="34"/>
      <c r="B28" s="37" t="s">
        <v>56</v>
      </c>
      <c r="C28" s="135">
        <f>ROUNDUP('採算表(VND)'!C28/$N$1,2)</f>
        <v>0</v>
      </c>
      <c r="D28" s="135">
        <f>ROUNDUP('採算表(VND)'!D28/$N$1,2)</f>
        <v>0</v>
      </c>
      <c r="E28" s="135">
        <f>ROUNDUP('採算表(VND)'!E28/$N$1,2)</f>
        <v>0</v>
      </c>
      <c r="F28" s="135">
        <f>ROUNDUP('採算表(VND)'!F28/$N$1,2)</f>
        <v>0</v>
      </c>
      <c r="G28" s="135">
        <f>ROUNDUP('採算表(VND)'!G28/$N$1,2)</f>
        <v>0</v>
      </c>
      <c r="H28" s="135">
        <f>ROUNDUP('採算表(VND)'!H28/$N$1,2)</f>
        <v>0</v>
      </c>
      <c r="I28" s="135">
        <f>ROUNDUP('採算表(VND)'!I28/$N$1,2)</f>
        <v>0</v>
      </c>
      <c r="J28" s="135">
        <f>ROUNDUP('採算表(VND)'!J28/$N$1,2)</f>
        <v>0</v>
      </c>
      <c r="K28" s="135">
        <f>ROUNDUP('採算表(VND)'!K28/$N$1,2)</f>
        <v>0</v>
      </c>
      <c r="L28" s="135">
        <f>ROUNDUP('採算表(VND)'!L28/$N$1,2)</f>
        <v>0</v>
      </c>
      <c r="M28" s="135">
        <f>ROUNDUP('採算表(VND)'!M28/$N$1,2)</f>
        <v>0</v>
      </c>
      <c r="N28" s="135">
        <f>ROUNDUP('採算表(VND)'!N28/$N$1,2)</f>
        <v>0</v>
      </c>
      <c r="O28" s="135">
        <f t="shared" si="4"/>
        <v>0</v>
      </c>
    </row>
    <row r="29" spans="1:15" ht="11.25" customHeight="1">
      <c r="A29" s="34"/>
      <c r="B29" s="37" t="s">
        <v>57</v>
      </c>
      <c r="C29" s="135">
        <f>ROUNDUP('採算表(VND)'!C29/$N$1,2)</f>
        <v>0</v>
      </c>
      <c r="D29" s="135">
        <f>ROUNDUP('採算表(VND)'!D29/$N$1,2)</f>
        <v>0</v>
      </c>
      <c r="E29" s="135">
        <f>ROUNDUP('採算表(VND)'!E29/$N$1,2)</f>
        <v>0</v>
      </c>
      <c r="F29" s="135">
        <f>ROUNDUP('採算表(VND)'!F29/$N$1,2)</f>
        <v>0</v>
      </c>
      <c r="G29" s="135">
        <f>ROUNDUP('採算表(VND)'!G29/$N$1,2)</f>
        <v>0</v>
      </c>
      <c r="H29" s="135">
        <f>ROUNDUP('採算表(VND)'!H29/$N$1,2)</f>
        <v>0</v>
      </c>
      <c r="I29" s="135">
        <f>ROUNDUP('採算表(VND)'!I29/$N$1,2)</f>
        <v>0</v>
      </c>
      <c r="J29" s="135">
        <f>ROUNDUP('採算表(VND)'!J29/$N$1,2)</f>
        <v>0</v>
      </c>
      <c r="K29" s="135">
        <f>ROUNDUP('採算表(VND)'!K29/$N$1,2)</f>
        <v>0</v>
      </c>
      <c r="L29" s="135">
        <f>ROUNDUP('採算表(VND)'!L29/$N$1,2)</f>
        <v>0</v>
      </c>
      <c r="M29" s="135">
        <f>ROUNDUP('採算表(VND)'!M29/$N$1,2)</f>
        <v>0</v>
      </c>
      <c r="N29" s="135">
        <f>ROUNDUP('採算表(VND)'!N29/$N$1,2)</f>
        <v>0</v>
      </c>
      <c r="O29" s="135">
        <f t="shared" si="4"/>
        <v>0</v>
      </c>
    </row>
    <row r="30" spans="1:15" ht="11.25" customHeight="1">
      <c r="A30" s="34"/>
      <c r="B30" s="37" t="s">
        <v>97</v>
      </c>
      <c r="C30" s="135">
        <f>ROUNDUP('採算表(VND)'!C30/$N$1,2)</f>
        <v>62.059999999999995</v>
      </c>
      <c r="D30" s="135">
        <f>ROUNDUP('採算表(VND)'!D30/$N$1,2)</f>
        <v>61.339999999999996</v>
      </c>
      <c r="E30" s="135">
        <f>ROUNDUP('採算表(VND)'!E30/$N$1,2)</f>
        <v>62.199999999999996</v>
      </c>
      <c r="F30" s="135">
        <f>ROUNDUP('採算表(VND)'!F30/$N$1,2)</f>
        <v>62.489999999999995</v>
      </c>
      <c r="G30" s="135">
        <f>ROUNDUP('採算表(VND)'!G30/$N$1,2)</f>
        <v>64.11</v>
      </c>
      <c r="H30" s="135">
        <f>ROUNDUP('採算表(VND)'!H30/$N$1,2)</f>
        <v>64.36</v>
      </c>
      <c r="I30" s="135">
        <f>ROUNDUP('採算表(VND)'!I30/$N$1,2)</f>
        <v>64.5</v>
      </c>
      <c r="J30" s="135">
        <f>ROUNDUP('採算表(VND)'!J30/$N$1,2)</f>
        <v>63.18</v>
      </c>
      <c r="K30" s="135">
        <f>ROUNDUP('採算表(VND)'!K30/$N$1,2)</f>
        <v>66.410000000000011</v>
      </c>
      <c r="L30" s="135">
        <f>ROUNDUP('採算表(VND)'!L30/$N$1,2)</f>
        <v>47.26</v>
      </c>
      <c r="M30" s="135">
        <f>ROUNDUP('採算表(VND)'!M30/$N$1,2)</f>
        <v>47.71</v>
      </c>
      <c r="N30" s="135">
        <f>ROUNDUP('採算表(VND)'!N30/$N$1,2)</f>
        <v>49.76</v>
      </c>
      <c r="O30" s="135">
        <f t="shared" si="4"/>
        <v>715.38</v>
      </c>
    </row>
    <row r="31" spans="1:15" ht="11.25" customHeight="1">
      <c r="A31" s="34"/>
      <c r="B31" s="37" t="s">
        <v>59</v>
      </c>
      <c r="C31" s="135">
        <f>ROUNDUP('採算表(VND)'!C31/$N$1,2)</f>
        <v>0</v>
      </c>
      <c r="D31" s="135">
        <f>ROUNDUP('採算表(VND)'!D31/$N$1,2)</f>
        <v>0</v>
      </c>
      <c r="E31" s="135">
        <f>ROUNDUP('採算表(VND)'!E31/$N$1,2)</f>
        <v>0</v>
      </c>
      <c r="F31" s="135">
        <f>ROUNDUP('採算表(VND)'!F31/$N$1,2)</f>
        <v>0</v>
      </c>
      <c r="G31" s="135">
        <f>ROUNDUP('採算表(VND)'!G31/$N$1,2)</f>
        <v>0</v>
      </c>
      <c r="H31" s="135">
        <f>ROUNDUP('採算表(VND)'!H31/$N$1,2)</f>
        <v>0</v>
      </c>
      <c r="I31" s="135">
        <f>ROUNDUP('採算表(VND)'!I31/$N$1,2)</f>
        <v>0</v>
      </c>
      <c r="J31" s="135">
        <f>ROUNDUP('採算表(VND)'!J31/$N$1,2)</f>
        <v>0</v>
      </c>
      <c r="K31" s="135">
        <f>ROUNDUP('採算表(VND)'!K31/$N$1,2)</f>
        <v>0</v>
      </c>
      <c r="L31" s="135">
        <f>ROUNDUP('採算表(VND)'!L31/$N$1,2)</f>
        <v>0</v>
      </c>
      <c r="M31" s="135">
        <f>ROUNDUP('採算表(VND)'!M31/$N$1,2)</f>
        <v>0</v>
      </c>
      <c r="N31" s="135">
        <f>ROUNDUP('採算表(VND)'!N31/$N$1,2)</f>
        <v>0</v>
      </c>
      <c r="O31" s="135">
        <f t="shared" si="4"/>
        <v>0</v>
      </c>
    </row>
    <row r="32" spans="1:15" ht="11.25" customHeight="1">
      <c r="A32" s="38"/>
      <c r="B32" s="37" t="s">
        <v>61</v>
      </c>
      <c r="C32" s="135">
        <f>ROUNDUP('採算表(VND)'!C32/$N$1,2)</f>
        <v>0</v>
      </c>
      <c r="D32" s="135">
        <f>ROUNDUP('採算表(VND)'!D32/$N$1,2)</f>
        <v>0</v>
      </c>
      <c r="E32" s="135">
        <f>ROUNDUP('採算表(VND)'!E32/$N$1,2)</f>
        <v>0</v>
      </c>
      <c r="F32" s="135">
        <f>ROUNDUP('採算表(VND)'!F32/$N$1,2)</f>
        <v>0</v>
      </c>
      <c r="G32" s="135">
        <f>ROUNDUP('採算表(VND)'!G32/$N$1,2)</f>
        <v>0</v>
      </c>
      <c r="H32" s="135">
        <f>ROUNDUP('採算表(VND)'!H32/$N$1,2)</f>
        <v>0</v>
      </c>
      <c r="I32" s="135">
        <f>ROUNDUP('採算表(VND)'!I32/$N$1,2)</f>
        <v>0</v>
      </c>
      <c r="J32" s="135">
        <f>ROUNDUP('採算表(VND)'!J32/$N$1,2)</f>
        <v>0</v>
      </c>
      <c r="K32" s="135">
        <f>ROUNDUP('採算表(VND)'!K32/$N$1,2)</f>
        <v>0</v>
      </c>
      <c r="L32" s="135">
        <f>ROUNDUP('採算表(VND)'!L32/$N$1,2)</f>
        <v>0</v>
      </c>
      <c r="M32" s="135">
        <f>ROUNDUP('採算表(VND)'!M32/$N$1,2)</f>
        <v>0</v>
      </c>
      <c r="N32" s="135">
        <f>ROUNDUP('採算表(VND)'!N32/$N$1,2)</f>
        <v>0</v>
      </c>
      <c r="O32" s="135">
        <f t="shared" si="4"/>
        <v>0</v>
      </c>
    </row>
    <row r="33" spans="1:15" ht="11.25" customHeight="1">
      <c r="A33" s="38"/>
      <c r="B33" s="37" t="s">
        <v>60</v>
      </c>
      <c r="C33" s="135">
        <f>ROUNDUP('採算表(VND)'!C33/$N$1,2)</f>
        <v>0</v>
      </c>
      <c r="D33" s="135">
        <f>ROUNDUP('採算表(VND)'!D33/$N$1,2)</f>
        <v>0</v>
      </c>
      <c r="E33" s="135">
        <f>ROUNDUP('採算表(VND)'!E33/$N$1,2)</f>
        <v>0</v>
      </c>
      <c r="F33" s="135">
        <f>ROUNDUP('採算表(VND)'!F33/$N$1,2)</f>
        <v>0</v>
      </c>
      <c r="G33" s="135">
        <f>ROUNDUP('採算表(VND)'!G33/$N$1,2)</f>
        <v>0</v>
      </c>
      <c r="H33" s="135">
        <f>ROUNDUP('採算表(VND)'!H33/$N$1,2)</f>
        <v>0</v>
      </c>
      <c r="I33" s="135">
        <f>ROUNDUP('採算表(VND)'!I33/$N$1,2)</f>
        <v>0</v>
      </c>
      <c r="J33" s="135">
        <f>ROUNDUP('採算表(VND)'!J33/$N$1,2)</f>
        <v>0</v>
      </c>
      <c r="K33" s="135">
        <f>ROUNDUP('採算表(VND)'!K33/$N$1,2)</f>
        <v>0</v>
      </c>
      <c r="L33" s="135">
        <f>ROUNDUP('採算表(VND)'!L33/$N$1,2)</f>
        <v>0</v>
      </c>
      <c r="M33" s="135">
        <f>ROUNDUP('採算表(VND)'!M33/$N$1,2)</f>
        <v>0</v>
      </c>
      <c r="N33" s="135">
        <f>ROUNDUP('採算表(VND)'!N33/$N$1,2)</f>
        <v>0</v>
      </c>
      <c r="O33" s="135">
        <f t="shared" si="4"/>
        <v>0</v>
      </c>
    </row>
    <row r="34" spans="1:15" ht="11.25" customHeight="1">
      <c r="A34" s="38"/>
      <c r="B34" s="37" t="s">
        <v>65</v>
      </c>
      <c r="C34" s="135">
        <f>ROUNDUP('採算表(VND)'!C34/$N$1,2)</f>
        <v>0</v>
      </c>
      <c r="D34" s="135">
        <f>ROUNDUP('採算表(VND)'!D34/$N$1,2)</f>
        <v>0</v>
      </c>
      <c r="E34" s="135">
        <f>ROUNDUP('採算表(VND)'!E34/$N$1,2)</f>
        <v>0</v>
      </c>
      <c r="F34" s="135">
        <f>ROUNDUP('採算表(VND)'!F34/$N$1,2)</f>
        <v>0</v>
      </c>
      <c r="G34" s="135">
        <f>ROUNDUP('採算表(VND)'!G34/$N$1,2)</f>
        <v>0</v>
      </c>
      <c r="H34" s="135">
        <f>ROUNDUP('採算表(VND)'!H34/$N$1,2)</f>
        <v>0</v>
      </c>
      <c r="I34" s="135">
        <f>ROUNDUP('採算表(VND)'!I34/$N$1,2)</f>
        <v>0</v>
      </c>
      <c r="J34" s="135">
        <f>ROUNDUP('採算表(VND)'!J34/$N$1,2)</f>
        <v>0</v>
      </c>
      <c r="K34" s="135">
        <f>ROUNDUP('採算表(VND)'!K34/$N$1,2)</f>
        <v>0</v>
      </c>
      <c r="L34" s="135">
        <f>ROUNDUP('採算表(VND)'!L34/$N$1,2)</f>
        <v>0</v>
      </c>
      <c r="M34" s="135">
        <f>ROUNDUP('採算表(VND)'!M34/$N$1,2)</f>
        <v>0</v>
      </c>
      <c r="N34" s="135">
        <f>ROUNDUP('採算表(VND)'!N34/$N$1,2)</f>
        <v>0</v>
      </c>
      <c r="O34" s="135">
        <f t="shared" si="4"/>
        <v>0</v>
      </c>
    </row>
    <row r="35" spans="1:15" ht="11.25" customHeight="1">
      <c r="A35" s="38"/>
      <c r="B35" s="37" t="s">
        <v>44</v>
      </c>
      <c r="C35" s="135">
        <f>ROUNDUP('採算表(VND)'!C35/$N$1,2)</f>
        <v>0</v>
      </c>
      <c r="D35" s="135">
        <f>ROUNDUP('採算表(VND)'!D35/$N$1,2)</f>
        <v>0</v>
      </c>
      <c r="E35" s="135">
        <f>ROUNDUP('採算表(VND)'!E35/$N$1,2)</f>
        <v>0</v>
      </c>
      <c r="F35" s="135">
        <f>ROUNDUP('採算表(VND)'!F35/$N$1,2)</f>
        <v>0</v>
      </c>
      <c r="G35" s="135">
        <f>ROUNDUP('採算表(VND)'!G35/$N$1,2)</f>
        <v>0</v>
      </c>
      <c r="H35" s="135">
        <f>ROUNDUP('採算表(VND)'!H35/$N$1,2)</f>
        <v>0</v>
      </c>
      <c r="I35" s="135">
        <f>ROUNDUP('採算表(VND)'!I35/$N$1,2)</f>
        <v>0</v>
      </c>
      <c r="J35" s="135">
        <f>ROUNDUP('採算表(VND)'!J35/$N$1,2)</f>
        <v>0</v>
      </c>
      <c r="K35" s="135">
        <f>ROUNDUP('採算表(VND)'!K35/$N$1,2)</f>
        <v>0</v>
      </c>
      <c r="L35" s="135">
        <f>ROUNDUP('採算表(VND)'!L35/$N$1,2)</f>
        <v>0</v>
      </c>
      <c r="M35" s="135">
        <f>ROUNDUP('採算表(VND)'!M35/$N$1,2)</f>
        <v>0</v>
      </c>
      <c r="N35" s="135">
        <f>ROUNDUP('採算表(VND)'!N35/$N$1,2)</f>
        <v>0</v>
      </c>
      <c r="O35" s="135">
        <f t="shared" si="4"/>
        <v>0</v>
      </c>
    </row>
    <row r="36" spans="1:15" ht="11.25" customHeight="1">
      <c r="A36" s="38"/>
      <c r="B36" s="37" t="s">
        <v>63</v>
      </c>
      <c r="C36" s="135">
        <f>ROUNDUP('採算表(VND)'!C36/$N$1,2)</f>
        <v>0</v>
      </c>
      <c r="D36" s="135">
        <f>ROUNDUP('採算表(VND)'!D36/$N$1,2)</f>
        <v>0</v>
      </c>
      <c r="E36" s="135">
        <f>ROUNDUP('採算表(VND)'!E36/$N$1,2)</f>
        <v>0</v>
      </c>
      <c r="F36" s="135">
        <f>ROUNDUP('採算表(VND)'!F36/$N$1,2)</f>
        <v>0</v>
      </c>
      <c r="G36" s="135">
        <f>ROUNDUP('採算表(VND)'!G36/$N$1,2)</f>
        <v>0</v>
      </c>
      <c r="H36" s="135">
        <f>ROUNDUP('採算表(VND)'!H36/$N$1,2)</f>
        <v>0</v>
      </c>
      <c r="I36" s="135">
        <f>ROUNDUP('採算表(VND)'!I36/$N$1,2)</f>
        <v>0</v>
      </c>
      <c r="J36" s="135">
        <f>ROUNDUP('採算表(VND)'!J36/$N$1,2)</f>
        <v>0</v>
      </c>
      <c r="K36" s="135">
        <f>ROUNDUP('採算表(VND)'!K36/$N$1,2)</f>
        <v>0</v>
      </c>
      <c r="L36" s="135">
        <f>ROUNDUP('採算表(VND)'!L36/$N$1,2)</f>
        <v>0</v>
      </c>
      <c r="M36" s="135">
        <f>ROUNDUP('採算表(VND)'!M36/$N$1,2)</f>
        <v>0</v>
      </c>
      <c r="N36" s="135">
        <f>ROUNDUP('採算表(VND)'!N36/$N$1,2)</f>
        <v>0</v>
      </c>
      <c r="O36" s="135">
        <f t="shared" si="4"/>
        <v>0</v>
      </c>
    </row>
    <row r="37" spans="1:15" ht="11.25" customHeight="1">
      <c r="A37" s="38"/>
      <c r="B37" s="37" t="s">
        <v>41</v>
      </c>
      <c r="C37" s="135">
        <f>ROUNDUP('採算表(VND)'!C37/$N$1,2)</f>
        <v>0</v>
      </c>
      <c r="D37" s="135">
        <f>ROUNDUP('採算表(VND)'!D37/$N$1,2)</f>
        <v>0</v>
      </c>
      <c r="E37" s="135">
        <f>ROUNDUP('採算表(VND)'!E37/$N$1,2)</f>
        <v>0</v>
      </c>
      <c r="F37" s="135">
        <f>ROUNDUP('採算表(VND)'!F37/$N$1,2)</f>
        <v>0</v>
      </c>
      <c r="G37" s="135">
        <f>ROUNDUP('採算表(VND)'!G37/$N$1,2)</f>
        <v>0</v>
      </c>
      <c r="H37" s="135">
        <f>ROUNDUP('採算表(VND)'!H37/$N$1,2)</f>
        <v>0</v>
      </c>
      <c r="I37" s="135">
        <f>ROUNDUP('採算表(VND)'!I37/$N$1,2)</f>
        <v>0</v>
      </c>
      <c r="J37" s="135">
        <f>ROUNDUP('採算表(VND)'!J37/$N$1,2)</f>
        <v>0</v>
      </c>
      <c r="K37" s="135">
        <f>ROUNDUP('採算表(VND)'!K37/$N$1,2)</f>
        <v>0</v>
      </c>
      <c r="L37" s="135">
        <f>ROUNDUP('採算表(VND)'!L37/$N$1,2)</f>
        <v>0</v>
      </c>
      <c r="M37" s="135">
        <f>ROUNDUP('採算表(VND)'!M37/$N$1,2)</f>
        <v>0</v>
      </c>
      <c r="N37" s="135">
        <f>ROUNDUP('採算表(VND)'!N37/$N$1,2)</f>
        <v>0</v>
      </c>
      <c r="O37" s="135">
        <f t="shared" si="4"/>
        <v>0</v>
      </c>
    </row>
    <row r="38" spans="1:15" ht="11.25" customHeight="1">
      <c r="A38" s="38"/>
      <c r="B38" s="37" t="s">
        <v>48</v>
      </c>
      <c r="C38" s="135">
        <f>ROUNDUP('採算表(VND)'!C38/$N$1,2)</f>
        <v>0</v>
      </c>
      <c r="D38" s="135">
        <f>ROUNDUP('採算表(VND)'!D38/$N$1,2)</f>
        <v>0</v>
      </c>
      <c r="E38" s="135">
        <f>ROUNDUP('採算表(VND)'!E38/$N$1,2)</f>
        <v>0</v>
      </c>
      <c r="F38" s="135">
        <f>ROUNDUP('採算表(VND)'!F38/$N$1,2)</f>
        <v>0</v>
      </c>
      <c r="G38" s="135">
        <f>ROUNDUP('採算表(VND)'!G38/$N$1,2)</f>
        <v>0</v>
      </c>
      <c r="H38" s="135">
        <f>ROUNDUP('採算表(VND)'!H38/$N$1,2)</f>
        <v>0</v>
      </c>
      <c r="I38" s="135">
        <f>ROUNDUP('採算表(VND)'!I38/$N$1,2)</f>
        <v>0</v>
      </c>
      <c r="J38" s="135">
        <f>ROUNDUP('採算表(VND)'!J38/$N$1,2)</f>
        <v>0</v>
      </c>
      <c r="K38" s="135">
        <f>ROUNDUP('採算表(VND)'!K38/$N$1,2)</f>
        <v>0</v>
      </c>
      <c r="L38" s="135">
        <f>ROUNDUP('採算表(VND)'!L38/$N$1,2)</f>
        <v>0</v>
      </c>
      <c r="M38" s="135">
        <f>ROUNDUP('採算表(VND)'!M38/$N$1,2)</f>
        <v>0</v>
      </c>
      <c r="N38" s="135">
        <f>ROUNDUP('採算表(VND)'!N38/$N$1,2)</f>
        <v>0</v>
      </c>
      <c r="O38" s="135">
        <f t="shared" si="4"/>
        <v>0</v>
      </c>
    </row>
    <row r="39" spans="1:15" ht="11.25" customHeight="1">
      <c r="A39" s="38"/>
      <c r="B39" s="37" t="s">
        <v>50</v>
      </c>
      <c r="C39" s="135">
        <f>ROUNDUP('採算表(VND)'!C39/$N$1,2)</f>
        <v>19.940000000000001</v>
      </c>
      <c r="D39" s="135">
        <f>ROUNDUP('採算表(VND)'!D39/$N$1,2)</f>
        <v>19.25</v>
      </c>
      <c r="E39" s="135">
        <f>ROUNDUP('採算表(VND)'!E39/$N$1,2)</f>
        <v>20.400000000000002</v>
      </c>
      <c r="F39" s="135">
        <f>ROUNDUP('採算表(VND)'!F39/$N$1,2)</f>
        <v>18.87</v>
      </c>
      <c r="G39" s="135">
        <f>ROUNDUP('採算表(VND)'!G39/$N$1,2)</f>
        <v>19.310000000000002</v>
      </c>
      <c r="H39" s="135">
        <f>ROUNDUP('採算表(VND)'!H39/$N$1,2)</f>
        <v>17.900000000000002</v>
      </c>
      <c r="I39" s="135">
        <f>ROUNDUP('採算表(VND)'!I39/$N$1,2)</f>
        <v>21.46</v>
      </c>
      <c r="J39" s="135">
        <f>ROUNDUP('採算表(VND)'!J39/$N$1,2)</f>
        <v>117.13000000000001</v>
      </c>
      <c r="K39" s="135">
        <f>ROUNDUP('採算表(VND)'!K39/$N$1,2)</f>
        <v>166.48</v>
      </c>
      <c r="L39" s="135">
        <f>ROUNDUP('採算表(VND)'!L39/$N$1,2)</f>
        <v>21.220000000000002</v>
      </c>
      <c r="M39" s="135">
        <f>ROUNDUP('採算表(VND)'!M39/$N$1,2)</f>
        <v>20.34</v>
      </c>
      <c r="N39" s="135">
        <f>ROUNDUP('採算表(VND)'!N39/$N$1,2)</f>
        <v>21.970000000000002</v>
      </c>
      <c r="O39" s="135">
        <f t="shared" si="4"/>
        <v>484.27000000000004</v>
      </c>
    </row>
    <row r="40" spans="1:15" ht="11.25" customHeight="1">
      <c r="A40" s="38"/>
      <c r="B40" s="37" t="s">
        <v>51</v>
      </c>
      <c r="C40" s="135">
        <f>ROUNDUP('採算表(VND)'!C40/$N$1,2)</f>
        <v>0</v>
      </c>
      <c r="D40" s="135">
        <f>ROUNDUP('採算表(VND)'!D40/$N$1,2)</f>
        <v>0</v>
      </c>
      <c r="E40" s="135">
        <f>ROUNDUP('採算表(VND)'!E40/$N$1,2)</f>
        <v>0</v>
      </c>
      <c r="F40" s="135">
        <f>ROUNDUP('採算表(VND)'!F40/$N$1,2)</f>
        <v>0</v>
      </c>
      <c r="G40" s="135">
        <f>ROUNDUP('採算表(VND)'!G40/$N$1,2)</f>
        <v>0</v>
      </c>
      <c r="H40" s="135">
        <f>ROUNDUP('採算表(VND)'!H40/$N$1,2)</f>
        <v>0</v>
      </c>
      <c r="I40" s="135">
        <f>ROUNDUP('採算表(VND)'!I40/$N$1,2)</f>
        <v>0</v>
      </c>
      <c r="J40" s="135">
        <f>ROUNDUP('採算表(VND)'!J40/$N$1,2)</f>
        <v>0</v>
      </c>
      <c r="K40" s="135">
        <f>ROUNDUP('採算表(VND)'!K40/$N$1,2)</f>
        <v>0</v>
      </c>
      <c r="L40" s="135">
        <f>ROUNDUP('採算表(VND)'!L40/$N$1,2)</f>
        <v>0</v>
      </c>
      <c r="M40" s="135">
        <f>ROUNDUP('採算表(VND)'!M40/$N$1,2)</f>
        <v>0</v>
      </c>
      <c r="N40" s="135">
        <f>ROUNDUP('採算表(VND)'!N40/$N$1,2)</f>
        <v>0</v>
      </c>
      <c r="O40" s="135">
        <f t="shared" si="4"/>
        <v>0</v>
      </c>
    </row>
    <row r="41" spans="1:15" ht="11.25" customHeight="1">
      <c r="A41" s="38"/>
      <c r="B41" s="37" t="s">
        <v>58</v>
      </c>
      <c r="C41" s="135">
        <f>ROUNDUP('採算表(VND)'!C41/$N$1,2)</f>
        <v>11.82</v>
      </c>
      <c r="D41" s="135">
        <f>ROUNDUP('採算表(VND)'!D41/$N$1,2)</f>
        <v>27.57</v>
      </c>
      <c r="E41" s="135">
        <f>ROUNDUP('採算表(VND)'!E41/$N$1,2)</f>
        <v>27.57</v>
      </c>
      <c r="F41" s="135">
        <f>ROUNDUP('採算表(VND)'!F41/$N$1,2)</f>
        <v>27.57</v>
      </c>
      <c r="G41" s="135">
        <f>ROUNDUP('採算表(VND)'!G41/$N$1,2)</f>
        <v>11.82</v>
      </c>
      <c r="H41" s="135">
        <f>ROUNDUP('採算表(VND)'!H41/$N$1,2)</f>
        <v>27.57</v>
      </c>
      <c r="I41" s="135">
        <f>ROUNDUP('採算表(VND)'!I41/$N$1,2)</f>
        <v>27.57</v>
      </c>
      <c r="J41" s="135">
        <f>ROUNDUP('採算表(VND)'!J41/$N$1,2)</f>
        <v>27.57</v>
      </c>
      <c r="K41" s="135">
        <f>ROUNDUP('採算表(VND)'!K41/$N$1,2)</f>
        <v>11.82</v>
      </c>
      <c r="L41" s="135">
        <f>ROUNDUP('採算表(VND)'!L41/$N$1,2)</f>
        <v>27.57</v>
      </c>
      <c r="M41" s="135">
        <f>ROUNDUP('採算表(VND)'!M41/$N$1,2)</f>
        <v>27.57</v>
      </c>
      <c r="N41" s="135">
        <f>ROUNDUP('採算表(VND)'!N41/$N$1,2)</f>
        <v>27.57</v>
      </c>
      <c r="O41" s="135">
        <f t="shared" si="4"/>
        <v>283.58999999999997</v>
      </c>
    </row>
    <row r="42" spans="1:15" ht="11.25" customHeight="1">
      <c r="A42" s="38"/>
      <c r="B42" s="37" t="s">
        <v>98</v>
      </c>
      <c r="C42" s="135">
        <f>ROUNDUP('採算表(VND)'!C42/$N$1,2)</f>
        <v>110.39</v>
      </c>
      <c r="D42" s="135">
        <f>ROUNDUP('採算表(VND)'!D42/$N$1,2)</f>
        <v>122.2</v>
      </c>
      <c r="E42" s="135">
        <f>ROUNDUP('採算表(VND)'!E42/$N$1,2)</f>
        <v>126.14</v>
      </c>
      <c r="F42" s="135">
        <f>ROUNDUP('採算表(VND)'!F42/$N$1,2)</f>
        <v>110.39</v>
      </c>
      <c r="G42" s="135">
        <f>ROUNDUP('採算表(VND)'!G42/$N$1,2)</f>
        <v>110.39</v>
      </c>
      <c r="H42" s="135">
        <f>ROUNDUP('採算表(VND)'!H42/$N$1,2)</f>
        <v>110.39</v>
      </c>
      <c r="I42" s="135">
        <f>ROUNDUP('採算表(VND)'!I42/$N$1,2)</f>
        <v>124.49000000000001</v>
      </c>
      <c r="J42" s="135">
        <f>ROUNDUP('採算表(VND)'!J42/$N$1,2)</f>
        <v>124.49000000000001</v>
      </c>
      <c r="K42" s="135">
        <f>ROUNDUP('採算表(VND)'!K42/$N$1,2)</f>
        <v>124.82000000000001</v>
      </c>
      <c r="L42" s="135">
        <f>ROUNDUP('採算表(VND)'!L42/$N$1,2)</f>
        <v>124.49000000000001</v>
      </c>
      <c r="M42" s="135">
        <f>ROUNDUP('採算表(VND)'!M42/$N$1,2)</f>
        <v>124.49000000000001</v>
      </c>
      <c r="N42" s="135">
        <f>ROUNDUP('採算表(VND)'!N42/$N$1,2)</f>
        <v>124.49000000000001</v>
      </c>
      <c r="O42" s="135">
        <f t="shared" si="4"/>
        <v>1437.17</v>
      </c>
    </row>
    <row r="43" spans="1:15" ht="11.25" customHeight="1">
      <c r="A43" s="38"/>
      <c r="B43" s="37" t="s">
        <v>99</v>
      </c>
      <c r="C43" s="135">
        <f>ROUNDUP('採算表(VND)'!C43/$N$1,2)</f>
        <v>0</v>
      </c>
      <c r="D43" s="135">
        <f>ROUNDUP('採算表(VND)'!D43/$N$1,2)</f>
        <v>0</v>
      </c>
      <c r="E43" s="135">
        <f>ROUNDUP('採算表(VND)'!E43/$N$1,2)</f>
        <v>0</v>
      </c>
      <c r="F43" s="135">
        <f>ROUNDUP('採算表(VND)'!F43/$N$1,2)</f>
        <v>0</v>
      </c>
      <c r="G43" s="135">
        <f>ROUNDUP('採算表(VND)'!G43/$N$1,2)</f>
        <v>0</v>
      </c>
      <c r="H43" s="135">
        <f>ROUNDUP('採算表(VND)'!H43/$N$1,2)</f>
        <v>0</v>
      </c>
      <c r="I43" s="135">
        <f>ROUNDUP('採算表(VND)'!I43/$N$1,2)</f>
        <v>0</v>
      </c>
      <c r="J43" s="135">
        <f>ROUNDUP('採算表(VND)'!J43/$N$1,2)</f>
        <v>0</v>
      </c>
      <c r="K43" s="135">
        <f>ROUNDUP('採算表(VND)'!K43/$N$1,2)</f>
        <v>0</v>
      </c>
      <c r="L43" s="135">
        <f>ROUNDUP('採算表(VND)'!L43/$N$1,2)</f>
        <v>0</v>
      </c>
      <c r="M43" s="135">
        <f>ROUNDUP('採算表(VND)'!M43/$N$1,2)</f>
        <v>0</v>
      </c>
      <c r="N43" s="135">
        <f>ROUNDUP('採算表(VND)'!N43/$N$1,2)</f>
        <v>0</v>
      </c>
      <c r="O43" s="135">
        <f t="shared" si="4"/>
        <v>0</v>
      </c>
    </row>
    <row r="44" spans="1:15" ht="11.25" customHeight="1">
      <c r="A44" s="38"/>
      <c r="B44" s="37" t="s">
        <v>42</v>
      </c>
      <c r="C44" s="135">
        <f>ROUNDUP('採算表(VND)'!C44/$N$1,2)</f>
        <v>206.10999999999999</v>
      </c>
      <c r="D44" s="135">
        <f>ROUNDUP('採算表(VND)'!D44/$N$1,2)</f>
        <v>867.55</v>
      </c>
      <c r="E44" s="135">
        <f>ROUNDUP('採算表(VND)'!E44/$N$1,2)</f>
        <v>101.58</v>
      </c>
      <c r="F44" s="135">
        <f>ROUNDUP('採算表(VND)'!F44/$N$1,2)</f>
        <v>88.62</v>
      </c>
      <c r="G44" s="135">
        <f>ROUNDUP('採算表(VND)'!G44/$N$1,2)</f>
        <v>89.13000000000001</v>
      </c>
      <c r="H44" s="135">
        <f>ROUNDUP('採算表(VND)'!H44/$N$1,2)</f>
        <v>159.32</v>
      </c>
      <c r="I44" s="135">
        <f>ROUNDUP('採算表(VND)'!I44/$N$1,2)</f>
        <v>220.56</v>
      </c>
      <c r="J44" s="135">
        <f>ROUNDUP('採算表(VND)'!J44/$N$1,2)</f>
        <v>188.89999999999998</v>
      </c>
      <c r="K44" s="135">
        <f>ROUNDUP('採算表(VND)'!K44/$N$1,2)</f>
        <v>188.94</v>
      </c>
      <c r="L44" s="135">
        <f>ROUNDUP('採算表(VND)'!L44/$N$1,2)</f>
        <v>230.92</v>
      </c>
      <c r="M44" s="135">
        <f>ROUNDUP('採算表(VND)'!M44/$N$1,2)</f>
        <v>181.17999999999998</v>
      </c>
      <c r="N44" s="135">
        <f>ROUNDUP('採算表(VND)'!N44/$N$1,2)</f>
        <v>137.85</v>
      </c>
      <c r="O44" s="135">
        <f t="shared" si="4"/>
        <v>2660.6599999999994</v>
      </c>
    </row>
    <row r="45" spans="1:15" ht="11.25" customHeight="1">
      <c r="A45" s="38"/>
      <c r="B45" s="37" t="s">
        <v>115</v>
      </c>
      <c r="C45" s="135">
        <f>ROUNDUP('採算表(VND)'!C45/$N$1,2)</f>
        <v>0</v>
      </c>
      <c r="D45" s="135">
        <f>ROUNDUP('採算表(VND)'!D45/$N$1,2)</f>
        <v>0</v>
      </c>
      <c r="E45" s="135">
        <f>ROUNDUP('採算表(VND)'!E45/$N$1,2)</f>
        <v>0</v>
      </c>
      <c r="F45" s="135">
        <f>ROUNDUP('採算表(VND)'!F45/$N$1,2)</f>
        <v>0</v>
      </c>
      <c r="G45" s="135">
        <f>ROUNDUP('採算表(VND)'!G45/$N$1,2)</f>
        <v>0</v>
      </c>
      <c r="H45" s="135">
        <f>ROUNDUP('採算表(VND)'!H45/$N$1,2)</f>
        <v>0</v>
      </c>
      <c r="I45" s="135">
        <f>ROUNDUP('採算表(VND)'!I45/$N$1,2)</f>
        <v>0</v>
      </c>
      <c r="J45" s="135">
        <f>ROUNDUP('採算表(VND)'!J45/$N$1,2)</f>
        <v>0</v>
      </c>
      <c r="K45" s="135">
        <f>ROUNDUP('採算表(VND)'!K45/$N$1,2)</f>
        <v>0</v>
      </c>
      <c r="L45" s="135">
        <f>ROUNDUP('採算表(VND)'!L45/$N$1,2)</f>
        <v>0</v>
      </c>
      <c r="M45" s="135">
        <f>ROUNDUP('採算表(VND)'!M45/$N$1,2)</f>
        <v>0</v>
      </c>
      <c r="N45" s="135">
        <f>ROUNDUP('採算表(VND)'!N45/$N$1,2)</f>
        <v>0</v>
      </c>
      <c r="O45" s="135">
        <f t="shared" si="4"/>
        <v>0</v>
      </c>
    </row>
    <row r="46" spans="1:15" ht="11.25" customHeight="1">
      <c r="A46" s="38"/>
      <c r="B46" s="37" t="s">
        <v>116</v>
      </c>
      <c r="C46" s="135">
        <f>ROUNDUP('採算表(VND)'!C46/$N$1,2)</f>
        <v>0</v>
      </c>
      <c r="D46" s="135">
        <f>ROUNDUP('採算表(VND)'!D46/$N$1,2)</f>
        <v>0</v>
      </c>
      <c r="E46" s="135">
        <f>ROUNDUP('採算表(VND)'!E46/$N$1,2)</f>
        <v>0</v>
      </c>
      <c r="F46" s="135">
        <f>ROUNDUP('採算表(VND)'!F46/$N$1,2)</f>
        <v>0</v>
      </c>
      <c r="G46" s="135">
        <f>ROUNDUP('採算表(VND)'!G46/$N$1,2)</f>
        <v>0</v>
      </c>
      <c r="H46" s="135">
        <f>ROUNDUP('採算表(VND)'!H46/$N$1,2)</f>
        <v>0</v>
      </c>
      <c r="I46" s="135">
        <f>ROUNDUP('採算表(VND)'!I46/$N$1,2)</f>
        <v>0</v>
      </c>
      <c r="J46" s="135">
        <f>ROUNDUP('採算表(VND)'!J46/$N$1,2)</f>
        <v>0</v>
      </c>
      <c r="K46" s="135">
        <f>ROUNDUP('採算表(VND)'!K46/$N$1,2)</f>
        <v>0</v>
      </c>
      <c r="L46" s="135">
        <f>ROUNDUP('採算表(VND)'!L46/$N$1,2)</f>
        <v>0</v>
      </c>
      <c r="M46" s="135">
        <f>ROUNDUP('採算表(VND)'!M46/$N$1,2)</f>
        <v>0</v>
      </c>
      <c r="N46" s="135">
        <f>ROUNDUP('採算表(VND)'!N46/$N$1,2)</f>
        <v>0</v>
      </c>
      <c r="O46" s="135">
        <f t="shared" si="4"/>
        <v>0</v>
      </c>
    </row>
    <row r="47" spans="1:15" ht="11.25" customHeight="1">
      <c r="A47" s="38"/>
      <c r="B47" s="37" t="s">
        <v>117</v>
      </c>
      <c r="C47" s="135">
        <f>ROUNDUP('採算表(VND)'!C47/$N$1,2)</f>
        <v>0</v>
      </c>
      <c r="D47" s="135">
        <f>ROUNDUP('採算表(VND)'!D47/$N$1,2)</f>
        <v>0</v>
      </c>
      <c r="E47" s="135">
        <f>ROUNDUP('採算表(VND)'!E47/$N$1,2)</f>
        <v>0</v>
      </c>
      <c r="F47" s="135">
        <f>ROUNDUP('採算表(VND)'!F47/$N$1,2)</f>
        <v>0</v>
      </c>
      <c r="G47" s="135">
        <f>ROUNDUP('採算表(VND)'!G47/$N$1,2)</f>
        <v>0</v>
      </c>
      <c r="H47" s="135">
        <f>ROUNDUP('採算表(VND)'!H47/$N$1,2)</f>
        <v>0</v>
      </c>
      <c r="I47" s="135">
        <f>ROUNDUP('採算表(VND)'!I47/$N$1,2)</f>
        <v>0</v>
      </c>
      <c r="J47" s="135">
        <f>ROUNDUP('採算表(VND)'!J47/$N$1,2)</f>
        <v>0</v>
      </c>
      <c r="K47" s="135">
        <f>ROUNDUP('採算表(VND)'!K47/$N$1,2)</f>
        <v>0</v>
      </c>
      <c r="L47" s="135">
        <f>ROUNDUP('採算表(VND)'!L47/$N$1,2)</f>
        <v>0</v>
      </c>
      <c r="M47" s="135">
        <f>ROUNDUP('採算表(VND)'!M47/$N$1,2)</f>
        <v>0</v>
      </c>
      <c r="N47" s="135">
        <f>ROUNDUP('採算表(VND)'!N47/$N$1,2)</f>
        <v>0</v>
      </c>
      <c r="O47" s="135">
        <f t="shared" si="4"/>
        <v>0</v>
      </c>
    </row>
    <row r="48" spans="1:15" ht="11.25" customHeight="1">
      <c r="A48" s="38"/>
      <c r="B48" s="37" t="s">
        <v>53</v>
      </c>
      <c r="C48" s="135">
        <f>ROUNDUP('採算表(VND)'!C48/$N$1,2)</f>
        <v>0</v>
      </c>
      <c r="D48" s="135">
        <f>ROUNDUP('採算表(VND)'!D48/$N$1,2)</f>
        <v>0</v>
      </c>
      <c r="E48" s="135">
        <f>ROUNDUP('採算表(VND)'!E48/$N$1,2)</f>
        <v>0</v>
      </c>
      <c r="F48" s="135">
        <f>ROUNDUP('採算表(VND)'!F48/$N$1,2)</f>
        <v>0</v>
      </c>
      <c r="G48" s="135">
        <f>ROUNDUP('採算表(VND)'!G48/$N$1,2)</f>
        <v>0</v>
      </c>
      <c r="H48" s="135">
        <f>ROUNDUP('採算表(VND)'!H48/$N$1,2)</f>
        <v>0</v>
      </c>
      <c r="I48" s="135">
        <f>ROUNDUP('採算表(VND)'!I48/$N$1,2)</f>
        <v>0</v>
      </c>
      <c r="J48" s="135">
        <f>ROUNDUP('採算表(VND)'!J48/$N$1,2)</f>
        <v>0</v>
      </c>
      <c r="K48" s="135">
        <f>ROUNDUP('採算表(VND)'!K48/$N$1,2)</f>
        <v>0</v>
      </c>
      <c r="L48" s="135">
        <f>ROUNDUP('採算表(VND)'!L48/$N$1,2)</f>
        <v>0</v>
      </c>
      <c r="M48" s="135">
        <f>ROUNDUP('採算表(VND)'!M48/$N$1,2)</f>
        <v>0</v>
      </c>
      <c r="N48" s="135">
        <f>ROUNDUP('採算表(VND)'!N48/$N$1,2)</f>
        <v>0</v>
      </c>
      <c r="O48" s="135">
        <f t="shared" si="4"/>
        <v>0</v>
      </c>
    </row>
    <row r="49" spans="1:15" ht="11.25" customHeight="1">
      <c r="A49" s="38"/>
      <c r="B49" s="45" t="s">
        <v>64</v>
      </c>
      <c r="C49" s="136">
        <f>ROUNDUP('採算表(VND)'!C49/$N$1,2)</f>
        <v>0</v>
      </c>
      <c r="D49" s="136">
        <f>ROUNDUP('採算表(VND)'!D49/$N$1,2)</f>
        <v>0</v>
      </c>
      <c r="E49" s="136">
        <f>ROUNDUP('採算表(VND)'!E49/$N$1,2)</f>
        <v>0</v>
      </c>
      <c r="F49" s="136">
        <f>ROUNDUP('採算表(VND)'!F49/$N$1,2)</f>
        <v>0</v>
      </c>
      <c r="G49" s="136">
        <f>ROUNDUP('採算表(VND)'!G49/$N$1,2)</f>
        <v>0</v>
      </c>
      <c r="H49" s="136">
        <f>ROUNDUP('採算表(VND)'!H49/$N$1,2)</f>
        <v>0</v>
      </c>
      <c r="I49" s="136">
        <f>ROUNDUP('採算表(VND)'!I49/$N$1,2)</f>
        <v>0</v>
      </c>
      <c r="J49" s="136">
        <f>ROUNDUP('採算表(VND)'!J49/$N$1,2)</f>
        <v>0</v>
      </c>
      <c r="K49" s="136">
        <f>ROUNDUP('採算表(VND)'!K49/$N$1,2)</f>
        <v>0</v>
      </c>
      <c r="L49" s="136">
        <f>ROUNDUP('採算表(VND)'!L49/$N$1,2)</f>
        <v>0</v>
      </c>
      <c r="M49" s="136">
        <f>ROUNDUP('採算表(VND)'!M49/$N$1,2)</f>
        <v>0</v>
      </c>
      <c r="N49" s="136">
        <f>ROUNDUP('採算表(VND)'!N49/$N$1,2)</f>
        <v>0</v>
      </c>
      <c r="O49" s="136">
        <f t="shared" si="4"/>
        <v>0</v>
      </c>
    </row>
    <row r="50" spans="1:15" ht="11.25" customHeight="1">
      <c r="A50" s="38"/>
      <c r="B50" s="39" t="s">
        <v>62</v>
      </c>
      <c r="C50" s="137">
        <f>ROUNDUP('採算表(VND)'!C50/$N$1,2)</f>
        <v>0</v>
      </c>
      <c r="D50" s="137">
        <f>ROUNDUP('採算表(VND)'!D50/$N$1,2)</f>
        <v>0</v>
      </c>
      <c r="E50" s="137">
        <f>ROUNDUP('採算表(VND)'!E50/$N$1,2)</f>
        <v>0</v>
      </c>
      <c r="F50" s="137">
        <f>ROUNDUP('採算表(VND)'!F50/$N$1,2)</f>
        <v>0</v>
      </c>
      <c r="G50" s="137">
        <f>ROUNDUP('採算表(VND)'!G50/$N$1,2)</f>
        <v>0</v>
      </c>
      <c r="H50" s="137">
        <f>ROUNDUP('採算表(VND)'!H50/$N$1,2)</f>
        <v>0</v>
      </c>
      <c r="I50" s="137">
        <f>ROUNDUP('採算表(VND)'!I50/$N$1,2)</f>
        <v>0</v>
      </c>
      <c r="J50" s="137">
        <f>ROUNDUP('採算表(VND)'!J50/$N$1,2)</f>
        <v>0</v>
      </c>
      <c r="K50" s="137">
        <f>ROUNDUP('採算表(VND)'!K50/$N$1,2)</f>
        <v>0</v>
      </c>
      <c r="L50" s="137">
        <f>ROUNDUP('採算表(VND)'!L50/$N$1,2)</f>
        <v>0</v>
      </c>
      <c r="M50" s="137">
        <f>ROUNDUP('採算表(VND)'!M50/$N$1,2)</f>
        <v>0</v>
      </c>
      <c r="N50" s="137">
        <f>ROUNDUP('採算表(VND)'!N50/$N$1,2)</f>
        <v>0</v>
      </c>
      <c r="O50" s="137">
        <f t="shared" si="4"/>
        <v>0</v>
      </c>
    </row>
    <row r="51" spans="1:15" ht="11.25" customHeight="1">
      <c r="A51" s="38"/>
      <c r="B51" s="39" t="s">
        <v>105</v>
      </c>
      <c r="C51" s="137">
        <f>ROUNDUP('採算表(VND)'!C51/$N$1,2)</f>
        <v>0</v>
      </c>
      <c r="D51" s="137">
        <f>ROUNDUP('採算表(VND)'!D51/$N$1,2)</f>
        <v>0</v>
      </c>
      <c r="E51" s="137">
        <f>ROUNDUP('採算表(VND)'!E51/$N$1,2)</f>
        <v>0</v>
      </c>
      <c r="F51" s="137">
        <f>ROUNDUP('採算表(VND)'!F51/$N$1,2)</f>
        <v>0</v>
      </c>
      <c r="G51" s="137">
        <f>ROUNDUP('採算表(VND)'!G51/$N$1,2)</f>
        <v>0</v>
      </c>
      <c r="H51" s="137">
        <f>ROUNDUP('採算表(VND)'!H51/$N$1,2)</f>
        <v>0</v>
      </c>
      <c r="I51" s="137">
        <f>ROUNDUP('採算表(VND)'!I51/$N$1,2)</f>
        <v>0</v>
      </c>
      <c r="J51" s="137">
        <f>ROUNDUP('採算表(VND)'!J51/$N$1,2)</f>
        <v>0</v>
      </c>
      <c r="K51" s="137">
        <f>ROUNDUP('採算表(VND)'!K51/$N$1,2)</f>
        <v>0</v>
      </c>
      <c r="L51" s="137">
        <f>ROUNDUP('採算表(VND)'!L51/$N$1,2)</f>
        <v>0</v>
      </c>
      <c r="M51" s="137">
        <f>ROUNDUP('採算表(VND)'!M51/$N$1,2)</f>
        <v>0</v>
      </c>
      <c r="N51" s="137">
        <f>ROUNDUP('採算表(VND)'!N51/$N$1,2)</f>
        <v>0</v>
      </c>
      <c r="O51" s="137">
        <f t="shared" si="4"/>
        <v>0</v>
      </c>
    </row>
    <row r="52" spans="1:15" ht="11.25" customHeight="1">
      <c r="A52" s="38"/>
      <c r="B52" s="37" t="s">
        <v>118</v>
      </c>
      <c r="C52" s="138">
        <f>ROUNDUP('採算表(VND)'!C52/$N$1,2)</f>
        <v>0</v>
      </c>
      <c r="D52" s="138">
        <f>ROUNDUP('採算表(VND)'!D52/$N$1,2)</f>
        <v>0</v>
      </c>
      <c r="E52" s="138">
        <f>ROUNDUP('採算表(VND)'!E52/$N$1,2)</f>
        <v>0</v>
      </c>
      <c r="F52" s="138">
        <f>ROUNDUP('採算表(VND)'!F52/$N$1,2)</f>
        <v>0</v>
      </c>
      <c r="G52" s="138">
        <f>ROUNDUP('採算表(VND)'!G52/$N$1,2)</f>
        <v>0</v>
      </c>
      <c r="H52" s="138">
        <f>ROUNDUP('採算表(VND)'!H52/$N$1,2)</f>
        <v>0</v>
      </c>
      <c r="I52" s="138">
        <f>ROUNDUP('採算表(VND)'!I52/$N$1,2)</f>
        <v>0</v>
      </c>
      <c r="J52" s="138">
        <f>ROUNDUP('採算表(VND)'!J52/$N$1,2)</f>
        <v>0</v>
      </c>
      <c r="K52" s="138">
        <f>ROUNDUP('採算表(VND)'!K52/$N$1,2)</f>
        <v>0</v>
      </c>
      <c r="L52" s="138">
        <f>ROUNDUP('採算表(VND)'!L52/$N$1,2)</f>
        <v>0</v>
      </c>
      <c r="M52" s="138">
        <f>ROUNDUP('採算表(VND)'!M52/$N$1,2)</f>
        <v>0</v>
      </c>
      <c r="N52" s="138">
        <f>ROUNDUP('採算表(VND)'!N52/$N$1,2)</f>
        <v>0</v>
      </c>
      <c r="O52" s="138">
        <f t="shared" si="4"/>
        <v>0</v>
      </c>
    </row>
    <row r="53" spans="1:15" ht="11.25" customHeight="1">
      <c r="A53" s="38"/>
      <c r="B53" s="37" t="s">
        <v>119</v>
      </c>
      <c r="C53" s="138">
        <f>ROUNDUP('採算表(VND)'!C53/$N$1,2)</f>
        <v>0</v>
      </c>
      <c r="D53" s="138">
        <f>ROUNDUP('採算表(VND)'!D53/$N$1,2)</f>
        <v>0</v>
      </c>
      <c r="E53" s="138">
        <f>ROUNDUP('採算表(VND)'!E53/$N$1,2)</f>
        <v>0</v>
      </c>
      <c r="F53" s="138">
        <f>ROUNDUP('採算表(VND)'!F53/$N$1,2)</f>
        <v>0</v>
      </c>
      <c r="G53" s="138">
        <f>ROUNDUP('採算表(VND)'!G53/$N$1,2)</f>
        <v>0</v>
      </c>
      <c r="H53" s="138">
        <f>ROUNDUP('採算表(VND)'!H53/$N$1,2)</f>
        <v>0</v>
      </c>
      <c r="I53" s="138">
        <f>ROUNDUP('採算表(VND)'!I53/$N$1,2)</f>
        <v>0</v>
      </c>
      <c r="J53" s="138">
        <f>ROUNDUP('採算表(VND)'!J53/$N$1,2)</f>
        <v>0</v>
      </c>
      <c r="K53" s="138">
        <f>ROUNDUP('採算表(VND)'!K53/$N$1,2)</f>
        <v>0</v>
      </c>
      <c r="L53" s="138">
        <f>ROUNDUP('採算表(VND)'!L53/$N$1,2)</f>
        <v>0</v>
      </c>
      <c r="M53" s="138">
        <f>ROUNDUP('採算表(VND)'!M53/$N$1,2)</f>
        <v>0</v>
      </c>
      <c r="N53" s="138">
        <f>ROUNDUP('採算表(VND)'!N53/$N$1,2)</f>
        <v>0</v>
      </c>
      <c r="O53" s="138">
        <f t="shared" si="4"/>
        <v>0</v>
      </c>
    </row>
    <row r="54" spans="1:15" ht="11.25" customHeight="1">
      <c r="A54" s="38"/>
      <c r="B54" s="37" t="s">
        <v>100</v>
      </c>
      <c r="C54" s="138">
        <f>ROUNDUP('採算表(VND)'!C54/$N$1,2)</f>
        <v>0</v>
      </c>
      <c r="D54" s="138">
        <f>ROUNDUP('採算表(VND)'!D54/$N$1,2)</f>
        <v>0</v>
      </c>
      <c r="E54" s="138">
        <f>ROUNDUP('採算表(VND)'!E54/$N$1,2)</f>
        <v>0</v>
      </c>
      <c r="F54" s="138">
        <f>ROUNDUP('採算表(VND)'!F54/$N$1,2)</f>
        <v>0</v>
      </c>
      <c r="G54" s="138">
        <f>ROUNDUP('採算表(VND)'!G54/$N$1,2)</f>
        <v>0</v>
      </c>
      <c r="H54" s="138">
        <f>ROUNDUP('採算表(VND)'!H54/$N$1,2)</f>
        <v>0</v>
      </c>
      <c r="I54" s="138">
        <f>ROUNDUP('採算表(VND)'!I54/$N$1,2)</f>
        <v>0</v>
      </c>
      <c r="J54" s="138">
        <f>ROUNDUP('採算表(VND)'!J54/$N$1,2)</f>
        <v>0</v>
      </c>
      <c r="K54" s="138">
        <f>ROUNDUP('採算表(VND)'!K54/$N$1,2)</f>
        <v>0</v>
      </c>
      <c r="L54" s="138">
        <f>ROUNDUP('採算表(VND)'!L54/$N$1,2)</f>
        <v>0</v>
      </c>
      <c r="M54" s="138">
        <f>ROUNDUP('採算表(VND)'!M54/$N$1,2)</f>
        <v>0</v>
      </c>
      <c r="N54" s="138">
        <f>ROUNDUP('採算表(VND)'!N54/$N$1,2)</f>
        <v>0</v>
      </c>
      <c r="O54" s="138">
        <f t="shared" si="4"/>
        <v>0</v>
      </c>
    </row>
    <row r="55" spans="1:15" ht="11.25" customHeight="1">
      <c r="A55" s="38"/>
      <c r="B55" s="37" t="s">
        <v>110</v>
      </c>
      <c r="C55" s="138">
        <f>ROUNDUP('採算表(VND)'!C55/$N$1,2)</f>
        <v>0</v>
      </c>
      <c r="D55" s="138">
        <f>ROUNDUP('採算表(VND)'!D55/$N$1,2)</f>
        <v>0</v>
      </c>
      <c r="E55" s="138">
        <f>ROUNDUP('採算表(VND)'!E55/$N$1,2)</f>
        <v>0</v>
      </c>
      <c r="F55" s="138">
        <f>ROUNDUP('採算表(VND)'!F55/$N$1,2)</f>
        <v>0</v>
      </c>
      <c r="G55" s="138">
        <f>ROUNDUP('採算表(VND)'!G55/$N$1,2)</f>
        <v>0</v>
      </c>
      <c r="H55" s="138">
        <f>ROUNDUP('採算表(VND)'!H55/$N$1,2)</f>
        <v>0</v>
      </c>
      <c r="I55" s="138">
        <f>ROUNDUP('採算表(VND)'!I55/$N$1,2)</f>
        <v>0</v>
      </c>
      <c r="J55" s="138">
        <f>ROUNDUP('採算表(VND)'!J55/$N$1,2)</f>
        <v>0</v>
      </c>
      <c r="K55" s="138">
        <f>ROUNDUP('採算表(VND)'!K55/$N$1,2)</f>
        <v>0</v>
      </c>
      <c r="L55" s="138">
        <f>ROUNDUP('採算表(VND)'!L55/$N$1,2)</f>
        <v>0</v>
      </c>
      <c r="M55" s="138">
        <f>ROUNDUP('採算表(VND)'!M55/$N$1,2)</f>
        <v>0</v>
      </c>
      <c r="N55" s="138">
        <f>ROUNDUP('採算表(VND)'!N55/$N$1,2)</f>
        <v>0</v>
      </c>
      <c r="O55" s="138">
        <f t="shared" si="4"/>
        <v>0</v>
      </c>
    </row>
    <row r="56" spans="1:15" ht="11.25" customHeight="1">
      <c r="A56" s="38"/>
      <c r="B56" s="37" t="s">
        <v>113</v>
      </c>
      <c r="C56" s="138">
        <f>ROUNDUP('採算表(VND)'!C56/$N$1,2)</f>
        <v>0</v>
      </c>
      <c r="D56" s="138">
        <f>ROUNDUP('採算表(VND)'!D56/$N$1,2)</f>
        <v>0</v>
      </c>
      <c r="E56" s="138">
        <f>ROUNDUP('採算表(VND)'!E56/$N$1,2)</f>
        <v>0</v>
      </c>
      <c r="F56" s="138">
        <f>ROUNDUP('採算表(VND)'!F56/$N$1,2)</f>
        <v>0</v>
      </c>
      <c r="G56" s="138">
        <f>ROUNDUP('採算表(VND)'!G56/$N$1,2)</f>
        <v>0</v>
      </c>
      <c r="H56" s="138">
        <f>ROUNDUP('採算表(VND)'!H56/$N$1,2)</f>
        <v>0</v>
      </c>
      <c r="I56" s="138">
        <f>ROUNDUP('採算表(VND)'!I56/$N$1,2)</f>
        <v>0</v>
      </c>
      <c r="J56" s="138">
        <f>ROUNDUP('採算表(VND)'!J56/$N$1,2)</f>
        <v>0</v>
      </c>
      <c r="K56" s="138">
        <f>ROUNDUP('採算表(VND)'!K56/$N$1,2)</f>
        <v>0</v>
      </c>
      <c r="L56" s="138">
        <f>ROUNDUP('採算表(VND)'!L56/$N$1,2)</f>
        <v>0</v>
      </c>
      <c r="M56" s="138">
        <f>ROUNDUP('採算表(VND)'!M56/$N$1,2)</f>
        <v>0</v>
      </c>
      <c r="N56" s="138">
        <f>ROUNDUP('採算表(VND)'!N56/$N$1,2)</f>
        <v>0</v>
      </c>
      <c r="O56" s="138">
        <f t="shared" si="4"/>
        <v>0</v>
      </c>
    </row>
    <row r="57" spans="1:15" ht="11.25" customHeight="1">
      <c r="A57" s="38"/>
      <c r="B57" s="37" t="s">
        <v>114</v>
      </c>
      <c r="C57" s="138">
        <f>ROUNDUP('採算表(VND)'!C57/$N$1,2)</f>
        <v>98.22</v>
      </c>
      <c r="D57" s="138">
        <f>ROUNDUP('採算表(VND)'!D57/$N$1,2)</f>
        <v>98.23</v>
      </c>
      <c r="E57" s="138">
        <f>ROUNDUP('採算表(VND)'!E57/$N$1,2)</f>
        <v>97.53</v>
      </c>
      <c r="F57" s="138">
        <f>ROUNDUP('採算表(VND)'!F57/$N$1,2)</f>
        <v>97.83</v>
      </c>
      <c r="G57" s="138">
        <f>ROUNDUP('採算表(VND)'!G57/$N$1,2)</f>
        <v>78.83</v>
      </c>
      <c r="H57" s="138">
        <f>ROUNDUP('採算表(VND)'!H57/$N$1,2)</f>
        <v>77.960000000000008</v>
      </c>
      <c r="I57" s="138">
        <f>ROUNDUP('採算表(VND)'!I57/$N$1,2)</f>
        <v>77.960000000000008</v>
      </c>
      <c r="J57" s="138">
        <f>ROUNDUP('採算表(VND)'!J57/$N$1,2)</f>
        <v>77.960000000000008</v>
      </c>
      <c r="K57" s="138">
        <f>ROUNDUP('採算表(VND)'!K57/$N$1,2)</f>
        <v>77.73</v>
      </c>
      <c r="L57" s="138">
        <f>ROUNDUP('採算表(VND)'!L57/$N$1,2)</f>
        <v>77.690000000000012</v>
      </c>
      <c r="M57" s="138">
        <f>ROUNDUP('採算表(VND)'!M57/$N$1,2)</f>
        <v>77.690000000000012</v>
      </c>
      <c r="N57" s="138">
        <f>ROUNDUP('採算表(VND)'!N57/$N$1,2)</f>
        <v>78.240000000000009</v>
      </c>
      <c r="O57" s="138">
        <f t="shared" si="4"/>
        <v>1015.8700000000002</v>
      </c>
    </row>
    <row r="58" spans="1:15" ht="11.25" customHeight="1">
      <c r="A58" s="38"/>
      <c r="B58" s="37" t="s">
        <v>122</v>
      </c>
      <c r="C58" s="138">
        <f>ROUNDUP('採算表(VND)'!C58/$N$1,2)</f>
        <v>7.88</v>
      </c>
      <c r="D58" s="138">
        <f>ROUNDUP('採算表(VND)'!D58/$N$1,2)</f>
        <v>7.88</v>
      </c>
      <c r="E58" s="138">
        <f>ROUNDUP('採算表(VND)'!E58/$N$1,2)</f>
        <v>7.88</v>
      </c>
      <c r="F58" s="138">
        <f>ROUNDUP('採算表(VND)'!F58/$N$1,2)</f>
        <v>7.88</v>
      </c>
      <c r="G58" s="138">
        <f>ROUNDUP('採算表(VND)'!G58/$N$1,2)</f>
        <v>7.88</v>
      </c>
      <c r="H58" s="138">
        <f>ROUNDUP('採算表(VND)'!H58/$N$1,2)</f>
        <v>7.88</v>
      </c>
      <c r="I58" s="138">
        <f>ROUNDUP('採算表(VND)'!I58/$N$1,2)</f>
        <v>7.88</v>
      </c>
      <c r="J58" s="138">
        <f>ROUNDUP('採算表(VND)'!J58/$N$1,2)</f>
        <v>7.88</v>
      </c>
      <c r="K58" s="138">
        <f>ROUNDUP('採算表(VND)'!K58/$N$1,2)</f>
        <v>7.88</v>
      </c>
      <c r="L58" s="138">
        <f>ROUNDUP('採算表(VND)'!L58/$N$1,2)</f>
        <v>7.88</v>
      </c>
      <c r="M58" s="138">
        <f>ROUNDUP('採算表(VND)'!M58/$N$1,2)</f>
        <v>7.88</v>
      </c>
      <c r="N58" s="138">
        <f>ROUNDUP('採算表(VND)'!N58/$N$1,2)</f>
        <v>7.88</v>
      </c>
      <c r="O58" s="138">
        <f t="shared" si="4"/>
        <v>94.559999999999988</v>
      </c>
    </row>
    <row r="59" spans="1:15" ht="11.25" customHeight="1">
      <c r="A59" s="38"/>
      <c r="B59" s="37" t="s">
        <v>121</v>
      </c>
      <c r="C59" s="138">
        <f>ROUNDUP('採算表(VND)'!C59/$N$1,2)</f>
        <v>0</v>
      </c>
      <c r="D59" s="138">
        <f>ROUNDUP('採算表(VND)'!D59/$N$1,2)</f>
        <v>0</v>
      </c>
      <c r="E59" s="138">
        <f>ROUNDUP('採算表(VND)'!E59/$N$1,2)</f>
        <v>0</v>
      </c>
      <c r="F59" s="138">
        <f>ROUNDUP('採算表(VND)'!F59/$N$1,2)</f>
        <v>0</v>
      </c>
      <c r="G59" s="138">
        <f>ROUNDUP('採算表(VND)'!G59/$N$1,2)</f>
        <v>0</v>
      </c>
      <c r="H59" s="138">
        <f>ROUNDUP('採算表(VND)'!H59/$N$1,2)</f>
        <v>0</v>
      </c>
      <c r="I59" s="138">
        <f>ROUNDUP('採算表(VND)'!I59/$N$1,2)</f>
        <v>0</v>
      </c>
      <c r="J59" s="138">
        <f>ROUNDUP('採算表(VND)'!J59/$N$1,2)</f>
        <v>0</v>
      </c>
      <c r="K59" s="138">
        <f>ROUNDUP('採算表(VND)'!K59/$N$1,2)</f>
        <v>0</v>
      </c>
      <c r="L59" s="138">
        <f>ROUNDUP('採算表(VND)'!L59/$N$1,2)</f>
        <v>0</v>
      </c>
      <c r="M59" s="138">
        <f>ROUNDUP('採算表(VND)'!M59/$N$1,2)</f>
        <v>0</v>
      </c>
      <c r="N59" s="138">
        <f>ROUNDUP('採算表(VND)'!N59/$N$1,2)</f>
        <v>0</v>
      </c>
      <c r="O59" s="138">
        <f t="shared" si="4"/>
        <v>0</v>
      </c>
    </row>
    <row r="60" spans="1:15" ht="11.25" customHeight="1">
      <c r="A60" s="38"/>
      <c r="B60" s="37" t="s">
        <v>123</v>
      </c>
      <c r="C60" s="138">
        <f>ROUNDUP('採算表(VND)'!C60/$N$1,2)</f>
        <v>0</v>
      </c>
      <c r="D60" s="138">
        <f>ROUNDUP('採算表(VND)'!D60/$N$1,2)</f>
        <v>0</v>
      </c>
      <c r="E60" s="138">
        <f>ROUNDUP('採算表(VND)'!E60/$N$1,2)</f>
        <v>0</v>
      </c>
      <c r="F60" s="138">
        <f>ROUNDUP('採算表(VND)'!F60/$N$1,2)</f>
        <v>0</v>
      </c>
      <c r="G60" s="138">
        <f>ROUNDUP('採算表(VND)'!G60/$N$1,2)</f>
        <v>0</v>
      </c>
      <c r="H60" s="138">
        <f>ROUNDUP('採算表(VND)'!H60/$N$1,2)</f>
        <v>0</v>
      </c>
      <c r="I60" s="138">
        <f>ROUNDUP('採算表(VND)'!I60/$N$1,2)</f>
        <v>0</v>
      </c>
      <c r="J60" s="138">
        <f>ROUNDUP('採算表(VND)'!J60/$N$1,2)</f>
        <v>0</v>
      </c>
      <c r="K60" s="138">
        <f>ROUNDUP('採算表(VND)'!K60/$N$1,2)</f>
        <v>0</v>
      </c>
      <c r="L60" s="138">
        <f>ROUNDUP('採算表(VND)'!L60/$N$1,2)</f>
        <v>0</v>
      </c>
      <c r="M60" s="138">
        <f>ROUNDUP('採算表(VND)'!M60/$N$1,2)</f>
        <v>0</v>
      </c>
      <c r="N60" s="138">
        <f>ROUNDUP('採算表(VND)'!N60/$N$1,2)</f>
        <v>0</v>
      </c>
      <c r="O60" s="138">
        <f t="shared" si="4"/>
        <v>0</v>
      </c>
    </row>
    <row r="61" spans="1:15" ht="11.25" customHeight="1">
      <c r="A61" s="38"/>
      <c r="B61" s="37" t="s">
        <v>106</v>
      </c>
      <c r="C61" s="138">
        <f>ROUNDUP('採算表(VND)'!C61/$N$1,2)</f>
        <v>0</v>
      </c>
      <c r="D61" s="138">
        <f>ROUNDUP('採算表(VND)'!D61/$N$1,2)</f>
        <v>0</v>
      </c>
      <c r="E61" s="138">
        <f>ROUNDUP('採算表(VND)'!E61/$N$1,2)</f>
        <v>0</v>
      </c>
      <c r="F61" s="138">
        <f>ROUNDUP('採算表(VND)'!F61/$N$1,2)</f>
        <v>0</v>
      </c>
      <c r="G61" s="138">
        <f>ROUNDUP('採算表(VND)'!G61/$N$1,2)</f>
        <v>0</v>
      </c>
      <c r="H61" s="138">
        <f>ROUNDUP('採算表(VND)'!H61/$N$1,2)</f>
        <v>0</v>
      </c>
      <c r="I61" s="138">
        <f>ROUNDUP('採算表(VND)'!I61/$N$1,2)</f>
        <v>0</v>
      </c>
      <c r="J61" s="138">
        <f>ROUNDUP('採算表(VND)'!J61/$N$1,2)</f>
        <v>0</v>
      </c>
      <c r="K61" s="138">
        <f>ROUNDUP('採算表(VND)'!K61/$N$1,2)</f>
        <v>0</v>
      </c>
      <c r="L61" s="138">
        <f>ROUNDUP('採算表(VND)'!L61/$N$1,2)</f>
        <v>0</v>
      </c>
      <c r="M61" s="138">
        <f>ROUNDUP('採算表(VND)'!M61/$N$1,2)</f>
        <v>0</v>
      </c>
      <c r="N61" s="138">
        <f>ROUNDUP('採算表(VND)'!N61/$N$1,2)</f>
        <v>0</v>
      </c>
      <c r="O61" s="138">
        <f t="shared" si="4"/>
        <v>0</v>
      </c>
    </row>
    <row r="62" spans="1:15" ht="11.25" customHeight="1">
      <c r="A62" s="38"/>
      <c r="B62" s="37" t="s">
        <v>418</v>
      </c>
      <c r="C62" s="138">
        <f>ROUNDUP('採算表(VND)'!C62/$N$1,2)</f>
        <v>23.5</v>
      </c>
      <c r="D62" s="138">
        <f>ROUNDUP('採算表(VND)'!D62/$N$1,2)</f>
        <v>26.98</v>
      </c>
      <c r="E62" s="138">
        <f>ROUNDUP('採算表(VND)'!E62/$N$1,2)</f>
        <v>22.46</v>
      </c>
      <c r="F62" s="138">
        <f>ROUNDUP('採算表(VND)'!F62/$N$1,2)</f>
        <v>32.979999999999997</v>
      </c>
      <c r="G62" s="138">
        <f>ROUNDUP('採算表(VND)'!G62/$N$1,2)</f>
        <v>29.66</v>
      </c>
      <c r="H62" s="138">
        <f>ROUNDUP('採算表(VND)'!H62/$N$1,2)</f>
        <v>32.46</v>
      </c>
      <c r="I62" s="138">
        <f>ROUNDUP('採算表(VND)'!I62/$N$1,2)</f>
        <v>29.270000000000003</v>
      </c>
      <c r="J62" s="138">
        <f>ROUNDUP('採算表(VND)'!J62/$N$1,2)</f>
        <v>29.46</v>
      </c>
      <c r="K62" s="138">
        <f>ROUNDUP('採算表(VND)'!K62/$N$1,2)</f>
        <v>29.76</v>
      </c>
      <c r="L62" s="138">
        <f>ROUNDUP('採算表(VND)'!L62/$N$1,2)</f>
        <v>28.630000000000003</v>
      </c>
      <c r="M62" s="138">
        <f>ROUNDUP('採算表(VND)'!M62/$N$1,2)</f>
        <v>30.3</v>
      </c>
      <c r="N62" s="138">
        <f>ROUNDUP('採算表(VND)'!N62/$N$1,2)</f>
        <v>28.970000000000002</v>
      </c>
      <c r="O62" s="138">
        <f t="shared" si="4"/>
        <v>344.43000000000006</v>
      </c>
    </row>
    <row r="63" spans="1:15" ht="11.25" customHeight="1">
      <c r="A63" s="38"/>
      <c r="B63" s="37" t="s">
        <v>419</v>
      </c>
      <c r="C63" s="138">
        <f>ROUNDUP('採算表(VND)'!C63/$N$1,2)</f>
        <v>143.47</v>
      </c>
      <c r="D63" s="138">
        <f>ROUNDUP('採算表(VND)'!D63/$N$1,2)</f>
        <v>49.03</v>
      </c>
      <c r="E63" s="138">
        <f>ROUNDUP('採算表(VND)'!E63/$N$1,2)</f>
        <v>35.11</v>
      </c>
      <c r="F63" s="138">
        <f>ROUNDUP('採算表(VND)'!F63/$N$1,2)</f>
        <v>50.43</v>
      </c>
      <c r="G63" s="138">
        <f>ROUNDUP('採算表(VND)'!G63/$N$1,2)</f>
        <v>45.269999999999996</v>
      </c>
      <c r="H63" s="138">
        <f>ROUNDUP('採算表(VND)'!H63/$N$1,2)</f>
        <v>40.71</v>
      </c>
      <c r="I63" s="138">
        <f>ROUNDUP('採算表(VND)'!I63/$N$1,2)</f>
        <v>50.919999999999995</v>
      </c>
      <c r="J63" s="138">
        <f>ROUNDUP('採算表(VND)'!J63/$N$1,2)</f>
        <v>52.37</v>
      </c>
      <c r="K63" s="138">
        <f>ROUNDUP('採算表(VND)'!K63/$N$1,2)</f>
        <v>50.58</v>
      </c>
      <c r="L63" s="138">
        <f>ROUNDUP('採算表(VND)'!L63/$N$1,2)</f>
        <v>39.549999999999997</v>
      </c>
      <c r="M63" s="138">
        <f>ROUNDUP('採算表(VND)'!M63/$N$1,2)</f>
        <v>41.39</v>
      </c>
      <c r="N63" s="138">
        <f>ROUNDUP('採算表(VND)'!N63/$N$1,2)</f>
        <v>40.68</v>
      </c>
      <c r="O63" s="138">
        <f t="shared" si="4"/>
        <v>639.50999999999988</v>
      </c>
    </row>
    <row r="64" spans="1:15" ht="11.25" customHeight="1">
      <c r="A64" s="38"/>
      <c r="B64" s="37" t="s">
        <v>143</v>
      </c>
      <c r="C64" s="138">
        <f>ROUNDUP('採算表(VND)'!C64/$N$1,2)</f>
        <v>1705.56</v>
      </c>
      <c r="D64" s="138">
        <f>ROUNDUP('採算表(VND)'!D64/$N$1,2)</f>
        <v>2179.0100000000002</v>
      </c>
      <c r="E64" s="138">
        <f>ROUNDUP('採算表(VND)'!E64/$N$1,2)</f>
        <v>1613.24</v>
      </c>
      <c r="F64" s="138">
        <f>ROUNDUP('採算表(VND)'!F64/$N$1,2)</f>
        <v>3098.53</v>
      </c>
      <c r="G64" s="138">
        <f>ROUNDUP('採算表(VND)'!G64/$N$1,2)</f>
        <v>1726.42</v>
      </c>
      <c r="H64" s="138">
        <f>ROUNDUP('採算表(VND)'!H64/$N$1,2)</f>
        <v>1687.47</v>
      </c>
      <c r="I64" s="138">
        <f>ROUNDUP('採算表(VND)'!I64/$N$1,2)</f>
        <v>2143.23</v>
      </c>
      <c r="J64" s="138">
        <f>ROUNDUP('採算表(VND)'!J64/$N$1,2)</f>
        <v>1805.61</v>
      </c>
      <c r="K64" s="138">
        <f>ROUNDUP('採算表(VND)'!K64/$N$1,2)</f>
        <v>1785.78</v>
      </c>
      <c r="L64" s="138">
        <f>ROUNDUP('採算表(VND)'!L64/$N$1,2)</f>
        <v>1987.95</v>
      </c>
      <c r="M64" s="138">
        <f>ROUNDUP('採算表(VND)'!M64/$N$1,2)</f>
        <v>1372.79</v>
      </c>
      <c r="N64" s="138">
        <f>ROUNDUP('採算表(VND)'!N64/$N$1,2)</f>
        <v>1416.71</v>
      </c>
      <c r="O64" s="138">
        <f t="shared" si="4"/>
        <v>22522.3</v>
      </c>
    </row>
    <row r="65" spans="1:15" ht="11.25" customHeight="1">
      <c r="A65" s="38"/>
      <c r="B65" s="37" t="s">
        <v>111</v>
      </c>
      <c r="C65" s="135">
        <f>ROUNDUP('採算表(VND)'!C65/$N$1,2)</f>
        <v>0</v>
      </c>
      <c r="D65" s="135">
        <f>ROUNDUP('採算表(VND)'!D65/$N$1,2)</f>
        <v>0</v>
      </c>
      <c r="E65" s="135">
        <f>ROUNDUP('採算表(VND)'!E65/$N$1,2)</f>
        <v>0</v>
      </c>
      <c r="F65" s="135">
        <f>ROUNDUP('採算表(VND)'!F65/$N$1,2)</f>
        <v>0</v>
      </c>
      <c r="G65" s="135">
        <f>ROUNDUP('採算表(VND)'!G65/$N$1,2)</f>
        <v>0</v>
      </c>
      <c r="H65" s="135">
        <f>ROUNDUP('採算表(VND)'!H65/$N$1,2)</f>
        <v>0</v>
      </c>
      <c r="I65" s="135">
        <f>ROUNDUP('採算表(VND)'!I65/$N$1,2)</f>
        <v>0</v>
      </c>
      <c r="J65" s="135">
        <f>ROUNDUP('採算表(VND)'!J65/$N$1,2)</f>
        <v>0</v>
      </c>
      <c r="K65" s="135">
        <f>ROUNDUP('採算表(VND)'!K65/$N$1,2)</f>
        <v>0</v>
      </c>
      <c r="L65" s="135">
        <f>ROUNDUP('採算表(VND)'!L65/$N$1,2)</f>
        <v>0</v>
      </c>
      <c r="M65" s="135">
        <f>ROUNDUP('採算表(VND)'!M65/$N$1,2)</f>
        <v>0</v>
      </c>
      <c r="N65" s="135">
        <f>ROUNDUP('採算表(VND)'!N65/$N$1,2)</f>
        <v>0</v>
      </c>
      <c r="O65" s="135">
        <f t="shared" si="4"/>
        <v>0</v>
      </c>
    </row>
    <row r="66" spans="1:15" ht="11.25" customHeight="1">
      <c r="A66" s="26"/>
      <c r="B66" s="32" t="s">
        <v>77</v>
      </c>
      <c r="C66" s="133">
        <f>C12-C13</f>
        <v>154629.20000000001</v>
      </c>
      <c r="D66" s="133">
        <f t="shared" ref="D66:O66" si="5">IF(ISBLANK(D4),"",D12-D13)</f>
        <v>43777.659999999996</v>
      </c>
      <c r="E66" s="133">
        <f t="shared" si="5"/>
        <v>34690.820000000007</v>
      </c>
      <c r="F66" s="133">
        <f t="shared" si="5"/>
        <v>38665.25</v>
      </c>
      <c r="G66" s="133">
        <f t="shared" si="5"/>
        <v>41861.4</v>
      </c>
      <c r="H66" s="133">
        <f t="shared" si="5"/>
        <v>44976.54</v>
      </c>
      <c r="I66" s="133">
        <f t="shared" si="5"/>
        <v>42269.73</v>
      </c>
      <c r="J66" s="133">
        <f t="shared" si="5"/>
        <v>66603.570000000007</v>
      </c>
      <c r="K66" s="133">
        <f t="shared" si="5"/>
        <v>68725.64</v>
      </c>
      <c r="L66" s="133">
        <f t="shared" si="5"/>
        <v>68329.37</v>
      </c>
      <c r="M66" s="133">
        <f t="shared" si="5"/>
        <v>66896.850000000006</v>
      </c>
      <c r="N66" s="133">
        <f t="shared" si="5"/>
        <v>67812.23</v>
      </c>
      <c r="O66" s="133">
        <f t="shared" si="5"/>
        <v>739238.25999999989</v>
      </c>
    </row>
    <row r="67" spans="1:15" ht="11.25" customHeight="1">
      <c r="A67" s="26"/>
      <c r="B67" s="28" t="s">
        <v>78</v>
      </c>
      <c r="C67" s="132">
        <f>C73+C79</f>
        <v>3615.5</v>
      </c>
      <c r="D67" s="132">
        <f t="shared" ref="D67:O67" si="6">IF(ISBLANK(D4),"",D73+D79)</f>
        <v>3441.25</v>
      </c>
      <c r="E67" s="132">
        <f t="shared" si="6"/>
        <v>3794.75</v>
      </c>
      <c r="F67" s="132">
        <f t="shared" si="6"/>
        <v>4197</v>
      </c>
      <c r="G67" s="132">
        <f t="shared" si="6"/>
        <v>3661</v>
      </c>
      <c r="H67" s="132">
        <f t="shared" si="6"/>
        <v>3480.75</v>
      </c>
      <c r="I67" s="132">
        <f t="shared" si="6"/>
        <v>4683.25</v>
      </c>
      <c r="J67" s="132">
        <f t="shared" si="6"/>
        <v>4082.75</v>
      </c>
      <c r="K67" s="132">
        <f t="shared" si="6"/>
        <v>4485.25</v>
      </c>
      <c r="L67" s="132">
        <f t="shared" si="6"/>
        <v>4085.75</v>
      </c>
      <c r="M67" s="132">
        <f t="shared" si="6"/>
        <v>3023.5</v>
      </c>
      <c r="N67" s="132">
        <f t="shared" si="6"/>
        <v>4087</v>
      </c>
      <c r="O67" s="132">
        <f t="shared" si="6"/>
        <v>46637.75</v>
      </c>
    </row>
    <row r="68" spans="1:15" ht="11.25" customHeight="1">
      <c r="A68" s="38"/>
      <c r="B68" s="46" t="s">
        <v>144</v>
      </c>
      <c r="C68" s="134">
        <f>'採算表(VND)'!C68</f>
        <v>2992</v>
      </c>
      <c r="D68" s="134">
        <f>'採算表(VND)'!D68</f>
        <v>2839</v>
      </c>
      <c r="E68" s="134">
        <f>'採算表(VND)'!E68</f>
        <v>3145</v>
      </c>
      <c r="F68" s="134">
        <f>'採算表(VND)'!F68</f>
        <v>3451</v>
      </c>
      <c r="G68" s="134">
        <f>'採算表(VND)'!G68</f>
        <v>2992</v>
      </c>
      <c r="H68" s="134">
        <f>'採算表(VND)'!H68</f>
        <v>2839</v>
      </c>
      <c r="I68" s="134">
        <f>'採算表(VND)'!I68</f>
        <v>3842</v>
      </c>
      <c r="J68" s="134">
        <f>'採算表(VND)'!J68</f>
        <v>3332</v>
      </c>
      <c r="K68" s="134">
        <f>'採算表(VND)'!K68</f>
        <v>3672</v>
      </c>
      <c r="L68" s="134">
        <f>'採算表(VND)'!L68</f>
        <v>3332</v>
      </c>
      <c r="M68" s="134">
        <f>'採算表(VND)'!M68</f>
        <v>2439.5</v>
      </c>
      <c r="N68" s="134">
        <f>'採算表(VND)'!N68</f>
        <v>3332</v>
      </c>
      <c r="O68" s="134">
        <f>SUM(C68:N68)</f>
        <v>38207.5</v>
      </c>
    </row>
    <row r="69" spans="1:15" ht="11.25" customHeight="1">
      <c r="A69" s="38"/>
      <c r="B69" s="46" t="s">
        <v>88</v>
      </c>
      <c r="C69" s="135">
        <f>'採算表(VND)'!C69</f>
        <v>0</v>
      </c>
      <c r="D69" s="135">
        <f>'採算表(VND)'!D69</f>
        <v>0</v>
      </c>
      <c r="E69" s="135">
        <f>'採算表(VND)'!E69</f>
        <v>0</v>
      </c>
      <c r="F69" s="135">
        <f>'採算表(VND)'!F69</f>
        <v>0</v>
      </c>
      <c r="G69" s="135">
        <f>'採算表(VND)'!G69</f>
        <v>0</v>
      </c>
      <c r="H69" s="135">
        <f>'採算表(VND)'!H69</f>
        <v>0</v>
      </c>
      <c r="I69" s="135">
        <f>'採算表(VND)'!I69</f>
        <v>0</v>
      </c>
      <c r="J69" s="135">
        <f>'採算表(VND)'!J69</f>
        <v>0</v>
      </c>
      <c r="K69" s="135">
        <f>'採算表(VND)'!K69</f>
        <v>0</v>
      </c>
      <c r="L69" s="135">
        <f>'採算表(VND)'!L69</f>
        <v>0</v>
      </c>
      <c r="M69" s="135">
        <f>'採算表(VND)'!M69</f>
        <v>0</v>
      </c>
      <c r="N69" s="135">
        <f>'採算表(VND)'!N69</f>
        <v>0</v>
      </c>
      <c r="O69" s="135">
        <f>SUM(C69:N69)</f>
        <v>0</v>
      </c>
    </row>
    <row r="70" spans="1:15" ht="11.25" customHeight="1">
      <c r="A70" s="38"/>
      <c r="B70" s="47" t="s">
        <v>126</v>
      </c>
      <c r="C70" s="139">
        <f>'採算表(VND)'!C70</f>
        <v>10.25</v>
      </c>
      <c r="D70" s="139">
        <f>'採算表(VND)'!D70</f>
        <v>10.5</v>
      </c>
      <c r="E70" s="139">
        <f>'採算表(VND)'!E70</f>
        <v>11.5</v>
      </c>
      <c r="F70" s="139">
        <f>'採算表(VND)'!F70</f>
        <v>16.25</v>
      </c>
      <c r="G70" s="139">
        <f>'採算表(VND)'!G70</f>
        <v>14.25</v>
      </c>
      <c r="H70" s="139">
        <f>'採算表(VND)'!H70</f>
        <v>13.5</v>
      </c>
      <c r="I70" s="139">
        <f>'採算表(VND)'!I70</f>
        <v>16.5</v>
      </c>
      <c r="J70" s="139">
        <f>'採算表(VND)'!J70</f>
        <v>14.25</v>
      </c>
      <c r="K70" s="139">
        <f>'採算表(VND)'!K70</f>
        <v>15.75</v>
      </c>
      <c r="L70" s="139">
        <f>'採算表(VND)'!L70</f>
        <v>15</v>
      </c>
      <c r="M70" s="139">
        <f>'採算表(VND)'!M70</f>
        <v>11</v>
      </c>
      <c r="N70" s="139">
        <f>'採算表(VND)'!N70</f>
        <v>15</v>
      </c>
      <c r="O70" s="139">
        <f>SUM(C70:N70)</f>
        <v>163.75</v>
      </c>
    </row>
    <row r="71" spans="1:15" ht="11.25" customHeight="1">
      <c r="A71" s="38"/>
      <c r="B71" s="47" t="s">
        <v>127</v>
      </c>
      <c r="C71" s="139">
        <f>'採算表(VND)'!C71</f>
        <v>19.5</v>
      </c>
      <c r="D71" s="139">
        <f>'採算表(VND)'!D71</f>
        <v>18.25</v>
      </c>
      <c r="E71" s="139">
        <f>'採算表(VND)'!E71</f>
        <v>20.75</v>
      </c>
      <c r="F71" s="139">
        <f>'採算表(VND)'!F71</f>
        <v>31.25</v>
      </c>
      <c r="G71" s="139">
        <f>'採算表(VND)'!G71</f>
        <v>27</v>
      </c>
      <c r="H71" s="139">
        <f>'採算表(VND)'!H71</f>
        <v>26.5</v>
      </c>
      <c r="I71" s="139">
        <f>'採算表(VND)'!I71</f>
        <v>32.25</v>
      </c>
      <c r="J71" s="139">
        <f>'採算表(VND)'!J71</f>
        <v>28.25</v>
      </c>
      <c r="K71" s="139">
        <f>'採算表(VND)'!K71</f>
        <v>31.5</v>
      </c>
      <c r="L71" s="139">
        <f>'採算表(VND)'!L71</f>
        <v>28.25</v>
      </c>
      <c r="M71" s="139">
        <f>'採算表(VND)'!M71</f>
        <v>20.75</v>
      </c>
      <c r="N71" s="139">
        <f>'採算表(VND)'!N71</f>
        <v>28.25</v>
      </c>
      <c r="O71" s="139">
        <f>SUM(C71:N71)</f>
        <v>312.5</v>
      </c>
    </row>
    <row r="72" spans="1:15" ht="11.25" customHeight="1">
      <c r="A72" s="38"/>
      <c r="B72" s="40" t="s">
        <v>89</v>
      </c>
      <c r="C72" s="140">
        <f>'採算表(VND)'!C72</f>
        <v>85.25</v>
      </c>
      <c r="D72" s="140">
        <f>'採算表(VND)'!D72</f>
        <v>85.5</v>
      </c>
      <c r="E72" s="140">
        <f>'採算表(VND)'!E72</f>
        <v>89.75</v>
      </c>
      <c r="F72" s="140">
        <f>'採算表(VND)'!F72</f>
        <v>128.5</v>
      </c>
      <c r="G72" s="140">
        <f>'採算表(VND)'!G72</f>
        <v>117.25</v>
      </c>
      <c r="H72" s="140">
        <f>'採算表(VND)'!H72</f>
        <v>110</v>
      </c>
      <c r="I72" s="140">
        <f>'採算表(VND)'!I72</f>
        <v>130.25</v>
      </c>
      <c r="J72" s="140">
        <f>'採算表(VND)'!J72</f>
        <v>118.5</v>
      </c>
      <c r="K72" s="140">
        <f>'採算表(VND)'!K72</f>
        <v>128</v>
      </c>
      <c r="L72" s="140">
        <f>'採算表(VND)'!L72</f>
        <v>120.75</v>
      </c>
      <c r="M72" s="140">
        <f>'採算表(VND)'!M72</f>
        <v>90</v>
      </c>
      <c r="N72" s="140">
        <f>'採算表(VND)'!N72</f>
        <v>121.25</v>
      </c>
      <c r="O72" s="140">
        <f>SUM(C72:N72)</f>
        <v>1325</v>
      </c>
    </row>
    <row r="73" spans="1:15" ht="11.25" customHeight="1">
      <c r="A73" s="38"/>
      <c r="B73" s="41" t="s">
        <v>145</v>
      </c>
      <c r="C73" s="141">
        <f>SUM(C68:C72)</f>
        <v>3107</v>
      </c>
      <c r="D73" s="141">
        <f t="shared" ref="D73:O73" si="7">IF(ISBLANK(D4),"",SUM(D68:D72))</f>
        <v>2953.25</v>
      </c>
      <c r="E73" s="141">
        <f t="shared" si="7"/>
        <v>3267</v>
      </c>
      <c r="F73" s="141">
        <f t="shared" si="7"/>
        <v>3627</v>
      </c>
      <c r="G73" s="141">
        <f t="shared" si="7"/>
        <v>3150.5</v>
      </c>
      <c r="H73" s="141">
        <f t="shared" si="7"/>
        <v>2989</v>
      </c>
      <c r="I73" s="141">
        <f t="shared" si="7"/>
        <v>4021</v>
      </c>
      <c r="J73" s="141">
        <f t="shared" si="7"/>
        <v>3493</v>
      </c>
      <c r="K73" s="141">
        <f t="shared" si="7"/>
        <v>3847.25</v>
      </c>
      <c r="L73" s="141">
        <f t="shared" si="7"/>
        <v>3496</v>
      </c>
      <c r="M73" s="141">
        <f t="shared" si="7"/>
        <v>2561.25</v>
      </c>
      <c r="N73" s="141">
        <f t="shared" si="7"/>
        <v>3496.5</v>
      </c>
      <c r="O73" s="141">
        <f t="shared" si="7"/>
        <v>40008.75</v>
      </c>
    </row>
    <row r="74" spans="1:15" ht="11.25" customHeight="1">
      <c r="A74" s="38"/>
      <c r="B74" s="39" t="s">
        <v>86</v>
      </c>
      <c r="C74" s="134">
        <f>'採算表(VND)'!C74</f>
        <v>502</v>
      </c>
      <c r="D74" s="134">
        <f>'採算表(VND)'!D74</f>
        <v>482</v>
      </c>
      <c r="E74" s="134">
        <f>'採算表(VND)'!E74</f>
        <v>522</v>
      </c>
      <c r="F74" s="134">
        <f>'採算表(VND)'!F74</f>
        <v>562</v>
      </c>
      <c r="G74" s="134">
        <f>'採算表(VND)'!G74</f>
        <v>502</v>
      </c>
      <c r="H74" s="134">
        <f>'採算表(VND)'!H74</f>
        <v>482</v>
      </c>
      <c r="I74" s="134">
        <f>'採算表(VND)'!I74</f>
        <v>654</v>
      </c>
      <c r="J74" s="134">
        <f>'採算表(VND)'!J74</f>
        <v>582</v>
      </c>
      <c r="K74" s="134">
        <f>'採算表(VND)'!K74</f>
        <v>630</v>
      </c>
      <c r="L74" s="134">
        <f>'採算表(VND)'!L74</f>
        <v>582</v>
      </c>
      <c r="M74" s="134">
        <f>'採算表(VND)'!M74</f>
        <v>452</v>
      </c>
      <c r="N74" s="134">
        <f>'採算表(VND)'!N74</f>
        <v>582</v>
      </c>
      <c r="O74" s="134">
        <f>SUM(C74:N74)</f>
        <v>6534</v>
      </c>
    </row>
    <row r="75" spans="1:15">
      <c r="A75" s="38"/>
      <c r="B75" s="37" t="s">
        <v>88</v>
      </c>
      <c r="C75" s="135">
        <f>'採算表(VND)'!C75</f>
        <v>0</v>
      </c>
      <c r="D75" s="135">
        <f>'採算表(VND)'!D75</f>
        <v>0</v>
      </c>
      <c r="E75" s="135">
        <f>'採算表(VND)'!E75</f>
        <v>0</v>
      </c>
      <c r="F75" s="135">
        <f>'採算表(VND)'!F75</f>
        <v>0</v>
      </c>
      <c r="G75" s="135">
        <f>'採算表(VND)'!G75</f>
        <v>0</v>
      </c>
      <c r="H75" s="135">
        <f>'採算表(VND)'!H75</f>
        <v>0</v>
      </c>
      <c r="I75" s="135">
        <f>'採算表(VND)'!I75</f>
        <v>0</v>
      </c>
      <c r="J75" s="135">
        <f>'採算表(VND)'!J75</f>
        <v>0</v>
      </c>
      <c r="K75" s="135">
        <f>'採算表(VND)'!K75</f>
        <v>0</v>
      </c>
      <c r="L75" s="135">
        <f>'採算表(VND)'!L75</f>
        <v>0</v>
      </c>
      <c r="M75" s="135">
        <f>'採算表(VND)'!M75</f>
        <v>0</v>
      </c>
      <c r="N75" s="135">
        <f>'採算表(VND)'!N75</f>
        <v>0</v>
      </c>
      <c r="O75" s="135">
        <f>SUM(C75:N75)</f>
        <v>0</v>
      </c>
    </row>
    <row r="76" spans="1:15">
      <c r="A76" s="38"/>
      <c r="B76" s="37" t="s">
        <v>126</v>
      </c>
      <c r="C76" s="139">
        <f>'採算表(VND)'!C76</f>
        <v>0.75</v>
      </c>
      <c r="D76" s="139">
        <f>'採算表(VND)'!D76</f>
        <v>0.75</v>
      </c>
      <c r="E76" s="139">
        <f>'採算表(VND)'!E76</f>
        <v>0.75</v>
      </c>
      <c r="F76" s="139">
        <f>'採算表(VND)'!F76</f>
        <v>1</v>
      </c>
      <c r="G76" s="139">
        <f>'採算表(VND)'!G76</f>
        <v>1</v>
      </c>
      <c r="H76" s="139">
        <f>'採算表(VND)'!H76</f>
        <v>0.75</v>
      </c>
      <c r="I76" s="139">
        <f>'採算表(VND)'!I76</f>
        <v>1</v>
      </c>
      <c r="J76" s="139">
        <f>'採算表(VND)'!J76</f>
        <v>0.75</v>
      </c>
      <c r="K76" s="139">
        <f>'採算表(VND)'!K76</f>
        <v>1</v>
      </c>
      <c r="L76" s="139">
        <f>'採算表(VND)'!L76</f>
        <v>0.75</v>
      </c>
      <c r="M76" s="139">
        <f>'採算表(VND)'!M76</f>
        <v>0.75</v>
      </c>
      <c r="N76" s="139">
        <f>'採算表(VND)'!N76</f>
        <v>0.75</v>
      </c>
      <c r="O76" s="139">
        <f>SUM(C76:N76)</f>
        <v>10</v>
      </c>
    </row>
    <row r="77" spans="1:15">
      <c r="A77" s="38"/>
      <c r="B77" s="37" t="s">
        <v>127</v>
      </c>
      <c r="C77" s="139">
        <f>'採算表(VND)'!C77</f>
        <v>1.25</v>
      </c>
      <c r="D77" s="139">
        <f>'採算表(VND)'!D77</f>
        <v>1.25</v>
      </c>
      <c r="E77" s="139">
        <f>'採算表(VND)'!E77</f>
        <v>1.25</v>
      </c>
      <c r="F77" s="139">
        <f>'採算表(VND)'!F77</f>
        <v>2</v>
      </c>
      <c r="G77" s="139">
        <f>'採算表(VND)'!G77</f>
        <v>2</v>
      </c>
      <c r="H77" s="139">
        <f>'採算表(VND)'!H77</f>
        <v>2</v>
      </c>
      <c r="I77" s="139">
        <f>'採算表(VND)'!I77</f>
        <v>2.25</v>
      </c>
      <c r="J77" s="139">
        <f>'採算表(VND)'!J77</f>
        <v>2</v>
      </c>
      <c r="K77" s="139">
        <f>'採算表(VND)'!K77</f>
        <v>2</v>
      </c>
      <c r="L77" s="139">
        <f>'採算表(VND)'!L77</f>
        <v>2.25</v>
      </c>
      <c r="M77" s="139">
        <f>'採算表(VND)'!M77</f>
        <v>1.75</v>
      </c>
      <c r="N77" s="139">
        <f>'採算表(VND)'!N77</f>
        <v>2.25</v>
      </c>
      <c r="O77" s="139">
        <f>SUM(C77:N77)</f>
        <v>22.25</v>
      </c>
    </row>
    <row r="78" spans="1:15">
      <c r="A78" s="38"/>
      <c r="B78" s="40" t="s">
        <v>89</v>
      </c>
      <c r="C78" s="140">
        <f>'採算表(VND)'!C78</f>
        <v>4.5</v>
      </c>
      <c r="D78" s="140">
        <f>'採算表(VND)'!D78</f>
        <v>4</v>
      </c>
      <c r="E78" s="140">
        <f>'採算表(VND)'!E78</f>
        <v>3.75</v>
      </c>
      <c r="F78" s="140">
        <f>'採算表(VND)'!F78</f>
        <v>5</v>
      </c>
      <c r="G78" s="140">
        <f>'採算表(VND)'!G78</f>
        <v>5.5</v>
      </c>
      <c r="H78" s="140">
        <f>'採算表(VND)'!H78</f>
        <v>7</v>
      </c>
      <c r="I78" s="140">
        <f>'採算表(VND)'!I78</f>
        <v>5</v>
      </c>
      <c r="J78" s="140">
        <f>'採算表(VND)'!J78</f>
        <v>5</v>
      </c>
      <c r="K78" s="140">
        <f>'採算表(VND)'!K78</f>
        <v>5</v>
      </c>
      <c r="L78" s="140">
        <f>'採算表(VND)'!L78</f>
        <v>4.75</v>
      </c>
      <c r="M78" s="140">
        <f>'採算表(VND)'!M78</f>
        <v>7.75</v>
      </c>
      <c r="N78" s="140">
        <f>'採算表(VND)'!N78</f>
        <v>5.5</v>
      </c>
      <c r="O78" s="140">
        <f>SUM(C78:N78)</f>
        <v>62.75</v>
      </c>
    </row>
    <row r="79" spans="1:15" ht="14.25" customHeight="1">
      <c r="A79" s="38"/>
      <c r="B79" s="41" t="s">
        <v>156</v>
      </c>
      <c r="C79" s="141">
        <f>SUM(C74:C78)</f>
        <v>508.5</v>
      </c>
      <c r="D79" s="141">
        <f t="shared" ref="D79:O79" si="8">IF(ISBLANK(D4),"",SUM(D74:D78))</f>
        <v>488</v>
      </c>
      <c r="E79" s="141">
        <f t="shared" si="8"/>
        <v>527.75</v>
      </c>
      <c r="F79" s="141">
        <f t="shared" si="8"/>
        <v>570</v>
      </c>
      <c r="G79" s="141">
        <f t="shared" si="8"/>
        <v>510.5</v>
      </c>
      <c r="H79" s="141">
        <f t="shared" si="8"/>
        <v>491.75</v>
      </c>
      <c r="I79" s="141">
        <f t="shared" si="8"/>
        <v>662.25</v>
      </c>
      <c r="J79" s="141">
        <f t="shared" si="8"/>
        <v>589.75</v>
      </c>
      <c r="K79" s="141">
        <f t="shared" si="8"/>
        <v>638</v>
      </c>
      <c r="L79" s="141">
        <f t="shared" si="8"/>
        <v>589.75</v>
      </c>
      <c r="M79" s="141">
        <f t="shared" si="8"/>
        <v>462.25</v>
      </c>
      <c r="N79" s="141">
        <f t="shared" si="8"/>
        <v>590.5</v>
      </c>
      <c r="O79" s="141">
        <f t="shared" si="8"/>
        <v>6629</v>
      </c>
    </row>
    <row r="80" spans="1:15" ht="14.25" customHeight="1">
      <c r="A80" s="26"/>
      <c r="B80" s="32" t="s">
        <v>79</v>
      </c>
      <c r="C80" s="142">
        <f>IFERROR(ROUNDDOWN(C66/C67,0),0)</f>
        <v>42</v>
      </c>
      <c r="D80" s="143">
        <f t="shared" ref="D80:O80" si="9">IFERROR(ROUNDDOWN(D66/D67,0),0)</f>
        <v>12</v>
      </c>
      <c r="E80" s="143">
        <f t="shared" si="9"/>
        <v>9</v>
      </c>
      <c r="F80" s="143">
        <f t="shared" si="9"/>
        <v>9</v>
      </c>
      <c r="G80" s="143">
        <f t="shared" si="9"/>
        <v>11</v>
      </c>
      <c r="H80" s="143">
        <f t="shared" si="9"/>
        <v>12</v>
      </c>
      <c r="I80" s="143">
        <f t="shared" si="9"/>
        <v>9</v>
      </c>
      <c r="J80" s="143">
        <f t="shared" si="9"/>
        <v>16</v>
      </c>
      <c r="K80" s="143">
        <f t="shared" si="9"/>
        <v>15</v>
      </c>
      <c r="L80" s="143">
        <f t="shared" si="9"/>
        <v>16</v>
      </c>
      <c r="M80" s="143">
        <f t="shared" si="9"/>
        <v>22</v>
      </c>
      <c r="N80" s="143">
        <f t="shared" si="9"/>
        <v>16</v>
      </c>
      <c r="O80" s="143">
        <f t="shared" si="9"/>
        <v>15</v>
      </c>
    </row>
    <row r="81" spans="1:15" ht="14.25" customHeight="1">
      <c r="A81" s="26"/>
      <c r="B81" s="42" t="s">
        <v>80</v>
      </c>
      <c r="C81" s="144">
        <f>IFERROR(ROUNDDOWN(C12/C67,0),0)</f>
        <v>43</v>
      </c>
      <c r="D81" s="145">
        <f t="shared" ref="D81:O81" si="10">IFERROR(ROUNDDOWN(D12/D67,0),0)</f>
        <v>13</v>
      </c>
      <c r="E81" s="145">
        <f t="shared" si="10"/>
        <v>10</v>
      </c>
      <c r="F81" s="145">
        <f t="shared" si="10"/>
        <v>10</v>
      </c>
      <c r="G81" s="145">
        <f t="shared" si="10"/>
        <v>12</v>
      </c>
      <c r="H81" s="145">
        <f t="shared" si="10"/>
        <v>13</v>
      </c>
      <c r="I81" s="145">
        <f t="shared" si="10"/>
        <v>9</v>
      </c>
      <c r="J81" s="145">
        <f t="shared" si="10"/>
        <v>16</v>
      </c>
      <c r="K81" s="145">
        <f t="shared" si="10"/>
        <v>15</v>
      </c>
      <c r="L81" s="145">
        <f t="shared" si="10"/>
        <v>17</v>
      </c>
      <c r="M81" s="145">
        <f t="shared" si="10"/>
        <v>22</v>
      </c>
      <c r="N81" s="145">
        <f t="shared" si="10"/>
        <v>17</v>
      </c>
      <c r="O81" s="145">
        <f t="shared" si="10"/>
        <v>16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</row>
    <row r="87" spans="1:15">
      <c r="A87" s="43"/>
      <c r="B87" s="59" t="s">
        <v>343</v>
      </c>
      <c r="C87" s="149">
        <f>'採算表(VND)'!C87</f>
        <v>9</v>
      </c>
      <c r="D87" s="149">
        <f>'採算表(VND)'!D87</f>
        <v>9</v>
      </c>
      <c r="E87" s="149">
        <f>'採算表(VND)'!E87</f>
        <v>9</v>
      </c>
      <c r="F87" s="149">
        <f>'採算表(VND)'!F87</f>
        <v>9</v>
      </c>
      <c r="G87" s="149">
        <f>'採算表(VND)'!G87</f>
        <v>9</v>
      </c>
      <c r="H87" s="149">
        <f>'採算表(VND)'!H87</f>
        <v>9</v>
      </c>
      <c r="I87" s="149">
        <f>'採算表(VND)'!I87</f>
        <v>11</v>
      </c>
      <c r="J87" s="149">
        <f>'採算表(VND)'!J87</f>
        <v>11</v>
      </c>
      <c r="K87" s="149">
        <f>'採算表(VND)'!K87</f>
        <v>11</v>
      </c>
      <c r="L87" s="149">
        <f>'採算表(VND)'!L87</f>
        <v>11</v>
      </c>
      <c r="M87" s="149">
        <f>'採算表(VND)'!M87</f>
        <v>11</v>
      </c>
      <c r="N87" s="149">
        <f>'採算表(VND)'!N87</f>
        <v>11</v>
      </c>
      <c r="O87" s="149">
        <f>SUM(C87:N87)</f>
        <v>120</v>
      </c>
    </row>
    <row r="88" spans="1:15">
      <c r="A88" s="43"/>
      <c r="B88" s="59" t="s">
        <v>344</v>
      </c>
      <c r="C88" s="149">
        <f>'採算表(VND)'!C88</f>
        <v>9</v>
      </c>
      <c r="D88" s="149">
        <f>'採算表(VND)'!D88</f>
        <v>9</v>
      </c>
      <c r="E88" s="149">
        <f>'採算表(VND)'!E88</f>
        <v>9</v>
      </c>
      <c r="F88" s="149">
        <f>'採算表(VND)'!F88</f>
        <v>9</v>
      </c>
      <c r="G88" s="149">
        <f>'採算表(VND)'!G88</f>
        <v>9</v>
      </c>
      <c r="H88" s="149">
        <f>'採算表(VND)'!H88</f>
        <v>9</v>
      </c>
      <c r="I88" s="149">
        <f>'採算表(VND)'!I88</f>
        <v>9</v>
      </c>
      <c r="J88" s="149">
        <f>'採算表(VND)'!J88</f>
        <v>9</v>
      </c>
      <c r="K88" s="149">
        <f>'採算表(VND)'!K88</f>
        <v>9</v>
      </c>
      <c r="L88" s="149">
        <f>'採算表(VND)'!L88</f>
        <v>9</v>
      </c>
      <c r="M88" s="149">
        <f>'採算表(VND)'!M88</f>
        <v>9</v>
      </c>
      <c r="N88" s="149">
        <f>'採算表(VND)'!N88</f>
        <v>9</v>
      </c>
      <c r="O88" s="149">
        <f>SUM(C88:N88)</f>
        <v>108</v>
      </c>
    </row>
    <row r="89" spans="1:15">
      <c r="A89" s="44"/>
      <c r="B89" s="60" t="s">
        <v>18</v>
      </c>
      <c r="C89" s="150">
        <f t="shared" ref="C89:O89" si="11">C87+C88</f>
        <v>18</v>
      </c>
      <c r="D89" s="150">
        <f t="shared" si="11"/>
        <v>18</v>
      </c>
      <c r="E89" s="150">
        <f t="shared" si="11"/>
        <v>18</v>
      </c>
      <c r="F89" s="150">
        <f t="shared" si="11"/>
        <v>18</v>
      </c>
      <c r="G89" s="150">
        <f t="shared" si="11"/>
        <v>18</v>
      </c>
      <c r="H89" s="150">
        <f t="shared" si="11"/>
        <v>18</v>
      </c>
      <c r="I89" s="150">
        <f t="shared" si="11"/>
        <v>20</v>
      </c>
      <c r="J89" s="150">
        <f t="shared" si="11"/>
        <v>20</v>
      </c>
      <c r="K89" s="150">
        <f t="shared" si="11"/>
        <v>20</v>
      </c>
      <c r="L89" s="150">
        <f t="shared" si="11"/>
        <v>20</v>
      </c>
      <c r="M89" s="150">
        <f t="shared" si="11"/>
        <v>20</v>
      </c>
      <c r="N89" s="150">
        <f t="shared" si="11"/>
        <v>20</v>
      </c>
      <c r="O89" s="150">
        <f t="shared" si="11"/>
        <v>228</v>
      </c>
    </row>
    <row r="91" spans="1:15">
      <c r="B91" s="58" t="s">
        <v>19</v>
      </c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</row>
    <row r="92" spans="1:15">
      <c r="B92" s="59" t="s">
        <v>324</v>
      </c>
      <c r="C92" s="132">
        <f>'採算表(VND)'!C92</f>
        <v>1521.5</v>
      </c>
      <c r="D92" s="132">
        <f>'採算表(VND)'!D92</f>
        <v>1445</v>
      </c>
      <c r="E92" s="132">
        <f>'採算表(VND)'!E92</f>
        <v>1598</v>
      </c>
      <c r="F92" s="132">
        <f>'採算表(VND)'!F92</f>
        <v>1751</v>
      </c>
      <c r="G92" s="132">
        <f>'採算表(VND)'!G92</f>
        <v>1521.5</v>
      </c>
      <c r="H92" s="132">
        <f>'採算表(VND)'!H92</f>
        <v>1445</v>
      </c>
      <c r="I92" s="132">
        <f>'採算表(VND)'!I92</f>
        <v>2142</v>
      </c>
      <c r="J92" s="132">
        <f>'採算表(VND)'!J92</f>
        <v>1861.5</v>
      </c>
      <c r="K92" s="132">
        <f>'採算表(VND)'!K92</f>
        <v>2048.5</v>
      </c>
      <c r="L92" s="132">
        <f>'採算表(VND)'!L92</f>
        <v>1861.5</v>
      </c>
      <c r="M92" s="132">
        <f>'採算表(VND)'!M92</f>
        <v>1351.5</v>
      </c>
      <c r="N92" s="132">
        <f>'採算表(VND)'!N92</f>
        <v>1861.5</v>
      </c>
      <c r="O92" s="132">
        <f>SUM(C92:N92)</f>
        <v>20408.5</v>
      </c>
    </row>
    <row r="93" spans="1:15">
      <c r="B93" s="59" t="s">
        <v>325</v>
      </c>
      <c r="C93" s="132">
        <f>'採算表(VND)'!C93</f>
        <v>1470.5</v>
      </c>
      <c r="D93" s="132">
        <f>'採算表(VND)'!D93</f>
        <v>1394</v>
      </c>
      <c r="E93" s="132">
        <f>'採算表(VND)'!E93</f>
        <v>1547</v>
      </c>
      <c r="F93" s="132">
        <f>'採算表(VND)'!F93</f>
        <v>1700</v>
      </c>
      <c r="G93" s="132">
        <f>'採算表(VND)'!G93</f>
        <v>1470.5</v>
      </c>
      <c r="H93" s="132">
        <f>'採算表(VND)'!H93</f>
        <v>1394</v>
      </c>
      <c r="I93" s="132">
        <f>'採算表(VND)'!I93</f>
        <v>1700</v>
      </c>
      <c r="J93" s="132">
        <f>'採算表(VND)'!J93</f>
        <v>1470.5</v>
      </c>
      <c r="K93" s="132">
        <f>'採算表(VND)'!K93</f>
        <v>1623.5</v>
      </c>
      <c r="L93" s="132">
        <f>'採算表(VND)'!L93</f>
        <v>1470.5</v>
      </c>
      <c r="M93" s="132">
        <f>'採算表(VND)'!M93</f>
        <v>1088</v>
      </c>
      <c r="N93" s="132">
        <f>'採算表(VND)'!N93</f>
        <v>1470.5</v>
      </c>
      <c r="O93" s="132">
        <f>SUM(C93:N93)</f>
        <v>17799</v>
      </c>
    </row>
    <row r="94" spans="1:15">
      <c r="B94" s="61" t="s">
        <v>18</v>
      </c>
      <c r="C94" s="146">
        <f t="shared" ref="C94:O94" si="12">C92+C93</f>
        <v>2992</v>
      </c>
      <c r="D94" s="146">
        <f t="shared" si="12"/>
        <v>2839</v>
      </c>
      <c r="E94" s="146">
        <f t="shared" si="12"/>
        <v>3145</v>
      </c>
      <c r="F94" s="146">
        <f t="shared" si="12"/>
        <v>3451</v>
      </c>
      <c r="G94" s="146">
        <f t="shared" si="12"/>
        <v>2992</v>
      </c>
      <c r="H94" s="146">
        <f t="shared" si="12"/>
        <v>2839</v>
      </c>
      <c r="I94" s="146">
        <f t="shared" si="12"/>
        <v>3842</v>
      </c>
      <c r="J94" s="146">
        <f t="shared" si="12"/>
        <v>3332</v>
      </c>
      <c r="K94" s="146">
        <f t="shared" si="12"/>
        <v>3672</v>
      </c>
      <c r="L94" s="146">
        <f t="shared" si="12"/>
        <v>3332</v>
      </c>
      <c r="M94" s="146">
        <f t="shared" si="12"/>
        <v>2439.5</v>
      </c>
      <c r="N94" s="146">
        <f t="shared" si="12"/>
        <v>3332</v>
      </c>
      <c r="O94" s="146">
        <f t="shared" si="12"/>
        <v>38207.5</v>
      </c>
    </row>
    <row r="95" spans="1:15"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</row>
    <row r="96" spans="1:15">
      <c r="B96" s="58" t="s">
        <v>20</v>
      </c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</row>
    <row r="97" spans="2:15">
      <c r="B97" s="59" t="s">
        <v>326</v>
      </c>
      <c r="C97" s="132">
        <f>'採算表(VND)'!C97</f>
        <v>358</v>
      </c>
      <c r="D97" s="132">
        <f>'採算表(VND)'!D97</f>
        <v>340</v>
      </c>
      <c r="E97" s="132">
        <f>'採算表(VND)'!E97</f>
        <v>376</v>
      </c>
      <c r="F97" s="132">
        <f>'採算表(VND)'!F97</f>
        <v>412</v>
      </c>
      <c r="G97" s="132">
        <f>'採算表(VND)'!G97</f>
        <v>358</v>
      </c>
      <c r="H97" s="132">
        <f>'採算表(VND)'!H97</f>
        <v>340</v>
      </c>
      <c r="I97" s="132">
        <f>'採算表(VND)'!I97</f>
        <v>504</v>
      </c>
      <c r="J97" s="132">
        <f>'採算表(VND)'!J97</f>
        <v>438</v>
      </c>
      <c r="K97" s="132">
        <f>'採算表(VND)'!K97</f>
        <v>482</v>
      </c>
      <c r="L97" s="132">
        <f>'採算表(VND)'!L97</f>
        <v>438</v>
      </c>
      <c r="M97" s="132">
        <f>'採算表(VND)'!M97</f>
        <v>318</v>
      </c>
      <c r="N97" s="132">
        <f>'採算表(VND)'!N97</f>
        <v>438</v>
      </c>
      <c r="O97" s="132">
        <f>SUM(C97:N97)</f>
        <v>4802</v>
      </c>
    </row>
    <row r="98" spans="2:15">
      <c r="B98" s="59" t="s">
        <v>327</v>
      </c>
      <c r="C98" s="132">
        <f>'採算表(VND)'!C98</f>
        <v>144</v>
      </c>
      <c r="D98" s="132">
        <f>'採算表(VND)'!D98</f>
        <v>142</v>
      </c>
      <c r="E98" s="132">
        <f>'採算表(VND)'!E98</f>
        <v>146</v>
      </c>
      <c r="F98" s="132">
        <f>'採算表(VND)'!F98</f>
        <v>150</v>
      </c>
      <c r="G98" s="132">
        <f>'採算表(VND)'!G98</f>
        <v>144</v>
      </c>
      <c r="H98" s="132">
        <f>'採算表(VND)'!H98</f>
        <v>142</v>
      </c>
      <c r="I98" s="132">
        <f>'採算表(VND)'!I98</f>
        <v>150</v>
      </c>
      <c r="J98" s="132">
        <f>'採算表(VND)'!J98</f>
        <v>144</v>
      </c>
      <c r="K98" s="132">
        <f>'採算表(VND)'!K98</f>
        <v>148</v>
      </c>
      <c r="L98" s="132">
        <f>'採算表(VND)'!L98</f>
        <v>144</v>
      </c>
      <c r="M98" s="132">
        <f>'採算表(VND)'!M98</f>
        <v>134</v>
      </c>
      <c r="N98" s="132">
        <f>'採算表(VND)'!N98</f>
        <v>144</v>
      </c>
      <c r="O98" s="132">
        <f>SUM(C98:N98)</f>
        <v>1732</v>
      </c>
    </row>
    <row r="99" spans="2:15">
      <c r="B99" s="61" t="s">
        <v>18</v>
      </c>
      <c r="C99" s="146">
        <f t="shared" ref="C99:O99" si="13">C97+C98</f>
        <v>502</v>
      </c>
      <c r="D99" s="146">
        <f t="shared" si="13"/>
        <v>482</v>
      </c>
      <c r="E99" s="146">
        <f t="shared" si="13"/>
        <v>522</v>
      </c>
      <c r="F99" s="146">
        <f t="shared" si="13"/>
        <v>562</v>
      </c>
      <c r="G99" s="146">
        <f t="shared" si="13"/>
        <v>502</v>
      </c>
      <c r="H99" s="146">
        <f t="shared" si="13"/>
        <v>482</v>
      </c>
      <c r="I99" s="146">
        <f t="shared" si="13"/>
        <v>654</v>
      </c>
      <c r="J99" s="146">
        <f t="shared" si="13"/>
        <v>582</v>
      </c>
      <c r="K99" s="146">
        <f t="shared" si="13"/>
        <v>630</v>
      </c>
      <c r="L99" s="146">
        <f t="shared" si="13"/>
        <v>582</v>
      </c>
      <c r="M99" s="146">
        <f t="shared" si="13"/>
        <v>452</v>
      </c>
      <c r="N99" s="146">
        <f t="shared" si="13"/>
        <v>582</v>
      </c>
      <c r="O99" s="146">
        <f t="shared" si="13"/>
        <v>6534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68D-6A8E-491A-A967-1D1BD0043AFC}">
  <sheetPr codeName="Sheet2"/>
  <dimension ref="A1:BI99"/>
  <sheetViews>
    <sheetView topLeftCell="A39" zoomScaleNormal="100" workbookViewId="0">
      <selection activeCell="C65" sqref="C65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7" t="str">
        <f>'内訳ﾘｽﾄ(4～3月)'!A1</f>
        <v>MP FY2026_各予定</v>
      </c>
      <c r="D1" s="98"/>
      <c r="E1" s="98"/>
      <c r="F1" s="99"/>
      <c r="G1" s="99"/>
      <c r="H1" s="99"/>
      <c r="I1" s="98"/>
      <c r="J1" s="99"/>
      <c r="K1" s="98"/>
      <c r="L1" s="100"/>
      <c r="M1" s="98"/>
      <c r="N1" s="96"/>
      <c r="O1" s="95"/>
    </row>
    <row r="2" spans="1:61" ht="14.25" customHeight="1" thickBot="1">
      <c r="B2" s="21" t="str">
        <f>'内訳ﾘｽﾄ(4～3月)'!C5</f>
        <v>MD2課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4"/>
      <c r="O2" s="94"/>
    </row>
    <row r="3" spans="1:61" ht="11.25" customHeight="1">
      <c r="C3" s="231">
        <v>2</v>
      </c>
      <c r="D3" s="231">
        <v>3</v>
      </c>
      <c r="E3" s="231">
        <v>4</v>
      </c>
      <c r="F3" s="231">
        <v>5</v>
      </c>
      <c r="G3" s="231">
        <v>6</v>
      </c>
      <c r="H3" s="231">
        <v>7</v>
      </c>
      <c r="I3" s="231">
        <v>8</v>
      </c>
      <c r="J3" s="231">
        <v>9</v>
      </c>
      <c r="K3" s="231">
        <v>10</v>
      </c>
      <c r="L3" s="231">
        <v>11</v>
      </c>
      <c r="M3" s="231">
        <v>12</v>
      </c>
      <c r="N3" s="231">
        <v>13</v>
      </c>
      <c r="O3" s="70"/>
    </row>
    <row r="4" spans="1:61">
      <c r="A4" s="24"/>
      <c r="B4" s="25" t="s">
        <v>71</v>
      </c>
      <c r="C4" s="69">
        <f>'内訳ﾘｽﾄ(4～3月)'!F4</f>
        <v>4</v>
      </c>
      <c r="D4" s="69">
        <v>5</v>
      </c>
      <c r="E4" s="69">
        <v>6</v>
      </c>
      <c r="F4" s="69">
        <v>7</v>
      </c>
      <c r="G4" s="69">
        <v>8</v>
      </c>
      <c r="H4" s="69">
        <v>9</v>
      </c>
      <c r="I4" s="69">
        <v>10</v>
      </c>
      <c r="J4" s="69">
        <v>11</v>
      </c>
      <c r="K4" s="69">
        <v>12</v>
      </c>
      <c r="L4" s="69">
        <v>1</v>
      </c>
      <c r="M4" s="69">
        <v>2</v>
      </c>
      <c r="N4" s="69">
        <v>3</v>
      </c>
      <c r="O4" s="51" t="s">
        <v>155</v>
      </c>
      <c r="AV4" s="72"/>
    </row>
    <row r="5" spans="1:61" ht="11.25" customHeight="1">
      <c r="A5" s="26"/>
      <c r="B5" s="27" t="s">
        <v>72</v>
      </c>
      <c r="C5" s="151">
        <f>C8+C9</f>
        <v>3990181700</v>
      </c>
      <c r="D5" s="151">
        <f t="shared" ref="D5:N5" si="0">D8+D9</f>
        <v>1202847188</v>
      </c>
      <c r="E5" s="151">
        <f t="shared" si="0"/>
        <v>988119388</v>
      </c>
      <c r="F5" s="151">
        <f t="shared" si="0"/>
        <v>1076681739</v>
      </c>
      <c r="G5" s="151">
        <f t="shared" si="0"/>
        <v>1121277497</v>
      </c>
      <c r="H5" s="151">
        <f t="shared" si="0"/>
        <v>1201402497</v>
      </c>
      <c r="I5" s="151">
        <f t="shared" si="0"/>
        <v>1146521250</v>
      </c>
      <c r="J5" s="151">
        <f t="shared" si="0"/>
        <v>1757397541</v>
      </c>
      <c r="K5" s="151">
        <f t="shared" si="0"/>
        <v>1811655209</v>
      </c>
      <c r="L5" s="151">
        <f t="shared" si="0"/>
        <v>1803667008</v>
      </c>
      <c r="M5" s="151">
        <f t="shared" si="0"/>
        <v>1750512789</v>
      </c>
      <c r="N5" s="151">
        <f t="shared" si="0"/>
        <v>1773855339</v>
      </c>
      <c r="O5" s="151">
        <f>O8+O9</f>
        <v>19624119145</v>
      </c>
      <c r="AD5" s="72"/>
      <c r="AE5" s="72"/>
      <c r="AQ5" s="74"/>
      <c r="AR5" s="74"/>
      <c r="AS5" s="74"/>
      <c r="AT5" s="74"/>
      <c r="AV5" s="73"/>
      <c r="AW5" s="73"/>
      <c r="AX5" s="73"/>
      <c r="AY5" s="73"/>
      <c r="BA5" s="75"/>
      <c r="BB5" s="75"/>
      <c r="BC5" s="75"/>
      <c r="BD5" s="75"/>
      <c r="BF5" s="72"/>
      <c r="BG5" s="72"/>
      <c r="BH5" s="72"/>
      <c r="BI5" s="72"/>
    </row>
    <row r="6" spans="1:61" ht="11.25" customHeight="1">
      <c r="A6" s="26"/>
      <c r="B6" s="29" t="s">
        <v>141</v>
      </c>
      <c r="C6" s="152">
        <f>SUMIF('内訳ﾘｽﾄ(4～3月)'!$D$26:$D$176,'採算表(VND)'!$B6,'内訳ﾘｽﾄ(4～3月)'!F$26:F$176)</f>
        <v>3990181700</v>
      </c>
      <c r="D6" s="152">
        <f>SUMIF('内訳ﾘｽﾄ(4～3月)'!$D$26:$D$176,'採算表(VND)'!$B6,'内訳ﾘｽﾄ(4～3月)'!G$26:G$176)</f>
        <v>1202847188</v>
      </c>
      <c r="E6" s="152">
        <f>SUMIF('内訳ﾘｽﾄ(4～3月)'!$D$26:$D$176,'採算表(VND)'!$B6,'内訳ﾘｽﾄ(4～3月)'!H$26:H$176)</f>
        <v>988119388</v>
      </c>
      <c r="F6" s="152">
        <f>SUMIF('内訳ﾘｽﾄ(4～3月)'!$D$26:$D$176,'採算表(VND)'!$B6,'内訳ﾘｽﾄ(4～3月)'!I$26:I$176)</f>
        <v>1076681739</v>
      </c>
      <c r="G6" s="152">
        <f>SUMIF('内訳ﾘｽﾄ(4～3月)'!$D$26:$D$176,'採算表(VND)'!$B6,'内訳ﾘｽﾄ(4～3月)'!J$26:J$176)</f>
        <v>1121277497</v>
      </c>
      <c r="H6" s="152">
        <f>SUMIF('内訳ﾘｽﾄ(4～3月)'!$D$26:$D$176,'採算表(VND)'!$B6,'内訳ﾘｽﾄ(4～3月)'!K$26:K$176)</f>
        <v>1201402497</v>
      </c>
      <c r="I6" s="152">
        <f>SUMIF('内訳ﾘｽﾄ(4～3月)'!$D$26:$D$176,'採算表(VND)'!$B6,'内訳ﾘｽﾄ(4～3月)'!L$26:L$176)</f>
        <v>1146521250</v>
      </c>
      <c r="J6" s="152">
        <f>SUMIF('内訳ﾘｽﾄ(4～3月)'!$D$26:$D$176,'採算表(VND)'!$B6,'内訳ﾘｽﾄ(4～3月)'!M$26:M$176)</f>
        <v>1757397541</v>
      </c>
      <c r="K6" s="152">
        <f>SUMIF('内訳ﾘｽﾄ(4～3月)'!$D$26:$D$176,'採算表(VND)'!$B6,'内訳ﾘｽﾄ(4～3月)'!N$26:N$176)</f>
        <v>1811655209</v>
      </c>
      <c r="L6" s="152">
        <f>SUMIF('内訳ﾘｽﾄ(4～3月)'!$D$26:$D$176,'採算表(VND)'!$B6,'内訳ﾘｽﾄ(4～3月)'!O$26:O$176)</f>
        <v>1803667008</v>
      </c>
      <c r="M6" s="152">
        <f>SUMIF('内訳ﾘｽﾄ(4～3月)'!$D$26:$D$176,'採算表(VND)'!$B6,'内訳ﾘｽﾄ(4～3月)'!P$26:P$176)</f>
        <v>1750512789</v>
      </c>
      <c r="N6" s="152">
        <f>SUMIF('内訳ﾘｽﾄ(4～3月)'!$D$26:$D$176,'採算表(VND)'!$B6,'内訳ﾘｽﾄ(4～3月)'!Q$26:Q$176)</f>
        <v>1773855339</v>
      </c>
      <c r="O6" s="152">
        <f>SUMIF('内訳ﾘｽﾄ(4～3月)'!$D$26:$D$176,'採算表(VND)'!$B6,'内訳ﾘｽﾄ(4～3月)'!R$26:R$176)</f>
        <v>19624119145</v>
      </c>
      <c r="AQ6" s="74"/>
      <c r="AR6" s="74"/>
      <c r="AS6" s="74"/>
      <c r="AT6" s="74"/>
      <c r="AV6" s="73"/>
      <c r="AW6" s="73"/>
      <c r="AX6" s="73"/>
      <c r="AY6" s="73"/>
      <c r="BA6" s="75"/>
      <c r="BB6" s="75"/>
      <c r="BC6" s="75"/>
      <c r="BD6" s="75"/>
      <c r="BF6" s="72"/>
      <c r="BG6" s="72"/>
      <c r="BH6" s="72"/>
      <c r="BI6" s="72"/>
    </row>
    <row r="7" spans="1:61" ht="11.25" customHeight="1">
      <c r="A7" s="26"/>
      <c r="B7" s="30" t="s">
        <v>112</v>
      </c>
      <c r="C7" s="153">
        <f>SUMIF('内訳ﾘｽﾄ(4～3月)'!$D$26:$D$176,'採算表(VND)'!$B7,'内訳ﾘｽﾄ(4～3月)'!F$26:F$176)</f>
        <v>0</v>
      </c>
      <c r="D7" s="153">
        <f>SUMIF('内訳ﾘｽﾄ(4～3月)'!$D$26:$D$176,'採算表(VND)'!$B7,'内訳ﾘｽﾄ(4～3月)'!G$26:G$176)</f>
        <v>0</v>
      </c>
      <c r="E7" s="153">
        <f>SUMIF('内訳ﾘｽﾄ(4～3月)'!$D$26:$D$176,'採算表(VND)'!$B7,'内訳ﾘｽﾄ(4～3月)'!H$26:H$176)</f>
        <v>0</v>
      </c>
      <c r="F7" s="153">
        <f>SUMIF('内訳ﾘｽﾄ(4～3月)'!$D$26:$D$176,'採算表(VND)'!$B7,'内訳ﾘｽﾄ(4～3月)'!I$26:I$176)</f>
        <v>0</v>
      </c>
      <c r="G7" s="153">
        <f>SUMIF('内訳ﾘｽﾄ(4～3月)'!$D$26:$D$176,'採算表(VND)'!$B7,'内訳ﾘｽﾄ(4～3月)'!J$26:J$176)</f>
        <v>0</v>
      </c>
      <c r="H7" s="153">
        <f>SUMIF('内訳ﾘｽﾄ(4～3月)'!$D$26:$D$176,'採算表(VND)'!$B7,'内訳ﾘｽﾄ(4～3月)'!K$26:K$176)</f>
        <v>0</v>
      </c>
      <c r="I7" s="153">
        <f>SUMIF('内訳ﾘｽﾄ(4～3月)'!$D$26:$D$176,'採算表(VND)'!$B7,'内訳ﾘｽﾄ(4～3月)'!L$26:L$176)</f>
        <v>0</v>
      </c>
      <c r="J7" s="153">
        <f>SUMIF('内訳ﾘｽﾄ(4～3月)'!$D$26:$D$176,'採算表(VND)'!$B7,'内訳ﾘｽﾄ(4～3月)'!M$26:M$176)</f>
        <v>0</v>
      </c>
      <c r="K7" s="153">
        <f>SUMIF('内訳ﾘｽﾄ(4～3月)'!$D$26:$D$176,'採算表(VND)'!$B7,'内訳ﾘｽﾄ(4～3月)'!N$26:N$176)</f>
        <v>0</v>
      </c>
      <c r="L7" s="153">
        <f>SUMIF('内訳ﾘｽﾄ(4～3月)'!$D$26:$D$176,'採算表(VND)'!$B7,'内訳ﾘｽﾄ(4～3月)'!O$26:O$176)</f>
        <v>0</v>
      </c>
      <c r="M7" s="153">
        <f>SUMIF('内訳ﾘｽﾄ(4～3月)'!$D$26:$D$176,'採算表(VND)'!$B7,'内訳ﾘｽﾄ(4～3月)'!P$26:P$176)</f>
        <v>0</v>
      </c>
      <c r="N7" s="153">
        <f>SUMIF('内訳ﾘｽﾄ(4～3月)'!$D$26:$D$176,'採算表(VND)'!$B7,'内訳ﾘｽﾄ(4～3月)'!Q$26:Q$176)</f>
        <v>0</v>
      </c>
      <c r="O7" s="153">
        <f>SUMIF('内訳ﾘｽﾄ(4～3月)'!$D$26:$D$176,'採算表(VND)'!$B7,'内訳ﾘｽﾄ(4～3月)'!R$26:R$176)</f>
        <v>0</v>
      </c>
      <c r="AQ7" s="74"/>
      <c r="AR7" s="74"/>
      <c r="AS7" s="74"/>
      <c r="AT7" s="74"/>
      <c r="AV7" s="73"/>
      <c r="AW7" s="73"/>
      <c r="AX7" s="73"/>
      <c r="AY7" s="73"/>
      <c r="BA7" s="75"/>
      <c r="BB7" s="75"/>
      <c r="BC7" s="75"/>
      <c r="BD7" s="75"/>
      <c r="BF7" s="72"/>
      <c r="BG7" s="72"/>
      <c r="BH7" s="72"/>
      <c r="BI7" s="72"/>
    </row>
    <row r="8" spans="1:61" ht="11.25" customHeight="1">
      <c r="A8" s="26"/>
      <c r="B8" s="31" t="s">
        <v>85</v>
      </c>
      <c r="C8" s="154">
        <f t="shared" ref="C8:N8" si="1">C6+C7</f>
        <v>3990181700</v>
      </c>
      <c r="D8" s="154">
        <f t="shared" si="1"/>
        <v>1202847188</v>
      </c>
      <c r="E8" s="154">
        <f t="shared" si="1"/>
        <v>988119388</v>
      </c>
      <c r="F8" s="154">
        <f t="shared" si="1"/>
        <v>1076681739</v>
      </c>
      <c r="G8" s="154">
        <f t="shared" si="1"/>
        <v>1121277497</v>
      </c>
      <c r="H8" s="154">
        <f t="shared" si="1"/>
        <v>1201402497</v>
      </c>
      <c r="I8" s="154">
        <f t="shared" si="1"/>
        <v>1146521250</v>
      </c>
      <c r="J8" s="154">
        <f t="shared" si="1"/>
        <v>1757397541</v>
      </c>
      <c r="K8" s="154">
        <f t="shared" si="1"/>
        <v>1811655209</v>
      </c>
      <c r="L8" s="154">
        <f t="shared" si="1"/>
        <v>1803667008</v>
      </c>
      <c r="M8" s="154">
        <f t="shared" si="1"/>
        <v>1750512789</v>
      </c>
      <c r="N8" s="154">
        <f t="shared" si="1"/>
        <v>1773855339</v>
      </c>
      <c r="O8" s="154">
        <f>O6+O7</f>
        <v>19624119145</v>
      </c>
      <c r="AQ8" s="74"/>
      <c r="AR8" s="74"/>
      <c r="AS8" s="74"/>
      <c r="AT8" s="74"/>
      <c r="AV8" s="73"/>
      <c r="AW8" s="73"/>
      <c r="AX8" s="73"/>
      <c r="AY8" s="73"/>
      <c r="BA8" s="75"/>
      <c r="BB8" s="75"/>
      <c r="BC8" s="75"/>
      <c r="BD8" s="75"/>
      <c r="BF8" s="72"/>
      <c r="BG8" s="72"/>
      <c r="BH8" s="72"/>
      <c r="BI8" s="72"/>
    </row>
    <row r="9" spans="1:61" ht="11.25" customHeight="1">
      <c r="A9" s="26"/>
      <c r="B9" s="28" t="s">
        <v>73</v>
      </c>
      <c r="C9" s="149">
        <f>SUMIF('内訳ﾘｽﾄ(4～3月)'!$D$26:$D$176,'採算表(VND)'!$B9,'内訳ﾘｽﾄ(4～3月)'!F$26:F$176)</f>
        <v>0</v>
      </c>
      <c r="D9" s="149">
        <f>SUMIF('内訳ﾘｽﾄ(4～3月)'!$D$26:$D$176,'採算表(VND)'!$B9,'内訳ﾘｽﾄ(4～3月)'!G$26:G$176)</f>
        <v>0</v>
      </c>
      <c r="E9" s="149">
        <f>SUMIF('内訳ﾘｽﾄ(4～3月)'!$D$26:$D$176,'採算表(VND)'!$B9,'内訳ﾘｽﾄ(4～3月)'!H$26:H$176)</f>
        <v>0</v>
      </c>
      <c r="F9" s="149">
        <f>SUMIF('内訳ﾘｽﾄ(4～3月)'!$D$26:$D$176,'採算表(VND)'!$B9,'内訳ﾘｽﾄ(4～3月)'!I$26:I$176)</f>
        <v>0</v>
      </c>
      <c r="G9" s="149">
        <f>SUMIF('内訳ﾘｽﾄ(4～3月)'!$D$26:$D$176,'採算表(VND)'!$B9,'内訳ﾘｽﾄ(4～3月)'!J$26:J$176)</f>
        <v>0</v>
      </c>
      <c r="H9" s="149">
        <f>SUMIF('内訳ﾘｽﾄ(4～3月)'!$D$26:$D$176,'採算表(VND)'!$B9,'内訳ﾘｽﾄ(4～3月)'!K$26:K$176)</f>
        <v>0</v>
      </c>
      <c r="I9" s="149">
        <f>SUMIF('内訳ﾘｽﾄ(4～3月)'!$D$26:$D$176,'採算表(VND)'!$B9,'内訳ﾘｽﾄ(4～3月)'!L$26:L$176)</f>
        <v>0</v>
      </c>
      <c r="J9" s="149">
        <f>SUMIF('内訳ﾘｽﾄ(4～3月)'!$D$26:$D$176,'採算表(VND)'!$B9,'内訳ﾘｽﾄ(4～3月)'!M$26:M$176)</f>
        <v>0</v>
      </c>
      <c r="K9" s="149">
        <f>SUMIF('内訳ﾘｽﾄ(4～3月)'!$D$26:$D$176,'採算表(VND)'!$B9,'内訳ﾘｽﾄ(4～3月)'!N$26:N$176)</f>
        <v>0</v>
      </c>
      <c r="L9" s="149">
        <f>SUMIF('内訳ﾘｽﾄ(4～3月)'!$D$26:$D$176,'採算表(VND)'!$B9,'内訳ﾘｽﾄ(4～3月)'!O$26:O$176)</f>
        <v>0</v>
      </c>
      <c r="M9" s="149">
        <f>SUMIF('内訳ﾘｽﾄ(4～3月)'!$D$26:$D$176,'採算表(VND)'!$B9,'内訳ﾘｽﾄ(4～3月)'!P$26:P$176)</f>
        <v>0</v>
      </c>
      <c r="N9" s="149">
        <f>SUMIF('内訳ﾘｽﾄ(4～3月)'!$D$26:$D$176,'採算表(VND)'!$B9,'内訳ﾘｽﾄ(4～3月)'!Q$26:Q$176)</f>
        <v>0</v>
      </c>
      <c r="O9" s="149">
        <f>SUMIF('内訳ﾘｽﾄ(4～3月)'!$D$26:$D$176,'採算表(VND)'!$B9,'内訳ﾘｽﾄ(4～3月)'!R$26:R$176)</f>
        <v>0</v>
      </c>
      <c r="AQ9" s="74"/>
      <c r="AR9" s="74"/>
      <c r="AS9" s="74"/>
      <c r="AT9" s="74"/>
      <c r="AV9" s="73"/>
      <c r="AW9" s="73"/>
      <c r="AX9" s="73"/>
      <c r="AY9" s="73"/>
      <c r="BA9" s="75"/>
      <c r="BB9" s="75"/>
      <c r="BC9" s="75"/>
      <c r="BD9" s="75"/>
      <c r="BF9" s="72"/>
      <c r="BG9" s="72"/>
      <c r="BH9" s="72"/>
      <c r="BI9" s="72"/>
    </row>
    <row r="10" spans="1:61" ht="11.25" customHeight="1">
      <c r="A10" s="26"/>
      <c r="B10" s="28" t="s">
        <v>74</v>
      </c>
      <c r="C10" s="149">
        <f>SUMIF('内訳ﾘｽﾄ(4～3月)'!$D$26:$D$176,'採算表(VND)'!$B10,'内訳ﾘｽﾄ(4～3月)'!F$26:F$176)</f>
        <v>0</v>
      </c>
      <c r="D10" s="149">
        <f>SUMIF('内訳ﾘｽﾄ(4～3月)'!$D$26:$D$176,'採算表(VND)'!$B10,'内訳ﾘｽﾄ(4～3月)'!G$26:G$176)</f>
        <v>0</v>
      </c>
      <c r="E10" s="149">
        <f>SUMIF('内訳ﾘｽﾄ(4～3月)'!$D$26:$D$176,'採算表(VND)'!$B10,'内訳ﾘｽﾄ(4～3月)'!H$26:H$176)</f>
        <v>0</v>
      </c>
      <c r="F10" s="149">
        <f>SUMIF('内訳ﾘｽﾄ(4～3月)'!$D$26:$D$176,'採算表(VND)'!$B10,'内訳ﾘｽﾄ(4～3月)'!I$26:I$176)</f>
        <v>0</v>
      </c>
      <c r="G10" s="149">
        <f>SUMIF('内訳ﾘｽﾄ(4～3月)'!$D$26:$D$176,'採算表(VND)'!$B10,'内訳ﾘｽﾄ(4～3月)'!J$26:J$176)</f>
        <v>0</v>
      </c>
      <c r="H10" s="149">
        <f>SUMIF('内訳ﾘｽﾄ(4～3月)'!$D$26:$D$176,'採算表(VND)'!$B10,'内訳ﾘｽﾄ(4～3月)'!K$26:K$176)</f>
        <v>0</v>
      </c>
      <c r="I10" s="149">
        <f>SUMIF('内訳ﾘｽﾄ(4～3月)'!$D$26:$D$176,'採算表(VND)'!$B10,'内訳ﾘｽﾄ(4～3月)'!L$26:L$176)</f>
        <v>0</v>
      </c>
      <c r="J10" s="149">
        <f>SUMIF('内訳ﾘｽﾄ(4～3月)'!$D$26:$D$176,'採算表(VND)'!$B10,'内訳ﾘｽﾄ(4～3月)'!M$26:M$176)</f>
        <v>0</v>
      </c>
      <c r="K10" s="149">
        <f>SUMIF('内訳ﾘｽﾄ(4～3月)'!$D$26:$D$176,'採算表(VND)'!$B10,'内訳ﾘｽﾄ(4～3月)'!N$26:N$176)</f>
        <v>0</v>
      </c>
      <c r="L10" s="149">
        <f>SUMIF('内訳ﾘｽﾄ(4～3月)'!$D$26:$D$176,'採算表(VND)'!$B10,'内訳ﾘｽﾄ(4～3月)'!O$26:O$176)</f>
        <v>0</v>
      </c>
      <c r="M10" s="149">
        <f>SUMIF('内訳ﾘｽﾄ(4～3月)'!$D$26:$D$176,'採算表(VND)'!$B10,'内訳ﾘｽﾄ(4～3月)'!P$26:P$176)</f>
        <v>0</v>
      </c>
      <c r="N10" s="149">
        <f>SUMIF('内訳ﾘｽﾄ(4～3月)'!$D$26:$D$176,'採算表(VND)'!$B10,'内訳ﾘｽﾄ(4～3月)'!Q$26:Q$176)</f>
        <v>0</v>
      </c>
      <c r="O10" s="149">
        <f>SUMIF('内訳ﾘｽﾄ(4～3月)'!$D$26:$D$176,'採算表(VND)'!$B10,'内訳ﾘｽﾄ(4～3月)'!R$26:R$176)</f>
        <v>0</v>
      </c>
      <c r="AQ10" s="74"/>
      <c r="AR10" s="74"/>
      <c r="AS10" s="74"/>
      <c r="AT10" s="74"/>
      <c r="AV10" s="73"/>
      <c r="AW10" s="73"/>
      <c r="AX10" s="73"/>
      <c r="AY10" s="73"/>
      <c r="BA10" s="75"/>
      <c r="BB10" s="75"/>
      <c r="BC10" s="75"/>
      <c r="BD10" s="75"/>
      <c r="BF10" s="72"/>
      <c r="BG10" s="72"/>
      <c r="BH10" s="72"/>
      <c r="BI10" s="72"/>
    </row>
    <row r="11" spans="1:61" ht="2.25" customHeight="1">
      <c r="A11" s="26"/>
      <c r="B11" s="28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AQ11" s="74"/>
      <c r="AR11" s="74"/>
      <c r="AS11" s="74"/>
      <c r="AT11" s="74"/>
      <c r="AV11" s="73"/>
      <c r="AW11" s="73"/>
      <c r="AX11" s="73"/>
      <c r="AY11" s="73"/>
      <c r="BA11" s="75"/>
      <c r="BB11" s="75"/>
      <c r="BC11" s="75"/>
      <c r="BD11" s="75"/>
      <c r="BF11" s="72"/>
      <c r="BG11" s="72"/>
      <c r="BH11" s="72"/>
      <c r="BI11" s="72"/>
    </row>
    <row r="12" spans="1:61" ht="11.25" customHeight="1">
      <c r="A12" s="33"/>
      <c r="B12" s="32" t="s">
        <v>75</v>
      </c>
      <c r="C12" s="155">
        <f>C5-C10</f>
        <v>3990181700</v>
      </c>
      <c r="D12" s="155">
        <f t="shared" ref="D12:N12" si="2">D5-D10</f>
        <v>1202847188</v>
      </c>
      <c r="E12" s="155">
        <f t="shared" si="2"/>
        <v>988119388</v>
      </c>
      <c r="F12" s="155">
        <f t="shared" si="2"/>
        <v>1076681739</v>
      </c>
      <c r="G12" s="155">
        <f t="shared" si="2"/>
        <v>1121277497</v>
      </c>
      <c r="H12" s="155">
        <f t="shared" si="2"/>
        <v>1201402497</v>
      </c>
      <c r="I12" s="155">
        <f t="shared" si="2"/>
        <v>1146521250</v>
      </c>
      <c r="J12" s="155">
        <f t="shared" si="2"/>
        <v>1757397541</v>
      </c>
      <c r="K12" s="155">
        <f t="shared" si="2"/>
        <v>1811655209</v>
      </c>
      <c r="L12" s="155">
        <f t="shared" si="2"/>
        <v>1803667008</v>
      </c>
      <c r="M12" s="155">
        <f t="shared" si="2"/>
        <v>1750512789</v>
      </c>
      <c r="N12" s="155">
        <f t="shared" si="2"/>
        <v>1773855339</v>
      </c>
      <c r="O12" s="155">
        <f>O5-O10</f>
        <v>19624119145</v>
      </c>
      <c r="AQ12" s="74"/>
      <c r="AR12" s="74"/>
      <c r="AS12" s="74"/>
      <c r="AT12" s="74"/>
      <c r="AV12" s="73"/>
      <c r="AW12" s="73"/>
      <c r="AX12" s="73"/>
      <c r="AY12" s="73"/>
      <c r="BA12" s="75"/>
      <c r="BB12" s="75"/>
      <c r="BC12" s="75"/>
      <c r="BD12" s="75"/>
      <c r="BF12" s="72"/>
      <c r="BG12" s="72"/>
      <c r="BH12" s="72"/>
      <c r="BI12" s="72"/>
    </row>
    <row r="13" spans="1:61" ht="11.25" customHeight="1">
      <c r="A13" s="26"/>
      <c r="B13" s="28" t="s">
        <v>76</v>
      </c>
      <c r="C13" s="149">
        <f>SUM(C14:C65)</f>
        <v>64144401</v>
      </c>
      <c r="D13" s="149">
        <f t="shared" ref="D13:N13" si="3">SUM(D14:D65)</f>
        <v>91331072</v>
      </c>
      <c r="E13" s="149">
        <f t="shared" si="3"/>
        <v>107317573</v>
      </c>
      <c r="F13" s="149">
        <f t="shared" si="3"/>
        <v>94969541</v>
      </c>
      <c r="G13" s="149">
        <f t="shared" si="3"/>
        <v>58414822</v>
      </c>
      <c r="H13" s="149">
        <f t="shared" si="3"/>
        <v>59446869</v>
      </c>
      <c r="I13" s="149">
        <f t="shared" si="3"/>
        <v>73291663</v>
      </c>
      <c r="J13" s="149">
        <f t="shared" si="3"/>
        <v>66331480</v>
      </c>
      <c r="K13" s="149">
        <f t="shared" si="3"/>
        <v>66709674</v>
      </c>
      <c r="L13" s="149">
        <f t="shared" si="3"/>
        <v>68782970</v>
      </c>
      <c r="M13" s="149">
        <f t="shared" si="3"/>
        <v>52000489</v>
      </c>
      <c r="N13" s="149">
        <f t="shared" si="3"/>
        <v>52101452</v>
      </c>
      <c r="O13" s="149">
        <f>SUM(O14:O65)</f>
        <v>854842006</v>
      </c>
      <c r="AQ13" s="74"/>
      <c r="AR13" s="74"/>
      <c r="AS13" s="74"/>
      <c r="AT13" s="74"/>
      <c r="AV13" s="73"/>
      <c r="AW13" s="73"/>
      <c r="AX13" s="73"/>
      <c r="AY13" s="73"/>
      <c r="BA13" s="75"/>
      <c r="BB13" s="75"/>
      <c r="BC13" s="75"/>
      <c r="BD13" s="75"/>
      <c r="BF13" s="72"/>
      <c r="BG13" s="72"/>
      <c r="BH13" s="72"/>
      <c r="BI13" s="72"/>
    </row>
    <row r="14" spans="1:61" ht="11.25" customHeight="1">
      <c r="A14" s="34"/>
      <c r="B14" s="35" t="s">
        <v>101</v>
      </c>
      <c r="C14" s="156">
        <f>SUMIF('内訳ﾘｽﾄ(4～3月)'!$D$26:$D$176,$B14,'内訳ﾘｽﾄ(4～3月)'!F$26:F$176)</f>
        <v>0</v>
      </c>
      <c r="D14" s="156">
        <f>SUMIF('内訳ﾘｽﾄ(4～3月)'!$D$26:$D$176,$B14,'内訳ﾘｽﾄ(4～3月)'!G$26:G$176)</f>
        <v>0</v>
      </c>
      <c r="E14" s="156">
        <f>SUMIF('内訳ﾘｽﾄ(4～3月)'!$D$26:$D$176,$B14,'内訳ﾘｽﾄ(4～3月)'!H$26:H$176)</f>
        <v>0</v>
      </c>
      <c r="F14" s="156">
        <f>SUMIF('内訳ﾘｽﾄ(4～3月)'!$D$26:$D$176,$B14,'内訳ﾘｽﾄ(4～3月)'!I$26:I$176)</f>
        <v>0</v>
      </c>
      <c r="G14" s="156">
        <f>SUMIF('内訳ﾘｽﾄ(4～3月)'!$D$26:$D$176,$B14,'内訳ﾘｽﾄ(4～3月)'!J$26:J$176)</f>
        <v>0</v>
      </c>
      <c r="H14" s="156">
        <f>SUMIF('内訳ﾘｽﾄ(4～3月)'!$D$26:$D$176,$B14,'内訳ﾘｽﾄ(4～3月)'!K$26:K$176)</f>
        <v>0</v>
      </c>
      <c r="I14" s="156">
        <f>SUMIF('内訳ﾘｽﾄ(4～3月)'!$D$26:$D$176,$B14,'内訳ﾘｽﾄ(4～3月)'!L$26:L$176)</f>
        <v>0</v>
      </c>
      <c r="J14" s="156">
        <f>SUMIF('内訳ﾘｽﾄ(4～3月)'!$D$26:$D$176,$B14,'内訳ﾘｽﾄ(4～3月)'!M$26:M$176)</f>
        <v>0</v>
      </c>
      <c r="K14" s="156">
        <f>SUMIF('内訳ﾘｽﾄ(4～3月)'!$D$26:$D$176,$B14,'内訳ﾘｽﾄ(4～3月)'!N$26:N$176)</f>
        <v>0</v>
      </c>
      <c r="L14" s="156">
        <f>SUMIF('内訳ﾘｽﾄ(4～3月)'!$D$26:$D$176,$B14,'内訳ﾘｽﾄ(4～3月)'!O$26:O$176)</f>
        <v>0</v>
      </c>
      <c r="M14" s="156">
        <f>SUMIF('内訳ﾘｽﾄ(4～3月)'!$D$26:$D$176,$B14,'内訳ﾘｽﾄ(4～3月)'!P$26:P$176)</f>
        <v>0</v>
      </c>
      <c r="N14" s="156">
        <f>SUMIF('内訳ﾘｽﾄ(4～3月)'!$D$26:$D$176,$B14,'内訳ﾘｽﾄ(4～3月)'!Q$26:Q$176)</f>
        <v>0</v>
      </c>
      <c r="O14" s="156">
        <f>SUMIF('内訳ﾘｽﾄ(4～3月)'!$D$26:$D$176,'採算表(VND)'!$B14,'内訳ﾘｽﾄ(4～3月)'!R$26:R$176)</f>
        <v>0</v>
      </c>
      <c r="AQ14" s="74"/>
      <c r="AR14" s="74"/>
      <c r="AS14" s="74"/>
      <c r="AT14" s="74"/>
      <c r="AU14" s="72"/>
      <c r="AV14" s="73"/>
      <c r="AW14" s="73"/>
      <c r="AX14" s="73"/>
      <c r="AY14" s="73"/>
      <c r="BA14" s="75"/>
      <c r="BB14" s="75"/>
      <c r="BC14" s="75"/>
      <c r="BD14" s="75"/>
      <c r="BF14" s="72"/>
      <c r="BG14" s="72"/>
      <c r="BH14" s="72"/>
      <c r="BI14" s="72"/>
    </row>
    <row r="15" spans="1:61" ht="11.25" customHeight="1">
      <c r="A15" s="34"/>
      <c r="B15" s="35" t="s">
        <v>124</v>
      </c>
      <c r="C15" s="156">
        <f>SUMIF('内訳ﾘｽﾄ(4～3月)'!$D$26:$D$176,$B15,'内訳ﾘｽﾄ(4～3月)'!F$26:F$176)</f>
        <v>0</v>
      </c>
      <c r="D15" s="156">
        <f>SUMIF('内訳ﾘｽﾄ(4～3月)'!$D$26:$D$176,$B15,'内訳ﾘｽﾄ(4～3月)'!G$26:G$176)</f>
        <v>0</v>
      </c>
      <c r="E15" s="156">
        <f>SUMIF('内訳ﾘｽﾄ(4～3月)'!$D$26:$D$176,$B15,'内訳ﾘｽﾄ(4～3月)'!H$26:H$176)</f>
        <v>0</v>
      </c>
      <c r="F15" s="156">
        <f>SUMIF('内訳ﾘｽﾄ(4～3月)'!$D$26:$D$176,$B15,'内訳ﾘｽﾄ(4～3月)'!I$26:I$176)</f>
        <v>0</v>
      </c>
      <c r="G15" s="156">
        <f>SUMIF('内訳ﾘｽﾄ(4～3月)'!$D$26:$D$176,$B15,'内訳ﾘｽﾄ(4～3月)'!J$26:J$176)</f>
        <v>0</v>
      </c>
      <c r="H15" s="156">
        <f>SUMIF('内訳ﾘｽﾄ(4～3月)'!$D$26:$D$176,$B15,'内訳ﾘｽﾄ(4～3月)'!K$26:K$176)</f>
        <v>0</v>
      </c>
      <c r="I15" s="156">
        <f>SUMIF('内訳ﾘｽﾄ(4～3月)'!$D$26:$D$176,$B15,'内訳ﾘｽﾄ(4～3月)'!L$26:L$176)</f>
        <v>0</v>
      </c>
      <c r="J15" s="156">
        <f>SUMIF('内訳ﾘｽﾄ(4～3月)'!$D$26:$D$176,$B15,'内訳ﾘｽﾄ(4～3月)'!M$26:M$176)</f>
        <v>0</v>
      </c>
      <c r="K15" s="156">
        <f>SUMIF('内訳ﾘｽﾄ(4～3月)'!$D$26:$D$176,$B15,'内訳ﾘｽﾄ(4～3月)'!N$26:N$176)</f>
        <v>0</v>
      </c>
      <c r="L15" s="156">
        <f>SUMIF('内訳ﾘｽﾄ(4～3月)'!$D$26:$D$176,$B15,'内訳ﾘｽﾄ(4～3月)'!O$26:O$176)</f>
        <v>0</v>
      </c>
      <c r="M15" s="156">
        <f>SUMIF('内訳ﾘｽﾄ(4～3月)'!$D$26:$D$176,$B15,'内訳ﾘｽﾄ(4～3月)'!P$26:P$176)</f>
        <v>0</v>
      </c>
      <c r="N15" s="156">
        <f>SUMIF('内訳ﾘｽﾄ(4～3月)'!$D$26:$D$176,$B15,'内訳ﾘｽﾄ(4～3月)'!Q$26:Q$176)</f>
        <v>0</v>
      </c>
      <c r="O15" s="156">
        <f>SUMIF('内訳ﾘｽﾄ(4～3月)'!$D$26:$D$176,'採算表(VND)'!$B15,'内訳ﾘｽﾄ(4～3月)'!R$26:R$176)</f>
        <v>0</v>
      </c>
      <c r="AQ15" s="74"/>
      <c r="AR15" s="74"/>
      <c r="AS15" s="74"/>
      <c r="AT15" s="74"/>
      <c r="AU15" s="72"/>
      <c r="AV15" s="73"/>
      <c r="AW15" s="73"/>
      <c r="AX15" s="73"/>
      <c r="AY15" s="73"/>
      <c r="BA15" s="75"/>
      <c r="BB15" s="75"/>
      <c r="BC15" s="75"/>
      <c r="BD15" s="75"/>
      <c r="BF15" s="72"/>
      <c r="BG15" s="72"/>
      <c r="BH15" s="72"/>
      <c r="BI15" s="72"/>
    </row>
    <row r="16" spans="1:61" ht="11.25" customHeight="1">
      <c r="A16" s="34"/>
      <c r="B16" s="35" t="s">
        <v>120</v>
      </c>
      <c r="C16" s="156">
        <f>SUMIF('内訳ﾘｽﾄ(4～3月)'!$D$26:$D$176,$B16,'内訳ﾘｽﾄ(4～3月)'!F$26:F$176)</f>
        <v>0</v>
      </c>
      <c r="D16" s="156">
        <f>SUMIF('内訳ﾘｽﾄ(4～3月)'!$D$26:$D$176,$B16,'内訳ﾘｽﾄ(4～3月)'!G$26:G$176)</f>
        <v>0</v>
      </c>
      <c r="E16" s="156">
        <f>SUMIF('内訳ﾘｽﾄ(4～3月)'!$D$26:$D$176,$B16,'内訳ﾘｽﾄ(4～3月)'!H$26:H$176)</f>
        <v>0</v>
      </c>
      <c r="F16" s="156">
        <f>SUMIF('内訳ﾘｽﾄ(4～3月)'!$D$26:$D$176,$B16,'内訳ﾘｽﾄ(4～3月)'!I$26:I$176)</f>
        <v>0</v>
      </c>
      <c r="G16" s="156">
        <f>SUMIF('内訳ﾘｽﾄ(4～3月)'!$D$26:$D$176,$B16,'内訳ﾘｽﾄ(4～3月)'!J$26:J$176)</f>
        <v>0</v>
      </c>
      <c r="H16" s="156">
        <f>SUMIF('内訳ﾘｽﾄ(4～3月)'!$D$26:$D$176,$B16,'内訳ﾘｽﾄ(4～3月)'!K$26:K$176)</f>
        <v>0</v>
      </c>
      <c r="I16" s="156">
        <f>SUMIF('内訳ﾘｽﾄ(4～3月)'!$D$26:$D$176,$B16,'内訳ﾘｽﾄ(4～3月)'!L$26:L$176)</f>
        <v>0</v>
      </c>
      <c r="J16" s="156">
        <f>SUMIF('内訳ﾘｽﾄ(4～3月)'!$D$26:$D$176,$B16,'内訳ﾘｽﾄ(4～3月)'!M$26:M$176)</f>
        <v>0</v>
      </c>
      <c r="K16" s="156">
        <f>SUMIF('内訳ﾘｽﾄ(4～3月)'!$D$26:$D$176,$B16,'内訳ﾘｽﾄ(4～3月)'!N$26:N$176)</f>
        <v>0</v>
      </c>
      <c r="L16" s="156">
        <f>SUMIF('内訳ﾘｽﾄ(4～3月)'!$D$26:$D$176,$B16,'内訳ﾘｽﾄ(4～3月)'!O$26:O$176)</f>
        <v>0</v>
      </c>
      <c r="M16" s="156">
        <f>SUMIF('内訳ﾘｽﾄ(4～3月)'!$D$26:$D$176,$B16,'内訳ﾘｽﾄ(4～3月)'!P$26:P$176)</f>
        <v>0</v>
      </c>
      <c r="N16" s="156">
        <f>SUMIF('内訳ﾘｽﾄ(4～3月)'!$D$26:$D$176,$B16,'内訳ﾘｽﾄ(4～3月)'!Q$26:Q$176)</f>
        <v>0</v>
      </c>
      <c r="O16" s="156">
        <f>SUMIF('内訳ﾘｽﾄ(4～3月)'!$D$26:$D$176,'採算表(VND)'!$B16,'内訳ﾘｽﾄ(4～3月)'!R$26:R$176)</f>
        <v>0</v>
      </c>
      <c r="AQ16" s="74"/>
      <c r="AR16" s="74"/>
      <c r="AS16" s="74"/>
      <c r="AT16" s="74"/>
      <c r="AU16" s="72"/>
      <c r="AV16" s="73"/>
      <c r="AW16" s="73"/>
      <c r="AX16" s="73"/>
      <c r="AY16" s="73"/>
      <c r="BA16" s="75"/>
      <c r="BB16" s="75"/>
      <c r="BC16" s="75"/>
      <c r="BD16" s="75"/>
      <c r="BF16" s="72"/>
      <c r="BG16" s="72"/>
      <c r="BH16" s="72"/>
      <c r="BI16" s="72"/>
    </row>
    <row r="17" spans="1:61" ht="11.25" customHeight="1">
      <c r="A17" s="34"/>
      <c r="B17" s="36" t="s">
        <v>102</v>
      </c>
      <c r="C17" s="157">
        <f>SUMIF('内訳ﾘｽﾄ(4～3月)'!$D$26:$D$176,$B17,'内訳ﾘｽﾄ(4～3月)'!F$26:F$176)</f>
        <v>0</v>
      </c>
      <c r="D17" s="157">
        <f>SUMIF('内訳ﾘｽﾄ(4～3月)'!$D$26:$D$176,$B17,'内訳ﾘｽﾄ(4～3月)'!G$26:G$176)</f>
        <v>0</v>
      </c>
      <c r="E17" s="157">
        <f>SUMIF('内訳ﾘｽﾄ(4～3月)'!$D$26:$D$176,$B17,'内訳ﾘｽﾄ(4～3月)'!H$26:H$176)</f>
        <v>0</v>
      </c>
      <c r="F17" s="157">
        <f>SUMIF('内訳ﾘｽﾄ(4～3月)'!$D$26:$D$176,$B17,'内訳ﾘｽﾄ(4～3月)'!I$26:I$176)</f>
        <v>0</v>
      </c>
      <c r="G17" s="157">
        <f>SUMIF('内訳ﾘｽﾄ(4～3月)'!$D$26:$D$176,$B17,'内訳ﾘｽﾄ(4～3月)'!J$26:J$176)</f>
        <v>0</v>
      </c>
      <c r="H17" s="157">
        <f>SUMIF('内訳ﾘｽﾄ(4～3月)'!$D$26:$D$176,$B17,'内訳ﾘｽﾄ(4～3月)'!K$26:K$176)</f>
        <v>0</v>
      </c>
      <c r="I17" s="157">
        <f>SUMIF('内訳ﾘｽﾄ(4～3月)'!$D$26:$D$176,$B17,'内訳ﾘｽﾄ(4～3月)'!L$26:L$176)</f>
        <v>0</v>
      </c>
      <c r="J17" s="157">
        <f>SUMIF('内訳ﾘｽﾄ(4～3月)'!$D$26:$D$176,$B17,'内訳ﾘｽﾄ(4～3月)'!M$26:M$176)</f>
        <v>0</v>
      </c>
      <c r="K17" s="157">
        <f>SUMIF('内訳ﾘｽﾄ(4～3月)'!$D$26:$D$176,$B17,'内訳ﾘｽﾄ(4～3月)'!N$26:N$176)</f>
        <v>0</v>
      </c>
      <c r="L17" s="157">
        <f>SUMIF('内訳ﾘｽﾄ(4～3月)'!$D$26:$D$176,$B17,'内訳ﾘｽﾄ(4～3月)'!O$26:O$176)</f>
        <v>0</v>
      </c>
      <c r="M17" s="157">
        <f>SUMIF('内訳ﾘｽﾄ(4～3月)'!$D$26:$D$176,$B17,'内訳ﾘｽﾄ(4～3月)'!P$26:P$176)</f>
        <v>0</v>
      </c>
      <c r="N17" s="157">
        <f>SUMIF('内訳ﾘｽﾄ(4～3月)'!$D$26:$D$176,$B17,'内訳ﾘｽﾄ(4～3月)'!Q$26:Q$176)</f>
        <v>0</v>
      </c>
      <c r="O17" s="157">
        <f>SUMIF('内訳ﾘｽﾄ(4～3月)'!$D$26:$D$176,'採算表(VND)'!$B17,'内訳ﾘｽﾄ(4～3月)'!R$26:R$176)</f>
        <v>0</v>
      </c>
      <c r="AQ17" s="74"/>
      <c r="AR17" s="74"/>
      <c r="AS17" s="74"/>
      <c r="AT17" s="74"/>
      <c r="AU17" s="72"/>
      <c r="AV17" s="73"/>
      <c r="AW17" s="73"/>
      <c r="AX17" s="73"/>
      <c r="AY17" s="73"/>
      <c r="BA17" s="75"/>
      <c r="BB17" s="75"/>
      <c r="BC17" s="75"/>
      <c r="BD17" s="75"/>
      <c r="BF17" s="72"/>
      <c r="BG17" s="72"/>
      <c r="BH17" s="72"/>
      <c r="BI17" s="72"/>
    </row>
    <row r="18" spans="1:61" ht="11.25" customHeight="1">
      <c r="A18" s="34"/>
      <c r="B18" s="36" t="s">
        <v>37</v>
      </c>
      <c r="C18" s="157">
        <f>SUMIF('内訳ﾘｽﾄ(4～3月)'!$D$26:$D$176,$B18,'内訳ﾘｽﾄ(4～3月)'!F$26:F$176)</f>
        <v>0</v>
      </c>
      <c r="D18" s="157">
        <f>SUMIF('内訳ﾘｽﾄ(4～3月)'!$D$26:$D$176,$B18,'内訳ﾘｽﾄ(4～3月)'!G$26:G$176)</f>
        <v>0</v>
      </c>
      <c r="E18" s="157">
        <f>SUMIF('内訳ﾘｽﾄ(4～3月)'!$D$26:$D$176,$B18,'内訳ﾘｽﾄ(4～3月)'!H$26:H$176)</f>
        <v>0</v>
      </c>
      <c r="F18" s="157">
        <f>SUMIF('内訳ﾘｽﾄ(4～3月)'!$D$26:$D$176,$B18,'内訳ﾘｽﾄ(4～3月)'!I$26:I$176)</f>
        <v>0</v>
      </c>
      <c r="G18" s="157">
        <f>SUMIF('内訳ﾘｽﾄ(4～3月)'!$D$26:$D$176,$B18,'内訳ﾘｽﾄ(4～3月)'!J$26:J$176)</f>
        <v>0</v>
      </c>
      <c r="H18" s="157">
        <f>SUMIF('内訳ﾘｽﾄ(4～3月)'!$D$26:$D$176,$B18,'内訳ﾘｽﾄ(4～3月)'!K$26:K$176)</f>
        <v>0</v>
      </c>
      <c r="I18" s="157">
        <f>SUMIF('内訳ﾘｽﾄ(4～3月)'!$D$26:$D$176,$B18,'内訳ﾘｽﾄ(4～3月)'!L$26:L$176)</f>
        <v>0</v>
      </c>
      <c r="J18" s="157">
        <f>SUMIF('内訳ﾘｽﾄ(4～3月)'!$D$26:$D$176,$B18,'内訳ﾘｽﾄ(4～3月)'!M$26:M$176)</f>
        <v>0</v>
      </c>
      <c r="K18" s="157">
        <f>SUMIF('内訳ﾘｽﾄ(4～3月)'!$D$26:$D$176,$B18,'内訳ﾘｽﾄ(4～3月)'!N$26:N$176)</f>
        <v>0</v>
      </c>
      <c r="L18" s="157">
        <f>SUMIF('内訳ﾘｽﾄ(4～3月)'!$D$26:$D$176,$B18,'内訳ﾘｽﾄ(4～3月)'!O$26:O$176)</f>
        <v>0</v>
      </c>
      <c r="M18" s="157">
        <f>SUMIF('内訳ﾘｽﾄ(4～3月)'!$D$26:$D$176,$B18,'内訳ﾘｽﾄ(4～3月)'!P$26:P$176)</f>
        <v>0</v>
      </c>
      <c r="N18" s="157">
        <f>SUMIF('内訳ﾘｽﾄ(4～3月)'!$D$26:$D$176,$B18,'内訳ﾘｽﾄ(4～3月)'!Q$26:Q$176)</f>
        <v>0</v>
      </c>
      <c r="O18" s="157">
        <f>SUMIF('内訳ﾘｽﾄ(4～3月)'!$D$26:$D$176,'採算表(VND)'!$B18,'内訳ﾘｽﾄ(4～3月)'!R$26:R$176)</f>
        <v>0</v>
      </c>
      <c r="AQ18" s="74"/>
      <c r="AR18" s="74"/>
      <c r="AS18" s="74"/>
      <c r="AT18" s="74"/>
      <c r="AU18" s="72"/>
      <c r="AV18" s="73"/>
      <c r="AW18" s="73"/>
      <c r="AX18" s="73"/>
      <c r="AY18" s="73"/>
      <c r="BA18" s="75"/>
      <c r="BB18" s="75"/>
      <c r="BC18" s="75"/>
      <c r="BD18" s="75"/>
      <c r="BF18" s="72"/>
      <c r="BG18" s="72"/>
      <c r="BH18" s="72"/>
      <c r="BI18" s="72"/>
    </row>
    <row r="19" spans="1:61" ht="11.25" customHeight="1">
      <c r="A19" s="34"/>
      <c r="B19" s="36" t="s">
        <v>43</v>
      </c>
      <c r="C19" s="157">
        <f>SUMIF('内訳ﾘｽﾄ(4～3月)'!$D$26:$D$176,$B19,'内訳ﾘｽﾄ(4～3月)'!F$26:F$176)</f>
        <v>0</v>
      </c>
      <c r="D19" s="157">
        <f>SUMIF('内訳ﾘｽﾄ(4～3月)'!$D$26:$D$176,$B19,'内訳ﾘｽﾄ(4～3月)'!G$26:G$176)</f>
        <v>0</v>
      </c>
      <c r="E19" s="157">
        <f>SUMIF('内訳ﾘｽﾄ(4～3月)'!$D$26:$D$176,$B19,'内訳ﾘｽﾄ(4～3月)'!H$26:H$176)</f>
        <v>0</v>
      </c>
      <c r="F19" s="157">
        <f>SUMIF('内訳ﾘｽﾄ(4～3月)'!$D$26:$D$176,$B19,'内訳ﾘｽﾄ(4～3月)'!I$26:I$176)</f>
        <v>0</v>
      </c>
      <c r="G19" s="157">
        <f>SUMIF('内訳ﾘｽﾄ(4～3月)'!$D$26:$D$176,$B19,'内訳ﾘｽﾄ(4～3月)'!J$26:J$176)</f>
        <v>0</v>
      </c>
      <c r="H19" s="157">
        <f>SUMIF('内訳ﾘｽﾄ(4～3月)'!$D$26:$D$176,$B19,'内訳ﾘｽﾄ(4～3月)'!K$26:K$176)</f>
        <v>0</v>
      </c>
      <c r="I19" s="157">
        <f>SUMIF('内訳ﾘｽﾄ(4～3月)'!$D$26:$D$176,$B19,'内訳ﾘｽﾄ(4～3月)'!L$26:L$176)</f>
        <v>0</v>
      </c>
      <c r="J19" s="157">
        <f>SUMIF('内訳ﾘｽﾄ(4～3月)'!$D$26:$D$176,$B19,'内訳ﾘｽﾄ(4～3月)'!M$26:M$176)</f>
        <v>0</v>
      </c>
      <c r="K19" s="157">
        <f>SUMIF('内訳ﾘｽﾄ(4～3月)'!$D$26:$D$176,$B19,'内訳ﾘｽﾄ(4～3月)'!N$26:N$176)</f>
        <v>0</v>
      </c>
      <c r="L19" s="157">
        <f>SUMIF('内訳ﾘｽﾄ(4～3月)'!$D$26:$D$176,$B19,'内訳ﾘｽﾄ(4～3月)'!O$26:O$176)</f>
        <v>0</v>
      </c>
      <c r="M19" s="157">
        <f>SUMIF('内訳ﾘｽﾄ(4～3月)'!$D$26:$D$176,$B19,'内訳ﾘｽﾄ(4～3月)'!P$26:P$176)</f>
        <v>0</v>
      </c>
      <c r="N19" s="157">
        <f>SUMIF('内訳ﾘｽﾄ(4～3月)'!$D$26:$D$176,$B19,'内訳ﾘｽﾄ(4～3月)'!Q$26:Q$176)</f>
        <v>0</v>
      </c>
      <c r="O19" s="157">
        <f>SUMIF('内訳ﾘｽﾄ(4～3月)'!$D$26:$D$176,'採算表(VND)'!$B19,'内訳ﾘｽﾄ(4～3月)'!R$26:R$176)</f>
        <v>0</v>
      </c>
      <c r="AQ19" s="74"/>
      <c r="AR19" s="74"/>
      <c r="AS19" s="74"/>
      <c r="AT19" s="74"/>
      <c r="AU19" s="72"/>
      <c r="AV19" s="73"/>
      <c r="AW19" s="73"/>
      <c r="AX19" s="73"/>
      <c r="AY19" s="73"/>
      <c r="BA19" s="75"/>
      <c r="BB19" s="75"/>
      <c r="BC19" s="75"/>
      <c r="BD19" s="75"/>
      <c r="BF19" s="72"/>
      <c r="BG19" s="72"/>
      <c r="BH19" s="72"/>
      <c r="BI19" s="72"/>
    </row>
    <row r="20" spans="1:61" ht="10.5" customHeight="1">
      <c r="A20" s="34"/>
      <c r="B20" s="36" t="s">
        <v>45</v>
      </c>
      <c r="C20" s="157">
        <f>SUMIF('内訳ﾘｽﾄ(4～3月)'!$D$26:$D$176,$B20,'内訳ﾘｽﾄ(4～3月)'!F$26:F$176)</f>
        <v>3322662</v>
      </c>
      <c r="D20" s="157">
        <f>SUMIF('内訳ﾘｽﾄ(4～3月)'!$D$26:$D$176,$B20,'内訳ﾘｽﾄ(4～3月)'!G$26:G$176)</f>
        <v>3322535</v>
      </c>
      <c r="E20" s="157">
        <f>SUMIF('内訳ﾘｽﾄ(4～3月)'!$D$26:$D$176,$B20,'内訳ﾘｽﾄ(4～3月)'!H$26:H$176)</f>
        <v>3465608</v>
      </c>
      <c r="F20" s="157">
        <f>SUMIF('内訳ﾘｽﾄ(4～3月)'!$D$26:$D$176,$B20,'内訳ﾘｽﾄ(4～3月)'!I$26:I$176)</f>
        <v>3476271</v>
      </c>
      <c r="G20" s="157">
        <f>SUMIF('内訳ﾘｽﾄ(4～3月)'!$D$26:$D$176,$B20,'内訳ﾘｽﾄ(4～3月)'!J$26:J$176)</f>
        <v>2800771</v>
      </c>
      <c r="H20" s="157">
        <f>SUMIF('内訳ﾘｽﾄ(4～3月)'!$D$26:$D$176,$B20,'内訳ﾘｽﾄ(4～3月)'!K$26:K$176)</f>
        <v>2770430</v>
      </c>
      <c r="I20" s="157">
        <f>SUMIF('内訳ﾘｽﾄ(4～3月)'!$D$26:$D$176,$B20,'内訳ﾘｽﾄ(4～3月)'!L$26:L$176)</f>
        <v>2770430</v>
      </c>
      <c r="J20" s="157">
        <f>SUMIF('内訳ﾘｽﾄ(4～3月)'!$D$26:$D$176,$B20,'内訳ﾘｽﾄ(4～3月)'!M$26:M$176)</f>
        <v>2770430</v>
      </c>
      <c r="K20" s="157">
        <f>SUMIF('内訳ﾘｽﾄ(4～3月)'!$D$26:$D$176,$B20,'内訳ﾘｽﾄ(4～3月)'!N$26:N$176)</f>
        <v>2761924</v>
      </c>
      <c r="L20" s="157">
        <f>SUMIF('内訳ﾘｽﾄ(4～3月)'!$D$26:$D$176,$B20,'内訳ﾘｽﾄ(4～3月)'!O$26:O$176)</f>
        <v>2760654</v>
      </c>
      <c r="M20" s="157">
        <f>SUMIF('内訳ﾘｽﾄ(4～3月)'!$D$26:$D$176,$B20,'内訳ﾘｽﾄ(4～3月)'!P$26:P$176)</f>
        <v>2760654</v>
      </c>
      <c r="N20" s="157">
        <f>SUMIF('内訳ﾘｽﾄ(4～3月)'!$D$26:$D$176,$B20,'内訳ﾘｽﾄ(4～3月)'!Q$26:Q$176)</f>
        <v>2779951</v>
      </c>
      <c r="O20" s="157">
        <f>SUMIF('内訳ﾘｽﾄ(4～3月)'!$D$26:$D$176,'採算表(VND)'!$B20,'内訳ﾘｽﾄ(4～3月)'!R$26:R$176)</f>
        <v>35762320</v>
      </c>
      <c r="AQ20" s="74"/>
      <c r="AR20" s="74"/>
      <c r="AS20" s="74"/>
      <c r="AT20" s="74"/>
      <c r="AU20" s="72"/>
      <c r="AV20" s="73"/>
      <c r="AW20" s="73"/>
      <c r="AX20" s="73"/>
      <c r="AY20" s="73"/>
      <c r="BA20" s="75"/>
      <c r="BB20" s="75"/>
      <c r="BC20" s="75"/>
      <c r="BD20" s="75"/>
      <c r="BF20" s="72"/>
      <c r="BG20" s="72"/>
      <c r="BH20" s="72"/>
      <c r="BI20" s="72"/>
    </row>
    <row r="21" spans="1:61" ht="11.25" customHeight="1">
      <c r="A21" s="34"/>
      <c r="B21" s="36" t="s">
        <v>46</v>
      </c>
      <c r="C21" s="157">
        <f>SUMIF('内訳ﾘｽﾄ(4～3月)'!$D$26:$D$176,$B21,'内訳ﾘｽﾄ(4～3月)'!F$26:F$176)</f>
        <v>0</v>
      </c>
      <c r="D21" s="157">
        <f>SUMIF('内訳ﾘｽﾄ(4～3月)'!$D$26:$D$176,$B21,'内訳ﾘｽﾄ(4～3月)'!G$26:G$176)</f>
        <v>0</v>
      </c>
      <c r="E21" s="157">
        <f>SUMIF('内訳ﾘｽﾄ(4～3月)'!$D$26:$D$176,$B21,'内訳ﾘｽﾄ(4～3月)'!H$26:H$176)</f>
        <v>0</v>
      </c>
      <c r="F21" s="157">
        <f>SUMIF('内訳ﾘｽﾄ(4～3月)'!$D$26:$D$176,$B21,'内訳ﾘｽﾄ(4～3月)'!I$26:I$176)</f>
        <v>0</v>
      </c>
      <c r="G21" s="157">
        <f>SUMIF('内訳ﾘｽﾄ(4～3月)'!$D$26:$D$176,$B21,'内訳ﾘｽﾄ(4～3月)'!J$26:J$176)</f>
        <v>0</v>
      </c>
      <c r="H21" s="157">
        <f>SUMIF('内訳ﾘｽﾄ(4～3月)'!$D$26:$D$176,$B21,'内訳ﾘｽﾄ(4～3月)'!K$26:K$176)</f>
        <v>0</v>
      </c>
      <c r="I21" s="157">
        <f>SUMIF('内訳ﾘｽﾄ(4～3月)'!$D$26:$D$176,$B21,'内訳ﾘｽﾄ(4～3月)'!L$26:L$176)</f>
        <v>0</v>
      </c>
      <c r="J21" s="157">
        <f>SUMIF('内訳ﾘｽﾄ(4～3月)'!$D$26:$D$176,$B21,'内訳ﾘｽﾄ(4～3月)'!M$26:M$176)</f>
        <v>0</v>
      </c>
      <c r="K21" s="157">
        <f>SUMIF('内訳ﾘｽﾄ(4～3月)'!$D$26:$D$176,$B21,'内訳ﾘｽﾄ(4～3月)'!N$26:N$176)</f>
        <v>0</v>
      </c>
      <c r="L21" s="157">
        <f>SUMIF('内訳ﾘｽﾄ(4～3月)'!$D$26:$D$176,$B21,'内訳ﾘｽﾄ(4～3月)'!O$26:O$176)</f>
        <v>0</v>
      </c>
      <c r="M21" s="157">
        <f>SUMIF('内訳ﾘｽﾄ(4～3月)'!$D$26:$D$176,$B21,'内訳ﾘｽﾄ(4～3月)'!P$26:P$176)</f>
        <v>0</v>
      </c>
      <c r="N21" s="157">
        <f>SUMIF('内訳ﾘｽﾄ(4～3月)'!$D$26:$D$176,$B21,'内訳ﾘｽﾄ(4～3月)'!Q$26:Q$176)</f>
        <v>0</v>
      </c>
      <c r="O21" s="157">
        <f>SUMIF('内訳ﾘｽﾄ(4～3月)'!$D$26:$D$176,'採算表(VND)'!$B21,'内訳ﾘｽﾄ(4～3月)'!R$26:R$176)</f>
        <v>0</v>
      </c>
      <c r="AQ21" s="74"/>
      <c r="AR21" s="74"/>
      <c r="AS21" s="74"/>
      <c r="AT21" s="74"/>
      <c r="AU21" s="72"/>
      <c r="AV21" s="73"/>
      <c r="AW21" s="73"/>
      <c r="AX21" s="73"/>
      <c r="AY21" s="73"/>
      <c r="BA21" s="75"/>
      <c r="BB21" s="75"/>
      <c r="BC21" s="75"/>
      <c r="BD21" s="75"/>
      <c r="BF21" s="72"/>
      <c r="BG21" s="72"/>
      <c r="BH21" s="72"/>
      <c r="BI21" s="72"/>
    </row>
    <row r="22" spans="1:61" ht="11.25" customHeight="1">
      <c r="A22" s="34"/>
      <c r="B22" s="36" t="s">
        <v>47</v>
      </c>
      <c r="C22" s="157">
        <f>SUMIF('内訳ﾘｽﾄ(4～3月)'!$D$26:$D$176,$B22,'内訳ﾘｽﾄ(4～3月)'!F$26:F$176)</f>
        <v>0</v>
      </c>
      <c r="D22" s="157">
        <f>SUMIF('内訳ﾘｽﾄ(4～3月)'!$D$26:$D$176,$B22,'内訳ﾘｽﾄ(4～3月)'!G$26:G$176)</f>
        <v>0</v>
      </c>
      <c r="E22" s="157">
        <f>SUMIF('内訳ﾘｽﾄ(4～3月)'!$D$26:$D$176,$B22,'内訳ﾘｽﾄ(4～3月)'!H$26:H$176)</f>
        <v>0</v>
      </c>
      <c r="F22" s="157">
        <f>SUMIF('内訳ﾘｽﾄ(4～3月)'!$D$26:$D$176,$B22,'内訳ﾘｽﾄ(4～3月)'!I$26:I$176)</f>
        <v>0</v>
      </c>
      <c r="G22" s="157">
        <f>SUMIF('内訳ﾘｽﾄ(4～3月)'!$D$26:$D$176,$B22,'内訳ﾘｽﾄ(4～3月)'!J$26:J$176)</f>
        <v>0</v>
      </c>
      <c r="H22" s="157">
        <f>SUMIF('内訳ﾘｽﾄ(4～3月)'!$D$26:$D$176,$B22,'内訳ﾘｽﾄ(4～3月)'!K$26:K$176)</f>
        <v>0</v>
      </c>
      <c r="I22" s="157">
        <f>SUMIF('内訳ﾘｽﾄ(4～3月)'!$D$26:$D$176,$B22,'内訳ﾘｽﾄ(4～3月)'!L$26:L$176)</f>
        <v>0</v>
      </c>
      <c r="J22" s="157">
        <f>SUMIF('内訳ﾘｽﾄ(4～3月)'!$D$26:$D$176,$B22,'内訳ﾘｽﾄ(4～3月)'!M$26:M$176)</f>
        <v>0</v>
      </c>
      <c r="K22" s="157">
        <f>SUMIF('内訳ﾘｽﾄ(4～3月)'!$D$26:$D$176,$B22,'内訳ﾘｽﾄ(4～3月)'!N$26:N$176)</f>
        <v>0</v>
      </c>
      <c r="L22" s="157">
        <f>SUMIF('内訳ﾘｽﾄ(4～3月)'!$D$26:$D$176,$B22,'内訳ﾘｽﾄ(4～3月)'!O$26:O$176)</f>
        <v>0</v>
      </c>
      <c r="M22" s="157">
        <f>SUMIF('内訳ﾘｽﾄ(4～3月)'!$D$26:$D$176,$B22,'内訳ﾘｽﾄ(4～3月)'!P$26:P$176)</f>
        <v>0</v>
      </c>
      <c r="N22" s="157">
        <f>SUMIF('内訳ﾘｽﾄ(4～3月)'!$D$26:$D$176,$B22,'内訳ﾘｽﾄ(4～3月)'!Q$26:Q$176)</f>
        <v>0</v>
      </c>
      <c r="O22" s="157">
        <f>SUMIF('内訳ﾘｽﾄ(4～3月)'!$D$26:$D$176,'採算表(VND)'!$B22,'内訳ﾘｽﾄ(4～3月)'!R$26:R$176)</f>
        <v>0</v>
      </c>
      <c r="AQ22" s="74"/>
      <c r="AR22" s="74"/>
      <c r="AS22" s="74"/>
      <c r="AT22" s="74"/>
      <c r="AU22" s="72"/>
      <c r="AV22" s="73"/>
      <c r="AW22" s="73"/>
      <c r="AX22" s="73"/>
      <c r="AY22" s="73"/>
      <c r="BA22" s="75"/>
      <c r="BB22" s="75"/>
      <c r="BC22" s="75"/>
      <c r="BD22" s="75"/>
      <c r="BF22" s="72"/>
      <c r="BG22" s="72"/>
      <c r="BH22" s="72"/>
      <c r="BI22" s="72"/>
    </row>
    <row r="23" spans="1:61" ht="11.25" customHeight="1">
      <c r="A23" s="34"/>
      <c r="B23" s="36" t="s">
        <v>49</v>
      </c>
      <c r="C23" s="157">
        <f>SUMIF('内訳ﾘｽﾄ(4～3月)'!$D$26:$D$176,$B23,'内訳ﾘｽﾄ(4～3月)'!F$26:F$176)</f>
        <v>0</v>
      </c>
      <c r="D23" s="157">
        <f>SUMIF('内訳ﾘｽﾄ(4～3月)'!$D$26:$D$176,$B23,'内訳ﾘｽﾄ(4～3月)'!G$26:G$176)</f>
        <v>0</v>
      </c>
      <c r="E23" s="157">
        <f>SUMIF('内訳ﾘｽﾄ(4～3月)'!$D$26:$D$176,$B23,'内訳ﾘｽﾄ(4～3月)'!H$26:H$176)</f>
        <v>0</v>
      </c>
      <c r="F23" s="157">
        <f>SUMIF('内訳ﾘｽﾄ(4～3月)'!$D$26:$D$176,$B23,'内訳ﾘｽﾄ(4～3月)'!I$26:I$176)</f>
        <v>0</v>
      </c>
      <c r="G23" s="157">
        <f>SUMIF('内訳ﾘｽﾄ(4～3月)'!$D$26:$D$176,$B23,'内訳ﾘｽﾄ(4～3月)'!J$26:J$176)</f>
        <v>0</v>
      </c>
      <c r="H23" s="157">
        <f>SUMIF('内訳ﾘｽﾄ(4～3月)'!$D$26:$D$176,$B23,'内訳ﾘｽﾄ(4～3月)'!K$26:K$176)</f>
        <v>0</v>
      </c>
      <c r="I23" s="157">
        <f>SUMIF('内訳ﾘｽﾄ(4～3月)'!$D$26:$D$176,$B23,'内訳ﾘｽﾄ(4～3月)'!L$26:L$176)</f>
        <v>0</v>
      </c>
      <c r="J23" s="157">
        <f>SUMIF('内訳ﾘｽﾄ(4～3月)'!$D$26:$D$176,$B23,'内訳ﾘｽﾄ(4～3月)'!M$26:M$176)</f>
        <v>0</v>
      </c>
      <c r="K23" s="157">
        <f>SUMIF('内訳ﾘｽﾄ(4～3月)'!$D$26:$D$176,$B23,'内訳ﾘｽﾄ(4～3月)'!N$26:N$176)</f>
        <v>0</v>
      </c>
      <c r="L23" s="157">
        <f>SUMIF('内訳ﾘｽﾄ(4～3月)'!$D$26:$D$176,$B23,'内訳ﾘｽﾄ(4～3月)'!O$26:O$176)</f>
        <v>0</v>
      </c>
      <c r="M23" s="157">
        <f>SUMIF('内訳ﾘｽﾄ(4～3月)'!$D$26:$D$176,$B23,'内訳ﾘｽﾄ(4～3月)'!P$26:P$176)</f>
        <v>0</v>
      </c>
      <c r="N23" s="157">
        <f>SUMIF('内訳ﾘｽﾄ(4～3月)'!$D$26:$D$176,$B23,'内訳ﾘｽﾄ(4～3月)'!Q$26:Q$176)</f>
        <v>0</v>
      </c>
      <c r="O23" s="157">
        <f>SUMIF('内訳ﾘｽﾄ(4～3月)'!$D$26:$D$176,'採算表(VND)'!$B23,'内訳ﾘｽﾄ(4～3月)'!R$26:R$176)</f>
        <v>0</v>
      </c>
      <c r="AQ23" s="74"/>
      <c r="AR23" s="74"/>
      <c r="AS23" s="74"/>
      <c r="AT23" s="74"/>
      <c r="AU23" s="72"/>
      <c r="AV23" s="73"/>
      <c r="AW23" s="73"/>
      <c r="AX23" s="73"/>
      <c r="AY23" s="73"/>
      <c r="BA23" s="75"/>
      <c r="BB23" s="75"/>
      <c r="BC23" s="75"/>
      <c r="BD23" s="75"/>
      <c r="BF23" s="72"/>
      <c r="BG23" s="72"/>
      <c r="BH23" s="72"/>
      <c r="BI23" s="72"/>
    </row>
    <row r="24" spans="1:61" ht="11.25" customHeight="1">
      <c r="A24" s="34"/>
      <c r="B24" s="36" t="s">
        <v>52</v>
      </c>
      <c r="C24" s="157">
        <f>SUMIF('内訳ﾘｽﾄ(4～3月)'!$D$26:$D$176,$B24,'内訳ﾘｽﾄ(4～3月)'!F$26:F$176)</f>
        <v>0</v>
      </c>
      <c r="D24" s="157">
        <f>SUMIF('内訳ﾘｽﾄ(4～3月)'!$D$26:$D$176,$B24,'内訳ﾘｽﾄ(4～3月)'!G$26:G$176)</f>
        <v>0</v>
      </c>
      <c r="E24" s="157">
        <f>SUMIF('内訳ﾘｽﾄ(4～3月)'!$D$26:$D$176,$B24,'内訳ﾘｽﾄ(4～3月)'!H$26:H$176)</f>
        <v>0</v>
      </c>
      <c r="F24" s="157">
        <f>SUMIF('内訳ﾘｽﾄ(4～3月)'!$D$26:$D$176,$B24,'内訳ﾘｽﾄ(4～3月)'!I$26:I$176)</f>
        <v>0</v>
      </c>
      <c r="G24" s="157">
        <f>SUMIF('内訳ﾘｽﾄ(4～3月)'!$D$26:$D$176,$B24,'内訳ﾘｽﾄ(4～3月)'!J$26:J$176)</f>
        <v>0</v>
      </c>
      <c r="H24" s="157">
        <f>SUMIF('内訳ﾘｽﾄ(4～3月)'!$D$26:$D$176,$B24,'内訳ﾘｽﾄ(4～3月)'!K$26:K$176)</f>
        <v>0</v>
      </c>
      <c r="I24" s="157">
        <f>SUMIF('内訳ﾘｽﾄ(4～3月)'!$D$26:$D$176,$B24,'内訳ﾘｽﾄ(4～3月)'!L$26:L$176)</f>
        <v>0</v>
      </c>
      <c r="J24" s="157">
        <f>SUMIF('内訳ﾘｽﾄ(4～3月)'!$D$26:$D$176,$B24,'内訳ﾘｽﾄ(4～3月)'!M$26:M$176)</f>
        <v>0</v>
      </c>
      <c r="K24" s="157">
        <f>SUMIF('内訳ﾘｽﾄ(4～3月)'!$D$26:$D$176,$B24,'内訳ﾘｽﾄ(4～3月)'!N$26:N$176)</f>
        <v>0</v>
      </c>
      <c r="L24" s="157">
        <f>SUMIF('内訳ﾘｽﾄ(4～3月)'!$D$26:$D$176,$B24,'内訳ﾘｽﾄ(4～3月)'!O$26:O$176)</f>
        <v>0</v>
      </c>
      <c r="M24" s="157">
        <f>SUMIF('内訳ﾘｽﾄ(4～3月)'!$D$26:$D$176,$B24,'内訳ﾘｽﾄ(4～3月)'!P$26:P$176)</f>
        <v>0</v>
      </c>
      <c r="N24" s="157">
        <f>SUMIF('内訳ﾘｽﾄ(4～3月)'!$D$26:$D$176,$B24,'内訳ﾘｽﾄ(4～3月)'!Q$26:Q$176)</f>
        <v>0</v>
      </c>
      <c r="O24" s="157">
        <f>SUMIF('内訳ﾘｽﾄ(4～3月)'!$D$26:$D$176,'採算表(VND)'!$B24,'内訳ﾘｽﾄ(4～3月)'!R$26:R$176)</f>
        <v>0</v>
      </c>
      <c r="AQ24" s="74"/>
      <c r="AR24" s="74"/>
      <c r="AS24" s="74"/>
      <c r="AT24" s="74"/>
      <c r="AU24" s="72"/>
      <c r="AV24" s="73"/>
      <c r="AW24" s="73"/>
      <c r="AX24" s="73"/>
      <c r="AY24" s="73"/>
      <c r="BA24" s="75"/>
      <c r="BB24" s="75"/>
      <c r="BC24" s="75"/>
      <c r="BD24" s="75"/>
      <c r="BF24" s="72"/>
      <c r="BG24" s="72"/>
      <c r="BH24" s="72"/>
      <c r="BI24" s="72"/>
    </row>
    <row r="25" spans="1:61" ht="11.25" customHeight="1">
      <c r="A25" s="34"/>
      <c r="B25" s="36" t="s">
        <v>55</v>
      </c>
      <c r="C25" s="157">
        <f>SUMIF('内訳ﾘｽﾄ(4～3月)'!$D$26:$D$176,$B25,'内訳ﾘｽﾄ(4～3月)'!F$26:F$176)</f>
        <v>167877</v>
      </c>
      <c r="D25" s="157">
        <f>SUMIF('内訳ﾘｽﾄ(4～3月)'!$D$26:$D$176,$B25,'内訳ﾘｽﾄ(4～3月)'!G$26:G$176)</f>
        <v>184734</v>
      </c>
      <c r="E25" s="157">
        <f>SUMIF('内訳ﾘｽﾄ(4～3月)'!$D$26:$D$176,$B25,'内訳ﾘｽﾄ(4～3月)'!H$26:H$176)</f>
        <v>176283</v>
      </c>
      <c r="F25" s="157">
        <f>SUMIF('内訳ﾘｽﾄ(4～3月)'!$D$26:$D$176,$B25,'内訳ﾘｽﾄ(4～3月)'!I$26:I$176)</f>
        <v>202383</v>
      </c>
      <c r="G25" s="157">
        <f>SUMIF('内訳ﾘｽﾄ(4～3月)'!$D$26:$D$176,$B25,'内訳ﾘｽﾄ(4～3月)'!J$26:J$176)</f>
        <v>193482</v>
      </c>
      <c r="H25" s="157">
        <f>SUMIF('内訳ﾘｽﾄ(4～3月)'!$D$26:$D$176,$B25,'内訳ﾘｽﾄ(4～3月)'!K$26:K$176)</f>
        <v>158886</v>
      </c>
      <c r="I25" s="157">
        <f>SUMIF('内訳ﾘｽﾄ(4～3月)'!$D$26:$D$176,$B25,'内訳ﾘｽﾄ(4～3月)'!L$26:L$176)</f>
        <v>246675</v>
      </c>
      <c r="J25" s="157">
        <f>SUMIF('内訳ﾘｽﾄ(4～3月)'!$D$26:$D$176,$B25,'内訳ﾘｽﾄ(4～3月)'!M$26:M$176)</f>
        <v>225489</v>
      </c>
      <c r="K25" s="157">
        <f>SUMIF('内訳ﾘｽﾄ(4～3月)'!$D$26:$D$176,$B25,'内訳ﾘｽﾄ(4～3月)'!N$26:N$176)</f>
        <v>215105</v>
      </c>
      <c r="L25" s="157">
        <f>SUMIF('内訳ﾘｽﾄ(4～3月)'!$D$26:$D$176,$B25,'内訳ﾘｽﾄ(4～3月)'!O$26:O$176)</f>
        <v>183062</v>
      </c>
      <c r="M25" s="157">
        <f>SUMIF('内訳ﾘｽﾄ(4～3月)'!$D$26:$D$176,$B25,'内訳ﾘｽﾄ(4～3月)'!P$26:P$176)</f>
        <v>204204</v>
      </c>
      <c r="N25" s="157">
        <f>SUMIF('内訳ﾘｽﾄ(4～3月)'!$D$26:$D$176,$B25,'内訳ﾘｽﾄ(4～3月)'!Q$26:Q$176)</f>
        <v>215446</v>
      </c>
      <c r="O25" s="157">
        <f>SUMIF('内訳ﾘｽﾄ(4～3月)'!$D$26:$D$176,'採算表(VND)'!$B25,'内訳ﾘｽﾄ(4～3月)'!R$26:R$176)</f>
        <v>2373626</v>
      </c>
      <c r="AQ25" s="74"/>
      <c r="AR25" s="74"/>
      <c r="AS25" s="74"/>
      <c r="AT25" s="74"/>
      <c r="AU25" s="72"/>
      <c r="AV25" s="73"/>
      <c r="AW25" s="73"/>
      <c r="AX25" s="73"/>
      <c r="AY25" s="73"/>
      <c r="BA25" s="75"/>
      <c r="BB25" s="75"/>
      <c r="BC25" s="75"/>
      <c r="BD25" s="75"/>
      <c r="BF25" s="77"/>
      <c r="BG25" s="72"/>
      <c r="BH25" s="72"/>
      <c r="BI25" s="72"/>
    </row>
    <row r="26" spans="1:61" ht="11.25" customHeight="1">
      <c r="A26" s="34"/>
      <c r="B26" s="37" t="s">
        <v>104</v>
      </c>
      <c r="C26" s="157">
        <f>SUMIF('内訳ﾘｽﾄ(4～3月)'!$D$26:$D$176,$B26,'内訳ﾘｽﾄ(4～3月)'!F$26:F$176)</f>
        <v>0</v>
      </c>
      <c r="D26" s="157">
        <f>SUMIF('内訳ﾘｽﾄ(4～3月)'!$D$26:$D$176,$B26,'内訳ﾘｽﾄ(4～3月)'!G$26:G$176)</f>
        <v>0</v>
      </c>
      <c r="E26" s="157">
        <f>SUMIF('内訳ﾘｽﾄ(4～3月)'!$D$26:$D$176,$B26,'内訳ﾘｽﾄ(4～3月)'!H$26:H$176)</f>
        <v>50000000</v>
      </c>
      <c r="F26" s="157">
        <f>SUMIF('内訳ﾘｽﾄ(4～3月)'!$D$26:$D$176,$B26,'内訳ﾘｽﾄ(4～3月)'!I$26:I$176)</f>
        <v>0</v>
      </c>
      <c r="G26" s="157">
        <f>SUMIF('内訳ﾘｽﾄ(4～3月)'!$D$26:$D$176,$B26,'内訳ﾘｽﾄ(4～3月)'!J$26:J$176)</f>
        <v>0</v>
      </c>
      <c r="H26" s="157">
        <f>SUMIF('内訳ﾘｽﾄ(4～3月)'!$D$26:$D$176,$B26,'内訳ﾘｽﾄ(4～3月)'!K$26:K$176)</f>
        <v>0</v>
      </c>
      <c r="I26" s="157">
        <f>SUMIF('内訳ﾘｽﾄ(4～3月)'!$D$26:$D$176,$B26,'内訳ﾘｽﾄ(4～3月)'!L$26:L$176)</f>
        <v>0</v>
      </c>
      <c r="J26" s="157">
        <f>SUMIF('内訳ﾘｽﾄ(4～3月)'!$D$26:$D$176,$B26,'内訳ﾘｽﾄ(4～3月)'!M$26:M$176)</f>
        <v>0</v>
      </c>
      <c r="K26" s="157">
        <f>SUMIF('内訳ﾘｽﾄ(4～3月)'!$D$26:$D$176,$B26,'内訳ﾘｽﾄ(4～3月)'!N$26:N$176)</f>
        <v>0</v>
      </c>
      <c r="L26" s="157">
        <f>SUMIF('内訳ﾘｽﾄ(4～3月)'!$D$26:$D$176,$B26,'内訳ﾘｽﾄ(4～3月)'!O$26:O$176)</f>
        <v>0</v>
      </c>
      <c r="M26" s="157">
        <f>SUMIF('内訳ﾘｽﾄ(4～3月)'!$D$26:$D$176,$B26,'内訳ﾘｽﾄ(4～3月)'!P$26:P$176)</f>
        <v>0</v>
      </c>
      <c r="N26" s="157">
        <f>SUMIF('内訳ﾘｽﾄ(4～3月)'!$D$26:$D$176,$B26,'内訳ﾘｽﾄ(4～3月)'!Q$26:Q$176)</f>
        <v>0</v>
      </c>
      <c r="O26" s="157">
        <f>SUMIF('内訳ﾘｽﾄ(4～3月)'!$D$26:$D$176,'採算表(VND)'!$B26,'内訳ﾘｽﾄ(4～3月)'!R$26:R$176)</f>
        <v>50000000</v>
      </c>
      <c r="AQ26" s="74"/>
      <c r="AR26" s="74"/>
      <c r="AS26" s="74"/>
      <c r="AT26" s="74"/>
      <c r="AU26" s="72"/>
      <c r="AV26" s="73"/>
      <c r="AW26" s="73"/>
      <c r="AX26" s="73"/>
      <c r="AY26" s="73"/>
      <c r="BA26" s="75"/>
      <c r="BB26" s="75"/>
      <c r="BC26" s="75"/>
      <c r="BD26" s="75"/>
      <c r="BF26" s="72"/>
      <c r="BG26" s="72"/>
      <c r="BH26" s="72"/>
      <c r="BI26" s="72"/>
    </row>
    <row r="27" spans="1:61" ht="11.25" customHeight="1">
      <c r="A27" s="34"/>
      <c r="B27" s="37" t="s">
        <v>54</v>
      </c>
      <c r="C27" s="157">
        <f>SUMIF('内訳ﾘｽﾄ(4～3月)'!$D$26:$D$176,$B27,'内訳ﾘｽﾄ(4～3月)'!F$26:F$176)</f>
        <v>0</v>
      </c>
      <c r="D27" s="157">
        <f>SUMIF('内訳ﾘｽﾄ(4～3月)'!$D$26:$D$176,$B27,'内訳ﾘｽﾄ(4～3月)'!G$26:G$176)</f>
        <v>0</v>
      </c>
      <c r="E27" s="157">
        <f>SUMIF('内訳ﾘｽﾄ(4～3月)'!$D$26:$D$176,$B27,'内訳ﾘｽﾄ(4～3月)'!H$26:H$176)</f>
        <v>0</v>
      </c>
      <c r="F27" s="157">
        <f>SUMIF('内訳ﾘｽﾄ(4～3月)'!$D$26:$D$176,$B27,'内訳ﾘｽﾄ(4～3月)'!I$26:I$176)</f>
        <v>0</v>
      </c>
      <c r="G27" s="157">
        <f>SUMIF('内訳ﾘｽﾄ(4～3月)'!$D$26:$D$176,$B27,'内訳ﾘｽﾄ(4～3月)'!J$26:J$176)</f>
        <v>0</v>
      </c>
      <c r="H27" s="157">
        <f>SUMIF('内訳ﾘｽﾄ(4～3月)'!$D$26:$D$176,$B27,'内訳ﾘｽﾄ(4～3月)'!K$26:K$176)</f>
        <v>0</v>
      </c>
      <c r="I27" s="157">
        <f>SUMIF('内訳ﾘｽﾄ(4～3月)'!$D$26:$D$176,$B27,'内訳ﾘｽﾄ(4～3月)'!L$26:L$176)</f>
        <v>0</v>
      </c>
      <c r="J27" s="157">
        <f>SUMIF('内訳ﾘｽﾄ(4～3月)'!$D$26:$D$176,$B27,'内訳ﾘｽﾄ(4～3月)'!M$26:M$176)</f>
        <v>0</v>
      </c>
      <c r="K27" s="157">
        <f>SUMIF('内訳ﾘｽﾄ(4～3月)'!$D$26:$D$176,$B27,'内訳ﾘｽﾄ(4～3月)'!N$26:N$176)</f>
        <v>0</v>
      </c>
      <c r="L27" s="157">
        <f>SUMIF('内訳ﾘｽﾄ(4～3月)'!$D$26:$D$176,$B27,'内訳ﾘｽﾄ(4～3月)'!O$26:O$176)</f>
        <v>0</v>
      </c>
      <c r="M27" s="157">
        <f>SUMIF('内訳ﾘｽﾄ(4～3月)'!$D$26:$D$176,$B27,'内訳ﾘｽﾄ(4～3月)'!P$26:P$176)</f>
        <v>0</v>
      </c>
      <c r="N27" s="157">
        <f>SUMIF('内訳ﾘｽﾄ(4～3月)'!$D$26:$D$176,$B27,'内訳ﾘｽﾄ(4～3月)'!Q$26:Q$176)</f>
        <v>0</v>
      </c>
      <c r="O27" s="157">
        <f>SUMIF('内訳ﾘｽﾄ(4～3月)'!$D$26:$D$176,'採算表(VND)'!$B27,'内訳ﾘｽﾄ(4～3月)'!R$26:R$176)</f>
        <v>0</v>
      </c>
      <c r="AQ27" s="74"/>
      <c r="AR27" s="74"/>
      <c r="AS27" s="74"/>
      <c r="AT27" s="74"/>
      <c r="AU27" s="72"/>
      <c r="AV27" s="73"/>
      <c r="AW27" s="73"/>
      <c r="AX27" s="73"/>
      <c r="AY27" s="73"/>
      <c r="BA27" s="75"/>
      <c r="BB27" s="75"/>
      <c r="BC27" s="75"/>
      <c r="BD27" s="75"/>
      <c r="BF27" s="72"/>
      <c r="BG27" s="72"/>
      <c r="BH27" s="72"/>
      <c r="BI27" s="72"/>
    </row>
    <row r="28" spans="1:61" ht="11.25" customHeight="1">
      <c r="A28" s="34"/>
      <c r="B28" s="37" t="s">
        <v>56</v>
      </c>
      <c r="C28" s="157">
        <f>SUMIF('内訳ﾘｽﾄ(4～3月)'!$D$26:$D$176,$B28,'内訳ﾘｽﾄ(4～3月)'!F$26:F$176)</f>
        <v>0</v>
      </c>
      <c r="D28" s="157">
        <f>SUMIF('内訳ﾘｽﾄ(4～3月)'!$D$26:$D$176,$B28,'内訳ﾘｽﾄ(4～3月)'!G$26:G$176)</f>
        <v>0</v>
      </c>
      <c r="E28" s="157">
        <f>SUMIF('内訳ﾘｽﾄ(4～3月)'!$D$26:$D$176,$B28,'内訳ﾘｽﾄ(4～3月)'!H$26:H$176)</f>
        <v>0</v>
      </c>
      <c r="F28" s="157">
        <f>SUMIF('内訳ﾘｽﾄ(4～3月)'!$D$26:$D$176,$B28,'内訳ﾘｽﾄ(4～3月)'!I$26:I$176)</f>
        <v>0</v>
      </c>
      <c r="G28" s="157">
        <f>SUMIF('内訳ﾘｽﾄ(4～3月)'!$D$26:$D$176,$B28,'内訳ﾘｽﾄ(4～3月)'!J$26:J$176)</f>
        <v>0</v>
      </c>
      <c r="H28" s="157">
        <f>SUMIF('内訳ﾘｽﾄ(4～3月)'!$D$26:$D$176,$B28,'内訳ﾘｽﾄ(4～3月)'!K$26:K$176)</f>
        <v>0</v>
      </c>
      <c r="I28" s="157">
        <f>SUMIF('内訳ﾘｽﾄ(4～3月)'!$D$26:$D$176,$B28,'内訳ﾘｽﾄ(4～3月)'!L$26:L$176)</f>
        <v>0</v>
      </c>
      <c r="J28" s="157">
        <f>SUMIF('内訳ﾘｽﾄ(4～3月)'!$D$26:$D$176,$B28,'内訳ﾘｽﾄ(4～3月)'!M$26:M$176)</f>
        <v>0</v>
      </c>
      <c r="K28" s="157">
        <f>SUMIF('内訳ﾘｽﾄ(4～3月)'!$D$26:$D$176,$B28,'内訳ﾘｽﾄ(4～3月)'!N$26:N$176)</f>
        <v>0</v>
      </c>
      <c r="L28" s="157">
        <f>SUMIF('内訳ﾘｽﾄ(4～3月)'!$D$26:$D$176,$B28,'内訳ﾘｽﾄ(4～3月)'!O$26:O$176)</f>
        <v>0</v>
      </c>
      <c r="M28" s="157">
        <f>SUMIF('内訳ﾘｽﾄ(4～3月)'!$D$26:$D$176,$B28,'内訳ﾘｽﾄ(4～3月)'!P$26:P$176)</f>
        <v>0</v>
      </c>
      <c r="N28" s="157">
        <f>SUMIF('内訳ﾘｽﾄ(4～3月)'!$D$26:$D$176,$B28,'内訳ﾘｽﾄ(4～3月)'!Q$26:Q$176)</f>
        <v>0</v>
      </c>
      <c r="O28" s="157">
        <f>SUMIF('内訳ﾘｽﾄ(4～3月)'!$D$26:$D$176,'採算表(VND)'!$B28,'内訳ﾘｽﾄ(4～3月)'!R$26:R$176)</f>
        <v>0</v>
      </c>
      <c r="AQ28" s="74"/>
      <c r="AR28" s="74"/>
      <c r="AS28" s="74"/>
      <c r="AT28" s="74"/>
      <c r="AU28" s="72"/>
      <c r="AV28" s="73"/>
      <c r="AW28" s="73"/>
      <c r="AX28" s="73"/>
      <c r="AY28" s="73"/>
      <c r="BA28" s="75"/>
      <c r="BB28" s="75"/>
      <c r="BC28" s="75"/>
      <c r="BD28" s="75"/>
      <c r="BF28" s="77"/>
      <c r="BG28" s="72"/>
      <c r="BH28" s="72"/>
      <c r="BI28" s="72"/>
    </row>
    <row r="29" spans="1:61" ht="11.25" customHeight="1">
      <c r="A29" s="34"/>
      <c r="B29" s="37" t="s">
        <v>57</v>
      </c>
      <c r="C29" s="157">
        <f>SUMIF('内訳ﾘｽﾄ(4～3月)'!$D$26:$D$176,$B29,'内訳ﾘｽﾄ(4～3月)'!F$26:F$176)</f>
        <v>0</v>
      </c>
      <c r="D29" s="157">
        <f>SUMIF('内訳ﾘｽﾄ(4～3月)'!$D$26:$D$176,$B29,'内訳ﾘｽﾄ(4～3月)'!G$26:G$176)</f>
        <v>0</v>
      </c>
      <c r="E29" s="157">
        <f>SUMIF('内訳ﾘｽﾄ(4～3月)'!$D$26:$D$176,$B29,'内訳ﾘｽﾄ(4～3月)'!H$26:H$176)</f>
        <v>0</v>
      </c>
      <c r="F29" s="157">
        <f>SUMIF('内訳ﾘｽﾄ(4～3月)'!$D$26:$D$176,$B29,'内訳ﾘｽﾄ(4～3月)'!I$26:I$176)</f>
        <v>0</v>
      </c>
      <c r="G29" s="157">
        <f>SUMIF('内訳ﾘｽﾄ(4～3月)'!$D$26:$D$176,$B29,'内訳ﾘｽﾄ(4～3月)'!J$26:J$176)</f>
        <v>0</v>
      </c>
      <c r="H29" s="157">
        <f>SUMIF('内訳ﾘｽﾄ(4～3月)'!$D$26:$D$176,$B29,'内訳ﾘｽﾄ(4～3月)'!K$26:K$176)</f>
        <v>0</v>
      </c>
      <c r="I29" s="157">
        <f>SUMIF('内訳ﾘｽﾄ(4～3月)'!$D$26:$D$176,$B29,'内訳ﾘｽﾄ(4～3月)'!L$26:L$176)</f>
        <v>0</v>
      </c>
      <c r="J29" s="157">
        <f>SUMIF('内訳ﾘｽﾄ(4～3月)'!$D$26:$D$176,$B29,'内訳ﾘｽﾄ(4～3月)'!M$26:M$176)</f>
        <v>0</v>
      </c>
      <c r="K29" s="157">
        <f>SUMIF('内訳ﾘｽﾄ(4～3月)'!$D$26:$D$176,$B29,'内訳ﾘｽﾄ(4～3月)'!N$26:N$176)</f>
        <v>0</v>
      </c>
      <c r="L29" s="157">
        <f>SUMIF('内訳ﾘｽﾄ(4～3月)'!$D$26:$D$176,$B29,'内訳ﾘｽﾄ(4～3月)'!O$26:O$176)</f>
        <v>0</v>
      </c>
      <c r="M29" s="157">
        <f>SUMIF('内訳ﾘｽﾄ(4～3月)'!$D$26:$D$176,$B29,'内訳ﾘｽﾄ(4～3月)'!P$26:P$176)</f>
        <v>0</v>
      </c>
      <c r="N29" s="157">
        <f>SUMIF('内訳ﾘｽﾄ(4～3月)'!$D$26:$D$176,$B29,'内訳ﾘｽﾄ(4～3月)'!Q$26:Q$176)</f>
        <v>0</v>
      </c>
      <c r="O29" s="157">
        <f>SUMIF('内訳ﾘｽﾄ(4～3月)'!$D$26:$D$176,'採算表(VND)'!$B29,'内訳ﾘｽﾄ(4～3月)'!R$26:R$176)</f>
        <v>0</v>
      </c>
      <c r="AQ29" s="74"/>
      <c r="AR29" s="74"/>
      <c r="AS29" s="74"/>
      <c r="AT29" s="74"/>
      <c r="AU29" s="72"/>
      <c r="AV29" s="73"/>
      <c r="AW29" s="73"/>
      <c r="AX29" s="73"/>
      <c r="AY29" s="73"/>
      <c r="BA29" s="75"/>
      <c r="BB29" s="75"/>
      <c r="BC29" s="75"/>
      <c r="BD29" s="75"/>
      <c r="BF29" s="72"/>
      <c r="BG29" s="72"/>
      <c r="BH29" s="72"/>
      <c r="BI29" s="72"/>
    </row>
    <row r="30" spans="1:61" ht="11.25" customHeight="1">
      <c r="A30" s="34"/>
      <c r="B30" s="37" t="s">
        <v>97</v>
      </c>
      <c r="C30" s="157">
        <f>SUMIF('内訳ﾘｽﾄ(4～3月)'!$D$26:$D$176,$B30,'内訳ﾘｽﾄ(4～3月)'!F$26:F$176)</f>
        <v>1575462</v>
      </c>
      <c r="D30" s="157">
        <f>SUMIF('内訳ﾘｽﾄ(4～3月)'!$D$26:$D$176,$B30,'内訳ﾘｽﾄ(4～3月)'!G$26:G$176)</f>
        <v>1557192</v>
      </c>
      <c r="E30" s="157">
        <f>SUMIF('内訳ﾘｽﾄ(4～3月)'!$D$26:$D$176,$B30,'内訳ﾘｽﾄ(4～3月)'!H$26:H$176)</f>
        <v>1579019</v>
      </c>
      <c r="F30" s="157">
        <f>SUMIF('内訳ﾘｽﾄ(4～3月)'!$D$26:$D$176,$B30,'内訳ﾘｽﾄ(4～3月)'!I$26:I$176)</f>
        <v>1586453</v>
      </c>
      <c r="G30" s="157">
        <f>SUMIF('内訳ﾘｽﾄ(4～3月)'!$D$26:$D$176,$B30,'内訳ﾘｽﾄ(4～3月)'!J$26:J$176)</f>
        <v>1627685</v>
      </c>
      <c r="H30" s="157">
        <f>SUMIF('内訳ﾘｽﾄ(4～3月)'!$D$26:$D$176,$B30,'内訳ﾘｽﾄ(4～3月)'!K$26:K$176)</f>
        <v>1634000</v>
      </c>
      <c r="I30" s="157">
        <f>SUMIF('内訳ﾘｽﾄ(4～3月)'!$D$26:$D$176,$B30,'内訳ﾘｽﾄ(4～3月)'!L$26:L$176)</f>
        <v>1637508</v>
      </c>
      <c r="J30" s="157">
        <f>SUMIF('内訳ﾘｽﾄ(4～3月)'!$D$26:$D$176,$B30,'内訳ﾘｽﾄ(4～3月)'!M$26:M$176)</f>
        <v>1604035</v>
      </c>
      <c r="K30" s="157">
        <f>SUMIF('内訳ﾘｽﾄ(4～3月)'!$D$26:$D$176,$B30,'内訳ﾘｽﾄ(4～3月)'!N$26:N$176)</f>
        <v>1685934</v>
      </c>
      <c r="L30" s="157">
        <f>SUMIF('内訳ﾘｽﾄ(4～3月)'!$D$26:$D$176,$B30,'内訳ﾘｽﾄ(4～3月)'!O$26:O$176)</f>
        <v>1199856</v>
      </c>
      <c r="M30" s="157">
        <f>SUMIF('内訳ﾘｽﾄ(4～3月)'!$D$26:$D$176,$B30,'内訳ﾘｽﾄ(4～3月)'!P$26:P$176)</f>
        <v>1211197</v>
      </c>
      <c r="N30" s="157">
        <f>SUMIF('内訳ﾘｽﾄ(4～3月)'!$D$26:$D$176,$B30,'内訳ﾘｽﾄ(4～3月)'!Q$26:Q$176)</f>
        <v>1263289</v>
      </c>
      <c r="O30" s="157">
        <f>SUMIF('内訳ﾘｽﾄ(4～3月)'!$D$26:$D$176,'採算表(VND)'!$B30,'内訳ﾘｽﾄ(4～3月)'!R$26:R$176)</f>
        <v>18161630</v>
      </c>
      <c r="AQ30" s="74"/>
      <c r="AR30" s="74"/>
      <c r="AS30" s="74"/>
      <c r="AT30" s="74"/>
      <c r="AU30" s="72"/>
      <c r="AV30" s="73"/>
      <c r="AW30" s="73"/>
      <c r="AX30" s="73"/>
      <c r="AY30" s="73"/>
      <c r="BA30" s="75"/>
      <c r="BB30" s="75"/>
      <c r="BC30" s="75"/>
      <c r="BD30" s="75"/>
      <c r="BF30" s="72"/>
      <c r="BG30" s="72"/>
      <c r="BH30" s="72"/>
      <c r="BI30" s="72"/>
    </row>
    <row r="31" spans="1:61" ht="11.25" customHeight="1">
      <c r="A31" s="34"/>
      <c r="B31" s="37" t="s">
        <v>59</v>
      </c>
      <c r="C31" s="157">
        <f>SUMIF('内訳ﾘｽﾄ(4～3月)'!$D$26:$D$176,$B31,'内訳ﾘｽﾄ(4～3月)'!F$26:F$176)</f>
        <v>0</v>
      </c>
      <c r="D31" s="157">
        <f>SUMIF('内訳ﾘｽﾄ(4～3月)'!$D$26:$D$176,$B31,'内訳ﾘｽﾄ(4～3月)'!G$26:G$176)</f>
        <v>0</v>
      </c>
      <c r="E31" s="157">
        <f>SUMIF('内訳ﾘｽﾄ(4～3月)'!$D$26:$D$176,$B31,'内訳ﾘｽﾄ(4～3月)'!H$26:H$176)</f>
        <v>0</v>
      </c>
      <c r="F31" s="157">
        <f>SUMIF('内訳ﾘｽﾄ(4～3月)'!$D$26:$D$176,$B31,'内訳ﾘｽﾄ(4～3月)'!I$26:I$176)</f>
        <v>0</v>
      </c>
      <c r="G31" s="157">
        <f>SUMIF('内訳ﾘｽﾄ(4～3月)'!$D$26:$D$176,$B31,'内訳ﾘｽﾄ(4～3月)'!J$26:J$176)</f>
        <v>0</v>
      </c>
      <c r="H31" s="157">
        <f>SUMIF('内訳ﾘｽﾄ(4～3月)'!$D$26:$D$176,$B31,'内訳ﾘｽﾄ(4～3月)'!K$26:K$176)</f>
        <v>0</v>
      </c>
      <c r="I31" s="157">
        <f>SUMIF('内訳ﾘｽﾄ(4～3月)'!$D$26:$D$176,$B31,'内訳ﾘｽﾄ(4～3月)'!L$26:L$176)</f>
        <v>0</v>
      </c>
      <c r="J31" s="157">
        <f>SUMIF('内訳ﾘｽﾄ(4～3月)'!$D$26:$D$176,$B31,'内訳ﾘｽﾄ(4～3月)'!M$26:M$176)</f>
        <v>0</v>
      </c>
      <c r="K31" s="157">
        <f>SUMIF('内訳ﾘｽﾄ(4～3月)'!$D$26:$D$176,$B31,'内訳ﾘｽﾄ(4～3月)'!N$26:N$176)</f>
        <v>0</v>
      </c>
      <c r="L31" s="157">
        <f>SUMIF('内訳ﾘｽﾄ(4～3月)'!$D$26:$D$176,$B31,'内訳ﾘｽﾄ(4～3月)'!O$26:O$176)</f>
        <v>0</v>
      </c>
      <c r="M31" s="157">
        <f>SUMIF('内訳ﾘｽﾄ(4～3月)'!$D$26:$D$176,$B31,'内訳ﾘｽﾄ(4～3月)'!P$26:P$176)</f>
        <v>0</v>
      </c>
      <c r="N31" s="157">
        <f>SUMIF('内訳ﾘｽﾄ(4～3月)'!$D$26:$D$176,$B31,'内訳ﾘｽﾄ(4～3月)'!Q$26:Q$176)</f>
        <v>0</v>
      </c>
      <c r="O31" s="157">
        <f>SUMIF('内訳ﾘｽﾄ(4～3月)'!$D$26:$D$176,'採算表(VND)'!$B31,'内訳ﾘｽﾄ(4～3月)'!R$26:R$176)</f>
        <v>0</v>
      </c>
      <c r="AQ31" s="74"/>
      <c r="AR31" s="74"/>
      <c r="AS31" s="74"/>
      <c r="AT31" s="74"/>
      <c r="AU31" s="72"/>
      <c r="AV31" s="73"/>
      <c r="AW31" s="73"/>
      <c r="AX31" s="73"/>
      <c r="AY31" s="73"/>
      <c r="BA31" s="75"/>
      <c r="BB31" s="75"/>
      <c r="BC31" s="75"/>
      <c r="BD31" s="75"/>
      <c r="BF31" s="76"/>
      <c r="BG31" s="72"/>
      <c r="BH31" s="72"/>
      <c r="BI31" s="72"/>
    </row>
    <row r="32" spans="1:61" ht="11.25" customHeight="1">
      <c r="A32" s="38"/>
      <c r="B32" s="37" t="s">
        <v>61</v>
      </c>
      <c r="C32" s="157">
        <f>SUMIF('内訳ﾘｽﾄ(4～3月)'!$D$26:$D$176,$B32,'内訳ﾘｽﾄ(4～3月)'!F$26:F$176)</f>
        <v>0</v>
      </c>
      <c r="D32" s="157">
        <f>SUMIF('内訳ﾘｽﾄ(4～3月)'!$D$26:$D$176,$B32,'内訳ﾘｽﾄ(4～3月)'!G$26:G$176)</f>
        <v>0</v>
      </c>
      <c r="E32" s="157">
        <f>SUMIF('内訳ﾘｽﾄ(4～3月)'!$D$26:$D$176,$B32,'内訳ﾘｽﾄ(4～3月)'!H$26:H$176)</f>
        <v>0</v>
      </c>
      <c r="F32" s="157">
        <f>SUMIF('内訳ﾘｽﾄ(4～3月)'!$D$26:$D$176,$B32,'内訳ﾘｽﾄ(4～3月)'!I$26:I$176)</f>
        <v>0</v>
      </c>
      <c r="G32" s="157">
        <f>SUMIF('内訳ﾘｽﾄ(4～3月)'!$D$26:$D$176,$B32,'内訳ﾘｽﾄ(4～3月)'!J$26:J$176)</f>
        <v>0</v>
      </c>
      <c r="H32" s="157">
        <f>SUMIF('内訳ﾘｽﾄ(4～3月)'!$D$26:$D$176,$B32,'内訳ﾘｽﾄ(4～3月)'!K$26:K$176)</f>
        <v>0</v>
      </c>
      <c r="I32" s="157">
        <f>SUMIF('内訳ﾘｽﾄ(4～3月)'!$D$26:$D$176,$B32,'内訳ﾘｽﾄ(4～3月)'!L$26:L$176)</f>
        <v>0</v>
      </c>
      <c r="J32" s="157">
        <f>SUMIF('内訳ﾘｽﾄ(4～3月)'!$D$26:$D$176,$B32,'内訳ﾘｽﾄ(4～3月)'!M$26:M$176)</f>
        <v>0</v>
      </c>
      <c r="K32" s="157">
        <f>SUMIF('内訳ﾘｽﾄ(4～3月)'!$D$26:$D$176,$B32,'内訳ﾘｽﾄ(4～3月)'!N$26:N$176)</f>
        <v>0</v>
      </c>
      <c r="L32" s="157">
        <f>SUMIF('内訳ﾘｽﾄ(4～3月)'!$D$26:$D$176,$B32,'内訳ﾘｽﾄ(4～3月)'!O$26:O$176)</f>
        <v>0</v>
      </c>
      <c r="M32" s="157">
        <f>SUMIF('内訳ﾘｽﾄ(4～3月)'!$D$26:$D$176,$B32,'内訳ﾘｽﾄ(4～3月)'!P$26:P$176)</f>
        <v>0</v>
      </c>
      <c r="N32" s="157">
        <f>SUMIF('内訳ﾘｽﾄ(4～3月)'!$D$26:$D$176,$B32,'内訳ﾘｽﾄ(4～3月)'!Q$26:Q$176)</f>
        <v>0</v>
      </c>
      <c r="O32" s="157">
        <f>SUMIF('内訳ﾘｽﾄ(4～3月)'!$D$26:$D$176,'採算表(VND)'!$B32,'内訳ﾘｽﾄ(4～3月)'!R$26:R$176)</f>
        <v>0</v>
      </c>
      <c r="AQ32" s="74"/>
      <c r="AR32" s="74"/>
      <c r="AS32" s="74"/>
      <c r="AT32" s="74"/>
      <c r="AU32" s="72"/>
      <c r="AV32" s="73"/>
      <c r="AW32" s="73"/>
      <c r="AX32" s="73"/>
      <c r="AY32" s="73"/>
      <c r="BA32" s="75"/>
      <c r="BB32" s="75"/>
      <c r="BC32" s="75"/>
      <c r="BD32" s="75"/>
      <c r="BF32" s="76"/>
      <c r="BG32" s="72"/>
      <c r="BH32" s="72"/>
      <c r="BI32" s="72"/>
    </row>
    <row r="33" spans="1:61" ht="11.25" customHeight="1">
      <c r="A33" s="38"/>
      <c r="B33" s="37" t="s">
        <v>60</v>
      </c>
      <c r="C33" s="157">
        <f>SUMIF('内訳ﾘｽﾄ(4～3月)'!$D$26:$D$176,$B33,'内訳ﾘｽﾄ(4～3月)'!F$26:F$176)</f>
        <v>0</v>
      </c>
      <c r="D33" s="157">
        <f>SUMIF('内訳ﾘｽﾄ(4～3月)'!$D$26:$D$176,$B33,'内訳ﾘｽﾄ(4～3月)'!G$26:G$176)</f>
        <v>0</v>
      </c>
      <c r="E33" s="157">
        <f>SUMIF('内訳ﾘｽﾄ(4～3月)'!$D$26:$D$176,$B33,'内訳ﾘｽﾄ(4～3月)'!H$26:H$176)</f>
        <v>0</v>
      </c>
      <c r="F33" s="157">
        <f>SUMIF('内訳ﾘｽﾄ(4～3月)'!$D$26:$D$176,$B33,'内訳ﾘｽﾄ(4～3月)'!I$26:I$176)</f>
        <v>0</v>
      </c>
      <c r="G33" s="157">
        <f>SUMIF('内訳ﾘｽﾄ(4～3月)'!$D$26:$D$176,$B33,'内訳ﾘｽﾄ(4～3月)'!J$26:J$176)</f>
        <v>0</v>
      </c>
      <c r="H33" s="157">
        <f>SUMIF('内訳ﾘｽﾄ(4～3月)'!$D$26:$D$176,$B33,'内訳ﾘｽﾄ(4～3月)'!K$26:K$176)</f>
        <v>0</v>
      </c>
      <c r="I33" s="157">
        <f>SUMIF('内訳ﾘｽﾄ(4～3月)'!$D$26:$D$176,$B33,'内訳ﾘｽﾄ(4～3月)'!L$26:L$176)</f>
        <v>0</v>
      </c>
      <c r="J33" s="157">
        <f>SUMIF('内訳ﾘｽﾄ(4～3月)'!$D$26:$D$176,$B33,'内訳ﾘｽﾄ(4～3月)'!M$26:M$176)</f>
        <v>0</v>
      </c>
      <c r="K33" s="157">
        <f>SUMIF('内訳ﾘｽﾄ(4～3月)'!$D$26:$D$176,$B33,'内訳ﾘｽﾄ(4～3月)'!N$26:N$176)</f>
        <v>0</v>
      </c>
      <c r="L33" s="157">
        <f>SUMIF('内訳ﾘｽﾄ(4～3月)'!$D$26:$D$176,$B33,'内訳ﾘｽﾄ(4～3月)'!O$26:O$176)</f>
        <v>0</v>
      </c>
      <c r="M33" s="157">
        <f>SUMIF('内訳ﾘｽﾄ(4～3月)'!$D$26:$D$176,$B33,'内訳ﾘｽﾄ(4～3月)'!P$26:P$176)</f>
        <v>0</v>
      </c>
      <c r="N33" s="157">
        <f>SUMIF('内訳ﾘｽﾄ(4～3月)'!$D$26:$D$176,$B33,'内訳ﾘｽﾄ(4～3月)'!Q$26:Q$176)</f>
        <v>0</v>
      </c>
      <c r="O33" s="157">
        <f>SUMIF('内訳ﾘｽﾄ(4～3月)'!$D$26:$D$176,'採算表(VND)'!$B33,'内訳ﾘｽﾄ(4～3月)'!R$26:R$176)</f>
        <v>0</v>
      </c>
      <c r="AQ33" s="74"/>
      <c r="AR33" s="74"/>
      <c r="AS33" s="74"/>
      <c r="AT33" s="74"/>
      <c r="AU33" s="72"/>
      <c r="AV33" s="73"/>
      <c r="AW33" s="73"/>
      <c r="AX33" s="73"/>
      <c r="AY33" s="73"/>
      <c r="BA33" s="75"/>
      <c r="BB33" s="75"/>
      <c r="BC33" s="75"/>
      <c r="BD33" s="75"/>
      <c r="BF33" s="72"/>
      <c r="BG33" s="72"/>
      <c r="BH33" s="72"/>
      <c r="BI33" s="72"/>
    </row>
    <row r="34" spans="1:61" ht="11.25" customHeight="1">
      <c r="A34" s="38"/>
      <c r="B34" s="37" t="s">
        <v>65</v>
      </c>
      <c r="C34" s="157">
        <f>SUMIF('内訳ﾘｽﾄ(4～3月)'!$D$26:$D$176,$B34,'内訳ﾘｽﾄ(4～3月)'!F$26:F$176)</f>
        <v>0</v>
      </c>
      <c r="D34" s="157">
        <f>SUMIF('内訳ﾘｽﾄ(4～3月)'!$D$26:$D$176,$B34,'内訳ﾘｽﾄ(4～3月)'!G$26:G$176)</f>
        <v>0</v>
      </c>
      <c r="E34" s="157">
        <f>SUMIF('内訳ﾘｽﾄ(4～3月)'!$D$26:$D$176,$B34,'内訳ﾘｽﾄ(4～3月)'!H$26:H$176)</f>
        <v>0</v>
      </c>
      <c r="F34" s="157">
        <f>SUMIF('内訳ﾘｽﾄ(4～3月)'!$D$26:$D$176,$B34,'内訳ﾘｽﾄ(4～3月)'!I$26:I$176)</f>
        <v>0</v>
      </c>
      <c r="G34" s="157">
        <f>SUMIF('内訳ﾘｽﾄ(4～3月)'!$D$26:$D$176,$B34,'内訳ﾘｽﾄ(4～3月)'!J$26:J$176)</f>
        <v>0</v>
      </c>
      <c r="H34" s="157">
        <f>SUMIF('内訳ﾘｽﾄ(4～3月)'!$D$26:$D$176,$B34,'内訳ﾘｽﾄ(4～3月)'!K$26:K$176)</f>
        <v>0</v>
      </c>
      <c r="I34" s="157">
        <f>SUMIF('内訳ﾘｽﾄ(4～3月)'!$D$26:$D$176,$B34,'内訳ﾘｽﾄ(4～3月)'!L$26:L$176)</f>
        <v>0</v>
      </c>
      <c r="J34" s="157">
        <f>SUMIF('内訳ﾘｽﾄ(4～3月)'!$D$26:$D$176,$B34,'内訳ﾘｽﾄ(4～3月)'!M$26:M$176)</f>
        <v>0</v>
      </c>
      <c r="K34" s="157">
        <f>SUMIF('内訳ﾘｽﾄ(4～3月)'!$D$26:$D$176,$B34,'内訳ﾘｽﾄ(4～3月)'!N$26:N$176)</f>
        <v>0</v>
      </c>
      <c r="L34" s="157">
        <f>SUMIF('内訳ﾘｽﾄ(4～3月)'!$D$26:$D$176,$B34,'内訳ﾘｽﾄ(4～3月)'!O$26:O$176)</f>
        <v>0</v>
      </c>
      <c r="M34" s="157">
        <f>SUMIF('内訳ﾘｽﾄ(4～3月)'!$D$26:$D$176,$B34,'内訳ﾘｽﾄ(4～3月)'!P$26:P$176)</f>
        <v>0</v>
      </c>
      <c r="N34" s="157">
        <f>SUMIF('内訳ﾘｽﾄ(4～3月)'!$D$26:$D$176,$B34,'内訳ﾘｽﾄ(4～3月)'!Q$26:Q$176)</f>
        <v>0</v>
      </c>
      <c r="O34" s="157">
        <f>SUMIF('内訳ﾘｽﾄ(4～3月)'!$D$26:$D$176,'採算表(VND)'!$B34,'内訳ﾘｽﾄ(4～3月)'!R$26:R$176)</f>
        <v>0</v>
      </c>
      <c r="AQ34" s="74"/>
      <c r="AR34" s="74"/>
      <c r="AS34" s="74"/>
      <c r="AT34" s="74"/>
      <c r="AU34" s="72"/>
      <c r="AV34" s="73"/>
      <c r="AW34" s="73"/>
      <c r="AX34" s="73"/>
      <c r="AY34" s="73"/>
      <c r="BA34" s="75"/>
      <c r="BB34" s="75"/>
      <c r="BC34" s="75"/>
      <c r="BD34" s="75"/>
      <c r="BF34" s="72"/>
      <c r="BG34" s="72"/>
      <c r="BH34" s="72"/>
      <c r="BI34" s="72"/>
    </row>
    <row r="35" spans="1:61" ht="11.25" customHeight="1">
      <c r="A35" s="38"/>
      <c r="B35" s="37" t="s">
        <v>44</v>
      </c>
      <c r="C35" s="157">
        <f>SUMIF('内訳ﾘｽﾄ(4～3月)'!$D$26:$D$176,$B35,'内訳ﾘｽﾄ(4～3月)'!F$26:F$176)</f>
        <v>0</v>
      </c>
      <c r="D35" s="157">
        <f>SUMIF('内訳ﾘｽﾄ(4～3月)'!$D$26:$D$176,$B35,'内訳ﾘｽﾄ(4～3月)'!G$26:G$176)</f>
        <v>0</v>
      </c>
      <c r="E35" s="157">
        <f>SUMIF('内訳ﾘｽﾄ(4～3月)'!$D$26:$D$176,$B35,'内訳ﾘｽﾄ(4～3月)'!H$26:H$176)</f>
        <v>0</v>
      </c>
      <c r="F35" s="157">
        <f>SUMIF('内訳ﾘｽﾄ(4～3月)'!$D$26:$D$176,$B35,'内訳ﾘｽﾄ(4～3月)'!I$26:I$176)</f>
        <v>0</v>
      </c>
      <c r="G35" s="157">
        <f>SUMIF('内訳ﾘｽﾄ(4～3月)'!$D$26:$D$176,$B35,'内訳ﾘｽﾄ(4～3月)'!J$26:J$176)</f>
        <v>0</v>
      </c>
      <c r="H35" s="157">
        <f>SUMIF('内訳ﾘｽﾄ(4～3月)'!$D$26:$D$176,$B35,'内訳ﾘｽﾄ(4～3月)'!K$26:K$176)</f>
        <v>0</v>
      </c>
      <c r="I35" s="157">
        <f>SUMIF('内訳ﾘｽﾄ(4～3月)'!$D$26:$D$176,$B35,'内訳ﾘｽﾄ(4～3月)'!L$26:L$176)</f>
        <v>0</v>
      </c>
      <c r="J35" s="157">
        <f>SUMIF('内訳ﾘｽﾄ(4～3月)'!$D$26:$D$176,$B35,'内訳ﾘｽﾄ(4～3月)'!M$26:M$176)</f>
        <v>0</v>
      </c>
      <c r="K35" s="157">
        <f>SUMIF('内訳ﾘｽﾄ(4～3月)'!$D$26:$D$176,$B35,'内訳ﾘｽﾄ(4～3月)'!N$26:N$176)</f>
        <v>0</v>
      </c>
      <c r="L35" s="157">
        <f>SUMIF('内訳ﾘｽﾄ(4～3月)'!$D$26:$D$176,$B35,'内訳ﾘｽﾄ(4～3月)'!O$26:O$176)</f>
        <v>0</v>
      </c>
      <c r="M35" s="157">
        <f>SUMIF('内訳ﾘｽﾄ(4～3月)'!$D$26:$D$176,$B35,'内訳ﾘｽﾄ(4～3月)'!P$26:P$176)</f>
        <v>0</v>
      </c>
      <c r="N35" s="157">
        <f>SUMIF('内訳ﾘｽﾄ(4～3月)'!$D$26:$D$176,$B35,'内訳ﾘｽﾄ(4～3月)'!Q$26:Q$176)</f>
        <v>0</v>
      </c>
      <c r="O35" s="157">
        <f>SUMIF('内訳ﾘｽﾄ(4～3月)'!$D$26:$D$176,'採算表(VND)'!$B35,'内訳ﾘｽﾄ(4～3月)'!R$26:R$176)</f>
        <v>0</v>
      </c>
      <c r="AQ35" s="74"/>
      <c r="AR35" s="74"/>
      <c r="AS35" s="74"/>
      <c r="AT35" s="74"/>
      <c r="AU35" s="72"/>
      <c r="AV35" s="73"/>
      <c r="AW35" s="73"/>
      <c r="AX35" s="73"/>
      <c r="AY35" s="73"/>
      <c r="BA35" s="75"/>
      <c r="BB35" s="75"/>
      <c r="BC35" s="75"/>
      <c r="BD35" s="75"/>
      <c r="BF35" s="72"/>
      <c r="BG35" s="72"/>
      <c r="BH35" s="72"/>
      <c r="BI35" s="72"/>
    </row>
    <row r="36" spans="1:61" ht="11.25" customHeight="1">
      <c r="A36" s="38"/>
      <c r="B36" s="37" t="s">
        <v>63</v>
      </c>
      <c r="C36" s="157">
        <f>SUMIF('内訳ﾘｽﾄ(4～3月)'!$D$26:$D$176,$B36,'内訳ﾘｽﾄ(4～3月)'!F$26:F$176)</f>
        <v>0</v>
      </c>
      <c r="D36" s="157">
        <f>SUMIF('内訳ﾘｽﾄ(4～3月)'!$D$26:$D$176,$B36,'内訳ﾘｽﾄ(4～3月)'!G$26:G$176)</f>
        <v>0</v>
      </c>
      <c r="E36" s="157">
        <f>SUMIF('内訳ﾘｽﾄ(4～3月)'!$D$26:$D$176,$B36,'内訳ﾘｽﾄ(4～3月)'!H$26:H$176)</f>
        <v>0</v>
      </c>
      <c r="F36" s="157">
        <f>SUMIF('内訳ﾘｽﾄ(4～3月)'!$D$26:$D$176,$B36,'内訳ﾘｽﾄ(4～3月)'!I$26:I$176)</f>
        <v>0</v>
      </c>
      <c r="G36" s="157">
        <f>SUMIF('内訳ﾘｽﾄ(4～3月)'!$D$26:$D$176,$B36,'内訳ﾘｽﾄ(4～3月)'!J$26:J$176)</f>
        <v>0</v>
      </c>
      <c r="H36" s="157">
        <f>SUMIF('内訳ﾘｽﾄ(4～3月)'!$D$26:$D$176,$B36,'内訳ﾘｽﾄ(4～3月)'!K$26:K$176)</f>
        <v>0</v>
      </c>
      <c r="I36" s="157">
        <f>SUMIF('内訳ﾘｽﾄ(4～3月)'!$D$26:$D$176,$B36,'内訳ﾘｽﾄ(4～3月)'!L$26:L$176)</f>
        <v>0</v>
      </c>
      <c r="J36" s="157">
        <f>SUMIF('内訳ﾘｽﾄ(4～3月)'!$D$26:$D$176,$B36,'内訳ﾘｽﾄ(4～3月)'!M$26:M$176)</f>
        <v>0</v>
      </c>
      <c r="K36" s="157">
        <f>SUMIF('内訳ﾘｽﾄ(4～3月)'!$D$26:$D$176,$B36,'内訳ﾘｽﾄ(4～3月)'!N$26:N$176)</f>
        <v>0</v>
      </c>
      <c r="L36" s="157">
        <f>SUMIF('内訳ﾘｽﾄ(4～3月)'!$D$26:$D$176,$B36,'内訳ﾘｽﾄ(4～3月)'!O$26:O$176)</f>
        <v>0</v>
      </c>
      <c r="M36" s="157">
        <f>SUMIF('内訳ﾘｽﾄ(4～3月)'!$D$26:$D$176,$B36,'内訳ﾘｽﾄ(4～3月)'!P$26:P$176)</f>
        <v>0</v>
      </c>
      <c r="N36" s="157">
        <f>SUMIF('内訳ﾘｽﾄ(4～3月)'!$D$26:$D$176,$B36,'内訳ﾘｽﾄ(4～3月)'!Q$26:Q$176)</f>
        <v>0</v>
      </c>
      <c r="O36" s="157">
        <f>SUMIF('内訳ﾘｽﾄ(4～3月)'!$D$26:$D$176,'採算表(VND)'!$B36,'内訳ﾘｽﾄ(4～3月)'!R$26:R$176)</f>
        <v>0</v>
      </c>
      <c r="AQ36" s="74"/>
      <c r="AR36" s="74"/>
      <c r="AS36" s="74"/>
      <c r="AT36" s="74"/>
      <c r="AU36" s="72"/>
      <c r="AV36" s="73"/>
      <c r="AW36" s="73"/>
      <c r="AX36" s="73"/>
      <c r="AY36" s="73"/>
      <c r="BA36" s="75"/>
      <c r="BB36" s="75"/>
      <c r="BC36" s="75"/>
      <c r="BD36" s="75"/>
      <c r="BF36" s="72"/>
      <c r="BG36" s="72"/>
      <c r="BH36" s="72"/>
      <c r="BI36" s="72"/>
    </row>
    <row r="37" spans="1:61" ht="11.25" customHeight="1">
      <c r="A37" s="38"/>
      <c r="B37" s="37" t="s">
        <v>41</v>
      </c>
      <c r="C37" s="157">
        <f>SUMIF('内訳ﾘｽﾄ(4～3月)'!$D$26:$D$176,$B37,'内訳ﾘｽﾄ(4～3月)'!F$26:F$176)</f>
        <v>0</v>
      </c>
      <c r="D37" s="157">
        <f>SUMIF('内訳ﾘｽﾄ(4～3月)'!$D$26:$D$176,$B37,'内訳ﾘｽﾄ(4～3月)'!G$26:G$176)</f>
        <v>0</v>
      </c>
      <c r="E37" s="157">
        <f>SUMIF('内訳ﾘｽﾄ(4～3月)'!$D$26:$D$176,$B37,'内訳ﾘｽﾄ(4～3月)'!H$26:H$176)</f>
        <v>0</v>
      </c>
      <c r="F37" s="157">
        <f>SUMIF('内訳ﾘｽﾄ(4～3月)'!$D$26:$D$176,$B37,'内訳ﾘｽﾄ(4～3月)'!I$26:I$176)</f>
        <v>0</v>
      </c>
      <c r="G37" s="157">
        <f>SUMIF('内訳ﾘｽﾄ(4～3月)'!$D$26:$D$176,$B37,'内訳ﾘｽﾄ(4～3月)'!J$26:J$176)</f>
        <v>0</v>
      </c>
      <c r="H37" s="157">
        <f>SUMIF('内訳ﾘｽﾄ(4～3月)'!$D$26:$D$176,$B37,'内訳ﾘｽﾄ(4～3月)'!K$26:K$176)</f>
        <v>0</v>
      </c>
      <c r="I37" s="157">
        <f>SUMIF('内訳ﾘｽﾄ(4～3月)'!$D$26:$D$176,$B37,'内訳ﾘｽﾄ(4～3月)'!L$26:L$176)</f>
        <v>0</v>
      </c>
      <c r="J37" s="157">
        <f>SUMIF('内訳ﾘｽﾄ(4～3月)'!$D$26:$D$176,$B37,'内訳ﾘｽﾄ(4～3月)'!M$26:M$176)</f>
        <v>0</v>
      </c>
      <c r="K37" s="157">
        <f>SUMIF('内訳ﾘｽﾄ(4～3月)'!$D$26:$D$176,$B37,'内訳ﾘｽﾄ(4～3月)'!N$26:N$176)</f>
        <v>0</v>
      </c>
      <c r="L37" s="157">
        <f>SUMIF('内訳ﾘｽﾄ(4～3月)'!$D$26:$D$176,$B37,'内訳ﾘｽﾄ(4～3月)'!O$26:O$176)</f>
        <v>0</v>
      </c>
      <c r="M37" s="157">
        <f>SUMIF('内訳ﾘｽﾄ(4～3月)'!$D$26:$D$176,$B37,'内訳ﾘｽﾄ(4～3月)'!P$26:P$176)</f>
        <v>0</v>
      </c>
      <c r="N37" s="157">
        <f>SUMIF('内訳ﾘｽﾄ(4～3月)'!$D$26:$D$176,$B37,'内訳ﾘｽﾄ(4～3月)'!Q$26:Q$176)</f>
        <v>0</v>
      </c>
      <c r="O37" s="157">
        <f>SUMIF('内訳ﾘｽﾄ(4～3月)'!$D$26:$D$176,'採算表(VND)'!$B37,'内訳ﾘｽﾄ(4～3月)'!R$26:R$176)</f>
        <v>0</v>
      </c>
      <c r="AQ37" s="74"/>
      <c r="AR37" s="74"/>
      <c r="AS37" s="74"/>
      <c r="AT37" s="74"/>
      <c r="AU37" s="72"/>
      <c r="AV37" s="73"/>
      <c r="AW37" s="73"/>
      <c r="AX37" s="73"/>
      <c r="AY37" s="73"/>
      <c r="BA37" s="75"/>
      <c r="BB37" s="75"/>
      <c r="BC37" s="75"/>
      <c r="BD37" s="75"/>
      <c r="BF37" s="72"/>
      <c r="BG37" s="72"/>
      <c r="BH37" s="72"/>
      <c r="BI37" s="72"/>
    </row>
    <row r="38" spans="1:61" ht="11.25" customHeight="1">
      <c r="A38" s="38"/>
      <c r="B38" s="37" t="s">
        <v>48</v>
      </c>
      <c r="C38" s="157">
        <f>SUMIF('内訳ﾘｽﾄ(4～3月)'!$D$26:$D$176,$B38,'内訳ﾘｽﾄ(4～3月)'!F$26:F$176)</f>
        <v>0</v>
      </c>
      <c r="D38" s="157">
        <f>SUMIF('内訳ﾘｽﾄ(4～3月)'!$D$26:$D$176,$B38,'内訳ﾘｽﾄ(4～3月)'!G$26:G$176)</f>
        <v>0</v>
      </c>
      <c r="E38" s="157">
        <f>SUMIF('内訳ﾘｽﾄ(4～3月)'!$D$26:$D$176,$B38,'内訳ﾘｽﾄ(4～3月)'!H$26:H$176)</f>
        <v>0</v>
      </c>
      <c r="F38" s="157">
        <f>SUMIF('内訳ﾘｽﾄ(4～3月)'!$D$26:$D$176,$B38,'内訳ﾘｽﾄ(4～3月)'!I$26:I$176)</f>
        <v>0</v>
      </c>
      <c r="G38" s="157">
        <f>SUMIF('内訳ﾘｽﾄ(4～3月)'!$D$26:$D$176,$B38,'内訳ﾘｽﾄ(4～3月)'!J$26:J$176)</f>
        <v>0</v>
      </c>
      <c r="H38" s="157">
        <f>SUMIF('内訳ﾘｽﾄ(4～3月)'!$D$26:$D$176,$B38,'内訳ﾘｽﾄ(4～3月)'!K$26:K$176)</f>
        <v>0</v>
      </c>
      <c r="I38" s="157">
        <f>SUMIF('内訳ﾘｽﾄ(4～3月)'!$D$26:$D$176,$B38,'内訳ﾘｽﾄ(4～3月)'!L$26:L$176)</f>
        <v>0</v>
      </c>
      <c r="J38" s="157">
        <f>SUMIF('内訳ﾘｽﾄ(4～3月)'!$D$26:$D$176,$B38,'内訳ﾘｽﾄ(4～3月)'!M$26:M$176)</f>
        <v>0</v>
      </c>
      <c r="K38" s="157">
        <f>SUMIF('内訳ﾘｽﾄ(4～3月)'!$D$26:$D$176,$B38,'内訳ﾘｽﾄ(4～3月)'!N$26:N$176)</f>
        <v>0</v>
      </c>
      <c r="L38" s="157">
        <f>SUMIF('内訳ﾘｽﾄ(4～3月)'!$D$26:$D$176,$B38,'内訳ﾘｽﾄ(4～3月)'!O$26:O$176)</f>
        <v>0</v>
      </c>
      <c r="M38" s="157">
        <f>SUMIF('内訳ﾘｽﾄ(4～3月)'!$D$26:$D$176,$B38,'内訳ﾘｽﾄ(4～3月)'!P$26:P$176)</f>
        <v>0</v>
      </c>
      <c r="N38" s="157">
        <f>SUMIF('内訳ﾘｽﾄ(4～3月)'!$D$26:$D$176,$B38,'内訳ﾘｽﾄ(4～3月)'!Q$26:Q$176)</f>
        <v>0</v>
      </c>
      <c r="O38" s="157">
        <f>SUMIF('内訳ﾘｽﾄ(4～3月)'!$D$26:$D$176,'採算表(VND)'!$B38,'内訳ﾘｽﾄ(4～3月)'!R$26:R$176)</f>
        <v>0</v>
      </c>
      <c r="AQ38" s="74"/>
      <c r="AR38" s="74"/>
      <c r="AS38" s="74"/>
      <c r="AT38" s="74"/>
      <c r="AU38" s="72"/>
      <c r="AV38" s="73"/>
      <c r="AW38" s="73"/>
      <c r="AX38" s="73"/>
      <c r="AY38" s="73"/>
      <c r="BA38" s="75"/>
      <c r="BB38" s="75"/>
      <c r="BC38" s="75"/>
      <c r="BD38" s="75"/>
      <c r="BF38" s="72"/>
      <c r="BG38" s="72"/>
      <c r="BH38" s="72"/>
      <c r="BI38" s="72"/>
    </row>
    <row r="39" spans="1:61" ht="11.25" customHeight="1">
      <c r="A39" s="38"/>
      <c r="B39" s="37" t="s">
        <v>50</v>
      </c>
      <c r="C39" s="157">
        <f>SUMIF('内訳ﾘｽﾄ(4～3月)'!$D$26:$D$176,$B39,'内訳ﾘｽﾄ(4～3月)'!F$26:F$176)</f>
        <v>506133</v>
      </c>
      <c r="D39" s="157">
        <f>SUMIF('内訳ﾘｽﾄ(4～3月)'!$D$26:$D$176,$B39,'内訳ﾘｽﾄ(4～3月)'!G$26:G$176)</f>
        <v>488673</v>
      </c>
      <c r="E39" s="157">
        <f>SUMIF('内訳ﾘｽﾄ(4～3月)'!$D$26:$D$176,$B39,'内訳ﾘｽﾄ(4～3月)'!H$26:H$176)</f>
        <v>517761</v>
      </c>
      <c r="F39" s="157">
        <f>SUMIF('内訳ﾘｽﾄ(4～3月)'!$D$26:$D$176,$B39,'内訳ﾘｽﾄ(4～3月)'!I$26:I$176)</f>
        <v>478872</v>
      </c>
      <c r="G39" s="157">
        <f>SUMIF('内訳ﾘｽﾄ(4～3月)'!$D$26:$D$176,$B39,'内訳ﾘｽﾄ(4～3月)'!J$26:J$176)</f>
        <v>490122</v>
      </c>
      <c r="H39" s="157">
        <f>SUMIF('内訳ﾘｽﾄ(4～3月)'!$D$26:$D$176,$B39,'内訳ﾘｽﾄ(4～3月)'!K$26:K$176)</f>
        <v>454464</v>
      </c>
      <c r="I39" s="157">
        <f>SUMIF('内訳ﾘｽﾄ(4～3月)'!$D$26:$D$176,$B39,'内訳ﾘｽﾄ(4～3月)'!L$26:L$176)</f>
        <v>544852</v>
      </c>
      <c r="J39" s="157">
        <f>SUMIF('内訳ﾘｽﾄ(4～3月)'!$D$26:$D$176,$B39,'内訳ﾘｽﾄ(4～3月)'!M$26:M$176)</f>
        <v>2973692</v>
      </c>
      <c r="K39" s="157">
        <f>SUMIF('内訳ﾘｽﾄ(4～3月)'!$D$26:$D$176,$B39,'内訳ﾘｽﾄ(4～3月)'!N$26:N$176)</f>
        <v>4226809</v>
      </c>
      <c r="L39" s="157">
        <f>SUMIF('内訳ﾘｽﾄ(4～3月)'!$D$26:$D$176,$B39,'内訳ﾘｽﾄ(4～3月)'!O$26:O$176)</f>
        <v>538538</v>
      </c>
      <c r="M39" s="157">
        <f>SUMIF('内訳ﾘｽﾄ(4～3月)'!$D$26:$D$176,$B39,'内訳ﾘｽﾄ(4～3月)'!P$26:P$176)</f>
        <v>516351</v>
      </c>
      <c r="N39" s="157">
        <f>SUMIF('内訳ﾘｽﾄ(4～3月)'!$D$26:$D$176,$B39,'内訳ﾘｽﾄ(4～3月)'!Q$26:Q$176)</f>
        <v>557612</v>
      </c>
      <c r="O39" s="157">
        <f>SUMIF('内訳ﾘｽﾄ(4～3月)'!$D$26:$D$176,'採算表(VND)'!$B39,'内訳ﾘｽﾄ(4～3月)'!R$26:R$176)</f>
        <v>12293879</v>
      </c>
      <c r="AQ39" s="74"/>
      <c r="AR39" s="74"/>
      <c r="AS39" s="74"/>
      <c r="AT39" s="74"/>
      <c r="AU39" s="72"/>
      <c r="AV39" s="73"/>
      <c r="AW39" s="73"/>
      <c r="AX39" s="73"/>
      <c r="AY39" s="73"/>
      <c r="BA39" s="75"/>
      <c r="BB39" s="75"/>
      <c r="BC39" s="75"/>
      <c r="BD39" s="75"/>
      <c r="BF39" s="72"/>
      <c r="BG39" s="72"/>
      <c r="BH39" s="72"/>
      <c r="BI39" s="72"/>
    </row>
    <row r="40" spans="1:61" ht="11.25" customHeight="1">
      <c r="A40" s="38"/>
      <c r="B40" s="37" t="s">
        <v>51</v>
      </c>
      <c r="C40" s="157">
        <f>SUMIF('内訳ﾘｽﾄ(4～3月)'!$D$26:$D$176,$B40,'内訳ﾘｽﾄ(4～3月)'!F$26:F$176)</f>
        <v>0</v>
      </c>
      <c r="D40" s="157">
        <f>SUMIF('内訳ﾘｽﾄ(4～3月)'!$D$26:$D$176,$B40,'内訳ﾘｽﾄ(4～3月)'!G$26:G$176)</f>
        <v>0</v>
      </c>
      <c r="E40" s="157">
        <f>SUMIF('内訳ﾘｽﾄ(4～3月)'!$D$26:$D$176,$B40,'内訳ﾘｽﾄ(4～3月)'!H$26:H$176)</f>
        <v>0</v>
      </c>
      <c r="F40" s="157">
        <f>SUMIF('内訳ﾘｽﾄ(4～3月)'!$D$26:$D$176,$B40,'内訳ﾘｽﾄ(4～3月)'!I$26:I$176)</f>
        <v>0</v>
      </c>
      <c r="G40" s="157">
        <f>SUMIF('内訳ﾘｽﾄ(4～3月)'!$D$26:$D$176,$B40,'内訳ﾘｽﾄ(4～3月)'!J$26:J$176)</f>
        <v>0</v>
      </c>
      <c r="H40" s="157">
        <f>SUMIF('内訳ﾘｽﾄ(4～3月)'!$D$26:$D$176,$B40,'内訳ﾘｽﾄ(4～3月)'!K$26:K$176)</f>
        <v>0</v>
      </c>
      <c r="I40" s="157">
        <f>SUMIF('内訳ﾘｽﾄ(4～3月)'!$D$26:$D$176,$B40,'内訳ﾘｽﾄ(4～3月)'!L$26:L$176)</f>
        <v>0</v>
      </c>
      <c r="J40" s="157">
        <f>SUMIF('内訳ﾘｽﾄ(4～3月)'!$D$26:$D$176,$B40,'内訳ﾘｽﾄ(4～3月)'!M$26:M$176)</f>
        <v>0</v>
      </c>
      <c r="K40" s="157">
        <f>SUMIF('内訳ﾘｽﾄ(4～3月)'!$D$26:$D$176,$B40,'内訳ﾘｽﾄ(4～3月)'!N$26:N$176)</f>
        <v>0</v>
      </c>
      <c r="L40" s="157">
        <f>SUMIF('内訳ﾘｽﾄ(4～3月)'!$D$26:$D$176,$B40,'内訳ﾘｽﾄ(4～3月)'!O$26:O$176)</f>
        <v>0</v>
      </c>
      <c r="M40" s="157">
        <f>SUMIF('内訳ﾘｽﾄ(4～3月)'!$D$26:$D$176,$B40,'内訳ﾘｽﾄ(4～3月)'!P$26:P$176)</f>
        <v>0</v>
      </c>
      <c r="N40" s="157">
        <f>SUMIF('内訳ﾘｽﾄ(4～3月)'!$D$26:$D$176,$B40,'内訳ﾘｽﾄ(4～3月)'!Q$26:Q$176)</f>
        <v>0</v>
      </c>
      <c r="O40" s="157">
        <f>SUMIF('内訳ﾘｽﾄ(4～3月)'!$D$26:$D$176,'採算表(VND)'!$B40,'内訳ﾘｽﾄ(4～3月)'!R$26:R$176)</f>
        <v>0</v>
      </c>
      <c r="AQ40" s="74"/>
      <c r="AR40" s="74"/>
      <c r="AS40" s="74"/>
      <c r="AT40" s="74"/>
      <c r="AU40" s="72"/>
      <c r="AV40" s="73"/>
      <c r="AW40" s="73"/>
      <c r="AX40" s="73"/>
      <c r="AY40" s="73"/>
      <c r="BA40" s="75"/>
      <c r="BB40" s="75"/>
      <c r="BC40" s="75"/>
      <c r="BD40" s="75"/>
      <c r="BF40" s="72"/>
      <c r="BG40" s="72"/>
      <c r="BH40" s="72"/>
      <c r="BI40" s="72"/>
    </row>
    <row r="41" spans="1:61" ht="11.25" customHeight="1">
      <c r="A41" s="38"/>
      <c r="B41" s="37" t="s">
        <v>58</v>
      </c>
      <c r="C41" s="157">
        <f>SUMIF('内訳ﾘｽﾄ(4～3月)'!$D$26:$D$176,$B41,'内訳ﾘｽﾄ(4～3月)'!F$26:F$176)</f>
        <v>300000</v>
      </c>
      <c r="D41" s="157">
        <f>SUMIF('内訳ﾘｽﾄ(4～3月)'!$D$26:$D$176,$B41,'内訳ﾘｽﾄ(4～3月)'!G$26:G$176)</f>
        <v>700000</v>
      </c>
      <c r="E41" s="157">
        <f>SUMIF('内訳ﾘｽﾄ(4～3月)'!$D$26:$D$176,$B41,'内訳ﾘｽﾄ(4～3月)'!H$26:H$176)</f>
        <v>700000</v>
      </c>
      <c r="F41" s="157">
        <f>SUMIF('内訳ﾘｽﾄ(4～3月)'!$D$26:$D$176,$B41,'内訳ﾘｽﾄ(4～3月)'!I$26:I$176)</f>
        <v>700000</v>
      </c>
      <c r="G41" s="157">
        <f>SUMIF('内訳ﾘｽﾄ(4～3月)'!$D$26:$D$176,$B41,'内訳ﾘｽﾄ(4～3月)'!J$26:J$176)</f>
        <v>300000</v>
      </c>
      <c r="H41" s="157">
        <f>SUMIF('内訳ﾘｽﾄ(4～3月)'!$D$26:$D$176,$B41,'内訳ﾘｽﾄ(4～3月)'!K$26:K$176)</f>
        <v>700000</v>
      </c>
      <c r="I41" s="157">
        <f>SUMIF('内訳ﾘｽﾄ(4～3月)'!$D$26:$D$176,$B41,'内訳ﾘｽﾄ(4～3月)'!L$26:L$176)</f>
        <v>700000</v>
      </c>
      <c r="J41" s="157">
        <f>SUMIF('内訳ﾘｽﾄ(4～3月)'!$D$26:$D$176,$B41,'内訳ﾘｽﾄ(4～3月)'!M$26:M$176)</f>
        <v>700000</v>
      </c>
      <c r="K41" s="157">
        <f>SUMIF('内訳ﾘｽﾄ(4～3月)'!$D$26:$D$176,$B41,'内訳ﾘｽﾄ(4～3月)'!N$26:N$176)</f>
        <v>300000</v>
      </c>
      <c r="L41" s="157">
        <f>SUMIF('内訳ﾘｽﾄ(4～3月)'!$D$26:$D$176,$B41,'内訳ﾘｽﾄ(4～3月)'!O$26:O$176)</f>
        <v>700000</v>
      </c>
      <c r="M41" s="157">
        <f>SUMIF('内訳ﾘｽﾄ(4～3月)'!$D$26:$D$176,$B41,'内訳ﾘｽﾄ(4～3月)'!P$26:P$176)</f>
        <v>700000</v>
      </c>
      <c r="N41" s="157">
        <f>SUMIF('内訳ﾘｽﾄ(4～3月)'!$D$26:$D$176,$B41,'内訳ﾘｽﾄ(4～3月)'!Q$26:Q$176)</f>
        <v>700000</v>
      </c>
      <c r="O41" s="157">
        <f>SUMIF('内訳ﾘｽﾄ(4～3月)'!$D$26:$D$176,'採算表(VND)'!$B41,'内訳ﾘｽﾄ(4～3月)'!R$26:R$176)</f>
        <v>7200000</v>
      </c>
      <c r="AQ41" s="74"/>
      <c r="AR41" s="74"/>
      <c r="AS41" s="74"/>
      <c r="AT41" s="74"/>
      <c r="AU41" s="72"/>
      <c r="AV41" s="73"/>
      <c r="AW41" s="73"/>
      <c r="AX41" s="73"/>
      <c r="AY41" s="73"/>
      <c r="BA41" s="75"/>
      <c r="BB41" s="75"/>
      <c r="BC41" s="75"/>
      <c r="BD41" s="75"/>
      <c r="BF41" s="72"/>
      <c r="BG41" s="72"/>
      <c r="BH41" s="72"/>
      <c r="BI41" s="72"/>
    </row>
    <row r="42" spans="1:61" ht="11.25" customHeight="1">
      <c r="A42" s="38"/>
      <c r="B42" s="37" t="s">
        <v>98</v>
      </c>
      <c r="C42" s="157">
        <f>SUMIF('内訳ﾘｽﾄ(4～3月)'!$D$26:$D$176,$B42,'内訳ﾘｽﾄ(4～3月)'!F$26:F$176)</f>
        <v>2802549</v>
      </c>
      <c r="D42" s="157">
        <f>SUMIF('内訳ﾘｽﾄ(4～3月)'!$D$26:$D$176,$B42,'内訳ﾘｽﾄ(4～3月)'!G$26:G$176)</f>
        <v>3102549</v>
      </c>
      <c r="E42" s="157">
        <f>SUMIF('内訳ﾘｽﾄ(4～3月)'!$D$26:$D$176,$B42,'内訳ﾘｽﾄ(4～3月)'!H$26:H$176)</f>
        <v>3202549</v>
      </c>
      <c r="F42" s="157">
        <f>SUMIF('内訳ﾘｽﾄ(4～3月)'!$D$26:$D$176,$B42,'内訳ﾘｽﾄ(4～3月)'!I$26:I$176)</f>
        <v>2802549</v>
      </c>
      <c r="G42" s="157">
        <f>SUMIF('内訳ﾘｽﾄ(4～3月)'!$D$26:$D$176,$B42,'内訳ﾘｽﾄ(4～3月)'!J$26:J$176)</f>
        <v>2802549</v>
      </c>
      <c r="H42" s="157">
        <f>SUMIF('内訳ﾘｽﾄ(4～3月)'!$D$26:$D$176,$B42,'内訳ﾘｽﾄ(4～3月)'!K$26:K$176)</f>
        <v>2802549</v>
      </c>
      <c r="I42" s="157">
        <f>SUMIF('内訳ﾘｽﾄ(4～3月)'!$D$26:$D$176,$B42,'内訳ﾘｽﾄ(4～3月)'!L$26:L$176)</f>
        <v>3160548</v>
      </c>
      <c r="J42" s="157">
        <f>SUMIF('内訳ﾘｽﾄ(4～3月)'!$D$26:$D$176,$B42,'内訳ﾘｽﾄ(4～3月)'!M$26:M$176)</f>
        <v>3160548</v>
      </c>
      <c r="K42" s="157">
        <f>SUMIF('内訳ﾘｽﾄ(4～3月)'!$D$26:$D$176,$B42,'内訳ﾘｽﾄ(4～3月)'!N$26:N$176)</f>
        <v>3169128</v>
      </c>
      <c r="L42" s="157">
        <f>SUMIF('内訳ﾘｽﾄ(4～3月)'!$D$26:$D$176,$B42,'内訳ﾘｽﾄ(4～3月)'!O$26:O$176)</f>
        <v>3160548</v>
      </c>
      <c r="M42" s="157">
        <f>SUMIF('内訳ﾘｽﾄ(4～3月)'!$D$26:$D$176,$B42,'内訳ﾘｽﾄ(4～3月)'!P$26:P$176)</f>
        <v>3160548</v>
      </c>
      <c r="N42" s="157">
        <f>SUMIF('内訳ﾘｽﾄ(4～3月)'!$D$26:$D$176,$B42,'内訳ﾘｽﾄ(4～3月)'!Q$26:Q$176)</f>
        <v>3160548</v>
      </c>
      <c r="O42" s="157">
        <f>SUMIF('内訳ﾘｽﾄ(4～3月)'!$D$26:$D$176,'採算表(VND)'!$B42,'内訳ﾘｽﾄ(4～3月)'!R$26:R$176)</f>
        <v>36487162</v>
      </c>
      <c r="AQ42" s="74"/>
      <c r="AR42" s="74"/>
      <c r="AS42" s="74"/>
      <c r="AT42" s="74"/>
      <c r="AU42" s="72"/>
      <c r="AV42" s="73"/>
      <c r="AW42" s="73"/>
      <c r="AX42" s="73"/>
      <c r="AY42" s="73"/>
      <c r="BA42" s="75"/>
      <c r="BB42" s="75"/>
      <c r="BC42" s="75"/>
      <c r="BD42" s="75"/>
      <c r="BF42" s="76"/>
      <c r="BG42" s="72"/>
      <c r="BH42" s="72"/>
      <c r="BI42" s="72"/>
    </row>
    <row r="43" spans="1:61" ht="11.25" customHeight="1">
      <c r="A43" s="38"/>
      <c r="B43" s="37" t="s">
        <v>99</v>
      </c>
      <c r="C43" s="157">
        <f>SUMIF('内訳ﾘｽﾄ(4～3月)'!$D$26:$D$176,$B43,'内訳ﾘｽﾄ(4～3月)'!F$26:F$176)</f>
        <v>0</v>
      </c>
      <c r="D43" s="157">
        <f>SUMIF('内訳ﾘｽﾄ(4～3月)'!$D$26:$D$176,$B43,'内訳ﾘｽﾄ(4～3月)'!G$26:G$176)</f>
        <v>0</v>
      </c>
      <c r="E43" s="157">
        <f>SUMIF('内訳ﾘｽﾄ(4～3月)'!$D$26:$D$176,$B43,'内訳ﾘｽﾄ(4～3月)'!H$26:H$176)</f>
        <v>0</v>
      </c>
      <c r="F43" s="157">
        <f>SUMIF('内訳ﾘｽﾄ(4～3月)'!$D$26:$D$176,$B43,'内訳ﾘｽﾄ(4～3月)'!I$26:I$176)</f>
        <v>0</v>
      </c>
      <c r="G43" s="157">
        <f>SUMIF('内訳ﾘｽﾄ(4～3月)'!$D$26:$D$176,$B43,'内訳ﾘｽﾄ(4～3月)'!J$26:J$176)</f>
        <v>0</v>
      </c>
      <c r="H43" s="157">
        <f>SUMIF('内訳ﾘｽﾄ(4～3月)'!$D$26:$D$176,$B43,'内訳ﾘｽﾄ(4～3月)'!K$26:K$176)</f>
        <v>0</v>
      </c>
      <c r="I43" s="157">
        <f>SUMIF('内訳ﾘｽﾄ(4～3月)'!$D$26:$D$176,$B43,'内訳ﾘｽﾄ(4～3月)'!L$26:L$176)</f>
        <v>0</v>
      </c>
      <c r="J43" s="157">
        <f>SUMIF('内訳ﾘｽﾄ(4～3月)'!$D$26:$D$176,$B43,'内訳ﾘｽﾄ(4～3月)'!M$26:M$176)</f>
        <v>0</v>
      </c>
      <c r="K43" s="157">
        <f>SUMIF('内訳ﾘｽﾄ(4～3月)'!$D$26:$D$176,$B43,'内訳ﾘｽﾄ(4～3月)'!N$26:N$176)</f>
        <v>0</v>
      </c>
      <c r="L43" s="157">
        <f>SUMIF('内訳ﾘｽﾄ(4～3月)'!$D$26:$D$176,$B43,'内訳ﾘｽﾄ(4～3月)'!O$26:O$176)</f>
        <v>0</v>
      </c>
      <c r="M43" s="157">
        <f>SUMIF('内訳ﾘｽﾄ(4～3月)'!$D$26:$D$176,$B43,'内訳ﾘｽﾄ(4～3月)'!P$26:P$176)</f>
        <v>0</v>
      </c>
      <c r="N43" s="157">
        <f>SUMIF('内訳ﾘｽﾄ(4～3月)'!$D$26:$D$176,$B43,'内訳ﾘｽﾄ(4～3月)'!Q$26:Q$176)</f>
        <v>0</v>
      </c>
      <c r="O43" s="157">
        <f>SUMIF('内訳ﾘｽﾄ(4～3月)'!$D$26:$D$176,'採算表(VND)'!$B43,'内訳ﾘｽﾄ(4～3月)'!R$26:R$176)</f>
        <v>0</v>
      </c>
      <c r="AQ43" s="74"/>
      <c r="AR43" s="74"/>
      <c r="AS43" s="74"/>
      <c r="AT43" s="74"/>
      <c r="AU43" s="72"/>
      <c r="AV43" s="73"/>
      <c r="AW43" s="73"/>
      <c r="AX43" s="73"/>
      <c r="AY43" s="73"/>
      <c r="BA43" s="75"/>
      <c r="BB43" s="75"/>
      <c r="BC43" s="75"/>
      <c r="BD43" s="75"/>
      <c r="BF43" s="72"/>
      <c r="BG43" s="72"/>
      <c r="BH43" s="72"/>
      <c r="BI43" s="72"/>
    </row>
    <row r="44" spans="1:61" ht="11.25" customHeight="1">
      <c r="A44" s="38"/>
      <c r="B44" s="37" t="s">
        <v>42</v>
      </c>
      <c r="C44" s="157">
        <f>SUMIF('内訳ﾘｽﾄ(4～3月)'!$D$26:$D$176,$B44,'内訳ﾘｽﾄ(4～3月)'!F$26:F$176)</f>
        <v>5233000</v>
      </c>
      <c r="D44" s="157">
        <f>SUMIF('内訳ﾘｽﾄ(4～3月)'!$D$26:$D$176,$B44,'内訳ﾘｽﾄ(4～3月)'!G$26:G$176)</f>
        <v>22027000</v>
      </c>
      <c r="E44" s="157">
        <f>SUMIF('内訳ﾘｽﾄ(4～3月)'!$D$26:$D$176,$B44,'内訳ﾘｽﾄ(4～3月)'!H$26:H$176)</f>
        <v>2579000</v>
      </c>
      <c r="F44" s="157">
        <f>SUMIF('内訳ﾘｽﾄ(4～3月)'!$D$26:$D$176,$B44,'内訳ﾘｽﾄ(4～3月)'!I$26:I$176)</f>
        <v>2250000</v>
      </c>
      <c r="G44" s="157">
        <f>SUMIF('内訳ﾘｽﾄ(4～3月)'!$D$26:$D$176,$B44,'内訳ﾘｽﾄ(4～3月)'!J$26:J$176)</f>
        <v>2263000</v>
      </c>
      <c r="H44" s="157">
        <f>SUMIF('内訳ﾘｽﾄ(4～3月)'!$D$26:$D$176,$B44,'内訳ﾘｽﾄ(4～3月)'!K$26:K$176)</f>
        <v>4045000</v>
      </c>
      <c r="I44" s="157">
        <f>SUMIF('内訳ﾘｽﾄ(4～3月)'!$D$26:$D$176,$B44,'内訳ﾘｽﾄ(4～3月)'!L$26:L$176)</f>
        <v>5600000</v>
      </c>
      <c r="J44" s="157">
        <f>SUMIF('内訳ﾘｽﾄ(4～3月)'!$D$26:$D$176,$B44,'内訳ﾘｽﾄ(4～3月)'!M$26:M$176)</f>
        <v>4796000</v>
      </c>
      <c r="K44" s="157">
        <f>SUMIF('内訳ﾘｽﾄ(4～3月)'!$D$26:$D$176,$B44,'内訳ﾘｽﾄ(4～3月)'!N$26:N$176)</f>
        <v>4797000</v>
      </c>
      <c r="L44" s="157">
        <f>SUMIF('内訳ﾘｽﾄ(4～3月)'!$D$26:$D$176,$B44,'内訳ﾘｽﾄ(4～3月)'!O$26:O$176)</f>
        <v>5863000</v>
      </c>
      <c r="M44" s="157">
        <f>SUMIF('内訳ﾘｽﾄ(4～3月)'!$D$26:$D$176,$B44,'内訳ﾘｽﾄ(4～3月)'!P$26:P$176)</f>
        <v>4600000</v>
      </c>
      <c r="N44" s="157">
        <f>SUMIF('内訳ﾘｽﾄ(4～3月)'!$D$26:$D$176,$B44,'内訳ﾘｽﾄ(4～3月)'!Q$26:Q$176)</f>
        <v>3500000</v>
      </c>
      <c r="O44" s="157">
        <f>SUMIF('内訳ﾘｽﾄ(4～3月)'!$D$26:$D$176,'採算表(VND)'!$B44,'内訳ﾘｽﾄ(4～3月)'!R$26:R$176)</f>
        <v>67553000</v>
      </c>
      <c r="AQ44" s="74"/>
      <c r="AR44" s="74"/>
      <c r="AS44" s="74"/>
      <c r="AT44" s="74"/>
      <c r="AU44" s="72"/>
      <c r="AV44" s="73"/>
      <c r="AW44" s="73"/>
      <c r="AX44" s="73"/>
      <c r="AY44" s="73"/>
      <c r="BA44" s="75"/>
      <c r="BB44" s="75"/>
      <c r="BC44" s="75"/>
      <c r="BD44" s="75"/>
      <c r="BF44" s="72"/>
      <c r="BG44" s="72"/>
      <c r="BH44" s="72"/>
      <c r="BI44" s="72"/>
    </row>
    <row r="45" spans="1:61" ht="11.25" customHeight="1">
      <c r="A45" s="38"/>
      <c r="B45" s="37" t="s">
        <v>115</v>
      </c>
      <c r="C45" s="157">
        <f>SUMIF('内訳ﾘｽﾄ(4～3月)'!$D$26:$D$176,$B45,'内訳ﾘｽﾄ(4～3月)'!F$26:F$176)</f>
        <v>0</v>
      </c>
      <c r="D45" s="157">
        <f>SUMIF('内訳ﾘｽﾄ(4～3月)'!$D$26:$D$176,$B45,'内訳ﾘｽﾄ(4～3月)'!G$26:G$176)</f>
        <v>0</v>
      </c>
      <c r="E45" s="157">
        <f>SUMIF('内訳ﾘｽﾄ(4～3月)'!$D$26:$D$176,$B45,'内訳ﾘｽﾄ(4～3月)'!H$26:H$176)</f>
        <v>0</v>
      </c>
      <c r="F45" s="157">
        <f>SUMIF('内訳ﾘｽﾄ(4～3月)'!$D$26:$D$176,$B45,'内訳ﾘｽﾄ(4～3月)'!I$26:I$176)</f>
        <v>0</v>
      </c>
      <c r="G45" s="157">
        <f>SUMIF('内訳ﾘｽﾄ(4～3月)'!$D$26:$D$176,$B45,'内訳ﾘｽﾄ(4～3月)'!J$26:J$176)</f>
        <v>0</v>
      </c>
      <c r="H45" s="157">
        <f>SUMIF('内訳ﾘｽﾄ(4～3月)'!$D$26:$D$176,$B45,'内訳ﾘｽﾄ(4～3月)'!K$26:K$176)</f>
        <v>0</v>
      </c>
      <c r="I45" s="157">
        <f>SUMIF('内訳ﾘｽﾄ(4～3月)'!$D$26:$D$176,$B45,'内訳ﾘｽﾄ(4～3月)'!L$26:L$176)</f>
        <v>0</v>
      </c>
      <c r="J45" s="157">
        <f>SUMIF('内訳ﾘｽﾄ(4～3月)'!$D$26:$D$176,$B45,'内訳ﾘｽﾄ(4～3月)'!M$26:M$176)</f>
        <v>0</v>
      </c>
      <c r="K45" s="157">
        <f>SUMIF('内訳ﾘｽﾄ(4～3月)'!$D$26:$D$176,$B45,'内訳ﾘｽﾄ(4～3月)'!N$26:N$176)</f>
        <v>0</v>
      </c>
      <c r="L45" s="157">
        <f>SUMIF('内訳ﾘｽﾄ(4～3月)'!$D$26:$D$176,$B45,'内訳ﾘｽﾄ(4～3月)'!O$26:O$176)</f>
        <v>0</v>
      </c>
      <c r="M45" s="157">
        <f>SUMIF('内訳ﾘｽﾄ(4～3月)'!$D$26:$D$176,$B45,'内訳ﾘｽﾄ(4～3月)'!P$26:P$176)</f>
        <v>0</v>
      </c>
      <c r="N45" s="157">
        <f>SUMIF('内訳ﾘｽﾄ(4～3月)'!$D$26:$D$176,$B45,'内訳ﾘｽﾄ(4～3月)'!Q$26:Q$176)</f>
        <v>0</v>
      </c>
      <c r="O45" s="157">
        <f>SUMIF('内訳ﾘｽﾄ(4～3月)'!$D$26:$D$176,'採算表(VND)'!$B45,'内訳ﾘｽﾄ(4～3月)'!R$26:R$176)</f>
        <v>0</v>
      </c>
      <c r="AQ45" s="74"/>
      <c r="AR45" s="74"/>
      <c r="AS45" s="74"/>
      <c r="AT45" s="74"/>
      <c r="AU45" s="72"/>
      <c r="AV45" s="73"/>
      <c r="AW45" s="73"/>
      <c r="AX45" s="73"/>
      <c r="AY45" s="73"/>
      <c r="BA45" s="75"/>
      <c r="BB45" s="75"/>
      <c r="BC45" s="75"/>
      <c r="BD45" s="75"/>
      <c r="BF45" s="72"/>
      <c r="BG45" s="72"/>
      <c r="BH45" s="72"/>
      <c r="BI45" s="72"/>
    </row>
    <row r="46" spans="1:61" ht="11.25" customHeight="1">
      <c r="A46" s="38"/>
      <c r="B46" s="37" t="s">
        <v>116</v>
      </c>
      <c r="C46" s="157">
        <f>SUMIF('内訳ﾘｽﾄ(4～3月)'!$D$26:$D$176,$B46,'内訳ﾘｽﾄ(4～3月)'!F$26:F$176)</f>
        <v>0</v>
      </c>
      <c r="D46" s="157">
        <f>SUMIF('内訳ﾘｽﾄ(4～3月)'!$D$26:$D$176,$B46,'内訳ﾘｽﾄ(4～3月)'!G$26:G$176)</f>
        <v>0</v>
      </c>
      <c r="E46" s="157">
        <f>SUMIF('内訳ﾘｽﾄ(4～3月)'!$D$26:$D$176,$B46,'内訳ﾘｽﾄ(4～3月)'!H$26:H$176)</f>
        <v>0</v>
      </c>
      <c r="F46" s="157">
        <f>SUMIF('内訳ﾘｽﾄ(4～3月)'!$D$26:$D$176,$B46,'内訳ﾘｽﾄ(4～3月)'!I$26:I$176)</f>
        <v>0</v>
      </c>
      <c r="G46" s="157">
        <f>SUMIF('内訳ﾘｽﾄ(4～3月)'!$D$26:$D$176,$B46,'内訳ﾘｽﾄ(4～3月)'!J$26:J$176)</f>
        <v>0</v>
      </c>
      <c r="H46" s="157">
        <f>SUMIF('内訳ﾘｽﾄ(4～3月)'!$D$26:$D$176,$B46,'内訳ﾘｽﾄ(4～3月)'!K$26:K$176)</f>
        <v>0</v>
      </c>
      <c r="I46" s="157">
        <f>SUMIF('内訳ﾘｽﾄ(4～3月)'!$D$26:$D$176,$B46,'内訳ﾘｽﾄ(4～3月)'!L$26:L$176)</f>
        <v>0</v>
      </c>
      <c r="J46" s="157">
        <f>SUMIF('内訳ﾘｽﾄ(4～3月)'!$D$26:$D$176,$B46,'内訳ﾘｽﾄ(4～3月)'!M$26:M$176)</f>
        <v>0</v>
      </c>
      <c r="K46" s="157">
        <f>SUMIF('内訳ﾘｽﾄ(4～3月)'!$D$26:$D$176,$B46,'内訳ﾘｽﾄ(4～3月)'!N$26:N$176)</f>
        <v>0</v>
      </c>
      <c r="L46" s="157">
        <f>SUMIF('内訳ﾘｽﾄ(4～3月)'!$D$26:$D$176,$B46,'内訳ﾘｽﾄ(4～3月)'!O$26:O$176)</f>
        <v>0</v>
      </c>
      <c r="M46" s="157">
        <f>SUMIF('内訳ﾘｽﾄ(4～3月)'!$D$26:$D$176,$B46,'内訳ﾘｽﾄ(4～3月)'!P$26:P$176)</f>
        <v>0</v>
      </c>
      <c r="N46" s="157">
        <f>SUMIF('内訳ﾘｽﾄ(4～3月)'!$D$26:$D$176,$B46,'内訳ﾘｽﾄ(4～3月)'!Q$26:Q$176)</f>
        <v>0</v>
      </c>
      <c r="O46" s="157">
        <f>SUMIF('内訳ﾘｽﾄ(4～3月)'!$D$26:$D$176,'採算表(VND)'!$B46,'内訳ﾘｽﾄ(4～3月)'!R$26:R$176)</f>
        <v>0</v>
      </c>
      <c r="AQ46" s="74"/>
      <c r="AR46" s="74"/>
      <c r="AS46" s="74"/>
      <c r="AT46" s="74"/>
      <c r="AU46" s="72"/>
      <c r="AV46" s="73"/>
      <c r="AW46" s="73"/>
      <c r="AX46" s="73"/>
      <c r="AY46" s="73"/>
      <c r="BA46" s="75"/>
      <c r="BB46" s="75"/>
      <c r="BC46" s="75"/>
      <c r="BD46" s="75"/>
      <c r="BF46" s="72"/>
      <c r="BG46" s="72"/>
      <c r="BH46" s="72"/>
      <c r="BI46" s="72"/>
    </row>
    <row r="47" spans="1:61" ht="11.25" customHeight="1">
      <c r="A47" s="38"/>
      <c r="B47" s="37" t="s">
        <v>117</v>
      </c>
      <c r="C47" s="157">
        <f>SUMIF('内訳ﾘｽﾄ(4～3月)'!$D$26:$D$176,$B47,'内訳ﾘｽﾄ(4～3月)'!F$26:F$176)</f>
        <v>0</v>
      </c>
      <c r="D47" s="157">
        <f>SUMIF('内訳ﾘｽﾄ(4～3月)'!$D$26:$D$176,$B47,'内訳ﾘｽﾄ(4～3月)'!G$26:G$176)</f>
        <v>0</v>
      </c>
      <c r="E47" s="157">
        <f>SUMIF('内訳ﾘｽﾄ(4～3月)'!$D$26:$D$176,$B47,'内訳ﾘｽﾄ(4～3月)'!H$26:H$176)</f>
        <v>0</v>
      </c>
      <c r="F47" s="157">
        <f>SUMIF('内訳ﾘｽﾄ(4～3月)'!$D$26:$D$176,$B47,'内訳ﾘｽﾄ(4～3月)'!I$26:I$176)</f>
        <v>0</v>
      </c>
      <c r="G47" s="157">
        <f>SUMIF('内訳ﾘｽﾄ(4～3月)'!$D$26:$D$176,$B47,'内訳ﾘｽﾄ(4～3月)'!J$26:J$176)</f>
        <v>0</v>
      </c>
      <c r="H47" s="157">
        <f>SUMIF('内訳ﾘｽﾄ(4～3月)'!$D$26:$D$176,$B47,'内訳ﾘｽﾄ(4～3月)'!K$26:K$176)</f>
        <v>0</v>
      </c>
      <c r="I47" s="157">
        <f>SUMIF('内訳ﾘｽﾄ(4～3月)'!$D$26:$D$176,$B47,'内訳ﾘｽﾄ(4～3月)'!L$26:L$176)</f>
        <v>0</v>
      </c>
      <c r="J47" s="157">
        <f>SUMIF('内訳ﾘｽﾄ(4～3月)'!$D$26:$D$176,$B47,'内訳ﾘｽﾄ(4～3月)'!M$26:M$176)</f>
        <v>0</v>
      </c>
      <c r="K47" s="157">
        <f>SUMIF('内訳ﾘｽﾄ(4～3月)'!$D$26:$D$176,$B47,'内訳ﾘｽﾄ(4～3月)'!N$26:N$176)</f>
        <v>0</v>
      </c>
      <c r="L47" s="157">
        <f>SUMIF('内訳ﾘｽﾄ(4～3月)'!$D$26:$D$176,$B47,'内訳ﾘｽﾄ(4～3月)'!O$26:O$176)</f>
        <v>0</v>
      </c>
      <c r="M47" s="157">
        <f>SUMIF('内訳ﾘｽﾄ(4～3月)'!$D$26:$D$176,$B47,'内訳ﾘｽﾄ(4～3月)'!P$26:P$176)</f>
        <v>0</v>
      </c>
      <c r="N47" s="157">
        <f>SUMIF('内訳ﾘｽﾄ(4～3月)'!$D$26:$D$176,$B47,'内訳ﾘｽﾄ(4～3月)'!Q$26:Q$176)</f>
        <v>0</v>
      </c>
      <c r="O47" s="157">
        <f>SUMIF('内訳ﾘｽﾄ(4～3月)'!$D$26:$D$176,'採算表(VND)'!$B47,'内訳ﾘｽﾄ(4～3月)'!R$26:R$176)</f>
        <v>0</v>
      </c>
      <c r="AQ47" s="74"/>
      <c r="AR47" s="74"/>
      <c r="AS47" s="74"/>
      <c r="AT47" s="74"/>
      <c r="AU47" s="72"/>
      <c r="AV47" s="73"/>
      <c r="AW47" s="73"/>
      <c r="AX47" s="73"/>
      <c r="AY47" s="73"/>
      <c r="BA47" s="75"/>
      <c r="BB47" s="75"/>
      <c r="BC47" s="75"/>
      <c r="BD47" s="75"/>
      <c r="BF47" s="72"/>
      <c r="BG47" s="72"/>
      <c r="BH47" s="72"/>
      <c r="BI47" s="72"/>
    </row>
    <row r="48" spans="1:61" ht="11.25" customHeight="1">
      <c r="A48" s="38"/>
      <c r="B48" s="37" t="s">
        <v>53</v>
      </c>
      <c r="C48" s="157">
        <f>SUMIF('内訳ﾘｽﾄ(4～3月)'!$D$26:$D$176,$B48,'内訳ﾘｽﾄ(4～3月)'!F$26:F$176)</f>
        <v>0</v>
      </c>
      <c r="D48" s="157">
        <f>SUMIF('内訳ﾘｽﾄ(4～3月)'!$D$26:$D$176,$B48,'内訳ﾘｽﾄ(4～3月)'!G$26:G$176)</f>
        <v>0</v>
      </c>
      <c r="E48" s="157">
        <f>SUMIF('内訳ﾘｽﾄ(4～3月)'!$D$26:$D$176,$B48,'内訳ﾘｽﾄ(4～3月)'!H$26:H$176)</f>
        <v>0</v>
      </c>
      <c r="F48" s="157">
        <f>SUMIF('内訳ﾘｽﾄ(4～3月)'!$D$26:$D$176,$B48,'内訳ﾘｽﾄ(4～3月)'!I$26:I$176)</f>
        <v>0</v>
      </c>
      <c r="G48" s="157">
        <f>SUMIF('内訳ﾘｽﾄ(4～3月)'!$D$26:$D$176,$B48,'内訳ﾘｽﾄ(4～3月)'!J$26:J$176)</f>
        <v>0</v>
      </c>
      <c r="H48" s="157">
        <f>SUMIF('内訳ﾘｽﾄ(4～3月)'!$D$26:$D$176,$B48,'内訳ﾘｽﾄ(4～3月)'!K$26:K$176)</f>
        <v>0</v>
      </c>
      <c r="I48" s="157">
        <f>SUMIF('内訳ﾘｽﾄ(4～3月)'!$D$26:$D$176,$B48,'内訳ﾘｽﾄ(4～3月)'!L$26:L$176)</f>
        <v>0</v>
      </c>
      <c r="J48" s="157">
        <f>SUMIF('内訳ﾘｽﾄ(4～3月)'!$D$26:$D$176,$B48,'内訳ﾘｽﾄ(4～3月)'!M$26:M$176)</f>
        <v>0</v>
      </c>
      <c r="K48" s="157">
        <f>SUMIF('内訳ﾘｽﾄ(4～3月)'!$D$26:$D$176,$B48,'内訳ﾘｽﾄ(4～3月)'!N$26:N$176)</f>
        <v>0</v>
      </c>
      <c r="L48" s="157">
        <f>SUMIF('内訳ﾘｽﾄ(4～3月)'!$D$26:$D$176,$B48,'内訳ﾘｽﾄ(4～3月)'!O$26:O$176)</f>
        <v>0</v>
      </c>
      <c r="M48" s="157">
        <f>SUMIF('内訳ﾘｽﾄ(4～3月)'!$D$26:$D$176,$B48,'内訳ﾘｽﾄ(4～3月)'!P$26:P$176)</f>
        <v>0</v>
      </c>
      <c r="N48" s="157">
        <f>SUMIF('内訳ﾘｽﾄ(4～3月)'!$D$26:$D$176,$B48,'内訳ﾘｽﾄ(4～3月)'!Q$26:Q$176)</f>
        <v>0</v>
      </c>
      <c r="O48" s="157">
        <f>SUMIF('内訳ﾘｽﾄ(4～3月)'!$D$26:$D$176,'採算表(VND)'!$B48,'内訳ﾘｽﾄ(4～3月)'!R$26:R$176)</f>
        <v>0</v>
      </c>
      <c r="AQ48" s="74"/>
      <c r="AR48" s="74"/>
      <c r="AS48" s="74"/>
      <c r="AT48" s="74"/>
      <c r="AU48" s="72"/>
      <c r="AV48" s="73"/>
      <c r="AW48" s="73"/>
      <c r="AX48" s="73"/>
      <c r="AY48" s="73"/>
      <c r="BA48" s="75"/>
      <c r="BB48" s="75"/>
      <c r="BC48" s="75"/>
      <c r="BD48" s="75"/>
      <c r="BF48" s="72"/>
      <c r="BG48" s="72"/>
      <c r="BH48" s="72"/>
      <c r="BI48" s="72"/>
    </row>
    <row r="49" spans="1:61" ht="11.25" customHeight="1">
      <c r="A49" s="38"/>
      <c r="B49" s="37" t="s">
        <v>64</v>
      </c>
      <c r="C49" s="157">
        <f>SUMIF('内訳ﾘｽﾄ(4～3月)'!$D$26:$D$176,$B49,'内訳ﾘｽﾄ(4～3月)'!F$26:F$176)</f>
        <v>0</v>
      </c>
      <c r="D49" s="157">
        <f>SUMIF('内訳ﾘｽﾄ(4～3月)'!$D$26:$D$176,$B49,'内訳ﾘｽﾄ(4～3月)'!G$26:G$176)</f>
        <v>0</v>
      </c>
      <c r="E49" s="157">
        <f>SUMIF('内訳ﾘｽﾄ(4～3月)'!$D$26:$D$176,$B49,'内訳ﾘｽﾄ(4～3月)'!H$26:H$176)</f>
        <v>0</v>
      </c>
      <c r="F49" s="157">
        <f>SUMIF('内訳ﾘｽﾄ(4～3月)'!$D$26:$D$176,$B49,'内訳ﾘｽﾄ(4～3月)'!I$26:I$176)</f>
        <v>0</v>
      </c>
      <c r="G49" s="157">
        <f>SUMIF('内訳ﾘｽﾄ(4～3月)'!$D$26:$D$176,$B49,'内訳ﾘｽﾄ(4～3月)'!J$26:J$176)</f>
        <v>0</v>
      </c>
      <c r="H49" s="157">
        <f>SUMIF('内訳ﾘｽﾄ(4～3月)'!$D$26:$D$176,$B49,'内訳ﾘｽﾄ(4～3月)'!K$26:K$176)</f>
        <v>0</v>
      </c>
      <c r="I49" s="157">
        <f>SUMIF('内訳ﾘｽﾄ(4～3月)'!$D$26:$D$176,$B49,'内訳ﾘｽﾄ(4～3月)'!L$26:L$176)</f>
        <v>0</v>
      </c>
      <c r="J49" s="157">
        <f>SUMIF('内訳ﾘｽﾄ(4～3月)'!$D$26:$D$176,$B49,'内訳ﾘｽﾄ(4～3月)'!M$26:M$176)</f>
        <v>0</v>
      </c>
      <c r="K49" s="157">
        <f>SUMIF('内訳ﾘｽﾄ(4～3月)'!$D$26:$D$176,$B49,'内訳ﾘｽﾄ(4～3月)'!N$26:N$176)</f>
        <v>0</v>
      </c>
      <c r="L49" s="157">
        <f>SUMIF('内訳ﾘｽﾄ(4～3月)'!$D$26:$D$176,$B49,'内訳ﾘｽﾄ(4～3月)'!O$26:O$176)</f>
        <v>0</v>
      </c>
      <c r="M49" s="157">
        <f>SUMIF('内訳ﾘｽﾄ(4～3月)'!$D$26:$D$176,$B49,'内訳ﾘｽﾄ(4～3月)'!P$26:P$176)</f>
        <v>0</v>
      </c>
      <c r="N49" s="157">
        <f>SUMIF('内訳ﾘｽﾄ(4～3月)'!$D$26:$D$176,$B49,'内訳ﾘｽﾄ(4～3月)'!Q$26:Q$176)</f>
        <v>0</v>
      </c>
      <c r="O49" s="157">
        <f>SUMIF('内訳ﾘｽﾄ(4～3月)'!$D$26:$D$176,'採算表(VND)'!$B49,'内訳ﾘｽﾄ(4～3月)'!R$26:R$176)</f>
        <v>0</v>
      </c>
      <c r="AQ49" s="74"/>
      <c r="AR49" s="74"/>
      <c r="AS49" s="74"/>
      <c r="AT49" s="74"/>
      <c r="AU49" s="72"/>
      <c r="AV49" s="73"/>
      <c r="AW49" s="73"/>
      <c r="AX49" s="73"/>
      <c r="AY49" s="73"/>
      <c r="BA49" s="75"/>
      <c r="BB49" s="75"/>
      <c r="BC49" s="75"/>
      <c r="BD49" s="75"/>
      <c r="BF49" s="72"/>
      <c r="BG49" s="72"/>
      <c r="BH49" s="72"/>
      <c r="BI49" s="72"/>
    </row>
    <row r="50" spans="1:61" ht="11.25" customHeight="1">
      <c r="A50" s="38"/>
      <c r="B50" s="37" t="s">
        <v>62</v>
      </c>
      <c r="C50" s="157">
        <f>SUMIF('内訳ﾘｽﾄ(4～3月)'!$D$26:$D$176,$B50,'内訳ﾘｽﾄ(4～3月)'!F$26:F$176)</f>
        <v>0</v>
      </c>
      <c r="D50" s="157">
        <f>SUMIF('内訳ﾘｽﾄ(4～3月)'!$D$26:$D$176,$B50,'内訳ﾘｽﾄ(4～3月)'!G$26:G$176)</f>
        <v>0</v>
      </c>
      <c r="E50" s="157">
        <f>SUMIF('内訳ﾘｽﾄ(4～3月)'!$D$26:$D$176,$B50,'内訳ﾘｽﾄ(4～3月)'!H$26:H$176)</f>
        <v>0</v>
      </c>
      <c r="F50" s="157">
        <f>SUMIF('内訳ﾘｽﾄ(4～3月)'!$D$26:$D$176,$B50,'内訳ﾘｽﾄ(4～3月)'!I$26:I$176)</f>
        <v>0</v>
      </c>
      <c r="G50" s="157">
        <f>SUMIF('内訳ﾘｽﾄ(4～3月)'!$D$26:$D$176,$B50,'内訳ﾘｽﾄ(4～3月)'!J$26:J$176)</f>
        <v>0</v>
      </c>
      <c r="H50" s="157">
        <f>SUMIF('内訳ﾘｽﾄ(4～3月)'!$D$26:$D$176,$B50,'内訳ﾘｽﾄ(4～3月)'!K$26:K$176)</f>
        <v>0</v>
      </c>
      <c r="I50" s="157">
        <f>SUMIF('内訳ﾘｽﾄ(4～3月)'!$D$26:$D$176,$B50,'内訳ﾘｽﾄ(4～3月)'!L$26:L$176)</f>
        <v>0</v>
      </c>
      <c r="J50" s="157">
        <f>SUMIF('内訳ﾘｽﾄ(4～3月)'!$D$26:$D$176,$B50,'内訳ﾘｽﾄ(4～3月)'!M$26:M$176)</f>
        <v>0</v>
      </c>
      <c r="K50" s="157">
        <f>SUMIF('内訳ﾘｽﾄ(4～3月)'!$D$26:$D$176,$B50,'内訳ﾘｽﾄ(4～3月)'!N$26:N$176)</f>
        <v>0</v>
      </c>
      <c r="L50" s="157">
        <f>SUMIF('内訳ﾘｽﾄ(4～3月)'!$D$26:$D$176,$B50,'内訳ﾘｽﾄ(4～3月)'!O$26:O$176)</f>
        <v>0</v>
      </c>
      <c r="M50" s="157">
        <f>SUMIF('内訳ﾘｽﾄ(4～3月)'!$D$26:$D$176,$B50,'内訳ﾘｽﾄ(4～3月)'!P$26:P$176)</f>
        <v>0</v>
      </c>
      <c r="N50" s="157">
        <f>SUMIF('内訳ﾘｽﾄ(4～3月)'!$D$26:$D$176,$B50,'内訳ﾘｽﾄ(4～3月)'!Q$26:Q$176)</f>
        <v>0</v>
      </c>
      <c r="O50" s="157">
        <f>SUMIF('内訳ﾘｽﾄ(4～3月)'!$D$26:$D$176,'採算表(VND)'!$B50,'内訳ﾘｽﾄ(4～3月)'!R$26:R$176)</f>
        <v>0</v>
      </c>
      <c r="AQ50" s="74"/>
      <c r="AR50" s="74"/>
      <c r="AS50" s="74"/>
      <c r="AT50" s="74"/>
      <c r="AU50" s="72"/>
      <c r="AV50" s="73"/>
      <c r="AW50" s="73"/>
      <c r="AX50" s="73"/>
      <c r="AY50" s="73"/>
      <c r="BA50" s="75"/>
      <c r="BB50" s="75"/>
      <c r="BC50" s="75"/>
      <c r="BD50" s="75"/>
      <c r="BF50" s="72"/>
      <c r="BG50" s="72"/>
      <c r="BH50" s="72"/>
      <c r="BI50" s="72"/>
    </row>
    <row r="51" spans="1:61" ht="11.25" customHeight="1">
      <c r="A51" s="38"/>
      <c r="B51" s="39" t="s">
        <v>105</v>
      </c>
      <c r="C51" s="158">
        <f>SUMIF('内訳ﾘｽﾄ(4～3月)'!$D$26:$D$176,$B51,'内訳ﾘｽﾄ(4～3月)'!F$26:F$176)</f>
        <v>0</v>
      </c>
      <c r="D51" s="158">
        <f>SUMIF('内訳ﾘｽﾄ(4～3月)'!$D$26:$D$176,$B51,'内訳ﾘｽﾄ(4～3月)'!G$26:G$176)</f>
        <v>0</v>
      </c>
      <c r="E51" s="158">
        <f>SUMIF('内訳ﾘｽﾄ(4～3月)'!$D$26:$D$176,$B51,'内訳ﾘｽﾄ(4～3月)'!H$26:H$176)</f>
        <v>0</v>
      </c>
      <c r="F51" s="158">
        <f>SUMIF('内訳ﾘｽﾄ(4～3月)'!$D$26:$D$176,$B51,'内訳ﾘｽﾄ(4～3月)'!I$26:I$176)</f>
        <v>0</v>
      </c>
      <c r="G51" s="158">
        <f>SUMIF('内訳ﾘｽﾄ(4～3月)'!$D$26:$D$176,$B51,'内訳ﾘｽﾄ(4～3月)'!J$26:J$176)</f>
        <v>0</v>
      </c>
      <c r="H51" s="158">
        <f>SUMIF('内訳ﾘｽﾄ(4～3月)'!$D$26:$D$176,$B51,'内訳ﾘｽﾄ(4～3月)'!K$26:K$176)</f>
        <v>0</v>
      </c>
      <c r="I51" s="158">
        <f>SUMIF('内訳ﾘｽﾄ(4～3月)'!$D$26:$D$176,$B51,'内訳ﾘｽﾄ(4～3月)'!L$26:L$176)</f>
        <v>0</v>
      </c>
      <c r="J51" s="158">
        <f>SUMIF('内訳ﾘｽﾄ(4～3月)'!$D$26:$D$176,$B51,'内訳ﾘｽﾄ(4～3月)'!M$26:M$176)</f>
        <v>0</v>
      </c>
      <c r="K51" s="158">
        <f>SUMIF('内訳ﾘｽﾄ(4～3月)'!$D$26:$D$176,$B51,'内訳ﾘｽﾄ(4～3月)'!N$26:N$176)</f>
        <v>0</v>
      </c>
      <c r="L51" s="158">
        <f>SUMIF('内訳ﾘｽﾄ(4～3月)'!$D$26:$D$176,$B51,'内訳ﾘｽﾄ(4～3月)'!O$26:O$176)</f>
        <v>0</v>
      </c>
      <c r="M51" s="158">
        <f>SUMIF('内訳ﾘｽﾄ(4～3月)'!$D$26:$D$176,$B51,'内訳ﾘｽﾄ(4～3月)'!P$26:P$176)</f>
        <v>0</v>
      </c>
      <c r="N51" s="158">
        <f>SUMIF('内訳ﾘｽﾄ(4～3月)'!$D$26:$D$176,$B51,'内訳ﾘｽﾄ(4～3月)'!Q$26:Q$176)</f>
        <v>0</v>
      </c>
      <c r="O51" s="158">
        <f>SUMIF('内訳ﾘｽﾄ(4～3月)'!$D$26:$D$176,'採算表(VND)'!$B51,'内訳ﾘｽﾄ(4～3月)'!R$26:R$176)</f>
        <v>0</v>
      </c>
      <c r="AQ51" s="74"/>
      <c r="AR51" s="74"/>
      <c r="AS51" s="74"/>
      <c r="AT51" s="74"/>
      <c r="AU51" s="72"/>
      <c r="AV51" s="73"/>
      <c r="AW51" s="73"/>
      <c r="AX51" s="73"/>
      <c r="AY51" s="73"/>
      <c r="BA51" s="75"/>
      <c r="BB51" s="75"/>
      <c r="BC51" s="75"/>
      <c r="BD51" s="75"/>
      <c r="BF51" s="72"/>
      <c r="BG51" s="72"/>
      <c r="BH51" s="72"/>
      <c r="BI51" s="72"/>
    </row>
    <row r="52" spans="1:61" ht="11.25" customHeight="1">
      <c r="A52" s="38"/>
      <c r="B52" s="37" t="s">
        <v>118</v>
      </c>
      <c r="C52" s="159">
        <f>SUMIF('内訳ﾘｽﾄ(4～3月)'!$D$26:$D$176,$B52,'内訳ﾘｽﾄ(4～3月)'!F$26:F$176)</f>
        <v>0</v>
      </c>
      <c r="D52" s="159">
        <f>SUMIF('内訳ﾘｽﾄ(4～3月)'!$D$26:$D$176,$B52,'内訳ﾘｽﾄ(4～3月)'!G$26:G$176)</f>
        <v>0</v>
      </c>
      <c r="E52" s="159">
        <f>SUMIF('内訳ﾘｽﾄ(4～3月)'!$D$26:$D$176,$B52,'内訳ﾘｽﾄ(4～3月)'!H$26:H$176)</f>
        <v>0</v>
      </c>
      <c r="F52" s="159">
        <f>SUMIF('内訳ﾘｽﾄ(4～3月)'!$D$26:$D$176,$B52,'内訳ﾘｽﾄ(4～3月)'!I$26:I$176)</f>
        <v>0</v>
      </c>
      <c r="G52" s="159">
        <f>SUMIF('内訳ﾘｽﾄ(4～3月)'!$D$26:$D$176,$B52,'内訳ﾘｽﾄ(4～3月)'!J$26:J$176)</f>
        <v>0</v>
      </c>
      <c r="H52" s="159">
        <f>SUMIF('内訳ﾘｽﾄ(4～3月)'!$D$26:$D$176,$B52,'内訳ﾘｽﾄ(4～3月)'!K$26:K$176)</f>
        <v>0</v>
      </c>
      <c r="I52" s="159">
        <f>SUMIF('内訳ﾘｽﾄ(4～3月)'!$D$26:$D$176,$B52,'内訳ﾘｽﾄ(4～3月)'!L$26:L$176)</f>
        <v>0</v>
      </c>
      <c r="J52" s="159">
        <f>SUMIF('内訳ﾘｽﾄ(4～3月)'!$D$26:$D$176,$B52,'内訳ﾘｽﾄ(4～3月)'!M$26:M$176)</f>
        <v>0</v>
      </c>
      <c r="K52" s="159">
        <f>SUMIF('内訳ﾘｽﾄ(4～3月)'!$D$26:$D$176,$B52,'内訳ﾘｽﾄ(4～3月)'!N$26:N$176)</f>
        <v>0</v>
      </c>
      <c r="L52" s="159">
        <f>SUMIF('内訳ﾘｽﾄ(4～3月)'!$D$26:$D$176,$B52,'内訳ﾘｽﾄ(4～3月)'!O$26:O$176)</f>
        <v>0</v>
      </c>
      <c r="M52" s="159">
        <f>SUMIF('内訳ﾘｽﾄ(4～3月)'!$D$26:$D$176,$B52,'内訳ﾘｽﾄ(4～3月)'!P$26:P$176)</f>
        <v>0</v>
      </c>
      <c r="N52" s="159">
        <f>SUMIF('内訳ﾘｽﾄ(4～3月)'!$D$26:$D$176,$B52,'内訳ﾘｽﾄ(4～3月)'!Q$26:Q$176)</f>
        <v>0</v>
      </c>
      <c r="O52" s="159">
        <f>SUMIF('内訳ﾘｽﾄ(4～3月)'!$D$26:$D$176,'採算表(VND)'!$B52,'内訳ﾘｽﾄ(4～3月)'!R$26:R$176)</f>
        <v>0</v>
      </c>
      <c r="AQ52" s="74"/>
      <c r="AR52" s="74"/>
      <c r="AS52" s="74"/>
      <c r="AT52" s="74"/>
      <c r="AU52" s="72"/>
      <c r="AV52" s="73"/>
      <c r="AW52" s="73"/>
      <c r="AX52" s="73"/>
      <c r="AY52" s="73"/>
      <c r="BA52" s="75"/>
      <c r="BB52" s="75"/>
      <c r="BC52" s="75"/>
      <c r="BD52" s="75"/>
      <c r="BF52" s="72"/>
      <c r="BG52" s="72"/>
      <c r="BH52" s="72"/>
      <c r="BI52" s="72"/>
    </row>
    <row r="53" spans="1:61" ht="11.25" customHeight="1">
      <c r="A53" s="38"/>
      <c r="B53" s="37" t="s">
        <v>119</v>
      </c>
      <c r="C53" s="159">
        <f>SUMIF('内訳ﾘｽﾄ(4～3月)'!$D$26:$D$176,$B53,'内訳ﾘｽﾄ(4～3月)'!F$26:F$176)</f>
        <v>0</v>
      </c>
      <c r="D53" s="159">
        <f>SUMIF('内訳ﾘｽﾄ(4～3月)'!$D$26:$D$176,$B53,'内訳ﾘｽﾄ(4～3月)'!G$26:G$176)</f>
        <v>0</v>
      </c>
      <c r="E53" s="159">
        <f>SUMIF('内訳ﾘｽﾄ(4～3月)'!$D$26:$D$176,$B53,'内訳ﾘｽﾄ(4～3月)'!H$26:H$176)</f>
        <v>0</v>
      </c>
      <c r="F53" s="159">
        <f>SUMIF('内訳ﾘｽﾄ(4～3月)'!$D$26:$D$176,$B53,'内訳ﾘｽﾄ(4～3月)'!I$26:I$176)</f>
        <v>0</v>
      </c>
      <c r="G53" s="159">
        <f>SUMIF('内訳ﾘｽﾄ(4～3月)'!$D$26:$D$176,$B53,'内訳ﾘｽﾄ(4～3月)'!J$26:J$176)</f>
        <v>0</v>
      </c>
      <c r="H53" s="159">
        <f>SUMIF('内訳ﾘｽﾄ(4～3月)'!$D$26:$D$176,$B53,'内訳ﾘｽﾄ(4～3月)'!K$26:K$176)</f>
        <v>0</v>
      </c>
      <c r="I53" s="159">
        <f>SUMIF('内訳ﾘｽﾄ(4～3月)'!$D$26:$D$176,$B53,'内訳ﾘｽﾄ(4～3月)'!L$26:L$176)</f>
        <v>0</v>
      </c>
      <c r="J53" s="159">
        <f>SUMIF('内訳ﾘｽﾄ(4～3月)'!$D$26:$D$176,$B53,'内訳ﾘｽﾄ(4～3月)'!M$26:M$176)</f>
        <v>0</v>
      </c>
      <c r="K53" s="159">
        <f>SUMIF('内訳ﾘｽﾄ(4～3月)'!$D$26:$D$176,$B53,'内訳ﾘｽﾄ(4～3月)'!N$26:N$176)</f>
        <v>0</v>
      </c>
      <c r="L53" s="159">
        <f>SUMIF('内訳ﾘｽﾄ(4～3月)'!$D$26:$D$176,$B53,'内訳ﾘｽﾄ(4～3月)'!O$26:O$176)</f>
        <v>0</v>
      </c>
      <c r="M53" s="159">
        <f>SUMIF('内訳ﾘｽﾄ(4～3月)'!$D$26:$D$176,$B53,'内訳ﾘｽﾄ(4～3月)'!P$26:P$176)</f>
        <v>0</v>
      </c>
      <c r="N53" s="159">
        <f>SUMIF('内訳ﾘｽﾄ(4～3月)'!$D$26:$D$176,$B53,'内訳ﾘｽﾄ(4～3月)'!Q$26:Q$176)</f>
        <v>0</v>
      </c>
      <c r="O53" s="159">
        <f>SUMIF('内訳ﾘｽﾄ(4～3月)'!$D$26:$D$176,'採算表(VND)'!$B53,'内訳ﾘｽﾄ(4～3月)'!R$26:R$176)</f>
        <v>0</v>
      </c>
      <c r="AQ53" s="74"/>
      <c r="AR53" s="74"/>
      <c r="AS53" s="74"/>
      <c r="AT53" s="74"/>
      <c r="AU53" s="72"/>
      <c r="AV53" s="73"/>
      <c r="AW53" s="73"/>
      <c r="AX53" s="73"/>
      <c r="AY53" s="73"/>
      <c r="BA53" s="75"/>
      <c r="BB53" s="75"/>
      <c r="BC53" s="75"/>
      <c r="BD53" s="75"/>
      <c r="BF53" s="72"/>
      <c r="BG53" s="72"/>
      <c r="BH53" s="72"/>
      <c r="BI53" s="72"/>
    </row>
    <row r="54" spans="1:61" ht="11.25" customHeight="1">
      <c r="A54" s="38"/>
      <c r="B54" s="37" t="s">
        <v>100</v>
      </c>
      <c r="C54" s="159">
        <f>SUMIF('内訳ﾘｽﾄ(4～3月)'!$D$26:$D$176,$B54,'内訳ﾘｽﾄ(4～3月)'!F$26:F$176)</f>
        <v>0</v>
      </c>
      <c r="D54" s="159">
        <f>SUMIF('内訳ﾘｽﾄ(4～3月)'!$D$26:$D$176,$B54,'内訳ﾘｽﾄ(4～3月)'!G$26:G$176)</f>
        <v>0</v>
      </c>
      <c r="E54" s="159">
        <f>SUMIF('内訳ﾘｽﾄ(4～3月)'!$D$26:$D$176,$B54,'内訳ﾘｽﾄ(4～3月)'!H$26:H$176)</f>
        <v>0</v>
      </c>
      <c r="F54" s="159">
        <f>SUMIF('内訳ﾘｽﾄ(4～3月)'!$D$26:$D$176,$B54,'内訳ﾘｽﾄ(4～3月)'!I$26:I$176)</f>
        <v>0</v>
      </c>
      <c r="G54" s="159">
        <f>SUMIF('内訳ﾘｽﾄ(4～3月)'!$D$26:$D$176,$B54,'内訳ﾘｽﾄ(4～3月)'!J$26:J$176)</f>
        <v>0</v>
      </c>
      <c r="H54" s="159">
        <f>SUMIF('内訳ﾘｽﾄ(4～3月)'!$D$26:$D$176,$B54,'内訳ﾘｽﾄ(4～3月)'!K$26:K$176)</f>
        <v>0</v>
      </c>
      <c r="I54" s="159">
        <f>SUMIF('内訳ﾘｽﾄ(4～3月)'!$D$26:$D$176,$B54,'内訳ﾘｽﾄ(4～3月)'!L$26:L$176)</f>
        <v>0</v>
      </c>
      <c r="J54" s="159">
        <f>SUMIF('内訳ﾘｽﾄ(4～3月)'!$D$26:$D$176,$B54,'内訳ﾘｽﾄ(4～3月)'!M$26:M$176)</f>
        <v>0</v>
      </c>
      <c r="K54" s="159">
        <f>SUMIF('内訳ﾘｽﾄ(4～3月)'!$D$26:$D$176,$B54,'内訳ﾘｽﾄ(4～3月)'!N$26:N$176)</f>
        <v>0</v>
      </c>
      <c r="L54" s="159">
        <f>SUMIF('内訳ﾘｽﾄ(4～3月)'!$D$26:$D$176,$B54,'内訳ﾘｽﾄ(4～3月)'!O$26:O$176)</f>
        <v>0</v>
      </c>
      <c r="M54" s="159">
        <f>SUMIF('内訳ﾘｽﾄ(4～3月)'!$D$26:$D$176,$B54,'内訳ﾘｽﾄ(4～3月)'!P$26:P$176)</f>
        <v>0</v>
      </c>
      <c r="N54" s="159">
        <f>SUMIF('内訳ﾘｽﾄ(4～3月)'!$D$26:$D$176,$B54,'内訳ﾘｽﾄ(4～3月)'!Q$26:Q$176)</f>
        <v>0</v>
      </c>
      <c r="O54" s="159">
        <f>SUMIF('内訳ﾘｽﾄ(4～3月)'!$D$26:$D$176,'採算表(VND)'!$B54,'内訳ﾘｽﾄ(4～3月)'!R$26:R$176)</f>
        <v>0</v>
      </c>
      <c r="AQ54" s="74"/>
      <c r="AR54" s="74"/>
      <c r="AS54" s="74"/>
      <c r="AT54" s="74"/>
      <c r="AU54" s="72"/>
      <c r="AV54" s="73"/>
      <c r="AW54" s="73"/>
      <c r="AX54" s="73"/>
      <c r="AY54" s="73"/>
      <c r="BA54" s="75"/>
      <c r="BB54" s="75"/>
      <c r="BC54" s="75"/>
      <c r="BD54" s="75"/>
      <c r="BF54" s="72"/>
      <c r="BG54" s="72"/>
      <c r="BH54" s="72"/>
      <c r="BI54" s="72"/>
    </row>
    <row r="55" spans="1:61" ht="11.25" customHeight="1">
      <c r="A55" s="38"/>
      <c r="B55" s="37" t="s">
        <v>110</v>
      </c>
      <c r="C55" s="159">
        <f>SUMIF('内訳ﾘｽﾄ(4～3月)'!$D$26:$D$176,$B55,'内訳ﾘｽﾄ(4～3月)'!F$26:F$176)</f>
        <v>0</v>
      </c>
      <c r="D55" s="159">
        <f>SUMIF('内訳ﾘｽﾄ(4～3月)'!$D$26:$D$176,$B55,'内訳ﾘｽﾄ(4～3月)'!G$26:G$176)</f>
        <v>0</v>
      </c>
      <c r="E55" s="159">
        <f>SUMIF('内訳ﾘｽﾄ(4～3月)'!$D$26:$D$176,$B55,'内訳ﾘｽﾄ(4～3月)'!H$26:H$176)</f>
        <v>0</v>
      </c>
      <c r="F55" s="159">
        <f>SUMIF('内訳ﾘｽﾄ(4～3月)'!$D$26:$D$176,$B55,'内訳ﾘｽﾄ(4～3月)'!I$26:I$176)</f>
        <v>0</v>
      </c>
      <c r="G55" s="159">
        <f>SUMIF('内訳ﾘｽﾄ(4～3月)'!$D$26:$D$176,$B55,'内訳ﾘｽﾄ(4～3月)'!J$26:J$176)</f>
        <v>0</v>
      </c>
      <c r="H55" s="159">
        <f>SUMIF('内訳ﾘｽﾄ(4～3月)'!$D$26:$D$176,$B55,'内訳ﾘｽﾄ(4～3月)'!K$26:K$176)</f>
        <v>0</v>
      </c>
      <c r="I55" s="159">
        <f>SUMIF('内訳ﾘｽﾄ(4～3月)'!$D$26:$D$176,$B55,'内訳ﾘｽﾄ(4～3月)'!L$26:L$176)</f>
        <v>0</v>
      </c>
      <c r="J55" s="159">
        <f>SUMIF('内訳ﾘｽﾄ(4～3月)'!$D$26:$D$176,$B55,'内訳ﾘｽﾄ(4～3月)'!M$26:M$176)</f>
        <v>0</v>
      </c>
      <c r="K55" s="159">
        <f>SUMIF('内訳ﾘｽﾄ(4～3月)'!$D$26:$D$176,$B55,'内訳ﾘｽﾄ(4～3月)'!N$26:N$176)</f>
        <v>0</v>
      </c>
      <c r="L55" s="159">
        <f>SUMIF('内訳ﾘｽﾄ(4～3月)'!$D$26:$D$176,$B55,'内訳ﾘｽﾄ(4～3月)'!O$26:O$176)</f>
        <v>0</v>
      </c>
      <c r="M55" s="159">
        <f>SUMIF('内訳ﾘｽﾄ(4～3月)'!$D$26:$D$176,$B55,'内訳ﾘｽﾄ(4～3月)'!P$26:P$176)</f>
        <v>0</v>
      </c>
      <c r="N55" s="159">
        <f>SUMIF('内訳ﾘｽﾄ(4～3月)'!$D$26:$D$176,$B55,'内訳ﾘｽﾄ(4～3月)'!Q$26:Q$176)</f>
        <v>0</v>
      </c>
      <c r="O55" s="159">
        <f>SUMIF('内訳ﾘｽﾄ(4～3月)'!$D$26:$D$176,'採算表(VND)'!$B55,'内訳ﾘｽﾄ(4～3月)'!R$26:R$176)</f>
        <v>0</v>
      </c>
      <c r="AQ55" s="74"/>
      <c r="AR55" s="74"/>
      <c r="AS55" s="74"/>
      <c r="AT55" s="74"/>
      <c r="AU55" s="72"/>
      <c r="AV55" s="73"/>
      <c r="AW55" s="73"/>
      <c r="AX55" s="73"/>
      <c r="AY55" s="73"/>
      <c r="BA55" s="75"/>
      <c r="BB55" s="75"/>
      <c r="BC55" s="75"/>
      <c r="BD55" s="75"/>
      <c r="BF55" s="72"/>
      <c r="BG55" s="72"/>
      <c r="BH55" s="72"/>
      <c r="BI55" s="72"/>
    </row>
    <row r="56" spans="1:61" ht="11.25" customHeight="1">
      <c r="A56" s="38"/>
      <c r="B56" s="37" t="s">
        <v>113</v>
      </c>
      <c r="C56" s="159">
        <f>SUMIF('内訳ﾘｽﾄ(4～3月)'!$D$26:$D$176,$B56,'内訳ﾘｽﾄ(4～3月)'!F$26:F$176)</f>
        <v>0</v>
      </c>
      <c r="D56" s="159">
        <f>SUMIF('内訳ﾘｽﾄ(4～3月)'!$D$26:$D$176,$B56,'内訳ﾘｽﾄ(4～3月)'!G$26:G$176)</f>
        <v>0</v>
      </c>
      <c r="E56" s="159">
        <f>SUMIF('内訳ﾘｽﾄ(4～3月)'!$D$26:$D$176,$B56,'内訳ﾘｽﾄ(4～3月)'!H$26:H$176)</f>
        <v>0</v>
      </c>
      <c r="F56" s="159">
        <f>SUMIF('内訳ﾘｽﾄ(4～3月)'!$D$26:$D$176,$B56,'内訳ﾘｽﾄ(4～3月)'!I$26:I$176)</f>
        <v>0</v>
      </c>
      <c r="G56" s="159">
        <f>SUMIF('内訳ﾘｽﾄ(4～3月)'!$D$26:$D$176,$B56,'内訳ﾘｽﾄ(4～3月)'!J$26:J$176)</f>
        <v>0</v>
      </c>
      <c r="H56" s="159">
        <f>SUMIF('内訳ﾘｽﾄ(4～3月)'!$D$26:$D$176,$B56,'内訳ﾘｽﾄ(4～3月)'!K$26:K$176)</f>
        <v>0</v>
      </c>
      <c r="I56" s="159">
        <f>SUMIF('内訳ﾘｽﾄ(4～3月)'!$D$26:$D$176,$B56,'内訳ﾘｽﾄ(4～3月)'!L$26:L$176)</f>
        <v>0</v>
      </c>
      <c r="J56" s="159">
        <f>SUMIF('内訳ﾘｽﾄ(4～3月)'!$D$26:$D$176,$B56,'内訳ﾘｽﾄ(4～3月)'!M$26:M$176)</f>
        <v>0</v>
      </c>
      <c r="K56" s="159">
        <f>SUMIF('内訳ﾘｽﾄ(4～3月)'!$D$26:$D$176,$B56,'内訳ﾘｽﾄ(4～3月)'!N$26:N$176)</f>
        <v>0</v>
      </c>
      <c r="L56" s="159">
        <f>SUMIF('内訳ﾘｽﾄ(4～3月)'!$D$26:$D$176,$B56,'内訳ﾘｽﾄ(4～3月)'!O$26:O$176)</f>
        <v>0</v>
      </c>
      <c r="M56" s="159">
        <f>SUMIF('内訳ﾘｽﾄ(4～3月)'!$D$26:$D$176,$B56,'内訳ﾘｽﾄ(4～3月)'!P$26:P$176)</f>
        <v>0</v>
      </c>
      <c r="N56" s="159">
        <f>SUMIF('内訳ﾘｽﾄ(4～3月)'!$D$26:$D$176,$B56,'内訳ﾘｽﾄ(4～3月)'!Q$26:Q$176)</f>
        <v>0</v>
      </c>
      <c r="O56" s="159">
        <f>SUMIF('内訳ﾘｽﾄ(4～3月)'!$D$26:$D$176,'採算表(VND)'!$B56,'内訳ﾘｽﾄ(4～3月)'!R$26:R$176)</f>
        <v>0</v>
      </c>
      <c r="AQ56" s="74"/>
      <c r="AR56" s="74"/>
      <c r="AS56" s="74"/>
      <c r="AT56" s="74"/>
      <c r="AU56" s="72"/>
      <c r="AV56" s="73"/>
      <c r="AW56" s="73"/>
      <c r="AX56" s="73"/>
      <c r="AY56" s="73"/>
      <c r="BA56" s="75"/>
      <c r="BB56" s="75"/>
      <c r="BC56" s="75"/>
      <c r="BD56" s="75"/>
      <c r="BF56" s="72"/>
      <c r="BG56" s="72"/>
      <c r="BH56" s="72"/>
      <c r="BI56" s="72"/>
    </row>
    <row r="57" spans="1:61" ht="11.25" customHeight="1">
      <c r="A57" s="38"/>
      <c r="B57" s="37" t="s">
        <v>114</v>
      </c>
      <c r="C57" s="159">
        <f>SUMIF('内訳ﾘｽﾄ(4～3月)'!$D$26:$D$176,$B57,'内訳ﾘｽﾄ(4～3月)'!F$26:F$176)</f>
        <v>2493679</v>
      </c>
      <c r="D57" s="159">
        <f>SUMIF('内訳ﾘｽﾄ(4～3月)'!$D$26:$D$176,$B57,'内訳ﾘｽﾄ(4～3月)'!G$26:G$176)</f>
        <v>2493806</v>
      </c>
      <c r="E57" s="159">
        <f>SUMIF('内訳ﾘｽﾄ(4～3月)'!$D$26:$D$176,$B57,'内訳ﾘｽﾄ(4～3月)'!H$26:H$176)</f>
        <v>2476033</v>
      </c>
      <c r="F57" s="159">
        <f>SUMIF('内訳ﾘｽﾄ(4～3月)'!$D$26:$D$176,$B57,'内訳ﾘｽﾄ(4～3月)'!I$26:I$176)</f>
        <v>2483776</v>
      </c>
      <c r="G57" s="159">
        <f>SUMIF('内訳ﾘｽﾄ(4～3月)'!$D$26:$D$176,$B57,'内訳ﾘｽﾄ(4～3月)'!J$26:J$176)</f>
        <v>2001367</v>
      </c>
      <c r="H57" s="159">
        <f>SUMIF('内訳ﾘｽﾄ(4～3月)'!$D$26:$D$176,$B57,'内訳ﾘｽﾄ(4～3月)'!K$26:K$176)</f>
        <v>1979404</v>
      </c>
      <c r="I57" s="159">
        <f>SUMIF('内訳ﾘｽﾄ(4～3月)'!$D$26:$D$176,$B57,'内訳ﾘｽﾄ(4～3月)'!L$26:L$176)</f>
        <v>1979404</v>
      </c>
      <c r="J57" s="159">
        <f>SUMIF('内訳ﾘｽﾄ(4～3月)'!$D$26:$D$176,$B57,'内訳ﾘｽﾄ(4～3月)'!M$26:M$176)</f>
        <v>1979404</v>
      </c>
      <c r="K57" s="159">
        <f>SUMIF('内訳ﾘｽﾄ(4～3月)'!$D$26:$D$176,$B57,'内訳ﾘｽﾄ(4～3月)'!N$26:N$176)</f>
        <v>1973311</v>
      </c>
      <c r="L57" s="159">
        <f>SUMIF('内訳ﾘｽﾄ(4～3月)'!$D$26:$D$176,$B57,'内訳ﾘｽﾄ(4～3月)'!O$26:O$176)</f>
        <v>1972423</v>
      </c>
      <c r="M57" s="159">
        <f>SUMIF('内訳ﾘｽﾄ(4～3月)'!$D$26:$D$176,$B57,'内訳ﾘｽﾄ(4～3月)'!P$26:P$176)</f>
        <v>1972423</v>
      </c>
      <c r="N57" s="159">
        <f>SUMIF('内訳ﾘｽﾄ(4～3月)'!$D$26:$D$176,$B57,'内訳ﾘｽﾄ(4～3月)'!Q$26:Q$176)</f>
        <v>1986260</v>
      </c>
      <c r="O57" s="159">
        <f>SUMIF('内訳ﾘｽﾄ(4～3月)'!$D$26:$D$176,'採算表(VND)'!$B57,'内訳ﾘｽﾄ(4～3月)'!R$26:R$176)</f>
        <v>25791290</v>
      </c>
      <c r="AQ57" s="74"/>
      <c r="AR57" s="74"/>
      <c r="AS57" s="74"/>
      <c r="AT57" s="74"/>
      <c r="AU57" s="72"/>
      <c r="AV57" s="73"/>
      <c r="AW57" s="73"/>
      <c r="AX57" s="73"/>
      <c r="AY57" s="73"/>
      <c r="BA57" s="75"/>
      <c r="BB57" s="75"/>
      <c r="BC57" s="75"/>
      <c r="BD57" s="75"/>
      <c r="BF57" s="72"/>
      <c r="BG57" s="72"/>
      <c r="BH57" s="72"/>
      <c r="BI57" s="72"/>
    </row>
    <row r="58" spans="1:61" ht="11.25" customHeight="1">
      <c r="A58" s="38"/>
      <c r="B58" s="37" t="s">
        <v>122</v>
      </c>
      <c r="C58" s="159">
        <f>SUMIF('内訳ﾘｽﾄ(4～3月)'!$D$26:$D$176,$B58,'内訳ﾘｽﾄ(4～3月)'!F$26:F$176)</f>
        <v>200000</v>
      </c>
      <c r="D58" s="159">
        <f>SUMIF('内訳ﾘｽﾄ(4～3月)'!$D$26:$D$176,$B58,'内訳ﾘｽﾄ(4～3月)'!G$26:G$176)</f>
        <v>200000</v>
      </c>
      <c r="E58" s="159">
        <f>SUMIF('内訳ﾘｽﾄ(4～3月)'!$D$26:$D$176,$B58,'内訳ﾘｽﾄ(4～3月)'!H$26:H$176)</f>
        <v>200000</v>
      </c>
      <c r="F58" s="159">
        <f>SUMIF('内訳ﾘｽﾄ(4～3月)'!$D$26:$D$176,$B58,'内訳ﾘｽﾄ(4～3月)'!I$26:I$176)</f>
        <v>200000</v>
      </c>
      <c r="G58" s="159">
        <f>SUMIF('内訳ﾘｽﾄ(4～3月)'!$D$26:$D$176,$B58,'内訳ﾘｽﾄ(4～3月)'!J$26:J$176)</f>
        <v>200000</v>
      </c>
      <c r="H58" s="159">
        <f>SUMIF('内訳ﾘｽﾄ(4～3月)'!$D$26:$D$176,$B58,'内訳ﾘｽﾄ(4～3月)'!K$26:K$176)</f>
        <v>200000</v>
      </c>
      <c r="I58" s="159">
        <f>SUMIF('内訳ﾘｽﾄ(4～3月)'!$D$26:$D$176,$B58,'内訳ﾘｽﾄ(4～3月)'!L$26:L$176)</f>
        <v>200000</v>
      </c>
      <c r="J58" s="159">
        <f>SUMIF('内訳ﾘｽﾄ(4～3月)'!$D$26:$D$176,$B58,'内訳ﾘｽﾄ(4～3月)'!M$26:M$176)</f>
        <v>200000</v>
      </c>
      <c r="K58" s="159">
        <f>SUMIF('内訳ﾘｽﾄ(4～3月)'!$D$26:$D$176,$B58,'内訳ﾘｽﾄ(4～3月)'!N$26:N$176)</f>
        <v>200000</v>
      </c>
      <c r="L58" s="159">
        <f>SUMIF('内訳ﾘｽﾄ(4～3月)'!$D$26:$D$176,$B58,'内訳ﾘｽﾄ(4～3月)'!O$26:O$176)</f>
        <v>200000</v>
      </c>
      <c r="M58" s="159">
        <f>SUMIF('内訳ﾘｽﾄ(4～3月)'!$D$26:$D$176,$B58,'内訳ﾘｽﾄ(4～3月)'!P$26:P$176)</f>
        <v>200000</v>
      </c>
      <c r="N58" s="159">
        <f>SUMIF('内訳ﾘｽﾄ(4～3月)'!$D$26:$D$176,$B58,'内訳ﾘｽﾄ(4～3月)'!Q$26:Q$176)</f>
        <v>200000</v>
      </c>
      <c r="O58" s="159">
        <f>SUMIF('内訳ﾘｽﾄ(4～3月)'!$D$26:$D$176,'採算表(VND)'!$B58,'内訳ﾘｽﾄ(4～3月)'!R$26:R$176)</f>
        <v>2400000</v>
      </c>
      <c r="AQ58" s="74"/>
      <c r="AR58" s="74"/>
      <c r="AS58" s="74"/>
      <c r="AT58" s="74"/>
      <c r="AU58" s="72"/>
      <c r="AV58" s="73"/>
      <c r="AW58" s="73"/>
      <c r="AX58" s="73"/>
      <c r="AY58" s="73"/>
      <c r="BA58" s="75"/>
      <c r="BB58" s="75"/>
      <c r="BC58" s="75"/>
      <c r="BD58" s="75"/>
      <c r="BF58" s="72"/>
      <c r="BG58" s="72"/>
      <c r="BH58" s="72"/>
      <c r="BI58" s="72"/>
    </row>
    <row r="59" spans="1:61" ht="11.25" customHeight="1">
      <c r="A59" s="38"/>
      <c r="B59" s="37" t="s">
        <v>121</v>
      </c>
      <c r="C59" s="159">
        <f>SUMIF('内訳ﾘｽﾄ(4～3月)'!$D$26:$D$176,$B59,'内訳ﾘｽﾄ(4～3月)'!F$26:F$176)</f>
        <v>0</v>
      </c>
      <c r="D59" s="159">
        <f>SUMIF('内訳ﾘｽﾄ(4～3月)'!$D$26:$D$176,$B59,'内訳ﾘｽﾄ(4～3月)'!G$26:G$176)</f>
        <v>0</v>
      </c>
      <c r="E59" s="159">
        <f>SUMIF('内訳ﾘｽﾄ(4～3月)'!$D$26:$D$176,$B59,'内訳ﾘｽﾄ(4～3月)'!H$26:H$176)</f>
        <v>0</v>
      </c>
      <c r="F59" s="159">
        <f>SUMIF('内訳ﾘｽﾄ(4～3月)'!$D$26:$D$176,$B59,'内訳ﾘｽﾄ(4～3月)'!I$26:I$176)</f>
        <v>0</v>
      </c>
      <c r="G59" s="159">
        <f>SUMIF('内訳ﾘｽﾄ(4～3月)'!$D$26:$D$176,$B59,'内訳ﾘｽﾄ(4～3月)'!J$26:J$176)</f>
        <v>0</v>
      </c>
      <c r="H59" s="159">
        <f>SUMIF('内訳ﾘｽﾄ(4～3月)'!$D$26:$D$176,$B59,'内訳ﾘｽﾄ(4～3月)'!K$26:K$176)</f>
        <v>0</v>
      </c>
      <c r="I59" s="159">
        <f>SUMIF('内訳ﾘｽﾄ(4～3月)'!$D$26:$D$176,$B59,'内訳ﾘｽﾄ(4～3月)'!L$26:L$176)</f>
        <v>0</v>
      </c>
      <c r="J59" s="159">
        <f>SUMIF('内訳ﾘｽﾄ(4～3月)'!$D$26:$D$176,$B59,'内訳ﾘｽﾄ(4～3月)'!M$26:M$176)</f>
        <v>0</v>
      </c>
      <c r="K59" s="159">
        <f>SUMIF('内訳ﾘｽﾄ(4～3月)'!$D$26:$D$176,$B59,'内訳ﾘｽﾄ(4～3月)'!N$26:N$176)</f>
        <v>0</v>
      </c>
      <c r="L59" s="159">
        <f>SUMIF('内訳ﾘｽﾄ(4～3月)'!$D$26:$D$176,$B59,'内訳ﾘｽﾄ(4～3月)'!O$26:O$176)</f>
        <v>0</v>
      </c>
      <c r="M59" s="159">
        <f>SUMIF('内訳ﾘｽﾄ(4～3月)'!$D$26:$D$176,$B59,'内訳ﾘｽﾄ(4～3月)'!P$26:P$176)</f>
        <v>0</v>
      </c>
      <c r="N59" s="159">
        <f>SUMIF('内訳ﾘｽﾄ(4～3月)'!$D$26:$D$176,$B59,'内訳ﾘｽﾄ(4～3月)'!Q$26:Q$176)</f>
        <v>0</v>
      </c>
      <c r="O59" s="159">
        <f>SUMIF('内訳ﾘｽﾄ(4～3月)'!$D$26:$D$176,'採算表(VND)'!$B59,'内訳ﾘｽﾄ(4～3月)'!R$26:R$176)</f>
        <v>0</v>
      </c>
      <c r="AQ59" s="74"/>
      <c r="AR59" s="74"/>
      <c r="AS59" s="74"/>
      <c r="AT59" s="74"/>
      <c r="AU59" s="72"/>
      <c r="AV59" s="73"/>
      <c r="AW59" s="73"/>
      <c r="AX59" s="73"/>
      <c r="AY59" s="73"/>
      <c r="BA59" s="75"/>
      <c r="BB59" s="75"/>
      <c r="BC59" s="75"/>
      <c r="BD59" s="75"/>
      <c r="BF59" s="72"/>
      <c r="BG59" s="72"/>
      <c r="BH59" s="72"/>
      <c r="BI59" s="72"/>
    </row>
    <row r="60" spans="1:61" ht="11.25" customHeight="1">
      <c r="A60" s="38"/>
      <c r="B60" s="37" t="s">
        <v>123</v>
      </c>
      <c r="C60" s="159">
        <f>SUMIF('内訳ﾘｽﾄ(4～3月)'!$D$26:$D$176,$B60,'内訳ﾘｽﾄ(4～3月)'!F$26:F$176)</f>
        <v>0</v>
      </c>
      <c r="D60" s="159">
        <f>SUMIF('内訳ﾘｽﾄ(4～3月)'!$D$26:$D$176,$B60,'内訳ﾘｽﾄ(4～3月)'!G$26:G$176)</f>
        <v>0</v>
      </c>
      <c r="E60" s="159">
        <f>SUMIF('内訳ﾘｽﾄ(4～3月)'!$D$26:$D$176,$B60,'内訳ﾘｽﾄ(4～3月)'!H$26:H$176)</f>
        <v>0</v>
      </c>
      <c r="F60" s="159">
        <f>SUMIF('内訳ﾘｽﾄ(4～3月)'!$D$26:$D$176,$B60,'内訳ﾘｽﾄ(4～3月)'!I$26:I$176)</f>
        <v>0</v>
      </c>
      <c r="G60" s="159">
        <f>SUMIF('内訳ﾘｽﾄ(4～3月)'!$D$26:$D$176,$B60,'内訳ﾘｽﾄ(4～3月)'!J$26:J$176)</f>
        <v>0</v>
      </c>
      <c r="H60" s="159">
        <f>SUMIF('内訳ﾘｽﾄ(4～3月)'!$D$26:$D$176,$B60,'内訳ﾘｽﾄ(4～3月)'!K$26:K$176)</f>
        <v>0</v>
      </c>
      <c r="I60" s="159">
        <f>SUMIF('内訳ﾘｽﾄ(4～3月)'!$D$26:$D$176,$B60,'内訳ﾘｽﾄ(4～3月)'!L$26:L$176)</f>
        <v>0</v>
      </c>
      <c r="J60" s="159">
        <f>SUMIF('内訳ﾘｽﾄ(4～3月)'!$D$26:$D$176,$B60,'内訳ﾘｽﾄ(4～3月)'!M$26:M$176)</f>
        <v>0</v>
      </c>
      <c r="K60" s="159">
        <f>SUMIF('内訳ﾘｽﾄ(4～3月)'!$D$26:$D$176,$B60,'内訳ﾘｽﾄ(4～3月)'!N$26:N$176)</f>
        <v>0</v>
      </c>
      <c r="L60" s="159">
        <f>SUMIF('内訳ﾘｽﾄ(4～3月)'!$D$26:$D$176,$B60,'内訳ﾘｽﾄ(4～3月)'!O$26:O$176)</f>
        <v>0</v>
      </c>
      <c r="M60" s="159">
        <f>SUMIF('内訳ﾘｽﾄ(4～3月)'!$D$26:$D$176,$B60,'内訳ﾘｽﾄ(4～3月)'!P$26:P$176)</f>
        <v>0</v>
      </c>
      <c r="N60" s="159">
        <f>SUMIF('内訳ﾘｽﾄ(4～3月)'!$D$26:$D$176,$B60,'内訳ﾘｽﾄ(4～3月)'!Q$26:Q$176)</f>
        <v>0</v>
      </c>
      <c r="O60" s="159">
        <f>SUMIF('内訳ﾘｽﾄ(4～3月)'!$D$26:$D$176,'採算表(VND)'!$B60,'内訳ﾘｽﾄ(4～3月)'!R$26:R$176)</f>
        <v>0</v>
      </c>
      <c r="AQ60" s="74"/>
      <c r="AR60" s="74"/>
      <c r="AS60" s="74"/>
      <c r="AT60" s="74"/>
      <c r="AU60" s="72"/>
      <c r="AV60" s="73"/>
      <c r="AW60" s="73"/>
      <c r="AX60" s="73"/>
      <c r="AY60" s="73"/>
      <c r="BA60" s="75"/>
      <c r="BB60" s="75"/>
      <c r="BC60" s="75"/>
      <c r="BD60" s="75"/>
      <c r="BF60" s="72"/>
      <c r="BG60" s="72"/>
      <c r="BH60" s="72"/>
      <c r="BI60" s="72"/>
    </row>
    <row r="61" spans="1:61" ht="11.25" customHeight="1">
      <c r="A61" s="38"/>
      <c r="B61" s="37" t="s">
        <v>106</v>
      </c>
      <c r="C61" s="159">
        <f>SUMIF('内訳ﾘｽﾄ(4～3月)'!$D$26:$D$176,$B61,'内訳ﾘｽﾄ(4～3月)'!F$26:F$176)</f>
        <v>0</v>
      </c>
      <c r="D61" s="159">
        <f>SUMIF('内訳ﾘｽﾄ(4～3月)'!$D$26:$D$176,$B61,'内訳ﾘｽﾄ(4～3月)'!G$26:G$176)</f>
        <v>0</v>
      </c>
      <c r="E61" s="159">
        <f>SUMIF('内訳ﾘｽﾄ(4～3月)'!$D$26:$D$176,$B61,'内訳ﾘｽﾄ(4～3月)'!H$26:H$176)</f>
        <v>0</v>
      </c>
      <c r="F61" s="159">
        <f>SUMIF('内訳ﾘｽﾄ(4～3月)'!$D$26:$D$176,$B61,'内訳ﾘｽﾄ(4～3月)'!I$26:I$176)</f>
        <v>0</v>
      </c>
      <c r="G61" s="159">
        <f>SUMIF('内訳ﾘｽﾄ(4～3月)'!$D$26:$D$176,$B61,'内訳ﾘｽﾄ(4～3月)'!J$26:J$176)</f>
        <v>0</v>
      </c>
      <c r="H61" s="159">
        <f>SUMIF('内訳ﾘｽﾄ(4～3月)'!$D$26:$D$176,$B61,'内訳ﾘｽﾄ(4～3月)'!K$26:K$176)</f>
        <v>0</v>
      </c>
      <c r="I61" s="159">
        <f>SUMIF('内訳ﾘｽﾄ(4～3月)'!$D$26:$D$176,$B61,'内訳ﾘｽﾄ(4～3月)'!L$26:L$176)</f>
        <v>0</v>
      </c>
      <c r="J61" s="159">
        <f>SUMIF('内訳ﾘｽﾄ(4～3月)'!$D$26:$D$176,$B61,'内訳ﾘｽﾄ(4～3月)'!M$26:M$176)</f>
        <v>0</v>
      </c>
      <c r="K61" s="159">
        <f>SUMIF('内訳ﾘｽﾄ(4～3月)'!$D$26:$D$176,$B61,'内訳ﾘｽﾄ(4～3月)'!N$26:N$176)</f>
        <v>0</v>
      </c>
      <c r="L61" s="159">
        <f>SUMIF('内訳ﾘｽﾄ(4～3月)'!$D$26:$D$176,$B61,'内訳ﾘｽﾄ(4～3月)'!O$26:O$176)</f>
        <v>0</v>
      </c>
      <c r="M61" s="159">
        <f>SUMIF('内訳ﾘｽﾄ(4～3月)'!$D$26:$D$176,$B61,'内訳ﾘｽﾄ(4～3月)'!P$26:P$176)</f>
        <v>0</v>
      </c>
      <c r="N61" s="159">
        <f>SUMIF('内訳ﾘｽﾄ(4～3月)'!$D$26:$D$176,$B61,'内訳ﾘｽﾄ(4～3月)'!Q$26:Q$176)</f>
        <v>0</v>
      </c>
      <c r="O61" s="159">
        <f>SUMIF('内訳ﾘｽﾄ(4～3月)'!$D$26:$D$176,'採算表(VND)'!$B61,'内訳ﾘｽﾄ(4～3月)'!R$26:R$176)</f>
        <v>0</v>
      </c>
      <c r="AQ61" s="74"/>
      <c r="AR61" s="74"/>
      <c r="AS61" s="74"/>
      <c r="AT61" s="74"/>
      <c r="AU61" s="72"/>
      <c r="AV61" s="73"/>
      <c r="AW61" s="73"/>
      <c r="AX61" s="73"/>
      <c r="AY61" s="73"/>
      <c r="BA61" s="75"/>
      <c r="BB61" s="75"/>
      <c r="BC61" s="75"/>
      <c r="BD61" s="75"/>
      <c r="BF61" s="72"/>
      <c r="BG61" s="72"/>
      <c r="BH61" s="72"/>
      <c r="BI61" s="72"/>
    </row>
    <row r="62" spans="1:61" ht="11.25" customHeight="1">
      <c r="A62" s="38"/>
      <c r="B62" s="37" t="s">
        <v>678</v>
      </c>
      <c r="C62" s="159">
        <f>SUMIF('内訳ﾘｽﾄ(4～3月)'!$D$26:$D$176,$B62,'内訳ﾘｽﾄ(4～3月)'!F$26:F$176)</f>
        <v>596622</v>
      </c>
      <c r="D62" s="159">
        <f>SUMIF('内訳ﾘｽﾄ(4～3月)'!$D$26:$D$176,$B62,'内訳ﾘｽﾄ(4～3月)'!G$26:G$176)</f>
        <v>684802</v>
      </c>
      <c r="E62" s="159">
        <f>SUMIF('内訳ﾘｽﾄ(4～3月)'!$D$26:$D$176,$B62,'内訳ﾘｽﾄ(4～3月)'!H$26:H$176)</f>
        <v>570040</v>
      </c>
      <c r="F62" s="159">
        <f>SUMIF('内訳ﾘｽﾄ(4～3月)'!$D$26:$D$176,$B62,'内訳ﾘｽﾄ(4～3月)'!I$26:I$176)</f>
        <v>837357</v>
      </c>
      <c r="G62" s="159">
        <f>SUMIF('内訳ﾘｽﾄ(4～3月)'!$D$26:$D$176,$B62,'内訳ﾘｽﾄ(4～3月)'!J$26:J$176)</f>
        <v>752849</v>
      </c>
      <c r="H62" s="159">
        <f>SUMIF('内訳ﾘｽﾄ(4～3月)'!$D$26:$D$176,$B62,'内訳ﾘｽﾄ(4～3月)'!K$26:K$176)</f>
        <v>823913</v>
      </c>
      <c r="I62" s="159">
        <f>SUMIF('内訳ﾘｽﾄ(4～3月)'!$D$26:$D$176,$B62,'内訳ﾘｽﾄ(4～3月)'!L$26:L$176)</f>
        <v>743120</v>
      </c>
      <c r="J62" s="159">
        <f>SUMIF('内訳ﾘｽﾄ(4～3月)'!$D$26:$D$176,$B62,'内訳ﾘｽﾄ(4～3月)'!M$26:M$176)</f>
        <v>747959</v>
      </c>
      <c r="K62" s="159">
        <f>SUMIF('内訳ﾘｽﾄ(4～3月)'!$D$26:$D$176,$B62,'内訳ﾘｽﾄ(4～3月)'!N$26:N$176)</f>
        <v>755474</v>
      </c>
      <c r="L62" s="159">
        <f>SUMIF('内訳ﾘｽﾄ(4～3月)'!$D$26:$D$176,$B62,'内訳ﾘｽﾄ(4～3月)'!O$26:O$176)</f>
        <v>726734</v>
      </c>
      <c r="M62" s="159">
        <f>SUMIF('内訳ﾘｽﾄ(4～3月)'!$D$26:$D$176,$B62,'内訳ﾘｽﾄ(4～3月)'!P$26:P$176)</f>
        <v>769311</v>
      </c>
      <c r="N62" s="159">
        <f>SUMIF('内訳ﾘｽﾄ(4～3月)'!$D$26:$D$176,$B62,'内訳ﾘｽﾄ(4～3月)'!Q$26:Q$176)</f>
        <v>735484</v>
      </c>
      <c r="O62" s="159">
        <f>SUMIF('内訳ﾘｽﾄ(4～3月)'!$D$26:$D$176,'採算表(VND)'!$B62,'内訳ﾘｽﾄ(4～3月)'!R$26:R$176)</f>
        <v>8743665</v>
      </c>
      <c r="AQ62" s="74"/>
      <c r="AR62" s="74"/>
      <c r="AS62" s="74"/>
      <c r="AT62" s="74"/>
      <c r="AU62" s="72"/>
      <c r="AV62" s="73"/>
      <c r="AW62" s="73"/>
      <c r="AX62" s="73"/>
      <c r="AY62" s="73"/>
      <c r="BA62" s="75"/>
      <c r="BB62" s="75"/>
      <c r="BC62" s="75"/>
      <c r="BD62" s="75"/>
      <c r="BF62" s="72"/>
      <c r="BG62" s="72"/>
      <c r="BH62" s="72"/>
      <c r="BI62" s="72"/>
    </row>
    <row r="63" spans="1:61" ht="11.25" customHeight="1">
      <c r="A63" s="38"/>
      <c r="B63" s="37" t="s">
        <v>679</v>
      </c>
      <c r="C63" s="159">
        <f>SUMIF('内訳ﾘｽﾄ(4～3月)'!$D$26:$D$176,$B63,'内訳ﾘｽﾄ(4～3月)'!F$26:F$176)</f>
        <v>3642462</v>
      </c>
      <c r="D63" s="159">
        <f>SUMIF('内訳ﾘｽﾄ(4～3月)'!$D$26:$D$176,$B63,'内訳ﾘｽﾄ(4～3月)'!G$26:G$176)</f>
        <v>1244742</v>
      </c>
      <c r="E63" s="159">
        <f>SUMIF('内訳ﾘｽﾄ(4～3月)'!$D$26:$D$176,$B63,'内訳ﾘｽﾄ(4～3月)'!H$26:H$176)</f>
        <v>891197</v>
      </c>
      <c r="F63" s="159">
        <f>SUMIF('内訳ﾘｽﾄ(4～3月)'!$D$26:$D$176,$B63,'内訳ﾘｽﾄ(4～3月)'!I$26:I$176)</f>
        <v>1280238</v>
      </c>
      <c r="G63" s="159">
        <f>SUMIF('内訳ﾘｽﾄ(4～3月)'!$D$26:$D$176,$B63,'内訳ﾘｽﾄ(4～3月)'!J$26:J$176)</f>
        <v>1149370</v>
      </c>
      <c r="H63" s="159">
        <f>SUMIF('内訳ﾘｽﾄ(4～3月)'!$D$26:$D$176,$B63,'内訳ﾘｽﾄ(4～3月)'!K$26:K$176)</f>
        <v>1033551</v>
      </c>
      <c r="I63" s="159">
        <f>SUMIF('内訳ﾘｽﾄ(4～3月)'!$D$26:$D$176,$B63,'内訳ﾘｽﾄ(4～3月)'!L$26:L$176)</f>
        <v>1292720</v>
      </c>
      <c r="J63" s="159">
        <f>SUMIF('内訳ﾘｽﾄ(4～3月)'!$D$26:$D$176,$B63,'内訳ﾘｽﾄ(4～3月)'!M$26:M$176)</f>
        <v>1329570</v>
      </c>
      <c r="K63" s="159">
        <f>SUMIF('内訳ﾘｽﾄ(4～3月)'!$D$26:$D$176,$B63,'内訳ﾘｽﾄ(4～3月)'!N$26:N$176)</f>
        <v>1284126</v>
      </c>
      <c r="L63" s="159">
        <f>SUMIF('内訳ﾘｽﾄ(4～3月)'!$D$26:$D$176,$B63,'内訳ﾘｽﾄ(4～3月)'!O$26:O$176)</f>
        <v>1004136</v>
      </c>
      <c r="M63" s="159">
        <f>SUMIF('内訳ﾘｽﾄ(4～3月)'!$D$26:$D$176,$B63,'内訳ﾘｽﾄ(4～3月)'!P$26:P$176)</f>
        <v>1050809</v>
      </c>
      <c r="N63" s="159">
        <f>SUMIF('内訳ﾘｽﾄ(4～3月)'!$D$26:$D$176,$B63,'内訳ﾘｽﾄ(4～3月)'!Q$26:Q$176)</f>
        <v>1032782</v>
      </c>
      <c r="O63" s="159">
        <f>SUMIF('内訳ﾘｽﾄ(4～3月)'!$D$26:$D$176,'採算表(VND)'!$B63,'内訳ﾘｽﾄ(4～3月)'!R$26:R$176)</f>
        <v>16235703</v>
      </c>
      <c r="AQ63" s="74"/>
      <c r="AR63" s="74"/>
      <c r="AS63" s="74"/>
      <c r="AT63" s="74"/>
      <c r="AU63" s="72"/>
      <c r="AV63" s="73"/>
      <c r="AW63" s="73"/>
      <c r="AX63" s="73"/>
      <c r="AY63" s="73"/>
      <c r="BA63" s="75"/>
      <c r="BB63" s="75"/>
      <c r="BC63" s="75"/>
      <c r="BD63" s="75"/>
      <c r="BF63" s="72"/>
      <c r="BG63" s="72"/>
      <c r="BH63" s="72"/>
      <c r="BI63" s="72"/>
    </row>
    <row r="64" spans="1:61" ht="11.25" customHeight="1">
      <c r="A64" s="38"/>
      <c r="B64" s="37" t="s">
        <v>143</v>
      </c>
      <c r="C64" s="159">
        <f>SUMIF('内訳ﾘｽﾄ(4～3月)'!$D$26:$D$176,$B64,'内訳ﾘｽﾄ(4～3月)'!F$26:F$176)</f>
        <v>43303955</v>
      </c>
      <c r="D64" s="159">
        <f>SUMIF('内訳ﾘｽﾄ(4～3月)'!$D$26:$D$176,$B64,'内訳ﾘｽﾄ(4～3月)'!G$26:G$176)</f>
        <v>55325039</v>
      </c>
      <c r="E64" s="159">
        <f>SUMIF('内訳ﾘｽﾄ(4～3月)'!$D$26:$D$176,$B64,'内訳ﾘｽﾄ(4～3月)'!H$26:H$176)</f>
        <v>40960083</v>
      </c>
      <c r="F64" s="159">
        <f>SUMIF('内訳ﾘｽﾄ(4～3月)'!$D$26:$D$176,$B64,'内訳ﾘｽﾄ(4～3月)'!I$26:I$176)</f>
        <v>78671642</v>
      </c>
      <c r="G64" s="159">
        <f>SUMIF('内訳ﾘｽﾄ(4～3月)'!$D$26:$D$176,$B64,'内訳ﾘｽﾄ(4～3月)'!J$26:J$176)</f>
        <v>43833627</v>
      </c>
      <c r="H64" s="159">
        <f>SUMIF('内訳ﾘｽﾄ(4～3月)'!$D$26:$D$176,$B64,'内訳ﾘｽﾄ(4～3月)'!K$26:K$176)</f>
        <v>42844672</v>
      </c>
      <c r="I64" s="159">
        <f>SUMIF('内訳ﾘｽﾄ(4～3月)'!$D$26:$D$176,$B64,'内訳ﾘｽﾄ(4～3月)'!L$26:L$176)</f>
        <v>54416406</v>
      </c>
      <c r="J64" s="159">
        <f>SUMIF('内訳ﾘｽﾄ(4～3月)'!$D$26:$D$176,$B64,'内訳ﾘｽﾄ(4～3月)'!M$26:M$176)</f>
        <v>45844353</v>
      </c>
      <c r="K64" s="159">
        <f>SUMIF('内訳ﾘｽﾄ(4～3月)'!$D$26:$D$176,$B64,'内訳ﾘｽﾄ(4～3月)'!N$26:N$176)</f>
        <v>45340863</v>
      </c>
      <c r="L64" s="159">
        <f>SUMIF('内訳ﾘｽﾄ(4～3月)'!$D$26:$D$176,$B64,'内訳ﾘｽﾄ(4～3月)'!O$26:O$176)</f>
        <v>50474019</v>
      </c>
      <c r="M64" s="159">
        <f>SUMIF('内訳ﾘｽﾄ(4～3月)'!$D$26:$D$176,$B64,'内訳ﾘｽﾄ(4～3月)'!P$26:P$176)</f>
        <v>34854992</v>
      </c>
      <c r="N64" s="159">
        <f>SUMIF('内訳ﾘｽﾄ(4～3月)'!$D$26:$D$176,$B64,'内訳ﾘｽﾄ(4～3月)'!Q$26:Q$176)</f>
        <v>35970080</v>
      </c>
      <c r="O64" s="159">
        <f>SUMIF('内訳ﾘｽﾄ(4～3月)'!$D$26:$D$176,'採算表(VND)'!$B64,'内訳ﾘｽﾄ(4～3月)'!R$26:R$176)</f>
        <v>571839731</v>
      </c>
      <c r="AQ64" s="74"/>
      <c r="AR64" s="74"/>
      <c r="AS64" s="74"/>
      <c r="AT64" s="74"/>
      <c r="AU64" s="72"/>
      <c r="AV64" s="73"/>
      <c r="AW64" s="73"/>
      <c r="AX64" s="73"/>
      <c r="AY64" s="73"/>
      <c r="BA64" s="75"/>
      <c r="BB64" s="75"/>
      <c r="BC64" s="75"/>
      <c r="BD64" s="75"/>
      <c r="BF64" s="72"/>
      <c r="BG64" s="72"/>
      <c r="BH64" s="72"/>
      <c r="BI64" s="72"/>
    </row>
    <row r="65" spans="1:61" ht="11.25" customHeight="1">
      <c r="A65" s="38"/>
      <c r="B65" s="37" t="s">
        <v>111</v>
      </c>
      <c r="C65" s="157">
        <f>SUMIF('内訳ﾘｽﾄ(4～3月)'!$D$26:$D$176,$B65,'内訳ﾘｽﾄ(4～3月)'!F$26:F$176)</f>
        <v>0</v>
      </c>
      <c r="D65" s="157">
        <f>SUMIF('内訳ﾘｽﾄ(4～3月)'!$D$26:$D$176,$B65,'内訳ﾘｽﾄ(4～3月)'!G$26:G$176)</f>
        <v>0</v>
      </c>
      <c r="E65" s="157">
        <f>SUMIF('内訳ﾘｽﾄ(4～3月)'!$D$26:$D$176,$B65,'内訳ﾘｽﾄ(4～3月)'!H$26:H$176)</f>
        <v>0</v>
      </c>
      <c r="F65" s="157">
        <f>SUMIF('内訳ﾘｽﾄ(4～3月)'!$D$26:$D$176,$B65,'内訳ﾘｽﾄ(4～3月)'!I$26:I$176)</f>
        <v>0</v>
      </c>
      <c r="G65" s="157">
        <f>SUMIF('内訳ﾘｽﾄ(4～3月)'!$D$26:$D$176,$B65,'内訳ﾘｽﾄ(4～3月)'!J$26:J$176)</f>
        <v>0</v>
      </c>
      <c r="H65" s="157">
        <f>SUMIF('内訳ﾘｽﾄ(4～3月)'!$D$26:$D$176,$B65,'内訳ﾘｽﾄ(4～3月)'!K$26:K$176)</f>
        <v>0</v>
      </c>
      <c r="I65" s="157">
        <f>SUMIF('内訳ﾘｽﾄ(4～3月)'!$D$26:$D$176,$B65,'内訳ﾘｽﾄ(4～3月)'!L$26:L$176)</f>
        <v>0</v>
      </c>
      <c r="J65" s="157">
        <f>SUMIF('内訳ﾘｽﾄ(4～3月)'!$D$26:$D$176,$B65,'内訳ﾘｽﾄ(4～3月)'!M$26:M$176)</f>
        <v>0</v>
      </c>
      <c r="K65" s="157">
        <f>SUMIF('内訳ﾘｽﾄ(4～3月)'!$D$26:$D$176,$B65,'内訳ﾘｽﾄ(4～3月)'!N$26:N$176)</f>
        <v>0</v>
      </c>
      <c r="L65" s="157">
        <f>SUMIF('内訳ﾘｽﾄ(4～3月)'!$D$26:$D$176,$B65,'内訳ﾘｽﾄ(4～3月)'!O$26:O$176)</f>
        <v>0</v>
      </c>
      <c r="M65" s="157">
        <f>SUMIF('内訳ﾘｽﾄ(4～3月)'!$D$26:$D$176,$B65,'内訳ﾘｽﾄ(4～3月)'!P$26:P$176)</f>
        <v>0</v>
      </c>
      <c r="N65" s="157">
        <f>SUMIF('内訳ﾘｽﾄ(4～3月)'!$D$26:$D$176,$B65,'内訳ﾘｽﾄ(4～3月)'!Q$26:Q$176)</f>
        <v>0</v>
      </c>
      <c r="O65" s="157">
        <f>SUMIF('内訳ﾘｽﾄ(4～3月)'!$D$26:$D$176,'採算表(VND)'!$B65,'内訳ﾘｽﾄ(4～3月)'!R$26:R$176)</f>
        <v>0</v>
      </c>
      <c r="AQ65" s="74"/>
      <c r="AR65" s="74"/>
      <c r="AS65" s="74"/>
      <c r="AT65" s="74"/>
      <c r="AU65" s="72"/>
      <c r="AV65" s="73"/>
      <c r="AW65" s="73"/>
      <c r="AX65" s="73"/>
      <c r="AY65" s="73"/>
      <c r="BA65" s="75"/>
      <c r="BB65" s="75"/>
      <c r="BC65" s="75"/>
      <c r="BD65" s="75"/>
      <c r="BF65" s="72"/>
      <c r="BG65" s="72"/>
      <c r="BH65" s="72"/>
      <c r="BI65" s="72"/>
    </row>
    <row r="66" spans="1:61" ht="11.25" customHeight="1">
      <c r="A66" s="26"/>
      <c r="B66" s="32" t="s">
        <v>77</v>
      </c>
      <c r="C66" s="155">
        <f>C12-C13</f>
        <v>3926037299</v>
      </c>
      <c r="D66" s="155">
        <f t="shared" ref="D66:N66" si="4">D12-D13</f>
        <v>1111516116</v>
      </c>
      <c r="E66" s="155">
        <f t="shared" si="4"/>
        <v>880801815</v>
      </c>
      <c r="F66" s="155">
        <f t="shared" si="4"/>
        <v>981712198</v>
      </c>
      <c r="G66" s="155">
        <f t="shared" si="4"/>
        <v>1062862675</v>
      </c>
      <c r="H66" s="155">
        <f t="shared" si="4"/>
        <v>1141955628</v>
      </c>
      <c r="I66" s="155">
        <f t="shared" si="4"/>
        <v>1073229587</v>
      </c>
      <c r="J66" s="155">
        <f t="shared" si="4"/>
        <v>1691066061</v>
      </c>
      <c r="K66" s="155">
        <f t="shared" si="4"/>
        <v>1744945535</v>
      </c>
      <c r="L66" s="155">
        <f t="shared" si="4"/>
        <v>1734884038</v>
      </c>
      <c r="M66" s="155">
        <f t="shared" si="4"/>
        <v>1698512300</v>
      </c>
      <c r="N66" s="155">
        <f t="shared" si="4"/>
        <v>1721753887</v>
      </c>
      <c r="O66" s="155">
        <f>IF(ISBLANK(O4),"",O12-O13)</f>
        <v>18769277139</v>
      </c>
      <c r="AQ66" s="74"/>
      <c r="AR66" s="74"/>
      <c r="AS66" s="74"/>
      <c r="AT66" s="74"/>
      <c r="AU66" s="72"/>
      <c r="AV66" s="73"/>
      <c r="AW66" s="73"/>
      <c r="AX66" s="73"/>
      <c r="AY66" s="73"/>
      <c r="BA66" s="75"/>
      <c r="BB66" s="75"/>
      <c r="BC66" s="75"/>
      <c r="BD66" s="75"/>
      <c r="BF66" s="72"/>
      <c r="BG66" s="72"/>
      <c r="BH66" s="72"/>
      <c r="BI66" s="72"/>
    </row>
    <row r="67" spans="1:61" ht="11.25" customHeight="1">
      <c r="A67" s="26"/>
      <c r="B67" s="28" t="s">
        <v>78</v>
      </c>
      <c r="C67" s="160">
        <f>C73+C79</f>
        <v>3615.5</v>
      </c>
      <c r="D67" s="160">
        <f t="shared" ref="D67:N67" si="5">D73+D79</f>
        <v>3441.25</v>
      </c>
      <c r="E67" s="160">
        <f t="shared" si="5"/>
        <v>3794.75</v>
      </c>
      <c r="F67" s="160">
        <f t="shared" si="5"/>
        <v>4197</v>
      </c>
      <c r="G67" s="160">
        <f t="shared" si="5"/>
        <v>3661</v>
      </c>
      <c r="H67" s="160">
        <f t="shared" si="5"/>
        <v>3480.75</v>
      </c>
      <c r="I67" s="160">
        <f t="shared" si="5"/>
        <v>4683.25</v>
      </c>
      <c r="J67" s="160">
        <f t="shared" si="5"/>
        <v>4082.75</v>
      </c>
      <c r="K67" s="160">
        <f t="shared" si="5"/>
        <v>4485.25</v>
      </c>
      <c r="L67" s="160">
        <f t="shared" si="5"/>
        <v>4085.75</v>
      </c>
      <c r="M67" s="160">
        <f t="shared" si="5"/>
        <v>3023.5</v>
      </c>
      <c r="N67" s="160">
        <f t="shared" si="5"/>
        <v>4087</v>
      </c>
      <c r="O67" s="160">
        <f>IF(ISBLANK(O4),"",O73+O79)</f>
        <v>46637.75</v>
      </c>
      <c r="AQ67" s="74"/>
      <c r="AR67" s="74"/>
      <c r="AS67" s="74"/>
      <c r="AT67" s="74"/>
      <c r="AU67" s="72"/>
      <c r="AV67" s="73"/>
      <c r="AW67" s="73"/>
      <c r="AX67" s="73"/>
      <c r="AY67" s="73"/>
      <c r="BA67" s="75"/>
      <c r="BB67" s="75"/>
      <c r="BC67" s="75"/>
      <c r="BD67" s="75"/>
      <c r="BF67" s="72"/>
      <c r="BG67" s="72"/>
      <c r="BH67" s="72"/>
      <c r="BI67" s="72"/>
    </row>
    <row r="68" spans="1:61" ht="11.25" customHeight="1">
      <c r="A68" s="38"/>
      <c r="B68" s="46" t="s">
        <v>87</v>
      </c>
      <c r="C68" s="161">
        <f>SUMIF('内訳ﾘｽﾄ(4～3月)'!$D$8:$D$15,'採算表(VND)'!$B68,'内訳ﾘｽﾄ(4～3月)'!F$8:F$15)</f>
        <v>2992</v>
      </c>
      <c r="D68" s="161">
        <f>SUMIF('内訳ﾘｽﾄ(4～3月)'!$D$8:$D$15,'採算表(VND)'!$B68,'内訳ﾘｽﾄ(4～3月)'!G$8:G$15)</f>
        <v>2839</v>
      </c>
      <c r="E68" s="161">
        <f>SUMIF('内訳ﾘｽﾄ(4～3月)'!$D$8:$D$15,'採算表(VND)'!$B68,'内訳ﾘｽﾄ(4～3月)'!H$8:H$15)</f>
        <v>3145</v>
      </c>
      <c r="F68" s="161">
        <f>SUMIF('内訳ﾘｽﾄ(4～3月)'!$D$8:$D$15,'採算表(VND)'!$B68,'内訳ﾘｽﾄ(4～3月)'!I$8:I$15)</f>
        <v>3451</v>
      </c>
      <c r="G68" s="161">
        <f>SUMIF('内訳ﾘｽﾄ(4～3月)'!$D$8:$D$15,'採算表(VND)'!$B68,'内訳ﾘｽﾄ(4～3月)'!J$8:J$15)</f>
        <v>2992</v>
      </c>
      <c r="H68" s="161">
        <f>SUMIF('内訳ﾘｽﾄ(4～3月)'!$D$8:$D$15,'採算表(VND)'!$B68,'内訳ﾘｽﾄ(4～3月)'!K$8:K$15)</f>
        <v>2839</v>
      </c>
      <c r="I68" s="161">
        <f>SUMIF('内訳ﾘｽﾄ(4～3月)'!$D$8:$D$15,'採算表(VND)'!$B68,'内訳ﾘｽﾄ(4～3月)'!L$8:L$15)</f>
        <v>3842</v>
      </c>
      <c r="J68" s="161">
        <f>SUMIF('内訳ﾘｽﾄ(4～3月)'!$D$8:$D$15,'採算表(VND)'!$B68,'内訳ﾘｽﾄ(4～3月)'!M$8:M$15)</f>
        <v>3332</v>
      </c>
      <c r="K68" s="161">
        <f>SUMIF('内訳ﾘｽﾄ(4～3月)'!$D$8:$D$15,'採算表(VND)'!$B68,'内訳ﾘｽﾄ(4～3月)'!N$8:N$15)</f>
        <v>3672</v>
      </c>
      <c r="L68" s="161">
        <f>SUMIF('内訳ﾘｽﾄ(4～3月)'!$D$8:$D$15,'採算表(VND)'!$B68,'内訳ﾘｽﾄ(4～3月)'!O$8:O$15)</f>
        <v>3332</v>
      </c>
      <c r="M68" s="161">
        <f>SUMIF('内訳ﾘｽﾄ(4～3月)'!$D$8:$D$15,'採算表(VND)'!$B68,'内訳ﾘｽﾄ(4～3月)'!P$8:P$15)</f>
        <v>2439.5</v>
      </c>
      <c r="N68" s="161">
        <f>SUMIF('内訳ﾘｽﾄ(4～3月)'!$D$8:$D$15,'採算表(VND)'!$B68,'内訳ﾘｽﾄ(4～3月)'!Q$8:Q$15)</f>
        <v>3332</v>
      </c>
      <c r="O68" s="161">
        <f>SUMIF('内訳ﾘｽﾄ(4～3月)'!$D$8:$D$15,'採算表(VND)'!$B68,'内訳ﾘｽﾄ(4～3月)'!$R$8:$R$15)</f>
        <v>38207.5</v>
      </c>
      <c r="AQ68" s="74"/>
      <c r="AR68" s="74"/>
      <c r="AS68" s="74"/>
      <c r="AT68" s="74"/>
      <c r="AU68" s="72"/>
      <c r="AV68" s="73"/>
      <c r="AW68" s="73"/>
      <c r="AX68" s="73"/>
      <c r="AY68" s="73"/>
      <c r="BA68" s="75"/>
      <c r="BB68" s="75"/>
      <c r="BC68" s="75"/>
      <c r="BD68" s="75"/>
      <c r="BF68" s="72"/>
      <c r="BG68" s="72"/>
      <c r="BH68" s="72"/>
      <c r="BI68" s="72"/>
    </row>
    <row r="69" spans="1:61" ht="11.25" customHeight="1">
      <c r="A69" s="38"/>
      <c r="B69" s="46" t="s">
        <v>88</v>
      </c>
      <c r="C69" s="162">
        <f>IF('内訳ﾘｽﾄ(4～3月)'!$D$5="製造",SUMIF('内訳ﾘｽﾄ(4～3月)'!$D$8:$D$15,$B69,'内訳ﾘｽﾄ(4～3月)'!F$8:F$15),IF('内訳ﾘｽﾄ(4～3月)'!$D$5="部内間接",-C$68,0))</f>
        <v>0</v>
      </c>
      <c r="D69" s="162">
        <f>IF('内訳ﾘｽﾄ(4～3月)'!$D$5="製造",SUMIF('内訳ﾘｽﾄ(4～3月)'!$D$8:$D$15,$B69,'内訳ﾘｽﾄ(4～3月)'!G$8:G$15),IF('内訳ﾘｽﾄ(4～3月)'!$D$5="部内間接",-D$68,0))</f>
        <v>0</v>
      </c>
      <c r="E69" s="162">
        <f>IF('内訳ﾘｽﾄ(4～3月)'!$D$5="製造",SUMIF('内訳ﾘｽﾄ(4～3月)'!$D$8:$D$15,$B69,'内訳ﾘｽﾄ(4～3月)'!H$8:H$15),IF('内訳ﾘｽﾄ(4～3月)'!$D$5="部内間接",-E$68,0))</f>
        <v>0</v>
      </c>
      <c r="F69" s="162">
        <f>IF('内訳ﾘｽﾄ(4～3月)'!$D$5="製造",SUMIF('内訳ﾘｽﾄ(4～3月)'!$D$8:$D$15,$B69,'内訳ﾘｽﾄ(4～3月)'!I$8:I$15),IF('内訳ﾘｽﾄ(4～3月)'!$D$5="部内間接",-F$68,0))</f>
        <v>0</v>
      </c>
      <c r="G69" s="162">
        <f>IF('内訳ﾘｽﾄ(4～3月)'!$D$5="製造",SUMIF('内訳ﾘｽﾄ(4～3月)'!$D$8:$D$15,$B69,'内訳ﾘｽﾄ(4～3月)'!J$8:J$15),IF('内訳ﾘｽﾄ(4～3月)'!$D$5="部内間接",-G$68,0))</f>
        <v>0</v>
      </c>
      <c r="H69" s="162">
        <f>IF('内訳ﾘｽﾄ(4～3月)'!$D$5="製造",SUMIF('内訳ﾘｽﾄ(4～3月)'!$D$8:$D$15,$B69,'内訳ﾘｽﾄ(4～3月)'!K$8:K$15),IF('内訳ﾘｽﾄ(4～3月)'!$D$5="部内間接",-H$68,0))</f>
        <v>0</v>
      </c>
      <c r="I69" s="162">
        <f>IF('内訳ﾘｽﾄ(4～3月)'!$D$5="製造",SUMIF('内訳ﾘｽﾄ(4～3月)'!$D$8:$D$15,$B69,'内訳ﾘｽﾄ(4～3月)'!L$8:L$15),IF('内訳ﾘｽﾄ(4～3月)'!$D$5="部内間接",-I$68,0))</f>
        <v>0</v>
      </c>
      <c r="J69" s="162">
        <f>IF('内訳ﾘｽﾄ(4～3月)'!$D$5="製造",SUMIF('内訳ﾘｽﾄ(4～3月)'!$D$8:$D$15,$B69,'内訳ﾘｽﾄ(4～3月)'!M$8:M$15),IF('内訳ﾘｽﾄ(4～3月)'!$D$5="部内間接",-J$68,0))</f>
        <v>0</v>
      </c>
      <c r="K69" s="162">
        <f>IF('内訳ﾘｽﾄ(4～3月)'!$D$5="製造",SUMIF('内訳ﾘｽﾄ(4～3月)'!$D$8:$D$15,$B69,'内訳ﾘｽﾄ(4～3月)'!N$8:N$15),IF('内訳ﾘｽﾄ(4～3月)'!$D$5="部内間接",-K$68,0))</f>
        <v>0</v>
      </c>
      <c r="L69" s="162">
        <f>IF('内訳ﾘｽﾄ(4～3月)'!$D$5="製造",SUMIF('内訳ﾘｽﾄ(4～3月)'!$D$8:$D$15,$B69,'内訳ﾘｽﾄ(4～3月)'!O$8:O$15),IF('内訳ﾘｽﾄ(4～3月)'!$D$5="部内間接",-L$68,0))</f>
        <v>0</v>
      </c>
      <c r="M69" s="162">
        <f>IF('内訳ﾘｽﾄ(4～3月)'!$D$5="製造",SUMIF('内訳ﾘｽﾄ(4～3月)'!$D$8:$D$15,$B69,'内訳ﾘｽﾄ(4～3月)'!P$8:P$15),IF('内訳ﾘｽﾄ(4～3月)'!$D$5="部内間接",-M$68,0))</f>
        <v>0</v>
      </c>
      <c r="N69" s="162">
        <f>IF('内訳ﾘｽﾄ(4～3月)'!$D$5="製造",SUMIF('内訳ﾘｽﾄ(4～3月)'!$D$8:$D$15,$B69,'内訳ﾘｽﾄ(4～3月)'!Q$8:Q$15),IF('内訳ﾘｽﾄ(4～3月)'!$D$5="部内間接",-N$68,0))</f>
        <v>0</v>
      </c>
      <c r="O69" s="162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4"/>
      <c r="AR69" s="74"/>
      <c r="AS69" s="74"/>
      <c r="AT69" s="74"/>
      <c r="AU69" s="72"/>
      <c r="AV69" s="73"/>
      <c r="AW69" s="73"/>
      <c r="AX69" s="73"/>
      <c r="AY69" s="73"/>
      <c r="BA69" s="75"/>
      <c r="BB69" s="75"/>
      <c r="BC69" s="75"/>
      <c r="BD69" s="75"/>
      <c r="BF69" s="72"/>
      <c r="BG69" s="72"/>
      <c r="BH69" s="72"/>
      <c r="BI69" s="72"/>
    </row>
    <row r="70" spans="1:61" ht="11.25" customHeight="1">
      <c r="A70" s="38"/>
      <c r="B70" s="47" t="s">
        <v>126</v>
      </c>
      <c r="C70" s="163">
        <f>IF('内訳ﾘｽﾄ(4～3月)'!$D$5="製造",SUMIF('内訳ﾘｽﾄ(4～3月)'!$D$8:$D$15,$B70,'内訳ﾘｽﾄ(4～3月)'!F$8:F$15),IF('内訳ﾘｽﾄ(4～3月)'!$D$5="部外間接1",-C$68,0))</f>
        <v>10.25</v>
      </c>
      <c r="D70" s="163">
        <f>IF('内訳ﾘｽﾄ(4～3月)'!$D$5="製造",SUMIF('内訳ﾘｽﾄ(4～3月)'!$D$8:$D$15,$B70,'内訳ﾘｽﾄ(4～3月)'!G$8:G$15),IF('内訳ﾘｽﾄ(4～3月)'!$D$5="部外間接1",-D$68,0))</f>
        <v>10.5</v>
      </c>
      <c r="E70" s="163">
        <f>IF('内訳ﾘｽﾄ(4～3月)'!$D$5="製造",SUMIF('内訳ﾘｽﾄ(4～3月)'!$D$8:$D$15,$B70,'内訳ﾘｽﾄ(4～3月)'!H$8:H$15),IF('内訳ﾘｽﾄ(4～3月)'!$D$5="部外間接1",-E$68,0))</f>
        <v>11.5</v>
      </c>
      <c r="F70" s="163">
        <f>IF('内訳ﾘｽﾄ(4～3月)'!$D$5="製造",SUMIF('内訳ﾘｽﾄ(4～3月)'!$D$8:$D$15,$B70,'内訳ﾘｽﾄ(4～3月)'!I$8:I$15),IF('内訳ﾘｽﾄ(4～3月)'!$D$5="部外間接1",-F$68,0))</f>
        <v>16.25</v>
      </c>
      <c r="G70" s="163">
        <f>IF('内訳ﾘｽﾄ(4～3月)'!$D$5="製造",SUMIF('内訳ﾘｽﾄ(4～3月)'!$D$8:$D$15,$B70,'内訳ﾘｽﾄ(4～3月)'!J$8:J$15),IF('内訳ﾘｽﾄ(4～3月)'!$D$5="部外間接1",-G$68,0))</f>
        <v>14.25</v>
      </c>
      <c r="H70" s="163">
        <f>IF('内訳ﾘｽﾄ(4～3月)'!$D$5="製造",SUMIF('内訳ﾘｽﾄ(4～3月)'!$D$8:$D$15,$B70,'内訳ﾘｽﾄ(4～3月)'!K$8:K$15),IF('内訳ﾘｽﾄ(4～3月)'!$D$5="部外間接1",-H$68,0))</f>
        <v>13.5</v>
      </c>
      <c r="I70" s="163">
        <f>IF('内訳ﾘｽﾄ(4～3月)'!$D$5="製造",SUMIF('内訳ﾘｽﾄ(4～3月)'!$D$8:$D$15,$B70,'内訳ﾘｽﾄ(4～3月)'!L$8:L$15),IF('内訳ﾘｽﾄ(4～3月)'!$D$5="部外間接1",-I$68,0))</f>
        <v>16.5</v>
      </c>
      <c r="J70" s="163">
        <f>IF('内訳ﾘｽﾄ(4～3月)'!$D$5="製造",SUMIF('内訳ﾘｽﾄ(4～3月)'!$D$8:$D$15,$B70,'内訳ﾘｽﾄ(4～3月)'!M$8:M$15),IF('内訳ﾘｽﾄ(4～3月)'!$D$5="部外間接1",-J$68,0))</f>
        <v>14.25</v>
      </c>
      <c r="K70" s="163">
        <f>IF('内訳ﾘｽﾄ(4～3月)'!$D$5="製造",SUMIF('内訳ﾘｽﾄ(4～3月)'!$D$8:$D$15,$B70,'内訳ﾘｽﾄ(4～3月)'!N$8:N$15),IF('内訳ﾘｽﾄ(4～3月)'!$D$5="部外間接1",-K$68,0))</f>
        <v>15.75</v>
      </c>
      <c r="L70" s="163">
        <f>IF('内訳ﾘｽﾄ(4～3月)'!$D$5="製造",SUMIF('内訳ﾘｽﾄ(4～3月)'!$D$8:$D$15,$B70,'内訳ﾘｽﾄ(4～3月)'!O$8:O$15),IF('内訳ﾘｽﾄ(4～3月)'!$D$5="部外間接1",-L$68,0))</f>
        <v>15</v>
      </c>
      <c r="M70" s="163">
        <f>IF('内訳ﾘｽﾄ(4～3月)'!$D$5="製造",SUMIF('内訳ﾘｽﾄ(4～3月)'!$D$8:$D$15,$B70,'内訳ﾘｽﾄ(4～3月)'!P$8:P$15),IF('内訳ﾘｽﾄ(4～3月)'!$D$5="部外間接1",-M$68,0))</f>
        <v>11</v>
      </c>
      <c r="N70" s="163">
        <f>IF('内訳ﾘｽﾄ(4～3月)'!$D$5="製造",SUMIF('内訳ﾘｽﾄ(4～3月)'!$D$8:$D$15,$B70,'内訳ﾘｽﾄ(4～3月)'!Q$8:Q$15),IF('内訳ﾘｽﾄ(4～3月)'!$D$5="部外間接1",-N$68,0))</f>
        <v>15</v>
      </c>
      <c r="O70" s="163">
        <f>IF('内訳ﾘｽﾄ(4～3月)'!$D$5="部外間接1",-SUM(O$68),IF('内訳ﾘｽﾄ(4～3月)'!$D$5="製造",SUMIF('内訳ﾘｽﾄ(4～3月)'!$D$8:$D$15,'採算表(VND)'!$B70,'内訳ﾘｽﾄ(4～3月)'!$R$8:$R$15),0))</f>
        <v>163.75</v>
      </c>
      <c r="AQ70" s="74"/>
      <c r="AR70" s="74"/>
      <c r="AS70" s="74"/>
      <c r="AT70" s="74"/>
      <c r="AU70" s="72"/>
      <c r="AV70" s="73"/>
      <c r="AW70" s="73"/>
      <c r="AX70" s="73"/>
      <c r="AY70" s="73"/>
      <c r="BA70" s="75"/>
      <c r="BB70" s="75"/>
      <c r="BC70" s="75"/>
      <c r="BD70" s="75"/>
      <c r="BF70" s="72"/>
      <c r="BG70" s="72"/>
      <c r="BH70" s="72"/>
      <c r="BI70" s="72"/>
    </row>
    <row r="71" spans="1:61" ht="11.25" customHeight="1">
      <c r="A71" s="38"/>
      <c r="B71" s="47" t="s">
        <v>127</v>
      </c>
      <c r="C71" s="163">
        <f>IF('内訳ﾘｽﾄ(4～3月)'!$D$5="製造",SUMIF('内訳ﾘｽﾄ(4～3月)'!$D$8:$D$15,$B71,'内訳ﾘｽﾄ(4～3月)'!F$8:F$15),IF('内訳ﾘｽﾄ(4～3月)'!$D$5="部外間接2",-C$68,0))</f>
        <v>19.5</v>
      </c>
      <c r="D71" s="163">
        <f>IF('内訳ﾘｽﾄ(4～3月)'!$D$5="製造",SUMIF('内訳ﾘｽﾄ(4～3月)'!$D$8:$D$15,$B71,'内訳ﾘｽﾄ(4～3月)'!G$8:G$15),IF('内訳ﾘｽﾄ(4～3月)'!$D$5="部外間接2",-D$68,0))</f>
        <v>18.25</v>
      </c>
      <c r="E71" s="163">
        <f>IF('内訳ﾘｽﾄ(4～3月)'!$D$5="製造",SUMIF('内訳ﾘｽﾄ(4～3月)'!$D$8:$D$15,$B71,'内訳ﾘｽﾄ(4～3月)'!H$8:H$15),IF('内訳ﾘｽﾄ(4～3月)'!$D$5="部外間接2",-E$68,0))</f>
        <v>20.75</v>
      </c>
      <c r="F71" s="163">
        <f>IF('内訳ﾘｽﾄ(4～3月)'!$D$5="製造",SUMIF('内訳ﾘｽﾄ(4～3月)'!$D$8:$D$15,$B71,'内訳ﾘｽﾄ(4～3月)'!I$8:I$15),IF('内訳ﾘｽﾄ(4～3月)'!$D$5="部外間接2",-F$68,0))</f>
        <v>31.25</v>
      </c>
      <c r="G71" s="163">
        <f>IF('内訳ﾘｽﾄ(4～3月)'!$D$5="製造",SUMIF('内訳ﾘｽﾄ(4～3月)'!$D$8:$D$15,$B71,'内訳ﾘｽﾄ(4～3月)'!J$8:J$15),IF('内訳ﾘｽﾄ(4～3月)'!$D$5="部外間接2",-G$68,0))</f>
        <v>27</v>
      </c>
      <c r="H71" s="163">
        <f>IF('内訳ﾘｽﾄ(4～3月)'!$D$5="製造",SUMIF('内訳ﾘｽﾄ(4～3月)'!$D$8:$D$15,$B71,'内訳ﾘｽﾄ(4～3月)'!K$8:K$15),IF('内訳ﾘｽﾄ(4～3月)'!$D$5="部外間接2",-H$68,0))</f>
        <v>26.5</v>
      </c>
      <c r="I71" s="163">
        <f>IF('内訳ﾘｽﾄ(4～3月)'!$D$5="製造",SUMIF('内訳ﾘｽﾄ(4～3月)'!$D$8:$D$15,$B71,'内訳ﾘｽﾄ(4～3月)'!L$8:L$15),IF('内訳ﾘｽﾄ(4～3月)'!$D$5="部外間接2",-I$68,0))</f>
        <v>32.25</v>
      </c>
      <c r="J71" s="163">
        <f>IF('内訳ﾘｽﾄ(4～3月)'!$D$5="製造",SUMIF('内訳ﾘｽﾄ(4～3月)'!$D$8:$D$15,$B71,'内訳ﾘｽﾄ(4～3月)'!M$8:M$15),IF('内訳ﾘｽﾄ(4～3月)'!$D$5="部外間接2",-J$68,0))</f>
        <v>28.25</v>
      </c>
      <c r="K71" s="163">
        <f>IF('内訳ﾘｽﾄ(4～3月)'!$D$5="製造",SUMIF('内訳ﾘｽﾄ(4～3月)'!$D$8:$D$15,$B71,'内訳ﾘｽﾄ(4～3月)'!N$8:N$15),IF('内訳ﾘｽﾄ(4～3月)'!$D$5="部外間接2",-K$68,0))</f>
        <v>31.5</v>
      </c>
      <c r="L71" s="163">
        <f>IF('内訳ﾘｽﾄ(4～3月)'!$D$5="製造",SUMIF('内訳ﾘｽﾄ(4～3月)'!$D$8:$D$15,$B71,'内訳ﾘｽﾄ(4～3月)'!O$8:O$15),IF('内訳ﾘｽﾄ(4～3月)'!$D$5="部外間接2",-L$68,0))</f>
        <v>28.25</v>
      </c>
      <c r="M71" s="163">
        <f>IF('内訳ﾘｽﾄ(4～3月)'!$D$5="製造",SUMIF('内訳ﾘｽﾄ(4～3月)'!$D$8:$D$15,$B71,'内訳ﾘｽﾄ(4～3月)'!P$8:P$15),IF('内訳ﾘｽﾄ(4～3月)'!$D$5="部外間接2",-M$68,0))</f>
        <v>20.75</v>
      </c>
      <c r="N71" s="163">
        <f>IF('内訳ﾘｽﾄ(4～3月)'!$D$5="製造",SUMIF('内訳ﾘｽﾄ(4～3月)'!$D$8:$D$15,$B71,'内訳ﾘｽﾄ(4～3月)'!Q$8:Q$15),IF('内訳ﾘｽﾄ(4～3月)'!$D$5="部外間接2",-N$68,0))</f>
        <v>28.25</v>
      </c>
      <c r="O71" s="163">
        <f>IF('内訳ﾘｽﾄ(4～3月)'!$D$5="部外間接2",-SUM(O$68),IF('内訳ﾘｽﾄ(4～3月)'!$D$5="製造",SUMIF('内訳ﾘｽﾄ(4～3月)'!$D$8:$D$15,'採算表(VND)'!$B71,'内訳ﾘｽﾄ(4～3月)'!$R$8:$R$15),0))</f>
        <v>312.5</v>
      </c>
      <c r="AQ71" s="74"/>
      <c r="AR71" s="74"/>
      <c r="AS71" s="74"/>
      <c r="AT71" s="74"/>
      <c r="AU71" s="72"/>
      <c r="AV71" s="73"/>
      <c r="AW71" s="73"/>
      <c r="AX71" s="73"/>
      <c r="AY71" s="73"/>
      <c r="BA71" s="75"/>
      <c r="BB71" s="75"/>
      <c r="BC71" s="75"/>
      <c r="BD71" s="75"/>
      <c r="BF71" s="72"/>
      <c r="BG71" s="72"/>
      <c r="BH71" s="72"/>
      <c r="BI71" s="72"/>
    </row>
    <row r="72" spans="1:61" ht="11.25" customHeight="1">
      <c r="A72" s="38"/>
      <c r="B72" s="40" t="s">
        <v>89</v>
      </c>
      <c r="C72" s="164">
        <f>IF('内訳ﾘｽﾄ(4～3月)'!$D$5="製造",SUMIF('内訳ﾘｽﾄ(4～3月)'!$D$8:$D$15,$B72,'内訳ﾘｽﾄ(4～3月)'!F$8:F$15),IF('内訳ﾘｽﾄ(4～3月)'!$D$5="工場間接",-C$68,0))</f>
        <v>85.25</v>
      </c>
      <c r="D72" s="164">
        <f>IF('内訳ﾘｽﾄ(4～3月)'!$D$5="製造",SUMIF('内訳ﾘｽﾄ(4～3月)'!$D$8:$D$15,$B72,'内訳ﾘｽﾄ(4～3月)'!G$8:G$15),IF('内訳ﾘｽﾄ(4～3月)'!$D$5="工場間接",-D$68,0))</f>
        <v>85.5</v>
      </c>
      <c r="E72" s="164">
        <f>IF('内訳ﾘｽﾄ(4～3月)'!$D$5="製造",SUMIF('内訳ﾘｽﾄ(4～3月)'!$D$8:$D$15,$B72,'内訳ﾘｽﾄ(4～3月)'!H$8:H$15),IF('内訳ﾘｽﾄ(4～3月)'!$D$5="工場間接",-E$68,0))</f>
        <v>89.75</v>
      </c>
      <c r="F72" s="164">
        <f>IF('内訳ﾘｽﾄ(4～3月)'!$D$5="製造",SUMIF('内訳ﾘｽﾄ(4～3月)'!$D$8:$D$15,$B72,'内訳ﾘｽﾄ(4～3月)'!I$8:I$15),IF('内訳ﾘｽﾄ(4～3月)'!$D$5="工場間接",-F$68,0))</f>
        <v>128.5</v>
      </c>
      <c r="G72" s="164">
        <f>IF('内訳ﾘｽﾄ(4～3月)'!$D$5="製造",SUMIF('内訳ﾘｽﾄ(4～3月)'!$D$8:$D$15,$B72,'内訳ﾘｽﾄ(4～3月)'!J$8:J$15),IF('内訳ﾘｽﾄ(4～3月)'!$D$5="工場間接",-G$68,0))</f>
        <v>117.25</v>
      </c>
      <c r="H72" s="164">
        <f>IF('内訳ﾘｽﾄ(4～3月)'!$D$5="製造",SUMIF('内訳ﾘｽﾄ(4～3月)'!$D$8:$D$15,$B72,'内訳ﾘｽﾄ(4～3月)'!K$8:K$15),IF('内訳ﾘｽﾄ(4～3月)'!$D$5="工場間接",-H$68,0))</f>
        <v>110</v>
      </c>
      <c r="I72" s="164">
        <f>IF('内訳ﾘｽﾄ(4～3月)'!$D$5="製造",SUMIF('内訳ﾘｽﾄ(4～3月)'!$D$8:$D$15,$B72,'内訳ﾘｽﾄ(4～3月)'!L$8:L$15),IF('内訳ﾘｽﾄ(4～3月)'!$D$5="工場間接",-I$68,0))</f>
        <v>130.25</v>
      </c>
      <c r="J72" s="164">
        <f>IF('内訳ﾘｽﾄ(4～3月)'!$D$5="製造",SUMIF('内訳ﾘｽﾄ(4～3月)'!$D$8:$D$15,$B72,'内訳ﾘｽﾄ(4～3月)'!M$8:M$15),IF('内訳ﾘｽﾄ(4～3月)'!$D$5="工場間接",-J$68,0))</f>
        <v>118.5</v>
      </c>
      <c r="K72" s="164">
        <f>IF('内訳ﾘｽﾄ(4～3月)'!$D$5="製造",SUMIF('内訳ﾘｽﾄ(4～3月)'!$D$8:$D$15,$B72,'内訳ﾘｽﾄ(4～3月)'!N$8:N$15),IF('内訳ﾘｽﾄ(4～3月)'!$D$5="工場間接",-K$68,0))</f>
        <v>128</v>
      </c>
      <c r="L72" s="164">
        <f>IF('内訳ﾘｽﾄ(4～3月)'!$D$5="製造",SUMIF('内訳ﾘｽﾄ(4～3月)'!$D$8:$D$15,$B72,'内訳ﾘｽﾄ(4～3月)'!O$8:O$15),IF('内訳ﾘｽﾄ(4～3月)'!$D$5="工場間接",-L$68,0))</f>
        <v>120.75</v>
      </c>
      <c r="M72" s="164">
        <f>IF('内訳ﾘｽﾄ(4～3月)'!$D$5="製造",SUMIF('内訳ﾘｽﾄ(4～3月)'!$D$8:$D$15,$B72,'内訳ﾘｽﾄ(4～3月)'!P$8:P$15),IF('内訳ﾘｽﾄ(4～3月)'!$D$5="工場間接",-M$68,0))</f>
        <v>90</v>
      </c>
      <c r="N72" s="164">
        <f>IF('内訳ﾘｽﾄ(4～3月)'!$D$5="製造",SUMIF('内訳ﾘｽﾄ(4～3月)'!$D$8:$D$15,$B72,'内訳ﾘｽﾄ(4～3月)'!Q$8:Q$15),IF('内訳ﾘｽﾄ(4～3月)'!$D$5="工場間接",-N$68,0))</f>
        <v>121.25</v>
      </c>
      <c r="O72" s="164">
        <f>IF('内訳ﾘｽﾄ(4～3月)'!$D$5="工場間接",-SUM(O$68),IF('内訳ﾘｽﾄ(4～3月)'!$D$5="製造",SUMIF('内訳ﾘｽﾄ(4～3月)'!$D$8:$D$15,'採算表(VND)'!$B72,'内訳ﾘｽﾄ(4～3月)'!$R$8:$R$15),0))</f>
        <v>1325</v>
      </c>
      <c r="AQ72" s="74"/>
      <c r="AR72" s="74"/>
      <c r="AS72" s="74"/>
      <c r="AT72" s="74"/>
      <c r="AU72" s="72"/>
      <c r="AV72" s="73"/>
      <c r="AW72" s="73"/>
      <c r="AX72" s="73"/>
      <c r="AY72" s="73"/>
      <c r="BA72" s="75"/>
      <c r="BB72" s="75"/>
      <c r="BC72" s="75"/>
      <c r="BD72" s="75"/>
      <c r="BF72" s="72"/>
      <c r="BG72" s="72"/>
      <c r="BH72" s="72"/>
      <c r="BI72" s="72"/>
    </row>
    <row r="73" spans="1:61" ht="11.25" customHeight="1">
      <c r="A73" s="38"/>
      <c r="B73" s="41" t="s">
        <v>90</v>
      </c>
      <c r="C73" s="165">
        <f>SUM(C68:C72)</f>
        <v>3107</v>
      </c>
      <c r="D73" s="165">
        <f t="shared" ref="D73:N73" si="6">SUM(D68:D72)</f>
        <v>2953.25</v>
      </c>
      <c r="E73" s="165">
        <f t="shared" si="6"/>
        <v>3267</v>
      </c>
      <c r="F73" s="165">
        <f t="shared" si="6"/>
        <v>3627</v>
      </c>
      <c r="G73" s="165">
        <f t="shared" si="6"/>
        <v>3150.5</v>
      </c>
      <c r="H73" s="165">
        <f t="shared" si="6"/>
        <v>2989</v>
      </c>
      <c r="I73" s="165">
        <f t="shared" si="6"/>
        <v>4021</v>
      </c>
      <c r="J73" s="165">
        <f t="shared" si="6"/>
        <v>3493</v>
      </c>
      <c r="K73" s="165">
        <f t="shared" si="6"/>
        <v>3847.25</v>
      </c>
      <c r="L73" s="165">
        <f t="shared" si="6"/>
        <v>3496</v>
      </c>
      <c r="M73" s="165">
        <f t="shared" si="6"/>
        <v>2561.25</v>
      </c>
      <c r="N73" s="165">
        <f t="shared" si="6"/>
        <v>3496.5</v>
      </c>
      <c r="O73" s="165">
        <f>IF(ISBLANK(O4),"",SUM(O68:O72))</f>
        <v>40008.75</v>
      </c>
      <c r="AQ73" s="74"/>
      <c r="AR73" s="74"/>
      <c r="AS73" s="74"/>
      <c r="AT73" s="74"/>
      <c r="AU73" s="72"/>
      <c r="AV73" s="73"/>
      <c r="AW73" s="73"/>
      <c r="AX73" s="73"/>
      <c r="AY73" s="73"/>
      <c r="BA73" s="75"/>
      <c r="BB73" s="75"/>
      <c r="BC73" s="75"/>
      <c r="BD73" s="75"/>
      <c r="BF73" s="72"/>
      <c r="BG73" s="72"/>
      <c r="BH73" s="72"/>
      <c r="BI73" s="72"/>
    </row>
    <row r="74" spans="1:61" ht="11.25" customHeight="1">
      <c r="A74" s="38"/>
      <c r="B74" s="39" t="s">
        <v>86</v>
      </c>
      <c r="C74" s="161">
        <f>SUMIF('内訳ﾘｽﾄ(4～3月)'!$D$16:$D$23,'採算表(VND)'!$B74,'内訳ﾘｽﾄ(4～3月)'!F$16:F$23)</f>
        <v>502</v>
      </c>
      <c r="D74" s="161">
        <f>SUMIF('内訳ﾘｽﾄ(4～3月)'!$D$16:$D$23,'採算表(VND)'!$B74,'内訳ﾘｽﾄ(4～3月)'!G$16:G$23)</f>
        <v>482</v>
      </c>
      <c r="E74" s="161">
        <f>SUMIF('内訳ﾘｽﾄ(4～3月)'!$D$16:$D$23,'採算表(VND)'!$B74,'内訳ﾘｽﾄ(4～3月)'!H$16:H$23)</f>
        <v>522</v>
      </c>
      <c r="F74" s="161">
        <f>SUMIF('内訳ﾘｽﾄ(4～3月)'!$D$16:$D$23,'採算表(VND)'!$B74,'内訳ﾘｽﾄ(4～3月)'!I$16:I$23)</f>
        <v>562</v>
      </c>
      <c r="G74" s="161">
        <f>SUMIF('内訳ﾘｽﾄ(4～3月)'!$D$16:$D$23,'採算表(VND)'!$B74,'内訳ﾘｽﾄ(4～3月)'!J$16:J$23)</f>
        <v>502</v>
      </c>
      <c r="H74" s="161">
        <f>SUMIF('内訳ﾘｽﾄ(4～3月)'!$D$16:$D$23,'採算表(VND)'!$B74,'内訳ﾘｽﾄ(4～3月)'!K$16:K$23)</f>
        <v>482</v>
      </c>
      <c r="I74" s="161">
        <f>SUMIF('内訳ﾘｽﾄ(4～3月)'!$D$16:$D$23,'採算表(VND)'!$B74,'内訳ﾘｽﾄ(4～3月)'!L$16:L$23)</f>
        <v>654</v>
      </c>
      <c r="J74" s="161">
        <f>SUMIF('内訳ﾘｽﾄ(4～3月)'!$D$16:$D$23,'採算表(VND)'!$B74,'内訳ﾘｽﾄ(4～3月)'!M$16:M$23)</f>
        <v>582</v>
      </c>
      <c r="K74" s="161">
        <f>SUMIF('内訳ﾘｽﾄ(4～3月)'!$D$16:$D$23,'採算表(VND)'!$B74,'内訳ﾘｽﾄ(4～3月)'!N$16:N$23)</f>
        <v>630</v>
      </c>
      <c r="L74" s="161">
        <f>SUMIF('内訳ﾘｽﾄ(4～3月)'!$D$16:$D$23,'採算表(VND)'!$B74,'内訳ﾘｽﾄ(4～3月)'!O$16:O$23)</f>
        <v>582</v>
      </c>
      <c r="M74" s="161">
        <f>SUMIF('内訳ﾘｽﾄ(4～3月)'!$D$16:$D$23,'採算表(VND)'!$B74,'内訳ﾘｽﾄ(4～3月)'!P$16:P$23)</f>
        <v>452</v>
      </c>
      <c r="N74" s="161">
        <f>SUMIF('内訳ﾘｽﾄ(4～3月)'!$D$16:$D$23,'採算表(VND)'!$B74,'内訳ﾘｽﾄ(4～3月)'!Q$16:Q$23)</f>
        <v>582</v>
      </c>
      <c r="O74" s="161">
        <f>SUMIF('内訳ﾘｽﾄ(4～3月)'!$D$16:$D$23,'採算表(VND)'!$B74,'内訳ﾘｽﾄ(4～3月)'!$R$16:$R$23)</f>
        <v>6534</v>
      </c>
      <c r="AQ74" s="74"/>
      <c r="AR74" s="74"/>
      <c r="AS74" s="74"/>
      <c r="AT74" s="74"/>
      <c r="AU74" s="72"/>
      <c r="AV74" s="73"/>
      <c r="AW74" s="73"/>
      <c r="AX74" s="73"/>
      <c r="AY74" s="73"/>
      <c r="BA74" s="75"/>
      <c r="BB74" s="75"/>
      <c r="BC74" s="75"/>
      <c r="BD74" s="75"/>
      <c r="BF74" s="72"/>
      <c r="BG74" s="72"/>
      <c r="BH74" s="72"/>
      <c r="BI74" s="72"/>
    </row>
    <row r="75" spans="1:61">
      <c r="A75" s="38"/>
      <c r="B75" s="37" t="s">
        <v>88</v>
      </c>
      <c r="C75" s="162">
        <f>IF('内訳ﾘｽﾄ(4～3月)'!$D$5="製造",SUMIF('内訳ﾘｽﾄ(4～3月)'!$D$16:$D$23,$B75,'内訳ﾘｽﾄ(4～3月)'!F$16:F$23),IF('内訳ﾘｽﾄ(4～3月)'!$D$5="部内間接",-C$74,0))</f>
        <v>0</v>
      </c>
      <c r="D75" s="162">
        <f>IF('内訳ﾘｽﾄ(4～3月)'!$D$5="製造",SUMIF('内訳ﾘｽﾄ(4～3月)'!$D$16:$D$23,$B75,'内訳ﾘｽﾄ(4～3月)'!G$16:G$23),IF('内訳ﾘｽﾄ(4～3月)'!$D$5="部内間接",-D$74,0))</f>
        <v>0</v>
      </c>
      <c r="E75" s="162">
        <f>IF('内訳ﾘｽﾄ(4～3月)'!$D$5="製造",SUMIF('内訳ﾘｽﾄ(4～3月)'!$D$16:$D$23,$B75,'内訳ﾘｽﾄ(4～3月)'!H$16:H$23),IF('内訳ﾘｽﾄ(4～3月)'!$D$5="部内間接",-E$74,0))</f>
        <v>0</v>
      </c>
      <c r="F75" s="162">
        <f>IF('内訳ﾘｽﾄ(4～3月)'!$D$5="製造",SUMIF('内訳ﾘｽﾄ(4～3月)'!$D$16:$D$23,$B75,'内訳ﾘｽﾄ(4～3月)'!I$16:I$23),IF('内訳ﾘｽﾄ(4～3月)'!$D$5="部内間接",-F$74,0))</f>
        <v>0</v>
      </c>
      <c r="G75" s="162">
        <f>IF('内訳ﾘｽﾄ(4～3月)'!$D$5="製造",SUMIF('内訳ﾘｽﾄ(4～3月)'!$D$16:$D$23,$B75,'内訳ﾘｽﾄ(4～3月)'!J$16:J$23),IF('内訳ﾘｽﾄ(4～3月)'!$D$5="部内間接",-G$74,0))</f>
        <v>0</v>
      </c>
      <c r="H75" s="162">
        <f>IF('内訳ﾘｽﾄ(4～3月)'!$D$5="製造",SUMIF('内訳ﾘｽﾄ(4～3月)'!$D$16:$D$23,$B75,'内訳ﾘｽﾄ(4～3月)'!K$16:K$23),IF('内訳ﾘｽﾄ(4～3月)'!$D$5="部内間接",-H$74,0))</f>
        <v>0</v>
      </c>
      <c r="I75" s="162">
        <f>IF('内訳ﾘｽﾄ(4～3月)'!$D$5="製造",SUMIF('内訳ﾘｽﾄ(4～3月)'!$D$16:$D$23,$B75,'内訳ﾘｽﾄ(4～3月)'!L$16:L$23),IF('内訳ﾘｽﾄ(4～3月)'!$D$5="部内間接",-I$74,0))</f>
        <v>0</v>
      </c>
      <c r="J75" s="162">
        <f>IF('内訳ﾘｽﾄ(4～3月)'!$D$5="製造",SUMIF('内訳ﾘｽﾄ(4～3月)'!$D$16:$D$23,$B75,'内訳ﾘｽﾄ(4～3月)'!M$16:M$23),IF('内訳ﾘｽﾄ(4～3月)'!$D$5="部内間接",-J$74,0))</f>
        <v>0</v>
      </c>
      <c r="K75" s="162">
        <f>IF('内訳ﾘｽﾄ(4～3月)'!$D$5="製造",SUMIF('内訳ﾘｽﾄ(4～3月)'!$D$16:$D$23,$B75,'内訳ﾘｽﾄ(4～3月)'!N$16:N$23),IF('内訳ﾘｽﾄ(4～3月)'!$D$5="部内間接",-K$74,0))</f>
        <v>0</v>
      </c>
      <c r="L75" s="162">
        <f>IF('内訳ﾘｽﾄ(4～3月)'!$D$5="製造",SUMIF('内訳ﾘｽﾄ(4～3月)'!$D$16:$D$23,$B75,'内訳ﾘｽﾄ(4～3月)'!O$16:O$23),IF('内訳ﾘｽﾄ(4～3月)'!$D$5="部内間接",-L$74,0))</f>
        <v>0</v>
      </c>
      <c r="M75" s="162">
        <f>IF('内訳ﾘｽﾄ(4～3月)'!$D$5="製造",SUMIF('内訳ﾘｽﾄ(4～3月)'!$D$16:$D$23,$B75,'内訳ﾘｽﾄ(4～3月)'!P$16:P$23),IF('内訳ﾘｽﾄ(4～3月)'!$D$5="部内間接",-M$74,0))</f>
        <v>0</v>
      </c>
      <c r="N75" s="162">
        <f>IF('内訳ﾘｽﾄ(4～3月)'!$D$5="製造",SUMIF('内訳ﾘｽﾄ(4～3月)'!$D$16:$D$23,$B75,'内訳ﾘｽﾄ(4～3月)'!Q$16:Q$23),IF('内訳ﾘｽﾄ(4～3月)'!$D$5="部内間接",-N$74,0))</f>
        <v>0</v>
      </c>
      <c r="O75" s="162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4"/>
      <c r="AR75" s="74"/>
      <c r="AS75" s="74"/>
      <c r="AT75" s="74"/>
      <c r="AU75" s="72"/>
      <c r="AV75" s="73"/>
      <c r="AW75" s="73"/>
      <c r="AX75" s="73"/>
      <c r="AY75" s="73"/>
      <c r="BA75" s="75"/>
      <c r="BB75" s="75"/>
      <c r="BC75" s="75"/>
      <c r="BD75" s="75"/>
      <c r="BF75" s="72"/>
      <c r="BG75" s="72"/>
      <c r="BH75" s="72"/>
      <c r="BI75" s="72"/>
    </row>
    <row r="76" spans="1:61">
      <c r="A76" s="38"/>
      <c r="B76" s="37" t="s">
        <v>126</v>
      </c>
      <c r="C76" s="163">
        <f>IF('内訳ﾘｽﾄ(4～3月)'!$D$5="製造",SUMIF('内訳ﾘｽﾄ(4～3月)'!$D$16:$D$23,$B76,'内訳ﾘｽﾄ(4～3月)'!F$16:F$23),IF('内訳ﾘｽﾄ(4～3月)'!$D$5="部外間接1",-C$74,0))</f>
        <v>0.75</v>
      </c>
      <c r="D76" s="163">
        <f>IF('内訳ﾘｽﾄ(4～3月)'!$D$5="製造",SUMIF('内訳ﾘｽﾄ(4～3月)'!$D$16:$D$23,$B76,'内訳ﾘｽﾄ(4～3月)'!G$16:G$23),IF('内訳ﾘｽﾄ(4～3月)'!$D$5="部外間接1",-D$74,0))</f>
        <v>0.75</v>
      </c>
      <c r="E76" s="163">
        <f>IF('内訳ﾘｽﾄ(4～3月)'!$D$5="製造",SUMIF('内訳ﾘｽﾄ(4～3月)'!$D$16:$D$23,$B76,'内訳ﾘｽﾄ(4～3月)'!H$16:H$23),IF('内訳ﾘｽﾄ(4～3月)'!$D$5="部外間接1",-E$74,0))</f>
        <v>0.75</v>
      </c>
      <c r="F76" s="163">
        <f>IF('内訳ﾘｽﾄ(4～3月)'!$D$5="製造",SUMIF('内訳ﾘｽﾄ(4～3月)'!$D$16:$D$23,$B76,'内訳ﾘｽﾄ(4～3月)'!I$16:I$23),IF('内訳ﾘｽﾄ(4～3月)'!$D$5="部外間接1",-F$74,0))</f>
        <v>1</v>
      </c>
      <c r="G76" s="163">
        <f>IF('内訳ﾘｽﾄ(4～3月)'!$D$5="製造",SUMIF('内訳ﾘｽﾄ(4～3月)'!$D$16:$D$23,$B76,'内訳ﾘｽﾄ(4～3月)'!J$16:J$23),IF('内訳ﾘｽﾄ(4～3月)'!$D$5="部外間接1",-G$74,0))</f>
        <v>1</v>
      </c>
      <c r="H76" s="163">
        <f>IF('内訳ﾘｽﾄ(4～3月)'!$D$5="製造",SUMIF('内訳ﾘｽﾄ(4～3月)'!$D$16:$D$23,$B76,'内訳ﾘｽﾄ(4～3月)'!K$16:K$23),IF('内訳ﾘｽﾄ(4～3月)'!$D$5="部外間接1",-H$74,0))</f>
        <v>0.75</v>
      </c>
      <c r="I76" s="163">
        <f>IF('内訳ﾘｽﾄ(4～3月)'!$D$5="製造",SUMIF('内訳ﾘｽﾄ(4～3月)'!$D$16:$D$23,$B76,'内訳ﾘｽﾄ(4～3月)'!L$16:L$23),IF('内訳ﾘｽﾄ(4～3月)'!$D$5="部外間接1",-I$74,0))</f>
        <v>1</v>
      </c>
      <c r="J76" s="163">
        <f>IF('内訳ﾘｽﾄ(4～3月)'!$D$5="製造",SUMIF('内訳ﾘｽﾄ(4～3月)'!$D$16:$D$23,$B76,'内訳ﾘｽﾄ(4～3月)'!M$16:M$23),IF('内訳ﾘｽﾄ(4～3月)'!$D$5="部外間接1",-J$74,0))</f>
        <v>0.75</v>
      </c>
      <c r="K76" s="163">
        <f>IF('内訳ﾘｽﾄ(4～3月)'!$D$5="製造",SUMIF('内訳ﾘｽﾄ(4～3月)'!$D$16:$D$23,$B76,'内訳ﾘｽﾄ(4～3月)'!N$16:N$23),IF('内訳ﾘｽﾄ(4～3月)'!$D$5="部外間接1",-K$74,0))</f>
        <v>1</v>
      </c>
      <c r="L76" s="163">
        <f>IF('内訳ﾘｽﾄ(4～3月)'!$D$5="製造",SUMIF('内訳ﾘｽﾄ(4～3月)'!$D$16:$D$23,$B76,'内訳ﾘｽﾄ(4～3月)'!O$16:O$23),IF('内訳ﾘｽﾄ(4～3月)'!$D$5="部外間接1",-L$74,0))</f>
        <v>0.75</v>
      </c>
      <c r="M76" s="163">
        <f>IF('内訳ﾘｽﾄ(4～3月)'!$D$5="製造",SUMIF('内訳ﾘｽﾄ(4～3月)'!$D$16:$D$23,$B76,'内訳ﾘｽﾄ(4～3月)'!P$16:P$23),IF('内訳ﾘｽﾄ(4～3月)'!$D$5="部外間接1",-M$74,0))</f>
        <v>0.75</v>
      </c>
      <c r="N76" s="163">
        <f>IF('内訳ﾘｽﾄ(4～3月)'!$D$5="製造",SUMIF('内訳ﾘｽﾄ(4～3月)'!$D$16:$D$23,$B76,'内訳ﾘｽﾄ(4～3月)'!Q$16:Q$23),IF('内訳ﾘｽﾄ(4～3月)'!$D$5="部外間接1",-N$74,0))</f>
        <v>0.75</v>
      </c>
      <c r="O76" s="163">
        <f>IF('内訳ﾘｽﾄ(4～3月)'!$D$5="部外間接1",-SUM(O$74),IF('内訳ﾘｽﾄ(4～3月)'!$D$5="製造",SUMIF('内訳ﾘｽﾄ(4～3月)'!$D$16:$D$23,'採算表(VND)'!$B76,'内訳ﾘｽﾄ(4～3月)'!$R$16:$R$23),0))</f>
        <v>10</v>
      </c>
      <c r="AQ76" s="74"/>
      <c r="AR76" s="74"/>
      <c r="AS76" s="74"/>
      <c r="AT76" s="74"/>
      <c r="AU76" s="72"/>
      <c r="AV76" s="73"/>
      <c r="AW76" s="73"/>
      <c r="AX76" s="73"/>
      <c r="AY76" s="73"/>
      <c r="BA76" s="75"/>
      <c r="BB76" s="75"/>
      <c r="BC76" s="75"/>
      <c r="BD76" s="75"/>
      <c r="BF76" s="72"/>
      <c r="BG76" s="72"/>
      <c r="BH76" s="72"/>
      <c r="BI76" s="72"/>
    </row>
    <row r="77" spans="1:61">
      <c r="A77" s="38"/>
      <c r="B77" s="37" t="s">
        <v>127</v>
      </c>
      <c r="C77" s="163">
        <f>IF('内訳ﾘｽﾄ(4～3月)'!$D$5="製造",SUMIF('内訳ﾘｽﾄ(4～3月)'!$D$16:$D$23,$B77,'内訳ﾘｽﾄ(4～3月)'!F$16:F$23),IF('内訳ﾘｽﾄ(4～3月)'!$D$5="部外間接2",-C$74,0))</f>
        <v>1.25</v>
      </c>
      <c r="D77" s="163">
        <f>IF('内訳ﾘｽﾄ(4～3月)'!$D$5="製造",SUMIF('内訳ﾘｽﾄ(4～3月)'!$D$16:$D$23,$B77,'内訳ﾘｽﾄ(4～3月)'!G$16:G$23),IF('内訳ﾘｽﾄ(4～3月)'!$D$5="部外間接2",-D$74,0))</f>
        <v>1.25</v>
      </c>
      <c r="E77" s="163">
        <f>IF('内訳ﾘｽﾄ(4～3月)'!$D$5="製造",SUMIF('内訳ﾘｽﾄ(4～3月)'!$D$16:$D$23,$B77,'内訳ﾘｽﾄ(4～3月)'!H$16:H$23),IF('内訳ﾘｽﾄ(4～3月)'!$D$5="部外間接2",-E$74,0))</f>
        <v>1.25</v>
      </c>
      <c r="F77" s="163">
        <f>IF('内訳ﾘｽﾄ(4～3月)'!$D$5="製造",SUMIF('内訳ﾘｽﾄ(4～3月)'!$D$16:$D$23,$B77,'内訳ﾘｽﾄ(4～3月)'!I$16:I$23),IF('内訳ﾘｽﾄ(4～3月)'!$D$5="部外間接2",-F$74,0))</f>
        <v>2</v>
      </c>
      <c r="G77" s="163">
        <f>IF('内訳ﾘｽﾄ(4～3月)'!$D$5="製造",SUMIF('内訳ﾘｽﾄ(4～3月)'!$D$16:$D$23,$B77,'内訳ﾘｽﾄ(4～3月)'!J$16:J$23),IF('内訳ﾘｽﾄ(4～3月)'!$D$5="部外間接2",-G$74,0))</f>
        <v>2</v>
      </c>
      <c r="H77" s="163">
        <f>IF('内訳ﾘｽﾄ(4～3月)'!$D$5="製造",SUMIF('内訳ﾘｽﾄ(4～3月)'!$D$16:$D$23,$B77,'内訳ﾘｽﾄ(4～3月)'!K$16:K$23),IF('内訳ﾘｽﾄ(4～3月)'!$D$5="部外間接2",-H$74,0))</f>
        <v>2</v>
      </c>
      <c r="I77" s="163">
        <f>IF('内訳ﾘｽﾄ(4～3月)'!$D$5="製造",SUMIF('内訳ﾘｽﾄ(4～3月)'!$D$16:$D$23,$B77,'内訳ﾘｽﾄ(4～3月)'!L$16:L$23),IF('内訳ﾘｽﾄ(4～3月)'!$D$5="部外間接2",-I$74,0))</f>
        <v>2.25</v>
      </c>
      <c r="J77" s="163">
        <f>IF('内訳ﾘｽﾄ(4～3月)'!$D$5="製造",SUMIF('内訳ﾘｽﾄ(4～3月)'!$D$16:$D$23,$B77,'内訳ﾘｽﾄ(4～3月)'!M$16:M$23),IF('内訳ﾘｽﾄ(4～3月)'!$D$5="部外間接2",-J$74,0))</f>
        <v>2</v>
      </c>
      <c r="K77" s="163">
        <f>IF('内訳ﾘｽﾄ(4～3月)'!$D$5="製造",SUMIF('内訳ﾘｽﾄ(4～3月)'!$D$16:$D$23,$B77,'内訳ﾘｽﾄ(4～3月)'!N$16:N$23),IF('内訳ﾘｽﾄ(4～3月)'!$D$5="部外間接2",-K$74,0))</f>
        <v>2</v>
      </c>
      <c r="L77" s="163">
        <f>IF('内訳ﾘｽﾄ(4～3月)'!$D$5="製造",SUMIF('内訳ﾘｽﾄ(4～3月)'!$D$16:$D$23,$B77,'内訳ﾘｽﾄ(4～3月)'!O$16:O$23),IF('内訳ﾘｽﾄ(4～3月)'!$D$5="部外間接2",-L$74,0))</f>
        <v>2.25</v>
      </c>
      <c r="M77" s="163">
        <f>IF('内訳ﾘｽﾄ(4～3月)'!$D$5="製造",SUMIF('内訳ﾘｽﾄ(4～3月)'!$D$16:$D$23,$B77,'内訳ﾘｽﾄ(4～3月)'!P$16:P$23),IF('内訳ﾘｽﾄ(4～3月)'!$D$5="部外間接2",-M$74,0))</f>
        <v>1.75</v>
      </c>
      <c r="N77" s="163">
        <f>IF('内訳ﾘｽﾄ(4～3月)'!$D$5="製造",SUMIF('内訳ﾘｽﾄ(4～3月)'!$D$16:$D$23,$B77,'内訳ﾘｽﾄ(4～3月)'!Q$16:Q$23),IF('内訳ﾘｽﾄ(4～3月)'!$D$5="部外間接2",-N$74,0))</f>
        <v>2.25</v>
      </c>
      <c r="O77" s="163">
        <f>IF('内訳ﾘｽﾄ(4～3月)'!$D$5="部外間接2",-SUM(O$74),IF('内訳ﾘｽﾄ(4～3月)'!$D$5="製造",SUMIF('内訳ﾘｽﾄ(4～3月)'!$D$16:$D$23,'採算表(VND)'!$B77,'内訳ﾘｽﾄ(4～3月)'!$R$16:$R$23),0))</f>
        <v>22.25</v>
      </c>
      <c r="AQ77" s="74"/>
      <c r="AR77" s="74"/>
      <c r="AS77" s="74"/>
      <c r="AT77" s="74"/>
      <c r="AU77" s="72"/>
      <c r="AV77" s="73"/>
      <c r="AW77" s="73"/>
      <c r="AX77" s="73"/>
      <c r="AY77" s="73"/>
      <c r="BA77" s="75"/>
      <c r="BB77" s="75"/>
      <c r="BC77" s="75"/>
      <c r="BD77" s="75"/>
      <c r="BF77" s="72"/>
      <c r="BG77" s="72"/>
      <c r="BH77" s="72"/>
      <c r="BI77" s="72"/>
    </row>
    <row r="78" spans="1:61">
      <c r="A78" s="38"/>
      <c r="B78" s="40" t="s">
        <v>450</v>
      </c>
      <c r="C78" s="164">
        <f>IF('内訳ﾘｽﾄ(4～3月)'!$D$5="製造",SUMIF('内訳ﾘｽﾄ(4～3月)'!$D$16:$D$23,$B78,'内訳ﾘｽﾄ(4～3月)'!F$16:F$23),IF('内訳ﾘｽﾄ(4～3月)'!$D$5="工場間接",-C$74,0))</f>
        <v>4.5</v>
      </c>
      <c r="D78" s="164">
        <f>IF('内訳ﾘｽﾄ(4～3月)'!$D$5="製造",SUMIF('内訳ﾘｽﾄ(4～3月)'!$D$16:$D$23,$B78,'内訳ﾘｽﾄ(4～3月)'!G$16:G$23),IF('内訳ﾘｽﾄ(4～3月)'!$D$5="工場間接",-D$74,0))</f>
        <v>4</v>
      </c>
      <c r="E78" s="164">
        <f>IF('内訳ﾘｽﾄ(4～3月)'!$D$5="製造",SUMIF('内訳ﾘｽﾄ(4～3月)'!$D$16:$D$23,$B78,'内訳ﾘｽﾄ(4～3月)'!H$16:H$23),IF('内訳ﾘｽﾄ(4～3月)'!$D$5="工場間接",-E$74,0))</f>
        <v>3.75</v>
      </c>
      <c r="F78" s="164">
        <f>IF('内訳ﾘｽﾄ(4～3月)'!$D$5="製造",SUMIF('内訳ﾘｽﾄ(4～3月)'!$D$16:$D$23,$B78,'内訳ﾘｽﾄ(4～3月)'!I$16:I$23),IF('内訳ﾘｽﾄ(4～3月)'!$D$5="工場間接",-F$74,0))</f>
        <v>5</v>
      </c>
      <c r="G78" s="164">
        <f>IF('内訳ﾘｽﾄ(4～3月)'!$D$5="製造",SUMIF('内訳ﾘｽﾄ(4～3月)'!$D$16:$D$23,$B78,'内訳ﾘｽﾄ(4～3月)'!J$16:J$23),IF('内訳ﾘｽﾄ(4～3月)'!$D$5="工場間接",-G$74,0))</f>
        <v>5.5</v>
      </c>
      <c r="H78" s="164">
        <f>IF('内訳ﾘｽﾄ(4～3月)'!$D$5="製造",SUMIF('内訳ﾘｽﾄ(4～3月)'!$D$16:$D$23,$B78,'内訳ﾘｽﾄ(4～3月)'!K$16:K$23),IF('内訳ﾘｽﾄ(4～3月)'!$D$5="工場間接",-H$74,0))</f>
        <v>7</v>
      </c>
      <c r="I78" s="164">
        <f>IF('内訳ﾘｽﾄ(4～3月)'!$D$5="製造",SUMIF('内訳ﾘｽﾄ(4～3月)'!$D$16:$D$23,$B78,'内訳ﾘｽﾄ(4～3月)'!L$16:L$23),IF('内訳ﾘｽﾄ(4～3月)'!$D$5="工場間接",-I$74,0))</f>
        <v>5</v>
      </c>
      <c r="J78" s="164">
        <f>IF('内訳ﾘｽﾄ(4～3月)'!$D$5="製造",SUMIF('内訳ﾘｽﾄ(4～3月)'!$D$16:$D$23,$B78,'内訳ﾘｽﾄ(4～3月)'!M$16:M$23),IF('内訳ﾘｽﾄ(4～3月)'!$D$5="工場間接",-J$74,0))</f>
        <v>5</v>
      </c>
      <c r="K78" s="164">
        <f>IF('内訳ﾘｽﾄ(4～3月)'!$D$5="製造",SUMIF('内訳ﾘｽﾄ(4～3月)'!$D$16:$D$23,$B78,'内訳ﾘｽﾄ(4～3月)'!N$16:N$23),IF('内訳ﾘｽﾄ(4～3月)'!$D$5="工場間接",-K$74,0))</f>
        <v>5</v>
      </c>
      <c r="L78" s="164">
        <f>IF('内訳ﾘｽﾄ(4～3月)'!$D$5="製造",SUMIF('内訳ﾘｽﾄ(4～3月)'!$D$16:$D$23,$B78,'内訳ﾘｽﾄ(4～3月)'!O$16:O$23),IF('内訳ﾘｽﾄ(4～3月)'!$D$5="工場間接",-L$74,0))</f>
        <v>4.75</v>
      </c>
      <c r="M78" s="164">
        <f>IF('内訳ﾘｽﾄ(4～3月)'!$D$5="製造",SUMIF('内訳ﾘｽﾄ(4～3月)'!$D$16:$D$23,$B78,'内訳ﾘｽﾄ(4～3月)'!P$16:P$23),IF('内訳ﾘｽﾄ(4～3月)'!$D$5="工場間接",-M$74,0))</f>
        <v>7.75</v>
      </c>
      <c r="N78" s="164">
        <f>IF('内訳ﾘｽﾄ(4～3月)'!$D$5="製造",SUMIF('内訳ﾘｽﾄ(4～3月)'!$D$16:$D$23,$B78,'内訳ﾘｽﾄ(4～3月)'!Q$16:Q$23),IF('内訳ﾘｽﾄ(4～3月)'!$D$5="工場間接",-N$74,0))</f>
        <v>5.5</v>
      </c>
      <c r="O78" s="164">
        <f>IF('内訳ﾘｽﾄ(4～3月)'!$D$5="工場間接",-SUM(O$74),IF('内訳ﾘｽﾄ(4～3月)'!$D$5="製造",SUMIF('内訳ﾘｽﾄ(4～3月)'!$D$16:$D$23,'採算表(VND)'!$B78,'内訳ﾘｽﾄ(4～3月)'!$R$16:$R$23),0))</f>
        <v>62.75</v>
      </c>
      <c r="AQ78" s="74"/>
      <c r="AR78" s="74"/>
      <c r="AS78" s="74"/>
      <c r="AT78" s="74"/>
      <c r="AU78" s="72"/>
      <c r="AV78" s="73"/>
      <c r="AW78" s="73"/>
      <c r="AX78" s="73"/>
      <c r="AY78" s="73"/>
      <c r="BA78" s="75"/>
      <c r="BB78" s="75"/>
      <c r="BC78" s="75"/>
      <c r="BD78" s="75"/>
      <c r="BF78" s="72"/>
      <c r="BG78" s="72"/>
      <c r="BH78" s="72"/>
      <c r="BI78" s="72"/>
    </row>
    <row r="79" spans="1:61" ht="14.25" customHeight="1">
      <c r="A79" s="38"/>
      <c r="B79" s="41" t="s">
        <v>91</v>
      </c>
      <c r="C79" s="165">
        <f>SUM(C74:C78)</f>
        <v>508.5</v>
      </c>
      <c r="D79" s="165">
        <f t="shared" ref="D79:N79" si="7">SUM(D74:D78)</f>
        <v>488</v>
      </c>
      <c r="E79" s="165">
        <f t="shared" si="7"/>
        <v>527.75</v>
      </c>
      <c r="F79" s="165">
        <f t="shared" si="7"/>
        <v>570</v>
      </c>
      <c r="G79" s="165">
        <f t="shared" si="7"/>
        <v>510.5</v>
      </c>
      <c r="H79" s="165">
        <f t="shared" si="7"/>
        <v>491.75</v>
      </c>
      <c r="I79" s="165">
        <f t="shared" si="7"/>
        <v>662.25</v>
      </c>
      <c r="J79" s="165">
        <f t="shared" si="7"/>
        <v>589.75</v>
      </c>
      <c r="K79" s="165">
        <f t="shared" si="7"/>
        <v>638</v>
      </c>
      <c r="L79" s="165">
        <f t="shared" si="7"/>
        <v>589.75</v>
      </c>
      <c r="M79" s="165">
        <f t="shared" si="7"/>
        <v>462.25</v>
      </c>
      <c r="N79" s="165">
        <f t="shared" si="7"/>
        <v>590.5</v>
      </c>
      <c r="O79" s="165">
        <f>IF(ISBLANK(O10),"",SUM(O74:O78))</f>
        <v>6629</v>
      </c>
      <c r="AQ79" s="74"/>
      <c r="AR79" s="74"/>
      <c r="AS79" s="74"/>
      <c r="AT79" s="74"/>
      <c r="AU79" s="72"/>
      <c r="AV79" s="73"/>
      <c r="AW79" s="73"/>
      <c r="AX79" s="73"/>
      <c r="AY79" s="73"/>
      <c r="BA79" s="75"/>
      <c r="BB79" s="75"/>
      <c r="BC79" s="75"/>
      <c r="BD79" s="75"/>
      <c r="BF79" s="72"/>
      <c r="BG79" s="72"/>
      <c r="BH79" s="72"/>
      <c r="BI79" s="72"/>
    </row>
    <row r="80" spans="1:61" ht="14.25" customHeight="1">
      <c r="A80" s="26"/>
      <c r="B80" s="32" t="s">
        <v>79</v>
      </c>
      <c r="C80" s="166">
        <f>IFERROR(ROUNDDOWN(C66/C67,0),0)</f>
        <v>1085890</v>
      </c>
      <c r="D80" s="166">
        <f t="shared" ref="D80:N80" si="8">IFERROR(ROUNDDOWN(D66/D67,0),0)</f>
        <v>322997</v>
      </c>
      <c r="E80" s="166">
        <f t="shared" si="8"/>
        <v>232110</v>
      </c>
      <c r="F80" s="166">
        <f t="shared" si="8"/>
        <v>233908</v>
      </c>
      <c r="G80" s="166">
        <f t="shared" si="8"/>
        <v>290320</v>
      </c>
      <c r="H80" s="166">
        <f t="shared" si="8"/>
        <v>328077</v>
      </c>
      <c r="I80" s="166">
        <f t="shared" si="8"/>
        <v>229163</v>
      </c>
      <c r="J80" s="166">
        <f t="shared" si="8"/>
        <v>414197</v>
      </c>
      <c r="K80" s="166">
        <f t="shared" si="8"/>
        <v>389040</v>
      </c>
      <c r="L80" s="166">
        <f t="shared" si="8"/>
        <v>424618</v>
      </c>
      <c r="M80" s="166">
        <f t="shared" si="8"/>
        <v>561770</v>
      </c>
      <c r="N80" s="166">
        <f t="shared" si="8"/>
        <v>421275</v>
      </c>
      <c r="O80" s="166">
        <f>IFERROR(ROUNDDOWN(O66/O67,0),0)</f>
        <v>402448</v>
      </c>
      <c r="AQ80" s="74"/>
      <c r="AR80" s="74"/>
      <c r="AS80" s="74"/>
      <c r="AT80" s="74"/>
      <c r="AU80" s="72"/>
      <c r="AV80" s="73"/>
      <c r="AW80" s="73"/>
      <c r="AX80" s="73"/>
      <c r="AY80" s="73"/>
      <c r="BA80" s="75"/>
      <c r="BB80" s="75"/>
      <c r="BC80" s="75"/>
      <c r="BD80" s="75"/>
      <c r="BF80" s="72"/>
      <c r="BG80" s="72"/>
      <c r="BH80" s="72"/>
      <c r="BI80" s="72"/>
    </row>
    <row r="81" spans="1:61" ht="14.25" customHeight="1">
      <c r="A81" s="26"/>
      <c r="B81" s="42" t="s">
        <v>80</v>
      </c>
      <c r="C81" s="167">
        <f>IFERROR(ROUNDDOWN(C12/C67,0),0)</f>
        <v>1103632</v>
      </c>
      <c r="D81" s="167">
        <f t="shared" ref="D81:N81" si="9">IFERROR(ROUNDDOWN(D12/D67,0),0)</f>
        <v>349537</v>
      </c>
      <c r="E81" s="167">
        <f t="shared" si="9"/>
        <v>260391</v>
      </c>
      <c r="F81" s="167">
        <f t="shared" si="9"/>
        <v>256536</v>
      </c>
      <c r="G81" s="167">
        <f t="shared" si="9"/>
        <v>306276</v>
      </c>
      <c r="H81" s="167">
        <f t="shared" si="9"/>
        <v>345156</v>
      </c>
      <c r="I81" s="167">
        <f t="shared" si="9"/>
        <v>244813</v>
      </c>
      <c r="J81" s="167">
        <f t="shared" si="9"/>
        <v>430444</v>
      </c>
      <c r="K81" s="167">
        <f t="shared" si="9"/>
        <v>403913</v>
      </c>
      <c r="L81" s="167">
        <f t="shared" si="9"/>
        <v>441453</v>
      </c>
      <c r="M81" s="167">
        <f t="shared" si="9"/>
        <v>578969</v>
      </c>
      <c r="N81" s="167">
        <f t="shared" si="9"/>
        <v>434023</v>
      </c>
      <c r="O81" s="167">
        <f>IFERROR(ROUNDDOWN(O12/O67,0),0)</f>
        <v>420777</v>
      </c>
      <c r="AQ81" s="74"/>
      <c r="AR81" s="74"/>
      <c r="AS81" s="74"/>
      <c r="AT81" s="74"/>
      <c r="AU81" s="72"/>
      <c r="AV81" s="73"/>
      <c r="AW81" s="73"/>
      <c r="AX81" s="73"/>
      <c r="AY81" s="73"/>
      <c r="BA81" s="75"/>
      <c r="BB81" s="75"/>
      <c r="BC81" s="75"/>
      <c r="BD81" s="75"/>
      <c r="BF81" s="72"/>
      <c r="BG81" s="72"/>
      <c r="BH81" s="72"/>
      <c r="BI81" s="72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AQ86" s="74"/>
      <c r="AR86" s="74"/>
      <c r="AS86" s="74"/>
      <c r="AT86" s="74"/>
      <c r="AU86" s="72"/>
      <c r="AV86" s="73"/>
      <c r="AW86" s="73"/>
      <c r="AX86" s="73"/>
      <c r="AY86" s="73"/>
      <c r="BA86" s="75"/>
      <c r="BB86" s="75"/>
      <c r="BC86" s="75"/>
      <c r="BD86" s="75"/>
      <c r="BF86" s="72"/>
      <c r="BG86" s="72"/>
      <c r="BH86" s="72"/>
      <c r="BI86" s="72"/>
    </row>
    <row r="87" spans="1:61">
      <c r="A87" s="43"/>
      <c r="B87" s="59" t="s">
        <v>343</v>
      </c>
      <c r="C87" s="149">
        <f>SUMIF('内訳ﾘｽﾄ(4～3月)'!$D$24:$D$25,'採算表(VND)'!$B87,'内訳ﾘｽﾄ(4～3月)'!F$24:F$25)</f>
        <v>9</v>
      </c>
      <c r="D87" s="149">
        <f>SUMIF('内訳ﾘｽﾄ(4～3月)'!$D$24:$D$25,'採算表(VND)'!$B87,'内訳ﾘｽﾄ(4～3月)'!G$24:G$25)</f>
        <v>9</v>
      </c>
      <c r="E87" s="149">
        <f>SUMIF('内訳ﾘｽﾄ(4～3月)'!$D$24:$D$25,'採算表(VND)'!$B87,'内訳ﾘｽﾄ(4～3月)'!H$24:H$25)</f>
        <v>9</v>
      </c>
      <c r="F87" s="149">
        <f>SUMIF('内訳ﾘｽﾄ(4～3月)'!$D$24:$D$25,'採算表(VND)'!$B87,'内訳ﾘｽﾄ(4～3月)'!I$24:I$25)</f>
        <v>9</v>
      </c>
      <c r="G87" s="149">
        <f>SUMIF('内訳ﾘｽﾄ(4～3月)'!$D$24:$D$25,'採算表(VND)'!$B87,'内訳ﾘｽﾄ(4～3月)'!J$24:J$25)</f>
        <v>9</v>
      </c>
      <c r="H87" s="149">
        <f>SUMIF('内訳ﾘｽﾄ(4～3月)'!$D$24:$D$25,'採算表(VND)'!$B87,'内訳ﾘｽﾄ(4～3月)'!K$24:K$25)</f>
        <v>9</v>
      </c>
      <c r="I87" s="149">
        <f>SUMIF('内訳ﾘｽﾄ(4～3月)'!$D$24:$D$25,'採算表(VND)'!$B87,'内訳ﾘｽﾄ(4～3月)'!L$24:L$25)</f>
        <v>11</v>
      </c>
      <c r="J87" s="149">
        <f>SUMIF('内訳ﾘｽﾄ(4～3月)'!$D$24:$D$25,'採算表(VND)'!$B87,'内訳ﾘｽﾄ(4～3月)'!M$24:M$25)</f>
        <v>11</v>
      </c>
      <c r="K87" s="149">
        <f>SUMIF('内訳ﾘｽﾄ(4～3月)'!$D$24:$D$25,'採算表(VND)'!$B87,'内訳ﾘｽﾄ(4～3月)'!N$24:N$25)</f>
        <v>11</v>
      </c>
      <c r="L87" s="149">
        <f>SUMIF('内訳ﾘｽﾄ(4～3月)'!$D$24:$D$25,'採算表(VND)'!$B87,'内訳ﾘｽﾄ(4～3月)'!O$24:O$25)</f>
        <v>11</v>
      </c>
      <c r="M87" s="149">
        <f>SUMIF('内訳ﾘｽﾄ(4～3月)'!$D$24:$D$25,'採算表(VND)'!$B87,'内訳ﾘｽﾄ(4～3月)'!P$24:P$25)</f>
        <v>11</v>
      </c>
      <c r="N87" s="149">
        <f>SUMIF('内訳ﾘｽﾄ(4～3月)'!$D$24:$D$25,'採算表(VND)'!$B87,'内訳ﾘｽﾄ(4～3月)'!Q$24:Q$25)</f>
        <v>11</v>
      </c>
      <c r="O87" s="149">
        <f>SUMIF('内訳ﾘｽﾄ(4～3月)'!$D$24:$D$25,'採算表(VND)'!$B87,'内訳ﾘｽﾄ(4～3月)'!R$24:R$25)</f>
        <v>11</v>
      </c>
      <c r="AQ87" s="74"/>
      <c r="AR87" s="74"/>
      <c r="AS87" s="74"/>
      <c r="AT87" s="74"/>
      <c r="AU87" s="72"/>
      <c r="AV87" s="73"/>
      <c r="AW87" s="73"/>
      <c r="AX87" s="73"/>
      <c r="AY87" s="73"/>
      <c r="BA87" s="75"/>
      <c r="BB87" s="75"/>
      <c r="BC87" s="75"/>
      <c r="BD87" s="75"/>
      <c r="BF87" s="72"/>
      <c r="BG87" s="72"/>
      <c r="BH87" s="72"/>
      <c r="BI87" s="72"/>
    </row>
    <row r="88" spans="1:61">
      <c r="A88" s="43"/>
      <c r="B88" s="59" t="s">
        <v>344</v>
      </c>
      <c r="C88" s="149">
        <f>SUMIF('内訳ﾘｽﾄ(4～3月)'!$D$24:$D$25,'採算表(VND)'!$B88,'内訳ﾘｽﾄ(4～3月)'!F$24:F$25)</f>
        <v>9</v>
      </c>
      <c r="D88" s="149">
        <f>SUMIF('内訳ﾘｽﾄ(4～3月)'!$D$24:$D$25,'採算表(VND)'!$B88,'内訳ﾘｽﾄ(4～3月)'!G$24:G$25)</f>
        <v>9</v>
      </c>
      <c r="E88" s="149">
        <f>SUMIF('内訳ﾘｽﾄ(4～3月)'!$D$24:$D$25,'採算表(VND)'!$B88,'内訳ﾘｽﾄ(4～3月)'!H$24:H$25)</f>
        <v>9</v>
      </c>
      <c r="F88" s="149">
        <f>SUMIF('内訳ﾘｽﾄ(4～3月)'!$D$24:$D$25,'採算表(VND)'!$B88,'内訳ﾘｽﾄ(4～3月)'!I$24:I$25)</f>
        <v>9</v>
      </c>
      <c r="G88" s="149">
        <f>SUMIF('内訳ﾘｽﾄ(4～3月)'!$D$24:$D$25,'採算表(VND)'!$B88,'内訳ﾘｽﾄ(4～3月)'!J$24:J$25)</f>
        <v>9</v>
      </c>
      <c r="H88" s="149">
        <f>SUMIF('内訳ﾘｽﾄ(4～3月)'!$D$24:$D$25,'採算表(VND)'!$B88,'内訳ﾘｽﾄ(4～3月)'!K$24:K$25)</f>
        <v>9</v>
      </c>
      <c r="I88" s="149">
        <f>SUMIF('内訳ﾘｽﾄ(4～3月)'!$D$24:$D$25,'採算表(VND)'!$B88,'内訳ﾘｽﾄ(4～3月)'!L$24:L$25)</f>
        <v>9</v>
      </c>
      <c r="J88" s="149">
        <f>SUMIF('内訳ﾘｽﾄ(4～3月)'!$D$24:$D$25,'採算表(VND)'!$B88,'内訳ﾘｽﾄ(4～3月)'!M$24:M$25)</f>
        <v>9</v>
      </c>
      <c r="K88" s="149">
        <f>SUMIF('内訳ﾘｽﾄ(4～3月)'!$D$24:$D$25,'採算表(VND)'!$B88,'内訳ﾘｽﾄ(4～3月)'!N$24:N$25)</f>
        <v>9</v>
      </c>
      <c r="L88" s="149">
        <f>SUMIF('内訳ﾘｽﾄ(4～3月)'!$D$24:$D$25,'採算表(VND)'!$B88,'内訳ﾘｽﾄ(4～3月)'!O$24:O$25)</f>
        <v>9</v>
      </c>
      <c r="M88" s="149">
        <f>SUMIF('内訳ﾘｽﾄ(4～3月)'!$D$24:$D$25,'採算表(VND)'!$B88,'内訳ﾘｽﾄ(4～3月)'!P$24:P$25)</f>
        <v>9</v>
      </c>
      <c r="N88" s="149">
        <f>SUMIF('内訳ﾘｽﾄ(4～3月)'!$D$24:$D$25,'採算表(VND)'!$B88,'内訳ﾘｽﾄ(4～3月)'!Q$24:Q$25)</f>
        <v>9</v>
      </c>
      <c r="O88" s="149">
        <f>SUMIF('内訳ﾘｽﾄ(4～3月)'!$D$24:$D$25,'採算表(VND)'!$B88,'内訳ﾘｽﾄ(4～3月)'!R$24:R$25)</f>
        <v>9</v>
      </c>
      <c r="AQ88" s="74"/>
      <c r="AR88" s="74"/>
      <c r="AS88" s="74"/>
      <c r="AT88" s="74"/>
      <c r="AU88" s="72"/>
      <c r="AV88" s="73"/>
      <c r="AW88" s="73"/>
      <c r="AX88" s="73"/>
      <c r="AY88" s="73"/>
      <c r="BA88" s="75"/>
      <c r="BB88" s="75"/>
      <c r="BC88" s="75"/>
      <c r="BD88" s="75"/>
      <c r="BF88" s="72"/>
      <c r="BG88" s="72"/>
      <c r="BH88" s="72"/>
      <c r="BI88" s="72"/>
    </row>
    <row r="89" spans="1:61">
      <c r="A89" s="44"/>
      <c r="B89" s="60" t="s">
        <v>18</v>
      </c>
      <c r="C89" s="150">
        <f t="shared" ref="C89:N89" si="10">C87+C88</f>
        <v>18</v>
      </c>
      <c r="D89" s="150">
        <f t="shared" si="10"/>
        <v>18</v>
      </c>
      <c r="E89" s="150">
        <f t="shared" si="10"/>
        <v>18</v>
      </c>
      <c r="F89" s="150">
        <f t="shared" si="10"/>
        <v>18</v>
      </c>
      <c r="G89" s="150">
        <f t="shared" si="10"/>
        <v>18</v>
      </c>
      <c r="H89" s="150">
        <f t="shared" si="10"/>
        <v>18</v>
      </c>
      <c r="I89" s="150">
        <f t="shared" si="10"/>
        <v>20</v>
      </c>
      <c r="J89" s="150">
        <f t="shared" si="10"/>
        <v>20</v>
      </c>
      <c r="K89" s="150">
        <f t="shared" si="10"/>
        <v>20</v>
      </c>
      <c r="L89" s="150">
        <f t="shared" si="10"/>
        <v>20</v>
      </c>
      <c r="M89" s="150">
        <f t="shared" si="10"/>
        <v>20</v>
      </c>
      <c r="N89" s="150">
        <f t="shared" si="10"/>
        <v>20</v>
      </c>
      <c r="O89" s="150">
        <f>O87+O88</f>
        <v>20</v>
      </c>
      <c r="AQ89" s="74"/>
      <c r="AR89" s="74"/>
      <c r="AS89" s="74"/>
      <c r="AT89" s="74"/>
      <c r="AU89" s="72"/>
      <c r="AV89" s="73"/>
      <c r="AW89" s="73"/>
      <c r="AX89" s="73"/>
      <c r="AY89" s="73"/>
      <c r="BA89" s="75"/>
      <c r="BB89" s="75"/>
      <c r="BC89" s="75"/>
      <c r="BD89" s="75"/>
      <c r="BF89" s="72"/>
      <c r="BG89" s="72"/>
      <c r="BH89" s="72"/>
      <c r="BI89" s="72"/>
    </row>
    <row r="90" spans="1:61">
      <c r="AQ90" s="74"/>
      <c r="AR90" s="74"/>
      <c r="AS90" s="74"/>
      <c r="AT90" s="74"/>
      <c r="AU90" s="72"/>
      <c r="AV90" s="73"/>
      <c r="AW90" s="73"/>
      <c r="AX90" s="73"/>
      <c r="AY90" s="73"/>
      <c r="BA90" s="75"/>
      <c r="BB90" s="75"/>
      <c r="BC90" s="75"/>
      <c r="BD90" s="75"/>
      <c r="BF90" s="72"/>
      <c r="BG90" s="72"/>
      <c r="BH90" s="72"/>
      <c r="BI90" s="72"/>
    </row>
    <row r="91" spans="1:61">
      <c r="B91" s="58" t="s">
        <v>19</v>
      </c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AQ91" s="74"/>
      <c r="AR91" s="74"/>
      <c r="AS91" s="74"/>
      <c r="AT91" s="74"/>
      <c r="AU91" s="72"/>
      <c r="AV91" s="73"/>
      <c r="AW91" s="73"/>
      <c r="AX91" s="73"/>
      <c r="AY91" s="73"/>
      <c r="BA91" s="75"/>
      <c r="BB91" s="75"/>
      <c r="BC91" s="75"/>
      <c r="BD91" s="75"/>
      <c r="BF91" s="72"/>
      <c r="BG91" s="72"/>
      <c r="BH91" s="72"/>
      <c r="BI91" s="72"/>
    </row>
    <row r="92" spans="1:61">
      <c r="B92" s="59" t="s">
        <v>324</v>
      </c>
      <c r="C92" s="160">
        <f>SUMIF('内訳ﾘｽﾄ(4～3月)'!$B$8:$B$15,$B92,'内訳ﾘｽﾄ(4～3月)'!F$8:F$15)</f>
        <v>1521.5</v>
      </c>
      <c r="D92" s="160">
        <f>SUMIF('内訳ﾘｽﾄ(4～3月)'!$B$8:$B$15,$B92,'内訳ﾘｽﾄ(4～3月)'!G$8:G$15)</f>
        <v>1445</v>
      </c>
      <c r="E92" s="160">
        <f>SUMIF('内訳ﾘｽﾄ(4～3月)'!$B$8:$B$15,$B92,'内訳ﾘｽﾄ(4～3月)'!H$8:H$15)</f>
        <v>1598</v>
      </c>
      <c r="F92" s="160">
        <f>SUMIF('内訳ﾘｽﾄ(4～3月)'!$B$8:$B$15,$B92,'内訳ﾘｽﾄ(4～3月)'!I$8:I$15)</f>
        <v>1751</v>
      </c>
      <c r="G92" s="160">
        <f>SUMIF('内訳ﾘｽﾄ(4～3月)'!$B$8:$B$15,$B92,'内訳ﾘｽﾄ(4～3月)'!J$8:J$15)</f>
        <v>1521.5</v>
      </c>
      <c r="H92" s="160">
        <f>SUMIF('内訳ﾘｽﾄ(4～3月)'!$B$8:$B$15,$B92,'内訳ﾘｽﾄ(4～3月)'!K$8:K$15)</f>
        <v>1445</v>
      </c>
      <c r="I92" s="160">
        <f>SUMIF('内訳ﾘｽﾄ(4～3月)'!$B$8:$B$15,$B92,'内訳ﾘｽﾄ(4～3月)'!L$8:L$15)</f>
        <v>2142</v>
      </c>
      <c r="J92" s="160">
        <f>SUMIF('内訳ﾘｽﾄ(4～3月)'!$B$8:$B$15,$B92,'内訳ﾘｽﾄ(4～3月)'!M$8:M$15)</f>
        <v>1861.5</v>
      </c>
      <c r="K92" s="160">
        <f>SUMIF('内訳ﾘｽﾄ(4～3月)'!$B$8:$B$15,$B92,'内訳ﾘｽﾄ(4～3月)'!N$8:N$15)</f>
        <v>2048.5</v>
      </c>
      <c r="L92" s="160">
        <f>SUMIF('内訳ﾘｽﾄ(4～3月)'!$B$8:$B$15,$B92,'内訳ﾘｽﾄ(4～3月)'!O$8:O$15)</f>
        <v>1861.5</v>
      </c>
      <c r="M92" s="160">
        <f>SUMIF('内訳ﾘｽﾄ(4～3月)'!$B$8:$B$15,$B92,'内訳ﾘｽﾄ(4～3月)'!P$8:P$15)</f>
        <v>1351.5</v>
      </c>
      <c r="N92" s="160">
        <f>SUMIF('内訳ﾘｽﾄ(4～3月)'!$B$8:$B$15,$B92,'内訳ﾘｽﾄ(4～3月)'!Q$8:Q$15)</f>
        <v>1861.5</v>
      </c>
      <c r="O92" s="160">
        <f>SUMIF('内訳ﾘｽﾄ(4～3月)'!$B$8:$B$15,$B92,'内訳ﾘｽﾄ(4～3月)'!R$8:R$15)</f>
        <v>20408.5</v>
      </c>
      <c r="AQ92" s="74"/>
      <c r="AR92" s="74"/>
      <c r="AS92" s="74"/>
      <c r="AT92" s="74"/>
      <c r="AU92" s="72"/>
      <c r="AV92" s="73"/>
      <c r="AW92" s="73"/>
      <c r="AX92" s="73"/>
      <c r="AY92" s="73"/>
      <c r="BA92" s="75"/>
      <c r="BB92" s="75"/>
      <c r="BC92" s="75"/>
      <c r="BD92" s="75"/>
      <c r="BF92" s="72"/>
      <c r="BG92" s="72"/>
      <c r="BH92" s="72"/>
      <c r="BI92" s="72"/>
    </row>
    <row r="93" spans="1:61">
      <c r="B93" s="59" t="s">
        <v>325</v>
      </c>
      <c r="C93" s="160">
        <f>SUMIF('内訳ﾘｽﾄ(4～3月)'!$B$8:$B$15,$B93,'内訳ﾘｽﾄ(4～3月)'!F$8:F$15)</f>
        <v>1470.5</v>
      </c>
      <c r="D93" s="160">
        <f>SUMIF('内訳ﾘｽﾄ(4～3月)'!$B$8:$B$15,$B93,'内訳ﾘｽﾄ(4～3月)'!G$8:G$15)</f>
        <v>1394</v>
      </c>
      <c r="E93" s="160">
        <f>SUMIF('内訳ﾘｽﾄ(4～3月)'!$B$8:$B$15,$B93,'内訳ﾘｽﾄ(4～3月)'!H$8:H$15)</f>
        <v>1547</v>
      </c>
      <c r="F93" s="160">
        <f>SUMIF('内訳ﾘｽﾄ(4～3月)'!$B$8:$B$15,$B93,'内訳ﾘｽﾄ(4～3月)'!I$8:I$15)</f>
        <v>1700</v>
      </c>
      <c r="G93" s="160">
        <f>SUMIF('内訳ﾘｽﾄ(4～3月)'!$B$8:$B$15,$B93,'内訳ﾘｽﾄ(4～3月)'!J$8:J$15)</f>
        <v>1470.5</v>
      </c>
      <c r="H93" s="160">
        <f>SUMIF('内訳ﾘｽﾄ(4～3月)'!$B$8:$B$15,$B93,'内訳ﾘｽﾄ(4～3月)'!K$8:K$15)</f>
        <v>1394</v>
      </c>
      <c r="I93" s="160">
        <f>SUMIF('内訳ﾘｽﾄ(4～3月)'!$B$8:$B$15,$B93,'内訳ﾘｽﾄ(4～3月)'!L$8:L$15)</f>
        <v>1700</v>
      </c>
      <c r="J93" s="160">
        <f>SUMIF('内訳ﾘｽﾄ(4～3月)'!$B$8:$B$15,$B93,'内訳ﾘｽﾄ(4～3月)'!M$8:M$15)</f>
        <v>1470.5</v>
      </c>
      <c r="K93" s="160">
        <f>SUMIF('内訳ﾘｽﾄ(4～3月)'!$B$8:$B$15,$B93,'内訳ﾘｽﾄ(4～3月)'!N$8:N$15)</f>
        <v>1623.5</v>
      </c>
      <c r="L93" s="160">
        <f>SUMIF('内訳ﾘｽﾄ(4～3月)'!$B$8:$B$15,$B93,'内訳ﾘｽﾄ(4～3月)'!O$8:O$15)</f>
        <v>1470.5</v>
      </c>
      <c r="M93" s="160">
        <f>SUMIF('内訳ﾘｽﾄ(4～3月)'!$B$8:$B$15,$B93,'内訳ﾘｽﾄ(4～3月)'!P$8:P$15)</f>
        <v>1088</v>
      </c>
      <c r="N93" s="160">
        <f>SUMIF('内訳ﾘｽﾄ(4～3月)'!$B$8:$B$15,$B93,'内訳ﾘｽﾄ(4～3月)'!Q$8:Q$15)</f>
        <v>1470.5</v>
      </c>
      <c r="O93" s="160">
        <f>SUMIF('内訳ﾘｽﾄ(4～3月)'!$B$8:$B$15,$B93,'内訳ﾘｽﾄ(4～3月)'!R$8:R$15)</f>
        <v>17799</v>
      </c>
      <c r="AQ93" s="74"/>
      <c r="AR93" s="74"/>
      <c r="AS93" s="74"/>
      <c r="AT93" s="74"/>
      <c r="AU93" s="72"/>
      <c r="AV93" s="73"/>
      <c r="AW93" s="73"/>
      <c r="AX93" s="73"/>
      <c r="AY93" s="73"/>
      <c r="BA93" s="75"/>
      <c r="BB93" s="75"/>
      <c r="BC93" s="75"/>
      <c r="BD93" s="75"/>
      <c r="BF93" s="72"/>
      <c r="BG93" s="72"/>
      <c r="BH93" s="72"/>
      <c r="BI93" s="72"/>
    </row>
    <row r="94" spans="1:61">
      <c r="B94" s="61" t="s">
        <v>18</v>
      </c>
      <c r="C94" s="168">
        <f t="shared" ref="C94:N94" si="11">C92+C93</f>
        <v>2992</v>
      </c>
      <c r="D94" s="168">
        <f t="shared" si="11"/>
        <v>2839</v>
      </c>
      <c r="E94" s="168">
        <f t="shared" si="11"/>
        <v>3145</v>
      </c>
      <c r="F94" s="168">
        <f t="shared" si="11"/>
        <v>3451</v>
      </c>
      <c r="G94" s="168">
        <f t="shared" si="11"/>
        <v>2992</v>
      </c>
      <c r="H94" s="168">
        <f t="shared" si="11"/>
        <v>2839</v>
      </c>
      <c r="I94" s="168">
        <f t="shared" si="11"/>
        <v>3842</v>
      </c>
      <c r="J94" s="168">
        <f t="shared" si="11"/>
        <v>3332</v>
      </c>
      <c r="K94" s="168">
        <f t="shared" si="11"/>
        <v>3672</v>
      </c>
      <c r="L94" s="168">
        <f t="shared" si="11"/>
        <v>3332</v>
      </c>
      <c r="M94" s="168">
        <f t="shared" si="11"/>
        <v>2439.5</v>
      </c>
      <c r="N94" s="168">
        <f t="shared" si="11"/>
        <v>3332</v>
      </c>
      <c r="O94" s="168">
        <f>O92+O93</f>
        <v>38207.5</v>
      </c>
      <c r="AQ94" s="74"/>
      <c r="AR94" s="74"/>
      <c r="AS94" s="74"/>
      <c r="AT94" s="74"/>
      <c r="AU94" s="72"/>
      <c r="AV94" s="73"/>
      <c r="AW94" s="73"/>
      <c r="AX94" s="73"/>
      <c r="AY94" s="73"/>
      <c r="BA94" s="75"/>
      <c r="BB94" s="75"/>
      <c r="BC94" s="75"/>
      <c r="BD94" s="75"/>
      <c r="BF94" s="72"/>
      <c r="BG94" s="72"/>
      <c r="BH94" s="72"/>
      <c r="BI94" s="72"/>
    </row>
    <row r="95" spans="1:61"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AQ95" s="74"/>
      <c r="AR95" s="74"/>
      <c r="AS95" s="74"/>
      <c r="AT95" s="74"/>
      <c r="AU95" s="72"/>
      <c r="AV95" s="73"/>
      <c r="AW95" s="73"/>
      <c r="AX95" s="73"/>
      <c r="AY95" s="73"/>
      <c r="BA95" s="75"/>
      <c r="BB95" s="75"/>
      <c r="BC95" s="75"/>
      <c r="BD95" s="75"/>
      <c r="BF95" s="72"/>
      <c r="BG95" s="72"/>
      <c r="BH95" s="72"/>
      <c r="BI95" s="72"/>
    </row>
    <row r="96" spans="1:61">
      <c r="B96" s="58" t="s">
        <v>20</v>
      </c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AQ96" s="74"/>
      <c r="AR96" s="74"/>
      <c r="AS96" s="74"/>
      <c r="AT96" s="74"/>
      <c r="AU96" s="72"/>
      <c r="AV96" s="73"/>
      <c r="AW96" s="73"/>
      <c r="AX96" s="73"/>
      <c r="AY96" s="73"/>
      <c r="BA96" s="75"/>
      <c r="BB96" s="75"/>
      <c r="BC96" s="75"/>
      <c r="BD96" s="75"/>
      <c r="BF96" s="72"/>
      <c r="BG96" s="72"/>
      <c r="BH96" s="72"/>
      <c r="BI96" s="72"/>
    </row>
    <row r="97" spans="2:61">
      <c r="B97" s="59" t="s">
        <v>326</v>
      </c>
      <c r="C97" s="160">
        <f>SUMIF('内訳ﾘｽﾄ(4～3月)'!$B$16:$B$23,$B97,'内訳ﾘｽﾄ(4～3月)'!F$16:F$23)</f>
        <v>358</v>
      </c>
      <c r="D97" s="160">
        <f>SUMIF('内訳ﾘｽﾄ(4～3月)'!$B$16:$B$23,$B97,'内訳ﾘｽﾄ(4～3月)'!G$16:G$23)</f>
        <v>340</v>
      </c>
      <c r="E97" s="160">
        <f>SUMIF('内訳ﾘｽﾄ(4～3月)'!$B$16:$B$23,$B97,'内訳ﾘｽﾄ(4～3月)'!H$16:H$23)</f>
        <v>376</v>
      </c>
      <c r="F97" s="160">
        <f>SUMIF('内訳ﾘｽﾄ(4～3月)'!$B$16:$B$23,$B97,'内訳ﾘｽﾄ(4～3月)'!I$16:I$23)</f>
        <v>412</v>
      </c>
      <c r="G97" s="160">
        <f>SUMIF('内訳ﾘｽﾄ(4～3月)'!$B$16:$B$23,$B97,'内訳ﾘｽﾄ(4～3月)'!J$16:J$23)</f>
        <v>358</v>
      </c>
      <c r="H97" s="160">
        <f>SUMIF('内訳ﾘｽﾄ(4～3月)'!$B$16:$B$23,$B97,'内訳ﾘｽﾄ(4～3月)'!K$16:K$23)</f>
        <v>340</v>
      </c>
      <c r="I97" s="160">
        <f>SUMIF('内訳ﾘｽﾄ(4～3月)'!$B$16:$B$23,$B97,'内訳ﾘｽﾄ(4～3月)'!L$16:L$23)</f>
        <v>504</v>
      </c>
      <c r="J97" s="160">
        <f>SUMIF('内訳ﾘｽﾄ(4～3月)'!$B$16:$B$23,$B97,'内訳ﾘｽﾄ(4～3月)'!M$16:M$23)</f>
        <v>438</v>
      </c>
      <c r="K97" s="160">
        <f>SUMIF('内訳ﾘｽﾄ(4～3月)'!$B$16:$B$23,$B97,'内訳ﾘｽﾄ(4～3月)'!N$16:N$23)</f>
        <v>482</v>
      </c>
      <c r="L97" s="160">
        <f>SUMIF('内訳ﾘｽﾄ(4～3月)'!$B$16:$B$23,$B97,'内訳ﾘｽﾄ(4～3月)'!O$16:O$23)</f>
        <v>438</v>
      </c>
      <c r="M97" s="160">
        <f>SUMIF('内訳ﾘｽﾄ(4～3月)'!$B$16:$B$23,$B97,'内訳ﾘｽﾄ(4～3月)'!P$16:P$23)</f>
        <v>318</v>
      </c>
      <c r="N97" s="160">
        <f>SUMIF('内訳ﾘｽﾄ(4～3月)'!$B$16:$B$23,$B97,'内訳ﾘｽﾄ(4～3月)'!Q$16:Q$23)</f>
        <v>438</v>
      </c>
      <c r="O97" s="160">
        <f>SUMIF('内訳ﾘｽﾄ(4～3月)'!$B$16:$B$23,$B97,'内訳ﾘｽﾄ(4～3月)'!R$16:R$23)</f>
        <v>4802</v>
      </c>
      <c r="AQ97" s="74"/>
      <c r="AR97" s="74"/>
      <c r="AS97" s="74"/>
      <c r="AT97" s="74"/>
      <c r="AU97" s="72"/>
      <c r="AV97" s="73"/>
      <c r="AW97" s="73"/>
      <c r="AX97" s="73"/>
      <c r="AY97" s="73"/>
      <c r="BA97" s="75"/>
      <c r="BB97" s="75"/>
      <c r="BC97" s="75"/>
      <c r="BD97" s="75"/>
      <c r="BF97" s="72"/>
      <c r="BG97" s="72"/>
      <c r="BH97" s="72"/>
      <c r="BI97" s="72"/>
    </row>
    <row r="98" spans="2:61">
      <c r="B98" s="59" t="s">
        <v>327</v>
      </c>
      <c r="C98" s="160">
        <f>SUMIF('内訳ﾘｽﾄ(4～3月)'!$B$16:$B$23,$B98,'内訳ﾘｽﾄ(4～3月)'!F$16:F$23)</f>
        <v>144</v>
      </c>
      <c r="D98" s="160">
        <f>SUMIF('内訳ﾘｽﾄ(4～3月)'!$B$16:$B$23,$B98,'内訳ﾘｽﾄ(4～3月)'!G$16:G$23)</f>
        <v>142</v>
      </c>
      <c r="E98" s="160">
        <f>SUMIF('内訳ﾘｽﾄ(4～3月)'!$B$16:$B$23,$B98,'内訳ﾘｽﾄ(4～3月)'!H$16:H$23)</f>
        <v>146</v>
      </c>
      <c r="F98" s="160">
        <f>SUMIF('内訳ﾘｽﾄ(4～3月)'!$B$16:$B$23,$B98,'内訳ﾘｽﾄ(4～3月)'!I$16:I$23)</f>
        <v>150</v>
      </c>
      <c r="G98" s="160">
        <f>SUMIF('内訳ﾘｽﾄ(4～3月)'!$B$16:$B$23,$B98,'内訳ﾘｽﾄ(4～3月)'!J$16:J$23)</f>
        <v>144</v>
      </c>
      <c r="H98" s="160">
        <f>SUMIF('内訳ﾘｽﾄ(4～3月)'!$B$16:$B$23,$B98,'内訳ﾘｽﾄ(4～3月)'!K$16:K$23)</f>
        <v>142</v>
      </c>
      <c r="I98" s="160">
        <f>SUMIF('内訳ﾘｽﾄ(4～3月)'!$B$16:$B$23,$B98,'内訳ﾘｽﾄ(4～3月)'!L$16:L$23)</f>
        <v>150</v>
      </c>
      <c r="J98" s="160">
        <f>SUMIF('内訳ﾘｽﾄ(4～3月)'!$B$16:$B$23,$B98,'内訳ﾘｽﾄ(4～3月)'!M$16:M$23)</f>
        <v>144</v>
      </c>
      <c r="K98" s="160">
        <f>SUMIF('内訳ﾘｽﾄ(4～3月)'!$B$16:$B$23,$B98,'内訳ﾘｽﾄ(4～3月)'!N$16:N$23)</f>
        <v>148</v>
      </c>
      <c r="L98" s="160">
        <f>SUMIF('内訳ﾘｽﾄ(4～3月)'!$B$16:$B$23,$B98,'内訳ﾘｽﾄ(4～3月)'!O$16:O$23)</f>
        <v>144</v>
      </c>
      <c r="M98" s="160">
        <f>SUMIF('内訳ﾘｽﾄ(4～3月)'!$B$16:$B$23,$B98,'内訳ﾘｽﾄ(4～3月)'!P$16:P$23)</f>
        <v>134</v>
      </c>
      <c r="N98" s="160">
        <f>SUMIF('内訳ﾘｽﾄ(4～3月)'!$B$16:$B$23,$B98,'内訳ﾘｽﾄ(4～3月)'!Q$16:Q$23)</f>
        <v>144</v>
      </c>
      <c r="O98" s="160">
        <f>SUMIF('内訳ﾘｽﾄ(4～3月)'!$B$16:$B$23,$B98,'内訳ﾘｽﾄ(4～3月)'!R$16:R$23)</f>
        <v>1732</v>
      </c>
      <c r="AQ98" s="74"/>
      <c r="AR98" s="74"/>
      <c r="AS98" s="74"/>
      <c r="AT98" s="74"/>
      <c r="AU98" s="72"/>
      <c r="AV98" s="73"/>
      <c r="AW98" s="73"/>
      <c r="AX98" s="73"/>
      <c r="AY98" s="73"/>
      <c r="BA98" s="75"/>
      <c r="BB98" s="75"/>
      <c r="BC98" s="75"/>
      <c r="BD98" s="75"/>
      <c r="BF98" s="72"/>
      <c r="BG98" s="72"/>
      <c r="BH98" s="72"/>
      <c r="BI98" s="72"/>
    </row>
    <row r="99" spans="2:61">
      <c r="B99" s="61" t="s">
        <v>18</v>
      </c>
      <c r="C99" s="168">
        <f t="shared" ref="C99:N99" si="12">C97+C98</f>
        <v>502</v>
      </c>
      <c r="D99" s="168">
        <f t="shared" si="12"/>
        <v>482</v>
      </c>
      <c r="E99" s="168">
        <f t="shared" si="12"/>
        <v>522</v>
      </c>
      <c r="F99" s="168">
        <f t="shared" si="12"/>
        <v>562</v>
      </c>
      <c r="G99" s="168">
        <f t="shared" si="12"/>
        <v>502</v>
      </c>
      <c r="H99" s="168">
        <f t="shared" si="12"/>
        <v>482</v>
      </c>
      <c r="I99" s="168">
        <f t="shared" si="12"/>
        <v>654</v>
      </c>
      <c r="J99" s="168">
        <f t="shared" si="12"/>
        <v>582</v>
      </c>
      <c r="K99" s="168">
        <f t="shared" si="12"/>
        <v>630</v>
      </c>
      <c r="L99" s="168">
        <f t="shared" si="12"/>
        <v>582</v>
      </c>
      <c r="M99" s="168">
        <f t="shared" si="12"/>
        <v>452</v>
      </c>
      <c r="N99" s="168">
        <f t="shared" si="12"/>
        <v>582</v>
      </c>
      <c r="O99" s="168">
        <f>O97+O98</f>
        <v>6534</v>
      </c>
      <c r="AQ99" s="74"/>
      <c r="AR99" s="74"/>
      <c r="AS99" s="74"/>
      <c r="AT99" s="74"/>
      <c r="AU99" s="72"/>
      <c r="AV99" s="73"/>
      <c r="AW99" s="73"/>
      <c r="AX99" s="73"/>
      <c r="AY99" s="73"/>
      <c r="BA99" s="75"/>
      <c r="BB99" s="75"/>
      <c r="BC99" s="75"/>
      <c r="BD99" s="75"/>
      <c r="BF99" s="72"/>
      <c r="BG99" s="72"/>
      <c r="BH99" s="72"/>
      <c r="BI99" s="72"/>
    </row>
  </sheetData>
  <phoneticPr fontId="2"/>
  <dataValidations count="1">
    <dataValidation type="whole" allowBlank="1" showInputMessage="1" showErrorMessage="1" sqref="C5:O8 C12:O48 C65:O66" xr:uid="{01B8EC2C-5F45-4726-AB17-4086E0D9C68C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3DA-3E1A-4270-AF61-C1BA17953568}">
  <sheetPr codeName="Sheet3">
    <tabColor indexed="13"/>
  </sheetPr>
  <dimension ref="A1:BC180"/>
  <sheetViews>
    <sheetView tabSelected="1" zoomScale="85" zoomScaleNormal="85" workbookViewId="0">
      <selection activeCell="F20" sqref="F20:Q23"/>
    </sheetView>
  </sheetViews>
  <sheetFormatPr defaultColWidth="9" defaultRowHeight="11.25"/>
  <cols>
    <col min="1" max="1" width="2" style="1" customWidth="1"/>
    <col min="2" max="2" width="12.375" style="180" customWidth="1"/>
    <col min="3" max="3" width="31" style="4" bestFit="1" customWidth="1"/>
    <col min="4" max="4" width="19.125" style="4" bestFit="1" customWidth="1"/>
    <col min="5" max="5" width="7.625" style="3" customWidth="1"/>
    <col min="6" max="6" width="14.25" style="123" customWidth="1"/>
    <col min="7" max="7" width="14.125" style="124" customWidth="1"/>
    <col min="8" max="8" width="11.625" style="124" customWidth="1"/>
    <col min="9" max="9" width="15.125" style="124" customWidth="1"/>
    <col min="10" max="17" width="11.625" style="124" customWidth="1"/>
    <col min="18" max="18" width="14.625" style="125" customWidth="1"/>
    <col min="19" max="19" width="53.75" style="4" customWidth="1"/>
    <col min="20" max="20" width="18.875" style="71" customWidth="1"/>
    <col min="21" max="23" width="9" style="4" customWidth="1"/>
    <col min="24" max="16384" width="9" style="4"/>
  </cols>
  <sheetData>
    <row r="1" spans="1:55" ht="25.5">
      <c r="A1" s="228" t="s">
        <v>673</v>
      </c>
      <c r="B1" s="229"/>
      <c r="C1" s="230"/>
      <c r="D1" s="2"/>
      <c r="E1" s="49"/>
      <c r="F1" s="84"/>
      <c r="G1" s="84"/>
      <c r="H1" s="84"/>
      <c r="I1" s="84"/>
      <c r="J1" s="84"/>
      <c r="K1" s="84"/>
      <c r="L1" s="84"/>
      <c r="M1" s="84"/>
      <c r="N1" s="84"/>
      <c r="O1" s="84"/>
      <c r="P1" s="93"/>
      <c r="Q1" s="84"/>
      <c r="R1" s="68"/>
      <c r="S1" s="11"/>
      <c r="T1" s="11"/>
    </row>
    <row r="2" spans="1:55" ht="17.25">
      <c r="A2" s="110"/>
      <c r="B2" s="126">
        <v>25390</v>
      </c>
      <c r="C2" s="2"/>
      <c r="D2" s="2"/>
      <c r="E2" s="224" t="s">
        <v>92</v>
      </c>
      <c r="F2" s="85">
        <f ca="1">OFFSET(稼働日!$B$2,MATCH('内訳ﾘｽﾄ(4～3月)'!F4,稼働日!$A$3:$A$14,0),0)</f>
        <v>20</v>
      </c>
      <c r="G2" s="85">
        <f ca="1">OFFSET(稼働日!$B$2,MATCH('内訳ﾘｽﾄ(4～3月)'!G4,稼働日!$A$3:$A$14,0),0)</f>
        <v>19</v>
      </c>
      <c r="H2" s="85">
        <f ca="1">OFFSET(稼働日!$B$2,MATCH('内訳ﾘｽﾄ(4～3月)'!H4,稼働日!$A$3:$A$14,0),0)</f>
        <v>21</v>
      </c>
      <c r="I2" s="85">
        <f ca="1">OFFSET(稼働日!$B$2,MATCH('内訳ﾘｽﾄ(4～3月)'!I4,稼働日!$A$3:$A$14,0),0)</f>
        <v>23</v>
      </c>
      <c r="J2" s="85">
        <f ca="1">OFFSET(稼働日!$B$2,MATCH('内訳ﾘｽﾄ(4～3月)'!J4,稼働日!$A$3:$A$14,0),0)</f>
        <v>20</v>
      </c>
      <c r="K2" s="85">
        <f ca="1">OFFSET(稼働日!$B$2,MATCH('内訳ﾘｽﾄ(4～3月)'!K4,稼働日!$A$3:$A$14,0),0)</f>
        <v>19</v>
      </c>
      <c r="L2" s="85">
        <f ca="1">OFFSET(稼働日!$B$2,MATCH('内訳ﾘｽﾄ(4～3月)'!L4,稼働日!$A$3:$A$14,0),0)</f>
        <v>23</v>
      </c>
      <c r="M2" s="85">
        <f ca="1">OFFSET(稼働日!$B$2,MATCH('内訳ﾘｽﾄ(4～3月)'!M4,稼働日!$A$3:$A$14,0),0)</f>
        <v>20</v>
      </c>
      <c r="N2" s="85">
        <f ca="1">OFFSET(稼働日!$B$2,MATCH('内訳ﾘｽﾄ(4～3月)'!N4,稼働日!$A$3:$A$14,0),0)</f>
        <v>22</v>
      </c>
      <c r="O2" s="90">
        <f ca="1">OFFSET(稼働日!$B$2,MATCH('内訳ﾘｽﾄ(4～3月)'!O4,稼働日!$A$3:$A$14,0),0)</f>
        <v>20</v>
      </c>
      <c r="P2" s="90">
        <f ca="1">OFFSET(稼働日!$B$2,MATCH('内訳ﾘｽﾄ(4～3月)'!P4,稼働日!$A$3:$A$14,0),0)</f>
        <v>15</v>
      </c>
      <c r="Q2" s="90">
        <f ca="1">OFFSET(稼働日!$B$2,MATCH('内訳ﾘｽﾄ(4～3月)'!Q4,稼働日!$A$3:$A$14,0),0)</f>
        <v>20</v>
      </c>
      <c r="R2" s="50"/>
      <c r="S2" s="11"/>
    </row>
    <row r="3" spans="1:55" s="111" customFormat="1" ht="12.75" thickBot="1">
      <c r="A3" s="110"/>
      <c r="B3" s="171"/>
      <c r="D3" s="112"/>
      <c r="E3" s="232" t="s">
        <v>579</v>
      </c>
      <c r="F3" s="245" t="str">
        <f t="array" ref="F3">IF(SUM((F8:F25)-ROUNDDOWN((F8:F25)*4,0)/4)&lt;&gt;0,"時間➝0.25の倍数では無い",IF(SUM(ROUND((F26:F176),0)-ROUND((F26:F176),4))&lt;&gt;0,"経費➝小数点",IF(F5&lt;&gt;IF($D$5="製造",'採算表(VND)'!C13,-VLOOKUP($D$5&amp;"経費",'採算表(VND)'!$B:$N,'採算表(VND)'!C3,0)),"経費➝NG","OK")))</f>
        <v>OK</v>
      </c>
      <c r="G3" s="245" t="str">
        <f t="array" ref="G3">IF(SUM((G8:G25)-ROUNDDOWN((G8:G25)*4,0)/4)&lt;&gt;0,"時間➝0.25の倍数では無い",IF(SUM(ROUND((G26:G176),0)-ROUND((G26:G176),4))&lt;&gt;0,"経費➝小数点",IF(G5&lt;&gt;IF($D$5="製造",'採算表(VND)'!D13,-VLOOKUP($D$5&amp;"経費",'採算表(VND)'!$B:$N,'採算表(VND)'!D3,0)),"経費➝NG","OK")))</f>
        <v>OK</v>
      </c>
      <c r="H3" s="245" t="str">
        <f t="array" ref="H3">IF(SUM((H8:H25)-ROUNDDOWN((H8:H25)*4,0)/4)&lt;&gt;0,"時間➝0.25の倍数では無い",IF(SUM(ROUND((H26:H176),0)-ROUND((H26:H176),4))&lt;&gt;0,"経費➝小数点",IF(H5&lt;&gt;IF($D$5="製造",'採算表(VND)'!E13,-VLOOKUP($D$5&amp;"経費",'採算表(VND)'!$B:$N,'採算表(VND)'!E3,0)),"経費➝NG","OK")))</f>
        <v>OK</v>
      </c>
      <c r="I3" s="245" t="str">
        <f t="array" ref="I3">IF(SUM((I8:I25)-ROUNDDOWN((I8:I25)*4,0)/4)&lt;&gt;0,"時間➝0.25の倍数では無い",IF(SUM(ROUND((I26:I176),0)-ROUND((I26:I176),4))&lt;&gt;0,"経費➝小数点",IF(I5&lt;&gt;IF($D$5="製造",'採算表(VND)'!F13,-VLOOKUP($D$5&amp;"経費",'採算表(VND)'!$B:$N,'採算表(VND)'!F3,0)),"経費➝NG","OK")))</f>
        <v>OK</v>
      </c>
      <c r="J3" s="245" t="str">
        <f t="array" ref="J3">IF(SUM((J8:J25)-ROUNDDOWN((J8:J25)*4,0)/4)&lt;&gt;0,"時間➝0.25の倍数では無い",IF(SUM(ROUND((J26:J176),0)-ROUND((J26:J176),4))&lt;&gt;0,"経費➝小数点",IF(J5&lt;&gt;IF($D$5="製造",'採算表(VND)'!G13,-VLOOKUP($D$5&amp;"経費",'採算表(VND)'!$B:$N,'採算表(VND)'!G3,0)),"経費➝NG","OK")))</f>
        <v>OK</v>
      </c>
      <c r="K3" s="245" t="str">
        <f t="array" ref="K3">IF(SUM((K8:K25)-ROUNDDOWN((K8:K25)*4,0)/4)&lt;&gt;0,"時間➝0.25の倍数では無い",IF(SUM(ROUND((K26:K176),0)-ROUND((K26:K176),4))&lt;&gt;0,"経費➝小数点",IF(K5&lt;&gt;IF($D$5="製造",'採算表(VND)'!H13,-VLOOKUP($D$5&amp;"経費",'採算表(VND)'!$B:$N,'採算表(VND)'!H3,0)),"経費➝NG","OK")))</f>
        <v>OK</v>
      </c>
      <c r="L3" s="245" t="str">
        <f t="array" ref="L3">IF(SUM((L8:L25)-ROUNDDOWN((L8:L25)*4,0)/4)&lt;&gt;0,"時間➝0.25の倍数では無い",IF(SUM(ROUND((L26:L176),0)-ROUND((L26:L176),4))&lt;&gt;0,"経費➝小数点",IF(L5&lt;&gt;IF($D$5="製造",'採算表(VND)'!I13,-VLOOKUP($D$5&amp;"経費",'採算表(VND)'!$B:$N,'採算表(VND)'!I3,0)),"経費➝NG","OK")))</f>
        <v>OK</v>
      </c>
      <c r="M3" s="245" t="str">
        <f t="array" ref="M3">IF(SUM((M8:M25)-ROUNDDOWN((M8:M25)*4,0)/4)&lt;&gt;0,"時間➝0.25の倍数では無い",IF(SUM(ROUND((M26:M176),0)-ROUND((M26:M176),4))&lt;&gt;0,"経費➝小数点",IF(M5&lt;&gt;IF($D$5="製造",'採算表(VND)'!J13,-VLOOKUP($D$5&amp;"経費",'採算表(VND)'!$B:$N,'採算表(VND)'!J3,0)),"経費➝NG","OK")))</f>
        <v>OK</v>
      </c>
      <c r="N3" s="245" t="str">
        <f t="array" ref="N3">IF(SUM((N8:N25)-ROUNDDOWN((N8:N25)*4,0)/4)&lt;&gt;0,"時間➝0.25の倍数では無い",IF(SUM(ROUND((N26:N176),0)-ROUND((N26:N176),4))&lt;&gt;0,"経費➝小数点",IF(N5&lt;&gt;IF($D$5="製造",'採算表(VND)'!K13,-VLOOKUP($D$5&amp;"経費",'採算表(VND)'!$B:$N,'採算表(VND)'!K3,0)),"経費➝NG","OK")))</f>
        <v>OK</v>
      </c>
      <c r="O3" s="245" t="str">
        <f t="array" ref="O3">IF(SUM((O8:O25)-ROUNDDOWN((O8:O25)*4,0)/4)&lt;&gt;0,"時間➝0.25の倍数では無い",IF(SUM(ROUND((O26:O176),0)-ROUND((O26:O176),4))&lt;&gt;0,"経費➝小数点",IF(O5&lt;&gt;IF($D$5="製造",'採算表(VND)'!L13,-VLOOKUP($D$5&amp;"経費",'採算表(VND)'!$B:$N,'採算表(VND)'!L3,0)),"経費➝NG","OK")))</f>
        <v>OK</v>
      </c>
      <c r="P3" s="245" t="str">
        <f t="array" ref="P3">IF(SUM((P8:P25)-ROUNDDOWN((P8:P25)*4,0)/4)&lt;&gt;0,"時間➝0.25の倍数では無い",IF(SUM(ROUND((P26:P176),0)-ROUND((P26:P176),4))&lt;&gt;0,"経費➝小数点",IF(P5&lt;&gt;IF($D$5="製造",'採算表(VND)'!M13,-VLOOKUP($D$5&amp;"経費",'採算表(VND)'!$B:$N,'採算表(VND)'!M3,0)),"経費➝NG","OK")))</f>
        <v>OK</v>
      </c>
      <c r="Q3" s="245" t="str">
        <f t="array" ref="Q3">IF(SUM((Q8:Q25)-ROUNDDOWN((Q8:Q25)*4,0)/4)&lt;&gt;0,"時間➝0.25の倍数では無い",IF(SUM(ROUND((Q26:Q176),0)-ROUND((Q26:Q176),4))&lt;&gt;0,"経費➝小数点",IF(Q5&lt;&gt;IF($D$5="製造",'採算表(VND)'!N13,-VLOOKUP($D$5&amp;"経費",'採算表(VND)'!$B:$N,'採算表(VND)'!N3,0)),"経費➝NG","OK")))</f>
        <v>OK</v>
      </c>
      <c r="R3" s="113"/>
      <c r="S3" s="114"/>
      <c r="T3" s="115"/>
    </row>
    <row r="4" spans="1:55" s="6" customFormat="1" ht="12.75" thickBot="1">
      <c r="A4" s="5"/>
      <c r="B4" s="172" t="s">
        <v>580</v>
      </c>
      <c r="C4" s="12" t="s">
        <v>38</v>
      </c>
      <c r="D4" s="12" t="s">
        <v>82</v>
      </c>
      <c r="E4" s="12" t="s">
        <v>83</v>
      </c>
      <c r="F4" s="86">
        <v>4</v>
      </c>
      <c r="G4" s="86">
        <v>5</v>
      </c>
      <c r="H4" s="86">
        <v>6</v>
      </c>
      <c r="I4" s="86">
        <v>7</v>
      </c>
      <c r="J4" s="86">
        <v>8</v>
      </c>
      <c r="K4" s="86">
        <v>9</v>
      </c>
      <c r="L4" s="86">
        <v>10</v>
      </c>
      <c r="M4" s="86">
        <v>11</v>
      </c>
      <c r="N4" s="86">
        <v>12</v>
      </c>
      <c r="O4" s="86">
        <v>1</v>
      </c>
      <c r="P4" s="86">
        <v>2</v>
      </c>
      <c r="Q4" s="86">
        <v>3</v>
      </c>
      <c r="R4" s="14" t="s">
        <v>581</v>
      </c>
      <c r="S4" s="225" t="s">
        <v>590</v>
      </c>
      <c r="T4" s="101"/>
    </row>
    <row r="5" spans="1:55" ht="14.25" thickBot="1">
      <c r="B5" s="173">
        <v>1412000077</v>
      </c>
      <c r="C5" s="7" t="str">
        <f>VLOOKUP($B$5,原価センタ!$A:$E,2,0)</f>
        <v>MD2課</v>
      </c>
      <c r="D5" s="62" t="str">
        <f>VLOOKUP($B$5,原価センタ!$A:$E,4,0)</f>
        <v>製造</v>
      </c>
      <c r="E5" s="62" t="str">
        <f>VLOOKUP($B$5,原価センタ!$A:$E,5,0)</f>
        <v>製造</v>
      </c>
      <c r="F5" s="226">
        <f t="shared" ref="F5:R5" si="0">SUM(F29:F176)</f>
        <v>64144401</v>
      </c>
      <c r="G5" s="226">
        <f t="shared" si="0"/>
        <v>91331072</v>
      </c>
      <c r="H5" s="226">
        <f t="shared" si="0"/>
        <v>107317573</v>
      </c>
      <c r="I5" s="226">
        <f t="shared" si="0"/>
        <v>94969541</v>
      </c>
      <c r="J5" s="226">
        <f t="shared" si="0"/>
        <v>58414822</v>
      </c>
      <c r="K5" s="226">
        <f t="shared" si="0"/>
        <v>59446869</v>
      </c>
      <c r="L5" s="226">
        <f t="shared" si="0"/>
        <v>73291663</v>
      </c>
      <c r="M5" s="226">
        <f t="shared" si="0"/>
        <v>66331480</v>
      </c>
      <c r="N5" s="226">
        <f t="shared" si="0"/>
        <v>66709674</v>
      </c>
      <c r="O5" s="226">
        <f t="shared" si="0"/>
        <v>68782970</v>
      </c>
      <c r="P5" s="226">
        <f t="shared" si="0"/>
        <v>52000489</v>
      </c>
      <c r="Q5" s="226">
        <f t="shared" si="0"/>
        <v>52101452</v>
      </c>
      <c r="R5" s="227">
        <f t="shared" si="0"/>
        <v>854842006</v>
      </c>
      <c r="S5" s="225"/>
      <c r="T5" s="102"/>
      <c r="BA5"/>
      <c r="BB5"/>
    </row>
    <row r="6" spans="1:55" s="117" customFormat="1" ht="3" customHeight="1" thickBot="1">
      <c r="A6" s="116"/>
      <c r="B6" s="174"/>
      <c r="E6" s="49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9"/>
      <c r="T6" s="120"/>
      <c r="BA6"/>
      <c r="BB6"/>
    </row>
    <row r="7" spans="1:55" s="10" customFormat="1" ht="14.25" thickBot="1">
      <c r="A7" s="8"/>
      <c r="B7" s="175"/>
      <c r="C7" s="9" t="s">
        <v>84</v>
      </c>
      <c r="D7" s="15" t="s">
        <v>125</v>
      </c>
      <c r="E7" s="13" t="s">
        <v>39</v>
      </c>
      <c r="F7" s="87" t="s">
        <v>154</v>
      </c>
      <c r="G7" s="88" t="s">
        <v>153</v>
      </c>
      <c r="H7" s="88" t="s">
        <v>153</v>
      </c>
      <c r="I7" s="88" t="s">
        <v>153</v>
      </c>
      <c r="J7" s="88" t="s">
        <v>153</v>
      </c>
      <c r="K7" s="88" t="s">
        <v>153</v>
      </c>
      <c r="L7" s="88" t="s">
        <v>153</v>
      </c>
      <c r="M7" s="88" t="s">
        <v>153</v>
      </c>
      <c r="N7" s="88" t="s">
        <v>153</v>
      </c>
      <c r="O7" s="88" t="s">
        <v>153</v>
      </c>
      <c r="P7" s="88" t="s">
        <v>153</v>
      </c>
      <c r="Q7" s="89" t="s">
        <v>153</v>
      </c>
      <c r="R7" s="14" t="s">
        <v>153</v>
      </c>
      <c r="S7" s="12" t="s">
        <v>642</v>
      </c>
      <c r="T7" s="12" t="s">
        <v>417</v>
      </c>
      <c r="U7" s="78"/>
      <c r="V7" s="78"/>
      <c r="W7" s="78"/>
      <c r="BA7"/>
      <c r="BB7"/>
      <c r="BC7" s="10" t="s">
        <v>417</v>
      </c>
    </row>
    <row r="8" spans="1:55" s="187" customFormat="1" ht="14.25">
      <c r="A8" s="181"/>
      <c r="B8" s="233" t="s">
        <v>324</v>
      </c>
      <c r="C8" s="182" t="s">
        <v>334</v>
      </c>
      <c r="D8" s="183" t="s">
        <v>81</v>
      </c>
      <c r="E8" s="184"/>
      <c r="F8" s="288">
        <v>1521.5</v>
      </c>
      <c r="G8" s="288">
        <v>1445</v>
      </c>
      <c r="H8" s="288">
        <v>1598</v>
      </c>
      <c r="I8" s="288">
        <v>1751</v>
      </c>
      <c r="J8" s="288">
        <v>1521.5</v>
      </c>
      <c r="K8" s="288">
        <v>1445</v>
      </c>
      <c r="L8" s="288">
        <v>2142</v>
      </c>
      <c r="M8" s="288">
        <v>1861.5</v>
      </c>
      <c r="N8" s="288">
        <v>2048.5</v>
      </c>
      <c r="O8" s="288">
        <v>1861.5</v>
      </c>
      <c r="P8" s="288">
        <v>1351.5</v>
      </c>
      <c r="Q8" s="288">
        <v>1861.5</v>
      </c>
      <c r="R8" s="288">
        <f>SUM(F8:Q8)</f>
        <v>20408.5</v>
      </c>
      <c r="S8" s="270"/>
      <c r="T8" s="185"/>
      <c r="U8" s="186"/>
      <c r="V8" s="186"/>
      <c r="W8" s="186"/>
      <c r="BA8"/>
      <c r="BB8"/>
    </row>
    <row r="9" spans="1:55" s="187" customFormat="1" ht="14.25">
      <c r="A9" s="181"/>
      <c r="B9" s="234" t="s">
        <v>325</v>
      </c>
      <c r="C9" s="182" t="s">
        <v>335</v>
      </c>
      <c r="D9" s="188" t="s">
        <v>81</v>
      </c>
      <c r="E9" s="189"/>
      <c r="F9" s="289">
        <v>1470.5</v>
      </c>
      <c r="G9" s="289">
        <v>1394</v>
      </c>
      <c r="H9" s="289">
        <v>1547</v>
      </c>
      <c r="I9" s="289">
        <v>1700</v>
      </c>
      <c r="J9" s="289">
        <v>1470.5</v>
      </c>
      <c r="K9" s="289">
        <v>1394</v>
      </c>
      <c r="L9" s="289">
        <v>1700</v>
      </c>
      <c r="M9" s="289">
        <v>1470.5</v>
      </c>
      <c r="N9" s="289">
        <v>1623.5</v>
      </c>
      <c r="O9" s="289">
        <v>1470.5</v>
      </c>
      <c r="P9" s="289">
        <v>1088</v>
      </c>
      <c r="Q9" s="289">
        <v>1470.5</v>
      </c>
      <c r="R9" s="289">
        <f t="shared" ref="R9:R23" si="1">SUM(F9:Q9)</f>
        <v>17799</v>
      </c>
      <c r="S9" s="271"/>
      <c r="T9" s="190"/>
      <c r="U9" s="186"/>
      <c r="V9" s="186"/>
      <c r="W9" s="186"/>
      <c r="BA9"/>
      <c r="BB9"/>
    </row>
    <row r="10" spans="1:55" s="187" customFormat="1" ht="14.25">
      <c r="A10" s="181"/>
      <c r="B10" s="235" t="s">
        <v>324</v>
      </c>
      <c r="C10" s="182" t="s">
        <v>336</v>
      </c>
      <c r="D10" s="191" t="s">
        <v>86</v>
      </c>
      <c r="E10" s="192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89"/>
      <c r="R10" s="289">
        <f t="shared" si="1"/>
        <v>0</v>
      </c>
      <c r="S10" s="272"/>
      <c r="T10" s="193"/>
      <c r="U10" s="186"/>
      <c r="V10" s="186"/>
      <c r="W10" s="186"/>
      <c r="BA10"/>
      <c r="BB10"/>
    </row>
    <row r="11" spans="1:55" s="197" customFormat="1" ht="14.25">
      <c r="A11" s="194"/>
      <c r="B11" s="236" t="s">
        <v>325</v>
      </c>
      <c r="C11" s="182" t="s">
        <v>337</v>
      </c>
      <c r="D11" s="191" t="s">
        <v>86</v>
      </c>
      <c r="E11" s="195"/>
      <c r="F11" s="289"/>
      <c r="G11" s="289"/>
      <c r="H11" s="289"/>
      <c r="I11" s="289"/>
      <c r="J11" s="289"/>
      <c r="K11" s="289"/>
      <c r="L11" s="289"/>
      <c r="M11" s="289"/>
      <c r="N11" s="289"/>
      <c r="O11" s="289"/>
      <c r="P11" s="289"/>
      <c r="Q11" s="289"/>
      <c r="R11" s="289">
        <f t="shared" si="1"/>
        <v>0</v>
      </c>
      <c r="S11" s="273"/>
      <c r="T11" s="196"/>
      <c r="U11" s="186"/>
      <c r="V11" s="186"/>
      <c r="W11" s="186"/>
      <c r="BA11"/>
      <c r="BB11"/>
    </row>
    <row r="12" spans="1:55" s="197" customFormat="1" ht="14.25">
      <c r="A12" s="194"/>
      <c r="B12" s="235"/>
      <c r="C12" s="198" t="s">
        <v>451</v>
      </c>
      <c r="D12" s="199" t="s">
        <v>452</v>
      </c>
      <c r="E12" s="200"/>
      <c r="F12" s="290">
        <v>0</v>
      </c>
      <c r="G12" s="290">
        <v>0</v>
      </c>
      <c r="H12" s="290">
        <v>0</v>
      </c>
      <c r="I12" s="290">
        <v>0</v>
      </c>
      <c r="J12" s="290">
        <v>0</v>
      </c>
      <c r="K12" s="290">
        <v>0</v>
      </c>
      <c r="L12" s="290">
        <v>0</v>
      </c>
      <c r="M12" s="290">
        <v>0</v>
      </c>
      <c r="N12" s="290">
        <v>0</v>
      </c>
      <c r="O12" s="290">
        <v>0</v>
      </c>
      <c r="P12" s="290">
        <v>0</v>
      </c>
      <c r="Q12" s="290">
        <v>0</v>
      </c>
      <c r="R12" s="290">
        <f t="shared" si="1"/>
        <v>0</v>
      </c>
      <c r="S12" s="274" t="s">
        <v>692</v>
      </c>
      <c r="T12" s="196"/>
      <c r="U12" s="186"/>
      <c r="V12" s="186"/>
      <c r="W12" s="186"/>
      <c r="BA12"/>
      <c r="BB12"/>
    </row>
    <row r="13" spans="1:55" s="197" customFormat="1" ht="14.25">
      <c r="A13" s="194"/>
      <c r="B13" s="235"/>
      <c r="C13" s="198" t="s">
        <v>453</v>
      </c>
      <c r="D13" s="199" t="s">
        <v>454</v>
      </c>
      <c r="E13" s="200"/>
      <c r="F13" s="290">
        <v>10.25</v>
      </c>
      <c r="G13" s="290">
        <v>10.5</v>
      </c>
      <c r="H13" s="290">
        <v>11.5</v>
      </c>
      <c r="I13" s="290">
        <v>16.25</v>
      </c>
      <c r="J13" s="290">
        <v>14.25</v>
      </c>
      <c r="K13" s="290">
        <v>13.5</v>
      </c>
      <c r="L13" s="290">
        <v>16.5</v>
      </c>
      <c r="M13" s="290">
        <v>14.25</v>
      </c>
      <c r="N13" s="290">
        <v>15.75</v>
      </c>
      <c r="O13" s="290">
        <v>15</v>
      </c>
      <c r="P13" s="290">
        <v>11</v>
      </c>
      <c r="Q13" s="290">
        <v>15</v>
      </c>
      <c r="R13" s="290">
        <f t="shared" si="1"/>
        <v>163.75</v>
      </c>
      <c r="S13" s="274" t="s">
        <v>692</v>
      </c>
      <c r="T13" s="196"/>
      <c r="U13" s="186"/>
      <c r="V13" s="186"/>
      <c r="W13" s="186"/>
      <c r="BA13"/>
      <c r="BB13"/>
    </row>
    <row r="14" spans="1:55" s="197" customFormat="1" ht="14.25">
      <c r="A14" s="194"/>
      <c r="B14" s="236"/>
      <c r="C14" s="198" t="s">
        <v>455</v>
      </c>
      <c r="D14" s="199" t="s">
        <v>456</v>
      </c>
      <c r="E14" s="200"/>
      <c r="F14" s="290">
        <v>19.5</v>
      </c>
      <c r="G14" s="290">
        <v>18.25</v>
      </c>
      <c r="H14" s="290">
        <v>20.75</v>
      </c>
      <c r="I14" s="290">
        <v>31.25</v>
      </c>
      <c r="J14" s="290">
        <v>27</v>
      </c>
      <c r="K14" s="290">
        <v>26.5</v>
      </c>
      <c r="L14" s="290">
        <v>32.25</v>
      </c>
      <c r="M14" s="290">
        <v>28.25</v>
      </c>
      <c r="N14" s="290">
        <v>31.5</v>
      </c>
      <c r="O14" s="290">
        <v>28.25</v>
      </c>
      <c r="P14" s="290">
        <v>20.75</v>
      </c>
      <c r="Q14" s="290">
        <v>28.25</v>
      </c>
      <c r="R14" s="290">
        <f t="shared" si="1"/>
        <v>312.5</v>
      </c>
      <c r="S14" s="274" t="s">
        <v>692</v>
      </c>
      <c r="T14" s="196"/>
      <c r="U14" s="186"/>
      <c r="V14" s="186"/>
      <c r="W14" s="186"/>
      <c r="BA14"/>
      <c r="BB14"/>
    </row>
    <row r="15" spans="1:55" s="197" customFormat="1" ht="14.25">
      <c r="A15" s="194"/>
      <c r="B15" s="236"/>
      <c r="C15" s="198" t="s">
        <v>457</v>
      </c>
      <c r="D15" s="199" t="s">
        <v>450</v>
      </c>
      <c r="E15" s="200"/>
      <c r="F15" s="290">
        <v>85.25</v>
      </c>
      <c r="G15" s="290">
        <v>85.5</v>
      </c>
      <c r="H15" s="290">
        <v>89.75</v>
      </c>
      <c r="I15" s="290">
        <v>128.5</v>
      </c>
      <c r="J15" s="290">
        <v>117.25</v>
      </c>
      <c r="K15" s="290">
        <v>110</v>
      </c>
      <c r="L15" s="290">
        <v>130.25</v>
      </c>
      <c r="M15" s="290">
        <v>118.5</v>
      </c>
      <c r="N15" s="290">
        <v>128</v>
      </c>
      <c r="O15" s="290">
        <v>120.75</v>
      </c>
      <c r="P15" s="290">
        <v>90</v>
      </c>
      <c r="Q15" s="290">
        <v>121.25</v>
      </c>
      <c r="R15" s="290">
        <f t="shared" si="1"/>
        <v>1325</v>
      </c>
      <c r="S15" s="274" t="s">
        <v>692</v>
      </c>
      <c r="T15" s="196"/>
      <c r="U15" s="186"/>
      <c r="V15" s="186"/>
      <c r="W15" s="186"/>
      <c r="BA15"/>
      <c r="BB15"/>
    </row>
    <row r="16" spans="1:55" s="197" customFormat="1" ht="14.25">
      <c r="A16" s="194"/>
      <c r="B16" s="237" t="s">
        <v>326</v>
      </c>
      <c r="C16" s="182" t="s">
        <v>338</v>
      </c>
      <c r="D16" s="201" t="s">
        <v>86</v>
      </c>
      <c r="E16" s="195"/>
      <c r="F16" s="289">
        <v>358</v>
      </c>
      <c r="G16" s="289">
        <v>340</v>
      </c>
      <c r="H16" s="289">
        <v>376</v>
      </c>
      <c r="I16" s="289">
        <v>412</v>
      </c>
      <c r="J16" s="289">
        <v>358</v>
      </c>
      <c r="K16" s="289">
        <v>340</v>
      </c>
      <c r="L16" s="289">
        <v>504</v>
      </c>
      <c r="M16" s="289">
        <v>438</v>
      </c>
      <c r="N16" s="289">
        <v>482</v>
      </c>
      <c r="O16" s="289">
        <v>438</v>
      </c>
      <c r="P16" s="289">
        <v>318</v>
      </c>
      <c r="Q16" s="289">
        <v>438</v>
      </c>
      <c r="R16" s="289">
        <f t="shared" si="1"/>
        <v>4802</v>
      </c>
      <c r="S16" s="273"/>
      <c r="T16" s="196"/>
      <c r="U16" s="186"/>
      <c r="V16" s="186"/>
      <c r="W16" s="186"/>
      <c r="BA16"/>
      <c r="BB16"/>
    </row>
    <row r="17" spans="1:54" s="187" customFormat="1" ht="14.25">
      <c r="A17" s="181"/>
      <c r="B17" s="237" t="s">
        <v>327</v>
      </c>
      <c r="C17" s="182" t="s">
        <v>339</v>
      </c>
      <c r="D17" s="201" t="s">
        <v>86</v>
      </c>
      <c r="E17" s="195"/>
      <c r="F17" s="289">
        <v>144</v>
      </c>
      <c r="G17" s="289">
        <v>142</v>
      </c>
      <c r="H17" s="289">
        <v>146</v>
      </c>
      <c r="I17" s="289">
        <v>150</v>
      </c>
      <c r="J17" s="289">
        <v>144</v>
      </c>
      <c r="K17" s="289">
        <v>142</v>
      </c>
      <c r="L17" s="289">
        <v>150</v>
      </c>
      <c r="M17" s="289">
        <v>144</v>
      </c>
      <c r="N17" s="289">
        <v>148</v>
      </c>
      <c r="O17" s="289">
        <v>144</v>
      </c>
      <c r="P17" s="289">
        <v>134</v>
      </c>
      <c r="Q17" s="289">
        <v>144</v>
      </c>
      <c r="R17" s="289">
        <f t="shared" si="1"/>
        <v>1732</v>
      </c>
      <c r="S17" s="275" t="s">
        <v>801</v>
      </c>
      <c r="T17" s="196"/>
      <c r="U17" s="186"/>
      <c r="V17" s="186"/>
      <c r="W17" s="186"/>
      <c r="BA17"/>
      <c r="BB17"/>
    </row>
    <row r="18" spans="1:54" s="187" customFormat="1" ht="14.25">
      <c r="A18" s="181"/>
      <c r="B18" s="235" t="s">
        <v>326</v>
      </c>
      <c r="C18" s="182" t="s">
        <v>340</v>
      </c>
      <c r="D18" s="191" t="s">
        <v>86</v>
      </c>
      <c r="E18" s="192"/>
      <c r="F18" s="289"/>
      <c r="G18" s="289"/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9">
        <f t="shared" si="1"/>
        <v>0</v>
      </c>
      <c r="S18" s="272"/>
      <c r="T18" s="193"/>
      <c r="U18" s="186"/>
      <c r="V18" s="186"/>
      <c r="W18" s="186"/>
      <c r="BA18"/>
      <c r="BB18"/>
    </row>
    <row r="19" spans="1:54" s="197" customFormat="1" ht="14.25">
      <c r="A19" s="194"/>
      <c r="B19" s="236" t="s">
        <v>327</v>
      </c>
      <c r="C19" s="182" t="s">
        <v>341</v>
      </c>
      <c r="D19" s="191" t="s">
        <v>86</v>
      </c>
      <c r="E19" s="195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>
        <f t="shared" si="1"/>
        <v>0</v>
      </c>
      <c r="S19" s="273"/>
      <c r="T19" s="196"/>
      <c r="U19" s="186"/>
      <c r="V19" s="186"/>
      <c r="W19" s="186"/>
      <c r="BA19"/>
      <c r="BB19"/>
    </row>
    <row r="20" spans="1:54" s="197" customFormat="1" ht="14.25">
      <c r="A20" s="194"/>
      <c r="B20" s="236"/>
      <c r="C20" s="198" t="s">
        <v>458</v>
      </c>
      <c r="D20" s="199" t="s">
        <v>452</v>
      </c>
      <c r="E20" s="200"/>
      <c r="F20" s="290">
        <v>0</v>
      </c>
      <c r="G20" s="290">
        <v>0</v>
      </c>
      <c r="H20" s="290">
        <v>0</v>
      </c>
      <c r="I20" s="290">
        <v>0</v>
      </c>
      <c r="J20" s="290">
        <v>0</v>
      </c>
      <c r="K20" s="290">
        <v>0</v>
      </c>
      <c r="L20" s="290">
        <v>0</v>
      </c>
      <c r="M20" s="290">
        <v>0</v>
      </c>
      <c r="N20" s="290">
        <v>0</v>
      </c>
      <c r="O20" s="290">
        <v>0</v>
      </c>
      <c r="P20" s="290">
        <v>0</v>
      </c>
      <c r="Q20" s="290">
        <v>0</v>
      </c>
      <c r="R20" s="290">
        <f t="shared" si="1"/>
        <v>0</v>
      </c>
      <c r="S20" s="274" t="s">
        <v>692</v>
      </c>
      <c r="T20" s="196"/>
      <c r="U20" s="186"/>
      <c r="V20" s="186"/>
      <c r="W20" s="186"/>
      <c r="BA20"/>
      <c r="BB20"/>
    </row>
    <row r="21" spans="1:54" s="197" customFormat="1" ht="14.25">
      <c r="A21" s="194"/>
      <c r="B21" s="236"/>
      <c r="C21" s="198" t="s">
        <v>342</v>
      </c>
      <c r="D21" s="199" t="s">
        <v>454</v>
      </c>
      <c r="E21" s="200"/>
      <c r="F21" s="290">
        <v>0.75</v>
      </c>
      <c r="G21" s="290">
        <v>0.75</v>
      </c>
      <c r="H21" s="290">
        <v>0.75</v>
      </c>
      <c r="I21" s="290">
        <v>1</v>
      </c>
      <c r="J21" s="290">
        <v>1</v>
      </c>
      <c r="K21" s="290">
        <v>0.75</v>
      </c>
      <c r="L21" s="290">
        <v>1</v>
      </c>
      <c r="M21" s="290">
        <v>0.75</v>
      </c>
      <c r="N21" s="290">
        <v>1</v>
      </c>
      <c r="O21" s="290">
        <v>0.75</v>
      </c>
      <c r="P21" s="290">
        <v>0.75</v>
      </c>
      <c r="Q21" s="290">
        <v>0.75</v>
      </c>
      <c r="R21" s="290">
        <f t="shared" si="1"/>
        <v>10</v>
      </c>
      <c r="S21" s="274" t="s">
        <v>692</v>
      </c>
      <c r="T21" s="196"/>
      <c r="U21" s="186"/>
      <c r="V21" s="186"/>
      <c r="W21" s="186"/>
      <c r="BA21"/>
      <c r="BB21"/>
    </row>
    <row r="22" spans="1:54" s="197" customFormat="1" ht="14.25">
      <c r="A22" s="194"/>
      <c r="B22" s="236"/>
      <c r="C22" s="198" t="s">
        <v>459</v>
      </c>
      <c r="D22" s="199" t="s">
        <v>456</v>
      </c>
      <c r="E22" s="200"/>
      <c r="F22" s="290">
        <v>1.25</v>
      </c>
      <c r="G22" s="290">
        <v>1.25</v>
      </c>
      <c r="H22" s="290">
        <v>1.25</v>
      </c>
      <c r="I22" s="290">
        <v>2</v>
      </c>
      <c r="J22" s="290">
        <v>2</v>
      </c>
      <c r="K22" s="290">
        <v>2</v>
      </c>
      <c r="L22" s="290">
        <v>2.25</v>
      </c>
      <c r="M22" s="290">
        <v>2</v>
      </c>
      <c r="N22" s="290">
        <v>2</v>
      </c>
      <c r="O22" s="290">
        <v>2.25</v>
      </c>
      <c r="P22" s="290">
        <v>1.75</v>
      </c>
      <c r="Q22" s="290">
        <v>2.25</v>
      </c>
      <c r="R22" s="290">
        <f t="shared" si="1"/>
        <v>22.25</v>
      </c>
      <c r="S22" s="274" t="s">
        <v>692</v>
      </c>
      <c r="T22" s="196"/>
      <c r="U22" s="186"/>
      <c r="V22" s="186"/>
      <c r="W22" s="186"/>
      <c r="BA22"/>
      <c r="BB22"/>
    </row>
    <row r="23" spans="1:54" s="197" customFormat="1" ht="14.25">
      <c r="A23" s="194"/>
      <c r="B23" s="236"/>
      <c r="C23" s="198" t="s">
        <v>460</v>
      </c>
      <c r="D23" s="199" t="s">
        <v>450</v>
      </c>
      <c r="E23" s="200"/>
      <c r="F23" s="290">
        <v>4.5</v>
      </c>
      <c r="G23" s="290">
        <v>4</v>
      </c>
      <c r="H23" s="290">
        <v>3.75</v>
      </c>
      <c r="I23" s="290">
        <v>5</v>
      </c>
      <c r="J23" s="290">
        <v>5.5</v>
      </c>
      <c r="K23" s="290">
        <v>7</v>
      </c>
      <c r="L23" s="290">
        <v>5</v>
      </c>
      <c r="M23" s="290">
        <v>5</v>
      </c>
      <c r="N23" s="290">
        <v>5</v>
      </c>
      <c r="O23" s="290">
        <v>4.75</v>
      </c>
      <c r="P23" s="290">
        <v>7.75</v>
      </c>
      <c r="Q23" s="290">
        <v>5.5</v>
      </c>
      <c r="R23" s="290">
        <f t="shared" si="1"/>
        <v>62.75</v>
      </c>
      <c r="S23" s="274" t="s">
        <v>692</v>
      </c>
      <c r="T23" s="196"/>
      <c r="U23" s="186"/>
      <c r="V23" s="186"/>
      <c r="W23" s="186"/>
      <c r="BA23"/>
      <c r="BB23"/>
    </row>
    <row r="24" spans="1:54" s="197" customFormat="1" ht="14.25">
      <c r="A24" s="194"/>
      <c r="B24" s="238" t="s">
        <v>343</v>
      </c>
      <c r="C24" s="239" t="s">
        <v>343</v>
      </c>
      <c r="D24" s="240" t="s">
        <v>343</v>
      </c>
      <c r="E24" s="220"/>
      <c r="F24" s="292">
        <v>9</v>
      </c>
      <c r="G24" s="292">
        <v>9</v>
      </c>
      <c r="H24" s="292">
        <v>9</v>
      </c>
      <c r="I24" s="292">
        <v>9</v>
      </c>
      <c r="J24" s="292">
        <v>9</v>
      </c>
      <c r="K24" s="292">
        <v>9</v>
      </c>
      <c r="L24" s="292">
        <v>11</v>
      </c>
      <c r="M24" s="292">
        <v>11</v>
      </c>
      <c r="N24" s="292">
        <v>11</v>
      </c>
      <c r="O24" s="292">
        <v>11</v>
      </c>
      <c r="P24" s="292">
        <v>11</v>
      </c>
      <c r="Q24" s="292">
        <v>11</v>
      </c>
      <c r="R24" s="292">
        <f>Q24</f>
        <v>11</v>
      </c>
      <c r="S24" s="276"/>
      <c r="T24" s="193"/>
      <c r="U24" s="241"/>
      <c r="V24" s="186"/>
      <c r="W24" s="186"/>
      <c r="BA24"/>
      <c r="BB24"/>
    </row>
    <row r="25" spans="1:54" s="187" customFormat="1" ht="15.75" thickBot="1">
      <c r="A25" s="181"/>
      <c r="B25" s="237" t="s">
        <v>344</v>
      </c>
      <c r="C25" s="242" t="s">
        <v>344</v>
      </c>
      <c r="D25" s="201" t="s">
        <v>344</v>
      </c>
      <c r="E25" s="243"/>
      <c r="F25" s="293">
        <v>9</v>
      </c>
      <c r="G25" s="293">
        <v>9</v>
      </c>
      <c r="H25" s="293">
        <v>9</v>
      </c>
      <c r="I25" s="293">
        <v>9</v>
      </c>
      <c r="J25" s="293">
        <v>9</v>
      </c>
      <c r="K25" s="293">
        <v>9</v>
      </c>
      <c r="L25" s="293">
        <v>9</v>
      </c>
      <c r="M25" s="293">
        <v>9</v>
      </c>
      <c r="N25" s="293">
        <v>9</v>
      </c>
      <c r="O25" s="293">
        <v>9</v>
      </c>
      <c r="P25" s="293">
        <v>9</v>
      </c>
      <c r="Q25" s="293">
        <v>9</v>
      </c>
      <c r="R25" s="293">
        <f>Q25</f>
        <v>9</v>
      </c>
      <c r="S25" s="277"/>
      <c r="T25" s="215"/>
      <c r="U25" s="241"/>
      <c r="V25" s="244">
        <v>4</v>
      </c>
      <c r="W25" s="244">
        <v>5</v>
      </c>
      <c r="X25" s="244">
        <v>6</v>
      </c>
      <c r="Y25" s="244">
        <v>7</v>
      </c>
      <c r="Z25" s="244">
        <v>8</v>
      </c>
      <c r="AA25" s="244">
        <v>9</v>
      </c>
      <c r="AB25" s="244">
        <v>10</v>
      </c>
      <c r="AC25" s="244">
        <v>11</v>
      </c>
      <c r="AD25" s="244">
        <v>12</v>
      </c>
      <c r="AE25" s="244">
        <v>1</v>
      </c>
      <c r="AF25" s="244">
        <v>2</v>
      </c>
      <c r="AG25" s="244">
        <v>3</v>
      </c>
      <c r="BA25"/>
      <c r="BB25"/>
    </row>
    <row r="26" spans="1:54" s="187" customFormat="1" ht="14.25">
      <c r="A26" s="181"/>
      <c r="B26" s="176">
        <v>9114120002</v>
      </c>
      <c r="C26" s="202" t="str">
        <f>IFERROR(IF(VLOOKUP($B26,勘定科目!$A:$H,HLOOKUP($E$5,勘定科目!$F$1:$H$2,2,0),0)="","",VLOOKUP($B26,勘定科目!$A:$E,2,0)),"")</f>
        <v>社外出荷</v>
      </c>
      <c r="D26" s="203" t="str">
        <f>IF(C26="","",VLOOKUP($B26,勘定科目!$A:$E,4,0))</f>
        <v>社外出荷</v>
      </c>
      <c r="E26" s="204"/>
      <c r="F26" s="294">
        <f>ROUNDDOWN(V26*$B$2,0)+1</f>
        <v>3990181700</v>
      </c>
      <c r="G26" s="294">
        <f t="shared" ref="G26:Q26" si="2">ROUNDDOWN(W26*$B$2,0)+1</f>
        <v>1202847188</v>
      </c>
      <c r="H26" s="294">
        <f t="shared" si="2"/>
        <v>988119388</v>
      </c>
      <c r="I26" s="294">
        <f t="shared" si="2"/>
        <v>1076681739</v>
      </c>
      <c r="J26" s="294">
        <f t="shared" si="2"/>
        <v>1121277497</v>
      </c>
      <c r="K26" s="294">
        <f t="shared" si="2"/>
        <v>1201402497</v>
      </c>
      <c r="L26" s="294">
        <f t="shared" si="2"/>
        <v>1146521250</v>
      </c>
      <c r="M26" s="294">
        <f t="shared" si="2"/>
        <v>1757397541</v>
      </c>
      <c r="N26" s="294">
        <f>ROUNDDOWN(AD26*$B$2,0)</f>
        <v>1811655209</v>
      </c>
      <c r="O26" s="294">
        <f t="shared" si="2"/>
        <v>1803667008</v>
      </c>
      <c r="P26" s="294">
        <f t="shared" si="2"/>
        <v>1750512789</v>
      </c>
      <c r="Q26" s="294">
        <f t="shared" si="2"/>
        <v>1773855339</v>
      </c>
      <c r="R26" s="294">
        <f t="shared" ref="R26:R118" si="3">SUM(F26:Q26)</f>
        <v>19624119145</v>
      </c>
      <c r="S26" s="278" t="s">
        <v>695</v>
      </c>
      <c r="T26" s="205"/>
      <c r="U26" s="186"/>
      <c r="V26" s="206">
        <v>157155.64000000001</v>
      </c>
      <c r="W26" s="206">
        <v>47374.84</v>
      </c>
      <c r="X26" s="207">
        <v>38917.660000000003</v>
      </c>
      <c r="Y26" s="207">
        <v>42405.74</v>
      </c>
      <c r="Z26" s="207">
        <v>44162.17</v>
      </c>
      <c r="AA26" s="207">
        <v>47317.94</v>
      </c>
      <c r="AB26" s="207">
        <v>45156.41</v>
      </c>
      <c r="AC26" s="207">
        <v>69216.13</v>
      </c>
      <c r="AD26" s="207">
        <v>71353.100000000006</v>
      </c>
      <c r="AE26" s="207">
        <v>71038.48</v>
      </c>
      <c r="AF26" s="207">
        <v>68944.97</v>
      </c>
      <c r="AG26" s="207">
        <v>69864.33</v>
      </c>
      <c r="BA26"/>
      <c r="BB26"/>
    </row>
    <row r="27" spans="1:54" s="187" customFormat="1" ht="14.25">
      <c r="A27" s="208"/>
      <c r="B27" s="177">
        <v>9114120004</v>
      </c>
      <c r="C27" s="209" t="str">
        <f>IFERROR(IF(VLOOKUP($B27,勘定科目!$A:$H,HLOOKUP($E$5,勘定科目!$F$1:$H$2,2,0),0)="","",VLOOKUP($B27,勘定科目!$A:$E,2,0)),"")</f>
        <v>社内売</v>
      </c>
      <c r="D27" s="210" t="str">
        <f>IF(C27="","",VLOOKUP($B27,勘定科目!$A:$E,4,0))</f>
        <v>社内売</v>
      </c>
      <c r="E27" s="211"/>
      <c r="F27" s="295">
        <v>0</v>
      </c>
      <c r="G27" s="295">
        <v>0</v>
      </c>
      <c r="H27" s="295">
        <v>0</v>
      </c>
      <c r="I27" s="295">
        <v>0</v>
      </c>
      <c r="J27" s="295"/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f t="shared" si="3"/>
        <v>0</v>
      </c>
      <c r="S27" s="279" t="s">
        <v>695</v>
      </c>
      <c r="T27" s="193"/>
      <c r="U27" s="186"/>
      <c r="V27" s="206"/>
      <c r="W27" s="206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BA27"/>
      <c r="BB27"/>
    </row>
    <row r="28" spans="1:54" s="187" customFormat="1" ht="14.25">
      <c r="A28" s="208"/>
      <c r="B28" s="177">
        <v>9114120014</v>
      </c>
      <c r="C28" s="209" t="str">
        <f>IFERROR(IF(VLOOKUP($B28,勘定科目!$A:$H,HLOOKUP($E$5,勘定科目!$F$1:$H$2,2,0),0)="","",VLOOKUP($B28,勘定科目!$A:$E,2,0)),"")</f>
        <v>社内買</v>
      </c>
      <c r="D28" s="210" t="str">
        <f>IF(C28="","",VLOOKUP($B28,勘定科目!$A:$E,4,0))</f>
        <v>社内買</v>
      </c>
      <c r="E28" s="211"/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f t="shared" si="3"/>
        <v>0</v>
      </c>
      <c r="S28" s="279" t="s">
        <v>695</v>
      </c>
      <c r="T28" s="193"/>
      <c r="U28" s="186"/>
      <c r="V28" s="206"/>
      <c r="W28" s="206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BA28"/>
      <c r="BB28"/>
    </row>
    <row r="29" spans="1:54" s="187" customFormat="1" ht="15" thickBot="1">
      <c r="A29" s="208"/>
      <c r="B29" s="178">
        <v>9114120006</v>
      </c>
      <c r="C29" s="212" t="str">
        <f>IFERROR(IF(VLOOKUP($B29,勘定科目!$A:$H,HLOOKUP($E$5,勘定科目!$F$1:$H$2,2,0),0)="","",VLOOKUP($B29,勘定科目!$A:$E,2,0)),"")</f>
        <v>材料費(指図出庫）</v>
      </c>
      <c r="D29" s="213" t="str">
        <f>IF(C29="","",VLOOKUP($B29,勘定科目!$A:$E,4,0))</f>
        <v>材料費</v>
      </c>
      <c r="E29" s="214"/>
      <c r="F29" s="296">
        <v>0</v>
      </c>
      <c r="G29" s="296">
        <v>0</v>
      </c>
      <c r="H29" s="296">
        <v>0</v>
      </c>
      <c r="I29" s="296">
        <v>0</v>
      </c>
      <c r="J29" s="296">
        <v>0</v>
      </c>
      <c r="K29" s="296">
        <v>0</v>
      </c>
      <c r="L29" s="296">
        <v>0</v>
      </c>
      <c r="M29" s="296">
        <v>0</v>
      </c>
      <c r="N29" s="296">
        <v>0</v>
      </c>
      <c r="O29" s="296">
        <v>0</v>
      </c>
      <c r="P29" s="296">
        <v>0</v>
      </c>
      <c r="Q29" s="296">
        <v>0</v>
      </c>
      <c r="R29" s="296">
        <f t="shared" si="3"/>
        <v>0</v>
      </c>
      <c r="S29" s="280" t="s">
        <v>695</v>
      </c>
      <c r="T29" s="215"/>
      <c r="U29" s="186"/>
      <c r="V29" s="206"/>
      <c r="W29" s="206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BA29"/>
      <c r="BB29"/>
    </row>
    <row r="30" spans="1:54" s="197" customFormat="1" ht="14.25">
      <c r="B30" s="179" t="s">
        <v>694</v>
      </c>
      <c r="C30" s="217" t="str">
        <f>IFERROR(IF(VLOOKUP($B30,勘定科目!$A:$H,HLOOKUP($E$5,勘定科目!$F$1:$H$2,2,0),0)="","",VLOOKUP($B30,勘定科目!$A:$E,2,0)),"")</f>
        <v/>
      </c>
      <c r="D30" s="218" t="str">
        <f>IF(C30="","",VLOOKUP($B30,勘定科目!$A:$E,4,0))</f>
        <v/>
      </c>
      <c r="E30" s="219"/>
      <c r="F30" s="297"/>
      <c r="G30" s="298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298">
        <f t="shared" si="3"/>
        <v>0</v>
      </c>
      <c r="S30" s="281"/>
      <c r="T30" s="193"/>
      <c r="U30" s="186"/>
      <c r="V30" s="186"/>
      <c r="W30" s="186"/>
      <c r="BA30"/>
      <c r="BB30"/>
    </row>
    <row r="31" spans="1:54" s="197" customFormat="1" ht="14.25">
      <c r="B31" s="179">
        <v>9114120018</v>
      </c>
      <c r="C31" s="217" t="str">
        <f>IFERROR(IF(VLOOKUP($B31,勘定科目!$A:$H,HLOOKUP($E$5,勘定科目!$F$1:$H$2,2,0),0)="","",VLOOKUP($B31,勘定科目!$A:$E,2,0)),"")</f>
        <v>部内間接経費</v>
      </c>
      <c r="D31" s="218" t="str">
        <f>IF(C31="","",VLOOKUP($B31,勘定科目!$A:$E,4,0))</f>
        <v>部内間接経費</v>
      </c>
      <c r="E31" s="219"/>
      <c r="F31" s="297">
        <v>0</v>
      </c>
      <c r="G31" s="298">
        <v>0</v>
      </c>
      <c r="H31" s="298">
        <v>0</v>
      </c>
      <c r="I31" s="298">
        <v>0</v>
      </c>
      <c r="J31" s="298">
        <v>0</v>
      </c>
      <c r="K31" s="298">
        <v>0</v>
      </c>
      <c r="L31" s="298">
        <v>0</v>
      </c>
      <c r="M31" s="298">
        <v>0</v>
      </c>
      <c r="N31" s="298">
        <v>0</v>
      </c>
      <c r="O31" s="298">
        <v>0</v>
      </c>
      <c r="P31" s="298">
        <v>0</v>
      </c>
      <c r="Q31" s="298">
        <v>0</v>
      </c>
      <c r="R31" s="298">
        <f t="shared" si="3"/>
        <v>0</v>
      </c>
      <c r="S31" s="279" t="s">
        <v>692</v>
      </c>
      <c r="T31" s="193"/>
      <c r="U31" s="186"/>
      <c r="V31" s="186"/>
      <c r="W31" s="186"/>
      <c r="BA31"/>
      <c r="BB31"/>
    </row>
    <row r="32" spans="1:54" s="197" customFormat="1" ht="14.25">
      <c r="B32" s="179">
        <v>9114120029</v>
      </c>
      <c r="C32" s="217" t="str">
        <f>IFERROR(IF(VLOOKUP($B32,勘定科目!$A:$H,HLOOKUP($E$5,勘定科目!$F$1:$H$2,2,0),0)="","",VLOOKUP($B32,勘定科目!$A:$E,2,0)),"")</f>
        <v>部外間接経費1</v>
      </c>
      <c r="D32" s="218" t="str">
        <f>IF(C32="","",VLOOKUP($B32,勘定科目!$A:$E,4,0))</f>
        <v>部外間接経費1</v>
      </c>
      <c r="E32" s="219"/>
      <c r="F32" s="297">
        <v>596622</v>
      </c>
      <c r="G32" s="298">
        <v>684802</v>
      </c>
      <c r="H32" s="298">
        <v>570040</v>
      </c>
      <c r="I32" s="298">
        <v>837357</v>
      </c>
      <c r="J32" s="298">
        <v>752849</v>
      </c>
      <c r="K32" s="298">
        <v>823913</v>
      </c>
      <c r="L32" s="298">
        <v>743120</v>
      </c>
      <c r="M32" s="298">
        <v>747959</v>
      </c>
      <c r="N32" s="298">
        <v>755474</v>
      </c>
      <c r="O32" s="298">
        <v>726734</v>
      </c>
      <c r="P32" s="298">
        <v>769311</v>
      </c>
      <c r="Q32" s="298">
        <v>735484</v>
      </c>
      <c r="R32" s="298">
        <f t="shared" si="3"/>
        <v>8743665</v>
      </c>
      <c r="S32" s="279" t="s">
        <v>692</v>
      </c>
      <c r="T32" s="193"/>
      <c r="U32" s="186"/>
      <c r="V32" s="186"/>
      <c r="W32" s="186"/>
      <c r="BA32"/>
      <c r="BB32"/>
    </row>
    <row r="33" spans="1:54" s="197" customFormat="1" ht="14.25">
      <c r="B33" s="179">
        <v>9114120030</v>
      </c>
      <c r="C33" s="217" t="str">
        <f>IFERROR(IF(VLOOKUP($B33,勘定科目!$A:$H,HLOOKUP($E$5,勘定科目!$F$1:$H$2,2,0),0)="","",VLOOKUP($B33,勘定科目!$A:$E,2,0)),"")</f>
        <v>部外間接経費2</v>
      </c>
      <c r="D33" s="218" t="str">
        <f>IF(C33="","",VLOOKUP($B33,勘定科目!$A:$E,4,0))</f>
        <v>部外間接経費2</v>
      </c>
      <c r="E33" s="219"/>
      <c r="F33" s="297">
        <v>3642462</v>
      </c>
      <c r="G33" s="298">
        <v>1244742</v>
      </c>
      <c r="H33" s="298">
        <v>891197</v>
      </c>
      <c r="I33" s="298">
        <v>1280238</v>
      </c>
      <c r="J33" s="298">
        <v>1149370</v>
      </c>
      <c r="K33" s="298">
        <v>1033551</v>
      </c>
      <c r="L33" s="298">
        <v>1292720</v>
      </c>
      <c r="M33" s="298">
        <v>1329570</v>
      </c>
      <c r="N33" s="298">
        <v>1284126</v>
      </c>
      <c r="O33" s="298">
        <v>1004136</v>
      </c>
      <c r="P33" s="298">
        <v>1050809</v>
      </c>
      <c r="Q33" s="298">
        <v>1032782</v>
      </c>
      <c r="R33" s="298">
        <f t="shared" si="3"/>
        <v>16235703</v>
      </c>
      <c r="S33" s="279" t="s">
        <v>692</v>
      </c>
      <c r="T33" s="193"/>
      <c r="U33" s="186"/>
      <c r="V33" s="186"/>
      <c r="W33" s="186"/>
      <c r="BA33"/>
      <c r="BB33"/>
    </row>
    <row r="34" spans="1:54" s="197" customFormat="1" ht="14.25">
      <c r="B34" s="179">
        <v>9114120021</v>
      </c>
      <c r="C34" s="217" t="str">
        <f>IFERROR(IF(VLOOKUP($B34,勘定科目!$A:$H,HLOOKUP($E$5,勘定科目!$F$1:$H$2,2,0),0)="","",VLOOKUP($B34,勘定科目!$A:$E,2,0)),"")</f>
        <v>工場間接経費</v>
      </c>
      <c r="D34" s="218" t="str">
        <f>IF(C34="","",VLOOKUP($B34,勘定科目!$A:$E,4,0))</f>
        <v>工場間接経費</v>
      </c>
      <c r="E34" s="219"/>
      <c r="F34" s="297">
        <v>43303955</v>
      </c>
      <c r="G34" s="298">
        <v>55325039</v>
      </c>
      <c r="H34" s="298">
        <v>40960083</v>
      </c>
      <c r="I34" s="298">
        <v>78671642</v>
      </c>
      <c r="J34" s="298">
        <v>43833627</v>
      </c>
      <c r="K34" s="298">
        <v>42844672</v>
      </c>
      <c r="L34" s="298">
        <v>54416406</v>
      </c>
      <c r="M34" s="298">
        <v>45844353</v>
      </c>
      <c r="N34" s="298">
        <v>45340863</v>
      </c>
      <c r="O34" s="298">
        <v>50474019</v>
      </c>
      <c r="P34" s="298">
        <v>34854992</v>
      </c>
      <c r="Q34" s="298">
        <v>35970080</v>
      </c>
      <c r="R34" s="298">
        <f t="shared" si="3"/>
        <v>571839731</v>
      </c>
      <c r="S34" s="279" t="s">
        <v>692</v>
      </c>
      <c r="T34" s="193"/>
      <c r="U34" s="186"/>
      <c r="V34" s="186"/>
      <c r="W34" s="186"/>
      <c r="BA34"/>
      <c r="BB34"/>
    </row>
    <row r="35" spans="1:54" s="187" customFormat="1" ht="16.5">
      <c r="A35" s="208"/>
      <c r="B35" s="179" t="s">
        <v>694</v>
      </c>
      <c r="C35" s="182" t="str">
        <f>IFERROR(IF(VLOOKUP($B35,勘定科目!$A:$H,HLOOKUP($E$5,勘定科目!$F$1:$H$2,2,0),0)="","",VLOOKUP($B35,勘定科目!$A:$E,2,0)),"")</f>
        <v/>
      </c>
      <c r="D35" s="216" t="str">
        <f>IF(C35="","",VLOOKUP($B35,勘定科目!$A:$E,4,0))</f>
        <v/>
      </c>
      <c r="E35" s="220"/>
      <c r="F35" s="299"/>
      <c r="G35" s="300"/>
      <c r="H35" s="300"/>
      <c r="I35" s="300"/>
      <c r="J35" s="300"/>
      <c r="K35" s="300"/>
      <c r="L35" s="300"/>
      <c r="M35" s="300"/>
      <c r="N35" s="300"/>
      <c r="O35" s="300"/>
      <c r="P35" s="300"/>
      <c r="Q35" s="300"/>
      <c r="R35" s="300">
        <f t="shared" si="3"/>
        <v>0</v>
      </c>
      <c r="S35" s="282"/>
      <c r="T35" s="193"/>
      <c r="U35" s="221"/>
      <c r="V35" s="221"/>
      <c r="W35" s="221"/>
      <c r="BA35"/>
      <c r="BB35"/>
    </row>
    <row r="36" spans="1:54" s="187" customFormat="1" ht="14.25">
      <c r="A36" s="208"/>
      <c r="B36" s="179"/>
      <c r="C36" s="182" t="str">
        <f>IFERROR(IF(VLOOKUP($B36,勘定科目!$A:$H,HLOOKUP($E$5,勘定科目!$F$1:$H$2,2,0),0)="","",VLOOKUP($B36,勘定科目!$A:$E,2,0)),"")</f>
        <v/>
      </c>
      <c r="D36" s="216" t="str">
        <f>IF(C36="","",VLOOKUP($B36,勘定科目!$A:$E,4,0))</f>
        <v/>
      </c>
      <c r="E36" s="220"/>
      <c r="F36" s="289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>
        <f t="shared" si="3"/>
        <v>0</v>
      </c>
      <c r="S36" s="283"/>
      <c r="T36" s="193"/>
      <c r="U36" s="221"/>
      <c r="V36" s="221"/>
      <c r="W36" s="221"/>
      <c r="BA36"/>
      <c r="BB36"/>
    </row>
    <row r="37" spans="1:54" s="187" customFormat="1" ht="14.25">
      <c r="A37" s="208"/>
      <c r="B37" s="179"/>
      <c r="C37" s="182" t="str">
        <f>IFERROR(IF(VLOOKUP($B37,勘定科目!$A:$H,HLOOKUP($E$5,勘定科目!$F$1:$H$2,2,0),0)="","",VLOOKUP($B37,勘定科目!$A:$E,2,0)),"")</f>
        <v/>
      </c>
      <c r="D37" s="216" t="str">
        <f>IF(C37="","",VLOOKUP($B37,勘定科目!$A:$E,4,0))</f>
        <v/>
      </c>
      <c r="E37" s="220"/>
      <c r="F37" s="289"/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>
        <f t="shared" si="3"/>
        <v>0</v>
      </c>
      <c r="S37" s="283"/>
      <c r="T37" s="193"/>
      <c r="U37" s="221"/>
      <c r="V37" s="221"/>
      <c r="W37" s="221"/>
      <c r="BA37"/>
      <c r="BB37"/>
    </row>
    <row r="38" spans="1:54" s="187" customFormat="1" ht="14.25">
      <c r="A38" s="208"/>
      <c r="B38" s="179"/>
      <c r="C38" s="182" t="str">
        <f>IFERROR(IF(VLOOKUP($B38,勘定科目!$A:$H,HLOOKUP($E$5,勘定科目!$F$1:$H$2,2,0),0)="","",VLOOKUP($B38,勘定科目!$A:$E,2,0)),"")</f>
        <v/>
      </c>
      <c r="D38" s="216" t="str">
        <f>IF(C38="","",VLOOKUP($B38,勘定科目!$A:$E,4,0))</f>
        <v/>
      </c>
      <c r="E38" s="220"/>
      <c r="F38" s="289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>
        <f t="shared" si="3"/>
        <v>0</v>
      </c>
      <c r="S38" s="283"/>
      <c r="T38" s="193"/>
      <c r="U38" s="221"/>
      <c r="V38" s="221"/>
      <c r="W38" s="221"/>
      <c r="BA38"/>
      <c r="BB38"/>
    </row>
    <row r="39" spans="1:54" s="187" customFormat="1" ht="14.25">
      <c r="A39" s="208"/>
      <c r="B39" s="179"/>
      <c r="C39" s="182" t="str">
        <f>IFERROR(IF(VLOOKUP($B39,勘定科目!$A:$H,HLOOKUP($E$5,勘定科目!$F$1:$H$2,2,0),0)="","",VLOOKUP($B39,勘定科目!$A:$E,2,0)),"")</f>
        <v/>
      </c>
      <c r="D39" s="216" t="str">
        <f>IF(C39="","",VLOOKUP($B39,勘定科目!$A:$E,4,0))</f>
        <v/>
      </c>
      <c r="E39" s="220"/>
      <c r="F39" s="289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>
        <f t="shared" si="3"/>
        <v>0</v>
      </c>
      <c r="S39" s="283" t="s">
        <v>696</v>
      </c>
      <c r="T39" s="193"/>
      <c r="U39" s="221"/>
      <c r="V39" s="221"/>
      <c r="W39" s="221"/>
      <c r="BA39"/>
      <c r="BB39"/>
    </row>
    <row r="40" spans="1:54" s="187" customFormat="1" ht="14.25">
      <c r="A40" s="208"/>
      <c r="B40" s="179">
        <v>5006016260</v>
      </c>
      <c r="C40" s="182" t="str">
        <f>IFERROR(IF(VLOOKUP($B40,勘定科目!$A:$H,HLOOKUP($E$5,勘定科目!$F$1:$H$2,2,0),0)="","",VLOOKUP($B40,勘定科目!$A:$E,2,0)),"")</f>
        <v>減価償却費配賦（製）　建物</v>
      </c>
      <c r="D40" s="216" t="str">
        <f>IF(C40="","",VLOOKUP($B40,勘定科目!$A:$E,4,0))</f>
        <v>減価償却費</v>
      </c>
      <c r="E40" s="220"/>
      <c r="F40" s="289">
        <v>3112560</v>
      </c>
      <c r="G40" s="301">
        <v>3112433</v>
      </c>
      <c r="H40" s="301">
        <v>3246492</v>
      </c>
      <c r="I40" s="301">
        <v>3256521</v>
      </c>
      <c r="J40" s="301">
        <v>2623676</v>
      </c>
      <c r="K40" s="301">
        <v>2595239</v>
      </c>
      <c r="L40" s="301">
        <v>2595239</v>
      </c>
      <c r="M40" s="301">
        <v>2595239</v>
      </c>
      <c r="N40" s="301">
        <v>2587241</v>
      </c>
      <c r="O40" s="301">
        <v>2586098</v>
      </c>
      <c r="P40" s="301">
        <v>2586098</v>
      </c>
      <c r="Q40" s="301">
        <v>2604125</v>
      </c>
      <c r="R40" s="301">
        <f t="shared" si="3"/>
        <v>33500961</v>
      </c>
      <c r="S40" s="283" t="s">
        <v>802</v>
      </c>
      <c r="T40" s="193"/>
      <c r="U40" s="221"/>
      <c r="V40" s="221"/>
      <c r="W40" s="221"/>
      <c r="BA40"/>
      <c r="BB40"/>
    </row>
    <row r="41" spans="1:54" s="187" customFormat="1" ht="14.25">
      <c r="A41" s="208"/>
      <c r="B41" s="179">
        <v>5006016261</v>
      </c>
      <c r="C41" s="182" t="str">
        <f>IFERROR(IF(VLOOKUP($B41,勘定科目!$A:$H,HLOOKUP($E$5,勘定科目!$F$1:$H$2,2,0),0)="","",VLOOKUP($B41,勘定科目!$A:$E,2,0)),"")</f>
        <v>減価償却費配賦（製）　土地使用権</v>
      </c>
      <c r="D41" s="216" t="str">
        <f>IF(C41="","",VLOOKUP($B41,勘定科目!$A:$E,4,0))</f>
        <v>減価償却費</v>
      </c>
      <c r="E41" s="220"/>
      <c r="F41" s="289">
        <v>210102</v>
      </c>
      <c r="G41" s="301">
        <v>210102</v>
      </c>
      <c r="H41" s="301">
        <v>219116</v>
      </c>
      <c r="I41" s="301">
        <v>219750</v>
      </c>
      <c r="J41" s="301">
        <v>177095</v>
      </c>
      <c r="K41" s="301">
        <v>175191</v>
      </c>
      <c r="L41" s="301">
        <v>175191</v>
      </c>
      <c r="M41" s="301">
        <v>175191</v>
      </c>
      <c r="N41" s="301">
        <v>174683</v>
      </c>
      <c r="O41" s="301">
        <v>174556</v>
      </c>
      <c r="P41" s="301">
        <v>174556</v>
      </c>
      <c r="Q41" s="301">
        <v>175826</v>
      </c>
      <c r="R41" s="301">
        <f t="shared" si="3"/>
        <v>2261359</v>
      </c>
      <c r="S41" s="283" t="s">
        <v>803</v>
      </c>
      <c r="T41" s="193"/>
      <c r="U41" s="221"/>
      <c r="V41" s="221"/>
      <c r="W41" s="221"/>
      <c r="BA41"/>
      <c r="BB41"/>
    </row>
    <row r="42" spans="1:54" s="187" customFormat="1" ht="14.25">
      <c r="A42" s="208"/>
      <c r="B42" s="179">
        <v>9114120007</v>
      </c>
      <c r="C42" s="182" t="str">
        <f>IFERROR(IF(VLOOKUP($B42,勘定科目!$A:$H,HLOOKUP($E$5,勘定科目!$F$1:$H$2,2,0),0)="","",VLOOKUP($B42,勘定科目!$A:$E,2,0)),"")</f>
        <v>社内金利（固定資産）</v>
      </c>
      <c r="D42" s="216" t="str">
        <f>IF(C42="","",VLOOKUP($B42,勘定科目!$A:$E,4,0))</f>
        <v>固定資産金利</v>
      </c>
      <c r="E42" s="220"/>
      <c r="F42" s="289">
        <v>2224799</v>
      </c>
      <c r="G42" s="301">
        <v>2224926</v>
      </c>
      <c r="H42" s="301">
        <v>2203598</v>
      </c>
      <c r="I42" s="301">
        <v>2210453</v>
      </c>
      <c r="J42" s="301">
        <v>1781109</v>
      </c>
      <c r="K42" s="301">
        <v>1761558</v>
      </c>
      <c r="L42" s="301">
        <v>1761558</v>
      </c>
      <c r="M42" s="301">
        <v>1761558</v>
      </c>
      <c r="N42" s="301">
        <v>1756226</v>
      </c>
      <c r="O42" s="301">
        <v>1755338</v>
      </c>
      <c r="P42" s="301">
        <v>1755338</v>
      </c>
      <c r="Q42" s="301">
        <v>1767652</v>
      </c>
      <c r="R42" s="301">
        <f t="shared" si="3"/>
        <v>22964113</v>
      </c>
      <c r="S42" s="283" t="s">
        <v>697</v>
      </c>
      <c r="T42" s="193"/>
      <c r="U42" s="221"/>
      <c r="V42" s="221"/>
      <c r="W42" s="221"/>
      <c r="BA42"/>
      <c r="BB42"/>
    </row>
    <row r="43" spans="1:54" s="187" customFormat="1" ht="14.25">
      <c r="A43" s="208"/>
      <c r="B43" s="179">
        <v>9114120007</v>
      </c>
      <c r="C43" s="182" t="str">
        <f>IFERROR(IF(VLOOKUP($B43,勘定科目!$A:$H,HLOOKUP($E$5,勘定科目!$F$1:$H$2,2,0),0)="","",VLOOKUP($B43,勘定科目!$A:$E,2,0)),"")</f>
        <v>社内金利（固定資産）</v>
      </c>
      <c r="D43" s="216" t="str">
        <f>IF(C43="","",VLOOKUP($B43,勘定科目!$A:$E,4,0))</f>
        <v>固定資産金利</v>
      </c>
      <c r="E43" s="220"/>
      <c r="F43" s="289">
        <v>268880</v>
      </c>
      <c r="G43" s="301">
        <v>268880</v>
      </c>
      <c r="H43" s="301">
        <v>272435</v>
      </c>
      <c r="I43" s="301">
        <v>273323</v>
      </c>
      <c r="J43" s="301">
        <v>220258</v>
      </c>
      <c r="K43" s="301">
        <v>217846</v>
      </c>
      <c r="L43" s="301">
        <v>217846</v>
      </c>
      <c r="M43" s="301">
        <v>217846</v>
      </c>
      <c r="N43" s="301">
        <v>217085</v>
      </c>
      <c r="O43" s="301">
        <v>217085</v>
      </c>
      <c r="P43" s="301">
        <v>217085</v>
      </c>
      <c r="Q43" s="301">
        <v>218608</v>
      </c>
      <c r="R43" s="301">
        <f t="shared" si="3"/>
        <v>2827177</v>
      </c>
      <c r="S43" s="283" t="s">
        <v>804</v>
      </c>
      <c r="T43" s="193"/>
      <c r="U43" s="221"/>
      <c r="V43" s="221"/>
      <c r="W43" s="221"/>
      <c r="BA43"/>
      <c r="BB43"/>
    </row>
    <row r="44" spans="1:54" s="187" customFormat="1" ht="14.25">
      <c r="A44" s="208"/>
      <c r="B44" s="179">
        <v>5005066281</v>
      </c>
      <c r="C44" s="182" t="str">
        <f>IFERROR(IF(VLOOKUP($B44,勘定科目!$A:$H,HLOOKUP($E$5,勘定科目!$F$1:$H$2,2,0),0)="","",VLOOKUP($B44,勘定科目!$A:$E,2,0)),"")</f>
        <v>電気代（製）</v>
      </c>
      <c r="D44" s="216" t="str">
        <f>IF(C44="","",VLOOKUP($B44,勘定科目!$A:$E,4,0))</f>
        <v>水道光熱費</v>
      </c>
      <c r="E44" s="220"/>
      <c r="F44" s="289">
        <v>877127</v>
      </c>
      <c r="G44" s="301">
        <v>877127</v>
      </c>
      <c r="H44" s="301">
        <v>820435</v>
      </c>
      <c r="I44" s="301">
        <v>828796</v>
      </c>
      <c r="J44" s="301">
        <v>851382</v>
      </c>
      <c r="K44" s="301">
        <v>958528</v>
      </c>
      <c r="L44" s="301">
        <v>806256</v>
      </c>
      <c r="M44" s="301">
        <v>806256</v>
      </c>
      <c r="N44" s="301">
        <v>903813</v>
      </c>
      <c r="O44" s="301">
        <v>521474</v>
      </c>
      <c r="P44" s="301">
        <v>521474</v>
      </c>
      <c r="Q44" s="301">
        <v>524118</v>
      </c>
      <c r="R44" s="301">
        <f t="shared" si="3"/>
        <v>9296786</v>
      </c>
      <c r="S44" s="283" t="s">
        <v>698</v>
      </c>
      <c r="T44" s="193"/>
      <c r="U44" s="221"/>
      <c r="V44" s="221"/>
      <c r="W44" s="221"/>
      <c r="BA44"/>
      <c r="BB44"/>
    </row>
    <row r="45" spans="1:54" s="187" customFormat="1" ht="14.25">
      <c r="A45" s="208"/>
      <c r="B45" s="179">
        <v>5005066282</v>
      </c>
      <c r="C45" s="182" t="str">
        <f>IFERROR(IF(VLOOKUP($B45,勘定科目!$A:$H,HLOOKUP($E$5,勘定科目!$F$1:$H$2,2,0),0)="","",VLOOKUP($B45,勘定科目!$A:$E,2,0)),"")</f>
        <v>水道代（製）</v>
      </c>
      <c r="D45" s="216" t="str">
        <f>IF(C45="","",VLOOKUP($B45,勘定科目!$A:$E,4,0))</f>
        <v>水道光熱費</v>
      </c>
      <c r="E45" s="220"/>
      <c r="F45" s="289">
        <v>214990</v>
      </c>
      <c r="G45" s="301">
        <v>214990</v>
      </c>
      <c r="H45" s="301">
        <v>235027</v>
      </c>
      <c r="I45" s="301">
        <v>214606</v>
      </c>
      <c r="J45" s="301">
        <v>222677</v>
      </c>
      <c r="K45" s="301">
        <v>241465</v>
      </c>
      <c r="L45" s="301">
        <v>183088</v>
      </c>
      <c r="M45" s="301">
        <v>183088</v>
      </c>
      <c r="N45" s="301">
        <v>194303</v>
      </c>
      <c r="O45" s="301">
        <v>167597</v>
      </c>
      <c r="P45" s="301">
        <v>167597</v>
      </c>
      <c r="Q45" s="301">
        <v>138043</v>
      </c>
      <c r="R45" s="301">
        <f t="shared" si="3"/>
        <v>2377471</v>
      </c>
      <c r="S45" s="283" t="s">
        <v>699</v>
      </c>
      <c r="T45" s="193"/>
      <c r="U45" s="221"/>
      <c r="V45" s="221"/>
      <c r="W45" s="221"/>
      <c r="BA45"/>
      <c r="BB45"/>
    </row>
    <row r="46" spans="1:54" s="187" customFormat="1" ht="14.25">
      <c r="A46" s="208"/>
      <c r="B46" s="179">
        <v>5005056281</v>
      </c>
      <c r="C46" s="182" t="str">
        <f>IFERROR(IF(VLOOKUP($B46,勘定科目!$A:$H,HLOOKUP($E$5,勘定科目!$F$1:$H$2,2,0),0)="","",VLOOKUP($B46,勘定科目!$A:$E,2,0)),"")</f>
        <v>ガス代（製）</v>
      </c>
      <c r="D46" s="216" t="str">
        <f>IF(C46="","",VLOOKUP($B46,勘定科目!$A:$E,4,0))</f>
        <v>水道光熱費</v>
      </c>
      <c r="E46" s="220"/>
      <c r="F46" s="289">
        <v>483345</v>
      </c>
      <c r="G46" s="301">
        <v>465075</v>
      </c>
      <c r="H46" s="301">
        <v>523557</v>
      </c>
      <c r="I46" s="301">
        <v>543051</v>
      </c>
      <c r="J46" s="301">
        <v>553626</v>
      </c>
      <c r="K46" s="301">
        <v>434007</v>
      </c>
      <c r="L46" s="301">
        <v>648164</v>
      </c>
      <c r="M46" s="301">
        <v>614691</v>
      </c>
      <c r="N46" s="301">
        <v>587818</v>
      </c>
      <c r="O46" s="301">
        <v>510785</v>
      </c>
      <c r="P46" s="301">
        <v>522126</v>
      </c>
      <c r="Q46" s="301">
        <v>601128</v>
      </c>
      <c r="R46" s="301">
        <f t="shared" si="3"/>
        <v>6487373</v>
      </c>
      <c r="S46" s="283" t="s">
        <v>700</v>
      </c>
      <c r="T46" s="193"/>
      <c r="U46" s="221"/>
      <c r="V46" s="221"/>
      <c r="W46" s="221"/>
      <c r="BA46"/>
      <c r="BB46"/>
    </row>
    <row r="47" spans="1:54" s="187" customFormat="1" ht="14.25">
      <c r="A47" s="208"/>
      <c r="B47" s="179">
        <v>5005016372</v>
      </c>
      <c r="C47" s="182" t="str">
        <f>IFERROR(IF(VLOOKUP($B47,勘定科目!$A:$H,HLOOKUP($E$5,勘定科目!$F$1:$H$2,2,0),0)="","",VLOOKUP($B47,勘定科目!$A:$E,2,0)),"")</f>
        <v>その他消耗品（製）</v>
      </c>
      <c r="D47" s="216" t="str">
        <f>IF(C47="","",VLOOKUP($B47,勘定科目!$A:$E,4,0))</f>
        <v>消耗品費</v>
      </c>
      <c r="E47" s="220"/>
      <c r="F47" s="289">
        <v>10071</v>
      </c>
      <c r="G47" s="301">
        <v>10773</v>
      </c>
      <c r="H47" s="301">
        <v>10269</v>
      </c>
      <c r="I47" s="301">
        <v>12177</v>
      </c>
      <c r="J47" s="301">
        <v>11340</v>
      </c>
      <c r="K47" s="301">
        <v>9549</v>
      </c>
      <c r="L47" s="301">
        <v>14410</v>
      </c>
      <c r="M47" s="301">
        <v>13189</v>
      </c>
      <c r="N47" s="301">
        <v>12705</v>
      </c>
      <c r="O47" s="301">
        <v>10648</v>
      </c>
      <c r="P47" s="301">
        <v>11946</v>
      </c>
      <c r="Q47" s="301">
        <v>12991</v>
      </c>
      <c r="R47" s="301">
        <f t="shared" si="3"/>
        <v>140068</v>
      </c>
      <c r="S47" s="283" t="s">
        <v>701</v>
      </c>
      <c r="T47" s="193"/>
      <c r="U47" s="221"/>
      <c r="V47" s="221"/>
      <c r="W47" s="221"/>
      <c r="BA47"/>
      <c r="BB47"/>
    </row>
    <row r="48" spans="1:54" s="187" customFormat="1" ht="14.25">
      <c r="A48" s="208"/>
      <c r="B48" s="179">
        <v>5005016372</v>
      </c>
      <c r="C48" s="182" t="str">
        <f>IFERROR(IF(VLOOKUP($B48,勘定科目!$A:$H,HLOOKUP($E$5,勘定科目!$F$1:$H$2,2,0),0)="","",VLOOKUP($B48,勘定科目!$A:$E,2,0)),"")</f>
        <v>その他消耗品（製）</v>
      </c>
      <c r="D48" s="216" t="str">
        <f>IF(C48="","",VLOOKUP($B48,勘定科目!$A:$E,4,0))</f>
        <v>消耗品費</v>
      </c>
      <c r="E48" s="220"/>
      <c r="F48" s="289">
        <v>157806</v>
      </c>
      <c r="G48" s="301">
        <v>173961</v>
      </c>
      <c r="H48" s="301">
        <v>166014</v>
      </c>
      <c r="I48" s="301">
        <v>190206</v>
      </c>
      <c r="J48" s="301">
        <v>182142</v>
      </c>
      <c r="K48" s="301">
        <v>149337</v>
      </c>
      <c r="L48" s="301">
        <v>232265</v>
      </c>
      <c r="M48" s="301">
        <v>212300</v>
      </c>
      <c r="N48" s="301">
        <v>202400</v>
      </c>
      <c r="O48" s="301">
        <v>172414</v>
      </c>
      <c r="P48" s="301">
        <v>192258</v>
      </c>
      <c r="Q48" s="301">
        <v>202455</v>
      </c>
      <c r="R48" s="301">
        <f t="shared" si="3"/>
        <v>2233558</v>
      </c>
      <c r="S48" s="283" t="s">
        <v>702</v>
      </c>
      <c r="T48" s="193"/>
      <c r="U48" s="221"/>
      <c r="V48" s="221"/>
      <c r="W48" s="221"/>
      <c r="BA48"/>
      <c r="BB48"/>
    </row>
    <row r="49" spans="1:54" s="187" customFormat="1" ht="14.25">
      <c r="A49" s="208"/>
      <c r="B49" s="179">
        <v>5005016372</v>
      </c>
      <c r="C49" s="182" t="str">
        <f>IFERROR(IF(VLOOKUP($B49,勘定科目!$A:$H,HLOOKUP($E$5,勘定科目!$F$1:$H$2,2,0),0)="","",VLOOKUP($B49,勘定科目!$A:$E,2,0)),"")</f>
        <v>その他消耗品（製）</v>
      </c>
      <c r="D49" s="216" t="str">
        <f>IF(C49="","",VLOOKUP($B49,勘定科目!$A:$E,4,0))</f>
        <v>消耗品費</v>
      </c>
      <c r="E49" s="220"/>
      <c r="F49" s="289">
        <v>0</v>
      </c>
      <c r="G49" s="301">
        <v>0</v>
      </c>
      <c r="H49" s="301">
        <v>0</v>
      </c>
      <c r="I49" s="301">
        <v>0</v>
      </c>
      <c r="J49" s="301">
        <v>0</v>
      </c>
      <c r="K49" s="301">
        <v>0</v>
      </c>
      <c r="L49" s="301">
        <v>0</v>
      </c>
      <c r="M49" s="301">
        <v>0</v>
      </c>
      <c r="N49" s="301">
        <v>0</v>
      </c>
      <c r="O49" s="301">
        <v>0</v>
      </c>
      <c r="P49" s="301">
        <v>0</v>
      </c>
      <c r="Q49" s="301">
        <v>0</v>
      </c>
      <c r="R49" s="301">
        <f t="shared" si="3"/>
        <v>0</v>
      </c>
      <c r="S49" s="283" t="s">
        <v>703</v>
      </c>
      <c r="T49" s="193"/>
      <c r="U49" s="221"/>
      <c r="V49" s="221"/>
      <c r="W49" s="221"/>
      <c r="BA49"/>
      <c r="BB49"/>
    </row>
    <row r="50" spans="1:54" s="187" customFormat="1" ht="14.25">
      <c r="A50" s="208"/>
      <c r="B50" s="179">
        <v>5005246286</v>
      </c>
      <c r="C50" s="182" t="str">
        <f>IFERROR(IF(VLOOKUP($B50,勘定科目!$A:$H,HLOOKUP($E$5,勘定科目!$F$1:$H$2,2,0),0)="","",VLOOKUP($B50,勘定科目!$A:$E,2,0)),"")</f>
        <v>その他手数料（製）</v>
      </c>
      <c r="D50" s="216" t="str">
        <f>IF(C50="","",VLOOKUP($B50,勘定科目!$A:$E,4,0))</f>
        <v>手数料</v>
      </c>
      <c r="E50" s="220"/>
      <c r="F50" s="289">
        <v>506133</v>
      </c>
      <c r="G50" s="301">
        <v>488673</v>
      </c>
      <c r="H50" s="301">
        <v>517761</v>
      </c>
      <c r="I50" s="301">
        <v>478872</v>
      </c>
      <c r="J50" s="301">
        <v>490122</v>
      </c>
      <c r="K50" s="301">
        <v>454464</v>
      </c>
      <c r="L50" s="301">
        <v>544852</v>
      </c>
      <c r="M50" s="301">
        <v>544192</v>
      </c>
      <c r="N50" s="301">
        <v>545259</v>
      </c>
      <c r="O50" s="301">
        <v>538538</v>
      </c>
      <c r="P50" s="301">
        <v>516351</v>
      </c>
      <c r="Q50" s="301">
        <v>557612</v>
      </c>
      <c r="R50" s="301">
        <f t="shared" si="3"/>
        <v>6182829</v>
      </c>
      <c r="S50" s="283" t="s">
        <v>704</v>
      </c>
      <c r="T50" s="193"/>
      <c r="U50" s="221"/>
      <c r="V50" s="221"/>
      <c r="W50" s="221"/>
      <c r="BA50"/>
      <c r="BB50"/>
    </row>
    <row r="51" spans="1:54" s="187" customFormat="1" ht="14.25">
      <c r="A51" s="208"/>
      <c r="B51" s="179">
        <v>5004086291</v>
      </c>
      <c r="C51" s="182" t="str">
        <f>IFERROR(IF(VLOOKUP($B51,勘定科目!$A:$H,HLOOKUP($E$5,勘定科目!$F$1:$H$2,2,0),0)="","",VLOOKUP($B51,勘定科目!$A:$E,2,0)),"")</f>
        <v>福利厚生費（製）</v>
      </c>
      <c r="D51" s="216" t="str">
        <f>IF(C51="","",VLOOKUP($B51,勘定科目!$A:$E,4,0))</f>
        <v>福利厚生費</v>
      </c>
      <c r="E51" s="220"/>
      <c r="F51" s="289">
        <v>2100000</v>
      </c>
      <c r="G51" s="301">
        <v>2100000</v>
      </c>
      <c r="H51" s="301">
        <v>2100000</v>
      </c>
      <c r="I51" s="301">
        <v>2100000</v>
      </c>
      <c r="J51" s="301">
        <v>2100000</v>
      </c>
      <c r="K51" s="301">
        <v>2100000</v>
      </c>
      <c r="L51" s="301">
        <v>3500000</v>
      </c>
      <c r="M51" s="301">
        <v>3500000</v>
      </c>
      <c r="N51" s="301">
        <v>3500000</v>
      </c>
      <c r="O51" s="301">
        <v>3500000</v>
      </c>
      <c r="P51" s="301">
        <v>3500000</v>
      </c>
      <c r="Q51" s="301">
        <v>3500000</v>
      </c>
      <c r="R51" s="301">
        <f t="shared" si="3"/>
        <v>33600000</v>
      </c>
      <c r="S51" s="283" t="s">
        <v>705</v>
      </c>
      <c r="T51" s="193"/>
      <c r="U51" s="221"/>
      <c r="V51" s="221"/>
      <c r="W51" s="221"/>
      <c r="BA51"/>
      <c r="BB51"/>
    </row>
    <row r="52" spans="1:54" s="187" customFormat="1" ht="14.25">
      <c r="A52" s="208"/>
      <c r="B52" s="179">
        <v>5004086291</v>
      </c>
      <c r="C52" s="182" t="str">
        <f>IFERROR(IF(VLOOKUP($B52,勘定科目!$A:$H,HLOOKUP($E$5,勘定科目!$F$1:$H$2,2,0),0)="","",VLOOKUP($B52,勘定科目!$A:$E,2,0)),"")</f>
        <v>福利厚生費（製）</v>
      </c>
      <c r="D52" s="216" t="str">
        <f>IF(C52="","",VLOOKUP($B52,勘定科目!$A:$E,4,0))</f>
        <v>福利厚生費</v>
      </c>
      <c r="E52" s="220"/>
      <c r="F52" s="289">
        <v>0</v>
      </c>
      <c r="G52" s="301">
        <v>0</v>
      </c>
      <c r="H52" s="301">
        <v>0</v>
      </c>
      <c r="I52" s="301">
        <v>0</v>
      </c>
      <c r="J52" s="301">
        <v>0</v>
      </c>
      <c r="K52" s="301">
        <v>0</v>
      </c>
      <c r="L52" s="301">
        <v>0</v>
      </c>
      <c r="M52" s="301">
        <v>0</v>
      </c>
      <c r="N52" s="301">
        <v>0</v>
      </c>
      <c r="O52" s="301">
        <v>0</v>
      </c>
      <c r="P52" s="301">
        <v>0</v>
      </c>
      <c r="Q52" s="301">
        <v>0</v>
      </c>
      <c r="R52" s="301">
        <f t="shared" si="3"/>
        <v>0</v>
      </c>
      <c r="S52" s="283" t="s">
        <v>805</v>
      </c>
      <c r="T52" s="193"/>
      <c r="U52" s="221"/>
      <c r="V52" s="221"/>
      <c r="W52" s="221"/>
      <c r="BA52"/>
      <c r="BB52"/>
    </row>
    <row r="53" spans="1:54" s="187" customFormat="1" ht="14.25">
      <c r="A53" s="208"/>
      <c r="B53" s="179">
        <v>5004086291</v>
      </c>
      <c r="C53" s="182" t="str">
        <f>IFERROR(IF(VLOOKUP($B53,勘定科目!$A:$H,HLOOKUP($E$5,勘定科目!$F$1:$H$2,2,0),0)="","",VLOOKUP($B53,勘定科目!$A:$E,2,0)),"")</f>
        <v>福利厚生費（製）</v>
      </c>
      <c r="D53" s="216" t="str">
        <f>IF(C53="","",VLOOKUP($B53,勘定科目!$A:$E,4,0))</f>
        <v>福利厚生費</v>
      </c>
      <c r="E53" s="220"/>
      <c r="F53" s="289">
        <v>0</v>
      </c>
      <c r="G53" s="301">
        <v>0</v>
      </c>
      <c r="H53" s="301">
        <v>0</v>
      </c>
      <c r="I53" s="301">
        <v>0</v>
      </c>
      <c r="J53" s="301">
        <v>0</v>
      </c>
      <c r="K53" s="301">
        <v>0</v>
      </c>
      <c r="L53" s="301">
        <v>0</v>
      </c>
      <c r="M53" s="301">
        <v>0</v>
      </c>
      <c r="N53" s="301">
        <v>0</v>
      </c>
      <c r="O53" s="301">
        <v>0</v>
      </c>
      <c r="P53" s="301">
        <v>0</v>
      </c>
      <c r="Q53" s="301">
        <v>0</v>
      </c>
      <c r="R53" s="301">
        <f t="shared" si="3"/>
        <v>0</v>
      </c>
      <c r="S53" s="283" t="s">
        <v>706</v>
      </c>
      <c r="T53" s="193"/>
      <c r="U53" s="221"/>
      <c r="V53" s="221"/>
      <c r="W53" s="221"/>
      <c r="BA53"/>
      <c r="BB53"/>
    </row>
    <row r="54" spans="1:54" s="187" customFormat="1" ht="14.25">
      <c r="A54" s="208"/>
      <c r="B54" s="179">
        <v>5004086291</v>
      </c>
      <c r="C54" s="182" t="str">
        <f>IFERROR(IF(VLOOKUP($B54,勘定科目!$A:$H,HLOOKUP($E$5,勘定科目!$F$1:$H$2,2,0),0)="","",VLOOKUP($B54,勘定科目!$A:$E,2,0)),"")</f>
        <v>福利厚生費（製）</v>
      </c>
      <c r="D54" s="216" t="str">
        <f>IF(C54="","",VLOOKUP($B54,勘定科目!$A:$E,4,0))</f>
        <v>福利厚生費</v>
      </c>
      <c r="E54" s="220"/>
      <c r="F54" s="289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>
        <f t="shared" si="3"/>
        <v>0</v>
      </c>
      <c r="S54" s="283" t="s">
        <v>707</v>
      </c>
      <c r="T54" s="193"/>
      <c r="U54" s="221"/>
      <c r="V54" s="221"/>
      <c r="W54" s="221"/>
      <c r="BA54"/>
      <c r="BB54"/>
    </row>
    <row r="55" spans="1:54" s="187" customFormat="1" ht="14.25">
      <c r="A55" s="208"/>
      <c r="B55" s="179">
        <v>5004086291</v>
      </c>
      <c r="C55" s="182" t="str">
        <f>IFERROR(IF(VLOOKUP($B55,勘定科目!$A:$H,HLOOKUP($E$5,勘定科目!$F$1:$H$2,2,0),0)="","",VLOOKUP($B55,勘定科目!$A:$E,2,0)),"")</f>
        <v>福利厚生費（製）</v>
      </c>
      <c r="D55" s="216" t="str">
        <f>IF(C55="","",VLOOKUP($B55,勘定科目!$A:$E,4,0))</f>
        <v>福利厚生費</v>
      </c>
      <c r="E55" s="220"/>
      <c r="F55" s="289">
        <v>0</v>
      </c>
      <c r="G55" s="301">
        <v>0</v>
      </c>
      <c r="H55" s="301">
        <v>0</v>
      </c>
      <c r="I55" s="301">
        <v>0</v>
      </c>
      <c r="J55" s="301">
        <v>0</v>
      </c>
      <c r="K55" s="301">
        <v>576000</v>
      </c>
      <c r="L55" s="301">
        <v>0</v>
      </c>
      <c r="M55" s="301">
        <v>0</v>
      </c>
      <c r="N55" s="301">
        <v>0</v>
      </c>
      <c r="O55" s="301">
        <v>0</v>
      </c>
      <c r="P55" s="301">
        <v>0</v>
      </c>
      <c r="Q55" s="301">
        <v>0</v>
      </c>
      <c r="R55" s="301">
        <f t="shared" si="3"/>
        <v>576000</v>
      </c>
      <c r="S55" s="283" t="s">
        <v>708</v>
      </c>
      <c r="T55" s="193"/>
      <c r="U55" s="221"/>
      <c r="V55" s="221"/>
      <c r="W55" s="221"/>
      <c r="BA55"/>
      <c r="BB55"/>
    </row>
    <row r="56" spans="1:54" s="187" customFormat="1" ht="14.25">
      <c r="A56" s="208"/>
      <c r="B56" s="179">
        <v>5004086291</v>
      </c>
      <c r="C56" s="182" t="str">
        <f>IFERROR(IF(VLOOKUP($B56,勘定科目!$A:$H,HLOOKUP($E$5,勘定科目!$F$1:$H$2,2,0),0)="","",VLOOKUP($B56,勘定科目!$A:$E,2,0)),"")</f>
        <v>福利厚生費（製）</v>
      </c>
      <c r="D56" s="216" t="str">
        <f>IF(C56="","",VLOOKUP($B56,勘定科目!$A:$E,4,0))</f>
        <v>福利厚生費</v>
      </c>
      <c r="E56" s="220"/>
      <c r="F56" s="289">
        <v>0</v>
      </c>
      <c r="G56" s="301">
        <v>0</v>
      </c>
      <c r="H56" s="301">
        <v>0</v>
      </c>
      <c r="I56" s="301">
        <v>0</v>
      </c>
      <c r="J56" s="301">
        <v>0</v>
      </c>
      <c r="K56" s="301">
        <v>0</v>
      </c>
      <c r="L56" s="301">
        <v>0</v>
      </c>
      <c r="M56" s="301">
        <v>0</v>
      </c>
      <c r="N56" s="301">
        <v>0</v>
      </c>
      <c r="O56" s="301">
        <v>0</v>
      </c>
      <c r="P56" s="301">
        <v>0</v>
      </c>
      <c r="Q56" s="301">
        <v>0</v>
      </c>
      <c r="R56" s="301">
        <f t="shared" si="3"/>
        <v>0</v>
      </c>
      <c r="S56" s="283" t="s">
        <v>709</v>
      </c>
      <c r="T56" s="193"/>
      <c r="U56" s="221"/>
      <c r="V56" s="221"/>
      <c r="W56" s="221"/>
      <c r="BA56"/>
      <c r="BB56"/>
    </row>
    <row r="57" spans="1:54" s="187" customFormat="1" ht="14.25">
      <c r="A57" s="208"/>
      <c r="B57" s="179">
        <v>5004086291</v>
      </c>
      <c r="C57" s="182" t="str">
        <f>IFERROR(IF(VLOOKUP($B57,勘定科目!$A:$H,HLOOKUP($E$5,勘定科目!$F$1:$H$2,2,0),0)="","",VLOOKUP($B57,勘定科目!$A:$E,2,0)),"")</f>
        <v>福利厚生費（製）</v>
      </c>
      <c r="D57" s="216" t="str">
        <f>IF(C57="","",VLOOKUP($B57,勘定科目!$A:$E,4,0))</f>
        <v>福利厚生費</v>
      </c>
      <c r="E57" s="220"/>
      <c r="F57" s="289">
        <v>0</v>
      </c>
      <c r="G57" s="301">
        <v>17964000</v>
      </c>
      <c r="H57" s="301">
        <v>0</v>
      </c>
      <c r="I57" s="301">
        <v>0</v>
      </c>
      <c r="J57" s="301">
        <v>0</v>
      </c>
      <c r="K57" s="301">
        <v>0</v>
      </c>
      <c r="L57" s="301">
        <v>0</v>
      </c>
      <c r="M57" s="301">
        <v>0</v>
      </c>
      <c r="N57" s="301">
        <v>0</v>
      </c>
      <c r="O57" s="301">
        <v>0</v>
      </c>
      <c r="P57" s="301">
        <v>0</v>
      </c>
      <c r="Q57" s="301">
        <v>0</v>
      </c>
      <c r="R57" s="301">
        <f t="shared" si="3"/>
        <v>17964000</v>
      </c>
      <c r="S57" s="283" t="s">
        <v>710</v>
      </c>
      <c r="T57" s="193"/>
      <c r="U57" s="221"/>
      <c r="V57" s="221"/>
      <c r="W57" s="221"/>
      <c r="BA57"/>
      <c r="BB57"/>
    </row>
    <row r="58" spans="1:54" s="187" customFormat="1" ht="14.25">
      <c r="A58" s="208"/>
      <c r="B58" s="179">
        <v>5004086291</v>
      </c>
      <c r="C58" s="182" t="str">
        <f>IFERROR(IF(VLOOKUP($B58,勘定科目!$A:$H,HLOOKUP($E$5,勘定科目!$F$1:$H$2,2,0),0)="","",VLOOKUP($B58,勘定科目!$A:$E,2,0)),"")</f>
        <v>福利厚生費（製）</v>
      </c>
      <c r="D58" s="216" t="str">
        <f>IF(C58="","",VLOOKUP($B58,勘定科目!$A:$E,4,0))</f>
        <v>福利厚生費</v>
      </c>
      <c r="E58" s="220"/>
      <c r="F58" s="289">
        <v>0</v>
      </c>
      <c r="G58" s="301">
        <v>0</v>
      </c>
      <c r="H58" s="301">
        <v>0</v>
      </c>
      <c r="I58" s="301">
        <v>0</v>
      </c>
      <c r="J58" s="301"/>
      <c r="K58" s="301">
        <v>1206000</v>
      </c>
      <c r="L58" s="301">
        <v>0</v>
      </c>
      <c r="M58" s="301">
        <v>0</v>
      </c>
      <c r="N58" s="301">
        <v>0</v>
      </c>
      <c r="O58" s="301">
        <v>0</v>
      </c>
      <c r="P58" s="301">
        <v>0</v>
      </c>
      <c r="Q58" s="301">
        <v>0</v>
      </c>
      <c r="R58" s="301">
        <f t="shared" si="3"/>
        <v>1206000</v>
      </c>
      <c r="S58" s="283" t="s">
        <v>711</v>
      </c>
      <c r="T58" s="193"/>
      <c r="U58" s="221"/>
      <c r="V58" s="221"/>
      <c r="W58" s="221"/>
      <c r="BA58"/>
      <c r="BB58"/>
    </row>
    <row r="59" spans="1:54" s="187" customFormat="1" ht="14.25">
      <c r="A59" s="208"/>
      <c r="B59" s="179">
        <v>5004086291</v>
      </c>
      <c r="C59" s="182" t="str">
        <f>IFERROR(IF(VLOOKUP($B59,勘定科目!$A:$H,HLOOKUP($E$5,勘定科目!$F$1:$H$2,2,0),0)="","",VLOOKUP($B59,勘定科目!$A:$E,2,0)),"")</f>
        <v>福利厚生費（製）</v>
      </c>
      <c r="D59" s="216" t="str">
        <f>IF(C59="","",VLOOKUP($B59,勘定科目!$A:$E,4,0))</f>
        <v>福利厚生費</v>
      </c>
      <c r="E59" s="220"/>
      <c r="F59" s="289">
        <v>0</v>
      </c>
      <c r="G59" s="301">
        <v>0</v>
      </c>
      <c r="H59" s="301">
        <v>0</v>
      </c>
      <c r="I59" s="301">
        <v>0</v>
      </c>
      <c r="J59" s="301">
        <v>0</v>
      </c>
      <c r="K59" s="301">
        <v>0</v>
      </c>
      <c r="L59" s="301">
        <v>0</v>
      </c>
      <c r="M59" s="301">
        <v>1133000</v>
      </c>
      <c r="N59" s="301">
        <v>0</v>
      </c>
      <c r="O59" s="301">
        <v>0</v>
      </c>
      <c r="P59" s="301">
        <v>0</v>
      </c>
      <c r="Q59" s="301">
        <v>0</v>
      </c>
      <c r="R59" s="301">
        <f t="shared" si="3"/>
        <v>1133000</v>
      </c>
      <c r="S59" s="283" t="s">
        <v>712</v>
      </c>
      <c r="T59" s="193"/>
      <c r="U59" s="221"/>
      <c r="V59" s="221"/>
      <c r="W59" s="221"/>
      <c r="BA59"/>
      <c r="BB59"/>
    </row>
    <row r="60" spans="1:54" s="187" customFormat="1" ht="14.25">
      <c r="A60" s="208"/>
      <c r="B60" s="179">
        <v>5004086291</v>
      </c>
      <c r="C60" s="182" t="str">
        <f>IFERROR(IF(VLOOKUP($B60,勘定科目!$A:$H,HLOOKUP($E$5,勘定科目!$F$1:$H$2,2,0),0)="","",VLOOKUP($B60,勘定科目!$A:$E,2,0)),"")</f>
        <v>福利厚生費（製）</v>
      </c>
      <c r="D60" s="216" t="str">
        <f>IF(C60="","",VLOOKUP($B60,勘定科目!$A:$E,4,0))</f>
        <v>福利厚生費</v>
      </c>
      <c r="E60" s="220"/>
      <c r="F60" s="289">
        <v>0</v>
      </c>
      <c r="G60" s="301">
        <v>0</v>
      </c>
      <c r="H60" s="301">
        <v>0</v>
      </c>
      <c r="I60" s="301">
        <v>0</v>
      </c>
      <c r="J60" s="301">
        <v>0</v>
      </c>
      <c r="K60" s="301">
        <v>0</v>
      </c>
      <c r="L60" s="301">
        <v>0</v>
      </c>
      <c r="M60" s="301">
        <v>0</v>
      </c>
      <c r="N60" s="301">
        <v>0</v>
      </c>
      <c r="O60" s="301">
        <v>2200000</v>
      </c>
      <c r="P60" s="301">
        <v>0</v>
      </c>
      <c r="Q60" s="301">
        <v>0</v>
      </c>
      <c r="R60" s="301">
        <f t="shared" si="3"/>
        <v>2200000</v>
      </c>
      <c r="S60" s="283" t="s">
        <v>713</v>
      </c>
      <c r="T60" s="193"/>
      <c r="U60" s="221"/>
      <c r="V60" s="221"/>
      <c r="W60" s="221"/>
      <c r="BA60"/>
      <c r="BB60"/>
    </row>
    <row r="61" spans="1:54" s="187" customFormat="1" ht="14.25">
      <c r="A61" s="208"/>
      <c r="B61" s="179">
        <v>5004086291</v>
      </c>
      <c r="C61" s="182" t="str">
        <f>IFERROR(IF(VLOOKUP($B61,勘定科目!$A:$H,HLOOKUP($E$5,勘定科目!$F$1:$H$2,2,0),0)="","",VLOOKUP($B61,勘定科目!$A:$E,2,0)),"")</f>
        <v>福利厚生費（製）</v>
      </c>
      <c r="D61" s="216" t="str">
        <f>IF(C61="","",VLOOKUP($B61,勘定科目!$A:$E,4,0))</f>
        <v>福利厚生費</v>
      </c>
      <c r="E61" s="220"/>
      <c r="F61" s="289">
        <v>0</v>
      </c>
      <c r="G61" s="289">
        <v>0</v>
      </c>
      <c r="H61" s="289">
        <v>0</v>
      </c>
      <c r="I61" s="289">
        <v>0</v>
      </c>
      <c r="J61" s="289">
        <v>0</v>
      </c>
      <c r="K61" s="289">
        <v>0</v>
      </c>
      <c r="L61" s="289">
        <v>0</v>
      </c>
      <c r="M61" s="289">
        <v>0</v>
      </c>
      <c r="N61" s="289">
        <v>0</v>
      </c>
      <c r="O61" s="289">
        <v>0</v>
      </c>
      <c r="P61" s="289">
        <v>1100000</v>
      </c>
      <c r="Q61" s="289">
        <v>0</v>
      </c>
      <c r="R61" s="289">
        <f t="shared" si="3"/>
        <v>1100000</v>
      </c>
      <c r="S61" s="283" t="s">
        <v>714</v>
      </c>
      <c r="T61" s="193"/>
      <c r="U61" s="221"/>
      <c r="V61" s="221"/>
      <c r="W61" s="221"/>
      <c r="BA61"/>
      <c r="BB61"/>
    </row>
    <row r="62" spans="1:54" s="187" customFormat="1" ht="14.25">
      <c r="A62" s="208"/>
      <c r="B62" s="179">
        <v>5004086291</v>
      </c>
      <c r="C62" s="182" t="str">
        <f>IFERROR(IF(VLOOKUP($B62,勘定科目!$A:$H,HLOOKUP($E$5,勘定科目!$F$1:$H$2,2,0),0)="","",VLOOKUP($B62,勘定科目!$A:$E,2,0)),"")</f>
        <v>福利厚生費（製）</v>
      </c>
      <c r="D62" s="216" t="str">
        <f>IF(C62="","",VLOOKUP($B62,勘定科目!$A:$E,4,0))</f>
        <v>福利厚生費</v>
      </c>
      <c r="E62" s="220"/>
      <c r="F62" s="289">
        <v>163000</v>
      </c>
      <c r="G62" s="301">
        <v>163000</v>
      </c>
      <c r="H62" s="301">
        <v>163000</v>
      </c>
      <c r="I62" s="301">
        <v>0</v>
      </c>
      <c r="J62" s="301">
        <v>163000</v>
      </c>
      <c r="K62" s="301">
        <v>163000</v>
      </c>
      <c r="L62" s="301">
        <v>0</v>
      </c>
      <c r="M62" s="301">
        <v>163000</v>
      </c>
      <c r="N62" s="301">
        <v>163000</v>
      </c>
      <c r="O62" s="301">
        <v>163000</v>
      </c>
      <c r="P62" s="301">
        <v>0</v>
      </c>
      <c r="Q62" s="301">
        <v>0</v>
      </c>
      <c r="R62" s="301">
        <f t="shared" si="3"/>
        <v>1304000</v>
      </c>
      <c r="S62" s="283" t="s">
        <v>715</v>
      </c>
      <c r="T62" s="193"/>
      <c r="U62" s="221"/>
      <c r="V62" s="221"/>
      <c r="W62" s="221"/>
      <c r="BA62"/>
      <c r="BB62"/>
    </row>
    <row r="63" spans="1:54" s="187" customFormat="1" ht="14.25">
      <c r="A63" s="208"/>
      <c r="B63" s="179">
        <v>5004086291</v>
      </c>
      <c r="C63" s="182" t="str">
        <f>IFERROR(IF(VLOOKUP($B63,勘定科目!$A:$H,HLOOKUP($E$5,勘定科目!$F$1:$H$2,2,0),0)="","",VLOOKUP($B63,勘定科目!$A:$E,2,0)),"")</f>
        <v>福利厚生費（製）</v>
      </c>
      <c r="D63" s="216" t="str">
        <f>IF(C63="","",VLOOKUP($B63,勘定科目!$A:$E,4,0))</f>
        <v>福利厚生費</v>
      </c>
      <c r="E63" s="220"/>
      <c r="F63" s="289"/>
      <c r="G63" s="301">
        <v>1800000</v>
      </c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>
        <f t="shared" si="3"/>
        <v>1800000</v>
      </c>
      <c r="S63" s="283" t="s">
        <v>716</v>
      </c>
      <c r="T63" s="193"/>
      <c r="U63" s="221"/>
      <c r="V63" s="221"/>
      <c r="W63" s="221"/>
      <c r="BA63"/>
      <c r="BB63"/>
    </row>
    <row r="64" spans="1:54" s="187" customFormat="1" ht="14.25">
      <c r="A64" s="208"/>
      <c r="B64" s="179">
        <v>5005246281</v>
      </c>
      <c r="C64" s="182" t="str">
        <f>IFERROR(IF(VLOOKUP($B64,勘定科目!$A:$H,HLOOKUP($E$5,勘定科目!$F$1:$H$2,2,0),0)="","",VLOOKUP($B64,勘定科目!$A:$E,2,0)),"")</f>
        <v>図書印刷費（製）</v>
      </c>
      <c r="D64" s="216" t="str">
        <f>IF(C64="","",VLOOKUP($B64,勘定科目!$A:$E,4,0))</f>
        <v>図書及び事務費</v>
      </c>
      <c r="E64" s="220"/>
      <c r="F64" s="289">
        <v>0</v>
      </c>
      <c r="G64" s="301">
        <v>0</v>
      </c>
      <c r="H64" s="301">
        <v>0</v>
      </c>
      <c r="I64" s="301">
        <v>0</v>
      </c>
      <c r="J64" s="301">
        <v>0</v>
      </c>
      <c r="K64" s="301">
        <v>0</v>
      </c>
      <c r="L64" s="301">
        <v>0</v>
      </c>
      <c r="M64" s="301">
        <v>0</v>
      </c>
      <c r="N64" s="301">
        <v>8580</v>
      </c>
      <c r="O64" s="301">
        <v>0</v>
      </c>
      <c r="P64" s="301">
        <v>0</v>
      </c>
      <c r="Q64" s="301">
        <v>0</v>
      </c>
      <c r="R64" s="301">
        <f t="shared" si="3"/>
        <v>8580</v>
      </c>
      <c r="S64" s="283" t="s">
        <v>717</v>
      </c>
      <c r="T64" s="193"/>
      <c r="U64" s="221"/>
      <c r="V64" s="221"/>
      <c r="W64" s="221"/>
      <c r="BA64"/>
      <c r="BB64"/>
    </row>
    <row r="65" spans="1:54" s="187" customFormat="1" ht="16.5">
      <c r="A65" s="208"/>
      <c r="B65" s="179">
        <v>5004086291</v>
      </c>
      <c r="C65" s="182" t="str">
        <f>IFERROR(IF(VLOOKUP($B65,勘定科目!$A:$H,HLOOKUP($E$5,勘定科目!$F$1:$H$2,2,0),0)="","",VLOOKUP($B65,勘定科目!$A:$E,2,0)),"")</f>
        <v>福利厚生費（製）</v>
      </c>
      <c r="D65" s="216" t="str">
        <f>IF(C65="","",VLOOKUP($B65,勘定科目!$A:$E,4,0))</f>
        <v>福利厚生費</v>
      </c>
      <c r="E65" s="220"/>
      <c r="F65" s="299">
        <v>0</v>
      </c>
      <c r="G65" s="300">
        <v>0</v>
      </c>
      <c r="H65" s="300">
        <v>0</v>
      </c>
      <c r="I65" s="300">
        <v>150000</v>
      </c>
      <c r="J65" s="300">
        <v>0</v>
      </c>
      <c r="K65" s="300">
        <v>0</v>
      </c>
      <c r="L65" s="300">
        <v>0</v>
      </c>
      <c r="M65" s="300">
        <v>0</v>
      </c>
      <c r="N65" s="300">
        <v>0</v>
      </c>
      <c r="O65" s="300">
        <v>0</v>
      </c>
      <c r="P65" s="300">
        <v>0</v>
      </c>
      <c r="Q65" s="300">
        <v>0</v>
      </c>
      <c r="R65" s="300">
        <f t="shared" si="3"/>
        <v>150000</v>
      </c>
      <c r="S65" s="282" t="s">
        <v>718</v>
      </c>
      <c r="T65" s="193"/>
      <c r="U65" s="221"/>
      <c r="V65" s="221"/>
      <c r="W65" s="221"/>
      <c r="BA65"/>
      <c r="BB65"/>
    </row>
    <row r="66" spans="1:54" s="187" customFormat="1" ht="14.25">
      <c r="A66" s="208"/>
      <c r="B66" s="179">
        <v>5004086291</v>
      </c>
      <c r="C66" s="182" t="str">
        <f>IFERROR(IF(VLOOKUP($B66,勘定科目!$A:$H,HLOOKUP($E$5,勘定科目!$F$1:$H$2,2,0),0)="","",VLOOKUP($B66,勘定科目!$A:$E,2,0)),"")</f>
        <v>福利厚生費（製）</v>
      </c>
      <c r="D66" s="216" t="str">
        <f>IF(C66="","",VLOOKUP($B66,勘定科目!$A:$E,4,0))</f>
        <v>福利厚生費</v>
      </c>
      <c r="E66" s="220"/>
      <c r="F66" s="289">
        <v>0</v>
      </c>
      <c r="G66" s="301">
        <v>0</v>
      </c>
      <c r="H66" s="301">
        <v>0</v>
      </c>
      <c r="I66" s="301">
        <v>0</v>
      </c>
      <c r="J66" s="301">
        <v>0</v>
      </c>
      <c r="K66" s="301">
        <v>0</v>
      </c>
      <c r="L66" s="301">
        <v>0</v>
      </c>
      <c r="M66" s="301">
        <v>0</v>
      </c>
      <c r="N66" s="301">
        <v>1134000</v>
      </c>
      <c r="O66" s="301">
        <v>0</v>
      </c>
      <c r="P66" s="301">
        <v>0</v>
      </c>
      <c r="Q66" s="301">
        <v>0</v>
      </c>
      <c r="R66" s="301">
        <f t="shared" si="3"/>
        <v>1134000</v>
      </c>
      <c r="S66" s="283" t="s">
        <v>719</v>
      </c>
      <c r="T66" s="193"/>
      <c r="U66" s="221"/>
      <c r="V66" s="221"/>
      <c r="W66" s="221"/>
      <c r="BA66"/>
      <c r="BB66"/>
    </row>
    <row r="67" spans="1:54" s="187" customFormat="1" ht="14.25">
      <c r="A67" s="208"/>
      <c r="B67" s="179">
        <v>5004086291</v>
      </c>
      <c r="C67" s="182" t="str">
        <f>IFERROR(IF(VLOOKUP($B67,勘定科目!$A:$H,HLOOKUP($E$5,勘定科目!$F$1:$H$2,2,0),0)="","",VLOOKUP($B67,勘定科目!$A:$E,2,0)),"")</f>
        <v>福利厚生費（製）</v>
      </c>
      <c r="D67" s="216" t="str">
        <f>IF(C67="","",VLOOKUP($B67,勘定科目!$A:$E,4,0))</f>
        <v>福利厚生費</v>
      </c>
      <c r="E67" s="220"/>
      <c r="F67" s="289">
        <v>0</v>
      </c>
      <c r="G67" s="301">
        <v>0</v>
      </c>
      <c r="H67" s="301">
        <v>0</v>
      </c>
      <c r="I67" s="301">
        <v>0</v>
      </c>
      <c r="J67" s="301">
        <v>0</v>
      </c>
      <c r="K67" s="301">
        <v>0</v>
      </c>
      <c r="L67" s="301">
        <v>0</v>
      </c>
      <c r="M67" s="301">
        <v>0</v>
      </c>
      <c r="N67" s="301">
        <v>0</v>
      </c>
      <c r="O67" s="301">
        <v>0</v>
      </c>
      <c r="P67" s="301">
        <v>0</v>
      </c>
      <c r="Q67" s="301">
        <v>0</v>
      </c>
      <c r="R67" s="301">
        <f t="shared" si="3"/>
        <v>0</v>
      </c>
      <c r="S67" s="283" t="s">
        <v>720</v>
      </c>
      <c r="T67" s="193"/>
      <c r="U67" s="221"/>
      <c r="V67" s="221"/>
      <c r="W67" s="221"/>
      <c r="BA67"/>
      <c r="BB67"/>
    </row>
    <row r="68" spans="1:54" s="187" customFormat="1" ht="14.25">
      <c r="A68" s="208"/>
      <c r="B68" s="179">
        <v>5005246281</v>
      </c>
      <c r="C68" s="182" t="str">
        <f>IFERROR(IF(VLOOKUP($B68,勘定科目!$A:$H,HLOOKUP($E$5,勘定科目!$F$1:$H$2,2,0),0)="","",VLOOKUP($B68,勘定科目!$A:$E,2,0)),"")</f>
        <v>図書印刷費（製）</v>
      </c>
      <c r="D68" s="216" t="str">
        <f>IF(C68="","",VLOOKUP($B68,勘定科目!$A:$E,4,0))</f>
        <v>図書及び事務費</v>
      </c>
      <c r="E68" s="220"/>
      <c r="F68" s="289"/>
      <c r="G68" s="301">
        <v>300000</v>
      </c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>
        <f t="shared" si="3"/>
        <v>300000</v>
      </c>
      <c r="S68" s="283" t="s">
        <v>792</v>
      </c>
      <c r="T68" s="193"/>
      <c r="U68" s="221"/>
      <c r="V68" s="221"/>
      <c r="W68" s="221"/>
      <c r="BA68"/>
      <c r="BB68"/>
    </row>
    <row r="69" spans="1:54" s="187" customFormat="1" ht="14.25">
      <c r="A69" s="208"/>
      <c r="B69" s="179"/>
      <c r="C69" s="182" t="str">
        <f>IFERROR(IF(VLOOKUP($B69,勘定科目!$A:$H,HLOOKUP($E$5,勘定科目!$F$1:$H$2,2,0),0)="","",VLOOKUP($B69,勘定科目!$A:$E,2,0)),"")</f>
        <v/>
      </c>
      <c r="D69" s="216" t="str">
        <f>IF(C69="","",VLOOKUP($B69,勘定科目!$A:$E,4,0))</f>
        <v/>
      </c>
      <c r="E69" s="220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89"/>
      <c r="R69" s="289">
        <f t="shared" si="3"/>
        <v>0</v>
      </c>
      <c r="S69" s="283" t="s">
        <v>721</v>
      </c>
      <c r="T69" s="193"/>
      <c r="U69" s="221"/>
      <c r="V69" s="221"/>
      <c r="W69" s="221"/>
      <c r="BA69"/>
      <c r="BB69"/>
    </row>
    <row r="70" spans="1:54" s="187" customFormat="1" ht="14.25">
      <c r="A70" s="208"/>
      <c r="B70" s="179">
        <v>5005246282</v>
      </c>
      <c r="C70" s="182" t="str">
        <f>IFERROR(IF(VLOOKUP($B70,勘定科目!$A:$H,HLOOKUP($E$5,勘定科目!$F$1:$H$2,2,0),0)="","",VLOOKUP($B70,勘定科目!$A:$E,2,0)),"")</f>
        <v>ＫＤＣシステム使用料（製）</v>
      </c>
      <c r="D70" s="216" t="str">
        <f>IF(C70="","",VLOOKUP($B70,勘定科目!$A:$E,4,0))</f>
        <v>図書及び事務費</v>
      </c>
      <c r="E70" s="220"/>
      <c r="F70" s="289">
        <v>1610996</v>
      </c>
      <c r="G70" s="301">
        <v>1610996</v>
      </c>
      <c r="H70" s="301">
        <v>1610996</v>
      </c>
      <c r="I70" s="301">
        <v>1610996</v>
      </c>
      <c r="J70" s="301">
        <v>1610996</v>
      </c>
      <c r="K70" s="301">
        <v>1610996</v>
      </c>
      <c r="L70" s="301">
        <v>1968995</v>
      </c>
      <c r="M70" s="301">
        <v>1968995</v>
      </c>
      <c r="N70" s="301">
        <v>1968995</v>
      </c>
      <c r="O70" s="301">
        <v>1968995</v>
      </c>
      <c r="P70" s="301">
        <v>1968995</v>
      </c>
      <c r="Q70" s="301">
        <v>1968995</v>
      </c>
      <c r="R70" s="301">
        <f t="shared" si="3"/>
        <v>21479946</v>
      </c>
      <c r="S70" s="283" t="s">
        <v>806</v>
      </c>
      <c r="T70" s="193"/>
      <c r="U70" s="221"/>
      <c r="V70" s="221"/>
      <c r="W70" s="221"/>
      <c r="BA70"/>
      <c r="BB70"/>
    </row>
    <row r="71" spans="1:54" s="187" customFormat="1" ht="14.25">
      <c r="A71" s="208"/>
      <c r="B71" s="179">
        <v>5005246282</v>
      </c>
      <c r="C71" s="182" t="str">
        <f>IFERROR(IF(VLOOKUP($B71,勘定科目!$A:$H,HLOOKUP($E$5,勘定科目!$F$1:$H$2,2,0),0)="","",VLOOKUP($B71,勘定科目!$A:$E,2,0)),"")</f>
        <v>ＫＤＣシステム使用料（製）</v>
      </c>
      <c r="D71" s="216" t="str">
        <f>IF(C71="","",VLOOKUP($B71,勘定科目!$A:$E,4,0))</f>
        <v>図書及び事務費</v>
      </c>
      <c r="E71" s="220"/>
      <c r="F71" s="289">
        <v>0</v>
      </c>
      <c r="G71" s="301">
        <v>0</v>
      </c>
      <c r="H71" s="301">
        <v>0</v>
      </c>
      <c r="I71" s="301">
        <v>0</v>
      </c>
      <c r="J71" s="301">
        <v>0</v>
      </c>
      <c r="K71" s="301">
        <v>0</v>
      </c>
      <c r="L71" s="301">
        <v>0</v>
      </c>
      <c r="M71" s="301">
        <v>0</v>
      </c>
      <c r="N71" s="301">
        <v>0</v>
      </c>
      <c r="O71" s="301">
        <v>0</v>
      </c>
      <c r="P71" s="301">
        <v>0</v>
      </c>
      <c r="Q71" s="301">
        <v>0</v>
      </c>
      <c r="R71" s="301">
        <f t="shared" si="3"/>
        <v>0</v>
      </c>
      <c r="S71" s="283" t="s">
        <v>807</v>
      </c>
      <c r="T71" s="193"/>
      <c r="U71" s="221"/>
      <c r="V71" s="221"/>
      <c r="W71" s="221"/>
      <c r="BA71"/>
      <c r="BB71"/>
    </row>
    <row r="72" spans="1:54" s="187" customFormat="1" ht="14.25">
      <c r="A72" s="208"/>
      <c r="B72" s="179">
        <v>5005246282</v>
      </c>
      <c r="C72" s="182" t="str">
        <f>IFERROR(IF(VLOOKUP($B72,勘定科目!$A:$H,HLOOKUP($E$5,勘定科目!$F$1:$H$2,2,0),0)="","",VLOOKUP($B72,勘定科目!$A:$E,2,0)),"")</f>
        <v>ＫＤＣシステム使用料（製）</v>
      </c>
      <c r="D72" s="216" t="str">
        <f>IF(C72="","",VLOOKUP($B72,勘定科目!$A:$E,4,0))</f>
        <v>図書及び事務費</v>
      </c>
      <c r="E72" s="220"/>
      <c r="F72" s="289">
        <v>0</v>
      </c>
      <c r="G72" s="301">
        <v>0</v>
      </c>
      <c r="H72" s="301">
        <v>0</v>
      </c>
      <c r="I72" s="301">
        <v>0</v>
      </c>
      <c r="J72" s="301">
        <v>0</v>
      </c>
      <c r="K72" s="301">
        <v>0</v>
      </c>
      <c r="L72" s="301">
        <v>0</v>
      </c>
      <c r="M72" s="301">
        <v>0</v>
      </c>
      <c r="N72" s="301">
        <v>0</v>
      </c>
      <c r="O72" s="301">
        <v>0</v>
      </c>
      <c r="P72" s="301">
        <v>0</v>
      </c>
      <c r="Q72" s="301">
        <v>0</v>
      </c>
      <c r="R72" s="301">
        <f t="shared" si="3"/>
        <v>0</v>
      </c>
      <c r="S72" s="283" t="s">
        <v>808</v>
      </c>
      <c r="T72" s="193"/>
      <c r="U72" s="221"/>
      <c r="V72" s="221"/>
      <c r="W72" s="221"/>
      <c r="BA72"/>
      <c r="BB72"/>
    </row>
    <row r="73" spans="1:54" s="187" customFormat="1" ht="16.5">
      <c r="A73" s="208"/>
      <c r="B73" s="179">
        <v>5005246282</v>
      </c>
      <c r="C73" s="182" t="str">
        <f>IFERROR(IF(VLOOKUP($B73,勘定科目!$A:$H,HLOOKUP($E$5,勘定科目!$F$1:$H$2,2,0),0)="","",VLOOKUP($B73,勘定科目!$A:$E,2,0)),"")</f>
        <v>ＫＤＣシステム使用料（製）</v>
      </c>
      <c r="D73" s="216" t="str">
        <f>IF(C73="","",VLOOKUP($B73,勘定科目!$A:$E,4,0))</f>
        <v>図書及び事務費</v>
      </c>
      <c r="E73" s="220"/>
      <c r="F73" s="299">
        <v>1191553</v>
      </c>
      <c r="G73" s="300">
        <v>1191553</v>
      </c>
      <c r="H73" s="300">
        <v>1191553</v>
      </c>
      <c r="I73" s="300">
        <v>1191553</v>
      </c>
      <c r="J73" s="300">
        <v>1191553</v>
      </c>
      <c r="K73" s="300">
        <v>1191553</v>
      </c>
      <c r="L73" s="300">
        <v>1191553</v>
      </c>
      <c r="M73" s="300">
        <v>1191553</v>
      </c>
      <c r="N73" s="300">
        <v>1191553</v>
      </c>
      <c r="O73" s="300">
        <v>1191553</v>
      </c>
      <c r="P73" s="300">
        <v>1191553</v>
      </c>
      <c r="Q73" s="300">
        <v>1191553</v>
      </c>
      <c r="R73" s="300">
        <f t="shared" si="3"/>
        <v>14298636</v>
      </c>
      <c r="S73" s="282" t="s">
        <v>809</v>
      </c>
      <c r="T73" s="193"/>
      <c r="U73" s="221"/>
      <c r="V73" s="221"/>
      <c r="W73" s="221"/>
      <c r="BA73"/>
      <c r="BB73"/>
    </row>
    <row r="74" spans="1:54" s="187" customFormat="1" ht="14.25">
      <c r="A74" s="208"/>
      <c r="B74" s="179">
        <v>5005246282</v>
      </c>
      <c r="C74" s="182" t="str">
        <f>IFERROR(IF(VLOOKUP($B74,勘定科目!$A:$H,HLOOKUP($E$5,勘定科目!$F$1:$H$2,2,0),0)="","",VLOOKUP($B74,勘定科目!$A:$E,2,0)),"")</f>
        <v>ＫＤＣシステム使用料（製）</v>
      </c>
      <c r="D74" s="216" t="str">
        <f>IF(C74="","",VLOOKUP($B74,勘定科目!$A:$E,4,0))</f>
        <v>図書及び事務費</v>
      </c>
      <c r="E74" s="220"/>
      <c r="F74" s="289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>
        <f t="shared" si="3"/>
        <v>0</v>
      </c>
      <c r="S74" s="283" t="s">
        <v>810</v>
      </c>
      <c r="T74" s="193"/>
      <c r="U74" s="221"/>
      <c r="V74" s="221"/>
      <c r="W74" s="221"/>
      <c r="BA74"/>
      <c r="BB74"/>
    </row>
    <row r="75" spans="1:54" s="187" customFormat="1" ht="14.25">
      <c r="A75" s="208"/>
      <c r="B75" s="179">
        <v>5005246282</v>
      </c>
      <c r="C75" s="182" t="str">
        <f>IFERROR(IF(VLOOKUP($B75,勘定科目!$A:$H,HLOOKUP($E$5,勘定科目!$F$1:$H$2,2,0),0)="","",VLOOKUP($B75,勘定科目!$A:$E,2,0)),"")</f>
        <v>ＫＤＣシステム使用料（製）</v>
      </c>
      <c r="D75" s="216" t="str">
        <f>IF(C75="","",VLOOKUP($B75,勘定科目!$A:$E,4,0))</f>
        <v>図書及び事務費</v>
      </c>
      <c r="E75" s="220"/>
      <c r="F75" s="289">
        <v>0</v>
      </c>
      <c r="G75" s="301">
        <v>0</v>
      </c>
      <c r="H75" s="301">
        <v>0</v>
      </c>
      <c r="I75" s="301">
        <v>0</v>
      </c>
      <c r="J75" s="301">
        <v>0</v>
      </c>
      <c r="K75" s="301">
        <v>0</v>
      </c>
      <c r="L75" s="301">
        <v>0</v>
      </c>
      <c r="M75" s="301">
        <v>0</v>
      </c>
      <c r="N75" s="301">
        <v>0</v>
      </c>
      <c r="O75" s="301">
        <v>0</v>
      </c>
      <c r="P75" s="301">
        <v>0</v>
      </c>
      <c r="Q75" s="301">
        <v>0</v>
      </c>
      <c r="R75" s="301">
        <f t="shared" si="3"/>
        <v>0</v>
      </c>
      <c r="S75" s="283" t="s">
        <v>811</v>
      </c>
      <c r="T75" s="193"/>
      <c r="U75" s="221"/>
      <c r="V75" s="221"/>
      <c r="W75" s="221"/>
      <c r="BA75"/>
      <c r="BB75"/>
    </row>
    <row r="76" spans="1:54" s="187" customFormat="1" ht="14.25">
      <c r="A76" s="208"/>
      <c r="B76" s="179">
        <v>5005246282</v>
      </c>
      <c r="C76" s="182" t="str">
        <f>IFERROR(IF(VLOOKUP($B76,勘定科目!$A:$H,HLOOKUP($E$5,勘定科目!$F$1:$H$2,2,0),0)="","",VLOOKUP($B76,勘定科目!$A:$E,2,0)),"")</f>
        <v>ＫＤＣシステム使用料（製）</v>
      </c>
      <c r="D76" s="216" t="str">
        <f>IF(C76="","",VLOOKUP($B76,勘定科目!$A:$E,4,0))</f>
        <v>図書及び事務費</v>
      </c>
      <c r="E76" s="220"/>
      <c r="F76" s="289">
        <v>0</v>
      </c>
      <c r="G76" s="301">
        <v>0</v>
      </c>
      <c r="H76" s="301">
        <v>0</v>
      </c>
      <c r="I76" s="301">
        <v>0</v>
      </c>
      <c r="J76" s="301">
        <v>0</v>
      </c>
      <c r="K76" s="301">
        <v>0</v>
      </c>
      <c r="L76" s="301">
        <v>0</v>
      </c>
      <c r="M76" s="301">
        <v>0</v>
      </c>
      <c r="N76" s="301">
        <v>0</v>
      </c>
      <c r="O76" s="301">
        <v>0</v>
      </c>
      <c r="P76" s="301">
        <v>0</v>
      </c>
      <c r="Q76" s="301">
        <v>0</v>
      </c>
      <c r="R76" s="301">
        <f t="shared" si="3"/>
        <v>0</v>
      </c>
      <c r="S76" s="283" t="s">
        <v>693</v>
      </c>
      <c r="T76" s="193"/>
      <c r="U76" s="221"/>
      <c r="V76" s="221"/>
      <c r="W76" s="221"/>
      <c r="BA76"/>
      <c r="BB76"/>
    </row>
    <row r="77" spans="1:54" s="187" customFormat="1" ht="14.25">
      <c r="A77" s="208"/>
      <c r="B77" s="179"/>
      <c r="C77" s="182" t="str">
        <f>IFERROR(IF(VLOOKUP($B77,勘定科目!$A:$H,HLOOKUP($E$5,勘定科目!$F$1:$H$2,2,0),0)="","",VLOOKUP($B77,勘定科目!$A:$E,2,0)),"")</f>
        <v/>
      </c>
      <c r="D77" s="216" t="str">
        <f>IF(C77="","",VLOOKUP($B77,勘定科目!$A:$E,4,0))</f>
        <v/>
      </c>
      <c r="E77" s="220"/>
      <c r="F77" s="289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>
        <f t="shared" si="3"/>
        <v>0</v>
      </c>
      <c r="S77" s="283" t="s">
        <v>722</v>
      </c>
      <c r="T77" s="193"/>
      <c r="U77" s="221"/>
      <c r="V77" s="221"/>
      <c r="W77" s="221"/>
      <c r="BA77"/>
      <c r="BB77"/>
    </row>
    <row r="78" spans="1:54" s="187" customFormat="1" ht="14.25">
      <c r="A78" s="208"/>
      <c r="B78" s="179">
        <v>5005246281</v>
      </c>
      <c r="C78" s="182" t="str">
        <f>IFERROR(IF(VLOOKUP($B78,勘定科目!$A:$H,HLOOKUP($E$5,勘定科目!$F$1:$H$2,2,0),0)="","",VLOOKUP($B78,勘定科目!$A:$E,2,0)),"")</f>
        <v>図書印刷費（製）</v>
      </c>
      <c r="D78" s="216" t="str">
        <f>IF(C78="","",VLOOKUP($B78,勘定科目!$A:$E,4,0))</f>
        <v>図書及び事務費</v>
      </c>
      <c r="E78" s="220"/>
      <c r="F78" s="289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>
        <f t="shared" si="3"/>
        <v>0</v>
      </c>
      <c r="S78" s="283" t="s">
        <v>723</v>
      </c>
      <c r="T78" s="193"/>
      <c r="U78" s="221"/>
      <c r="V78" s="221"/>
      <c r="W78" s="221"/>
      <c r="BA78"/>
      <c r="BB78"/>
    </row>
    <row r="79" spans="1:54" s="187" customFormat="1" ht="14.25">
      <c r="A79" s="208"/>
      <c r="B79" s="179">
        <v>5005246281</v>
      </c>
      <c r="C79" s="182" t="str">
        <f>IFERROR(IF(VLOOKUP($B79,勘定科目!$A:$H,HLOOKUP($E$5,勘定科目!$F$1:$H$2,2,0),0)="","",VLOOKUP($B79,勘定科目!$A:$E,2,0)),"")</f>
        <v>図書印刷費（製）</v>
      </c>
      <c r="D79" s="216" t="str">
        <f>IF(C79="","",VLOOKUP($B79,勘定科目!$A:$E,4,0))</f>
        <v>図書及び事務費</v>
      </c>
      <c r="E79" s="220"/>
      <c r="F79" s="289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>
        <f t="shared" si="3"/>
        <v>0</v>
      </c>
      <c r="S79" s="283" t="s">
        <v>724</v>
      </c>
      <c r="T79" s="193"/>
      <c r="U79" s="221"/>
      <c r="V79" s="221"/>
      <c r="W79" s="221"/>
      <c r="BA79"/>
      <c r="BB79"/>
    </row>
    <row r="80" spans="1:54" s="187" customFormat="1" ht="14.25">
      <c r="A80" s="208"/>
      <c r="B80" s="179">
        <v>5005246288</v>
      </c>
      <c r="C80" s="182" t="str">
        <f>IFERROR(IF(VLOOKUP($B80,勘定科目!$A:$H,HLOOKUP($E$5,勘定科目!$F$1:$H$2,2,0),0)="","",VLOOKUP($B80,勘定科目!$A:$E,2,0)),"")</f>
        <v>事務用品費（製）</v>
      </c>
      <c r="D80" s="216" t="str">
        <f>IF(C80="","",VLOOKUP($B80,勘定科目!$A:$E,4,0))</f>
        <v>図書及び事務費</v>
      </c>
      <c r="E80" s="220"/>
      <c r="F80" s="289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>
        <f t="shared" si="3"/>
        <v>0</v>
      </c>
      <c r="S80" s="283" t="s">
        <v>812</v>
      </c>
      <c r="T80" s="193"/>
      <c r="U80" s="221"/>
      <c r="V80" s="221"/>
      <c r="W80" s="221"/>
      <c r="BA80"/>
      <c r="BB80"/>
    </row>
    <row r="81" spans="1:54" s="187" customFormat="1" ht="14.25">
      <c r="A81" s="208"/>
      <c r="B81" s="179">
        <v>5005246288</v>
      </c>
      <c r="C81" s="182" t="str">
        <f>IFERROR(IF(VLOOKUP($B81,勘定科目!$A:$H,HLOOKUP($E$5,勘定科目!$F$1:$H$2,2,0),0)="","",VLOOKUP($B81,勘定科目!$A:$E,2,0)),"")</f>
        <v>事務用品費（製）</v>
      </c>
      <c r="D81" s="216" t="str">
        <f>IF(C81="","",VLOOKUP($B81,勘定科目!$A:$E,4,0))</f>
        <v>図書及び事務費</v>
      </c>
      <c r="E81" s="220"/>
      <c r="F81" s="289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>
        <f t="shared" si="3"/>
        <v>0</v>
      </c>
      <c r="S81" s="283" t="s">
        <v>813</v>
      </c>
      <c r="T81" s="193"/>
      <c r="U81" s="221"/>
      <c r="V81" s="221"/>
      <c r="W81" s="221"/>
      <c r="BA81"/>
      <c r="BB81"/>
    </row>
    <row r="82" spans="1:54" s="187" customFormat="1" ht="14.25">
      <c r="A82" s="208"/>
      <c r="B82" s="179">
        <v>5005246281</v>
      </c>
      <c r="C82" s="182" t="str">
        <f>IFERROR(IF(VLOOKUP($B82,勘定科目!$A:$H,HLOOKUP($E$5,勘定科目!$F$1:$H$2,2,0),0)="","",VLOOKUP($B82,勘定科目!$A:$E,2,0)),"")</f>
        <v>図書印刷費（製）</v>
      </c>
      <c r="D82" s="216" t="str">
        <f>IF(C82="","",VLOOKUP($B82,勘定科目!$A:$E,4,0))</f>
        <v>図書及び事務費</v>
      </c>
      <c r="E82" s="220"/>
      <c r="F82" s="289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>
        <f t="shared" si="3"/>
        <v>0</v>
      </c>
      <c r="S82" s="284" t="s">
        <v>814</v>
      </c>
      <c r="T82" s="193"/>
      <c r="U82" s="221"/>
      <c r="V82" s="221"/>
      <c r="W82" s="221"/>
      <c r="BA82"/>
      <c r="BB82"/>
    </row>
    <row r="83" spans="1:54" s="187" customFormat="1" ht="14.25">
      <c r="A83" s="208"/>
      <c r="B83" s="179">
        <v>5004086291</v>
      </c>
      <c r="C83" s="182" t="str">
        <f>IFERROR(IF(VLOOKUP($B83,勘定科目!$A:$H,HLOOKUP($E$5,勘定科目!$F$1:$H$2,2,0),0)="","",VLOOKUP($B83,勘定科目!$A:$E,2,0)),"")</f>
        <v>福利厚生費（製）</v>
      </c>
      <c r="D83" s="216" t="str">
        <f>IF(C83="","",VLOOKUP($B83,勘定科目!$A:$E,4,0))</f>
        <v>福利厚生費</v>
      </c>
      <c r="E83" s="220"/>
      <c r="F83" s="289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>
        <f t="shared" si="3"/>
        <v>0</v>
      </c>
      <c r="S83" s="284" t="s">
        <v>725</v>
      </c>
      <c r="T83" s="193"/>
      <c r="U83" s="221"/>
      <c r="V83" s="221"/>
      <c r="W83" s="221"/>
      <c r="BA83"/>
      <c r="BB83"/>
    </row>
    <row r="84" spans="1:54" s="187" customFormat="1" ht="14.25">
      <c r="A84" s="208"/>
      <c r="B84" s="179">
        <v>5004086291</v>
      </c>
      <c r="C84" s="182" t="str">
        <f>IFERROR(IF(VLOOKUP($B84,勘定科目!$A:$H,HLOOKUP($E$5,勘定科目!$F$1:$H$2,2,0),0)="","",VLOOKUP($B84,勘定科目!$A:$E,2,0)),"")</f>
        <v>福利厚生費（製）</v>
      </c>
      <c r="D84" s="216" t="str">
        <f>IF(C84="","",VLOOKUP($B84,勘定科目!$A:$E,4,0))</f>
        <v>福利厚生費</v>
      </c>
      <c r="E84" s="220"/>
      <c r="F84" s="289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>
        <f t="shared" si="3"/>
        <v>0</v>
      </c>
      <c r="S84" s="284" t="s">
        <v>726</v>
      </c>
      <c r="T84" s="193"/>
      <c r="U84" s="221"/>
      <c r="V84" s="221"/>
      <c r="W84" s="221"/>
      <c r="BA84"/>
      <c r="BB84"/>
    </row>
    <row r="85" spans="1:54" s="187" customFormat="1" ht="14.25">
      <c r="A85" s="208"/>
      <c r="B85" s="179">
        <v>5004086291</v>
      </c>
      <c r="C85" s="182" t="str">
        <f>IFERROR(IF(VLOOKUP($B85,勘定科目!$A:$H,HLOOKUP($E$5,勘定科目!$F$1:$H$2,2,0),0)="","",VLOOKUP($B85,勘定科目!$A:$E,2,0)),"")</f>
        <v>福利厚生費（製）</v>
      </c>
      <c r="D85" s="216" t="str">
        <f>IF(C85="","",VLOOKUP($B85,勘定科目!$A:$E,4,0))</f>
        <v>福利厚生費</v>
      </c>
      <c r="E85" s="220"/>
      <c r="F85" s="289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>
        <f t="shared" si="3"/>
        <v>0</v>
      </c>
      <c r="S85" s="283" t="s">
        <v>815</v>
      </c>
      <c r="T85" s="193"/>
      <c r="U85" s="221"/>
      <c r="V85" s="221"/>
      <c r="W85" s="221"/>
      <c r="BA85"/>
      <c r="BB85"/>
    </row>
    <row r="86" spans="1:54" s="187" customFormat="1" ht="14.25">
      <c r="A86" s="208"/>
      <c r="B86" s="179">
        <v>5004086291</v>
      </c>
      <c r="C86" s="182" t="str">
        <f>IFERROR(IF(VLOOKUP($B86,勘定科目!$A:$H,HLOOKUP($E$5,勘定科目!$F$1:$H$2,2,0),0)="","",VLOOKUP($B86,勘定科目!$A:$E,2,0)),"")</f>
        <v>福利厚生費（製）</v>
      </c>
      <c r="D86" s="216" t="str">
        <f>IF(C86="","",VLOOKUP($B86,勘定科目!$A:$E,4,0))</f>
        <v>福利厚生費</v>
      </c>
      <c r="E86" s="220"/>
      <c r="F86" s="289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>
        <f t="shared" si="3"/>
        <v>0</v>
      </c>
      <c r="S86" s="283" t="s">
        <v>727</v>
      </c>
      <c r="T86" s="193"/>
      <c r="U86" s="221"/>
      <c r="V86" s="221"/>
      <c r="W86" s="221"/>
      <c r="BA86"/>
      <c r="BB86"/>
    </row>
    <row r="87" spans="1:54" s="187" customFormat="1" ht="14.25">
      <c r="A87" s="208"/>
      <c r="B87" s="179">
        <v>5004086291</v>
      </c>
      <c r="C87" s="182" t="str">
        <f>IFERROR(IF(VLOOKUP($B87,勘定科目!$A:$H,HLOOKUP($E$5,勘定科目!$F$1:$H$2,2,0),0)="","",VLOOKUP($B87,勘定科目!$A:$E,2,0)),"")</f>
        <v>福利厚生費（製）</v>
      </c>
      <c r="D87" s="216" t="str">
        <f>IF(C87="","",VLOOKUP($B87,勘定科目!$A:$E,4,0))</f>
        <v>福利厚生費</v>
      </c>
      <c r="E87" s="220"/>
      <c r="F87" s="289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>
        <f t="shared" si="3"/>
        <v>0</v>
      </c>
      <c r="S87" s="283" t="s">
        <v>728</v>
      </c>
      <c r="T87" s="193"/>
      <c r="U87" s="221"/>
      <c r="V87" s="221"/>
      <c r="W87" s="221"/>
      <c r="BA87"/>
      <c r="BB87"/>
    </row>
    <row r="88" spans="1:54" s="187" customFormat="1" ht="14.25">
      <c r="A88" s="208"/>
      <c r="B88" s="179">
        <v>5004086291</v>
      </c>
      <c r="C88" s="182" t="str">
        <f>IFERROR(IF(VLOOKUP($B88,勘定科目!$A:$H,HLOOKUP($E$5,勘定科目!$F$1:$H$2,2,0),0)="","",VLOOKUP($B88,勘定科目!$A:$E,2,0)),"")</f>
        <v>福利厚生費（製）</v>
      </c>
      <c r="D88" s="216" t="str">
        <f>IF(C88="","",VLOOKUP($B88,勘定科目!$A:$E,4,0))</f>
        <v>福利厚生費</v>
      </c>
      <c r="E88" s="220"/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  <c r="Q88" s="289"/>
      <c r="R88" s="289">
        <f t="shared" si="3"/>
        <v>0</v>
      </c>
      <c r="S88" s="283" t="s">
        <v>816</v>
      </c>
      <c r="T88" s="193"/>
      <c r="U88" s="221"/>
      <c r="V88" s="221"/>
      <c r="W88" s="221"/>
      <c r="BA88"/>
      <c r="BB88"/>
    </row>
    <row r="89" spans="1:54" s="187" customFormat="1" ht="14.25">
      <c r="A89" s="208"/>
      <c r="B89" s="179">
        <v>5004086291</v>
      </c>
      <c r="C89" s="182" t="str">
        <f>IFERROR(IF(VLOOKUP($B89,勘定科目!$A:$H,HLOOKUP($E$5,勘定科目!$F$1:$H$2,2,0),0)="","",VLOOKUP($B89,勘定科目!$A:$E,2,0)),"")</f>
        <v>福利厚生費（製）</v>
      </c>
      <c r="D89" s="216" t="str">
        <f>IF(C89="","",VLOOKUP($B89,勘定科目!$A:$E,4,0))</f>
        <v>福利厚生費</v>
      </c>
      <c r="E89" s="220"/>
      <c r="F89" s="289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>
        <f t="shared" si="3"/>
        <v>0</v>
      </c>
      <c r="S89" s="283" t="s">
        <v>729</v>
      </c>
      <c r="T89" s="193"/>
      <c r="U89" s="221"/>
      <c r="V89" s="221"/>
      <c r="W89" s="221"/>
      <c r="BA89"/>
      <c r="BB89"/>
    </row>
    <row r="90" spans="1:54" s="187" customFormat="1" ht="14.25">
      <c r="A90" s="208"/>
      <c r="B90" s="179">
        <v>5004086291</v>
      </c>
      <c r="C90" s="182" t="str">
        <f>IFERROR(IF(VLOOKUP($B90,勘定科目!$A:$H,HLOOKUP($E$5,勘定科目!$F$1:$H$2,2,0),0)="","",VLOOKUP($B90,勘定科目!$A:$E,2,0)),"")</f>
        <v>福利厚生費（製）</v>
      </c>
      <c r="D90" s="216" t="str">
        <f>IF(C90="","",VLOOKUP($B90,勘定科目!$A:$E,4,0))</f>
        <v>福利厚生費</v>
      </c>
      <c r="E90" s="220"/>
      <c r="F90" s="289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>
        <f t="shared" si="3"/>
        <v>0</v>
      </c>
      <c r="S90" s="283" t="s">
        <v>730</v>
      </c>
      <c r="T90" s="193"/>
      <c r="U90" s="221"/>
      <c r="V90" s="221"/>
      <c r="W90" s="221"/>
      <c r="BA90"/>
      <c r="BB90"/>
    </row>
    <row r="91" spans="1:54" s="187" customFormat="1" ht="14.25">
      <c r="A91" s="208"/>
      <c r="B91" s="179">
        <v>5005246281</v>
      </c>
      <c r="C91" s="182" t="str">
        <f>IFERROR(IF(VLOOKUP($B91,勘定科目!$A:$H,HLOOKUP($E$5,勘定科目!$F$1:$H$2,2,0),0)="","",VLOOKUP($B91,勘定科目!$A:$E,2,0)),"")</f>
        <v>図書印刷費（製）</v>
      </c>
      <c r="D91" s="216" t="str">
        <f>IF(C91="","",VLOOKUP($B91,勘定科目!$A:$E,4,0))</f>
        <v>図書及び事務費</v>
      </c>
      <c r="E91" s="220"/>
      <c r="F91" s="289"/>
      <c r="G91" s="301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>
        <f t="shared" si="3"/>
        <v>0</v>
      </c>
      <c r="S91" s="283" t="s">
        <v>817</v>
      </c>
      <c r="T91" s="193"/>
      <c r="U91" s="221"/>
      <c r="V91" s="221"/>
      <c r="W91" s="221"/>
      <c r="BA91"/>
      <c r="BB91"/>
    </row>
    <row r="92" spans="1:54" s="187" customFormat="1" ht="16.5">
      <c r="A92" s="208"/>
      <c r="B92" s="179">
        <v>5005246281</v>
      </c>
      <c r="C92" s="182" t="str">
        <f>IFERROR(IF(VLOOKUP($B92,勘定科目!$A:$H,HLOOKUP($E$5,勘定科目!$F$1:$H$2,2,0),0)="","",VLOOKUP($B92,勘定科目!$A:$E,2,0)),"")</f>
        <v>図書印刷費（製）</v>
      </c>
      <c r="D92" s="216" t="str">
        <f>IF(C92="","",VLOOKUP($B92,勘定科目!$A:$E,4,0))</f>
        <v>図書及び事務費</v>
      </c>
      <c r="E92" s="220"/>
      <c r="F92" s="299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300">
        <f t="shared" si="3"/>
        <v>0</v>
      </c>
      <c r="S92" s="282" t="s">
        <v>818</v>
      </c>
      <c r="T92" s="193"/>
      <c r="U92" s="221"/>
      <c r="V92" s="221"/>
      <c r="W92" s="221"/>
      <c r="BA92"/>
      <c r="BB92"/>
    </row>
    <row r="93" spans="1:54" s="187" customFormat="1" ht="14.25">
      <c r="A93" s="208"/>
      <c r="B93" s="179">
        <v>5005026371</v>
      </c>
      <c r="C93" s="182" t="str">
        <f>IFERROR(IF(VLOOKUP($B93,勘定科目!$A:$H,HLOOKUP($E$5,勘定科目!$F$1:$H$2,2,0),0)="","",VLOOKUP($B93,勘定科目!$A:$E,2,0)),"")</f>
        <v>消耗工具器具備品費（製）</v>
      </c>
      <c r="D93" s="216" t="str">
        <f>IF(C93="","",VLOOKUP($B93,勘定科目!$A:$E,4,0))</f>
        <v>消耗工具器具備品費</v>
      </c>
      <c r="E93" s="220"/>
      <c r="F93" s="289"/>
      <c r="G93" s="301"/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>
        <f t="shared" si="3"/>
        <v>0</v>
      </c>
      <c r="S93" s="285" t="s">
        <v>819</v>
      </c>
      <c r="T93" s="193"/>
      <c r="U93" s="221"/>
      <c r="V93" s="221"/>
      <c r="W93" s="221"/>
      <c r="BA93"/>
      <c r="BB93"/>
    </row>
    <row r="94" spans="1:54" s="187" customFormat="1" ht="14.25">
      <c r="A94" s="208"/>
      <c r="B94" s="179">
        <v>5005026371</v>
      </c>
      <c r="C94" s="182" t="str">
        <f>IFERROR(IF(VLOOKUP($B94,勘定科目!$A:$H,HLOOKUP($E$5,勘定科目!$F$1:$H$2,2,0),0)="","",VLOOKUP($B94,勘定科目!$A:$E,2,0)),"")</f>
        <v>消耗工具器具備品費（製）</v>
      </c>
      <c r="D94" s="216" t="str">
        <f>IF(C94="","",VLOOKUP($B94,勘定科目!$A:$E,4,0))</f>
        <v>消耗工具器具備品費</v>
      </c>
      <c r="E94" s="220"/>
      <c r="F94" s="289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>
        <f t="shared" si="3"/>
        <v>0</v>
      </c>
      <c r="S94" s="283" t="s">
        <v>820</v>
      </c>
      <c r="T94" s="193"/>
      <c r="U94" s="221"/>
      <c r="V94" s="221"/>
      <c r="W94" s="221"/>
      <c r="BA94"/>
      <c r="BB94"/>
    </row>
    <row r="95" spans="1:54" s="187" customFormat="1" ht="14.25">
      <c r="A95" s="208"/>
      <c r="B95" s="179">
        <v>5005026371</v>
      </c>
      <c r="C95" s="182" t="str">
        <f>IFERROR(IF(VLOOKUP($B95,勘定科目!$A:$H,HLOOKUP($E$5,勘定科目!$F$1:$H$2,2,0),0)="","",VLOOKUP($B95,勘定科目!$A:$E,2,0)),"")</f>
        <v>消耗工具器具備品費（製）</v>
      </c>
      <c r="D95" s="216" t="str">
        <f>IF(C95="","",VLOOKUP($B95,勘定科目!$A:$E,4,0))</f>
        <v>消耗工具器具備品費</v>
      </c>
      <c r="E95" s="220"/>
      <c r="F95" s="289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>
        <f t="shared" si="3"/>
        <v>0</v>
      </c>
      <c r="S95" s="283" t="s">
        <v>821</v>
      </c>
      <c r="T95" s="193"/>
      <c r="U95" s="221"/>
      <c r="V95" s="221"/>
      <c r="W95" s="221"/>
      <c r="BA95"/>
      <c r="BB95"/>
    </row>
    <row r="96" spans="1:54" s="187" customFormat="1" ht="14.25">
      <c r="A96" s="208"/>
      <c r="B96" s="179"/>
      <c r="C96" s="182" t="str">
        <f>IFERROR(IF(VLOOKUP($B96,勘定科目!$A:$H,HLOOKUP($E$5,勘定科目!$F$1:$H$2,2,0),0)="","",VLOOKUP($B96,勘定科目!$A:$E,2,0)),"")</f>
        <v/>
      </c>
      <c r="D96" s="216" t="str">
        <f>IF(C96="","",VLOOKUP($B96,勘定科目!$A:$E,4,0))</f>
        <v/>
      </c>
      <c r="E96" s="220"/>
      <c r="F96" s="289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>
        <f t="shared" si="3"/>
        <v>0</v>
      </c>
      <c r="S96" s="283" t="s">
        <v>731</v>
      </c>
      <c r="T96" s="193"/>
      <c r="U96" s="221"/>
      <c r="V96" s="221"/>
      <c r="W96" s="221"/>
      <c r="BA96"/>
      <c r="BB96"/>
    </row>
    <row r="97" spans="1:54" s="187" customFormat="1" ht="14.25">
      <c r="A97" s="208"/>
      <c r="B97" s="179">
        <v>5005246281</v>
      </c>
      <c r="C97" s="182" t="str">
        <f>IFERROR(IF(VLOOKUP($B97,勘定科目!$A:$H,HLOOKUP($E$5,勘定科目!$F$1:$H$2,2,0),0)="","",VLOOKUP($B97,勘定科目!$A:$E,2,0)),"")</f>
        <v>図書印刷費（製）</v>
      </c>
      <c r="D97" s="216" t="str">
        <f>IF(C97="","",VLOOKUP($B97,勘定科目!$A:$E,4,0))</f>
        <v>図書及び事務費</v>
      </c>
      <c r="E97" s="220"/>
      <c r="F97" s="289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>
        <f t="shared" si="3"/>
        <v>0</v>
      </c>
      <c r="S97" s="283" t="s">
        <v>732</v>
      </c>
      <c r="T97" s="193"/>
      <c r="U97" s="221"/>
      <c r="V97" s="221"/>
      <c r="W97" s="221"/>
      <c r="BA97"/>
      <c r="BB97"/>
    </row>
    <row r="98" spans="1:54" s="187" customFormat="1" ht="14.25">
      <c r="A98" s="208"/>
      <c r="B98" s="179">
        <v>5005246288</v>
      </c>
      <c r="C98" s="182" t="str">
        <f>IFERROR(IF(VLOOKUP($B98,勘定科目!$A:$H,HLOOKUP($E$5,勘定科目!$F$1:$H$2,2,0),0)="","",VLOOKUP($B98,勘定科目!$A:$E,2,0)),"")</f>
        <v>事務用品費（製）</v>
      </c>
      <c r="D98" s="216" t="str">
        <f>IF(C98="","",VLOOKUP($B98,勘定科目!$A:$E,4,0))</f>
        <v>図書及び事務費</v>
      </c>
      <c r="E98" s="220"/>
      <c r="F98" s="289"/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>
        <f t="shared" si="3"/>
        <v>0</v>
      </c>
      <c r="S98" s="283" t="s">
        <v>733</v>
      </c>
      <c r="T98" s="193"/>
      <c r="U98" s="221"/>
      <c r="V98" s="221"/>
      <c r="W98" s="221"/>
      <c r="BA98"/>
      <c r="BB98"/>
    </row>
    <row r="99" spans="1:54" s="187" customFormat="1" ht="14.25">
      <c r="A99" s="208"/>
      <c r="B99" s="179">
        <v>5005246288</v>
      </c>
      <c r="C99" s="182" t="str">
        <f>IFERROR(IF(VLOOKUP($B99,勘定科目!$A:$H,HLOOKUP($E$5,勘定科目!$F$1:$H$2,2,0),0)="","",VLOOKUP($B99,勘定科目!$A:$E,2,0)),"")</f>
        <v>事務用品費（製）</v>
      </c>
      <c r="D99" s="216" t="str">
        <f>IF(C99="","",VLOOKUP($B99,勘定科目!$A:$E,4,0))</f>
        <v>図書及び事務費</v>
      </c>
      <c r="E99" s="220"/>
      <c r="F99" s="289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>
        <f t="shared" si="3"/>
        <v>0</v>
      </c>
      <c r="S99" s="285" t="s">
        <v>734</v>
      </c>
      <c r="T99" s="193"/>
      <c r="U99" s="221"/>
      <c r="V99" s="221"/>
      <c r="W99" s="221"/>
      <c r="BA99"/>
      <c r="BB99"/>
    </row>
    <row r="100" spans="1:54" s="187" customFormat="1" ht="14.25">
      <c r="A100" s="208"/>
      <c r="B100" s="179">
        <v>5005246288</v>
      </c>
      <c r="C100" s="182" t="str">
        <f>IFERROR(IF(VLOOKUP($B100,勘定科目!$A:$H,HLOOKUP($E$5,勘定科目!$F$1:$H$2,2,0),0)="","",VLOOKUP($B100,勘定科目!$A:$E,2,0)),"")</f>
        <v>事務用品費（製）</v>
      </c>
      <c r="D100" s="216" t="str">
        <f>IF(C100="","",VLOOKUP($B100,勘定科目!$A:$E,4,0))</f>
        <v>図書及び事務費</v>
      </c>
      <c r="E100" s="220"/>
      <c r="F100" s="289"/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>
        <f t="shared" si="3"/>
        <v>0</v>
      </c>
      <c r="S100" s="285" t="s">
        <v>735</v>
      </c>
      <c r="T100" s="193"/>
      <c r="U100" s="221"/>
      <c r="V100" s="221"/>
      <c r="W100" s="221"/>
      <c r="BA100"/>
      <c r="BB100"/>
    </row>
    <row r="101" spans="1:54" s="187" customFormat="1" ht="14.25">
      <c r="A101" s="208"/>
      <c r="B101" s="179">
        <v>5005246281</v>
      </c>
      <c r="C101" s="182" t="str">
        <f>IFERROR(IF(VLOOKUP($B101,勘定科目!$A:$H,HLOOKUP($E$5,勘定科目!$F$1:$H$2,2,0),0)="","",VLOOKUP($B101,勘定科目!$A:$E,2,0)),"")</f>
        <v>図書印刷費（製）</v>
      </c>
      <c r="D101" s="216" t="str">
        <f>IF(C101="","",VLOOKUP($B101,勘定科目!$A:$E,4,0))</f>
        <v>図書及び事務費</v>
      </c>
      <c r="E101" s="220"/>
      <c r="F101" s="289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>
        <f t="shared" si="3"/>
        <v>0</v>
      </c>
      <c r="S101" s="283" t="s">
        <v>736</v>
      </c>
      <c r="T101" s="193"/>
      <c r="U101" s="221"/>
      <c r="V101" s="221"/>
      <c r="W101" s="221"/>
      <c r="BA101"/>
      <c r="BB101"/>
    </row>
    <row r="102" spans="1:54" s="187" customFormat="1" ht="14.25">
      <c r="A102" s="208"/>
      <c r="B102" s="179">
        <v>5004086291</v>
      </c>
      <c r="C102" s="182" t="str">
        <f>IFERROR(IF(VLOOKUP($B102,勘定科目!$A:$H,HLOOKUP($E$5,勘定科目!$F$1:$H$2,2,0),0)="","",VLOOKUP($B102,勘定科目!$A:$E,2,0)),"")</f>
        <v>福利厚生費（製）</v>
      </c>
      <c r="D102" s="216" t="str">
        <f>IF(C102="","",VLOOKUP($B102,勘定科目!$A:$E,4,0))</f>
        <v>福利厚生費</v>
      </c>
      <c r="E102" s="220"/>
      <c r="F102" s="289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>
        <f t="shared" si="3"/>
        <v>0</v>
      </c>
      <c r="S102" s="283" t="s">
        <v>737</v>
      </c>
      <c r="T102" s="193"/>
      <c r="U102" s="221"/>
      <c r="V102" s="221"/>
      <c r="W102" s="221"/>
      <c r="BA102"/>
      <c r="BB102"/>
    </row>
    <row r="103" spans="1:54" s="187" customFormat="1" ht="14.25">
      <c r="A103" s="208"/>
      <c r="B103" s="179">
        <v>5004086291</v>
      </c>
      <c r="C103" s="182" t="str">
        <f>IFERROR(IF(VLOOKUP($B103,勘定科目!$A:$H,HLOOKUP($E$5,勘定科目!$F$1:$H$2,2,0),0)="","",VLOOKUP($B103,勘定科目!$A:$E,2,0)),"")</f>
        <v>福利厚生費（製）</v>
      </c>
      <c r="D103" s="216" t="str">
        <f>IF(C103="","",VLOOKUP($B103,勘定科目!$A:$E,4,0))</f>
        <v>福利厚生費</v>
      </c>
      <c r="E103" s="220"/>
      <c r="F103" s="289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>
        <f t="shared" si="3"/>
        <v>0</v>
      </c>
      <c r="S103" s="283" t="s">
        <v>738</v>
      </c>
      <c r="T103" s="193"/>
      <c r="U103" s="221"/>
      <c r="V103" s="221"/>
      <c r="W103" s="221"/>
      <c r="BA103"/>
      <c r="BB103"/>
    </row>
    <row r="104" spans="1:54" s="187" customFormat="1" ht="14.25">
      <c r="A104" s="208"/>
      <c r="B104" s="179">
        <v>5004086291</v>
      </c>
      <c r="C104" s="182" t="str">
        <f>IFERROR(IF(VLOOKUP($B104,勘定科目!$A:$H,HLOOKUP($E$5,勘定科目!$F$1:$H$2,2,0),0)="","",VLOOKUP($B104,勘定科目!$A:$E,2,0)),"")</f>
        <v>福利厚生費（製）</v>
      </c>
      <c r="D104" s="216" t="str">
        <f>IF(C104="","",VLOOKUP($B104,勘定科目!$A:$E,4,0))</f>
        <v>福利厚生費</v>
      </c>
      <c r="E104" s="220"/>
      <c r="F104" s="289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>
        <f t="shared" si="3"/>
        <v>0</v>
      </c>
      <c r="S104" s="283" t="s">
        <v>739</v>
      </c>
      <c r="T104" s="193"/>
      <c r="U104" s="221"/>
      <c r="V104" s="221"/>
      <c r="W104" s="221"/>
      <c r="BA104"/>
      <c r="BB104"/>
    </row>
    <row r="105" spans="1:54" s="187" customFormat="1" ht="14.25">
      <c r="A105" s="208"/>
      <c r="B105" s="179">
        <v>5004086291</v>
      </c>
      <c r="C105" s="182" t="str">
        <f>IFERROR(IF(VLOOKUP($B105,勘定科目!$A:$H,HLOOKUP($E$5,勘定科目!$F$1:$H$2,2,0),0)="","",VLOOKUP($B105,勘定科目!$A:$E,2,0)),"")</f>
        <v>福利厚生費（製）</v>
      </c>
      <c r="D105" s="216" t="str">
        <f>IF(C105="","",VLOOKUP($B105,勘定科目!$A:$E,4,0))</f>
        <v>福利厚生費</v>
      </c>
      <c r="E105" s="220"/>
      <c r="F105" s="289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>
        <f t="shared" si="3"/>
        <v>0</v>
      </c>
      <c r="S105" s="283" t="s">
        <v>740</v>
      </c>
      <c r="T105" s="193"/>
      <c r="U105" s="221"/>
      <c r="V105" s="221"/>
      <c r="W105" s="221"/>
      <c r="BA105"/>
      <c r="BB105"/>
    </row>
    <row r="106" spans="1:54" s="187" customFormat="1" ht="14.25">
      <c r="A106" s="208"/>
      <c r="B106" s="179">
        <v>5004086291</v>
      </c>
      <c r="C106" s="182" t="str">
        <f>IFERROR(IF(VLOOKUP($B106,勘定科目!$A:$H,HLOOKUP($E$5,勘定科目!$F$1:$H$2,2,0),0)="","",VLOOKUP($B106,勘定科目!$A:$E,2,0)),"")</f>
        <v>福利厚生費（製）</v>
      </c>
      <c r="D106" s="216" t="str">
        <f>IF(C106="","",VLOOKUP($B106,勘定科目!$A:$E,4,0))</f>
        <v>福利厚生費</v>
      </c>
      <c r="E106" s="220"/>
      <c r="F106" s="289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>
        <f t="shared" si="3"/>
        <v>0</v>
      </c>
      <c r="S106" s="283" t="s">
        <v>741</v>
      </c>
      <c r="T106" s="193"/>
      <c r="U106" s="221"/>
      <c r="V106" s="221"/>
      <c r="W106" s="221"/>
      <c r="BA106"/>
      <c r="BB106"/>
    </row>
    <row r="107" spans="1:54" s="187" customFormat="1" ht="14.25">
      <c r="A107" s="208"/>
      <c r="B107" s="179">
        <v>5004086291</v>
      </c>
      <c r="C107" s="182" t="str">
        <f>IFERROR(IF(VLOOKUP($B107,勘定科目!$A:$H,HLOOKUP($E$5,勘定科目!$F$1:$H$2,2,0),0)="","",VLOOKUP($B107,勘定科目!$A:$E,2,0)),"")</f>
        <v>福利厚生費（製）</v>
      </c>
      <c r="D107" s="216" t="str">
        <f>IF(C107="","",VLOOKUP($B107,勘定科目!$A:$E,4,0))</f>
        <v>福利厚生費</v>
      </c>
      <c r="E107" s="220"/>
      <c r="F107" s="289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>
        <f t="shared" si="3"/>
        <v>0</v>
      </c>
      <c r="S107" s="283" t="s">
        <v>742</v>
      </c>
      <c r="T107" s="193"/>
      <c r="U107" s="221"/>
      <c r="V107" s="221"/>
      <c r="W107" s="221"/>
      <c r="BA107"/>
      <c r="BB107"/>
    </row>
    <row r="108" spans="1:54" s="187" customFormat="1" ht="16.5">
      <c r="A108" s="208"/>
      <c r="B108" s="179">
        <v>5004086291</v>
      </c>
      <c r="C108" s="182" t="str">
        <f>IFERROR(IF(VLOOKUP($B108,勘定科目!$A:$H,HLOOKUP($E$5,勘定科目!$F$1:$H$2,2,0),0)="","",VLOOKUP($B108,勘定科目!$A:$E,2,0)),"")</f>
        <v>福利厚生費（製）</v>
      </c>
      <c r="D108" s="216" t="str">
        <f>IF(C108="","",VLOOKUP($B108,勘定科目!$A:$E,4,0))</f>
        <v>福利厚生費</v>
      </c>
      <c r="E108" s="220"/>
      <c r="F108" s="299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>
        <f t="shared" si="3"/>
        <v>0</v>
      </c>
      <c r="S108" s="282" t="s">
        <v>743</v>
      </c>
      <c r="T108" s="193"/>
      <c r="U108" s="221"/>
      <c r="V108" s="221"/>
      <c r="W108" s="221"/>
      <c r="BA108"/>
      <c r="BB108"/>
    </row>
    <row r="109" spans="1:54" s="187" customFormat="1" ht="14.25">
      <c r="A109" s="208"/>
      <c r="B109" s="179">
        <v>5004096281</v>
      </c>
      <c r="C109" s="182" t="str">
        <f>IFERROR(IF(VLOOKUP($B109,勘定科目!$A:$H,HLOOKUP($E$5,勘定科目!$F$1:$H$2,2,0),0)="","",VLOOKUP($B109,勘定科目!$A:$E,2,0)),"")</f>
        <v>求人費（製）</v>
      </c>
      <c r="D109" s="216" t="str">
        <f>IF(C109="","",VLOOKUP($B109,勘定科目!$A:$E,4,0))</f>
        <v>募集教育費</v>
      </c>
      <c r="E109" s="220"/>
      <c r="F109" s="289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>
        <f t="shared" si="3"/>
        <v>0</v>
      </c>
      <c r="S109" s="283" t="s">
        <v>744</v>
      </c>
      <c r="T109" s="193"/>
      <c r="U109" s="221"/>
      <c r="V109" s="221"/>
      <c r="W109" s="221"/>
      <c r="BA109"/>
      <c r="BB109"/>
    </row>
    <row r="110" spans="1:54" s="187" customFormat="1" ht="16.5">
      <c r="A110" s="208"/>
      <c r="B110" s="179">
        <v>5004046221</v>
      </c>
      <c r="C110" s="182" t="str">
        <f>IFERROR(IF(VLOOKUP($B110,勘定科目!$A:$H,HLOOKUP($E$5,勘定科目!$F$1:$H$2,2,0),0)="","",VLOOKUP($B110,勘定科目!$A:$E,2,0)),"")</f>
        <v>雑給（直製）</v>
      </c>
      <c r="D110" s="216" t="str">
        <f>IF(C110="","",VLOOKUP($B110,勘定科目!$A:$E,4,0))</f>
        <v>雑給</v>
      </c>
      <c r="E110" s="220"/>
      <c r="F110" s="299"/>
      <c r="G110" s="300"/>
      <c r="H110" s="300"/>
      <c r="I110" s="300"/>
      <c r="J110" s="300"/>
      <c r="K110" s="300"/>
      <c r="L110" s="300"/>
      <c r="M110" s="300"/>
      <c r="N110" s="300"/>
      <c r="O110" s="300"/>
      <c r="P110" s="300"/>
      <c r="Q110" s="300"/>
      <c r="R110" s="300">
        <f t="shared" si="3"/>
        <v>0</v>
      </c>
      <c r="S110" s="282" t="s">
        <v>745</v>
      </c>
      <c r="T110" s="193"/>
      <c r="U110" s="221"/>
      <c r="V110" s="221"/>
      <c r="W110" s="221"/>
      <c r="BA110"/>
      <c r="BB110"/>
    </row>
    <row r="111" spans="1:54" s="187" customFormat="1" ht="14.25">
      <c r="A111" s="208"/>
      <c r="B111" s="179">
        <v>5005026371</v>
      </c>
      <c r="C111" s="182" t="str">
        <f>IFERROR(IF(VLOOKUP($B111,勘定科目!$A:$H,HLOOKUP($E$5,勘定科目!$F$1:$H$2,2,0),0)="","",VLOOKUP($B111,勘定科目!$A:$E,2,0)),"")</f>
        <v>消耗工具器具備品費（製）</v>
      </c>
      <c r="D111" s="216" t="str">
        <f>IF(C111="","",VLOOKUP($B111,勘定科目!$A:$E,4,0))</f>
        <v>消耗工具器具備品費</v>
      </c>
      <c r="E111" s="220"/>
      <c r="F111" s="289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>
        <f t="shared" si="3"/>
        <v>0</v>
      </c>
      <c r="S111" s="283" t="s">
        <v>746</v>
      </c>
      <c r="T111" s="193"/>
      <c r="U111" s="221"/>
      <c r="V111" s="221"/>
      <c r="W111" s="221"/>
      <c r="BA111"/>
      <c r="BB111"/>
    </row>
    <row r="112" spans="1:54" s="187" customFormat="1" ht="16.5">
      <c r="A112" s="208"/>
      <c r="B112" s="179"/>
      <c r="C112" s="182" t="str">
        <f>IFERROR(IF(VLOOKUP($B112,勘定科目!$A:$H,HLOOKUP($E$5,勘定科目!$F$1:$H$2,2,0),0)="","",VLOOKUP($B112,勘定科目!$A:$E,2,0)),"")</f>
        <v/>
      </c>
      <c r="D112" s="216" t="str">
        <f>IF(C112="","",VLOOKUP($B112,勘定科目!$A:$E,4,0))</f>
        <v/>
      </c>
      <c r="E112" s="220"/>
      <c r="F112" s="299"/>
      <c r="G112" s="300"/>
      <c r="H112" s="300"/>
      <c r="I112" s="300"/>
      <c r="J112" s="300"/>
      <c r="K112" s="300"/>
      <c r="L112" s="300"/>
      <c r="M112" s="300"/>
      <c r="N112" s="300"/>
      <c r="O112" s="300"/>
      <c r="P112" s="300"/>
      <c r="Q112" s="300"/>
      <c r="R112" s="300">
        <f t="shared" si="3"/>
        <v>0</v>
      </c>
      <c r="S112" s="282" t="s">
        <v>747</v>
      </c>
      <c r="T112" s="193"/>
      <c r="U112" s="221"/>
      <c r="V112" s="221"/>
      <c r="W112" s="221"/>
      <c r="BA112"/>
      <c r="BB112"/>
    </row>
    <row r="113" spans="1:54" s="187" customFormat="1" ht="14.25">
      <c r="A113" s="208"/>
      <c r="B113" s="179">
        <v>5005046282</v>
      </c>
      <c r="C113" s="182" t="str">
        <f>IFERROR(IF(VLOOKUP($B113,勘定科目!$A:$H,HLOOKUP($E$5,勘定科目!$F$1:$H$2,2,0),0)="","",VLOOKUP($B113,勘定科目!$A:$E,2,0)),"")</f>
        <v>その他修繕費（製）</v>
      </c>
      <c r="D113" s="216" t="str">
        <f>IF(C113="","",VLOOKUP($B113,勘定科目!$A:$E,4,0))</f>
        <v>修繕費</v>
      </c>
      <c r="E113" s="220"/>
      <c r="F113" s="289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>
        <f t="shared" si="3"/>
        <v>0</v>
      </c>
      <c r="S113" s="283"/>
      <c r="T113" s="193"/>
      <c r="U113" s="221"/>
      <c r="V113" s="221"/>
      <c r="W113" s="221"/>
      <c r="BA113"/>
      <c r="BB113"/>
    </row>
    <row r="114" spans="1:54" s="187" customFormat="1" ht="16.5">
      <c r="A114" s="208"/>
      <c r="B114" s="179"/>
      <c r="C114" s="182" t="str">
        <f>IFERROR(IF(VLOOKUP($B114,勘定科目!$A:$H,HLOOKUP($E$5,勘定科目!$F$1:$H$2,2,0),0)="","",VLOOKUP($B114,勘定科目!$A:$E,2,0)),"")</f>
        <v/>
      </c>
      <c r="D114" s="216" t="str">
        <f>IF(C114="","",VLOOKUP($B114,勘定科目!$A:$E,4,0))</f>
        <v/>
      </c>
      <c r="E114" s="220"/>
      <c r="F114" s="299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  <c r="Q114" s="300"/>
      <c r="R114" s="300">
        <f t="shared" si="3"/>
        <v>0</v>
      </c>
      <c r="S114" s="282" t="s">
        <v>748</v>
      </c>
      <c r="T114" s="193"/>
      <c r="U114" s="221"/>
      <c r="V114" s="221"/>
      <c r="W114" s="221"/>
      <c r="BA114"/>
      <c r="BB114"/>
    </row>
    <row r="115" spans="1:54" s="187" customFormat="1" ht="14.25">
      <c r="A115" s="208"/>
      <c r="B115" s="179">
        <v>5006016244</v>
      </c>
      <c r="C115" s="182" t="str">
        <f>IFERROR(IF(VLOOKUP($B115,勘定科目!$A:$H,HLOOKUP($E$5,勘定科目!$F$1:$H$2,2,0),0)="","",VLOOKUP($B115,勘定科目!$A:$E,2,0)),"")</f>
        <v>減価償却費（製）　工具器具備品</v>
      </c>
      <c r="D115" s="216" t="str">
        <f>IF(C115="","",VLOOKUP($B115,勘定科目!$A:$E,4,0))</f>
        <v>減価償却費</v>
      </c>
      <c r="E115" s="220"/>
      <c r="F115" s="289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>
        <f t="shared" si="3"/>
        <v>0</v>
      </c>
      <c r="S115" s="283"/>
      <c r="T115" s="193"/>
      <c r="U115" s="221"/>
      <c r="V115" s="221"/>
      <c r="W115" s="221"/>
      <c r="BA115"/>
      <c r="BB115"/>
    </row>
    <row r="116" spans="1:54" s="187" customFormat="1" ht="14.25">
      <c r="A116" s="208"/>
      <c r="B116" s="179"/>
      <c r="C116" s="182" t="str">
        <f>IFERROR(IF(VLOOKUP($B116,勘定科目!$A:$H,HLOOKUP($E$5,勘定科目!$F$1:$H$2,2,0),0)="","",VLOOKUP($B116,勘定科目!$A:$E,2,0)),"")</f>
        <v/>
      </c>
      <c r="D116" s="216" t="str">
        <f>IF(C116="","",VLOOKUP($B116,勘定科目!$A:$E,4,0))</f>
        <v/>
      </c>
      <c r="E116" s="220"/>
      <c r="F116" s="289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>
        <f t="shared" si="3"/>
        <v>0</v>
      </c>
      <c r="S116" s="283" t="s">
        <v>749</v>
      </c>
      <c r="T116" s="193"/>
      <c r="U116" s="221"/>
      <c r="V116" s="221"/>
      <c r="W116" s="221"/>
      <c r="BA116"/>
      <c r="BB116"/>
    </row>
    <row r="117" spans="1:54" s="187" customFormat="1" ht="14.25">
      <c r="A117" s="208"/>
      <c r="B117" s="179">
        <v>9114120007</v>
      </c>
      <c r="C117" s="182" t="str">
        <f>IFERROR(IF(VLOOKUP($B117,勘定科目!$A:$H,HLOOKUP($E$5,勘定科目!$F$1:$H$2,2,0),0)="","",VLOOKUP($B117,勘定科目!$A:$E,2,0)),"")</f>
        <v>社内金利（固定資産）</v>
      </c>
      <c r="D117" s="216" t="str">
        <f>IF(C117="","",VLOOKUP($B117,勘定科目!$A:$E,4,0))</f>
        <v>固定資産金利</v>
      </c>
      <c r="E117" s="220"/>
      <c r="F117" s="289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>
        <f t="shared" si="3"/>
        <v>0</v>
      </c>
      <c r="S117" s="283"/>
      <c r="T117" s="193"/>
      <c r="U117" s="221"/>
      <c r="V117" s="221"/>
      <c r="W117" s="221"/>
      <c r="BA117"/>
      <c r="BB117"/>
    </row>
    <row r="118" spans="1:54" s="187" customFormat="1" ht="14.25">
      <c r="A118" s="208"/>
      <c r="B118" s="179"/>
      <c r="C118" s="182" t="str">
        <f>IFERROR(IF(VLOOKUP($B118,勘定科目!$A:$H,HLOOKUP($E$5,勘定科目!$F$1:$H$2,2,0),0)="","",VLOOKUP($B118,勘定科目!$A:$E,2,0)),"")</f>
        <v/>
      </c>
      <c r="D118" s="216" t="str">
        <f>IF(C118="","",VLOOKUP($B118,勘定科目!$A:$E,4,0))</f>
        <v/>
      </c>
      <c r="E118" s="220"/>
      <c r="F118" s="289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>
        <f t="shared" si="3"/>
        <v>0</v>
      </c>
      <c r="S118" s="283" t="s">
        <v>750</v>
      </c>
      <c r="T118" s="193"/>
      <c r="U118" s="221"/>
      <c r="V118" s="221"/>
      <c r="W118" s="221"/>
      <c r="BA118"/>
      <c r="BB118"/>
    </row>
    <row r="119" spans="1:54" s="187" customFormat="1" ht="14.25">
      <c r="A119" s="208"/>
      <c r="B119" s="179">
        <v>5005026371</v>
      </c>
      <c r="C119" s="182" t="str">
        <f>IFERROR(IF(VLOOKUP($B119,勘定科目!$A:$H,HLOOKUP($E$5,勘定科目!$F$1:$H$2,2,0),0)="","",VLOOKUP($B119,勘定科目!$A:$E,2,0)),"")</f>
        <v>消耗工具器具備品費（製）</v>
      </c>
      <c r="D119" s="216" t="str">
        <f>IF(C119="","",VLOOKUP($B119,勘定科目!$A:$E,4,0))</f>
        <v>消耗工具器具備品費</v>
      </c>
      <c r="E119" s="220"/>
      <c r="F119" s="289"/>
      <c r="G119" s="301"/>
      <c r="H119" s="301">
        <v>50000000</v>
      </c>
      <c r="I119" s="301"/>
      <c r="J119" s="301"/>
      <c r="K119" s="301"/>
      <c r="L119" s="301"/>
      <c r="M119" s="301"/>
      <c r="N119" s="301"/>
      <c r="O119" s="301"/>
      <c r="P119" s="301"/>
      <c r="Q119" s="301"/>
      <c r="R119" s="301">
        <f t="shared" ref="R119:R176" si="4">SUM(F119:Q119)</f>
        <v>50000000</v>
      </c>
      <c r="S119" s="283" t="s">
        <v>793</v>
      </c>
      <c r="T119" s="193"/>
      <c r="U119" s="221"/>
      <c r="V119" s="221"/>
      <c r="W119" s="221"/>
      <c r="BA119"/>
      <c r="BB119"/>
    </row>
    <row r="120" spans="1:54" s="187" customFormat="1" ht="14.25">
      <c r="A120" s="208"/>
      <c r="B120" s="179">
        <v>5005026371</v>
      </c>
      <c r="C120" s="182" t="str">
        <f>IFERROR(IF(VLOOKUP($B120,勘定科目!$A:$H,HLOOKUP($E$5,勘定科目!$F$1:$H$2,2,0),0)="","",VLOOKUP($B120,勘定科目!$A:$E,2,0)),"")</f>
        <v>消耗工具器具備品費（製）</v>
      </c>
      <c r="D120" s="216" t="str">
        <f>IF(C120="","",VLOOKUP($B120,勘定科目!$A:$E,4,0))</f>
        <v>消耗工具器具備品費</v>
      </c>
      <c r="E120" s="220"/>
      <c r="F120" s="289"/>
      <c r="G120" s="301"/>
      <c r="H120" s="301"/>
      <c r="I120" s="301"/>
      <c r="J120" s="301">
        <v>0</v>
      </c>
      <c r="K120" s="301"/>
      <c r="L120" s="301"/>
      <c r="M120" s="301"/>
      <c r="N120" s="301"/>
      <c r="O120" s="301"/>
      <c r="P120" s="301"/>
      <c r="Q120" s="301"/>
      <c r="R120" s="301">
        <f t="shared" si="4"/>
        <v>0</v>
      </c>
      <c r="S120" s="283" t="s">
        <v>751</v>
      </c>
      <c r="T120" s="193"/>
      <c r="U120" s="221"/>
      <c r="V120" s="221"/>
      <c r="W120" s="221"/>
      <c r="BA120"/>
      <c r="BB120"/>
    </row>
    <row r="121" spans="1:54" s="187" customFormat="1" ht="16.5">
      <c r="A121" s="208"/>
      <c r="B121" s="179">
        <v>5005026371</v>
      </c>
      <c r="C121" s="182" t="str">
        <f>IFERROR(IF(VLOOKUP($B121,勘定科目!$A:$H,HLOOKUP($E$5,勘定科目!$F$1:$H$2,2,0),0)="","",VLOOKUP($B121,勘定科目!$A:$E,2,0)),"")</f>
        <v>消耗工具器具備品費（製）</v>
      </c>
      <c r="D121" s="216" t="str">
        <f>IF(C121="","",VLOOKUP($B121,勘定科目!$A:$E,4,0))</f>
        <v>消耗工具器具備品費</v>
      </c>
      <c r="E121" s="220"/>
      <c r="F121" s="299"/>
      <c r="G121" s="300"/>
      <c r="H121" s="300"/>
      <c r="I121" s="300"/>
      <c r="J121" s="300">
        <v>0</v>
      </c>
      <c r="K121" s="300"/>
      <c r="L121" s="300"/>
      <c r="M121" s="300"/>
      <c r="N121" s="300"/>
      <c r="O121" s="300"/>
      <c r="P121" s="300"/>
      <c r="Q121" s="300"/>
      <c r="R121" s="300">
        <f t="shared" si="4"/>
        <v>0</v>
      </c>
      <c r="S121" s="282" t="s">
        <v>752</v>
      </c>
      <c r="T121" s="193"/>
      <c r="U121" s="221"/>
      <c r="V121" s="221"/>
      <c r="W121" s="221"/>
      <c r="BA121"/>
      <c r="BB121"/>
    </row>
    <row r="122" spans="1:54" s="187" customFormat="1" ht="14.25">
      <c r="A122" s="208"/>
      <c r="B122" s="179">
        <v>5005026371</v>
      </c>
      <c r="C122" s="182" t="str">
        <f>IFERROR(IF(VLOOKUP($B122,勘定科目!$A:$H,HLOOKUP($E$5,勘定科目!$F$1:$H$2,2,0),0)="","",VLOOKUP($B122,勘定科目!$A:$E,2,0)),"")</f>
        <v>消耗工具器具備品費（製）</v>
      </c>
      <c r="D122" s="216" t="str">
        <f>IF(C122="","",VLOOKUP($B122,勘定科目!$A:$E,4,0))</f>
        <v>消耗工具器具備品費</v>
      </c>
      <c r="E122" s="220"/>
      <c r="F122" s="289"/>
      <c r="G122" s="301"/>
      <c r="H122" s="301"/>
      <c r="I122" s="301"/>
      <c r="J122" s="301">
        <v>0</v>
      </c>
      <c r="K122" s="301"/>
      <c r="L122" s="301"/>
      <c r="M122" s="301"/>
      <c r="N122" s="301"/>
      <c r="O122" s="301"/>
      <c r="P122" s="301"/>
      <c r="Q122" s="301"/>
      <c r="R122" s="301">
        <f t="shared" si="4"/>
        <v>0</v>
      </c>
      <c r="S122" s="283" t="s">
        <v>753</v>
      </c>
      <c r="T122" s="193"/>
      <c r="U122" s="221"/>
      <c r="V122" s="221"/>
      <c r="W122" s="221"/>
      <c r="BA122"/>
      <c r="BB122"/>
    </row>
    <row r="123" spans="1:54" s="187" customFormat="1" ht="14.25">
      <c r="A123" s="208"/>
      <c r="B123" s="179">
        <v>5005026371</v>
      </c>
      <c r="C123" s="182" t="str">
        <f>IFERROR(IF(VLOOKUP($B123,勘定科目!$A:$H,HLOOKUP($E$5,勘定科目!$F$1:$H$2,2,0),0)="","",VLOOKUP($B123,勘定科目!$A:$E,2,0)),"")</f>
        <v>消耗工具器具備品費（製）</v>
      </c>
      <c r="D123" s="216" t="str">
        <f>IF(C123="","",VLOOKUP($B123,勘定科目!$A:$E,4,0))</f>
        <v>消耗工具器具備品費</v>
      </c>
      <c r="E123" s="220"/>
      <c r="F123" s="289"/>
      <c r="G123" s="301"/>
      <c r="H123" s="301"/>
      <c r="I123" s="301"/>
      <c r="J123" s="301">
        <v>0</v>
      </c>
      <c r="K123" s="301"/>
      <c r="L123" s="301"/>
      <c r="M123" s="301"/>
      <c r="N123" s="301"/>
      <c r="O123" s="301"/>
      <c r="P123" s="301"/>
      <c r="Q123" s="301"/>
      <c r="R123" s="301">
        <f t="shared" si="4"/>
        <v>0</v>
      </c>
      <c r="S123" s="283" t="s">
        <v>754</v>
      </c>
      <c r="T123" s="193"/>
      <c r="U123" s="221"/>
      <c r="V123" s="221"/>
      <c r="W123" s="221"/>
      <c r="BA123"/>
      <c r="BB123"/>
    </row>
    <row r="124" spans="1:54" s="187" customFormat="1" ht="14.25">
      <c r="A124" s="208"/>
      <c r="B124" s="179">
        <v>5005026371</v>
      </c>
      <c r="C124" s="182" t="str">
        <f>IFERROR(IF(VLOOKUP($B124,勘定科目!$A:$H,HLOOKUP($E$5,勘定科目!$F$1:$H$2,2,0),0)="","",VLOOKUP($B124,勘定科目!$A:$E,2,0)),"")</f>
        <v>消耗工具器具備品費（製）</v>
      </c>
      <c r="D124" s="216" t="str">
        <f>IF(C124="","",VLOOKUP($B124,勘定科目!$A:$E,4,0))</f>
        <v>消耗工具器具備品費</v>
      </c>
      <c r="E124" s="220"/>
      <c r="F124" s="289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>
        <f t="shared" si="4"/>
        <v>0</v>
      </c>
      <c r="S124" s="283" t="s">
        <v>755</v>
      </c>
      <c r="T124" s="193"/>
      <c r="U124" s="221"/>
      <c r="V124" s="221"/>
      <c r="W124" s="221"/>
      <c r="BA124"/>
      <c r="BB124"/>
    </row>
    <row r="125" spans="1:54" s="187" customFormat="1" ht="14.25">
      <c r="A125" s="208"/>
      <c r="B125" s="179"/>
      <c r="C125" s="182" t="str">
        <f>IFERROR(IF(VLOOKUP($B125,勘定科目!$A:$H,HLOOKUP($E$5,勘定科目!$F$1:$H$2,2,0),0)="","",VLOOKUP($B125,勘定科目!$A:$E,2,0)),"")</f>
        <v/>
      </c>
      <c r="D125" s="216" t="str">
        <f>IF(C125="","",VLOOKUP($B125,勘定科目!$A:$E,4,0))</f>
        <v/>
      </c>
      <c r="E125" s="220"/>
      <c r="F125" s="289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>
        <f t="shared" si="4"/>
        <v>0</v>
      </c>
      <c r="S125" s="283" t="s">
        <v>756</v>
      </c>
      <c r="T125" s="193"/>
      <c r="U125" s="221"/>
      <c r="V125" s="221"/>
      <c r="W125" s="221"/>
      <c r="BA125"/>
      <c r="BB125"/>
    </row>
    <row r="126" spans="1:54" s="187" customFormat="1" ht="14.25">
      <c r="A126" s="208"/>
      <c r="B126" s="179">
        <v>5005246288</v>
      </c>
      <c r="C126" s="182" t="str">
        <f>IFERROR(IF(VLOOKUP($B126,勘定科目!$A:$H,HLOOKUP($E$5,勘定科目!$F$1:$H$2,2,0),0)="","",VLOOKUP($B126,勘定科目!$A:$E,2,0)),"")</f>
        <v>事務用品費（製）</v>
      </c>
      <c r="D126" s="216" t="str">
        <f>IF(C126="","",VLOOKUP($B126,勘定科目!$A:$E,4,0))</f>
        <v>図書及び事務費</v>
      </c>
      <c r="E126" s="220"/>
      <c r="F126" s="289"/>
      <c r="G126" s="301"/>
      <c r="H126" s="301">
        <v>400000</v>
      </c>
      <c r="I126" s="301"/>
      <c r="J126" s="301"/>
      <c r="K126" s="301"/>
      <c r="L126" s="301"/>
      <c r="M126" s="301"/>
      <c r="N126" s="301"/>
      <c r="O126" s="301"/>
      <c r="P126" s="301"/>
      <c r="Q126" s="301"/>
      <c r="R126" s="301">
        <f t="shared" si="4"/>
        <v>400000</v>
      </c>
      <c r="S126" s="283" t="s">
        <v>757</v>
      </c>
      <c r="T126" s="193"/>
      <c r="U126" s="221"/>
      <c r="V126" s="221"/>
      <c r="W126" s="221"/>
      <c r="BA126"/>
      <c r="BB126"/>
    </row>
    <row r="127" spans="1:54" s="187" customFormat="1" ht="14.25">
      <c r="A127" s="208"/>
      <c r="B127" s="179">
        <v>5004086291</v>
      </c>
      <c r="C127" s="182" t="str">
        <f>IFERROR(IF(VLOOKUP($B127,勘定科目!$A:$H,HLOOKUP($E$5,勘定科目!$F$1:$H$2,2,0),0)="","",VLOOKUP($B127,勘定科目!$A:$E,2,0)),"")</f>
        <v>福利厚生費（製）</v>
      </c>
      <c r="D127" s="216" t="str">
        <f>IF(C127="","",VLOOKUP($B127,勘定科目!$A:$E,4,0))</f>
        <v>福利厚生費</v>
      </c>
      <c r="E127" s="220"/>
      <c r="F127" s="289">
        <v>2970000</v>
      </c>
      <c r="G127" s="301"/>
      <c r="H127" s="301">
        <v>316000</v>
      </c>
      <c r="I127" s="301"/>
      <c r="J127" s="301"/>
      <c r="K127" s="301"/>
      <c r="L127" s="301">
        <v>2100000</v>
      </c>
      <c r="M127" s="301"/>
      <c r="N127" s="301"/>
      <c r="O127" s="301"/>
      <c r="P127" s="301"/>
      <c r="Q127" s="301"/>
      <c r="R127" s="301">
        <f t="shared" si="4"/>
        <v>5386000</v>
      </c>
      <c r="S127" s="283" t="s">
        <v>758</v>
      </c>
      <c r="T127" s="193"/>
      <c r="U127" s="221"/>
      <c r="V127" s="221"/>
      <c r="W127" s="221"/>
      <c r="BA127"/>
      <c r="BB127"/>
    </row>
    <row r="128" spans="1:54" s="187" customFormat="1" ht="14.25">
      <c r="A128" s="208"/>
      <c r="B128" s="179">
        <v>5005136281</v>
      </c>
      <c r="C128" s="182" t="str">
        <f>IFERROR(IF(VLOOKUP($B128,勘定科目!$A:$H,HLOOKUP($E$5,勘定科目!$F$1:$H$2,2,0),0)="","",VLOOKUP($B128,勘定科目!$A:$E,2,0)),"")</f>
        <v>通信費（製）</v>
      </c>
      <c r="D128" s="216" t="str">
        <f>IF(C128="","",VLOOKUP($B128,勘定科目!$A:$E,4,0))</f>
        <v>通信費</v>
      </c>
      <c r="E128" s="220"/>
      <c r="F128" s="289">
        <v>300000</v>
      </c>
      <c r="G128" s="301">
        <v>300000</v>
      </c>
      <c r="H128" s="301">
        <v>300000</v>
      </c>
      <c r="I128" s="301">
        <v>300000</v>
      </c>
      <c r="J128" s="301">
        <v>300000</v>
      </c>
      <c r="K128" s="301">
        <v>300000</v>
      </c>
      <c r="L128" s="301">
        <v>300000</v>
      </c>
      <c r="M128" s="301">
        <v>300000</v>
      </c>
      <c r="N128" s="301">
        <v>300000</v>
      </c>
      <c r="O128" s="301">
        <v>300000</v>
      </c>
      <c r="P128" s="301">
        <v>300000</v>
      </c>
      <c r="Q128" s="301">
        <v>300000</v>
      </c>
      <c r="R128" s="301">
        <f t="shared" si="4"/>
        <v>3600000</v>
      </c>
      <c r="S128" s="283" t="s">
        <v>794</v>
      </c>
      <c r="T128" s="193"/>
      <c r="U128" s="221"/>
      <c r="V128" s="221"/>
      <c r="W128" s="221"/>
      <c r="BA128"/>
      <c r="BB128"/>
    </row>
    <row r="129" spans="1:54" s="187" customFormat="1" ht="14.25">
      <c r="A129" s="208"/>
      <c r="B129" s="179">
        <v>5005136291</v>
      </c>
      <c r="C129" s="182" t="str">
        <f>IFERROR(IF(VLOOKUP($B129,勘定科目!$A:$H,HLOOKUP($E$5,勘定科目!$F$1:$H$2,2,0),0)="","",VLOOKUP($B129,勘定科目!$A:$E,2,0)),"")</f>
        <v>郵送代（製）</v>
      </c>
      <c r="D129" s="216" t="str">
        <f>IF(C129="","",VLOOKUP($B129,勘定科目!$A:$E,4,0))</f>
        <v>通信費</v>
      </c>
      <c r="E129" s="220"/>
      <c r="F129" s="289"/>
      <c r="G129" s="301">
        <v>400000</v>
      </c>
      <c r="H129" s="301">
        <v>400000</v>
      </c>
      <c r="I129" s="301">
        <v>400000</v>
      </c>
      <c r="J129" s="301"/>
      <c r="K129" s="301">
        <v>400000</v>
      </c>
      <c r="L129" s="301">
        <v>400000</v>
      </c>
      <c r="M129" s="301">
        <v>400000</v>
      </c>
      <c r="N129" s="301"/>
      <c r="O129" s="301">
        <v>400000</v>
      </c>
      <c r="P129" s="301">
        <v>400000</v>
      </c>
      <c r="Q129" s="301">
        <v>400000</v>
      </c>
      <c r="R129" s="301">
        <f>SUM(F129:Q129)</f>
        <v>3600000</v>
      </c>
      <c r="S129" s="283" t="s">
        <v>759</v>
      </c>
      <c r="T129" s="193"/>
      <c r="U129" s="221"/>
      <c r="V129" s="221"/>
      <c r="W129" s="221"/>
      <c r="BA129"/>
      <c r="BB129"/>
    </row>
    <row r="130" spans="1:54" s="187" customFormat="1" ht="16.5">
      <c r="A130" s="208"/>
      <c r="B130" s="179">
        <v>5005076289</v>
      </c>
      <c r="C130" s="182" t="str">
        <f>IFERROR(IF(VLOOKUP($B130,勘定科目!$A:$H,HLOOKUP($E$5,勘定科目!$F$1:$H$2,2,0),0)="","",VLOOKUP($B130,勘定科目!$A:$E,2,0)),"")</f>
        <v>クーリエ費用（製）</v>
      </c>
      <c r="D130" s="216" t="str">
        <f>IF(C130="","",VLOOKUP($B130,勘定科目!$A:$E,4,0))</f>
        <v>荷造運賃</v>
      </c>
      <c r="E130" s="220"/>
      <c r="F130" s="299"/>
      <c r="G130" s="300"/>
      <c r="H130" s="300"/>
      <c r="I130" s="300"/>
      <c r="J130" s="300"/>
      <c r="K130" s="300"/>
      <c r="L130" s="300"/>
      <c r="M130" s="300"/>
      <c r="N130" s="300"/>
      <c r="O130" s="300"/>
      <c r="P130" s="300"/>
      <c r="Q130" s="300"/>
      <c r="R130" s="300">
        <f t="shared" si="4"/>
        <v>0</v>
      </c>
      <c r="S130" s="282" t="s">
        <v>760</v>
      </c>
      <c r="T130" s="193"/>
      <c r="U130" s="221"/>
      <c r="V130" s="221"/>
      <c r="W130" s="221"/>
      <c r="BA130"/>
      <c r="BB130"/>
    </row>
    <row r="131" spans="1:54" s="187" customFormat="1" ht="14.25">
      <c r="A131" s="208"/>
      <c r="B131" s="179">
        <v>5005076283</v>
      </c>
      <c r="C131" s="182" t="str">
        <f>IFERROR(IF(VLOOKUP($B131,勘定科目!$A:$H,HLOOKUP($E$5,勘定科目!$F$1:$H$2,2,0),0)="","",VLOOKUP($B131,勘定科目!$A:$E,2,0)),"")</f>
        <v>輸入航空運賃（製）</v>
      </c>
      <c r="D131" s="216" t="str">
        <f>IF(C131="","",VLOOKUP($B131,勘定科目!$A:$E,4,0))</f>
        <v>荷造運賃</v>
      </c>
      <c r="E131" s="220"/>
      <c r="F131" s="289"/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>
        <f t="shared" si="4"/>
        <v>0</v>
      </c>
      <c r="S131" s="283" t="s">
        <v>761</v>
      </c>
      <c r="T131" s="193"/>
      <c r="U131" s="221"/>
      <c r="V131" s="221"/>
      <c r="W131" s="221"/>
      <c r="BA131"/>
      <c r="BB131"/>
    </row>
    <row r="132" spans="1:54" s="187" customFormat="1" ht="14.25">
      <c r="A132" s="208"/>
      <c r="B132" s="179">
        <v>5005076281</v>
      </c>
      <c r="C132" s="182" t="str">
        <f>IFERROR(IF(VLOOKUP($B132,勘定科目!$A:$H,HLOOKUP($E$5,勘定科目!$F$1:$H$2,2,0),0)="","",VLOOKUP($B132,勘定科目!$A:$E,2,0)),"")</f>
        <v>通関申告費用（製）</v>
      </c>
      <c r="D132" s="216" t="str">
        <f>IF(C132="","",VLOOKUP($B132,勘定科目!$A:$E,4,0))</f>
        <v>荷造運賃</v>
      </c>
      <c r="E132" s="220"/>
      <c r="F132" s="289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>
        <f t="shared" si="4"/>
        <v>0</v>
      </c>
      <c r="S132" s="283" t="s">
        <v>762</v>
      </c>
      <c r="T132" s="193"/>
      <c r="U132" s="221"/>
      <c r="V132" s="221"/>
      <c r="W132" s="221"/>
      <c r="BA132"/>
      <c r="BB132"/>
    </row>
    <row r="133" spans="1:54" s="187" customFormat="1" ht="14.25">
      <c r="A133" s="208"/>
      <c r="B133" s="179">
        <v>9114120009</v>
      </c>
      <c r="C133" s="182" t="str">
        <f>IFERROR(IF(VLOOKUP($B133,勘定科目!$A:$H,HLOOKUP($E$5,勘定科目!$F$1:$H$2,2,0),0)="","",VLOOKUP($B133,勘定科目!$A:$E,2,0)),"")</f>
        <v>社内金利（在庫）</v>
      </c>
      <c r="D133" s="216" t="str">
        <f>IF(C133="","",VLOOKUP($B133,勘定科目!$A:$E,4,0))</f>
        <v>在庫金利</v>
      </c>
      <c r="E133" s="220"/>
      <c r="F133" s="289">
        <v>200000</v>
      </c>
      <c r="G133" s="301">
        <v>200000</v>
      </c>
      <c r="H133" s="301">
        <v>200000</v>
      </c>
      <c r="I133" s="301">
        <v>200000</v>
      </c>
      <c r="J133" s="301">
        <v>200000</v>
      </c>
      <c r="K133" s="301">
        <v>200000</v>
      </c>
      <c r="L133" s="301">
        <v>200000</v>
      </c>
      <c r="M133" s="301">
        <v>200000</v>
      </c>
      <c r="N133" s="301">
        <v>200000</v>
      </c>
      <c r="O133" s="301">
        <v>200000</v>
      </c>
      <c r="P133" s="301">
        <v>200000</v>
      </c>
      <c r="Q133" s="301">
        <v>200000</v>
      </c>
      <c r="R133" s="301">
        <f t="shared" si="4"/>
        <v>2400000</v>
      </c>
      <c r="S133" s="283" t="s">
        <v>122</v>
      </c>
      <c r="T133" s="193"/>
      <c r="U133" s="221"/>
      <c r="V133" s="221"/>
      <c r="W133" s="221"/>
      <c r="BA133"/>
      <c r="BB133"/>
    </row>
    <row r="134" spans="1:54" s="187" customFormat="1" ht="14.25">
      <c r="A134" s="208"/>
      <c r="B134" s="179"/>
      <c r="C134" s="182" t="str">
        <f>IFERROR(IF(VLOOKUP($B134,勘定科目!$A:$H,HLOOKUP($E$5,勘定科目!$F$1:$H$2,2,0),0)="","",VLOOKUP($B134,勘定科目!$A:$E,2,0)),"")</f>
        <v/>
      </c>
      <c r="D134" s="216" t="str">
        <f>IF(C134="","",VLOOKUP($B134,勘定科目!$A:$E,4,0))</f>
        <v/>
      </c>
      <c r="E134" s="220"/>
      <c r="F134" s="289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>
        <f t="shared" si="4"/>
        <v>0</v>
      </c>
      <c r="S134" s="283" t="s">
        <v>763</v>
      </c>
      <c r="T134" s="193"/>
      <c r="U134" s="221"/>
      <c r="V134" s="221"/>
      <c r="W134" s="221"/>
      <c r="BA134"/>
      <c r="BB134"/>
    </row>
    <row r="135" spans="1:54" s="187" customFormat="1" ht="14.25">
      <c r="A135" s="208"/>
      <c r="B135" s="179">
        <v>5005246286</v>
      </c>
      <c r="C135" s="182" t="str">
        <f>IFERROR(IF(VLOOKUP($B135,勘定科目!$A:$H,HLOOKUP($E$5,勘定科目!$F$1:$H$2,2,0),0)="","",VLOOKUP($B135,勘定科目!$A:$E,2,0)),"")</f>
        <v>その他手数料（製）</v>
      </c>
      <c r="D135" s="216" t="str">
        <f>IF(C135="","",VLOOKUP($B135,勘定科目!$A:$E,4,0))</f>
        <v>手数料</v>
      </c>
      <c r="E135" s="220"/>
      <c r="F135" s="289">
        <v>0</v>
      </c>
      <c r="G135" s="301">
        <v>0</v>
      </c>
      <c r="H135" s="301">
        <v>0</v>
      </c>
      <c r="I135" s="301">
        <v>0</v>
      </c>
      <c r="J135" s="301">
        <v>0</v>
      </c>
      <c r="K135" s="301">
        <v>0</v>
      </c>
      <c r="L135" s="301">
        <v>0</v>
      </c>
      <c r="M135" s="301"/>
      <c r="N135" s="301">
        <v>3681550</v>
      </c>
      <c r="O135" s="301">
        <v>0</v>
      </c>
      <c r="P135" s="301">
        <v>0</v>
      </c>
      <c r="Q135" s="301">
        <v>0</v>
      </c>
      <c r="R135" s="301">
        <f t="shared" si="4"/>
        <v>3681550</v>
      </c>
      <c r="S135" s="283" t="s">
        <v>795</v>
      </c>
      <c r="T135" s="193"/>
      <c r="U135" s="221"/>
      <c r="V135" s="221"/>
      <c r="W135" s="221"/>
      <c r="BA135"/>
      <c r="BB135"/>
    </row>
    <row r="136" spans="1:54" s="187" customFormat="1" ht="14.25">
      <c r="A136" s="208"/>
      <c r="B136" s="179">
        <v>5005246286</v>
      </c>
      <c r="C136" s="182" t="str">
        <f>IFERROR(IF(VLOOKUP($B136,勘定科目!$A:$H,HLOOKUP($E$5,勘定科目!$F$1:$H$2,2,0),0)="","",VLOOKUP($B136,勘定科目!$A:$E,2,0)),"")</f>
        <v>その他手数料（製）</v>
      </c>
      <c r="D136" s="216" t="str">
        <f>IF(C136="","",VLOOKUP($B136,勘定科目!$A:$E,4,0))</f>
        <v>手数料</v>
      </c>
      <c r="E136" s="220"/>
      <c r="F136" s="289">
        <v>0</v>
      </c>
      <c r="G136" s="301">
        <v>0</v>
      </c>
      <c r="H136" s="301">
        <v>0</v>
      </c>
      <c r="I136" s="301">
        <v>0</v>
      </c>
      <c r="J136" s="301">
        <v>0</v>
      </c>
      <c r="K136" s="301">
        <v>0</v>
      </c>
      <c r="L136" s="301">
        <v>0</v>
      </c>
      <c r="M136" s="301">
        <v>50000</v>
      </c>
      <c r="N136" s="301"/>
      <c r="O136" s="301">
        <v>0</v>
      </c>
      <c r="P136" s="301">
        <v>0</v>
      </c>
      <c r="Q136" s="301">
        <v>0</v>
      </c>
      <c r="R136" s="301">
        <f t="shared" si="4"/>
        <v>50000</v>
      </c>
      <c r="S136" s="283" t="s">
        <v>796</v>
      </c>
      <c r="T136" s="193"/>
      <c r="U136" s="221"/>
      <c r="V136" s="221"/>
      <c r="W136" s="221"/>
      <c r="BA136"/>
      <c r="BB136"/>
    </row>
    <row r="137" spans="1:54" s="187" customFormat="1" ht="14.25">
      <c r="A137" s="208"/>
      <c r="B137" s="179">
        <v>5005246286</v>
      </c>
      <c r="C137" s="182" t="str">
        <f>IFERROR(IF(VLOOKUP($B137,勘定科目!$A:$H,HLOOKUP($E$5,勘定科目!$F$1:$H$2,2,0),0)="","",VLOOKUP($B137,勘定科目!$A:$E,2,0)),"")</f>
        <v>その他手数料（製）</v>
      </c>
      <c r="D137" s="216" t="str">
        <f>IF(C137="","",VLOOKUP($B137,勘定科目!$A:$E,4,0))</f>
        <v>手数料</v>
      </c>
      <c r="E137" s="220"/>
      <c r="F137" s="289">
        <v>0</v>
      </c>
      <c r="G137" s="301">
        <v>0</v>
      </c>
      <c r="H137" s="301">
        <v>0</v>
      </c>
      <c r="I137" s="301">
        <v>0</v>
      </c>
      <c r="J137" s="301">
        <v>0</v>
      </c>
      <c r="K137" s="301">
        <v>0</v>
      </c>
      <c r="L137" s="301">
        <v>0</v>
      </c>
      <c r="M137" s="301">
        <v>1000000</v>
      </c>
      <c r="N137" s="301"/>
      <c r="O137" s="301">
        <v>0</v>
      </c>
      <c r="P137" s="301">
        <v>0</v>
      </c>
      <c r="Q137" s="301">
        <v>0</v>
      </c>
      <c r="R137" s="301">
        <f t="shared" si="4"/>
        <v>1000000</v>
      </c>
      <c r="S137" s="283" t="s">
        <v>797</v>
      </c>
      <c r="T137" s="193"/>
      <c r="U137" s="221"/>
      <c r="V137" s="221"/>
      <c r="W137" s="221"/>
      <c r="BA137"/>
      <c r="BB137"/>
    </row>
    <row r="138" spans="1:54" s="187" customFormat="1" ht="16.5">
      <c r="A138" s="208"/>
      <c r="B138" s="179">
        <v>5005246286</v>
      </c>
      <c r="C138" s="182" t="str">
        <f>IFERROR(IF(VLOOKUP($B138,勘定科目!$A:$H,HLOOKUP($E$5,勘定科目!$F$1:$H$2,2,0),0)="","",VLOOKUP($B138,勘定科目!$A:$E,2,0)),"")</f>
        <v>その他手数料（製）</v>
      </c>
      <c r="D138" s="216" t="str">
        <f>IF(C138="","",VLOOKUP($B138,勘定科目!$A:$E,4,0))</f>
        <v>手数料</v>
      </c>
      <c r="E138" s="220"/>
      <c r="F138" s="299">
        <v>0</v>
      </c>
      <c r="G138" s="300">
        <v>0</v>
      </c>
      <c r="H138" s="300">
        <v>0</v>
      </c>
      <c r="I138" s="300">
        <v>0</v>
      </c>
      <c r="J138" s="300">
        <v>0</v>
      </c>
      <c r="K138" s="300">
        <v>0</v>
      </c>
      <c r="L138" s="300">
        <v>0</v>
      </c>
      <c r="M138" s="300">
        <v>60000</v>
      </c>
      <c r="N138" s="300"/>
      <c r="O138" s="300">
        <v>0</v>
      </c>
      <c r="P138" s="300">
        <v>0</v>
      </c>
      <c r="Q138" s="300">
        <v>0</v>
      </c>
      <c r="R138" s="300">
        <f t="shared" si="4"/>
        <v>60000</v>
      </c>
      <c r="S138" s="282" t="s">
        <v>798</v>
      </c>
      <c r="T138" s="193"/>
      <c r="U138" s="221"/>
      <c r="V138" s="221"/>
      <c r="W138" s="221"/>
      <c r="BA138"/>
      <c r="BB138"/>
    </row>
    <row r="139" spans="1:54" s="187" customFormat="1" ht="14.25">
      <c r="A139" s="208"/>
      <c r="B139" s="179">
        <v>5005246286</v>
      </c>
      <c r="C139" s="182" t="str">
        <f>IFERROR(IF(VLOOKUP($B139,勘定科目!$A:$H,HLOOKUP($E$5,勘定科目!$F$1:$H$2,2,0),0)="","",VLOOKUP($B139,勘定科目!$A:$E,2,0)),"")</f>
        <v>その他手数料（製）</v>
      </c>
      <c r="D139" s="216" t="str">
        <f>IF(C139="","",VLOOKUP($B139,勘定科目!$A:$E,4,0))</f>
        <v>手数料</v>
      </c>
      <c r="E139" s="220"/>
      <c r="F139" s="289">
        <v>0</v>
      </c>
      <c r="G139" s="301">
        <v>0</v>
      </c>
      <c r="H139" s="301">
        <v>0</v>
      </c>
      <c r="I139" s="301">
        <v>0</v>
      </c>
      <c r="J139" s="301">
        <v>0</v>
      </c>
      <c r="K139" s="301">
        <v>0</v>
      </c>
      <c r="L139" s="301">
        <v>0</v>
      </c>
      <c r="M139" s="301">
        <v>60000</v>
      </c>
      <c r="N139" s="301"/>
      <c r="O139" s="301">
        <v>0</v>
      </c>
      <c r="P139" s="301">
        <v>0</v>
      </c>
      <c r="Q139" s="301">
        <v>0</v>
      </c>
      <c r="R139" s="301">
        <f t="shared" si="4"/>
        <v>60000</v>
      </c>
      <c r="S139" s="283" t="s">
        <v>799</v>
      </c>
      <c r="T139" s="193"/>
      <c r="U139" s="221"/>
      <c r="V139" s="221"/>
      <c r="W139" s="221"/>
      <c r="BA139"/>
      <c r="BB139"/>
    </row>
    <row r="140" spans="1:54" s="187" customFormat="1" ht="16.5">
      <c r="A140" s="208"/>
      <c r="B140" s="179">
        <v>5005246286</v>
      </c>
      <c r="C140" s="182" t="str">
        <f>IFERROR(IF(VLOOKUP($B140,勘定科目!$A:$H,HLOOKUP($E$5,勘定科目!$F$1:$H$2,2,0),0)="","",VLOOKUP($B140,勘定科目!$A:$E,2,0)),"")</f>
        <v>その他手数料（製）</v>
      </c>
      <c r="D140" s="216" t="str">
        <f>IF(C140="","",VLOOKUP($B140,勘定科目!$A:$E,4,0))</f>
        <v>手数料</v>
      </c>
      <c r="E140" s="220"/>
      <c r="F140" s="299">
        <v>0</v>
      </c>
      <c r="G140" s="300">
        <v>0</v>
      </c>
      <c r="H140" s="300">
        <v>0</v>
      </c>
      <c r="I140" s="300">
        <v>0</v>
      </c>
      <c r="J140" s="300">
        <v>0</v>
      </c>
      <c r="K140" s="300">
        <v>0</v>
      </c>
      <c r="L140" s="300">
        <v>0</v>
      </c>
      <c r="M140" s="300">
        <v>1259500</v>
      </c>
      <c r="N140" s="300"/>
      <c r="O140" s="300">
        <v>0</v>
      </c>
      <c r="P140" s="300">
        <v>0</v>
      </c>
      <c r="Q140" s="300">
        <v>0</v>
      </c>
      <c r="R140" s="300">
        <f t="shared" si="4"/>
        <v>1259500</v>
      </c>
      <c r="S140" s="286" t="s">
        <v>800</v>
      </c>
      <c r="T140" s="193"/>
      <c r="U140" s="221"/>
      <c r="V140" s="221"/>
      <c r="W140" s="221"/>
      <c r="BA140"/>
      <c r="BB140"/>
    </row>
    <row r="141" spans="1:54" s="187" customFormat="1" ht="14.25">
      <c r="A141" s="208"/>
      <c r="B141" s="179"/>
      <c r="C141" s="182" t="str">
        <f>IFERROR(IF(VLOOKUP($B141,勘定科目!$A:$H,HLOOKUP($E$5,勘定科目!$F$1:$H$2,2,0),0)="","",VLOOKUP($B141,勘定科目!$A:$E,2,0)),"")</f>
        <v/>
      </c>
      <c r="D141" s="216" t="str">
        <f>IF(C141="","",VLOOKUP($B141,勘定科目!$A:$E,4,0))</f>
        <v/>
      </c>
      <c r="E141" s="220"/>
      <c r="F141" s="289"/>
      <c r="G141" s="301"/>
      <c r="H141" s="301"/>
      <c r="I141" s="301"/>
      <c r="J141" s="301"/>
      <c r="K141" s="301"/>
      <c r="L141" s="301"/>
      <c r="M141" s="301"/>
      <c r="N141" s="301"/>
      <c r="O141" s="301"/>
      <c r="P141" s="301"/>
      <c r="Q141" s="301"/>
      <c r="R141" s="301">
        <f t="shared" si="4"/>
        <v>0</v>
      </c>
      <c r="S141" s="283"/>
      <c r="T141" s="193"/>
      <c r="U141" s="221"/>
      <c r="V141" s="221"/>
      <c r="W141" s="221"/>
      <c r="BA141"/>
      <c r="BB141"/>
    </row>
    <row r="142" spans="1:54" s="187" customFormat="1" ht="16.5">
      <c r="A142" s="208"/>
      <c r="B142" s="179"/>
      <c r="C142" s="182" t="str">
        <f>IFERROR(IF(VLOOKUP($B142,勘定科目!$A:$H,HLOOKUP($E$5,勘定科目!$F$1:$H$2,2,0),0)="","",VLOOKUP($B142,勘定科目!$A:$E,2,0)),"")</f>
        <v/>
      </c>
      <c r="D142" s="216" t="str">
        <f>IF(C142="","",VLOOKUP($B142,勘定科目!$A:$E,4,0))</f>
        <v/>
      </c>
      <c r="E142" s="220"/>
      <c r="F142" s="299"/>
      <c r="G142" s="300"/>
      <c r="H142" s="300"/>
      <c r="I142" s="300"/>
      <c r="J142" s="300"/>
      <c r="K142" s="300"/>
      <c r="L142" s="300"/>
      <c r="M142" s="300"/>
      <c r="N142" s="300"/>
      <c r="O142" s="300"/>
      <c r="P142" s="300"/>
      <c r="Q142" s="300"/>
      <c r="R142" s="300">
        <f t="shared" si="4"/>
        <v>0</v>
      </c>
      <c r="S142" s="286" t="s">
        <v>764</v>
      </c>
      <c r="T142" s="193"/>
      <c r="U142" s="221"/>
      <c r="V142" s="221"/>
      <c r="W142" s="221"/>
      <c r="BA142"/>
      <c r="BB142"/>
    </row>
    <row r="143" spans="1:54" s="187" customFormat="1" ht="14.25">
      <c r="A143" s="208"/>
      <c r="B143" s="179">
        <v>5005196373</v>
      </c>
      <c r="C143" s="182" t="str">
        <f>IFERROR(IF(VLOOKUP($B143,勘定科目!$A:$H,HLOOKUP($E$5,勘定科目!$F$1:$H$2,2,0),0)="","",VLOOKUP($B143,勘定科目!$A:$E,2,0)),"")</f>
        <v>試験研究用材料費</v>
      </c>
      <c r="D143" s="216" t="str">
        <f>IF(C143="","",VLOOKUP($B143,勘定科目!$A:$E,4,0))</f>
        <v>試験研究費</v>
      </c>
      <c r="E143" s="220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>
        <f t="shared" si="4"/>
        <v>0</v>
      </c>
      <c r="S143" s="283"/>
      <c r="T143" s="193"/>
      <c r="U143" s="221"/>
      <c r="V143" s="221"/>
      <c r="W143" s="221"/>
      <c r="BA143"/>
      <c r="BB143"/>
    </row>
    <row r="144" spans="1:54" s="187" customFormat="1" ht="14.25">
      <c r="A144" s="208"/>
      <c r="B144" s="179"/>
      <c r="C144" s="182" t="str">
        <f>IFERROR(IF(VLOOKUP($B144,勘定科目!$A:$H,HLOOKUP($E$5,勘定科目!$F$1:$H$2,2,0),0)="","",VLOOKUP($B144,勘定科目!$A:$E,2,0)),"")</f>
        <v/>
      </c>
      <c r="D144" s="216" t="str">
        <f>IF(C144="","",VLOOKUP($B144,勘定科目!$A:$E,4,0))</f>
        <v/>
      </c>
      <c r="E144" s="220"/>
      <c r="F144" s="289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>
        <f t="shared" si="4"/>
        <v>0</v>
      </c>
      <c r="S144" s="283" t="s">
        <v>822</v>
      </c>
      <c r="T144" s="193"/>
      <c r="U144" s="221"/>
      <c r="V144" s="221"/>
      <c r="W144" s="221"/>
      <c r="BA144"/>
      <c r="BB144"/>
    </row>
    <row r="145" spans="1:54" s="187" customFormat="1" ht="14.25">
      <c r="A145" s="208"/>
      <c r="B145" s="179"/>
      <c r="C145" s="182" t="str">
        <f>IFERROR(IF(VLOOKUP($B145,勘定科目!$A:$H,HLOOKUP($E$5,勘定科目!$F$1:$H$2,2,0),0)="","",VLOOKUP($B145,勘定科目!$A:$E,2,0)),"")</f>
        <v/>
      </c>
      <c r="D145" s="216" t="str">
        <f>IF(C145="","",VLOOKUP($B145,勘定科目!$A:$E,4,0))</f>
        <v/>
      </c>
      <c r="E145" s="220"/>
      <c r="F145" s="289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>
        <f t="shared" si="4"/>
        <v>0</v>
      </c>
      <c r="S145" s="284"/>
      <c r="T145" s="193"/>
      <c r="U145" s="221"/>
      <c r="V145" s="221"/>
      <c r="W145" s="221"/>
      <c r="BA145"/>
      <c r="BB145"/>
    </row>
    <row r="146" spans="1:54" s="187" customFormat="1" ht="14.25">
      <c r="A146" s="208"/>
      <c r="B146" s="179"/>
      <c r="C146" s="182" t="str">
        <f>IFERROR(IF(VLOOKUP($B146,勘定科目!$A:$H,HLOOKUP($E$5,勘定科目!$F$1:$H$2,2,0),0)="","",VLOOKUP($B146,勘定科目!$A:$E,2,0)),"")</f>
        <v/>
      </c>
      <c r="D146" s="216" t="str">
        <f>IF(C146="","",VLOOKUP($B146,勘定科目!$A:$E,4,0))</f>
        <v/>
      </c>
      <c r="E146" s="220"/>
      <c r="F146" s="289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>
        <f t="shared" si="4"/>
        <v>0</v>
      </c>
      <c r="S146" s="283" t="s">
        <v>765</v>
      </c>
      <c r="T146" s="193"/>
      <c r="U146" s="221"/>
      <c r="V146" s="221"/>
      <c r="W146" s="221"/>
      <c r="BA146"/>
      <c r="BB146"/>
    </row>
    <row r="147" spans="1:54" s="187" customFormat="1" ht="14.25">
      <c r="A147" s="208"/>
      <c r="B147" s="179">
        <v>5005116291</v>
      </c>
      <c r="C147" s="182" t="str">
        <f>IFERROR(IF(VLOOKUP($B147,勘定科目!$A:$H,HLOOKUP($E$5,勘定科目!$F$1:$H$2,2,0),0)="","",VLOOKUP($B147,勘定科目!$A:$E,2,0)),"")</f>
        <v>ベトナム国内交通費（製）</v>
      </c>
      <c r="D147" s="216" t="str">
        <f>IF(C147="","",VLOOKUP($B147,勘定科目!$A:$E,4,0))</f>
        <v>旅費交通費</v>
      </c>
      <c r="E147" s="220"/>
      <c r="F147" s="289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>
        <f t="shared" si="4"/>
        <v>0</v>
      </c>
      <c r="S147" s="283" t="s">
        <v>766</v>
      </c>
      <c r="T147" s="193"/>
      <c r="U147" s="221"/>
      <c r="V147" s="221"/>
      <c r="W147" s="221"/>
      <c r="BA147"/>
      <c r="BB147"/>
    </row>
    <row r="148" spans="1:54" s="187" customFormat="1" ht="16.5">
      <c r="A148" s="208"/>
      <c r="B148" s="179">
        <v>5004086293</v>
      </c>
      <c r="C148" s="182" t="str">
        <f>IFERROR(IF(VLOOKUP($B148,勘定科目!$A:$H,HLOOKUP($E$5,勘定科目!$F$1:$H$2,2,0),0)="","",VLOOKUP($B148,勘定科目!$A:$E,2,0)),"")</f>
        <v>教育訓練費（製）</v>
      </c>
      <c r="D148" s="216" t="str">
        <f>IF(C148="","",VLOOKUP($B148,勘定科目!$A:$E,4,0))</f>
        <v>募集教育費</v>
      </c>
      <c r="E148" s="220"/>
      <c r="F148" s="299"/>
      <c r="G148" s="300"/>
      <c r="H148" s="300"/>
      <c r="I148" s="300"/>
      <c r="J148" s="300"/>
      <c r="K148" s="300"/>
      <c r="L148" s="300"/>
      <c r="M148" s="300"/>
      <c r="N148" s="300"/>
      <c r="O148" s="300"/>
      <c r="P148" s="300"/>
      <c r="Q148" s="300"/>
      <c r="R148" s="300">
        <f t="shared" si="4"/>
        <v>0</v>
      </c>
      <c r="S148" s="282" t="s">
        <v>767</v>
      </c>
      <c r="T148" s="193"/>
      <c r="U148" s="221"/>
      <c r="V148" s="221"/>
      <c r="W148" s="221"/>
      <c r="BA148"/>
      <c r="BB148"/>
    </row>
    <row r="149" spans="1:54" s="187" customFormat="1" ht="14.25">
      <c r="A149" s="208"/>
      <c r="B149" s="179">
        <v>5005116291</v>
      </c>
      <c r="C149" s="182" t="str">
        <f>IFERROR(IF(VLOOKUP($B149,勘定科目!$A:$H,HLOOKUP($E$5,勘定科目!$F$1:$H$2,2,0),0)="","",VLOOKUP($B149,勘定科目!$A:$E,2,0)),"")</f>
        <v>ベトナム国内交通費（製）</v>
      </c>
      <c r="D149" s="216" t="str">
        <f>IF(C149="","",VLOOKUP($B149,勘定科目!$A:$E,4,0))</f>
        <v>旅費交通費</v>
      </c>
      <c r="E149" s="220"/>
      <c r="F149" s="289"/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>
        <f t="shared" si="4"/>
        <v>0</v>
      </c>
      <c r="S149" s="287" t="s">
        <v>823</v>
      </c>
      <c r="T149" s="193"/>
      <c r="U149" s="221"/>
      <c r="V149" s="221"/>
      <c r="W149" s="221"/>
      <c r="BA149"/>
      <c r="BB149"/>
    </row>
    <row r="150" spans="1:54" s="187" customFormat="1" ht="16.5">
      <c r="A150" s="208"/>
      <c r="B150" s="179">
        <v>5004086293</v>
      </c>
      <c r="C150" s="182" t="str">
        <f>IFERROR(IF(VLOOKUP($B150,勘定科目!$A:$H,HLOOKUP($E$5,勘定科目!$F$1:$H$2,2,0),0)="","",VLOOKUP($B150,勘定科目!$A:$E,2,0)),"")</f>
        <v>教育訓練費（製）</v>
      </c>
      <c r="D150" s="216" t="str">
        <f>IF(C150="","",VLOOKUP($B150,勘定科目!$A:$E,4,0))</f>
        <v>募集教育費</v>
      </c>
      <c r="E150" s="220"/>
      <c r="F150" s="299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/>
      <c r="Q150" s="300"/>
      <c r="R150" s="300">
        <f t="shared" si="4"/>
        <v>0</v>
      </c>
      <c r="S150" s="282" t="s">
        <v>768</v>
      </c>
      <c r="T150" s="193"/>
      <c r="U150" s="221"/>
      <c r="V150" s="221"/>
      <c r="W150" s="221"/>
      <c r="BA150"/>
      <c r="BB150"/>
    </row>
    <row r="151" spans="1:54" s="187" customFormat="1" ht="14.25">
      <c r="A151" s="208"/>
      <c r="B151" s="179"/>
      <c r="C151" s="182" t="str">
        <f>IFERROR(IF(VLOOKUP($B151,勘定科目!$A:$H,HLOOKUP($E$5,勘定科目!$F$1:$H$2,2,0),0)="","",VLOOKUP($B151,勘定科目!$A:$E,2,0)),"")</f>
        <v/>
      </c>
      <c r="D151" s="216" t="str">
        <f>IF(C151="","",VLOOKUP($B151,勘定科目!$A:$E,4,0))</f>
        <v/>
      </c>
      <c r="E151" s="220"/>
      <c r="F151" s="289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>
        <f t="shared" si="4"/>
        <v>0</v>
      </c>
      <c r="S151" s="283"/>
      <c r="T151" s="193"/>
      <c r="U151" s="221"/>
      <c r="V151" s="221"/>
      <c r="W151" s="221"/>
      <c r="BA151"/>
      <c r="BB151"/>
    </row>
    <row r="152" spans="1:54" s="187" customFormat="1" ht="14.25">
      <c r="A152" s="208"/>
      <c r="B152" s="179"/>
      <c r="C152" s="182" t="str">
        <f>IFERROR(IF(VLOOKUP($B152,勘定科目!$A:$H,HLOOKUP($E$5,勘定科目!$F$1:$H$2,2,0),0)="","",VLOOKUP($B152,勘定科目!$A:$E,2,0)),"")</f>
        <v/>
      </c>
      <c r="D152" s="216" t="str">
        <f>IF(C152="","",VLOOKUP($B152,勘定科目!$A:$E,4,0))</f>
        <v/>
      </c>
      <c r="E152" s="220"/>
      <c r="F152" s="289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>
        <f t="shared" si="4"/>
        <v>0</v>
      </c>
      <c r="S152" s="283" t="s">
        <v>769</v>
      </c>
      <c r="T152" s="193"/>
      <c r="U152" s="221"/>
      <c r="V152" s="221"/>
      <c r="W152" s="221"/>
      <c r="BA152"/>
      <c r="BB152"/>
    </row>
    <row r="153" spans="1:54" s="187" customFormat="1" ht="14.25">
      <c r="A153" s="208"/>
      <c r="B153" s="179">
        <v>5005116291</v>
      </c>
      <c r="C153" s="182" t="str">
        <f>IFERROR(IF(VLOOKUP($B153,勘定科目!$A:$H,HLOOKUP($E$5,勘定科目!$F$1:$H$2,2,0),0)="","",VLOOKUP($B153,勘定科目!$A:$E,2,0)),"")</f>
        <v>ベトナム国内交通費（製）</v>
      </c>
      <c r="D153" s="216" t="str">
        <f>IF(C153="","",VLOOKUP($B153,勘定科目!$A:$E,4,0))</f>
        <v>旅費交通費</v>
      </c>
      <c r="E153" s="220"/>
      <c r="F153" s="289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>
        <f t="shared" si="4"/>
        <v>0</v>
      </c>
      <c r="S153" s="283" t="s">
        <v>770</v>
      </c>
      <c r="T153" s="193"/>
      <c r="U153" s="221"/>
      <c r="V153" s="221"/>
      <c r="W153" s="221"/>
      <c r="BA153"/>
      <c r="BB153"/>
    </row>
    <row r="154" spans="1:54" s="187" customFormat="1" ht="14.25">
      <c r="A154" s="208"/>
      <c r="B154" s="179"/>
      <c r="C154" s="182" t="str">
        <f>IFERROR(IF(VLOOKUP($B154,勘定科目!$A:$H,HLOOKUP($E$5,勘定科目!$F$1:$H$2,2,0),0)="","",VLOOKUP($B154,勘定科目!$A:$E,2,0)),"")</f>
        <v/>
      </c>
      <c r="D154" s="216" t="str">
        <f>IF(C154="","",VLOOKUP($B154,勘定科目!$A:$E,4,0))</f>
        <v/>
      </c>
      <c r="E154" s="220"/>
      <c r="F154" s="289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>
        <f t="shared" si="4"/>
        <v>0</v>
      </c>
      <c r="S154" s="283" t="s">
        <v>771</v>
      </c>
      <c r="T154" s="193"/>
      <c r="U154" s="221"/>
      <c r="V154" s="221"/>
      <c r="W154" s="221"/>
      <c r="BA154"/>
      <c r="BB154"/>
    </row>
    <row r="155" spans="1:54" s="187" customFormat="1" ht="14.25">
      <c r="A155" s="208"/>
      <c r="B155" s="179">
        <v>5005116292</v>
      </c>
      <c r="C155" s="182" t="str">
        <f>IFERROR(IF(VLOOKUP($B155,勘定科目!$A:$H,HLOOKUP($E$5,勘定科目!$F$1:$H$2,2,0),0)="","",VLOOKUP($B155,勘定科目!$A:$E,2,0)),"")</f>
        <v>海外渡航費（製）</v>
      </c>
      <c r="D155" s="216" t="str">
        <f>IF(C155="","",VLOOKUP($B155,勘定科目!$A:$E,4,0))</f>
        <v>渡航費</v>
      </c>
      <c r="E155" s="220"/>
      <c r="F155" s="289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>
        <f t="shared" si="4"/>
        <v>0</v>
      </c>
      <c r="S155" s="283" t="s">
        <v>824</v>
      </c>
      <c r="T155" s="193"/>
      <c r="U155" s="221"/>
      <c r="V155" s="221"/>
      <c r="W155" s="221"/>
      <c r="BA155"/>
      <c r="BB155"/>
    </row>
    <row r="156" spans="1:54" s="187" customFormat="1" ht="14.25">
      <c r="A156" s="208"/>
      <c r="B156" s="179">
        <v>5005116292</v>
      </c>
      <c r="C156" s="182" t="str">
        <f>IFERROR(IF(VLOOKUP($B156,勘定科目!$A:$H,HLOOKUP($E$5,勘定科目!$F$1:$H$2,2,0),0)="","",VLOOKUP($B156,勘定科目!$A:$E,2,0)),"")</f>
        <v>海外渡航費（製）</v>
      </c>
      <c r="D156" s="216" t="str">
        <f>IF(C156="","",VLOOKUP($B156,勘定科目!$A:$E,4,0))</f>
        <v>渡航費</v>
      </c>
      <c r="E156" s="220"/>
      <c r="F156" s="289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>
        <f t="shared" si="4"/>
        <v>0</v>
      </c>
      <c r="S156" s="283" t="s">
        <v>772</v>
      </c>
      <c r="T156" s="193"/>
      <c r="U156" s="221"/>
      <c r="V156" s="221"/>
      <c r="W156" s="221"/>
      <c r="BA156"/>
      <c r="BB156"/>
    </row>
    <row r="157" spans="1:54" s="187" customFormat="1" ht="14.25">
      <c r="A157" s="208"/>
      <c r="B157" s="179">
        <v>5005116292</v>
      </c>
      <c r="C157" s="182" t="str">
        <f>IFERROR(IF(VLOOKUP($B157,勘定科目!$A:$H,HLOOKUP($E$5,勘定科目!$F$1:$H$2,2,0),0)="","",VLOOKUP($B157,勘定科目!$A:$E,2,0)),"")</f>
        <v>海外渡航費（製）</v>
      </c>
      <c r="D157" s="216" t="str">
        <f>IF(C157="","",VLOOKUP($B157,勘定科目!$A:$E,4,0))</f>
        <v>渡航費</v>
      </c>
      <c r="E157" s="220"/>
      <c r="F157" s="289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>
        <f t="shared" si="4"/>
        <v>0</v>
      </c>
      <c r="S157" s="283" t="s">
        <v>825</v>
      </c>
      <c r="T157" s="193"/>
      <c r="U157" s="221"/>
      <c r="V157" s="221"/>
      <c r="W157" s="221"/>
      <c r="BA157"/>
      <c r="BB157"/>
    </row>
    <row r="158" spans="1:54" s="187" customFormat="1" ht="14.25">
      <c r="A158" s="208"/>
      <c r="B158" s="179">
        <v>5005116292</v>
      </c>
      <c r="C158" s="182" t="str">
        <f>IFERROR(IF(VLOOKUP($B158,勘定科目!$A:$H,HLOOKUP($E$5,勘定科目!$F$1:$H$2,2,0),0)="","",VLOOKUP($B158,勘定科目!$A:$E,2,0)),"")</f>
        <v>海外渡航費（製）</v>
      </c>
      <c r="D158" s="216" t="str">
        <f>IF(C158="","",VLOOKUP($B158,勘定科目!$A:$E,4,0))</f>
        <v>渡航費</v>
      </c>
      <c r="E158" s="220"/>
      <c r="F158" s="289"/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>
        <f t="shared" si="4"/>
        <v>0</v>
      </c>
      <c r="S158" s="283" t="s">
        <v>826</v>
      </c>
      <c r="T158" s="193"/>
      <c r="U158" s="221"/>
      <c r="V158" s="221"/>
      <c r="W158" s="221"/>
      <c r="BA158"/>
      <c r="BB158"/>
    </row>
    <row r="159" spans="1:54" s="187" customFormat="1" ht="14.25">
      <c r="A159" s="208"/>
      <c r="B159" s="179">
        <v>5005116292</v>
      </c>
      <c r="C159" s="182" t="str">
        <f>IFERROR(IF(VLOOKUP($B159,勘定科目!$A:$H,HLOOKUP($E$5,勘定科目!$F$1:$H$2,2,0),0)="","",VLOOKUP($B159,勘定科目!$A:$E,2,0)),"")</f>
        <v>海外渡航費（製）</v>
      </c>
      <c r="D159" s="216" t="str">
        <f>IF(C159="","",VLOOKUP($B159,勘定科目!$A:$E,4,0))</f>
        <v>渡航費</v>
      </c>
      <c r="E159" s="220"/>
      <c r="F159" s="289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>
        <f t="shared" si="4"/>
        <v>0</v>
      </c>
      <c r="S159" s="283" t="s">
        <v>773</v>
      </c>
      <c r="T159" s="193"/>
      <c r="U159" s="221"/>
      <c r="V159" s="221"/>
      <c r="W159" s="221"/>
      <c r="BA159"/>
      <c r="BB159"/>
    </row>
    <row r="160" spans="1:54" s="187" customFormat="1" ht="14.25">
      <c r="A160" s="208"/>
      <c r="B160" s="179">
        <v>5005116292</v>
      </c>
      <c r="C160" s="182" t="str">
        <f>IFERROR(IF(VLOOKUP($B160,勘定科目!$A:$H,HLOOKUP($E$5,勘定科目!$F$1:$H$2,2,0),0)="","",VLOOKUP($B160,勘定科目!$A:$E,2,0)),"")</f>
        <v>海外渡航費（製）</v>
      </c>
      <c r="D160" s="216" t="str">
        <f>IF(C160="","",VLOOKUP($B160,勘定科目!$A:$E,4,0))</f>
        <v>渡航費</v>
      </c>
      <c r="E160" s="220"/>
      <c r="F160" s="289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>
        <f t="shared" si="4"/>
        <v>0</v>
      </c>
      <c r="S160" s="283" t="s">
        <v>774</v>
      </c>
      <c r="T160" s="193"/>
      <c r="U160" s="221"/>
      <c r="V160" s="221"/>
      <c r="W160" s="221"/>
      <c r="BA160"/>
      <c r="BB160"/>
    </row>
    <row r="161" spans="1:54" s="187" customFormat="1" ht="14.25">
      <c r="A161" s="208"/>
      <c r="B161" s="179">
        <v>5005116292</v>
      </c>
      <c r="C161" s="182" t="str">
        <f>IFERROR(IF(VLOOKUP($B161,勘定科目!$A:$H,HLOOKUP($E$5,勘定科目!$F$1:$H$2,2,0),0)="","",VLOOKUP($B161,勘定科目!$A:$E,2,0)),"")</f>
        <v>海外渡航費（製）</v>
      </c>
      <c r="D161" s="216" t="str">
        <f>IF(C161="","",VLOOKUP($B161,勘定科目!$A:$E,4,0))</f>
        <v>渡航費</v>
      </c>
      <c r="E161" s="220"/>
      <c r="F161" s="289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>
        <f t="shared" si="4"/>
        <v>0</v>
      </c>
      <c r="S161" s="283" t="s">
        <v>775</v>
      </c>
      <c r="T161" s="193"/>
      <c r="U161" s="221"/>
      <c r="V161" s="221"/>
      <c r="W161" s="221"/>
      <c r="BA161"/>
      <c r="BB161"/>
    </row>
    <row r="162" spans="1:54" s="187" customFormat="1" ht="14.25">
      <c r="A162" s="208"/>
      <c r="B162" s="179">
        <v>5005116292</v>
      </c>
      <c r="C162" s="182" t="str">
        <f>IFERROR(IF(VLOOKUP($B162,勘定科目!$A:$H,HLOOKUP($E$5,勘定科目!$F$1:$H$2,2,0),0)="","",VLOOKUP($B162,勘定科目!$A:$E,2,0)),"")</f>
        <v>海外渡航費（製）</v>
      </c>
      <c r="D162" s="216" t="str">
        <f>IF(C162="","",VLOOKUP($B162,勘定科目!$A:$E,4,0))</f>
        <v>渡航費</v>
      </c>
      <c r="E162" s="220"/>
      <c r="F162" s="289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>
        <f t="shared" si="4"/>
        <v>0</v>
      </c>
      <c r="S162" s="283" t="s">
        <v>776</v>
      </c>
      <c r="T162" s="193"/>
      <c r="U162" s="221"/>
      <c r="V162" s="221"/>
      <c r="W162" s="221"/>
      <c r="BA162"/>
      <c r="BB162"/>
    </row>
    <row r="163" spans="1:54" s="187" customFormat="1" ht="16.5">
      <c r="A163" s="208"/>
      <c r="B163" s="179">
        <v>5005116292</v>
      </c>
      <c r="C163" s="182" t="str">
        <f>IFERROR(IF(VLOOKUP($B163,勘定科目!$A:$H,HLOOKUP($E$5,勘定科目!$F$1:$H$2,2,0),0)="","",VLOOKUP($B163,勘定科目!$A:$E,2,0)),"")</f>
        <v>海外渡航費（製）</v>
      </c>
      <c r="D163" s="216" t="str">
        <f>IF(C163="","",VLOOKUP($B163,勘定科目!$A:$E,4,0))</f>
        <v>渡航費</v>
      </c>
      <c r="E163" s="220"/>
      <c r="F163" s="299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>
        <f t="shared" si="4"/>
        <v>0</v>
      </c>
      <c r="S163" s="282" t="s">
        <v>827</v>
      </c>
      <c r="T163" s="193"/>
      <c r="U163" s="221"/>
      <c r="V163" s="221"/>
      <c r="W163" s="221"/>
      <c r="BA163"/>
      <c r="BB163"/>
    </row>
    <row r="164" spans="1:54" s="187" customFormat="1" ht="14.25">
      <c r="A164" s="208"/>
      <c r="B164" s="179">
        <v>5005116292</v>
      </c>
      <c r="C164" s="182" t="str">
        <f>IFERROR(IF(VLOOKUP($B164,勘定科目!$A:$H,HLOOKUP($E$5,勘定科目!$F$1:$H$2,2,0),0)="","",VLOOKUP($B164,勘定科目!$A:$E,2,0)),"")</f>
        <v>海外渡航費（製）</v>
      </c>
      <c r="D164" s="216" t="str">
        <f>IF(C164="","",VLOOKUP($B164,勘定科目!$A:$E,4,0))</f>
        <v>渡航費</v>
      </c>
      <c r="E164" s="220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>
        <f t="shared" si="4"/>
        <v>0</v>
      </c>
      <c r="S164" s="283" t="s">
        <v>777</v>
      </c>
      <c r="T164" s="193"/>
      <c r="U164" s="221"/>
      <c r="V164" s="221"/>
      <c r="W164" s="221"/>
      <c r="BA164"/>
      <c r="BB164"/>
    </row>
    <row r="165" spans="1:54" s="187" customFormat="1" ht="14.25">
      <c r="A165" s="208"/>
      <c r="B165" s="179">
        <v>5005116292</v>
      </c>
      <c r="C165" s="182" t="str">
        <f>IFERROR(IF(VLOOKUP($B165,勘定科目!$A:$H,HLOOKUP($E$5,勘定科目!$F$1:$H$2,2,0),0)="","",VLOOKUP($B165,勘定科目!$A:$E,2,0)),"")</f>
        <v>海外渡航費（製）</v>
      </c>
      <c r="D165" s="216" t="str">
        <f>IF(C165="","",VLOOKUP($B165,勘定科目!$A:$E,4,0))</f>
        <v>渡航費</v>
      </c>
      <c r="E165" s="220"/>
      <c r="F165" s="289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>
        <f t="shared" si="4"/>
        <v>0</v>
      </c>
      <c r="S165" s="283" t="s">
        <v>778</v>
      </c>
      <c r="T165" s="193"/>
      <c r="U165" s="221"/>
      <c r="V165" s="221"/>
      <c r="W165" s="221"/>
      <c r="BA165"/>
      <c r="BB165"/>
    </row>
    <row r="166" spans="1:54" s="187" customFormat="1" ht="16.5">
      <c r="A166" s="208"/>
      <c r="B166" s="179"/>
      <c r="C166" s="182" t="str">
        <f>IFERROR(IF(VLOOKUP($B166,勘定科目!$A:$H,HLOOKUP($E$5,勘定科目!$F$1:$H$2,2,0),0)="","",VLOOKUP($B166,勘定科目!$A:$E,2,0)),"")</f>
        <v/>
      </c>
      <c r="D166" s="216" t="str">
        <f>IF(C166="","",VLOOKUP($B166,勘定科目!$A:$E,4,0))</f>
        <v/>
      </c>
      <c r="E166" s="220"/>
      <c r="F166" s="299"/>
      <c r="G166" s="300"/>
      <c r="H166" s="300"/>
      <c r="I166" s="300"/>
      <c r="J166" s="300"/>
      <c r="K166" s="300"/>
      <c r="L166" s="300"/>
      <c r="M166" s="300"/>
      <c r="N166" s="300"/>
      <c r="O166" s="300"/>
      <c r="P166" s="300"/>
      <c r="Q166" s="300"/>
      <c r="R166" s="300">
        <f t="shared" si="4"/>
        <v>0</v>
      </c>
      <c r="S166" s="282"/>
      <c r="T166" s="193"/>
      <c r="U166" s="221"/>
      <c r="V166" s="221"/>
      <c r="W166" s="221"/>
      <c r="BA166"/>
      <c r="BB166"/>
    </row>
    <row r="167" spans="1:54" s="187" customFormat="1" ht="14.25">
      <c r="A167" s="208"/>
      <c r="B167" s="179"/>
      <c r="C167" s="182" t="str">
        <f>IFERROR(IF(VLOOKUP($B167,勘定科目!$A:$H,HLOOKUP($E$5,勘定科目!$F$1:$H$2,2,0),0)="","",VLOOKUP($B167,勘定科目!$A:$E,2,0)),"")</f>
        <v/>
      </c>
      <c r="D167" s="216" t="str">
        <f>IF(C167="","",VLOOKUP($B167,勘定科目!$A:$E,4,0))</f>
        <v/>
      </c>
      <c r="E167" s="220"/>
      <c r="F167" s="289"/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>
        <f t="shared" si="4"/>
        <v>0</v>
      </c>
      <c r="S167" s="283" t="s">
        <v>779</v>
      </c>
      <c r="T167" s="193"/>
      <c r="U167" s="221"/>
      <c r="V167" s="221"/>
      <c r="W167" s="221"/>
      <c r="BA167"/>
      <c r="BB167"/>
    </row>
    <row r="168" spans="1:54" s="187" customFormat="1" ht="14.25">
      <c r="A168" s="208"/>
      <c r="B168" s="179">
        <v>5005116292</v>
      </c>
      <c r="C168" s="182" t="str">
        <f>IFERROR(IF(VLOOKUP($B168,勘定科目!$A:$H,HLOOKUP($E$5,勘定科目!$F$1:$H$2,2,0),0)="","",VLOOKUP($B168,勘定科目!$A:$E,2,0)),"")</f>
        <v>海外渡航費（製）</v>
      </c>
      <c r="D168" s="216" t="str">
        <f>IF(C168="","",VLOOKUP($B168,勘定科目!$A:$E,4,0))</f>
        <v>渡航費</v>
      </c>
      <c r="E168" s="220"/>
      <c r="F168" s="289"/>
      <c r="G168" s="301"/>
      <c r="H168" s="301">
        <v>0</v>
      </c>
      <c r="I168" s="301"/>
      <c r="J168" s="301"/>
      <c r="K168" s="301"/>
      <c r="L168" s="301"/>
      <c r="M168" s="301"/>
      <c r="N168" s="301"/>
      <c r="O168" s="301"/>
      <c r="P168" s="301"/>
      <c r="Q168" s="301"/>
      <c r="R168" s="301">
        <f t="shared" si="4"/>
        <v>0</v>
      </c>
      <c r="S168" s="283" t="s">
        <v>780</v>
      </c>
      <c r="T168" s="193"/>
      <c r="U168" s="221"/>
      <c r="V168" s="221"/>
      <c r="W168" s="221"/>
      <c r="BA168"/>
      <c r="BB168"/>
    </row>
    <row r="169" spans="1:54" s="187" customFormat="1" ht="14.25">
      <c r="A169" s="208"/>
      <c r="B169" s="179"/>
      <c r="C169" s="182" t="str">
        <f>IFERROR(IF(VLOOKUP($B169,勘定科目!$A:$H,HLOOKUP($E$5,勘定科目!$F$1:$H$2,2,0),0)="","",VLOOKUP($B169,勘定科目!$A:$E,2,0)),"")</f>
        <v/>
      </c>
      <c r="D169" s="216" t="str">
        <f>IF(C169="","",VLOOKUP($B169,勘定科目!$A:$E,4,0))</f>
        <v/>
      </c>
      <c r="E169" s="220"/>
      <c r="F169" s="289"/>
      <c r="G169" s="301"/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>
        <f t="shared" si="4"/>
        <v>0</v>
      </c>
      <c r="S169" s="283"/>
      <c r="T169" s="193"/>
      <c r="U169" s="221"/>
      <c r="V169" s="221"/>
      <c r="W169" s="221"/>
      <c r="BA169"/>
      <c r="BB169"/>
    </row>
    <row r="170" spans="1:54" s="187" customFormat="1" ht="14.25">
      <c r="A170" s="208"/>
      <c r="B170" s="179"/>
      <c r="C170" s="182" t="str">
        <f>IFERROR(IF(VLOOKUP($B170,勘定科目!$A:$H,HLOOKUP($E$5,勘定科目!$F$1:$H$2,2,0),0)="","",VLOOKUP($B170,勘定科目!$A:$E,2,0)),"")</f>
        <v/>
      </c>
      <c r="D170" s="216" t="str">
        <f>IF(C170="","",VLOOKUP($B170,勘定科目!$A:$E,4,0))</f>
        <v/>
      </c>
      <c r="E170" s="220"/>
      <c r="F170" s="289"/>
      <c r="G170" s="301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>
        <f t="shared" si="4"/>
        <v>0</v>
      </c>
      <c r="S170" s="283" t="s">
        <v>781</v>
      </c>
      <c r="T170" s="193"/>
      <c r="U170" s="221"/>
      <c r="V170" s="221"/>
      <c r="W170" s="221"/>
      <c r="BA170"/>
      <c r="BB170"/>
    </row>
    <row r="171" spans="1:54" s="187" customFormat="1" ht="14.25">
      <c r="A171" s="208"/>
      <c r="B171" s="179">
        <v>5005116292</v>
      </c>
      <c r="C171" s="182" t="str">
        <f>IFERROR(IF(VLOOKUP($B171,勘定科目!$A:$H,HLOOKUP($E$5,勘定科目!$F$1:$H$2,2,0),0)="","",VLOOKUP($B171,勘定科目!$A:$E,2,0)),"")</f>
        <v>海外渡航費（製）</v>
      </c>
      <c r="D171" s="216" t="str">
        <f>IF(C171="","",VLOOKUP($B171,勘定科目!$A:$E,4,0))</f>
        <v>渡航費</v>
      </c>
      <c r="E171" s="220"/>
      <c r="F171" s="289">
        <v>0</v>
      </c>
      <c r="G171" s="301"/>
      <c r="H171" s="301">
        <v>0</v>
      </c>
      <c r="I171" s="301"/>
      <c r="J171" s="301">
        <v>0</v>
      </c>
      <c r="K171" s="301"/>
      <c r="L171" s="301">
        <v>0</v>
      </c>
      <c r="M171" s="301"/>
      <c r="N171" s="301"/>
      <c r="O171" s="301">
        <v>0</v>
      </c>
      <c r="P171" s="301"/>
      <c r="Q171" s="301">
        <v>0</v>
      </c>
      <c r="R171" s="301">
        <f t="shared" si="4"/>
        <v>0</v>
      </c>
      <c r="S171" s="283" t="s">
        <v>782</v>
      </c>
      <c r="T171" s="193"/>
      <c r="U171" s="221"/>
      <c r="V171" s="221"/>
      <c r="W171" s="221"/>
      <c r="BA171"/>
      <c r="BB171"/>
    </row>
    <row r="172" spans="1:54" s="187" customFormat="1" ht="14.25">
      <c r="A172" s="208"/>
      <c r="B172" s="179">
        <v>5005116292</v>
      </c>
      <c r="C172" s="182" t="str">
        <f>IFERROR(IF(VLOOKUP($B172,勘定科目!$A:$H,HLOOKUP($E$5,勘定科目!$F$1:$H$2,2,0),0)="","",VLOOKUP($B172,勘定科目!$A:$E,2,0)),"")</f>
        <v>海外渡航費（製）</v>
      </c>
      <c r="D172" s="216" t="str">
        <f>IF(C172="","",VLOOKUP($B172,勘定科目!$A:$E,4,0))</f>
        <v>渡航費</v>
      </c>
      <c r="E172" s="220"/>
      <c r="F172" s="289"/>
      <c r="G172" s="301"/>
      <c r="H172" s="301">
        <v>0</v>
      </c>
      <c r="I172" s="301"/>
      <c r="J172" s="301"/>
      <c r="K172" s="301"/>
      <c r="L172" s="301">
        <v>0</v>
      </c>
      <c r="M172" s="301"/>
      <c r="N172" s="301"/>
      <c r="O172" s="301"/>
      <c r="P172" s="301"/>
      <c r="Q172" s="301">
        <v>0</v>
      </c>
      <c r="R172" s="301">
        <f t="shared" si="4"/>
        <v>0</v>
      </c>
      <c r="S172" s="283" t="s">
        <v>783</v>
      </c>
      <c r="T172" s="193"/>
      <c r="U172" s="221"/>
      <c r="V172" s="221"/>
      <c r="W172" s="221"/>
      <c r="BA172"/>
      <c r="BB172"/>
    </row>
    <row r="173" spans="1:54" s="187" customFormat="1" ht="14.25">
      <c r="A173" s="208"/>
      <c r="B173" s="179">
        <v>5005116292</v>
      </c>
      <c r="C173" s="182" t="str">
        <f>IFERROR(IF(VLOOKUP($B173,勘定科目!$A:$H,HLOOKUP($E$5,勘定科目!$F$1:$H$2,2,0),0)="","",VLOOKUP($B173,勘定科目!$A:$E,2,0)),"")</f>
        <v>海外渡航費（製）</v>
      </c>
      <c r="D173" s="216" t="str">
        <f>IF(C173="","",VLOOKUP($B173,勘定科目!$A:$E,4,0))</f>
        <v>渡航費</v>
      </c>
      <c r="E173" s="220"/>
      <c r="F173" s="289"/>
      <c r="G173" s="301"/>
      <c r="H173" s="301">
        <v>0</v>
      </c>
      <c r="I173" s="301"/>
      <c r="J173" s="301"/>
      <c r="K173" s="301"/>
      <c r="L173" s="301">
        <v>0</v>
      </c>
      <c r="M173" s="301"/>
      <c r="N173" s="301"/>
      <c r="O173" s="301"/>
      <c r="P173" s="301"/>
      <c r="Q173" s="301">
        <v>0</v>
      </c>
      <c r="R173" s="301">
        <f t="shared" si="4"/>
        <v>0</v>
      </c>
      <c r="S173" s="283" t="s">
        <v>784</v>
      </c>
      <c r="T173" s="193"/>
      <c r="U173" s="221"/>
      <c r="V173" s="221"/>
      <c r="W173" s="221"/>
      <c r="BA173"/>
      <c r="BB173"/>
    </row>
    <row r="174" spans="1:54" s="187" customFormat="1" ht="14.25">
      <c r="A174" s="208"/>
      <c r="B174" s="179">
        <v>5005116292</v>
      </c>
      <c r="C174" s="182" t="str">
        <f>IFERROR(IF(VLOOKUP($B174,勘定科目!$A:$H,HLOOKUP($E$5,勘定科目!$F$1:$H$2,2,0),0)="","",VLOOKUP($B174,勘定科目!$A:$E,2,0)),"")</f>
        <v>海外渡航費（製）</v>
      </c>
      <c r="D174" s="216" t="str">
        <f>IF(C174="","",VLOOKUP($B174,勘定科目!$A:$E,4,0))</f>
        <v>渡航費</v>
      </c>
      <c r="E174" s="220"/>
      <c r="F174" s="289"/>
      <c r="G174" s="301">
        <v>0</v>
      </c>
      <c r="H174" s="301"/>
      <c r="I174" s="301"/>
      <c r="J174" s="301"/>
      <c r="K174" s="301">
        <v>0</v>
      </c>
      <c r="L174" s="301"/>
      <c r="M174" s="301"/>
      <c r="N174" s="301"/>
      <c r="O174" s="301"/>
      <c r="P174" s="301">
        <v>0</v>
      </c>
      <c r="Q174" s="301"/>
      <c r="R174" s="301">
        <f t="shared" si="4"/>
        <v>0</v>
      </c>
      <c r="S174" s="283" t="s">
        <v>785</v>
      </c>
      <c r="T174" s="193"/>
      <c r="U174" s="221"/>
      <c r="V174" s="221"/>
      <c r="W174" s="221"/>
      <c r="BA174"/>
      <c r="BB174"/>
    </row>
    <row r="175" spans="1:54" s="187" customFormat="1" ht="14.25">
      <c r="A175" s="208"/>
      <c r="B175" s="179">
        <v>5005116292</v>
      </c>
      <c r="C175" s="182" t="str">
        <f>IFERROR(IF(VLOOKUP($B175,勘定科目!$A:$H,HLOOKUP($E$5,勘定科目!$F$1:$H$2,2,0),0)="","",VLOOKUP($B175,勘定科目!$A:$E,2,0)),"")</f>
        <v>海外渡航費（製）</v>
      </c>
      <c r="D175" s="216" t="str">
        <f>IF(C175="","",VLOOKUP($B175,勘定科目!$A:$E,4,0))</f>
        <v>渡航費</v>
      </c>
      <c r="E175" s="220"/>
      <c r="F175" s="289"/>
      <c r="G175" s="301">
        <v>0</v>
      </c>
      <c r="H175" s="301">
        <v>0</v>
      </c>
      <c r="I175" s="301"/>
      <c r="J175" s="301"/>
      <c r="K175" s="301">
        <v>0</v>
      </c>
      <c r="L175" s="301">
        <v>0</v>
      </c>
      <c r="M175" s="301"/>
      <c r="N175" s="301"/>
      <c r="O175" s="301"/>
      <c r="P175" s="301">
        <v>0</v>
      </c>
      <c r="Q175" s="301">
        <v>0</v>
      </c>
      <c r="R175" s="301">
        <f t="shared" si="4"/>
        <v>0</v>
      </c>
      <c r="S175" s="283" t="s">
        <v>786</v>
      </c>
      <c r="T175" s="193"/>
      <c r="U175" s="221"/>
      <c r="V175" s="221"/>
      <c r="W175" s="221"/>
      <c r="BA175"/>
      <c r="BB175"/>
    </row>
    <row r="176" spans="1:54" s="187" customFormat="1" ht="14.25">
      <c r="A176" s="208"/>
      <c r="B176" s="179">
        <v>5005116292</v>
      </c>
      <c r="C176" s="182" t="str">
        <f>IFERROR(IF(VLOOKUP($B176,勘定科目!$A:$H,HLOOKUP($E$5,勘定科目!$F$1:$H$2,2,0),0)="","",VLOOKUP($B176,勘定科目!$A:$E,2,0)),"")</f>
        <v>海外渡航費（製）</v>
      </c>
      <c r="D176" s="216" t="str">
        <f>IF(C176="","",VLOOKUP($B176,勘定科目!$A:$E,4,0))</f>
        <v>渡航費</v>
      </c>
      <c r="E176" s="220"/>
      <c r="F176" s="289"/>
      <c r="G176" s="301"/>
      <c r="H176" s="301">
        <v>0</v>
      </c>
      <c r="I176" s="301"/>
      <c r="J176" s="301"/>
      <c r="K176" s="301"/>
      <c r="L176" s="301">
        <v>0</v>
      </c>
      <c r="M176" s="301"/>
      <c r="N176" s="301"/>
      <c r="O176" s="301"/>
      <c r="P176" s="301"/>
      <c r="Q176" s="301">
        <v>0</v>
      </c>
      <c r="R176" s="301">
        <f t="shared" si="4"/>
        <v>0</v>
      </c>
      <c r="S176" s="283" t="s">
        <v>787</v>
      </c>
      <c r="T176" s="193"/>
      <c r="U176" s="221"/>
      <c r="V176" s="221"/>
      <c r="W176" s="221"/>
      <c r="BA176"/>
      <c r="BB176"/>
    </row>
    <row r="177" spans="2:19">
      <c r="B177" s="180">
        <v>5005116292</v>
      </c>
      <c r="G177" s="124">
        <v>0</v>
      </c>
      <c r="H177" s="124">
        <v>0</v>
      </c>
      <c r="I177" s="124">
        <v>0</v>
      </c>
      <c r="K177" s="124">
        <v>0</v>
      </c>
      <c r="L177" s="124">
        <v>0</v>
      </c>
      <c r="M177" s="124">
        <v>0</v>
      </c>
      <c r="P177" s="124">
        <v>0</v>
      </c>
      <c r="Q177" s="124">
        <v>0</v>
      </c>
      <c r="S177" s="4" t="s">
        <v>788</v>
      </c>
    </row>
    <row r="178" spans="2:19">
      <c r="B178" s="180">
        <v>5005116292</v>
      </c>
      <c r="G178" s="124">
        <v>0</v>
      </c>
      <c r="H178" s="124">
        <v>0</v>
      </c>
      <c r="K178" s="124">
        <v>0</v>
      </c>
      <c r="L178" s="124">
        <v>0</v>
      </c>
      <c r="P178" s="124">
        <v>0</v>
      </c>
      <c r="Q178" s="124">
        <v>0</v>
      </c>
      <c r="S178" s="4" t="s">
        <v>789</v>
      </c>
    </row>
    <row r="179" spans="2:19">
      <c r="B179" s="180">
        <v>5005116292</v>
      </c>
      <c r="H179" s="124">
        <v>0</v>
      </c>
      <c r="L179" s="124">
        <v>0</v>
      </c>
      <c r="Q179" s="124">
        <v>0</v>
      </c>
      <c r="S179" s="4" t="s">
        <v>790</v>
      </c>
    </row>
    <row r="180" spans="2:19">
      <c r="B180" s="180">
        <v>5005116292</v>
      </c>
      <c r="H180" s="124">
        <v>0</v>
      </c>
      <c r="L180" s="124">
        <v>0</v>
      </c>
      <c r="Q180" s="124">
        <v>0</v>
      </c>
      <c r="S180" s="4" t="s">
        <v>791</v>
      </c>
    </row>
  </sheetData>
  <autoFilter ref="A7:T176" xr:uid="{C4D9E433-32B9-4202-A8B8-84BC35B55859}"/>
  <phoneticPr fontId="3"/>
  <conditionalFormatting sqref="F3:Q3">
    <cfRule type="expression" dxfId="0" priority="1">
      <formula>F3&lt;&gt;"OK"</formula>
    </cfRule>
  </conditionalFormatting>
  <dataValidations disablePrompts="1" count="1">
    <dataValidation type="list" allowBlank="1" showInputMessage="1" showErrorMessage="1" sqref="T8:T176" xr:uid="{D325257B-33AB-42AC-BD16-570FCEA41B2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D53-FB03-4992-8B40-6EBE05F3B769}">
  <sheetPr codeName="Sheet4">
    <pageSetUpPr fitToPage="1"/>
  </sheetPr>
  <dimension ref="B1:S55"/>
  <sheetViews>
    <sheetView zoomScaleNormal="10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K26" sqref="K26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MD2課</v>
      </c>
      <c r="E1" s="24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59" customFormat="1" ht="27">
      <c r="B3" s="254" t="s">
        <v>330</v>
      </c>
      <c r="C3" s="254" t="s">
        <v>146</v>
      </c>
      <c r="D3" s="255" t="s">
        <v>147</v>
      </c>
      <c r="E3" s="256">
        <v>4</v>
      </c>
      <c r="F3" s="256">
        <v>5</v>
      </c>
      <c r="G3" s="256">
        <v>6</v>
      </c>
      <c r="H3" s="256">
        <v>7</v>
      </c>
      <c r="I3" s="256">
        <v>8</v>
      </c>
      <c r="J3" s="256">
        <v>9</v>
      </c>
      <c r="K3" s="256">
        <v>10</v>
      </c>
      <c r="L3" s="256">
        <v>11</v>
      </c>
      <c r="M3" s="256">
        <v>12</v>
      </c>
      <c r="N3" s="256">
        <v>1</v>
      </c>
      <c r="O3" s="256">
        <v>2</v>
      </c>
      <c r="P3" s="256">
        <v>3</v>
      </c>
      <c r="Q3" s="257" t="s">
        <v>643</v>
      </c>
      <c r="R3" s="260" t="s">
        <v>644</v>
      </c>
      <c r="S3" s="258" t="s">
        <v>417</v>
      </c>
    </row>
    <row r="4" spans="2:19">
      <c r="B4" s="248"/>
      <c r="C4" s="248"/>
      <c r="D4" s="302"/>
      <c r="E4" s="250"/>
      <c r="F4" s="250"/>
      <c r="G4" s="250"/>
      <c r="H4" s="250"/>
      <c r="I4" s="303"/>
      <c r="J4" s="303"/>
      <c r="K4" s="303"/>
      <c r="L4" s="303"/>
      <c r="M4" s="303"/>
      <c r="N4" s="303"/>
      <c r="O4" s="303"/>
      <c r="P4" s="303"/>
      <c r="Q4" s="253"/>
      <c r="R4" s="253">
        <f>SUM(E4:P4)</f>
        <v>0</v>
      </c>
      <c r="S4" s="246"/>
    </row>
    <row r="5" spans="2:19">
      <c r="B5" s="65"/>
      <c r="C5" s="65"/>
      <c r="D5" s="302"/>
      <c r="E5" s="250"/>
      <c r="F5" s="250"/>
      <c r="G5" s="250"/>
      <c r="H5" s="250"/>
      <c r="I5" s="303"/>
      <c r="J5" s="303"/>
      <c r="K5" s="303"/>
      <c r="L5" s="303"/>
      <c r="M5" s="303"/>
      <c r="N5" s="303"/>
      <c r="O5" s="303"/>
      <c r="P5" s="303"/>
      <c r="Q5" s="253"/>
      <c r="R5" s="253">
        <f t="shared" ref="R5:R50" si="0">SUM(E5:P5)</f>
        <v>0</v>
      </c>
      <c r="S5" s="246"/>
    </row>
    <row r="6" spans="2:19">
      <c r="B6" s="65"/>
      <c r="C6" s="65"/>
      <c r="D6" s="302"/>
      <c r="E6" s="250"/>
      <c r="F6" s="250"/>
      <c r="G6" s="250"/>
      <c r="H6" s="250"/>
      <c r="I6" s="303"/>
      <c r="J6" s="303"/>
      <c r="K6" s="303"/>
      <c r="L6" s="303"/>
      <c r="M6" s="303"/>
      <c r="N6" s="303"/>
      <c r="O6" s="303"/>
      <c r="P6" s="303"/>
      <c r="Q6" s="253"/>
      <c r="R6" s="253">
        <f t="shared" si="0"/>
        <v>0</v>
      </c>
      <c r="S6" s="246"/>
    </row>
    <row r="7" spans="2:19" ht="14.25">
      <c r="B7" s="65"/>
      <c r="C7" s="66"/>
      <c r="D7" s="302"/>
      <c r="E7" s="250"/>
      <c r="F7" s="250"/>
      <c r="G7" s="250"/>
      <c r="H7" s="250"/>
      <c r="I7" s="303"/>
      <c r="J7" s="303"/>
      <c r="K7" s="303"/>
      <c r="L7" s="303"/>
      <c r="M7" s="303"/>
      <c r="N7" s="303"/>
      <c r="O7" s="303"/>
      <c r="P7" s="303"/>
      <c r="Q7" s="253"/>
      <c r="R7" s="253">
        <f t="shared" si="0"/>
        <v>0</v>
      </c>
      <c r="S7" s="246"/>
    </row>
    <row r="8" spans="2:19">
      <c r="B8" s="65"/>
      <c r="C8" s="67"/>
      <c r="D8" s="302"/>
      <c r="E8" s="251"/>
      <c r="F8" s="251"/>
      <c r="G8" s="251"/>
      <c r="H8" s="251"/>
      <c r="I8" s="303"/>
      <c r="J8" s="303"/>
      <c r="K8" s="303"/>
      <c r="L8" s="303"/>
      <c r="M8" s="303"/>
      <c r="N8" s="303"/>
      <c r="O8" s="303"/>
      <c r="P8" s="303"/>
      <c r="Q8" s="253"/>
      <c r="R8" s="253">
        <f t="shared" si="0"/>
        <v>0</v>
      </c>
      <c r="S8" s="246"/>
    </row>
    <row r="9" spans="2:19">
      <c r="B9" s="65"/>
      <c r="C9" s="65"/>
      <c r="D9" s="302"/>
      <c r="E9" s="251"/>
      <c r="F9" s="251"/>
      <c r="G9" s="251"/>
      <c r="H9" s="251"/>
      <c r="I9" s="303"/>
      <c r="J9" s="303"/>
      <c r="K9" s="303"/>
      <c r="L9" s="303"/>
      <c r="M9" s="303"/>
      <c r="N9" s="303"/>
      <c r="O9" s="303"/>
      <c r="P9" s="303"/>
      <c r="Q9" s="253"/>
      <c r="R9" s="253">
        <f t="shared" si="0"/>
        <v>0</v>
      </c>
      <c r="S9" s="246"/>
    </row>
    <row r="10" spans="2:19">
      <c r="B10" s="65"/>
      <c r="C10" s="65"/>
      <c r="D10" s="302"/>
      <c r="E10" s="251"/>
      <c r="F10" s="251"/>
      <c r="G10" s="251"/>
      <c r="H10" s="251"/>
      <c r="I10" s="303"/>
      <c r="J10" s="303"/>
      <c r="K10" s="303"/>
      <c r="L10" s="303"/>
      <c r="M10" s="303"/>
      <c r="N10" s="303"/>
      <c r="O10" s="303"/>
      <c r="P10" s="303"/>
      <c r="Q10" s="253"/>
      <c r="R10" s="253">
        <f t="shared" si="0"/>
        <v>0</v>
      </c>
      <c r="S10" s="246"/>
    </row>
    <row r="11" spans="2:19">
      <c r="B11" s="65"/>
      <c r="C11" s="65"/>
      <c r="D11" s="65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3"/>
      <c r="R11" s="253">
        <f t="shared" si="0"/>
        <v>0</v>
      </c>
      <c r="S11" s="246"/>
    </row>
    <row r="12" spans="2:19">
      <c r="B12" s="65"/>
      <c r="C12" s="65"/>
      <c r="D12" s="65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3"/>
      <c r="R12" s="253">
        <f t="shared" si="0"/>
        <v>0</v>
      </c>
      <c r="S12" s="246"/>
    </row>
    <row r="13" spans="2:19">
      <c r="B13" s="65"/>
      <c r="C13" s="65"/>
      <c r="D13" s="65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3"/>
      <c r="R13" s="253">
        <f t="shared" si="0"/>
        <v>0</v>
      </c>
      <c r="S13" s="246"/>
    </row>
    <row r="14" spans="2:19">
      <c r="B14" s="65"/>
      <c r="C14" s="65"/>
      <c r="D14" s="65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3"/>
      <c r="R14" s="253">
        <f t="shared" si="0"/>
        <v>0</v>
      </c>
      <c r="S14" s="246"/>
    </row>
    <row r="15" spans="2:19">
      <c r="B15" s="65"/>
      <c r="C15" s="65"/>
      <c r="D15" s="65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53"/>
      <c r="R15" s="253">
        <f t="shared" si="0"/>
        <v>0</v>
      </c>
      <c r="S15" s="246"/>
    </row>
    <row r="16" spans="2:19">
      <c r="B16" s="65"/>
      <c r="C16" s="65"/>
      <c r="D16" s="65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3"/>
      <c r="R16" s="253">
        <f t="shared" si="0"/>
        <v>0</v>
      </c>
      <c r="S16" s="246"/>
    </row>
    <row r="17" spans="2:19">
      <c r="B17" s="65"/>
      <c r="C17" s="65"/>
      <c r="D17" s="65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3"/>
      <c r="R17" s="253">
        <f t="shared" si="0"/>
        <v>0</v>
      </c>
      <c r="S17" s="246"/>
    </row>
    <row r="18" spans="2:19">
      <c r="B18" s="65"/>
      <c r="C18" s="65"/>
      <c r="D18" s="65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3"/>
      <c r="R18" s="253">
        <f t="shared" si="0"/>
        <v>0</v>
      </c>
      <c r="S18" s="246"/>
    </row>
    <row r="19" spans="2:19">
      <c r="B19" s="65"/>
      <c r="C19" s="65"/>
      <c r="D19" s="65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3"/>
      <c r="R19" s="253">
        <f t="shared" si="0"/>
        <v>0</v>
      </c>
      <c r="S19" s="246"/>
    </row>
    <row r="20" spans="2:19">
      <c r="B20" s="65"/>
      <c r="C20" s="65"/>
      <c r="D20" s="65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3"/>
      <c r="R20" s="253">
        <f t="shared" si="0"/>
        <v>0</v>
      </c>
      <c r="S20" s="246"/>
    </row>
    <row r="21" spans="2:19">
      <c r="B21" s="65"/>
      <c r="C21" s="65"/>
      <c r="D21" s="65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3"/>
      <c r="R21" s="253">
        <f t="shared" si="0"/>
        <v>0</v>
      </c>
      <c r="S21" s="246"/>
    </row>
    <row r="22" spans="2:19">
      <c r="B22" s="65"/>
      <c r="C22" s="65"/>
      <c r="D22" s="65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3"/>
      <c r="R22" s="253">
        <f t="shared" si="0"/>
        <v>0</v>
      </c>
      <c r="S22" s="246"/>
    </row>
    <row r="23" spans="2:19">
      <c r="B23" s="65"/>
      <c r="C23" s="65"/>
      <c r="D23" s="65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3"/>
      <c r="R23" s="253">
        <f t="shared" si="0"/>
        <v>0</v>
      </c>
      <c r="S23" s="246"/>
    </row>
    <row r="24" spans="2:19">
      <c r="B24" s="65"/>
      <c r="C24" s="65"/>
      <c r="D24" s="65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3"/>
      <c r="R24" s="253">
        <f t="shared" si="0"/>
        <v>0</v>
      </c>
      <c r="S24" s="246"/>
    </row>
    <row r="25" spans="2:19">
      <c r="B25" s="65"/>
      <c r="C25" s="65"/>
      <c r="D25" s="65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3"/>
      <c r="R25" s="253">
        <f t="shared" si="0"/>
        <v>0</v>
      </c>
      <c r="S25" s="246"/>
    </row>
    <row r="26" spans="2:19">
      <c r="B26" s="65"/>
      <c r="C26" s="65"/>
      <c r="D26" s="65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3"/>
      <c r="R26" s="253">
        <f t="shared" si="0"/>
        <v>0</v>
      </c>
      <c r="S26" s="246"/>
    </row>
    <row r="27" spans="2:19">
      <c r="B27" s="65"/>
      <c r="C27" s="65"/>
      <c r="D27" s="65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3"/>
      <c r="R27" s="253">
        <f t="shared" si="0"/>
        <v>0</v>
      </c>
      <c r="S27" s="246"/>
    </row>
    <row r="28" spans="2:19">
      <c r="B28" s="65"/>
      <c r="C28" s="65"/>
      <c r="D28" s="65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3"/>
      <c r="R28" s="253">
        <f t="shared" si="0"/>
        <v>0</v>
      </c>
      <c r="S28" s="246"/>
    </row>
    <row r="29" spans="2:19">
      <c r="B29" s="65"/>
      <c r="C29" s="65"/>
      <c r="D29" s="65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3"/>
      <c r="R29" s="253">
        <f t="shared" si="0"/>
        <v>0</v>
      </c>
      <c r="S29" s="246"/>
    </row>
    <row r="30" spans="2:19">
      <c r="B30" s="65"/>
      <c r="C30" s="65"/>
      <c r="D30" s="65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3"/>
      <c r="R30" s="253">
        <f t="shared" si="0"/>
        <v>0</v>
      </c>
      <c r="S30" s="246"/>
    </row>
    <row r="31" spans="2:19">
      <c r="B31" s="65"/>
      <c r="C31" s="65"/>
      <c r="D31" s="65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3"/>
      <c r="R31" s="253">
        <f t="shared" si="0"/>
        <v>0</v>
      </c>
      <c r="S31" s="246"/>
    </row>
    <row r="32" spans="2:19">
      <c r="B32" s="65"/>
      <c r="C32" s="65"/>
      <c r="D32" s="65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3"/>
      <c r="R32" s="253">
        <f t="shared" si="0"/>
        <v>0</v>
      </c>
      <c r="S32" s="246"/>
    </row>
    <row r="33" spans="2:19">
      <c r="B33" s="65"/>
      <c r="C33" s="65"/>
      <c r="D33" s="65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3"/>
      <c r="R33" s="253">
        <f t="shared" si="0"/>
        <v>0</v>
      </c>
      <c r="S33" s="246"/>
    </row>
    <row r="34" spans="2:19">
      <c r="B34" s="65"/>
      <c r="C34" s="65"/>
      <c r="D34" s="65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3"/>
      <c r="R34" s="253">
        <f t="shared" si="0"/>
        <v>0</v>
      </c>
      <c r="S34" s="246"/>
    </row>
    <row r="35" spans="2:19">
      <c r="B35" s="65"/>
      <c r="C35" s="65"/>
      <c r="D35" s="65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3"/>
      <c r="R35" s="253">
        <f t="shared" si="0"/>
        <v>0</v>
      </c>
      <c r="S35" s="246"/>
    </row>
    <row r="36" spans="2:19">
      <c r="B36" s="65"/>
      <c r="C36" s="65"/>
      <c r="D36" s="65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3"/>
      <c r="R36" s="253">
        <f t="shared" si="0"/>
        <v>0</v>
      </c>
      <c r="S36" s="246"/>
    </row>
    <row r="37" spans="2:19">
      <c r="B37" s="65"/>
      <c r="C37" s="65"/>
      <c r="D37" s="65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3"/>
      <c r="R37" s="253">
        <f t="shared" si="0"/>
        <v>0</v>
      </c>
      <c r="S37" s="246"/>
    </row>
    <row r="38" spans="2:19">
      <c r="B38" s="65"/>
      <c r="C38" s="65"/>
      <c r="D38" s="65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3"/>
      <c r="R38" s="253">
        <f t="shared" si="0"/>
        <v>0</v>
      </c>
      <c r="S38" s="246"/>
    </row>
    <row r="39" spans="2:19">
      <c r="B39" s="65"/>
      <c r="C39" s="65"/>
      <c r="D39" s="65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3"/>
      <c r="R39" s="253">
        <f t="shared" si="0"/>
        <v>0</v>
      </c>
      <c r="S39" s="246"/>
    </row>
    <row r="40" spans="2:19">
      <c r="B40" s="65"/>
      <c r="C40" s="65"/>
      <c r="D40" s="65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3"/>
      <c r="R40" s="253">
        <f t="shared" si="0"/>
        <v>0</v>
      </c>
      <c r="S40" s="246"/>
    </row>
    <row r="41" spans="2:19">
      <c r="B41" s="65"/>
      <c r="C41" s="65"/>
      <c r="D41" s="65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3"/>
      <c r="R41" s="253">
        <f t="shared" si="0"/>
        <v>0</v>
      </c>
      <c r="S41" s="246"/>
    </row>
    <row r="42" spans="2:19">
      <c r="B42" s="65"/>
      <c r="C42" s="65"/>
      <c r="D42" s="65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3"/>
      <c r="R42" s="253">
        <f t="shared" si="0"/>
        <v>0</v>
      </c>
      <c r="S42" s="246"/>
    </row>
    <row r="43" spans="2:19">
      <c r="B43" s="65"/>
      <c r="C43" s="65"/>
      <c r="D43" s="65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3"/>
      <c r="R43" s="253">
        <f t="shared" si="0"/>
        <v>0</v>
      </c>
      <c r="S43" s="246"/>
    </row>
    <row r="44" spans="2:19">
      <c r="B44" s="65"/>
      <c r="C44" s="65"/>
      <c r="D44" s="65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3"/>
      <c r="R44" s="253">
        <f t="shared" si="0"/>
        <v>0</v>
      </c>
      <c r="S44" s="246"/>
    </row>
    <row r="45" spans="2:19">
      <c r="B45" s="65"/>
      <c r="C45" s="65"/>
      <c r="D45" s="65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3"/>
      <c r="R45" s="253">
        <f t="shared" si="0"/>
        <v>0</v>
      </c>
      <c r="S45" s="246"/>
    </row>
    <row r="46" spans="2:19">
      <c r="B46" s="65"/>
      <c r="C46" s="65"/>
      <c r="D46" s="65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3"/>
      <c r="R46" s="253">
        <f t="shared" si="0"/>
        <v>0</v>
      </c>
      <c r="S46" s="246"/>
    </row>
    <row r="47" spans="2:19">
      <c r="B47" s="65"/>
      <c r="C47" s="65"/>
      <c r="D47" s="65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3"/>
      <c r="R47" s="253">
        <f t="shared" si="0"/>
        <v>0</v>
      </c>
      <c r="S47" s="246"/>
    </row>
    <row r="48" spans="2:19">
      <c r="B48" s="65"/>
      <c r="C48" s="65"/>
      <c r="D48" s="65"/>
      <c r="E48" s="251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253"/>
      <c r="R48" s="253">
        <f t="shared" si="0"/>
        <v>0</v>
      </c>
      <c r="S48" s="246"/>
    </row>
    <row r="49" spans="2:19">
      <c r="B49" s="65"/>
      <c r="C49" s="65"/>
      <c r="D49" s="65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3"/>
      <c r="R49" s="253">
        <f t="shared" si="0"/>
        <v>0</v>
      </c>
      <c r="S49" s="246"/>
    </row>
    <row r="50" spans="2:19">
      <c r="B50" s="56"/>
      <c r="C50" s="56"/>
      <c r="D50" s="56" t="s">
        <v>148</v>
      </c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>
        <f t="shared" si="0"/>
        <v>0</v>
      </c>
      <c r="S50" s="247"/>
    </row>
    <row r="51" spans="2:19">
      <c r="S51" s="48"/>
    </row>
    <row r="52" spans="2:19">
      <c r="B52" s="92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D1049EF7-58B3-4904-9140-3A85F2050600}"/>
  <phoneticPr fontId="3"/>
  <dataValidations count="1">
    <dataValidation type="list" allowBlank="1" showInputMessage="1" showErrorMessage="1" sqref="S4:S49" xr:uid="{1289BBC2-EA79-4EDE-9250-07CC5C79D532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56CA-0F25-4F34-A13B-5E523642D14C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5" bestFit="1" customWidth="1"/>
    <col min="2" max="2" width="34.75" style="106" bestFit="1" customWidth="1"/>
    <col min="3" max="3" width="32.625" style="106" bestFit="1" customWidth="1"/>
    <col min="4" max="4" width="18" style="106" bestFit="1" customWidth="1"/>
    <col min="5" max="5" width="32.625" style="106" bestFit="1" customWidth="1"/>
    <col min="6" max="7" width="8.375" style="106" bestFit="1" customWidth="1"/>
    <col min="8" max="8" width="9" style="105"/>
    <col min="9" max="9" width="41.25" style="106" bestFit="1" customWidth="1"/>
    <col min="10" max="16384" width="9" style="106"/>
  </cols>
  <sheetData>
    <row r="1" spans="1:9" s="83" customFormat="1" ht="12">
      <c r="A1" s="79" t="s">
        <v>345</v>
      </c>
      <c r="B1" s="80" t="s">
        <v>157</v>
      </c>
      <c r="C1" s="80" t="s">
        <v>346</v>
      </c>
      <c r="D1" s="81" t="s">
        <v>158</v>
      </c>
      <c r="E1" s="82" t="s">
        <v>347</v>
      </c>
      <c r="F1" s="82" t="s">
        <v>159</v>
      </c>
      <c r="G1" s="82" t="s">
        <v>160</v>
      </c>
      <c r="H1" s="82" t="s">
        <v>161</v>
      </c>
      <c r="I1" s="82" t="s">
        <v>348</v>
      </c>
    </row>
    <row r="2" spans="1:9" s="83" customFormat="1" ht="0.75" customHeight="1">
      <c r="A2" s="108"/>
      <c r="B2" s="109"/>
      <c r="C2" s="109"/>
      <c r="D2" s="109"/>
      <c r="E2" s="109"/>
      <c r="F2" s="121">
        <f>COLUMNS($A$2:F2)</f>
        <v>6</v>
      </c>
      <c r="G2" s="121">
        <f>COLUMNS($A$2:G2)</f>
        <v>7</v>
      </c>
      <c r="H2" s="121">
        <f>COLUMNS($A$2:H2)</f>
        <v>8</v>
      </c>
      <c r="I2" s="109"/>
    </row>
    <row r="3" spans="1:9" s="83" customFormat="1">
      <c r="A3" s="104">
        <v>7001065118</v>
      </c>
      <c r="B3" t="s">
        <v>116</v>
      </c>
      <c r="C3" t="s">
        <v>32</v>
      </c>
      <c r="D3" t="s">
        <v>116</v>
      </c>
      <c r="E3" t="s">
        <v>14</v>
      </c>
      <c r="F3" s="107" t="s">
        <v>461</v>
      </c>
      <c r="G3" s="107">
        <v>7001065118</v>
      </c>
      <c r="H3" s="107">
        <v>7001065118</v>
      </c>
      <c r="I3"/>
    </row>
    <row r="4" spans="1:9" s="83" customFormat="1">
      <c r="A4" s="104">
        <v>7001075118</v>
      </c>
      <c r="B4" t="s">
        <v>33</v>
      </c>
      <c r="C4" t="s">
        <v>32</v>
      </c>
      <c r="D4" t="s">
        <v>116</v>
      </c>
      <c r="E4" t="s">
        <v>14</v>
      </c>
      <c r="F4" s="107" t="s">
        <v>462</v>
      </c>
      <c r="G4" s="107">
        <v>7001075118</v>
      </c>
      <c r="H4" s="107">
        <v>7001075118</v>
      </c>
      <c r="I4"/>
    </row>
    <row r="5" spans="1:9" s="83" customFormat="1">
      <c r="A5" s="104">
        <v>7001065119</v>
      </c>
      <c r="B5" t="s">
        <v>40</v>
      </c>
      <c r="C5" t="s">
        <v>32</v>
      </c>
      <c r="D5" t="s">
        <v>116</v>
      </c>
      <c r="E5" t="s">
        <v>14</v>
      </c>
      <c r="F5" s="107" t="s">
        <v>463</v>
      </c>
      <c r="G5" s="107">
        <v>7001065119</v>
      </c>
      <c r="H5" s="107">
        <v>7001065119</v>
      </c>
      <c r="I5"/>
    </row>
    <row r="6" spans="1:9" s="83" customFormat="1">
      <c r="A6" s="104">
        <v>5001016131</v>
      </c>
      <c r="B6" t="s">
        <v>400</v>
      </c>
      <c r="C6" t="s">
        <v>35</v>
      </c>
      <c r="D6" t="s">
        <v>101</v>
      </c>
      <c r="E6" t="s">
        <v>349</v>
      </c>
      <c r="F6" s="107" t="s">
        <v>464</v>
      </c>
      <c r="G6" s="107"/>
      <c r="H6" s="107"/>
      <c r="I6" t="s">
        <v>446</v>
      </c>
    </row>
    <row r="7" spans="1:9" s="83" customFormat="1">
      <c r="A7" s="104">
        <v>5001016134</v>
      </c>
      <c r="B7" t="s">
        <v>416</v>
      </c>
      <c r="C7" t="s">
        <v>35</v>
      </c>
      <c r="D7" t="s">
        <v>101</v>
      </c>
      <c r="E7" t="s">
        <v>349</v>
      </c>
      <c r="F7" s="107" t="s">
        <v>465</v>
      </c>
      <c r="G7" s="107">
        <v>5001016134</v>
      </c>
      <c r="H7" s="107">
        <v>5001016134</v>
      </c>
      <c r="I7" t="s">
        <v>447</v>
      </c>
    </row>
    <row r="8" spans="1:9" s="83" customFormat="1">
      <c r="A8" s="104">
        <v>5001016135</v>
      </c>
      <c r="B8" t="s">
        <v>152</v>
      </c>
      <c r="C8" t="s">
        <v>35</v>
      </c>
      <c r="D8" t="s">
        <v>101</v>
      </c>
      <c r="E8" t="s">
        <v>349</v>
      </c>
      <c r="F8" s="107" t="s">
        <v>466</v>
      </c>
      <c r="G8" s="107">
        <v>5001016135</v>
      </c>
      <c r="H8" s="107">
        <v>5001016135</v>
      </c>
      <c r="I8"/>
    </row>
    <row r="9" spans="1:9" s="83" customFormat="1">
      <c r="A9" s="104">
        <v>5001016136</v>
      </c>
      <c r="B9" t="s">
        <v>103</v>
      </c>
      <c r="C9" t="s">
        <v>35</v>
      </c>
      <c r="D9" t="s">
        <v>101</v>
      </c>
      <c r="E9" t="s">
        <v>349</v>
      </c>
      <c r="F9" s="107" t="s">
        <v>467</v>
      </c>
      <c r="G9" s="107">
        <v>5001016136</v>
      </c>
      <c r="H9" s="107">
        <v>5001016136</v>
      </c>
      <c r="I9"/>
    </row>
    <row r="10" spans="1:9" s="83" customFormat="1">
      <c r="A10" s="104">
        <v>5001016142</v>
      </c>
      <c r="B10" t="s">
        <v>163</v>
      </c>
      <c r="C10" t="s">
        <v>35</v>
      </c>
      <c r="D10" t="s">
        <v>120</v>
      </c>
      <c r="E10" t="s">
        <v>350</v>
      </c>
      <c r="F10" s="107" t="s">
        <v>468</v>
      </c>
      <c r="G10" s="107">
        <v>5001016142</v>
      </c>
      <c r="H10" s="107">
        <v>5001016142</v>
      </c>
      <c r="I10"/>
    </row>
    <row r="11" spans="1:9" s="83" customFormat="1">
      <c r="A11" s="104">
        <v>5001016149</v>
      </c>
      <c r="B11" t="s">
        <v>351</v>
      </c>
      <c r="C11" t="s">
        <v>35</v>
      </c>
      <c r="D11" t="s">
        <v>101</v>
      </c>
      <c r="E11" t="s">
        <v>349</v>
      </c>
      <c r="F11" s="107" t="s">
        <v>686</v>
      </c>
      <c r="G11" s="107">
        <v>5001016149</v>
      </c>
      <c r="H11" s="107">
        <v>5001016149</v>
      </c>
      <c r="I11" t="s">
        <v>352</v>
      </c>
    </row>
    <row r="12" spans="1:9" s="83" customFormat="1">
      <c r="A12" s="104">
        <v>5001016151</v>
      </c>
      <c r="B12" t="s">
        <v>162</v>
      </c>
      <c r="C12" t="s">
        <v>35</v>
      </c>
      <c r="D12" t="s">
        <v>101</v>
      </c>
      <c r="E12" t="s">
        <v>349</v>
      </c>
      <c r="F12" s="107" t="s">
        <v>469</v>
      </c>
      <c r="G12" s="107"/>
      <c r="H12" s="107"/>
      <c r="I12" t="s">
        <v>448</v>
      </c>
    </row>
    <row r="13" spans="1:9" s="83" customFormat="1">
      <c r="A13" s="104">
        <v>5004046221</v>
      </c>
      <c r="B13" t="s">
        <v>164</v>
      </c>
      <c r="C13" t="s">
        <v>149</v>
      </c>
      <c r="D13" t="s">
        <v>41</v>
      </c>
      <c r="E13" t="s">
        <v>149</v>
      </c>
      <c r="F13" s="107" t="s">
        <v>470</v>
      </c>
      <c r="G13" s="107"/>
      <c r="H13" s="107"/>
      <c r="I13"/>
    </row>
    <row r="14" spans="1:9" s="83" customFormat="1">
      <c r="A14" s="104">
        <v>5004046371</v>
      </c>
      <c r="B14" t="s">
        <v>165</v>
      </c>
      <c r="C14" t="s">
        <v>150</v>
      </c>
      <c r="D14" t="s">
        <v>41</v>
      </c>
      <c r="E14" t="s">
        <v>149</v>
      </c>
      <c r="F14" s="107" t="s">
        <v>471</v>
      </c>
      <c r="G14" s="107"/>
      <c r="H14" s="107"/>
      <c r="I14"/>
    </row>
    <row r="15" spans="1:9" s="83" customFormat="1">
      <c r="A15" s="104">
        <v>5005016371</v>
      </c>
      <c r="B15" t="s">
        <v>166</v>
      </c>
      <c r="C15" t="s">
        <v>151</v>
      </c>
      <c r="D15" t="s">
        <v>55</v>
      </c>
      <c r="E15" t="s">
        <v>353</v>
      </c>
      <c r="F15" s="107" t="s">
        <v>472</v>
      </c>
      <c r="G15" s="107"/>
      <c r="H15" s="107"/>
      <c r="I15"/>
    </row>
    <row r="16" spans="1:9" s="83" customFormat="1">
      <c r="A16" s="104">
        <v>5005016372</v>
      </c>
      <c r="B16" t="s">
        <v>167</v>
      </c>
      <c r="C16" t="s">
        <v>151</v>
      </c>
      <c r="D16" t="s">
        <v>55</v>
      </c>
      <c r="E16" t="s">
        <v>353</v>
      </c>
      <c r="F16" s="107" t="s">
        <v>473</v>
      </c>
      <c r="G16" s="107"/>
      <c r="H16" s="107"/>
      <c r="I16"/>
    </row>
    <row r="17" spans="1:9" s="83" customFormat="1">
      <c r="A17" s="104">
        <v>5005016373</v>
      </c>
      <c r="B17" t="s">
        <v>413</v>
      </c>
      <c r="C17" t="s">
        <v>151</v>
      </c>
      <c r="D17" t="s">
        <v>55</v>
      </c>
      <c r="E17" t="s">
        <v>353</v>
      </c>
      <c r="F17" s="107" t="s">
        <v>474</v>
      </c>
      <c r="G17" s="107"/>
      <c r="H17" s="107"/>
      <c r="I17" t="s">
        <v>448</v>
      </c>
    </row>
    <row r="18" spans="1:9" s="83" customFormat="1">
      <c r="A18" s="104">
        <v>5005026371</v>
      </c>
      <c r="B18" t="s">
        <v>168</v>
      </c>
      <c r="C18" t="s">
        <v>151</v>
      </c>
      <c r="D18" t="s">
        <v>104</v>
      </c>
      <c r="E18" t="s">
        <v>354</v>
      </c>
      <c r="F18" s="107" t="s">
        <v>475</v>
      </c>
      <c r="G18" s="107"/>
      <c r="H18" s="107"/>
      <c r="I18"/>
    </row>
    <row r="19" spans="1:9" s="83" customFormat="1">
      <c r="A19" s="104">
        <v>5005026372</v>
      </c>
      <c r="B19" t="s">
        <v>169</v>
      </c>
      <c r="C19" t="s">
        <v>151</v>
      </c>
      <c r="D19" t="s">
        <v>54</v>
      </c>
      <c r="E19" t="s">
        <v>355</v>
      </c>
      <c r="F19" s="107" t="s">
        <v>476</v>
      </c>
      <c r="G19" s="107"/>
      <c r="H19" s="107"/>
      <c r="I19"/>
    </row>
    <row r="20" spans="1:9" s="83" customFormat="1">
      <c r="A20" s="104">
        <v>5006016241</v>
      </c>
      <c r="B20" t="s">
        <v>170</v>
      </c>
      <c r="C20" t="s">
        <v>21</v>
      </c>
      <c r="D20" t="s">
        <v>45</v>
      </c>
      <c r="E20" t="s">
        <v>356</v>
      </c>
      <c r="F20" s="107" t="s">
        <v>477</v>
      </c>
      <c r="G20" s="107"/>
      <c r="H20" s="107"/>
      <c r="I20"/>
    </row>
    <row r="21" spans="1:9" s="83" customFormat="1">
      <c r="A21" s="104">
        <v>5006016242</v>
      </c>
      <c r="B21" t="s">
        <v>22</v>
      </c>
      <c r="C21" t="s">
        <v>21</v>
      </c>
      <c r="D21" t="s">
        <v>45</v>
      </c>
      <c r="E21" t="s">
        <v>356</v>
      </c>
      <c r="F21" s="107" t="s">
        <v>478</v>
      </c>
      <c r="G21" s="107"/>
      <c r="H21" s="107"/>
      <c r="I21"/>
    </row>
    <row r="22" spans="1:9" s="83" customFormat="1">
      <c r="A22" s="104">
        <v>5006016243</v>
      </c>
      <c r="B22" t="s">
        <v>23</v>
      </c>
      <c r="C22" t="s">
        <v>21</v>
      </c>
      <c r="D22" t="s">
        <v>45</v>
      </c>
      <c r="E22" t="s">
        <v>356</v>
      </c>
      <c r="F22" s="107" t="s">
        <v>479</v>
      </c>
      <c r="G22" s="107"/>
      <c r="H22" s="107"/>
      <c r="I22"/>
    </row>
    <row r="23" spans="1:9" s="83" customFormat="1">
      <c r="A23" s="104">
        <v>5006016244</v>
      </c>
      <c r="B23" t="s">
        <v>24</v>
      </c>
      <c r="C23" t="s">
        <v>21</v>
      </c>
      <c r="D23" t="s">
        <v>45</v>
      </c>
      <c r="E23" t="s">
        <v>356</v>
      </c>
      <c r="F23" s="107" t="s">
        <v>480</v>
      </c>
      <c r="G23" s="107"/>
      <c r="H23" s="107"/>
      <c r="I23"/>
    </row>
    <row r="24" spans="1:9" s="83" customFormat="1">
      <c r="A24" s="104">
        <v>5006016245</v>
      </c>
      <c r="B24" t="s">
        <v>25</v>
      </c>
      <c r="C24" t="s">
        <v>21</v>
      </c>
      <c r="D24" t="s">
        <v>45</v>
      </c>
      <c r="E24" t="s">
        <v>356</v>
      </c>
      <c r="F24" s="107" t="s">
        <v>481</v>
      </c>
      <c r="G24" s="107"/>
      <c r="H24" s="107"/>
      <c r="I24"/>
    </row>
    <row r="25" spans="1:9" s="83" customFormat="1">
      <c r="A25" s="104">
        <v>5005036246</v>
      </c>
      <c r="B25" t="s">
        <v>171</v>
      </c>
      <c r="C25" t="s">
        <v>21</v>
      </c>
      <c r="D25" t="s">
        <v>46</v>
      </c>
      <c r="E25" t="s">
        <v>357</v>
      </c>
      <c r="F25" s="107" t="s">
        <v>482</v>
      </c>
      <c r="G25" s="107"/>
      <c r="H25" s="107"/>
      <c r="I25"/>
    </row>
    <row r="26" spans="1:9" s="83" customFormat="1">
      <c r="A26" s="104">
        <v>5006016247</v>
      </c>
      <c r="B26" t="s">
        <v>172</v>
      </c>
      <c r="C26" t="s">
        <v>21</v>
      </c>
      <c r="D26" t="s">
        <v>45</v>
      </c>
      <c r="E26" t="s">
        <v>356</v>
      </c>
      <c r="F26" s="107" t="s">
        <v>483</v>
      </c>
      <c r="G26" s="107"/>
      <c r="H26" s="107"/>
      <c r="I26"/>
    </row>
    <row r="27" spans="1:9" s="83" customFormat="1">
      <c r="A27" s="104">
        <v>5006016248</v>
      </c>
      <c r="B27" t="s">
        <v>173</v>
      </c>
      <c r="C27" t="s">
        <v>21</v>
      </c>
      <c r="D27" t="s">
        <v>45</v>
      </c>
      <c r="E27" t="s">
        <v>356</v>
      </c>
      <c r="F27" s="107" t="s">
        <v>484</v>
      </c>
      <c r="G27" s="107"/>
      <c r="H27" s="107"/>
      <c r="I27"/>
    </row>
    <row r="28" spans="1:9" s="83" customFormat="1">
      <c r="A28" s="104">
        <v>5006016249</v>
      </c>
      <c r="B28" t="s">
        <v>26</v>
      </c>
      <c r="C28" t="s">
        <v>21</v>
      </c>
      <c r="D28" t="s">
        <v>45</v>
      </c>
      <c r="E28" t="s">
        <v>356</v>
      </c>
      <c r="F28" s="107" t="s">
        <v>485</v>
      </c>
      <c r="G28" s="107"/>
      <c r="H28" s="107"/>
      <c r="I28"/>
    </row>
    <row r="29" spans="1:9" s="83" customFormat="1">
      <c r="A29" s="104">
        <v>5006016250</v>
      </c>
      <c r="B29" t="s">
        <v>27</v>
      </c>
      <c r="C29" t="s">
        <v>21</v>
      </c>
      <c r="D29" t="s">
        <v>45</v>
      </c>
      <c r="E29" t="s">
        <v>356</v>
      </c>
      <c r="F29" s="107" t="s">
        <v>486</v>
      </c>
      <c r="G29" s="107"/>
      <c r="H29" s="107"/>
      <c r="I29"/>
    </row>
    <row r="30" spans="1:9" s="83" customFormat="1">
      <c r="A30" s="104">
        <v>5006016251</v>
      </c>
      <c r="B30" t="s">
        <v>28</v>
      </c>
      <c r="C30" t="s">
        <v>21</v>
      </c>
      <c r="D30" t="s">
        <v>45</v>
      </c>
      <c r="E30" t="s">
        <v>356</v>
      </c>
      <c r="F30" s="107" t="s">
        <v>487</v>
      </c>
      <c r="G30" s="107"/>
      <c r="H30" s="107"/>
      <c r="I30"/>
    </row>
    <row r="31" spans="1:9" s="83" customFormat="1">
      <c r="A31" s="104">
        <v>5006016252</v>
      </c>
      <c r="B31" t="s">
        <v>29</v>
      </c>
      <c r="C31" t="s">
        <v>21</v>
      </c>
      <c r="D31" t="s">
        <v>45</v>
      </c>
      <c r="E31" t="s">
        <v>356</v>
      </c>
      <c r="F31" s="107" t="s">
        <v>488</v>
      </c>
      <c r="G31" s="107"/>
      <c r="H31" s="107"/>
      <c r="I31"/>
    </row>
    <row r="32" spans="1:9" s="83" customFormat="1">
      <c r="A32" s="104">
        <v>5006016253</v>
      </c>
      <c r="B32" t="s">
        <v>174</v>
      </c>
      <c r="C32" t="s">
        <v>21</v>
      </c>
      <c r="D32" t="s">
        <v>45</v>
      </c>
      <c r="E32" t="s">
        <v>356</v>
      </c>
      <c r="F32" s="107" t="s">
        <v>489</v>
      </c>
      <c r="G32" s="107"/>
      <c r="H32" s="107"/>
      <c r="I32"/>
    </row>
    <row r="33" spans="1:9" s="83" customFormat="1">
      <c r="A33" s="104">
        <v>5006016254</v>
      </c>
      <c r="B33" t="s">
        <v>175</v>
      </c>
      <c r="C33" t="s">
        <v>21</v>
      </c>
      <c r="D33" t="s">
        <v>45</v>
      </c>
      <c r="E33" t="s">
        <v>356</v>
      </c>
      <c r="F33" s="107" t="s">
        <v>490</v>
      </c>
      <c r="G33" s="107"/>
      <c r="H33" s="107"/>
      <c r="I33"/>
    </row>
    <row r="34" spans="1:9" s="83" customFormat="1">
      <c r="A34" s="104">
        <v>5006016255</v>
      </c>
      <c r="B34" t="s">
        <v>176</v>
      </c>
      <c r="C34" t="s">
        <v>21</v>
      </c>
      <c r="D34" t="s">
        <v>45</v>
      </c>
      <c r="E34" t="s">
        <v>356</v>
      </c>
      <c r="F34" s="107" t="s">
        <v>491</v>
      </c>
      <c r="G34" s="107"/>
      <c r="H34" s="107"/>
      <c r="I34"/>
    </row>
    <row r="35" spans="1:9" s="83" customFormat="1">
      <c r="A35" s="104">
        <v>5006016256</v>
      </c>
      <c r="B35" t="s">
        <v>177</v>
      </c>
      <c r="C35" t="s">
        <v>21</v>
      </c>
      <c r="D35" t="s">
        <v>45</v>
      </c>
      <c r="E35" t="s">
        <v>356</v>
      </c>
      <c r="F35" s="107" t="s">
        <v>492</v>
      </c>
      <c r="G35" s="107"/>
      <c r="H35" s="107"/>
      <c r="I35"/>
    </row>
    <row r="36" spans="1:9" s="83" customFormat="1">
      <c r="A36" s="104">
        <v>5006016257</v>
      </c>
      <c r="B36" t="s">
        <v>30</v>
      </c>
      <c r="C36" t="s">
        <v>21</v>
      </c>
      <c r="D36" t="s">
        <v>45</v>
      </c>
      <c r="E36" t="s">
        <v>356</v>
      </c>
      <c r="F36" s="107" t="s">
        <v>493</v>
      </c>
      <c r="G36" s="107"/>
      <c r="H36" s="107"/>
      <c r="I36"/>
    </row>
    <row r="37" spans="1:9" s="83" customFormat="1">
      <c r="A37" s="104">
        <v>5006016258</v>
      </c>
      <c r="B37" t="s">
        <v>178</v>
      </c>
      <c r="C37" t="s">
        <v>21</v>
      </c>
      <c r="D37" t="s">
        <v>45</v>
      </c>
      <c r="E37" t="s">
        <v>356</v>
      </c>
      <c r="F37" s="107" t="s">
        <v>494</v>
      </c>
      <c r="G37" s="107"/>
      <c r="H37" s="107"/>
      <c r="I37"/>
    </row>
    <row r="38" spans="1:9" s="83" customFormat="1">
      <c r="A38" s="104">
        <v>5006016259</v>
      </c>
      <c r="B38" t="s">
        <v>179</v>
      </c>
      <c r="C38" t="s">
        <v>21</v>
      </c>
      <c r="D38" t="s">
        <v>45</v>
      </c>
      <c r="E38" t="s">
        <v>356</v>
      </c>
      <c r="F38" s="107" t="s">
        <v>495</v>
      </c>
      <c r="G38" s="107"/>
      <c r="H38" s="107"/>
      <c r="I38"/>
    </row>
    <row r="39" spans="1:9" s="83" customFormat="1">
      <c r="A39" s="104">
        <v>5006016260</v>
      </c>
      <c r="B39" t="s">
        <v>180</v>
      </c>
      <c r="C39" t="s">
        <v>21</v>
      </c>
      <c r="D39" t="s">
        <v>45</v>
      </c>
      <c r="E39" t="s">
        <v>356</v>
      </c>
      <c r="F39" s="107" t="s">
        <v>496</v>
      </c>
      <c r="G39" s="107"/>
      <c r="H39" s="107"/>
      <c r="I39"/>
    </row>
    <row r="40" spans="1:9" s="83" customFormat="1">
      <c r="A40" s="104">
        <v>5006016261</v>
      </c>
      <c r="B40" t="s">
        <v>181</v>
      </c>
      <c r="C40" t="s">
        <v>21</v>
      </c>
      <c r="D40" t="s">
        <v>45</v>
      </c>
      <c r="E40" t="s">
        <v>356</v>
      </c>
      <c r="F40" s="107" t="s">
        <v>497</v>
      </c>
      <c r="G40" s="107"/>
      <c r="H40" s="107"/>
      <c r="I40"/>
    </row>
    <row r="41" spans="1:9" s="83" customFormat="1">
      <c r="A41" s="104">
        <v>5004096281</v>
      </c>
      <c r="B41" t="s">
        <v>182</v>
      </c>
      <c r="C41" t="s">
        <v>31</v>
      </c>
      <c r="D41" t="s">
        <v>115</v>
      </c>
      <c r="E41" t="s">
        <v>358</v>
      </c>
      <c r="F41" s="107" t="s">
        <v>498</v>
      </c>
      <c r="G41" s="107"/>
      <c r="H41" s="107"/>
      <c r="I41"/>
    </row>
    <row r="42" spans="1:9" s="83" customFormat="1">
      <c r="A42" s="104">
        <v>5005046281</v>
      </c>
      <c r="B42" t="s">
        <v>183</v>
      </c>
      <c r="C42" t="s">
        <v>31</v>
      </c>
      <c r="D42" t="s">
        <v>59</v>
      </c>
      <c r="E42" t="s">
        <v>359</v>
      </c>
      <c r="F42" s="107" t="s">
        <v>499</v>
      </c>
      <c r="G42" s="107"/>
      <c r="H42" s="107"/>
      <c r="I42"/>
    </row>
    <row r="43" spans="1:9" s="83" customFormat="1">
      <c r="A43" s="104">
        <v>5005046282</v>
      </c>
      <c r="B43" t="s">
        <v>184</v>
      </c>
      <c r="C43" t="s">
        <v>31</v>
      </c>
      <c r="D43" t="s">
        <v>59</v>
      </c>
      <c r="E43" t="s">
        <v>359</v>
      </c>
      <c r="F43" s="107" t="s">
        <v>500</v>
      </c>
      <c r="G43" s="107"/>
      <c r="H43" s="107"/>
      <c r="I43"/>
    </row>
    <row r="44" spans="1:9" s="83" customFormat="1">
      <c r="A44" s="104">
        <v>5005046283</v>
      </c>
      <c r="B44" t="s">
        <v>185</v>
      </c>
      <c r="C44" t="s">
        <v>31</v>
      </c>
      <c r="D44" t="s">
        <v>59</v>
      </c>
      <c r="E44" t="s">
        <v>359</v>
      </c>
      <c r="F44" s="107" t="s">
        <v>501</v>
      </c>
      <c r="G44" s="107"/>
      <c r="H44" s="107"/>
      <c r="I44"/>
    </row>
    <row r="45" spans="1:9" s="83" customFormat="1">
      <c r="A45" s="104">
        <v>5005046284</v>
      </c>
      <c r="B45" t="s">
        <v>412</v>
      </c>
      <c r="C45" t="s">
        <v>31</v>
      </c>
      <c r="D45" t="s">
        <v>59</v>
      </c>
      <c r="E45" t="s">
        <v>359</v>
      </c>
      <c r="F45" s="107" t="s">
        <v>502</v>
      </c>
      <c r="G45" s="107"/>
      <c r="H45" s="107"/>
      <c r="I45" t="s">
        <v>448</v>
      </c>
    </row>
    <row r="46" spans="1:9" s="83" customFormat="1">
      <c r="A46" s="104">
        <v>5005066281</v>
      </c>
      <c r="B46" t="s">
        <v>186</v>
      </c>
      <c r="C46" t="s">
        <v>31</v>
      </c>
      <c r="D46" t="s">
        <v>97</v>
      </c>
      <c r="E46" t="s">
        <v>360</v>
      </c>
      <c r="F46" s="107" t="s">
        <v>503</v>
      </c>
      <c r="G46" s="107"/>
      <c r="H46" s="107"/>
      <c r="I46"/>
    </row>
    <row r="47" spans="1:9" s="83" customFormat="1">
      <c r="A47" s="104">
        <v>5005066282</v>
      </c>
      <c r="B47" t="s">
        <v>187</v>
      </c>
      <c r="C47" t="s">
        <v>31</v>
      </c>
      <c r="D47" t="s">
        <v>97</v>
      </c>
      <c r="E47" t="s">
        <v>360</v>
      </c>
      <c r="F47" s="107" t="s">
        <v>504</v>
      </c>
      <c r="G47" s="107"/>
      <c r="H47" s="107"/>
      <c r="I47"/>
    </row>
    <row r="48" spans="1:9" s="83" customFormat="1">
      <c r="A48" s="104">
        <v>5005056281</v>
      </c>
      <c r="B48" t="s">
        <v>188</v>
      </c>
      <c r="C48" t="s">
        <v>31</v>
      </c>
      <c r="D48" t="s">
        <v>97</v>
      </c>
      <c r="E48" t="s">
        <v>360</v>
      </c>
      <c r="F48" s="107" t="s">
        <v>505</v>
      </c>
      <c r="G48" s="107"/>
      <c r="H48" s="107"/>
      <c r="I48"/>
    </row>
    <row r="49" spans="1:9" s="83" customFormat="1">
      <c r="A49" s="104">
        <v>5005076281</v>
      </c>
      <c r="B49" t="s">
        <v>189</v>
      </c>
      <c r="C49" t="s">
        <v>31</v>
      </c>
      <c r="D49" t="s">
        <v>61</v>
      </c>
      <c r="E49" t="s">
        <v>361</v>
      </c>
      <c r="F49" s="107" t="s">
        <v>506</v>
      </c>
      <c r="G49" s="107"/>
      <c r="H49" s="107"/>
      <c r="I49"/>
    </row>
    <row r="50" spans="1:9" s="83" customFormat="1">
      <c r="A50" s="104">
        <v>5005076282</v>
      </c>
      <c r="B50" t="s">
        <v>190</v>
      </c>
      <c r="C50" t="s">
        <v>31</v>
      </c>
      <c r="D50" t="s">
        <v>61</v>
      </c>
      <c r="E50" t="s">
        <v>361</v>
      </c>
      <c r="F50" s="107" t="s">
        <v>507</v>
      </c>
      <c r="G50" s="107"/>
      <c r="H50" s="107"/>
      <c r="I50"/>
    </row>
    <row r="51" spans="1:9" s="83" customFormat="1">
      <c r="A51" s="104">
        <v>5005076283</v>
      </c>
      <c r="B51" t="s">
        <v>191</v>
      </c>
      <c r="C51" t="s">
        <v>31</v>
      </c>
      <c r="D51" t="s">
        <v>61</v>
      </c>
      <c r="E51" t="s">
        <v>361</v>
      </c>
      <c r="F51" s="107" t="s">
        <v>508</v>
      </c>
      <c r="G51" s="107"/>
      <c r="H51" s="107"/>
      <c r="I51"/>
    </row>
    <row r="52" spans="1:9" s="83" customFormat="1">
      <c r="A52" s="104">
        <v>5005076284</v>
      </c>
      <c r="B52" t="s">
        <v>192</v>
      </c>
      <c r="C52" t="s">
        <v>31</v>
      </c>
      <c r="D52" t="s">
        <v>61</v>
      </c>
      <c r="E52" t="s">
        <v>361</v>
      </c>
      <c r="F52" s="107" t="s">
        <v>509</v>
      </c>
      <c r="G52" s="107"/>
      <c r="H52" s="107"/>
      <c r="I52"/>
    </row>
    <row r="53" spans="1:9" s="83" customFormat="1">
      <c r="A53" s="104">
        <v>5005076285</v>
      </c>
      <c r="B53" s="267" t="s">
        <v>591</v>
      </c>
      <c r="C53" t="s">
        <v>31</v>
      </c>
      <c r="D53" t="s">
        <v>61</v>
      </c>
      <c r="E53" t="s">
        <v>361</v>
      </c>
      <c r="F53" s="107" t="s">
        <v>510</v>
      </c>
      <c r="G53" s="107"/>
      <c r="H53" s="107"/>
      <c r="I53"/>
    </row>
    <row r="54" spans="1:9" s="83" customFormat="1">
      <c r="A54" s="104">
        <v>5005076286</v>
      </c>
      <c r="B54" s="267" t="s">
        <v>592</v>
      </c>
      <c r="C54" t="s">
        <v>31</v>
      </c>
      <c r="D54" t="s">
        <v>61</v>
      </c>
      <c r="E54" t="s">
        <v>361</v>
      </c>
      <c r="F54" s="107" t="s">
        <v>511</v>
      </c>
      <c r="G54" s="107"/>
      <c r="H54" s="107"/>
      <c r="I54"/>
    </row>
    <row r="55" spans="1:9" s="83" customFormat="1">
      <c r="A55" s="104">
        <v>5005076287</v>
      </c>
      <c r="B55" s="267" t="s">
        <v>677</v>
      </c>
      <c r="C55" t="s">
        <v>31</v>
      </c>
      <c r="D55" t="s">
        <v>61</v>
      </c>
      <c r="E55" t="s">
        <v>361</v>
      </c>
      <c r="F55" s="107" t="s">
        <v>512</v>
      </c>
      <c r="G55" s="107"/>
      <c r="H55" s="107"/>
      <c r="I55"/>
    </row>
    <row r="56" spans="1:9" s="83" customFormat="1">
      <c r="A56" s="104">
        <v>5005076288</v>
      </c>
      <c r="B56" t="s">
        <v>193</v>
      </c>
      <c r="C56" t="s">
        <v>31</v>
      </c>
      <c r="D56" t="s">
        <v>60</v>
      </c>
      <c r="E56" t="s">
        <v>362</v>
      </c>
      <c r="F56" s="107" t="s">
        <v>513</v>
      </c>
      <c r="G56" s="107"/>
      <c r="H56" s="107"/>
      <c r="I56"/>
    </row>
    <row r="57" spans="1:9" s="83" customFormat="1">
      <c r="A57" s="104">
        <v>5005076289</v>
      </c>
      <c r="B57" t="s">
        <v>194</v>
      </c>
      <c r="C57" t="s">
        <v>31</v>
      </c>
      <c r="D57" t="s">
        <v>61</v>
      </c>
      <c r="E57" t="s">
        <v>361</v>
      </c>
      <c r="F57" s="107" t="s">
        <v>514</v>
      </c>
      <c r="G57" s="107"/>
      <c r="H57" s="107"/>
      <c r="I57"/>
    </row>
    <row r="58" spans="1:9" s="83" customFormat="1">
      <c r="A58" s="104">
        <v>5005076291</v>
      </c>
      <c r="B58" t="s">
        <v>409</v>
      </c>
      <c r="C58" t="s">
        <v>31</v>
      </c>
      <c r="D58" t="s">
        <v>61</v>
      </c>
      <c r="E58" t="s">
        <v>361</v>
      </c>
      <c r="F58" s="107" t="s">
        <v>515</v>
      </c>
      <c r="G58" s="107"/>
      <c r="H58" s="107"/>
      <c r="I58" t="s">
        <v>448</v>
      </c>
    </row>
    <row r="59" spans="1:9" s="83" customFormat="1">
      <c r="A59" s="104">
        <v>5005076292</v>
      </c>
      <c r="B59" t="s">
        <v>410</v>
      </c>
      <c r="C59" t="s">
        <v>31</v>
      </c>
      <c r="D59" t="s">
        <v>61</v>
      </c>
      <c r="E59" t="s">
        <v>361</v>
      </c>
      <c r="F59" s="107" t="s">
        <v>516</v>
      </c>
      <c r="G59" s="107"/>
      <c r="H59" s="107"/>
      <c r="I59" t="s">
        <v>448</v>
      </c>
    </row>
    <row r="60" spans="1:9" s="83" customFormat="1">
      <c r="A60" s="104">
        <v>5005076293</v>
      </c>
      <c r="B60" t="s">
        <v>411</v>
      </c>
      <c r="C60" t="s">
        <v>31</v>
      </c>
      <c r="D60" t="s">
        <v>61</v>
      </c>
      <c r="E60" t="s">
        <v>361</v>
      </c>
      <c r="F60" s="107" t="s">
        <v>517</v>
      </c>
      <c r="G60" s="107"/>
      <c r="H60" s="107"/>
      <c r="I60" t="s">
        <v>448</v>
      </c>
    </row>
    <row r="61" spans="1:9" s="83" customFormat="1">
      <c r="A61" s="104">
        <v>5005076294</v>
      </c>
      <c r="B61" t="s">
        <v>414</v>
      </c>
      <c r="C61" t="s">
        <v>31</v>
      </c>
      <c r="D61" t="s">
        <v>61</v>
      </c>
      <c r="E61" t="s">
        <v>361</v>
      </c>
      <c r="F61" s="107" t="s">
        <v>518</v>
      </c>
      <c r="G61" s="107"/>
      <c r="H61" s="107"/>
      <c r="I61" t="s">
        <v>448</v>
      </c>
    </row>
    <row r="62" spans="1:9" s="83" customFormat="1">
      <c r="A62" s="104">
        <v>5005086281</v>
      </c>
      <c r="B62" t="s">
        <v>195</v>
      </c>
      <c r="C62" t="s">
        <v>31</v>
      </c>
      <c r="D62" t="s">
        <v>44</v>
      </c>
      <c r="E62" t="s">
        <v>363</v>
      </c>
      <c r="F62" s="107" t="s">
        <v>519</v>
      </c>
      <c r="G62" s="107"/>
      <c r="H62" s="107"/>
      <c r="I62"/>
    </row>
    <row r="63" spans="1:9" s="83" customFormat="1">
      <c r="A63" s="104">
        <v>5005136281</v>
      </c>
      <c r="B63" t="s">
        <v>196</v>
      </c>
      <c r="C63" t="s">
        <v>31</v>
      </c>
      <c r="D63" t="s">
        <v>58</v>
      </c>
      <c r="E63" t="s">
        <v>364</v>
      </c>
      <c r="F63" s="107" t="s">
        <v>520</v>
      </c>
      <c r="G63" s="107"/>
      <c r="H63" s="107"/>
      <c r="I63"/>
    </row>
    <row r="64" spans="1:9" s="83" customFormat="1">
      <c r="A64" s="104">
        <v>5005246281</v>
      </c>
      <c r="B64" t="s">
        <v>197</v>
      </c>
      <c r="C64" t="s">
        <v>31</v>
      </c>
      <c r="D64" t="s">
        <v>98</v>
      </c>
      <c r="E64" t="s">
        <v>365</v>
      </c>
      <c r="F64" s="107" t="s">
        <v>521</v>
      </c>
      <c r="G64" s="107"/>
      <c r="H64" s="107"/>
      <c r="I64"/>
    </row>
    <row r="65" spans="1:9" s="83" customFormat="1">
      <c r="A65" s="104">
        <v>5005246282</v>
      </c>
      <c r="B65" t="s">
        <v>198</v>
      </c>
      <c r="C65" t="s">
        <v>31</v>
      </c>
      <c r="D65" t="s">
        <v>98</v>
      </c>
      <c r="E65" t="s">
        <v>365</v>
      </c>
      <c r="F65" s="107" t="s">
        <v>522</v>
      </c>
      <c r="G65" s="107"/>
      <c r="H65" s="107"/>
      <c r="I65"/>
    </row>
    <row r="66" spans="1:9" s="83" customFormat="1">
      <c r="A66" s="104">
        <v>5005246283</v>
      </c>
      <c r="B66" t="s">
        <v>199</v>
      </c>
      <c r="C66" t="s">
        <v>31</v>
      </c>
      <c r="D66" t="s">
        <v>98</v>
      </c>
      <c r="E66" t="s">
        <v>365</v>
      </c>
      <c r="F66" s="107" t="s">
        <v>523</v>
      </c>
      <c r="G66" s="107"/>
      <c r="H66" s="107"/>
      <c r="I66"/>
    </row>
    <row r="67" spans="1:9" s="83" customFormat="1">
      <c r="A67" s="104">
        <v>5005246284</v>
      </c>
      <c r="B67" t="s">
        <v>200</v>
      </c>
      <c r="C67" t="s">
        <v>31</v>
      </c>
      <c r="D67" t="s">
        <v>99</v>
      </c>
      <c r="E67" t="s">
        <v>366</v>
      </c>
      <c r="F67" s="107" t="s">
        <v>524</v>
      </c>
      <c r="G67" s="107"/>
      <c r="H67" s="107"/>
      <c r="I67"/>
    </row>
    <row r="68" spans="1:9" s="83" customFormat="1">
      <c r="A68" s="104">
        <v>5005216281</v>
      </c>
      <c r="B68" t="s">
        <v>201</v>
      </c>
      <c r="C68" t="s">
        <v>31</v>
      </c>
      <c r="D68" t="s">
        <v>51</v>
      </c>
      <c r="E68" t="s">
        <v>367</v>
      </c>
      <c r="F68" s="107" t="s">
        <v>525</v>
      </c>
      <c r="G68" s="107"/>
      <c r="H68" s="107"/>
      <c r="I68"/>
    </row>
    <row r="69" spans="1:9" s="83" customFormat="1">
      <c r="A69" s="104">
        <v>5005226281</v>
      </c>
      <c r="B69" t="s">
        <v>202</v>
      </c>
      <c r="C69" t="s">
        <v>31</v>
      </c>
      <c r="D69" t="s">
        <v>49</v>
      </c>
      <c r="E69" t="s">
        <v>368</v>
      </c>
      <c r="F69" s="107" t="s">
        <v>526</v>
      </c>
      <c r="G69" s="107"/>
      <c r="H69" s="107"/>
      <c r="I69"/>
    </row>
    <row r="70" spans="1:9" s="83" customFormat="1">
      <c r="A70" s="104">
        <v>5005236281</v>
      </c>
      <c r="B70" t="s">
        <v>203</v>
      </c>
      <c r="C70" t="s">
        <v>31</v>
      </c>
      <c r="D70" t="s">
        <v>47</v>
      </c>
      <c r="E70" t="s">
        <v>369</v>
      </c>
      <c r="F70" s="107" t="s">
        <v>527</v>
      </c>
      <c r="G70" s="107"/>
      <c r="H70" s="107"/>
      <c r="I70"/>
    </row>
    <row r="71" spans="1:9" s="83" customFormat="1">
      <c r="A71" s="104">
        <v>5005236282</v>
      </c>
      <c r="B71" t="s">
        <v>204</v>
      </c>
      <c r="C71" t="s">
        <v>31</v>
      </c>
      <c r="D71" t="s">
        <v>47</v>
      </c>
      <c r="E71" t="s">
        <v>369</v>
      </c>
      <c r="F71" s="107" t="s">
        <v>528</v>
      </c>
      <c r="G71" s="107"/>
      <c r="H71" s="107"/>
      <c r="I71"/>
    </row>
    <row r="72" spans="1:9" s="83" customFormat="1">
      <c r="A72" s="104">
        <v>5005246285</v>
      </c>
      <c r="B72" t="s">
        <v>205</v>
      </c>
      <c r="C72" t="s">
        <v>31</v>
      </c>
      <c r="D72" t="s">
        <v>50</v>
      </c>
      <c r="E72" t="s">
        <v>370</v>
      </c>
      <c r="F72" s="107" t="s">
        <v>529</v>
      </c>
      <c r="G72" s="107"/>
      <c r="H72" s="107"/>
      <c r="I72"/>
    </row>
    <row r="73" spans="1:9" s="83" customFormat="1">
      <c r="A73" s="104">
        <v>5005246286</v>
      </c>
      <c r="B73" t="s">
        <v>206</v>
      </c>
      <c r="C73" t="s">
        <v>31</v>
      </c>
      <c r="D73" t="s">
        <v>50</v>
      </c>
      <c r="E73" t="s">
        <v>370</v>
      </c>
      <c r="F73" s="107" t="s">
        <v>530</v>
      </c>
      <c r="G73" s="107"/>
      <c r="H73" s="107"/>
      <c r="I73"/>
    </row>
    <row r="74" spans="1:9" s="83" customFormat="1">
      <c r="A74" s="104">
        <v>5005246287</v>
      </c>
      <c r="B74" t="s">
        <v>207</v>
      </c>
      <c r="C74" t="s">
        <v>31</v>
      </c>
      <c r="D74" t="s">
        <v>50</v>
      </c>
      <c r="E74" t="s">
        <v>370</v>
      </c>
      <c r="F74" s="107" t="s">
        <v>531</v>
      </c>
      <c r="G74" s="107"/>
      <c r="H74" s="107"/>
      <c r="I74"/>
    </row>
    <row r="75" spans="1:9" s="83" customFormat="1">
      <c r="A75" s="104">
        <v>5005246288</v>
      </c>
      <c r="B75" t="s">
        <v>208</v>
      </c>
      <c r="C75" t="s">
        <v>31</v>
      </c>
      <c r="D75" t="s">
        <v>98</v>
      </c>
      <c r="E75" t="s">
        <v>365</v>
      </c>
      <c r="F75" s="107" t="s">
        <v>532</v>
      </c>
      <c r="G75" s="107"/>
      <c r="H75" s="107"/>
      <c r="I75"/>
    </row>
    <row r="76" spans="1:9" s="83" customFormat="1">
      <c r="A76" s="104">
        <v>5004086291</v>
      </c>
      <c r="B76" t="s">
        <v>209</v>
      </c>
      <c r="C76" t="s">
        <v>36</v>
      </c>
      <c r="D76" t="s">
        <v>42</v>
      </c>
      <c r="E76" t="s">
        <v>371</v>
      </c>
      <c r="F76" s="107" t="s">
        <v>533</v>
      </c>
      <c r="G76" s="107"/>
      <c r="H76" s="107"/>
      <c r="I76"/>
    </row>
    <row r="77" spans="1:9" s="83" customFormat="1">
      <c r="A77" s="104">
        <v>5004086293</v>
      </c>
      <c r="B77" t="s">
        <v>210</v>
      </c>
      <c r="C77" t="s">
        <v>36</v>
      </c>
      <c r="D77" t="s">
        <v>115</v>
      </c>
      <c r="E77" t="s">
        <v>358</v>
      </c>
      <c r="F77" s="107" t="s">
        <v>534</v>
      </c>
      <c r="G77" s="107"/>
      <c r="H77" s="107"/>
      <c r="I77"/>
    </row>
    <row r="78" spans="1:9" s="83" customFormat="1">
      <c r="A78" s="104">
        <v>5005116291</v>
      </c>
      <c r="B78" t="s">
        <v>211</v>
      </c>
      <c r="C78" t="s">
        <v>36</v>
      </c>
      <c r="D78" t="s">
        <v>56</v>
      </c>
      <c r="E78" t="s">
        <v>372</v>
      </c>
      <c r="F78" s="107" t="s">
        <v>535</v>
      </c>
      <c r="G78" s="107"/>
      <c r="H78" s="107"/>
      <c r="I78"/>
    </row>
    <row r="79" spans="1:9" s="83" customFormat="1">
      <c r="A79" s="104">
        <v>5005116292</v>
      </c>
      <c r="B79" t="s">
        <v>212</v>
      </c>
      <c r="C79" t="s">
        <v>36</v>
      </c>
      <c r="D79" t="s">
        <v>57</v>
      </c>
      <c r="E79" t="s">
        <v>373</v>
      </c>
      <c r="F79" s="107" t="s">
        <v>536</v>
      </c>
      <c r="G79" s="107"/>
      <c r="H79" s="107"/>
      <c r="I79"/>
    </row>
    <row r="80" spans="1:9" s="83" customFormat="1">
      <c r="A80" s="104">
        <v>5005136291</v>
      </c>
      <c r="B80" t="s">
        <v>213</v>
      </c>
      <c r="C80" t="s">
        <v>36</v>
      </c>
      <c r="D80" t="s">
        <v>58</v>
      </c>
      <c r="E80" t="s">
        <v>364</v>
      </c>
      <c r="F80" s="107" t="s">
        <v>537</v>
      </c>
      <c r="G80" s="107"/>
      <c r="H80" s="107"/>
      <c r="I80"/>
    </row>
    <row r="81" spans="1:9" s="83" customFormat="1">
      <c r="A81" s="104">
        <v>5005166291</v>
      </c>
      <c r="B81" t="s">
        <v>214</v>
      </c>
      <c r="C81" t="s">
        <v>36</v>
      </c>
      <c r="D81" t="s">
        <v>53</v>
      </c>
      <c r="E81" t="s">
        <v>374</v>
      </c>
      <c r="F81" s="107" t="s">
        <v>687</v>
      </c>
      <c r="G81" s="107"/>
      <c r="H81" s="107"/>
      <c r="I81"/>
    </row>
    <row r="82" spans="1:9" s="83" customFormat="1">
      <c r="A82" s="104">
        <v>5005186292</v>
      </c>
      <c r="B82" t="s">
        <v>215</v>
      </c>
      <c r="C82" t="s">
        <v>36</v>
      </c>
      <c r="D82" t="s">
        <v>48</v>
      </c>
      <c r="E82" t="s">
        <v>375</v>
      </c>
      <c r="F82" s="107" t="s">
        <v>538</v>
      </c>
      <c r="G82" s="107"/>
      <c r="H82" s="107"/>
      <c r="I82"/>
    </row>
    <row r="83" spans="1:9" s="83" customFormat="1">
      <c r="A83" s="104">
        <v>5005196373</v>
      </c>
      <c r="B83" t="s">
        <v>376</v>
      </c>
      <c r="C83" t="s">
        <v>151</v>
      </c>
      <c r="D83" t="s">
        <v>63</v>
      </c>
      <c r="E83" t="s">
        <v>377</v>
      </c>
      <c r="F83" s="107" t="s">
        <v>688</v>
      </c>
      <c r="G83" s="107">
        <v>5005196373</v>
      </c>
      <c r="H83" s="107">
        <v>5005196373</v>
      </c>
      <c r="I83" t="s">
        <v>352</v>
      </c>
    </row>
    <row r="84" spans="1:9" s="83" customFormat="1">
      <c r="A84" s="104">
        <v>5005196277</v>
      </c>
      <c r="B84" t="s">
        <v>378</v>
      </c>
      <c r="C84" t="s">
        <v>31</v>
      </c>
      <c r="D84" t="s">
        <v>63</v>
      </c>
      <c r="E84" t="s">
        <v>377</v>
      </c>
      <c r="F84" s="107" t="s">
        <v>689</v>
      </c>
      <c r="G84" s="107">
        <v>5005196277</v>
      </c>
      <c r="H84" s="107">
        <v>5005196277</v>
      </c>
      <c r="I84" t="s">
        <v>352</v>
      </c>
    </row>
    <row r="85" spans="1:9" s="83" customFormat="1">
      <c r="A85" s="104">
        <v>5005246291</v>
      </c>
      <c r="B85" t="s">
        <v>216</v>
      </c>
      <c r="C85" t="s">
        <v>36</v>
      </c>
      <c r="D85" t="s">
        <v>99</v>
      </c>
      <c r="E85" t="s">
        <v>366</v>
      </c>
      <c r="F85" s="107" t="s">
        <v>539</v>
      </c>
      <c r="G85" s="107"/>
      <c r="H85" s="107"/>
      <c r="I85"/>
    </row>
    <row r="86" spans="1:9" s="83" customFormat="1">
      <c r="A86" s="104">
        <v>5005246292</v>
      </c>
      <c r="B86" t="s">
        <v>217</v>
      </c>
      <c r="C86" t="s">
        <v>36</v>
      </c>
      <c r="D86" t="s">
        <v>64</v>
      </c>
      <c r="E86" t="s">
        <v>379</v>
      </c>
      <c r="F86" s="107" t="s">
        <v>540</v>
      </c>
      <c r="G86" s="107"/>
      <c r="H86" s="107"/>
      <c r="I86"/>
    </row>
    <row r="87" spans="1:9" s="83" customFormat="1">
      <c r="A87" s="104">
        <v>5005246294</v>
      </c>
      <c r="B87" t="s">
        <v>399</v>
      </c>
      <c r="C87" t="s">
        <v>36</v>
      </c>
      <c r="D87" t="s">
        <v>64</v>
      </c>
      <c r="E87" t="s">
        <v>379</v>
      </c>
      <c r="F87" s="107" t="s">
        <v>690</v>
      </c>
      <c r="G87" s="107"/>
      <c r="H87" s="107"/>
      <c r="I87" t="s">
        <v>449</v>
      </c>
    </row>
    <row r="88" spans="1:9" s="83" customFormat="1">
      <c r="A88" s="104">
        <v>5005256291</v>
      </c>
      <c r="B88" t="s">
        <v>218</v>
      </c>
      <c r="C88" t="s">
        <v>36</v>
      </c>
      <c r="D88" t="s">
        <v>62</v>
      </c>
      <c r="E88" t="s">
        <v>380</v>
      </c>
      <c r="F88" s="107" t="s">
        <v>541</v>
      </c>
      <c r="G88" s="107"/>
      <c r="H88" s="107"/>
      <c r="I88"/>
    </row>
    <row r="89" spans="1:9" s="83" customFormat="1">
      <c r="A89" s="104">
        <v>5101016174</v>
      </c>
      <c r="B89" t="s">
        <v>219</v>
      </c>
      <c r="C89" t="s">
        <v>132</v>
      </c>
      <c r="D89" t="s">
        <v>102</v>
      </c>
      <c r="E89" t="s">
        <v>12</v>
      </c>
      <c r="F89" s="107" t="s">
        <v>542</v>
      </c>
      <c r="G89" s="107"/>
      <c r="H89" s="107"/>
      <c r="I89"/>
    </row>
    <row r="90" spans="1:9" s="83" customFormat="1">
      <c r="A90" s="104">
        <v>5101016179</v>
      </c>
      <c r="B90" t="s">
        <v>220</v>
      </c>
      <c r="C90" t="s">
        <v>132</v>
      </c>
      <c r="D90" t="s">
        <v>43</v>
      </c>
      <c r="E90" t="s">
        <v>381</v>
      </c>
      <c r="F90" s="107" t="s">
        <v>543</v>
      </c>
      <c r="G90" s="107"/>
      <c r="H90" s="107"/>
      <c r="I90"/>
    </row>
    <row r="91" spans="1:9" s="83" customFormat="1">
      <c r="A91" s="104">
        <v>5101016187</v>
      </c>
      <c r="B91" t="s">
        <v>221</v>
      </c>
      <c r="C91" t="s">
        <v>132</v>
      </c>
      <c r="D91" t="s">
        <v>117</v>
      </c>
      <c r="E91" t="s">
        <v>382</v>
      </c>
      <c r="F91" s="107" t="s">
        <v>544</v>
      </c>
      <c r="G91" s="107"/>
      <c r="H91" s="107"/>
      <c r="I91"/>
    </row>
    <row r="92" spans="1:9" s="83" customFormat="1">
      <c r="A92" s="104">
        <v>5101016189</v>
      </c>
      <c r="B92" t="s">
        <v>383</v>
      </c>
      <c r="C92" t="s">
        <v>34</v>
      </c>
      <c r="D92" t="s">
        <v>116</v>
      </c>
      <c r="E92" t="s">
        <v>14</v>
      </c>
      <c r="F92" s="107" t="s">
        <v>691</v>
      </c>
      <c r="G92" s="107"/>
      <c r="H92" s="107"/>
      <c r="I92" t="s">
        <v>352</v>
      </c>
    </row>
    <row r="93" spans="1:9" s="83" customFormat="1">
      <c r="A93" s="104">
        <v>6004046511</v>
      </c>
      <c r="B93" t="s">
        <v>222</v>
      </c>
      <c r="C93" t="s">
        <v>128</v>
      </c>
      <c r="D93" t="s">
        <v>41</v>
      </c>
      <c r="E93" t="s">
        <v>149</v>
      </c>
      <c r="F93" s="107"/>
      <c r="G93" s="107"/>
      <c r="H93" s="107">
        <v>6004046511</v>
      </c>
      <c r="I93"/>
    </row>
    <row r="94" spans="1:9" s="83" customFormat="1">
      <c r="A94" s="104">
        <v>6003036412</v>
      </c>
      <c r="B94" t="s">
        <v>223</v>
      </c>
      <c r="C94" t="s">
        <v>129</v>
      </c>
      <c r="D94" t="s">
        <v>60</v>
      </c>
      <c r="E94" t="s">
        <v>362</v>
      </c>
      <c r="F94" s="107"/>
      <c r="G94" s="107"/>
      <c r="H94" s="107">
        <v>6003036412</v>
      </c>
      <c r="I94"/>
    </row>
    <row r="95" spans="1:9" s="83" customFormat="1">
      <c r="A95" s="104">
        <v>6005016413</v>
      </c>
      <c r="B95" t="s">
        <v>224</v>
      </c>
      <c r="C95" t="s">
        <v>130</v>
      </c>
      <c r="D95" t="s">
        <v>55</v>
      </c>
      <c r="E95" t="s">
        <v>353</v>
      </c>
      <c r="F95" s="107"/>
      <c r="G95" s="107"/>
      <c r="H95" s="107">
        <v>6005016413</v>
      </c>
      <c r="I95"/>
    </row>
    <row r="96" spans="1:9" s="83" customFormat="1">
      <c r="A96" s="104">
        <v>6005016414</v>
      </c>
      <c r="B96" t="s">
        <v>403</v>
      </c>
      <c r="C96" t="s">
        <v>130</v>
      </c>
      <c r="D96" t="s">
        <v>104</v>
      </c>
      <c r="E96" t="s">
        <v>354</v>
      </c>
      <c r="F96" s="107"/>
      <c r="G96" s="107">
        <v>6005016414</v>
      </c>
      <c r="H96" s="107">
        <v>6005016414</v>
      </c>
      <c r="I96" t="s">
        <v>448</v>
      </c>
    </row>
    <row r="97" spans="1:9" s="83" customFormat="1">
      <c r="A97" s="104">
        <v>6006016521</v>
      </c>
      <c r="B97" t="s">
        <v>225</v>
      </c>
      <c r="C97" t="s">
        <v>21</v>
      </c>
      <c r="D97" t="s">
        <v>45</v>
      </c>
      <c r="E97" t="s">
        <v>356</v>
      </c>
      <c r="F97" s="107"/>
      <c r="G97" s="107"/>
      <c r="H97" s="107">
        <v>6006016521</v>
      </c>
      <c r="I97"/>
    </row>
    <row r="98" spans="1:9" s="83" customFormat="1">
      <c r="A98" s="104">
        <v>6006016522</v>
      </c>
      <c r="B98" t="s">
        <v>133</v>
      </c>
      <c r="C98" t="s">
        <v>21</v>
      </c>
      <c r="D98" t="s">
        <v>45</v>
      </c>
      <c r="E98" t="s">
        <v>356</v>
      </c>
      <c r="F98" s="107"/>
      <c r="G98" s="107"/>
      <c r="H98" s="107">
        <v>6006016522</v>
      </c>
      <c r="I98"/>
    </row>
    <row r="99" spans="1:9" s="83" customFormat="1">
      <c r="A99" s="104">
        <v>6006016523</v>
      </c>
      <c r="B99" t="s">
        <v>134</v>
      </c>
      <c r="C99" t="s">
        <v>21</v>
      </c>
      <c r="D99" t="s">
        <v>45</v>
      </c>
      <c r="E99" t="s">
        <v>356</v>
      </c>
      <c r="F99" s="107"/>
      <c r="G99" s="107"/>
      <c r="H99" s="107">
        <v>6006016523</v>
      </c>
      <c r="I99"/>
    </row>
    <row r="100" spans="1:9" s="83" customFormat="1">
      <c r="A100" s="104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7"/>
      <c r="G100" s="107"/>
      <c r="H100" s="107">
        <v>6006016524</v>
      </c>
      <c r="I100"/>
    </row>
    <row r="101" spans="1:9" s="83" customFormat="1">
      <c r="A101" s="104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7"/>
      <c r="G101" s="107"/>
      <c r="H101" s="107">
        <v>6006016525</v>
      </c>
      <c r="I101"/>
    </row>
    <row r="102" spans="1:9" s="83" customFormat="1">
      <c r="A102" s="104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7"/>
      <c r="G102" s="107"/>
      <c r="H102" s="107">
        <v>6006016526</v>
      </c>
      <c r="I102"/>
    </row>
    <row r="103" spans="1:9" s="83" customFormat="1">
      <c r="A103" s="104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7"/>
      <c r="G103" s="107"/>
      <c r="H103" s="107">
        <v>6006016527</v>
      </c>
      <c r="I103"/>
    </row>
    <row r="104" spans="1:9" s="83" customFormat="1">
      <c r="A104" s="104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7"/>
      <c r="G104" s="107"/>
      <c r="H104" s="107">
        <v>6006016528</v>
      </c>
      <c r="I104"/>
    </row>
    <row r="105" spans="1:9" s="83" customFormat="1">
      <c r="A105" s="104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7"/>
      <c r="G105" s="107"/>
      <c r="H105" s="107">
        <v>6006016529</v>
      </c>
      <c r="I105"/>
    </row>
    <row r="106" spans="1:9" s="83" customFormat="1">
      <c r="A106" s="104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7"/>
      <c r="G106" s="107"/>
      <c r="H106" s="107">
        <v>6006016530</v>
      </c>
      <c r="I106"/>
    </row>
    <row r="107" spans="1:9" s="83" customFormat="1">
      <c r="A107" s="104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7"/>
      <c r="G107" s="107"/>
      <c r="H107" s="107">
        <v>6006016531</v>
      </c>
      <c r="I107"/>
    </row>
    <row r="108" spans="1:9" s="83" customFormat="1">
      <c r="A108" s="104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7"/>
      <c r="G108" s="107"/>
      <c r="H108" s="107">
        <v>6006016532</v>
      </c>
      <c r="I108"/>
    </row>
    <row r="109" spans="1:9" s="83" customFormat="1">
      <c r="A109" s="104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7"/>
      <c r="G109" s="107"/>
      <c r="H109" s="107">
        <v>6006016533</v>
      </c>
      <c r="I109"/>
    </row>
    <row r="110" spans="1:9" s="83" customFormat="1">
      <c r="A110" s="104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7"/>
      <c r="G110" s="107"/>
      <c r="H110" s="107">
        <v>6006016534</v>
      </c>
      <c r="I110"/>
    </row>
    <row r="111" spans="1:9" s="83" customFormat="1">
      <c r="A111" s="104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7"/>
      <c r="G111" s="107"/>
      <c r="H111" s="107">
        <v>6006016535</v>
      </c>
      <c r="I111"/>
    </row>
    <row r="112" spans="1:9" s="83" customFormat="1">
      <c r="A112" s="104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7"/>
      <c r="G112" s="107"/>
      <c r="H112" s="107">
        <v>6006016536</v>
      </c>
      <c r="I112"/>
    </row>
    <row r="113" spans="1:9" s="83" customFormat="1">
      <c r="A113" s="104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7"/>
      <c r="G113" s="107"/>
      <c r="H113" s="107">
        <v>6006016537</v>
      </c>
      <c r="I113"/>
    </row>
    <row r="114" spans="1:9" s="83" customFormat="1">
      <c r="A114" s="104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7"/>
      <c r="G114" s="107"/>
      <c r="H114" s="107">
        <v>6006016538</v>
      </c>
      <c r="I114"/>
    </row>
    <row r="115" spans="1:9" s="83" customFormat="1">
      <c r="A115" s="104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7"/>
      <c r="G115" s="107"/>
      <c r="H115" s="107">
        <v>6006016539</v>
      </c>
      <c r="I115"/>
    </row>
    <row r="116" spans="1:9" s="83" customFormat="1">
      <c r="A116" s="104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7"/>
      <c r="G116" s="107"/>
      <c r="H116" s="107">
        <v>6006016540</v>
      </c>
      <c r="I116"/>
    </row>
    <row r="117" spans="1:9" s="83" customFormat="1">
      <c r="A117" s="104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7"/>
      <c r="G117" s="107"/>
      <c r="H117" s="107">
        <v>6005046541</v>
      </c>
      <c r="I117"/>
    </row>
    <row r="118" spans="1:9" s="83" customFormat="1">
      <c r="A118" s="104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7"/>
      <c r="G118" s="107"/>
      <c r="H118" s="107">
        <v>6005046542</v>
      </c>
      <c r="I118"/>
    </row>
    <row r="119" spans="1:9" s="83" customFormat="1">
      <c r="A119" s="104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7"/>
      <c r="G119" s="107"/>
      <c r="H119" s="107">
        <v>6003016541</v>
      </c>
      <c r="I119"/>
    </row>
    <row r="120" spans="1:9" s="83" customFormat="1">
      <c r="A120" s="104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7"/>
      <c r="G120" s="107"/>
      <c r="H120" s="107">
        <v>6003026541</v>
      </c>
      <c r="I120"/>
    </row>
    <row r="121" spans="1:9" s="83" customFormat="1">
      <c r="A121" s="104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7"/>
      <c r="G121" s="107"/>
      <c r="H121" s="107">
        <v>6003036541</v>
      </c>
      <c r="I121"/>
    </row>
    <row r="122" spans="1:9" s="83" customFormat="1">
      <c r="A122" s="104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7"/>
      <c r="G122" s="107"/>
      <c r="H122" s="107">
        <v>6003036542</v>
      </c>
      <c r="I122"/>
    </row>
    <row r="123" spans="1:9" s="83" customFormat="1">
      <c r="A123" s="104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7" t="s">
        <v>545</v>
      </c>
      <c r="G123" s="107"/>
      <c r="H123" s="107">
        <v>6003036543</v>
      </c>
      <c r="I123"/>
    </row>
    <row r="124" spans="1:9" s="83" customFormat="1">
      <c r="A124" s="104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7" t="s">
        <v>546</v>
      </c>
      <c r="G124" s="107">
        <v>6003036544</v>
      </c>
      <c r="H124" s="107">
        <v>6003036544</v>
      </c>
      <c r="I124"/>
    </row>
    <row r="125" spans="1:9" s="83" customFormat="1">
      <c r="A125" s="104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7"/>
      <c r="G125" s="107"/>
      <c r="H125" s="107">
        <v>6003036545</v>
      </c>
      <c r="I125"/>
    </row>
    <row r="126" spans="1:9" s="83" customFormat="1">
      <c r="A126" s="104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7"/>
      <c r="G126" s="107"/>
      <c r="H126" s="107">
        <v>6003036546</v>
      </c>
      <c r="I126"/>
    </row>
    <row r="127" spans="1:9" s="83" customFormat="1">
      <c r="A127" s="104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7"/>
      <c r="G127" s="107"/>
      <c r="H127" s="107">
        <v>6003036547</v>
      </c>
      <c r="I127"/>
    </row>
    <row r="128" spans="1:9" s="83" customFormat="1">
      <c r="A128" s="104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7"/>
      <c r="G128" s="107"/>
      <c r="H128" s="107">
        <v>6003036548</v>
      </c>
      <c r="I128"/>
    </row>
    <row r="129" spans="1:9" s="83" customFormat="1">
      <c r="A129" s="104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7"/>
      <c r="G129" s="107"/>
      <c r="H129" s="107">
        <v>6003036549</v>
      </c>
      <c r="I129"/>
    </row>
    <row r="130" spans="1:9" s="83" customFormat="1">
      <c r="A130" s="104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7"/>
      <c r="G130" s="107"/>
      <c r="H130" s="107">
        <v>6003036550</v>
      </c>
      <c r="I130"/>
    </row>
    <row r="131" spans="1:9" s="83" customFormat="1">
      <c r="A131" s="104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7"/>
      <c r="G131" s="107"/>
      <c r="H131" s="107">
        <v>6003036551</v>
      </c>
      <c r="I131"/>
    </row>
    <row r="132" spans="1:9" s="83" customFormat="1">
      <c r="A132" s="104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7" t="s">
        <v>547</v>
      </c>
      <c r="G132" s="107"/>
      <c r="H132" s="107">
        <v>6003036552</v>
      </c>
      <c r="I132"/>
    </row>
    <row r="133" spans="1:9" s="83" customFormat="1">
      <c r="A133" s="104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7" t="s">
        <v>548</v>
      </c>
      <c r="G133" s="107">
        <v>6003036554</v>
      </c>
      <c r="H133" s="107">
        <v>6003036554</v>
      </c>
      <c r="I133" t="s">
        <v>448</v>
      </c>
    </row>
    <row r="134" spans="1:9" s="83" customFormat="1">
      <c r="A134" s="104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7" t="s">
        <v>549</v>
      </c>
      <c r="G134" s="107">
        <v>6003036555</v>
      </c>
      <c r="H134" s="107">
        <v>6003036555</v>
      </c>
      <c r="I134" t="s">
        <v>448</v>
      </c>
    </row>
    <row r="135" spans="1:9" s="83" customFormat="1">
      <c r="A135" s="104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7" t="s">
        <v>550</v>
      </c>
      <c r="G135" s="107">
        <v>6003036556</v>
      </c>
      <c r="H135" s="107">
        <v>6003036556</v>
      </c>
      <c r="I135" t="s">
        <v>448</v>
      </c>
    </row>
    <row r="136" spans="1:9" s="83" customFormat="1">
      <c r="A136" s="104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7" t="s">
        <v>551</v>
      </c>
      <c r="G136" s="107">
        <v>6003036557</v>
      </c>
      <c r="H136" s="107">
        <v>6003036557</v>
      </c>
      <c r="I136" t="s">
        <v>448</v>
      </c>
    </row>
    <row r="137" spans="1:9" s="83" customFormat="1">
      <c r="A137" s="104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7"/>
      <c r="G137" s="107"/>
      <c r="H137" s="107">
        <v>6004096541</v>
      </c>
      <c r="I137"/>
    </row>
    <row r="138" spans="1:9" s="83" customFormat="1">
      <c r="A138" s="104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7"/>
      <c r="G138" s="107"/>
      <c r="H138" s="107">
        <v>6005056541</v>
      </c>
      <c r="I138"/>
    </row>
    <row r="139" spans="1:9" s="83" customFormat="1">
      <c r="A139" s="104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7"/>
      <c r="G139" s="107"/>
      <c r="H139" s="107">
        <v>6005056542</v>
      </c>
      <c r="I139"/>
    </row>
    <row r="140" spans="1:9" s="83" customFormat="1">
      <c r="A140" s="104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7"/>
      <c r="G140" s="107"/>
      <c r="H140" s="107">
        <v>6005056543</v>
      </c>
      <c r="I140"/>
    </row>
    <row r="141" spans="1:9" s="83" customFormat="1">
      <c r="A141" s="104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7"/>
      <c r="G141" s="107"/>
      <c r="H141" s="107">
        <v>6005136541</v>
      </c>
      <c r="I141"/>
    </row>
    <row r="142" spans="1:9" s="83" customFormat="1">
      <c r="A142" s="104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7"/>
      <c r="G142" s="107"/>
      <c r="H142" s="107">
        <v>6005146541</v>
      </c>
      <c r="I142"/>
    </row>
    <row r="143" spans="1:9" s="83" customFormat="1">
      <c r="A143" s="104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7"/>
      <c r="G143" s="107"/>
      <c r="H143" s="107">
        <v>6005146542</v>
      </c>
      <c r="I143"/>
    </row>
    <row r="144" spans="1:9" s="83" customFormat="1">
      <c r="A144" s="104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7"/>
      <c r="G144" s="107"/>
      <c r="H144" s="107">
        <v>6005146543</v>
      </c>
      <c r="I144"/>
    </row>
    <row r="145" spans="1:9" s="83" customFormat="1">
      <c r="A145" s="104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7"/>
      <c r="G145" s="107"/>
      <c r="H145" s="107">
        <v>6005156541</v>
      </c>
      <c r="I145"/>
    </row>
    <row r="146" spans="1:9" s="83" customFormat="1">
      <c r="A146" s="104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7"/>
      <c r="G146" s="107"/>
      <c r="H146" s="107">
        <v>6005206541</v>
      </c>
      <c r="I146"/>
    </row>
    <row r="147" spans="1:9" s="83" customFormat="1">
      <c r="A147" s="104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7"/>
      <c r="G147" s="107"/>
      <c r="H147" s="107">
        <v>6005216541</v>
      </c>
      <c r="I147"/>
    </row>
    <row r="148" spans="1:9" s="83" customFormat="1">
      <c r="A148" s="104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7"/>
      <c r="G148" s="107"/>
      <c r="H148" s="107">
        <v>6005226541</v>
      </c>
      <c r="I148"/>
    </row>
    <row r="149" spans="1:9" s="83" customFormat="1">
      <c r="A149" s="104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7"/>
      <c r="G149" s="107"/>
      <c r="H149" s="107">
        <v>6005236541</v>
      </c>
      <c r="I149"/>
    </row>
    <row r="150" spans="1:9" s="83" customFormat="1">
      <c r="A150" s="104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7"/>
      <c r="G150" s="107"/>
      <c r="H150" s="107">
        <v>6005246541</v>
      </c>
      <c r="I150"/>
    </row>
    <row r="151" spans="1:9" s="83" customFormat="1">
      <c r="A151" s="104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7" t="s">
        <v>552</v>
      </c>
      <c r="G151" s="107">
        <v>6005246542</v>
      </c>
      <c r="H151" s="107">
        <v>6005246542</v>
      </c>
      <c r="I151"/>
    </row>
    <row r="152" spans="1:9" s="83" customFormat="1">
      <c r="A152" s="104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7" t="s">
        <v>553</v>
      </c>
      <c r="G152" s="107">
        <v>6005246543</v>
      </c>
      <c r="H152" s="107">
        <v>6005246543</v>
      </c>
      <c r="I152"/>
    </row>
    <row r="153" spans="1:9" s="83" customFormat="1">
      <c r="A153" s="104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7"/>
      <c r="G153" s="107"/>
      <c r="H153" s="107">
        <v>6005246544</v>
      </c>
      <c r="I153"/>
    </row>
    <row r="154" spans="1:9" s="83" customFormat="1">
      <c r="A154" s="104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7"/>
      <c r="G154" s="107"/>
      <c r="H154" s="107">
        <v>6004086551</v>
      </c>
      <c r="I154"/>
    </row>
    <row r="155" spans="1:9" s="83" customFormat="1">
      <c r="A155" s="104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7"/>
      <c r="G155" s="107"/>
      <c r="H155" s="107">
        <v>6004086553</v>
      </c>
      <c r="I155"/>
    </row>
    <row r="156" spans="1:9" s="83" customFormat="1">
      <c r="A156" s="104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7"/>
      <c r="G156" s="107"/>
      <c r="H156" s="107">
        <v>6005116551</v>
      </c>
      <c r="I156"/>
    </row>
    <row r="157" spans="1:9" s="83" customFormat="1">
      <c r="A157" s="104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7"/>
      <c r="G157" s="107"/>
      <c r="H157" s="107">
        <v>6005116552</v>
      </c>
      <c r="I157"/>
    </row>
    <row r="158" spans="1:9" s="83" customFormat="1">
      <c r="A158" s="104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7"/>
      <c r="G158" s="107"/>
      <c r="H158" s="107">
        <v>6005136551</v>
      </c>
      <c r="I158"/>
    </row>
    <row r="159" spans="1:9" s="83" customFormat="1">
      <c r="A159" s="104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7"/>
      <c r="G159" s="107"/>
      <c r="H159" s="107">
        <v>6005166551</v>
      </c>
      <c r="I159"/>
    </row>
    <row r="160" spans="1:9" s="83" customFormat="1">
      <c r="A160" s="104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7"/>
      <c r="G160" s="107"/>
      <c r="H160" s="107">
        <v>6005186552</v>
      </c>
      <c r="I160"/>
    </row>
    <row r="161" spans="1:9" s="83" customFormat="1">
      <c r="A161" s="104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7"/>
      <c r="G161" s="107"/>
      <c r="H161" s="107">
        <v>6005246551</v>
      </c>
      <c r="I161"/>
    </row>
    <row r="162" spans="1:9" s="83" customFormat="1">
      <c r="A162" s="104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7"/>
      <c r="G162" s="107"/>
      <c r="H162" s="107">
        <v>6005246552</v>
      </c>
      <c r="I162"/>
    </row>
    <row r="163" spans="1:9" s="83" customFormat="1">
      <c r="A163" s="104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7"/>
      <c r="G163" s="107"/>
      <c r="H163" s="107">
        <v>6005246553</v>
      </c>
      <c r="I163"/>
    </row>
    <row r="164" spans="1:9" s="83" customFormat="1">
      <c r="A164" s="104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7"/>
      <c r="G164" s="107">
        <v>6004046421</v>
      </c>
      <c r="H164" s="107"/>
      <c r="I164"/>
    </row>
    <row r="165" spans="1:9" s="83" customFormat="1">
      <c r="A165" s="104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7"/>
      <c r="G165" s="107">
        <v>6005016422</v>
      </c>
      <c r="H165" s="107"/>
      <c r="I165" t="s">
        <v>447</v>
      </c>
    </row>
    <row r="166" spans="1:9" s="83" customFormat="1">
      <c r="A166" s="104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7"/>
      <c r="G166" s="107">
        <v>6005016423</v>
      </c>
      <c r="H166" s="107">
        <v>6005016423</v>
      </c>
      <c r="I166" t="s">
        <v>448</v>
      </c>
    </row>
    <row r="167" spans="1:9" s="83" customFormat="1">
      <c r="A167" s="104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7"/>
      <c r="G167" s="107">
        <v>6005126423</v>
      </c>
      <c r="H167" s="107"/>
      <c r="I167"/>
    </row>
    <row r="168" spans="1:9" s="83" customFormat="1">
      <c r="A168" s="104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7"/>
      <c r="G168" s="107">
        <v>6006016611</v>
      </c>
      <c r="H168" s="107"/>
      <c r="I168"/>
    </row>
    <row r="169" spans="1:9" s="83" customFormat="1">
      <c r="A169" s="104">
        <v>6006016612</v>
      </c>
      <c r="B169" t="s">
        <v>2</v>
      </c>
      <c r="C169" t="s">
        <v>21</v>
      </c>
      <c r="D169" t="s">
        <v>45</v>
      </c>
      <c r="E169" t="s">
        <v>356</v>
      </c>
      <c r="F169" s="107"/>
      <c r="G169" s="107">
        <v>6006016612</v>
      </c>
      <c r="H169" s="107"/>
      <c r="I169"/>
    </row>
    <row r="170" spans="1:9" s="83" customFormat="1">
      <c r="A170" s="104">
        <v>6006016613</v>
      </c>
      <c r="B170" t="s">
        <v>3</v>
      </c>
      <c r="C170" t="s">
        <v>21</v>
      </c>
      <c r="D170" t="s">
        <v>45</v>
      </c>
      <c r="E170" t="s">
        <v>356</v>
      </c>
      <c r="F170" s="107"/>
      <c r="G170" s="107">
        <v>6006016613</v>
      </c>
      <c r="H170" s="107"/>
      <c r="I170"/>
    </row>
    <row r="171" spans="1:9" s="83" customFormat="1">
      <c r="A171" s="104">
        <v>6006016614</v>
      </c>
      <c r="B171" t="s">
        <v>4</v>
      </c>
      <c r="C171" t="s">
        <v>21</v>
      </c>
      <c r="D171" t="s">
        <v>45</v>
      </c>
      <c r="E171" t="s">
        <v>356</v>
      </c>
      <c r="F171" s="107"/>
      <c r="G171" s="107">
        <v>6006016614</v>
      </c>
      <c r="H171" s="107"/>
      <c r="I171"/>
    </row>
    <row r="172" spans="1:9" s="83" customFormat="1">
      <c r="A172" s="104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7"/>
      <c r="G172" s="107">
        <v>6006016615</v>
      </c>
      <c r="H172" s="107"/>
      <c r="I172"/>
    </row>
    <row r="173" spans="1:9" s="83" customFormat="1">
      <c r="A173" s="104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7"/>
      <c r="G173" s="107">
        <v>6006016616</v>
      </c>
      <c r="H173" s="107"/>
      <c r="I173"/>
    </row>
    <row r="174" spans="1:9" s="83" customFormat="1">
      <c r="A174" s="104">
        <v>6006016617</v>
      </c>
      <c r="B174" t="s">
        <v>5</v>
      </c>
      <c r="C174" t="s">
        <v>21</v>
      </c>
      <c r="D174" t="s">
        <v>45</v>
      </c>
      <c r="E174" t="s">
        <v>356</v>
      </c>
      <c r="F174" s="107"/>
      <c r="G174" s="107">
        <v>6006016617</v>
      </c>
      <c r="H174" s="107"/>
      <c r="I174"/>
    </row>
    <row r="175" spans="1:9" s="83" customFormat="1">
      <c r="A175" s="104">
        <v>6006016618</v>
      </c>
      <c r="B175" t="s">
        <v>6</v>
      </c>
      <c r="C175" t="s">
        <v>21</v>
      </c>
      <c r="D175" t="s">
        <v>45</v>
      </c>
      <c r="E175" t="s">
        <v>356</v>
      </c>
      <c r="F175" s="107"/>
      <c r="G175" s="107">
        <v>6006016618</v>
      </c>
      <c r="H175" s="107"/>
      <c r="I175"/>
    </row>
    <row r="176" spans="1:9" s="83" customFormat="1">
      <c r="A176" s="104">
        <v>6006016619</v>
      </c>
      <c r="B176" t="s">
        <v>7</v>
      </c>
      <c r="C176" t="s">
        <v>21</v>
      </c>
      <c r="D176" t="s">
        <v>45</v>
      </c>
      <c r="E176" t="s">
        <v>356</v>
      </c>
      <c r="F176" s="107"/>
      <c r="G176" s="107">
        <v>6006016619</v>
      </c>
      <c r="H176" s="107"/>
      <c r="I176"/>
    </row>
    <row r="177" spans="1:9" s="83" customFormat="1">
      <c r="A177" s="104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7"/>
      <c r="G177" s="107">
        <v>6006016620</v>
      </c>
      <c r="H177" s="107"/>
      <c r="I177"/>
    </row>
    <row r="178" spans="1:9" s="83" customFormat="1">
      <c r="A178" s="104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7"/>
      <c r="G178" s="107">
        <v>6006016621</v>
      </c>
      <c r="H178" s="107"/>
      <c r="I178"/>
    </row>
    <row r="179" spans="1:9" s="83" customFormat="1">
      <c r="A179" s="104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7"/>
      <c r="G179" s="107">
        <v>6006016622</v>
      </c>
      <c r="H179" s="107"/>
      <c r="I179"/>
    </row>
    <row r="180" spans="1:9" s="83" customFormat="1">
      <c r="A180" s="104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7"/>
      <c r="G180" s="107">
        <v>6006016623</v>
      </c>
      <c r="H180" s="107"/>
      <c r="I180"/>
    </row>
    <row r="181" spans="1:9" s="83" customFormat="1">
      <c r="A181" s="104">
        <v>6006016624</v>
      </c>
      <c r="B181" t="s">
        <v>8</v>
      </c>
      <c r="C181" t="s">
        <v>21</v>
      </c>
      <c r="D181" t="s">
        <v>45</v>
      </c>
      <c r="E181" t="s">
        <v>356</v>
      </c>
      <c r="F181" s="107"/>
      <c r="G181" s="107">
        <v>6006016624</v>
      </c>
      <c r="H181" s="107"/>
      <c r="I181"/>
    </row>
    <row r="182" spans="1:9" s="83" customFormat="1">
      <c r="A182" s="104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7"/>
      <c r="G182" s="107">
        <v>6006016625</v>
      </c>
      <c r="H182" s="107"/>
      <c r="I182"/>
    </row>
    <row r="183" spans="1:9" s="83" customFormat="1">
      <c r="A183" s="104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7"/>
      <c r="G183" s="107">
        <v>6006016626</v>
      </c>
      <c r="H183" s="107"/>
      <c r="I183"/>
    </row>
    <row r="184" spans="1:9" s="83" customFormat="1">
      <c r="A184" s="104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7"/>
      <c r="G184" s="107">
        <v>6006016627</v>
      </c>
      <c r="H184" s="107"/>
      <c r="I184"/>
    </row>
    <row r="185" spans="1:9" s="83" customFormat="1">
      <c r="A185" s="104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7"/>
      <c r="G185" s="107">
        <v>6006016628</v>
      </c>
      <c r="H185" s="107"/>
      <c r="I185"/>
    </row>
    <row r="186" spans="1:9" s="83" customFormat="1">
      <c r="A186" s="104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7"/>
      <c r="G186" s="107">
        <v>6006016629</v>
      </c>
      <c r="H186" s="107"/>
      <c r="I186"/>
    </row>
    <row r="187" spans="1:9" s="83" customFormat="1">
      <c r="A187" s="104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7"/>
      <c r="G187" s="107">
        <v>6005186425</v>
      </c>
      <c r="H187" s="107"/>
      <c r="I187"/>
    </row>
    <row r="188" spans="1:9" s="83" customFormat="1">
      <c r="A188" s="104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7"/>
      <c r="G188" s="107">
        <v>6005186429</v>
      </c>
      <c r="H188" s="107"/>
      <c r="I188"/>
    </row>
    <row r="189" spans="1:9" s="83" customFormat="1">
      <c r="A189" s="104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7"/>
      <c r="G189" s="107">
        <v>6005266426</v>
      </c>
      <c r="H189" s="107"/>
      <c r="I189"/>
    </row>
    <row r="190" spans="1:9" s="83" customFormat="1">
      <c r="A190" s="104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7"/>
      <c r="G190" s="107">
        <v>6004096621</v>
      </c>
      <c r="H190" s="107"/>
      <c r="I190"/>
    </row>
    <row r="191" spans="1:9" s="83" customFormat="1">
      <c r="A191" s="104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7"/>
      <c r="G191" s="107">
        <v>6005046622</v>
      </c>
      <c r="H191" s="107"/>
      <c r="I191"/>
    </row>
    <row r="192" spans="1:9" s="83" customFormat="1">
      <c r="A192" s="104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7"/>
      <c r="G192" s="107">
        <v>6005046635</v>
      </c>
      <c r="H192" s="107"/>
      <c r="I192"/>
    </row>
    <row r="193" spans="1:9" s="83" customFormat="1">
      <c r="A193" s="104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7"/>
      <c r="G193" s="107">
        <v>6005056623</v>
      </c>
      <c r="H193" s="107"/>
      <c r="I193"/>
    </row>
    <row r="194" spans="1:9" s="83" customFormat="1">
      <c r="A194" s="104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7"/>
      <c r="G194" s="107">
        <v>6005056624</v>
      </c>
      <c r="H194" s="107"/>
      <c r="I194"/>
    </row>
    <row r="195" spans="1:9" s="83" customFormat="1">
      <c r="A195" s="104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7"/>
      <c r="G195" s="107">
        <v>6005056625</v>
      </c>
      <c r="H195" s="107"/>
      <c r="I195"/>
    </row>
    <row r="196" spans="1:9" s="83" customFormat="1">
      <c r="A196" s="104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7"/>
      <c r="G196" s="107">
        <v>6005136626</v>
      </c>
      <c r="H196" s="107"/>
      <c r="I196"/>
    </row>
    <row r="197" spans="1:9" s="83" customFormat="1">
      <c r="A197" s="104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7"/>
      <c r="G197" s="107">
        <v>6005146627</v>
      </c>
      <c r="H197" s="107"/>
      <c r="I197"/>
    </row>
    <row r="198" spans="1:9" s="83" customFormat="1">
      <c r="A198" s="104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7"/>
      <c r="G198" s="107">
        <v>6005146628</v>
      </c>
      <c r="H198" s="107"/>
      <c r="I198"/>
    </row>
    <row r="199" spans="1:9" s="83" customFormat="1">
      <c r="A199" s="104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7"/>
      <c r="G199" s="107">
        <v>6005146629</v>
      </c>
      <c r="H199" s="107"/>
      <c r="I199"/>
    </row>
    <row r="200" spans="1:9" s="83" customFormat="1">
      <c r="A200" s="104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7"/>
      <c r="G200" s="107">
        <v>6005156630</v>
      </c>
      <c r="H200" s="107"/>
      <c r="I200"/>
    </row>
    <row r="201" spans="1:9" s="83" customFormat="1">
      <c r="A201" s="104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7"/>
      <c r="G201" s="107">
        <v>6005206631</v>
      </c>
      <c r="H201" s="107"/>
      <c r="I201"/>
    </row>
    <row r="202" spans="1:9" s="83" customFormat="1">
      <c r="A202" s="104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7"/>
      <c r="G202" s="107">
        <v>6005216632</v>
      </c>
      <c r="H202" s="107"/>
      <c r="I202"/>
    </row>
    <row r="203" spans="1:9" s="83" customFormat="1">
      <c r="A203" s="104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7"/>
      <c r="G203" s="107">
        <v>6005226633</v>
      </c>
      <c r="H203" s="107"/>
      <c r="I203"/>
    </row>
    <row r="204" spans="1:9" s="83" customFormat="1">
      <c r="A204" s="104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7"/>
      <c r="G204" s="107">
        <v>6005236634</v>
      </c>
      <c r="H204" s="107"/>
      <c r="I204"/>
    </row>
    <row r="205" spans="1:9" s="83" customFormat="1">
      <c r="A205" s="104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7"/>
      <c r="G205" s="107">
        <v>6005246636</v>
      </c>
      <c r="H205" s="107"/>
      <c r="I205"/>
    </row>
    <row r="206" spans="1:9" s="83" customFormat="1">
      <c r="A206" s="104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7"/>
      <c r="G206" s="107">
        <v>6005246672</v>
      </c>
      <c r="H206" s="107"/>
      <c r="I206"/>
    </row>
    <row r="207" spans="1:9" s="83" customFormat="1">
      <c r="A207" s="104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7"/>
      <c r="G207" s="107">
        <v>6005246673</v>
      </c>
      <c r="H207" s="107"/>
      <c r="I207"/>
    </row>
    <row r="208" spans="1:9" s="83" customFormat="1">
      <c r="A208" s="104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7"/>
      <c r="G208" s="107">
        <v>6005246674</v>
      </c>
      <c r="H208" s="107"/>
      <c r="I208"/>
    </row>
    <row r="209" spans="1:9" s="83" customFormat="1">
      <c r="A209" s="104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7"/>
      <c r="G209" s="107">
        <v>6004086651</v>
      </c>
      <c r="H209" s="107"/>
      <c r="I209"/>
    </row>
    <row r="210" spans="1:9" s="83" customFormat="1">
      <c r="A210" s="104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7"/>
      <c r="G210" s="107">
        <v>6004086653</v>
      </c>
      <c r="H210" s="107"/>
      <c r="I210"/>
    </row>
    <row r="211" spans="1:9" s="83" customFormat="1">
      <c r="A211" s="104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7"/>
      <c r="G211" s="107">
        <v>6005116654</v>
      </c>
      <c r="H211" s="107"/>
      <c r="I211"/>
    </row>
    <row r="212" spans="1:9" s="83" customFormat="1">
      <c r="A212" s="104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7"/>
      <c r="G212" s="107">
        <v>6005116655</v>
      </c>
      <c r="H212" s="107"/>
      <c r="I212"/>
    </row>
    <row r="213" spans="1:9" s="83" customFormat="1">
      <c r="A213" s="104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7"/>
      <c r="G213" s="107">
        <v>6005136657</v>
      </c>
      <c r="H213" s="107"/>
      <c r="I213"/>
    </row>
    <row r="214" spans="1:9" s="83" customFormat="1">
      <c r="A214" s="104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7"/>
      <c r="G214" s="107">
        <v>6005166658</v>
      </c>
      <c r="H214" s="107"/>
      <c r="I214"/>
    </row>
    <row r="215" spans="1:9" s="83" customFormat="1">
      <c r="A215" s="104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7"/>
      <c r="G215" s="107">
        <v>6005176659</v>
      </c>
      <c r="H215" s="107"/>
      <c r="I215"/>
    </row>
    <row r="216" spans="1:9" s="83" customFormat="1">
      <c r="A216" s="104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7"/>
      <c r="G216" s="107">
        <v>6005246671</v>
      </c>
      <c r="H216" s="107"/>
      <c r="I216"/>
    </row>
    <row r="217" spans="1:9" s="83" customFormat="1">
      <c r="A217" s="104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7"/>
      <c r="G217" s="107">
        <v>6005246675</v>
      </c>
      <c r="H217" s="107"/>
      <c r="I217"/>
    </row>
    <row r="218" spans="1:9" s="83" customFormat="1">
      <c r="A218" s="104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7"/>
      <c r="G218" s="107">
        <v>6005246676</v>
      </c>
      <c r="H218" s="107"/>
      <c r="I218" t="s">
        <v>449</v>
      </c>
    </row>
    <row r="219" spans="1:9" s="83" customFormat="1">
      <c r="A219" s="104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7" t="s">
        <v>554</v>
      </c>
      <c r="G219" s="107">
        <v>8001017111</v>
      </c>
      <c r="H219" s="107">
        <v>8001017111</v>
      </c>
      <c r="I219"/>
    </row>
    <row r="220" spans="1:9" s="83" customFormat="1">
      <c r="A220" s="104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7" t="s">
        <v>555</v>
      </c>
      <c r="G220" s="107">
        <v>8001027111</v>
      </c>
      <c r="H220" s="107">
        <v>8001027111</v>
      </c>
      <c r="I220"/>
    </row>
    <row r="221" spans="1:9" s="83" customFormat="1">
      <c r="A221" s="104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7" t="s">
        <v>556</v>
      </c>
      <c r="G221" s="107">
        <v>8001037111</v>
      </c>
      <c r="H221" s="107">
        <v>8001037111</v>
      </c>
      <c r="I221"/>
    </row>
    <row r="222" spans="1:9" s="83" customFormat="1">
      <c r="A222" s="104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7" t="s">
        <v>557</v>
      </c>
      <c r="G222" s="107">
        <v>7002048111</v>
      </c>
      <c r="H222" s="107">
        <v>7002048111</v>
      </c>
      <c r="I222"/>
    </row>
    <row r="223" spans="1:9" s="83" customFormat="1">
      <c r="A223" s="104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7" t="s">
        <v>558</v>
      </c>
      <c r="G223" s="107">
        <v>7002048112</v>
      </c>
      <c r="H223" s="107">
        <v>7002048112</v>
      </c>
      <c r="I223"/>
    </row>
    <row r="224" spans="1:9" s="83" customFormat="1">
      <c r="A224" s="104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7" t="s">
        <v>559</v>
      </c>
      <c r="G224" s="107">
        <v>8002018111</v>
      </c>
      <c r="H224" s="107">
        <v>8002018111</v>
      </c>
      <c r="I224"/>
    </row>
    <row r="225" spans="1:9" s="83" customFormat="1">
      <c r="A225" s="104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7" t="s">
        <v>560</v>
      </c>
      <c r="G225" s="107">
        <v>8002028111</v>
      </c>
      <c r="H225" s="107">
        <v>8002028111</v>
      </c>
      <c r="I225"/>
    </row>
    <row r="226" spans="1:9" s="83" customFormat="1">
      <c r="A226" s="104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7" t="s">
        <v>561</v>
      </c>
      <c r="G226" s="107">
        <v>8002038111</v>
      </c>
      <c r="H226" s="107">
        <v>8002038111</v>
      </c>
      <c r="I226"/>
    </row>
    <row r="227" spans="1:9" s="83" customFormat="1">
      <c r="A227" s="104">
        <v>9114120002</v>
      </c>
      <c r="B227" t="s">
        <v>70</v>
      </c>
      <c r="C227"/>
      <c r="D227" t="s">
        <v>70</v>
      </c>
      <c r="E227" t="s">
        <v>387</v>
      </c>
      <c r="F227" s="107" t="s">
        <v>562</v>
      </c>
      <c r="G227" s="107">
        <v>9114120002</v>
      </c>
      <c r="H227" s="107">
        <v>9114120002</v>
      </c>
      <c r="I227"/>
    </row>
    <row r="228" spans="1:9" s="83" customFormat="1">
      <c r="A228" s="104">
        <v>9114120004</v>
      </c>
      <c r="B228" t="s">
        <v>73</v>
      </c>
      <c r="C228"/>
      <c r="D228" t="s">
        <v>73</v>
      </c>
      <c r="E228" t="s">
        <v>388</v>
      </c>
      <c r="F228" s="107" t="s">
        <v>563</v>
      </c>
      <c r="G228" s="107">
        <v>9114120004</v>
      </c>
      <c r="H228" s="107">
        <v>9114120004</v>
      </c>
      <c r="I228"/>
    </row>
    <row r="229" spans="1:9" s="83" customFormat="1">
      <c r="A229" s="104">
        <v>9114120005</v>
      </c>
      <c r="B229" t="s">
        <v>107</v>
      </c>
      <c r="C229"/>
      <c r="D229" t="s">
        <v>121</v>
      </c>
      <c r="E229" t="s">
        <v>389</v>
      </c>
      <c r="F229" s="107" t="s">
        <v>564</v>
      </c>
      <c r="G229" s="107">
        <v>9114120005</v>
      </c>
      <c r="H229" s="107">
        <v>9114120005</v>
      </c>
      <c r="I229"/>
    </row>
    <row r="230" spans="1:9" s="83" customFormat="1">
      <c r="A230" s="268">
        <v>9114120006</v>
      </c>
      <c r="B230" s="269" t="s">
        <v>142</v>
      </c>
      <c r="C230"/>
      <c r="D230" s="269" t="s">
        <v>101</v>
      </c>
      <c r="E230" t="s">
        <v>349</v>
      </c>
      <c r="F230" s="107" t="s">
        <v>565</v>
      </c>
      <c r="G230" s="107">
        <v>9114120006</v>
      </c>
      <c r="H230" s="107">
        <v>9114120006</v>
      </c>
      <c r="I230"/>
    </row>
    <row r="231" spans="1:9" s="83" customFormat="1">
      <c r="A231" s="104">
        <v>9114120007</v>
      </c>
      <c r="B231" t="s">
        <v>108</v>
      </c>
      <c r="C231"/>
      <c r="D231" t="s">
        <v>114</v>
      </c>
      <c r="E231" t="s">
        <v>390</v>
      </c>
      <c r="F231" s="107" t="s">
        <v>566</v>
      </c>
      <c r="G231" s="107">
        <v>9114120007</v>
      </c>
      <c r="H231" s="107">
        <v>9114120007</v>
      </c>
      <c r="I231"/>
    </row>
    <row r="232" spans="1:9" s="83" customFormat="1">
      <c r="A232" s="104">
        <v>9114120008</v>
      </c>
      <c r="B232" t="s">
        <v>102</v>
      </c>
      <c r="C232"/>
      <c r="D232" t="s">
        <v>102</v>
      </c>
      <c r="E232" t="s">
        <v>12</v>
      </c>
      <c r="F232" s="107" t="s">
        <v>567</v>
      </c>
      <c r="G232" s="107"/>
      <c r="H232" s="107"/>
      <c r="I232"/>
    </row>
    <row r="233" spans="1:9" s="83" customFormat="1">
      <c r="A233" s="104">
        <v>9114120009</v>
      </c>
      <c r="B233" t="s">
        <v>109</v>
      </c>
      <c r="C233"/>
      <c r="D233" t="s">
        <v>122</v>
      </c>
      <c r="E233" t="s">
        <v>391</v>
      </c>
      <c r="F233" s="107" t="s">
        <v>568</v>
      </c>
      <c r="G233" s="107">
        <v>9114120009</v>
      </c>
      <c r="H233" s="107">
        <v>9114120009</v>
      </c>
      <c r="I233"/>
    </row>
    <row r="234" spans="1:9" s="83" customFormat="1">
      <c r="A234" s="104">
        <v>9114120011</v>
      </c>
      <c r="B234" t="s">
        <v>100</v>
      </c>
      <c r="C234"/>
      <c r="D234" t="s">
        <v>100</v>
      </c>
      <c r="E234" t="s">
        <v>392</v>
      </c>
      <c r="F234" s="107" t="s">
        <v>569</v>
      </c>
      <c r="G234" s="107">
        <v>9114120011</v>
      </c>
      <c r="H234" s="107">
        <v>9114120011</v>
      </c>
      <c r="I234"/>
    </row>
    <row r="235" spans="1:9" s="83" customFormat="1">
      <c r="A235" s="104">
        <v>9114120014</v>
      </c>
      <c r="B235" t="s">
        <v>74</v>
      </c>
      <c r="C235"/>
      <c r="D235" t="s">
        <v>74</v>
      </c>
      <c r="E235" t="s">
        <v>393</v>
      </c>
      <c r="F235" s="107" t="s">
        <v>570</v>
      </c>
      <c r="G235" s="107">
        <v>9114120014</v>
      </c>
      <c r="H235" s="107">
        <v>9114120014</v>
      </c>
      <c r="I235"/>
    </row>
    <row r="236" spans="1:9" s="83" customFormat="1">
      <c r="A236" s="104">
        <v>9114120018</v>
      </c>
      <c r="B236" t="s">
        <v>106</v>
      </c>
      <c r="C236"/>
      <c r="D236" t="s">
        <v>106</v>
      </c>
      <c r="E236" t="s">
        <v>394</v>
      </c>
      <c r="F236" s="107" t="s">
        <v>571</v>
      </c>
      <c r="G236" s="107">
        <v>9114120018</v>
      </c>
      <c r="H236" s="107">
        <v>9114120018</v>
      </c>
      <c r="I236"/>
    </row>
    <row r="237" spans="1:9" s="83" customFormat="1">
      <c r="A237" s="104">
        <v>9114120021</v>
      </c>
      <c r="B237" t="s">
        <v>143</v>
      </c>
      <c r="C237"/>
      <c r="D237" t="s">
        <v>143</v>
      </c>
      <c r="E237" t="s">
        <v>395</v>
      </c>
      <c r="F237" s="107" t="s">
        <v>572</v>
      </c>
      <c r="G237" s="107">
        <v>9114120021</v>
      </c>
      <c r="H237" s="107">
        <v>9114120021</v>
      </c>
      <c r="I237"/>
    </row>
    <row r="238" spans="1:9" s="83" customFormat="1">
      <c r="A238" s="104">
        <v>9114120028</v>
      </c>
      <c r="B238" t="s">
        <v>113</v>
      </c>
      <c r="C238"/>
      <c r="D238" t="s">
        <v>113</v>
      </c>
      <c r="E238" t="s">
        <v>396</v>
      </c>
      <c r="F238" s="107" t="s">
        <v>573</v>
      </c>
      <c r="G238" s="107">
        <v>9114120028</v>
      </c>
      <c r="H238" s="107">
        <v>9114120028</v>
      </c>
      <c r="I238"/>
    </row>
    <row r="239" spans="1:9" s="83" customFormat="1">
      <c r="A239" s="104">
        <v>9114120029</v>
      </c>
      <c r="B239" t="s">
        <v>678</v>
      </c>
      <c r="C239"/>
      <c r="D239" t="s">
        <v>678</v>
      </c>
      <c r="E239" t="s">
        <v>397</v>
      </c>
      <c r="F239" s="107" t="s">
        <v>574</v>
      </c>
      <c r="G239" s="107">
        <v>9114120029</v>
      </c>
      <c r="H239" s="107">
        <v>9114120029</v>
      </c>
      <c r="I239"/>
    </row>
    <row r="240" spans="1:9" s="83" customFormat="1">
      <c r="A240" s="104">
        <v>9114120030</v>
      </c>
      <c r="B240" t="s">
        <v>679</v>
      </c>
      <c r="C240"/>
      <c r="D240" t="s">
        <v>679</v>
      </c>
      <c r="E240" t="s">
        <v>398</v>
      </c>
      <c r="F240" s="107" t="s">
        <v>575</v>
      </c>
      <c r="G240" s="107">
        <v>9114120030</v>
      </c>
      <c r="H240" s="107">
        <v>9114120030</v>
      </c>
      <c r="I240"/>
    </row>
    <row r="241" spans="1:9" s="83" customFormat="1">
      <c r="A241" s="104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7"/>
      <c r="H241"/>
      <c r="I241"/>
    </row>
    <row r="242" spans="1:9" s="83" customFormat="1">
      <c r="A242" s="105">
        <v>5005016373</v>
      </c>
      <c r="B242" s="106" t="s">
        <v>413</v>
      </c>
      <c r="C242" s="106" t="s">
        <v>151</v>
      </c>
      <c r="D242" s="106" t="s">
        <v>55</v>
      </c>
      <c r="E242" s="106" t="s">
        <v>151</v>
      </c>
      <c r="F242" s="106" t="s">
        <v>474</v>
      </c>
      <c r="G242" s="106"/>
      <c r="H242" s="107"/>
      <c r="I242" s="106"/>
    </row>
    <row r="243" spans="1:9" s="83" customFormat="1">
      <c r="A243" s="105">
        <v>6005016422</v>
      </c>
      <c r="B243" s="106" t="s">
        <v>415</v>
      </c>
      <c r="C243" s="106" t="s">
        <v>0</v>
      </c>
      <c r="D243" s="106" t="s">
        <v>55</v>
      </c>
      <c r="E243" s="106" t="s">
        <v>353</v>
      </c>
      <c r="F243" s="106"/>
      <c r="G243" s="106">
        <v>6005016422</v>
      </c>
      <c r="I243" s="106"/>
    </row>
    <row r="244" spans="1:9" s="83" customFormat="1">
      <c r="A244" s="105">
        <v>5001016151</v>
      </c>
      <c r="B244" s="106" t="s">
        <v>162</v>
      </c>
      <c r="C244" s="106" t="s">
        <v>35</v>
      </c>
      <c r="D244" s="106" t="s">
        <v>101</v>
      </c>
      <c r="E244" s="106" t="s">
        <v>35</v>
      </c>
      <c r="F244" s="106" t="s">
        <v>469</v>
      </c>
      <c r="G244" s="106"/>
      <c r="H244" s="107"/>
      <c r="I244" s="106"/>
    </row>
    <row r="245" spans="1:9">
      <c r="A245" s="105">
        <v>6006016630</v>
      </c>
      <c r="B245" s="106" t="s">
        <v>675</v>
      </c>
      <c r="C245" s="106" t="s">
        <v>676</v>
      </c>
      <c r="D245" s="106" t="s">
        <v>45</v>
      </c>
      <c r="E245" s="106" t="s">
        <v>356</v>
      </c>
      <c r="G245" s="106">
        <v>6006016630</v>
      </c>
    </row>
  </sheetData>
  <autoFilter ref="A1:I244" xr:uid="{BA54A2E6-F6B1-4C35-8502-0115F5E4687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F19-589E-494D-813E-AA4FD89514B6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64" bestFit="1" customWidth="1"/>
    <col min="2" max="2" width="19" style="261" bestFit="1" customWidth="1"/>
    <col min="3" max="3" width="3.875" style="262" bestFit="1" customWidth="1"/>
    <col min="4" max="4" width="10.25" style="261" bestFit="1" customWidth="1"/>
    <col min="5" max="5" width="9" style="261"/>
    <col min="6" max="6" width="10.875" style="261" bestFit="1" customWidth="1"/>
    <col min="7" max="7" width="19.5" style="261" bestFit="1" customWidth="1"/>
    <col min="8" max="8" width="9" style="261"/>
    <col min="9" max="9" width="13.5" style="261" customWidth="1"/>
    <col min="10" max="16384" width="9" style="261"/>
  </cols>
  <sheetData>
    <row r="1" spans="1:7">
      <c r="B1" s="261" t="s">
        <v>93</v>
      </c>
      <c r="D1" s="261" t="s">
        <v>82</v>
      </c>
      <c r="E1" s="261" t="s">
        <v>83</v>
      </c>
    </row>
    <row r="2" spans="1:7">
      <c r="A2" s="264">
        <v>1412000004</v>
      </c>
      <c r="B2" s="263" t="s">
        <v>665</v>
      </c>
      <c r="C2" s="262" t="s">
        <v>593</v>
      </c>
      <c r="D2" s="261" t="s">
        <v>159</v>
      </c>
      <c r="E2" s="261" t="s">
        <v>159</v>
      </c>
      <c r="G2" s="261" t="s">
        <v>640</v>
      </c>
    </row>
    <row r="3" spans="1:7">
      <c r="A3" s="265">
        <v>1412000005</v>
      </c>
      <c r="B3" s="263" t="s">
        <v>666</v>
      </c>
      <c r="C3" s="262" t="s">
        <v>594</v>
      </c>
      <c r="D3" s="261" t="s">
        <v>159</v>
      </c>
      <c r="E3" s="261" t="s">
        <v>159</v>
      </c>
    </row>
    <row r="4" spans="1:7">
      <c r="A4" s="265">
        <v>1412000062</v>
      </c>
      <c r="B4" s="263" t="s">
        <v>646</v>
      </c>
      <c r="C4" s="262" t="s">
        <v>596</v>
      </c>
      <c r="D4" s="261" t="s">
        <v>444</v>
      </c>
      <c r="E4" s="261" t="s">
        <v>159</v>
      </c>
    </row>
    <row r="5" spans="1:7">
      <c r="A5" s="265">
        <v>1412000034</v>
      </c>
      <c r="B5" s="263" t="s">
        <v>422</v>
      </c>
      <c r="C5" s="262" t="s">
        <v>599</v>
      </c>
      <c r="D5" s="261" t="s">
        <v>159</v>
      </c>
      <c r="E5" s="261" t="s">
        <v>159</v>
      </c>
    </row>
    <row r="6" spans="1:7">
      <c r="A6" s="265">
        <v>1412000048</v>
      </c>
      <c r="B6" s="263" t="s">
        <v>421</v>
      </c>
      <c r="C6" s="262" t="s">
        <v>600</v>
      </c>
      <c r="D6" s="261" t="s">
        <v>444</v>
      </c>
      <c r="E6" s="261" t="s">
        <v>159</v>
      </c>
    </row>
    <row r="7" spans="1:7">
      <c r="A7" s="264">
        <v>1412000055</v>
      </c>
      <c r="B7" s="261" t="s">
        <v>659</v>
      </c>
      <c r="C7" s="262" t="s">
        <v>601</v>
      </c>
      <c r="D7" s="261" t="s">
        <v>444</v>
      </c>
      <c r="E7" s="261" t="s">
        <v>159</v>
      </c>
    </row>
    <row r="8" spans="1:7">
      <c r="A8" s="265">
        <v>1412000050</v>
      </c>
      <c r="B8" s="263" t="s">
        <v>619</v>
      </c>
      <c r="C8" s="262" t="s">
        <v>620</v>
      </c>
      <c r="D8" s="261" t="s">
        <v>159</v>
      </c>
      <c r="E8" s="261" t="s">
        <v>159</v>
      </c>
    </row>
    <row r="9" spans="1:7">
      <c r="A9" s="264">
        <v>1412000077</v>
      </c>
      <c r="B9" s="263" t="s">
        <v>621</v>
      </c>
      <c r="C9" s="262" t="s">
        <v>622</v>
      </c>
      <c r="D9" s="261" t="s">
        <v>159</v>
      </c>
      <c r="E9" s="261" t="s">
        <v>159</v>
      </c>
    </row>
    <row r="10" spans="1:7">
      <c r="A10" s="265">
        <v>1412000053</v>
      </c>
      <c r="B10" s="263" t="s">
        <v>582</v>
      </c>
      <c r="C10" s="262" t="s">
        <v>597</v>
      </c>
      <c r="D10" s="261" t="s">
        <v>444</v>
      </c>
      <c r="E10" s="261" t="s">
        <v>159</v>
      </c>
    </row>
    <row r="11" spans="1:7">
      <c r="A11" s="265">
        <v>1412000008</v>
      </c>
      <c r="B11" s="263" t="s">
        <v>432</v>
      </c>
      <c r="C11" s="262" t="s">
        <v>606</v>
      </c>
      <c r="D11" s="261" t="s">
        <v>444</v>
      </c>
      <c r="E11" s="261" t="s">
        <v>159</v>
      </c>
    </row>
    <row r="12" spans="1:7">
      <c r="A12" s="265">
        <v>1412000010</v>
      </c>
      <c r="B12" s="263" t="s">
        <v>430</v>
      </c>
      <c r="C12" s="262" t="s">
        <v>607</v>
      </c>
      <c r="D12" s="261" t="s">
        <v>576</v>
      </c>
      <c r="E12" s="261" t="s">
        <v>159</v>
      </c>
    </row>
    <row r="13" spans="1:7">
      <c r="A13" s="265">
        <v>1412000054</v>
      </c>
      <c r="B13" s="263" t="s">
        <v>423</v>
      </c>
      <c r="C13" s="262" t="s">
        <v>608</v>
      </c>
      <c r="D13" s="261" t="s">
        <v>576</v>
      </c>
      <c r="E13" s="261" t="s">
        <v>159</v>
      </c>
    </row>
    <row r="14" spans="1:7">
      <c r="A14" s="265">
        <v>1412000036</v>
      </c>
      <c r="B14" s="263" t="s">
        <v>645</v>
      </c>
      <c r="C14" s="262" t="s">
        <v>611</v>
      </c>
      <c r="D14" s="261" t="s">
        <v>444</v>
      </c>
      <c r="E14" s="261" t="s">
        <v>159</v>
      </c>
    </row>
    <row r="15" spans="1:7">
      <c r="A15" s="265">
        <v>1412000006</v>
      </c>
      <c r="B15" s="263" t="s">
        <v>424</v>
      </c>
      <c r="C15" s="262" t="s">
        <v>614</v>
      </c>
      <c r="D15" s="261" t="s">
        <v>576</v>
      </c>
      <c r="E15" s="261" t="s">
        <v>159</v>
      </c>
    </row>
    <row r="16" spans="1:7">
      <c r="A16" s="265">
        <v>1412000039</v>
      </c>
      <c r="B16" s="263" t="s">
        <v>425</v>
      </c>
      <c r="C16" s="262" t="s">
        <v>615</v>
      </c>
      <c r="D16" s="261" t="s">
        <v>576</v>
      </c>
      <c r="E16" s="261" t="s">
        <v>159</v>
      </c>
    </row>
    <row r="17" spans="1:5">
      <c r="A17" s="265">
        <v>1412000040</v>
      </c>
      <c r="B17" s="263" t="s">
        <v>443</v>
      </c>
      <c r="C17" s="262" t="s">
        <v>616</v>
      </c>
      <c r="D17" s="261" t="s">
        <v>576</v>
      </c>
      <c r="E17" s="261" t="s">
        <v>159</v>
      </c>
    </row>
    <row r="18" spans="1:5">
      <c r="A18" s="264">
        <v>1412000013</v>
      </c>
      <c r="B18" s="263" t="s">
        <v>667</v>
      </c>
      <c r="C18" s="262" t="s">
        <v>609</v>
      </c>
      <c r="D18" s="261" t="s">
        <v>576</v>
      </c>
      <c r="E18" s="261" t="s">
        <v>159</v>
      </c>
    </row>
    <row r="19" spans="1:5">
      <c r="A19" s="264">
        <v>1412000080</v>
      </c>
      <c r="B19" s="263" t="s">
        <v>440</v>
      </c>
      <c r="C19" s="262" t="s">
        <v>605</v>
      </c>
      <c r="D19" s="261" t="s">
        <v>576</v>
      </c>
      <c r="E19" s="261" t="s">
        <v>159</v>
      </c>
    </row>
    <row r="20" spans="1:5">
      <c r="A20" s="264">
        <v>1412000044</v>
      </c>
      <c r="B20" s="263" t="s">
        <v>442</v>
      </c>
      <c r="C20" s="262" t="s">
        <v>604</v>
      </c>
      <c r="D20" s="261" t="s">
        <v>444</v>
      </c>
      <c r="E20" s="261" t="s">
        <v>159</v>
      </c>
    </row>
    <row r="21" spans="1:5">
      <c r="A21" s="265">
        <v>1412000056</v>
      </c>
      <c r="B21" s="263" t="s">
        <v>441</v>
      </c>
      <c r="C21" s="262" t="s">
        <v>603</v>
      </c>
      <c r="D21" s="261" t="s">
        <v>159</v>
      </c>
      <c r="E21" s="261" t="s">
        <v>159</v>
      </c>
    </row>
    <row r="22" spans="1:5">
      <c r="A22" s="265">
        <v>1412000018</v>
      </c>
      <c r="B22" s="263" t="s">
        <v>428</v>
      </c>
      <c r="C22" s="262" t="s">
        <v>626</v>
      </c>
      <c r="D22" s="261" t="s">
        <v>577</v>
      </c>
      <c r="E22" s="261" t="s">
        <v>159</v>
      </c>
    </row>
    <row r="23" spans="1:5">
      <c r="A23" s="265">
        <v>1412000019</v>
      </c>
      <c r="B23" s="263" t="s">
        <v>588</v>
      </c>
      <c r="C23" s="262" t="s">
        <v>627</v>
      </c>
      <c r="D23" s="261" t="s">
        <v>577</v>
      </c>
      <c r="E23" s="261" t="s">
        <v>159</v>
      </c>
    </row>
    <row r="24" spans="1:5">
      <c r="A24" s="265">
        <v>1412000058</v>
      </c>
      <c r="B24" s="263" t="s">
        <v>433</v>
      </c>
      <c r="C24" s="262" t="s">
        <v>628</v>
      </c>
      <c r="D24" s="261" t="s">
        <v>577</v>
      </c>
      <c r="E24" s="261" t="s">
        <v>159</v>
      </c>
    </row>
    <row r="25" spans="1:5">
      <c r="A25" s="265">
        <v>1412000042</v>
      </c>
      <c r="B25" s="263" t="s">
        <v>434</v>
      </c>
      <c r="C25" s="262" t="s">
        <v>629</v>
      </c>
      <c r="D25" s="261" t="s">
        <v>577</v>
      </c>
      <c r="E25" s="261" t="s">
        <v>159</v>
      </c>
    </row>
    <row r="26" spans="1:5">
      <c r="A26" s="265">
        <v>1412000021</v>
      </c>
      <c r="B26" s="263" t="s">
        <v>435</v>
      </c>
      <c r="C26" s="262" t="s">
        <v>630</v>
      </c>
      <c r="D26" s="261" t="s">
        <v>577</v>
      </c>
      <c r="E26" s="261" t="s">
        <v>159</v>
      </c>
    </row>
    <row r="27" spans="1:5">
      <c r="A27" s="265">
        <v>1412000022</v>
      </c>
      <c r="B27" s="263" t="s">
        <v>439</v>
      </c>
      <c r="C27" s="262" t="s">
        <v>632</v>
      </c>
      <c r="D27" s="261" t="s">
        <v>577</v>
      </c>
      <c r="E27" s="261" t="s">
        <v>159</v>
      </c>
    </row>
    <row r="28" spans="1:5">
      <c r="A28" s="265">
        <v>1412000024</v>
      </c>
      <c r="B28" s="263" t="s">
        <v>437</v>
      </c>
      <c r="C28" s="262" t="s">
        <v>633</v>
      </c>
      <c r="D28" s="261" t="s">
        <v>578</v>
      </c>
      <c r="E28" s="261" t="s">
        <v>160</v>
      </c>
    </row>
    <row r="29" spans="1:5">
      <c r="A29" s="265">
        <v>1412000025</v>
      </c>
      <c r="B29" s="263" t="s">
        <v>426</v>
      </c>
      <c r="C29" s="262" t="s">
        <v>634</v>
      </c>
      <c r="D29" s="261" t="s">
        <v>578</v>
      </c>
      <c r="E29" s="261" t="s">
        <v>160</v>
      </c>
    </row>
    <row r="30" spans="1:5">
      <c r="A30" s="265">
        <v>1412000026</v>
      </c>
      <c r="B30" s="263" t="s">
        <v>431</v>
      </c>
      <c r="C30" s="262" t="s">
        <v>635</v>
      </c>
      <c r="D30" s="261" t="s">
        <v>578</v>
      </c>
      <c r="E30" s="261" t="s">
        <v>160</v>
      </c>
    </row>
    <row r="31" spans="1:5">
      <c r="A31" s="265">
        <v>1412000028</v>
      </c>
      <c r="B31" s="263" t="s">
        <v>427</v>
      </c>
      <c r="C31" s="262" t="s">
        <v>636</v>
      </c>
      <c r="D31" s="261" t="s">
        <v>578</v>
      </c>
      <c r="E31" s="261" t="s">
        <v>160</v>
      </c>
    </row>
    <row r="32" spans="1:5">
      <c r="A32" s="265">
        <v>1412000029</v>
      </c>
      <c r="B32" s="263" t="s">
        <v>436</v>
      </c>
      <c r="C32" s="262" t="s">
        <v>637</v>
      </c>
      <c r="D32" s="261" t="s">
        <v>578</v>
      </c>
      <c r="E32" s="261" t="s">
        <v>160</v>
      </c>
    </row>
    <row r="33" spans="1:5">
      <c r="A33" s="265">
        <v>1412000030</v>
      </c>
      <c r="B33" s="263" t="s">
        <v>438</v>
      </c>
      <c r="C33" s="262" t="s">
        <v>638</v>
      </c>
      <c r="D33" s="261" t="s">
        <v>578</v>
      </c>
      <c r="E33" s="261" t="s">
        <v>161</v>
      </c>
    </row>
    <row r="34" spans="1:5">
      <c r="A34" s="265">
        <v>1412000086</v>
      </c>
      <c r="B34" s="263" t="s">
        <v>429</v>
      </c>
      <c r="C34" s="262" t="s">
        <v>639</v>
      </c>
      <c r="D34" s="261" t="s">
        <v>578</v>
      </c>
      <c r="E34" s="261" t="s">
        <v>160</v>
      </c>
    </row>
    <row r="35" spans="1:5">
      <c r="A35" s="265">
        <v>1412000063</v>
      </c>
      <c r="B35" s="263" t="s">
        <v>668</v>
      </c>
      <c r="C35" s="262" t="s">
        <v>602</v>
      </c>
      <c r="D35" s="261" t="s">
        <v>444</v>
      </c>
      <c r="E35" s="261" t="s">
        <v>159</v>
      </c>
    </row>
    <row r="36" spans="1:5">
      <c r="A36" s="265">
        <v>1412000066</v>
      </c>
      <c r="B36" s="263" t="s">
        <v>420</v>
      </c>
      <c r="C36" s="262" t="s">
        <v>595</v>
      </c>
      <c r="D36" s="261" t="s">
        <v>159</v>
      </c>
      <c r="E36" s="261" t="s">
        <v>159</v>
      </c>
    </row>
    <row r="37" spans="1:5">
      <c r="A37" s="265">
        <v>1412000035</v>
      </c>
      <c r="B37" s="263" t="s">
        <v>587</v>
      </c>
      <c r="C37" s="262" t="s">
        <v>610</v>
      </c>
      <c r="D37" s="261" t="s">
        <v>576</v>
      </c>
      <c r="E37" s="261" t="s">
        <v>159</v>
      </c>
    </row>
    <row r="38" spans="1:5">
      <c r="A38" s="265">
        <v>1412000016</v>
      </c>
      <c r="B38" s="263" t="s">
        <v>584</v>
      </c>
      <c r="C38" s="262" t="s">
        <v>617</v>
      </c>
      <c r="D38" s="261" t="s">
        <v>576</v>
      </c>
      <c r="E38" s="261" t="s">
        <v>159</v>
      </c>
    </row>
    <row r="39" spans="1:5">
      <c r="A39" s="265">
        <v>1412000069</v>
      </c>
      <c r="B39" s="263" t="s">
        <v>585</v>
      </c>
      <c r="C39" s="262" t="s">
        <v>618</v>
      </c>
      <c r="D39" s="261" t="s">
        <v>576</v>
      </c>
      <c r="E39" s="261" t="s">
        <v>159</v>
      </c>
    </row>
    <row r="40" spans="1:5">
      <c r="A40" s="265">
        <v>1412000070</v>
      </c>
      <c r="B40" s="263" t="s">
        <v>589</v>
      </c>
      <c r="C40" s="262" t="s">
        <v>631</v>
      </c>
      <c r="D40" s="261" t="s">
        <v>577</v>
      </c>
      <c r="E40" s="261" t="s">
        <v>159</v>
      </c>
    </row>
    <row r="41" spans="1:5">
      <c r="A41" s="265">
        <v>1412000072</v>
      </c>
      <c r="B41" s="263" t="s">
        <v>647</v>
      </c>
      <c r="C41" s="262" t="s">
        <v>612</v>
      </c>
      <c r="D41" s="261" t="s">
        <v>444</v>
      </c>
      <c r="E41" s="261" t="s">
        <v>161</v>
      </c>
    </row>
    <row r="42" spans="1:5">
      <c r="A42" s="265">
        <v>1412000073</v>
      </c>
      <c r="B42" s="263" t="s">
        <v>586</v>
      </c>
      <c r="C42" s="262" t="s">
        <v>613</v>
      </c>
      <c r="D42" s="261" t="s">
        <v>444</v>
      </c>
      <c r="E42" s="261" t="s">
        <v>159</v>
      </c>
    </row>
    <row r="43" spans="1:5">
      <c r="A43" s="264">
        <v>1412000075</v>
      </c>
      <c r="B43" s="263" t="s">
        <v>583</v>
      </c>
      <c r="C43" s="262" t="s">
        <v>598</v>
      </c>
      <c r="D43" s="261" t="s">
        <v>444</v>
      </c>
      <c r="E43" s="261" t="s">
        <v>159</v>
      </c>
    </row>
    <row r="44" spans="1:5">
      <c r="A44" s="264">
        <v>1412000057</v>
      </c>
      <c r="B44" s="263" t="s">
        <v>623</v>
      </c>
      <c r="C44" s="262" t="s">
        <v>624</v>
      </c>
      <c r="D44" s="261" t="s">
        <v>159</v>
      </c>
      <c r="E44" s="261" t="s">
        <v>159</v>
      </c>
    </row>
    <row r="45" spans="1:5">
      <c r="A45" s="265">
        <v>1412000078</v>
      </c>
      <c r="B45" s="263" t="s">
        <v>669</v>
      </c>
      <c r="C45" s="262" t="s">
        <v>625</v>
      </c>
      <c r="D45" s="261" t="s">
        <v>159</v>
      </c>
      <c r="E45" s="261" t="s">
        <v>159</v>
      </c>
    </row>
    <row r="46" spans="1:5">
      <c r="A46" s="264">
        <v>1412000081</v>
      </c>
      <c r="B46" s="263" t="s">
        <v>648</v>
      </c>
      <c r="C46" s="262" t="s">
        <v>641</v>
      </c>
      <c r="D46" s="261" t="s">
        <v>159</v>
      </c>
      <c r="E46" s="261" t="s">
        <v>159</v>
      </c>
    </row>
    <row r="47" spans="1:5">
      <c r="A47" s="264">
        <v>1412000083</v>
      </c>
      <c r="B47" s="263" t="s">
        <v>649</v>
      </c>
      <c r="C47" s="262" t="s">
        <v>651</v>
      </c>
      <c r="D47" s="261" t="s">
        <v>159</v>
      </c>
      <c r="E47" s="261" t="s">
        <v>159</v>
      </c>
    </row>
    <row r="48" spans="1:5">
      <c r="A48" s="264">
        <v>1412000084</v>
      </c>
      <c r="B48" s="261" t="s">
        <v>650</v>
      </c>
      <c r="C48" s="262" t="s">
        <v>655</v>
      </c>
      <c r="D48" s="261" t="s">
        <v>576</v>
      </c>
      <c r="E48" s="261" t="s">
        <v>159</v>
      </c>
    </row>
    <row r="49" spans="1:5">
      <c r="A49" s="264">
        <v>1412000087</v>
      </c>
      <c r="B49" s="263" t="s">
        <v>652</v>
      </c>
      <c r="C49" s="262" t="s">
        <v>656</v>
      </c>
      <c r="D49" s="261" t="s">
        <v>444</v>
      </c>
      <c r="E49" s="261" t="s">
        <v>159</v>
      </c>
    </row>
    <row r="50" spans="1:5">
      <c r="A50" s="264">
        <v>1412000088</v>
      </c>
      <c r="B50" s="261" t="s">
        <v>653</v>
      </c>
      <c r="C50" s="262" t="s">
        <v>657</v>
      </c>
      <c r="D50" s="261" t="s">
        <v>444</v>
      </c>
      <c r="E50" s="261" t="s">
        <v>159</v>
      </c>
    </row>
    <row r="51" spans="1:5">
      <c r="A51" s="264">
        <v>1412000089</v>
      </c>
      <c r="B51" s="261" t="s">
        <v>654</v>
      </c>
      <c r="C51" s="262" t="s">
        <v>658</v>
      </c>
      <c r="D51" s="261" t="s">
        <v>576</v>
      </c>
      <c r="E51" s="261" t="s">
        <v>159</v>
      </c>
    </row>
    <row r="52" spans="1:5">
      <c r="A52" s="264">
        <v>1412000091</v>
      </c>
      <c r="B52" s="261" t="s">
        <v>661</v>
      </c>
      <c r="C52" s="266" t="s">
        <v>660</v>
      </c>
      <c r="D52" s="261" t="s">
        <v>578</v>
      </c>
      <c r="E52" s="261" t="s">
        <v>160</v>
      </c>
    </row>
    <row r="53" spans="1:5">
      <c r="A53" s="264">
        <v>1412000092</v>
      </c>
      <c r="B53" s="261" t="s">
        <v>662</v>
      </c>
      <c r="C53" s="266" t="s">
        <v>663</v>
      </c>
      <c r="D53" s="261" t="s">
        <v>576</v>
      </c>
      <c r="E53" s="261" t="s">
        <v>159</v>
      </c>
    </row>
    <row r="54" spans="1:5">
      <c r="A54" s="264">
        <v>1412000093</v>
      </c>
      <c r="B54" s="261" t="s">
        <v>670</v>
      </c>
      <c r="C54" s="266" t="s">
        <v>664</v>
      </c>
      <c r="D54" s="261" t="s">
        <v>578</v>
      </c>
      <c r="E54" s="261" t="s">
        <v>160</v>
      </c>
    </row>
    <row r="55" spans="1:5">
      <c r="A55" s="264">
        <v>1412000094</v>
      </c>
      <c r="B55" s="261" t="s">
        <v>671</v>
      </c>
      <c r="C55" s="266" t="s">
        <v>682</v>
      </c>
      <c r="D55" s="261" t="s">
        <v>444</v>
      </c>
      <c r="E55" s="261" t="s">
        <v>159</v>
      </c>
    </row>
    <row r="56" spans="1:5">
      <c r="A56" s="264">
        <v>1412000096</v>
      </c>
      <c r="B56" s="263" t="s">
        <v>672</v>
      </c>
      <c r="C56" s="266" t="s">
        <v>683</v>
      </c>
      <c r="D56" s="261" t="s">
        <v>159</v>
      </c>
      <c r="E56" s="261" t="s">
        <v>159</v>
      </c>
    </row>
    <row r="57" spans="1:5">
      <c r="A57" s="264">
        <v>1412000098</v>
      </c>
      <c r="B57" s="261" t="s">
        <v>680</v>
      </c>
      <c r="C57" s="266" t="s">
        <v>684</v>
      </c>
      <c r="D57" s="261" t="s">
        <v>159</v>
      </c>
      <c r="E57" s="261" t="s">
        <v>159</v>
      </c>
    </row>
    <row r="58" spans="1:5">
      <c r="A58" s="264">
        <v>1412000099</v>
      </c>
      <c r="B58" s="261" t="s">
        <v>681</v>
      </c>
      <c r="C58" s="266" t="s">
        <v>685</v>
      </c>
      <c r="D58" s="261" t="s">
        <v>159</v>
      </c>
      <c r="E58" s="261" t="s">
        <v>159</v>
      </c>
    </row>
  </sheetData>
  <autoFilter ref="A1:K479" xr:uid="{1F55851A-0170-4F4C-ABB3-3596ACDC9F3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11C-0002-49B3-AB99-1DCF8D1D653B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22"/>
  </cols>
  <sheetData>
    <row r="2" spans="1:2">
      <c r="A2" s="122" t="s">
        <v>674</v>
      </c>
      <c r="B2" s="222" t="s">
        <v>401</v>
      </c>
    </row>
    <row r="3" spans="1:2" ht="15">
      <c r="A3" s="91">
        <v>4</v>
      </c>
      <c r="B3" s="223">
        <v>20</v>
      </c>
    </row>
    <row r="4" spans="1:2" ht="15">
      <c r="A4" s="91">
        <v>5</v>
      </c>
      <c r="B4" s="223">
        <v>19</v>
      </c>
    </row>
    <row r="5" spans="1:2" ht="15">
      <c r="A5" s="91">
        <v>6</v>
      </c>
      <c r="B5" s="223">
        <v>21</v>
      </c>
    </row>
    <row r="6" spans="1:2" ht="15">
      <c r="A6" s="91">
        <v>7</v>
      </c>
      <c r="B6" s="223">
        <v>23</v>
      </c>
    </row>
    <row r="7" spans="1:2" ht="15">
      <c r="A7" s="91">
        <v>8</v>
      </c>
      <c r="B7" s="223">
        <v>20</v>
      </c>
    </row>
    <row r="8" spans="1:2" ht="15">
      <c r="A8" s="91">
        <v>9</v>
      </c>
      <c r="B8" s="223">
        <v>19</v>
      </c>
    </row>
    <row r="9" spans="1:2" ht="15">
      <c r="A9" s="91">
        <v>10</v>
      </c>
      <c r="B9" s="223">
        <v>23</v>
      </c>
    </row>
    <row r="10" spans="1:2" ht="15">
      <c r="A10" s="91">
        <v>11</v>
      </c>
      <c r="B10" s="223">
        <v>20</v>
      </c>
    </row>
    <row r="11" spans="1:2" ht="15">
      <c r="A11" s="91">
        <v>12</v>
      </c>
      <c r="B11" s="223">
        <v>22</v>
      </c>
    </row>
    <row r="12" spans="1:2" ht="15">
      <c r="A12" s="91">
        <v>1</v>
      </c>
      <c r="B12" s="223">
        <v>20</v>
      </c>
    </row>
    <row r="13" spans="1:2" ht="15">
      <c r="A13" s="91">
        <v>2</v>
      </c>
      <c r="B13" s="223">
        <v>15</v>
      </c>
    </row>
    <row r="14" spans="1:2" ht="15">
      <c r="A14" s="91">
        <v>3</v>
      </c>
      <c r="B14" s="223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Lâm Thị Phương Thúy(Lam Thi Phuong Thuy)</cp:lastModifiedBy>
  <cp:lastPrinted>2017-10-06T02:39:42Z</cp:lastPrinted>
  <dcterms:created xsi:type="dcterms:W3CDTF">2002-04-10T08:05:47Z</dcterms:created>
  <dcterms:modified xsi:type="dcterms:W3CDTF">2025-03-25T02:12:37Z</dcterms:modified>
</cp:coreProperties>
</file>