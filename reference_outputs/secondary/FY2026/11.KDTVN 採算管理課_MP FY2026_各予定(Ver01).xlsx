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257B0166-D9E6-4BAF-9B40-FCF27750AEE0}" xr6:coauthVersionLast="47" xr6:coauthVersionMax="47" xr10:uidLastSave="{00000000-0000-0000-0000-000000000000}"/>
  <bookViews>
    <workbookView xWindow="-120" yWindow="-120" windowWidth="21840" windowHeight="1314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'内訳ﾘｽﾄ(4～3月)'!$A$7:$T$770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10" l="1"/>
  <c r="N53" i="10"/>
  <c r="M62" i="10"/>
  <c r="I62" i="10"/>
  <c r="P56" i="10"/>
  <c r="P60" i="10"/>
  <c r="N58" i="10"/>
  <c r="M61" i="10"/>
  <c r="M57" i="10"/>
  <c r="L54" i="10"/>
  <c r="K55" i="10"/>
  <c r="K54" i="10"/>
  <c r="J47" i="10"/>
  <c r="J46" i="10"/>
  <c r="J45" i="10"/>
  <c r="J44" i="10"/>
  <c r="I45" i="10"/>
  <c r="I44" i="10"/>
  <c r="I43" i="10"/>
  <c r="J41" i="10"/>
  <c r="J40" i="10"/>
  <c r="J39" i="10"/>
  <c r="I52" i="10"/>
  <c r="H65" i="10"/>
  <c r="G59" i="10"/>
  <c r="G53" i="10"/>
  <c r="G49" i="10"/>
  <c r="G48" i="10"/>
  <c r="G47" i="10"/>
  <c r="G46" i="10"/>
  <c r="G45" i="10"/>
  <c r="G44" i="10"/>
  <c r="G43" i="10"/>
  <c r="G42" i="10"/>
  <c r="G41" i="10"/>
  <c r="G40" i="10"/>
  <c r="G39" i="10"/>
  <c r="F62" i="10"/>
  <c r="F49" i="10"/>
  <c r="F48" i="10"/>
  <c r="F47" i="10"/>
  <c r="F46" i="10"/>
  <c r="F45" i="10"/>
  <c r="F44" i="10"/>
  <c r="F43" i="10"/>
  <c r="F42" i="10"/>
  <c r="F41" i="10"/>
  <c r="F40" i="10"/>
  <c r="F39" i="10"/>
  <c r="Q50" i="10" l="1"/>
  <c r="P50" i="10"/>
  <c r="O50" i="10"/>
  <c r="N50" i="10"/>
  <c r="M50" i="10"/>
  <c r="L50" i="10"/>
  <c r="K50" i="10"/>
  <c r="J50" i="10"/>
  <c r="I50" i="10"/>
  <c r="H50" i="10"/>
  <c r="G50" i="10"/>
  <c r="Q49" i="10"/>
  <c r="P49" i="10"/>
  <c r="O49" i="10"/>
  <c r="N49" i="10"/>
  <c r="M49" i="10"/>
  <c r="L49" i="10"/>
  <c r="K49" i="10"/>
  <c r="J49" i="10"/>
  <c r="I49" i="10"/>
  <c r="H49" i="10"/>
  <c r="Q48" i="10"/>
  <c r="P48" i="10"/>
  <c r="O48" i="10"/>
  <c r="N48" i="10"/>
  <c r="M48" i="10"/>
  <c r="L48" i="10"/>
  <c r="K48" i="10"/>
  <c r="J48" i="10"/>
  <c r="I48" i="10"/>
  <c r="H48" i="10"/>
  <c r="Q47" i="10"/>
  <c r="P47" i="10"/>
  <c r="O47" i="10"/>
  <c r="N47" i="10"/>
  <c r="M47" i="10"/>
  <c r="L47" i="10"/>
  <c r="K47" i="10"/>
  <c r="I47" i="10"/>
  <c r="H47" i="10"/>
  <c r="Q46" i="10"/>
  <c r="P46" i="10"/>
  <c r="O46" i="10"/>
  <c r="N46" i="10"/>
  <c r="M46" i="10"/>
  <c r="L46" i="10"/>
  <c r="K46" i="10"/>
  <c r="I46" i="10"/>
  <c r="H46" i="10"/>
  <c r="Q45" i="10"/>
  <c r="P45" i="10"/>
  <c r="O45" i="10"/>
  <c r="N45" i="10"/>
  <c r="M45" i="10"/>
  <c r="L45" i="10"/>
  <c r="K45" i="10"/>
  <c r="H45" i="10"/>
  <c r="Q44" i="10"/>
  <c r="P44" i="10"/>
  <c r="O44" i="10"/>
  <c r="N44" i="10"/>
  <c r="M44" i="10"/>
  <c r="L44" i="10"/>
  <c r="K44" i="10"/>
  <c r="H44" i="10"/>
  <c r="Q43" i="10"/>
  <c r="P43" i="10"/>
  <c r="O43" i="10"/>
  <c r="N43" i="10"/>
  <c r="M43" i="10"/>
  <c r="L43" i="10"/>
  <c r="K43" i="10"/>
  <c r="J43" i="10"/>
  <c r="H43" i="10"/>
  <c r="Q42" i="10"/>
  <c r="P42" i="10"/>
  <c r="O42" i="10"/>
  <c r="N42" i="10"/>
  <c r="M42" i="10"/>
  <c r="L42" i="10"/>
  <c r="K42" i="10"/>
  <c r="J42" i="10"/>
  <c r="I42" i="10"/>
  <c r="H42" i="10"/>
  <c r="Q41" i="10"/>
  <c r="P41" i="10"/>
  <c r="O41" i="10"/>
  <c r="N41" i="10"/>
  <c r="M41" i="10"/>
  <c r="L41" i="10"/>
  <c r="K41" i="10"/>
  <c r="I41" i="10"/>
  <c r="H41" i="10"/>
  <c r="Q40" i="10"/>
  <c r="P40" i="10"/>
  <c r="O40" i="10"/>
  <c r="N40" i="10"/>
  <c r="M40" i="10"/>
  <c r="L40" i="10"/>
  <c r="K40" i="10"/>
  <c r="I40" i="10"/>
  <c r="H40" i="10"/>
  <c r="Q39" i="10"/>
  <c r="P39" i="10"/>
  <c r="O39" i="10"/>
  <c r="N39" i="10"/>
  <c r="M39" i="10"/>
  <c r="L39" i="10"/>
  <c r="K39" i="10"/>
  <c r="I39" i="10"/>
  <c r="H39" i="10"/>
  <c r="F50" i="10"/>
  <c r="F53" i="10" l="1"/>
  <c r="F2" i="10" l="1"/>
  <c r="G2" i="10"/>
  <c r="G17" i="10" s="1"/>
  <c r="D74" i="5" s="1"/>
  <c r="D74" i="32" s="1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O72" i="5" s="1"/>
  <c r="H2" i="36"/>
  <c r="G2" i="36"/>
  <c r="F2" i="36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D97" i="32" s="1"/>
  <c r="C97" i="5"/>
  <c r="C97" i="32" s="1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G88" i="5"/>
  <c r="G88" i="32" s="1"/>
  <c r="F88" i="5"/>
  <c r="F88" i="32" s="1"/>
  <c r="E88" i="5"/>
  <c r="E88" i="32" s="1"/>
  <c r="D88" i="5"/>
  <c r="C88" i="5"/>
  <c r="C88" i="32" s="1"/>
  <c r="N87" i="5"/>
  <c r="N87" i="32" s="1"/>
  <c r="M87" i="5"/>
  <c r="M87" i="32" s="1"/>
  <c r="L87" i="5"/>
  <c r="K87" i="5"/>
  <c r="K89" i="5" s="1"/>
  <c r="J87" i="5"/>
  <c r="J87" i="32" s="1"/>
  <c r="I87" i="5"/>
  <c r="I89" i="5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6" i="10"/>
  <c r="R15" i="10"/>
  <c r="R14" i="10"/>
  <c r="R13" i="10"/>
  <c r="R12" i="10"/>
  <c r="R11" i="10"/>
  <c r="R10" i="10"/>
  <c r="R8" i="10"/>
  <c r="C5" i="10"/>
  <c r="B2" i="5" s="1"/>
  <c r="B2" i="32" s="1"/>
  <c r="N1" i="32"/>
  <c r="Q2" i="10"/>
  <c r="Q17" i="10" s="1"/>
  <c r="P2" i="10"/>
  <c r="P17" i="10" s="1"/>
  <c r="O2" i="10"/>
  <c r="N2" i="10"/>
  <c r="M2" i="10"/>
  <c r="L2" i="10"/>
  <c r="K2" i="10"/>
  <c r="K17" i="10" s="1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D98" i="5" l="1"/>
  <c r="D98" i="32" s="1"/>
  <c r="D99" i="32" s="1"/>
  <c r="M9" i="10"/>
  <c r="J93" i="5" s="1"/>
  <c r="J93" i="32" s="1"/>
  <c r="J94" i="32" s="1"/>
  <c r="M17" i="10"/>
  <c r="J9" i="10"/>
  <c r="G93" i="5" s="1"/>
  <c r="J17" i="10"/>
  <c r="I9" i="10"/>
  <c r="F68" i="5" s="1"/>
  <c r="I17" i="10"/>
  <c r="Q9" i="10"/>
  <c r="N68" i="5" s="1"/>
  <c r="N68" i="32" s="1"/>
  <c r="N9" i="10"/>
  <c r="K93" i="5" s="1"/>
  <c r="N17" i="10"/>
  <c r="K9" i="10"/>
  <c r="H93" i="5" s="1"/>
  <c r="O9" i="10"/>
  <c r="L93" i="5" s="1"/>
  <c r="L93" i="32" s="1"/>
  <c r="O17" i="10"/>
  <c r="H9" i="10"/>
  <c r="E93" i="5" s="1"/>
  <c r="E93" i="32" s="1"/>
  <c r="H17" i="10"/>
  <c r="L9" i="10"/>
  <c r="I68" i="5" s="1"/>
  <c r="L17" i="10"/>
  <c r="P9" i="10"/>
  <c r="M93" i="5" s="1"/>
  <c r="M93" i="32" s="1"/>
  <c r="M94" i="32" s="1"/>
  <c r="F9" i="10"/>
  <c r="F17" i="10"/>
  <c r="G9" i="10"/>
  <c r="C63" i="10"/>
  <c r="D63" i="10" s="1"/>
  <c r="J69" i="5"/>
  <c r="J69" i="32" s="1"/>
  <c r="C285" i="10"/>
  <c r="D285" i="10" s="1"/>
  <c r="E72" i="5"/>
  <c r="E72" i="32" s="1"/>
  <c r="K75" i="5"/>
  <c r="K75" i="32" s="1"/>
  <c r="D77" i="5"/>
  <c r="D77" i="32" s="1"/>
  <c r="O78" i="5"/>
  <c r="M69" i="5"/>
  <c r="M69" i="32" s="1"/>
  <c r="J75" i="5"/>
  <c r="J75" i="32" s="1"/>
  <c r="H71" i="5"/>
  <c r="H71" i="32" s="1"/>
  <c r="I77" i="5"/>
  <c r="I77" i="32" s="1"/>
  <c r="H75" i="5"/>
  <c r="H75" i="32" s="1"/>
  <c r="G78" i="5"/>
  <c r="G78" i="32" s="1"/>
  <c r="C78" i="5"/>
  <c r="C78" i="32" s="1"/>
  <c r="G75" i="5"/>
  <c r="G75" i="32" s="1"/>
  <c r="K72" i="5"/>
  <c r="K72" i="32" s="1"/>
  <c r="H69" i="5"/>
  <c r="H69" i="32" s="1"/>
  <c r="H77" i="5"/>
  <c r="H77" i="32" s="1"/>
  <c r="E78" i="5"/>
  <c r="E78" i="32" s="1"/>
  <c r="O69" i="5"/>
  <c r="D69" i="5"/>
  <c r="D69" i="32" s="1"/>
  <c r="C75" i="5"/>
  <c r="C75" i="32" s="1"/>
  <c r="O75" i="5"/>
  <c r="L69" i="5"/>
  <c r="L69" i="32" s="1"/>
  <c r="N71" i="5"/>
  <c r="N71" i="32" s="1"/>
  <c r="O71" i="5"/>
  <c r="E71" i="5"/>
  <c r="E71" i="32" s="1"/>
  <c r="M77" i="5"/>
  <c r="M77" i="32" s="1"/>
  <c r="I75" i="5"/>
  <c r="I75" i="32" s="1"/>
  <c r="K77" i="5"/>
  <c r="K77" i="32" s="1"/>
  <c r="M75" i="5"/>
  <c r="M75" i="32" s="1"/>
  <c r="D71" i="5"/>
  <c r="D71" i="32" s="1"/>
  <c r="D75" i="5"/>
  <c r="D75" i="32" s="1"/>
  <c r="L75" i="5"/>
  <c r="L75" i="32" s="1"/>
  <c r="D72" i="5"/>
  <c r="D72" i="32" s="1"/>
  <c r="F69" i="5"/>
  <c r="F69" i="32" s="1"/>
  <c r="C71" i="5"/>
  <c r="C71" i="32" s="1"/>
  <c r="L72" i="5"/>
  <c r="L72" i="32" s="1"/>
  <c r="L78" i="5"/>
  <c r="L78" i="32" s="1"/>
  <c r="F77" i="5"/>
  <c r="F77" i="32" s="1"/>
  <c r="K69" i="5"/>
  <c r="K69" i="32" s="1"/>
  <c r="C77" i="5"/>
  <c r="C77" i="32" s="1"/>
  <c r="J78" i="5"/>
  <c r="J78" i="32" s="1"/>
  <c r="F72" i="5"/>
  <c r="F72" i="32" s="1"/>
  <c r="M72" i="5"/>
  <c r="M72" i="32" s="1"/>
  <c r="K78" i="5"/>
  <c r="K78" i="32" s="1"/>
  <c r="G69" i="5"/>
  <c r="M71" i="5"/>
  <c r="M71" i="32" s="1"/>
  <c r="N69" i="5"/>
  <c r="N69" i="32" s="1"/>
  <c r="K71" i="5"/>
  <c r="K71" i="32" s="1"/>
  <c r="N75" i="5"/>
  <c r="N75" i="32" s="1"/>
  <c r="I72" i="5"/>
  <c r="I72" i="32" s="1"/>
  <c r="C72" i="5"/>
  <c r="C72" i="32" s="1"/>
  <c r="N77" i="5"/>
  <c r="N77" i="32" s="1"/>
  <c r="I69" i="5"/>
  <c r="I69" i="32" s="1"/>
  <c r="G72" i="5"/>
  <c r="G72" i="32" s="1"/>
  <c r="N78" i="5"/>
  <c r="N78" i="32" s="1"/>
  <c r="M78" i="5"/>
  <c r="M78" i="32" s="1"/>
  <c r="N72" i="5"/>
  <c r="N72" i="32" s="1"/>
  <c r="C775" i="10"/>
  <c r="D775" i="10" s="1"/>
  <c r="C65" i="10"/>
  <c r="D65" i="10" s="1"/>
  <c r="F78" i="5"/>
  <c r="F78" i="32" s="1"/>
  <c r="J72" i="5"/>
  <c r="J72" i="32" s="1"/>
  <c r="C69" i="5"/>
  <c r="C69" i="32" s="1"/>
  <c r="J77" i="5"/>
  <c r="J77" i="32" s="1"/>
  <c r="E75" i="5"/>
  <c r="E75" i="32" s="1"/>
  <c r="G71" i="5"/>
  <c r="G71" i="32" s="1"/>
  <c r="G77" i="5"/>
  <c r="G77" i="32" s="1"/>
  <c r="I78" i="5"/>
  <c r="I78" i="32" s="1"/>
  <c r="H72" i="5"/>
  <c r="H72" i="32" s="1"/>
  <c r="L71" i="5"/>
  <c r="L71" i="32" s="1"/>
  <c r="O77" i="5"/>
  <c r="D78" i="5"/>
  <c r="D78" i="32" s="1"/>
  <c r="E69" i="5"/>
  <c r="E69" i="32" s="1"/>
  <c r="F75" i="5"/>
  <c r="F75" i="32" s="1"/>
  <c r="L77" i="5"/>
  <c r="L77" i="32" s="1"/>
  <c r="E77" i="5"/>
  <c r="E77" i="32" s="1"/>
  <c r="J71" i="5"/>
  <c r="J71" i="32" s="1"/>
  <c r="I71" i="5"/>
  <c r="I71" i="32" s="1"/>
  <c r="F71" i="5"/>
  <c r="F71" i="32" s="1"/>
  <c r="H78" i="5"/>
  <c r="H78" i="32" s="1"/>
  <c r="F97" i="32"/>
  <c r="C683" i="10"/>
  <c r="D683" i="10" s="1"/>
  <c r="C460" i="10"/>
  <c r="D460" i="10" s="1"/>
  <c r="C959" i="10"/>
  <c r="D959" i="10" s="1"/>
  <c r="C732" i="10"/>
  <c r="D732" i="10" s="1"/>
  <c r="C673" i="10"/>
  <c r="D673" i="10" s="1"/>
  <c r="C658" i="10"/>
  <c r="D658" i="10" s="1"/>
  <c r="C354" i="10"/>
  <c r="D354" i="10" s="1"/>
  <c r="C94" i="10"/>
  <c r="D94" i="10" s="1"/>
  <c r="C442" i="10"/>
  <c r="D442" i="10" s="1"/>
  <c r="C236" i="10"/>
  <c r="D236" i="10" s="1"/>
  <c r="O92" i="5"/>
  <c r="C823" i="10"/>
  <c r="D823" i="10" s="1"/>
  <c r="C463" i="10"/>
  <c r="D463" i="10" s="1"/>
  <c r="K87" i="32"/>
  <c r="K89" i="32" s="1"/>
  <c r="M89" i="32"/>
  <c r="O97" i="5"/>
  <c r="G89" i="32"/>
  <c r="R29" i="10"/>
  <c r="L89" i="5"/>
  <c r="E89" i="32"/>
  <c r="M89" i="5"/>
  <c r="C797" i="10"/>
  <c r="D797" i="10" s="1"/>
  <c r="C306" i="10"/>
  <c r="D306" i="10" s="1"/>
  <c r="I87" i="32"/>
  <c r="I89" i="32" s="1"/>
  <c r="F89" i="32"/>
  <c r="N89" i="32"/>
  <c r="R5" i="10"/>
  <c r="L87" i="32"/>
  <c r="L89" i="32" s="1"/>
  <c r="O89" i="5"/>
  <c r="R28" i="10"/>
  <c r="E89" i="5"/>
  <c r="R26" i="10"/>
  <c r="R27" i="10"/>
  <c r="J89" i="32"/>
  <c r="D76" i="5"/>
  <c r="D76" i="32" s="1"/>
  <c r="D89" i="5"/>
  <c r="G89" i="5"/>
  <c r="N89" i="5"/>
  <c r="H88" i="32"/>
  <c r="H89" i="32" s="1"/>
  <c r="H89" i="5"/>
  <c r="C134" i="10"/>
  <c r="D134" i="10" s="1"/>
  <c r="C420" i="10"/>
  <c r="D420" i="10" s="1"/>
  <c r="C871" i="10"/>
  <c r="D871" i="10" s="1"/>
  <c r="D1" i="21"/>
  <c r="C318" i="10"/>
  <c r="D318" i="10" s="1"/>
  <c r="C877" i="10"/>
  <c r="D877" i="10" s="1"/>
  <c r="C561" i="10"/>
  <c r="D561" i="10" s="1"/>
  <c r="C819" i="10"/>
  <c r="D819" i="10" s="1"/>
  <c r="C560" i="10"/>
  <c r="D560" i="10" s="1"/>
  <c r="C918" i="10"/>
  <c r="D918" i="10" s="1"/>
  <c r="C694" i="10"/>
  <c r="D694" i="10" s="1"/>
  <c r="C943" i="10"/>
  <c r="D943" i="10" s="1"/>
  <c r="C261" i="10"/>
  <c r="D261" i="10" s="1"/>
  <c r="C701" i="10"/>
  <c r="D701" i="10" s="1"/>
  <c r="C275" i="10"/>
  <c r="D275" i="10" s="1"/>
  <c r="C869" i="10"/>
  <c r="D869" i="10" s="1"/>
  <c r="C552" i="10"/>
  <c r="D552" i="10" s="1"/>
  <c r="C344" i="10"/>
  <c r="D344" i="10" s="1"/>
  <c r="C445" i="10"/>
  <c r="D445" i="10" s="1"/>
  <c r="C435" i="10"/>
  <c r="D435" i="10" s="1"/>
  <c r="C677" i="10"/>
  <c r="D677" i="10" s="1"/>
  <c r="C687" i="10"/>
  <c r="D687" i="10" s="1"/>
  <c r="C438" i="10"/>
  <c r="D438" i="10" s="1"/>
  <c r="C824" i="10"/>
  <c r="D824" i="10" s="1"/>
  <c r="C473" i="10"/>
  <c r="D473" i="10" s="1"/>
  <c r="C932" i="10"/>
  <c r="D932" i="10" s="1"/>
  <c r="C644" i="10"/>
  <c r="D644" i="10" s="1"/>
  <c r="C754" i="10"/>
  <c r="D754" i="10" s="1"/>
  <c r="C497" i="10"/>
  <c r="D497" i="10" s="1"/>
  <c r="C59" i="10"/>
  <c r="D59" i="10" s="1"/>
  <c r="C162" i="10"/>
  <c r="D162" i="10" s="1"/>
  <c r="C919" i="10"/>
  <c r="D919" i="10" s="1"/>
  <c r="C873" i="10"/>
  <c r="D873" i="10" s="1"/>
  <c r="C695" i="10"/>
  <c r="D695" i="10" s="1"/>
  <c r="C155" i="10"/>
  <c r="D155" i="10" s="1"/>
  <c r="C630" i="10"/>
  <c r="D630" i="10" s="1"/>
  <c r="C168" i="10"/>
  <c r="D168" i="10" s="1"/>
  <c r="C399" i="10"/>
  <c r="D399" i="10" s="1"/>
  <c r="C640" i="10"/>
  <c r="D640" i="10" s="1"/>
  <c r="C548" i="10"/>
  <c r="D548" i="10" s="1"/>
  <c r="C433" i="10"/>
  <c r="D433" i="10" s="1"/>
  <c r="C146" i="10"/>
  <c r="D146" i="10" s="1"/>
  <c r="C309" i="10"/>
  <c r="D309" i="10" s="1"/>
  <c r="C362" i="10"/>
  <c r="D362" i="10" s="1"/>
  <c r="C573" i="10"/>
  <c r="D573" i="10" s="1"/>
  <c r="C277" i="10"/>
  <c r="D277" i="10" s="1"/>
  <c r="C475" i="10"/>
  <c r="D475" i="10" s="1"/>
  <c r="C592" i="10"/>
  <c r="D592" i="10" s="1"/>
  <c r="C389" i="10"/>
  <c r="D389" i="10" s="1"/>
  <c r="C88" i="10"/>
  <c r="D88" i="10" s="1"/>
  <c r="C176" i="10"/>
  <c r="D176" i="10" s="1"/>
  <c r="C957" i="10"/>
  <c r="D957" i="10" s="1"/>
  <c r="C850" i="10"/>
  <c r="D850" i="10" s="1"/>
  <c r="C82" i="10"/>
  <c r="D82" i="10" s="1"/>
  <c r="C90" i="10"/>
  <c r="D90" i="10" s="1"/>
  <c r="C835" i="10"/>
  <c r="D835" i="10" s="1"/>
  <c r="C481" i="10"/>
  <c r="D481" i="10" s="1"/>
  <c r="C220" i="10"/>
  <c r="D220" i="10" s="1"/>
  <c r="C31" i="10"/>
  <c r="D31" i="10" s="1"/>
  <c r="C119" i="10"/>
  <c r="D119" i="10" s="1"/>
  <c r="C764" i="10"/>
  <c r="D764" i="10" s="1"/>
  <c r="C195" i="10"/>
  <c r="D195" i="10" s="1"/>
  <c r="C533" i="10"/>
  <c r="D533" i="10" s="1"/>
  <c r="C269" i="10"/>
  <c r="D269" i="10" s="1"/>
  <c r="C328" i="10"/>
  <c r="D328" i="10" s="1"/>
  <c r="C151" i="10"/>
  <c r="D151" i="10" s="1"/>
  <c r="C89" i="10"/>
  <c r="D89" i="10" s="1"/>
  <c r="C639" i="10"/>
  <c r="D639" i="10" s="1"/>
  <c r="C89" i="32"/>
  <c r="C89" i="5"/>
  <c r="F89" i="5"/>
  <c r="J89" i="5"/>
  <c r="C118" i="10"/>
  <c r="D118" i="10" s="1"/>
  <c r="C208" i="10"/>
  <c r="D208" i="10" s="1"/>
  <c r="C81" i="10"/>
  <c r="D81" i="10" s="1"/>
  <c r="C141" i="10"/>
  <c r="D141" i="10" s="1"/>
  <c r="C456" i="10"/>
  <c r="D456" i="10" s="1"/>
  <c r="C838" i="10"/>
  <c r="D838" i="10" s="1"/>
  <c r="C78" i="10"/>
  <c r="D78" i="10" s="1"/>
  <c r="C813" i="10"/>
  <c r="D813" i="10" s="1"/>
  <c r="C479" i="10"/>
  <c r="D479" i="10" s="1"/>
  <c r="C325" i="10"/>
  <c r="D325" i="10" s="1"/>
  <c r="C951" i="10"/>
  <c r="D951" i="10" s="1"/>
  <c r="C963" i="10"/>
  <c r="D963" i="10" s="1"/>
  <c r="C721" i="10"/>
  <c r="D721" i="10" s="1"/>
  <c r="C528" i="10"/>
  <c r="D528" i="10" s="1"/>
  <c r="C712" i="10"/>
  <c r="D712" i="10" s="1"/>
  <c r="C650" i="10"/>
  <c r="D650" i="10" s="1"/>
  <c r="C305" i="10"/>
  <c r="D305" i="10" s="1"/>
  <c r="C727" i="10"/>
  <c r="D727" i="10" s="1"/>
  <c r="C595" i="10"/>
  <c r="D595" i="10" s="1"/>
  <c r="C380" i="10"/>
  <c r="D380" i="10" s="1"/>
  <c r="D88" i="32"/>
  <c r="C840" i="10"/>
  <c r="D840" i="10" s="1"/>
  <c r="C906" i="10"/>
  <c r="D906" i="10" s="1"/>
  <c r="C515" i="10"/>
  <c r="D515" i="10" s="1"/>
  <c r="C364" i="10"/>
  <c r="D364" i="10" s="1"/>
  <c r="C54" i="10"/>
  <c r="D54" i="10" s="1"/>
  <c r="C407" i="10"/>
  <c r="D407" i="10" s="1"/>
  <c r="C298" i="10"/>
  <c r="D298" i="10" s="1"/>
  <c r="C27" i="10"/>
  <c r="D27" i="10" s="1"/>
  <c r="C842" i="10"/>
  <c r="D842" i="10" s="1"/>
  <c r="C921" i="10"/>
  <c r="D921" i="10" s="1"/>
  <c r="C432" i="10"/>
  <c r="D432" i="10" s="1"/>
  <c r="C263" i="10"/>
  <c r="D263" i="10" s="1"/>
  <c r="C401" i="10"/>
  <c r="D401" i="10" s="1"/>
  <c r="C177" i="10"/>
  <c r="D177" i="10" s="1"/>
  <c r="C272" i="10"/>
  <c r="D272" i="10" s="1"/>
  <c r="C868" i="10"/>
  <c r="D868" i="10" s="1"/>
  <c r="C955" i="10"/>
  <c r="D955" i="10" s="1"/>
  <c r="C246" i="10"/>
  <c r="D246" i="10" s="1"/>
  <c r="C127" i="10"/>
  <c r="D127" i="10" s="1"/>
  <c r="C763" i="10"/>
  <c r="D763" i="10" s="1"/>
  <c r="C158" i="10"/>
  <c r="D158" i="10" s="1"/>
  <c r="C864" i="10"/>
  <c r="D864" i="10" s="1"/>
  <c r="C887" i="10"/>
  <c r="D887" i="10" s="1"/>
  <c r="C762" i="10"/>
  <c r="D762" i="10" s="1"/>
  <c r="C675" i="10"/>
  <c r="D675" i="10" s="1"/>
  <c r="C49" i="10"/>
  <c r="D49" i="10" s="1"/>
  <c r="C284" i="10"/>
  <c r="D284" i="10" s="1"/>
  <c r="C336" i="10"/>
  <c r="D336" i="10" s="1"/>
  <c r="C223" i="10"/>
  <c r="D223" i="10" s="1"/>
  <c r="C327" i="10"/>
  <c r="D327" i="10" s="1"/>
  <c r="C625" i="10"/>
  <c r="D625" i="10" s="1"/>
  <c r="C759" i="10"/>
  <c r="D759" i="10" s="1"/>
  <c r="C185" i="10"/>
  <c r="D185" i="10" s="1"/>
  <c r="C430" i="10"/>
  <c r="D430" i="10" s="1"/>
  <c r="C601" i="10"/>
  <c r="D601" i="10" s="1"/>
  <c r="C331" i="10"/>
  <c r="D331" i="10" s="1"/>
  <c r="C538" i="10"/>
  <c r="D538" i="10" s="1"/>
  <c r="C183" i="10"/>
  <c r="D183" i="10" s="1"/>
  <c r="C942" i="10"/>
  <c r="D942" i="10" s="1"/>
  <c r="C609" i="10"/>
  <c r="D609" i="10" s="1"/>
  <c r="C353" i="10"/>
  <c r="D353" i="10" s="1"/>
  <c r="C461" i="10"/>
  <c r="D461" i="10" s="1"/>
  <c r="C931" i="10"/>
  <c r="D931" i="10" s="1"/>
  <c r="C522" i="10"/>
  <c r="D522" i="10" s="1"/>
  <c r="C330" i="10"/>
  <c r="D330" i="10" s="1"/>
  <c r="C222" i="10"/>
  <c r="D222" i="10" s="1"/>
  <c r="C574" i="10"/>
  <c r="D574" i="10" s="1"/>
  <c r="C664" i="10"/>
  <c r="D664" i="10" s="1"/>
  <c r="C167" i="10"/>
  <c r="D167" i="10" s="1"/>
  <c r="C144" i="10"/>
  <c r="D144" i="10" s="1"/>
  <c r="C358" i="10"/>
  <c r="D358" i="10" s="1"/>
  <c r="C44" i="10"/>
  <c r="D44" i="10" s="1"/>
  <c r="C960" i="10"/>
  <c r="D960" i="10" s="1"/>
  <c r="C326" i="10"/>
  <c r="D326" i="10" s="1"/>
  <c r="C703" i="10"/>
  <c r="D703" i="10" s="1"/>
  <c r="C852" i="10"/>
  <c r="D852" i="10" s="1"/>
  <c r="C779" i="10"/>
  <c r="D779" i="10" s="1"/>
  <c r="C312" i="10"/>
  <c r="D312" i="10" s="1"/>
  <c r="C170" i="10"/>
  <c r="D170" i="10" s="1"/>
  <c r="C923" i="10"/>
  <c r="D923" i="10" s="1"/>
  <c r="C938" i="10"/>
  <c r="D938" i="10" s="1"/>
  <c r="C42" i="10"/>
  <c r="D42" i="10" s="1"/>
  <c r="C178" i="10"/>
  <c r="D178" i="10" s="1"/>
  <c r="C853" i="10"/>
  <c r="D853" i="10" s="1"/>
  <c r="C565" i="10"/>
  <c r="D565" i="10" s="1"/>
  <c r="C347" i="10"/>
  <c r="D347" i="10" s="1"/>
  <c r="C221" i="10"/>
  <c r="D221" i="10" s="1"/>
  <c r="C468" i="10"/>
  <c r="D468" i="10" s="1"/>
  <c r="C39" i="10"/>
  <c r="D39" i="10" s="1"/>
  <c r="C607" i="10"/>
  <c r="D607" i="10" s="1"/>
  <c r="C194" i="10"/>
  <c r="D194" i="10" s="1"/>
  <c r="C676" i="10"/>
  <c r="D676" i="10" s="1"/>
  <c r="C827" i="10"/>
  <c r="D827" i="10" s="1"/>
  <c r="C72" i="10"/>
  <c r="D72" i="10" s="1"/>
  <c r="C164" i="10"/>
  <c r="D164" i="10" s="1"/>
  <c r="C907" i="10"/>
  <c r="D907" i="10" s="1"/>
  <c r="C136" i="10"/>
  <c r="D136" i="10" s="1"/>
  <c r="C766" i="10"/>
  <c r="D766" i="10" s="1"/>
  <c r="C302" i="10"/>
  <c r="D302" i="10" s="1"/>
  <c r="C731" i="10"/>
  <c r="D731" i="10" s="1"/>
  <c r="C633" i="10"/>
  <c r="D633" i="10" s="1"/>
  <c r="C425" i="10"/>
  <c r="D425" i="10" s="1"/>
  <c r="C494" i="10"/>
  <c r="D494" i="10" s="1"/>
  <c r="C265" i="10"/>
  <c r="D265" i="10" s="1"/>
  <c r="C381" i="10"/>
  <c r="D381" i="10" s="1"/>
  <c r="C450" i="10"/>
  <c r="D450" i="10" s="1"/>
  <c r="C126" i="10"/>
  <c r="D126" i="10" s="1"/>
  <c r="C205" i="10"/>
  <c r="D205" i="10" s="1"/>
  <c r="C711" i="10"/>
  <c r="D711" i="10" s="1"/>
  <c r="C237" i="10"/>
  <c r="D237" i="10" s="1"/>
  <c r="C400" i="10"/>
  <c r="D400" i="10" s="1"/>
  <c r="C557" i="10"/>
  <c r="D557" i="10" s="1"/>
  <c r="C882" i="10"/>
  <c r="D882" i="10" s="1"/>
  <c r="C192" i="10"/>
  <c r="D192" i="10" s="1"/>
  <c r="C219" i="10"/>
  <c r="D219" i="10" s="1"/>
  <c r="C383" i="10"/>
  <c r="D383" i="10" s="1"/>
  <c r="C525" i="10"/>
  <c r="D525" i="10" s="1"/>
  <c r="C776" i="10"/>
  <c r="D776" i="10" s="1"/>
  <c r="C531" i="10"/>
  <c r="D531" i="10" s="1"/>
  <c r="C53" i="10"/>
  <c r="D53" i="10" s="1"/>
  <c r="C784" i="10"/>
  <c r="D784" i="10" s="1"/>
  <c r="C196" i="10"/>
  <c r="D196" i="10" s="1"/>
  <c r="C182" i="10"/>
  <c r="D182" i="10" s="1"/>
  <c r="C733" i="10"/>
  <c r="D733" i="10" s="1"/>
  <c r="C342" i="10"/>
  <c r="D342" i="10" s="1"/>
  <c r="C689" i="10"/>
  <c r="D689" i="10" s="1"/>
  <c r="C845" i="10"/>
  <c r="D845" i="10" s="1"/>
  <c r="C92" i="10"/>
  <c r="D92" i="10" s="1"/>
  <c r="C375" i="10"/>
  <c r="D375" i="10" s="1"/>
  <c r="C581" i="10"/>
  <c r="D581" i="10" s="1"/>
  <c r="C101" i="10"/>
  <c r="D101" i="10" s="1"/>
  <c r="C594" i="10"/>
  <c r="D594" i="10" s="1"/>
  <c r="C398" i="10"/>
  <c r="D398" i="10" s="1"/>
  <c r="C661" i="10"/>
  <c r="D661" i="10" s="1"/>
  <c r="C428" i="10"/>
  <c r="D428" i="10" s="1"/>
  <c r="C782" i="10"/>
  <c r="D782" i="10" s="1"/>
  <c r="C934" i="10"/>
  <c r="D934" i="10" s="1"/>
  <c r="C45" i="10"/>
  <c r="D45" i="10" s="1"/>
  <c r="C643" i="10"/>
  <c r="D643" i="10" s="1"/>
  <c r="C637" i="10"/>
  <c r="D637" i="10" s="1"/>
  <c r="C150" i="10"/>
  <c r="D150" i="10" s="1"/>
  <c r="C87" i="10"/>
  <c r="D87" i="10" s="1"/>
  <c r="C322" i="10"/>
  <c r="D322" i="10" s="1"/>
  <c r="C518" i="10"/>
  <c r="D518" i="10" s="1"/>
  <c r="C628" i="10"/>
  <c r="D628" i="10" s="1"/>
  <c r="C505" i="10"/>
  <c r="D505" i="10" s="1"/>
  <c r="C692" i="10"/>
  <c r="D692" i="10" s="1"/>
  <c r="C874" i="10"/>
  <c r="D874" i="10" s="1"/>
  <c r="C131" i="10"/>
  <c r="D131" i="10" s="1"/>
  <c r="C448" i="10"/>
  <c r="D448" i="10" s="1"/>
  <c r="C772" i="10"/>
  <c r="D772" i="10" s="1"/>
  <c r="C719" i="10"/>
  <c r="D719" i="10" s="1"/>
  <c r="C252" i="10"/>
  <c r="D252" i="10" s="1"/>
  <c r="C368" i="10"/>
  <c r="D368" i="10" s="1"/>
  <c r="C253" i="10"/>
  <c r="D253" i="10" s="1"/>
  <c r="C379" i="10"/>
  <c r="D379" i="10" s="1"/>
  <c r="C546" i="10"/>
  <c r="D546" i="10" s="1"/>
  <c r="C635" i="10"/>
  <c r="D635" i="10" s="1"/>
  <c r="C713" i="10"/>
  <c r="D713" i="10" s="1"/>
  <c r="C794" i="10"/>
  <c r="D794" i="10" s="1"/>
  <c r="C956" i="10"/>
  <c r="D956" i="10" s="1"/>
  <c r="C503" i="10"/>
  <c r="D503" i="10" s="1"/>
  <c r="C108" i="10"/>
  <c r="D108" i="10" s="1"/>
  <c r="C826" i="10"/>
  <c r="D826" i="10" s="1"/>
  <c r="C125" i="10"/>
  <c r="D125" i="10" s="1"/>
  <c r="C79" i="10"/>
  <c r="D79" i="10" s="1"/>
  <c r="C971" i="10"/>
  <c r="D971" i="10" s="1"/>
  <c r="C922" i="10"/>
  <c r="D922" i="10" s="1"/>
  <c r="C944" i="10"/>
  <c r="D944" i="10" s="1"/>
  <c r="C386" i="10"/>
  <c r="D386" i="10" s="1"/>
  <c r="C69" i="10"/>
  <c r="D69" i="10" s="1"/>
  <c r="C165" i="10"/>
  <c r="D165" i="10" s="1"/>
  <c r="C434" i="10"/>
  <c r="D434" i="10" s="1"/>
  <c r="C571" i="10"/>
  <c r="D571" i="10" s="1"/>
  <c r="C311" i="10"/>
  <c r="D311" i="10" s="1"/>
  <c r="C674" i="10"/>
  <c r="D674" i="10" s="1"/>
  <c r="C757" i="10"/>
  <c r="D757" i="10" s="1"/>
  <c r="C590" i="10"/>
  <c r="D590" i="10" s="1"/>
  <c r="C614" i="10"/>
  <c r="D614" i="10" s="1"/>
  <c r="C642" i="10"/>
  <c r="D642" i="10" s="1"/>
  <c r="C729" i="10"/>
  <c r="D729" i="10" s="1"/>
  <c r="C778" i="10"/>
  <c r="D778" i="10" s="1"/>
  <c r="C332" i="10"/>
  <c r="D332" i="10" s="1"/>
  <c r="C936" i="10"/>
  <c r="D936" i="10" s="1"/>
  <c r="C885" i="10"/>
  <c r="D885" i="10" s="1"/>
  <c r="C892" i="10"/>
  <c r="D892" i="10" s="1"/>
  <c r="C967" i="10"/>
  <c r="D967" i="10" s="1"/>
  <c r="C350" i="10"/>
  <c r="D350" i="10" s="1"/>
  <c r="C40" i="10"/>
  <c r="D40" i="10" s="1"/>
  <c r="C116" i="10"/>
  <c r="D116" i="10" s="1"/>
  <c r="C911" i="10"/>
  <c r="D911" i="10" s="1"/>
  <c r="C867" i="10"/>
  <c r="D867" i="10" s="1"/>
  <c r="C760" i="10"/>
  <c r="D760" i="10" s="1"/>
  <c r="C180" i="10"/>
  <c r="D180" i="10" s="1"/>
  <c r="C137" i="10"/>
  <c r="D137" i="10" s="1"/>
  <c r="C105" i="10"/>
  <c r="D105" i="10" s="1"/>
  <c r="C232" i="10"/>
  <c r="D232" i="10" s="1"/>
  <c r="C465" i="10"/>
  <c r="D465" i="10" s="1"/>
  <c r="C920" i="10"/>
  <c r="D920" i="10" s="1"/>
  <c r="C139" i="10"/>
  <c r="D139" i="10" s="1"/>
  <c r="C626" i="10"/>
  <c r="D626" i="10" s="1"/>
  <c r="C506" i="10"/>
  <c r="D506" i="10" s="1"/>
  <c r="C717" i="10"/>
  <c r="D717" i="10" s="1"/>
  <c r="C667" i="10"/>
  <c r="D667" i="10" s="1"/>
  <c r="C849" i="10"/>
  <c r="D849" i="10" s="1"/>
  <c r="C273" i="10"/>
  <c r="D273" i="10" s="1"/>
  <c r="C941" i="10"/>
  <c r="D941" i="10" s="1"/>
  <c r="C752" i="10"/>
  <c r="D752" i="10" s="1"/>
  <c r="C894" i="10"/>
  <c r="D894" i="10" s="1"/>
  <c r="C847" i="10"/>
  <c r="D847" i="10" s="1"/>
  <c r="C123" i="10"/>
  <c r="D123" i="10" s="1"/>
  <c r="C930" i="10"/>
  <c r="D930" i="10" s="1"/>
  <c r="C429" i="10"/>
  <c r="D429" i="10" s="1"/>
  <c r="C610" i="10"/>
  <c r="D610" i="10" s="1"/>
  <c r="C632" i="10"/>
  <c r="D632" i="10" s="1"/>
  <c r="C558" i="10"/>
  <c r="D558" i="10" s="1"/>
  <c r="C510" i="10"/>
  <c r="D510" i="10" s="1"/>
  <c r="C249" i="10"/>
  <c r="D249" i="10" s="1"/>
  <c r="C670" i="10"/>
  <c r="D670" i="10" s="1"/>
  <c r="C206" i="10"/>
  <c r="D206" i="10" s="1"/>
  <c r="C378" i="10"/>
  <c r="D378" i="10" s="1"/>
  <c r="C830" i="10"/>
  <c r="D830" i="10" s="1"/>
  <c r="C99" i="10"/>
  <c r="D99" i="10" s="1"/>
  <c r="C741" i="10"/>
  <c r="D741" i="10" s="1"/>
  <c r="C58" i="10"/>
  <c r="D58" i="10" s="1"/>
  <c r="C523" i="10"/>
  <c r="D523" i="10" s="1"/>
  <c r="C293" i="10"/>
  <c r="D293" i="10" s="1"/>
  <c r="C452" i="10"/>
  <c r="D452" i="10" s="1"/>
  <c r="C685" i="10"/>
  <c r="D685" i="10" s="1"/>
  <c r="C586" i="10"/>
  <c r="D586" i="10" s="1"/>
  <c r="C657" i="10"/>
  <c r="D657" i="10" s="1"/>
  <c r="C734" i="10"/>
  <c r="D734" i="10" s="1"/>
  <c r="C489" i="10"/>
  <c r="D489" i="10" s="1"/>
  <c r="C700" i="10"/>
  <c r="D700" i="10" s="1"/>
  <c r="C843" i="10"/>
  <c r="D843" i="10" s="1"/>
  <c r="C294" i="10"/>
  <c r="D294" i="10" s="1"/>
  <c r="C897" i="10"/>
  <c r="D897" i="10" s="1"/>
  <c r="C780" i="10"/>
  <c r="D780" i="10" s="1"/>
  <c r="C109" i="10"/>
  <c r="D109" i="10" s="1"/>
  <c r="C56" i="10"/>
  <c r="D56" i="10" s="1"/>
  <c r="C391" i="10"/>
  <c r="D391" i="10" s="1"/>
  <c r="C841" i="10"/>
  <c r="D841" i="10" s="1"/>
  <c r="C50" i="10"/>
  <c r="D50" i="10" s="1"/>
  <c r="C451" i="10"/>
  <c r="D451" i="10" s="1"/>
  <c r="C207" i="10"/>
  <c r="D207" i="10" s="1"/>
  <c r="C229" i="10"/>
  <c r="D229" i="10" s="1"/>
  <c r="C355" i="10"/>
  <c r="D355" i="10" s="1"/>
  <c r="C501" i="10"/>
  <c r="D501" i="10" s="1"/>
  <c r="C761" i="10"/>
  <c r="D761" i="10" s="1"/>
  <c r="C828" i="10"/>
  <c r="D828" i="10" s="1"/>
  <c r="C212" i="10"/>
  <c r="D212" i="10" s="1"/>
  <c r="C800" i="10"/>
  <c r="D800" i="10" s="1"/>
  <c r="C696" i="10"/>
  <c r="D696" i="10" s="1"/>
  <c r="C352" i="10"/>
  <c r="D352" i="10" s="1"/>
  <c r="C179" i="10"/>
  <c r="D179" i="10" s="1"/>
  <c r="C290" i="10"/>
  <c r="D290" i="10" s="1"/>
  <c r="C659" i="10"/>
  <c r="D659" i="10" s="1"/>
  <c r="C117" i="10"/>
  <c r="D117" i="10" s="1"/>
  <c r="C244" i="10"/>
  <c r="D244" i="10" s="1"/>
  <c r="C744" i="10"/>
  <c r="D744" i="10" s="1"/>
  <c r="C651" i="10"/>
  <c r="D651" i="10" s="1"/>
  <c r="C806" i="10"/>
  <c r="D806" i="10" s="1"/>
  <c r="C32" i="10"/>
  <c r="D32" i="10" s="1"/>
  <c r="C563" i="10"/>
  <c r="D563" i="10" s="1"/>
  <c r="C602" i="10"/>
  <c r="D602" i="10" s="1"/>
  <c r="C755" i="10"/>
  <c r="D755" i="10" s="1"/>
  <c r="C893" i="10"/>
  <c r="D893" i="10" s="1"/>
  <c r="C147" i="10"/>
  <c r="D147" i="10" s="1"/>
  <c r="C793" i="10"/>
  <c r="D793" i="10" s="1"/>
  <c r="C93" i="10"/>
  <c r="D93" i="10" s="1"/>
  <c r="C483" i="10"/>
  <c r="D483" i="10" s="1"/>
  <c r="C688" i="10"/>
  <c r="D688" i="10" s="1"/>
  <c r="C583" i="10"/>
  <c r="D583" i="10" s="1"/>
  <c r="C691" i="10"/>
  <c r="D691" i="10" s="1"/>
  <c r="C747" i="10"/>
  <c r="D747" i="10" s="1"/>
  <c r="C402" i="10"/>
  <c r="D402" i="10" s="1"/>
  <c r="C809" i="10"/>
  <c r="D809" i="10" s="1"/>
  <c r="C937" i="10"/>
  <c r="D937" i="10" s="1"/>
  <c r="C756" i="10"/>
  <c r="D756" i="10" s="1"/>
  <c r="C266" i="10"/>
  <c r="D266" i="10" s="1"/>
  <c r="C84" i="10"/>
  <c r="D84" i="10" s="1"/>
  <c r="C822" i="10"/>
  <c r="D822" i="10" s="1"/>
  <c r="C876" i="10"/>
  <c r="D876" i="10" s="1"/>
  <c r="C152" i="10"/>
  <c r="D152" i="10" s="1"/>
  <c r="C97" i="10"/>
  <c r="D97" i="10" s="1"/>
  <c r="C417" i="10"/>
  <c r="D417" i="10" s="1"/>
  <c r="C666" i="10"/>
  <c r="D666" i="10" s="1"/>
  <c r="C862" i="10"/>
  <c r="D862" i="10" s="1"/>
  <c r="C858" i="10"/>
  <c r="D858" i="10" s="1"/>
  <c r="C720" i="10"/>
  <c r="D720" i="10" s="1"/>
  <c r="C912" i="10"/>
  <c r="D912" i="10" s="1"/>
  <c r="C143" i="10"/>
  <c r="D143" i="10" s="1"/>
  <c r="C372" i="10"/>
  <c r="D372" i="10" s="1"/>
  <c r="C535" i="10"/>
  <c r="D535" i="10" s="1"/>
  <c r="C41" i="10"/>
  <c r="D41" i="10" s="1"/>
  <c r="C215" i="10"/>
  <c r="D215" i="10" s="1"/>
  <c r="C462" i="10"/>
  <c r="D462" i="10" s="1"/>
  <c r="C457" i="10"/>
  <c r="D457" i="10" s="1"/>
  <c r="C239" i="10"/>
  <c r="D239" i="10" s="1"/>
  <c r="C323" i="10"/>
  <c r="D323" i="10" s="1"/>
  <c r="C385" i="10"/>
  <c r="D385" i="10" s="1"/>
  <c r="C603" i="10"/>
  <c r="D603" i="10" s="1"/>
  <c r="C562" i="10"/>
  <c r="D562" i="10" s="1"/>
  <c r="C529" i="10"/>
  <c r="D529" i="10" s="1"/>
  <c r="C834" i="10"/>
  <c r="D834" i="10" s="1"/>
  <c r="C511" i="10"/>
  <c r="D511" i="10" s="1"/>
  <c r="C234" i="10"/>
  <c r="D234" i="10" s="1"/>
  <c r="C615" i="10"/>
  <c r="D615" i="10" s="1"/>
  <c r="C374" i="10"/>
  <c r="D374" i="10" s="1"/>
  <c r="C570" i="10"/>
  <c r="D570" i="10" s="1"/>
  <c r="C493" i="10"/>
  <c r="D493" i="10" s="1"/>
  <c r="C725" i="10"/>
  <c r="D725" i="10" s="1"/>
  <c r="C566" i="10"/>
  <c r="D566" i="10" s="1"/>
  <c r="C484" i="10"/>
  <c r="D484" i="10" s="1"/>
  <c r="C411" i="10"/>
  <c r="D411" i="10" s="1"/>
  <c r="C377" i="10"/>
  <c r="D377" i="10" s="1"/>
  <c r="C345" i="10"/>
  <c r="D345" i="10" s="1"/>
  <c r="C321" i="10"/>
  <c r="D321" i="10" s="1"/>
  <c r="C289" i="10"/>
  <c r="D289" i="10" s="1"/>
  <c r="C259" i="10"/>
  <c r="D259" i="10" s="1"/>
  <c r="C227" i="10"/>
  <c r="D227" i="10" s="1"/>
  <c r="C669" i="10"/>
  <c r="D669" i="10" s="1"/>
  <c r="C532" i="10"/>
  <c r="D532" i="10" s="1"/>
  <c r="C415" i="10"/>
  <c r="D415" i="10" s="1"/>
  <c r="C693" i="10"/>
  <c r="D693" i="10" s="1"/>
  <c r="C478" i="10"/>
  <c r="D478" i="10" s="1"/>
  <c r="C805" i="10"/>
  <c r="D805" i="10" s="1"/>
  <c r="C801" i="10"/>
  <c r="D801" i="10" s="1"/>
  <c r="C198" i="10"/>
  <c r="D198" i="10" s="1"/>
  <c r="C64" i="10"/>
  <c r="D64" i="10" s="1"/>
  <c r="C394" i="10"/>
  <c r="D394" i="10" s="1"/>
  <c r="C788" i="10"/>
  <c r="D788" i="10" s="1"/>
  <c r="C564" i="10"/>
  <c r="D564" i="10" s="1"/>
  <c r="C605" i="10"/>
  <c r="D605" i="10" s="1"/>
  <c r="C517" i="10"/>
  <c r="D517" i="10" s="1"/>
  <c r="C735" i="10"/>
  <c r="D735" i="10" s="1"/>
  <c r="C520" i="10"/>
  <c r="D520" i="10" s="1"/>
  <c r="C419" i="10"/>
  <c r="D419" i="10" s="1"/>
  <c r="C363" i="10"/>
  <c r="D363" i="10" s="1"/>
  <c r="C319" i="10"/>
  <c r="D319" i="10" s="1"/>
  <c r="C247" i="10"/>
  <c r="D247" i="10" s="1"/>
  <c r="C682" i="10"/>
  <c r="D682" i="10" s="1"/>
  <c r="C537" i="10"/>
  <c r="D537" i="10" s="1"/>
  <c r="C384" i="10"/>
  <c r="D384" i="10" s="1"/>
  <c r="C519" i="10"/>
  <c r="D519" i="10" s="1"/>
  <c r="C292" i="10"/>
  <c r="D292" i="10" s="1"/>
  <c r="C213" i="10"/>
  <c r="D213" i="10" s="1"/>
  <c r="C153" i="10"/>
  <c r="D153" i="10" s="1"/>
  <c r="C36" i="10"/>
  <c r="D36" i="10" s="1"/>
  <c r="C55" i="10"/>
  <c r="D55" i="10" s="1"/>
  <c r="C939" i="10"/>
  <c r="D939" i="10" s="1"/>
  <c r="C634" i="10"/>
  <c r="D634" i="10" s="1"/>
  <c r="C549" i="10"/>
  <c r="D549" i="10" s="1"/>
  <c r="C490" i="10"/>
  <c r="D490" i="10" s="1"/>
  <c r="C714" i="10"/>
  <c r="D714" i="10" s="1"/>
  <c r="C516" i="10"/>
  <c r="D516" i="10" s="1"/>
  <c r="C371" i="10"/>
  <c r="D371" i="10" s="1"/>
  <c r="C339" i="10"/>
  <c r="D339" i="10" s="1"/>
  <c r="C307" i="10"/>
  <c r="D307" i="10" s="1"/>
  <c r="C255" i="10"/>
  <c r="D255" i="10" s="1"/>
  <c r="C765" i="10"/>
  <c r="D765" i="10" s="1"/>
  <c r="C556" i="10"/>
  <c r="D556" i="10" s="1"/>
  <c r="C404" i="10"/>
  <c r="D404" i="10" s="1"/>
  <c r="C444" i="10"/>
  <c r="D444" i="10" s="1"/>
  <c r="C316" i="10"/>
  <c r="D316" i="10" s="1"/>
  <c r="C211" i="10"/>
  <c r="D211" i="10" s="1"/>
  <c r="C157" i="10"/>
  <c r="D157" i="10" s="1"/>
  <c r="C73" i="10"/>
  <c r="D73" i="10" s="1"/>
  <c r="C600" i="10"/>
  <c r="D600" i="10" s="1"/>
  <c r="C624" i="10"/>
  <c r="D624" i="10" s="1"/>
  <c r="C665" i="10"/>
  <c r="D665" i="10" s="1"/>
  <c r="C742" i="10"/>
  <c r="D742" i="10" s="1"/>
  <c r="C783" i="10"/>
  <c r="D783" i="10" s="1"/>
  <c r="C454" i="10"/>
  <c r="D454" i="10" s="1"/>
  <c r="C35" i="10"/>
  <c r="D35" i="10" s="1"/>
  <c r="C808" i="10"/>
  <c r="D808" i="10" s="1"/>
  <c r="C814" i="10"/>
  <c r="D814" i="10" s="1"/>
  <c r="C781" i="10"/>
  <c r="D781" i="10" s="1"/>
  <c r="C388" i="10"/>
  <c r="D388" i="10" s="1"/>
  <c r="C52" i="10"/>
  <c r="D52" i="10" s="1"/>
  <c r="C903" i="10"/>
  <c r="D903" i="10" s="1"/>
  <c r="C859" i="10"/>
  <c r="D859" i="10" s="1"/>
  <c r="C716" i="10"/>
  <c r="D716" i="10" s="1"/>
  <c r="C952" i="10"/>
  <c r="D952" i="10" s="1"/>
  <c r="C148" i="10"/>
  <c r="D148" i="10" s="1"/>
  <c r="C111" i="10"/>
  <c r="D111" i="10" s="1"/>
  <c r="C204" i="10"/>
  <c r="D204" i="10" s="1"/>
  <c r="C338" i="10"/>
  <c r="D338" i="10" s="1"/>
  <c r="C540" i="10"/>
  <c r="D540" i="10" s="1"/>
  <c r="C785" i="10"/>
  <c r="D785" i="10" s="1"/>
  <c r="C913" i="10"/>
  <c r="D913" i="10" s="1"/>
  <c r="C740" i="10"/>
  <c r="D740" i="10" s="1"/>
  <c r="C820" i="10"/>
  <c r="D820" i="10" s="1"/>
  <c r="C60" i="10"/>
  <c r="D60" i="10" s="1"/>
  <c r="C210" i="10"/>
  <c r="D210" i="10" s="1"/>
  <c r="C728" i="10"/>
  <c r="D728" i="10" s="1"/>
  <c r="C723" i="10"/>
  <c r="D723" i="10" s="1"/>
  <c r="C264" i="10"/>
  <c r="D264" i="10" s="1"/>
  <c r="C408" i="10"/>
  <c r="D408" i="10" s="1"/>
  <c r="C839" i="10"/>
  <c r="D839" i="10" s="1"/>
  <c r="C458" i="10"/>
  <c r="D458" i="10" s="1"/>
  <c r="C580" i="10"/>
  <c r="D580" i="10" s="1"/>
  <c r="C799" i="10"/>
  <c r="D799" i="10" s="1"/>
  <c r="C856" i="10"/>
  <c r="D856" i="10" s="1"/>
  <c r="C802" i="10"/>
  <c r="D802" i="10" s="1"/>
  <c r="C193" i="10"/>
  <c r="D193" i="10" s="1"/>
  <c r="C709" i="10"/>
  <c r="D709" i="10" s="1"/>
  <c r="C466" i="10"/>
  <c r="D466" i="10" s="1"/>
  <c r="C618" i="10"/>
  <c r="D618" i="10" s="1"/>
  <c r="C966" i="10"/>
  <c r="D966" i="10" s="1"/>
  <c r="C76" i="10"/>
  <c r="D76" i="10" s="1"/>
  <c r="C684" i="10"/>
  <c r="D684" i="10" s="1"/>
  <c r="C623" i="10"/>
  <c r="D623" i="10" s="1"/>
  <c r="C816" i="10"/>
  <c r="D816" i="10" s="1"/>
  <c r="C553" i="10"/>
  <c r="D553" i="10" s="1"/>
  <c r="C300" i="10"/>
  <c r="D300" i="10" s="1"/>
  <c r="C271" i="10"/>
  <c r="D271" i="10" s="1"/>
  <c r="C817" i="10"/>
  <c r="D817" i="10" s="1"/>
  <c r="C441" i="10"/>
  <c r="D441" i="10" s="1"/>
  <c r="C604" i="10"/>
  <c r="D604" i="10" s="1"/>
  <c r="C679" i="10"/>
  <c r="D679" i="10" s="1"/>
  <c r="C620" i="10"/>
  <c r="D620" i="10" s="1"/>
  <c r="C34" i="10"/>
  <c r="D34" i="10" s="1"/>
  <c r="C726" i="10"/>
  <c r="D726" i="10" s="1"/>
  <c r="C187" i="10"/>
  <c r="D187" i="10" s="1"/>
  <c r="C507" i="10"/>
  <c r="D507" i="10" s="1"/>
  <c r="C865" i="10"/>
  <c r="D865" i="10" s="1"/>
  <c r="C190" i="10"/>
  <c r="D190" i="10" s="1"/>
  <c r="C969" i="10"/>
  <c r="D969" i="10" s="1"/>
  <c r="C250" i="10"/>
  <c r="D250" i="10" s="1"/>
  <c r="C286" i="10"/>
  <c r="D286" i="10" s="1"/>
  <c r="C422" i="10"/>
  <c r="D422" i="10" s="1"/>
  <c r="C598" i="10"/>
  <c r="D598" i="10" s="1"/>
  <c r="C649" i="10"/>
  <c r="D649" i="10" s="1"/>
  <c r="C718" i="10"/>
  <c r="D718" i="10" s="1"/>
  <c r="C472" i="10"/>
  <c r="D472" i="10" s="1"/>
  <c r="C680" i="10"/>
  <c r="D680" i="10" s="1"/>
  <c r="C833" i="10"/>
  <c r="D833" i="10" s="1"/>
  <c r="C413" i="10"/>
  <c r="D413" i="10" s="1"/>
  <c r="C100" i="10"/>
  <c r="D100" i="10" s="1"/>
  <c r="C807" i="10"/>
  <c r="D807" i="10" s="1"/>
  <c r="C812" i="10"/>
  <c r="D812" i="10" s="1"/>
  <c r="C129" i="10"/>
  <c r="D129" i="10" s="1"/>
  <c r="C83" i="10"/>
  <c r="D83" i="10" s="1"/>
  <c r="C314" i="10"/>
  <c r="D314" i="10" s="1"/>
  <c r="C949" i="10"/>
  <c r="D949" i="10" s="1"/>
  <c r="C947" i="10"/>
  <c r="D947" i="10" s="1"/>
  <c r="C656" i="10"/>
  <c r="D656" i="10" s="1"/>
  <c r="C74" i="10"/>
  <c r="D74" i="10" s="1"/>
  <c r="C258" i="10"/>
  <c r="D258" i="10" s="1"/>
  <c r="C476" i="10"/>
  <c r="D476" i="10" s="1"/>
  <c r="C149" i="10"/>
  <c r="D149" i="10" s="1"/>
  <c r="C410" i="10"/>
  <c r="D410" i="10" s="1"/>
  <c r="C542" i="10"/>
  <c r="D542" i="10" s="1"/>
  <c r="C281" i="10"/>
  <c r="D281" i="10" s="1"/>
  <c r="C365" i="10"/>
  <c r="D365" i="10" s="1"/>
  <c r="C743" i="10"/>
  <c r="D743" i="10" s="1"/>
  <c r="C738" i="10"/>
  <c r="D738" i="10" s="1"/>
  <c r="C653" i="10"/>
  <c r="D653" i="10" s="1"/>
  <c r="C832" i="10"/>
  <c r="D832" i="10" s="1"/>
  <c r="C446" i="10"/>
  <c r="D446" i="10" s="1"/>
  <c r="C786" i="10"/>
  <c r="D786" i="10" s="1"/>
  <c r="C611" i="10"/>
  <c r="D611" i="10" s="1"/>
  <c r="C509" i="10"/>
  <c r="D509" i="10" s="1"/>
  <c r="C655" i="10"/>
  <c r="D655" i="10" s="1"/>
  <c r="C527" i="10"/>
  <c r="D527" i="10" s="1"/>
  <c r="C427" i="10"/>
  <c r="D427" i="10" s="1"/>
  <c r="C369" i="10"/>
  <c r="D369" i="10" s="1"/>
  <c r="C329" i="10"/>
  <c r="D329" i="10" s="1"/>
  <c r="C297" i="10"/>
  <c r="D297" i="10" s="1"/>
  <c r="C251" i="10"/>
  <c r="D251" i="10" s="1"/>
  <c r="C551" i="10"/>
  <c r="D551" i="10" s="1"/>
  <c r="C390" i="10"/>
  <c r="D390" i="10" s="1"/>
  <c r="C585" i="10"/>
  <c r="D585" i="10" s="1"/>
  <c r="C248" i="10"/>
  <c r="D248" i="10" s="1"/>
  <c r="C154" i="10"/>
  <c r="D154" i="10" s="1"/>
  <c r="C366" i="10"/>
  <c r="D366" i="10" s="1"/>
  <c r="C698" i="10"/>
  <c r="D698" i="10" s="1"/>
  <c r="C66" i="10"/>
  <c r="D66" i="10" s="1"/>
  <c r="C491" i="10"/>
  <c r="D491" i="10" s="1"/>
  <c r="C80" i="10"/>
  <c r="D80" i="10" s="1"/>
  <c r="C216" i="10"/>
  <c r="D216" i="10" s="1"/>
  <c r="C159" i="10"/>
  <c r="D159" i="10" s="1"/>
  <c r="C335" i="10"/>
  <c r="D335" i="10" s="1"/>
  <c r="C678" i="10"/>
  <c r="D678" i="10" s="1"/>
  <c r="C928" i="10"/>
  <c r="D928" i="10" s="1"/>
  <c r="C908" i="10"/>
  <c r="D908" i="10" s="1"/>
  <c r="C926" i="10"/>
  <c r="D926" i="10" s="1"/>
  <c r="C46" i="10"/>
  <c r="D46" i="10" s="1"/>
  <c r="C403" i="10"/>
  <c r="D403" i="10" s="1"/>
  <c r="C606" i="10"/>
  <c r="D606" i="10" s="1"/>
  <c r="C662" i="10"/>
  <c r="D662" i="10" s="1"/>
  <c r="C739" i="10"/>
  <c r="D739" i="10" s="1"/>
  <c r="C238" i="10"/>
  <c r="D238" i="10" s="1"/>
  <c r="C933" i="10"/>
  <c r="D933" i="10" s="1"/>
  <c r="C884" i="10"/>
  <c r="D884" i="10" s="1"/>
  <c r="C132" i="10"/>
  <c r="D132" i="10" s="1"/>
  <c r="C915" i="10"/>
  <c r="D915" i="10" s="1"/>
  <c r="C940" i="10"/>
  <c r="D940" i="10" s="1"/>
  <c r="C121" i="10"/>
  <c r="D121" i="10" s="1"/>
  <c r="C524" i="10"/>
  <c r="D524" i="10" s="1"/>
  <c r="C777" i="10"/>
  <c r="D777" i="10" s="1"/>
  <c r="C815" i="10"/>
  <c r="D815" i="10" s="1"/>
  <c r="C61" i="10"/>
  <c r="D61" i="10" s="1"/>
  <c r="C304" i="10"/>
  <c r="D304" i="10" s="1"/>
  <c r="C568" i="10"/>
  <c r="D568" i="10" s="1"/>
  <c r="C199" i="10"/>
  <c r="D199" i="10" s="1"/>
  <c r="C539" i="10"/>
  <c r="D539" i="10" s="1"/>
  <c r="C621" i="10"/>
  <c r="D621" i="10" s="1"/>
  <c r="C301" i="10"/>
  <c r="D301" i="10" s="1"/>
  <c r="C424" i="10"/>
  <c r="D424" i="10" s="1"/>
  <c r="C482" i="10"/>
  <c r="D482" i="10" s="1"/>
  <c r="C242" i="10"/>
  <c r="D242" i="10" s="1"/>
  <c r="C935" i="10"/>
  <c r="D935" i="10" s="1"/>
  <c r="C825" i="10"/>
  <c r="D825" i="10" s="1"/>
  <c r="C724" i="10"/>
  <c r="D724" i="10" s="1"/>
  <c r="C961" i="10"/>
  <c r="D961" i="10" s="1"/>
  <c r="C746" i="10"/>
  <c r="D746" i="10" s="1"/>
  <c r="C589" i="10"/>
  <c r="D589" i="10" s="1"/>
  <c r="C477" i="10"/>
  <c r="D477" i="10" s="1"/>
  <c r="C613" i="10"/>
  <c r="D613" i="10" s="1"/>
  <c r="C502" i="10"/>
  <c r="D502" i="10" s="1"/>
  <c r="C395" i="10"/>
  <c r="D395" i="10" s="1"/>
  <c r="C361" i="10"/>
  <c r="D361" i="10" s="1"/>
  <c r="C283" i="10"/>
  <c r="D283" i="10" s="1"/>
  <c r="C243" i="10"/>
  <c r="D243" i="10" s="1"/>
  <c r="C749" i="10"/>
  <c r="D749" i="10" s="1"/>
  <c r="C508" i="10"/>
  <c r="D508" i="10" s="1"/>
  <c r="C360" i="10"/>
  <c r="D360" i="10" s="1"/>
  <c r="C704" i="10"/>
  <c r="D704" i="10" s="1"/>
  <c r="C106" i="10"/>
  <c r="D106" i="10" s="1"/>
  <c r="C496" i="10"/>
  <c r="D496" i="10" s="1"/>
  <c r="C924" i="10"/>
  <c r="D924" i="10" s="1"/>
  <c r="C68" i="10"/>
  <c r="D68" i="10" s="1"/>
  <c r="C663" i="10"/>
  <c r="D663" i="10" s="1"/>
  <c r="C498" i="10"/>
  <c r="D498" i="10" s="1"/>
  <c r="C597" i="10"/>
  <c r="D597" i="10" s="1"/>
  <c r="C440" i="10"/>
  <c r="D440" i="10" s="1"/>
  <c r="C351" i="10"/>
  <c r="D351" i="10" s="1"/>
  <c r="C299" i="10"/>
  <c r="D299" i="10" s="1"/>
  <c r="C257" i="10"/>
  <c r="D257" i="10" s="1"/>
  <c r="C447" i="10"/>
  <c r="D447" i="10" s="1"/>
  <c r="C569" i="10"/>
  <c r="D569" i="10" s="1"/>
  <c r="C406" i="10"/>
  <c r="D406" i="10" s="1"/>
  <c r="C260" i="10"/>
  <c r="D260" i="10" s="1"/>
  <c r="C189" i="10"/>
  <c r="D189" i="10" s="1"/>
  <c r="C43" i="10"/>
  <c r="D43" i="10" s="1"/>
  <c r="C769" i="10"/>
  <c r="D769" i="10" s="1"/>
  <c r="C130" i="10"/>
  <c r="D130" i="10" s="1"/>
  <c r="C488" i="10"/>
  <c r="D488" i="10" s="1"/>
  <c r="C122" i="10"/>
  <c r="D122" i="10" s="1"/>
  <c r="C904" i="10"/>
  <c r="D904" i="10" s="1"/>
  <c r="C262" i="10"/>
  <c r="D262" i="10" s="1"/>
  <c r="C886" i="10"/>
  <c r="D886" i="10" s="1"/>
  <c r="C256" i="10"/>
  <c r="D256" i="10" s="1"/>
  <c r="C962" i="10"/>
  <c r="D962" i="10" s="1"/>
  <c r="C946" i="10"/>
  <c r="D946" i="10" s="1"/>
  <c r="C958" i="10"/>
  <c r="D958" i="10" s="1"/>
  <c r="C751" i="10"/>
  <c r="D751" i="10" s="1"/>
  <c r="C530" i="10"/>
  <c r="D530" i="10" s="1"/>
  <c r="C619" i="10"/>
  <c r="D619" i="10" s="1"/>
  <c r="C387" i="10"/>
  <c r="D387" i="10" s="1"/>
  <c r="C241" i="10"/>
  <c r="D241" i="10" s="1"/>
  <c r="C547" i="10"/>
  <c r="D547" i="10" s="1"/>
  <c r="C770" i="10"/>
  <c r="D770" i="10" s="1"/>
  <c r="C334" i="10"/>
  <c r="D334" i="10" s="1"/>
  <c r="C201" i="10"/>
  <c r="D201" i="10" s="1"/>
  <c r="C543" i="10"/>
  <c r="D543" i="10" s="1"/>
  <c r="C405" i="10"/>
  <c r="D405" i="10" s="1"/>
  <c r="C804" i="10"/>
  <c r="D804" i="10" s="1"/>
  <c r="C909" i="10"/>
  <c r="D909" i="10" s="1"/>
  <c r="C690" i="10"/>
  <c r="D690" i="10" s="1"/>
  <c r="C423" i="10"/>
  <c r="D423" i="10" s="1"/>
  <c r="C171" i="10"/>
  <c r="D171" i="10" s="1"/>
  <c r="C95" i="10"/>
  <c r="D95" i="10" s="1"/>
  <c r="C135" i="10"/>
  <c r="D135" i="10" s="1"/>
  <c r="C890" i="10"/>
  <c r="D890" i="10" s="1"/>
  <c r="C810" i="10"/>
  <c r="D810" i="10" s="1"/>
  <c r="C855" i="10"/>
  <c r="D855" i="10" s="1"/>
  <c r="C120" i="10"/>
  <c r="D120" i="10" s="1"/>
  <c r="C230" i="10"/>
  <c r="D230" i="10" s="1"/>
  <c r="C536" i="10"/>
  <c r="D536" i="10" s="1"/>
  <c r="C881" i="10"/>
  <c r="D881" i="10" s="1"/>
  <c r="C925" i="10"/>
  <c r="D925" i="10" s="1"/>
  <c r="C70" i="10"/>
  <c r="D70" i="10" s="1"/>
  <c r="C555" i="10"/>
  <c r="D555" i="10" s="1"/>
  <c r="C750" i="10"/>
  <c r="D750" i="10" s="1"/>
  <c r="C710" i="10"/>
  <c r="D710" i="10" s="1"/>
  <c r="C654" i="10"/>
  <c r="D654" i="10" s="1"/>
  <c r="C616" i="10"/>
  <c r="D616" i="10" s="1"/>
  <c r="C584" i="10"/>
  <c r="D584" i="10" s="1"/>
  <c r="C30" i="10"/>
  <c r="D30" i="10" s="1"/>
  <c r="C203" i="10"/>
  <c r="D203" i="10" s="1"/>
  <c r="C348" i="10"/>
  <c r="D348" i="10" s="1"/>
  <c r="C512" i="10"/>
  <c r="D512" i="10" s="1"/>
  <c r="C376" i="10"/>
  <c r="D376" i="10" s="1"/>
  <c r="C233" i="10"/>
  <c r="D233" i="10" s="1"/>
  <c r="C295" i="10"/>
  <c r="D295" i="10" s="1"/>
  <c r="C349" i="10"/>
  <c r="D349" i="10" s="1"/>
  <c r="C392" i="10"/>
  <c r="D392" i="10" s="1"/>
  <c r="C545" i="10"/>
  <c r="D545" i="10" s="1"/>
  <c r="C469" i="10"/>
  <c r="D469" i="10" s="1"/>
  <c r="C599" i="10"/>
  <c r="D599" i="10" s="1"/>
  <c r="C163" i="10"/>
  <c r="D163" i="10" s="1"/>
  <c r="C169" i="10"/>
  <c r="D169" i="10" s="1"/>
  <c r="C455" i="10"/>
  <c r="D455" i="10" s="1"/>
  <c r="C418" i="10"/>
  <c r="D418" i="10" s="1"/>
  <c r="C791" i="10"/>
  <c r="D791" i="10" s="1"/>
  <c r="C279" i="10"/>
  <c r="D279" i="10" s="1"/>
  <c r="C341" i="10"/>
  <c r="D341" i="10" s="1"/>
  <c r="C467" i="10"/>
  <c r="D467" i="10" s="1"/>
  <c r="C453" i="10"/>
  <c r="D453" i="10" s="1"/>
  <c r="C578" i="10"/>
  <c r="D578" i="10" s="1"/>
  <c r="C857" i="10"/>
  <c r="D857" i="10" s="1"/>
  <c r="C790" i="10"/>
  <c r="D790" i="10" s="1"/>
  <c r="C660" i="10"/>
  <c r="D660" i="10" s="1"/>
  <c r="C471" i="10"/>
  <c r="D471" i="10" s="1"/>
  <c r="C235" i="10"/>
  <c r="D235" i="10" s="1"/>
  <c r="C313" i="10"/>
  <c r="D313" i="10" s="1"/>
  <c r="C554" i="10"/>
  <c r="D554" i="10" s="1"/>
  <c r="C860" i="10"/>
  <c r="D860" i="10" s="1"/>
  <c r="C768" i="10"/>
  <c r="D768" i="10" s="1"/>
  <c r="C861" i="10"/>
  <c r="D861" i="10" s="1"/>
  <c r="C470" i="10"/>
  <c r="D470" i="10" s="1"/>
  <c r="C217" i="10"/>
  <c r="D217" i="10" s="1"/>
  <c r="C268" i="10"/>
  <c r="D268" i="10" s="1"/>
  <c r="C75" i="10"/>
  <c r="D75" i="10" s="1"/>
  <c r="C38" i="10"/>
  <c r="D38" i="10" s="1"/>
  <c r="C901" i="10"/>
  <c r="D901" i="10" s="1"/>
  <c r="C113" i="10"/>
  <c r="D113" i="10" s="1"/>
  <c r="C774" i="10"/>
  <c r="D774" i="10" s="1"/>
  <c r="C200" i="10"/>
  <c r="D200" i="10" s="1"/>
  <c r="C829" i="10"/>
  <c r="D829" i="10" s="1"/>
  <c r="C758" i="10"/>
  <c r="D758" i="10" s="1"/>
  <c r="C622" i="10"/>
  <c r="D622" i="10" s="1"/>
  <c r="C202" i="10"/>
  <c r="D202" i="10" s="1"/>
  <c r="C142" i="10"/>
  <c r="D142" i="10" s="1"/>
  <c r="C875" i="10"/>
  <c r="D875" i="10" s="1"/>
  <c r="C85" i="10"/>
  <c r="D85" i="10" s="1"/>
  <c r="C965" i="10"/>
  <c r="D965" i="10" s="1"/>
  <c r="C773" i="10"/>
  <c r="D773" i="10" s="1"/>
  <c r="C641" i="10"/>
  <c r="D641" i="10" s="1"/>
  <c r="E92" i="32"/>
  <c r="M97" i="32"/>
  <c r="C320" i="10"/>
  <c r="D320" i="10" s="1"/>
  <c r="C846" i="10"/>
  <c r="D846" i="10" s="1"/>
  <c r="C895" i="10"/>
  <c r="D895" i="10" s="1"/>
  <c r="C854" i="10"/>
  <c r="D854" i="10" s="1"/>
  <c r="C916" i="10"/>
  <c r="D916" i="10" s="1"/>
  <c r="C28" i="10"/>
  <c r="D28" i="10" s="1"/>
  <c r="C950" i="10"/>
  <c r="D950" i="10" s="1"/>
  <c r="C898" i="10"/>
  <c r="D898" i="10" s="1"/>
  <c r="C787" i="10"/>
  <c r="D787" i="10" s="1"/>
  <c r="C706" i="10"/>
  <c r="D706" i="10" s="1"/>
  <c r="C186" i="10"/>
  <c r="D186" i="10" s="1"/>
  <c r="C811" i="10"/>
  <c r="D811" i="10" s="1"/>
  <c r="C33" i="10"/>
  <c r="D33" i="10" s="1"/>
  <c r="C968" i="10"/>
  <c r="D968" i="10" s="1"/>
  <c r="C579" i="10"/>
  <c r="D579" i="10" s="1"/>
  <c r="C270" i="10"/>
  <c r="D270" i="10" s="1"/>
  <c r="C214" i="10"/>
  <c r="D214" i="10" s="1"/>
  <c r="C917" i="10"/>
  <c r="D917" i="10" s="1"/>
  <c r="C771" i="10"/>
  <c r="D771" i="10" s="1"/>
  <c r="C821" i="10"/>
  <c r="D821" i="10" s="1"/>
  <c r="C110" i="10"/>
  <c r="D110" i="10" s="1"/>
  <c r="C464" i="10"/>
  <c r="D464" i="10" s="1"/>
  <c r="C891" i="10"/>
  <c r="D891" i="10" s="1"/>
  <c r="C62" i="10"/>
  <c r="D62" i="10" s="1"/>
  <c r="C138" i="10"/>
  <c r="D138" i="10" s="1"/>
  <c r="C927" i="10"/>
  <c r="D927" i="10" s="1"/>
  <c r="C902" i="10"/>
  <c r="D902" i="10" s="1"/>
  <c r="C409" i="10"/>
  <c r="D409" i="10" s="1"/>
  <c r="C910" i="10"/>
  <c r="D910" i="10" s="1"/>
  <c r="C796" i="10"/>
  <c r="D796" i="10" s="1"/>
  <c r="C346" i="10"/>
  <c r="D346" i="10" s="1"/>
  <c r="C627" i="10"/>
  <c r="D627" i="10" s="1"/>
  <c r="C485" i="10"/>
  <c r="D485" i="10" s="1"/>
  <c r="C534" i="10"/>
  <c r="D534" i="10" s="1"/>
  <c r="C367" i="10"/>
  <c r="D367" i="10" s="1"/>
  <c r="C303" i="10"/>
  <c r="D303" i="10" s="1"/>
  <c r="C480" i="10"/>
  <c r="D480" i="10" s="1"/>
  <c r="C544" i="10"/>
  <c r="D544" i="10" s="1"/>
  <c r="C276" i="10"/>
  <c r="D276" i="10" s="1"/>
  <c r="C145" i="10"/>
  <c r="D145" i="10" s="1"/>
  <c r="C51" i="10"/>
  <c r="D51" i="10" s="1"/>
  <c r="C71" i="10"/>
  <c r="D71" i="10" s="1"/>
  <c r="C492" i="10"/>
  <c r="D492" i="10" s="1"/>
  <c r="C382" i="10"/>
  <c r="D382" i="10" s="1"/>
  <c r="C226" i="10"/>
  <c r="D226" i="10" s="1"/>
  <c r="C866" i="10"/>
  <c r="D866" i="10" s="1"/>
  <c r="C870" i="10"/>
  <c r="D870" i="10" s="1"/>
  <c r="C587" i="10"/>
  <c r="D587" i="10" s="1"/>
  <c r="C282" i="10"/>
  <c r="D282" i="10" s="1"/>
  <c r="C103" i="10"/>
  <c r="D103" i="10" s="1"/>
  <c r="C104" i="10"/>
  <c r="D104" i="10" s="1"/>
  <c r="C340" i="10"/>
  <c r="D340" i="10" s="1"/>
  <c r="C736" i="10"/>
  <c r="D736" i="10" s="1"/>
  <c r="C929" i="10"/>
  <c r="D929" i="10" s="1"/>
  <c r="C636" i="10"/>
  <c r="D636" i="10" s="1"/>
  <c r="C224" i="10"/>
  <c r="D224" i="10" s="1"/>
  <c r="C702" i="10"/>
  <c r="D702" i="10" s="1"/>
  <c r="C646" i="10"/>
  <c r="D646" i="10" s="1"/>
  <c r="C608" i="10"/>
  <c r="D608" i="10" s="1"/>
  <c r="C57" i="10"/>
  <c r="D57" i="10" s="1"/>
  <c r="C173" i="10"/>
  <c r="D173" i="10" s="1"/>
  <c r="C228" i="10"/>
  <c r="D228" i="10" s="1"/>
  <c r="C396" i="10"/>
  <c r="D396" i="10" s="1"/>
  <c r="C550" i="10"/>
  <c r="D550" i="10" s="1"/>
  <c r="C436" i="10"/>
  <c r="D436" i="10" s="1"/>
  <c r="C591" i="10"/>
  <c r="D591" i="10" s="1"/>
  <c r="C245" i="10"/>
  <c r="D245" i="10" s="1"/>
  <c r="C317" i="10"/>
  <c r="D317" i="10" s="1"/>
  <c r="C359" i="10"/>
  <c r="D359" i="10" s="1"/>
  <c r="C416" i="10"/>
  <c r="D416" i="10" s="1"/>
  <c r="C577" i="10"/>
  <c r="D577" i="10" s="1"/>
  <c r="C514" i="10"/>
  <c r="D514" i="10" s="1"/>
  <c r="C722" i="10"/>
  <c r="D722" i="10" s="1"/>
  <c r="C356" i="10"/>
  <c r="D356" i="10" s="1"/>
  <c r="C47" i="10"/>
  <c r="D47" i="10" s="1"/>
  <c r="C197" i="10"/>
  <c r="D197" i="10" s="1"/>
  <c r="C324" i="10"/>
  <c r="D324" i="10" s="1"/>
  <c r="C487" i="10"/>
  <c r="D487" i="10" s="1"/>
  <c r="C504" i="10"/>
  <c r="D504" i="10" s="1"/>
  <c r="C225" i="10"/>
  <c r="D225" i="10" s="1"/>
  <c r="C287" i="10"/>
  <c r="D287" i="10" s="1"/>
  <c r="C373" i="10"/>
  <c r="D373" i="10" s="1"/>
  <c r="C495" i="10"/>
  <c r="D495" i="10" s="1"/>
  <c r="C474" i="10"/>
  <c r="D474" i="10" s="1"/>
  <c r="C730" i="10"/>
  <c r="D730" i="10" s="1"/>
  <c r="C114" i="10"/>
  <c r="D114" i="10" s="1"/>
  <c r="C421" i="10"/>
  <c r="D421" i="10" s="1"/>
  <c r="C102" i="10"/>
  <c r="D102" i="10" s="1"/>
  <c r="C576" i="10"/>
  <c r="D576" i="10" s="1"/>
  <c r="C575" i="10"/>
  <c r="D575" i="10" s="1"/>
  <c r="C267" i="10"/>
  <c r="D267" i="10" s="1"/>
  <c r="C337" i="10"/>
  <c r="D337" i="10" s="1"/>
  <c r="C443" i="10"/>
  <c r="D443" i="10" s="1"/>
  <c r="C26" i="10"/>
  <c r="D26" i="10" s="1"/>
  <c r="C647" i="10"/>
  <c r="D647" i="10" s="1"/>
  <c r="C98" i="10"/>
  <c r="D98" i="10" s="1"/>
  <c r="C86" i="10"/>
  <c r="D86" i="10" s="1"/>
  <c r="C617" i="10"/>
  <c r="D617" i="10" s="1"/>
  <c r="C343" i="10"/>
  <c r="D343" i="10" s="1"/>
  <c r="C397" i="10"/>
  <c r="D397" i="10" s="1"/>
  <c r="C181" i="10"/>
  <c r="D181" i="10" s="1"/>
  <c r="C437" i="10"/>
  <c r="D437" i="10" s="1"/>
  <c r="C848" i="10"/>
  <c r="D848" i="10" s="1"/>
  <c r="C905" i="10"/>
  <c r="D905" i="10" s="1"/>
  <c r="C278" i="10"/>
  <c r="D278" i="10" s="1"/>
  <c r="C863" i="10"/>
  <c r="D863" i="10" s="1"/>
  <c r="C486" i="10"/>
  <c r="D486" i="10" s="1"/>
  <c r="C699" i="10"/>
  <c r="D699" i="10" s="1"/>
  <c r="C582" i="10"/>
  <c r="D582" i="10" s="1"/>
  <c r="C499" i="10"/>
  <c r="D499" i="10" s="1"/>
  <c r="C837" i="10"/>
  <c r="D837" i="10" s="1"/>
  <c r="C672" i="10"/>
  <c r="D672" i="10" s="1"/>
  <c r="C96" i="10"/>
  <c r="D96" i="10" s="1"/>
  <c r="C844" i="10"/>
  <c r="D844" i="10" s="1"/>
  <c r="C240" i="10"/>
  <c r="D240" i="10" s="1"/>
  <c r="C357" i="10"/>
  <c r="D357" i="10" s="1"/>
  <c r="N97" i="32"/>
  <c r="L92" i="32"/>
  <c r="I92" i="32"/>
  <c r="L97" i="32"/>
  <c r="C954" i="10"/>
  <c r="D954" i="10" s="1"/>
  <c r="C308" i="10"/>
  <c r="D308" i="10" s="1"/>
  <c r="C705" i="10"/>
  <c r="D705" i="10" s="1"/>
  <c r="C715" i="10"/>
  <c r="D715" i="10" s="1"/>
  <c r="C412" i="10"/>
  <c r="D412" i="10" s="1"/>
  <c r="C953" i="10"/>
  <c r="D953" i="10" s="1"/>
  <c r="C964" i="10"/>
  <c r="D964" i="10" s="1"/>
  <c r="C638" i="10"/>
  <c r="D638" i="10" s="1"/>
  <c r="C745" i="10"/>
  <c r="D745" i="10" s="1"/>
  <c r="C426" i="10"/>
  <c r="D426" i="10" s="1"/>
  <c r="C140" i="10"/>
  <c r="D140" i="10" s="1"/>
  <c r="C708" i="10"/>
  <c r="D708" i="10" s="1"/>
  <c r="C513" i="10"/>
  <c r="D513" i="10" s="1"/>
  <c r="C681" i="10"/>
  <c r="D681" i="10" s="1"/>
  <c r="C899" i="10"/>
  <c r="D899" i="10" s="1"/>
  <c r="C133" i="10"/>
  <c r="D133" i="10" s="1"/>
  <c r="C629" i="10"/>
  <c r="D629" i="10" s="1"/>
  <c r="C291" i="10"/>
  <c r="D291" i="10" s="1"/>
  <c r="C652" i="10"/>
  <c r="D652" i="10" s="1"/>
  <c r="C414" i="10"/>
  <c r="D414" i="10" s="1"/>
  <c r="C124" i="10"/>
  <c r="D124" i="10" s="1"/>
  <c r="C792" i="10"/>
  <c r="D792" i="10" s="1"/>
  <c r="C91" i="10"/>
  <c r="D91" i="10" s="1"/>
  <c r="C29" i="10"/>
  <c r="D29" i="10" s="1"/>
  <c r="C459" i="10"/>
  <c r="D459" i="10" s="1"/>
  <c r="C209" i="10"/>
  <c r="D209" i="10" s="1"/>
  <c r="C231" i="10"/>
  <c r="D231" i="10" s="1"/>
  <c r="C593" i="10"/>
  <c r="D593" i="10" s="1"/>
  <c r="C697" i="10"/>
  <c r="D697" i="10" s="1"/>
  <c r="C288" i="10"/>
  <c r="D288" i="10" s="1"/>
  <c r="C795" i="10"/>
  <c r="D795" i="10" s="1"/>
  <c r="C818" i="10"/>
  <c r="D818" i="10" s="1"/>
  <c r="C37" i="10"/>
  <c r="D37" i="10" s="1"/>
  <c r="C798" i="10"/>
  <c r="D798" i="10" s="1"/>
  <c r="C880" i="10"/>
  <c r="D880" i="10" s="1"/>
  <c r="C333" i="10"/>
  <c r="D333" i="10" s="1"/>
  <c r="C671" i="10"/>
  <c r="D671" i="10" s="1"/>
  <c r="C596" i="10"/>
  <c r="D596" i="10" s="1"/>
  <c r="C645" i="10"/>
  <c r="D645" i="10" s="1"/>
  <c r="C753" i="10"/>
  <c r="D753" i="10" s="1"/>
  <c r="C370" i="10"/>
  <c r="D370" i="10" s="1"/>
  <c r="C851" i="10"/>
  <c r="D851" i="10" s="1"/>
  <c r="C521" i="10"/>
  <c r="D521" i="10" s="1"/>
  <c r="C128" i="10"/>
  <c r="D128" i="10" s="1"/>
  <c r="C945" i="10"/>
  <c r="D945" i="10" s="1"/>
  <c r="C184" i="10"/>
  <c r="D184" i="10" s="1"/>
  <c r="C115" i="10"/>
  <c r="D115" i="10" s="1"/>
  <c r="C218" i="10"/>
  <c r="D218" i="10" s="1"/>
  <c r="C567" i="10"/>
  <c r="D567" i="10" s="1"/>
  <c r="C888" i="10"/>
  <c r="D888" i="10" s="1"/>
  <c r="C900" i="10"/>
  <c r="D900" i="10" s="1"/>
  <c r="C431" i="10"/>
  <c r="D431" i="10" s="1"/>
  <c r="C879" i="10"/>
  <c r="D879" i="10" s="1"/>
  <c r="C188" i="10"/>
  <c r="D188" i="10" s="1"/>
  <c r="C393" i="10"/>
  <c r="D393" i="10" s="1"/>
  <c r="C112" i="10"/>
  <c r="D112" i="10" s="1"/>
  <c r="C572" i="10"/>
  <c r="D572" i="10" s="1"/>
  <c r="C107" i="10"/>
  <c r="D107" i="10" s="1"/>
  <c r="C878" i="10"/>
  <c r="D878" i="10" s="1"/>
  <c r="C541" i="10"/>
  <c r="D541" i="10" s="1"/>
  <c r="C274" i="10"/>
  <c r="D274" i="10" s="1"/>
  <c r="C166" i="10"/>
  <c r="D166" i="10" s="1"/>
  <c r="C77" i="10"/>
  <c r="D77" i="10" s="1"/>
  <c r="C161" i="10"/>
  <c r="D161" i="10" s="1"/>
  <c r="C668" i="10"/>
  <c r="D668" i="10" s="1"/>
  <c r="C767" i="10"/>
  <c r="D767" i="10" s="1"/>
  <c r="C280" i="10"/>
  <c r="D280" i="10" s="1"/>
  <c r="C883" i="10"/>
  <c r="D883" i="10" s="1"/>
  <c r="C191" i="10"/>
  <c r="D191" i="10" s="1"/>
  <c r="C559" i="10"/>
  <c r="D559" i="10" s="1"/>
  <c r="C686" i="10"/>
  <c r="D686" i="10" s="1"/>
  <c r="C803" i="10"/>
  <c r="D803" i="10" s="1"/>
  <c r="C889" i="10"/>
  <c r="D889" i="10" s="1"/>
  <c r="C172" i="10"/>
  <c r="D172" i="10" s="1"/>
  <c r="C48" i="10"/>
  <c r="D48" i="10" s="1"/>
  <c r="C836" i="10"/>
  <c r="D836" i="10" s="1"/>
  <c r="C67" i="10"/>
  <c r="D67" i="10" s="1"/>
  <c r="C439" i="10"/>
  <c r="D439" i="10" s="1"/>
  <c r="C315" i="10"/>
  <c r="D315" i="10" s="1"/>
  <c r="C588" i="10"/>
  <c r="D588" i="10" s="1"/>
  <c r="C737" i="10"/>
  <c r="D737" i="10" s="1"/>
  <c r="C872" i="10"/>
  <c r="D872" i="10" s="1"/>
  <c r="C631" i="10"/>
  <c r="D631" i="10" s="1"/>
  <c r="C160" i="10"/>
  <c r="D160" i="10" s="1"/>
  <c r="C296" i="10"/>
  <c r="D296" i="10" s="1"/>
  <c r="C970" i="10"/>
  <c r="D970" i="10" s="1"/>
  <c r="C175" i="10"/>
  <c r="D175" i="10" s="1"/>
  <c r="C500" i="10"/>
  <c r="D500" i="10" s="1"/>
  <c r="C449" i="10"/>
  <c r="D449" i="10" s="1"/>
  <c r="C831" i="10"/>
  <c r="D831" i="10" s="1"/>
  <c r="C612" i="10"/>
  <c r="D612" i="10" s="1"/>
  <c r="C707" i="10"/>
  <c r="D707" i="10" s="1"/>
  <c r="C789" i="10"/>
  <c r="D789" i="10" s="1"/>
  <c r="C914" i="10"/>
  <c r="D914" i="10" s="1"/>
  <c r="C948" i="10"/>
  <c r="D948" i="10" s="1"/>
  <c r="C174" i="10"/>
  <c r="D174" i="10" s="1"/>
  <c r="C748" i="10"/>
  <c r="D748" i="10" s="1"/>
  <c r="C156" i="10"/>
  <c r="D156" i="10" s="1"/>
  <c r="C310" i="10"/>
  <c r="D310" i="10" s="1"/>
  <c r="C896" i="10"/>
  <c r="D896" i="10" s="1"/>
  <c r="C648" i="10"/>
  <c r="D648" i="10" s="1"/>
  <c r="C254" i="10"/>
  <c r="D254" i="10" s="1"/>
  <c r="C526" i="10"/>
  <c r="D526" i="10" s="1"/>
  <c r="H92" i="32"/>
  <c r="N92" i="32"/>
  <c r="D99" i="5" l="1"/>
  <c r="J68" i="5"/>
  <c r="J68" i="32" s="1"/>
  <c r="H68" i="5"/>
  <c r="H68" i="32" s="1"/>
  <c r="G98" i="5"/>
  <c r="G74" i="5"/>
  <c r="M68" i="5"/>
  <c r="M70" i="5" s="1"/>
  <c r="M70" i="32" s="1"/>
  <c r="L74" i="5"/>
  <c r="L98" i="5"/>
  <c r="F98" i="5"/>
  <c r="F74" i="5"/>
  <c r="E68" i="5"/>
  <c r="E70" i="5" s="1"/>
  <c r="E70" i="32" s="1"/>
  <c r="J74" i="5"/>
  <c r="J98" i="5"/>
  <c r="I98" i="5"/>
  <c r="I74" i="5"/>
  <c r="K98" i="5"/>
  <c r="K74" i="5"/>
  <c r="G68" i="5"/>
  <c r="M98" i="5"/>
  <c r="M74" i="5"/>
  <c r="E98" i="5"/>
  <c r="E74" i="5"/>
  <c r="H74" i="5"/>
  <c r="H98" i="5"/>
  <c r="N74" i="5"/>
  <c r="N98" i="5"/>
  <c r="R17" i="10"/>
  <c r="C98" i="5"/>
  <c r="C74" i="5"/>
  <c r="J94" i="5"/>
  <c r="E94" i="32"/>
  <c r="C93" i="5"/>
  <c r="C68" i="5"/>
  <c r="D68" i="5"/>
  <c r="R9" i="10"/>
  <c r="D93" i="5"/>
  <c r="E94" i="5"/>
  <c r="M94" i="5"/>
  <c r="I68" i="32"/>
  <c r="I70" i="5"/>
  <c r="I70" i="32" s="1"/>
  <c r="H93" i="32"/>
  <c r="H94" i="32" s="1"/>
  <c r="H94" i="5"/>
  <c r="F68" i="32"/>
  <c r="F70" i="5"/>
  <c r="F70" i="32" s="1"/>
  <c r="K93" i="32"/>
  <c r="K94" i="32" s="1"/>
  <c r="K94" i="5"/>
  <c r="G93" i="32"/>
  <c r="G94" i="32" s="1"/>
  <c r="G94" i="5"/>
  <c r="K68" i="5"/>
  <c r="K68" i="32" s="1"/>
  <c r="N93" i="5"/>
  <c r="F93" i="5"/>
  <c r="I93" i="5"/>
  <c r="L68" i="5"/>
  <c r="L94" i="5"/>
  <c r="L94" i="32"/>
  <c r="N70" i="5"/>
  <c r="N70" i="32" s="1"/>
  <c r="N73" i="32" s="1"/>
  <c r="O88" i="32"/>
  <c r="O77" i="32"/>
  <c r="O72" i="32"/>
  <c r="O78" i="32"/>
  <c r="G69" i="32"/>
  <c r="D79" i="5"/>
  <c r="D79" i="32"/>
  <c r="D89" i="32"/>
  <c r="O87" i="32"/>
  <c r="O89" i="32" s="1"/>
  <c r="F58" i="5"/>
  <c r="F58" i="32" s="1"/>
  <c r="L23" i="5"/>
  <c r="L23" i="32" s="1"/>
  <c r="C45" i="5"/>
  <c r="C45" i="32" s="1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L14" i="32" s="1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K63" i="5"/>
  <c r="K63" i="32" s="1"/>
  <c r="C61" i="5"/>
  <c r="C61" i="32" s="1"/>
  <c r="G61" i="5"/>
  <c r="G61" i="32" s="1"/>
  <c r="F63" i="5"/>
  <c r="F63" i="32" s="1"/>
  <c r="I61" i="5"/>
  <c r="I61" i="32" s="1"/>
  <c r="J61" i="5"/>
  <c r="J61" i="32" s="1"/>
  <c r="M63" i="5"/>
  <c r="M63" i="32" s="1"/>
  <c r="M61" i="5"/>
  <c r="M61" i="32" s="1"/>
  <c r="L61" i="5"/>
  <c r="L61" i="32" s="1"/>
  <c r="N63" i="5"/>
  <c r="N63" i="32" s="1"/>
  <c r="F61" i="5"/>
  <c r="F61" i="32" s="1"/>
  <c r="D63" i="5"/>
  <c r="D63" i="32" s="1"/>
  <c r="O61" i="5"/>
  <c r="I63" i="5"/>
  <c r="I63" i="32" s="1"/>
  <c r="O63" i="5"/>
  <c r="K61" i="5"/>
  <c r="K61" i="32" s="1"/>
  <c r="D61" i="5"/>
  <c r="D61" i="32" s="1"/>
  <c r="H61" i="5"/>
  <c r="H61" i="32" s="1"/>
  <c r="J63" i="5"/>
  <c r="J63" i="32" s="1"/>
  <c r="G63" i="5"/>
  <c r="G63" i="32" s="1"/>
  <c r="L63" i="5"/>
  <c r="L63" i="32" s="1"/>
  <c r="N61" i="5"/>
  <c r="N61" i="32" s="1"/>
  <c r="C63" i="5"/>
  <c r="C63" i="32" s="1"/>
  <c r="E63" i="5"/>
  <c r="E63" i="32" s="1"/>
  <c r="H63" i="5"/>
  <c r="H63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M6" i="32" s="1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E14" i="32" s="1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8" i="5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31" i="5"/>
  <c r="J31" i="32" s="1"/>
  <c r="J43" i="5"/>
  <c r="J43" i="32" s="1"/>
  <c r="K17" i="5"/>
  <c r="K17" i="32" s="1"/>
  <c r="D27" i="5"/>
  <c r="D27" i="32" s="1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64" i="5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O64" i="5" s="1"/>
  <c r="M24" i="5"/>
  <c r="M24" i="32" s="1"/>
  <c r="O9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K6" i="32"/>
  <c r="J70" i="5" l="1"/>
  <c r="J70" i="32" s="1"/>
  <c r="J73" i="32" s="1"/>
  <c r="E68" i="32"/>
  <c r="E73" i="32" s="1"/>
  <c r="E73" i="5"/>
  <c r="H70" i="5"/>
  <c r="H70" i="32" s="1"/>
  <c r="H73" i="32" s="1"/>
  <c r="M74" i="32"/>
  <c r="M76" i="5"/>
  <c r="M76" i="32" s="1"/>
  <c r="F76" i="5"/>
  <c r="F76" i="32" s="1"/>
  <c r="F74" i="32"/>
  <c r="M73" i="5"/>
  <c r="H74" i="32"/>
  <c r="H76" i="5"/>
  <c r="M98" i="32"/>
  <c r="M99" i="32" s="1"/>
  <c r="M99" i="5"/>
  <c r="K98" i="32"/>
  <c r="K99" i="32" s="1"/>
  <c r="K99" i="5"/>
  <c r="J74" i="32"/>
  <c r="J76" i="5"/>
  <c r="F98" i="32"/>
  <c r="F99" i="32" s="1"/>
  <c r="F99" i="5"/>
  <c r="K76" i="5"/>
  <c r="K76" i="32" s="1"/>
  <c r="K74" i="32"/>
  <c r="N98" i="32"/>
  <c r="N99" i="32" s="1"/>
  <c r="N99" i="5"/>
  <c r="E74" i="32"/>
  <c r="E76" i="5"/>
  <c r="G68" i="32"/>
  <c r="G70" i="5"/>
  <c r="I74" i="32"/>
  <c r="I76" i="5"/>
  <c r="L98" i="32"/>
  <c r="L99" i="32" s="1"/>
  <c r="L99" i="5"/>
  <c r="G74" i="32"/>
  <c r="G76" i="5"/>
  <c r="H99" i="5"/>
  <c r="H98" i="32"/>
  <c r="H99" i="32" s="1"/>
  <c r="J98" i="32"/>
  <c r="J99" i="32" s="1"/>
  <c r="J99" i="5"/>
  <c r="M68" i="32"/>
  <c r="M73" i="32" s="1"/>
  <c r="N74" i="32"/>
  <c r="N76" i="5"/>
  <c r="E98" i="32"/>
  <c r="E99" i="32" s="1"/>
  <c r="E99" i="5"/>
  <c r="I98" i="32"/>
  <c r="I99" i="32" s="1"/>
  <c r="I99" i="5"/>
  <c r="L74" i="32"/>
  <c r="L76" i="5"/>
  <c r="G99" i="5"/>
  <c r="G98" i="32"/>
  <c r="G99" i="32" s="1"/>
  <c r="C76" i="5"/>
  <c r="C76" i="32" s="1"/>
  <c r="C74" i="32"/>
  <c r="C93" i="32"/>
  <c r="C94" i="32" s="1"/>
  <c r="C94" i="5"/>
  <c r="C98" i="32"/>
  <c r="C99" i="5"/>
  <c r="C68" i="32"/>
  <c r="C70" i="5"/>
  <c r="C70" i="32" s="1"/>
  <c r="O98" i="5"/>
  <c r="O99" i="5" s="1"/>
  <c r="O74" i="5"/>
  <c r="O76" i="5" s="1"/>
  <c r="O93" i="5"/>
  <c r="O94" i="5" s="1"/>
  <c r="O68" i="5"/>
  <c r="O69" i="32"/>
  <c r="D68" i="32"/>
  <c r="D70" i="5"/>
  <c r="F73" i="32"/>
  <c r="I73" i="32"/>
  <c r="D93" i="32"/>
  <c r="D94" i="32" s="1"/>
  <c r="D94" i="5"/>
  <c r="I73" i="5"/>
  <c r="F73" i="5"/>
  <c r="N73" i="5"/>
  <c r="L68" i="32"/>
  <c r="L70" i="5"/>
  <c r="L70" i="32" s="1"/>
  <c r="I93" i="32"/>
  <c r="I94" i="32" s="1"/>
  <c r="I94" i="5"/>
  <c r="F94" i="5"/>
  <c r="F93" i="32"/>
  <c r="K70" i="5"/>
  <c r="K70" i="32" s="1"/>
  <c r="N93" i="32"/>
  <c r="N94" i="32" s="1"/>
  <c r="N94" i="5"/>
  <c r="L6" i="32"/>
  <c r="L8" i="32" s="1"/>
  <c r="L5" i="32" s="1"/>
  <c r="L12" i="32" s="1"/>
  <c r="N8" i="32"/>
  <c r="D8" i="32"/>
  <c r="D5" i="32" s="1"/>
  <c r="D12" i="32" s="1"/>
  <c r="L5" i="5"/>
  <c r="L12" i="5" s="1"/>
  <c r="G8" i="32"/>
  <c r="G5" i="32" s="1"/>
  <c r="G12" i="32" s="1"/>
  <c r="K8" i="32"/>
  <c r="K5" i="32" s="1"/>
  <c r="K12" i="32" s="1"/>
  <c r="H8" i="32"/>
  <c r="H5" i="32" s="1"/>
  <c r="H12" i="32" s="1"/>
  <c r="E8" i="32"/>
  <c r="E5" i="32" s="1"/>
  <c r="E12" i="32" s="1"/>
  <c r="E8" i="5"/>
  <c r="E5" i="5" s="1"/>
  <c r="E12" i="5" s="1"/>
  <c r="H8" i="5"/>
  <c r="H5" i="5" s="1"/>
  <c r="H12" i="5" s="1"/>
  <c r="I8" i="5"/>
  <c r="I5" i="5" s="1"/>
  <c r="I12" i="5" s="1"/>
  <c r="F8" i="5"/>
  <c r="F5" i="5" s="1"/>
  <c r="F12" i="5" s="1"/>
  <c r="G8" i="5"/>
  <c r="G5" i="5" s="1"/>
  <c r="G12" i="5" s="1"/>
  <c r="K8" i="5"/>
  <c r="K5" i="5" s="1"/>
  <c r="K12" i="5" s="1"/>
  <c r="F8" i="32"/>
  <c r="F5" i="32" s="1"/>
  <c r="F12" i="32" s="1"/>
  <c r="J8" i="5"/>
  <c r="J5" i="5" s="1"/>
  <c r="J12" i="5" s="1"/>
  <c r="O8" i="5"/>
  <c r="O5" i="5" s="1"/>
  <c r="O12" i="5" s="1"/>
  <c r="N8" i="5"/>
  <c r="N5" i="5" s="1"/>
  <c r="N12" i="5" s="1"/>
  <c r="O26" i="32"/>
  <c r="M8" i="32"/>
  <c r="M5" i="32" s="1"/>
  <c r="M12" i="32" s="1"/>
  <c r="I8" i="32"/>
  <c r="I5" i="32" s="1"/>
  <c r="I12" i="32" s="1"/>
  <c r="M8" i="5"/>
  <c r="M5" i="5" s="1"/>
  <c r="M12" i="5" s="1"/>
  <c r="O62" i="5"/>
  <c r="O13" i="5" s="1"/>
  <c r="N62" i="5"/>
  <c r="N62" i="32" s="1"/>
  <c r="J62" i="5"/>
  <c r="J62" i="32" s="1"/>
  <c r="D8" i="5"/>
  <c r="D5" i="5" s="1"/>
  <c r="D12" i="5" s="1"/>
  <c r="O34" i="32"/>
  <c r="K62" i="5"/>
  <c r="K62" i="32" s="1"/>
  <c r="E62" i="5"/>
  <c r="E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58" i="32"/>
  <c r="O63" i="32"/>
  <c r="O29" i="32"/>
  <c r="O27" i="32"/>
  <c r="O28" i="32"/>
  <c r="J8" i="32"/>
  <c r="J5" i="32" s="1"/>
  <c r="J12" i="32" s="1"/>
  <c r="J64" i="5"/>
  <c r="O59" i="32"/>
  <c r="H14" i="32"/>
  <c r="O14" i="32" s="1"/>
  <c r="C8" i="5"/>
  <c r="C5" i="5" s="1"/>
  <c r="C12" i="5" s="1"/>
  <c r="O24" i="32"/>
  <c r="O21" i="32"/>
  <c r="O19" i="32"/>
  <c r="O10" i="32"/>
  <c r="O60" i="32"/>
  <c r="G64" i="5"/>
  <c r="G64" i="32" s="1"/>
  <c r="N5" i="32"/>
  <c r="N12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F64" i="32" s="1"/>
  <c r="N64" i="5"/>
  <c r="N64" i="32" s="1"/>
  <c r="M64" i="5"/>
  <c r="M64" i="32" s="1"/>
  <c r="E64" i="5"/>
  <c r="E64" i="32" s="1"/>
  <c r="O48" i="32"/>
  <c r="D64" i="5"/>
  <c r="D64" i="32" s="1"/>
  <c r="O47" i="32"/>
  <c r="C8" i="32"/>
  <c r="C5" i="32" s="1"/>
  <c r="C12" i="32" s="1"/>
  <c r="H64" i="32"/>
  <c r="I3" i="10" a="1"/>
  <c r="I3" i="10" s="1"/>
  <c r="J73" i="5" l="1"/>
  <c r="H73" i="5"/>
  <c r="M79" i="5"/>
  <c r="M67" i="5" s="1"/>
  <c r="M81" i="5" s="1"/>
  <c r="C73" i="5"/>
  <c r="C73" i="32"/>
  <c r="K79" i="5"/>
  <c r="C79" i="5"/>
  <c r="M79" i="32"/>
  <c r="M67" i="32" s="1"/>
  <c r="M81" i="32" s="1"/>
  <c r="L76" i="32"/>
  <c r="L79" i="32" s="1"/>
  <c r="L79" i="5"/>
  <c r="G76" i="32"/>
  <c r="G79" i="32" s="1"/>
  <c r="G79" i="5"/>
  <c r="I76" i="32"/>
  <c r="I79" i="5"/>
  <c r="I67" i="5" s="1"/>
  <c r="I81" i="5" s="1"/>
  <c r="E76" i="32"/>
  <c r="E79" i="32" s="1"/>
  <c r="E67" i="32" s="1"/>
  <c r="E81" i="32" s="1"/>
  <c r="E79" i="5"/>
  <c r="E67" i="5" s="1"/>
  <c r="E81" i="5" s="1"/>
  <c r="K79" i="32"/>
  <c r="H76" i="32"/>
  <c r="H79" i="32" s="1"/>
  <c r="H67" i="32" s="1"/>
  <c r="H81" i="32" s="1"/>
  <c r="H79" i="5"/>
  <c r="F79" i="5"/>
  <c r="F67" i="5" s="1"/>
  <c r="F81" i="5" s="1"/>
  <c r="J76" i="32"/>
  <c r="J79" i="32" s="1"/>
  <c r="J67" i="32" s="1"/>
  <c r="J81" i="32" s="1"/>
  <c r="J79" i="5"/>
  <c r="O79" i="5"/>
  <c r="N76" i="32"/>
  <c r="N79" i="32" s="1"/>
  <c r="N67" i="32" s="1"/>
  <c r="N81" i="32" s="1"/>
  <c r="N79" i="5"/>
  <c r="N67" i="5" s="1"/>
  <c r="N81" i="5" s="1"/>
  <c r="G70" i="32"/>
  <c r="G73" i="32" s="1"/>
  <c r="G73" i="5"/>
  <c r="F79" i="32"/>
  <c r="F67" i="32" s="1"/>
  <c r="F81" i="32" s="1"/>
  <c r="C99" i="32"/>
  <c r="O98" i="32"/>
  <c r="O99" i="32" s="1"/>
  <c r="C79" i="32"/>
  <c r="O74" i="32"/>
  <c r="O70" i="5"/>
  <c r="O73" i="5" s="1"/>
  <c r="D70" i="32"/>
  <c r="D73" i="32" s="1"/>
  <c r="D67" i="32" s="1"/>
  <c r="D81" i="32" s="1"/>
  <c r="D73" i="5"/>
  <c r="D67" i="5" s="1"/>
  <c r="D81" i="5" s="1"/>
  <c r="K73" i="5"/>
  <c r="L73" i="5"/>
  <c r="L73" i="32"/>
  <c r="F94" i="32"/>
  <c r="O93" i="32"/>
  <c r="O94" i="32" s="1"/>
  <c r="O68" i="32"/>
  <c r="K73" i="32"/>
  <c r="P3" i="10" a="1"/>
  <c r="P3" i="10" s="1"/>
  <c r="O6" i="32"/>
  <c r="O8" i="32" s="1"/>
  <c r="O5" i="32" s="1"/>
  <c r="O12" i="32" s="1"/>
  <c r="M3" i="10" a="1"/>
  <c r="M3" i="10" s="1"/>
  <c r="N3" i="10" a="1"/>
  <c r="N3" i="10" s="1"/>
  <c r="L13" i="5"/>
  <c r="L66" i="5" s="1"/>
  <c r="M13" i="32"/>
  <c r="M66" i="32" s="1"/>
  <c r="L13" i="32"/>
  <c r="L66" i="32" s="1"/>
  <c r="E13" i="32"/>
  <c r="E66" i="32" s="1"/>
  <c r="I13" i="5"/>
  <c r="L3" i="10" a="1"/>
  <c r="L3" i="10" s="1"/>
  <c r="I13" i="32"/>
  <c r="I66" i="32" s="1"/>
  <c r="E13" i="5"/>
  <c r="E66" i="5" s="1"/>
  <c r="O66" i="5"/>
  <c r="F3" i="10" a="1"/>
  <c r="F3" i="10" s="1"/>
  <c r="H13" i="32"/>
  <c r="H66" i="32" s="1"/>
  <c r="K3" i="10" a="1"/>
  <c r="K3" i="10" s="1"/>
  <c r="I66" i="5"/>
  <c r="D13" i="32"/>
  <c r="D66" i="32" s="1"/>
  <c r="F13" i="32"/>
  <c r="F66" i="32" s="1"/>
  <c r="D13" i="5"/>
  <c r="D66" i="5" s="1"/>
  <c r="N13" i="32"/>
  <c r="N66" i="32" s="1"/>
  <c r="Q3" i="10" a="1"/>
  <c r="Q3" i="10" s="1"/>
  <c r="F13" i="5"/>
  <c r="F66" i="5" s="1"/>
  <c r="C13" i="32"/>
  <c r="C66" i="32" s="1"/>
  <c r="H13" i="5"/>
  <c r="H66" i="5" s="1"/>
  <c r="O62" i="32"/>
  <c r="C13" i="5"/>
  <c r="C66" i="5" s="1"/>
  <c r="J3" i="10" a="1"/>
  <c r="J3" i="10" s="1"/>
  <c r="K13" i="5"/>
  <c r="K66" i="5" s="1"/>
  <c r="G13" i="32"/>
  <c r="G66" i="32" s="1"/>
  <c r="J13" i="5"/>
  <c r="J66" i="5" s="1"/>
  <c r="J64" i="32"/>
  <c r="J13" i="32" s="1"/>
  <c r="J66" i="32" s="1"/>
  <c r="N13" i="5"/>
  <c r="N66" i="5" s="1"/>
  <c r="G13" i="5"/>
  <c r="G66" i="5" s="1"/>
  <c r="M13" i="5"/>
  <c r="M66" i="5" s="1"/>
  <c r="K64" i="32"/>
  <c r="K13" i="32" s="1"/>
  <c r="K66" i="32" s="1"/>
  <c r="H3" i="10" a="1"/>
  <c r="H3" i="10" s="1"/>
  <c r="G3" i="10" a="1"/>
  <c r="G3" i="10" s="1"/>
  <c r="O3" i="10" a="1"/>
  <c r="O3" i="10" s="1"/>
  <c r="H67" i="5" l="1"/>
  <c r="H81" i="5" s="1"/>
  <c r="J67" i="5"/>
  <c r="J81" i="5" s="1"/>
  <c r="M80" i="5"/>
  <c r="I80" i="5"/>
  <c r="C67" i="32"/>
  <c r="C81" i="32" s="1"/>
  <c r="C67" i="5"/>
  <c r="C81" i="5" s="1"/>
  <c r="O67" i="5"/>
  <c r="O81" i="5" s="1"/>
  <c r="L67" i="5"/>
  <c r="L81" i="5" s="1"/>
  <c r="H80" i="5"/>
  <c r="N80" i="32"/>
  <c r="G67" i="5"/>
  <c r="G81" i="5" s="1"/>
  <c r="J80" i="32"/>
  <c r="E80" i="5"/>
  <c r="O70" i="32"/>
  <c r="O73" i="32" s="1"/>
  <c r="F80" i="5"/>
  <c r="O76" i="32"/>
  <c r="O79" i="32" s="1"/>
  <c r="G67" i="32"/>
  <c r="G81" i="32" s="1"/>
  <c r="D80" i="32"/>
  <c r="M80" i="32"/>
  <c r="K67" i="5"/>
  <c r="K81" i="5" s="1"/>
  <c r="E80" i="32"/>
  <c r="K67" i="32"/>
  <c r="K81" i="32" s="1"/>
  <c r="N80" i="5"/>
  <c r="J80" i="5"/>
  <c r="F80" i="32"/>
  <c r="H80" i="32"/>
  <c r="L67" i="32"/>
  <c r="L81" i="32" s="1"/>
  <c r="I79" i="32"/>
  <c r="I67" i="32" s="1"/>
  <c r="I81" i="32" s="1"/>
  <c r="D80" i="5"/>
  <c r="O64" i="32"/>
  <c r="O13" i="32" s="1"/>
  <c r="O66" i="32" s="1"/>
  <c r="C80" i="5" l="1"/>
  <c r="O80" i="5"/>
  <c r="C80" i="32"/>
  <c r="L80" i="5"/>
  <c r="G80" i="32"/>
  <c r="O67" i="32"/>
  <c r="O81" i="32" s="1"/>
  <c r="K80" i="5"/>
  <c r="G80" i="5"/>
  <c r="K80" i="32"/>
  <c r="L80" i="32"/>
  <c r="I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ＭＳ Ｐゴシック"/>
            <family val="3"/>
            <charset val="128"/>
          </rPr>
          <t>ご注意</t>
        </r>
        <r>
          <rPr>
            <b/>
            <sz val="9"/>
            <color indexed="8"/>
            <rFont val="ＭＳ Ｐゴシック"/>
            <family val="3"/>
            <charset val="128"/>
          </rPr>
          <t>：</t>
        </r>
        <r>
          <rPr>
            <sz val="9"/>
            <color indexed="8"/>
            <rFont val="Tahoma"/>
            <family val="2"/>
          </rPr>
          <t>3</t>
        </r>
        <r>
          <rPr>
            <sz val="9"/>
            <color indexed="8"/>
            <rFont val="ＭＳ Ｐゴシック"/>
            <family val="3"/>
            <charset val="128"/>
          </rPr>
          <t>行目に</t>
        </r>
        <r>
          <rPr>
            <sz val="9"/>
            <color indexed="8"/>
            <rFont val="Tahoma"/>
            <family val="2"/>
          </rPr>
          <t>CHECK</t>
        </r>
        <r>
          <rPr>
            <sz val="9"/>
            <color indexed="8"/>
            <rFont val="ＭＳ Ｐゴシック"/>
            <family val="3"/>
            <charset val="128"/>
          </rPr>
          <t>場所で</t>
        </r>
        <r>
          <rPr>
            <b/>
            <sz val="9"/>
            <color indexed="8"/>
            <rFont val="Tahoma"/>
            <family val="2"/>
          </rPr>
          <t xml:space="preserve">
</t>
        </r>
        <r>
          <rPr>
            <b/>
            <sz val="9"/>
            <color indexed="8"/>
            <rFont val="ＭＳ Ｐゴシック"/>
            <family val="3"/>
            <charset val="128"/>
          </rPr>
          <t>経費➝少数点</t>
        </r>
        <r>
          <rPr>
            <sz val="9"/>
            <color indexed="8"/>
            <rFont val="ＭＳ Ｐゴシック"/>
            <family val="3"/>
            <charset val="128"/>
          </rPr>
          <t xml:space="preserve">になると経費の数字は少数点がある
</t>
        </r>
        <r>
          <rPr>
            <b/>
            <sz val="9"/>
            <color indexed="8"/>
            <rFont val="ＭＳ Ｐゴシック"/>
            <family val="3"/>
            <charset val="128"/>
          </rPr>
          <t>経費➝</t>
        </r>
        <r>
          <rPr>
            <b/>
            <sz val="9"/>
            <color indexed="8"/>
            <rFont val="Tahoma"/>
            <family val="2"/>
          </rPr>
          <t>NG</t>
        </r>
        <r>
          <rPr>
            <sz val="9"/>
            <color indexed="8"/>
            <rFont val="ＭＳ Ｐゴシック"/>
            <family val="3"/>
            <charset val="128"/>
          </rPr>
          <t>になると採算科目（</t>
        </r>
        <r>
          <rPr>
            <sz val="9"/>
            <color indexed="8"/>
            <rFont val="Tahoma"/>
            <family val="2"/>
          </rPr>
          <t>D</t>
        </r>
        <r>
          <rPr>
            <sz val="9"/>
            <color indexed="8"/>
            <rFont val="ＭＳ Ｐゴシック"/>
            <family val="3"/>
            <charset val="128"/>
          </rPr>
          <t xml:space="preserve">列）場所で確認してください
</t>
        </r>
        <r>
          <rPr>
            <b/>
            <sz val="9"/>
            <color indexed="8"/>
            <rFont val="ＭＳ Ｐゴシック"/>
            <family val="3"/>
            <charset val="128"/>
          </rPr>
          <t>時間➝</t>
        </r>
        <r>
          <rPr>
            <b/>
            <sz val="9"/>
            <color indexed="8"/>
            <rFont val="Tahoma"/>
            <family val="2"/>
          </rPr>
          <t>NG</t>
        </r>
        <r>
          <rPr>
            <sz val="9"/>
            <color indexed="8"/>
            <rFont val="ＭＳ Ｐゴシック"/>
            <family val="3"/>
            <charset val="128"/>
          </rPr>
          <t>になると時間分は</t>
        </r>
        <r>
          <rPr>
            <sz val="9"/>
            <color indexed="8"/>
            <rFont val="Tahoma"/>
            <family val="2"/>
          </rPr>
          <t>0.25</t>
        </r>
        <r>
          <rPr>
            <sz val="9"/>
            <color indexed="8"/>
            <rFont val="ＭＳ Ｐゴシック"/>
            <family val="3"/>
            <charset val="128"/>
          </rPr>
          <t>とか</t>
        </r>
        <r>
          <rPr>
            <sz val="9"/>
            <color indexed="8"/>
            <rFont val="Tahoma"/>
            <family val="2"/>
          </rPr>
          <t>0.5</t>
        </r>
        <r>
          <rPr>
            <sz val="9"/>
            <color indexed="8"/>
            <rFont val="ＭＳ Ｐゴシック"/>
            <family val="3"/>
            <charset val="128"/>
          </rPr>
          <t>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<sst xmlns="http://schemas.openxmlformats.org/spreadsheetml/2006/main" count="1659" uniqueCount="721">
  <si>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</si>
  <si>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</si>
  <si>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</si>
  <si>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</si>
  <si>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</si>
  <si>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</si>
  <si>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</si>
  <si>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</si>
  <si>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</si>
  <si>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</si>
  <si>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</si>
  <si>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</si>
  <si>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</si>
  <si>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</si>
  <si>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</si>
  <si>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</si>
  <si>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</si>
  <si>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</si>
  <si>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</si>
  <si>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</si>
  <si>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</si>
  <si>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</si>
  <si>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</si>
  <si>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</si>
  <si>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</si>
  <si>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</si>
  <si>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</si>
  <si>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</si>
  <si>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</si>
  <si>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</si>
  <si>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</si>
  <si>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</si>
  <si>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</si>
  <si>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</si>
  <si>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</si>
  <si>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</si>
  <si>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</si>
  <si>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</si>
  <si>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</si>
  <si>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</si>
  <si>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</si>
  <si>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</si>
  <si>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</si>
  <si>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</si>
  <si>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</si>
  <si>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</si>
  <si>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</si>
  <si>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</si>
  <si>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</si>
  <si>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</si>
  <si>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</si>
  <si>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</si>
  <si>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</si>
  <si>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</si>
  <si>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</si>
  <si>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</si>
  <si>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</si>
  <si>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</si>
  <si>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</si>
  <si>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</si>
  <si>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</si>
  <si>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</si>
  <si>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</si>
  <si>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</si>
  <si>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</si>
  <si>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</si>
  <si>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</si>
  <si>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</si>
  <si>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</si>
  <si>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</si>
  <si>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</si>
  <si>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</si>
  <si>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</si>
  <si>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</si>
  <si>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</si>
  <si>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</si>
  <si>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</si>
  <si>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</si>
  <si>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</si>
  <si>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</si>
  <si>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</si>
  <si>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</si>
  <si>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</si>
  <si>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</si>
  <si>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</si>
  <si>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</si>
  <si>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</si>
  <si>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</si>
  <si>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</si>
  <si>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</si>
  <si>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</si>
  <si>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</si>
  <si>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</si>
  <si>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</si>
  <si>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</si>
  <si>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</si>
  <si>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</si>
  <si>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</si>
  <si>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</si>
  <si>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</si>
  <si>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</si>
  <si>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</si>
  <si>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</si>
  <si>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</si>
  <si>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</si>
  <si>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</si>
  <si>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</si>
  <si>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</si>
  <si>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</si>
  <si>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</si>
  <si>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</si>
  <si>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</si>
  <si>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</si>
  <si>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</si>
  <si>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</si>
  <si>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</si>
  <si>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</si>
  <si>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</si>
  <si>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</si>
  <si>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</si>
  <si>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</si>
  <si>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</si>
  <si>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</si>
  <si>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</si>
  <si>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</si>
  <si>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</si>
  <si>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</si>
  <si>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</si>
  <si>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</si>
  <si>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</si>
  <si>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</si>
  <si>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</si>
  <si>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</si>
  <si>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</si>
  <si>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</si>
  <si>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</si>
  <si>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</si>
  <si>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</si>
  <si>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</si>
  <si>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</si>
  <si>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</si>
  <si>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</si>
  <si>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</si>
  <si>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</si>
  <si>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</si>
  <si>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</si>
  <si>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</si>
  <si>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</si>
  <si>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</si>
  <si>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</si>
  <si>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</si>
  <si>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</si>
  <si>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</si>
  <si>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</si>
  <si>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</si>
  <si>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</si>
  <si>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</si>
  <si>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</si>
  <si>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</si>
  <si>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</si>
  <si>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</si>
  <si>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</si>
  <si>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</si>
  <si>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</si>
  <si>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</si>
  <si>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</si>
  <si>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</si>
  <si>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</si>
  <si>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</si>
  <si>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</si>
  <si>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</si>
  <si>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</si>
  <si>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</si>
  <si>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</si>
  <si>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</si>
  <si>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</si>
  <si>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</si>
  <si>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</si>
  <si>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</si>
  <si>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</si>
  <si>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</si>
  <si>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</si>
  <si>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</si>
  <si>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</si>
  <si>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</si>
  <si>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</si>
  <si>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</si>
  <si>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</si>
  <si>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</si>
  <si>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</si>
  <si>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</si>
  <si>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</si>
  <si>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</si>
  <si>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</si>
  <si>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</si>
  <si>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</si>
  <si>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</si>
  <si>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</si>
  <si>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</si>
  <si>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</si>
  <si>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</si>
  <si>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</si>
  <si>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</si>
  <si>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</si>
  <si>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</si>
  <si>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</si>
  <si>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</si>
  <si>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</si>
  <si>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</si>
  <si>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</si>
  <si>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</si>
  <si>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</si>
  <si>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</si>
  <si>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</si>
  <si>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</si>
  <si>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</si>
  <si>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</si>
  <si>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</si>
  <si>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</si>
  <si>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</si>
  <si>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</si>
  <si>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</si>
  <si>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</si>
  <si>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</si>
  <si>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</si>
  <si>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</si>
  <si>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</si>
  <si>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</si>
  <si>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</si>
  <si>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</si>
  <si>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</si>
  <si>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</si>
  <si>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</si>
  <si>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</si>
  <si>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</si>
  <si>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</si>
  <si>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</si>
  <si>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</si>
  <si>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</si>
  <si>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</si>
  <si>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</si>
  <si>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</si>
  <si>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</si>
  <si>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</si>
  <si>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</si>
  <si>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</si>
  <si>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</si>
  <si>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</si>
  <si>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</si>
  <si>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</si>
  <si>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</si>
  <si>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</si>
  <si>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</si>
  <si>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</si>
  <si>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</si>
  <si>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</si>
  <si>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</si>
  <si>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</si>
  <si>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</si>
  <si>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</si>
  <si>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</si>
  <si>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</si>
  <si>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</si>
  <si>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</si>
  <si>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</si>
  <si>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</si>
  <si>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</si>
  <si>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</si>
  <si>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</si>
  <si>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</si>
  <si>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</si>
  <si>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</si>
  <si>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</si>
  <si>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</si>
  <si>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</si>
  <si>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</si>
  <si>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</si>
  <si>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</si>
  <si>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</si>
  <si>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</si>
  <si>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</si>
  <si>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</si>
  <si>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</si>
  <si>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</si>
  <si>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</si>
  <si>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</si>
  <si>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</si>
  <si>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</si>
  <si>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</si>
  <si>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</si>
  <si>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</si>
  <si>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</si>
  <si>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</si>
  <si>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</si>
  <si>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</si>
  <si>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</si>
  <si>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</si>
  <si>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</si>
  <si>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</si>
  <si>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</si>
  <si>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</si>
  <si>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</si>
  <si>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</si>
  <si>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</si>
  <si>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</si>
  <si>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</si>
  <si>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</si>
  <si>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</si>
  <si>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</si>
  <si>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</si>
  <si>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</si>
  <si>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</si>
  <si>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</si>
  <si>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</si>
  <si>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</si>
  <si>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</si>
  <si>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</si>
  <si>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</si>
  <si>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</si>
  <si>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</si>
  <si>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</si>
  <si>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</si>
  <si>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</si>
  <si>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</si>
  <si>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</si>
  <si>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</si>
  <si>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</si>
  <si>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</si>
  <si>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</si>
  <si>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</si>
  <si>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</si>
  <si>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</si>
  <si>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</si>
  <si>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</si>
  <si>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</si>
  <si>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</si>
  <si>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</si>
  <si>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</si>
  <si>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</si>
  <si>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</si>
  <si>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</si>
  <si>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</si>
  <si>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</si>
  <si>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</si>
  <si>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</si>
  <si>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</si>
  <si>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</si>
  <si>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</si>
  <si>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</si>
  <si>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</si>
  <si>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</si>
  <si>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</si>
  <si>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</si>
  <si>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</si>
  <si>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</si>
  <si>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</si>
  <si>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</si>
  <si>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</si>
  <si>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</si>
  <si>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</si>
  <si>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</si>
  <si>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</si>
  <si>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</si>
  <si>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</si>
  <si>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</si>
  <si>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</si>
  <si>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</si>
  <si>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</si>
  <si>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</si>
  <si>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</si>
  <si>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</si>
  <si>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</si>
  <si>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</si>
  <si>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</si>
  <si>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</si>
  <si>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</si>
  <si>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</si>
  <si>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</si>
  <si>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</si>
  <si>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</si>
  <si>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</si>
  <si>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</si>
  <si>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</si>
  <si>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</si>
  <si>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</si>
  <si>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</si>
  <si>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</si>
  <si>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</si>
  <si>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</si>
  <si>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</si>
  <si>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</si>
  <si>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</si>
  <si>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</si>
  <si>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</si>
  <si>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</si>
  <si>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</si>
  <si>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</si>
  <si>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</si>
  <si>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</si>
  <si>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</si>
  <si>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</si>
  <si>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</si>
  <si>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</si>
  <si>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</si>
  <si>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</si>
  <si>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</si>
  <si>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</si>
  <si>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</si>
  <si>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</si>
  <si>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</si>
  <si>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</si>
  <si>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</si>
  <si>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</si>
  <si>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</si>
  <si>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</si>
  <si>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</si>
  <si>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</si>
  <si>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</si>
  <si>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</si>
  <si>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</si>
  <si>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</si>
  <si>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</si>
  <si>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</si>
  <si>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</si>
  <si>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</si>
  <si>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</si>
  <si>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</si>
  <si>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</si>
  <si>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</si>
  <si>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</si>
  <si>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</si>
  <si>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</si>
  <si>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</si>
  <si>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</si>
  <si>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</si>
  <si>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</si>
  <si>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</si>
  <si>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</si>
  <si>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</si>
  <si>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</si>
  <si>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</si>
  <si>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</si>
  <si>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</si>
  <si>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</si>
  <si>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</si>
  <si>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</si>
  <si>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</si>
  <si>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</si>
  <si>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</si>
  <si>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</si>
  <si>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</si>
  <si>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</si>
  <si>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</si>
  <si>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</si>
  <si>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</si>
  <si>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</si>
  <si>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</si>
  <si>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</si>
  <si>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</si>
  <si>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</si>
  <si>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</si>
  <si>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</si>
  <si>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</si>
  <si>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</si>
  <si>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</si>
  <si>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</si>
  <si>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</si>
  <si>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</si>
  <si>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</si>
  <si>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</si>
  <si>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</si>
  <si>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</si>
  <si>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</si>
  <si>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</si>
  <si>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</si>
  <si>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</si>
  <si>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</si>
  <si>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</si>
  <si>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</si>
  <si>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</si>
  <si>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</si>
  <si>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</si>
  <si>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</si>
  <si>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</si>
  <si>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</si>
  <si>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</si>
  <si>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</si>
  <si>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</si>
  <si>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</si>
  <si>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</si>
  <si>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</si>
  <si>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</si>
  <si>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</si>
  <si>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</si>
  <si>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</si>
  <si>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</si>
  <si>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</si>
  <si>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</si>
  <si>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</si>
  <si>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</si>
  <si>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</si>
  <si>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</si>
  <si>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</si>
  <si>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</si>
  <si>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</si>
  <si>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</si>
  <si>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</si>
  <si>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</si>
  <si>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</si>
  <si>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</si>
  <si>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</si>
  <si>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</si>
  <si>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</si>
  <si>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</si>
  <si>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</si>
  <si>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</si>
  <si>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</si>
  <si>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</si>
  <si>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</si>
  <si>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</si>
  <si>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</si>
  <si>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</si>
  <si>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</si>
  <si>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</si>
  <si>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</si>
  <si>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</si>
  <si>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</si>
  <si>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</si>
  <si>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</si>
  <si>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</si>
  <si>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</si>
  <si>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</si>
  <si>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</si>
  <si>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</si>
  <si>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</si>
  <si>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</si>
  <si>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</si>
  <si>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</si>
  <si>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</si>
  <si>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</si>
  <si>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</si>
  <si>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</si>
  <si>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</si>
  <si>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</si>
  <si>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</si>
  <si>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</si>
  <si>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</si>
  <si>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</si>
  <si>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</si>
  <si>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</si>
  <si>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</si>
  <si>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</si>
  <si>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</si>
  <si>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</si>
  <si>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</si>
  <si>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</si>
  <si>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</si>
  <si>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</si>
  <si>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</si>
  <si>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</si>
  <si>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</si>
  <si>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</si>
  <si>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</si>
  <si>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</si>
  <si>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</si>
  <si>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</si>
  <si>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</si>
  <si>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</si>
  <si>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</si>
  <si>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</si>
  <si>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</si>
  <si>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</si>
  <si>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</si>
  <si>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</si>
  <si>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</si>
  <si>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</si>
  <si>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</si>
  <si>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</si>
  <si>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</si>
  <si>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</si>
  <si>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</si>
  <si>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</si>
  <si>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</si>
  <si>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</si>
  <si>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</si>
  <si>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</si>
  <si>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</si>
  <si>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</si>
  <si>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</si>
  <si>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</si>
  <si>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</si>
  <si>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</si>
  <si>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</si>
  <si>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</si>
  <si>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</si>
  <si>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</si>
  <si>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</si>
  <si>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</si>
  <si>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</si>
  <si>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</si>
  <si>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</si>
  <si>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</si>
  <si>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</si>
  <si>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</si>
  <si>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</si>
  <si>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</si>
  <si>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</si>
  <si>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</si>
  <si>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</si>
  <si>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</si>
  <si>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</si>
  <si>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</si>
  <si>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</si>
  <si>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</si>
  <si>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</si>
  <si>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</si>
  <si>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</si>
  <si>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</si>
  <si>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</si>
  <si>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</si>
  <si>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</si>
  <si>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</si>
  <si>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</si>
  <si>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</si>
  <si>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</si>
  <si>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</si>
  <si>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</si>
  <si>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</si>
  <si>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</si>
  <si>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</si>
  <si>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</si>
  <si>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</si>
  <si>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</si>
  <si>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</si>
  <si>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</si>
  <si>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</si>
  <si>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</si>
  <si>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</si>
  <si>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</si>
  <si>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</si>
  <si>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</si>
  <si>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</si>
  <si>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</si>
  <si>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</si>
  <si>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</si>
  <si>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</si>
  <si>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</si>
  <si>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</si>
  <si>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</si>
  <si>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</si>
  <si>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</si>
  <si>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</si>
  <si>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</si>
  <si>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</si>
  <si>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</si>
  <si>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</si>
  <si>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</si>
  <si>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</si>
  <si>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</si>
  <si>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</si>
  <si>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</si>
  <si>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</si>
  <si>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</si>
  <si>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</si>
  <si>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</si>
  <si>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</si>
  <si>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</si>
  <si>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</si>
  <si>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</si>
  <si>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</si>
  <si>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</si>
  <si>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</si>
  <si>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</si>
  <si>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</si>
  <si>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</si>
  <si>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</si>
  <si>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</si>
  <si>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</si>
  <si>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</si>
  <si>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</si>
  <si>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</si>
  <si>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</si>
  <si>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</si>
  <si>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</si>
  <si>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</si>
  <si>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</si>
  <si>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</si>
  <si>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</si>
  <si>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</si>
  <si>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</si>
  <si>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</si>
  <si>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</si>
  <si>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</si>
  <si>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MC_FRAME (Thanh さん）</t>
  </si>
  <si>
    <t>Mail &amp;R3 システム使用料、</t>
  </si>
  <si>
    <t>建屋償却費</t>
  </si>
  <si>
    <t>土地使用権償却費</t>
  </si>
  <si>
    <t>固定資産金利（建物）</t>
  </si>
  <si>
    <t>固定資産金利（土地）</t>
  </si>
  <si>
    <t>ガス代</t>
  </si>
  <si>
    <t>トイレットペーパ</t>
  </si>
  <si>
    <t>手洗い洗剤費</t>
  </si>
  <si>
    <t>掃除費用</t>
  </si>
  <si>
    <t>電気代</t>
  </si>
  <si>
    <t>水道代</t>
  </si>
  <si>
    <t>ローカル社員のバス代</t>
  </si>
  <si>
    <t>Officeライセンスのアップグレード費用</t>
  </si>
  <si>
    <t>sửa chữa bản lề laptop</t>
  </si>
  <si>
    <r>
      <t>中秋の月餅 ( Bánh trung thu )</t>
    </r>
    <r>
      <rPr>
        <b/>
        <sz val="9"/>
        <color rgb="FFFF0000"/>
        <rFont val="Meiryo UI"/>
        <family val="3"/>
        <charset val="128"/>
      </rPr>
      <t xml:space="preserve"> 10月</t>
    </r>
    <r>
      <rPr>
        <sz val="9"/>
        <rFont val="Meiryo UI"/>
        <family val="3"/>
        <charset val="128"/>
      </rPr>
      <t>：56,000ドン/人）
京セラフェスティバル  ( Lễ hội Kyocera )（</t>
    </r>
    <r>
      <rPr>
        <b/>
        <sz val="9"/>
        <color rgb="FFFF0000"/>
        <rFont val="Meiryo UI"/>
        <family val="3"/>
        <charset val="128"/>
      </rPr>
      <t>9月</t>
    </r>
    <r>
      <rPr>
        <sz val="9"/>
        <rFont val="Meiryo UI"/>
        <family val="3"/>
        <charset val="128"/>
      </rPr>
      <t>：126,000 ドン／人)</t>
    </r>
    <phoneticPr fontId="3"/>
  </si>
  <si>
    <r>
      <t>誕生日: 163,000ドン／人（ Thuy：</t>
    </r>
    <r>
      <rPr>
        <b/>
        <sz val="9"/>
        <color rgb="FFFF0000"/>
        <rFont val="Meiryo UI"/>
        <family val="3"/>
        <charset val="128"/>
      </rPr>
      <t>4月</t>
    </r>
    <r>
      <rPr>
        <sz val="9"/>
        <rFont val="Meiryo UI"/>
        <family val="3"/>
        <charset val="128"/>
      </rPr>
      <t>,Lan：</t>
    </r>
    <r>
      <rPr>
        <b/>
        <sz val="9"/>
        <color rgb="FFFF0000"/>
        <rFont val="Meiryo UI"/>
        <family val="3"/>
        <charset val="128"/>
      </rPr>
      <t>8月</t>
    </r>
    <r>
      <rPr>
        <sz val="9"/>
        <rFont val="Meiryo UI"/>
        <family val="3"/>
        <charset val="128"/>
      </rPr>
      <t>、Duong + Ha ：</t>
    </r>
    <r>
      <rPr>
        <b/>
        <sz val="9"/>
        <color rgb="FFFF0000"/>
        <rFont val="Meiryo UI"/>
        <family val="3"/>
        <charset val="128"/>
      </rPr>
      <t>9月</t>
    </r>
    <r>
      <rPr>
        <sz val="9"/>
        <rFont val="Meiryo UI"/>
        <family val="3"/>
        <charset val="128"/>
      </rPr>
      <t xml:space="preserve">、A Thạch : </t>
    </r>
    <r>
      <rPr>
        <b/>
        <sz val="9"/>
        <color rgb="FFFF0000"/>
        <rFont val="Meiryo UI"/>
        <family val="3"/>
        <charset val="128"/>
      </rPr>
      <t>10月</t>
    </r>
    <r>
      <rPr>
        <sz val="9"/>
        <rFont val="Meiryo UI"/>
        <family val="3"/>
        <charset val="128"/>
      </rPr>
      <t>、 A Thanh：</t>
    </r>
    <r>
      <rPr>
        <b/>
        <sz val="9"/>
        <color rgb="FFFF0000"/>
        <rFont val="Meiryo UI"/>
        <family val="3"/>
        <charset val="128"/>
      </rPr>
      <t>11月</t>
    </r>
    <r>
      <rPr>
        <sz val="9"/>
        <rFont val="Meiryo UI"/>
        <family val="3"/>
        <charset val="128"/>
      </rPr>
      <t>,）</t>
    </r>
    <phoneticPr fontId="3"/>
  </si>
  <si>
    <r>
      <t>スポーツ大会  ( Đại hội thể thao )（</t>
    </r>
    <r>
      <rPr>
        <b/>
        <sz val="9"/>
        <color rgb="FFFF0000"/>
        <rFont val="Meiryo UI"/>
        <family val="3"/>
        <charset val="128"/>
      </rPr>
      <t>11月</t>
    </r>
    <r>
      <rPr>
        <sz val="9"/>
        <rFont val="Meiryo UI"/>
        <family val="3"/>
        <charset val="128"/>
      </rPr>
      <t>: 107,000ドン/人）</t>
    </r>
    <phoneticPr fontId="3"/>
  </si>
  <si>
    <r>
      <t>会社旅行　（Du lịch công ty ）　(</t>
    </r>
    <r>
      <rPr>
        <b/>
        <sz val="9"/>
        <color rgb="FFFF0000"/>
        <rFont val="Meiryo UI"/>
        <family val="3"/>
        <charset val="128"/>
      </rPr>
      <t>5月</t>
    </r>
    <r>
      <rPr>
        <sz val="9"/>
        <rFont val="Meiryo UI"/>
        <family val="3"/>
        <charset val="128"/>
      </rPr>
      <t>：1,890,000ドン／人)</t>
    </r>
    <phoneticPr fontId="3"/>
  </si>
  <si>
    <r>
      <t>決起コンパ ( Ti</t>
    </r>
    <r>
      <rPr>
        <sz val="9"/>
        <rFont val="Calibri"/>
        <family val="2"/>
      </rPr>
      <t>ệ</t>
    </r>
    <r>
      <rPr>
        <sz val="9"/>
        <rFont val="Meiryo UI"/>
        <family val="3"/>
        <charset val="128"/>
      </rPr>
      <t>c khu</t>
    </r>
    <r>
      <rPr>
        <sz val="9"/>
        <rFont val="Calibri"/>
        <family val="2"/>
      </rPr>
      <t>ấ</t>
    </r>
    <r>
      <rPr>
        <sz val="9"/>
        <rFont val="Meiryo UI"/>
        <family val="3"/>
        <charset val="128"/>
      </rPr>
      <t>y đ</t>
    </r>
    <r>
      <rPr>
        <sz val="9"/>
        <rFont val="Calibri"/>
        <family val="2"/>
      </rPr>
      <t>ộ</t>
    </r>
    <r>
      <rPr>
        <sz val="9"/>
        <rFont val="Meiryo UI"/>
        <family val="3"/>
        <charset val="128"/>
      </rPr>
      <t xml:space="preserve">ng năm tài chính </t>
    </r>
    <r>
      <rPr>
        <b/>
        <sz val="9"/>
        <color rgb="FFFF0000"/>
        <rFont val="Meiryo UI"/>
        <family val="3"/>
        <charset val="128"/>
      </rPr>
      <t>)6月</t>
    </r>
    <r>
      <rPr>
        <sz val="9"/>
        <rFont val="Meiryo UI"/>
        <family val="3"/>
        <charset val="128"/>
      </rPr>
      <t>）：200,000ドン／人</t>
    </r>
    <phoneticPr fontId="3"/>
  </si>
  <si>
    <r>
      <t>忘年会補助金 ( H</t>
    </r>
    <r>
      <rPr>
        <sz val="9"/>
        <rFont val="Calibri"/>
        <family val="2"/>
      </rPr>
      <t>ỗ</t>
    </r>
    <r>
      <rPr>
        <sz val="9"/>
        <rFont val="Meiryo UI"/>
        <family val="3"/>
        <charset val="128"/>
      </rPr>
      <t xml:space="preserve"> tr</t>
    </r>
    <r>
      <rPr>
        <sz val="9"/>
        <rFont val="Calibri"/>
        <family val="2"/>
      </rPr>
      <t>ợ</t>
    </r>
    <r>
      <rPr>
        <sz val="9"/>
        <rFont val="Meiryo UI"/>
        <family val="3"/>
        <charset val="128"/>
      </rPr>
      <t xml:space="preserve"> ti</t>
    </r>
    <r>
      <rPr>
        <sz val="9"/>
        <rFont val="Calibri"/>
        <family val="2"/>
      </rPr>
      <t>ệ</t>
    </r>
    <r>
      <rPr>
        <sz val="9"/>
        <rFont val="Meiryo UI"/>
        <family val="3"/>
        <charset val="128"/>
      </rPr>
      <t>c t</t>
    </r>
    <r>
      <rPr>
        <sz val="9"/>
        <rFont val="Calibri"/>
        <family val="2"/>
      </rPr>
      <t>ấ</t>
    </r>
    <r>
      <rPr>
        <sz val="9"/>
        <rFont val="Meiryo UI"/>
        <family val="3"/>
        <charset val="128"/>
      </rPr>
      <t xml:space="preserve">t niên) : </t>
    </r>
    <r>
      <rPr>
        <b/>
        <sz val="9"/>
        <color rgb="FFFF0000"/>
        <rFont val="Meiryo UI"/>
        <family val="3"/>
        <charset val="128"/>
      </rPr>
      <t>2月</t>
    </r>
    <r>
      <rPr>
        <sz val="9"/>
        <rFont val="Meiryo UI"/>
        <family val="3"/>
        <charset val="128"/>
      </rPr>
      <t xml:space="preserve"> : 300,000ドン／人）</t>
    </r>
    <phoneticPr fontId="3"/>
  </si>
  <si>
    <r>
      <t>Máy tính xách tay Dell Vostro 3430 :</t>
    </r>
    <r>
      <rPr>
        <b/>
        <sz val="9"/>
        <color rgb="FFFF0000"/>
        <rFont val="Meiryo UI"/>
        <family val="3"/>
        <charset val="128"/>
      </rPr>
      <t>7月 9月</t>
    </r>
    <r>
      <rPr>
        <sz val="9"/>
        <rFont val="Meiryo UI"/>
        <family val="3"/>
        <charset val="128"/>
      </rPr>
      <t xml:space="preserve"> 16,750,000ドン/PC</t>
    </r>
    <phoneticPr fontId="3"/>
  </si>
  <si>
    <r>
      <rPr>
        <b/>
        <sz val="9"/>
        <color rgb="FFFF0000"/>
        <rFont val="Meiryo UI"/>
        <family val="3"/>
        <charset val="128"/>
      </rPr>
      <t>7月</t>
    </r>
    <r>
      <rPr>
        <sz val="9"/>
        <rFont val="Meiryo UI"/>
        <family val="3"/>
        <charset val="128"/>
      </rPr>
      <t>：フィロソフィ論文参加賞（ : 100,000ドン／人） Giải tham gia viết luận văn</t>
    </r>
    <phoneticPr fontId="3"/>
  </si>
  <si>
    <r>
      <t xml:space="preserve">健康診断  ( Khám sk định kỳ )   </t>
    </r>
    <r>
      <rPr>
        <b/>
        <sz val="9"/>
        <color rgb="FFFF0000"/>
        <rFont val="Meiryo UI"/>
        <family val="3"/>
        <charset val="128"/>
      </rPr>
      <t>12月</t>
    </r>
    <r>
      <rPr>
        <sz val="9"/>
        <rFont val="Meiryo UI"/>
        <family val="3"/>
        <charset val="128"/>
      </rPr>
      <t>(女：204,000ドン／人、男：189,000ドン／人）</t>
    </r>
    <phoneticPr fontId="3"/>
  </si>
  <si>
    <r>
      <t xml:space="preserve">お年玉 (Tiền lì xì ) : </t>
    </r>
    <r>
      <rPr>
        <b/>
        <sz val="9"/>
        <color rgb="FFFF0000"/>
        <rFont val="Meiryo UI"/>
        <family val="3"/>
        <charset val="128"/>
      </rPr>
      <t>2月</t>
    </r>
    <r>
      <rPr>
        <sz val="9"/>
        <rFont val="Meiryo UI"/>
        <family val="3"/>
        <charset val="128"/>
      </rPr>
      <t xml:space="preserve"> 100,000ドン／人）</t>
    </r>
    <phoneticPr fontId="3"/>
  </si>
  <si>
    <r>
      <t xml:space="preserve">ポケットカレンダー  ( Lịch bỏ túi )   </t>
    </r>
    <r>
      <rPr>
        <b/>
        <sz val="9"/>
        <color rgb="FFFF0000"/>
        <rFont val="Meiryo UI"/>
        <family val="3"/>
        <charset val="128"/>
      </rPr>
      <t>11月</t>
    </r>
    <r>
      <rPr>
        <sz val="9"/>
        <rFont val="Meiryo UI"/>
        <family val="3"/>
        <charset val="128"/>
      </rPr>
      <t xml:space="preserve"> : 800ドン／人）</t>
    </r>
    <phoneticPr fontId="3"/>
  </si>
  <si>
    <r>
      <t xml:space="preserve">VPP
chuột ko dây Logitech M221 : 270,000/pc  </t>
    </r>
    <r>
      <rPr>
        <b/>
        <sz val="9"/>
        <color rgb="FFFF0000"/>
        <rFont val="Arial"/>
        <family val="2"/>
      </rPr>
      <t>7</t>
    </r>
    <r>
      <rPr>
        <b/>
        <sz val="9"/>
        <color rgb="FFFF0000"/>
        <rFont val="ＭＳ Ｐゴシック"/>
        <family val="3"/>
        <charset val="128"/>
      </rPr>
      <t>月</t>
    </r>
    <r>
      <rPr>
        <b/>
        <sz val="9"/>
        <color rgb="FFFF0000"/>
        <rFont val="Arial"/>
        <family val="2"/>
      </rPr>
      <t>,11</t>
    </r>
    <r>
      <rPr>
        <b/>
        <sz val="9"/>
        <color rgb="FFFF0000"/>
        <rFont val="ＭＳ Ｐゴシック"/>
        <family val="3"/>
        <charset val="128"/>
      </rPr>
      <t>月</t>
    </r>
    <r>
      <rPr>
        <b/>
        <sz val="9"/>
        <color rgb="FFFF0000"/>
        <rFont val="Arial"/>
        <family val="3"/>
      </rPr>
      <t xml:space="preserve"> </t>
    </r>
    <r>
      <rPr>
        <sz val="9"/>
        <rFont val="ＭＳ Ｐゴシック"/>
        <family val="3"/>
        <charset val="128"/>
      </rPr>
      <t xml:space="preserve">
</t>
    </r>
    <r>
      <rPr>
        <sz val="9"/>
        <rFont val="Arial"/>
        <family val="2"/>
      </rPr>
      <t xml:space="preserve">bao thẻ ngang WB : 1,400 /pc </t>
    </r>
    <r>
      <rPr>
        <b/>
        <sz val="9"/>
        <color rgb="FFFF0000"/>
        <rFont val="Arial"/>
        <family val="2"/>
      </rPr>
      <t xml:space="preserve"> 4</t>
    </r>
    <r>
      <rPr>
        <b/>
        <sz val="9"/>
        <color rgb="FFFF0000"/>
        <rFont val="ＭＳ Ｐゴシック"/>
        <family val="3"/>
        <charset val="128"/>
      </rPr>
      <t>月</t>
    </r>
    <r>
      <rPr>
        <sz val="9"/>
        <rFont val="ＭＳ Ｐゴシック"/>
        <family val="3"/>
        <charset val="128"/>
      </rPr>
      <t xml:space="preserve">
</t>
    </r>
    <r>
      <rPr>
        <sz val="9"/>
        <rFont val="Arial"/>
        <family val="2"/>
      </rPr>
      <t xml:space="preserve">But bi 4 mau MG : 9,200 /pc </t>
    </r>
    <r>
      <rPr>
        <b/>
        <sz val="9"/>
        <color rgb="FFFF0000"/>
        <rFont val="Arial"/>
        <family val="2"/>
      </rPr>
      <t xml:space="preserve"> 4</t>
    </r>
    <r>
      <rPr>
        <b/>
        <sz val="9"/>
        <color rgb="FFFF0000"/>
        <rFont val="ＭＳ Ｐゴシック"/>
        <family val="3"/>
        <charset val="128"/>
      </rPr>
      <t>月</t>
    </r>
    <r>
      <rPr>
        <sz val="9"/>
        <rFont val="ＭＳ Ｐゴシック"/>
        <family val="3"/>
        <charset val="128"/>
      </rPr>
      <t xml:space="preserve">
</t>
    </r>
    <r>
      <rPr>
        <sz val="9"/>
        <rFont val="Arial"/>
        <family val="2"/>
      </rPr>
      <t xml:space="preserve">Kep the shutter (xanh) : 2,200/pc </t>
    </r>
    <r>
      <rPr>
        <b/>
        <sz val="9"/>
        <color rgb="FFFF0000"/>
        <rFont val="Arial"/>
        <family val="2"/>
      </rPr>
      <t xml:space="preserve"> 4</t>
    </r>
    <r>
      <rPr>
        <b/>
        <sz val="9"/>
        <color rgb="FFFF0000"/>
        <rFont val="ＭＳ Ｐゴシック"/>
        <family val="3"/>
        <charset val="128"/>
      </rPr>
      <t>月</t>
    </r>
    <r>
      <rPr>
        <sz val="9"/>
        <rFont val="ＭＳ Ｐゴシック"/>
        <family val="3"/>
        <charset val="128"/>
      </rPr>
      <t xml:space="preserve">
</t>
    </r>
    <r>
      <rPr>
        <sz val="9"/>
        <rFont val="Arial"/>
        <family val="2"/>
      </rPr>
      <t xml:space="preserve">Pin tiểu AA : 26500/pc </t>
    </r>
    <r>
      <rPr>
        <b/>
        <sz val="9"/>
        <color rgb="FFFF0000"/>
        <rFont val="Arial"/>
        <family val="2"/>
      </rPr>
      <t>4</t>
    </r>
    <r>
      <rPr>
        <b/>
        <sz val="9"/>
        <color rgb="FFFF0000"/>
        <rFont val="ＭＳ Ｐゴシック"/>
        <family val="2"/>
        <charset val="128"/>
      </rPr>
      <t>月</t>
    </r>
    <r>
      <rPr>
        <b/>
        <sz val="9"/>
        <color rgb="FFFF0000"/>
        <rFont val="Arial"/>
        <family val="2"/>
      </rPr>
      <t xml:space="preserve">  7</t>
    </r>
    <r>
      <rPr>
        <b/>
        <sz val="9"/>
        <color rgb="FFFF0000"/>
        <rFont val="ＭＳ Ｐゴシック"/>
        <family val="2"/>
        <charset val="128"/>
      </rPr>
      <t xml:space="preserve">月 </t>
    </r>
    <r>
      <rPr>
        <b/>
        <sz val="9"/>
        <color rgb="FFFF0000"/>
        <rFont val="Arial"/>
        <family val="2"/>
      </rPr>
      <t>11</t>
    </r>
    <r>
      <rPr>
        <b/>
        <sz val="9"/>
        <color rgb="FFFF0000"/>
        <rFont val="ＭＳ Ｐゴシック"/>
        <family val="2"/>
        <charset val="128"/>
      </rPr>
      <t>月</t>
    </r>
    <r>
      <rPr>
        <b/>
        <sz val="9"/>
        <color rgb="FFFF0000"/>
        <rFont val="Arial"/>
        <family val="2"/>
      </rPr>
      <t xml:space="preserve"> </t>
    </r>
    <phoneticPr fontId="3"/>
  </si>
  <si>
    <r>
      <t>制服交換 ( Đ</t>
    </r>
    <r>
      <rPr>
        <sz val="9"/>
        <rFont val="Calibri"/>
        <family val="2"/>
      </rPr>
      <t>ổ</t>
    </r>
    <r>
      <rPr>
        <sz val="9"/>
        <rFont val="Meiryo UI"/>
        <family val="3"/>
        <charset val="128"/>
      </rPr>
      <t>i đ</t>
    </r>
    <r>
      <rPr>
        <sz val="9"/>
        <rFont val="Calibri"/>
        <family val="2"/>
      </rPr>
      <t>ồ</t>
    </r>
    <r>
      <rPr>
        <sz val="9"/>
        <rFont val="Meiryo UI"/>
        <family val="3"/>
        <charset val="128"/>
      </rPr>
      <t>ng ph</t>
    </r>
    <r>
      <rPr>
        <sz val="9"/>
        <rFont val="Calibri"/>
        <family val="2"/>
      </rPr>
      <t>ụ</t>
    </r>
    <r>
      <rPr>
        <sz val="9"/>
        <rFont val="Meiryo UI"/>
        <family val="3"/>
        <charset val="128"/>
      </rPr>
      <t>c )
制服（夏）(165,000ドン）：</t>
    </r>
    <r>
      <rPr>
        <b/>
        <sz val="9"/>
        <color rgb="FFFF0000"/>
        <rFont val="Meiryo UI"/>
        <family val="3"/>
        <charset val="128"/>
      </rPr>
      <t>4月</t>
    </r>
    <r>
      <rPr>
        <sz val="9"/>
        <rFont val="Meiryo UI"/>
        <family val="3"/>
        <charset val="128"/>
      </rPr>
      <t xml:space="preserve">
制服（冬）　（175,000ドン）：</t>
    </r>
    <r>
      <rPr>
        <b/>
        <sz val="9"/>
        <color rgb="FFFF0000"/>
        <rFont val="Meiryo UI"/>
        <family val="3"/>
        <charset val="128"/>
      </rPr>
      <t>4月</t>
    </r>
    <r>
      <rPr>
        <sz val="9"/>
        <rFont val="Meiryo UI"/>
        <family val="3"/>
        <charset val="128"/>
      </rPr>
      <t xml:space="preserve">
制服ズボン (qu</t>
    </r>
    <r>
      <rPr>
        <sz val="9"/>
        <rFont val="Calibri"/>
        <family val="3"/>
        <charset val="163"/>
      </rPr>
      <t>ầ</t>
    </r>
    <r>
      <rPr>
        <sz val="9"/>
        <rFont val="Meiryo UI"/>
        <family val="3"/>
        <charset val="128"/>
      </rPr>
      <t>n)　（116，000ドン）：</t>
    </r>
    <r>
      <rPr>
        <b/>
        <sz val="9"/>
        <color rgb="FFFF0000"/>
        <rFont val="Meiryo UI"/>
        <family val="3"/>
        <charset val="128"/>
      </rPr>
      <t>5月 ,12月 , 3月</t>
    </r>
    <r>
      <rPr>
        <sz val="9"/>
        <rFont val="Meiryo UI"/>
        <family val="3"/>
        <charset val="128"/>
      </rPr>
      <t xml:space="preserve">
シューズ（女性）(giày n</t>
    </r>
    <r>
      <rPr>
        <sz val="9"/>
        <rFont val="Calibri"/>
        <family val="3"/>
        <charset val="163"/>
      </rPr>
      <t>ữ</t>
    </r>
    <r>
      <rPr>
        <sz val="9"/>
        <rFont val="Meiryo UI"/>
        <family val="3"/>
        <charset val="128"/>
      </rPr>
      <t>)　（82，000ドン）：</t>
    </r>
    <r>
      <rPr>
        <b/>
        <sz val="9"/>
        <color rgb="FFFF0000"/>
        <rFont val="Meiryo UI"/>
        <family val="3"/>
        <charset val="128"/>
      </rPr>
      <t>5月 ,12月 , 3月</t>
    </r>
    <r>
      <rPr>
        <sz val="9"/>
        <rFont val="Meiryo UI"/>
        <family val="3"/>
        <charset val="128"/>
      </rPr>
      <t xml:space="preserve">
シューズ（男性）　(giày nam )（84，000ドン）：</t>
    </r>
    <r>
      <rPr>
        <b/>
        <sz val="9"/>
        <color rgb="FFFF0000"/>
        <rFont val="Meiryo UI"/>
        <family val="3"/>
        <charset val="128"/>
      </rPr>
      <t>9月,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</si>
</sst>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&quot;¥&quot;#,##0_);[Red]\(&quot;¥&quot;#,##0\)"/>
    <numFmt numFmtId="177" formatCode="_(* #,##0.00_);_(* \(#,##0.00\);_(* &quot;-&quot;??_);_(@_)"/>
    <numFmt numFmtId="178" formatCode="#,##0.0;[Red]\-#,##0.0"/>
    <numFmt numFmtId="179" formatCode="&quot;　　&quot;General"/>
    <numFmt numFmtId="180" formatCode="0&quot;月度&quot;"/>
    <numFmt numFmtId="181" formatCode="0&quot;月&quot;"/>
    <numFmt numFmtId="182" formatCode="0&quot;日&quot;"/>
    <numFmt numFmtId="183" formatCode="&quot;1US$=&quot;0&quot;VND&quot;"/>
    <numFmt numFmtId="184" formatCode="yyyy&quot;年&quot;m&quot;月&quot;;@"/>
    <numFmt numFmtId="185" formatCode="0_ "/>
    <numFmt numFmtId="186" formatCode="0.0"/>
    <numFmt numFmtId="187" formatCode="#,##0.0_);[Red]\(#,##0.0\)"/>
    <numFmt numFmtId="188" formatCode="#,##0.000_);[Red]\(#,##0.000\)"/>
    <numFmt numFmtId="189" formatCode="#,##0.0000_);[Red]\(#,##0.0000\)"/>
    <numFmt numFmtId="190" formatCode="&quot;NT$&quot;#,##0;[Red]\-&quot;NT$&quot;#,##0"/>
    <numFmt numFmtId="191" formatCode="&quot;換算Rate：1US$=&quot;0,000&quot;VND&quot;"/>
    <numFmt numFmtId="192" formatCode="&quot;1USD  =  &quot;#,#00&quot; VND&quot;"/>
    <numFmt numFmtId="193" formatCode="#,##0_);[Red]\-#,##0_)"/>
    <numFmt numFmtId="194" formatCode="&quot;1USD = &quot;#,#00&quot; VND&quot;"/>
    <numFmt numFmtId="195" formatCode="#,##0."/>
  </numFmts>
  <fonts count="9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name val="Calibri"/>
      <family val="2"/>
    </font>
    <font>
      <b/>
      <sz val="9"/>
      <color rgb="FFFF0000"/>
      <name val="ＭＳ Ｐゴシック"/>
      <family val="3"/>
      <charset val="128"/>
    </font>
    <font>
      <sz val="9"/>
      <name val="Calibri"/>
      <family val="3"/>
      <charset val="163"/>
    </font>
    <font>
      <b/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b/>
      <sz val="9"/>
      <color rgb="FFFF0000"/>
      <name val="Arial"/>
      <family val="2"/>
    </font>
    <font>
      <b/>
      <sz val="9"/>
      <color rgb="FFFF0000"/>
      <name val="ＭＳ Ｐゴシック"/>
      <family val="2"/>
      <charset val="128"/>
    </font>
    <font>
      <b/>
      <sz val="9"/>
      <color rgb="FFFF0000"/>
      <name val="Arial"/>
      <family val="3"/>
    </font>
    <font>
      <b/>
      <u/>
      <sz val="9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77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77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90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2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79" fontId="37" fillId="0" borderId="19" xfId="0" applyNumberFormat="1" applyFont="1" applyBorder="1" applyAlignment="1" applyProtection="1">
      <alignment horizontal="left"/>
    </xf>
    <xf numFmtId="179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82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80" fontId="5" fillId="0" borderId="0" xfId="67" applyNumberFormat="1" applyFont="1" applyFill="1"/>
    <xf numFmtId="181" fontId="37" fillId="0" borderId="13" xfId="0" applyNumberFormat="1" applyFont="1" applyBorder="1" applyAlignment="1" applyProtection="1">
      <alignment horizontal="center" wrapText="1"/>
      <protection locked="0"/>
    </xf>
    <xf numFmtId="180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87" fontId="37" fillId="0" borderId="0" xfId="0" applyNumberFormat="1" applyFont="1" applyProtection="1">
      <protection locked="0"/>
    </xf>
    <xf numFmtId="186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88" fontId="37" fillId="0" borderId="0" xfId="0" applyNumberFormat="1" applyFont="1" applyProtection="1">
      <protection locked="0"/>
    </xf>
    <xf numFmtId="189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85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82" fontId="72" fillId="0" borderId="0" xfId="67" applyNumberFormat="1" applyFont="1" applyFill="1" applyAlignment="1">
      <alignment horizontal="center" vertical="center"/>
    </xf>
    <xf numFmtId="181" fontId="73" fillId="25" borderId="10" xfId="67" applyNumberFormat="1" applyFont="1" applyFill="1" applyBorder="1" applyAlignment="1">
      <alignment horizontal="center" vertical="center"/>
    </xf>
    <xf numFmtId="181" fontId="73" fillId="25" borderId="30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82" fontId="72" fillId="0" borderId="0" xfId="68" applyNumberFormat="1" applyFont="1" applyFill="1" applyAlignment="1">
      <alignment horizontal="center" vertical="center"/>
    </xf>
    <xf numFmtId="181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83" fontId="59" fillId="31" borderId="0" xfId="0" applyNumberFormat="1" applyFont="1" applyFill="1" applyAlignment="1" applyProtection="1">
      <alignment horizontal="centerContinuous"/>
      <protection locked="0"/>
    </xf>
    <xf numFmtId="191" fontId="11" fillId="31" borderId="0" xfId="0" applyNumberFormat="1" applyFont="1" applyFill="1" applyAlignment="1" applyProtection="1">
      <alignment horizontal="centerContinuous"/>
      <protection locked="0"/>
    </xf>
    <xf numFmtId="180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80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92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85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93" fontId="72" fillId="0" borderId="0" xfId="67" applyNumberFormat="1" applyFont="1" applyAlignment="1">
      <alignment horizontal="center" vertical="center"/>
    </xf>
    <xf numFmtId="193" fontId="72" fillId="0" borderId="0" xfId="66" applyNumberFormat="1" applyFont="1" applyAlignment="1">
      <alignment horizontal="center" vertical="center"/>
    </xf>
    <xf numFmtId="193" fontId="5" fillId="0" borderId="0" xfId="67" applyNumberFormat="1" applyFont="1"/>
    <xf numFmtId="194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78" fontId="37" fillId="0" borderId="13" xfId="68" applyNumberFormat="1" applyFont="1" applyBorder="1" applyProtection="1"/>
    <xf numFmtId="178" fontId="37" fillId="0" borderId="19" xfId="68" applyNumberFormat="1" applyFont="1" applyBorder="1" applyProtection="1">
      <protection locked="0"/>
    </xf>
    <xf numFmtId="178" fontId="37" fillId="0" borderId="20" xfId="68" applyNumberFormat="1" applyFont="1" applyBorder="1" applyProtection="1">
      <protection locked="0"/>
    </xf>
    <xf numFmtId="178" fontId="37" fillId="0" borderId="32" xfId="68" applyNumberFormat="1" applyFont="1" applyBorder="1" applyProtection="1">
      <protection locked="0"/>
    </xf>
    <xf numFmtId="178" fontId="37" fillId="0" borderId="17" xfId="68" applyNumberFormat="1" applyFont="1" applyBorder="1" applyProtection="1">
      <protection locked="0"/>
    </xf>
    <xf numFmtId="178" fontId="37" fillId="0" borderId="21" xfId="68" applyNumberFormat="1" applyFont="1" applyBorder="1" applyProtection="1"/>
    <xf numFmtId="178" fontId="37" fillId="24" borderId="13" xfId="68" applyNumberFormat="1" applyFont="1" applyFill="1" applyBorder="1" applyAlignment="1" applyProtection="1"/>
    <xf numFmtId="178" fontId="37" fillId="0" borderId="21" xfId="68" applyNumberFormat="1" applyFont="1" applyBorder="1" applyAlignment="1" applyProtection="1"/>
    <xf numFmtId="178" fontId="37" fillId="27" borderId="13" xfId="68" applyNumberFormat="1" applyFont="1" applyFill="1" applyBorder="1" applyProtection="1"/>
    <xf numFmtId="178" fontId="37" fillId="0" borderId="0" xfId="0" applyNumberFormat="1" applyFont="1" applyProtection="1">
      <protection locked="0"/>
    </xf>
    <xf numFmtId="178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7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2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2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2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7" fillId="0" borderId="42" xfId="0" applyNumberFormat="1" applyFont="1" applyFill="1" applyBorder="1"/>
    <xf numFmtId="40" fontId="72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2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2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2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2" fillId="34" borderId="39" xfId="68" applyNumberFormat="1" applyFont="1" applyFill="1" applyBorder="1" applyAlignment="1" applyProtection="1">
      <alignment horizontal="right"/>
      <protection locked="0"/>
    </xf>
    <xf numFmtId="40" fontId="72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82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72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2" fillId="0" borderId="33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2" fillId="0" borderId="51" xfId="0" applyNumberFormat="1" applyFont="1" applyFill="1" applyBorder="1" applyAlignment="1">
      <alignment horizontal="center"/>
    </xf>
    <xf numFmtId="40" fontId="82" fillId="0" borderId="34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8" fillId="0" borderId="0" xfId="0" applyNumberFormat="1" applyFont="1" applyAlignment="1">
      <alignment horizontal="right"/>
    </xf>
    <xf numFmtId="40" fontId="77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4" fillId="35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81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84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4" fillId="0" borderId="0" xfId="171" applyFont="1">
      <alignment vertical="center"/>
    </xf>
    <xf numFmtId="195" fontId="84" fillId="0" borderId="0" xfId="171" applyNumberFormat="1" applyFont="1">
      <alignment vertical="center"/>
    </xf>
    <xf numFmtId="185" fontId="84" fillId="0" borderId="0" xfId="171" applyNumberFormat="1" applyFont="1">
      <alignment vertical="center"/>
    </xf>
    <xf numFmtId="0" fontId="84" fillId="0" borderId="0" xfId="171" applyFont="1" applyAlignment="1">
      <alignment horizontal="left" vertical="center"/>
    </xf>
    <xf numFmtId="49" fontId="84" fillId="0" borderId="0" xfId="171" applyNumberFormat="1" applyFont="1" applyAlignment="1">
      <alignment horizontal="left" vertical="center"/>
    </xf>
    <xf numFmtId="195" fontId="84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34" xfId="0" applyNumberFormat="1" applyFont="1" applyFill="1" applyBorder="1" applyAlignment="1" applyProtection="1">
      <alignment horizontal="center"/>
      <protection locked="0"/>
    </xf>
    <xf numFmtId="38" fontId="79" fillId="0" borderId="0" xfId="0" applyNumberFormat="1" applyFont="1"/>
    <xf numFmtId="38" fontId="5" fillId="0" borderId="0" xfId="0" applyNumberFormat="1" applyFont="1"/>
    <xf numFmtId="40" fontId="79" fillId="0" borderId="13" xfId="0" applyNumberFormat="1" applyFont="1" applyBorder="1"/>
    <xf numFmtId="0" fontId="5" fillId="36" borderId="34" xfId="0" applyNumberFormat="1" applyFont="1" applyFill="1" applyBorder="1" applyAlignment="1" applyProtection="1">
      <alignment horizontal="center"/>
      <protection locked="0"/>
    </xf>
    <xf numFmtId="40" fontId="5" fillId="36" borderId="19" xfId="0" applyNumberFormat="1" applyFont="1" applyFill="1" applyBorder="1"/>
    <xf numFmtId="40" fontId="5" fillId="36" borderId="38" xfId="0" applyNumberFormat="1" applyFont="1" applyFill="1" applyBorder="1"/>
    <xf numFmtId="40" fontId="5" fillId="36" borderId="41" xfId="0" applyNumberFormat="1" applyFont="1" applyFill="1" applyBorder="1" applyAlignment="1">
      <alignment horizontal="center"/>
    </xf>
    <xf numFmtId="40" fontId="5" fillId="36" borderId="39" xfId="67" applyNumberFormat="1" applyFont="1" applyFill="1" applyBorder="1" applyProtection="1">
      <protection locked="0"/>
    </xf>
    <xf numFmtId="40" fontId="5" fillId="36" borderId="39" xfId="0" applyNumberFormat="1" applyFont="1" applyFill="1" applyBorder="1" applyProtection="1">
      <protection locked="0"/>
    </xf>
    <xf numFmtId="38" fontId="72" fillId="36" borderId="39" xfId="68" applyFont="1" applyFill="1" applyBorder="1" applyAlignment="1" applyProtection="1">
      <alignment horizontal="right" vertical="center"/>
      <protection locked="0"/>
    </xf>
    <xf numFmtId="38" fontId="72" fillId="36" borderId="39" xfId="66" applyNumberFormat="1" applyFont="1" applyFill="1" applyBorder="1" applyAlignment="1" applyProtection="1">
      <alignment horizontal="right" vertical="center"/>
      <protection locked="0"/>
    </xf>
    <xf numFmtId="40" fontId="89" fillId="34" borderId="39" xfId="0" applyNumberFormat="1" applyFont="1" applyFill="1" applyBorder="1" applyAlignment="1" applyProtection="1">
      <alignment wrapText="1"/>
      <protection locked="0"/>
    </xf>
    <xf numFmtId="40" fontId="89" fillId="34" borderId="39" xfId="0" applyNumberFormat="1" applyFont="1" applyFill="1" applyBorder="1" applyProtection="1">
      <protection locked="0"/>
    </xf>
    <xf numFmtId="40" fontId="89" fillId="34" borderId="39" xfId="0" applyNumberFormat="1" applyFont="1" applyFill="1" applyBorder="1" applyAlignment="1" applyProtection="1">
      <alignment horizontal="left" vertical="center" wrapText="1"/>
      <protection locked="0"/>
    </xf>
    <xf numFmtId="40" fontId="62" fillId="34" borderId="39" xfId="0" applyNumberFormat="1" applyFont="1" applyFill="1" applyBorder="1" applyAlignment="1" applyProtection="1">
      <alignment wrapText="1"/>
      <protection locked="0"/>
    </xf>
    <xf numFmtId="38" fontId="79" fillId="0" borderId="13" xfId="0" applyNumberFormat="1" applyFont="1" applyBorder="1"/>
    <xf numFmtId="38" fontId="5" fillId="0" borderId="13" xfId="0" applyNumberFormat="1" applyFont="1" applyBorder="1"/>
    <xf numFmtId="38" fontId="72" fillId="34" borderId="39" xfId="68" applyFont="1" applyFill="1" applyBorder="1" applyAlignment="1" applyProtection="1">
      <alignment horizontal="right" vertical="center"/>
      <protection locked="0"/>
    </xf>
    <xf numFmtId="38" fontId="72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採算管理課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1.999999999998181E-2</v>
      </c>
      <c r="E13" s="133">
        <f t="shared" si="3"/>
        <v>3.999999999996362E-2</v>
      </c>
      <c r="F13" s="133">
        <f t="shared" si="3"/>
        <v>2.9999999999972715E-2</v>
      </c>
      <c r="G13" s="133">
        <f t="shared" si="3"/>
        <v>1.999999999998181E-2</v>
      </c>
      <c r="H13" s="133">
        <f t="shared" si="3"/>
        <v>1.9999999999754436E-2</v>
      </c>
      <c r="I13" s="133">
        <f t="shared" si="3"/>
        <v>2.0000000000095497E-2</v>
      </c>
      <c r="J13" s="133">
        <f t="shared" si="3"/>
        <v>2.0000000000095497E-2</v>
      </c>
      <c r="K13" s="133">
        <f t="shared" si="3"/>
        <v>2.9999999999972715E-2</v>
      </c>
      <c r="L13" s="133">
        <f t="shared" si="3"/>
        <v>2.9999999999972715E-2</v>
      </c>
      <c r="M13" s="133">
        <f t="shared" si="3"/>
        <v>1.9999999999868123E-2</v>
      </c>
      <c r="N13" s="133">
        <f t="shared" si="3"/>
        <v>1.999999999998181E-2</v>
      </c>
      <c r="O13" s="133">
        <f t="shared" si="3"/>
        <v>0.30999999999767169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54.19</v>
      </c>
      <c r="D20" s="136">
        <f>ROUNDUP('採算表(VND)'!D20/$N$1,2)</f>
        <v>54.61</v>
      </c>
      <c r="E20" s="136">
        <f>ROUNDUP('採算表(VND)'!E20/$N$1,2)</f>
        <v>55.72</v>
      </c>
      <c r="F20" s="136">
        <f>ROUNDUP('採算表(VND)'!F20/$N$1,2)</f>
        <v>52.93</v>
      </c>
      <c r="G20" s="136">
        <f>ROUNDUP('採算表(VND)'!G20/$N$1,2)</f>
        <v>52.2</v>
      </c>
      <c r="H20" s="136">
        <f>ROUNDUP('採算表(VND)'!H20/$N$1,2)</f>
        <v>52.47</v>
      </c>
      <c r="I20" s="136">
        <f>ROUNDUP('採算表(VND)'!I20/$N$1,2)</f>
        <v>51.93</v>
      </c>
      <c r="J20" s="136">
        <f>ROUNDUP('採算表(VND)'!J20/$N$1,2)</f>
        <v>51.3</v>
      </c>
      <c r="K20" s="136">
        <f>ROUNDUP('採算表(VND)'!K20/$N$1,2)</f>
        <v>51.62</v>
      </c>
      <c r="L20" s="136">
        <f>ROUNDUP('採算表(VND)'!L20/$N$1,2)</f>
        <v>50.449999999999996</v>
      </c>
      <c r="M20" s="136">
        <f>ROUNDUP('採算表(VND)'!M20/$N$1,2)</f>
        <v>49.26</v>
      </c>
      <c r="N20" s="136">
        <f>ROUNDUP('採算表(VND)'!N20/$N$1,2)</f>
        <v>50.769999999999996</v>
      </c>
      <c r="O20" s="136">
        <f t="shared" si="4"/>
        <v>627.45000000000005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4.62</v>
      </c>
      <c r="D25" s="136">
        <f>ROUNDUP('採算表(VND)'!D25/$N$1,2)</f>
        <v>4.46</v>
      </c>
      <c r="E25" s="136">
        <f>ROUNDUP('採算表(VND)'!E25/$N$1,2)</f>
        <v>4.8599999999999994</v>
      </c>
      <c r="F25" s="136">
        <f>ROUNDUP('採算表(VND)'!F25/$N$1,2)</f>
        <v>5.26</v>
      </c>
      <c r="G25" s="136">
        <f>ROUNDUP('採算表(VND)'!G25/$N$1,2)</f>
        <v>4.6099999999999994</v>
      </c>
      <c r="H25" s="136">
        <f>ROUNDUP('採算表(VND)'!H25/$N$1,2)</f>
        <v>4.3999999999999995</v>
      </c>
      <c r="I25" s="136">
        <f>ROUNDUP('採算表(VND)'!I25/$N$1,2)</f>
        <v>5.26</v>
      </c>
      <c r="J25" s="136">
        <f>ROUNDUP('採算表(VND)'!J25/$N$1,2)</f>
        <v>4.62</v>
      </c>
      <c r="K25" s="136">
        <f>ROUNDUP('採算表(VND)'!K25/$N$1,2)</f>
        <v>5.0599999999999996</v>
      </c>
      <c r="L25" s="136">
        <f>ROUNDUP('採算表(VND)'!L25/$N$1,2)</f>
        <v>4.62</v>
      </c>
      <c r="M25" s="136">
        <f>ROUNDUP('採算表(VND)'!M25/$N$1,2)</f>
        <v>3.55</v>
      </c>
      <c r="N25" s="136">
        <f>ROUNDUP('採算表(VND)'!N25/$N$1,2)</f>
        <v>4.62</v>
      </c>
      <c r="O25" s="136">
        <f t="shared" si="4"/>
        <v>55.939999999999991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659.71</v>
      </c>
      <c r="G26" s="136">
        <f>ROUNDUP('採算表(VND)'!G26/$N$1,2)</f>
        <v>0</v>
      </c>
      <c r="H26" s="136">
        <f>ROUNDUP('採算表(VND)'!H26/$N$1,2)</f>
        <v>659.71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1319.42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61.39</v>
      </c>
      <c r="D30" s="136">
        <f>ROUNDUP('採算表(VND)'!D30/$N$1,2)</f>
        <v>62.949999999999996</v>
      </c>
      <c r="E30" s="136">
        <f>ROUNDUP('採算表(VND)'!E30/$N$1,2)</f>
        <v>77.03</v>
      </c>
      <c r="F30" s="136">
        <f>ROUNDUP('採算表(VND)'!F30/$N$1,2)</f>
        <v>85.64</v>
      </c>
      <c r="G30" s="136">
        <f>ROUNDUP('採算表(VND)'!G30/$N$1,2)</f>
        <v>85.5</v>
      </c>
      <c r="H30" s="136">
        <f>ROUNDUP('採算表(VND)'!H30/$N$1,2)</f>
        <v>77.67</v>
      </c>
      <c r="I30" s="136">
        <f>ROUNDUP('採算表(VND)'!I30/$N$1,2)</f>
        <v>76.680000000000007</v>
      </c>
      <c r="J30" s="136">
        <f>ROUNDUP('採算表(VND)'!J30/$N$1,2)</f>
        <v>72.08</v>
      </c>
      <c r="K30" s="136">
        <f>ROUNDUP('採算表(VND)'!K30/$N$1,2)</f>
        <v>70.550000000000011</v>
      </c>
      <c r="L30" s="136">
        <f>ROUNDUP('採算表(VND)'!L30/$N$1,2)</f>
        <v>61.47</v>
      </c>
      <c r="M30" s="136">
        <f>ROUNDUP('採算表(VND)'!M30/$N$1,2)</f>
        <v>57.559999999999995</v>
      </c>
      <c r="N30" s="136">
        <f>ROUNDUP('採算表(VND)'!N30/$N$1,2)</f>
        <v>50.93</v>
      </c>
      <c r="O30" s="136">
        <f t="shared" si="4"/>
        <v>839.44999999999993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13.299999999999999</v>
      </c>
      <c r="D39" s="136">
        <f>ROUNDUP('採算表(VND)'!D39/$N$1,2)</f>
        <v>13.35</v>
      </c>
      <c r="E39" s="136">
        <f>ROUNDUP('採算表(VND)'!E39/$N$1,2)</f>
        <v>13.76</v>
      </c>
      <c r="F39" s="136">
        <f>ROUNDUP('採算表(VND)'!F39/$N$1,2)</f>
        <v>12.6</v>
      </c>
      <c r="G39" s="136">
        <f>ROUNDUP('採算表(VND)'!G39/$N$1,2)</f>
        <v>12.27</v>
      </c>
      <c r="H39" s="136">
        <f>ROUNDUP('採算表(VND)'!H39/$N$1,2)</f>
        <v>11.72</v>
      </c>
      <c r="I39" s="136">
        <f>ROUNDUP('採算表(VND)'!I39/$N$1,2)</f>
        <v>11.209999999999999</v>
      </c>
      <c r="J39" s="136">
        <f>ROUNDUP('採算表(VND)'!J39/$N$1,2)</f>
        <v>11.07</v>
      </c>
      <c r="K39" s="136">
        <f>ROUNDUP('採算表(VND)'!K39/$N$1,2)</f>
        <v>11.11</v>
      </c>
      <c r="L39" s="136">
        <f>ROUNDUP('採算表(VND)'!L39/$N$1,2)</f>
        <v>10.629999999999999</v>
      </c>
      <c r="M39" s="136">
        <f>ROUNDUP('採算表(VND)'!M39/$N$1,2)</f>
        <v>10.06</v>
      </c>
      <c r="N39" s="136">
        <f>ROUNDUP('採算表(VND)'!N39/$N$1,2)</f>
        <v>10.53</v>
      </c>
      <c r="O39" s="136">
        <f t="shared" si="4"/>
        <v>141.60999999999999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562.91999999999996</v>
      </c>
      <c r="D42" s="136">
        <f>ROUNDUP('採算表(VND)'!D42/$N$1,2)</f>
        <v>553.38</v>
      </c>
      <c r="E42" s="136">
        <f>ROUNDUP('採算表(VND)'!E42/$N$1,2)</f>
        <v>553.38</v>
      </c>
      <c r="F42" s="136">
        <f>ROUNDUP('採算表(VND)'!F42/$N$1,2)</f>
        <v>580.91999999999996</v>
      </c>
      <c r="G42" s="136">
        <f>ROUNDUP('採算表(VND)'!G42/$N$1,2)</f>
        <v>553.38</v>
      </c>
      <c r="H42" s="136">
        <f>ROUNDUP('採算表(VND)'!H42/$N$1,2)</f>
        <v>553.38</v>
      </c>
      <c r="I42" s="136">
        <f>ROUNDUP('採算表(VND)'!I42/$N$1,2)</f>
        <v>553.38</v>
      </c>
      <c r="J42" s="136">
        <f>ROUNDUP('採算表(VND)'!J42/$N$1,2)</f>
        <v>581.1</v>
      </c>
      <c r="K42" s="136">
        <f>ROUNDUP('採算表(VND)'!K42/$N$1,2)</f>
        <v>553.38</v>
      </c>
      <c r="L42" s="136">
        <f>ROUNDUP('採算表(VND)'!L42/$N$1,2)</f>
        <v>553.38</v>
      </c>
      <c r="M42" s="136">
        <f>ROUNDUP('採算表(VND)'!M42/$N$1,2)</f>
        <v>553.38</v>
      </c>
      <c r="N42" s="136">
        <f>ROUNDUP('採算表(VND)'!N42/$N$1,2)</f>
        <v>553.38</v>
      </c>
      <c r="O42" s="136">
        <f t="shared" si="4"/>
        <v>6705.3600000000006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383.69</v>
      </c>
      <c r="D44" s="136">
        <f>ROUNDUP('採算表(VND)'!D44/$N$1,2)</f>
        <v>708.98</v>
      </c>
      <c r="E44" s="136">
        <f>ROUNDUP('採算表(VND)'!E44/$N$1,2)</f>
        <v>270.74</v>
      </c>
      <c r="F44" s="136">
        <f>ROUNDUP('採算表(VND)'!F44/$N$1,2)</f>
        <v>257.96999999999997</v>
      </c>
      <c r="G44" s="136">
        <f>ROUNDUP('採算表(VND)'!G44/$N$1,2)</f>
        <v>256.64999999999998</v>
      </c>
      <c r="H44" s="136">
        <f>ROUNDUP('採算表(VND)'!H44/$N$1,2)</f>
        <v>296.96999999999997</v>
      </c>
      <c r="I44" s="136">
        <f>ROUNDUP('採算表(VND)'!I44/$N$1,2)</f>
        <v>207.88</v>
      </c>
      <c r="J44" s="136">
        <f>ROUNDUP('採算表(VND)'!J44/$N$1,2)</f>
        <v>260.56</v>
      </c>
      <c r="K44" s="136">
        <f>ROUNDUP('採算表(VND)'!K44/$N$1,2)</f>
        <v>290.28999999999996</v>
      </c>
      <c r="L44" s="136">
        <f>ROUNDUP('採算表(VND)'!L44/$N$1,2)</f>
        <v>217.23999999999998</v>
      </c>
      <c r="M44" s="136">
        <f>ROUNDUP('採算表(VND)'!M44/$N$1,2)</f>
        <v>291.99</v>
      </c>
      <c r="N44" s="136">
        <f>ROUNDUP('採算表(VND)'!N44/$N$1,2)</f>
        <v>216.57999999999998</v>
      </c>
      <c r="O44" s="136">
        <f t="shared" si="4"/>
        <v>3659.54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38.72</v>
      </c>
      <c r="D57" s="139">
        <f>ROUNDUP('採算表(VND)'!D57/$N$1,2)</f>
        <v>37.049999999999997</v>
      </c>
      <c r="E57" s="139">
        <f>ROUNDUP('採算表(VND)'!E57/$N$1,2)</f>
        <v>37.809999999999995</v>
      </c>
      <c r="F57" s="139">
        <f>ROUNDUP('採算表(VND)'!F57/$N$1,2)</f>
        <v>35.9</v>
      </c>
      <c r="G57" s="139">
        <f>ROUNDUP('採算表(VND)'!G57/$N$1,2)</f>
        <v>35.43</v>
      </c>
      <c r="H57" s="139">
        <f>ROUNDUP('採算表(VND)'!H57/$N$1,2)</f>
        <v>35.589999999999996</v>
      </c>
      <c r="I57" s="139">
        <f>ROUNDUP('採算表(VND)'!I57/$N$1,2)</f>
        <v>35.22</v>
      </c>
      <c r="J57" s="139">
        <f>ROUNDUP('採算表(VND)'!J57/$N$1,2)</f>
        <v>34.82</v>
      </c>
      <c r="K57" s="139">
        <f>ROUNDUP('採算表(VND)'!K57/$N$1,2)</f>
        <v>35.03</v>
      </c>
      <c r="L57" s="139">
        <f>ROUNDUP('採算表(VND)'!L57/$N$1,2)</f>
        <v>34.229999999999997</v>
      </c>
      <c r="M57" s="139">
        <f>ROUNDUP('採算表(VND)'!M57/$N$1,2)</f>
        <v>33.419999999999995</v>
      </c>
      <c r="N57" s="139">
        <f>ROUNDUP('採算表(VND)'!N57/$N$1,2)</f>
        <v>34.44</v>
      </c>
      <c r="O57" s="139">
        <f t="shared" si="4"/>
        <v>427.66000000000008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-1118.79</v>
      </c>
      <c r="D62" s="139">
        <f>ROUNDUP('採算表(VND)'!D62/$N$1,2)</f>
        <v>-1434.76</v>
      </c>
      <c r="E62" s="139">
        <f>ROUNDUP('採算表(VND)'!E62/$N$1,2)</f>
        <v>-1013.26</v>
      </c>
      <c r="F62" s="139">
        <f>ROUNDUP('採算表(VND)'!F62/$N$1,2)</f>
        <v>-1690.9</v>
      </c>
      <c r="G62" s="139">
        <f>ROUNDUP('採算表(VND)'!G62/$N$1,2)</f>
        <v>-1000.02</v>
      </c>
      <c r="H62" s="139">
        <f>ROUNDUP('採算表(VND)'!H62/$N$1,2)</f>
        <v>-1691.89</v>
      </c>
      <c r="I62" s="139">
        <f>ROUNDUP('採算表(VND)'!I62/$N$1,2)</f>
        <v>-941.54</v>
      </c>
      <c r="J62" s="139">
        <f>ROUNDUP('採算表(VND)'!J62/$N$1,2)</f>
        <v>-1015.53</v>
      </c>
      <c r="K62" s="139">
        <f>ROUNDUP('採算表(VND)'!K62/$N$1,2)</f>
        <v>-1017.01</v>
      </c>
      <c r="L62" s="139">
        <f>ROUNDUP('採算表(VND)'!L62/$N$1,2)</f>
        <v>-931.99</v>
      </c>
      <c r="M62" s="139">
        <f>ROUNDUP('採算表(VND)'!M62/$N$1,2)</f>
        <v>-999.2</v>
      </c>
      <c r="N62" s="139">
        <f>ROUNDUP('採算表(VND)'!N62/$N$1,2)</f>
        <v>-921.23</v>
      </c>
      <c r="O62" s="139">
        <f t="shared" si="4"/>
        <v>-13776.120000000003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-1.999999999998181E-2</v>
      </c>
      <c r="E66" s="134">
        <f t="shared" si="5"/>
        <v>-3.999999999996362E-2</v>
      </c>
      <c r="F66" s="134">
        <f t="shared" si="5"/>
        <v>-2.9999999999972715E-2</v>
      </c>
      <c r="G66" s="134">
        <f t="shared" si="5"/>
        <v>-1.999999999998181E-2</v>
      </c>
      <c r="H66" s="134">
        <f t="shared" si="5"/>
        <v>-1.9999999999754436E-2</v>
      </c>
      <c r="I66" s="134">
        <f t="shared" si="5"/>
        <v>-2.0000000000095497E-2</v>
      </c>
      <c r="J66" s="134">
        <f t="shared" si="5"/>
        <v>-2.0000000000095497E-2</v>
      </c>
      <c r="K66" s="134">
        <f t="shared" si="5"/>
        <v>-2.9999999999972715E-2</v>
      </c>
      <c r="L66" s="134">
        <f t="shared" si="5"/>
        <v>-2.9999999999972715E-2</v>
      </c>
      <c r="M66" s="134">
        <f t="shared" si="5"/>
        <v>-1.9999999999868123E-2</v>
      </c>
      <c r="N66" s="134">
        <f t="shared" si="5"/>
        <v>-1.999999999998181E-2</v>
      </c>
      <c r="O66" s="134">
        <f t="shared" si="5"/>
        <v>-0.30999999999767169</v>
      </c>
    </row>
    <row r="67" spans="1:15" ht="11.25" customHeight="1">
      <c r="A67" s="26"/>
      <c r="B67" s="28" t="s">
        <v>78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 ca="1">'採算表(VND)'!C68</f>
        <v>969</v>
      </c>
      <c r="D68" s="135">
        <f ca="1">'採算表(VND)'!D68</f>
        <v>918</v>
      </c>
      <c r="E68" s="135">
        <f ca="1">'採算表(VND)'!E68</f>
        <v>1020</v>
      </c>
      <c r="F68" s="135">
        <f ca="1">'採算表(VND)'!F68</f>
        <v>1122</v>
      </c>
      <c r="G68" s="135">
        <f ca="1">'採算表(VND)'!G68</f>
        <v>969</v>
      </c>
      <c r="H68" s="135">
        <f ca="1">'採算表(VND)'!H68</f>
        <v>918</v>
      </c>
      <c r="I68" s="135">
        <f ca="1">'採算表(VND)'!I68</f>
        <v>1122</v>
      </c>
      <c r="J68" s="135">
        <f ca="1">'採算表(VND)'!J68</f>
        <v>969</v>
      </c>
      <c r="K68" s="135">
        <f ca="1">'採算表(VND)'!K68</f>
        <v>1071</v>
      </c>
      <c r="L68" s="135">
        <f ca="1">'採算表(VND)'!L68</f>
        <v>969</v>
      </c>
      <c r="M68" s="135">
        <f ca="1">'採算表(VND)'!M68</f>
        <v>765</v>
      </c>
      <c r="N68" s="135">
        <f ca="1">'採算表(VND)'!N68</f>
        <v>969</v>
      </c>
      <c r="O68" s="135">
        <f ca="1">SUM(C68:N68)</f>
        <v>11781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 ca="1">'採算表(VND)'!C70</f>
        <v>-969</v>
      </c>
      <c r="D70" s="140">
        <f ca="1">'採算表(VND)'!D70</f>
        <v>-918</v>
      </c>
      <c r="E70" s="140">
        <f ca="1">'採算表(VND)'!E70</f>
        <v>-1020</v>
      </c>
      <c r="F70" s="140">
        <f ca="1">'採算表(VND)'!F70</f>
        <v>-1122</v>
      </c>
      <c r="G70" s="140">
        <f ca="1">'採算表(VND)'!G70</f>
        <v>-969</v>
      </c>
      <c r="H70" s="140">
        <f ca="1">'採算表(VND)'!H70</f>
        <v>-918</v>
      </c>
      <c r="I70" s="140">
        <f ca="1">'採算表(VND)'!I70</f>
        <v>-1122</v>
      </c>
      <c r="J70" s="140">
        <f ca="1">'採算表(VND)'!J70</f>
        <v>-969</v>
      </c>
      <c r="K70" s="140">
        <f ca="1">'採算表(VND)'!K70</f>
        <v>-1071</v>
      </c>
      <c r="L70" s="140">
        <f ca="1">'採算表(VND)'!L70</f>
        <v>-969</v>
      </c>
      <c r="M70" s="140">
        <f ca="1">'採算表(VND)'!M70</f>
        <v>-765</v>
      </c>
      <c r="N70" s="140">
        <f ca="1">'採算表(VND)'!N70</f>
        <v>-969</v>
      </c>
      <c r="O70" s="140">
        <f ca="1">SUM(C70:N70)</f>
        <v>-11781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 ca="1">'採算表(VND)'!C74</f>
        <v>76</v>
      </c>
      <c r="D74" s="135">
        <f ca="1">'採算表(VND)'!D74</f>
        <v>72</v>
      </c>
      <c r="E74" s="135">
        <f ca="1">'採算表(VND)'!E74</f>
        <v>80</v>
      </c>
      <c r="F74" s="135">
        <f ca="1">'採算表(VND)'!F74</f>
        <v>88</v>
      </c>
      <c r="G74" s="135">
        <f ca="1">'採算表(VND)'!G74</f>
        <v>76</v>
      </c>
      <c r="H74" s="135">
        <f ca="1">'採算表(VND)'!H74</f>
        <v>84.75</v>
      </c>
      <c r="I74" s="135">
        <f ca="1">'採算表(VND)'!I74</f>
        <v>88</v>
      </c>
      <c r="J74" s="135">
        <f ca="1">'採算表(VND)'!J74</f>
        <v>76</v>
      </c>
      <c r="K74" s="135">
        <f ca="1">'採算表(VND)'!K74</f>
        <v>84</v>
      </c>
      <c r="L74" s="135">
        <f ca="1">'採算表(VND)'!L74</f>
        <v>76</v>
      </c>
      <c r="M74" s="135">
        <f ca="1">'採算表(VND)'!M74</f>
        <v>60</v>
      </c>
      <c r="N74" s="135">
        <f ca="1">'採算表(VND)'!N74</f>
        <v>88.75</v>
      </c>
      <c r="O74" s="135">
        <f ca="1">SUM(C74:N74)</f>
        <v>949.5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 ca="1">'採算表(VND)'!C76</f>
        <v>-76</v>
      </c>
      <c r="D76" s="140">
        <f ca="1">'採算表(VND)'!D76</f>
        <v>-72</v>
      </c>
      <c r="E76" s="140">
        <f ca="1">'採算表(VND)'!E76</f>
        <v>-80</v>
      </c>
      <c r="F76" s="140">
        <f ca="1">'採算表(VND)'!F76</f>
        <v>-88</v>
      </c>
      <c r="G76" s="140">
        <f ca="1">'採算表(VND)'!G76</f>
        <v>-76</v>
      </c>
      <c r="H76" s="140">
        <f ca="1">'採算表(VND)'!H76</f>
        <v>-84.75</v>
      </c>
      <c r="I76" s="140">
        <f ca="1">'採算表(VND)'!I76</f>
        <v>-88</v>
      </c>
      <c r="J76" s="140">
        <f ca="1">'採算表(VND)'!J76</f>
        <v>-76</v>
      </c>
      <c r="K76" s="140">
        <f ca="1">'採算表(VND)'!K76</f>
        <v>-84</v>
      </c>
      <c r="L76" s="140">
        <f ca="1">'採算表(VND)'!L76</f>
        <v>-76</v>
      </c>
      <c r="M76" s="140">
        <f ca="1">'採算表(VND)'!M76</f>
        <v>-60</v>
      </c>
      <c r="N76" s="140">
        <f ca="1">'採算表(VND)'!N76</f>
        <v>-88.75</v>
      </c>
      <c r="O76" s="140">
        <f ca="1">SUM(C76:N76)</f>
        <v>-949.5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6</v>
      </c>
      <c r="D88" s="150">
        <f>'採算表(VND)'!D88</f>
        <v>6</v>
      </c>
      <c r="E88" s="150">
        <f>'採算表(VND)'!E88</f>
        <v>6</v>
      </c>
      <c r="F88" s="150">
        <f>'採算表(VND)'!F88</f>
        <v>6</v>
      </c>
      <c r="G88" s="150">
        <f>'採算表(VND)'!G88</f>
        <v>6</v>
      </c>
      <c r="H88" s="150">
        <f>'採算表(VND)'!H88</f>
        <v>6</v>
      </c>
      <c r="I88" s="150">
        <f>'採算表(VND)'!I88</f>
        <v>6</v>
      </c>
      <c r="J88" s="150">
        <f>'採算表(VND)'!J88</f>
        <v>6</v>
      </c>
      <c r="K88" s="150">
        <f>'採算表(VND)'!K88</f>
        <v>6</v>
      </c>
      <c r="L88" s="150">
        <f>'採算表(VND)'!L88</f>
        <v>6</v>
      </c>
      <c r="M88" s="150">
        <f>'採算表(VND)'!M88</f>
        <v>6</v>
      </c>
      <c r="N88" s="150">
        <f>'採算表(VND)'!N88</f>
        <v>6</v>
      </c>
      <c r="O88" s="150">
        <f>SUM(C88:N88)</f>
        <v>72</v>
      </c>
    </row>
    <row r="89" spans="1:15">
      <c r="A89" s="44"/>
      <c r="B89" s="60" t="s">
        <v>18</v>
      </c>
      <c r="C89" s="151">
        <f t="shared" ref="C89:O89" si="11">C87+C88</f>
        <v>6</v>
      </c>
      <c r="D89" s="151">
        <f t="shared" si="11"/>
        <v>6</v>
      </c>
      <c r="E89" s="151">
        <f t="shared" si="11"/>
        <v>6</v>
      </c>
      <c r="F89" s="151">
        <f t="shared" si="11"/>
        <v>6</v>
      </c>
      <c r="G89" s="151">
        <f t="shared" si="11"/>
        <v>6</v>
      </c>
      <c r="H89" s="151">
        <f t="shared" si="11"/>
        <v>6</v>
      </c>
      <c r="I89" s="151">
        <f t="shared" si="11"/>
        <v>6</v>
      </c>
      <c r="J89" s="151">
        <f t="shared" si="11"/>
        <v>6</v>
      </c>
      <c r="K89" s="151">
        <f t="shared" si="11"/>
        <v>6</v>
      </c>
      <c r="L89" s="151">
        <f t="shared" si="11"/>
        <v>6</v>
      </c>
      <c r="M89" s="151">
        <f t="shared" si="11"/>
        <v>6</v>
      </c>
      <c r="N89" s="151">
        <f t="shared" si="11"/>
        <v>6</v>
      </c>
      <c r="O89" s="151">
        <f t="shared" si="11"/>
        <v>72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 ca="1">'採算表(VND)'!C93</f>
        <v>969</v>
      </c>
      <c r="D93" s="133">
        <f ca="1">'採算表(VND)'!D93</f>
        <v>918</v>
      </c>
      <c r="E93" s="133">
        <f ca="1">'採算表(VND)'!E93</f>
        <v>1020</v>
      </c>
      <c r="F93" s="133">
        <f ca="1">'採算表(VND)'!F93</f>
        <v>1122</v>
      </c>
      <c r="G93" s="133">
        <f ca="1">'採算表(VND)'!G93</f>
        <v>969</v>
      </c>
      <c r="H93" s="133">
        <f ca="1">'採算表(VND)'!H93</f>
        <v>918</v>
      </c>
      <c r="I93" s="133">
        <f ca="1">'採算表(VND)'!I93</f>
        <v>1122</v>
      </c>
      <c r="J93" s="133">
        <f ca="1">'採算表(VND)'!J93</f>
        <v>969</v>
      </c>
      <c r="K93" s="133">
        <f ca="1">'採算表(VND)'!K93</f>
        <v>1071</v>
      </c>
      <c r="L93" s="133">
        <f ca="1">'採算表(VND)'!L93</f>
        <v>969</v>
      </c>
      <c r="M93" s="133">
        <f ca="1">'採算表(VND)'!M93</f>
        <v>765</v>
      </c>
      <c r="N93" s="133">
        <f ca="1">'採算表(VND)'!N93</f>
        <v>969</v>
      </c>
      <c r="O93" s="133">
        <f ca="1">SUM(C93:N93)</f>
        <v>11781</v>
      </c>
    </row>
    <row r="94" spans="1:15">
      <c r="B94" s="61" t="s">
        <v>18</v>
      </c>
      <c r="C94" s="147">
        <f t="shared" ref="C94:O94" ca="1" si="12">C92+C93</f>
        <v>969</v>
      </c>
      <c r="D94" s="147">
        <f t="shared" ca="1" si="12"/>
        <v>918</v>
      </c>
      <c r="E94" s="147">
        <f t="shared" ca="1" si="12"/>
        <v>1020</v>
      </c>
      <c r="F94" s="147">
        <f t="shared" ca="1" si="12"/>
        <v>1122</v>
      </c>
      <c r="G94" s="147">
        <f t="shared" ca="1" si="12"/>
        <v>969</v>
      </c>
      <c r="H94" s="147">
        <f t="shared" ca="1" si="12"/>
        <v>918</v>
      </c>
      <c r="I94" s="147">
        <f t="shared" ca="1" si="12"/>
        <v>1122</v>
      </c>
      <c r="J94" s="147">
        <f t="shared" ca="1" si="12"/>
        <v>969</v>
      </c>
      <c r="K94" s="147">
        <f t="shared" ca="1" si="12"/>
        <v>1071</v>
      </c>
      <c r="L94" s="147">
        <f t="shared" ca="1" si="12"/>
        <v>969</v>
      </c>
      <c r="M94" s="147">
        <f t="shared" ca="1" si="12"/>
        <v>765</v>
      </c>
      <c r="N94" s="147">
        <f t="shared" ca="1" si="12"/>
        <v>969</v>
      </c>
      <c r="O94" s="147">
        <f t="shared" ca="1" si="12"/>
        <v>11781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 ca="1">'採算表(VND)'!C98</f>
        <v>76</v>
      </c>
      <c r="D98" s="133">
        <f ca="1">'採算表(VND)'!D98</f>
        <v>72</v>
      </c>
      <c r="E98" s="133">
        <f ca="1">'採算表(VND)'!E98</f>
        <v>80</v>
      </c>
      <c r="F98" s="133">
        <f ca="1">'採算表(VND)'!F98</f>
        <v>88</v>
      </c>
      <c r="G98" s="133">
        <f ca="1">'採算表(VND)'!G98</f>
        <v>76</v>
      </c>
      <c r="H98" s="133">
        <f ca="1">'採算表(VND)'!H98</f>
        <v>84.75</v>
      </c>
      <c r="I98" s="133">
        <f ca="1">'採算表(VND)'!I98</f>
        <v>88</v>
      </c>
      <c r="J98" s="133">
        <f ca="1">'採算表(VND)'!J98</f>
        <v>76</v>
      </c>
      <c r="K98" s="133">
        <f ca="1">'採算表(VND)'!K98</f>
        <v>84</v>
      </c>
      <c r="L98" s="133">
        <f ca="1">'採算表(VND)'!L98</f>
        <v>76</v>
      </c>
      <c r="M98" s="133">
        <f ca="1">'採算表(VND)'!M98</f>
        <v>60</v>
      </c>
      <c r="N98" s="133">
        <f ca="1">'採算表(VND)'!N98</f>
        <v>88.75</v>
      </c>
      <c r="O98" s="133">
        <f ca="1">SUM(C98:N98)</f>
        <v>949.5</v>
      </c>
    </row>
    <row r="99" spans="2:15">
      <c r="B99" s="61" t="s">
        <v>18</v>
      </c>
      <c r="C99" s="147">
        <f t="shared" ref="C99:O99" ca="1" si="13">C97+C98</f>
        <v>76</v>
      </c>
      <c r="D99" s="147">
        <f t="shared" ca="1" si="13"/>
        <v>72</v>
      </c>
      <c r="E99" s="147">
        <f t="shared" ca="1" si="13"/>
        <v>80</v>
      </c>
      <c r="F99" s="147">
        <f t="shared" ca="1" si="13"/>
        <v>88</v>
      </c>
      <c r="G99" s="147">
        <f t="shared" ca="1" si="13"/>
        <v>76</v>
      </c>
      <c r="H99" s="147">
        <f t="shared" ca="1" si="13"/>
        <v>84.75</v>
      </c>
      <c r="I99" s="147">
        <f t="shared" ca="1" si="13"/>
        <v>88</v>
      </c>
      <c r="J99" s="147">
        <f t="shared" ca="1" si="13"/>
        <v>76</v>
      </c>
      <c r="K99" s="147">
        <f t="shared" ca="1" si="13"/>
        <v>84</v>
      </c>
      <c r="L99" s="147">
        <f t="shared" ca="1" si="13"/>
        <v>76</v>
      </c>
      <c r="M99" s="147">
        <f t="shared" ca="1" si="13"/>
        <v>60</v>
      </c>
      <c r="N99" s="147">
        <f t="shared" ca="1" si="13"/>
        <v>88.75</v>
      </c>
      <c r="O99" s="147">
        <f t="shared" ca="1" si="13"/>
        <v>949.5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採算管理課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SUMIF('内訳ﾘｽﾄ(4～3月)'!$D$26:$D$971,'採算表(VND)'!$B6,'内訳ﾘｽﾄ(4～3月)'!F$26:F$971)</f>
        <v>0</v>
      </c>
      <c r="D6" s="153">
        <f>SUMIF('内訳ﾘｽﾄ(4～3月)'!$D$26:$D$971,'採算表(VND)'!$B6,'内訳ﾘｽﾄ(4～3月)'!G$26:G$971)</f>
        <v>0</v>
      </c>
      <c r="E6" s="153">
        <f>SUMIF('内訳ﾘｽﾄ(4～3月)'!$D$26:$D$971,'採算表(VND)'!$B6,'内訳ﾘｽﾄ(4～3月)'!H$26:H$971)</f>
        <v>0</v>
      </c>
      <c r="F6" s="153">
        <f>SUMIF('内訳ﾘｽﾄ(4～3月)'!$D$26:$D$971,'採算表(VND)'!$B6,'内訳ﾘｽﾄ(4～3月)'!I$26:I$971)</f>
        <v>0</v>
      </c>
      <c r="G6" s="153">
        <f>SUMIF('内訳ﾘｽﾄ(4～3月)'!$D$26:$D$971,'採算表(VND)'!$B6,'内訳ﾘｽﾄ(4～3月)'!J$26:J$971)</f>
        <v>0</v>
      </c>
      <c r="H6" s="153">
        <f>SUMIF('内訳ﾘｽﾄ(4～3月)'!$D$26:$D$971,'採算表(VND)'!$B6,'内訳ﾘｽﾄ(4～3月)'!K$26:K$971)</f>
        <v>0</v>
      </c>
      <c r="I6" s="153">
        <f>SUMIF('内訳ﾘｽﾄ(4～3月)'!$D$26:$D$971,'採算表(VND)'!$B6,'内訳ﾘｽﾄ(4～3月)'!L$26:L$971)</f>
        <v>0</v>
      </c>
      <c r="J6" s="153">
        <f>SUMIF('内訳ﾘｽﾄ(4～3月)'!$D$26:$D$971,'採算表(VND)'!$B6,'内訳ﾘｽﾄ(4～3月)'!M$26:M$971)</f>
        <v>0</v>
      </c>
      <c r="K6" s="153">
        <f>SUMIF('内訳ﾘｽﾄ(4～3月)'!$D$26:$D$971,'採算表(VND)'!$B6,'内訳ﾘｽﾄ(4～3月)'!N$26:N$971)</f>
        <v>0</v>
      </c>
      <c r="L6" s="153">
        <f>SUMIF('内訳ﾘｽﾄ(4～3月)'!$D$26:$D$971,'採算表(VND)'!$B6,'内訳ﾘｽﾄ(4～3月)'!O$26:O$971)</f>
        <v>0</v>
      </c>
      <c r="M6" s="153">
        <f>SUMIF('内訳ﾘｽﾄ(4～3月)'!$D$26:$D$971,'採算表(VND)'!$B6,'内訳ﾘｽﾄ(4～3月)'!P$26:P$971)</f>
        <v>0</v>
      </c>
      <c r="N6" s="153">
        <f>SUMIF('内訳ﾘｽﾄ(4～3月)'!$D$26:$D$971,'採算表(VND)'!$B6,'内訳ﾘｽﾄ(4～3月)'!Q$26:Q$971)</f>
        <v>0</v>
      </c>
      <c r="O6" s="153">
        <f>SUMIF('内訳ﾘｽﾄ(4～3月)'!$D$26:$D$770,'採算表(VND)'!$B6,'内訳ﾘｽﾄ(4～3月)'!R$26:R$770)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SUMIF('内訳ﾘｽﾄ(4～3月)'!$D$26:$D$971,'採算表(VND)'!$B7,'内訳ﾘｽﾄ(4～3月)'!F$26:F$971)</f>
        <v>0</v>
      </c>
      <c r="D7" s="154">
        <f>SUMIF('内訳ﾘｽﾄ(4～3月)'!$D$26:$D$971,'採算表(VND)'!$B7,'内訳ﾘｽﾄ(4～3月)'!G$26:G$971)</f>
        <v>0</v>
      </c>
      <c r="E7" s="154">
        <f>SUMIF('内訳ﾘｽﾄ(4～3月)'!$D$26:$D$971,'採算表(VND)'!$B7,'内訳ﾘｽﾄ(4～3月)'!H$26:H$971)</f>
        <v>0</v>
      </c>
      <c r="F7" s="154">
        <f>SUMIF('内訳ﾘｽﾄ(4～3月)'!$D$26:$D$971,'採算表(VND)'!$B7,'内訳ﾘｽﾄ(4～3月)'!I$26:I$971)</f>
        <v>0</v>
      </c>
      <c r="G7" s="154">
        <f>SUMIF('内訳ﾘｽﾄ(4～3月)'!$D$26:$D$971,'採算表(VND)'!$B7,'内訳ﾘｽﾄ(4～3月)'!J$26:J$971)</f>
        <v>0</v>
      </c>
      <c r="H7" s="154">
        <f>SUMIF('内訳ﾘｽﾄ(4～3月)'!$D$26:$D$971,'採算表(VND)'!$B7,'内訳ﾘｽﾄ(4～3月)'!K$26:K$971)</f>
        <v>0</v>
      </c>
      <c r="I7" s="154">
        <f>SUMIF('内訳ﾘｽﾄ(4～3月)'!$D$26:$D$971,'採算表(VND)'!$B7,'内訳ﾘｽﾄ(4～3月)'!L$26:L$971)</f>
        <v>0</v>
      </c>
      <c r="J7" s="154">
        <f>SUMIF('内訳ﾘｽﾄ(4～3月)'!$D$26:$D$971,'採算表(VND)'!$B7,'内訳ﾘｽﾄ(4～3月)'!M$26:M$971)</f>
        <v>0</v>
      </c>
      <c r="K7" s="154">
        <f>SUMIF('内訳ﾘｽﾄ(4～3月)'!$D$26:$D$971,'採算表(VND)'!$B7,'内訳ﾘｽﾄ(4～3月)'!N$26:N$971)</f>
        <v>0</v>
      </c>
      <c r="L7" s="154">
        <f>SUMIF('内訳ﾘｽﾄ(4～3月)'!$D$26:$D$971,'採算表(VND)'!$B7,'内訳ﾘｽﾄ(4～3月)'!O$26:O$971)</f>
        <v>0</v>
      </c>
      <c r="M7" s="154">
        <f>SUMIF('内訳ﾘｽﾄ(4～3月)'!$D$26:$D$971,'採算表(VND)'!$B7,'内訳ﾘｽﾄ(4～3月)'!P$26:P$971)</f>
        <v>0</v>
      </c>
      <c r="N7" s="154">
        <f>SUMIF('内訳ﾘｽﾄ(4～3月)'!$D$26:$D$971,'採算表(VND)'!$B7,'内訳ﾘｽﾄ(4～3月)'!Q$26:Q$971)</f>
        <v>0</v>
      </c>
      <c r="O7" s="154">
        <f>SUMIF('内訳ﾘｽﾄ(4～3月)'!$D$26:$D$770,'採算表(VND)'!$B7,'内訳ﾘｽﾄ(4～3月)'!R$26:R$770)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SUMIF('内訳ﾘｽﾄ(4～3月)'!$D$26:$D$971,'採算表(VND)'!$B9,'内訳ﾘｽﾄ(4～3月)'!F$26:F$971)</f>
        <v>0</v>
      </c>
      <c r="D9" s="150">
        <f>SUMIF('内訳ﾘｽﾄ(4～3月)'!$D$26:$D$971,'採算表(VND)'!$B9,'内訳ﾘｽﾄ(4～3月)'!G$26:G$971)</f>
        <v>0</v>
      </c>
      <c r="E9" s="150">
        <f>SUMIF('内訳ﾘｽﾄ(4～3月)'!$D$26:$D$971,'採算表(VND)'!$B9,'内訳ﾘｽﾄ(4～3月)'!H$26:H$971)</f>
        <v>0</v>
      </c>
      <c r="F9" s="150">
        <f>SUMIF('内訳ﾘｽﾄ(4～3月)'!$D$26:$D$971,'採算表(VND)'!$B9,'内訳ﾘｽﾄ(4～3月)'!I$26:I$971)</f>
        <v>0</v>
      </c>
      <c r="G9" s="150">
        <f>SUMIF('内訳ﾘｽﾄ(4～3月)'!$D$26:$D$971,'採算表(VND)'!$B9,'内訳ﾘｽﾄ(4～3月)'!J$26:J$971)</f>
        <v>0</v>
      </c>
      <c r="H9" s="150">
        <f>SUMIF('内訳ﾘｽﾄ(4～3月)'!$D$26:$D$971,'採算表(VND)'!$B9,'内訳ﾘｽﾄ(4～3月)'!K$26:K$971)</f>
        <v>0</v>
      </c>
      <c r="I9" s="150">
        <f>SUMIF('内訳ﾘｽﾄ(4～3月)'!$D$26:$D$971,'採算表(VND)'!$B9,'内訳ﾘｽﾄ(4～3月)'!L$26:L$971)</f>
        <v>0</v>
      </c>
      <c r="J9" s="150">
        <f>SUMIF('内訳ﾘｽﾄ(4～3月)'!$D$26:$D$971,'採算表(VND)'!$B9,'内訳ﾘｽﾄ(4～3月)'!M$26:M$971)</f>
        <v>0</v>
      </c>
      <c r="K9" s="150">
        <f>SUMIF('内訳ﾘｽﾄ(4～3月)'!$D$26:$D$971,'採算表(VND)'!$B9,'内訳ﾘｽﾄ(4～3月)'!N$26:N$971)</f>
        <v>0</v>
      </c>
      <c r="L9" s="150">
        <f>SUMIF('内訳ﾘｽﾄ(4～3月)'!$D$26:$D$971,'採算表(VND)'!$B9,'内訳ﾘｽﾄ(4～3月)'!O$26:O$971)</f>
        <v>0</v>
      </c>
      <c r="M9" s="150">
        <f>SUMIF('内訳ﾘｽﾄ(4～3月)'!$D$26:$D$971,'採算表(VND)'!$B9,'内訳ﾘｽﾄ(4～3月)'!P$26:P$971)</f>
        <v>0</v>
      </c>
      <c r="N9" s="150">
        <f>SUMIF('内訳ﾘｽﾄ(4～3月)'!$D$26:$D$971,'採算表(VND)'!$B9,'内訳ﾘｽﾄ(4～3月)'!Q$26:Q$971)</f>
        <v>0</v>
      </c>
      <c r="O9" s="150">
        <f>SUMIF('内訳ﾘｽﾄ(4～3月)'!$D$26:$D$770,'採算表(VND)'!$B9,'内訳ﾘｽﾄ(4～3月)'!R$26:R$770)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SUMIF('内訳ﾘｽﾄ(4～3月)'!$D$26:$D$971,'採算表(VND)'!$B10,'内訳ﾘｽﾄ(4～3月)'!F$26:F$971)</f>
        <v>0</v>
      </c>
      <c r="D10" s="150">
        <f>SUMIF('内訳ﾘｽﾄ(4～3月)'!$D$26:$D$971,'採算表(VND)'!$B10,'内訳ﾘｽﾄ(4～3月)'!G$26:G$971)</f>
        <v>0</v>
      </c>
      <c r="E10" s="150">
        <f>SUMIF('内訳ﾘｽﾄ(4～3月)'!$D$26:$D$971,'採算表(VND)'!$B10,'内訳ﾘｽﾄ(4～3月)'!H$26:H$971)</f>
        <v>0</v>
      </c>
      <c r="F10" s="150">
        <f>SUMIF('内訳ﾘｽﾄ(4～3月)'!$D$26:$D$971,'採算表(VND)'!$B10,'内訳ﾘｽﾄ(4～3月)'!I$26:I$971)</f>
        <v>0</v>
      </c>
      <c r="G10" s="150">
        <f>SUMIF('内訳ﾘｽﾄ(4～3月)'!$D$26:$D$971,'採算表(VND)'!$B10,'内訳ﾘｽﾄ(4～3月)'!J$26:J$971)</f>
        <v>0</v>
      </c>
      <c r="H10" s="150">
        <f>SUMIF('内訳ﾘｽﾄ(4～3月)'!$D$26:$D$971,'採算表(VND)'!$B10,'内訳ﾘｽﾄ(4～3月)'!K$26:K$971)</f>
        <v>0</v>
      </c>
      <c r="I10" s="150">
        <f>SUMIF('内訳ﾘｽﾄ(4～3月)'!$D$26:$D$971,'採算表(VND)'!$B10,'内訳ﾘｽﾄ(4～3月)'!L$26:L$971)</f>
        <v>0</v>
      </c>
      <c r="J10" s="150">
        <f>SUMIF('内訳ﾘｽﾄ(4～3月)'!$D$26:$D$971,'採算表(VND)'!$B10,'内訳ﾘｽﾄ(4～3月)'!M$26:M$971)</f>
        <v>0</v>
      </c>
      <c r="K10" s="150">
        <f>SUMIF('内訳ﾘｽﾄ(4～3月)'!$D$26:$D$971,'採算表(VND)'!$B10,'内訳ﾘｽﾄ(4～3月)'!N$26:N$971)</f>
        <v>0</v>
      </c>
      <c r="L10" s="150">
        <f>SUMIF('内訳ﾘｽﾄ(4～3月)'!$D$26:$D$971,'採算表(VND)'!$B10,'内訳ﾘｽﾄ(4～3月)'!O$26:O$971)</f>
        <v>0</v>
      </c>
      <c r="M10" s="150">
        <f>SUMIF('内訳ﾘｽﾄ(4～3月)'!$D$26:$D$971,'採算表(VND)'!$B10,'内訳ﾘｽﾄ(4～3月)'!P$26:P$971)</f>
        <v>0</v>
      </c>
      <c r="N10" s="150">
        <f>SUMIF('内訳ﾘｽﾄ(4～3月)'!$D$26:$D$971,'採算表(VND)'!$B10,'内訳ﾘｽﾄ(4～3月)'!Q$26:Q$971)</f>
        <v>0</v>
      </c>
      <c r="O10" s="150">
        <f>SUMIF('内訳ﾘｽﾄ(4～3月)'!$D$26:$D$770,'採算表(VND)'!$B10,'内訳ﾘｽﾄ(4～3月)'!R$26:R$770)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SUMIF('内訳ﾘｽﾄ(4～3月)'!$D$26:$D$971,$B14,'内訳ﾘｽﾄ(4～3月)'!F$26:F$971)</f>
        <v>0</v>
      </c>
      <c r="D14" s="157">
        <f>SUMIF('内訳ﾘｽﾄ(4～3月)'!$D$26:$D$971,$B14,'内訳ﾘｽﾄ(4～3月)'!G$26:G$971)</f>
        <v>0</v>
      </c>
      <c r="E14" s="157">
        <f>SUMIF('内訳ﾘｽﾄ(4～3月)'!$D$26:$D$971,$B14,'内訳ﾘｽﾄ(4～3月)'!H$26:H$971)</f>
        <v>0</v>
      </c>
      <c r="F14" s="157">
        <f>SUMIF('内訳ﾘｽﾄ(4～3月)'!$D$26:$D$971,$B14,'内訳ﾘｽﾄ(4～3月)'!I$26:I$971)</f>
        <v>0</v>
      </c>
      <c r="G14" s="157">
        <f>SUMIF('内訳ﾘｽﾄ(4～3月)'!$D$26:$D$971,$B14,'内訳ﾘｽﾄ(4～3月)'!J$26:J$971)</f>
        <v>0</v>
      </c>
      <c r="H14" s="157">
        <f>SUMIF('内訳ﾘｽﾄ(4～3月)'!$D$26:$D$971,$B14,'内訳ﾘｽﾄ(4～3月)'!K$26:K$971)</f>
        <v>0</v>
      </c>
      <c r="I14" s="157">
        <f>SUMIF('内訳ﾘｽﾄ(4～3月)'!$D$26:$D$971,$B14,'内訳ﾘｽﾄ(4～3月)'!L$26:L$971)</f>
        <v>0</v>
      </c>
      <c r="J14" s="157">
        <f>SUMIF('内訳ﾘｽﾄ(4～3月)'!$D$26:$D$971,$B14,'内訳ﾘｽﾄ(4～3月)'!M$26:M$971)</f>
        <v>0</v>
      </c>
      <c r="K14" s="157">
        <f>SUMIF('内訳ﾘｽﾄ(4～3月)'!$D$26:$D$971,$B14,'内訳ﾘｽﾄ(4～3月)'!N$26:N$971)</f>
        <v>0</v>
      </c>
      <c r="L14" s="157">
        <f>SUMIF('内訳ﾘｽﾄ(4～3月)'!$D$26:$D$971,$B14,'内訳ﾘｽﾄ(4～3月)'!O$26:O$971)</f>
        <v>0</v>
      </c>
      <c r="M14" s="157">
        <f>SUMIF('内訳ﾘｽﾄ(4～3月)'!$D$26:$D$971,$B14,'内訳ﾘｽﾄ(4～3月)'!P$26:P$971)</f>
        <v>0</v>
      </c>
      <c r="N14" s="157">
        <f>SUMIF('内訳ﾘｽﾄ(4～3月)'!$D$26:$D$971,$B14,'内訳ﾘｽﾄ(4～3月)'!Q$26:Q$971)</f>
        <v>0</v>
      </c>
      <c r="O14" s="157">
        <f>SUMIF('内訳ﾘｽﾄ(4～3月)'!$D$26:$D$770,'採算表(VND)'!$B14,'内訳ﾘｽﾄ(4～3月)'!R$26:R$770)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SUMIF('内訳ﾘｽﾄ(4～3月)'!$D$26:$D$971,$B15,'内訳ﾘｽﾄ(4～3月)'!F$26:F$971)</f>
        <v>0</v>
      </c>
      <c r="D15" s="157">
        <f>SUMIF('内訳ﾘｽﾄ(4～3月)'!$D$26:$D$971,$B15,'内訳ﾘｽﾄ(4～3月)'!G$26:G$971)</f>
        <v>0</v>
      </c>
      <c r="E15" s="157">
        <f>SUMIF('内訳ﾘｽﾄ(4～3月)'!$D$26:$D$971,$B15,'内訳ﾘｽﾄ(4～3月)'!H$26:H$971)</f>
        <v>0</v>
      </c>
      <c r="F15" s="157">
        <f>SUMIF('内訳ﾘｽﾄ(4～3月)'!$D$26:$D$971,$B15,'内訳ﾘｽﾄ(4～3月)'!I$26:I$971)</f>
        <v>0</v>
      </c>
      <c r="G15" s="157">
        <f>SUMIF('内訳ﾘｽﾄ(4～3月)'!$D$26:$D$971,$B15,'内訳ﾘｽﾄ(4～3月)'!J$26:J$971)</f>
        <v>0</v>
      </c>
      <c r="H15" s="157">
        <f>SUMIF('内訳ﾘｽﾄ(4～3月)'!$D$26:$D$971,$B15,'内訳ﾘｽﾄ(4～3月)'!K$26:K$971)</f>
        <v>0</v>
      </c>
      <c r="I15" s="157">
        <f>SUMIF('内訳ﾘｽﾄ(4～3月)'!$D$26:$D$971,$B15,'内訳ﾘｽﾄ(4～3月)'!L$26:L$971)</f>
        <v>0</v>
      </c>
      <c r="J15" s="157">
        <f>SUMIF('内訳ﾘｽﾄ(4～3月)'!$D$26:$D$971,$B15,'内訳ﾘｽﾄ(4～3月)'!M$26:M$971)</f>
        <v>0</v>
      </c>
      <c r="K15" s="157">
        <f>SUMIF('内訳ﾘｽﾄ(4～3月)'!$D$26:$D$971,$B15,'内訳ﾘｽﾄ(4～3月)'!N$26:N$971)</f>
        <v>0</v>
      </c>
      <c r="L15" s="157">
        <f>SUMIF('内訳ﾘｽﾄ(4～3月)'!$D$26:$D$971,$B15,'内訳ﾘｽﾄ(4～3月)'!O$26:O$971)</f>
        <v>0</v>
      </c>
      <c r="M15" s="157">
        <f>SUMIF('内訳ﾘｽﾄ(4～3月)'!$D$26:$D$971,$B15,'内訳ﾘｽﾄ(4～3月)'!P$26:P$971)</f>
        <v>0</v>
      </c>
      <c r="N15" s="157">
        <f>SUMIF('内訳ﾘｽﾄ(4～3月)'!$D$26:$D$971,$B15,'内訳ﾘｽﾄ(4～3月)'!Q$26:Q$971)</f>
        <v>0</v>
      </c>
      <c r="O15" s="157">
        <f>SUMIF('内訳ﾘｽﾄ(4～3月)'!$D$26:$D$770,'採算表(VND)'!$B15,'内訳ﾘｽﾄ(4～3月)'!R$26:R$770)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SUMIF('内訳ﾘｽﾄ(4～3月)'!$D$26:$D$971,$B16,'内訳ﾘｽﾄ(4～3月)'!F$26:F$971)</f>
        <v>0</v>
      </c>
      <c r="D16" s="157">
        <f>SUMIF('内訳ﾘｽﾄ(4～3月)'!$D$26:$D$971,$B16,'内訳ﾘｽﾄ(4～3月)'!G$26:G$971)</f>
        <v>0</v>
      </c>
      <c r="E16" s="157">
        <f>SUMIF('内訳ﾘｽﾄ(4～3月)'!$D$26:$D$971,$B16,'内訳ﾘｽﾄ(4～3月)'!H$26:H$971)</f>
        <v>0</v>
      </c>
      <c r="F16" s="157">
        <f>SUMIF('内訳ﾘｽﾄ(4～3月)'!$D$26:$D$971,$B16,'内訳ﾘｽﾄ(4～3月)'!I$26:I$971)</f>
        <v>0</v>
      </c>
      <c r="G16" s="157">
        <f>SUMIF('内訳ﾘｽﾄ(4～3月)'!$D$26:$D$971,$B16,'内訳ﾘｽﾄ(4～3月)'!J$26:J$971)</f>
        <v>0</v>
      </c>
      <c r="H16" s="157">
        <f>SUMIF('内訳ﾘｽﾄ(4～3月)'!$D$26:$D$971,$B16,'内訳ﾘｽﾄ(4～3月)'!K$26:K$971)</f>
        <v>0</v>
      </c>
      <c r="I16" s="157">
        <f>SUMIF('内訳ﾘｽﾄ(4～3月)'!$D$26:$D$971,$B16,'内訳ﾘｽﾄ(4～3月)'!L$26:L$971)</f>
        <v>0</v>
      </c>
      <c r="J16" s="157">
        <f>SUMIF('内訳ﾘｽﾄ(4～3月)'!$D$26:$D$971,$B16,'内訳ﾘｽﾄ(4～3月)'!M$26:M$971)</f>
        <v>0</v>
      </c>
      <c r="K16" s="157">
        <f>SUMIF('内訳ﾘｽﾄ(4～3月)'!$D$26:$D$971,$B16,'内訳ﾘｽﾄ(4～3月)'!N$26:N$971)</f>
        <v>0</v>
      </c>
      <c r="L16" s="157">
        <f>SUMIF('内訳ﾘｽﾄ(4～3月)'!$D$26:$D$971,$B16,'内訳ﾘｽﾄ(4～3月)'!O$26:O$971)</f>
        <v>0</v>
      </c>
      <c r="M16" s="157">
        <f>SUMIF('内訳ﾘｽﾄ(4～3月)'!$D$26:$D$971,$B16,'内訳ﾘｽﾄ(4～3月)'!P$26:P$971)</f>
        <v>0</v>
      </c>
      <c r="N16" s="157">
        <f>SUMIF('内訳ﾘｽﾄ(4～3月)'!$D$26:$D$971,$B16,'内訳ﾘｽﾄ(4～3月)'!Q$26:Q$971)</f>
        <v>0</v>
      </c>
      <c r="O16" s="157">
        <f>SUMIF('内訳ﾘｽﾄ(4～3月)'!$D$26:$D$770,'採算表(VND)'!$B16,'内訳ﾘｽﾄ(4～3月)'!R$26:R$770)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SUMIF('内訳ﾘｽﾄ(4～3月)'!$D$26:$D$971,$B17,'内訳ﾘｽﾄ(4～3月)'!F$26:F$971)</f>
        <v>0</v>
      </c>
      <c r="D17" s="158">
        <f>SUMIF('内訳ﾘｽﾄ(4～3月)'!$D$26:$D$971,$B17,'内訳ﾘｽﾄ(4～3月)'!G$26:G$971)</f>
        <v>0</v>
      </c>
      <c r="E17" s="158">
        <f>SUMIF('内訳ﾘｽﾄ(4～3月)'!$D$26:$D$971,$B17,'内訳ﾘｽﾄ(4～3月)'!H$26:H$971)</f>
        <v>0</v>
      </c>
      <c r="F17" s="158">
        <f>SUMIF('内訳ﾘｽﾄ(4～3月)'!$D$26:$D$971,$B17,'内訳ﾘｽﾄ(4～3月)'!I$26:I$971)</f>
        <v>0</v>
      </c>
      <c r="G17" s="158">
        <f>SUMIF('内訳ﾘｽﾄ(4～3月)'!$D$26:$D$971,$B17,'内訳ﾘｽﾄ(4～3月)'!J$26:J$971)</f>
        <v>0</v>
      </c>
      <c r="H17" s="158">
        <f>SUMIF('内訳ﾘｽﾄ(4～3月)'!$D$26:$D$971,$B17,'内訳ﾘｽﾄ(4～3月)'!K$26:K$971)</f>
        <v>0</v>
      </c>
      <c r="I17" s="158">
        <f>SUMIF('内訳ﾘｽﾄ(4～3月)'!$D$26:$D$971,$B17,'内訳ﾘｽﾄ(4～3月)'!L$26:L$971)</f>
        <v>0</v>
      </c>
      <c r="J17" s="158">
        <f>SUMIF('内訳ﾘｽﾄ(4～3月)'!$D$26:$D$971,$B17,'内訳ﾘｽﾄ(4～3月)'!M$26:M$971)</f>
        <v>0</v>
      </c>
      <c r="K17" s="158">
        <f>SUMIF('内訳ﾘｽﾄ(4～3月)'!$D$26:$D$971,$B17,'内訳ﾘｽﾄ(4～3月)'!N$26:N$971)</f>
        <v>0</v>
      </c>
      <c r="L17" s="158">
        <f>SUMIF('内訳ﾘｽﾄ(4～3月)'!$D$26:$D$971,$B17,'内訳ﾘｽﾄ(4～3月)'!O$26:O$971)</f>
        <v>0</v>
      </c>
      <c r="M17" s="158">
        <f>SUMIF('内訳ﾘｽﾄ(4～3月)'!$D$26:$D$971,$B17,'内訳ﾘｽﾄ(4～3月)'!P$26:P$971)</f>
        <v>0</v>
      </c>
      <c r="N17" s="158">
        <f>SUMIF('内訳ﾘｽﾄ(4～3月)'!$D$26:$D$971,$B17,'内訳ﾘｽﾄ(4～3月)'!Q$26:Q$971)</f>
        <v>0</v>
      </c>
      <c r="O17" s="158">
        <f>SUMIF('内訳ﾘｽﾄ(4～3月)'!$D$26:$D$770,'採算表(VND)'!$B17,'内訳ﾘｽﾄ(4～3月)'!R$26:R$770)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SUMIF('内訳ﾘｽﾄ(4～3月)'!$D$26:$D$971,$B18,'内訳ﾘｽﾄ(4～3月)'!F$26:F$971)</f>
        <v>0</v>
      </c>
      <c r="D18" s="158">
        <f>SUMIF('内訳ﾘｽﾄ(4～3月)'!$D$26:$D$971,$B18,'内訳ﾘｽﾄ(4～3月)'!G$26:G$971)</f>
        <v>0</v>
      </c>
      <c r="E18" s="158">
        <f>SUMIF('内訳ﾘｽﾄ(4～3月)'!$D$26:$D$971,$B18,'内訳ﾘｽﾄ(4～3月)'!H$26:H$971)</f>
        <v>0</v>
      </c>
      <c r="F18" s="158">
        <f>SUMIF('内訳ﾘｽﾄ(4～3月)'!$D$26:$D$971,$B18,'内訳ﾘｽﾄ(4～3月)'!I$26:I$971)</f>
        <v>0</v>
      </c>
      <c r="G18" s="158">
        <f>SUMIF('内訳ﾘｽﾄ(4～3月)'!$D$26:$D$971,$B18,'内訳ﾘｽﾄ(4～3月)'!J$26:J$971)</f>
        <v>0</v>
      </c>
      <c r="H18" s="158">
        <f>SUMIF('内訳ﾘｽﾄ(4～3月)'!$D$26:$D$971,$B18,'内訳ﾘｽﾄ(4～3月)'!K$26:K$971)</f>
        <v>0</v>
      </c>
      <c r="I18" s="158">
        <f>SUMIF('内訳ﾘｽﾄ(4～3月)'!$D$26:$D$971,$B18,'内訳ﾘｽﾄ(4～3月)'!L$26:L$971)</f>
        <v>0</v>
      </c>
      <c r="J18" s="158">
        <f>SUMIF('内訳ﾘｽﾄ(4～3月)'!$D$26:$D$971,$B18,'内訳ﾘｽﾄ(4～3月)'!M$26:M$971)</f>
        <v>0</v>
      </c>
      <c r="K18" s="158">
        <f>SUMIF('内訳ﾘｽﾄ(4～3月)'!$D$26:$D$971,$B18,'内訳ﾘｽﾄ(4～3月)'!N$26:N$971)</f>
        <v>0</v>
      </c>
      <c r="L18" s="158">
        <f>SUMIF('内訳ﾘｽﾄ(4～3月)'!$D$26:$D$971,$B18,'内訳ﾘｽﾄ(4～3月)'!O$26:O$971)</f>
        <v>0</v>
      </c>
      <c r="M18" s="158">
        <f>SUMIF('内訳ﾘｽﾄ(4～3月)'!$D$26:$D$971,$B18,'内訳ﾘｽﾄ(4～3月)'!P$26:P$971)</f>
        <v>0</v>
      </c>
      <c r="N18" s="158">
        <f>SUMIF('内訳ﾘｽﾄ(4～3月)'!$D$26:$D$971,$B18,'内訳ﾘｽﾄ(4～3月)'!Q$26:Q$971)</f>
        <v>0</v>
      </c>
      <c r="O18" s="158">
        <f>SUMIF('内訳ﾘｽﾄ(4～3月)'!$D$26:$D$770,'採算表(VND)'!$B18,'内訳ﾘｽﾄ(4～3月)'!R$26:R$770)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SUMIF('内訳ﾘｽﾄ(4～3月)'!$D$26:$D$971,$B19,'内訳ﾘｽﾄ(4～3月)'!F$26:F$971)</f>
        <v>0</v>
      </c>
      <c r="D19" s="158">
        <f>SUMIF('内訳ﾘｽﾄ(4～3月)'!$D$26:$D$971,$B19,'内訳ﾘｽﾄ(4～3月)'!G$26:G$971)</f>
        <v>0</v>
      </c>
      <c r="E19" s="158">
        <f>SUMIF('内訳ﾘｽﾄ(4～3月)'!$D$26:$D$971,$B19,'内訳ﾘｽﾄ(4～3月)'!H$26:H$971)</f>
        <v>0</v>
      </c>
      <c r="F19" s="158">
        <f>SUMIF('内訳ﾘｽﾄ(4～3月)'!$D$26:$D$971,$B19,'内訳ﾘｽﾄ(4～3月)'!I$26:I$971)</f>
        <v>0</v>
      </c>
      <c r="G19" s="158">
        <f>SUMIF('内訳ﾘｽﾄ(4～3月)'!$D$26:$D$971,$B19,'内訳ﾘｽﾄ(4～3月)'!J$26:J$971)</f>
        <v>0</v>
      </c>
      <c r="H19" s="158">
        <f>SUMIF('内訳ﾘｽﾄ(4～3月)'!$D$26:$D$971,$B19,'内訳ﾘｽﾄ(4～3月)'!K$26:K$971)</f>
        <v>0</v>
      </c>
      <c r="I19" s="158">
        <f>SUMIF('内訳ﾘｽﾄ(4～3月)'!$D$26:$D$971,$B19,'内訳ﾘｽﾄ(4～3月)'!L$26:L$971)</f>
        <v>0</v>
      </c>
      <c r="J19" s="158">
        <f>SUMIF('内訳ﾘｽﾄ(4～3月)'!$D$26:$D$971,$B19,'内訳ﾘｽﾄ(4～3月)'!M$26:M$971)</f>
        <v>0</v>
      </c>
      <c r="K19" s="158">
        <f>SUMIF('内訳ﾘｽﾄ(4～3月)'!$D$26:$D$971,$B19,'内訳ﾘｽﾄ(4～3月)'!N$26:N$971)</f>
        <v>0</v>
      </c>
      <c r="L19" s="158">
        <f>SUMIF('内訳ﾘｽﾄ(4～3月)'!$D$26:$D$971,$B19,'内訳ﾘｽﾄ(4～3月)'!O$26:O$971)</f>
        <v>0</v>
      </c>
      <c r="M19" s="158">
        <f>SUMIF('内訳ﾘｽﾄ(4～3月)'!$D$26:$D$971,$B19,'内訳ﾘｽﾄ(4～3月)'!P$26:P$971)</f>
        <v>0</v>
      </c>
      <c r="N19" s="158">
        <f>SUMIF('内訳ﾘｽﾄ(4～3月)'!$D$26:$D$971,$B19,'内訳ﾘｽﾄ(4～3月)'!Q$26:Q$971)</f>
        <v>0</v>
      </c>
      <c r="O19" s="158">
        <f>SUMIF('内訳ﾘｽﾄ(4～3月)'!$D$26:$D$770,'採算表(VND)'!$B19,'内訳ﾘｽﾄ(4～3月)'!R$26:R$770)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SUMIF('内訳ﾘｽﾄ(4～3月)'!$D$26:$D$971,$B20,'内訳ﾘｽﾄ(4～3月)'!F$26:F$971)</f>
        <v>1375631</v>
      </c>
      <c r="D20" s="158">
        <f>SUMIF('内訳ﾘｽﾄ(4～3月)'!$D$26:$D$971,$B20,'内訳ﾘｽﾄ(4～3月)'!G$26:G$971)</f>
        <v>1386295</v>
      </c>
      <c r="E20" s="158">
        <f>SUMIF('内訳ﾘｽﾄ(4～3月)'!$D$26:$D$971,$B20,'内訳ﾘｽﾄ(4～3月)'!H$26:H$971)</f>
        <v>1414477</v>
      </c>
      <c r="F20" s="158">
        <f>SUMIF('内訳ﾘｽﾄ(4～3月)'!$D$26:$D$971,$B20,'内訳ﾘｽﾄ(4～3月)'!I$26:I$971)</f>
        <v>1343639</v>
      </c>
      <c r="G20" s="158">
        <f>SUMIF('内訳ﾘｽﾄ(4～3月)'!$D$26:$D$971,$B20,'内訳ﾘｽﾄ(4～3月)'!J$26:J$971)</f>
        <v>1325358</v>
      </c>
      <c r="H20" s="158">
        <f>SUMIF('内訳ﾘｽﾄ(4～3月)'!$D$26:$D$971,$B20,'内訳ﾘｽﾄ(4～3月)'!K$26:K$971)</f>
        <v>1331960</v>
      </c>
      <c r="I20" s="158">
        <f>SUMIF('内訳ﾘｽﾄ(4～3月)'!$D$26:$D$971,$B20,'内訳ﾘｽﾄ(4～3月)'!L$26:L$971)</f>
        <v>1318249</v>
      </c>
      <c r="J20" s="158">
        <f>SUMIF('内訳ﾘｽﾄ(4～3月)'!$D$26:$D$971,$B20,'内訳ﾘｽﾄ(4～3月)'!M$26:M$971)</f>
        <v>1302507</v>
      </c>
      <c r="K20" s="158">
        <f>SUMIF('内訳ﾘｽﾄ(4～3月)'!$D$26:$D$971,$B20,'内訳ﾘｽﾄ(4～3月)'!N$26:N$971)</f>
        <v>1310631</v>
      </c>
      <c r="L20" s="158">
        <f>SUMIF('内訳ﾘｽﾄ(4～3月)'!$D$26:$D$971,$B20,'内訳ﾘｽﾄ(4～3月)'!O$26:O$971)</f>
        <v>1280672</v>
      </c>
      <c r="M20" s="158">
        <f>SUMIF('内訳ﾘｽﾄ(4～3月)'!$D$26:$D$971,$B20,'内訳ﾘｽﾄ(4～3月)'!P$26:P$971)</f>
        <v>1250458</v>
      </c>
      <c r="N20" s="158">
        <f>SUMIF('内訳ﾘｽﾄ(4～3月)'!$D$26:$D$971,$B20,'内訳ﾘｽﾄ(4～3月)'!Q$26:Q$971)</f>
        <v>1288797</v>
      </c>
      <c r="O20" s="158">
        <f>SUMIF('内訳ﾘｽﾄ(4～3月)'!$D$26:$D$770,'採算表(VND)'!$B20,'内訳ﾘｽﾄ(4～3月)'!R$26:R$770)</f>
        <v>15928674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SUMIF('内訳ﾘｽﾄ(4～3月)'!$D$26:$D$971,$B21,'内訳ﾘｽﾄ(4～3月)'!F$26:F$971)</f>
        <v>0</v>
      </c>
      <c r="D21" s="158">
        <f>SUMIF('内訳ﾘｽﾄ(4～3月)'!$D$26:$D$971,$B21,'内訳ﾘｽﾄ(4～3月)'!G$26:G$971)</f>
        <v>0</v>
      </c>
      <c r="E21" s="158">
        <f>SUMIF('内訳ﾘｽﾄ(4～3月)'!$D$26:$D$971,$B21,'内訳ﾘｽﾄ(4～3月)'!H$26:H$971)</f>
        <v>0</v>
      </c>
      <c r="F21" s="158">
        <f>SUMIF('内訳ﾘｽﾄ(4～3月)'!$D$26:$D$971,$B21,'内訳ﾘｽﾄ(4～3月)'!I$26:I$971)</f>
        <v>0</v>
      </c>
      <c r="G21" s="158">
        <f>SUMIF('内訳ﾘｽﾄ(4～3月)'!$D$26:$D$971,$B21,'内訳ﾘｽﾄ(4～3月)'!J$26:J$971)</f>
        <v>0</v>
      </c>
      <c r="H21" s="158">
        <f>SUMIF('内訳ﾘｽﾄ(4～3月)'!$D$26:$D$971,$B21,'内訳ﾘｽﾄ(4～3月)'!K$26:K$971)</f>
        <v>0</v>
      </c>
      <c r="I21" s="158">
        <f>SUMIF('内訳ﾘｽﾄ(4～3月)'!$D$26:$D$971,$B21,'内訳ﾘｽﾄ(4～3月)'!L$26:L$971)</f>
        <v>0</v>
      </c>
      <c r="J21" s="158">
        <f>SUMIF('内訳ﾘｽﾄ(4～3月)'!$D$26:$D$971,$B21,'内訳ﾘｽﾄ(4～3月)'!M$26:M$971)</f>
        <v>0</v>
      </c>
      <c r="K21" s="158">
        <f>SUMIF('内訳ﾘｽﾄ(4～3月)'!$D$26:$D$971,$B21,'内訳ﾘｽﾄ(4～3月)'!N$26:N$971)</f>
        <v>0</v>
      </c>
      <c r="L21" s="158">
        <f>SUMIF('内訳ﾘｽﾄ(4～3月)'!$D$26:$D$971,$B21,'内訳ﾘｽﾄ(4～3月)'!O$26:O$971)</f>
        <v>0</v>
      </c>
      <c r="M21" s="158">
        <f>SUMIF('内訳ﾘｽﾄ(4～3月)'!$D$26:$D$971,$B21,'内訳ﾘｽﾄ(4～3月)'!P$26:P$971)</f>
        <v>0</v>
      </c>
      <c r="N21" s="158">
        <f>SUMIF('内訳ﾘｽﾄ(4～3月)'!$D$26:$D$971,$B21,'内訳ﾘｽﾄ(4～3月)'!Q$26:Q$971)</f>
        <v>0</v>
      </c>
      <c r="O21" s="158">
        <f>SUMIF('内訳ﾘｽﾄ(4～3月)'!$D$26:$D$770,'採算表(VND)'!$B21,'内訳ﾘｽﾄ(4～3月)'!R$26:R$770)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SUMIF('内訳ﾘｽﾄ(4～3月)'!$D$26:$D$971,$B22,'内訳ﾘｽﾄ(4～3月)'!F$26:F$971)</f>
        <v>0</v>
      </c>
      <c r="D22" s="158">
        <f>SUMIF('内訳ﾘｽﾄ(4～3月)'!$D$26:$D$971,$B22,'内訳ﾘｽﾄ(4～3月)'!G$26:G$971)</f>
        <v>0</v>
      </c>
      <c r="E22" s="158">
        <f>SUMIF('内訳ﾘｽﾄ(4～3月)'!$D$26:$D$971,$B22,'内訳ﾘｽﾄ(4～3月)'!H$26:H$971)</f>
        <v>0</v>
      </c>
      <c r="F22" s="158">
        <f>SUMIF('内訳ﾘｽﾄ(4～3月)'!$D$26:$D$971,$B22,'内訳ﾘｽﾄ(4～3月)'!I$26:I$971)</f>
        <v>0</v>
      </c>
      <c r="G22" s="158">
        <f>SUMIF('内訳ﾘｽﾄ(4～3月)'!$D$26:$D$971,$B22,'内訳ﾘｽﾄ(4～3月)'!J$26:J$971)</f>
        <v>0</v>
      </c>
      <c r="H22" s="158">
        <f>SUMIF('内訳ﾘｽﾄ(4～3月)'!$D$26:$D$971,$B22,'内訳ﾘｽﾄ(4～3月)'!K$26:K$971)</f>
        <v>0</v>
      </c>
      <c r="I22" s="158">
        <f>SUMIF('内訳ﾘｽﾄ(4～3月)'!$D$26:$D$971,$B22,'内訳ﾘｽﾄ(4～3月)'!L$26:L$971)</f>
        <v>0</v>
      </c>
      <c r="J22" s="158">
        <f>SUMIF('内訳ﾘｽﾄ(4～3月)'!$D$26:$D$971,$B22,'内訳ﾘｽﾄ(4～3月)'!M$26:M$971)</f>
        <v>0</v>
      </c>
      <c r="K22" s="158">
        <f>SUMIF('内訳ﾘｽﾄ(4～3月)'!$D$26:$D$971,$B22,'内訳ﾘｽﾄ(4～3月)'!N$26:N$971)</f>
        <v>0</v>
      </c>
      <c r="L22" s="158">
        <f>SUMIF('内訳ﾘｽﾄ(4～3月)'!$D$26:$D$971,$B22,'内訳ﾘｽﾄ(4～3月)'!O$26:O$971)</f>
        <v>0</v>
      </c>
      <c r="M22" s="158">
        <f>SUMIF('内訳ﾘｽﾄ(4～3月)'!$D$26:$D$971,$B22,'内訳ﾘｽﾄ(4～3月)'!P$26:P$971)</f>
        <v>0</v>
      </c>
      <c r="N22" s="158">
        <f>SUMIF('内訳ﾘｽﾄ(4～3月)'!$D$26:$D$971,$B22,'内訳ﾘｽﾄ(4～3月)'!Q$26:Q$971)</f>
        <v>0</v>
      </c>
      <c r="O22" s="158">
        <f>SUMIF('内訳ﾘｽﾄ(4～3月)'!$D$26:$D$770,'採算表(VND)'!$B22,'内訳ﾘｽﾄ(4～3月)'!R$26:R$770)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SUMIF('内訳ﾘｽﾄ(4～3月)'!$D$26:$D$971,$B23,'内訳ﾘｽﾄ(4～3月)'!F$26:F$971)</f>
        <v>0</v>
      </c>
      <c r="D23" s="158">
        <f>SUMIF('内訳ﾘｽﾄ(4～3月)'!$D$26:$D$971,$B23,'内訳ﾘｽﾄ(4～3月)'!G$26:G$971)</f>
        <v>0</v>
      </c>
      <c r="E23" s="158">
        <f>SUMIF('内訳ﾘｽﾄ(4～3月)'!$D$26:$D$971,$B23,'内訳ﾘｽﾄ(4～3月)'!H$26:H$971)</f>
        <v>0</v>
      </c>
      <c r="F23" s="158">
        <f>SUMIF('内訳ﾘｽﾄ(4～3月)'!$D$26:$D$971,$B23,'内訳ﾘｽﾄ(4～3月)'!I$26:I$971)</f>
        <v>0</v>
      </c>
      <c r="G23" s="158">
        <f>SUMIF('内訳ﾘｽﾄ(4～3月)'!$D$26:$D$971,$B23,'内訳ﾘｽﾄ(4～3月)'!J$26:J$971)</f>
        <v>0</v>
      </c>
      <c r="H23" s="158">
        <f>SUMIF('内訳ﾘｽﾄ(4～3月)'!$D$26:$D$971,$B23,'内訳ﾘｽﾄ(4～3月)'!K$26:K$971)</f>
        <v>0</v>
      </c>
      <c r="I23" s="158">
        <f>SUMIF('内訳ﾘｽﾄ(4～3月)'!$D$26:$D$971,$B23,'内訳ﾘｽﾄ(4～3月)'!L$26:L$971)</f>
        <v>0</v>
      </c>
      <c r="J23" s="158">
        <f>SUMIF('内訳ﾘｽﾄ(4～3月)'!$D$26:$D$971,$B23,'内訳ﾘｽﾄ(4～3月)'!M$26:M$971)</f>
        <v>0</v>
      </c>
      <c r="K23" s="158">
        <f>SUMIF('内訳ﾘｽﾄ(4～3月)'!$D$26:$D$971,$B23,'内訳ﾘｽﾄ(4～3月)'!N$26:N$971)</f>
        <v>0</v>
      </c>
      <c r="L23" s="158">
        <f>SUMIF('内訳ﾘｽﾄ(4～3月)'!$D$26:$D$971,$B23,'内訳ﾘｽﾄ(4～3月)'!O$26:O$971)</f>
        <v>0</v>
      </c>
      <c r="M23" s="158">
        <f>SUMIF('内訳ﾘｽﾄ(4～3月)'!$D$26:$D$971,$B23,'内訳ﾘｽﾄ(4～3月)'!P$26:P$971)</f>
        <v>0</v>
      </c>
      <c r="N23" s="158">
        <f>SUMIF('内訳ﾘｽﾄ(4～3月)'!$D$26:$D$971,$B23,'内訳ﾘｽﾄ(4～3月)'!Q$26:Q$971)</f>
        <v>0</v>
      </c>
      <c r="O23" s="158">
        <f>SUMIF('内訳ﾘｽﾄ(4～3月)'!$D$26:$D$770,'採算表(VND)'!$B23,'内訳ﾘｽﾄ(4～3月)'!R$26:R$770)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SUMIF('内訳ﾘｽﾄ(4～3月)'!$D$26:$D$971,$B24,'内訳ﾘｽﾄ(4～3月)'!F$26:F$971)</f>
        <v>0</v>
      </c>
      <c r="D24" s="158">
        <f>SUMIF('内訳ﾘｽﾄ(4～3月)'!$D$26:$D$971,$B24,'内訳ﾘｽﾄ(4～3月)'!G$26:G$971)</f>
        <v>0</v>
      </c>
      <c r="E24" s="158">
        <f>SUMIF('内訳ﾘｽﾄ(4～3月)'!$D$26:$D$971,$B24,'内訳ﾘｽﾄ(4～3月)'!H$26:H$971)</f>
        <v>0</v>
      </c>
      <c r="F24" s="158">
        <f>SUMIF('内訳ﾘｽﾄ(4～3月)'!$D$26:$D$971,$B24,'内訳ﾘｽﾄ(4～3月)'!I$26:I$971)</f>
        <v>0</v>
      </c>
      <c r="G24" s="158">
        <f>SUMIF('内訳ﾘｽﾄ(4～3月)'!$D$26:$D$971,$B24,'内訳ﾘｽﾄ(4～3月)'!J$26:J$971)</f>
        <v>0</v>
      </c>
      <c r="H24" s="158">
        <f>SUMIF('内訳ﾘｽﾄ(4～3月)'!$D$26:$D$971,$B24,'内訳ﾘｽﾄ(4～3月)'!K$26:K$971)</f>
        <v>0</v>
      </c>
      <c r="I24" s="158">
        <f>SUMIF('内訳ﾘｽﾄ(4～3月)'!$D$26:$D$971,$B24,'内訳ﾘｽﾄ(4～3月)'!L$26:L$971)</f>
        <v>0</v>
      </c>
      <c r="J24" s="158">
        <f>SUMIF('内訳ﾘｽﾄ(4～3月)'!$D$26:$D$971,$B24,'内訳ﾘｽﾄ(4～3月)'!M$26:M$971)</f>
        <v>0</v>
      </c>
      <c r="K24" s="158">
        <f>SUMIF('内訳ﾘｽﾄ(4～3月)'!$D$26:$D$971,$B24,'内訳ﾘｽﾄ(4～3月)'!N$26:N$971)</f>
        <v>0</v>
      </c>
      <c r="L24" s="158">
        <f>SUMIF('内訳ﾘｽﾄ(4～3月)'!$D$26:$D$971,$B24,'内訳ﾘｽﾄ(4～3月)'!O$26:O$971)</f>
        <v>0</v>
      </c>
      <c r="M24" s="158">
        <f>SUMIF('内訳ﾘｽﾄ(4～3月)'!$D$26:$D$971,$B24,'内訳ﾘｽﾄ(4～3月)'!P$26:P$971)</f>
        <v>0</v>
      </c>
      <c r="N24" s="158">
        <f>SUMIF('内訳ﾘｽﾄ(4～3月)'!$D$26:$D$971,$B24,'内訳ﾘｽﾄ(4～3月)'!Q$26:Q$971)</f>
        <v>0</v>
      </c>
      <c r="O24" s="158">
        <f>SUMIF('内訳ﾘｽﾄ(4～3月)'!$D$26:$D$770,'採算表(VND)'!$B24,'内訳ﾘｽﾄ(4～3月)'!R$26:R$770)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SUMIF('内訳ﾘｽﾄ(4～3月)'!$D$26:$D$971,$B25,'内訳ﾘｽﾄ(4～3月)'!F$26:F$971)</f>
        <v>117276</v>
      </c>
      <c r="D25" s="158">
        <f>SUMIF('内訳ﾘｽﾄ(4～3月)'!$D$26:$D$971,$B25,'内訳ﾘｽﾄ(4～3月)'!G$26:G$971)</f>
        <v>113196</v>
      </c>
      <c r="E25" s="158">
        <f>SUMIF('内訳ﾘｽﾄ(4～3月)'!$D$26:$D$971,$B25,'内訳ﾘｽﾄ(4～3月)'!H$26:H$971)</f>
        <v>123348</v>
      </c>
      <c r="F25" s="158">
        <f>SUMIF('内訳ﾘｽﾄ(4～3月)'!$D$26:$D$971,$B25,'内訳ﾘｽﾄ(4～3月)'!I$26:I$971)</f>
        <v>133506</v>
      </c>
      <c r="G25" s="158">
        <f>SUMIF('内訳ﾘｽﾄ(4～3月)'!$D$26:$D$971,$B25,'内訳ﾘｽﾄ(4～3月)'!J$26:J$971)</f>
        <v>116904</v>
      </c>
      <c r="H25" s="158">
        <f>SUMIF('内訳ﾘｽﾄ(4～3月)'!$D$26:$D$971,$B25,'内訳ﾘｽﾄ(4～3月)'!K$26:K$971)</f>
        <v>111558</v>
      </c>
      <c r="I25" s="158">
        <f>SUMIF('内訳ﾘｽﾄ(4～3月)'!$D$26:$D$971,$B25,'内訳ﾘｽﾄ(4～3月)'!L$26:L$971)</f>
        <v>133446</v>
      </c>
      <c r="J25" s="158">
        <f>SUMIF('内訳ﾘｽﾄ(4～3月)'!$D$26:$D$971,$B25,'内訳ﾘｽﾄ(4～3月)'!M$26:M$971)</f>
        <v>117210</v>
      </c>
      <c r="K25" s="158">
        <f>SUMIF('内訳ﾘｽﾄ(4～3月)'!$D$26:$D$971,$B25,'内訳ﾘｽﾄ(4～3月)'!N$26:N$971)</f>
        <v>128268</v>
      </c>
      <c r="L25" s="158">
        <f>SUMIF('内訳ﾘｽﾄ(4～3月)'!$D$26:$D$971,$B25,'内訳ﾘｽﾄ(4～3月)'!O$26:O$971)</f>
        <v>117162</v>
      </c>
      <c r="M25" s="158">
        <f>SUMIF('内訳ﾘｽﾄ(4～3月)'!$D$26:$D$971,$B25,'内訳ﾘｽﾄ(4～3月)'!P$26:P$971)</f>
        <v>90054</v>
      </c>
      <c r="N25" s="158">
        <f>SUMIF('内訳ﾘｽﾄ(4～3月)'!$D$26:$D$971,$B25,'内訳ﾘｽﾄ(4～3月)'!Q$26:Q$971)</f>
        <v>117120</v>
      </c>
      <c r="O25" s="158">
        <f>SUMIF('内訳ﾘｽﾄ(4～3月)'!$D$26:$D$770,'採算表(VND)'!$B25,'内訳ﾘｽﾄ(4～3月)'!R$26:R$770)</f>
        <v>1419048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SUMIF('内訳ﾘｽﾄ(4～3月)'!$D$26:$D$971,$B26,'内訳ﾘｽﾄ(4～3月)'!F$26:F$971)</f>
        <v>0</v>
      </c>
      <c r="D26" s="158">
        <f>SUMIF('内訳ﾘｽﾄ(4～3月)'!$D$26:$D$971,$B26,'内訳ﾘｽﾄ(4～3月)'!G$26:G$971)</f>
        <v>0</v>
      </c>
      <c r="E26" s="158">
        <f>SUMIF('内訳ﾘｽﾄ(4～3月)'!$D$26:$D$971,$B26,'内訳ﾘｽﾄ(4～3月)'!H$26:H$971)</f>
        <v>0</v>
      </c>
      <c r="F26" s="158">
        <f>SUMIF('内訳ﾘｽﾄ(4～3月)'!$D$26:$D$971,$B26,'内訳ﾘｽﾄ(4～3月)'!I$26:I$971)</f>
        <v>16750000</v>
      </c>
      <c r="G26" s="158">
        <f>SUMIF('内訳ﾘｽﾄ(4～3月)'!$D$26:$D$971,$B26,'内訳ﾘｽﾄ(4～3月)'!J$26:J$971)</f>
        <v>0</v>
      </c>
      <c r="H26" s="158">
        <f>SUMIF('内訳ﾘｽﾄ(4～3月)'!$D$26:$D$971,$B26,'内訳ﾘｽﾄ(4～3月)'!K$26:K$971)</f>
        <v>16750000</v>
      </c>
      <c r="I26" s="158">
        <f>SUMIF('内訳ﾘｽﾄ(4～3月)'!$D$26:$D$971,$B26,'内訳ﾘｽﾄ(4～3月)'!L$26:L$971)</f>
        <v>0</v>
      </c>
      <c r="J26" s="158">
        <f>SUMIF('内訳ﾘｽﾄ(4～3月)'!$D$26:$D$971,$B26,'内訳ﾘｽﾄ(4～3月)'!M$26:M$971)</f>
        <v>0</v>
      </c>
      <c r="K26" s="158">
        <f>SUMIF('内訳ﾘｽﾄ(4～3月)'!$D$26:$D$971,$B26,'内訳ﾘｽﾄ(4～3月)'!N$26:N$971)</f>
        <v>0</v>
      </c>
      <c r="L26" s="158">
        <f>SUMIF('内訳ﾘｽﾄ(4～3月)'!$D$26:$D$971,$B26,'内訳ﾘｽﾄ(4～3月)'!O$26:O$971)</f>
        <v>0</v>
      </c>
      <c r="M26" s="158">
        <f>SUMIF('内訳ﾘｽﾄ(4～3月)'!$D$26:$D$971,$B26,'内訳ﾘｽﾄ(4～3月)'!P$26:P$971)</f>
        <v>0</v>
      </c>
      <c r="N26" s="158">
        <f>SUMIF('内訳ﾘｽﾄ(4～3月)'!$D$26:$D$971,$B26,'内訳ﾘｽﾄ(4～3月)'!Q$26:Q$971)</f>
        <v>0</v>
      </c>
      <c r="O26" s="158">
        <f>SUMIF('内訳ﾘｽﾄ(4～3月)'!$D$26:$D$770,'採算表(VND)'!$B26,'内訳ﾘｽﾄ(4～3月)'!R$26:R$770)</f>
        <v>33500000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SUMIF('内訳ﾘｽﾄ(4～3月)'!$D$26:$D$971,$B27,'内訳ﾘｽﾄ(4～3月)'!F$26:F$971)</f>
        <v>0</v>
      </c>
      <c r="D27" s="158">
        <f>SUMIF('内訳ﾘｽﾄ(4～3月)'!$D$26:$D$971,$B27,'内訳ﾘｽﾄ(4～3月)'!G$26:G$971)</f>
        <v>0</v>
      </c>
      <c r="E27" s="158">
        <f>SUMIF('内訳ﾘｽﾄ(4～3月)'!$D$26:$D$971,$B27,'内訳ﾘｽﾄ(4～3月)'!H$26:H$971)</f>
        <v>0</v>
      </c>
      <c r="F27" s="158">
        <f>SUMIF('内訳ﾘｽﾄ(4～3月)'!$D$26:$D$971,$B27,'内訳ﾘｽﾄ(4～3月)'!I$26:I$971)</f>
        <v>0</v>
      </c>
      <c r="G27" s="158">
        <f>SUMIF('内訳ﾘｽﾄ(4～3月)'!$D$26:$D$971,$B27,'内訳ﾘｽﾄ(4～3月)'!J$26:J$971)</f>
        <v>0</v>
      </c>
      <c r="H27" s="158">
        <f>SUMIF('内訳ﾘｽﾄ(4～3月)'!$D$26:$D$971,$B27,'内訳ﾘｽﾄ(4～3月)'!K$26:K$971)</f>
        <v>0</v>
      </c>
      <c r="I27" s="158">
        <f>SUMIF('内訳ﾘｽﾄ(4～3月)'!$D$26:$D$971,$B27,'内訳ﾘｽﾄ(4～3月)'!L$26:L$971)</f>
        <v>0</v>
      </c>
      <c r="J27" s="158">
        <f>SUMIF('内訳ﾘｽﾄ(4～3月)'!$D$26:$D$971,$B27,'内訳ﾘｽﾄ(4～3月)'!M$26:M$971)</f>
        <v>0</v>
      </c>
      <c r="K27" s="158">
        <f>SUMIF('内訳ﾘｽﾄ(4～3月)'!$D$26:$D$971,$B27,'内訳ﾘｽﾄ(4～3月)'!N$26:N$971)</f>
        <v>0</v>
      </c>
      <c r="L27" s="158">
        <f>SUMIF('内訳ﾘｽﾄ(4～3月)'!$D$26:$D$971,$B27,'内訳ﾘｽﾄ(4～3月)'!O$26:O$971)</f>
        <v>0</v>
      </c>
      <c r="M27" s="158">
        <f>SUMIF('内訳ﾘｽﾄ(4～3月)'!$D$26:$D$971,$B27,'内訳ﾘｽﾄ(4～3月)'!P$26:P$971)</f>
        <v>0</v>
      </c>
      <c r="N27" s="158">
        <f>SUMIF('内訳ﾘｽﾄ(4～3月)'!$D$26:$D$971,$B27,'内訳ﾘｽﾄ(4～3月)'!Q$26:Q$971)</f>
        <v>0</v>
      </c>
      <c r="O27" s="158">
        <f>SUMIF('内訳ﾘｽﾄ(4～3月)'!$D$26:$D$770,'採算表(VND)'!$B27,'内訳ﾘｽﾄ(4～3月)'!R$26:R$770)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SUMIF('内訳ﾘｽﾄ(4～3月)'!$D$26:$D$971,$B28,'内訳ﾘｽﾄ(4～3月)'!F$26:F$971)</f>
        <v>0</v>
      </c>
      <c r="D28" s="158">
        <f>SUMIF('内訳ﾘｽﾄ(4～3月)'!$D$26:$D$971,$B28,'内訳ﾘｽﾄ(4～3月)'!G$26:G$971)</f>
        <v>0</v>
      </c>
      <c r="E28" s="158">
        <f>SUMIF('内訳ﾘｽﾄ(4～3月)'!$D$26:$D$971,$B28,'内訳ﾘｽﾄ(4～3月)'!H$26:H$971)</f>
        <v>0</v>
      </c>
      <c r="F28" s="158">
        <f>SUMIF('内訳ﾘｽﾄ(4～3月)'!$D$26:$D$971,$B28,'内訳ﾘｽﾄ(4～3月)'!I$26:I$971)</f>
        <v>0</v>
      </c>
      <c r="G28" s="158">
        <f>SUMIF('内訳ﾘｽﾄ(4～3月)'!$D$26:$D$971,$B28,'内訳ﾘｽﾄ(4～3月)'!J$26:J$971)</f>
        <v>0</v>
      </c>
      <c r="H28" s="158">
        <f>SUMIF('内訳ﾘｽﾄ(4～3月)'!$D$26:$D$971,$B28,'内訳ﾘｽﾄ(4～3月)'!K$26:K$971)</f>
        <v>0</v>
      </c>
      <c r="I28" s="158">
        <f>SUMIF('内訳ﾘｽﾄ(4～3月)'!$D$26:$D$971,$B28,'内訳ﾘｽﾄ(4～3月)'!L$26:L$971)</f>
        <v>0</v>
      </c>
      <c r="J28" s="158">
        <f>SUMIF('内訳ﾘｽﾄ(4～3月)'!$D$26:$D$971,$B28,'内訳ﾘｽﾄ(4～3月)'!M$26:M$971)</f>
        <v>0</v>
      </c>
      <c r="K28" s="158">
        <f>SUMIF('内訳ﾘｽﾄ(4～3月)'!$D$26:$D$971,$B28,'内訳ﾘｽﾄ(4～3月)'!N$26:N$971)</f>
        <v>0</v>
      </c>
      <c r="L28" s="158">
        <f>SUMIF('内訳ﾘｽﾄ(4～3月)'!$D$26:$D$971,$B28,'内訳ﾘｽﾄ(4～3月)'!O$26:O$971)</f>
        <v>0</v>
      </c>
      <c r="M28" s="158">
        <f>SUMIF('内訳ﾘｽﾄ(4～3月)'!$D$26:$D$971,$B28,'内訳ﾘｽﾄ(4～3月)'!P$26:P$971)</f>
        <v>0</v>
      </c>
      <c r="N28" s="158">
        <f>SUMIF('内訳ﾘｽﾄ(4～3月)'!$D$26:$D$971,$B28,'内訳ﾘｽﾄ(4～3月)'!Q$26:Q$971)</f>
        <v>0</v>
      </c>
      <c r="O28" s="158">
        <f>SUMIF('内訳ﾘｽﾄ(4～3月)'!$D$26:$D$770,'採算表(VND)'!$B28,'内訳ﾘｽﾄ(4～3月)'!R$26:R$770)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SUMIF('内訳ﾘｽﾄ(4～3月)'!$D$26:$D$971,$B29,'内訳ﾘｽﾄ(4～3月)'!F$26:F$971)</f>
        <v>0</v>
      </c>
      <c r="D29" s="158">
        <f>SUMIF('内訳ﾘｽﾄ(4～3月)'!$D$26:$D$971,$B29,'内訳ﾘｽﾄ(4～3月)'!G$26:G$971)</f>
        <v>0</v>
      </c>
      <c r="E29" s="158">
        <f>SUMIF('内訳ﾘｽﾄ(4～3月)'!$D$26:$D$971,$B29,'内訳ﾘｽﾄ(4～3月)'!H$26:H$971)</f>
        <v>0</v>
      </c>
      <c r="F29" s="158">
        <f>SUMIF('内訳ﾘｽﾄ(4～3月)'!$D$26:$D$971,$B29,'内訳ﾘｽﾄ(4～3月)'!I$26:I$971)</f>
        <v>0</v>
      </c>
      <c r="G29" s="158">
        <f>SUMIF('内訳ﾘｽﾄ(4～3月)'!$D$26:$D$971,$B29,'内訳ﾘｽﾄ(4～3月)'!J$26:J$971)</f>
        <v>0</v>
      </c>
      <c r="H29" s="158">
        <f>SUMIF('内訳ﾘｽﾄ(4～3月)'!$D$26:$D$971,$B29,'内訳ﾘｽﾄ(4～3月)'!K$26:K$971)</f>
        <v>0</v>
      </c>
      <c r="I29" s="158">
        <f>SUMIF('内訳ﾘｽﾄ(4～3月)'!$D$26:$D$971,$B29,'内訳ﾘｽﾄ(4～3月)'!L$26:L$971)</f>
        <v>0</v>
      </c>
      <c r="J29" s="158">
        <f>SUMIF('内訳ﾘｽﾄ(4～3月)'!$D$26:$D$971,$B29,'内訳ﾘｽﾄ(4～3月)'!M$26:M$971)</f>
        <v>0</v>
      </c>
      <c r="K29" s="158">
        <f>SUMIF('内訳ﾘｽﾄ(4～3月)'!$D$26:$D$971,$B29,'内訳ﾘｽﾄ(4～3月)'!N$26:N$971)</f>
        <v>0</v>
      </c>
      <c r="L29" s="158">
        <f>SUMIF('内訳ﾘｽﾄ(4～3月)'!$D$26:$D$971,$B29,'内訳ﾘｽﾄ(4～3月)'!O$26:O$971)</f>
        <v>0</v>
      </c>
      <c r="M29" s="158">
        <f>SUMIF('内訳ﾘｽﾄ(4～3月)'!$D$26:$D$971,$B29,'内訳ﾘｽﾄ(4～3月)'!P$26:P$971)</f>
        <v>0</v>
      </c>
      <c r="N29" s="158">
        <f>SUMIF('内訳ﾘｽﾄ(4～3月)'!$D$26:$D$971,$B29,'内訳ﾘｽﾄ(4～3月)'!Q$26:Q$971)</f>
        <v>0</v>
      </c>
      <c r="O29" s="158">
        <f>SUMIF('内訳ﾘｽﾄ(4～3月)'!$D$26:$D$770,'採算表(VND)'!$B29,'内訳ﾘｽﾄ(4～3月)'!R$26:R$770)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SUMIF('内訳ﾘｽﾄ(4～3月)'!$D$26:$D$971,$B30,'内訳ﾘｽﾄ(4～3月)'!F$26:F$971)</f>
        <v>1558439</v>
      </c>
      <c r="D30" s="158">
        <f>SUMIF('内訳ﾘｽﾄ(4～3月)'!$D$26:$D$971,$B30,'内訳ﾘｽﾄ(4～3月)'!G$26:G$971)</f>
        <v>1598080</v>
      </c>
      <c r="E30" s="158">
        <f>SUMIF('内訳ﾘｽﾄ(4～3月)'!$D$26:$D$971,$B30,'内訳ﾘｽﾄ(4～3月)'!H$26:H$971)</f>
        <v>1955609</v>
      </c>
      <c r="F30" s="158">
        <f>SUMIF('内訳ﾘｽﾄ(4～3月)'!$D$26:$D$971,$B30,'内訳ﾘｽﾄ(4～3月)'!I$26:I$971)</f>
        <v>2174207</v>
      </c>
      <c r="G30" s="158">
        <f>SUMIF('内訳ﾘｽﾄ(4～3月)'!$D$26:$D$971,$B30,'内訳ﾘｽﾄ(4～3月)'!J$26:J$971)</f>
        <v>2170762</v>
      </c>
      <c r="H30" s="158">
        <f>SUMIF('内訳ﾘｽﾄ(4～3月)'!$D$26:$D$971,$B30,'内訳ﾘｽﾄ(4～3月)'!K$26:K$971)</f>
        <v>1971802</v>
      </c>
      <c r="I30" s="158">
        <f>SUMIF('内訳ﾘｽﾄ(4～3月)'!$D$26:$D$971,$B30,'内訳ﾘｽﾄ(4～3月)'!L$26:L$971)</f>
        <v>1946795</v>
      </c>
      <c r="J30" s="158">
        <f>SUMIF('内訳ﾘｽﾄ(4～3月)'!$D$26:$D$971,$B30,'内訳ﾘｽﾄ(4～3月)'!M$26:M$971)</f>
        <v>1829992</v>
      </c>
      <c r="K30" s="158">
        <f>SUMIF('内訳ﾘｽﾄ(4～3月)'!$D$26:$D$971,$B30,'内訳ﾘｽﾄ(4～3月)'!N$26:N$971)</f>
        <v>1791098</v>
      </c>
      <c r="L30" s="158">
        <f>SUMIF('内訳ﾘｽﾄ(4～3月)'!$D$26:$D$971,$B30,'内訳ﾘｽﾄ(4～3月)'!O$26:O$971)</f>
        <v>1560523</v>
      </c>
      <c r="M30" s="158">
        <f>SUMIF('内訳ﾘｽﾄ(4～3月)'!$D$26:$D$971,$B30,'内訳ﾘｽﾄ(4～3月)'!P$26:P$971)</f>
        <v>1461382</v>
      </c>
      <c r="N30" s="158">
        <f>SUMIF('内訳ﾘｽﾄ(4～3月)'!$D$26:$D$971,$B30,'内訳ﾘｽﾄ(4～3月)'!Q$26:Q$971)</f>
        <v>1293083</v>
      </c>
      <c r="O30" s="158">
        <f>SUMIF('内訳ﾘｽﾄ(4～3月)'!$D$26:$D$770,'採算表(VND)'!$B30,'内訳ﾘｽﾄ(4～3月)'!R$26:R$770)</f>
        <v>21311772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SUMIF('内訳ﾘｽﾄ(4～3月)'!$D$26:$D$971,$B31,'内訳ﾘｽﾄ(4～3月)'!F$26:F$971)</f>
        <v>0</v>
      </c>
      <c r="D31" s="158">
        <f>SUMIF('内訳ﾘｽﾄ(4～3月)'!$D$26:$D$971,$B31,'内訳ﾘｽﾄ(4～3月)'!G$26:G$971)</f>
        <v>0</v>
      </c>
      <c r="E31" s="158">
        <f>SUMIF('内訳ﾘｽﾄ(4～3月)'!$D$26:$D$971,$B31,'内訳ﾘｽﾄ(4～3月)'!H$26:H$971)</f>
        <v>0</v>
      </c>
      <c r="F31" s="158">
        <f>SUMIF('内訳ﾘｽﾄ(4～3月)'!$D$26:$D$971,$B31,'内訳ﾘｽﾄ(4～3月)'!I$26:I$971)</f>
        <v>0</v>
      </c>
      <c r="G31" s="158">
        <f>SUMIF('内訳ﾘｽﾄ(4～3月)'!$D$26:$D$971,$B31,'内訳ﾘｽﾄ(4～3月)'!J$26:J$971)</f>
        <v>0</v>
      </c>
      <c r="H31" s="158">
        <f>SUMIF('内訳ﾘｽﾄ(4～3月)'!$D$26:$D$971,$B31,'内訳ﾘｽﾄ(4～3月)'!K$26:K$971)</f>
        <v>0</v>
      </c>
      <c r="I31" s="158">
        <f>SUMIF('内訳ﾘｽﾄ(4～3月)'!$D$26:$D$971,$B31,'内訳ﾘｽﾄ(4～3月)'!L$26:L$971)</f>
        <v>0</v>
      </c>
      <c r="J31" s="158">
        <f>SUMIF('内訳ﾘｽﾄ(4～3月)'!$D$26:$D$971,$B31,'内訳ﾘｽﾄ(4～3月)'!M$26:M$971)</f>
        <v>0</v>
      </c>
      <c r="K31" s="158">
        <f>SUMIF('内訳ﾘｽﾄ(4～3月)'!$D$26:$D$971,$B31,'内訳ﾘｽﾄ(4～3月)'!N$26:N$971)</f>
        <v>0</v>
      </c>
      <c r="L31" s="158">
        <f>SUMIF('内訳ﾘｽﾄ(4～3月)'!$D$26:$D$971,$B31,'内訳ﾘｽﾄ(4～3月)'!O$26:O$971)</f>
        <v>0</v>
      </c>
      <c r="M31" s="158">
        <f>SUMIF('内訳ﾘｽﾄ(4～3月)'!$D$26:$D$971,$B31,'内訳ﾘｽﾄ(4～3月)'!P$26:P$971)</f>
        <v>0</v>
      </c>
      <c r="N31" s="158">
        <f>SUMIF('内訳ﾘｽﾄ(4～3月)'!$D$26:$D$971,$B31,'内訳ﾘｽﾄ(4～3月)'!Q$26:Q$971)</f>
        <v>0</v>
      </c>
      <c r="O31" s="158">
        <f>SUMIF('内訳ﾘｽﾄ(4～3月)'!$D$26:$D$770,'採算表(VND)'!$B31,'内訳ﾘｽﾄ(4～3月)'!R$26:R$770)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SUMIF('内訳ﾘｽﾄ(4～3月)'!$D$26:$D$971,$B32,'内訳ﾘｽﾄ(4～3月)'!F$26:F$971)</f>
        <v>0</v>
      </c>
      <c r="D32" s="158">
        <f>SUMIF('内訳ﾘｽﾄ(4～3月)'!$D$26:$D$971,$B32,'内訳ﾘｽﾄ(4～3月)'!G$26:G$971)</f>
        <v>0</v>
      </c>
      <c r="E32" s="158">
        <f>SUMIF('内訳ﾘｽﾄ(4～3月)'!$D$26:$D$971,$B32,'内訳ﾘｽﾄ(4～3月)'!H$26:H$971)</f>
        <v>0</v>
      </c>
      <c r="F32" s="158">
        <f>SUMIF('内訳ﾘｽﾄ(4～3月)'!$D$26:$D$971,$B32,'内訳ﾘｽﾄ(4～3月)'!I$26:I$971)</f>
        <v>0</v>
      </c>
      <c r="G32" s="158">
        <f>SUMIF('内訳ﾘｽﾄ(4～3月)'!$D$26:$D$971,$B32,'内訳ﾘｽﾄ(4～3月)'!J$26:J$971)</f>
        <v>0</v>
      </c>
      <c r="H32" s="158">
        <f>SUMIF('内訳ﾘｽﾄ(4～3月)'!$D$26:$D$971,$B32,'内訳ﾘｽﾄ(4～3月)'!K$26:K$971)</f>
        <v>0</v>
      </c>
      <c r="I32" s="158">
        <f>SUMIF('内訳ﾘｽﾄ(4～3月)'!$D$26:$D$971,$B32,'内訳ﾘｽﾄ(4～3月)'!L$26:L$971)</f>
        <v>0</v>
      </c>
      <c r="J32" s="158">
        <f>SUMIF('内訳ﾘｽﾄ(4～3月)'!$D$26:$D$971,$B32,'内訳ﾘｽﾄ(4～3月)'!M$26:M$971)</f>
        <v>0</v>
      </c>
      <c r="K32" s="158">
        <f>SUMIF('内訳ﾘｽﾄ(4～3月)'!$D$26:$D$971,$B32,'内訳ﾘｽﾄ(4～3月)'!N$26:N$971)</f>
        <v>0</v>
      </c>
      <c r="L32" s="158">
        <f>SUMIF('内訳ﾘｽﾄ(4～3月)'!$D$26:$D$971,$B32,'内訳ﾘｽﾄ(4～3月)'!O$26:O$971)</f>
        <v>0</v>
      </c>
      <c r="M32" s="158">
        <f>SUMIF('内訳ﾘｽﾄ(4～3月)'!$D$26:$D$971,$B32,'内訳ﾘｽﾄ(4～3月)'!P$26:P$971)</f>
        <v>0</v>
      </c>
      <c r="N32" s="158">
        <f>SUMIF('内訳ﾘｽﾄ(4～3月)'!$D$26:$D$971,$B32,'内訳ﾘｽﾄ(4～3月)'!Q$26:Q$971)</f>
        <v>0</v>
      </c>
      <c r="O32" s="158">
        <f>SUMIF('内訳ﾘｽﾄ(4～3月)'!$D$26:$D$770,'採算表(VND)'!$B32,'内訳ﾘｽﾄ(4～3月)'!R$26:R$770)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SUMIF('内訳ﾘｽﾄ(4～3月)'!$D$26:$D$971,$B33,'内訳ﾘｽﾄ(4～3月)'!F$26:F$971)</f>
        <v>0</v>
      </c>
      <c r="D33" s="158">
        <f>SUMIF('内訳ﾘｽﾄ(4～3月)'!$D$26:$D$971,$B33,'内訳ﾘｽﾄ(4～3月)'!G$26:G$971)</f>
        <v>0</v>
      </c>
      <c r="E33" s="158">
        <f>SUMIF('内訳ﾘｽﾄ(4～3月)'!$D$26:$D$971,$B33,'内訳ﾘｽﾄ(4～3月)'!H$26:H$971)</f>
        <v>0</v>
      </c>
      <c r="F33" s="158">
        <f>SUMIF('内訳ﾘｽﾄ(4～3月)'!$D$26:$D$971,$B33,'内訳ﾘｽﾄ(4～3月)'!I$26:I$971)</f>
        <v>0</v>
      </c>
      <c r="G33" s="158">
        <f>SUMIF('内訳ﾘｽﾄ(4～3月)'!$D$26:$D$971,$B33,'内訳ﾘｽﾄ(4～3月)'!J$26:J$971)</f>
        <v>0</v>
      </c>
      <c r="H33" s="158">
        <f>SUMIF('内訳ﾘｽﾄ(4～3月)'!$D$26:$D$971,$B33,'内訳ﾘｽﾄ(4～3月)'!K$26:K$971)</f>
        <v>0</v>
      </c>
      <c r="I33" s="158">
        <f>SUMIF('内訳ﾘｽﾄ(4～3月)'!$D$26:$D$971,$B33,'内訳ﾘｽﾄ(4～3月)'!L$26:L$971)</f>
        <v>0</v>
      </c>
      <c r="J33" s="158">
        <f>SUMIF('内訳ﾘｽﾄ(4～3月)'!$D$26:$D$971,$B33,'内訳ﾘｽﾄ(4～3月)'!M$26:M$971)</f>
        <v>0</v>
      </c>
      <c r="K33" s="158">
        <f>SUMIF('内訳ﾘｽﾄ(4～3月)'!$D$26:$D$971,$B33,'内訳ﾘｽﾄ(4～3月)'!N$26:N$971)</f>
        <v>0</v>
      </c>
      <c r="L33" s="158">
        <f>SUMIF('内訳ﾘｽﾄ(4～3月)'!$D$26:$D$971,$B33,'内訳ﾘｽﾄ(4～3月)'!O$26:O$971)</f>
        <v>0</v>
      </c>
      <c r="M33" s="158">
        <f>SUMIF('内訳ﾘｽﾄ(4～3月)'!$D$26:$D$971,$B33,'内訳ﾘｽﾄ(4～3月)'!P$26:P$971)</f>
        <v>0</v>
      </c>
      <c r="N33" s="158">
        <f>SUMIF('内訳ﾘｽﾄ(4～3月)'!$D$26:$D$971,$B33,'内訳ﾘｽﾄ(4～3月)'!Q$26:Q$971)</f>
        <v>0</v>
      </c>
      <c r="O33" s="158">
        <f>SUMIF('内訳ﾘｽﾄ(4～3月)'!$D$26:$D$770,'採算表(VND)'!$B33,'内訳ﾘｽﾄ(4～3月)'!R$26:R$770)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SUMIF('内訳ﾘｽﾄ(4～3月)'!$D$26:$D$971,$B34,'内訳ﾘｽﾄ(4～3月)'!F$26:F$971)</f>
        <v>0</v>
      </c>
      <c r="D34" s="158">
        <f>SUMIF('内訳ﾘｽﾄ(4～3月)'!$D$26:$D$971,$B34,'内訳ﾘｽﾄ(4～3月)'!G$26:G$971)</f>
        <v>0</v>
      </c>
      <c r="E34" s="158">
        <f>SUMIF('内訳ﾘｽﾄ(4～3月)'!$D$26:$D$971,$B34,'内訳ﾘｽﾄ(4～3月)'!H$26:H$971)</f>
        <v>0</v>
      </c>
      <c r="F34" s="158">
        <f>SUMIF('内訳ﾘｽﾄ(4～3月)'!$D$26:$D$971,$B34,'内訳ﾘｽﾄ(4～3月)'!I$26:I$971)</f>
        <v>0</v>
      </c>
      <c r="G34" s="158">
        <f>SUMIF('内訳ﾘｽﾄ(4～3月)'!$D$26:$D$971,$B34,'内訳ﾘｽﾄ(4～3月)'!J$26:J$971)</f>
        <v>0</v>
      </c>
      <c r="H34" s="158">
        <f>SUMIF('内訳ﾘｽﾄ(4～3月)'!$D$26:$D$971,$B34,'内訳ﾘｽﾄ(4～3月)'!K$26:K$971)</f>
        <v>0</v>
      </c>
      <c r="I34" s="158">
        <f>SUMIF('内訳ﾘｽﾄ(4～3月)'!$D$26:$D$971,$B34,'内訳ﾘｽﾄ(4～3月)'!L$26:L$971)</f>
        <v>0</v>
      </c>
      <c r="J34" s="158">
        <f>SUMIF('内訳ﾘｽﾄ(4～3月)'!$D$26:$D$971,$B34,'内訳ﾘｽﾄ(4～3月)'!M$26:M$971)</f>
        <v>0</v>
      </c>
      <c r="K34" s="158">
        <f>SUMIF('内訳ﾘｽﾄ(4～3月)'!$D$26:$D$971,$B34,'内訳ﾘｽﾄ(4～3月)'!N$26:N$971)</f>
        <v>0</v>
      </c>
      <c r="L34" s="158">
        <f>SUMIF('内訳ﾘｽﾄ(4～3月)'!$D$26:$D$971,$B34,'内訳ﾘｽﾄ(4～3月)'!O$26:O$971)</f>
        <v>0</v>
      </c>
      <c r="M34" s="158">
        <f>SUMIF('内訳ﾘｽﾄ(4～3月)'!$D$26:$D$971,$B34,'内訳ﾘｽﾄ(4～3月)'!P$26:P$971)</f>
        <v>0</v>
      </c>
      <c r="N34" s="158">
        <f>SUMIF('内訳ﾘｽﾄ(4～3月)'!$D$26:$D$971,$B34,'内訳ﾘｽﾄ(4～3月)'!Q$26:Q$971)</f>
        <v>0</v>
      </c>
      <c r="O34" s="158">
        <f>SUMIF('内訳ﾘｽﾄ(4～3月)'!$D$26:$D$770,'採算表(VND)'!$B34,'内訳ﾘｽﾄ(4～3月)'!R$26:R$770)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SUMIF('内訳ﾘｽﾄ(4～3月)'!$D$26:$D$971,$B35,'内訳ﾘｽﾄ(4～3月)'!F$26:F$971)</f>
        <v>0</v>
      </c>
      <c r="D35" s="158">
        <f>SUMIF('内訳ﾘｽﾄ(4～3月)'!$D$26:$D$971,$B35,'内訳ﾘｽﾄ(4～3月)'!G$26:G$971)</f>
        <v>0</v>
      </c>
      <c r="E35" s="158">
        <f>SUMIF('内訳ﾘｽﾄ(4～3月)'!$D$26:$D$971,$B35,'内訳ﾘｽﾄ(4～3月)'!H$26:H$971)</f>
        <v>0</v>
      </c>
      <c r="F35" s="158">
        <f>SUMIF('内訳ﾘｽﾄ(4～3月)'!$D$26:$D$971,$B35,'内訳ﾘｽﾄ(4～3月)'!I$26:I$971)</f>
        <v>0</v>
      </c>
      <c r="G35" s="158">
        <f>SUMIF('内訳ﾘｽﾄ(4～3月)'!$D$26:$D$971,$B35,'内訳ﾘｽﾄ(4～3月)'!J$26:J$971)</f>
        <v>0</v>
      </c>
      <c r="H35" s="158">
        <f>SUMIF('内訳ﾘｽﾄ(4～3月)'!$D$26:$D$971,$B35,'内訳ﾘｽﾄ(4～3月)'!K$26:K$971)</f>
        <v>0</v>
      </c>
      <c r="I35" s="158">
        <f>SUMIF('内訳ﾘｽﾄ(4～3月)'!$D$26:$D$971,$B35,'内訳ﾘｽﾄ(4～3月)'!L$26:L$971)</f>
        <v>0</v>
      </c>
      <c r="J35" s="158">
        <f>SUMIF('内訳ﾘｽﾄ(4～3月)'!$D$26:$D$971,$B35,'内訳ﾘｽﾄ(4～3月)'!M$26:M$971)</f>
        <v>0</v>
      </c>
      <c r="K35" s="158">
        <f>SUMIF('内訳ﾘｽﾄ(4～3月)'!$D$26:$D$971,$B35,'内訳ﾘｽﾄ(4～3月)'!N$26:N$971)</f>
        <v>0</v>
      </c>
      <c r="L35" s="158">
        <f>SUMIF('内訳ﾘｽﾄ(4～3月)'!$D$26:$D$971,$B35,'内訳ﾘｽﾄ(4～3月)'!O$26:O$971)</f>
        <v>0</v>
      </c>
      <c r="M35" s="158">
        <f>SUMIF('内訳ﾘｽﾄ(4～3月)'!$D$26:$D$971,$B35,'内訳ﾘｽﾄ(4～3月)'!P$26:P$971)</f>
        <v>0</v>
      </c>
      <c r="N35" s="158">
        <f>SUMIF('内訳ﾘｽﾄ(4～3月)'!$D$26:$D$971,$B35,'内訳ﾘｽﾄ(4～3月)'!Q$26:Q$971)</f>
        <v>0</v>
      </c>
      <c r="O35" s="158">
        <f>SUMIF('内訳ﾘｽﾄ(4～3月)'!$D$26:$D$770,'採算表(VND)'!$B35,'内訳ﾘｽﾄ(4～3月)'!R$26:R$770)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SUMIF('内訳ﾘｽﾄ(4～3月)'!$D$26:$D$971,$B36,'内訳ﾘｽﾄ(4～3月)'!F$26:F$971)</f>
        <v>0</v>
      </c>
      <c r="D36" s="158">
        <f>SUMIF('内訳ﾘｽﾄ(4～3月)'!$D$26:$D$971,$B36,'内訳ﾘｽﾄ(4～3月)'!G$26:G$971)</f>
        <v>0</v>
      </c>
      <c r="E36" s="158">
        <f>SUMIF('内訳ﾘｽﾄ(4～3月)'!$D$26:$D$971,$B36,'内訳ﾘｽﾄ(4～3月)'!H$26:H$971)</f>
        <v>0</v>
      </c>
      <c r="F36" s="158">
        <f>SUMIF('内訳ﾘｽﾄ(4～3月)'!$D$26:$D$971,$B36,'内訳ﾘｽﾄ(4～3月)'!I$26:I$971)</f>
        <v>0</v>
      </c>
      <c r="G36" s="158">
        <f>SUMIF('内訳ﾘｽﾄ(4～3月)'!$D$26:$D$971,$B36,'内訳ﾘｽﾄ(4～3月)'!J$26:J$971)</f>
        <v>0</v>
      </c>
      <c r="H36" s="158">
        <f>SUMIF('内訳ﾘｽﾄ(4～3月)'!$D$26:$D$971,$B36,'内訳ﾘｽﾄ(4～3月)'!K$26:K$971)</f>
        <v>0</v>
      </c>
      <c r="I36" s="158">
        <f>SUMIF('内訳ﾘｽﾄ(4～3月)'!$D$26:$D$971,$B36,'内訳ﾘｽﾄ(4～3月)'!L$26:L$971)</f>
        <v>0</v>
      </c>
      <c r="J36" s="158">
        <f>SUMIF('内訳ﾘｽﾄ(4～3月)'!$D$26:$D$971,$B36,'内訳ﾘｽﾄ(4～3月)'!M$26:M$971)</f>
        <v>0</v>
      </c>
      <c r="K36" s="158">
        <f>SUMIF('内訳ﾘｽﾄ(4～3月)'!$D$26:$D$971,$B36,'内訳ﾘｽﾄ(4～3月)'!N$26:N$971)</f>
        <v>0</v>
      </c>
      <c r="L36" s="158">
        <f>SUMIF('内訳ﾘｽﾄ(4～3月)'!$D$26:$D$971,$B36,'内訳ﾘｽﾄ(4～3月)'!O$26:O$971)</f>
        <v>0</v>
      </c>
      <c r="M36" s="158">
        <f>SUMIF('内訳ﾘｽﾄ(4～3月)'!$D$26:$D$971,$B36,'内訳ﾘｽﾄ(4～3月)'!P$26:P$971)</f>
        <v>0</v>
      </c>
      <c r="N36" s="158">
        <f>SUMIF('内訳ﾘｽﾄ(4～3月)'!$D$26:$D$971,$B36,'内訳ﾘｽﾄ(4～3月)'!Q$26:Q$971)</f>
        <v>0</v>
      </c>
      <c r="O36" s="158">
        <f>SUMIF('内訳ﾘｽﾄ(4～3月)'!$D$26:$D$770,'採算表(VND)'!$B36,'内訳ﾘｽﾄ(4～3月)'!R$26:R$770)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SUMIF('内訳ﾘｽﾄ(4～3月)'!$D$26:$D$971,$B37,'内訳ﾘｽﾄ(4～3月)'!F$26:F$971)</f>
        <v>0</v>
      </c>
      <c r="D37" s="158">
        <f>SUMIF('内訳ﾘｽﾄ(4～3月)'!$D$26:$D$971,$B37,'内訳ﾘｽﾄ(4～3月)'!G$26:G$971)</f>
        <v>0</v>
      </c>
      <c r="E37" s="158">
        <f>SUMIF('内訳ﾘｽﾄ(4～3月)'!$D$26:$D$971,$B37,'内訳ﾘｽﾄ(4～3月)'!H$26:H$971)</f>
        <v>0</v>
      </c>
      <c r="F37" s="158">
        <f>SUMIF('内訳ﾘｽﾄ(4～3月)'!$D$26:$D$971,$B37,'内訳ﾘｽﾄ(4～3月)'!I$26:I$971)</f>
        <v>0</v>
      </c>
      <c r="G37" s="158">
        <f>SUMIF('内訳ﾘｽﾄ(4～3月)'!$D$26:$D$971,$B37,'内訳ﾘｽﾄ(4～3月)'!J$26:J$971)</f>
        <v>0</v>
      </c>
      <c r="H37" s="158">
        <f>SUMIF('内訳ﾘｽﾄ(4～3月)'!$D$26:$D$971,$B37,'内訳ﾘｽﾄ(4～3月)'!K$26:K$971)</f>
        <v>0</v>
      </c>
      <c r="I37" s="158">
        <f>SUMIF('内訳ﾘｽﾄ(4～3月)'!$D$26:$D$971,$B37,'内訳ﾘｽﾄ(4～3月)'!L$26:L$971)</f>
        <v>0</v>
      </c>
      <c r="J37" s="158">
        <f>SUMIF('内訳ﾘｽﾄ(4～3月)'!$D$26:$D$971,$B37,'内訳ﾘｽﾄ(4～3月)'!M$26:M$971)</f>
        <v>0</v>
      </c>
      <c r="K37" s="158">
        <f>SUMIF('内訳ﾘｽﾄ(4～3月)'!$D$26:$D$971,$B37,'内訳ﾘｽﾄ(4～3月)'!N$26:N$971)</f>
        <v>0</v>
      </c>
      <c r="L37" s="158">
        <f>SUMIF('内訳ﾘｽﾄ(4～3月)'!$D$26:$D$971,$B37,'内訳ﾘｽﾄ(4～3月)'!O$26:O$971)</f>
        <v>0</v>
      </c>
      <c r="M37" s="158">
        <f>SUMIF('内訳ﾘｽﾄ(4～3月)'!$D$26:$D$971,$B37,'内訳ﾘｽﾄ(4～3月)'!P$26:P$971)</f>
        <v>0</v>
      </c>
      <c r="N37" s="158">
        <f>SUMIF('内訳ﾘｽﾄ(4～3月)'!$D$26:$D$971,$B37,'内訳ﾘｽﾄ(4～3月)'!Q$26:Q$971)</f>
        <v>0</v>
      </c>
      <c r="O37" s="158">
        <f>SUMIF('内訳ﾘｽﾄ(4～3月)'!$D$26:$D$770,'採算表(VND)'!$B37,'内訳ﾘｽﾄ(4～3月)'!R$26:R$770)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SUMIF('内訳ﾘｽﾄ(4～3月)'!$D$26:$D$971,$B38,'内訳ﾘｽﾄ(4～3月)'!F$26:F$971)</f>
        <v>0</v>
      </c>
      <c r="D38" s="158">
        <f>SUMIF('内訳ﾘｽﾄ(4～3月)'!$D$26:$D$971,$B38,'内訳ﾘｽﾄ(4～3月)'!G$26:G$971)</f>
        <v>0</v>
      </c>
      <c r="E38" s="158">
        <f>SUMIF('内訳ﾘｽﾄ(4～3月)'!$D$26:$D$971,$B38,'内訳ﾘｽﾄ(4～3月)'!H$26:H$971)</f>
        <v>0</v>
      </c>
      <c r="F38" s="158">
        <f>SUMIF('内訳ﾘｽﾄ(4～3月)'!$D$26:$D$971,$B38,'内訳ﾘｽﾄ(4～3月)'!I$26:I$971)</f>
        <v>0</v>
      </c>
      <c r="G38" s="158">
        <f>SUMIF('内訳ﾘｽﾄ(4～3月)'!$D$26:$D$971,$B38,'内訳ﾘｽﾄ(4～3月)'!J$26:J$971)</f>
        <v>0</v>
      </c>
      <c r="H38" s="158">
        <f>SUMIF('内訳ﾘｽﾄ(4～3月)'!$D$26:$D$971,$B38,'内訳ﾘｽﾄ(4～3月)'!K$26:K$971)</f>
        <v>0</v>
      </c>
      <c r="I38" s="158">
        <f>SUMIF('内訳ﾘｽﾄ(4～3月)'!$D$26:$D$971,$B38,'内訳ﾘｽﾄ(4～3月)'!L$26:L$971)</f>
        <v>0</v>
      </c>
      <c r="J38" s="158">
        <f>SUMIF('内訳ﾘｽﾄ(4～3月)'!$D$26:$D$971,$B38,'内訳ﾘｽﾄ(4～3月)'!M$26:M$971)</f>
        <v>0</v>
      </c>
      <c r="K38" s="158">
        <f>SUMIF('内訳ﾘｽﾄ(4～3月)'!$D$26:$D$971,$B38,'内訳ﾘｽﾄ(4～3月)'!N$26:N$971)</f>
        <v>0</v>
      </c>
      <c r="L38" s="158">
        <f>SUMIF('内訳ﾘｽﾄ(4～3月)'!$D$26:$D$971,$B38,'内訳ﾘｽﾄ(4～3月)'!O$26:O$971)</f>
        <v>0</v>
      </c>
      <c r="M38" s="158">
        <f>SUMIF('内訳ﾘｽﾄ(4～3月)'!$D$26:$D$971,$B38,'内訳ﾘｽﾄ(4～3月)'!P$26:P$971)</f>
        <v>0</v>
      </c>
      <c r="N38" s="158">
        <f>SUMIF('内訳ﾘｽﾄ(4～3月)'!$D$26:$D$971,$B38,'内訳ﾘｽﾄ(4～3月)'!Q$26:Q$971)</f>
        <v>0</v>
      </c>
      <c r="O38" s="158">
        <f>SUMIF('内訳ﾘｽﾄ(4～3月)'!$D$26:$D$770,'採算表(VND)'!$B38,'内訳ﾘｽﾄ(4～3月)'!R$26:R$770)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SUMIF('内訳ﾘｽﾄ(4～3月)'!$D$26:$D$971,$B39,'内訳ﾘｽﾄ(4～3月)'!F$26:F$971)</f>
        <v>337482</v>
      </c>
      <c r="D39" s="158">
        <f>SUMIF('内訳ﾘｽﾄ(4～3月)'!$D$26:$D$971,$B39,'内訳ﾘｽﾄ(4～3月)'!G$26:G$971)</f>
        <v>338772</v>
      </c>
      <c r="E39" s="158">
        <f>SUMIF('内訳ﾘｽﾄ(4～3月)'!$D$26:$D$971,$B39,'内訳ﾘｽﾄ(4～3月)'!H$26:H$971)</f>
        <v>349206</v>
      </c>
      <c r="F39" s="158">
        <f>SUMIF('内訳ﾘｽﾄ(4～3月)'!$D$26:$D$971,$B39,'内訳ﾘｽﾄ(4～3月)'!I$26:I$971)</f>
        <v>319836</v>
      </c>
      <c r="G39" s="158">
        <f>SUMIF('内訳ﾘｽﾄ(4～3月)'!$D$26:$D$971,$B39,'内訳ﾘｽﾄ(4～3月)'!J$26:J$971)</f>
        <v>311346</v>
      </c>
      <c r="H39" s="158">
        <f>SUMIF('内訳ﾘｽﾄ(4～3月)'!$D$26:$D$971,$B39,'内訳ﾘｽﾄ(4～3月)'!K$26:K$971)</f>
        <v>297540</v>
      </c>
      <c r="I39" s="158">
        <f>SUMIF('内訳ﾘｽﾄ(4～3月)'!$D$26:$D$971,$B39,'内訳ﾘｽﾄ(4～3月)'!L$26:L$971)</f>
        <v>284592</v>
      </c>
      <c r="J39" s="158">
        <f>SUMIF('内訳ﾘｽﾄ(4～3月)'!$D$26:$D$971,$B39,'内訳ﾘｽﾄ(4～3月)'!M$26:M$971)</f>
        <v>281064</v>
      </c>
      <c r="K39" s="158">
        <f>SUMIF('内訳ﾘｽﾄ(4～3月)'!$D$26:$D$971,$B39,'内訳ﾘｽﾄ(4～3月)'!N$26:N$971)</f>
        <v>281862</v>
      </c>
      <c r="L39" s="158">
        <f>SUMIF('内訳ﾘｽﾄ(4～3月)'!$D$26:$D$971,$B39,'内訳ﾘｽﾄ(4～3月)'!O$26:O$971)</f>
        <v>269808</v>
      </c>
      <c r="M39" s="158">
        <f>SUMIF('内訳ﾘｽﾄ(4～3月)'!$D$26:$D$971,$B39,'内訳ﾘｽﾄ(4～3月)'!P$26:P$971)</f>
        <v>255372</v>
      </c>
      <c r="N39" s="158">
        <f>SUMIF('内訳ﾘｽﾄ(4～3月)'!$D$26:$D$971,$B39,'内訳ﾘｽﾄ(4～3月)'!Q$26:Q$971)</f>
        <v>267240</v>
      </c>
      <c r="O39" s="158">
        <f>SUMIF('内訳ﾘｽﾄ(4～3月)'!$D$26:$D$770,'採算表(VND)'!$B39,'内訳ﾘｽﾄ(4～3月)'!R$26:R$770)</f>
        <v>3594120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SUMIF('内訳ﾘｽﾄ(4～3月)'!$D$26:$D$971,$B40,'内訳ﾘｽﾄ(4～3月)'!F$26:F$971)</f>
        <v>0</v>
      </c>
      <c r="D40" s="158">
        <f>SUMIF('内訳ﾘｽﾄ(4～3月)'!$D$26:$D$971,$B40,'内訳ﾘｽﾄ(4～3月)'!G$26:G$971)</f>
        <v>0</v>
      </c>
      <c r="E40" s="158">
        <f>SUMIF('内訳ﾘｽﾄ(4～3月)'!$D$26:$D$971,$B40,'内訳ﾘｽﾄ(4～3月)'!H$26:H$971)</f>
        <v>0</v>
      </c>
      <c r="F40" s="158">
        <f>SUMIF('内訳ﾘｽﾄ(4～3月)'!$D$26:$D$971,$B40,'内訳ﾘｽﾄ(4～3月)'!I$26:I$971)</f>
        <v>0</v>
      </c>
      <c r="G40" s="158">
        <f>SUMIF('内訳ﾘｽﾄ(4～3月)'!$D$26:$D$971,$B40,'内訳ﾘｽﾄ(4～3月)'!J$26:J$971)</f>
        <v>0</v>
      </c>
      <c r="H40" s="158">
        <f>SUMIF('内訳ﾘｽﾄ(4～3月)'!$D$26:$D$971,$B40,'内訳ﾘｽﾄ(4～3月)'!K$26:K$971)</f>
        <v>0</v>
      </c>
      <c r="I40" s="158">
        <f>SUMIF('内訳ﾘｽﾄ(4～3月)'!$D$26:$D$971,$B40,'内訳ﾘｽﾄ(4～3月)'!L$26:L$971)</f>
        <v>0</v>
      </c>
      <c r="J40" s="158">
        <f>SUMIF('内訳ﾘｽﾄ(4～3月)'!$D$26:$D$971,$B40,'内訳ﾘｽﾄ(4～3月)'!M$26:M$971)</f>
        <v>0</v>
      </c>
      <c r="K40" s="158">
        <f>SUMIF('内訳ﾘｽﾄ(4～3月)'!$D$26:$D$971,$B40,'内訳ﾘｽﾄ(4～3月)'!N$26:N$971)</f>
        <v>0</v>
      </c>
      <c r="L40" s="158">
        <f>SUMIF('内訳ﾘｽﾄ(4～3月)'!$D$26:$D$971,$B40,'内訳ﾘｽﾄ(4～3月)'!O$26:O$971)</f>
        <v>0</v>
      </c>
      <c r="M40" s="158">
        <f>SUMIF('内訳ﾘｽﾄ(4～3月)'!$D$26:$D$971,$B40,'内訳ﾘｽﾄ(4～3月)'!P$26:P$971)</f>
        <v>0</v>
      </c>
      <c r="N40" s="158">
        <f>SUMIF('内訳ﾘｽﾄ(4～3月)'!$D$26:$D$971,$B40,'内訳ﾘｽﾄ(4～3月)'!Q$26:Q$971)</f>
        <v>0</v>
      </c>
      <c r="O40" s="158">
        <f>SUMIF('内訳ﾘｽﾄ(4～3月)'!$D$26:$D$770,'採算表(VND)'!$B40,'内訳ﾘｽﾄ(4～3月)'!R$26:R$770)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SUMIF('内訳ﾘｽﾄ(4～3月)'!$D$26:$D$971,$B41,'内訳ﾘｽﾄ(4～3月)'!F$26:F$971)</f>
        <v>0</v>
      </c>
      <c r="D41" s="158">
        <f>SUMIF('内訳ﾘｽﾄ(4～3月)'!$D$26:$D$971,$B41,'内訳ﾘｽﾄ(4～3月)'!G$26:G$971)</f>
        <v>0</v>
      </c>
      <c r="E41" s="158">
        <f>SUMIF('内訳ﾘｽﾄ(4～3月)'!$D$26:$D$971,$B41,'内訳ﾘｽﾄ(4～3月)'!H$26:H$971)</f>
        <v>0</v>
      </c>
      <c r="F41" s="158">
        <f>SUMIF('内訳ﾘｽﾄ(4～3月)'!$D$26:$D$971,$B41,'内訳ﾘｽﾄ(4～3月)'!I$26:I$971)</f>
        <v>0</v>
      </c>
      <c r="G41" s="158">
        <f>SUMIF('内訳ﾘｽﾄ(4～3月)'!$D$26:$D$971,$B41,'内訳ﾘｽﾄ(4～3月)'!J$26:J$971)</f>
        <v>0</v>
      </c>
      <c r="H41" s="158">
        <f>SUMIF('内訳ﾘｽﾄ(4～3月)'!$D$26:$D$971,$B41,'内訳ﾘｽﾄ(4～3月)'!K$26:K$971)</f>
        <v>0</v>
      </c>
      <c r="I41" s="158">
        <f>SUMIF('内訳ﾘｽﾄ(4～3月)'!$D$26:$D$971,$B41,'内訳ﾘｽﾄ(4～3月)'!L$26:L$971)</f>
        <v>0</v>
      </c>
      <c r="J41" s="158">
        <f>SUMIF('内訳ﾘｽﾄ(4～3月)'!$D$26:$D$971,$B41,'内訳ﾘｽﾄ(4～3月)'!M$26:M$971)</f>
        <v>0</v>
      </c>
      <c r="K41" s="158">
        <f>SUMIF('内訳ﾘｽﾄ(4～3月)'!$D$26:$D$971,$B41,'内訳ﾘｽﾄ(4～3月)'!N$26:N$971)</f>
        <v>0</v>
      </c>
      <c r="L41" s="158">
        <f>SUMIF('内訳ﾘｽﾄ(4～3月)'!$D$26:$D$971,$B41,'内訳ﾘｽﾄ(4～3月)'!O$26:O$971)</f>
        <v>0</v>
      </c>
      <c r="M41" s="158">
        <f>SUMIF('内訳ﾘｽﾄ(4～3月)'!$D$26:$D$971,$B41,'内訳ﾘｽﾄ(4～3月)'!P$26:P$971)</f>
        <v>0</v>
      </c>
      <c r="N41" s="158">
        <f>SUMIF('内訳ﾘｽﾄ(4～3月)'!$D$26:$D$971,$B41,'内訳ﾘｽﾄ(4～3月)'!Q$26:Q$971)</f>
        <v>0</v>
      </c>
      <c r="O41" s="158">
        <f>SUMIF('内訳ﾘｽﾄ(4～3月)'!$D$26:$D$770,'採算表(VND)'!$B41,'内訳ﾘｽﾄ(4～3月)'!R$26:R$770)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SUMIF('内訳ﾘｽﾄ(4～3月)'!$D$26:$D$971,$B42,'内訳ﾘｽﾄ(4～3月)'!F$26:F$971)</f>
        <v>14292518</v>
      </c>
      <c r="D42" s="158">
        <f>SUMIF('内訳ﾘｽﾄ(4～3月)'!$D$26:$D$971,$B42,'内訳ﾘｽﾄ(4～3月)'!G$26:G$971)</f>
        <v>14050318</v>
      </c>
      <c r="E42" s="158">
        <f>SUMIF('内訳ﾘｽﾄ(4～3月)'!$D$26:$D$971,$B42,'内訳ﾘｽﾄ(4～3月)'!H$26:H$971)</f>
        <v>14050318</v>
      </c>
      <c r="F42" s="158">
        <f>SUMIF('内訳ﾘｽﾄ(4～3月)'!$D$26:$D$971,$B42,'内訳ﾘｽﾄ(4～3月)'!I$26:I$971)</f>
        <v>14749318</v>
      </c>
      <c r="G42" s="158">
        <f>SUMIF('内訳ﾘｽﾄ(4～3月)'!$D$26:$D$971,$B42,'内訳ﾘｽﾄ(4～3月)'!J$26:J$971)</f>
        <v>14050318</v>
      </c>
      <c r="H42" s="158">
        <f>SUMIF('内訳ﾘｽﾄ(4～3月)'!$D$26:$D$971,$B42,'内訳ﾘｽﾄ(4～3月)'!K$26:K$971)</f>
        <v>14050318</v>
      </c>
      <c r="I42" s="158">
        <f>SUMIF('内訳ﾘｽﾄ(4～3月)'!$D$26:$D$971,$B42,'内訳ﾘｽﾄ(4～3月)'!L$26:L$971)</f>
        <v>14050318</v>
      </c>
      <c r="J42" s="158">
        <f>SUMIF('内訳ﾘｽﾄ(4～3月)'!$D$26:$D$971,$B42,'内訳ﾘｽﾄ(4～3月)'!M$26:M$971)</f>
        <v>14754118</v>
      </c>
      <c r="K42" s="158">
        <f>SUMIF('内訳ﾘｽﾄ(4～3月)'!$D$26:$D$971,$B42,'内訳ﾘｽﾄ(4～3月)'!N$26:N$971)</f>
        <v>14050318</v>
      </c>
      <c r="L42" s="158">
        <f>SUMIF('内訳ﾘｽﾄ(4～3月)'!$D$26:$D$971,$B42,'内訳ﾘｽﾄ(4～3月)'!O$26:O$971)</f>
        <v>14050318</v>
      </c>
      <c r="M42" s="158">
        <f>SUMIF('内訳ﾘｽﾄ(4～3月)'!$D$26:$D$971,$B42,'内訳ﾘｽﾄ(4～3月)'!P$26:P$971)</f>
        <v>14050318</v>
      </c>
      <c r="N42" s="158">
        <f>SUMIF('内訳ﾘｽﾄ(4～3月)'!$D$26:$D$971,$B42,'内訳ﾘｽﾄ(4～3月)'!Q$26:Q$971)</f>
        <v>14050318</v>
      </c>
      <c r="O42" s="158">
        <f>SUMIF('内訳ﾘｽﾄ(4～3月)'!$D$26:$D$770,'採算表(VND)'!$B42,'内訳ﾘｽﾄ(4～3月)'!R$26:R$770)</f>
        <v>170248816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SUMIF('内訳ﾘｽﾄ(4～3月)'!$D$26:$D$971,$B43,'内訳ﾘｽﾄ(4～3月)'!F$26:F$971)</f>
        <v>0</v>
      </c>
      <c r="D43" s="158">
        <f>SUMIF('内訳ﾘｽﾄ(4～3月)'!$D$26:$D$971,$B43,'内訳ﾘｽﾄ(4～3月)'!G$26:G$971)</f>
        <v>0</v>
      </c>
      <c r="E43" s="158">
        <f>SUMIF('内訳ﾘｽﾄ(4～3月)'!$D$26:$D$971,$B43,'内訳ﾘｽﾄ(4～3月)'!H$26:H$971)</f>
        <v>0</v>
      </c>
      <c r="F43" s="158">
        <f>SUMIF('内訳ﾘｽﾄ(4～3月)'!$D$26:$D$971,$B43,'内訳ﾘｽﾄ(4～3月)'!I$26:I$971)</f>
        <v>0</v>
      </c>
      <c r="G43" s="158">
        <f>SUMIF('内訳ﾘｽﾄ(4～3月)'!$D$26:$D$971,$B43,'内訳ﾘｽﾄ(4～3月)'!J$26:J$971)</f>
        <v>0</v>
      </c>
      <c r="H43" s="158">
        <f>SUMIF('内訳ﾘｽﾄ(4～3月)'!$D$26:$D$971,$B43,'内訳ﾘｽﾄ(4～3月)'!K$26:K$971)</f>
        <v>0</v>
      </c>
      <c r="I43" s="158">
        <f>SUMIF('内訳ﾘｽﾄ(4～3月)'!$D$26:$D$971,$B43,'内訳ﾘｽﾄ(4～3月)'!L$26:L$971)</f>
        <v>0</v>
      </c>
      <c r="J43" s="158">
        <f>SUMIF('内訳ﾘｽﾄ(4～3月)'!$D$26:$D$971,$B43,'内訳ﾘｽﾄ(4～3月)'!M$26:M$971)</f>
        <v>0</v>
      </c>
      <c r="K43" s="158">
        <f>SUMIF('内訳ﾘｽﾄ(4～3月)'!$D$26:$D$971,$B43,'内訳ﾘｽﾄ(4～3月)'!N$26:N$971)</f>
        <v>0</v>
      </c>
      <c r="L43" s="158">
        <f>SUMIF('内訳ﾘｽﾄ(4～3月)'!$D$26:$D$971,$B43,'内訳ﾘｽﾄ(4～3月)'!O$26:O$971)</f>
        <v>0</v>
      </c>
      <c r="M43" s="158">
        <f>SUMIF('内訳ﾘｽﾄ(4～3月)'!$D$26:$D$971,$B43,'内訳ﾘｽﾄ(4～3月)'!P$26:P$971)</f>
        <v>0</v>
      </c>
      <c r="N43" s="158">
        <f>SUMIF('内訳ﾘｽﾄ(4～3月)'!$D$26:$D$971,$B43,'内訳ﾘｽﾄ(4～3月)'!Q$26:Q$971)</f>
        <v>0</v>
      </c>
      <c r="O43" s="158">
        <f>SUMIF('内訳ﾘｽﾄ(4～3月)'!$D$26:$D$770,'採算表(VND)'!$B43,'内訳ﾘｽﾄ(4～3月)'!R$26:R$770)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SUMIF('内訳ﾘｽﾄ(4～3月)'!$D$26:$D$971,$B44,'内訳ﾘｽﾄ(4～3月)'!F$26:F$971)</f>
        <v>9741712</v>
      </c>
      <c r="D44" s="158">
        <f>SUMIF('内訳ﾘｽﾄ(4～3月)'!$D$26:$D$971,$B44,'内訳ﾘｽﾄ(4～3月)'!G$26:G$971)</f>
        <v>18000988</v>
      </c>
      <c r="E44" s="158">
        <f>SUMIF('内訳ﾘｽﾄ(4～3月)'!$D$26:$D$971,$B44,'内訳ﾘｽﾄ(4～3月)'!H$26:H$971)</f>
        <v>6873908</v>
      </c>
      <c r="F44" s="158">
        <f>SUMIF('内訳ﾘｽﾄ(4～3月)'!$D$26:$D$971,$B44,'内訳ﾘｽﾄ(4～3月)'!I$26:I$971)</f>
        <v>6549852</v>
      </c>
      <c r="G44" s="158">
        <f>SUMIF('内訳ﾘｽﾄ(4～3月)'!$D$26:$D$971,$B44,'内訳ﾘｽﾄ(4～3月)'!J$26:J$971)</f>
        <v>6516336</v>
      </c>
      <c r="H44" s="158">
        <f>SUMIF('内訳ﾘｽﾄ(4～3月)'!$D$26:$D$971,$B44,'内訳ﾘｽﾄ(4～3月)'!K$26:K$971)</f>
        <v>7540052</v>
      </c>
      <c r="I44" s="158">
        <f>SUMIF('内訳ﾘｽﾄ(4～3月)'!$D$26:$D$971,$B44,'内訳ﾘｽﾄ(4～3月)'!L$26:L$971)</f>
        <v>5277940</v>
      </c>
      <c r="J44" s="158">
        <f>SUMIF('内訳ﾘｽﾄ(4～3月)'!$D$26:$D$971,$B44,'内訳ﾘｽﾄ(4～3月)'!M$26:M$971)</f>
        <v>6615468</v>
      </c>
      <c r="K44" s="158">
        <f>SUMIF('内訳ﾘｽﾄ(4～3月)'!$D$26:$D$971,$B44,'内訳ﾘｽﾄ(4～3月)'!N$26:N$971)</f>
        <v>7370368</v>
      </c>
      <c r="L44" s="158">
        <f>SUMIF('内訳ﾘｽﾄ(4～3月)'!$D$26:$D$971,$B44,'内訳ﾘｽﾄ(4～3月)'!O$26:O$971)</f>
        <v>5515700</v>
      </c>
      <c r="M44" s="158">
        <f>SUMIF('内訳ﾘｽﾄ(4～3月)'!$D$26:$D$971,$B44,'内訳ﾘｽﾄ(4～3月)'!P$26:P$971)</f>
        <v>7413436</v>
      </c>
      <c r="N44" s="158">
        <f>SUMIF('内訳ﾘｽﾄ(4～3月)'!$D$26:$D$971,$B44,'内訳ﾘｽﾄ(4～3月)'!Q$26:Q$971)</f>
        <v>5498912</v>
      </c>
      <c r="O44" s="158">
        <f>SUMIF('内訳ﾘｽﾄ(4～3月)'!$D$26:$D$770,'採算表(VND)'!$B44,'内訳ﾘｽﾄ(4～3月)'!R$26:R$770)</f>
        <v>92914672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SUMIF('内訳ﾘｽﾄ(4～3月)'!$D$26:$D$971,$B45,'内訳ﾘｽﾄ(4～3月)'!F$26:F$971)</f>
        <v>0</v>
      </c>
      <c r="D45" s="158">
        <f>SUMIF('内訳ﾘｽﾄ(4～3月)'!$D$26:$D$971,$B45,'内訳ﾘｽﾄ(4～3月)'!G$26:G$971)</f>
        <v>0</v>
      </c>
      <c r="E45" s="158">
        <f>SUMIF('内訳ﾘｽﾄ(4～3月)'!$D$26:$D$971,$B45,'内訳ﾘｽﾄ(4～3月)'!H$26:H$971)</f>
        <v>0</v>
      </c>
      <c r="F45" s="158">
        <f>SUMIF('内訳ﾘｽﾄ(4～3月)'!$D$26:$D$971,$B45,'内訳ﾘｽﾄ(4～3月)'!I$26:I$971)</f>
        <v>0</v>
      </c>
      <c r="G45" s="158">
        <f>SUMIF('内訳ﾘｽﾄ(4～3月)'!$D$26:$D$971,$B45,'内訳ﾘｽﾄ(4～3月)'!J$26:J$971)</f>
        <v>0</v>
      </c>
      <c r="H45" s="158">
        <f>SUMIF('内訳ﾘｽﾄ(4～3月)'!$D$26:$D$971,$B45,'内訳ﾘｽﾄ(4～3月)'!K$26:K$971)</f>
        <v>0</v>
      </c>
      <c r="I45" s="158">
        <f>SUMIF('内訳ﾘｽﾄ(4～3月)'!$D$26:$D$971,$B45,'内訳ﾘｽﾄ(4～3月)'!L$26:L$971)</f>
        <v>0</v>
      </c>
      <c r="J45" s="158">
        <f>SUMIF('内訳ﾘｽﾄ(4～3月)'!$D$26:$D$971,$B45,'内訳ﾘｽﾄ(4～3月)'!M$26:M$971)</f>
        <v>0</v>
      </c>
      <c r="K45" s="158">
        <f>SUMIF('内訳ﾘｽﾄ(4～3月)'!$D$26:$D$971,$B45,'内訳ﾘｽﾄ(4～3月)'!N$26:N$971)</f>
        <v>0</v>
      </c>
      <c r="L45" s="158">
        <f>SUMIF('内訳ﾘｽﾄ(4～3月)'!$D$26:$D$971,$B45,'内訳ﾘｽﾄ(4～3月)'!O$26:O$971)</f>
        <v>0</v>
      </c>
      <c r="M45" s="158">
        <f>SUMIF('内訳ﾘｽﾄ(4～3月)'!$D$26:$D$971,$B45,'内訳ﾘｽﾄ(4～3月)'!P$26:P$971)</f>
        <v>0</v>
      </c>
      <c r="N45" s="158">
        <f>SUMIF('内訳ﾘｽﾄ(4～3月)'!$D$26:$D$971,$B45,'内訳ﾘｽﾄ(4～3月)'!Q$26:Q$971)</f>
        <v>0</v>
      </c>
      <c r="O45" s="158">
        <f>SUMIF('内訳ﾘｽﾄ(4～3月)'!$D$26:$D$770,'採算表(VND)'!$B45,'内訳ﾘｽﾄ(4～3月)'!R$26:R$770)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SUMIF('内訳ﾘｽﾄ(4～3月)'!$D$26:$D$971,$B46,'内訳ﾘｽﾄ(4～3月)'!F$26:F$971)</f>
        <v>0</v>
      </c>
      <c r="D46" s="158">
        <f>SUMIF('内訳ﾘｽﾄ(4～3月)'!$D$26:$D$971,$B46,'内訳ﾘｽﾄ(4～3月)'!G$26:G$971)</f>
        <v>0</v>
      </c>
      <c r="E46" s="158">
        <f>SUMIF('内訳ﾘｽﾄ(4～3月)'!$D$26:$D$971,$B46,'内訳ﾘｽﾄ(4～3月)'!H$26:H$971)</f>
        <v>0</v>
      </c>
      <c r="F46" s="158">
        <f>SUMIF('内訳ﾘｽﾄ(4～3月)'!$D$26:$D$971,$B46,'内訳ﾘｽﾄ(4～3月)'!I$26:I$971)</f>
        <v>0</v>
      </c>
      <c r="G46" s="158">
        <f>SUMIF('内訳ﾘｽﾄ(4～3月)'!$D$26:$D$971,$B46,'内訳ﾘｽﾄ(4～3月)'!J$26:J$971)</f>
        <v>0</v>
      </c>
      <c r="H46" s="158">
        <f>SUMIF('内訳ﾘｽﾄ(4～3月)'!$D$26:$D$971,$B46,'内訳ﾘｽﾄ(4～3月)'!K$26:K$971)</f>
        <v>0</v>
      </c>
      <c r="I46" s="158">
        <f>SUMIF('内訳ﾘｽﾄ(4～3月)'!$D$26:$D$971,$B46,'内訳ﾘｽﾄ(4～3月)'!L$26:L$971)</f>
        <v>0</v>
      </c>
      <c r="J46" s="158">
        <f>SUMIF('内訳ﾘｽﾄ(4～3月)'!$D$26:$D$971,$B46,'内訳ﾘｽﾄ(4～3月)'!M$26:M$971)</f>
        <v>0</v>
      </c>
      <c r="K46" s="158">
        <f>SUMIF('内訳ﾘｽﾄ(4～3月)'!$D$26:$D$971,$B46,'内訳ﾘｽﾄ(4～3月)'!N$26:N$971)</f>
        <v>0</v>
      </c>
      <c r="L46" s="158">
        <f>SUMIF('内訳ﾘｽﾄ(4～3月)'!$D$26:$D$971,$B46,'内訳ﾘｽﾄ(4～3月)'!O$26:O$971)</f>
        <v>0</v>
      </c>
      <c r="M46" s="158">
        <f>SUMIF('内訳ﾘｽﾄ(4～3月)'!$D$26:$D$971,$B46,'内訳ﾘｽﾄ(4～3月)'!P$26:P$971)</f>
        <v>0</v>
      </c>
      <c r="N46" s="158">
        <f>SUMIF('内訳ﾘｽﾄ(4～3月)'!$D$26:$D$971,$B46,'内訳ﾘｽﾄ(4～3月)'!Q$26:Q$971)</f>
        <v>0</v>
      </c>
      <c r="O46" s="158">
        <f>SUMIF('内訳ﾘｽﾄ(4～3月)'!$D$26:$D$770,'採算表(VND)'!$B46,'内訳ﾘｽﾄ(4～3月)'!R$26:R$770)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SUMIF('内訳ﾘｽﾄ(4～3月)'!$D$26:$D$971,$B47,'内訳ﾘｽﾄ(4～3月)'!F$26:F$971)</f>
        <v>0</v>
      </c>
      <c r="D47" s="158">
        <f>SUMIF('内訳ﾘｽﾄ(4～3月)'!$D$26:$D$971,$B47,'内訳ﾘｽﾄ(4～3月)'!G$26:G$971)</f>
        <v>0</v>
      </c>
      <c r="E47" s="158">
        <f>SUMIF('内訳ﾘｽﾄ(4～3月)'!$D$26:$D$971,$B47,'内訳ﾘｽﾄ(4～3月)'!H$26:H$971)</f>
        <v>0</v>
      </c>
      <c r="F47" s="158">
        <f>SUMIF('内訳ﾘｽﾄ(4～3月)'!$D$26:$D$971,$B47,'内訳ﾘｽﾄ(4～3月)'!I$26:I$971)</f>
        <v>0</v>
      </c>
      <c r="G47" s="158">
        <f>SUMIF('内訳ﾘｽﾄ(4～3月)'!$D$26:$D$971,$B47,'内訳ﾘｽﾄ(4～3月)'!J$26:J$971)</f>
        <v>0</v>
      </c>
      <c r="H47" s="158">
        <f>SUMIF('内訳ﾘｽﾄ(4～3月)'!$D$26:$D$971,$B47,'内訳ﾘｽﾄ(4～3月)'!K$26:K$971)</f>
        <v>0</v>
      </c>
      <c r="I47" s="158">
        <f>SUMIF('内訳ﾘｽﾄ(4～3月)'!$D$26:$D$971,$B47,'内訳ﾘｽﾄ(4～3月)'!L$26:L$971)</f>
        <v>0</v>
      </c>
      <c r="J47" s="158">
        <f>SUMIF('内訳ﾘｽﾄ(4～3月)'!$D$26:$D$971,$B47,'内訳ﾘｽﾄ(4～3月)'!M$26:M$971)</f>
        <v>0</v>
      </c>
      <c r="K47" s="158">
        <f>SUMIF('内訳ﾘｽﾄ(4～3月)'!$D$26:$D$971,$B47,'内訳ﾘｽﾄ(4～3月)'!N$26:N$971)</f>
        <v>0</v>
      </c>
      <c r="L47" s="158">
        <f>SUMIF('内訳ﾘｽﾄ(4～3月)'!$D$26:$D$971,$B47,'内訳ﾘｽﾄ(4～3月)'!O$26:O$971)</f>
        <v>0</v>
      </c>
      <c r="M47" s="158">
        <f>SUMIF('内訳ﾘｽﾄ(4～3月)'!$D$26:$D$971,$B47,'内訳ﾘｽﾄ(4～3月)'!P$26:P$971)</f>
        <v>0</v>
      </c>
      <c r="N47" s="158">
        <f>SUMIF('内訳ﾘｽﾄ(4～3月)'!$D$26:$D$971,$B47,'内訳ﾘｽﾄ(4～3月)'!Q$26:Q$971)</f>
        <v>0</v>
      </c>
      <c r="O47" s="158">
        <f>SUMIF('内訳ﾘｽﾄ(4～3月)'!$D$26:$D$770,'採算表(VND)'!$B47,'内訳ﾘｽﾄ(4～3月)'!R$26:R$770)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SUMIF('内訳ﾘｽﾄ(4～3月)'!$D$26:$D$971,$B48,'内訳ﾘｽﾄ(4～3月)'!F$26:F$971)</f>
        <v>0</v>
      </c>
      <c r="D48" s="158">
        <f>SUMIF('内訳ﾘｽﾄ(4～3月)'!$D$26:$D$971,$B48,'内訳ﾘｽﾄ(4～3月)'!G$26:G$971)</f>
        <v>0</v>
      </c>
      <c r="E48" s="158">
        <f>SUMIF('内訳ﾘｽﾄ(4～3月)'!$D$26:$D$971,$B48,'内訳ﾘｽﾄ(4～3月)'!H$26:H$971)</f>
        <v>0</v>
      </c>
      <c r="F48" s="158">
        <f>SUMIF('内訳ﾘｽﾄ(4～3月)'!$D$26:$D$971,$B48,'内訳ﾘｽﾄ(4～3月)'!I$26:I$971)</f>
        <v>0</v>
      </c>
      <c r="G48" s="158">
        <f>SUMIF('内訳ﾘｽﾄ(4～3月)'!$D$26:$D$971,$B48,'内訳ﾘｽﾄ(4～3月)'!J$26:J$971)</f>
        <v>0</v>
      </c>
      <c r="H48" s="158">
        <f>SUMIF('内訳ﾘｽﾄ(4～3月)'!$D$26:$D$971,$B48,'内訳ﾘｽﾄ(4～3月)'!K$26:K$971)</f>
        <v>0</v>
      </c>
      <c r="I48" s="158">
        <f>SUMIF('内訳ﾘｽﾄ(4～3月)'!$D$26:$D$971,$B48,'内訳ﾘｽﾄ(4～3月)'!L$26:L$971)</f>
        <v>0</v>
      </c>
      <c r="J48" s="158">
        <f>SUMIF('内訳ﾘｽﾄ(4～3月)'!$D$26:$D$971,$B48,'内訳ﾘｽﾄ(4～3月)'!M$26:M$971)</f>
        <v>0</v>
      </c>
      <c r="K48" s="158">
        <f>SUMIF('内訳ﾘｽﾄ(4～3月)'!$D$26:$D$971,$B48,'内訳ﾘｽﾄ(4～3月)'!N$26:N$971)</f>
        <v>0</v>
      </c>
      <c r="L48" s="158">
        <f>SUMIF('内訳ﾘｽﾄ(4～3月)'!$D$26:$D$971,$B48,'内訳ﾘｽﾄ(4～3月)'!O$26:O$971)</f>
        <v>0</v>
      </c>
      <c r="M48" s="158">
        <f>SUMIF('内訳ﾘｽﾄ(4～3月)'!$D$26:$D$971,$B48,'内訳ﾘｽﾄ(4～3月)'!P$26:P$971)</f>
        <v>0</v>
      </c>
      <c r="N48" s="158">
        <f>SUMIF('内訳ﾘｽﾄ(4～3月)'!$D$26:$D$971,$B48,'内訳ﾘｽﾄ(4～3月)'!Q$26:Q$971)</f>
        <v>0</v>
      </c>
      <c r="O48" s="158">
        <f>SUMIF('内訳ﾘｽﾄ(4～3月)'!$D$26:$D$770,'採算表(VND)'!$B48,'内訳ﾘｽﾄ(4～3月)'!R$26:R$770)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SUMIF('内訳ﾘｽﾄ(4～3月)'!$D$26:$D$971,$B49,'内訳ﾘｽﾄ(4～3月)'!F$26:F$971)</f>
        <v>0</v>
      </c>
      <c r="D49" s="158">
        <f>SUMIF('内訳ﾘｽﾄ(4～3月)'!$D$26:$D$971,$B49,'内訳ﾘｽﾄ(4～3月)'!G$26:G$971)</f>
        <v>0</v>
      </c>
      <c r="E49" s="158">
        <f>SUMIF('内訳ﾘｽﾄ(4～3月)'!$D$26:$D$971,$B49,'内訳ﾘｽﾄ(4～3月)'!H$26:H$971)</f>
        <v>0</v>
      </c>
      <c r="F49" s="158">
        <f>SUMIF('内訳ﾘｽﾄ(4～3月)'!$D$26:$D$971,$B49,'内訳ﾘｽﾄ(4～3月)'!I$26:I$971)</f>
        <v>0</v>
      </c>
      <c r="G49" s="158">
        <f>SUMIF('内訳ﾘｽﾄ(4～3月)'!$D$26:$D$971,$B49,'内訳ﾘｽﾄ(4～3月)'!J$26:J$971)</f>
        <v>0</v>
      </c>
      <c r="H49" s="158">
        <f>SUMIF('内訳ﾘｽﾄ(4～3月)'!$D$26:$D$971,$B49,'内訳ﾘｽﾄ(4～3月)'!K$26:K$971)</f>
        <v>0</v>
      </c>
      <c r="I49" s="158">
        <f>SUMIF('内訳ﾘｽﾄ(4～3月)'!$D$26:$D$971,$B49,'内訳ﾘｽﾄ(4～3月)'!L$26:L$971)</f>
        <v>0</v>
      </c>
      <c r="J49" s="158">
        <f>SUMIF('内訳ﾘｽﾄ(4～3月)'!$D$26:$D$971,$B49,'内訳ﾘｽﾄ(4～3月)'!M$26:M$971)</f>
        <v>0</v>
      </c>
      <c r="K49" s="158">
        <f>SUMIF('内訳ﾘｽﾄ(4～3月)'!$D$26:$D$971,$B49,'内訳ﾘｽﾄ(4～3月)'!N$26:N$971)</f>
        <v>0</v>
      </c>
      <c r="L49" s="158">
        <f>SUMIF('内訳ﾘｽﾄ(4～3月)'!$D$26:$D$971,$B49,'内訳ﾘｽﾄ(4～3月)'!O$26:O$971)</f>
        <v>0</v>
      </c>
      <c r="M49" s="158">
        <f>SUMIF('内訳ﾘｽﾄ(4～3月)'!$D$26:$D$971,$B49,'内訳ﾘｽﾄ(4～3月)'!P$26:P$971)</f>
        <v>0</v>
      </c>
      <c r="N49" s="158">
        <f>SUMIF('内訳ﾘｽﾄ(4～3月)'!$D$26:$D$971,$B49,'内訳ﾘｽﾄ(4～3月)'!Q$26:Q$971)</f>
        <v>0</v>
      </c>
      <c r="O49" s="158">
        <f>SUMIF('内訳ﾘｽﾄ(4～3月)'!$D$26:$D$770,'採算表(VND)'!$B49,'内訳ﾘｽﾄ(4～3月)'!R$26:R$770)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SUMIF('内訳ﾘｽﾄ(4～3月)'!$D$26:$D$971,$B50,'内訳ﾘｽﾄ(4～3月)'!F$26:F$971)</f>
        <v>0</v>
      </c>
      <c r="D50" s="158">
        <f>SUMIF('内訳ﾘｽﾄ(4～3月)'!$D$26:$D$971,$B50,'内訳ﾘｽﾄ(4～3月)'!G$26:G$971)</f>
        <v>0</v>
      </c>
      <c r="E50" s="158">
        <f>SUMIF('内訳ﾘｽﾄ(4～3月)'!$D$26:$D$971,$B50,'内訳ﾘｽﾄ(4～3月)'!H$26:H$971)</f>
        <v>0</v>
      </c>
      <c r="F50" s="158">
        <f>SUMIF('内訳ﾘｽﾄ(4～3月)'!$D$26:$D$971,$B50,'内訳ﾘｽﾄ(4～3月)'!I$26:I$971)</f>
        <v>0</v>
      </c>
      <c r="G50" s="158">
        <f>SUMIF('内訳ﾘｽﾄ(4～3月)'!$D$26:$D$971,$B50,'内訳ﾘｽﾄ(4～3月)'!J$26:J$971)</f>
        <v>0</v>
      </c>
      <c r="H50" s="158">
        <f>SUMIF('内訳ﾘｽﾄ(4～3月)'!$D$26:$D$971,$B50,'内訳ﾘｽﾄ(4～3月)'!K$26:K$971)</f>
        <v>0</v>
      </c>
      <c r="I50" s="158">
        <f>SUMIF('内訳ﾘｽﾄ(4～3月)'!$D$26:$D$971,$B50,'内訳ﾘｽﾄ(4～3月)'!L$26:L$971)</f>
        <v>0</v>
      </c>
      <c r="J50" s="158">
        <f>SUMIF('内訳ﾘｽﾄ(4～3月)'!$D$26:$D$971,$B50,'内訳ﾘｽﾄ(4～3月)'!M$26:M$971)</f>
        <v>0</v>
      </c>
      <c r="K50" s="158">
        <f>SUMIF('内訳ﾘｽﾄ(4～3月)'!$D$26:$D$971,$B50,'内訳ﾘｽﾄ(4～3月)'!N$26:N$971)</f>
        <v>0</v>
      </c>
      <c r="L50" s="158">
        <f>SUMIF('内訳ﾘｽﾄ(4～3月)'!$D$26:$D$971,$B50,'内訳ﾘｽﾄ(4～3月)'!O$26:O$971)</f>
        <v>0</v>
      </c>
      <c r="M50" s="158">
        <f>SUMIF('内訳ﾘｽﾄ(4～3月)'!$D$26:$D$971,$B50,'内訳ﾘｽﾄ(4～3月)'!P$26:P$971)</f>
        <v>0</v>
      </c>
      <c r="N50" s="158">
        <f>SUMIF('内訳ﾘｽﾄ(4～3月)'!$D$26:$D$971,$B50,'内訳ﾘｽﾄ(4～3月)'!Q$26:Q$971)</f>
        <v>0</v>
      </c>
      <c r="O50" s="158">
        <f>SUMIF('内訳ﾘｽﾄ(4～3月)'!$D$26:$D$770,'採算表(VND)'!$B50,'内訳ﾘｽﾄ(4～3月)'!R$26:R$770)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SUMIF('内訳ﾘｽﾄ(4～3月)'!$D$26:$D$971,$B51,'内訳ﾘｽﾄ(4～3月)'!F$26:F$971)</f>
        <v>0</v>
      </c>
      <c r="D51" s="159">
        <f>SUMIF('内訳ﾘｽﾄ(4～3月)'!$D$26:$D$971,$B51,'内訳ﾘｽﾄ(4～3月)'!G$26:G$971)</f>
        <v>0</v>
      </c>
      <c r="E51" s="159">
        <f>SUMIF('内訳ﾘｽﾄ(4～3月)'!$D$26:$D$971,$B51,'内訳ﾘｽﾄ(4～3月)'!H$26:H$971)</f>
        <v>0</v>
      </c>
      <c r="F51" s="159">
        <f>SUMIF('内訳ﾘｽﾄ(4～3月)'!$D$26:$D$971,$B51,'内訳ﾘｽﾄ(4～3月)'!I$26:I$971)</f>
        <v>0</v>
      </c>
      <c r="G51" s="159">
        <f>SUMIF('内訳ﾘｽﾄ(4～3月)'!$D$26:$D$971,$B51,'内訳ﾘｽﾄ(4～3月)'!J$26:J$971)</f>
        <v>0</v>
      </c>
      <c r="H51" s="159">
        <f>SUMIF('内訳ﾘｽﾄ(4～3月)'!$D$26:$D$971,$B51,'内訳ﾘｽﾄ(4～3月)'!K$26:K$971)</f>
        <v>0</v>
      </c>
      <c r="I51" s="159">
        <f>SUMIF('内訳ﾘｽﾄ(4～3月)'!$D$26:$D$971,$B51,'内訳ﾘｽﾄ(4～3月)'!L$26:L$971)</f>
        <v>0</v>
      </c>
      <c r="J51" s="159">
        <f>SUMIF('内訳ﾘｽﾄ(4～3月)'!$D$26:$D$971,$B51,'内訳ﾘｽﾄ(4～3月)'!M$26:M$971)</f>
        <v>0</v>
      </c>
      <c r="K51" s="159">
        <f>SUMIF('内訳ﾘｽﾄ(4～3月)'!$D$26:$D$971,$B51,'内訳ﾘｽﾄ(4～3月)'!N$26:N$971)</f>
        <v>0</v>
      </c>
      <c r="L51" s="159">
        <f>SUMIF('内訳ﾘｽﾄ(4～3月)'!$D$26:$D$971,$B51,'内訳ﾘｽﾄ(4～3月)'!O$26:O$971)</f>
        <v>0</v>
      </c>
      <c r="M51" s="159">
        <f>SUMIF('内訳ﾘｽﾄ(4～3月)'!$D$26:$D$971,$B51,'内訳ﾘｽﾄ(4～3月)'!P$26:P$971)</f>
        <v>0</v>
      </c>
      <c r="N51" s="159">
        <f>SUMIF('内訳ﾘｽﾄ(4～3月)'!$D$26:$D$971,$B51,'内訳ﾘｽﾄ(4～3月)'!Q$26:Q$971)</f>
        <v>0</v>
      </c>
      <c r="O51" s="159">
        <f>SUMIF('内訳ﾘｽﾄ(4～3月)'!$D$26:$D$770,'採算表(VND)'!$B51,'内訳ﾘｽﾄ(4～3月)'!R$26:R$770)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SUMIF('内訳ﾘｽﾄ(4～3月)'!$D$26:$D$971,$B52,'内訳ﾘｽﾄ(4～3月)'!F$26:F$971)</f>
        <v>0</v>
      </c>
      <c r="D52" s="160">
        <f>SUMIF('内訳ﾘｽﾄ(4～3月)'!$D$26:$D$971,$B52,'内訳ﾘｽﾄ(4～3月)'!G$26:G$971)</f>
        <v>0</v>
      </c>
      <c r="E52" s="160">
        <f>SUMIF('内訳ﾘｽﾄ(4～3月)'!$D$26:$D$971,$B52,'内訳ﾘｽﾄ(4～3月)'!H$26:H$971)</f>
        <v>0</v>
      </c>
      <c r="F52" s="160">
        <f>SUMIF('内訳ﾘｽﾄ(4～3月)'!$D$26:$D$971,$B52,'内訳ﾘｽﾄ(4～3月)'!I$26:I$971)</f>
        <v>0</v>
      </c>
      <c r="G52" s="160">
        <f>SUMIF('内訳ﾘｽﾄ(4～3月)'!$D$26:$D$971,$B52,'内訳ﾘｽﾄ(4～3月)'!J$26:J$971)</f>
        <v>0</v>
      </c>
      <c r="H52" s="160">
        <f>SUMIF('内訳ﾘｽﾄ(4～3月)'!$D$26:$D$971,$B52,'内訳ﾘｽﾄ(4～3月)'!K$26:K$971)</f>
        <v>0</v>
      </c>
      <c r="I52" s="160">
        <f>SUMIF('内訳ﾘｽﾄ(4～3月)'!$D$26:$D$971,$B52,'内訳ﾘｽﾄ(4～3月)'!L$26:L$971)</f>
        <v>0</v>
      </c>
      <c r="J52" s="160">
        <f>SUMIF('内訳ﾘｽﾄ(4～3月)'!$D$26:$D$971,$B52,'内訳ﾘｽﾄ(4～3月)'!M$26:M$971)</f>
        <v>0</v>
      </c>
      <c r="K52" s="160">
        <f>SUMIF('内訳ﾘｽﾄ(4～3月)'!$D$26:$D$971,$B52,'内訳ﾘｽﾄ(4～3月)'!N$26:N$971)</f>
        <v>0</v>
      </c>
      <c r="L52" s="160">
        <f>SUMIF('内訳ﾘｽﾄ(4～3月)'!$D$26:$D$971,$B52,'内訳ﾘｽﾄ(4～3月)'!O$26:O$971)</f>
        <v>0</v>
      </c>
      <c r="M52" s="160">
        <f>SUMIF('内訳ﾘｽﾄ(4～3月)'!$D$26:$D$971,$B52,'内訳ﾘｽﾄ(4～3月)'!P$26:P$971)</f>
        <v>0</v>
      </c>
      <c r="N52" s="160">
        <f>SUMIF('内訳ﾘｽﾄ(4～3月)'!$D$26:$D$971,$B52,'内訳ﾘｽﾄ(4～3月)'!Q$26:Q$971)</f>
        <v>0</v>
      </c>
      <c r="O52" s="160">
        <f>SUMIF('内訳ﾘｽﾄ(4～3月)'!$D$26:$D$770,'採算表(VND)'!$B52,'内訳ﾘｽﾄ(4～3月)'!R$26:R$770)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SUMIF('内訳ﾘｽﾄ(4～3月)'!$D$26:$D$971,$B53,'内訳ﾘｽﾄ(4～3月)'!F$26:F$971)</f>
        <v>0</v>
      </c>
      <c r="D53" s="160">
        <f>SUMIF('内訳ﾘｽﾄ(4～3月)'!$D$26:$D$971,$B53,'内訳ﾘｽﾄ(4～3月)'!G$26:G$971)</f>
        <v>0</v>
      </c>
      <c r="E53" s="160">
        <f>SUMIF('内訳ﾘｽﾄ(4～3月)'!$D$26:$D$971,$B53,'内訳ﾘｽﾄ(4～3月)'!H$26:H$971)</f>
        <v>0</v>
      </c>
      <c r="F53" s="160">
        <f>SUMIF('内訳ﾘｽﾄ(4～3月)'!$D$26:$D$971,$B53,'内訳ﾘｽﾄ(4～3月)'!I$26:I$971)</f>
        <v>0</v>
      </c>
      <c r="G53" s="160">
        <f>SUMIF('内訳ﾘｽﾄ(4～3月)'!$D$26:$D$971,$B53,'内訳ﾘｽﾄ(4～3月)'!J$26:J$971)</f>
        <v>0</v>
      </c>
      <c r="H53" s="160">
        <f>SUMIF('内訳ﾘｽﾄ(4～3月)'!$D$26:$D$971,$B53,'内訳ﾘｽﾄ(4～3月)'!K$26:K$971)</f>
        <v>0</v>
      </c>
      <c r="I53" s="160">
        <f>SUMIF('内訳ﾘｽﾄ(4～3月)'!$D$26:$D$971,$B53,'内訳ﾘｽﾄ(4～3月)'!L$26:L$971)</f>
        <v>0</v>
      </c>
      <c r="J53" s="160">
        <f>SUMIF('内訳ﾘｽﾄ(4～3月)'!$D$26:$D$971,$B53,'内訳ﾘｽﾄ(4～3月)'!M$26:M$971)</f>
        <v>0</v>
      </c>
      <c r="K53" s="160">
        <f>SUMIF('内訳ﾘｽﾄ(4～3月)'!$D$26:$D$971,$B53,'内訳ﾘｽﾄ(4～3月)'!N$26:N$971)</f>
        <v>0</v>
      </c>
      <c r="L53" s="160">
        <f>SUMIF('内訳ﾘｽﾄ(4～3月)'!$D$26:$D$971,$B53,'内訳ﾘｽﾄ(4～3月)'!O$26:O$971)</f>
        <v>0</v>
      </c>
      <c r="M53" s="160">
        <f>SUMIF('内訳ﾘｽﾄ(4～3月)'!$D$26:$D$971,$B53,'内訳ﾘｽﾄ(4～3月)'!P$26:P$971)</f>
        <v>0</v>
      </c>
      <c r="N53" s="160">
        <f>SUMIF('内訳ﾘｽﾄ(4～3月)'!$D$26:$D$971,$B53,'内訳ﾘｽﾄ(4～3月)'!Q$26:Q$971)</f>
        <v>0</v>
      </c>
      <c r="O53" s="160">
        <f>SUMIF('内訳ﾘｽﾄ(4～3月)'!$D$26:$D$770,'採算表(VND)'!$B53,'内訳ﾘｽﾄ(4～3月)'!R$26:R$770)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SUMIF('内訳ﾘｽﾄ(4～3月)'!$D$26:$D$971,$B54,'内訳ﾘｽﾄ(4～3月)'!F$26:F$971)</f>
        <v>0</v>
      </c>
      <c r="D54" s="160">
        <f>SUMIF('内訳ﾘｽﾄ(4～3月)'!$D$26:$D$971,$B54,'内訳ﾘｽﾄ(4～3月)'!G$26:G$971)</f>
        <v>0</v>
      </c>
      <c r="E54" s="160">
        <f>SUMIF('内訳ﾘｽﾄ(4～3月)'!$D$26:$D$971,$B54,'内訳ﾘｽﾄ(4～3月)'!H$26:H$971)</f>
        <v>0</v>
      </c>
      <c r="F54" s="160">
        <f>SUMIF('内訳ﾘｽﾄ(4～3月)'!$D$26:$D$971,$B54,'内訳ﾘｽﾄ(4～3月)'!I$26:I$971)</f>
        <v>0</v>
      </c>
      <c r="G54" s="160">
        <f>SUMIF('内訳ﾘｽﾄ(4～3月)'!$D$26:$D$971,$B54,'内訳ﾘｽﾄ(4～3月)'!J$26:J$971)</f>
        <v>0</v>
      </c>
      <c r="H54" s="160">
        <f>SUMIF('内訳ﾘｽﾄ(4～3月)'!$D$26:$D$971,$B54,'内訳ﾘｽﾄ(4～3月)'!K$26:K$971)</f>
        <v>0</v>
      </c>
      <c r="I54" s="160">
        <f>SUMIF('内訳ﾘｽﾄ(4～3月)'!$D$26:$D$971,$B54,'内訳ﾘｽﾄ(4～3月)'!L$26:L$971)</f>
        <v>0</v>
      </c>
      <c r="J54" s="160">
        <f>SUMIF('内訳ﾘｽﾄ(4～3月)'!$D$26:$D$971,$B54,'内訳ﾘｽﾄ(4～3月)'!M$26:M$971)</f>
        <v>0</v>
      </c>
      <c r="K54" s="160">
        <f>SUMIF('内訳ﾘｽﾄ(4～3月)'!$D$26:$D$971,$B54,'内訳ﾘｽﾄ(4～3月)'!N$26:N$971)</f>
        <v>0</v>
      </c>
      <c r="L54" s="160">
        <f>SUMIF('内訳ﾘｽﾄ(4～3月)'!$D$26:$D$971,$B54,'内訳ﾘｽﾄ(4～3月)'!O$26:O$971)</f>
        <v>0</v>
      </c>
      <c r="M54" s="160">
        <f>SUMIF('内訳ﾘｽﾄ(4～3月)'!$D$26:$D$971,$B54,'内訳ﾘｽﾄ(4～3月)'!P$26:P$971)</f>
        <v>0</v>
      </c>
      <c r="N54" s="160">
        <f>SUMIF('内訳ﾘｽﾄ(4～3月)'!$D$26:$D$971,$B54,'内訳ﾘｽﾄ(4～3月)'!Q$26:Q$971)</f>
        <v>0</v>
      </c>
      <c r="O54" s="160">
        <f>SUMIF('内訳ﾘｽﾄ(4～3月)'!$D$26:$D$770,'採算表(VND)'!$B54,'内訳ﾘｽﾄ(4～3月)'!R$26:R$770)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SUMIF('内訳ﾘｽﾄ(4～3月)'!$D$26:$D$971,$B55,'内訳ﾘｽﾄ(4～3月)'!F$26:F$971)</f>
        <v>0</v>
      </c>
      <c r="D55" s="160">
        <f>SUMIF('内訳ﾘｽﾄ(4～3月)'!$D$26:$D$971,$B55,'内訳ﾘｽﾄ(4～3月)'!G$26:G$971)</f>
        <v>0</v>
      </c>
      <c r="E55" s="160">
        <f>SUMIF('内訳ﾘｽﾄ(4～3月)'!$D$26:$D$971,$B55,'内訳ﾘｽﾄ(4～3月)'!H$26:H$971)</f>
        <v>0</v>
      </c>
      <c r="F55" s="160">
        <f>SUMIF('内訳ﾘｽﾄ(4～3月)'!$D$26:$D$971,$B55,'内訳ﾘｽﾄ(4～3月)'!I$26:I$971)</f>
        <v>0</v>
      </c>
      <c r="G55" s="160">
        <f>SUMIF('内訳ﾘｽﾄ(4～3月)'!$D$26:$D$971,$B55,'内訳ﾘｽﾄ(4～3月)'!J$26:J$971)</f>
        <v>0</v>
      </c>
      <c r="H55" s="160">
        <f>SUMIF('内訳ﾘｽﾄ(4～3月)'!$D$26:$D$971,$B55,'内訳ﾘｽﾄ(4～3月)'!K$26:K$971)</f>
        <v>0</v>
      </c>
      <c r="I55" s="160">
        <f>SUMIF('内訳ﾘｽﾄ(4～3月)'!$D$26:$D$971,$B55,'内訳ﾘｽﾄ(4～3月)'!L$26:L$971)</f>
        <v>0</v>
      </c>
      <c r="J55" s="160">
        <f>SUMIF('内訳ﾘｽﾄ(4～3月)'!$D$26:$D$971,$B55,'内訳ﾘｽﾄ(4～3月)'!M$26:M$971)</f>
        <v>0</v>
      </c>
      <c r="K55" s="160">
        <f>SUMIF('内訳ﾘｽﾄ(4～3月)'!$D$26:$D$971,$B55,'内訳ﾘｽﾄ(4～3月)'!N$26:N$971)</f>
        <v>0</v>
      </c>
      <c r="L55" s="160">
        <f>SUMIF('内訳ﾘｽﾄ(4～3月)'!$D$26:$D$971,$B55,'内訳ﾘｽﾄ(4～3月)'!O$26:O$971)</f>
        <v>0</v>
      </c>
      <c r="M55" s="160">
        <f>SUMIF('内訳ﾘｽﾄ(4～3月)'!$D$26:$D$971,$B55,'内訳ﾘｽﾄ(4～3月)'!P$26:P$971)</f>
        <v>0</v>
      </c>
      <c r="N55" s="160">
        <f>SUMIF('内訳ﾘｽﾄ(4～3月)'!$D$26:$D$971,$B55,'内訳ﾘｽﾄ(4～3月)'!Q$26:Q$971)</f>
        <v>0</v>
      </c>
      <c r="O55" s="160">
        <f>SUMIF('内訳ﾘｽﾄ(4～3月)'!$D$26:$D$770,'採算表(VND)'!$B55,'内訳ﾘｽﾄ(4～3月)'!R$26:R$770)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SUMIF('内訳ﾘｽﾄ(4～3月)'!$D$26:$D$971,$B56,'内訳ﾘｽﾄ(4～3月)'!F$26:F$971)</f>
        <v>0</v>
      </c>
      <c r="D56" s="160">
        <f>SUMIF('内訳ﾘｽﾄ(4～3月)'!$D$26:$D$971,$B56,'内訳ﾘｽﾄ(4～3月)'!G$26:G$971)</f>
        <v>0</v>
      </c>
      <c r="E56" s="160">
        <f>SUMIF('内訳ﾘｽﾄ(4～3月)'!$D$26:$D$971,$B56,'内訳ﾘｽﾄ(4～3月)'!H$26:H$971)</f>
        <v>0</v>
      </c>
      <c r="F56" s="160">
        <f>SUMIF('内訳ﾘｽﾄ(4～3月)'!$D$26:$D$971,$B56,'内訳ﾘｽﾄ(4～3月)'!I$26:I$971)</f>
        <v>0</v>
      </c>
      <c r="G56" s="160">
        <f>SUMIF('内訳ﾘｽﾄ(4～3月)'!$D$26:$D$971,$B56,'内訳ﾘｽﾄ(4～3月)'!J$26:J$971)</f>
        <v>0</v>
      </c>
      <c r="H56" s="160">
        <f>SUMIF('内訳ﾘｽﾄ(4～3月)'!$D$26:$D$971,$B56,'内訳ﾘｽﾄ(4～3月)'!K$26:K$971)</f>
        <v>0</v>
      </c>
      <c r="I56" s="160">
        <f>SUMIF('内訳ﾘｽﾄ(4～3月)'!$D$26:$D$971,$B56,'内訳ﾘｽﾄ(4～3月)'!L$26:L$971)</f>
        <v>0</v>
      </c>
      <c r="J56" s="160">
        <f>SUMIF('内訳ﾘｽﾄ(4～3月)'!$D$26:$D$971,$B56,'内訳ﾘｽﾄ(4～3月)'!M$26:M$971)</f>
        <v>0</v>
      </c>
      <c r="K56" s="160">
        <f>SUMIF('内訳ﾘｽﾄ(4～3月)'!$D$26:$D$971,$B56,'内訳ﾘｽﾄ(4～3月)'!N$26:N$971)</f>
        <v>0</v>
      </c>
      <c r="L56" s="160">
        <f>SUMIF('内訳ﾘｽﾄ(4～3月)'!$D$26:$D$971,$B56,'内訳ﾘｽﾄ(4～3月)'!O$26:O$971)</f>
        <v>0</v>
      </c>
      <c r="M56" s="160">
        <f>SUMIF('内訳ﾘｽﾄ(4～3月)'!$D$26:$D$971,$B56,'内訳ﾘｽﾄ(4～3月)'!P$26:P$971)</f>
        <v>0</v>
      </c>
      <c r="N56" s="160">
        <f>SUMIF('内訳ﾘｽﾄ(4～3月)'!$D$26:$D$971,$B56,'内訳ﾘｽﾄ(4～3月)'!Q$26:Q$971)</f>
        <v>0</v>
      </c>
      <c r="O56" s="160">
        <f>SUMIF('内訳ﾘｽﾄ(4～3月)'!$D$26:$D$770,'採算表(VND)'!$B56,'内訳ﾘｽﾄ(4～3月)'!R$26:R$770)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SUMIF('内訳ﾘｽﾄ(4～3月)'!$D$26:$D$971,$B57,'内訳ﾘｽﾄ(4～3月)'!F$26:F$971)</f>
        <v>982847</v>
      </c>
      <c r="D57" s="160">
        <f>SUMIF('内訳ﾘｽﾄ(4～3月)'!$D$26:$D$971,$B57,'内訳ﾘｽﾄ(4～3月)'!G$26:G$971)</f>
        <v>940699</v>
      </c>
      <c r="E57" s="160">
        <f>SUMIF('内訳ﾘｽﾄ(4～3月)'!$D$26:$D$971,$B57,'内訳ﾘｽﾄ(4～3月)'!H$26:H$971)</f>
        <v>959743</v>
      </c>
      <c r="F57" s="160">
        <f>SUMIF('内訳ﾘｽﾄ(4～3月)'!$D$26:$D$971,$B57,'内訳ﾘｽﾄ(4～3月)'!I$26:I$971)</f>
        <v>911501</v>
      </c>
      <c r="G57" s="160">
        <f>SUMIF('内訳ﾘｽﾄ(4～3月)'!$D$26:$D$971,$B57,'内訳ﾘｽﾄ(4～3月)'!J$26:J$971)</f>
        <v>899314</v>
      </c>
      <c r="H57" s="160">
        <f>SUMIF('内訳ﾘｽﾄ(4～3月)'!$D$26:$D$971,$B57,'内訳ﾘｽﾄ(4～3月)'!K$26:K$971)</f>
        <v>903630</v>
      </c>
      <c r="I57" s="160">
        <f>SUMIF('内訳ﾘｽﾄ(4～3月)'!$D$26:$D$971,$B57,'内訳ﾘｽﾄ(4～3月)'!L$26:L$971)</f>
        <v>894235</v>
      </c>
      <c r="J57" s="160">
        <f>SUMIF('内訳ﾘｽﾄ(4～3月)'!$D$26:$D$971,$B57,'内訳ﾘｽﾄ(4～3月)'!M$26:M$971)</f>
        <v>883826</v>
      </c>
      <c r="K57" s="160">
        <f>SUMIF('内訳ﾘｽﾄ(4～3月)'!$D$26:$D$971,$B57,'内訳ﾘｽﾄ(4～3月)'!N$26:N$971)</f>
        <v>889158</v>
      </c>
      <c r="L57" s="160">
        <f>SUMIF('内訳ﾘｽﾄ(4～3月)'!$D$26:$D$971,$B57,'内訳ﾘｽﾄ(4～3月)'!O$26:O$971)</f>
        <v>868846</v>
      </c>
      <c r="M57" s="160">
        <f>SUMIF('内訳ﾘｽﾄ(4～3月)'!$D$26:$D$971,$B57,'内訳ﾘｽﾄ(4～3月)'!P$26:P$971)</f>
        <v>848533</v>
      </c>
      <c r="N57" s="160">
        <f>SUMIF('内訳ﾘｽﾄ(4～3月)'!$D$26:$D$971,$B57,'内訳ﾘｽﾄ(4～3月)'!Q$26:Q$971)</f>
        <v>874431</v>
      </c>
      <c r="O57" s="160">
        <f>SUMIF('内訳ﾘｽﾄ(4～3月)'!$D$26:$D$770,'採算表(VND)'!$B57,'内訳ﾘｽﾄ(4～3月)'!R$26:R$770)</f>
        <v>10856763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SUMIF('内訳ﾘｽﾄ(4～3月)'!$D$26:$D$971,$B58,'内訳ﾘｽﾄ(4～3月)'!F$26:F$971)</f>
        <v>0</v>
      </c>
      <c r="D58" s="160">
        <f>SUMIF('内訳ﾘｽﾄ(4～3月)'!$D$26:$D$971,$B58,'内訳ﾘｽﾄ(4～3月)'!G$26:G$971)</f>
        <v>0</v>
      </c>
      <c r="E58" s="160">
        <f>SUMIF('内訳ﾘｽﾄ(4～3月)'!$D$26:$D$971,$B58,'内訳ﾘｽﾄ(4～3月)'!H$26:H$971)</f>
        <v>0</v>
      </c>
      <c r="F58" s="160">
        <f>SUMIF('内訳ﾘｽﾄ(4～3月)'!$D$26:$D$971,$B58,'内訳ﾘｽﾄ(4～3月)'!I$26:I$971)</f>
        <v>0</v>
      </c>
      <c r="G58" s="160">
        <f>SUMIF('内訳ﾘｽﾄ(4～3月)'!$D$26:$D$971,$B58,'内訳ﾘｽﾄ(4～3月)'!J$26:J$971)</f>
        <v>0</v>
      </c>
      <c r="H58" s="160">
        <f>SUMIF('内訳ﾘｽﾄ(4～3月)'!$D$26:$D$971,$B58,'内訳ﾘｽﾄ(4～3月)'!K$26:K$971)</f>
        <v>0</v>
      </c>
      <c r="I58" s="160">
        <f>SUMIF('内訳ﾘｽﾄ(4～3月)'!$D$26:$D$971,$B58,'内訳ﾘｽﾄ(4～3月)'!L$26:L$971)</f>
        <v>0</v>
      </c>
      <c r="J58" s="160">
        <f>SUMIF('内訳ﾘｽﾄ(4～3月)'!$D$26:$D$971,$B58,'内訳ﾘｽﾄ(4～3月)'!M$26:M$971)</f>
        <v>0</v>
      </c>
      <c r="K58" s="160">
        <f>SUMIF('内訳ﾘｽﾄ(4～3月)'!$D$26:$D$971,$B58,'内訳ﾘｽﾄ(4～3月)'!N$26:N$971)</f>
        <v>0</v>
      </c>
      <c r="L58" s="160">
        <f>SUMIF('内訳ﾘｽﾄ(4～3月)'!$D$26:$D$971,$B58,'内訳ﾘｽﾄ(4～3月)'!O$26:O$971)</f>
        <v>0</v>
      </c>
      <c r="M58" s="160">
        <f>SUMIF('内訳ﾘｽﾄ(4～3月)'!$D$26:$D$971,$B58,'内訳ﾘｽﾄ(4～3月)'!P$26:P$971)</f>
        <v>0</v>
      </c>
      <c r="N58" s="160">
        <f>SUMIF('内訳ﾘｽﾄ(4～3月)'!$D$26:$D$971,$B58,'内訳ﾘｽﾄ(4～3月)'!Q$26:Q$971)</f>
        <v>0</v>
      </c>
      <c r="O58" s="160">
        <f>SUMIF('内訳ﾘｽﾄ(4～3月)'!$D$26:$D$770,'採算表(VND)'!$B58,'内訳ﾘｽﾄ(4～3月)'!R$26:R$770)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SUMIF('内訳ﾘｽﾄ(4～3月)'!$D$26:$D$971,$B59,'内訳ﾘｽﾄ(4～3月)'!F$26:F$971)</f>
        <v>0</v>
      </c>
      <c r="D59" s="160">
        <f>SUMIF('内訳ﾘｽﾄ(4～3月)'!$D$26:$D$971,$B59,'内訳ﾘｽﾄ(4～3月)'!G$26:G$971)</f>
        <v>0</v>
      </c>
      <c r="E59" s="160">
        <f>SUMIF('内訳ﾘｽﾄ(4～3月)'!$D$26:$D$971,$B59,'内訳ﾘｽﾄ(4～3月)'!H$26:H$971)</f>
        <v>0</v>
      </c>
      <c r="F59" s="160">
        <f>SUMIF('内訳ﾘｽﾄ(4～3月)'!$D$26:$D$971,$B59,'内訳ﾘｽﾄ(4～3月)'!I$26:I$971)</f>
        <v>0</v>
      </c>
      <c r="G59" s="160">
        <f>SUMIF('内訳ﾘｽﾄ(4～3月)'!$D$26:$D$971,$B59,'内訳ﾘｽﾄ(4～3月)'!J$26:J$971)</f>
        <v>0</v>
      </c>
      <c r="H59" s="160">
        <f>SUMIF('内訳ﾘｽﾄ(4～3月)'!$D$26:$D$971,$B59,'内訳ﾘｽﾄ(4～3月)'!K$26:K$971)</f>
        <v>0</v>
      </c>
      <c r="I59" s="160">
        <f>SUMIF('内訳ﾘｽﾄ(4～3月)'!$D$26:$D$971,$B59,'内訳ﾘｽﾄ(4～3月)'!L$26:L$971)</f>
        <v>0</v>
      </c>
      <c r="J59" s="160">
        <f>SUMIF('内訳ﾘｽﾄ(4～3月)'!$D$26:$D$971,$B59,'内訳ﾘｽﾄ(4～3月)'!M$26:M$971)</f>
        <v>0</v>
      </c>
      <c r="K59" s="160">
        <f>SUMIF('内訳ﾘｽﾄ(4～3月)'!$D$26:$D$971,$B59,'内訳ﾘｽﾄ(4～3月)'!N$26:N$971)</f>
        <v>0</v>
      </c>
      <c r="L59" s="160">
        <f>SUMIF('内訳ﾘｽﾄ(4～3月)'!$D$26:$D$971,$B59,'内訳ﾘｽﾄ(4～3月)'!O$26:O$971)</f>
        <v>0</v>
      </c>
      <c r="M59" s="160">
        <f>SUMIF('内訳ﾘｽﾄ(4～3月)'!$D$26:$D$971,$B59,'内訳ﾘｽﾄ(4～3月)'!P$26:P$971)</f>
        <v>0</v>
      </c>
      <c r="N59" s="160">
        <f>SUMIF('内訳ﾘｽﾄ(4～3月)'!$D$26:$D$971,$B59,'内訳ﾘｽﾄ(4～3月)'!Q$26:Q$971)</f>
        <v>0</v>
      </c>
      <c r="O59" s="160">
        <f>SUMIF('内訳ﾘｽﾄ(4～3月)'!$D$26:$D$770,'採算表(VND)'!$B59,'内訳ﾘｽﾄ(4～3月)'!R$26:R$770)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SUMIF('内訳ﾘｽﾄ(4～3月)'!$D$26:$D$971,$B60,'内訳ﾘｽﾄ(4～3月)'!F$26:F$971)</f>
        <v>0</v>
      </c>
      <c r="D60" s="160">
        <f>SUMIF('内訳ﾘｽﾄ(4～3月)'!$D$26:$D$971,$B60,'内訳ﾘｽﾄ(4～3月)'!G$26:G$971)</f>
        <v>0</v>
      </c>
      <c r="E60" s="160">
        <f>SUMIF('内訳ﾘｽﾄ(4～3月)'!$D$26:$D$971,$B60,'内訳ﾘｽﾄ(4～3月)'!H$26:H$971)</f>
        <v>0</v>
      </c>
      <c r="F60" s="160">
        <f>SUMIF('内訳ﾘｽﾄ(4～3月)'!$D$26:$D$971,$B60,'内訳ﾘｽﾄ(4～3月)'!I$26:I$971)</f>
        <v>0</v>
      </c>
      <c r="G60" s="160">
        <f>SUMIF('内訳ﾘｽﾄ(4～3月)'!$D$26:$D$971,$B60,'内訳ﾘｽﾄ(4～3月)'!J$26:J$971)</f>
        <v>0</v>
      </c>
      <c r="H60" s="160">
        <f>SUMIF('内訳ﾘｽﾄ(4～3月)'!$D$26:$D$971,$B60,'内訳ﾘｽﾄ(4～3月)'!K$26:K$971)</f>
        <v>0</v>
      </c>
      <c r="I60" s="160">
        <f>SUMIF('内訳ﾘｽﾄ(4～3月)'!$D$26:$D$971,$B60,'内訳ﾘｽﾄ(4～3月)'!L$26:L$971)</f>
        <v>0</v>
      </c>
      <c r="J60" s="160">
        <f>SUMIF('内訳ﾘｽﾄ(4～3月)'!$D$26:$D$971,$B60,'内訳ﾘｽﾄ(4～3月)'!M$26:M$971)</f>
        <v>0</v>
      </c>
      <c r="K60" s="160">
        <f>SUMIF('内訳ﾘｽﾄ(4～3月)'!$D$26:$D$971,$B60,'内訳ﾘｽﾄ(4～3月)'!N$26:N$971)</f>
        <v>0</v>
      </c>
      <c r="L60" s="160">
        <f>SUMIF('内訳ﾘｽﾄ(4～3月)'!$D$26:$D$971,$B60,'内訳ﾘｽﾄ(4～3月)'!O$26:O$971)</f>
        <v>0</v>
      </c>
      <c r="M60" s="160">
        <f>SUMIF('内訳ﾘｽﾄ(4～3月)'!$D$26:$D$971,$B60,'内訳ﾘｽﾄ(4～3月)'!P$26:P$971)</f>
        <v>0</v>
      </c>
      <c r="N60" s="160">
        <f>SUMIF('内訳ﾘｽﾄ(4～3月)'!$D$26:$D$971,$B60,'内訳ﾘｽﾄ(4～3月)'!Q$26:Q$971)</f>
        <v>0</v>
      </c>
      <c r="O60" s="160">
        <f>SUMIF('内訳ﾘｽﾄ(4～3月)'!$D$26:$D$770,'採算表(VND)'!$B60,'内訳ﾘｽﾄ(4～3月)'!R$26:R$770)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IF('内訳ﾘｽﾄ(4～3月)'!$D$5="製造",SUMIF('内訳ﾘｽﾄ(4～3月)'!$D$26:$D$971,$B61,'内訳ﾘｽﾄ(4～3月)'!F$26:F$971),IF('内訳ﾘｽﾄ(4～3月)'!$D$5="部内間接",-SUM(C$14:C$60,C$65),0))</f>
        <v>0</v>
      </c>
      <c r="D61" s="160">
        <f>IF('内訳ﾘｽﾄ(4～3月)'!$D$5="製造",SUMIF('内訳ﾘｽﾄ(4～3月)'!$D$26:$D$971,$B61,'内訳ﾘｽﾄ(4～3月)'!G$26:G$971),IF('内訳ﾘｽﾄ(4～3月)'!$D$5="部内間接",-SUM(D$14:D$60,D$65),0))</f>
        <v>0</v>
      </c>
      <c r="E61" s="160">
        <f>IF('内訳ﾘｽﾄ(4～3月)'!$D$5="製造",SUMIF('内訳ﾘｽﾄ(4～3月)'!$D$26:$D$971,$B61,'内訳ﾘｽﾄ(4～3月)'!H$26:H$971),IF('内訳ﾘｽﾄ(4～3月)'!$D$5="部内間接",-SUM(E$14:E$60,E$65),0))</f>
        <v>0</v>
      </c>
      <c r="F61" s="160">
        <f>IF('内訳ﾘｽﾄ(4～3月)'!$D$5="製造",SUMIF('内訳ﾘｽﾄ(4～3月)'!$D$26:$D$971,$B61,'内訳ﾘｽﾄ(4～3月)'!I$26:I$971),IF('内訳ﾘｽﾄ(4～3月)'!$D$5="部内間接",-SUM(F$14:F$60,F$65),0))</f>
        <v>0</v>
      </c>
      <c r="G61" s="160">
        <f>IF('内訳ﾘｽﾄ(4～3月)'!$D$5="製造",SUMIF('内訳ﾘｽﾄ(4～3月)'!$D$26:$D$971,$B61,'内訳ﾘｽﾄ(4～3月)'!J$26:J$971),IF('内訳ﾘｽﾄ(4～3月)'!$D$5="部内間接",-SUM(G$14:G$60,G$65),0))</f>
        <v>0</v>
      </c>
      <c r="H61" s="160">
        <f>IF('内訳ﾘｽﾄ(4～3月)'!$D$5="製造",SUMIF('内訳ﾘｽﾄ(4～3月)'!$D$26:$D$971,$B61,'内訳ﾘｽﾄ(4～3月)'!K$26:K$971),IF('内訳ﾘｽﾄ(4～3月)'!$D$5="部内間接",-SUM(H$14:H$60,H$65),0))</f>
        <v>0</v>
      </c>
      <c r="I61" s="160">
        <f>IF('内訳ﾘｽﾄ(4～3月)'!$D$5="製造",SUMIF('内訳ﾘｽﾄ(4～3月)'!$D$26:$D$971,$B61,'内訳ﾘｽﾄ(4～3月)'!L$26:L$971),IF('内訳ﾘｽﾄ(4～3月)'!$D$5="部内間接",-SUM(I$14:I$60,I$65),0))</f>
        <v>0</v>
      </c>
      <c r="J61" s="160">
        <f>IF('内訳ﾘｽﾄ(4～3月)'!$D$5="製造",SUMIF('内訳ﾘｽﾄ(4～3月)'!$D$26:$D$971,$B61,'内訳ﾘｽﾄ(4～3月)'!M$26:M$971),IF('内訳ﾘｽﾄ(4～3月)'!$D$5="部内間接",-SUM(J$14:J$60,J$65),0))</f>
        <v>0</v>
      </c>
      <c r="K61" s="160">
        <f>IF('内訳ﾘｽﾄ(4～3月)'!$D$5="製造",SUMIF('内訳ﾘｽﾄ(4～3月)'!$D$26:$D$971,$B61,'内訳ﾘｽﾄ(4～3月)'!N$26:N$971),IF('内訳ﾘｽﾄ(4～3月)'!$D$5="部内間接",-SUM(K$14:K$60,K$65),0))</f>
        <v>0</v>
      </c>
      <c r="L61" s="160">
        <f>IF('内訳ﾘｽﾄ(4～3月)'!$D$5="製造",SUMIF('内訳ﾘｽﾄ(4～3月)'!$D$26:$D$971,$B61,'内訳ﾘｽﾄ(4～3月)'!O$26:O$971),IF('内訳ﾘｽﾄ(4～3月)'!$D$5="部内間接",-SUM(L$14:L$60,L$65),0))</f>
        <v>0</v>
      </c>
      <c r="M61" s="160">
        <f>IF('内訳ﾘｽﾄ(4～3月)'!$D$5="製造",SUMIF('内訳ﾘｽﾄ(4～3月)'!$D$26:$D$971,$B61,'内訳ﾘｽﾄ(4～3月)'!P$26:P$971),IF('内訳ﾘｽﾄ(4～3月)'!$D$5="部内間接",-SUM(M$14:M$60,M$65),0))</f>
        <v>0</v>
      </c>
      <c r="N61" s="160">
        <f>IF('内訳ﾘｽﾄ(4～3月)'!$D$5="製造",SUMIF('内訳ﾘｽﾄ(4～3月)'!$D$26:$D$971,$B61,'内訳ﾘｽﾄ(4～3月)'!Q$26:Q$971),IF('内訳ﾘｽﾄ(4～3月)'!$D$5="部内間接",-SUM(N$14:N$60,N$65),0))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IF('内訳ﾘｽﾄ(4～3月)'!$D$5="部内間接",-SUM(O$65,O$14:O$60),IF('内訳ﾘｽﾄ(4～3月)'!$D$5="製造",SUMIF('内訳ﾘｽﾄ(4～3月)'!$D$26:$D$770,'採算表(VND)'!$B61,'内訳ﾘｽﾄ(4～3月)'!R$26:R$770),0))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IF('内訳ﾘｽﾄ(4～3月)'!$D$5="製造",SUMIF('内訳ﾘｽﾄ(4～3月)'!$D$26:$D$971,$B62,'内訳ﾘｽﾄ(4～3月)'!F$26:F$971),IF('内訳ﾘｽﾄ(4～3月)'!$D$5="部外間接1",-SUM(C$14:C$60,C$65),0))</f>
        <v>-28405905</v>
      </c>
      <c r="D62" s="160">
        <f>IF('内訳ﾘｽﾄ(4～3月)'!$D$5="製造",SUMIF('内訳ﾘｽﾄ(4～3月)'!$D$26:$D$971,$B62,'内訳ﾘｽﾄ(4～3月)'!G$26:G$971),IF('内訳ﾘｽﾄ(4～3月)'!$D$5="部外間接1",-SUM(D$14:D$60,D$65),0))</f>
        <v>-36428348</v>
      </c>
      <c r="E62" s="160">
        <f>IF('内訳ﾘｽﾄ(4～3月)'!$D$5="製造",SUMIF('内訳ﾘｽﾄ(4～3月)'!$D$26:$D$971,$B62,'内訳ﾘｽﾄ(4～3月)'!H$26:H$971),IF('内訳ﾘｽﾄ(4～3月)'!$D$5="部外間接1",-SUM(E$14:E$60,E$65),0))</f>
        <v>-25726609</v>
      </c>
      <c r="F62" s="160">
        <f>IF('内訳ﾘｽﾄ(4～3月)'!$D$5="製造",SUMIF('内訳ﾘｽﾄ(4～3月)'!$D$26:$D$971,$B62,'内訳ﾘｽﾄ(4～3月)'!I$26:I$971),IF('内訳ﾘｽﾄ(4～3月)'!$D$5="部外間接1",-SUM(F$14:F$60,F$65),0))</f>
        <v>-42931859</v>
      </c>
      <c r="G62" s="160">
        <f>IF('内訳ﾘｽﾄ(4～3月)'!$D$5="製造",SUMIF('内訳ﾘｽﾄ(4～3月)'!$D$26:$D$971,$B62,'内訳ﾘｽﾄ(4～3月)'!J$26:J$971),IF('内訳ﾘｽﾄ(4～3月)'!$D$5="部外間接1",-SUM(G$14:G$60,G$65),0))</f>
        <v>-25390338</v>
      </c>
      <c r="H62" s="160">
        <f>IF('内訳ﾘｽﾄ(4～3月)'!$D$5="製造",SUMIF('内訳ﾘｽﾄ(4～3月)'!$D$26:$D$971,$B62,'内訳ﾘｽﾄ(4～3月)'!K$26:K$971),IF('内訳ﾘｽﾄ(4～3月)'!$D$5="部外間接1",-SUM(H$14:H$60,H$65),0))</f>
        <v>-42956860</v>
      </c>
      <c r="I62" s="160">
        <f>IF('内訳ﾘｽﾄ(4～3月)'!$D$5="製造",SUMIF('内訳ﾘｽﾄ(4～3月)'!$D$26:$D$971,$B62,'内訳ﾘｽﾄ(4～3月)'!L$26:L$971),IF('内訳ﾘｽﾄ(4～3月)'!$D$5="部外間接1",-SUM(I$14:I$60,I$65),0))</f>
        <v>-23905575</v>
      </c>
      <c r="J62" s="160">
        <f>IF('内訳ﾘｽﾄ(4～3月)'!$D$5="製造",SUMIF('内訳ﾘｽﾄ(4～3月)'!$D$26:$D$971,$B62,'内訳ﾘｽﾄ(4～3月)'!M$26:M$971),IF('内訳ﾘｽﾄ(4～3月)'!$D$5="部外間接1",-SUM(J$14:J$60,J$65),0))</f>
        <v>-25784185</v>
      </c>
      <c r="K62" s="160">
        <f>IF('内訳ﾘｽﾄ(4～3月)'!$D$5="製造",SUMIF('内訳ﾘｽﾄ(4～3月)'!$D$26:$D$971,$B62,'内訳ﾘｽﾄ(4～3月)'!N$26:N$971),IF('内訳ﾘｽﾄ(4～3月)'!$D$5="部外間接1",-SUM(K$14:K$60,K$65),0))</f>
        <v>-25821703</v>
      </c>
      <c r="L62" s="160">
        <f>IF('内訳ﾘｽﾄ(4～3月)'!$D$5="製造",SUMIF('内訳ﾘｽﾄ(4～3月)'!$D$26:$D$971,$B62,'内訳ﾘｽﾄ(4～3月)'!O$26:O$971),IF('内訳ﾘｽﾄ(4～3月)'!$D$5="部外間接1",-SUM(L$14:L$60,L$65),0))</f>
        <v>-23663029</v>
      </c>
      <c r="M62" s="160">
        <f>IF('内訳ﾘｽﾄ(4～3月)'!$D$5="製造",SUMIF('内訳ﾘｽﾄ(4～3月)'!$D$26:$D$971,$B62,'内訳ﾘｽﾄ(4～3月)'!P$26:P$971),IF('内訳ﾘｽﾄ(4～3月)'!$D$5="部外間接1",-SUM(M$14:M$60,M$65),0))</f>
        <v>-25369553</v>
      </c>
      <c r="N62" s="160">
        <f>IF('内訳ﾘｽﾄ(4～3月)'!$D$5="製造",SUMIF('内訳ﾘｽﾄ(4～3月)'!$D$26:$D$971,$B62,'内訳ﾘｽﾄ(4～3月)'!Q$26:Q$971),IF('内訳ﾘｽﾄ(4～3月)'!$D$5="部外間接1",-SUM(N$14:N$60,N$65),0))</f>
        <v>-23389901</v>
      </c>
      <c r="O62" s="160">
        <f>IF('内訳ﾘｽﾄ(4～3月)'!$D$5="部外間接1",-SUM(O$65,O$14:O$60),IF('内訳ﾘｽﾄ(4～3月)'!$D$5="製造",SUMIF('内訳ﾘｽﾄ(4～3月)'!$D$26:$D$770,'採算表(VND)'!$B62,'内訳ﾘｽﾄ(4～3月)'!R$26:R$770),0))</f>
        <v>-349773865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IF('内訳ﾘｽﾄ(4～3月)'!$D$5="製造",SUMIF('内訳ﾘｽﾄ(4～3月)'!$D$26:$D$971,$B63,'内訳ﾘｽﾄ(4～3月)'!F$26:F$971),IF('内訳ﾘｽﾄ(4～3月)'!$D$5="部外間接2",-SUM(C$14:C$60,C$65),0))</f>
        <v>0</v>
      </c>
      <c r="D63" s="160">
        <f>IF('内訳ﾘｽﾄ(4～3月)'!$D$5="製造",SUMIF('内訳ﾘｽﾄ(4～3月)'!$D$26:$D$971,$B63,'内訳ﾘｽﾄ(4～3月)'!G$26:G$971),IF('内訳ﾘｽﾄ(4～3月)'!$D$5="部外間接2",-SUM(D$14:D$60,D$65),0))</f>
        <v>0</v>
      </c>
      <c r="E63" s="160">
        <f>IF('内訳ﾘｽﾄ(4～3月)'!$D$5="製造",SUMIF('内訳ﾘｽﾄ(4～3月)'!$D$26:$D$971,$B63,'内訳ﾘｽﾄ(4～3月)'!H$26:H$971),IF('内訳ﾘｽﾄ(4～3月)'!$D$5="部外間接2",-SUM(E$14:E$60,E$65),0))</f>
        <v>0</v>
      </c>
      <c r="F63" s="160">
        <f>IF('内訳ﾘｽﾄ(4～3月)'!$D$5="製造",SUMIF('内訳ﾘｽﾄ(4～3月)'!$D$26:$D$971,$B63,'内訳ﾘｽﾄ(4～3月)'!I$26:I$971),IF('内訳ﾘｽﾄ(4～3月)'!$D$5="部外間接2",-SUM(F$14:F$60,F$65),0))</f>
        <v>0</v>
      </c>
      <c r="G63" s="160">
        <f>IF('内訳ﾘｽﾄ(4～3月)'!$D$5="製造",SUMIF('内訳ﾘｽﾄ(4～3月)'!$D$26:$D$971,$B63,'内訳ﾘｽﾄ(4～3月)'!J$26:J$971),IF('内訳ﾘｽﾄ(4～3月)'!$D$5="部外間接2",-SUM(G$14:G$60,G$65),0))</f>
        <v>0</v>
      </c>
      <c r="H63" s="160">
        <f>IF('内訳ﾘｽﾄ(4～3月)'!$D$5="製造",SUMIF('内訳ﾘｽﾄ(4～3月)'!$D$26:$D$971,$B63,'内訳ﾘｽﾄ(4～3月)'!K$26:K$971),IF('内訳ﾘｽﾄ(4～3月)'!$D$5="部外間接2",-SUM(H$14:H$60,H$65),0))</f>
        <v>0</v>
      </c>
      <c r="I63" s="160">
        <f>IF('内訳ﾘｽﾄ(4～3月)'!$D$5="製造",SUMIF('内訳ﾘｽﾄ(4～3月)'!$D$26:$D$971,$B63,'内訳ﾘｽﾄ(4～3月)'!L$26:L$971),IF('内訳ﾘｽﾄ(4～3月)'!$D$5="部外間接2",-SUM(I$14:I$60,I$65),0))</f>
        <v>0</v>
      </c>
      <c r="J63" s="160">
        <f>IF('内訳ﾘｽﾄ(4～3月)'!$D$5="製造",SUMIF('内訳ﾘｽﾄ(4～3月)'!$D$26:$D$971,$B63,'内訳ﾘｽﾄ(4～3月)'!M$26:M$971),IF('内訳ﾘｽﾄ(4～3月)'!$D$5="部外間接2",-SUM(J$14:J$60,J$65),0))</f>
        <v>0</v>
      </c>
      <c r="K63" s="160">
        <f>IF('内訳ﾘｽﾄ(4～3月)'!$D$5="製造",SUMIF('内訳ﾘｽﾄ(4～3月)'!$D$26:$D$971,$B63,'内訳ﾘｽﾄ(4～3月)'!N$26:N$971),IF('内訳ﾘｽﾄ(4～3月)'!$D$5="部外間接2",-SUM(K$14:K$60,K$65),0))</f>
        <v>0</v>
      </c>
      <c r="L63" s="160">
        <f>IF('内訳ﾘｽﾄ(4～3月)'!$D$5="製造",SUMIF('内訳ﾘｽﾄ(4～3月)'!$D$26:$D$971,$B63,'内訳ﾘｽﾄ(4～3月)'!O$26:O$971),IF('内訳ﾘｽﾄ(4～3月)'!$D$5="部外間接2",-SUM(L$14:L$60,L$65),0))</f>
        <v>0</v>
      </c>
      <c r="M63" s="160">
        <f>IF('内訳ﾘｽﾄ(4～3月)'!$D$5="製造",SUMIF('内訳ﾘｽﾄ(4～3月)'!$D$26:$D$971,$B63,'内訳ﾘｽﾄ(4～3月)'!P$26:P$971),IF('内訳ﾘｽﾄ(4～3月)'!$D$5="部外間接2",-SUM(M$14:M$60,M$65),0))</f>
        <v>0</v>
      </c>
      <c r="N63" s="160">
        <f>IF('内訳ﾘｽﾄ(4～3月)'!$D$5="製造",SUMIF('内訳ﾘｽﾄ(4～3月)'!$D$26:$D$971,$B63,'内訳ﾘｽﾄ(4～3月)'!Q$26:Q$971),IF('内訳ﾘｽﾄ(4～3月)'!$D$5="部外間接2",-SUM(N$14:N$60,N$65),0))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IF('内訳ﾘｽﾄ(4～3月)'!$D$5="部外間接2",-SUM(O$65,O$14:O$60),IF('内訳ﾘｽﾄ(4～3月)'!$D$5="製造",SUMIF('内訳ﾘｽﾄ(4～3月)'!$D$26:$D$770,'採算表(VND)'!$B63,'内訳ﾘｽﾄ(4～3月)'!R$26:R$770),0))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IF('内訳ﾘｽﾄ(4～3月)'!$D$5="製造",SUMIF('内訳ﾘｽﾄ(4～3月)'!$D$26:$D$971,$B64,'内訳ﾘｽﾄ(4～3月)'!F$26:F$971),IF('内訳ﾘｽﾄ(4～3月)'!$D$5="工場間接",-SUM(C$14:C$60,C$65),0))</f>
        <v>0</v>
      </c>
      <c r="D64" s="160">
        <f>IF('内訳ﾘｽﾄ(4～3月)'!$D$5="製造",SUMIF('内訳ﾘｽﾄ(4～3月)'!$D$26:$D$971,$B64,'内訳ﾘｽﾄ(4～3月)'!G$26:G$971),IF('内訳ﾘｽﾄ(4～3月)'!$D$5="工場間接",-SUM(D$14:D$60,D$65),0))</f>
        <v>0</v>
      </c>
      <c r="E64" s="160">
        <f>IF('内訳ﾘｽﾄ(4～3月)'!$D$5="製造",SUMIF('内訳ﾘｽﾄ(4～3月)'!$D$26:$D$971,$B64,'内訳ﾘｽﾄ(4～3月)'!H$26:H$971),IF('内訳ﾘｽﾄ(4～3月)'!$D$5="工場間接",-SUM(E$14:E$60,E$65),0))</f>
        <v>0</v>
      </c>
      <c r="F64" s="160">
        <f>IF('内訳ﾘｽﾄ(4～3月)'!$D$5="製造",SUMIF('内訳ﾘｽﾄ(4～3月)'!$D$26:$D$971,$B64,'内訳ﾘｽﾄ(4～3月)'!I$26:I$971),IF('内訳ﾘｽﾄ(4～3月)'!$D$5="工場間接",-SUM(F$14:F$60,F$65),0))</f>
        <v>0</v>
      </c>
      <c r="G64" s="160">
        <f>IF('内訳ﾘｽﾄ(4～3月)'!$D$5="製造",SUMIF('内訳ﾘｽﾄ(4～3月)'!$D$26:$D$971,$B64,'内訳ﾘｽﾄ(4～3月)'!J$26:J$971),IF('内訳ﾘｽﾄ(4～3月)'!$D$5="工場間接",-SUM(G$14:G$60,G$65),0))</f>
        <v>0</v>
      </c>
      <c r="H64" s="160">
        <f>IF('内訳ﾘｽﾄ(4～3月)'!$D$5="製造",SUMIF('内訳ﾘｽﾄ(4～3月)'!$D$26:$D$971,$B64,'内訳ﾘｽﾄ(4～3月)'!K$26:K$971),IF('内訳ﾘｽﾄ(4～3月)'!$D$5="工場間接",-SUM(H$14:H$60,H$65),0))</f>
        <v>0</v>
      </c>
      <c r="I64" s="160">
        <f>IF('内訳ﾘｽﾄ(4～3月)'!$D$5="製造",SUMIF('内訳ﾘｽﾄ(4～3月)'!$D$26:$D$971,$B64,'内訳ﾘｽﾄ(4～3月)'!L$26:L$971),IF('内訳ﾘｽﾄ(4～3月)'!$D$5="工場間接",-SUM(I$14:I$60,I$65),0))</f>
        <v>0</v>
      </c>
      <c r="J64" s="160">
        <f>IF('内訳ﾘｽﾄ(4～3月)'!$D$5="製造",SUMIF('内訳ﾘｽﾄ(4～3月)'!$D$26:$D$971,$B64,'内訳ﾘｽﾄ(4～3月)'!M$26:M$971),IF('内訳ﾘｽﾄ(4～3月)'!$D$5="工場間接",-SUM(J$14:J$60,J$65),0))</f>
        <v>0</v>
      </c>
      <c r="K64" s="160">
        <f>IF('内訳ﾘｽﾄ(4～3月)'!$D$5="製造",SUMIF('内訳ﾘｽﾄ(4～3月)'!$D$26:$D$971,$B64,'内訳ﾘｽﾄ(4～3月)'!N$26:N$971),IF('内訳ﾘｽﾄ(4～3月)'!$D$5="工場間接",-SUM(K$14:K$60,K$65),0))</f>
        <v>0</v>
      </c>
      <c r="L64" s="160">
        <f>IF('内訳ﾘｽﾄ(4～3月)'!$D$5="製造",SUMIF('内訳ﾘｽﾄ(4～3月)'!$D$26:$D$971,$B64,'内訳ﾘｽﾄ(4～3月)'!O$26:O$971),IF('内訳ﾘｽﾄ(4～3月)'!$D$5="工場間接",-SUM(L$14:L$60,L$65),0))</f>
        <v>0</v>
      </c>
      <c r="M64" s="160">
        <f>IF('内訳ﾘｽﾄ(4～3月)'!$D$5="製造",SUMIF('内訳ﾘｽﾄ(4～3月)'!$D$26:$D$971,$B64,'内訳ﾘｽﾄ(4～3月)'!P$26:P$971),IF('内訳ﾘｽﾄ(4～3月)'!$D$5="工場間接",-SUM(M$14:M$60,M$65),0))</f>
        <v>0</v>
      </c>
      <c r="N64" s="160">
        <f>IF('内訳ﾘｽﾄ(4～3月)'!$D$5="製造",SUMIF('内訳ﾘｽﾄ(4～3月)'!$D$26:$D$971,$B64,'内訳ﾘｽﾄ(4～3月)'!Q$26:Q$971),IF('内訳ﾘｽﾄ(4～3月)'!$D$5="工場間接",-SUM(N$14:N$60,N$65),0))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IF('内訳ﾘｽﾄ(4～3月)'!$D$5="工場間接",-SUM(O$65,O$14:O$60),IF('内訳ﾘｽﾄ(4～3月)'!$D$5="製造",SUMIF('内訳ﾘｽﾄ(4～3月)'!$D$26:$D$770,'採算表(VND)'!$B64,'内訳ﾘｽﾄ(4～3月)'!R$26:R$770),0))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SUMIF('内訳ﾘｽﾄ(4～3月)'!$D$26:$D$971,$B65,'内訳ﾘｽﾄ(4～3月)'!F$26:F$971)</f>
        <v>0</v>
      </c>
      <c r="D65" s="158">
        <f>SUMIF('内訳ﾘｽﾄ(4～3月)'!$D$26:$D$971,$B65,'内訳ﾘｽﾄ(4～3月)'!G$26:G$971)</f>
        <v>0</v>
      </c>
      <c r="E65" s="158">
        <f>SUMIF('内訳ﾘｽﾄ(4～3月)'!$D$26:$D$971,$B65,'内訳ﾘｽﾄ(4～3月)'!H$26:H$971)</f>
        <v>0</v>
      </c>
      <c r="F65" s="158">
        <f>SUMIF('内訳ﾘｽﾄ(4～3月)'!$D$26:$D$971,$B65,'内訳ﾘｽﾄ(4～3月)'!I$26:I$971)</f>
        <v>0</v>
      </c>
      <c r="G65" s="158">
        <f>SUMIF('内訳ﾘｽﾄ(4～3月)'!$D$26:$D$971,$B65,'内訳ﾘｽﾄ(4～3月)'!J$26:J$971)</f>
        <v>0</v>
      </c>
      <c r="H65" s="158">
        <f>SUMIF('内訳ﾘｽﾄ(4～3月)'!$D$26:$D$971,$B65,'内訳ﾘｽﾄ(4～3月)'!K$26:K$971)</f>
        <v>0</v>
      </c>
      <c r="I65" s="158">
        <f>SUMIF('内訳ﾘｽﾄ(4～3月)'!$D$26:$D$971,$B65,'内訳ﾘｽﾄ(4～3月)'!L$26:L$971)</f>
        <v>0</v>
      </c>
      <c r="J65" s="158">
        <f>SUMIF('内訳ﾘｽﾄ(4～3月)'!$D$26:$D$971,$B65,'内訳ﾘｽﾄ(4～3月)'!M$26:M$971)</f>
        <v>0</v>
      </c>
      <c r="K65" s="158">
        <f>SUMIF('内訳ﾘｽﾄ(4～3月)'!$D$26:$D$971,$B65,'内訳ﾘｽﾄ(4～3月)'!N$26:N$971)</f>
        <v>0</v>
      </c>
      <c r="L65" s="158">
        <f>SUMIF('内訳ﾘｽﾄ(4～3月)'!$D$26:$D$971,$B65,'内訳ﾘｽﾄ(4～3月)'!O$26:O$971)</f>
        <v>0</v>
      </c>
      <c r="M65" s="158">
        <f>SUMIF('内訳ﾘｽﾄ(4～3月)'!$D$26:$D$971,$B65,'内訳ﾘｽﾄ(4～3月)'!P$26:P$971)</f>
        <v>0</v>
      </c>
      <c r="N65" s="158">
        <f>SUMIF('内訳ﾘｽﾄ(4～3月)'!$D$26:$D$971,$B65,'内訳ﾘｽﾄ(4～3月)'!Q$26:Q$971)</f>
        <v>0</v>
      </c>
      <c r="O65" s="158">
        <f>SUMIF('内訳ﾘｽﾄ(4～3月)'!$D$26:$D$770,'採算表(VND)'!$B65,'内訳ﾘｽﾄ(4～3月)'!R$26:R$770)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 ca="1">SUMIF('内訳ﾘｽﾄ(4～3月)'!$D$8:$D$15,'採算表(VND)'!$B68,'内訳ﾘｽﾄ(4～3月)'!F$8:F$15)</f>
        <v>969</v>
      </c>
      <c r="D68" s="162">
        <f ca="1">SUMIF('内訳ﾘｽﾄ(4～3月)'!$D$8:$D$15,'採算表(VND)'!$B68,'内訳ﾘｽﾄ(4～3月)'!G$8:G$15)</f>
        <v>918</v>
      </c>
      <c r="E68" s="162">
        <f ca="1">SUMIF('内訳ﾘｽﾄ(4～3月)'!$D$8:$D$15,'採算表(VND)'!$B68,'内訳ﾘｽﾄ(4～3月)'!H$8:H$15)</f>
        <v>1020</v>
      </c>
      <c r="F68" s="162">
        <f ca="1">SUMIF('内訳ﾘｽﾄ(4～3月)'!$D$8:$D$15,'採算表(VND)'!$B68,'内訳ﾘｽﾄ(4～3月)'!I$8:I$15)</f>
        <v>1122</v>
      </c>
      <c r="G68" s="162">
        <f ca="1">SUMIF('内訳ﾘｽﾄ(4～3月)'!$D$8:$D$15,'採算表(VND)'!$B68,'内訳ﾘｽﾄ(4～3月)'!J$8:J$15)</f>
        <v>969</v>
      </c>
      <c r="H68" s="162">
        <f ca="1">SUMIF('内訳ﾘｽﾄ(4～3月)'!$D$8:$D$15,'採算表(VND)'!$B68,'内訳ﾘｽﾄ(4～3月)'!K$8:K$15)</f>
        <v>918</v>
      </c>
      <c r="I68" s="162">
        <f ca="1">SUMIF('内訳ﾘｽﾄ(4～3月)'!$D$8:$D$15,'採算表(VND)'!$B68,'内訳ﾘｽﾄ(4～3月)'!L$8:L$15)</f>
        <v>1122</v>
      </c>
      <c r="J68" s="162">
        <f ca="1">SUMIF('内訳ﾘｽﾄ(4～3月)'!$D$8:$D$15,'採算表(VND)'!$B68,'内訳ﾘｽﾄ(4～3月)'!M$8:M$15)</f>
        <v>969</v>
      </c>
      <c r="K68" s="162">
        <f ca="1">SUMIF('内訳ﾘｽﾄ(4～3月)'!$D$8:$D$15,'採算表(VND)'!$B68,'内訳ﾘｽﾄ(4～3月)'!N$8:N$15)</f>
        <v>1071</v>
      </c>
      <c r="L68" s="162">
        <f ca="1">SUMIF('内訳ﾘｽﾄ(4～3月)'!$D$8:$D$15,'採算表(VND)'!$B68,'内訳ﾘｽﾄ(4～3月)'!O$8:O$15)</f>
        <v>969</v>
      </c>
      <c r="M68" s="162">
        <f ca="1">SUMIF('内訳ﾘｽﾄ(4～3月)'!$D$8:$D$15,'採算表(VND)'!$B68,'内訳ﾘｽﾄ(4～3月)'!P$8:P$15)</f>
        <v>765</v>
      </c>
      <c r="N68" s="162">
        <f ca="1">SUMIF('内訳ﾘｽﾄ(4～3月)'!$D$8:$D$15,'採算表(VND)'!$B68,'内訳ﾘｽﾄ(4～3月)'!Q$8:Q$15)</f>
        <v>969</v>
      </c>
      <c r="O68" s="162">
        <f ca="1">SUMIF('内訳ﾘｽﾄ(4～3月)'!$D$8:$D$15,'採算表(VND)'!$B68,'内訳ﾘｽﾄ(4～3月)'!$R$8:$R$15)</f>
        <v>11781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 ca="1">IF('内訳ﾘｽﾄ(4～3月)'!$D$5="製造",SUMIF('内訳ﾘｽﾄ(4～3月)'!$D$8:$D$15,$B70,'内訳ﾘｽﾄ(4～3月)'!F$8:F$15),IF('内訳ﾘｽﾄ(4～3月)'!$D$5="部外間接1",-C$68,0))</f>
        <v>-969</v>
      </c>
      <c r="D70" s="164">
        <f ca="1">IF('内訳ﾘｽﾄ(4～3月)'!$D$5="製造",SUMIF('内訳ﾘｽﾄ(4～3月)'!$D$8:$D$15,$B70,'内訳ﾘｽﾄ(4～3月)'!G$8:G$15),IF('内訳ﾘｽﾄ(4～3月)'!$D$5="部外間接1",-D$68,0))</f>
        <v>-918</v>
      </c>
      <c r="E70" s="164">
        <f ca="1">IF('内訳ﾘｽﾄ(4～3月)'!$D$5="製造",SUMIF('内訳ﾘｽﾄ(4～3月)'!$D$8:$D$15,$B70,'内訳ﾘｽﾄ(4～3月)'!H$8:H$15),IF('内訳ﾘｽﾄ(4～3月)'!$D$5="部外間接1",-E$68,0))</f>
        <v>-1020</v>
      </c>
      <c r="F70" s="164">
        <f ca="1">IF('内訳ﾘｽﾄ(4～3月)'!$D$5="製造",SUMIF('内訳ﾘｽﾄ(4～3月)'!$D$8:$D$15,$B70,'内訳ﾘｽﾄ(4～3月)'!I$8:I$15),IF('内訳ﾘｽﾄ(4～3月)'!$D$5="部外間接1",-F$68,0))</f>
        <v>-1122</v>
      </c>
      <c r="G70" s="164">
        <f ca="1">IF('内訳ﾘｽﾄ(4～3月)'!$D$5="製造",SUMIF('内訳ﾘｽﾄ(4～3月)'!$D$8:$D$15,$B70,'内訳ﾘｽﾄ(4～3月)'!J$8:J$15),IF('内訳ﾘｽﾄ(4～3月)'!$D$5="部外間接1",-G$68,0))</f>
        <v>-969</v>
      </c>
      <c r="H70" s="164">
        <f ca="1">IF('内訳ﾘｽﾄ(4～3月)'!$D$5="製造",SUMIF('内訳ﾘｽﾄ(4～3月)'!$D$8:$D$15,$B70,'内訳ﾘｽﾄ(4～3月)'!K$8:K$15),IF('内訳ﾘｽﾄ(4～3月)'!$D$5="部外間接1",-H$68,0))</f>
        <v>-918</v>
      </c>
      <c r="I70" s="164">
        <f ca="1">IF('内訳ﾘｽﾄ(4～3月)'!$D$5="製造",SUMIF('内訳ﾘｽﾄ(4～3月)'!$D$8:$D$15,$B70,'内訳ﾘｽﾄ(4～3月)'!L$8:L$15),IF('内訳ﾘｽﾄ(4～3月)'!$D$5="部外間接1",-I$68,0))</f>
        <v>-1122</v>
      </c>
      <c r="J70" s="164">
        <f ca="1">IF('内訳ﾘｽﾄ(4～3月)'!$D$5="製造",SUMIF('内訳ﾘｽﾄ(4～3月)'!$D$8:$D$15,$B70,'内訳ﾘｽﾄ(4～3月)'!M$8:M$15),IF('内訳ﾘｽﾄ(4～3月)'!$D$5="部外間接1",-J$68,0))</f>
        <v>-969</v>
      </c>
      <c r="K70" s="164">
        <f ca="1">IF('内訳ﾘｽﾄ(4～3月)'!$D$5="製造",SUMIF('内訳ﾘｽﾄ(4～3月)'!$D$8:$D$15,$B70,'内訳ﾘｽﾄ(4～3月)'!N$8:N$15),IF('内訳ﾘｽﾄ(4～3月)'!$D$5="部外間接1",-K$68,0))</f>
        <v>-1071</v>
      </c>
      <c r="L70" s="164">
        <f ca="1">IF('内訳ﾘｽﾄ(4～3月)'!$D$5="製造",SUMIF('内訳ﾘｽﾄ(4～3月)'!$D$8:$D$15,$B70,'内訳ﾘｽﾄ(4～3月)'!O$8:O$15),IF('内訳ﾘｽﾄ(4～3月)'!$D$5="部外間接1",-L$68,0))</f>
        <v>-969</v>
      </c>
      <c r="M70" s="164">
        <f ca="1">IF('内訳ﾘｽﾄ(4～3月)'!$D$5="製造",SUMIF('内訳ﾘｽﾄ(4～3月)'!$D$8:$D$15,$B70,'内訳ﾘｽﾄ(4～3月)'!P$8:P$15),IF('内訳ﾘｽﾄ(4～3月)'!$D$5="部外間接1",-M$68,0))</f>
        <v>-765</v>
      </c>
      <c r="N70" s="164">
        <f ca="1">IF('内訳ﾘｽﾄ(4～3月)'!$D$5="製造",SUMIF('内訳ﾘｽﾄ(4～3月)'!$D$8:$D$15,$B70,'内訳ﾘｽﾄ(4～3月)'!Q$8:Q$15),IF('内訳ﾘｽﾄ(4～3月)'!$D$5="部外間接1",-N$68,0))</f>
        <v>-969</v>
      </c>
      <c r="O70" s="164">
        <f ca="1">IF('内訳ﾘｽﾄ(4～3月)'!$D$5="部外間接1",-SUM(O$68),IF('内訳ﾘｽﾄ(4～3月)'!$D$5="製造",SUMIF('内訳ﾘｽﾄ(4～3月)'!$D$8:$D$15,'採算表(VND)'!$B70,'内訳ﾘｽﾄ(4～3月)'!$R$8:$R$15),0))</f>
        <v>-11781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 ca="1">SUMIF('内訳ﾘｽﾄ(4～3月)'!$D$16:$D$23,'採算表(VND)'!$B74,'内訳ﾘｽﾄ(4～3月)'!F$16:F$23)</f>
        <v>76</v>
      </c>
      <c r="D74" s="162">
        <f ca="1">SUMIF('内訳ﾘｽﾄ(4～3月)'!$D$16:$D$23,'採算表(VND)'!$B74,'内訳ﾘｽﾄ(4～3月)'!G$16:G$23)</f>
        <v>72</v>
      </c>
      <c r="E74" s="162">
        <f ca="1">SUMIF('内訳ﾘｽﾄ(4～3月)'!$D$16:$D$23,'採算表(VND)'!$B74,'内訳ﾘｽﾄ(4～3月)'!H$16:H$23)</f>
        <v>80</v>
      </c>
      <c r="F74" s="162">
        <f ca="1">SUMIF('内訳ﾘｽﾄ(4～3月)'!$D$16:$D$23,'採算表(VND)'!$B74,'内訳ﾘｽﾄ(4～3月)'!I$16:I$23)</f>
        <v>88</v>
      </c>
      <c r="G74" s="162">
        <f ca="1">SUMIF('内訳ﾘｽﾄ(4～3月)'!$D$16:$D$23,'採算表(VND)'!$B74,'内訳ﾘｽﾄ(4～3月)'!J$16:J$23)</f>
        <v>76</v>
      </c>
      <c r="H74" s="162">
        <f ca="1">SUMIF('内訳ﾘｽﾄ(4～3月)'!$D$16:$D$23,'採算表(VND)'!$B74,'内訳ﾘｽﾄ(4～3月)'!K$16:K$23)</f>
        <v>84.75</v>
      </c>
      <c r="I74" s="162">
        <f ca="1">SUMIF('内訳ﾘｽﾄ(4～3月)'!$D$16:$D$23,'採算表(VND)'!$B74,'内訳ﾘｽﾄ(4～3月)'!L$16:L$23)</f>
        <v>88</v>
      </c>
      <c r="J74" s="162">
        <f ca="1">SUMIF('内訳ﾘｽﾄ(4～3月)'!$D$16:$D$23,'採算表(VND)'!$B74,'内訳ﾘｽﾄ(4～3月)'!M$16:M$23)</f>
        <v>76</v>
      </c>
      <c r="K74" s="162">
        <f ca="1">SUMIF('内訳ﾘｽﾄ(4～3月)'!$D$16:$D$23,'採算表(VND)'!$B74,'内訳ﾘｽﾄ(4～3月)'!N$16:N$23)</f>
        <v>84</v>
      </c>
      <c r="L74" s="162">
        <f ca="1">SUMIF('内訳ﾘｽﾄ(4～3月)'!$D$16:$D$23,'採算表(VND)'!$B74,'内訳ﾘｽﾄ(4～3月)'!O$16:O$23)</f>
        <v>76</v>
      </c>
      <c r="M74" s="162">
        <f ca="1">SUMIF('内訳ﾘｽﾄ(4～3月)'!$D$16:$D$23,'採算表(VND)'!$B74,'内訳ﾘｽﾄ(4～3月)'!P$16:P$23)</f>
        <v>60</v>
      </c>
      <c r="N74" s="162">
        <f ca="1">SUMIF('内訳ﾘｽﾄ(4～3月)'!$D$16:$D$23,'採算表(VND)'!$B74,'内訳ﾘｽﾄ(4～3月)'!Q$16:Q$23)</f>
        <v>88.75</v>
      </c>
      <c r="O74" s="162">
        <f ca="1">SUMIF('内訳ﾘｽﾄ(4～3月)'!$D$16:$D$23,'採算表(VND)'!$B74,'内訳ﾘｽﾄ(4～3月)'!$R$16:$R$23)</f>
        <v>949.5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 ca="1">IF('内訳ﾘｽﾄ(4～3月)'!$D$5="製造",SUMIF('内訳ﾘｽﾄ(4～3月)'!$D$16:$D$23,$B76,'内訳ﾘｽﾄ(4～3月)'!F$16:F$23),IF('内訳ﾘｽﾄ(4～3月)'!$D$5="部外間接1",-C$74,0))</f>
        <v>-76</v>
      </c>
      <c r="D76" s="164">
        <f ca="1">IF('内訳ﾘｽﾄ(4～3月)'!$D$5="製造",SUMIF('内訳ﾘｽﾄ(4～3月)'!$D$16:$D$23,$B76,'内訳ﾘｽﾄ(4～3月)'!G$16:G$23),IF('内訳ﾘｽﾄ(4～3月)'!$D$5="部外間接1",-D$74,0))</f>
        <v>-72</v>
      </c>
      <c r="E76" s="164">
        <f ca="1">IF('内訳ﾘｽﾄ(4～3月)'!$D$5="製造",SUMIF('内訳ﾘｽﾄ(4～3月)'!$D$16:$D$23,$B76,'内訳ﾘｽﾄ(4～3月)'!H$16:H$23),IF('内訳ﾘｽﾄ(4～3月)'!$D$5="部外間接1",-E$74,0))</f>
        <v>-80</v>
      </c>
      <c r="F76" s="164">
        <f ca="1">IF('内訳ﾘｽﾄ(4～3月)'!$D$5="製造",SUMIF('内訳ﾘｽﾄ(4～3月)'!$D$16:$D$23,$B76,'内訳ﾘｽﾄ(4～3月)'!I$16:I$23),IF('内訳ﾘｽﾄ(4～3月)'!$D$5="部外間接1",-F$74,0))</f>
        <v>-88</v>
      </c>
      <c r="G76" s="164">
        <f ca="1">IF('内訳ﾘｽﾄ(4～3月)'!$D$5="製造",SUMIF('内訳ﾘｽﾄ(4～3月)'!$D$16:$D$23,$B76,'内訳ﾘｽﾄ(4～3月)'!J$16:J$23),IF('内訳ﾘｽﾄ(4～3月)'!$D$5="部外間接1",-G$74,0))</f>
        <v>-76</v>
      </c>
      <c r="H76" s="164">
        <f ca="1">IF('内訳ﾘｽﾄ(4～3月)'!$D$5="製造",SUMIF('内訳ﾘｽﾄ(4～3月)'!$D$16:$D$23,$B76,'内訳ﾘｽﾄ(4～3月)'!K$16:K$23),IF('内訳ﾘｽﾄ(4～3月)'!$D$5="部外間接1",-H$74,0))</f>
        <v>-84.75</v>
      </c>
      <c r="I76" s="164">
        <f ca="1">IF('内訳ﾘｽﾄ(4～3月)'!$D$5="製造",SUMIF('内訳ﾘｽﾄ(4～3月)'!$D$16:$D$23,$B76,'内訳ﾘｽﾄ(4～3月)'!L$16:L$23),IF('内訳ﾘｽﾄ(4～3月)'!$D$5="部外間接1",-I$74,0))</f>
        <v>-88</v>
      </c>
      <c r="J76" s="164">
        <f ca="1">IF('内訳ﾘｽﾄ(4～3月)'!$D$5="製造",SUMIF('内訳ﾘｽﾄ(4～3月)'!$D$16:$D$23,$B76,'内訳ﾘｽﾄ(4～3月)'!M$16:M$23),IF('内訳ﾘｽﾄ(4～3月)'!$D$5="部外間接1",-J$74,0))</f>
        <v>-76</v>
      </c>
      <c r="K76" s="164">
        <f ca="1">IF('内訳ﾘｽﾄ(4～3月)'!$D$5="製造",SUMIF('内訳ﾘｽﾄ(4～3月)'!$D$16:$D$23,$B76,'内訳ﾘｽﾄ(4～3月)'!N$16:N$23),IF('内訳ﾘｽﾄ(4～3月)'!$D$5="部外間接1",-K$74,0))</f>
        <v>-84</v>
      </c>
      <c r="L76" s="164">
        <f ca="1">IF('内訳ﾘｽﾄ(4～3月)'!$D$5="製造",SUMIF('内訳ﾘｽﾄ(4～3月)'!$D$16:$D$23,$B76,'内訳ﾘｽﾄ(4～3月)'!O$16:O$23),IF('内訳ﾘｽﾄ(4～3月)'!$D$5="部外間接1",-L$74,0))</f>
        <v>-76</v>
      </c>
      <c r="M76" s="164">
        <f ca="1">IF('内訳ﾘｽﾄ(4～3月)'!$D$5="製造",SUMIF('内訳ﾘｽﾄ(4～3月)'!$D$16:$D$23,$B76,'内訳ﾘｽﾄ(4～3月)'!P$16:P$23),IF('内訳ﾘｽﾄ(4～3月)'!$D$5="部外間接1",-M$74,0))</f>
        <v>-60</v>
      </c>
      <c r="N76" s="164">
        <f ca="1">IF('内訳ﾘｽﾄ(4～3月)'!$D$5="製造",SUMIF('内訳ﾘｽﾄ(4～3月)'!$D$16:$D$23,$B76,'内訳ﾘｽﾄ(4～3月)'!Q$16:Q$23),IF('内訳ﾘｽﾄ(4～3月)'!$D$5="部外間接1",-N$74,0))</f>
        <v>-88.75</v>
      </c>
      <c r="O76" s="164">
        <f ca="1">IF('内訳ﾘｽﾄ(4～3月)'!$D$5="部外間接1",-SUM(O$74),IF('内訳ﾘｽﾄ(4～3月)'!$D$5="製造",SUMIF('内訳ﾘｽﾄ(4～3月)'!$D$16:$D$23,'採算表(VND)'!$B76,'内訳ﾘｽﾄ(4～3月)'!$R$16:$R$23),0))</f>
        <v>-949.5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6</v>
      </c>
      <c r="D88" s="150">
        <f>SUMIF('内訳ﾘｽﾄ(4～3月)'!$D$24:$D$25,'採算表(VND)'!$B88,'内訳ﾘｽﾄ(4～3月)'!G$24:G$25)</f>
        <v>6</v>
      </c>
      <c r="E88" s="150">
        <f>SUMIF('内訳ﾘｽﾄ(4～3月)'!$D$24:$D$25,'採算表(VND)'!$B88,'内訳ﾘｽﾄ(4～3月)'!H$24:H$25)</f>
        <v>6</v>
      </c>
      <c r="F88" s="150">
        <f>SUMIF('内訳ﾘｽﾄ(4～3月)'!$D$24:$D$25,'採算表(VND)'!$B88,'内訳ﾘｽﾄ(4～3月)'!I$24:I$25)</f>
        <v>6</v>
      </c>
      <c r="G88" s="150">
        <f>SUMIF('内訳ﾘｽﾄ(4～3月)'!$D$24:$D$25,'採算表(VND)'!$B88,'内訳ﾘｽﾄ(4～3月)'!J$24:J$25)</f>
        <v>6</v>
      </c>
      <c r="H88" s="150">
        <f>SUMIF('内訳ﾘｽﾄ(4～3月)'!$D$24:$D$25,'採算表(VND)'!$B88,'内訳ﾘｽﾄ(4～3月)'!K$24:K$25)</f>
        <v>6</v>
      </c>
      <c r="I88" s="150">
        <f>SUMIF('内訳ﾘｽﾄ(4～3月)'!$D$24:$D$25,'採算表(VND)'!$B88,'内訳ﾘｽﾄ(4～3月)'!L$24:L$25)</f>
        <v>6</v>
      </c>
      <c r="J88" s="150">
        <f>SUMIF('内訳ﾘｽﾄ(4～3月)'!$D$24:$D$25,'採算表(VND)'!$B88,'内訳ﾘｽﾄ(4～3月)'!M$24:M$25)</f>
        <v>6</v>
      </c>
      <c r="K88" s="150">
        <f>SUMIF('内訳ﾘｽﾄ(4～3月)'!$D$24:$D$25,'採算表(VND)'!$B88,'内訳ﾘｽﾄ(4～3月)'!N$24:N$25)</f>
        <v>6</v>
      </c>
      <c r="L88" s="150">
        <f>SUMIF('内訳ﾘｽﾄ(4～3月)'!$D$24:$D$25,'採算表(VND)'!$B88,'内訳ﾘｽﾄ(4～3月)'!O$24:O$25)</f>
        <v>6</v>
      </c>
      <c r="M88" s="150">
        <f>SUMIF('内訳ﾘｽﾄ(4～3月)'!$D$24:$D$25,'採算表(VND)'!$B88,'内訳ﾘｽﾄ(4～3月)'!P$24:P$25)</f>
        <v>6</v>
      </c>
      <c r="N88" s="150">
        <f>SUMIF('内訳ﾘｽﾄ(4～3月)'!$D$24:$D$25,'採算表(VND)'!$B88,'内訳ﾘｽﾄ(4～3月)'!Q$24:Q$25)</f>
        <v>6</v>
      </c>
      <c r="O88" s="150">
        <f>SUMIF('内訳ﾘｽﾄ(4～3月)'!$D$24:$D$25,'採算表(VND)'!$B88,'内訳ﾘｽﾄ(4～3月)'!R$24:R$25)</f>
        <v>6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6</v>
      </c>
      <c r="D89" s="151">
        <f t="shared" si="10"/>
        <v>6</v>
      </c>
      <c r="E89" s="151">
        <f t="shared" si="10"/>
        <v>6</v>
      </c>
      <c r="F89" s="151">
        <f t="shared" si="10"/>
        <v>6</v>
      </c>
      <c r="G89" s="151">
        <f t="shared" si="10"/>
        <v>6</v>
      </c>
      <c r="H89" s="151">
        <f t="shared" si="10"/>
        <v>6</v>
      </c>
      <c r="I89" s="151">
        <f t="shared" si="10"/>
        <v>6</v>
      </c>
      <c r="J89" s="151">
        <f t="shared" si="10"/>
        <v>6</v>
      </c>
      <c r="K89" s="151">
        <f t="shared" si="10"/>
        <v>6</v>
      </c>
      <c r="L89" s="151">
        <f t="shared" si="10"/>
        <v>6</v>
      </c>
      <c r="M89" s="151">
        <f t="shared" si="10"/>
        <v>6</v>
      </c>
      <c r="N89" s="151">
        <f t="shared" si="10"/>
        <v>6</v>
      </c>
      <c r="O89" s="151">
        <f>O87+O88</f>
        <v>6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 ca="1">SUMIF('内訳ﾘｽﾄ(4～3月)'!$B$8:$B$15,$B93,'内訳ﾘｽﾄ(4～3月)'!F$8:F$15)</f>
        <v>969</v>
      </c>
      <c r="D93" s="161">
        <f ca="1">SUMIF('内訳ﾘｽﾄ(4～3月)'!$B$8:$B$15,$B93,'内訳ﾘｽﾄ(4～3月)'!G$8:G$15)</f>
        <v>918</v>
      </c>
      <c r="E93" s="161">
        <f ca="1">SUMIF('内訳ﾘｽﾄ(4～3月)'!$B$8:$B$15,$B93,'内訳ﾘｽﾄ(4～3月)'!H$8:H$15)</f>
        <v>1020</v>
      </c>
      <c r="F93" s="161">
        <f ca="1">SUMIF('内訳ﾘｽﾄ(4～3月)'!$B$8:$B$15,$B93,'内訳ﾘｽﾄ(4～3月)'!I$8:I$15)</f>
        <v>1122</v>
      </c>
      <c r="G93" s="161">
        <f ca="1">SUMIF('内訳ﾘｽﾄ(4～3月)'!$B$8:$B$15,$B93,'内訳ﾘｽﾄ(4～3月)'!J$8:J$15)</f>
        <v>969</v>
      </c>
      <c r="H93" s="161">
        <f ca="1">SUMIF('内訳ﾘｽﾄ(4～3月)'!$B$8:$B$15,$B93,'内訳ﾘｽﾄ(4～3月)'!K$8:K$15)</f>
        <v>918</v>
      </c>
      <c r="I93" s="161">
        <f ca="1">SUMIF('内訳ﾘｽﾄ(4～3月)'!$B$8:$B$15,$B93,'内訳ﾘｽﾄ(4～3月)'!L$8:L$15)</f>
        <v>1122</v>
      </c>
      <c r="J93" s="161">
        <f ca="1">SUMIF('内訳ﾘｽﾄ(4～3月)'!$B$8:$B$15,$B93,'内訳ﾘｽﾄ(4～3月)'!M$8:M$15)</f>
        <v>969</v>
      </c>
      <c r="K93" s="161">
        <f ca="1">SUMIF('内訳ﾘｽﾄ(4～3月)'!$B$8:$B$15,$B93,'内訳ﾘｽﾄ(4～3月)'!N$8:N$15)</f>
        <v>1071</v>
      </c>
      <c r="L93" s="161">
        <f ca="1">SUMIF('内訳ﾘｽﾄ(4～3月)'!$B$8:$B$15,$B93,'内訳ﾘｽﾄ(4～3月)'!O$8:O$15)</f>
        <v>969</v>
      </c>
      <c r="M93" s="161">
        <f ca="1">SUMIF('内訳ﾘｽﾄ(4～3月)'!$B$8:$B$15,$B93,'内訳ﾘｽﾄ(4～3月)'!P$8:P$15)</f>
        <v>765</v>
      </c>
      <c r="N93" s="161">
        <f ca="1">SUMIF('内訳ﾘｽﾄ(4～3月)'!$B$8:$B$15,$B93,'内訳ﾘｽﾄ(4～3月)'!Q$8:Q$15)</f>
        <v>969</v>
      </c>
      <c r="O93" s="161">
        <f ca="1">SUMIF('内訳ﾘｽﾄ(4～3月)'!$B$8:$B$15,$B93,'内訳ﾘｽﾄ(4～3月)'!R$8:R$15)</f>
        <v>11781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969</v>
      </c>
      <c r="D94" s="169">
        <f t="shared" ca="1" si="11"/>
        <v>918</v>
      </c>
      <c r="E94" s="169">
        <f t="shared" ca="1" si="11"/>
        <v>1020</v>
      </c>
      <c r="F94" s="169">
        <f t="shared" ca="1" si="11"/>
        <v>1122</v>
      </c>
      <c r="G94" s="169">
        <f t="shared" ca="1" si="11"/>
        <v>969</v>
      </c>
      <c r="H94" s="169">
        <f t="shared" ca="1" si="11"/>
        <v>918</v>
      </c>
      <c r="I94" s="169">
        <f t="shared" ca="1" si="11"/>
        <v>1122</v>
      </c>
      <c r="J94" s="169">
        <f t="shared" ca="1" si="11"/>
        <v>969</v>
      </c>
      <c r="K94" s="169">
        <f t="shared" ca="1" si="11"/>
        <v>1071</v>
      </c>
      <c r="L94" s="169">
        <f t="shared" ca="1" si="11"/>
        <v>969</v>
      </c>
      <c r="M94" s="169">
        <f t="shared" ca="1" si="11"/>
        <v>765</v>
      </c>
      <c r="N94" s="169">
        <f t="shared" ca="1" si="11"/>
        <v>969</v>
      </c>
      <c r="O94" s="169">
        <f ca="1">O92+O93</f>
        <v>11781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 ca="1">SUMIF('内訳ﾘｽﾄ(4～3月)'!$B$16:$B$23,$B98,'内訳ﾘｽﾄ(4～3月)'!F$16:F$23)</f>
        <v>76</v>
      </c>
      <c r="D98" s="161">
        <f ca="1">SUMIF('内訳ﾘｽﾄ(4～3月)'!$B$16:$B$23,$B98,'内訳ﾘｽﾄ(4～3月)'!G$16:G$23)</f>
        <v>72</v>
      </c>
      <c r="E98" s="161">
        <f ca="1">SUMIF('内訳ﾘｽﾄ(4～3月)'!$B$16:$B$23,$B98,'内訳ﾘｽﾄ(4～3月)'!H$16:H$23)</f>
        <v>80</v>
      </c>
      <c r="F98" s="161">
        <f ca="1">SUMIF('内訳ﾘｽﾄ(4～3月)'!$B$16:$B$23,$B98,'内訳ﾘｽﾄ(4～3月)'!I$16:I$23)</f>
        <v>88</v>
      </c>
      <c r="G98" s="161">
        <f ca="1">SUMIF('内訳ﾘｽﾄ(4～3月)'!$B$16:$B$23,$B98,'内訳ﾘｽﾄ(4～3月)'!J$16:J$23)</f>
        <v>76</v>
      </c>
      <c r="H98" s="161">
        <f ca="1">SUMIF('内訳ﾘｽﾄ(4～3月)'!$B$16:$B$23,$B98,'内訳ﾘｽﾄ(4～3月)'!K$16:K$23)</f>
        <v>84.75</v>
      </c>
      <c r="I98" s="161">
        <f ca="1">SUMIF('内訳ﾘｽﾄ(4～3月)'!$B$16:$B$23,$B98,'内訳ﾘｽﾄ(4～3月)'!L$16:L$23)</f>
        <v>88</v>
      </c>
      <c r="J98" s="161">
        <f ca="1">SUMIF('内訳ﾘｽﾄ(4～3月)'!$B$16:$B$23,$B98,'内訳ﾘｽﾄ(4～3月)'!M$16:M$23)</f>
        <v>76</v>
      </c>
      <c r="K98" s="161">
        <f ca="1">SUMIF('内訳ﾘｽﾄ(4～3月)'!$B$16:$B$23,$B98,'内訳ﾘｽﾄ(4～3月)'!N$16:N$23)</f>
        <v>84</v>
      </c>
      <c r="L98" s="161">
        <f ca="1">SUMIF('内訳ﾘｽﾄ(4～3月)'!$B$16:$B$23,$B98,'内訳ﾘｽﾄ(4～3月)'!O$16:O$23)</f>
        <v>76</v>
      </c>
      <c r="M98" s="161">
        <f ca="1">SUMIF('内訳ﾘｽﾄ(4～3月)'!$B$16:$B$23,$B98,'内訳ﾘｽﾄ(4～3月)'!P$16:P$23)</f>
        <v>60</v>
      </c>
      <c r="N98" s="161">
        <f ca="1">SUMIF('内訳ﾘｽﾄ(4～3月)'!$B$16:$B$23,$B98,'内訳ﾘｽﾄ(4～3月)'!Q$16:Q$23)</f>
        <v>88.75</v>
      </c>
      <c r="O98" s="161">
        <f ca="1">SUMIF('内訳ﾘｽﾄ(4～3月)'!$B$16:$B$23,$B98,'内訳ﾘｽﾄ(4～3月)'!R$16:R$23)</f>
        <v>949.5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76</v>
      </c>
      <c r="D99" s="169">
        <f t="shared" ca="1" si="12"/>
        <v>72</v>
      </c>
      <c r="E99" s="169">
        <f t="shared" ca="1" si="12"/>
        <v>80</v>
      </c>
      <c r="F99" s="169">
        <f t="shared" ca="1" si="12"/>
        <v>88</v>
      </c>
      <c r="G99" s="169">
        <f t="shared" ca="1" si="12"/>
        <v>76</v>
      </c>
      <c r="H99" s="169">
        <f t="shared" ca="1" si="12"/>
        <v>84.75</v>
      </c>
      <c r="I99" s="169">
        <f t="shared" ca="1" si="12"/>
        <v>88</v>
      </c>
      <c r="J99" s="169">
        <f t="shared" ca="1" si="12"/>
        <v>76</v>
      </c>
      <c r="K99" s="169">
        <f t="shared" ca="1" si="12"/>
        <v>84</v>
      </c>
      <c r="L99" s="169">
        <f t="shared" ca="1" si="12"/>
        <v>76</v>
      </c>
      <c r="M99" s="169">
        <f t="shared" ca="1" si="12"/>
        <v>60</v>
      </c>
      <c r="N99" s="169">
        <f t="shared" ca="1" si="12"/>
        <v>88.75</v>
      </c>
      <c r="O99" s="169">
        <f ca="1">O97+O98</f>
        <v>949.5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971"/>
  <sheetViews>
    <sheetView tabSelected="1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RowHeight="11.25"/>
  <cols>
    <col min="1" max="1" width="2" style="1" customWidth="1"/>
    <col min="2" max="2" width="12.375" style="181" customWidth="1"/>
    <col min="3" max="3" width="24.875" style="4" customWidth="1"/>
    <col min="4" max="4" width="16.75" style="4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46.375" style="4" customWidth="1"/>
    <col min="20" max="20" width="7.375" style="72" customWidth="1"/>
    <col min="21" max="21" width="4.75" style="4" customWidth="1"/>
    <col min="22" max="23" width="9" style="4" hidden="1" customWidth="1"/>
    <col min="24" max="24" width="11.5" style="4" hidden="1" customWidth="1"/>
    <col min="25" max="33" width="11.5" style="4" bestFit="1" customWidth="1"/>
    <col min="3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aca="1" ref="F3" ca="1">IF(SUM((F8:F25)-ROUNDDOWN((F8:F25)*4,0)/4)&lt;&gt;0,"時間➝0.25の倍数では無い",IF(SUM(ROUND((F26:F971),0)-ROUND((F26:F971)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971),0)-ROUND((G26:G971)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971),0)-ROUND((H26:H971)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971),0)-ROUND((I26:I971)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971),0)-ROUND((J26:J971)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971),0)-ROUND((K26:K971)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971),0)-ROUND((L26:L971)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971),0)-ROUND((M26:M971)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971),0)-ROUND((N26:N971)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971),0)-ROUND((O26:O971)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971),0)-ROUND((P26:P971)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971),0)-ROUND((Q26:Q971)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1412000010</v>
      </c>
      <c r="C5" s="7" t="str">
        <f>VLOOKUP($B$5,原価センタ!$A:$E,2,0)</f>
        <v>採算管理課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SUM(F29:F971)</f>
        <v>28405905</v>
      </c>
      <c r="G5" s="252">
        <f t="shared" si="0"/>
        <v>36428348</v>
      </c>
      <c r="H5" s="252">
        <f t="shared" si="0"/>
        <v>25726609</v>
      </c>
      <c r="I5" s="252">
        <f t="shared" si="0"/>
        <v>42931859</v>
      </c>
      <c r="J5" s="252">
        <f t="shared" si="0"/>
        <v>25390338</v>
      </c>
      <c r="K5" s="252">
        <f t="shared" si="0"/>
        <v>42956860</v>
      </c>
      <c r="L5" s="252">
        <f t="shared" si="0"/>
        <v>23905575</v>
      </c>
      <c r="M5" s="252">
        <f t="shared" si="0"/>
        <v>25784185</v>
      </c>
      <c r="N5" s="252">
        <f t="shared" si="0"/>
        <v>25821703</v>
      </c>
      <c r="O5" s="252">
        <f t="shared" si="0"/>
        <v>23663029</v>
      </c>
      <c r="P5" s="252">
        <f t="shared" si="0"/>
        <v>25369553</v>
      </c>
      <c r="Q5" s="252">
        <f t="shared" si="0"/>
        <v>23389901</v>
      </c>
      <c r="R5" s="253">
        <f t="shared" si="0"/>
        <v>349773865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f ca="1">F25*F2*8.5-6*8.5</f>
        <v>969</v>
      </c>
      <c r="G9" s="194">
        <f t="shared" ref="G9:Q9" ca="1" si="1">G25*G2*8.5-6*8.5</f>
        <v>918</v>
      </c>
      <c r="H9" s="194">
        <f t="shared" ca="1" si="1"/>
        <v>1020</v>
      </c>
      <c r="I9" s="194">
        <f t="shared" ca="1" si="1"/>
        <v>1122</v>
      </c>
      <c r="J9" s="194">
        <f t="shared" ca="1" si="1"/>
        <v>969</v>
      </c>
      <c r="K9" s="194">
        <f t="shared" ca="1" si="1"/>
        <v>918</v>
      </c>
      <c r="L9" s="194">
        <f t="shared" ca="1" si="1"/>
        <v>1122</v>
      </c>
      <c r="M9" s="194">
        <f t="shared" ca="1" si="1"/>
        <v>969</v>
      </c>
      <c r="N9" s="194">
        <f t="shared" ca="1" si="1"/>
        <v>1071</v>
      </c>
      <c r="O9" s="194">
        <f t="shared" ca="1" si="1"/>
        <v>969</v>
      </c>
      <c r="P9" s="194">
        <f ca="1">P25*P2*8.5</f>
        <v>765</v>
      </c>
      <c r="Q9" s="194">
        <f t="shared" ca="1" si="1"/>
        <v>969</v>
      </c>
      <c r="R9" s="195">
        <f t="shared" ref="R9:R23" ca="1" si="2">SUM(F9:Q9)</f>
        <v>11781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2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2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2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2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2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2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2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f ca="1">(F2-1)*2*2</f>
        <v>76</v>
      </c>
      <c r="G17" s="194">
        <f t="shared" ref="G17:O17" ca="1" si="3">(G2-1)*2*2</f>
        <v>72</v>
      </c>
      <c r="H17" s="194">
        <f t="shared" ca="1" si="3"/>
        <v>80</v>
      </c>
      <c r="I17" s="194">
        <f t="shared" ca="1" si="3"/>
        <v>88</v>
      </c>
      <c r="J17" s="194">
        <f t="shared" ca="1" si="3"/>
        <v>76</v>
      </c>
      <c r="K17" s="194">
        <f ca="1">(K2-1)*2*2+4.25*3</f>
        <v>84.75</v>
      </c>
      <c r="L17" s="194">
        <f t="shared" ca="1" si="3"/>
        <v>88</v>
      </c>
      <c r="M17" s="194">
        <f t="shared" ca="1" si="3"/>
        <v>76</v>
      </c>
      <c r="N17" s="194">
        <f t="shared" ca="1" si="3"/>
        <v>84</v>
      </c>
      <c r="O17" s="194">
        <f t="shared" ca="1" si="3"/>
        <v>76</v>
      </c>
      <c r="P17" s="194">
        <f ca="1">P2*2*2</f>
        <v>60</v>
      </c>
      <c r="Q17" s="194">
        <f ca="1">(Q2-1)*2*2+4.25*3</f>
        <v>88.75</v>
      </c>
      <c r="R17" s="205">
        <f t="shared" ca="1" si="2"/>
        <v>949.5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2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2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2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2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2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2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4.2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6</v>
      </c>
      <c r="G25" s="271">
        <v>6</v>
      </c>
      <c r="H25" s="271">
        <v>6</v>
      </c>
      <c r="I25" s="271">
        <v>6</v>
      </c>
      <c r="J25" s="271">
        <v>6</v>
      </c>
      <c r="K25" s="271">
        <v>6</v>
      </c>
      <c r="L25" s="271">
        <v>6</v>
      </c>
      <c r="M25" s="271">
        <v>6</v>
      </c>
      <c r="N25" s="271">
        <v>6</v>
      </c>
      <c r="O25" s="271">
        <v>6</v>
      </c>
      <c r="P25" s="271">
        <v>6</v>
      </c>
      <c r="Q25" s="271">
        <v>6</v>
      </c>
      <c r="R25" s="272">
        <f>Q25</f>
        <v>6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4">ROUNDDOWN(V26*$B$2,0)</f>
        <v>0</v>
      </c>
      <c r="G26" s="220">
        <f t="shared" si="4"/>
        <v>0</v>
      </c>
      <c r="H26" s="220">
        <f t="shared" si="4"/>
        <v>0</v>
      </c>
      <c r="I26" s="220">
        <f t="shared" si="4"/>
        <v>0</v>
      </c>
      <c r="J26" s="220">
        <f t="shared" si="4"/>
        <v>0</v>
      </c>
      <c r="K26" s="220">
        <f t="shared" si="4"/>
        <v>0</v>
      </c>
      <c r="L26" s="220">
        <f t="shared" si="4"/>
        <v>0</v>
      </c>
      <c r="M26" s="220">
        <f t="shared" si="4"/>
        <v>0</v>
      </c>
      <c r="N26" s="220">
        <f t="shared" si="4"/>
        <v>0</v>
      </c>
      <c r="O26" s="220">
        <f t="shared" si="4"/>
        <v>0</v>
      </c>
      <c r="P26" s="220">
        <f t="shared" si="4"/>
        <v>0</v>
      </c>
      <c r="Q26" s="220">
        <f t="shared" si="4"/>
        <v>0</v>
      </c>
      <c r="R26" s="221">
        <f t="shared" ref="R26:R89" si="5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4"/>
        <v>0</v>
      </c>
      <c r="G27" s="230">
        <f t="shared" si="4"/>
        <v>0</v>
      </c>
      <c r="H27" s="230">
        <f t="shared" si="4"/>
        <v>0</v>
      </c>
      <c r="I27" s="230">
        <f t="shared" si="4"/>
        <v>0</v>
      </c>
      <c r="J27" s="230">
        <f t="shared" si="4"/>
        <v>0</v>
      </c>
      <c r="K27" s="230">
        <f t="shared" si="4"/>
        <v>0</v>
      </c>
      <c r="L27" s="230">
        <f t="shared" si="4"/>
        <v>0</v>
      </c>
      <c r="M27" s="230">
        <f t="shared" si="4"/>
        <v>0</v>
      </c>
      <c r="N27" s="230">
        <f t="shared" si="4"/>
        <v>0</v>
      </c>
      <c r="O27" s="230">
        <f t="shared" si="4"/>
        <v>0</v>
      </c>
      <c r="P27" s="230">
        <f t="shared" si="4"/>
        <v>0</v>
      </c>
      <c r="Q27" s="230">
        <f t="shared" si="4"/>
        <v>0</v>
      </c>
      <c r="R27" s="221">
        <f t="shared" si="5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4"/>
        <v>0</v>
      </c>
      <c r="G28" s="230">
        <f t="shared" si="4"/>
        <v>0</v>
      </c>
      <c r="H28" s="230">
        <f t="shared" si="4"/>
        <v>0</v>
      </c>
      <c r="I28" s="230">
        <f t="shared" si="4"/>
        <v>0</v>
      </c>
      <c r="J28" s="230">
        <f t="shared" si="4"/>
        <v>0</v>
      </c>
      <c r="K28" s="230">
        <f t="shared" si="4"/>
        <v>0</v>
      </c>
      <c r="L28" s="230">
        <f t="shared" si="4"/>
        <v>0</v>
      </c>
      <c r="M28" s="230">
        <f t="shared" si="4"/>
        <v>0</v>
      </c>
      <c r="N28" s="230">
        <f t="shared" si="4"/>
        <v>0</v>
      </c>
      <c r="O28" s="230">
        <f t="shared" si="4"/>
        <v>0</v>
      </c>
      <c r="P28" s="230">
        <f t="shared" si="4"/>
        <v>0</v>
      </c>
      <c r="Q28" s="230">
        <f t="shared" si="4"/>
        <v>0</v>
      </c>
      <c r="R28" s="221">
        <f t="shared" si="5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6">ROUNDUP(V29*$B$2,0)</f>
        <v>0</v>
      </c>
      <c r="G29" s="235">
        <f t="shared" si="6"/>
        <v>0</v>
      </c>
      <c r="H29" s="235">
        <f t="shared" si="6"/>
        <v>0</v>
      </c>
      <c r="I29" s="235">
        <f t="shared" si="6"/>
        <v>0</v>
      </c>
      <c r="J29" s="235">
        <f t="shared" si="6"/>
        <v>0</v>
      </c>
      <c r="K29" s="235">
        <f t="shared" si="6"/>
        <v>0</v>
      </c>
      <c r="L29" s="235">
        <f t="shared" si="6"/>
        <v>0</v>
      </c>
      <c r="M29" s="235">
        <f t="shared" si="6"/>
        <v>0</v>
      </c>
      <c r="N29" s="235">
        <f t="shared" si="6"/>
        <v>0</v>
      </c>
      <c r="O29" s="235">
        <f t="shared" si="6"/>
        <v>0</v>
      </c>
      <c r="P29" s="235">
        <f t="shared" si="6"/>
        <v>0</v>
      </c>
      <c r="Q29" s="235">
        <f t="shared" si="6"/>
        <v>0</v>
      </c>
      <c r="R29" s="236">
        <f t="shared" si="5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5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5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5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5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5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5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5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5"/>
        <v>0</v>
      </c>
      <c r="S37" s="201"/>
      <c r="T37" s="202"/>
      <c r="U37" s="246"/>
      <c r="V37" s="301">
        <v>4</v>
      </c>
      <c r="W37" s="301">
        <v>5</v>
      </c>
      <c r="X37" s="302">
        <v>6</v>
      </c>
      <c r="Y37" s="302">
        <v>7</v>
      </c>
      <c r="Z37" s="302">
        <v>8</v>
      </c>
      <c r="AA37" s="302">
        <v>9</v>
      </c>
      <c r="AB37" s="302">
        <v>10</v>
      </c>
      <c r="AC37" s="302">
        <v>11</v>
      </c>
      <c r="AD37" s="302">
        <v>12</v>
      </c>
      <c r="AE37" s="302">
        <v>1</v>
      </c>
      <c r="AF37" s="302">
        <v>2</v>
      </c>
      <c r="AG37" s="302">
        <v>3</v>
      </c>
      <c r="BA37"/>
      <c r="BB37"/>
    </row>
    <row r="38" spans="1:54" s="191" customFormat="1" ht="13.5">
      <c r="A38" s="226"/>
      <c r="B38" s="300">
        <v>5005246282</v>
      </c>
      <c r="C38" s="183" t="str">
        <f>IFERROR(IF(VLOOKUP($B38,勘定科目!$A:$H,HLOOKUP($E$5,勘定科目!$F$1:$H$2,2,0),0)="","",VLOOKUP($B38,勘定科目!$A:$E,2,0)),"")</f>
        <v>ＫＤＣシステム使用料（製）</v>
      </c>
      <c r="D38" s="239" t="str">
        <f>IF(C38="","",VLOOKUP($B38,勘定科目!$A:$E,4,0))</f>
        <v>図書及び事務費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5"/>
        <v>0</v>
      </c>
      <c r="S38" s="201" t="s">
        <v>693</v>
      </c>
      <c r="T38" s="202"/>
      <c r="U38" s="246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BA38"/>
      <c r="BB38"/>
    </row>
    <row r="39" spans="1:54" s="191" customFormat="1" ht="13.5">
      <c r="A39" s="226"/>
      <c r="B39" s="304">
        <v>5005246282</v>
      </c>
      <c r="C39" s="305" t="str">
        <f>IFERROR(IF(VLOOKUP($B39,勘定科目!$A:$H,HLOOKUP($E$5,勘定科目!$F$1:$H$2,2,0),0)="","",VLOOKUP($B39,勘定科目!$A:$E,2,0)),"")</f>
        <v>ＫＤＣシステム使用料（製）</v>
      </c>
      <c r="D39" s="306" t="str">
        <f>IF(C39="","",VLOOKUP($B39,勘定科目!$A:$E,4,0))</f>
        <v>図書及び事務費</v>
      </c>
      <c r="E39" s="307"/>
      <c r="F39" s="310">
        <f>ROUND(V39,0)</f>
        <v>14050318</v>
      </c>
      <c r="G39" s="311">
        <f>ROUND(W39,0)</f>
        <v>14050318</v>
      </c>
      <c r="H39" s="311">
        <f t="shared" ref="H39:Q39" si="7">ROUND(X39,0)</f>
        <v>14050318</v>
      </c>
      <c r="I39" s="311">
        <f t="shared" si="7"/>
        <v>14050318</v>
      </c>
      <c r="J39" s="311">
        <f>ROUND(Z39,0)</f>
        <v>14050318</v>
      </c>
      <c r="K39" s="311">
        <f t="shared" si="7"/>
        <v>14050318</v>
      </c>
      <c r="L39" s="311">
        <f t="shared" si="7"/>
        <v>14050318</v>
      </c>
      <c r="M39" s="311">
        <f t="shared" si="7"/>
        <v>14050318</v>
      </c>
      <c r="N39" s="311">
        <f t="shared" si="7"/>
        <v>14050318</v>
      </c>
      <c r="O39" s="311">
        <f t="shared" si="7"/>
        <v>14050318</v>
      </c>
      <c r="P39" s="311">
        <f t="shared" si="7"/>
        <v>14050318</v>
      </c>
      <c r="Q39" s="311">
        <f t="shared" si="7"/>
        <v>14050318</v>
      </c>
      <c r="R39" s="308">
        <f t="shared" si="5"/>
        <v>168603816</v>
      </c>
      <c r="S39" s="309" t="s">
        <v>694</v>
      </c>
      <c r="T39" s="202"/>
      <c r="U39" s="246"/>
      <c r="V39" s="316">
        <v>14050318</v>
      </c>
      <c r="W39" s="316">
        <v>14050318</v>
      </c>
      <c r="X39" s="317">
        <v>14050318</v>
      </c>
      <c r="Y39" s="317">
        <v>14050318</v>
      </c>
      <c r="Z39" s="317">
        <v>14050318</v>
      </c>
      <c r="AA39" s="317">
        <v>14050318</v>
      </c>
      <c r="AB39" s="317">
        <v>14050318</v>
      </c>
      <c r="AC39" s="317">
        <v>14050318</v>
      </c>
      <c r="AD39" s="317">
        <v>14050318</v>
      </c>
      <c r="AE39" s="317">
        <v>14050318</v>
      </c>
      <c r="AF39" s="317">
        <v>14050318</v>
      </c>
      <c r="AG39" s="317">
        <v>14050318</v>
      </c>
      <c r="BA39"/>
      <c r="BB39"/>
    </row>
    <row r="40" spans="1:54" s="191" customFormat="1" ht="13.5">
      <c r="A40" s="226"/>
      <c r="B40" s="304">
        <v>5006016260</v>
      </c>
      <c r="C40" s="305" t="str">
        <f>IFERROR(IF(VLOOKUP($B40,勘定科目!$A:$H,HLOOKUP($E$5,勘定科目!$F$1:$H$2,2,0),0)="","",VLOOKUP($B40,勘定科目!$A:$E,2,0)),"")</f>
        <v>減価償却費配賦（製）　建物</v>
      </c>
      <c r="D40" s="306" t="str">
        <f>IF(C40="","",VLOOKUP($B40,勘定科目!$A:$E,4,0))</f>
        <v>減価償却費</v>
      </c>
      <c r="E40" s="307"/>
      <c r="F40" s="310">
        <f t="shared" ref="F40:G43" si="8">ROUND(V40*$B$2,0)</f>
        <v>1288543</v>
      </c>
      <c r="G40" s="311">
        <f t="shared" si="8"/>
        <v>1298699</v>
      </c>
      <c r="H40" s="311">
        <f t="shared" ref="H40:Q43" si="9">ROUND(X40*$B$2,0)</f>
        <v>1325104</v>
      </c>
      <c r="I40" s="311">
        <f t="shared" si="9"/>
        <v>1258582</v>
      </c>
      <c r="J40" s="311">
        <f>ROUND(Z40*$B$2,0)</f>
        <v>1241571</v>
      </c>
      <c r="K40" s="311">
        <f t="shared" si="9"/>
        <v>1247665</v>
      </c>
      <c r="L40" s="311">
        <f t="shared" si="9"/>
        <v>1234970</v>
      </c>
      <c r="M40" s="311">
        <f t="shared" si="9"/>
        <v>1220243</v>
      </c>
      <c r="N40" s="311">
        <f t="shared" si="9"/>
        <v>1227860</v>
      </c>
      <c r="O40" s="311">
        <f t="shared" si="9"/>
        <v>1199678</v>
      </c>
      <c r="P40" s="311">
        <f t="shared" si="9"/>
        <v>1171495</v>
      </c>
      <c r="Q40" s="311">
        <f t="shared" si="9"/>
        <v>1207295</v>
      </c>
      <c r="R40" s="308">
        <f t="shared" si="5"/>
        <v>14921705</v>
      </c>
      <c r="S40" s="309" t="s">
        <v>695</v>
      </c>
      <c r="T40" s="202"/>
      <c r="U40" s="246"/>
      <c r="V40" s="303">
        <v>50.75</v>
      </c>
      <c r="W40" s="303">
        <v>51.15</v>
      </c>
      <c r="X40" s="225">
        <v>52.19</v>
      </c>
      <c r="Y40" s="225">
        <v>49.57</v>
      </c>
      <c r="Z40" s="225">
        <v>48.9</v>
      </c>
      <c r="AA40" s="225">
        <v>49.14</v>
      </c>
      <c r="AB40" s="225">
        <v>48.64</v>
      </c>
      <c r="AC40" s="225">
        <v>48.06</v>
      </c>
      <c r="AD40" s="225">
        <v>48.36</v>
      </c>
      <c r="AE40" s="225">
        <v>47.25</v>
      </c>
      <c r="AF40" s="225">
        <v>46.14</v>
      </c>
      <c r="AG40" s="225">
        <v>47.55</v>
      </c>
      <c r="BA40"/>
      <c r="BB40"/>
    </row>
    <row r="41" spans="1:54" s="191" customFormat="1" ht="13.5">
      <c r="A41" s="226"/>
      <c r="B41" s="304">
        <v>5006016261</v>
      </c>
      <c r="C41" s="305" t="str">
        <f>IFERROR(IF(VLOOKUP($B41,勘定科目!$A:$H,HLOOKUP($E$5,勘定科目!$F$1:$H$2,2,0),0)="","",VLOOKUP($B41,勘定科目!$A:$E,2,0)),"")</f>
        <v>減価償却費配賦（製）　土地使用権</v>
      </c>
      <c r="D41" s="306" t="str">
        <f>IF(C41="","",VLOOKUP($B41,勘定科目!$A:$E,4,0))</f>
        <v>減価償却費</v>
      </c>
      <c r="E41" s="307"/>
      <c r="F41" s="310">
        <f t="shared" si="8"/>
        <v>87088</v>
      </c>
      <c r="G41" s="311">
        <f t="shared" si="8"/>
        <v>87596</v>
      </c>
      <c r="H41" s="311">
        <f t="shared" si="9"/>
        <v>89373</v>
      </c>
      <c r="I41" s="311">
        <f t="shared" si="9"/>
        <v>85057</v>
      </c>
      <c r="J41" s="311">
        <f>ROUND(Z41*$B$2,0)</f>
        <v>83787</v>
      </c>
      <c r="K41" s="311">
        <f t="shared" si="9"/>
        <v>84295</v>
      </c>
      <c r="L41" s="311">
        <f t="shared" si="9"/>
        <v>83279</v>
      </c>
      <c r="M41" s="311">
        <f t="shared" si="9"/>
        <v>82264</v>
      </c>
      <c r="N41" s="311">
        <f t="shared" si="9"/>
        <v>82771</v>
      </c>
      <c r="O41" s="311">
        <f t="shared" si="9"/>
        <v>80994</v>
      </c>
      <c r="P41" s="311">
        <f t="shared" si="9"/>
        <v>78963</v>
      </c>
      <c r="Q41" s="311">
        <f t="shared" si="9"/>
        <v>81502</v>
      </c>
      <c r="R41" s="308">
        <f t="shared" si="5"/>
        <v>1006969</v>
      </c>
      <c r="S41" s="309" t="s">
        <v>696</v>
      </c>
      <c r="T41" s="202"/>
      <c r="U41" s="246"/>
      <c r="V41" s="303">
        <v>3.43</v>
      </c>
      <c r="W41" s="303">
        <v>3.45</v>
      </c>
      <c r="X41" s="225">
        <v>3.52</v>
      </c>
      <c r="Y41" s="225">
        <v>3.35</v>
      </c>
      <c r="Z41" s="225">
        <v>3.3</v>
      </c>
      <c r="AA41" s="225">
        <v>3.32</v>
      </c>
      <c r="AB41" s="225">
        <v>3.28</v>
      </c>
      <c r="AC41" s="225">
        <v>3.24</v>
      </c>
      <c r="AD41" s="225">
        <v>3.26</v>
      </c>
      <c r="AE41" s="225">
        <v>3.19</v>
      </c>
      <c r="AF41" s="225">
        <v>3.11</v>
      </c>
      <c r="AG41" s="225">
        <v>3.21</v>
      </c>
      <c r="BA41"/>
      <c r="BB41"/>
    </row>
    <row r="42" spans="1:54" s="191" customFormat="1" ht="13.5">
      <c r="A42" s="226"/>
      <c r="B42" s="304">
        <v>9114120007</v>
      </c>
      <c r="C42" s="305" t="str">
        <f>IFERROR(IF(VLOOKUP($B42,勘定科目!$A:$H,HLOOKUP($E$5,勘定科目!$F$1:$H$2,2,0),0)="","",VLOOKUP($B42,勘定科目!$A:$E,2,0)),"")</f>
        <v>社内金利（固定資産）</v>
      </c>
      <c r="D42" s="306" t="str">
        <f>IF(C42="","",VLOOKUP($B42,勘定科目!$A:$E,4,0))</f>
        <v>固定資産金利</v>
      </c>
      <c r="E42" s="307"/>
      <c r="F42" s="310">
        <f t="shared" si="8"/>
        <v>874686</v>
      </c>
      <c r="G42" s="311">
        <f t="shared" si="8"/>
        <v>834823</v>
      </c>
      <c r="H42" s="311">
        <f t="shared" si="9"/>
        <v>851835</v>
      </c>
      <c r="I42" s="311">
        <f t="shared" si="9"/>
        <v>808925</v>
      </c>
      <c r="J42" s="311">
        <f t="shared" si="9"/>
        <v>798008</v>
      </c>
      <c r="K42" s="311">
        <f t="shared" si="9"/>
        <v>802070</v>
      </c>
      <c r="L42" s="311">
        <f t="shared" si="9"/>
        <v>793691</v>
      </c>
      <c r="M42" s="311">
        <f t="shared" si="9"/>
        <v>784297</v>
      </c>
      <c r="N42" s="311">
        <f t="shared" si="9"/>
        <v>789121</v>
      </c>
      <c r="O42" s="311">
        <f t="shared" si="9"/>
        <v>771094</v>
      </c>
      <c r="P42" s="311">
        <f t="shared" si="9"/>
        <v>753067</v>
      </c>
      <c r="Q42" s="311">
        <f t="shared" si="9"/>
        <v>775918</v>
      </c>
      <c r="R42" s="308">
        <f t="shared" si="5"/>
        <v>9637535</v>
      </c>
      <c r="S42" s="309" t="s">
        <v>697</v>
      </c>
      <c r="T42" s="202"/>
      <c r="U42" s="246"/>
      <c r="V42" s="303">
        <v>34.450000000000003</v>
      </c>
      <c r="W42" s="303">
        <v>32.880000000000003</v>
      </c>
      <c r="X42" s="225">
        <v>33.549999999999997</v>
      </c>
      <c r="Y42" s="225">
        <v>31.86</v>
      </c>
      <c r="Z42" s="225">
        <v>31.43</v>
      </c>
      <c r="AA42" s="225">
        <v>31.59</v>
      </c>
      <c r="AB42" s="225">
        <v>31.26</v>
      </c>
      <c r="AC42" s="225">
        <v>30.89</v>
      </c>
      <c r="AD42" s="225">
        <v>31.08</v>
      </c>
      <c r="AE42" s="225">
        <v>30.37</v>
      </c>
      <c r="AF42" s="225">
        <v>29.66</v>
      </c>
      <c r="AG42" s="225">
        <v>30.56</v>
      </c>
      <c r="BA42"/>
      <c r="BB42"/>
    </row>
    <row r="43" spans="1:54" s="191" customFormat="1" ht="13.5">
      <c r="A43" s="226"/>
      <c r="B43" s="304">
        <v>9114120007</v>
      </c>
      <c r="C43" s="305" t="str">
        <f>IFERROR(IF(VLOOKUP($B43,勘定科目!$A:$H,HLOOKUP($E$5,勘定科目!$F$1:$H$2,2,0),0)="","",VLOOKUP($B43,勘定科目!$A:$E,2,0)),"")</f>
        <v>社内金利（固定資産）</v>
      </c>
      <c r="D43" s="306" t="str">
        <f>IF(C43="","",VLOOKUP($B43,勘定科目!$A:$E,4,0))</f>
        <v>固定資産金利</v>
      </c>
      <c r="E43" s="307"/>
      <c r="F43" s="310">
        <f t="shared" si="8"/>
        <v>108161</v>
      </c>
      <c r="G43" s="311">
        <f t="shared" si="8"/>
        <v>105876</v>
      </c>
      <c r="H43" s="311">
        <f t="shared" si="9"/>
        <v>107908</v>
      </c>
      <c r="I43" s="311">
        <f>ROUND(Y43*$B$2,0)</f>
        <v>102576</v>
      </c>
      <c r="J43" s="311">
        <f t="shared" si="9"/>
        <v>101306</v>
      </c>
      <c r="K43" s="311">
        <f t="shared" si="9"/>
        <v>101560</v>
      </c>
      <c r="L43" s="311">
        <f t="shared" si="9"/>
        <v>100544</v>
      </c>
      <c r="M43" s="311">
        <f t="shared" si="9"/>
        <v>99529</v>
      </c>
      <c r="N43" s="311">
        <f t="shared" si="9"/>
        <v>100037</v>
      </c>
      <c r="O43" s="311">
        <f t="shared" si="9"/>
        <v>97752</v>
      </c>
      <c r="P43" s="311">
        <f t="shared" si="9"/>
        <v>95466</v>
      </c>
      <c r="Q43" s="311">
        <f t="shared" si="9"/>
        <v>98513</v>
      </c>
      <c r="R43" s="308">
        <f t="shared" si="5"/>
        <v>1219228</v>
      </c>
      <c r="S43" s="309" t="s">
        <v>698</v>
      </c>
      <c r="T43" s="202"/>
      <c r="U43" s="246"/>
      <c r="V43" s="303">
        <v>4.26</v>
      </c>
      <c r="W43" s="303">
        <v>4.17</v>
      </c>
      <c r="X43" s="225">
        <v>4.25</v>
      </c>
      <c r="Y43" s="225">
        <v>4.04</v>
      </c>
      <c r="Z43" s="225">
        <v>3.99</v>
      </c>
      <c r="AA43" s="225">
        <v>4</v>
      </c>
      <c r="AB43" s="225">
        <v>3.96</v>
      </c>
      <c r="AC43" s="225">
        <v>3.92</v>
      </c>
      <c r="AD43" s="225">
        <v>3.94</v>
      </c>
      <c r="AE43" s="225">
        <v>3.85</v>
      </c>
      <c r="AF43" s="225">
        <v>3.76</v>
      </c>
      <c r="AG43" s="225">
        <v>3.88</v>
      </c>
      <c r="BA43"/>
      <c r="BB43"/>
    </row>
    <row r="44" spans="1:54" s="191" customFormat="1" ht="13.5">
      <c r="A44" s="226"/>
      <c r="B44" s="304">
        <v>5005056281</v>
      </c>
      <c r="C44" s="305" t="str">
        <f>IFERROR(IF(VLOOKUP($B44,勘定科目!$A:$H,HLOOKUP($E$5,勘定科目!$F$1:$H$2,2,0),0)="","",VLOOKUP($B44,勘定科目!$A:$E,2,0)),"")</f>
        <v>ガス代（製）</v>
      </c>
      <c r="D44" s="306" t="str">
        <f>IF(C44="","",VLOOKUP($B44,勘定科目!$A:$E,4,0))</f>
        <v>水道光熱費</v>
      </c>
      <c r="E44" s="307"/>
      <c r="F44" s="310">
        <f>ROUND(V44*F25,0)</f>
        <v>242196</v>
      </c>
      <c r="G44" s="311">
        <f>ROUND(W44*G25,0)</f>
        <v>234666</v>
      </c>
      <c r="H44" s="311">
        <f t="shared" ref="H44:Q44" si="10">ROUND(X44*H25,0)</f>
        <v>269136</v>
      </c>
      <c r="I44" s="311">
        <f>ROUND(Y44*I25,0)</f>
        <v>281574</v>
      </c>
      <c r="J44" s="311">
        <f>ROUND(Z44*J25,0)</f>
        <v>256128</v>
      </c>
      <c r="K44" s="311">
        <f t="shared" si="10"/>
        <v>230946</v>
      </c>
      <c r="L44" s="311">
        <f t="shared" si="10"/>
        <v>281862</v>
      </c>
      <c r="M44" s="311">
        <f t="shared" si="10"/>
        <v>246756</v>
      </c>
      <c r="N44" s="311">
        <f t="shared" si="10"/>
        <v>264516</v>
      </c>
      <c r="O44" s="311">
        <f t="shared" si="10"/>
        <v>254754</v>
      </c>
      <c r="P44" s="311">
        <f t="shared" si="10"/>
        <v>197364</v>
      </c>
      <c r="Q44" s="311">
        <f t="shared" si="10"/>
        <v>255252</v>
      </c>
      <c r="R44" s="308">
        <f t="shared" si="5"/>
        <v>3015150</v>
      </c>
      <c r="S44" s="309" t="s">
        <v>699</v>
      </c>
      <c r="T44" s="202"/>
      <c r="U44" s="246"/>
      <c r="V44" s="316">
        <v>40366</v>
      </c>
      <c r="W44" s="316">
        <v>39111</v>
      </c>
      <c r="X44" s="317">
        <v>44856</v>
      </c>
      <c r="Y44" s="317">
        <v>46929</v>
      </c>
      <c r="Z44" s="317">
        <v>42688</v>
      </c>
      <c r="AA44" s="317">
        <v>38491</v>
      </c>
      <c r="AB44" s="317">
        <v>46977</v>
      </c>
      <c r="AC44" s="317">
        <v>41126</v>
      </c>
      <c r="AD44" s="317">
        <v>44086</v>
      </c>
      <c r="AE44" s="317">
        <v>42459</v>
      </c>
      <c r="AF44" s="317">
        <v>32894</v>
      </c>
      <c r="AG44" s="317">
        <v>42542</v>
      </c>
      <c r="BA44"/>
      <c r="BB44"/>
    </row>
    <row r="45" spans="1:54" s="191" customFormat="1" ht="13.5">
      <c r="A45" s="226"/>
      <c r="B45" s="304">
        <v>5005016372</v>
      </c>
      <c r="C45" s="305" t="str">
        <f>IFERROR(IF(VLOOKUP($B45,勘定科目!$A:$H,HLOOKUP($E$5,勘定科目!$F$1:$H$2,2,0),0)="","",VLOOKUP($B45,勘定科目!$A:$E,2,0)),"")</f>
        <v>その他消耗品（製）</v>
      </c>
      <c r="D45" s="306" t="str">
        <f>IF(C45="","",VLOOKUP($B45,勘定科目!$A:$E,4,0))</f>
        <v>消耗品費</v>
      </c>
      <c r="E45" s="307"/>
      <c r="F45" s="310">
        <f>ROUND(V45*F25,0)</f>
        <v>110544</v>
      </c>
      <c r="G45" s="311">
        <f>ROUND(W45*G25,0)</f>
        <v>106416</v>
      </c>
      <c r="H45" s="311">
        <f t="shared" ref="H45:Q45" si="11">ROUND(X45*H25,0)</f>
        <v>116406</v>
      </c>
      <c r="I45" s="311">
        <f>ROUND(Y45*I25,0)</f>
        <v>126828</v>
      </c>
      <c r="J45" s="311">
        <f>ROUND(Z45*J25,0)</f>
        <v>110424</v>
      </c>
      <c r="K45" s="311">
        <f t="shared" si="11"/>
        <v>105000</v>
      </c>
      <c r="L45" s="311">
        <f t="shared" si="11"/>
        <v>126660</v>
      </c>
      <c r="M45" s="311">
        <f t="shared" si="11"/>
        <v>110526</v>
      </c>
      <c r="N45" s="311">
        <f t="shared" si="11"/>
        <v>121524</v>
      </c>
      <c r="O45" s="311">
        <f t="shared" si="11"/>
        <v>110394</v>
      </c>
      <c r="P45" s="311">
        <f t="shared" si="11"/>
        <v>83178</v>
      </c>
      <c r="Q45" s="311">
        <f t="shared" si="11"/>
        <v>110610</v>
      </c>
      <c r="R45" s="308">
        <f t="shared" si="5"/>
        <v>1338510</v>
      </c>
      <c r="S45" s="309" t="s">
        <v>700</v>
      </c>
      <c r="T45" s="202"/>
      <c r="U45" s="246"/>
      <c r="V45" s="316">
        <v>18424</v>
      </c>
      <c r="W45" s="316">
        <v>17736</v>
      </c>
      <c r="X45" s="317">
        <v>19401</v>
      </c>
      <c r="Y45" s="317">
        <v>21138</v>
      </c>
      <c r="Z45" s="317">
        <v>18404</v>
      </c>
      <c r="AA45" s="317">
        <v>17500</v>
      </c>
      <c r="AB45" s="317">
        <v>21110</v>
      </c>
      <c r="AC45" s="317">
        <v>18421</v>
      </c>
      <c r="AD45" s="317">
        <v>20254</v>
      </c>
      <c r="AE45" s="317">
        <v>18399</v>
      </c>
      <c r="AF45" s="317">
        <v>13863</v>
      </c>
      <c r="AG45" s="317">
        <v>18435</v>
      </c>
      <c r="BA45"/>
      <c r="BB45"/>
    </row>
    <row r="46" spans="1:54" s="191" customFormat="1" ht="13.5">
      <c r="A46" s="226"/>
      <c r="B46" s="304">
        <v>5005016372</v>
      </c>
      <c r="C46" s="305" t="str">
        <f>IFERROR(IF(VLOOKUP($B46,勘定科目!$A:$H,HLOOKUP($E$5,勘定科目!$F$1:$H$2,2,0),0)="","",VLOOKUP($B46,勘定科目!$A:$E,2,0)),"")</f>
        <v>その他消耗品（製）</v>
      </c>
      <c r="D46" s="306" t="str">
        <f>IF(C46="","",VLOOKUP($B46,勘定科目!$A:$E,4,0))</f>
        <v>消耗品費</v>
      </c>
      <c r="E46" s="307"/>
      <c r="F46" s="310">
        <f>ROUND(V46*F25,0)</f>
        <v>6732</v>
      </c>
      <c r="G46" s="311">
        <f>ROUND(W46*G25,0)</f>
        <v>6780</v>
      </c>
      <c r="H46" s="311">
        <f t="shared" ref="H46:Q46" si="12">ROUND(X46*H25,0)</f>
        <v>6942</v>
      </c>
      <c r="I46" s="311">
        <f t="shared" si="12"/>
        <v>6678</v>
      </c>
      <c r="J46" s="311">
        <f>ROUND(Z46*J25,0)</f>
        <v>6480</v>
      </c>
      <c r="K46" s="311">
        <f t="shared" si="12"/>
        <v>6558</v>
      </c>
      <c r="L46" s="311">
        <f t="shared" si="12"/>
        <v>6786</v>
      </c>
      <c r="M46" s="311">
        <f t="shared" si="12"/>
        <v>6684</v>
      </c>
      <c r="N46" s="311">
        <f t="shared" si="12"/>
        <v>6744</v>
      </c>
      <c r="O46" s="311">
        <f t="shared" si="12"/>
        <v>6768</v>
      </c>
      <c r="P46" s="311">
        <f t="shared" si="12"/>
        <v>6876</v>
      </c>
      <c r="Q46" s="311">
        <f t="shared" si="12"/>
        <v>6510</v>
      </c>
      <c r="R46" s="308">
        <f t="shared" si="5"/>
        <v>80538</v>
      </c>
      <c r="S46" s="309" t="s">
        <v>701</v>
      </c>
      <c r="T46" s="202"/>
      <c r="U46" s="246"/>
      <c r="V46" s="316">
        <v>1122</v>
      </c>
      <c r="W46" s="316">
        <v>1130</v>
      </c>
      <c r="X46" s="317">
        <v>1157</v>
      </c>
      <c r="Y46" s="317">
        <v>1113</v>
      </c>
      <c r="Z46" s="317">
        <v>1080</v>
      </c>
      <c r="AA46" s="317">
        <v>1093</v>
      </c>
      <c r="AB46" s="317">
        <v>1131</v>
      </c>
      <c r="AC46" s="317">
        <v>1114</v>
      </c>
      <c r="AD46" s="317">
        <v>1124</v>
      </c>
      <c r="AE46" s="317">
        <v>1128</v>
      </c>
      <c r="AF46" s="317">
        <v>1146</v>
      </c>
      <c r="AG46" s="317">
        <v>1085</v>
      </c>
      <c r="BA46"/>
      <c r="BB46"/>
    </row>
    <row r="47" spans="1:54" s="191" customFormat="1" ht="13.5">
      <c r="A47" s="226"/>
      <c r="B47" s="304">
        <v>5005246286</v>
      </c>
      <c r="C47" s="305" t="str">
        <f>IFERROR(IF(VLOOKUP($B47,勘定科目!$A:$H,HLOOKUP($E$5,勘定科目!$F$1:$H$2,2,0),0)="","",VLOOKUP($B47,勘定科目!$A:$E,2,0)),"")</f>
        <v>その他手数料（製）</v>
      </c>
      <c r="D47" s="306" t="str">
        <f>IF(C47="","",VLOOKUP($B47,勘定科目!$A:$E,4,0))</f>
        <v>手数料</v>
      </c>
      <c r="E47" s="307"/>
      <c r="F47" s="310">
        <f>ROUND(V47*F25,0)</f>
        <v>337482</v>
      </c>
      <c r="G47" s="311">
        <f>ROUND(W47*G25,0)</f>
        <v>338772</v>
      </c>
      <c r="H47" s="311">
        <f t="shared" ref="H47:Q47" si="13">ROUND(X47*H25,0)</f>
        <v>349206</v>
      </c>
      <c r="I47" s="311">
        <f t="shared" si="13"/>
        <v>319836</v>
      </c>
      <c r="J47" s="311">
        <f>ROUND(Z47*J25,0)</f>
        <v>311346</v>
      </c>
      <c r="K47" s="311">
        <f t="shared" si="13"/>
        <v>297540</v>
      </c>
      <c r="L47" s="311">
        <f t="shared" si="13"/>
        <v>284592</v>
      </c>
      <c r="M47" s="311">
        <f t="shared" si="13"/>
        <v>281064</v>
      </c>
      <c r="N47" s="311">
        <f t="shared" si="13"/>
        <v>281862</v>
      </c>
      <c r="O47" s="311">
        <f t="shared" si="13"/>
        <v>269808</v>
      </c>
      <c r="P47" s="311">
        <f t="shared" si="13"/>
        <v>255372</v>
      </c>
      <c r="Q47" s="311">
        <f t="shared" si="13"/>
        <v>267240</v>
      </c>
      <c r="R47" s="308">
        <f t="shared" si="5"/>
        <v>3594120</v>
      </c>
      <c r="S47" s="309" t="s">
        <v>702</v>
      </c>
      <c r="T47" s="202"/>
      <c r="U47" s="246"/>
      <c r="V47" s="316">
        <v>56247</v>
      </c>
      <c r="W47" s="316">
        <v>56462</v>
      </c>
      <c r="X47" s="317">
        <v>58201</v>
      </c>
      <c r="Y47" s="317">
        <v>53306</v>
      </c>
      <c r="Z47" s="317">
        <v>51891</v>
      </c>
      <c r="AA47" s="317">
        <v>49590</v>
      </c>
      <c r="AB47" s="317">
        <v>47432</v>
      </c>
      <c r="AC47" s="317">
        <v>46844</v>
      </c>
      <c r="AD47" s="317">
        <v>46977</v>
      </c>
      <c r="AE47" s="317">
        <v>44968</v>
      </c>
      <c r="AF47" s="317">
        <v>42562</v>
      </c>
      <c r="AG47" s="317">
        <v>44540</v>
      </c>
      <c r="BA47"/>
      <c r="BB47"/>
    </row>
    <row r="48" spans="1:54" s="191" customFormat="1" ht="13.5">
      <c r="A48" s="226"/>
      <c r="B48" s="304">
        <v>5005066281</v>
      </c>
      <c r="C48" s="305" t="str">
        <f>IFERROR(IF(VLOOKUP($B48,勘定科目!$A:$H,HLOOKUP($E$5,勘定科目!$F$1:$H$2,2,0),0)="","",VLOOKUP($B48,勘定科目!$A:$E,2,0)),"")</f>
        <v>電気代（製）</v>
      </c>
      <c r="D48" s="306" t="str">
        <f>IF(C48="","",VLOOKUP($B48,勘定科目!$A:$E,4,0))</f>
        <v>水道光熱費</v>
      </c>
      <c r="E48" s="307"/>
      <c r="F48" s="310">
        <f>ROUND(V48,0)</f>
        <v>1141864</v>
      </c>
      <c r="G48" s="311">
        <f>ROUND(W48,0)</f>
        <v>1170697</v>
      </c>
      <c r="H48" s="311">
        <f t="shared" ref="H48:Q49" si="14">ROUND(X48,0)</f>
        <v>1468810</v>
      </c>
      <c r="I48" s="311">
        <f t="shared" si="14"/>
        <v>1581795</v>
      </c>
      <c r="J48" s="311">
        <f t="shared" si="14"/>
        <v>1636235</v>
      </c>
      <c r="K48" s="311">
        <f t="shared" si="14"/>
        <v>1499291</v>
      </c>
      <c r="L48" s="311">
        <f t="shared" si="14"/>
        <v>1499454</v>
      </c>
      <c r="M48" s="311">
        <f t="shared" si="14"/>
        <v>1352744</v>
      </c>
      <c r="N48" s="311">
        <f t="shared" si="14"/>
        <v>1296380</v>
      </c>
      <c r="O48" s="311">
        <f t="shared" si="14"/>
        <v>1149670</v>
      </c>
      <c r="P48" s="311">
        <f t="shared" si="14"/>
        <v>1146965</v>
      </c>
      <c r="Q48" s="311">
        <f t="shared" si="14"/>
        <v>901829</v>
      </c>
      <c r="R48" s="308">
        <f t="shared" si="5"/>
        <v>15845734</v>
      </c>
      <c r="S48" s="309" t="s">
        <v>703</v>
      </c>
      <c r="T48" s="202"/>
      <c r="U48" s="246"/>
      <c r="V48" s="316">
        <v>1141864</v>
      </c>
      <c r="W48" s="316">
        <v>1170697</v>
      </c>
      <c r="X48" s="317">
        <v>1468810</v>
      </c>
      <c r="Y48" s="317">
        <v>1581795</v>
      </c>
      <c r="Z48" s="317">
        <v>1636235</v>
      </c>
      <c r="AA48" s="317">
        <v>1499291</v>
      </c>
      <c r="AB48" s="317">
        <v>1499454</v>
      </c>
      <c r="AC48" s="317">
        <v>1352744</v>
      </c>
      <c r="AD48" s="317">
        <v>1296380</v>
      </c>
      <c r="AE48" s="317">
        <v>1149670</v>
      </c>
      <c r="AF48" s="317">
        <v>1146965</v>
      </c>
      <c r="AG48" s="317">
        <v>901829</v>
      </c>
      <c r="BA48"/>
      <c r="BB48"/>
    </row>
    <row r="49" spans="1:54" s="191" customFormat="1" ht="13.5">
      <c r="A49" s="226"/>
      <c r="B49" s="304">
        <v>5005066282</v>
      </c>
      <c r="C49" s="305" t="str">
        <f>IFERROR(IF(VLOOKUP($B49,勘定科目!$A:$H,HLOOKUP($E$5,勘定科目!$F$1:$H$2,2,0),0)="","",VLOOKUP($B49,勘定科目!$A:$E,2,0)),"")</f>
        <v>水道代（製）</v>
      </c>
      <c r="D49" s="306" t="str">
        <f>IF(C49="","",VLOOKUP($B49,勘定科目!$A:$E,4,0))</f>
        <v>水道光熱費</v>
      </c>
      <c r="E49" s="307"/>
      <c r="F49" s="310">
        <f>ROUND(V49,0)</f>
        <v>174379</v>
      </c>
      <c r="G49" s="311">
        <f>ROUND(W49,0)</f>
        <v>192717</v>
      </c>
      <c r="H49" s="311">
        <f t="shared" si="14"/>
        <v>217663</v>
      </c>
      <c r="I49" s="311">
        <f t="shared" si="14"/>
        <v>310838</v>
      </c>
      <c r="J49" s="311">
        <f t="shared" si="14"/>
        <v>278399</v>
      </c>
      <c r="K49" s="311">
        <f t="shared" si="14"/>
        <v>241565</v>
      </c>
      <c r="L49" s="311">
        <f t="shared" si="14"/>
        <v>165479</v>
      </c>
      <c r="M49" s="311">
        <f t="shared" si="14"/>
        <v>230492</v>
      </c>
      <c r="N49" s="311">
        <f t="shared" si="14"/>
        <v>230202</v>
      </c>
      <c r="O49" s="311">
        <f t="shared" si="14"/>
        <v>156099</v>
      </c>
      <c r="P49" s="311">
        <f t="shared" si="14"/>
        <v>117053</v>
      </c>
      <c r="Q49" s="311">
        <f t="shared" si="14"/>
        <v>136002</v>
      </c>
      <c r="R49" s="308">
        <f t="shared" si="5"/>
        <v>2450888</v>
      </c>
      <c r="S49" s="309" t="s">
        <v>704</v>
      </c>
      <c r="T49" s="202"/>
      <c r="U49" s="246"/>
      <c r="V49" s="316">
        <v>174379</v>
      </c>
      <c r="W49" s="316">
        <v>192717</v>
      </c>
      <c r="X49" s="317">
        <v>217663</v>
      </c>
      <c r="Y49" s="317">
        <v>310838</v>
      </c>
      <c r="Z49" s="317">
        <v>278399</v>
      </c>
      <c r="AA49" s="317">
        <v>241565</v>
      </c>
      <c r="AB49" s="317">
        <v>165479</v>
      </c>
      <c r="AC49" s="317">
        <v>230492</v>
      </c>
      <c r="AD49" s="317">
        <v>230202</v>
      </c>
      <c r="AE49" s="317">
        <v>156099</v>
      </c>
      <c r="AF49" s="317">
        <v>117053</v>
      </c>
      <c r="AG49" s="317">
        <v>136002</v>
      </c>
      <c r="BA49"/>
      <c r="BB49"/>
    </row>
    <row r="50" spans="1:54" s="191" customFormat="1" ht="13.5">
      <c r="A50" s="226"/>
      <c r="B50" s="304">
        <v>5004086291</v>
      </c>
      <c r="C50" s="305" t="str">
        <f>IFERROR(IF(VLOOKUP($B50,勘定科目!$A:$H,HLOOKUP($E$5,勘定科目!$F$1:$H$2,2,0),0)="","",VLOOKUP($B50,勘定科目!$A:$E,2,0)),"")</f>
        <v>福利厚生費（製）</v>
      </c>
      <c r="D50" s="306" t="str">
        <f>IF(C50="","",VLOOKUP($B50,勘定科目!$A:$E,4,0))</f>
        <v>福利厚生費</v>
      </c>
      <c r="E50" s="307"/>
      <c r="F50" s="310">
        <f>ROUND(V50*4,0)</f>
        <v>5498712</v>
      </c>
      <c r="G50" s="311">
        <f t="shared" ref="G50:Q50" si="15">ROUND(W50*4,0)</f>
        <v>6346988</v>
      </c>
      <c r="H50" s="311">
        <f t="shared" si="15"/>
        <v>5673908</v>
      </c>
      <c r="I50" s="311">
        <f t="shared" si="15"/>
        <v>5949852</v>
      </c>
      <c r="J50" s="311">
        <f t="shared" si="15"/>
        <v>6353336</v>
      </c>
      <c r="K50" s="311">
        <f t="shared" si="15"/>
        <v>6374052</v>
      </c>
      <c r="L50" s="311">
        <f t="shared" si="15"/>
        <v>4778940</v>
      </c>
      <c r="M50" s="311">
        <f t="shared" si="15"/>
        <v>5810468</v>
      </c>
      <c r="N50" s="311">
        <f t="shared" si="15"/>
        <v>5862368</v>
      </c>
      <c r="O50" s="311">
        <f t="shared" si="15"/>
        <v>5515700</v>
      </c>
      <c r="P50" s="311">
        <f t="shared" si="15"/>
        <v>5013436</v>
      </c>
      <c r="Q50" s="311">
        <f t="shared" si="15"/>
        <v>5184912</v>
      </c>
      <c r="R50" s="308">
        <f t="shared" si="5"/>
        <v>68362672</v>
      </c>
      <c r="S50" s="309" t="s">
        <v>705</v>
      </c>
      <c r="T50" s="202"/>
      <c r="U50" s="246"/>
      <c r="V50" s="316">
        <v>1374678</v>
      </c>
      <c r="W50" s="316">
        <v>1586747</v>
      </c>
      <c r="X50" s="317">
        <v>1418477</v>
      </c>
      <c r="Y50" s="317">
        <v>1487463</v>
      </c>
      <c r="Z50" s="317">
        <v>1588334</v>
      </c>
      <c r="AA50" s="317">
        <v>1593513</v>
      </c>
      <c r="AB50" s="317">
        <v>1194735</v>
      </c>
      <c r="AC50" s="317">
        <v>1452617</v>
      </c>
      <c r="AD50" s="317">
        <v>1465592</v>
      </c>
      <c r="AE50" s="317">
        <v>1378925</v>
      </c>
      <c r="AF50" s="317">
        <v>1253359</v>
      </c>
      <c r="AG50" s="317">
        <v>1296228</v>
      </c>
      <c r="BA50"/>
      <c r="BB50"/>
    </row>
    <row r="51" spans="1:54" s="191" customFormat="1" ht="13.5">
      <c r="A51" s="226"/>
      <c r="B51" s="300">
        <v>5005136281</v>
      </c>
      <c r="C51" s="183" t="str">
        <f>IFERROR(IF(VLOOKUP($B51,勘定科目!$A:$H,HLOOKUP($E$5,勘定科目!$F$1:$H$2,2,0),0)="","",VLOOKUP($B51,勘定科目!$A:$E,2,0)),"")</f>
        <v>通信費（製）</v>
      </c>
      <c r="D51" s="239" t="str">
        <f>IF(C51="","",VLOOKUP($B51,勘定科目!$A:$E,4,0))</f>
        <v>通信費</v>
      </c>
      <c r="E51" s="199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5"/>
        <v>0</v>
      </c>
      <c r="S51" s="201"/>
      <c r="T51" s="202"/>
      <c r="U51" s="246"/>
      <c r="V51" s="246"/>
      <c r="W51" s="246"/>
      <c r="BA51"/>
      <c r="BB51"/>
    </row>
    <row r="52" spans="1:54" s="191" customFormat="1" ht="14.25">
      <c r="A52" s="226"/>
      <c r="B52" s="30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199"/>
      <c r="F52" s="194"/>
      <c r="G52" s="247"/>
      <c r="H52" s="247"/>
      <c r="I52" s="319">
        <f>100000*6</f>
        <v>600000</v>
      </c>
      <c r="J52" s="247"/>
      <c r="K52" s="247"/>
      <c r="L52" s="247"/>
      <c r="M52" s="247"/>
      <c r="N52" s="247"/>
      <c r="O52" s="247"/>
      <c r="P52" s="247"/>
      <c r="Q52" s="247"/>
      <c r="R52" s="200">
        <f t="shared" si="5"/>
        <v>600000</v>
      </c>
      <c r="S52" s="313" t="s">
        <v>715</v>
      </c>
      <c r="T52" s="202"/>
      <c r="U52" s="246"/>
      <c r="V52" s="246"/>
      <c r="W52" s="246"/>
      <c r="BA52"/>
      <c r="BB52"/>
    </row>
    <row r="53" spans="1:54" s="191" customFormat="1" ht="89.25" customHeight="1">
      <c r="A53" s="226"/>
      <c r="B53" s="30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318">
        <f>(165000+175000)*2*6</f>
        <v>4080000</v>
      </c>
      <c r="G53" s="319">
        <f>(116000*2)+82000</f>
        <v>314000</v>
      </c>
      <c r="H53" s="247"/>
      <c r="I53" s="247"/>
      <c r="J53" s="247"/>
      <c r="K53" s="319">
        <v>84000</v>
      </c>
      <c r="L53" s="247"/>
      <c r="M53" s="319"/>
      <c r="N53" s="319">
        <f>116000*2+82000</f>
        <v>314000</v>
      </c>
      <c r="O53" s="319"/>
      <c r="P53" s="247"/>
      <c r="Q53" s="319">
        <f>116000*2+82000</f>
        <v>314000</v>
      </c>
      <c r="R53" s="200">
        <f t="shared" si="5"/>
        <v>5106000</v>
      </c>
      <c r="S53" s="312" t="s">
        <v>720</v>
      </c>
      <c r="T53" s="202"/>
      <c r="U53" s="246"/>
      <c r="V53" s="246"/>
      <c r="W53" s="246"/>
      <c r="BA53"/>
      <c r="BB53"/>
    </row>
    <row r="54" spans="1:54" s="191" customFormat="1" ht="31.5" customHeight="1">
      <c r="A54" s="226"/>
      <c r="B54" s="30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245"/>
      <c r="F54" s="194"/>
      <c r="G54" s="247"/>
      <c r="H54" s="247"/>
      <c r="I54" s="247"/>
      <c r="J54" s="247"/>
      <c r="K54" s="319">
        <f>126000*6</f>
        <v>756000</v>
      </c>
      <c r="L54" s="319">
        <f>56000*6</f>
        <v>336000</v>
      </c>
      <c r="M54" s="247"/>
      <c r="N54" s="247"/>
      <c r="O54" s="247"/>
      <c r="P54" s="247"/>
      <c r="Q54" s="247"/>
      <c r="R54" s="200">
        <f t="shared" si="5"/>
        <v>1092000</v>
      </c>
      <c r="S54" s="312" t="s">
        <v>708</v>
      </c>
      <c r="T54" s="202"/>
      <c r="U54" s="246"/>
      <c r="V54" s="246"/>
      <c r="W54" s="246"/>
      <c r="BA54"/>
      <c r="BB54"/>
    </row>
    <row r="55" spans="1:54" s="191" customFormat="1" ht="17.25" customHeight="1">
      <c r="A55" s="226"/>
      <c r="B55" s="30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245"/>
      <c r="F55" s="318">
        <v>163000</v>
      </c>
      <c r="G55" s="247"/>
      <c r="H55" s="247"/>
      <c r="I55" s="247"/>
      <c r="J55" s="319">
        <v>163000</v>
      </c>
      <c r="K55" s="319">
        <f>163000*2</f>
        <v>326000</v>
      </c>
      <c r="L55" s="319">
        <v>163000</v>
      </c>
      <c r="M55" s="319">
        <v>163000</v>
      </c>
      <c r="N55" s="247"/>
      <c r="O55" s="247"/>
      <c r="P55" s="247"/>
      <c r="Q55" s="247"/>
      <c r="R55" s="200">
        <f t="shared" si="5"/>
        <v>978000</v>
      </c>
      <c r="S55" s="313" t="s">
        <v>709</v>
      </c>
      <c r="T55" s="202"/>
      <c r="U55" s="246"/>
      <c r="V55" s="246"/>
      <c r="W55" s="246"/>
      <c r="BA55"/>
      <c r="BB55"/>
    </row>
    <row r="56" spans="1:54" s="191" customFormat="1" ht="14.25">
      <c r="A56" s="226"/>
      <c r="B56" s="30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319">
        <f>100000*6</f>
        <v>600000</v>
      </c>
      <c r="Q56" s="247"/>
      <c r="R56" s="200">
        <f t="shared" si="5"/>
        <v>600000</v>
      </c>
      <c r="S56" s="313" t="s">
        <v>717</v>
      </c>
      <c r="T56" s="202"/>
      <c r="U56" s="246"/>
      <c r="V56" s="246"/>
      <c r="W56" s="246"/>
      <c r="BA56"/>
      <c r="BB56"/>
    </row>
    <row r="57" spans="1:54" s="191" customFormat="1" ht="14.25" customHeight="1">
      <c r="A57" s="226"/>
      <c r="B57" s="30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319">
        <f>107000*6</f>
        <v>642000</v>
      </c>
      <c r="N57" s="247"/>
      <c r="O57" s="247"/>
      <c r="P57" s="247"/>
      <c r="Q57" s="247"/>
      <c r="R57" s="200">
        <f t="shared" si="5"/>
        <v>642000</v>
      </c>
      <c r="S57" s="313" t="s">
        <v>710</v>
      </c>
      <c r="T57" s="202"/>
      <c r="U57" s="246"/>
      <c r="V57" s="246"/>
      <c r="W57" s="246"/>
      <c r="BA57"/>
      <c r="BB57"/>
    </row>
    <row r="58" spans="1:54" s="191" customFormat="1" ht="14.25">
      <c r="A58" s="226"/>
      <c r="B58" s="30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194"/>
      <c r="G58" s="247"/>
      <c r="H58" s="247"/>
      <c r="I58" s="247"/>
      <c r="J58" s="247"/>
      <c r="K58" s="247"/>
      <c r="L58" s="247"/>
      <c r="M58" s="247"/>
      <c r="N58" s="319">
        <f>204000*4+189000*2</f>
        <v>1194000</v>
      </c>
      <c r="O58" s="247"/>
      <c r="P58" s="247"/>
      <c r="Q58" s="247"/>
      <c r="R58" s="200">
        <f t="shared" si="5"/>
        <v>1194000</v>
      </c>
      <c r="S58" s="313" t="s">
        <v>716</v>
      </c>
      <c r="T58" s="202"/>
      <c r="U58" s="246"/>
      <c r="V58" s="246"/>
      <c r="W58" s="246"/>
      <c r="BA58"/>
      <c r="BB58"/>
    </row>
    <row r="59" spans="1:54" s="191" customFormat="1" ht="14.25">
      <c r="A59" s="226"/>
      <c r="B59" s="30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319">
        <f>1890000*6</f>
        <v>11340000</v>
      </c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5"/>
        <v>11340000</v>
      </c>
      <c r="S59" s="313" t="s">
        <v>711</v>
      </c>
      <c r="T59" s="202"/>
      <c r="U59" s="246"/>
      <c r="V59" s="246"/>
      <c r="W59" s="246"/>
      <c r="BA59"/>
      <c r="BB59"/>
    </row>
    <row r="60" spans="1:54" s="191" customFormat="1" ht="14.25">
      <c r="A60" s="226"/>
      <c r="B60" s="30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319">
        <f>300000*6</f>
        <v>1800000</v>
      </c>
      <c r="Q60" s="247"/>
      <c r="R60" s="200">
        <f t="shared" si="5"/>
        <v>1800000</v>
      </c>
      <c r="S60" s="313" t="s">
        <v>713</v>
      </c>
      <c r="T60" s="202"/>
      <c r="U60" s="246"/>
      <c r="V60" s="246"/>
      <c r="W60" s="246"/>
      <c r="BA60"/>
      <c r="BB60"/>
    </row>
    <row r="61" spans="1:54" s="191" customFormat="1" ht="14.25">
      <c r="A61" s="226"/>
      <c r="B61" s="300">
        <v>5005246281</v>
      </c>
      <c r="C61" s="183" t="str">
        <f>IFERROR(IF(VLOOKUP($B61,勘定科目!$A:$H,HLOOKUP($E$5,勘定科目!$F$1:$H$2,2,0),0)="","",VLOOKUP($B61,勘定科目!$A:$E,2,0)),"")</f>
        <v>図書印刷費（製）</v>
      </c>
      <c r="D61" s="239" t="str">
        <f>IF(C61="","",VLOOKUP($B61,勘定科目!$A:$E,4,0))</f>
        <v>図書及び事務費</v>
      </c>
      <c r="E61" s="245"/>
      <c r="F61" s="194"/>
      <c r="G61" s="247"/>
      <c r="H61" s="247"/>
      <c r="I61" s="247"/>
      <c r="J61" s="247"/>
      <c r="K61" s="247"/>
      <c r="L61" s="247"/>
      <c r="M61" s="319">
        <f>800*6</f>
        <v>4800</v>
      </c>
      <c r="N61" s="247"/>
      <c r="O61" s="247"/>
      <c r="P61" s="247"/>
      <c r="Q61" s="247"/>
      <c r="R61" s="200">
        <f t="shared" si="5"/>
        <v>4800</v>
      </c>
      <c r="S61" s="313" t="s">
        <v>718</v>
      </c>
      <c r="T61" s="202"/>
      <c r="U61" s="246"/>
      <c r="V61" s="246"/>
      <c r="W61" s="246"/>
      <c r="BA61"/>
      <c r="BB61"/>
    </row>
    <row r="62" spans="1:54" s="191" customFormat="1" ht="90.75" customHeight="1">
      <c r="A62" s="226"/>
      <c r="B62" s="300">
        <v>5005246288</v>
      </c>
      <c r="C62" s="183" t="str">
        <f>IFERROR(IF(VLOOKUP($B62,勘定科目!$A:$H,HLOOKUP($E$5,勘定科目!$F$1:$H$2,2,0),0)="","",VLOOKUP($B62,勘定科目!$A:$E,2,0)),"")</f>
        <v>事務用品費（製）</v>
      </c>
      <c r="D62" s="239" t="str">
        <f>IF(C62="","",VLOOKUP($B62,勘定科目!$A:$E,4,0))</f>
        <v>図書及び事務費</v>
      </c>
      <c r="E62" s="245"/>
      <c r="F62" s="318">
        <f>(1400*20)+(9200*6)+(26500*6)</f>
        <v>242200</v>
      </c>
      <c r="G62" s="247"/>
      <c r="H62" s="319"/>
      <c r="I62" s="319">
        <f>270000*2+26500*6</f>
        <v>699000</v>
      </c>
      <c r="J62" s="247"/>
      <c r="K62" s="247"/>
      <c r="L62" s="319"/>
      <c r="M62" s="319">
        <f>270000*2+26500*6</f>
        <v>699000</v>
      </c>
      <c r="N62" s="247"/>
      <c r="O62" s="247"/>
      <c r="P62" s="247"/>
      <c r="Q62" s="247"/>
      <c r="R62" s="200">
        <f t="shared" si="5"/>
        <v>1640200</v>
      </c>
      <c r="S62" s="315" t="s">
        <v>719</v>
      </c>
      <c r="T62" s="202"/>
      <c r="U62" s="246"/>
      <c r="V62" s="246"/>
      <c r="W62" s="246"/>
      <c r="BA62"/>
      <c r="BB62"/>
    </row>
    <row r="63" spans="1:54" s="191" customFormat="1" ht="20.25" customHeight="1">
      <c r="A63" s="226"/>
      <c r="B63" s="300">
        <v>5005046281</v>
      </c>
      <c r="C63" s="183" t="str">
        <f>IFERROR(IF(VLOOKUP($B63,勘定科目!$A:$H,HLOOKUP($E$5,勘定科目!$F$1:$H$2,2,0),0)="","",VLOOKUP($B63,勘定科目!$A:$E,2,0)),"")</f>
        <v>機械設備修繕費（製）</v>
      </c>
      <c r="D63" s="239" t="str">
        <f>IF(C63="","",VLOOKUP($B63,勘定科目!$A:$E,4,0))</f>
        <v>修繕費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/>
      <c r="S63" s="201" t="s">
        <v>707</v>
      </c>
      <c r="T63" s="202"/>
      <c r="U63" s="246"/>
      <c r="V63" s="246"/>
      <c r="W63" s="246"/>
      <c r="BA63"/>
      <c r="BB63"/>
    </row>
    <row r="64" spans="1:54" s="191" customFormat="1" ht="32.25" customHeight="1">
      <c r="A64" s="226"/>
      <c r="B64" s="300">
        <v>5005026371</v>
      </c>
      <c r="C64" s="183" t="str">
        <f>IFERROR(IF(VLOOKUP($B64,勘定科目!$A:$H,HLOOKUP($E$5,勘定科目!$F$1:$H$2,2,0),0)="","",VLOOKUP($B64,勘定科目!$A:$E,2,0)),"")</f>
        <v>消耗工具器具備品費（製）</v>
      </c>
      <c r="D64" s="239" t="str">
        <f>IF(C64="","",VLOOKUP($B64,勘定科目!$A:$E,4,0))</f>
        <v>消耗工具器具備品費</v>
      </c>
      <c r="E64" s="245"/>
      <c r="F64" s="194"/>
      <c r="G64" s="247"/>
      <c r="H64" s="247"/>
      <c r="I64" s="319">
        <v>16750000</v>
      </c>
      <c r="J64" s="247"/>
      <c r="K64" s="319">
        <v>16750000</v>
      </c>
      <c r="L64" s="247"/>
      <c r="M64" s="247"/>
      <c r="N64" s="247"/>
      <c r="O64" s="247"/>
      <c r="P64" s="247"/>
      <c r="Q64" s="247"/>
      <c r="R64" s="200">
        <f t="shared" si="5"/>
        <v>33500000</v>
      </c>
      <c r="S64" s="314" t="s">
        <v>714</v>
      </c>
      <c r="T64" s="202"/>
      <c r="U64" s="246"/>
      <c r="V64" s="246"/>
      <c r="W64" s="246"/>
      <c r="BA64"/>
      <c r="BB64"/>
    </row>
    <row r="65" spans="1:54" s="191" customFormat="1" ht="18" customHeight="1">
      <c r="A65" s="226"/>
      <c r="B65" s="30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/>
      <c r="G65" s="247"/>
      <c r="H65" s="319">
        <f>200000*6</f>
        <v>1200000</v>
      </c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5"/>
        <v>1200000</v>
      </c>
      <c r="S65" s="313" t="s">
        <v>712</v>
      </c>
      <c r="T65" s="202"/>
      <c r="U65" s="246"/>
      <c r="V65" s="246"/>
      <c r="W65" s="246"/>
      <c r="BA65"/>
      <c r="BB65"/>
    </row>
    <row r="66" spans="1:54" s="191" customFormat="1" ht="18.75" customHeight="1">
      <c r="A66" s="226"/>
      <c r="B66" s="180">
        <v>5005246283</v>
      </c>
      <c r="C66" s="183" t="str">
        <f>IFERROR(IF(VLOOKUP($B66,勘定科目!$A:$H,HLOOKUP($E$5,勘定科目!$F$1:$H$2,2,0),0)="","",VLOOKUP($B66,勘定科目!$A:$E,2,0)),"")</f>
        <v>ライセンス料（製）</v>
      </c>
      <c r="D66" s="239" t="str">
        <f>IF(C66="","",VLOOKUP($B66,勘定科目!$A:$E,4,0))</f>
        <v>図書及び事務費</v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00">
        <f t="shared" si="5"/>
        <v>0</v>
      </c>
      <c r="S66" s="201" t="s">
        <v>706</v>
      </c>
      <c r="T66" s="202"/>
      <c r="U66" s="246"/>
      <c r="V66" s="246"/>
      <c r="W66" s="246"/>
      <c r="BA66"/>
      <c r="BB66"/>
    </row>
    <row r="67" spans="1:54" s="191" customFormat="1" ht="15.75" customHeight="1">
      <c r="A67" s="226"/>
      <c r="B67" s="30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5"/>
        <v>0</v>
      </c>
      <c r="S67" s="201"/>
      <c r="T67" s="202"/>
      <c r="U67" s="246"/>
      <c r="V67" s="246"/>
      <c r="W67" s="246"/>
      <c r="BA67"/>
      <c r="BB67"/>
    </row>
    <row r="68" spans="1:54" s="191" customFormat="1" ht="13.5">
      <c r="A68" s="226"/>
      <c r="B68" s="180"/>
      <c r="C68" s="183" t="str">
        <f>IFERROR(IF(VLOOKUP($B68,勘定科目!$A:$H,HLOOKUP($E$5,勘定科目!$F$1:$H$2,2,0),0)="","",VLOOKUP($B68,勘定科目!$A:$E,2,0)),"")</f>
        <v/>
      </c>
      <c r="D68" s="239" t="str">
        <f>IF(C68="","",VLOOKUP($B68,勘定科目!$A:$E,4,0))</f>
        <v/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5"/>
        <v>0</v>
      </c>
      <c r="S68" s="201"/>
      <c r="T68" s="202"/>
      <c r="U68" s="246"/>
      <c r="V68" s="246"/>
      <c r="W68" s="246"/>
      <c r="BA68"/>
      <c r="BB68"/>
    </row>
    <row r="69" spans="1:54" s="191" customFormat="1" ht="13.5">
      <c r="A69" s="226"/>
      <c r="B69" s="180"/>
      <c r="C69" s="183" t="str">
        <f>IFERROR(IF(VLOOKUP($B69,勘定科目!$A:$H,HLOOKUP($E$5,勘定科目!$F$1:$H$2,2,0),0)="","",VLOOKUP($B69,勘定科目!$A:$E,2,0)),"")</f>
        <v/>
      </c>
      <c r="D69" s="239" t="str">
        <f>IF(C69="","",VLOOKUP($B69,勘定科目!$A:$E,4,0))</f>
        <v/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5"/>
        <v>0</v>
      </c>
      <c r="S69" s="201"/>
      <c r="T69" s="202"/>
      <c r="U69" s="246"/>
      <c r="V69" s="246"/>
      <c r="W69" s="246"/>
      <c r="BA69"/>
      <c r="BB69"/>
    </row>
    <row r="70" spans="1:54" s="191" customFormat="1" ht="13.5">
      <c r="A70" s="226"/>
      <c r="B70" s="180"/>
      <c r="C70" s="183" t="str">
        <f>IFERROR(IF(VLOOKUP($B70,勘定科目!$A:$H,HLOOKUP($E$5,勘定科目!$F$1:$H$2,2,0),0)="","",VLOOKUP($B70,勘定科目!$A:$E,2,0)),"")</f>
        <v/>
      </c>
      <c r="D70" s="239" t="str">
        <f>IF(C70="","",VLOOKUP($B70,勘定科目!$A:$E,4,0))</f>
        <v/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5"/>
        <v>0</v>
      </c>
      <c r="S70" s="201"/>
      <c r="T70" s="202"/>
      <c r="U70" s="246"/>
      <c r="V70" s="246"/>
      <c r="W70" s="246"/>
      <c r="BA70"/>
      <c r="BB70"/>
    </row>
    <row r="71" spans="1:54" s="191" customFormat="1" ht="13.5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5"/>
        <v>0</v>
      </c>
      <c r="S71" s="201"/>
      <c r="T71" s="202"/>
      <c r="U71" s="246"/>
      <c r="V71" s="246"/>
      <c r="W71" s="246"/>
      <c r="BA71"/>
      <c r="BB71"/>
    </row>
    <row r="72" spans="1:54" s="191" customFormat="1" ht="13.5">
      <c r="A72" s="226"/>
      <c r="B72" s="180"/>
      <c r="C72" s="183" t="str">
        <f>IFERROR(IF(VLOOKUP($B72,勘定科目!$A:$H,HLOOKUP($E$5,勘定科目!$F$1:$H$2,2,0),0)="","",VLOOKUP($B72,勘定科目!$A:$E,2,0)),"")</f>
        <v/>
      </c>
      <c r="D72" s="239" t="str">
        <f>IF(C72="","",VLOOKUP($B72,勘定科目!$A:$E,4,0))</f>
        <v/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5"/>
        <v>0</v>
      </c>
      <c r="S72" s="201"/>
      <c r="T72" s="202"/>
      <c r="U72" s="246"/>
      <c r="V72" s="246"/>
      <c r="W72" s="246"/>
      <c r="BA72"/>
      <c r="BB72"/>
    </row>
    <row r="73" spans="1:54" s="191" customFormat="1" ht="13.5">
      <c r="A73" s="226"/>
      <c r="B73" s="180"/>
      <c r="C73" s="183" t="str">
        <f>IFERROR(IF(VLOOKUP($B73,勘定科目!$A:$H,HLOOKUP($E$5,勘定科目!$F$1:$H$2,2,0),0)="","",VLOOKUP($B73,勘定科目!$A:$E,2,0)),"")</f>
        <v/>
      </c>
      <c r="D73" s="239" t="str">
        <f>IF(C73="","",VLOOKUP($B73,勘定科目!$A:$E,4,0))</f>
        <v/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5"/>
        <v>0</v>
      </c>
      <c r="S73" s="201"/>
      <c r="T73" s="202"/>
      <c r="U73" s="246"/>
      <c r="V73" s="246"/>
      <c r="W73" s="246"/>
      <c r="BA73"/>
      <c r="BB73"/>
    </row>
    <row r="74" spans="1:54" s="191" customFormat="1" ht="13.5">
      <c r="A74" s="226"/>
      <c r="B74" s="180"/>
      <c r="C74" s="183" t="str">
        <f>IFERROR(IF(VLOOKUP($B74,勘定科目!$A:$H,HLOOKUP($E$5,勘定科目!$F$1:$H$2,2,0),0)="","",VLOOKUP($B74,勘定科目!$A:$E,2,0)),"")</f>
        <v/>
      </c>
      <c r="D74" s="239" t="str">
        <f>IF(C74="","",VLOOKUP($B74,勘定科目!$A:$E,4,0))</f>
        <v/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5"/>
        <v>0</v>
      </c>
      <c r="S74" s="201"/>
      <c r="T74" s="202"/>
      <c r="U74" s="246"/>
      <c r="V74" s="246"/>
      <c r="W74" s="246"/>
      <c r="BA74"/>
      <c r="BB74"/>
    </row>
    <row r="75" spans="1:54" s="191" customFormat="1" ht="13.5">
      <c r="A75" s="226"/>
      <c r="B75" s="180"/>
      <c r="C75" s="183" t="str">
        <f>IFERROR(IF(VLOOKUP($B75,勘定科目!$A:$H,HLOOKUP($E$5,勘定科目!$F$1:$H$2,2,0),0)="","",VLOOKUP($B75,勘定科目!$A:$E,2,0)),"")</f>
        <v/>
      </c>
      <c r="D75" s="239" t="str">
        <f>IF(C75="","",VLOOKUP($B75,勘定科目!$A:$E,4,0))</f>
        <v/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5"/>
        <v>0</v>
      </c>
      <c r="S75" s="201"/>
      <c r="T75" s="202"/>
      <c r="U75" s="246"/>
      <c r="V75" s="246"/>
      <c r="W75" s="246"/>
      <c r="BA75"/>
      <c r="BB75"/>
    </row>
    <row r="76" spans="1:54" s="191" customFormat="1" ht="13.5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5"/>
        <v>0</v>
      </c>
      <c r="S76" s="201"/>
      <c r="T76" s="202"/>
      <c r="U76" s="246"/>
      <c r="V76" s="246"/>
      <c r="W76" s="246"/>
      <c r="BA76"/>
      <c r="BB76"/>
    </row>
    <row r="77" spans="1:54" s="191" customFormat="1" ht="13.5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5"/>
        <v>0</v>
      </c>
      <c r="S77" s="201"/>
      <c r="T77" s="202"/>
      <c r="U77" s="246"/>
      <c r="V77" s="246"/>
      <c r="W77" s="246"/>
      <c r="BA77"/>
      <c r="BB77"/>
    </row>
    <row r="78" spans="1:54" s="191" customFormat="1" ht="13.5">
      <c r="A78" s="226"/>
      <c r="B78" s="180"/>
      <c r="C78" s="183" t="str">
        <f>IFERROR(IF(VLOOKUP($B78,勘定科目!$A:$H,HLOOKUP($E$5,勘定科目!$F$1:$H$2,2,0),0)="","",VLOOKUP($B78,勘定科目!$A:$E,2,0)),"")</f>
        <v/>
      </c>
      <c r="D78" s="239" t="str">
        <f>IF(C78="","",VLOOKUP($B78,勘定科目!$A:$E,4,0))</f>
        <v/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5"/>
        <v>0</v>
      </c>
      <c r="S78" s="201"/>
      <c r="T78" s="202"/>
      <c r="U78" s="246"/>
      <c r="V78" s="246"/>
      <c r="W78" s="246"/>
      <c r="BA78"/>
      <c r="BB78"/>
    </row>
    <row r="79" spans="1:54" s="191" customFormat="1" ht="13.5">
      <c r="A79" s="226"/>
      <c r="B79" s="180"/>
      <c r="C79" s="183" t="str">
        <f>IFERROR(IF(VLOOKUP($B79,勘定科目!$A:$H,HLOOKUP($E$5,勘定科目!$F$1:$H$2,2,0),0)="","",VLOOKUP($B79,勘定科目!$A:$E,2,0)),"")</f>
        <v/>
      </c>
      <c r="D79" s="239" t="str">
        <f>IF(C79="","",VLOOKUP($B79,勘定科目!$A:$E,4,0))</f>
        <v/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5"/>
        <v>0</v>
      </c>
      <c r="S79" s="201"/>
      <c r="T79" s="202"/>
      <c r="U79" s="246"/>
      <c r="V79" s="246"/>
      <c r="W79" s="246"/>
      <c r="BA79"/>
      <c r="BB79"/>
    </row>
    <row r="80" spans="1:54" s="191" customFormat="1" ht="13.5">
      <c r="A80" s="226"/>
      <c r="B80" s="180"/>
      <c r="C80" s="183" t="str">
        <f>IFERROR(IF(VLOOKUP($B80,勘定科目!$A:$H,HLOOKUP($E$5,勘定科目!$F$1:$H$2,2,0),0)="","",VLOOKUP($B80,勘定科目!$A:$E,2,0)),"")</f>
        <v/>
      </c>
      <c r="D80" s="239" t="str">
        <f>IF(C80="","",VLOOKUP($B80,勘定科目!$A:$E,4,0))</f>
        <v/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5"/>
        <v>0</v>
      </c>
      <c r="S80" s="201"/>
      <c r="T80" s="202"/>
      <c r="U80" s="246"/>
      <c r="V80" s="246"/>
      <c r="W80" s="246"/>
      <c r="BA80"/>
      <c r="BB80"/>
    </row>
    <row r="81" spans="1:54" s="191" customFormat="1" ht="13.5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5"/>
        <v>0</v>
      </c>
      <c r="S81" s="201"/>
      <c r="T81" s="202"/>
      <c r="U81" s="246"/>
      <c r="V81" s="246"/>
      <c r="W81" s="246"/>
      <c r="BA81"/>
      <c r="BB81"/>
    </row>
    <row r="82" spans="1:54" s="191" customFormat="1" ht="13.5">
      <c r="A82" s="226"/>
      <c r="B82" s="180"/>
      <c r="C82" s="183" t="str">
        <f>IFERROR(IF(VLOOKUP($B82,勘定科目!$A:$H,HLOOKUP($E$5,勘定科目!$F$1:$H$2,2,0),0)="","",VLOOKUP($B82,勘定科目!$A:$E,2,0)),"")</f>
        <v/>
      </c>
      <c r="D82" s="239" t="str">
        <f>IF(C82="","",VLOOKUP($B82,勘定科目!$A:$E,4,0))</f>
        <v/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5"/>
        <v>0</v>
      </c>
      <c r="S82" s="201"/>
      <c r="T82" s="202"/>
      <c r="U82" s="246"/>
      <c r="V82" s="246"/>
      <c r="W82" s="246"/>
      <c r="BA82"/>
      <c r="BB82"/>
    </row>
    <row r="83" spans="1:54" s="191" customFormat="1" ht="13.5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5"/>
        <v>0</v>
      </c>
      <c r="S83" s="201"/>
      <c r="T83" s="202"/>
      <c r="U83" s="246"/>
      <c r="V83" s="246"/>
      <c r="W83" s="246"/>
      <c r="BA83"/>
      <c r="BB83"/>
    </row>
    <row r="84" spans="1:54" s="191" customFormat="1" ht="13.5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5"/>
        <v>0</v>
      </c>
      <c r="S84" s="201"/>
      <c r="T84" s="202"/>
      <c r="U84" s="246"/>
      <c r="V84" s="246"/>
      <c r="W84" s="246"/>
      <c r="BA84"/>
      <c r="BB84"/>
    </row>
    <row r="85" spans="1:54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5"/>
        <v>0</v>
      </c>
      <c r="S85" s="201"/>
      <c r="T85" s="202"/>
      <c r="U85" s="246"/>
      <c r="V85" s="246"/>
      <c r="W85" s="246"/>
      <c r="BA85"/>
      <c r="BB85"/>
    </row>
    <row r="86" spans="1:54" s="191" customFormat="1" ht="13.5">
      <c r="A86" s="226"/>
      <c r="B86" s="180"/>
      <c r="C86" s="183" t="str">
        <f>IFERROR(IF(VLOOKUP($B86,勘定科目!$A:$H,HLOOKUP($E$5,勘定科目!$F$1:$H$2,2,0),0)="","",VLOOKUP($B86,勘定科目!$A:$E,2,0)),"")</f>
        <v/>
      </c>
      <c r="D86" s="239" t="str">
        <f>IF(C86="","",VLOOKUP($B86,勘定科目!$A:$E,4,0))</f>
        <v/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5"/>
        <v>0</v>
      </c>
      <c r="S86" s="201"/>
      <c r="T86" s="202"/>
      <c r="U86" s="246"/>
      <c r="V86" s="246"/>
      <c r="W86" s="246"/>
      <c r="BA86"/>
      <c r="BB86"/>
    </row>
    <row r="87" spans="1:54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5"/>
        <v>0</v>
      </c>
      <c r="S87" s="201"/>
      <c r="T87" s="202"/>
      <c r="U87" s="246"/>
      <c r="V87" s="246"/>
      <c r="W87" s="246"/>
      <c r="BA87"/>
      <c r="BB87"/>
    </row>
    <row r="88" spans="1:54" s="191" customFormat="1" ht="13.5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5"/>
        <v>0</v>
      </c>
      <c r="S88" s="201"/>
      <c r="T88" s="202"/>
      <c r="U88" s="246"/>
      <c r="V88" s="246"/>
      <c r="W88" s="246"/>
      <c r="BA88"/>
      <c r="BB88"/>
    </row>
    <row r="89" spans="1:54" s="191" customFormat="1" ht="13.5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5"/>
        <v>0</v>
      </c>
      <c r="S89" s="201"/>
      <c r="T89" s="202"/>
      <c r="U89" s="246"/>
      <c r="V89" s="246"/>
      <c r="W89" s="246"/>
      <c r="BA89"/>
      <c r="BB89"/>
    </row>
    <row r="90" spans="1:54" s="191" customFormat="1" ht="13.5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ref="R90:R153" si="16">SUM(F90:Q90)</f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16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16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/>
      <c r="C93" s="183" t="str">
        <f>IFERROR(IF(VLOOKUP($B93,勘定科目!$A:$H,HLOOKUP($E$5,勘定科目!$F$1:$H$2,2,0),0)="","",VLOOKUP($B93,勘定科目!$A:$E,2,0)),"")</f>
        <v/>
      </c>
      <c r="D93" s="239" t="str">
        <f>IF(C93="","",VLOOKUP($B93,勘定科目!$A:$E,4,0))</f>
        <v/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16"/>
        <v>0</v>
      </c>
      <c r="S93" s="201"/>
      <c r="T93" s="202"/>
      <c r="U93" s="246"/>
      <c r="V93" s="246"/>
      <c r="W93" s="246"/>
      <c r="BA93"/>
      <c r="BB93"/>
    </row>
    <row r="94" spans="1:54" s="191" customFormat="1" ht="13.5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16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16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16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16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16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16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16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16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16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16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16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16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16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16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16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16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16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16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16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16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16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16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16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16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16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16"/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6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16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16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16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6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6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6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16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16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16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16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16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16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16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16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16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6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6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6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6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6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6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6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6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6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6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6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6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6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6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6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6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6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6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ref="R154:R217" si="17">SUM(F154:Q154)</f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7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7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7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7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7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7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7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7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7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7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7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7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7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7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7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7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7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7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7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7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7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7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7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7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7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7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7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7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17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7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7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7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7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7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7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7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7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7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7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7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7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7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7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7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7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7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7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7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7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7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7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7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7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7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7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7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7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7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7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7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7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7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7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ref="R218:R281" si="18">SUM(F218:Q218)</f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8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8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8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8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8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8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8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8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8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8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8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8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8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8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8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8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8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8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8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8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8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8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8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8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8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8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8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8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18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8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8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8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8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8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8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8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8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8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8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8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8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8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8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8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8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8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8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8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8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8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8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8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8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8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8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8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8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8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8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8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8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8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8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ref="R282:R345" si="19">SUM(F282:Q282)</f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9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9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9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9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9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9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182"/>
      <c r="B289" s="178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240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00">
        <f t="shared" si="19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182"/>
      <c r="B290" s="178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240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00">
        <f t="shared" si="19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182"/>
      <c r="B291" s="178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240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00">
        <f t="shared" si="19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182"/>
      <c r="B292" s="178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240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00">
        <f t="shared" si="19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182"/>
      <c r="B293" s="178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240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00">
        <f t="shared" si="19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182"/>
      <c r="B294" s="178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240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00">
        <f t="shared" si="19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182"/>
      <c r="B295" s="178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240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00">
        <f t="shared" si="19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182"/>
      <c r="B296" s="178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240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00">
        <f t="shared" si="19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182"/>
      <c r="B297" s="178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240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00">
        <f t="shared" si="19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182"/>
      <c r="B298" s="178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240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00">
        <f t="shared" si="19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182"/>
      <c r="B299" s="178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240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00">
        <f t="shared" si="19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182"/>
      <c r="B300" s="178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240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00">
        <f t="shared" si="19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182"/>
      <c r="B301" s="178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240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00">
        <f t="shared" si="19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182"/>
      <c r="B302" s="178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240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00">
        <f t="shared" si="19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182"/>
      <c r="B303" s="178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240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00">
        <f t="shared" si="19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182"/>
      <c r="B304" s="178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240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00">
        <f t="shared" si="19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182"/>
      <c r="B305" s="178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240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00">
        <f t="shared" si="19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182"/>
      <c r="B306" s="178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240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00">
        <f t="shared" si="19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182"/>
      <c r="B307" s="178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240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00">
        <f t="shared" si="19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182"/>
      <c r="B308" s="178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240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00">
        <f t="shared" si="19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182"/>
      <c r="B309" s="178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240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00">
        <f t="shared" si="19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240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00">
        <f t="shared" si="19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240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00">
        <f t="shared" si="19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240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00">
        <f t="shared" si="19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240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00">
        <f t="shared" si="19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240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00">
        <f t="shared" si="19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240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00">
        <f t="shared" si="19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240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00">
        <f t="shared" si="19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240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00">
        <f t="shared" si="19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9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9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9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9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9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9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9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9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9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9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9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9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9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9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9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9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9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9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9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9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9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9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9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9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9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9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9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9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ref="R346:R409" si="20">SUM(F346:Q346)</f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20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20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20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20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20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20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20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20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20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20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20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20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20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20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20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20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20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20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20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20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20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20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20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20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20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20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20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20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20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0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20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0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0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0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0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0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0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0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0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0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0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0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0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0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0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0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0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0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0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0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0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0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0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0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0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0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0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20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0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0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0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0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0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ref="R410:R473" si="21">SUM(F410:Q410)</f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1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1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1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1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1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1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1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1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1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1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1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1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1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1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1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1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1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1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1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1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1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1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1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1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1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1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21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1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21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1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1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1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1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1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1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1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1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1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1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1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1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1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1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1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1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1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1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1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1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1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1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1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1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1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1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1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1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1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1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1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1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1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1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ref="R474:R537" si="22">SUM(F474:Q474)</f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2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2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2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2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2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2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2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2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2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2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2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2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2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2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2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2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2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2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2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2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2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2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2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2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2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2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2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2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22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2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22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2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2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2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2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2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2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2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2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2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2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2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2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2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2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2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2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2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2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2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2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2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2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2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2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2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2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22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2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2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2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2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2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ref="R538:R601" si="23">SUM(F538:Q538)</f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3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3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3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3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3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3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3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3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3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3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3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3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3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3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3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3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3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3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3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3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3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3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3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3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3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3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3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3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23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3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3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3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3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3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3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3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3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3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3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3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3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3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3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3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3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3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3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3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3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3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3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3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3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3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3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3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3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3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3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3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3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3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3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ref="R602:R665" si="24">SUM(F602:Q602)</f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4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4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4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4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4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4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4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4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4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4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4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4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4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4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4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4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4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4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4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4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4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4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4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4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4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4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4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4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24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4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4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4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4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4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4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4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4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4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4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4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4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4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4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4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4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4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4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4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4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4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4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4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4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4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4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4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4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24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4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4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4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4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4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ref="R666:R729" si="25">SUM(F666:Q666)</f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5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5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5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5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5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5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5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5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5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5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5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5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5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5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5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5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5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5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5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5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5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5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5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5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5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5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5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5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25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5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5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5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5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5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5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5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5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5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5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5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5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5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5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5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5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5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5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5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5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5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5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5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5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5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5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5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5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25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25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25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25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25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25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ref="R730:R770" si="26">SUM(F730:Q730)</f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26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26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26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26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26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26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26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26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26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26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26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26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26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26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26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26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26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26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26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26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26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26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26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26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26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26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26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26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26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6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6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6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6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6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6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6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6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6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6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6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BA971"/>
      <c r="BB971"/>
    </row>
  </sheetData>
  <autoFilter ref="A7:T770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70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採算管理課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>
      <c r="A3" s="92">
        <v>4</v>
      </c>
      <c r="B3" s="249">
        <v>20</v>
      </c>
    </row>
    <row r="4" spans="1:2">
      <c r="A4" s="92">
        <v>5</v>
      </c>
      <c r="B4" s="249">
        <v>19</v>
      </c>
    </row>
    <row r="5" spans="1:2">
      <c r="A5" s="92">
        <v>6</v>
      </c>
      <c r="B5" s="249">
        <v>21</v>
      </c>
    </row>
    <row r="6" spans="1:2">
      <c r="A6" s="92">
        <v>7</v>
      </c>
      <c r="B6" s="249">
        <v>23</v>
      </c>
    </row>
    <row r="7" spans="1:2">
      <c r="A7" s="92">
        <v>8</v>
      </c>
      <c r="B7" s="249">
        <v>20</v>
      </c>
    </row>
    <row r="8" spans="1:2">
      <c r="A8" s="92">
        <v>9</v>
      </c>
      <c r="B8" s="249">
        <v>19</v>
      </c>
    </row>
    <row r="9" spans="1:2">
      <c r="A9" s="92">
        <v>10</v>
      </c>
      <c r="B9" s="249">
        <v>23</v>
      </c>
    </row>
    <row r="10" spans="1:2">
      <c r="A10" s="92">
        <v>11</v>
      </c>
      <c r="B10" s="249">
        <v>20</v>
      </c>
    </row>
    <row r="11" spans="1:2">
      <c r="A11" s="92">
        <v>12</v>
      </c>
      <c r="B11" s="249">
        <v>22</v>
      </c>
    </row>
    <row r="12" spans="1:2">
      <c r="A12" s="92">
        <v>1</v>
      </c>
      <c r="B12" s="249">
        <v>20</v>
      </c>
    </row>
    <row r="13" spans="1:2">
      <c r="A13" s="92">
        <v>2</v>
      </c>
      <c r="B13" s="249">
        <v>15</v>
      </c>
    </row>
    <row r="14" spans="1:2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2025-01-07T06:45:51Z</dcterms:modified>
</cp:coreProperties>
</file>