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63B27129-7F09-477A-B0CA-6CFA927970F1}" xr6:coauthVersionLast="47" xr6:coauthVersionMax="47" xr10:uidLastSave="{00000000-0000-0000-0000-000000000000}"/>
  <bookViews>
    <workbookView xWindow="-120" yWindow="-120" windowWidth="20730" windowHeight="11160" tabRatio="702" activeTab="2" xr2:uid="{E4652B39-D7C3-4E67-94F6-0A90204FBC85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10" l="1"/>
  <c r="H106" i="10"/>
  <c r="I106" i="10"/>
  <c r="J106" i="10"/>
  <c r="K106" i="10"/>
  <c r="L106" i="10"/>
  <c r="M106" i="10"/>
  <c r="N106" i="10"/>
  <c r="O106" i="10"/>
  <c r="P106" i="10"/>
  <c r="Q106" i="10"/>
  <c r="F106" i="10"/>
  <c r="L67" i="10"/>
  <c r="R101" i="10"/>
  <c r="C101" i="10"/>
  <c r="D101" i="10" s="1"/>
  <c r="I107" i="10" l="1"/>
  <c r="H98" i="10"/>
  <c r="G60" i="10"/>
  <c r="K58" i="10"/>
  <c r="L58" i="10"/>
  <c r="M58" i="10"/>
  <c r="H57" i="10"/>
  <c r="I57" i="10"/>
  <c r="J57" i="10"/>
  <c r="H58" i="10"/>
  <c r="I58" i="10"/>
  <c r="J58" i="10"/>
  <c r="G58" i="10"/>
  <c r="G57" i="10"/>
  <c r="M56" i="10"/>
  <c r="J55" i="10"/>
  <c r="J56" i="10"/>
  <c r="G98" i="10" l="1"/>
  <c r="P76" i="10"/>
  <c r="H84" i="10"/>
  <c r="L82" i="10"/>
  <c r="H81" i="10"/>
  <c r="M80" i="10"/>
  <c r="Q74" i="10"/>
  <c r="P74" i="10"/>
  <c r="O74" i="10"/>
  <c r="L74" i="10"/>
  <c r="I74" i="10"/>
  <c r="H74" i="10"/>
  <c r="G73" i="10"/>
  <c r="K70" i="10"/>
  <c r="L69" i="10"/>
  <c r="I66" i="10"/>
  <c r="P64" i="10" l="1"/>
  <c r="G65" i="10"/>
  <c r="N72" i="10"/>
  <c r="M71" i="10"/>
  <c r="G56" i="10" l="1"/>
  <c r="H56" i="10"/>
  <c r="I56" i="10"/>
  <c r="K56" i="10"/>
  <c r="L56" i="10"/>
  <c r="G55" i="10"/>
  <c r="H55" i="10"/>
  <c r="I55" i="10"/>
  <c r="F58" i="10" l="1"/>
  <c r="F57" i="10"/>
  <c r="F56" i="10"/>
  <c r="F55" i="10"/>
  <c r="F82" i="10"/>
  <c r="F81" i="10"/>
  <c r="G61" i="10" l="1"/>
  <c r="H61" i="10"/>
  <c r="I61" i="10"/>
  <c r="J61" i="10"/>
  <c r="K61" i="10"/>
  <c r="L61" i="10"/>
  <c r="M61" i="10"/>
  <c r="N61" i="10"/>
  <c r="O61" i="10"/>
  <c r="P61" i="10"/>
  <c r="Q61" i="10"/>
  <c r="F61" i="10"/>
  <c r="H60" i="10"/>
  <c r="I60" i="10"/>
  <c r="J60" i="10"/>
  <c r="K60" i="10"/>
  <c r="L60" i="10"/>
  <c r="M60" i="10"/>
  <c r="N60" i="10"/>
  <c r="O60" i="10"/>
  <c r="P60" i="10"/>
  <c r="Q60" i="10"/>
  <c r="F60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N88" i="5"/>
  <c r="N88" i="32" s="1"/>
  <c r="M88" i="5"/>
  <c r="M88" i="32" s="1"/>
  <c r="L88" i="5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M87" i="5"/>
  <c r="M87" i="32" s="1"/>
  <c r="L87" i="5"/>
  <c r="L87" i="32" s="1"/>
  <c r="K87" i="5"/>
  <c r="K89" i="5" s="1"/>
  <c r="J87" i="5"/>
  <c r="I87" i="5"/>
  <c r="H87" i="5"/>
  <c r="H87" i="32" s="1"/>
  <c r="G87" i="5"/>
  <c r="F87" i="5"/>
  <c r="E87" i="5"/>
  <c r="D87" i="5"/>
  <c r="C87" i="5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28" i="10"/>
  <c r="F27" i="10"/>
  <c r="F26" i="10"/>
  <c r="R26" i="10" s="1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5" i="10"/>
  <c r="R14" i="10"/>
  <c r="R13" i="10"/>
  <c r="R12" i="10"/>
  <c r="R11" i="10"/>
  <c r="R10" i="10"/>
  <c r="C5" i="10"/>
  <c r="N1" i="32"/>
  <c r="Q2" i="10"/>
  <c r="P2" i="10"/>
  <c r="P9" i="10" s="1"/>
  <c r="O2" i="10"/>
  <c r="O9" i="10" s="1"/>
  <c r="N2" i="10"/>
  <c r="N9" i="10" s="1"/>
  <c r="M2" i="10"/>
  <c r="M9" i="10" s="1"/>
  <c r="L2" i="10"/>
  <c r="K2" i="10"/>
  <c r="J2" i="10"/>
  <c r="I2" i="10"/>
  <c r="I9" i="10" s="1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G87" i="32"/>
  <c r="I87" i="32"/>
  <c r="C846" i="10"/>
  <c r="D846" i="10" s="1"/>
  <c r="C983" i="10"/>
  <c r="D983" i="10" s="1"/>
  <c r="C874" i="10"/>
  <c r="D874" i="10" s="1"/>
  <c r="C337" i="10"/>
  <c r="D337" i="10" s="1"/>
  <c r="C395" i="10"/>
  <c r="D395" i="10" s="1"/>
  <c r="C734" i="10"/>
  <c r="D734" i="10" s="1"/>
  <c r="C168" i="10"/>
  <c r="D168" i="10" s="1"/>
  <c r="C744" i="10"/>
  <c r="D744" i="10" s="1"/>
  <c r="C241" i="10"/>
  <c r="D241" i="10" s="1"/>
  <c r="C441" i="10"/>
  <c r="D441" i="10" s="1"/>
  <c r="C655" i="10"/>
  <c r="D655" i="10" s="1"/>
  <c r="C982" i="10"/>
  <c r="D982" i="10" s="1"/>
  <c r="C670" i="10"/>
  <c r="D670" i="10" s="1"/>
  <c r="C993" i="10"/>
  <c r="D993" i="10" s="1"/>
  <c r="C610" i="10"/>
  <c r="D610" i="10" s="1"/>
  <c r="C470" i="10"/>
  <c r="D470" i="10" s="1"/>
  <c r="C907" i="10"/>
  <c r="D907" i="10" s="1"/>
  <c r="C130" i="10"/>
  <c r="D130" i="10" s="1"/>
  <c r="C87" i="10"/>
  <c r="D87" i="10" s="1"/>
  <c r="C570" i="10"/>
  <c r="D570" i="10" s="1"/>
  <c r="C696" i="10"/>
  <c r="D696" i="10" s="1"/>
  <c r="C774" i="10"/>
  <c r="D774" i="10" s="1"/>
  <c r="C947" i="10"/>
  <c r="D947" i="10" s="1"/>
  <c r="C725" i="10"/>
  <c r="D725" i="10" s="1"/>
  <c r="C106" i="10"/>
  <c r="D106" i="10" s="1"/>
  <c r="C427" i="10"/>
  <c r="D427" i="10" s="1"/>
  <c r="C737" i="10"/>
  <c r="D737" i="10" s="1"/>
  <c r="C190" i="10"/>
  <c r="D190" i="10" s="1"/>
  <c r="C302" i="10"/>
  <c r="D302" i="10" s="1"/>
  <c r="C542" i="10"/>
  <c r="D542" i="10" s="1"/>
  <c r="C633" i="10"/>
  <c r="D633" i="10" s="1"/>
  <c r="C51" i="10"/>
  <c r="D51" i="10" s="1"/>
  <c r="C928" i="10"/>
  <c r="D928" i="10" s="1"/>
  <c r="C970" i="10"/>
  <c r="D970" i="10" s="1"/>
  <c r="C757" i="10"/>
  <c r="D757" i="10" s="1"/>
  <c r="C457" i="10"/>
  <c r="D457" i="10" s="1"/>
  <c r="C912" i="10"/>
  <c r="D912" i="10" s="1"/>
  <c r="C658" i="10"/>
  <c r="D658" i="10" s="1"/>
  <c r="C220" i="10"/>
  <c r="D220" i="10" s="1"/>
  <c r="C588" i="10"/>
  <c r="D588" i="10" s="1"/>
  <c r="C923" i="10"/>
  <c r="D923" i="10" s="1"/>
  <c r="C752" i="10"/>
  <c r="D752" i="10" s="1"/>
  <c r="C802" i="10"/>
  <c r="D802" i="10" s="1"/>
  <c r="C876" i="10"/>
  <c r="D876" i="10" s="1"/>
  <c r="C832" i="10"/>
  <c r="D832" i="10" s="1"/>
  <c r="C153" i="10"/>
  <c r="D153" i="10" s="1"/>
  <c r="C918" i="10"/>
  <c r="D918" i="10" s="1"/>
  <c r="C821" i="10"/>
  <c r="D821" i="10" s="1"/>
  <c r="C201" i="10"/>
  <c r="D201" i="10" s="1"/>
  <c r="C53" i="10"/>
  <c r="D53" i="10" s="1"/>
  <c r="C29" i="10"/>
  <c r="D29" i="10" s="1"/>
  <c r="C963" i="10"/>
  <c r="D963" i="10" s="1"/>
  <c r="C47" i="10"/>
  <c r="D47" i="10" s="1"/>
  <c r="C319" i="10"/>
  <c r="D319" i="10" s="1"/>
  <c r="C48" i="10"/>
  <c r="D48" i="10" s="1"/>
  <c r="C238" i="10"/>
  <c r="D238" i="10" s="1"/>
  <c r="C260" i="10"/>
  <c r="D260" i="10" s="1"/>
  <c r="C344" i="10"/>
  <c r="D344" i="10" s="1"/>
  <c r="C622" i="10"/>
  <c r="D622" i="10" s="1"/>
  <c r="C672" i="10"/>
  <c r="D672" i="10" s="1"/>
  <c r="C649" i="10"/>
  <c r="D649" i="10" s="1"/>
  <c r="C688" i="10"/>
  <c r="D688" i="10" s="1"/>
  <c r="C666" i="10"/>
  <c r="D666" i="10" s="1"/>
  <c r="C868" i="10"/>
  <c r="D868" i="10" s="1"/>
  <c r="C824" i="10"/>
  <c r="D824" i="10" s="1"/>
  <c r="C109" i="10"/>
  <c r="D109" i="10" s="1"/>
  <c r="C179" i="10"/>
  <c r="D179" i="10" s="1"/>
  <c r="C873" i="10"/>
  <c r="D873" i="10" s="1"/>
  <c r="C189" i="10"/>
  <c r="D189" i="10" s="1"/>
  <c r="C37" i="10"/>
  <c r="D37" i="10" s="1"/>
  <c r="C325" i="10"/>
  <c r="D325" i="10" s="1"/>
  <c r="C827" i="10"/>
  <c r="D827" i="10" s="1"/>
  <c r="C999" i="10"/>
  <c r="D999" i="10" s="1"/>
  <c r="C204" i="10"/>
  <c r="D204" i="10" s="1"/>
  <c r="C351" i="10"/>
  <c r="D351" i="10" s="1"/>
  <c r="C34" i="10"/>
  <c r="D34" i="10" s="1"/>
  <c r="C273" i="10"/>
  <c r="D273" i="10" s="1"/>
  <c r="C278" i="10"/>
  <c r="D278" i="10" s="1"/>
  <c r="C362" i="10"/>
  <c r="D362" i="10" s="1"/>
  <c r="C700" i="10"/>
  <c r="D700" i="10" s="1"/>
  <c r="C860" i="10"/>
  <c r="D860" i="10" s="1"/>
  <c r="K69" i="5"/>
  <c r="K69" i="32" s="1"/>
  <c r="E61" i="5"/>
  <c r="E61" i="32" s="1"/>
  <c r="C609" i="10"/>
  <c r="D609" i="10" s="1"/>
  <c r="C625" i="10"/>
  <c r="D625" i="10" s="1"/>
  <c r="C641" i="10"/>
  <c r="D641" i="10" s="1"/>
  <c r="C657" i="10"/>
  <c r="D657" i="10" s="1"/>
  <c r="C674" i="10"/>
  <c r="D674" i="10" s="1"/>
  <c r="C699" i="10"/>
  <c r="D699" i="10" s="1"/>
  <c r="C718" i="10"/>
  <c r="D718" i="10" s="1"/>
  <c r="C736" i="10"/>
  <c r="D736" i="10" s="1"/>
  <c r="C755" i="10"/>
  <c r="D755" i="10" s="1"/>
  <c r="C782" i="10"/>
  <c r="D782" i="10" s="1"/>
  <c r="C818" i="10"/>
  <c r="D818" i="10"/>
  <c r="C534" i="10"/>
  <c r="D534" i="10" s="1"/>
  <c r="C399" i="10"/>
  <c r="D399" i="10" s="1"/>
  <c r="C235" i="10"/>
  <c r="D235" i="10" s="1"/>
  <c r="C773" i="10"/>
  <c r="D773" i="10" s="1"/>
  <c r="C943" i="10"/>
  <c r="D943" i="10" s="1"/>
  <c r="C828" i="10"/>
  <c r="D828" i="10"/>
  <c r="C880" i="10"/>
  <c r="D880" i="10" s="1"/>
  <c r="C977" i="10"/>
  <c r="D977" i="10"/>
  <c r="C721" i="10"/>
  <c r="D721" i="10" s="1"/>
  <c r="C550" i="10"/>
  <c r="D550" i="10" s="1"/>
  <c r="C407" i="10"/>
  <c r="D407" i="10" s="1"/>
  <c r="C245" i="10"/>
  <c r="D245" i="10" s="1"/>
  <c r="C73" i="10"/>
  <c r="D73" i="10" s="1"/>
  <c r="C125" i="10"/>
  <c r="D125" i="10" s="1"/>
  <c r="C157" i="10"/>
  <c r="D157" i="10" s="1"/>
  <c r="C203" i="10"/>
  <c r="D203" i="10" s="1"/>
  <c r="C903" i="10"/>
  <c r="D903" i="10" s="1"/>
  <c r="C974" i="10"/>
  <c r="D974" i="10"/>
  <c r="C859" i="10"/>
  <c r="D859" i="10" s="1"/>
  <c r="C680" i="10"/>
  <c r="D680" i="10" s="1"/>
  <c r="C777" i="10"/>
  <c r="D777" i="10" s="1"/>
  <c r="C885" i="10"/>
  <c r="D885" i="10"/>
  <c r="C213" i="10"/>
  <c r="D213" i="10" s="1"/>
  <c r="C185" i="10"/>
  <c r="D185" i="10" s="1"/>
  <c r="C160" i="10"/>
  <c r="D160" i="10" s="1"/>
  <c r="C144" i="10"/>
  <c r="D144" i="10" s="1"/>
  <c r="C128" i="10"/>
  <c r="D128" i="10" s="1"/>
  <c r="C114" i="10"/>
  <c r="D114" i="10" s="1"/>
  <c r="C85" i="10"/>
  <c r="D85" i="10" s="1"/>
  <c r="C216" i="10"/>
  <c r="D216" i="10" s="1"/>
  <c r="C247" i="10"/>
  <c r="D247" i="10" s="1"/>
  <c r="C339" i="10"/>
  <c r="D339" i="10" s="1"/>
  <c r="C477" i="10"/>
  <c r="D477" i="10" s="1"/>
  <c r="C596" i="10"/>
  <c r="D596" i="10" s="1"/>
  <c r="C770" i="10"/>
  <c r="D770" i="10" s="1"/>
  <c r="C835" i="10"/>
  <c r="D835" i="10"/>
  <c r="C925" i="10"/>
  <c r="D925" i="10" s="1"/>
  <c r="C831" i="10"/>
  <c r="D831" i="10"/>
  <c r="C917" i="10"/>
  <c r="D917" i="10"/>
  <c r="C677" i="10"/>
  <c r="D677" i="10" s="1"/>
  <c r="C801" i="10"/>
  <c r="D801" i="10" s="1"/>
  <c r="C929" i="10"/>
  <c r="D929" i="10" s="1"/>
  <c r="C79" i="10"/>
  <c r="D79" i="10" s="1"/>
  <c r="C188" i="10"/>
  <c r="D188" i="10" s="1"/>
  <c r="C283" i="10"/>
  <c r="D283" i="10" s="1"/>
  <c r="C387" i="10"/>
  <c r="D387" i="10" s="1"/>
  <c r="C460" i="10"/>
  <c r="D460" i="10" s="1"/>
  <c r="C555" i="10"/>
  <c r="D555" i="10" s="1"/>
  <c r="C748" i="10"/>
  <c r="D748" i="10" s="1"/>
  <c r="C84" i="10"/>
  <c r="D84" i="10" s="1"/>
  <c r="C64" i="10"/>
  <c r="D64" i="10" s="1"/>
  <c r="C32" i="10"/>
  <c r="D32" i="10" s="1"/>
  <c r="C222" i="10"/>
  <c r="D222" i="10" s="1"/>
  <c r="C281" i="10"/>
  <c r="D281" i="10" s="1"/>
  <c r="C409" i="10"/>
  <c r="D409" i="10" s="1"/>
  <c r="C536" i="10"/>
  <c r="D536" i="10" s="1"/>
  <c r="C397" i="10"/>
  <c r="D397" i="10" s="1"/>
  <c r="C552" i="10"/>
  <c r="D552" i="10" s="1"/>
  <c r="C738" i="10"/>
  <c r="D738" i="10" s="1"/>
  <c r="C282" i="10"/>
  <c r="D282" i="10" s="1"/>
  <c r="C322" i="10"/>
  <c r="D322" i="10" s="1"/>
  <c r="C364" i="10"/>
  <c r="D364" i="10" s="1"/>
  <c r="C408" i="10"/>
  <c r="D408" i="10" s="1"/>
  <c r="C481" i="10"/>
  <c r="D481" i="10" s="1"/>
  <c r="C592" i="10"/>
  <c r="D592" i="10" s="1"/>
  <c r="C495" i="10"/>
  <c r="D495" i="10" s="1"/>
  <c r="C575" i="10"/>
  <c r="D575" i="10" s="1"/>
  <c r="C714" i="10"/>
  <c r="D714" i="10" s="1"/>
  <c r="C904" i="10"/>
  <c r="D904" i="10" s="1"/>
  <c r="C894" i="10"/>
  <c r="D894" i="10" s="1"/>
  <c r="C615" i="10"/>
  <c r="D615" i="10" s="1"/>
  <c r="C631" i="10"/>
  <c r="D631" i="10" s="1"/>
  <c r="C647" i="10"/>
  <c r="D647" i="10" s="1"/>
  <c r="C664" i="10"/>
  <c r="D664" i="10" s="1"/>
  <c r="C686" i="10"/>
  <c r="D686" i="10" s="1"/>
  <c r="C707" i="10"/>
  <c r="D707" i="10" s="1"/>
  <c r="C723" i="10"/>
  <c r="D723" i="10" s="1"/>
  <c r="C742" i="10"/>
  <c r="D742" i="10" s="1"/>
  <c r="C763" i="10"/>
  <c r="D763" i="10" s="1"/>
  <c r="C784" i="10"/>
  <c r="D784" i="10" s="1"/>
  <c r="C823" i="10"/>
  <c r="D823" i="10" s="1"/>
  <c r="C518" i="10"/>
  <c r="D518" i="10" s="1"/>
  <c r="C371" i="10"/>
  <c r="D371" i="10" s="1"/>
  <c r="C219" i="10"/>
  <c r="D219" i="10" s="1"/>
  <c r="C985" i="10"/>
  <c r="D985" i="10" s="1"/>
  <c r="C729" i="10"/>
  <c r="D729" i="10" s="1"/>
  <c r="C922" i="10"/>
  <c r="D922" i="10" s="1"/>
  <c r="C995" i="10"/>
  <c r="D995" i="10" s="1"/>
  <c r="C872" i="10"/>
  <c r="D872" i="10" s="1"/>
  <c r="C957" i="10"/>
  <c r="D957" i="10"/>
  <c r="C701" i="10"/>
  <c r="D701" i="10" s="1"/>
  <c r="C532" i="10"/>
  <c r="D532" i="10" s="1"/>
  <c r="C323" i="10"/>
  <c r="D323" i="10" s="1"/>
  <c r="C176" i="10"/>
  <c r="D176" i="10" s="1"/>
  <c r="C105" i="10"/>
  <c r="D105" i="10" s="1"/>
  <c r="C137" i="10"/>
  <c r="D137" i="10" s="1"/>
  <c r="C171" i="10"/>
  <c r="D171" i="10" s="1"/>
  <c r="C998" i="10"/>
  <c r="D998" i="10"/>
  <c r="C855" i="10"/>
  <c r="D855" i="10" s="1"/>
  <c r="C926" i="10"/>
  <c r="D926" i="10"/>
  <c r="C822" i="10"/>
  <c r="D822" i="10" s="1"/>
  <c r="C713" i="10"/>
  <c r="D713" i="10" s="1"/>
  <c r="C809" i="10"/>
  <c r="D809" i="10" s="1"/>
  <c r="C937" i="10"/>
  <c r="D937" i="10"/>
  <c r="C173" i="10"/>
  <c r="D173" i="10" s="1"/>
  <c r="C154" i="10"/>
  <c r="D154" i="10" s="1"/>
  <c r="C138" i="10"/>
  <c r="D138" i="10" s="1"/>
  <c r="C122" i="10"/>
  <c r="D122" i="10" s="1"/>
  <c r="C108" i="10"/>
  <c r="D108" i="10" s="1"/>
  <c r="C61" i="10"/>
  <c r="D61" i="10" s="1"/>
  <c r="C184" i="10"/>
  <c r="D184" i="10" s="1"/>
  <c r="C279" i="10"/>
  <c r="D279" i="10" s="1"/>
  <c r="C420" i="10"/>
  <c r="D420" i="10" s="1"/>
  <c r="C512" i="10"/>
  <c r="D512" i="10" s="1"/>
  <c r="C652" i="10"/>
  <c r="D652" i="10" s="1"/>
  <c r="C1000" i="10"/>
  <c r="D1000" i="10"/>
  <c r="C870" i="10"/>
  <c r="D870" i="10" s="1"/>
  <c r="C955" i="10"/>
  <c r="D955" i="10" s="1"/>
  <c r="C866" i="10"/>
  <c r="D866" i="10" s="1"/>
  <c r="C951" i="10"/>
  <c r="D951" i="10" s="1"/>
  <c r="C717" i="10"/>
  <c r="D717" i="10" s="1"/>
  <c r="C845" i="10"/>
  <c r="D845" i="10"/>
  <c r="C973" i="10"/>
  <c r="D973" i="10" s="1"/>
  <c r="C55" i="10"/>
  <c r="D55" i="10" s="1"/>
  <c r="C231" i="10"/>
  <c r="D231" i="10" s="1"/>
  <c r="C315" i="10"/>
  <c r="D315" i="10" s="1"/>
  <c r="C415" i="10"/>
  <c r="D415" i="10" s="1"/>
  <c r="C480" i="10"/>
  <c r="D480" i="10" s="1"/>
  <c r="C582" i="10"/>
  <c r="D582" i="10" s="1"/>
  <c r="C98" i="10"/>
  <c r="D98" i="10" s="1"/>
  <c r="C76" i="10"/>
  <c r="D76" i="10" s="1"/>
  <c r="C50" i="10"/>
  <c r="D50" i="10" s="1"/>
  <c r="C194" i="10"/>
  <c r="D194" i="10" s="1"/>
  <c r="C236" i="10"/>
  <c r="D236" i="10" s="1"/>
  <c r="C329" i="10"/>
  <c r="D329" i="10" s="1"/>
  <c r="C463" i="10"/>
  <c r="D463" i="10" s="1"/>
  <c r="C668" i="10"/>
  <c r="D668" i="10" s="1"/>
  <c r="C451" i="10"/>
  <c r="D451" i="10" s="1"/>
  <c r="C600" i="10"/>
  <c r="D600" i="10" s="1"/>
  <c r="C258" i="10"/>
  <c r="D258" i="10" s="1"/>
  <c r="C300" i="10"/>
  <c r="D300" i="10" s="1"/>
  <c r="C340" i="10"/>
  <c r="D340" i="10" s="1"/>
  <c r="C384" i="10"/>
  <c r="D384" i="10" s="1"/>
  <c r="C432" i="10"/>
  <c r="D432" i="10" s="1"/>
  <c r="C528" i="10"/>
  <c r="D528" i="10" s="1"/>
  <c r="C703" i="10"/>
  <c r="D703" i="10" s="1"/>
  <c r="C530" i="10"/>
  <c r="D530" i="10" s="1"/>
  <c r="C612" i="10"/>
  <c r="D612" i="10"/>
  <c r="C786" i="10"/>
  <c r="D786" i="10" s="1"/>
  <c r="C790" i="10"/>
  <c r="D790" i="10" s="1"/>
  <c r="F61" i="5"/>
  <c r="F61" i="32" s="1"/>
  <c r="C611" i="10"/>
  <c r="D611" i="10" s="1"/>
  <c r="C619" i="10"/>
  <c r="D619" i="10" s="1"/>
  <c r="C627" i="10"/>
  <c r="D627" i="10"/>
  <c r="C635" i="10"/>
  <c r="D635" i="10" s="1"/>
  <c r="C643" i="10"/>
  <c r="D643" i="10" s="1"/>
  <c r="C651" i="10"/>
  <c r="D651" i="10" s="1"/>
  <c r="C659" i="10"/>
  <c r="D659" i="10" s="1"/>
  <c r="C671" i="10"/>
  <c r="D671" i="10" s="1"/>
  <c r="C678" i="10"/>
  <c r="D678" i="10" s="1"/>
  <c r="C691" i="10"/>
  <c r="D691" i="10" s="1"/>
  <c r="C702" i="10"/>
  <c r="D702" i="10" s="1"/>
  <c r="C720" i="10"/>
  <c r="D720" i="10" s="1"/>
  <c r="C728" i="10"/>
  <c r="D728" i="10" s="1"/>
  <c r="C747" i="10"/>
  <c r="D747" i="10" s="1"/>
  <c r="C758" i="10"/>
  <c r="D758" i="10" s="1"/>
  <c r="C768" i="10"/>
  <c r="D768" i="10" s="1"/>
  <c r="C776" i="10"/>
  <c r="D776" i="10" s="1"/>
  <c r="C787" i="10"/>
  <c r="D787" i="10" s="1"/>
  <c r="C807" i="10"/>
  <c r="D807" i="10"/>
  <c r="C762" i="10"/>
  <c r="D762" i="10" s="1"/>
  <c r="C501" i="10"/>
  <c r="D501" i="10" s="1"/>
  <c r="C431" i="10"/>
  <c r="D431" i="10" s="1"/>
  <c r="C361" i="10"/>
  <c r="D361" i="10" s="1"/>
  <c r="C267" i="10"/>
  <c r="D267" i="10" s="1"/>
  <c r="C196" i="10"/>
  <c r="D196" i="10" s="1"/>
  <c r="C83" i="10"/>
  <c r="D83" i="10" s="1"/>
  <c r="C965" i="10"/>
  <c r="D965" i="10" s="1"/>
  <c r="C838" i="10"/>
  <c r="D838" i="10" s="1"/>
  <c r="C709" i="10"/>
  <c r="D709" i="10" s="1"/>
  <c r="C962" i="10"/>
  <c r="D962" i="10" s="1"/>
  <c r="C914" i="10"/>
  <c r="D914" i="10" s="1"/>
  <c r="C858" i="10"/>
  <c r="D858" i="10" s="1"/>
  <c r="C966" i="10"/>
  <c r="D966" i="10"/>
  <c r="C921" i="10"/>
  <c r="D921" i="10" s="1"/>
  <c r="C862" i="10"/>
  <c r="D862" i="10" s="1"/>
  <c r="C913" i="10"/>
  <c r="D913" i="10" s="1"/>
  <c r="C785" i="10"/>
  <c r="D785" i="10" s="1"/>
  <c r="C996" i="10"/>
  <c r="D996" i="10" s="1"/>
  <c r="C624" i="10"/>
  <c r="D624" i="10"/>
  <c r="C515" i="10"/>
  <c r="D515" i="10" s="1"/>
  <c r="C442" i="10"/>
  <c r="D442" i="10"/>
  <c r="C379" i="10"/>
  <c r="D379" i="10" s="1"/>
  <c r="C295" i="10"/>
  <c r="D295" i="10" s="1"/>
  <c r="C229" i="10"/>
  <c r="D229" i="10" s="1"/>
  <c r="C41" i="10"/>
  <c r="D41" i="10" s="1"/>
  <c r="C89" i="10"/>
  <c r="D89" i="10" s="1"/>
  <c r="C113" i="10"/>
  <c r="D113" i="10" s="1"/>
  <c r="C129" i="10"/>
  <c r="D129" i="10" s="1"/>
  <c r="C145" i="10"/>
  <c r="D145" i="10" s="1"/>
  <c r="C161" i="10"/>
  <c r="D161" i="10" s="1"/>
  <c r="C211" i="10"/>
  <c r="D211" i="10" s="1"/>
  <c r="C940" i="10"/>
  <c r="D940" i="10" s="1"/>
  <c r="C892" i="10"/>
  <c r="D892" i="10" s="1"/>
  <c r="C836" i="10"/>
  <c r="D836" i="10" s="1"/>
  <c r="C944" i="10"/>
  <c r="D944" i="10"/>
  <c r="C896" i="10"/>
  <c r="D896" i="10"/>
  <c r="C851" i="10"/>
  <c r="D851" i="10"/>
  <c r="C803" i="10"/>
  <c r="D803" i="10" s="1"/>
  <c r="C693" i="10"/>
  <c r="D693" i="10" s="1"/>
  <c r="C789" i="10"/>
  <c r="D789" i="10" s="1"/>
  <c r="C841" i="10"/>
  <c r="D841" i="10" s="1"/>
  <c r="C905" i="10"/>
  <c r="D905" i="10" s="1"/>
  <c r="C969" i="10"/>
  <c r="D969" i="10"/>
  <c r="C209" i="10"/>
  <c r="D209" i="10" s="1"/>
  <c r="C197" i="10"/>
  <c r="D197" i="10"/>
  <c r="C181" i="10"/>
  <c r="D181" i="10" s="1"/>
  <c r="C166" i="10"/>
  <c r="D166" i="10" s="1"/>
  <c r="C158" i="10"/>
  <c r="D158" i="10" s="1"/>
  <c r="C150" i="10"/>
  <c r="D150" i="10" s="1"/>
  <c r="C142" i="10"/>
  <c r="D142" i="10" s="1"/>
  <c r="C134" i="10"/>
  <c r="D134" i="10" s="1"/>
  <c r="C126" i="10"/>
  <c r="D126" i="10"/>
  <c r="C118" i="10"/>
  <c r="D118" i="10"/>
  <c r="C112" i="10"/>
  <c r="D112" i="10" s="1"/>
  <c r="C77" i="10"/>
  <c r="D77" i="10" s="1"/>
  <c r="C45" i="10"/>
  <c r="D45" i="10" s="1"/>
  <c r="C225" i="10"/>
  <c r="D225" i="10" s="1"/>
  <c r="C261" i="10"/>
  <c r="D261" i="10" s="1"/>
  <c r="C307" i="10"/>
  <c r="D307" i="10" s="1"/>
  <c r="C343" i="10"/>
  <c r="D343" i="10" s="1"/>
  <c r="C446" i="10"/>
  <c r="D446" i="10" s="1"/>
  <c r="C494" i="10"/>
  <c r="D494" i="10" s="1"/>
  <c r="C553" i="10"/>
  <c r="D553" i="10" s="1"/>
  <c r="C603" i="10"/>
  <c r="D603" i="10" s="1"/>
  <c r="C695" i="10"/>
  <c r="D695" i="10" s="1"/>
  <c r="C978" i="10"/>
  <c r="D978" i="10" s="1"/>
  <c r="C806" i="10"/>
  <c r="D806" i="10" s="1"/>
  <c r="C848" i="10"/>
  <c r="D848" i="10"/>
  <c r="C891" i="10"/>
  <c r="D891" i="10" s="1"/>
  <c r="C934" i="10"/>
  <c r="D934" i="10" s="1"/>
  <c r="C976" i="10"/>
  <c r="D976" i="10" s="1"/>
  <c r="C844" i="10"/>
  <c r="D844" i="10" s="1"/>
  <c r="C887" i="10"/>
  <c r="D887" i="10" s="1"/>
  <c r="C930" i="10"/>
  <c r="D930" i="10" s="1"/>
  <c r="C972" i="10"/>
  <c r="D972" i="10" s="1"/>
  <c r="C685" i="10"/>
  <c r="D685" i="10" s="1"/>
  <c r="C749" i="10"/>
  <c r="D749" i="10" s="1"/>
  <c r="C813" i="10"/>
  <c r="D813" i="10" s="1"/>
  <c r="C877" i="10"/>
  <c r="D877" i="10" s="1"/>
  <c r="C941" i="10"/>
  <c r="D941" i="10" s="1"/>
  <c r="C103" i="10"/>
  <c r="D103" i="10" s="1"/>
  <c r="C71" i="10"/>
  <c r="D71" i="10" s="1"/>
  <c r="C39" i="10"/>
  <c r="D39" i="10" s="1"/>
  <c r="C172" i="10"/>
  <c r="D172" i="10" s="1"/>
  <c r="C251" i="10"/>
  <c r="D251" i="10" s="1"/>
  <c r="C287" i="10"/>
  <c r="D287" i="10" s="1"/>
  <c r="C333" i="10"/>
  <c r="D333" i="10" s="1"/>
  <c r="C401" i="10"/>
  <c r="D401" i="10" s="1"/>
  <c r="C428" i="10"/>
  <c r="D428" i="10" s="1"/>
  <c r="C466" i="10"/>
  <c r="D466" i="10" s="1"/>
  <c r="C505" i="10"/>
  <c r="D505" i="10" s="1"/>
  <c r="C564" i="10"/>
  <c r="D564" i="10" s="1"/>
  <c r="C597" i="10"/>
  <c r="D597" i="10" s="1"/>
  <c r="C104" i="10"/>
  <c r="D104" i="10" s="1"/>
  <c r="C92" i="10"/>
  <c r="D92" i="10" s="1"/>
  <c r="C82" i="10"/>
  <c r="D82" i="10" s="1"/>
  <c r="C72" i="10"/>
  <c r="D72" i="10" s="1"/>
  <c r="C58" i="10"/>
  <c r="D58" i="10" s="1"/>
  <c r="C42" i="10"/>
  <c r="D42" i="10" s="1"/>
  <c r="C210" i="10"/>
  <c r="D210" i="10" s="1"/>
  <c r="C178" i="10"/>
  <c r="D178" i="10" s="1"/>
  <c r="C228" i="10"/>
  <c r="D228" i="10" s="1"/>
  <c r="C244" i="10"/>
  <c r="D244" i="10" s="1"/>
  <c r="C297" i="10"/>
  <c r="D297" i="10" s="1"/>
  <c r="C359" i="10"/>
  <c r="D359" i="10" s="1"/>
  <c r="C439" i="10"/>
  <c r="D439" i="10" s="1"/>
  <c r="C491" i="10"/>
  <c r="D491" i="10" s="1"/>
  <c r="C568" i="10"/>
  <c r="D568" i="10"/>
  <c r="C756" i="10"/>
  <c r="D756" i="10" s="1"/>
  <c r="C426" i="10"/>
  <c r="D426" i="10" s="1"/>
  <c r="C486" i="10"/>
  <c r="D486" i="10" s="1"/>
  <c r="C571" i="10"/>
  <c r="D571" i="10" s="1"/>
  <c r="C650" i="10"/>
  <c r="D650" i="10" s="1"/>
  <c r="C246" i="10"/>
  <c r="D246" i="10" s="1"/>
  <c r="C268" i="10"/>
  <c r="D268" i="10" s="1"/>
  <c r="C290" i="10"/>
  <c r="D290" i="10" s="1"/>
  <c r="C310" i="10"/>
  <c r="D310" i="10" s="1"/>
  <c r="C330" i="10"/>
  <c r="D330" i="10" s="1"/>
  <c r="C352" i="10"/>
  <c r="D352" i="10" s="1"/>
  <c r="C372" i="10"/>
  <c r="D372" i="10" s="1"/>
  <c r="C394" i="10"/>
  <c r="D394" i="10" s="1"/>
  <c r="C414" i="10"/>
  <c r="D414" i="10" s="1"/>
  <c r="C453" i="10"/>
  <c r="D453" i="10" s="1"/>
  <c r="C499" i="10"/>
  <c r="D499" i="10" s="1"/>
  <c r="C560" i="10"/>
  <c r="D560" i="10" s="1"/>
  <c r="C632" i="10"/>
  <c r="D632" i="10" s="1"/>
  <c r="C772" i="10"/>
  <c r="D772" i="10" s="1"/>
  <c r="C511" i="10"/>
  <c r="D511" i="10" s="1"/>
  <c r="C551" i="10"/>
  <c r="D551" i="10" s="1"/>
  <c r="C591" i="10"/>
  <c r="D591" i="10" s="1"/>
  <c r="C646" i="10"/>
  <c r="D646" i="10" s="1"/>
  <c r="C767" i="10"/>
  <c r="D767" i="10" s="1"/>
  <c r="C271" i="10"/>
  <c r="D271" i="10" s="1"/>
  <c r="C558" i="10"/>
  <c r="D558" i="10" s="1"/>
  <c r="C890" i="10"/>
  <c r="D890" i="10" s="1"/>
  <c r="C669" i="10"/>
  <c r="D669" i="10" s="1"/>
  <c r="C682" i="10"/>
  <c r="D682" i="10" s="1"/>
  <c r="C863" i="10"/>
  <c r="D863" i="10"/>
  <c r="C964" i="10"/>
  <c r="D964" i="10" s="1"/>
  <c r="C180" i="10"/>
  <c r="D180" i="10" s="1"/>
  <c r="C115" i="10"/>
  <c r="D115" i="10" s="1"/>
  <c r="C861" i="10"/>
  <c r="D861" i="10"/>
  <c r="C854" i="10"/>
  <c r="D854" i="10" s="1"/>
  <c r="C797" i="10"/>
  <c r="D797" i="10" s="1"/>
  <c r="C540" i="10"/>
  <c r="D540" i="10" s="1"/>
  <c r="C805" i="10"/>
  <c r="D805" i="10"/>
  <c r="C475" i="10"/>
  <c r="D475" i="10" s="1"/>
  <c r="C753" i="10"/>
  <c r="D753" i="10" s="1"/>
  <c r="C263" i="10"/>
  <c r="D263" i="10" s="1"/>
  <c r="C960" i="10"/>
  <c r="D960" i="10"/>
  <c r="C127" i="10"/>
  <c r="D127" i="10" s="1"/>
  <c r="C644" i="10"/>
  <c r="D644" i="10" s="1"/>
  <c r="C990" i="10"/>
  <c r="D990" i="10" s="1"/>
  <c r="C889" i="10"/>
  <c r="D889" i="10"/>
  <c r="C107" i="10"/>
  <c r="D107" i="10" s="1"/>
  <c r="C403" i="10"/>
  <c r="D403" i="10" s="1"/>
  <c r="C815" i="10"/>
  <c r="D815" i="10" s="1"/>
  <c r="C775" i="10"/>
  <c r="D775" i="10" s="1"/>
  <c r="C730" i="10"/>
  <c r="D730" i="10" s="1"/>
  <c r="C676" i="10"/>
  <c r="D676" i="10" s="1"/>
  <c r="C640" i="10"/>
  <c r="D640" i="10" s="1"/>
  <c r="C618" i="10"/>
  <c r="D618" i="10" s="1"/>
  <c r="C599" i="10"/>
  <c r="D599" i="10" s="1"/>
  <c r="C583" i="10"/>
  <c r="D583" i="10" s="1"/>
  <c r="C554" i="10"/>
  <c r="D554" i="10" s="1"/>
  <c r="C538" i="10"/>
  <c r="D538" i="10" s="1"/>
  <c r="C522" i="10"/>
  <c r="D522" i="10" s="1"/>
  <c r="C506" i="10"/>
  <c r="D506" i="10" s="1"/>
  <c r="C490" i="10"/>
  <c r="D490" i="10" s="1"/>
  <c r="C26" i="10"/>
  <c r="D26" i="10" s="1"/>
  <c r="C754" i="10"/>
  <c r="D754" i="10" s="1"/>
  <c r="C684" i="10"/>
  <c r="D684" i="10" s="1"/>
  <c r="C642" i="10"/>
  <c r="D642" i="10" s="1"/>
  <c r="C595" i="10"/>
  <c r="D595" i="10" s="1"/>
  <c r="C577" i="10"/>
  <c r="D577" i="10" s="1"/>
  <c r="C556" i="10"/>
  <c r="D556" i="10"/>
  <c r="C531" i="10"/>
  <c r="D531" i="10" s="1"/>
  <c r="C513" i="10"/>
  <c r="D513" i="10" s="1"/>
  <c r="C492" i="10"/>
  <c r="D492" i="10" s="1"/>
  <c r="C472" i="10"/>
  <c r="D472" i="10" s="1"/>
  <c r="C456" i="10"/>
  <c r="D456" i="10" s="1"/>
  <c r="C440" i="10"/>
  <c r="D440" i="10" s="1"/>
  <c r="C424" i="10"/>
  <c r="D424" i="10" s="1"/>
  <c r="C412" i="10"/>
  <c r="D412" i="10" s="1"/>
  <c r="C406" i="10"/>
  <c r="D406" i="10" s="1"/>
  <c r="C398" i="10"/>
  <c r="D398" i="10" s="1"/>
  <c r="C390" i="10"/>
  <c r="D390" i="10" s="1"/>
  <c r="C382" i="10"/>
  <c r="D382" i="10" s="1"/>
  <c r="C374" i="10"/>
  <c r="D374" i="10" s="1"/>
  <c r="C366" i="10"/>
  <c r="D366" i="10" s="1"/>
  <c r="C358" i="10"/>
  <c r="D358" i="10" s="1"/>
  <c r="C350" i="10"/>
  <c r="D350" i="10" s="1"/>
  <c r="C342" i="10"/>
  <c r="D342" i="10" s="1"/>
  <c r="C334" i="10"/>
  <c r="D334" i="10" s="1"/>
  <c r="C326" i="10"/>
  <c r="D326" i="10" s="1"/>
  <c r="C318" i="10"/>
  <c r="D318" i="10" s="1"/>
  <c r="C312" i="10"/>
  <c r="D312" i="10" s="1"/>
  <c r="C304" i="10"/>
  <c r="D304" i="10" s="1"/>
  <c r="C296" i="10"/>
  <c r="D296" i="10" s="1"/>
  <c r="C288" i="10"/>
  <c r="D288" i="10" s="1"/>
  <c r="C280" i="10"/>
  <c r="D280" i="10" s="1"/>
  <c r="C272" i="10"/>
  <c r="D272" i="10" s="1"/>
  <c r="C264" i="10"/>
  <c r="D264" i="10" s="1"/>
  <c r="C256" i="10"/>
  <c r="D256" i="10" s="1"/>
  <c r="C248" i="10"/>
  <c r="D248" i="10" s="1"/>
  <c r="C778" i="10"/>
  <c r="D778" i="10" s="1"/>
  <c r="C698" i="10"/>
  <c r="D698" i="10" s="1"/>
  <c r="C638" i="10"/>
  <c r="D638" i="10"/>
  <c r="C604" i="10"/>
  <c r="D604" i="10" s="1"/>
  <c r="C580" i="10"/>
  <c r="D580" i="10" s="1"/>
  <c r="C561" i="10"/>
  <c r="D561" i="10" s="1"/>
  <c r="C537" i="10"/>
  <c r="D537" i="10" s="1"/>
  <c r="C500" i="10"/>
  <c r="D500" i="10" s="1"/>
  <c r="C462" i="10"/>
  <c r="D462" i="10" s="1"/>
  <c r="C444" i="10"/>
  <c r="D444" i="10" s="1"/>
  <c r="C419" i="10"/>
  <c r="D419" i="10" s="1"/>
  <c r="C389" i="10"/>
  <c r="D389" i="10" s="1"/>
  <c r="C357" i="10"/>
  <c r="D357" i="10" s="1"/>
  <c r="C722" i="10"/>
  <c r="D722" i="10" s="1"/>
  <c r="C605" i="10"/>
  <c r="D605" i="10" s="1"/>
  <c r="C614" i="10"/>
  <c r="D614" i="10" s="1"/>
  <c r="C733" i="10"/>
  <c r="D733" i="10" s="1"/>
  <c r="C507" i="10"/>
  <c r="D507" i="10"/>
  <c r="C221" i="10"/>
  <c r="D221" i="10" s="1"/>
  <c r="C277" i="10"/>
  <c r="D277" i="10" s="1"/>
  <c r="C834" i="10"/>
  <c r="D834" i="10"/>
  <c r="C135" i="10"/>
  <c r="D135" i="10" s="1"/>
  <c r="C971" i="10"/>
  <c r="D971" i="10"/>
  <c r="C131" i="10"/>
  <c r="D131" i="10" s="1"/>
  <c r="C830" i="10"/>
  <c r="D830" i="10" s="1"/>
  <c r="C183" i="10"/>
  <c r="D183" i="10" s="1"/>
  <c r="C525" i="10"/>
  <c r="D525" i="10" s="1"/>
  <c r="C689" i="10"/>
  <c r="D689" i="10" s="1"/>
  <c r="C227" i="10"/>
  <c r="D227" i="10" s="1"/>
  <c r="C867" i="10"/>
  <c r="D867" i="10" s="1"/>
  <c r="C898" i="10"/>
  <c r="D898" i="10"/>
  <c r="C953" i="10"/>
  <c r="D953" i="10" s="1"/>
  <c r="C81" i="10"/>
  <c r="D81" i="10" s="1"/>
  <c r="C450" i="10"/>
  <c r="D450" i="10" s="1"/>
  <c r="C819" i="10"/>
  <c r="D819" i="10" s="1"/>
  <c r="C911" i="10"/>
  <c r="D911" i="10" s="1"/>
  <c r="C423" i="10"/>
  <c r="D423" i="10" s="1"/>
  <c r="C97" i="10"/>
  <c r="D97" i="10" s="1"/>
  <c r="C212" i="10"/>
  <c r="D212" i="10" s="1"/>
  <c r="C143" i="10"/>
  <c r="D143" i="10" s="1"/>
  <c r="C817" i="10"/>
  <c r="D817" i="10"/>
  <c r="C886" i="10"/>
  <c r="D886" i="10" s="1"/>
  <c r="C175" i="10"/>
  <c r="D175" i="10" s="1"/>
  <c r="C593" i="10"/>
  <c r="D593" i="10" s="1"/>
  <c r="C804" i="10"/>
  <c r="D804" i="10"/>
  <c r="C759" i="10"/>
  <c r="D759" i="10" s="1"/>
  <c r="C692" i="10"/>
  <c r="D692" i="10" s="1"/>
  <c r="C634" i="10"/>
  <c r="D634" i="10" s="1"/>
  <c r="C607" i="10"/>
  <c r="D607" i="10" s="1"/>
  <c r="C586" i="10"/>
  <c r="D586" i="10" s="1"/>
  <c r="C567" i="10"/>
  <c r="D567" i="10" s="1"/>
  <c r="C546" i="10"/>
  <c r="D546" i="10" s="1"/>
  <c r="C527" i="10"/>
  <c r="D527" i="10" s="1"/>
  <c r="C503" i="10"/>
  <c r="D503" i="10" s="1"/>
  <c r="C482" i="10"/>
  <c r="D482" i="10" s="1"/>
  <c r="C764" i="10"/>
  <c r="D764" i="10" s="1"/>
  <c r="C679" i="10"/>
  <c r="D679" i="10" s="1"/>
  <c r="C626" i="10"/>
  <c r="D626" i="10" s="1"/>
  <c r="C581" i="10"/>
  <c r="D581" i="10" s="1"/>
  <c r="C549" i="10"/>
  <c r="D549" i="10" s="1"/>
  <c r="C524" i="10"/>
  <c r="D524" i="10" s="1"/>
  <c r="C496" i="10"/>
  <c r="D496" i="10" s="1"/>
  <c r="C469" i="10"/>
  <c r="D469" i="10" s="1"/>
  <c r="C448" i="10"/>
  <c r="D448" i="10" s="1"/>
  <c r="C429" i="10"/>
  <c r="D429" i="10" s="1"/>
  <c r="C402" i="10"/>
  <c r="D402" i="10" s="1"/>
  <c r="C392" i="10"/>
  <c r="D392" i="10" s="1"/>
  <c r="C380" i="10"/>
  <c r="D380" i="10" s="1"/>
  <c r="C370" i="10"/>
  <c r="D370" i="10" s="1"/>
  <c r="C360" i="10"/>
  <c r="D360" i="10" s="1"/>
  <c r="C348" i="10"/>
  <c r="D348" i="10" s="1"/>
  <c r="C338" i="10"/>
  <c r="D338" i="10" s="1"/>
  <c r="C328" i="10"/>
  <c r="D328" i="10" s="1"/>
  <c r="C316" i="10"/>
  <c r="D316" i="10" s="1"/>
  <c r="C308" i="10"/>
  <c r="D308" i="10" s="1"/>
  <c r="C298" i="10"/>
  <c r="D298" i="10" s="1"/>
  <c r="C286" i="10"/>
  <c r="D286" i="10" s="1"/>
  <c r="C276" i="10"/>
  <c r="D276" i="10" s="1"/>
  <c r="C266" i="10"/>
  <c r="D266" i="10" s="1"/>
  <c r="C254" i="10"/>
  <c r="D254" i="10" s="1"/>
  <c r="C820" i="10"/>
  <c r="D820" i="10" s="1"/>
  <c r="C711" i="10"/>
  <c r="D711" i="10" s="1"/>
  <c r="C630" i="10"/>
  <c r="D630" i="10" s="1"/>
  <c r="C590" i="10"/>
  <c r="D590" i="10" s="1"/>
  <c r="C566" i="10"/>
  <c r="D566" i="10" s="1"/>
  <c r="C533" i="10"/>
  <c r="D533" i="10" s="1"/>
  <c r="C476" i="10"/>
  <c r="D476" i="10"/>
  <c r="C447" i="10"/>
  <c r="D447" i="10" s="1"/>
  <c r="C413" i="10"/>
  <c r="D413" i="10" s="1"/>
  <c r="C373" i="10"/>
  <c r="D373" i="10" s="1"/>
  <c r="C740" i="10"/>
  <c r="D740" i="10" s="1"/>
  <c r="C598" i="10"/>
  <c r="D598" i="10" s="1"/>
  <c r="C548" i="10"/>
  <c r="D548" i="10" s="1"/>
  <c r="C516" i="10"/>
  <c r="D516" i="10" s="1"/>
  <c r="C484" i="10"/>
  <c r="D484" i="10" s="1"/>
  <c r="C459" i="10"/>
  <c r="D459" i="10" s="1"/>
  <c r="C435" i="10"/>
  <c r="D435" i="10" s="1"/>
  <c r="C391" i="10"/>
  <c r="D391" i="10" s="1"/>
  <c r="C353" i="10"/>
  <c r="D353" i="10" s="1"/>
  <c r="C321" i="10"/>
  <c r="D321" i="10" s="1"/>
  <c r="C289" i="10"/>
  <c r="D289" i="10" s="1"/>
  <c r="C265" i="10"/>
  <c r="D265" i="10" s="1"/>
  <c r="C242" i="10"/>
  <c r="D242" i="10" s="1"/>
  <c r="C234" i="10"/>
  <c r="D234" i="10" s="1"/>
  <c r="C226" i="10"/>
  <c r="D226" i="10"/>
  <c r="C218" i="10"/>
  <c r="D218" i="10" s="1"/>
  <c r="C182" i="10"/>
  <c r="D182" i="10" s="1"/>
  <c r="C198" i="10"/>
  <c r="D198" i="10" s="1"/>
  <c r="C214" i="10"/>
  <c r="D214" i="10" s="1"/>
  <c r="C36" i="10"/>
  <c r="D36" i="10" s="1"/>
  <c r="C44" i="10"/>
  <c r="D44" i="10"/>
  <c r="C52" i="10"/>
  <c r="D52" i="10" s="1"/>
  <c r="C60" i="10"/>
  <c r="D60" i="10" s="1"/>
  <c r="C741" i="10"/>
  <c r="D741" i="10" s="1"/>
  <c r="C798" i="10"/>
  <c r="D798" i="10" s="1"/>
  <c r="C474" i="10"/>
  <c r="D474" i="10" s="1"/>
  <c r="C385" i="10"/>
  <c r="D385" i="10" s="1"/>
  <c r="C192" i="10"/>
  <c r="D192" i="10"/>
  <c r="C159" i="10"/>
  <c r="D159" i="10" s="1"/>
  <c r="C968" i="10"/>
  <c r="D968" i="10" s="1"/>
  <c r="C155" i="10"/>
  <c r="D155" i="10" s="1"/>
  <c r="C788" i="10"/>
  <c r="D788" i="10" s="1"/>
  <c r="C751" i="10"/>
  <c r="D751" i="10" s="1"/>
  <c r="C663" i="10"/>
  <c r="D663" i="10" s="1"/>
  <c r="C628" i="10"/>
  <c r="D628" i="10" s="1"/>
  <c r="C602" i="10"/>
  <c r="D602" i="10" s="1"/>
  <c r="C578" i="10"/>
  <c r="D578" i="10" s="1"/>
  <c r="C562" i="10"/>
  <c r="D562" i="10" s="1"/>
  <c r="C543" i="10"/>
  <c r="D543" i="10" s="1"/>
  <c r="C519" i="10"/>
  <c r="D519" i="10" s="1"/>
  <c r="C498" i="10"/>
  <c r="D498" i="10" s="1"/>
  <c r="C479" i="10"/>
  <c r="D479" i="10" s="1"/>
  <c r="C743" i="10"/>
  <c r="D743" i="10" s="1"/>
  <c r="C654" i="10"/>
  <c r="D654" i="10" s="1"/>
  <c r="C606" i="10"/>
  <c r="D606" i="10" s="1"/>
  <c r="C574" i="10"/>
  <c r="D574" i="10" s="1"/>
  <c r="C545" i="10"/>
  <c r="D545" i="10" s="1"/>
  <c r="C517" i="10"/>
  <c r="D517" i="10" s="1"/>
  <c r="C485" i="10"/>
  <c r="D485" i="10" s="1"/>
  <c r="C464" i="10"/>
  <c r="D464" i="10" s="1"/>
  <c r="C445" i="10"/>
  <c r="D445" i="10" s="1"/>
  <c r="C421" i="10"/>
  <c r="D421" i="10" s="1"/>
  <c r="C410" i="10"/>
  <c r="D410" i="10" s="1"/>
  <c r="C400" i="10"/>
  <c r="D400" i="10" s="1"/>
  <c r="C388" i="10"/>
  <c r="D388" i="10" s="1"/>
  <c r="C378" i="10"/>
  <c r="D378" i="10" s="1"/>
  <c r="C368" i="10"/>
  <c r="D368" i="10" s="1"/>
  <c r="C356" i="10"/>
  <c r="D356" i="10" s="1"/>
  <c r="C346" i="10"/>
  <c r="D346" i="10" s="1"/>
  <c r="C336" i="10"/>
  <c r="D336" i="10" s="1"/>
  <c r="C324" i="10"/>
  <c r="D324" i="10" s="1"/>
  <c r="C306" i="10"/>
  <c r="D306" i="10" s="1"/>
  <c r="C294" i="10"/>
  <c r="D294" i="10" s="1"/>
  <c r="C284" i="10"/>
  <c r="D284" i="10" s="1"/>
  <c r="C274" i="10"/>
  <c r="D274" i="10" s="1"/>
  <c r="C262" i="10"/>
  <c r="D262" i="10" s="1"/>
  <c r="C252" i="10"/>
  <c r="D252" i="10" s="1"/>
  <c r="C794" i="10"/>
  <c r="D794" i="10" s="1"/>
  <c r="C687" i="10"/>
  <c r="D687" i="10" s="1"/>
  <c r="C620" i="10"/>
  <c r="D620" i="10" s="1"/>
  <c r="C585" i="10"/>
  <c r="D585" i="10" s="1"/>
  <c r="C557" i="10"/>
  <c r="D557" i="10" s="1"/>
  <c r="C523" i="10"/>
  <c r="D523" i="10" s="1"/>
  <c r="C465" i="10"/>
  <c r="D465" i="10" s="1"/>
  <c r="C433" i="10"/>
  <c r="D433" i="10"/>
  <c r="C405" i="10"/>
  <c r="D405" i="10" s="1"/>
  <c r="C365" i="10"/>
  <c r="D365" i="10" s="1"/>
  <c r="C706" i="10"/>
  <c r="D706" i="10" s="1"/>
  <c r="C579" i="10"/>
  <c r="D579" i="10"/>
  <c r="C541" i="10"/>
  <c r="D541" i="10" s="1"/>
  <c r="C504" i="10"/>
  <c r="D504" i="10" s="1"/>
  <c r="C473" i="10"/>
  <c r="D473" i="10" s="1"/>
  <c r="C454" i="10"/>
  <c r="D454" i="10" s="1"/>
  <c r="C425" i="10"/>
  <c r="D425" i="10" s="1"/>
  <c r="C377" i="10"/>
  <c r="D377" i="10" s="1"/>
  <c r="C345" i="10"/>
  <c r="D345" i="10" s="1"/>
  <c r="C313" i="10"/>
  <c r="D313" i="10" s="1"/>
  <c r="C257" i="10"/>
  <c r="D257" i="10" s="1"/>
  <c r="C240" i="10"/>
  <c r="D240" i="10" s="1"/>
  <c r="C232" i="10"/>
  <c r="D232" i="10" s="1"/>
  <c r="C224" i="10"/>
  <c r="D224" i="10" s="1"/>
  <c r="C170" i="10"/>
  <c r="D170" i="10" s="1"/>
  <c r="C186" i="10"/>
  <c r="D186" i="10" s="1"/>
  <c r="C202" i="10"/>
  <c r="D202" i="10" s="1"/>
  <c r="C30" i="10"/>
  <c r="D30" i="10" s="1"/>
  <c r="C38" i="10"/>
  <c r="D38" i="10" s="1"/>
  <c r="C46" i="10"/>
  <c r="D46" i="10" s="1"/>
  <c r="C54" i="10"/>
  <c r="D54" i="10" s="1"/>
  <c r="C62" i="10"/>
  <c r="D62" i="10" s="1"/>
  <c r="C70" i="10"/>
  <c r="D70" i="10" s="1"/>
  <c r="C78" i="10"/>
  <c r="D78" i="10" s="1"/>
  <c r="C86" i="10"/>
  <c r="D86" i="10" s="1"/>
  <c r="C94" i="10"/>
  <c r="D94" i="10" s="1"/>
  <c r="C102" i="10"/>
  <c r="D102" i="10" s="1"/>
  <c r="C613" i="10"/>
  <c r="D613" i="10" s="1"/>
  <c r="C621" i="10"/>
  <c r="D621" i="10" s="1"/>
  <c r="C629" i="10"/>
  <c r="D629" i="10" s="1"/>
  <c r="C637" i="10"/>
  <c r="D637" i="10" s="1"/>
  <c r="C645" i="10"/>
  <c r="D645" i="10" s="1"/>
  <c r="C653" i="10"/>
  <c r="D653" i="10" s="1"/>
  <c r="C662" i="10"/>
  <c r="D662" i="10" s="1"/>
  <c r="C675" i="10"/>
  <c r="D675" i="10" s="1"/>
  <c r="C683" i="10"/>
  <c r="D683" i="10" s="1"/>
  <c r="C694" i="10"/>
  <c r="D694" i="10" s="1"/>
  <c r="C704" i="10"/>
  <c r="D704" i="10" s="1"/>
  <c r="C712" i="10"/>
  <c r="D712" i="10" s="1"/>
  <c r="C731" i="10"/>
  <c r="D731" i="10" s="1"/>
  <c r="C739" i="10"/>
  <c r="D739" i="10" s="1"/>
  <c r="C750" i="10"/>
  <c r="D750" i="10" s="1"/>
  <c r="C760" i="10"/>
  <c r="D760" i="10" s="1"/>
  <c r="C771" i="10"/>
  <c r="D771" i="10" s="1"/>
  <c r="C779" i="10"/>
  <c r="D779" i="10" s="1"/>
  <c r="C791" i="10"/>
  <c r="D791" i="10" s="1"/>
  <c r="C812" i="10"/>
  <c r="D812" i="10" s="1"/>
  <c r="C716" i="10"/>
  <c r="D716" i="10" s="1"/>
  <c r="C584" i="10"/>
  <c r="D584" i="10" s="1"/>
  <c r="C483" i="10"/>
  <c r="D483" i="10" s="1"/>
  <c r="C418" i="10"/>
  <c r="D418" i="10" s="1"/>
  <c r="C331" i="10"/>
  <c r="D331" i="10" s="1"/>
  <c r="C253" i="10"/>
  <c r="D253" i="10" s="1"/>
  <c r="C35" i="10"/>
  <c r="D35" i="10" s="1"/>
  <c r="C99" i="10"/>
  <c r="D99" i="10" s="1"/>
  <c r="C916" i="10"/>
  <c r="D916" i="10" s="1"/>
  <c r="C793" i="10"/>
  <c r="D793" i="10" s="1"/>
  <c r="C665" i="10"/>
  <c r="D665" i="10" s="1"/>
  <c r="C954" i="10"/>
  <c r="D954" i="10" s="1"/>
  <c r="C906" i="10"/>
  <c r="D906" i="10" s="1"/>
  <c r="C837" i="10"/>
  <c r="D837" i="10" s="1"/>
  <c r="C958" i="10"/>
  <c r="D958" i="10"/>
  <c r="C910" i="10"/>
  <c r="D910" i="10" s="1"/>
  <c r="C843" i="10"/>
  <c r="D843" i="10" s="1"/>
  <c r="C795" i="10"/>
  <c r="D795" i="10"/>
  <c r="C893" i="10"/>
  <c r="D893" i="10" s="1"/>
  <c r="C765" i="10"/>
  <c r="D765" i="10"/>
  <c r="C810" i="10"/>
  <c r="D810" i="10" s="1"/>
  <c r="C565" i="10"/>
  <c r="D565" i="10" s="1"/>
  <c r="C467" i="10"/>
  <c r="D467" i="10" s="1"/>
  <c r="C417" i="10"/>
  <c r="D417" i="10" s="1"/>
  <c r="C369" i="10"/>
  <c r="D369" i="10" s="1"/>
  <c r="C259" i="10"/>
  <c r="D259" i="10" s="1"/>
  <c r="C57" i="10"/>
  <c r="D57" i="10" s="1"/>
  <c r="C117" i="10"/>
  <c r="D117" i="10" s="1"/>
  <c r="C133" i="10"/>
  <c r="D133" i="10" s="1"/>
  <c r="C149" i="10"/>
  <c r="D149" i="10" s="1"/>
  <c r="C165" i="10"/>
  <c r="D165" i="10" s="1"/>
  <c r="C187" i="10"/>
  <c r="D187" i="10" s="1"/>
  <c r="C932" i="10"/>
  <c r="D932" i="10"/>
  <c r="C884" i="10"/>
  <c r="D884" i="10" s="1"/>
  <c r="C992" i="10"/>
  <c r="D992" i="10"/>
  <c r="C936" i="10"/>
  <c r="D936" i="10" s="1"/>
  <c r="C888" i="10"/>
  <c r="D888" i="10"/>
  <c r="C839" i="10"/>
  <c r="D839" i="10" s="1"/>
  <c r="C792" i="10"/>
  <c r="D792" i="10"/>
  <c r="C745" i="10"/>
  <c r="D745" i="10" s="1"/>
  <c r="C853" i="10"/>
  <c r="D853" i="10" s="1"/>
  <c r="C919" i="10"/>
  <c r="D919" i="10"/>
  <c r="C981" i="10"/>
  <c r="D981" i="10" s="1"/>
  <c r="C205" i="10"/>
  <c r="D205" i="10" s="1"/>
  <c r="C193" i="10"/>
  <c r="D193" i="10" s="1"/>
  <c r="C177" i="10"/>
  <c r="D177" i="10" s="1"/>
  <c r="C164" i="10"/>
  <c r="D164" i="10" s="1"/>
  <c r="C156" i="10"/>
  <c r="D156" i="10" s="1"/>
  <c r="C148" i="10"/>
  <c r="D148" i="10" s="1"/>
  <c r="C140" i="10"/>
  <c r="D140" i="10" s="1"/>
  <c r="C132" i="10"/>
  <c r="D132" i="10" s="1"/>
  <c r="C124" i="10"/>
  <c r="D124" i="10" s="1"/>
  <c r="C110" i="10"/>
  <c r="D110" i="10" s="1"/>
  <c r="C69" i="10"/>
  <c r="D69" i="10" s="1"/>
  <c r="C200" i="10"/>
  <c r="D200" i="10" s="1"/>
  <c r="C233" i="10"/>
  <c r="D233" i="10" s="1"/>
  <c r="C275" i="10"/>
  <c r="D275" i="10"/>
  <c r="C311" i="10"/>
  <c r="D311" i="10" s="1"/>
  <c r="C367" i="10"/>
  <c r="D367" i="10" s="1"/>
  <c r="C452" i="10"/>
  <c r="D452" i="10" s="1"/>
  <c r="C502" i="10"/>
  <c r="D502" i="10" s="1"/>
  <c r="C569" i="10"/>
  <c r="D569" i="10" s="1"/>
  <c r="C616" i="10"/>
  <c r="D616" i="10" s="1"/>
  <c r="C719" i="10"/>
  <c r="D719" i="10"/>
  <c r="C986" i="10"/>
  <c r="D986" i="10" s="1"/>
  <c r="C814" i="10"/>
  <c r="D814" i="10"/>
  <c r="C856" i="10"/>
  <c r="D856" i="10" s="1"/>
  <c r="C899" i="10"/>
  <c r="D899" i="10"/>
  <c r="C942" i="10"/>
  <c r="D942" i="10" s="1"/>
  <c r="C984" i="10"/>
  <c r="D984" i="10"/>
  <c r="C852" i="10"/>
  <c r="D852" i="10" s="1"/>
  <c r="C895" i="10"/>
  <c r="D895" i="10" s="1"/>
  <c r="C938" i="10"/>
  <c r="D938" i="10"/>
  <c r="C980" i="10"/>
  <c r="D980" i="10" s="1"/>
  <c r="C705" i="10"/>
  <c r="D705" i="10" s="1"/>
  <c r="C769" i="10"/>
  <c r="D769" i="10" s="1"/>
  <c r="C833" i="10"/>
  <c r="D833" i="10"/>
  <c r="C897" i="10"/>
  <c r="D897" i="10" s="1"/>
  <c r="C961" i="10"/>
  <c r="D961" i="10" s="1"/>
  <c r="C95" i="10"/>
  <c r="D95" i="10" s="1"/>
  <c r="C63" i="10"/>
  <c r="D63" i="10" s="1"/>
  <c r="C31" i="10"/>
  <c r="D31" i="10"/>
  <c r="C223" i="10"/>
  <c r="D223" i="10" s="1"/>
  <c r="C255" i="10"/>
  <c r="D255" i="10" s="1"/>
  <c r="C301" i="10"/>
  <c r="D301" i="10" s="1"/>
  <c r="C347" i="10"/>
  <c r="D347" i="10" s="1"/>
  <c r="C411" i="10"/>
  <c r="D411" i="10" s="1"/>
  <c r="C434" i="10"/>
  <c r="D434" i="10" s="1"/>
  <c r="C471" i="10"/>
  <c r="D471" i="10" s="1"/>
  <c r="C521" i="10"/>
  <c r="D521" i="10" s="1"/>
  <c r="C572" i="10"/>
  <c r="D572" i="10" s="1"/>
  <c r="C636" i="10"/>
  <c r="D636" i="10" s="1"/>
  <c r="C100" i="10"/>
  <c r="D100" i="10" s="1"/>
  <c r="C90" i="10"/>
  <c r="D90" i="10" s="1"/>
  <c r="C80" i="10"/>
  <c r="D80" i="10" s="1"/>
  <c r="C68" i="10"/>
  <c r="D68" i="10" s="1"/>
  <c r="C56" i="10"/>
  <c r="D56" i="10" s="1"/>
  <c r="C40" i="10"/>
  <c r="D40" i="10" s="1"/>
  <c r="C206" i="10"/>
  <c r="D206" i="10" s="1"/>
  <c r="C174" i="10"/>
  <c r="D174" i="10" s="1"/>
  <c r="C230" i="10"/>
  <c r="D230" i="10" s="1"/>
  <c r="C249" i="10"/>
  <c r="D249" i="10" s="1"/>
  <c r="C305" i="10"/>
  <c r="D305" i="10"/>
  <c r="C363" i="10"/>
  <c r="D363" i="10" s="1"/>
  <c r="C449" i="10"/>
  <c r="D449" i="10" s="1"/>
  <c r="C497" i="10"/>
  <c r="D497" i="10" s="1"/>
  <c r="C573" i="10"/>
  <c r="D573" i="10" s="1"/>
  <c r="C799" i="10"/>
  <c r="D799" i="10" s="1"/>
  <c r="C430" i="10"/>
  <c r="D430" i="10" s="1"/>
  <c r="C509" i="10"/>
  <c r="D509" i="10" s="1"/>
  <c r="C576" i="10"/>
  <c r="D576" i="10" s="1"/>
  <c r="C673" i="10"/>
  <c r="D673" i="10" s="1"/>
  <c r="C250" i="10"/>
  <c r="D250" i="10" s="1"/>
  <c r="C270" i="10"/>
  <c r="D270" i="10" s="1"/>
  <c r="C292" i="10"/>
  <c r="D292" i="10" s="1"/>
  <c r="C314" i="10"/>
  <c r="D314" i="10" s="1"/>
  <c r="C332" i="10"/>
  <c r="D332" i="10" s="1"/>
  <c r="C354" i="10"/>
  <c r="D354" i="10" s="1"/>
  <c r="C376" i="10"/>
  <c r="D376" i="10" s="1"/>
  <c r="C396" i="10"/>
  <c r="D396" i="10" s="1"/>
  <c r="C416" i="10"/>
  <c r="D416" i="10" s="1"/>
  <c r="C461" i="10"/>
  <c r="D461" i="10" s="1"/>
  <c r="C510" i="10"/>
  <c r="D510" i="10" s="1"/>
  <c r="C563" i="10"/>
  <c r="D563" i="10" s="1"/>
  <c r="C648" i="10"/>
  <c r="D648" i="10" s="1"/>
  <c r="C783" i="10"/>
  <c r="D783" i="10" s="1"/>
  <c r="C514" i="10"/>
  <c r="D514" i="10" s="1"/>
  <c r="C559" i="10"/>
  <c r="D559" i="10" s="1"/>
  <c r="C594" i="10"/>
  <c r="D594" i="10" s="1"/>
  <c r="C656" i="10"/>
  <c r="D656" i="10" s="1"/>
  <c r="C780" i="10"/>
  <c r="D780" i="10" s="1"/>
  <c r="C237" i="10"/>
  <c r="D237" i="10" s="1"/>
  <c r="C335" i="10"/>
  <c r="D335" i="10" s="1"/>
  <c r="C987" i="10"/>
  <c r="D987" i="10" s="1"/>
  <c r="C882" i="10"/>
  <c r="D882" i="10"/>
  <c r="C950" i="10"/>
  <c r="D950" i="10" s="1"/>
  <c r="O72" i="5"/>
  <c r="K72" i="5"/>
  <c r="K72" i="32" s="1"/>
  <c r="N72" i="5"/>
  <c r="N72" i="32" s="1"/>
  <c r="M63" i="5"/>
  <c r="M63" i="32" s="1"/>
  <c r="H78" i="5"/>
  <c r="H78" i="32" s="1"/>
  <c r="M72" i="5"/>
  <c r="M72" i="32" s="1"/>
  <c r="K77" i="5"/>
  <c r="K77" i="32" s="1"/>
  <c r="G63" i="5"/>
  <c r="G63" i="32" s="1"/>
  <c r="K63" i="5"/>
  <c r="K63" i="32" s="1"/>
  <c r="H75" i="5"/>
  <c r="H75" i="32" s="1"/>
  <c r="C64" i="5"/>
  <c r="C64" i="32" s="1"/>
  <c r="F71" i="5"/>
  <c r="F71" i="32" s="1"/>
  <c r="M78" i="5"/>
  <c r="M78" i="32" s="1"/>
  <c r="F77" i="5"/>
  <c r="F77" i="32" s="1"/>
  <c r="M61" i="5"/>
  <c r="M61" i="32" s="1"/>
  <c r="I75" i="5"/>
  <c r="D61" i="5"/>
  <c r="D61" i="32" s="1"/>
  <c r="I71" i="5"/>
  <c r="I71" i="32" s="1"/>
  <c r="J75" i="5"/>
  <c r="J75" i="32" s="1"/>
  <c r="N78" i="5"/>
  <c r="N78" i="32" s="1"/>
  <c r="L78" i="5"/>
  <c r="L78" i="32" s="1"/>
  <c r="J71" i="5"/>
  <c r="J71" i="32" s="1"/>
  <c r="C61" i="5"/>
  <c r="C61" i="32" s="1"/>
  <c r="G64" i="5"/>
  <c r="G64" i="32" s="1"/>
  <c r="M77" i="5"/>
  <c r="M77" i="32" s="1"/>
  <c r="O64" i="5"/>
  <c r="E72" i="5"/>
  <c r="E72" i="32" s="1"/>
  <c r="E77" i="5"/>
  <c r="E77" i="32" s="1"/>
  <c r="G72" i="5"/>
  <c r="G72" i="32" s="1"/>
  <c r="L72" i="5"/>
  <c r="L72" i="32" s="1"/>
  <c r="E71" i="5"/>
  <c r="E71" i="32" s="1"/>
  <c r="L77" i="5"/>
  <c r="L77" i="32" s="1"/>
  <c r="E63" i="5"/>
  <c r="E63" i="32" s="1"/>
  <c r="G75" i="5"/>
  <c r="G75" i="32" s="1"/>
  <c r="I69" i="5"/>
  <c r="I69" i="32" s="1"/>
  <c r="C71" i="5"/>
  <c r="C71" i="32" s="1"/>
  <c r="F75" i="5"/>
  <c r="F75" i="32" s="1"/>
  <c r="O71" i="5"/>
  <c r="L63" i="5"/>
  <c r="L63" i="32" s="1"/>
  <c r="G61" i="5"/>
  <c r="G61" i="32" s="1"/>
  <c r="I77" i="5"/>
  <c r="I77" i="32" s="1"/>
  <c r="N77" i="5"/>
  <c r="E69" i="5"/>
  <c r="L61" i="5"/>
  <c r="L61" i="32" s="1"/>
  <c r="F69" i="5"/>
  <c r="F69" i="32" s="1"/>
  <c r="F64" i="5"/>
  <c r="F64" i="32" s="1"/>
  <c r="N71" i="5"/>
  <c r="N71" i="32" s="1"/>
  <c r="K64" i="5"/>
  <c r="K64" i="32" s="1"/>
  <c r="M69" i="5"/>
  <c r="M69" i="32" s="1"/>
  <c r="D63" i="5"/>
  <c r="D63" i="32" s="1"/>
  <c r="D78" i="5"/>
  <c r="F63" i="5"/>
  <c r="F63" i="32" s="1"/>
  <c r="C72" i="5"/>
  <c r="C72" i="32" s="1"/>
  <c r="F72" i="5"/>
  <c r="F72" i="32" s="1"/>
  <c r="L69" i="5"/>
  <c r="L69" i="32" s="1"/>
  <c r="O77" i="5"/>
  <c r="J69" i="5"/>
  <c r="J69" i="32" s="1"/>
  <c r="I72" i="5"/>
  <c r="I72" i="32" s="1"/>
  <c r="O61" i="5"/>
  <c r="H61" i="5"/>
  <c r="H61" i="32" s="1"/>
  <c r="D72" i="5"/>
  <c r="D72" i="32" s="1"/>
  <c r="L71" i="5"/>
  <c r="L71" i="32" s="1"/>
  <c r="I63" i="5"/>
  <c r="I63" i="32" s="1"/>
  <c r="O75" i="5"/>
  <c r="C78" i="5"/>
  <c r="C78" i="32" s="1"/>
  <c r="N75" i="5"/>
  <c r="N75" i="32" s="1"/>
  <c r="J64" i="5"/>
  <c r="J64" i="32" s="1"/>
  <c r="O63" i="5"/>
  <c r="H72" i="5"/>
  <c r="H72" i="32" s="1"/>
  <c r="L75" i="5"/>
  <c r="L75" i="32" s="1"/>
  <c r="C75" i="5"/>
  <c r="C75" i="32" s="1"/>
  <c r="H71" i="5"/>
  <c r="H71" i="32" s="1"/>
  <c r="N64" i="5"/>
  <c r="N64" i="32" s="1"/>
  <c r="N61" i="5"/>
  <c r="N61" i="32" s="1"/>
  <c r="E64" i="5"/>
  <c r="E64" i="32" s="1"/>
  <c r="I78" i="5"/>
  <c r="I78" i="32" s="1"/>
  <c r="L64" i="5"/>
  <c r="L64" i="32" s="1"/>
  <c r="K71" i="5"/>
  <c r="K71" i="32" s="1"/>
  <c r="I64" i="5"/>
  <c r="I64" i="32" s="1"/>
  <c r="D75" i="5"/>
  <c r="D75" i="32" s="1"/>
  <c r="D69" i="5"/>
  <c r="G77" i="5"/>
  <c r="G77" i="32" s="1"/>
  <c r="O78" i="5"/>
  <c r="N69" i="5"/>
  <c r="M64" i="5"/>
  <c r="M64" i="32" s="1"/>
  <c r="J78" i="5"/>
  <c r="J78" i="32" s="1"/>
  <c r="N63" i="5"/>
  <c r="N63" i="32" s="1"/>
  <c r="G71" i="5"/>
  <c r="G71" i="32" s="1"/>
  <c r="O69" i="5"/>
  <c r="K75" i="5"/>
  <c r="D64" i="5"/>
  <c r="D64" i="32" s="1"/>
  <c r="E75" i="5"/>
  <c r="M71" i="5"/>
  <c r="M71" i="32" s="1"/>
  <c r="D71" i="5"/>
  <c r="D71" i="32" s="1"/>
  <c r="I61" i="5"/>
  <c r="I61" i="32" s="1"/>
  <c r="E78" i="5"/>
  <c r="E78" i="32" s="1"/>
  <c r="J77" i="5"/>
  <c r="J77" i="32" s="1"/>
  <c r="G78" i="5"/>
  <c r="G78" i="32" s="1"/>
  <c r="G69" i="5"/>
  <c r="G69" i="32" s="1"/>
  <c r="K61" i="5"/>
  <c r="K61" i="32" s="1"/>
  <c r="H64" i="5"/>
  <c r="H64" i="32" s="1"/>
  <c r="J63" i="5"/>
  <c r="J63" i="32" s="1"/>
  <c r="C77" i="5"/>
  <c r="C77" i="32" s="1"/>
  <c r="C63" i="5"/>
  <c r="C63" i="32" s="1"/>
  <c r="C69" i="5"/>
  <c r="J61" i="5"/>
  <c r="J61" i="32" s="1"/>
  <c r="H77" i="5"/>
  <c r="H77" i="32" s="1"/>
  <c r="K78" i="5"/>
  <c r="K78" i="32" s="1"/>
  <c r="J72" i="5"/>
  <c r="J72" i="32" s="1"/>
  <c r="M75" i="5"/>
  <c r="H69" i="5"/>
  <c r="H69" i="32" s="1"/>
  <c r="H63" i="5"/>
  <c r="H63" i="32" s="1"/>
  <c r="D77" i="5"/>
  <c r="D77" i="32" s="1"/>
  <c r="F78" i="5"/>
  <c r="F78" i="32" s="1"/>
  <c r="D1" i="21"/>
  <c r="B2" i="5"/>
  <c r="B2" i="32"/>
  <c r="C526" i="10"/>
  <c r="D526" i="10" s="1"/>
  <c r="C375" i="10"/>
  <c r="D375" i="10" s="1"/>
  <c r="C33" i="10"/>
  <c r="D33" i="10" s="1"/>
  <c r="C123" i="10"/>
  <c r="D123" i="10" s="1"/>
  <c r="C207" i="10"/>
  <c r="D207" i="10" s="1"/>
  <c r="C825" i="10"/>
  <c r="D825" i="10"/>
  <c r="C975" i="10"/>
  <c r="D975" i="10" s="1"/>
  <c r="C871" i="10"/>
  <c r="D871" i="10"/>
  <c r="C939" i="10"/>
  <c r="D939" i="10" s="1"/>
  <c r="C840" i="10"/>
  <c r="D840" i="10" s="1"/>
  <c r="C489" i="10"/>
  <c r="D489" i="10" s="1"/>
  <c r="C43" i="10"/>
  <c r="D43" i="10" s="1"/>
  <c r="C215" i="10"/>
  <c r="D215" i="10" s="1"/>
  <c r="C27" i="10"/>
  <c r="D27" i="10" s="1"/>
  <c r="C864" i="10"/>
  <c r="D864" i="10" s="1"/>
  <c r="C438" i="10"/>
  <c r="D438" i="10" s="1"/>
  <c r="C65" i="10"/>
  <c r="D65" i="10" s="1"/>
  <c r="C967" i="10"/>
  <c r="D967" i="10" s="1"/>
  <c r="C931" i="10"/>
  <c r="D931" i="10" s="1"/>
  <c r="C735" i="10"/>
  <c r="D735" i="10" s="1"/>
  <c r="C327" i="10"/>
  <c r="D327" i="10" s="1"/>
  <c r="C163" i="10"/>
  <c r="D163" i="10" s="1"/>
  <c r="C956" i="10"/>
  <c r="D956" i="10" s="1"/>
  <c r="C816" i="10"/>
  <c r="D816" i="10"/>
  <c r="C383" i="10"/>
  <c r="D383" i="10" s="1"/>
  <c r="C167" i="10"/>
  <c r="D167" i="10" s="1"/>
  <c r="C991" i="10"/>
  <c r="D991" i="10" s="1"/>
  <c r="C952" i="10"/>
  <c r="D952" i="10" s="1"/>
  <c r="C75" i="10"/>
  <c r="D75" i="10" s="1"/>
  <c r="C927" i="10"/>
  <c r="D927" i="10" s="1"/>
  <c r="C508" i="10"/>
  <c r="D508" i="10" s="1"/>
  <c r="C191" i="10"/>
  <c r="D191" i="10" s="1"/>
  <c r="C979" i="10"/>
  <c r="D979" i="10" s="1"/>
  <c r="C199" i="10"/>
  <c r="D199" i="10" s="1"/>
  <c r="C436" i="10"/>
  <c r="D436" i="10" s="1"/>
  <c r="C920" i="10"/>
  <c r="D920" i="10"/>
  <c r="C285" i="10"/>
  <c r="D285" i="10" s="1"/>
  <c r="C119" i="10"/>
  <c r="D119" i="10" s="1"/>
  <c r="C147" i="10"/>
  <c r="D147" i="10" s="1"/>
  <c r="C493" i="10"/>
  <c r="D493" i="10" s="1"/>
  <c r="C341" i="10"/>
  <c r="D341" i="10" s="1"/>
  <c r="C59" i="10"/>
  <c r="D59" i="10" s="1"/>
  <c r="C139" i="10"/>
  <c r="D139" i="10" s="1"/>
  <c r="C28" i="10"/>
  <c r="D28" i="10"/>
  <c r="C761" i="10"/>
  <c r="D761" i="10" s="1"/>
  <c r="C948" i="10"/>
  <c r="D948" i="10" s="1"/>
  <c r="C850" i="10"/>
  <c r="D850" i="10" s="1"/>
  <c r="C915" i="10"/>
  <c r="D915" i="10"/>
  <c r="C808" i="10"/>
  <c r="D808" i="10" s="1"/>
  <c r="C393" i="10"/>
  <c r="D393" i="10"/>
  <c r="C91" i="10"/>
  <c r="D91" i="10" s="1"/>
  <c r="C945" i="10"/>
  <c r="D945" i="10" s="1"/>
  <c r="C842" i="10"/>
  <c r="D842" i="10" s="1"/>
  <c r="C800" i="10"/>
  <c r="D800" i="10" s="1"/>
  <c r="C291" i="10"/>
  <c r="D291" i="10" s="1"/>
  <c r="C111" i="10"/>
  <c r="D111" i="10" s="1"/>
  <c r="C881" i="10"/>
  <c r="D881" i="10" s="1"/>
  <c r="C946" i="10"/>
  <c r="D946" i="10"/>
  <c r="C883" i="10"/>
  <c r="D883" i="10" s="1"/>
  <c r="C544" i="10"/>
  <c r="D544" i="10" s="1"/>
  <c r="C243" i="10"/>
  <c r="D243" i="10" s="1"/>
  <c r="C933" i="10"/>
  <c r="D933" i="10" s="1"/>
  <c r="C900" i="10"/>
  <c r="D900" i="10" s="1"/>
  <c r="C732" i="10"/>
  <c r="D732" i="10" s="1"/>
  <c r="C299" i="10"/>
  <c r="D299" i="10" s="1"/>
  <c r="C924" i="10"/>
  <c r="D924" i="10" s="1"/>
  <c r="C935" i="10"/>
  <c r="D935" i="10" s="1"/>
  <c r="C902" i="10"/>
  <c r="D902" i="10" s="1"/>
  <c r="C608" i="10"/>
  <c r="D608" i="10" s="1"/>
  <c r="C151" i="10"/>
  <c r="D151" i="10" s="1"/>
  <c r="C826" i="10"/>
  <c r="D826" i="10" s="1"/>
  <c r="C355" i="10"/>
  <c r="D355" i="10" s="1"/>
  <c r="C997" i="10"/>
  <c r="D997" i="10"/>
  <c r="C875" i="10"/>
  <c r="D875" i="10" s="1"/>
  <c r="C869" i="10"/>
  <c r="D869" i="10" s="1"/>
  <c r="C49" i="10"/>
  <c r="D49" i="10" s="1"/>
  <c r="C349" i="10"/>
  <c r="D349" i="10" s="1"/>
  <c r="C879" i="10"/>
  <c r="D879" i="10" s="1"/>
  <c r="C989" i="10"/>
  <c r="D989" i="10" s="1"/>
  <c r="G9" i="10" l="1"/>
  <c r="D93" i="5" s="1"/>
  <c r="D93" i="32" s="1"/>
  <c r="D98" i="5"/>
  <c r="D98" i="32" s="1"/>
  <c r="K98" i="5"/>
  <c r="K98" i="32" s="1"/>
  <c r="N98" i="5"/>
  <c r="N98" i="32" s="1"/>
  <c r="Q9" i="10"/>
  <c r="N93" i="5" s="1"/>
  <c r="N93" i="32" s="1"/>
  <c r="G98" i="5"/>
  <c r="G98" i="32" s="1"/>
  <c r="J9" i="10"/>
  <c r="G93" i="5" s="1"/>
  <c r="E98" i="5"/>
  <c r="E98" i="32" s="1"/>
  <c r="H9" i="10"/>
  <c r="E93" i="5" s="1"/>
  <c r="E93" i="32" s="1"/>
  <c r="H98" i="5"/>
  <c r="H98" i="32" s="1"/>
  <c r="K9" i="10"/>
  <c r="H93" i="5" s="1"/>
  <c r="H93" i="32" s="1"/>
  <c r="I98" i="5"/>
  <c r="I98" i="32" s="1"/>
  <c r="L9" i="10"/>
  <c r="I93" i="5" s="1"/>
  <c r="I93" i="32" s="1"/>
  <c r="C98" i="5"/>
  <c r="C98" i="32" s="1"/>
  <c r="F9" i="10"/>
  <c r="C93" i="5" s="1"/>
  <c r="C93" i="32" s="1"/>
  <c r="M98" i="5"/>
  <c r="M98" i="32" s="1"/>
  <c r="L98" i="5"/>
  <c r="L98" i="32" s="1"/>
  <c r="M16" i="10"/>
  <c r="J98" i="5"/>
  <c r="J98" i="32" s="1"/>
  <c r="F98" i="5"/>
  <c r="F98" i="32" s="1"/>
  <c r="G16" i="10"/>
  <c r="R57" i="10"/>
  <c r="R55" i="10"/>
  <c r="R58" i="10"/>
  <c r="R56" i="10"/>
  <c r="F5" i="10"/>
  <c r="J93" i="5"/>
  <c r="J93" i="32" s="1"/>
  <c r="F16" i="10"/>
  <c r="K93" i="5"/>
  <c r="N16" i="10"/>
  <c r="L93" i="5"/>
  <c r="O16" i="10"/>
  <c r="H16" i="10"/>
  <c r="M93" i="5"/>
  <c r="P16" i="10"/>
  <c r="F93" i="5"/>
  <c r="F93" i="32" s="1"/>
  <c r="I16" i="10"/>
  <c r="J16" i="10"/>
  <c r="K16" i="10"/>
  <c r="L16" i="10"/>
  <c r="Q16" i="10"/>
  <c r="R29" i="10"/>
  <c r="E89" i="5"/>
  <c r="M89" i="32"/>
  <c r="F89" i="5"/>
  <c r="R27" i="10"/>
  <c r="E87" i="32"/>
  <c r="E89" i="32" s="1"/>
  <c r="E75" i="32"/>
  <c r="K87" i="32"/>
  <c r="K89" i="32" s="1"/>
  <c r="R28" i="10"/>
  <c r="M75" i="32"/>
  <c r="G89" i="5"/>
  <c r="I89" i="5"/>
  <c r="I75" i="32"/>
  <c r="M8" i="10"/>
  <c r="J92" i="5" s="1"/>
  <c r="J92" i="32" s="1"/>
  <c r="G8" i="10"/>
  <c r="I8" i="10"/>
  <c r="O8" i="10"/>
  <c r="L92" i="5" s="1"/>
  <c r="L92" i="32" s="1"/>
  <c r="N8" i="10"/>
  <c r="K92" i="5" s="1"/>
  <c r="K92" i="32" s="1"/>
  <c r="L8" i="10"/>
  <c r="I92" i="5" s="1"/>
  <c r="I92" i="32" s="1"/>
  <c r="K8" i="10"/>
  <c r="H92" i="5" s="1"/>
  <c r="H92" i="32" s="1"/>
  <c r="J8" i="10"/>
  <c r="Q8" i="10"/>
  <c r="N92" i="5" s="1"/>
  <c r="N92" i="32" s="1"/>
  <c r="P8" i="10"/>
  <c r="M92" i="5" s="1"/>
  <c r="M92" i="32" s="1"/>
  <c r="H8" i="10"/>
  <c r="E92" i="5" s="1"/>
  <c r="E92" i="32" s="1"/>
  <c r="F8" i="10"/>
  <c r="H89" i="32"/>
  <c r="O89" i="5"/>
  <c r="F87" i="32"/>
  <c r="F89" i="32" s="1"/>
  <c r="H89" i="5"/>
  <c r="M89" i="5"/>
  <c r="C89" i="5"/>
  <c r="L89" i="5"/>
  <c r="C87" i="32"/>
  <c r="C89" i="32" s="1"/>
  <c r="D69" i="32"/>
  <c r="E69" i="32"/>
  <c r="L88" i="32"/>
  <c r="O88" i="32" s="1"/>
  <c r="C988" i="10"/>
  <c r="D988" i="10" s="1"/>
  <c r="C908" i="10"/>
  <c r="D908" i="10" s="1"/>
  <c r="C217" i="10"/>
  <c r="D217" i="10" s="1"/>
  <c r="C422" i="10"/>
  <c r="D422" i="10" s="1"/>
  <c r="C141" i="10"/>
  <c r="D141" i="10" s="1"/>
  <c r="C601" i="10"/>
  <c r="D601" i="10" s="1"/>
  <c r="C136" i="10"/>
  <c r="D136" i="10" s="1"/>
  <c r="C535" i="10"/>
  <c r="D535" i="10" s="1"/>
  <c r="C829" i="10"/>
  <c r="D829" i="10" s="1"/>
  <c r="C66" i="10"/>
  <c r="D66" i="10" s="1"/>
  <c r="J28" i="5" s="1"/>
  <c r="J28" i="32" s="1"/>
  <c r="C623" i="10"/>
  <c r="D623" i="10" s="1"/>
  <c r="C455" i="10"/>
  <c r="D455" i="10" s="1"/>
  <c r="C169" i="10"/>
  <c r="D169" i="10" s="1"/>
  <c r="C239" i="10"/>
  <c r="D239" i="10" s="1"/>
  <c r="C690" i="10"/>
  <c r="D690" i="10" s="1"/>
  <c r="C710" i="10"/>
  <c r="D710" i="10" s="1"/>
  <c r="C162" i="10"/>
  <c r="D162" i="10" s="1"/>
  <c r="C781" i="10"/>
  <c r="D781" i="10" s="1"/>
  <c r="C381" i="10"/>
  <c r="D381" i="10" s="1"/>
  <c r="C681" i="10"/>
  <c r="D681" i="10" s="1"/>
  <c r="C443" i="10"/>
  <c r="D443" i="10" s="1"/>
  <c r="C708" i="10"/>
  <c r="D708" i="10" s="1"/>
  <c r="C811" i="10"/>
  <c r="D811" i="10" s="1"/>
  <c r="C152" i="10"/>
  <c r="D152" i="10" s="1"/>
  <c r="C293" i="10"/>
  <c r="D293" i="10" s="1"/>
  <c r="C959" i="10"/>
  <c r="D959" i="10" s="1"/>
  <c r="C488" i="10"/>
  <c r="D488" i="10" s="1"/>
  <c r="C468" i="10"/>
  <c r="D468" i="10" s="1"/>
  <c r="C437" i="10"/>
  <c r="D437" i="10" s="1"/>
  <c r="C639" i="10"/>
  <c r="D639" i="10" s="1"/>
  <c r="C726" i="10"/>
  <c r="D726" i="10" s="1"/>
  <c r="C317" i="10"/>
  <c r="D317" i="10" s="1"/>
  <c r="C847" i="10"/>
  <c r="D847" i="10" s="1"/>
  <c r="C146" i="10"/>
  <c r="D146" i="10" s="1"/>
  <c r="C587" i="10"/>
  <c r="D587" i="10" s="1"/>
  <c r="C994" i="10"/>
  <c r="D994" i="10" s="1"/>
  <c r="C539" i="10"/>
  <c r="D539" i="10" s="1"/>
  <c r="C529" i="10"/>
  <c r="D529" i="10" s="1"/>
  <c r="C478" i="10"/>
  <c r="D478" i="10" s="1"/>
  <c r="C857" i="10"/>
  <c r="D857" i="10" s="1"/>
  <c r="C949" i="10"/>
  <c r="D949" i="10" s="1"/>
  <c r="C121" i="10"/>
  <c r="D121" i="10" s="1"/>
  <c r="C386" i="10"/>
  <c r="D386" i="10" s="1"/>
  <c r="C404" i="10"/>
  <c r="D404" i="10" s="1"/>
  <c r="C849" i="10"/>
  <c r="D849" i="10" s="1"/>
  <c r="C74" i="10"/>
  <c r="D74" i="10" s="1"/>
  <c r="C667" i="10"/>
  <c r="D667" i="10" s="1"/>
  <c r="C746" i="10"/>
  <c r="D746" i="10" s="1"/>
  <c r="C727" i="10"/>
  <c r="D727" i="10" s="1"/>
  <c r="C303" i="10"/>
  <c r="D303" i="10" s="1"/>
  <c r="C195" i="10"/>
  <c r="D195" i="10" s="1"/>
  <c r="C878" i="10"/>
  <c r="D878" i="10" s="1"/>
  <c r="C589" i="10"/>
  <c r="D589" i="10" s="1"/>
  <c r="C697" i="10"/>
  <c r="D697" i="10" s="1"/>
  <c r="C796" i="10"/>
  <c r="D796" i="10" s="1"/>
  <c r="C309" i="10"/>
  <c r="D309" i="10" s="1"/>
  <c r="C93" i="10"/>
  <c r="D93" i="10" s="1"/>
  <c r="C269" i="10"/>
  <c r="D269" i="10" s="1"/>
  <c r="C320" i="10"/>
  <c r="D320" i="10" s="1"/>
  <c r="C715" i="10"/>
  <c r="D715" i="10" s="1"/>
  <c r="C67" i="10"/>
  <c r="D67" i="10" s="1"/>
  <c r="C37" i="5" s="1"/>
  <c r="C37" i="32" s="1"/>
  <c r="C208" i="10"/>
  <c r="D208" i="10" s="1"/>
  <c r="C120" i="10"/>
  <c r="D120" i="10" s="1"/>
  <c r="C520" i="10"/>
  <c r="D520" i="10" s="1"/>
  <c r="C865" i="10"/>
  <c r="D865" i="10" s="1"/>
  <c r="C96" i="10"/>
  <c r="D96" i="10" s="1"/>
  <c r="C458" i="10"/>
  <c r="D458" i="10" s="1"/>
  <c r="C724" i="10"/>
  <c r="D724" i="10" s="1"/>
  <c r="C617" i="10"/>
  <c r="D617" i="10" s="1"/>
  <c r="C766" i="10"/>
  <c r="D766" i="10" s="1"/>
  <c r="C901" i="10"/>
  <c r="D901" i="10" s="1"/>
  <c r="C660" i="10"/>
  <c r="D660" i="10" s="1"/>
  <c r="C661" i="10"/>
  <c r="D661" i="10" s="1"/>
  <c r="C116" i="10"/>
  <c r="D116" i="10" s="1"/>
  <c r="C909" i="10"/>
  <c r="D909" i="10" s="1"/>
  <c r="C88" i="10"/>
  <c r="D88" i="10" s="1"/>
  <c r="C547" i="10"/>
  <c r="D547" i="10" s="1"/>
  <c r="C487" i="10"/>
  <c r="D487" i="10" s="1"/>
  <c r="I89" i="32"/>
  <c r="G89" i="32"/>
  <c r="J89" i="5"/>
  <c r="J87" i="32"/>
  <c r="J89" i="32" s="1"/>
  <c r="N89" i="5"/>
  <c r="N87" i="32"/>
  <c r="N89" i="32" s="1"/>
  <c r="D89" i="5"/>
  <c r="D87" i="32"/>
  <c r="N40" i="5"/>
  <c r="N40" i="32" s="1"/>
  <c r="D42" i="5"/>
  <c r="D42" i="32" s="1"/>
  <c r="I9" i="5"/>
  <c r="I9" i="32" s="1"/>
  <c r="K75" i="32"/>
  <c r="D78" i="32"/>
  <c r="O61" i="32"/>
  <c r="C69" i="32"/>
  <c r="O63" i="32"/>
  <c r="O64" i="32"/>
  <c r="N69" i="32"/>
  <c r="O71" i="32"/>
  <c r="O72" i="32"/>
  <c r="N16" i="5"/>
  <c r="N16" i="32" s="1"/>
  <c r="N77" i="32"/>
  <c r="R17" i="10" l="1"/>
  <c r="O98" i="5" s="1"/>
  <c r="R5" i="10"/>
  <c r="C68" i="5"/>
  <c r="C70" i="5" s="1"/>
  <c r="F68" i="5"/>
  <c r="F68" i="32" s="1"/>
  <c r="R9" i="10"/>
  <c r="O93" i="5" s="1"/>
  <c r="G97" i="5"/>
  <c r="G74" i="5"/>
  <c r="D74" i="5"/>
  <c r="D97" i="5"/>
  <c r="F74" i="5"/>
  <c r="F97" i="5"/>
  <c r="K97" i="5"/>
  <c r="K74" i="5"/>
  <c r="L74" i="5"/>
  <c r="L97" i="5"/>
  <c r="I97" i="5"/>
  <c r="I74" i="5"/>
  <c r="M74" i="5"/>
  <c r="M97" i="5"/>
  <c r="C97" i="5"/>
  <c r="C74" i="5"/>
  <c r="H97" i="5"/>
  <c r="H74" i="5"/>
  <c r="E74" i="5"/>
  <c r="E97" i="5"/>
  <c r="J97" i="5"/>
  <c r="J74" i="5"/>
  <c r="F92" i="5"/>
  <c r="F92" i="32" s="1"/>
  <c r="F94" i="32" s="1"/>
  <c r="N74" i="5"/>
  <c r="R16" i="10"/>
  <c r="N97" i="5"/>
  <c r="D41" i="5"/>
  <c r="D41" i="32" s="1"/>
  <c r="O52" i="5"/>
  <c r="H45" i="5"/>
  <c r="H45" i="32" s="1"/>
  <c r="K32" i="5"/>
  <c r="K32" i="32" s="1"/>
  <c r="L15" i="5"/>
  <c r="L15" i="32" s="1"/>
  <c r="G28" i="5"/>
  <c r="G28" i="32" s="1"/>
  <c r="L38" i="5"/>
  <c r="L38" i="32" s="1"/>
  <c r="J40" i="5"/>
  <c r="J40" i="32" s="1"/>
  <c r="L31" i="5"/>
  <c r="L31" i="32" s="1"/>
  <c r="G33" i="5"/>
  <c r="G33" i="32" s="1"/>
  <c r="I29" i="5"/>
  <c r="I29" i="32" s="1"/>
  <c r="E68" i="5"/>
  <c r="E68" i="32" s="1"/>
  <c r="D25" i="5"/>
  <c r="D25" i="32" s="1"/>
  <c r="I30" i="5"/>
  <c r="I30" i="32" s="1"/>
  <c r="D40" i="5"/>
  <c r="D40" i="32" s="1"/>
  <c r="I32" i="5"/>
  <c r="I32" i="32" s="1"/>
  <c r="M22" i="5"/>
  <c r="M22" i="32" s="1"/>
  <c r="H19" i="5"/>
  <c r="H19" i="32" s="1"/>
  <c r="J21" i="5"/>
  <c r="J21" i="32" s="1"/>
  <c r="L10" i="5"/>
  <c r="L10" i="32" s="1"/>
  <c r="H27" i="5"/>
  <c r="H27" i="32" s="1"/>
  <c r="J14" i="5"/>
  <c r="J14" i="32" s="1"/>
  <c r="C21" i="5"/>
  <c r="C21" i="32" s="1"/>
  <c r="K65" i="5"/>
  <c r="K65" i="32" s="1"/>
  <c r="O15" i="5"/>
  <c r="I31" i="5"/>
  <c r="I31" i="32" s="1"/>
  <c r="I65" i="5"/>
  <c r="I65" i="32" s="1"/>
  <c r="O16" i="5"/>
  <c r="O20" i="5"/>
  <c r="O54" i="5"/>
  <c r="E17" i="5"/>
  <c r="E17" i="32" s="1"/>
  <c r="F20" i="5"/>
  <c r="F20" i="32" s="1"/>
  <c r="J59" i="5"/>
  <c r="J59" i="32" s="1"/>
  <c r="O39" i="5"/>
  <c r="F17" i="5"/>
  <c r="F17" i="32" s="1"/>
  <c r="O26" i="5"/>
  <c r="D46" i="5"/>
  <c r="D46" i="32" s="1"/>
  <c r="N65" i="5"/>
  <c r="N65" i="32" s="1"/>
  <c r="N6" i="5"/>
  <c r="N6" i="32" s="1"/>
  <c r="I44" i="5"/>
  <c r="I44" i="32" s="1"/>
  <c r="E37" i="5"/>
  <c r="E37" i="32" s="1"/>
  <c r="I45" i="5"/>
  <c r="I45" i="32" s="1"/>
  <c r="O27" i="5"/>
  <c r="J27" i="5"/>
  <c r="J27" i="32" s="1"/>
  <c r="F57" i="5"/>
  <c r="F57" i="32" s="1"/>
  <c r="C6" i="5"/>
  <c r="C6" i="32" s="1"/>
  <c r="D24" i="5"/>
  <c r="D24" i="32" s="1"/>
  <c r="E50" i="5"/>
  <c r="E50" i="32" s="1"/>
  <c r="C41" i="5"/>
  <c r="C41" i="32" s="1"/>
  <c r="H35" i="5"/>
  <c r="H35" i="32" s="1"/>
  <c r="N57" i="5"/>
  <c r="N57" i="32" s="1"/>
  <c r="G51" i="5"/>
  <c r="G51" i="32" s="1"/>
  <c r="G21" i="5"/>
  <c r="G21" i="32" s="1"/>
  <c r="N22" i="5"/>
  <c r="N22" i="32" s="1"/>
  <c r="J43" i="5"/>
  <c r="J43" i="32" s="1"/>
  <c r="D59" i="5"/>
  <c r="D59" i="32" s="1"/>
  <c r="M48" i="5"/>
  <c r="M48" i="32" s="1"/>
  <c r="D48" i="5"/>
  <c r="D48" i="32" s="1"/>
  <c r="C54" i="5"/>
  <c r="C54" i="32" s="1"/>
  <c r="E20" i="5"/>
  <c r="E20" i="32" s="1"/>
  <c r="G54" i="5"/>
  <c r="G54" i="32" s="1"/>
  <c r="K49" i="5"/>
  <c r="K49" i="32" s="1"/>
  <c r="O19" i="5"/>
  <c r="K47" i="5"/>
  <c r="K47" i="32" s="1"/>
  <c r="H7" i="5"/>
  <c r="H7" i="32" s="1"/>
  <c r="E15" i="5"/>
  <c r="E15" i="32" s="1"/>
  <c r="H24" i="5"/>
  <c r="H24" i="32" s="1"/>
  <c r="N26" i="5"/>
  <c r="N26" i="32" s="1"/>
  <c r="K36" i="5"/>
  <c r="K36" i="32" s="1"/>
  <c r="E30" i="5"/>
  <c r="E30" i="32" s="1"/>
  <c r="I28" i="5"/>
  <c r="I28" i="32" s="1"/>
  <c r="L68" i="5"/>
  <c r="L68" i="32" s="1"/>
  <c r="I54" i="5"/>
  <c r="I54" i="32" s="1"/>
  <c r="O45" i="5"/>
  <c r="D17" i="5"/>
  <c r="D17" i="32" s="1"/>
  <c r="F54" i="5"/>
  <c r="F54" i="32" s="1"/>
  <c r="L40" i="5"/>
  <c r="L40" i="32" s="1"/>
  <c r="O23" i="5"/>
  <c r="H44" i="5"/>
  <c r="H44" i="32" s="1"/>
  <c r="G27" i="5"/>
  <c r="G27" i="32" s="1"/>
  <c r="K24" i="5"/>
  <c r="K24" i="32" s="1"/>
  <c r="C20" i="5"/>
  <c r="C20" i="32" s="1"/>
  <c r="L7" i="5"/>
  <c r="L7" i="32" s="1"/>
  <c r="L22" i="5"/>
  <c r="L22" i="32" s="1"/>
  <c r="M38" i="5"/>
  <c r="M38" i="32" s="1"/>
  <c r="J41" i="5"/>
  <c r="J41" i="32" s="1"/>
  <c r="F32" i="5"/>
  <c r="F32" i="32" s="1"/>
  <c r="L45" i="5"/>
  <c r="L45" i="32" s="1"/>
  <c r="C29" i="5"/>
  <c r="C29" i="32" s="1"/>
  <c r="G40" i="5"/>
  <c r="G40" i="32" s="1"/>
  <c r="F30" i="5"/>
  <c r="F30" i="32" s="1"/>
  <c r="L50" i="5"/>
  <c r="L50" i="32" s="1"/>
  <c r="N58" i="5"/>
  <c r="N58" i="32" s="1"/>
  <c r="J65" i="5"/>
  <c r="J65" i="32" s="1"/>
  <c r="M40" i="5"/>
  <c r="M40" i="32" s="1"/>
  <c r="O24" i="5"/>
  <c r="C47" i="5"/>
  <c r="C47" i="32" s="1"/>
  <c r="L56" i="5"/>
  <c r="L56" i="32" s="1"/>
  <c r="K29" i="5"/>
  <c r="K29" i="32" s="1"/>
  <c r="G32" i="5"/>
  <c r="G32" i="32" s="1"/>
  <c r="M49" i="5"/>
  <c r="M49" i="32" s="1"/>
  <c r="N21" i="5"/>
  <c r="N21" i="32" s="1"/>
  <c r="K23" i="5"/>
  <c r="K23" i="32" s="1"/>
  <c r="C56" i="5"/>
  <c r="C56" i="32" s="1"/>
  <c r="D53" i="5"/>
  <c r="D53" i="32" s="1"/>
  <c r="D49" i="5"/>
  <c r="D49" i="32" s="1"/>
  <c r="N20" i="5"/>
  <c r="N20" i="32" s="1"/>
  <c r="G10" i="5"/>
  <c r="G10" i="32" s="1"/>
  <c r="N34" i="5"/>
  <c r="N34" i="32" s="1"/>
  <c r="I27" i="5"/>
  <c r="I27" i="32" s="1"/>
  <c r="I56" i="5"/>
  <c r="I56" i="32" s="1"/>
  <c r="F27" i="5"/>
  <c r="F27" i="32" s="1"/>
  <c r="L27" i="5"/>
  <c r="L27" i="32" s="1"/>
  <c r="L18" i="5"/>
  <c r="L18" i="32" s="1"/>
  <c r="O9" i="5"/>
  <c r="D44" i="5"/>
  <c r="D44" i="32" s="1"/>
  <c r="H17" i="5"/>
  <c r="H17" i="32" s="1"/>
  <c r="L58" i="5"/>
  <c r="L58" i="32" s="1"/>
  <c r="I7" i="5"/>
  <c r="I7" i="32" s="1"/>
  <c r="K35" i="5"/>
  <c r="K35" i="32" s="1"/>
  <c r="E40" i="5"/>
  <c r="E40" i="32" s="1"/>
  <c r="I48" i="5"/>
  <c r="I48" i="32" s="1"/>
  <c r="D56" i="5"/>
  <c r="D56" i="32" s="1"/>
  <c r="K6" i="5"/>
  <c r="I49" i="5"/>
  <c r="I49" i="32" s="1"/>
  <c r="C36" i="5"/>
  <c r="C36" i="32" s="1"/>
  <c r="N38" i="5"/>
  <c r="N38" i="32" s="1"/>
  <c r="K31" i="5"/>
  <c r="K31" i="32" s="1"/>
  <c r="F44" i="5"/>
  <c r="F44" i="32" s="1"/>
  <c r="I50" i="5"/>
  <c r="I50" i="32" s="1"/>
  <c r="H56" i="5"/>
  <c r="H56" i="32" s="1"/>
  <c r="K45" i="5"/>
  <c r="K45" i="32" s="1"/>
  <c r="F46" i="5"/>
  <c r="F46" i="32" s="1"/>
  <c r="C52" i="5"/>
  <c r="C52" i="32" s="1"/>
  <c r="H33" i="5"/>
  <c r="H33" i="32" s="1"/>
  <c r="E39" i="5"/>
  <c r="E39" i="32" s="1"/>
  <c r="E38" i="5"/>
  <c r="E38" i="32" s="1"/>
  <c r="E16" i="5"/>
  <c r="E16" i="32" s="1"/>
  <c r="F65" i="5"/>
  <c r="F65" i="32" s="1"/>
  <c r="M45" i="5"/>
  <c r="M45" i="32" s="1"/>
  <c r="E27" i="5"/>
  <c r="E27" i="32" s="1"/>
  <c r="K60" i="5"/>
  <c r="K60" i="32" s="1"/>
  <c r="D54" i="5"/>
  <c r="D54" i="32" s="1"/>
  <c r="I25" i="5"/>
  <c r="I25" i="32" s="1"/>
  <c r="K41" i="5"/>
  <c r="K41" i="32" s="1"/>
  <c r="G24" i="5"/>
  <c r="G24" i="32" s="1"/>
  <c r="G42" i="5"/>
  <c r="G42" i="32" s="1"/>
  <c r="L20" i="5"/>
  <c r="L20" i="32" s="1"/>
  <c r="N7" i="5"/>
  <c r="N7" i="32" s="1"/>
  <c r="K27" i="5"/>
  <c r="K27" i="32" s="1"/>
  <c r="C27" i="5"/>
  <c r="C27" i="32" s="1"/>
  <c r="F56" i="5"/>
  <c r="F56" i="32" s="1"/>
  <c r="L29" i="5"/>
  <c r="L29" i="32" s="1"/>
  <c r="K34" i="5"/>
  <c r="K34" i="32" s="1"/>
  <c r="D28" i="5"/>
  <c r="D28" i="32" s="1"/>
  <c r="M20" i="5"/>
  <c r="M20" i="32" s="1"/>
  <c r="F33" i="5"/>
  <c r="F33" i="32" s="1"/>
  <c r="L25" i="5"/>
  <c r="L25" i="32" s="1"/>
  <c r="J38" i="5"/>
  <c r="J38" i="32" s="1"/>
  <c r="J49" i="5"/>
  <c r="J49" i="32" s="1"/>
  <c r="F21" i="5"/>
  <c r="F21" i="32" s="1"/>
  <c r="C26" i="5"/>
  <c r="C26" i="32" s="1"/>
  <c r="E44" i="5"/>
  <c r="E44" i="32" s="1"/>
  <c r="C28" i="5"/>
  <c r="C28" i="32" s="1"/>
  <c r="G49" i="5"/>
  <c r="G49" i="32" s="1"/>
  <c r="K46" i="5"/>
  <c r="K46" i="32" s="1"/>
  <c r="L57" i="5"/>
  <c r="L57" i="32" s="1"/>
  <c r="H36" i="5"/>
  <c r="H36" i="32" s="1"/>
  <c r="M9" i="5"/>
  <c r="M9" i="32" s="1"/>
  <c r="O21" i="5"/>
  <c r="O6" i="5"/>
  <c r="D92" i="5"/>
  <c r="D92" i="32" s="1"/>
  <c r="D94" i="32" s="1"/>
  <c r="D68" i="5"/>
  <c r="D70" i="5" s="1"/>
  <c r="D70" i="32" s="1"/>
  <c r="G92" i="5"/>
  <c r="G92" i="32" s="1"/>
  <c r="G68" i="5"/>
  <c r="G68" i="32" s="1"/>
  <c r="L55" i="5"/>
  <c r="L55" i="32" s="1"/>
  <c r="N10" i="5"/>
  <c r="N10" i="32" s="1"/>
  <c r="H40" i="5"/>
  <c r="H40" i="32" s="1"/>
  <c r="J23" i="5"/>
  <c r="J23" i="32" s="1"/>
  <c r="I33" i="5"/>
  <c r="I33" i="32" s="1"/>
  <c r="D9" i="5"/>
  <c r="D9" i="32" s="1"/>
  <c r="O30" i="5"/>
  <c r="L32" i="5"/>
  <c r="L32" i="32" s="1"/>
  <c r="N59" i="5"/>
  <c r="N59" i="32" s="1"/>
  <c r="J42" i="5"/>
  <c r="J42" i="32" s="1"/>
  <c r="L65" i="5"/>
  <c r="L65" i="32" s="1"/>
  <c r="O44" i="5"/>
  <c r="H43" i="5"/>
  <c r="H43" i="32" s="1"/>
  <c r="F22" i="5"/>
  <c r="F22" i="32" s="1"/>
  <c r="G65" i="5"/>
  <c r="G65" i="32" s="1"/>
  <c r="K19" i="5"/>
  <c r="K19" i="32" s="1"/>
  <c r="O32" i="5"/>
  <c r="F59" i="5"/>
  <c r="F59" i="32" s="1"/>
  <c r="J19" i="5"/>
  <c r="J19" i="32" s="1"/>
  <c r="G35" i="5"/>
  <c r="G35" i="32" s="1"/>
  <c r="G18" i="5"/>
  <c r="G18" i="32" s="1"/>
  <c r="F39" i="5"/>
  <c r="F39" i="32" s="1"/>
  <c r="D10" i="5"/>
  <c r="D10" i="32" s="1"/>
  <c r="I38" i="5"/>
  <c r="I38" i="32" s="1"/>
  <c r="E42" i="5"/>
  <c r="E42" i="32" s="1"/>
  <c r="D6" i="5"/>
  <c r="D6" i="32" s="1"/>
  <c r="D23" i="5"/>
  <c r="D23" i="32" s="1"/>
  <c r="D22" i="5"/>
  <c r="D22" i="32" s="1"/>
  <c r="H39" i="5"/>
  <c r="H39" i="32" s="1"/>
  <c r="I20" i="5"/>
  <c r="I20" i="32" s="1"/>
  <c r="E45" i="5"/>
  <c r="E45" i="32" s="1"/>
  <c r="O53" i="5"/>
  <c r="F6" i="5"/>
  <c r="F6" i="32" s="1"/>
  <c r="D7" i="5"/>
  <c r="D7" i="32" s="1"/>
  <c r="L39" i="5"/>
  <c r="L39" i="32" s="1"/>
  <c r="G55" i="5"/>
  <c r="G55" i="32" s="1"/>
  <c r="O28" i="5"/>
  <c r="L9" i="5"/>
  <c r="L9" i="32" s="1"/>
  <c r="N17" i="5"/>
  <c r="N17" i="32" s="1"/>
  <c r="N56" i="5"/>
  <c r="N56" i="32" s="1"/>
  <c r="G25" i="5"/>
  <c r="G25" i="32" s="1"/>
  <c r="G48" i="5"/>
  <c r="G48" i="32" s="1"/>
  <c r="H51" i="5"/>
  <c r="H51" i="32" s="1"/>
  <c r="J45" i="5"/>
  <c r="J45" i="32" s="1"/>
  <c r="F53" i="5"/>
  <c r="F53" i="32" s="1"/>
  <c r="N43" i="5"/>
  <c r="N43" i="32" s="1"/>
  <c r="I41" i="5"/>
  <c r="I41" i="32" s="1"/>
  <c r="O43" i="5"/>
  <c r="M44" i="5"/>
  <c r="M44" i="32" s="1"/>
  <c r="M14" i="5"/>
  <c r="M14" i="32" s="1"/>
  <c r="E51" i="5"/>
  <c r="E51" i="32" s="1"/>
  <c r="L49" i="5"/>
  <c r="L49" i="32" s="1"/>
  <c r="O33" i="5"/>
  <c r="L34" i="5"/>
  <c r="L34" i="32" s="1"/>
  <c r="O49" i="5"/>
  <c r="G36" i="5"/>
  <c r="G36" i="32" s="1"/>
  <c r="C9" i="5"/>
  <c r="C9" i="32" s="1"/>
  <c r="I57" i="5"/>
  <c r="I57" i="32" s="1"/>
  <c r="I15" i="5"/>
  <c r="I15" i="32" s="1"/>
  <c r="K7" i="5"/>
  <c r="K7" i="32" s="1"/>
  <c r="F9" i="5"/>
  <c r="F9" i="32" s="1"/>
  <c r="O36" i="5"/>
  <c r="I51" i="5"/>
  <c r="I51" i="32" s="1"/>
  <c r="N32" i="5"/>
  <c r="N32" i="32" s="1"/>
  <c r="G15" i="5"/>
  <c r="G15" i="32" s="1"/>
  <c r="F45" i="5"/>
  <c r="F45" i="32" s="1"/>
  <c r="F41" i="5"/>
  <c r="F41" i="32" s="1"/>
  <c r="D20" i="5"/>
  <c r="D20" i="32" s="1"/>
  <c r="N42" i="5"/>
  <c r="N42" i="32" s="1"/>
  <c r="L35" i="5"/>
  <c r="L35" i="32" s="1"/>
  <c r="F49" i="5"/>
  <c r="F49" i="32" s="1"/>
  <c r="O14" i="5"/>
  <c r="E59" i="5"/>
  <c r="E59" i="32" s="1"/>
  <c r="M54" i="5"/>
  <c r="M54" i="32" s="1"/>
  <c r="N48" i="5"/>
  <c r="N48" i="32" s="1"/>
  <c r="O47" i="5"/>
  <c r="D29" i="5"/>
  <c r="D29" i="32" s="1"/>
  <c r="J6" i="5"/>
  <c r="J6" i="32" s="1"/>
  <c r="J36" i="5"/>
  <c r="J36" i="32" s="1"/>
  <c r="G52" i="5"/>
  <c r="G52" i="32" s="1"/>
  <c r="J46" i="5"/>
  <c r="J46" i="32" s="1"/>
  <c r="M51" i="5"/>
  <c r="M51" i="32" s="1"/>
  <c r="L42" i="5"/>
  <c r="L42" i="32" s="1"/>
  <c r="F14" i="5"/>
  <c r="F14" i="32" s="1"/>
  <c r="I22" i="5"/>
  <c r="I22" i="32" s="1"/>
  <c r="G22" i="5"/>
  <c r="G22" i="32" s="1"/>
  <c r="J18" i="5"/>
  <c r="J18" i="32" s="1"/>
  <c r="E10" i="5"/>
  <c r="E10" i="32" s="1"/>
  <c r="N29" i="5"/>
  <c r="N29" i="32" s="1"/>
  <c r="H37" i="5"/>
  <c r="H37" i="32" s="1"/>
  <c r="H18" i="5"/>
  <c r="H18" i="32" s="1"/>
  <c r="D21" i="5"/>
  <c r="D21" i="32" s="1"/>
  <c r="K28" i="5"/>
  <c r="K28" i="32" s="1"/>
  <c r="G38" i="5"/>
  <c r="G38" i="32" s="1"/>
  <c r="J57" i="5"/>
  <c r="J57" i="32" s="1"/>
  <c r="H41" i="5"/>
  <c r="H41" i="32" s="1"/>
  <c r="E6" i="5"/>
  <c r="E6" i="32" s="1"/>
  <c r="M16" i="5"/>
  <c r="M16" i="32" s="1"/>
  <c r="I46" i="5"/>
  <c r="I46" i="32" s="1"/>
  <c r="H26" i="5"/>
  <c r="H26" i="32" s="1"/>
  <c r="D33" i="5"/>
  <c r="D33" i="32" s="1"/>
  <c r="N33" i="5"/>
  <c r="N33" i="32" s="1"/>
  <c r="D30" i="5"/>
  <c r="D30" i="32" s="1"/>
  <c r="J30" i="5"/>
  <c r="J30" i="32" s="1"/>
  <c r="E57" i="5"/>
  <c r="E57" i="32" s="1"/>
  <c r="J56" i="5"/>
  <c r="J56" i="32" s="1"/>
  <c r="H54" i="5"/>
  <c r="H54" i="32" s="1"/>
  <c r="C15" i="5"/>
  <c r="C15" i="32" s="1"/>
  <c r="K25" i="5"/>
  <c r="K25" i="32" s="1"/>
  <c r="L28" i="5"/>
  <c r="L28" i="32" s="1"/>
  <c r="O25" i="5"/>
  <c r="F51" i="5"/>
  <c r="F51" i="32" s="1"/>
  <c r="M59" i="5"/>
  <c r="M59" i="32" s="1"/>
  <c r="M15" i="5"/>
  <c r="M15" i="32" s="1"/>
  <c r="H30" i="5"/>
  <c r="H30" i="32" s="1"/>
  <c r="K20" i="5"/>
  <c r="K20" i="32" s="1"/>
  <c r="C33" i="5"/>
  <c r="C33" i="32" s="1"/>
  <c r="M56" i="5"/>
  <c r="M56" i="32" s="1"/>
  <c r="C39" i="5"/>
  <c r="C39" i="32" s="1"/>
  <c r="I10" i="5"/>
  <c r="I10" i="32" s="1"/>
  <c r="N46" i="5"/>
  <c r="N46" i="32" s="1"/>
  <c r="I26" i="5"/>
  <c r="I26" i="32" s="1"/>
  <c r="O34" i="5"/>
  <c r="H58" i="5"/>
  <c r="H58" i="32" s="1"/>
  <c r="N14" i="5"/>
  <c r="N14" i="32" s="1"/>
  <c r="D19" i="5"/>
  <c r="D19" i="32" s="1"/>
  <c r="M35" i="5"/>
  <c r="M35" i="32" s="1"/>
  <c r="J25" i="5"/>
  <c r="J25" i="32" s="1"/>
  <c r="I59" i="5"/>
  <c r="I59" i="32" s="1"/>
  <c r="F34" i="5"/>
  <c r="F34" i="32" s="1"/>
  <c r="E54" i="5"/>
  <c r="E54" i="32" s="1"/>
  <c r="G34" i="5"/>
  <c r="G34" i="32" s="1"/>
  <c r="N60" i="5"/>
  <c r="N60" i="32" s="1"/>
  <c r="E24" i="5"/>
  <c r="E24" i="32" s="1"/>
  <c r="L47" i="5"/>
  <c r="L47" i="32" s="1"/>
  <c r="G59" i="5"/>
  <c r="G59" i="32" s="1"/>
  <c r="F43" i="5"/>
  <c r="F43" i="32" s="1"/>
  <c r="J48" i="5"/>
  <c r="J48" i="32" s="1"/>
  <c r="C48" i="5"/>
  <c r="C48" i="32" s="1"/>
  <c r="I39" i="5"/>
  <c r="I39" i="32" s="1"/>
  <c r="N39" i="5"/>
  <c r="N39" i="32" s="1"/>
  <c r="C55" i="5"/>
  <c r="C55" i="32" s="1"/>
  <c r="M33" i="5"/>
  <c r="M33" i="32" s="1"/>
  <c r="M65" i="5"/>
  <c r="M65" i="32" s="1"/>
  <c r="C18" i="5"/>
  <c r="C18" i="32" s="1"/>
  <c r="F48" i="5"/>
  <c r="F48" i="32" s="1"/>
  <c r="L24" i="5"/>
  <c r="L24" i="32" s="1"/>
  <c r="H57" i="5"/>
  <c r="H57" i="32" s="1"/>
  <c r="C50" i="5"/>
  <c r="C50" i="32" s="1"/>
  <c r="H46" i="5"/>
  <c r="H46" i="32" s="1"/>
  <c r="O50" i="5"/>
  <c r="F24" i="5"/>
  <c r="F24" i="32" s="1"/>
  <c r="F47" i="5"/>
  <c r="F47" i="32" s="1"/>
  <c r="E55" i="5"/>
  <c r="E55" i="32" s="1"/>
  <c r="C35" i="5"/>
  <c r="C35" i="32" s="1"/>
  <c r="D16" i="5"/>
  <c r="D16" i="32" s="1"/>
  <c r="E21" i="5"/>
  <c r="E21" i="32" s="1"/>
  <c r="F15" i="5"/>
  <c r="F15" i="32" s="1"/>
  <c r="M42" i="5"/>
  <c r="M42" i="32" s="1"/>
  <c r="O56" i="5"/>
  <c r="J9" i="5"/>
  <c r="J9" i="32" s="1"/>
  <c r="J31" i="5"/>
  <c r="J31" i="32" s="1"/>
  <c r="C25" i="5"/>
  <c r="C25" i="32" s="1"/>
  <c r="C16" i="5"/>
  <c r="C16" i="32" s="1"/>
  <c r="G17" i="5"/>
  <c r="G17" i="32" s="1"/>
  <c r="M25" i="5"/>
  <c r="M25" i="32" s="1"/>
  <c r="G46" i="5"/>
  <c r="G46" i="32" s="1"/>
  <c r="J54" i="5"/>
  <c r="J54" i="32" s="1"/>
  <c r="L53" i="5"/>
  <c r="L53" i="32" s="1"/>
  <c r="L21" i="5"/>
  <c r="L21" i="32" s="1"/>
  <c r="K53" i="5"/>
  <c r="K53" i="32" s="1"/>
  <c r="I23" i="5"/>
  <c r="I23" i="32" s="1"/>
  <c r="M27" i="5"/>
  <c r="M27" i="32" s="1"/>
  <c r="I40" i="5"/>
  <c r="I40" i="32" s="1"/>
  <c r="E23" i="5"/>
  <c r="E23" i="32" s="1"/>
  <c r="O51" i="5"/>
  <c r="H60" i="5"/>
  <c r="H60" i="32" s="1"/>
  <c r="H28" i="5"/>
  <c r="H28" i="32" s="1"/>
  <c r="J32" i="5"/>
  <c r="J32" i="32" s="1"/>
  <c r="C10" i="5"/>
  <c r="C10" i="32" s="1"/>
  <c r="D57" i="5"/>
  <c r="D57" i="32" s="1"/>
  <c r="E33" i="5"/>
  <c r="E33" i="32" s="1"/>
  <c r="I36" i="5"/>
  <c r="I36" i="32" s="1"/>
  <c r="C57" i="5"/>
  <c r="C57" i="32" s="1"/>
  <c r="M21" i="5"/>
  <c r="M21" i="32" s="1"/>
  <c r="D32" i="5"/>
  <c r="D32" i="32" s="1"/>
  <c r="I58" i="5"/>
  <c r="I58" i="32" s="1"/>
  <c r="N24" i="5"/>
  <c r="N24" i="32" s="1"/>
  <c r="N19" i="5"/>
  <c r="N19" i="32" s="1"/>
  <c r="D43" i="5"/>
  <c r="D43" i="32" s="1"/>
  <c r="N23" i="5"/>
  <c r="N23" i="32" s="1"/>
  <c r="H59" i="5"/>
  <c r="H59" i="32" s="1"/>
  <c r="F60" i="5"/>
  <c r="F60" i="32" s="1"/>
  <c r="O38" i="5"/>
  <c r="N55" i="5"/>
  <c r="N55" i="32" s="1"/>
  <c r="F25" i="5"/>
  <c r="F25" i="32" s="1"/>
  <c r="K39" i="5"/>
  <c r="K39" i="32" s="1"/>
  <c r="K33" i="5"/>
  <c r="K33" i="32" s="1"/>
  <c r="C44" i="5"/>
  <c r="C44" i="32" s="1"/>
  <c r="O29" i="5"/>
  <c r="K26" i="5"/>
  <c r="K26" i="32" s="1"/>
  <c r="F19" i="5"/>
  <c r="F19" i="32" s="1"/>
  <c r="K44" i="5"/>
  <c r="K44" i="32" s="1"/>
  <c r="H9" i="5"/>
  <c r="H9" i="32" s="1"/>
  <c r="I52" i="5"/>
  <c r="I52" i="32" s="1"/>
  <c r="K48" i="5"/>
  <c r="K48" i="32" s="1"/>
  <c r="D18" i="5"/>
  <c r="D18" i="32" s="1"/>
  <c r="E47" i="5"/>
  <c r="E47" i="32" s="1"/>
  <c r="C45" i="5"/>
  <c r="C45" i="32" s="1"/>
  <c r="J37" i="5"/>
  <c r="J37" i="32" s="1"/>
  <c r="E9" i="5"/>
  <c r="E9" i="32" s="1"/>
  <c r="K15" i="5"/>
  <c r="K15" i="32" s="1"/>
  <c r="G20" i="5"/>
  <c r="G20" i="32" s="1"/>
  <c r="I42" i="5"/>
  <c r="I42" i="32" s="1"/>
  <c r="K38" i="5"/>
  <c r="K38" i="32" s="1"/>
  <c r="J53" i="5"/>
  <c r="J53" i="32" s="1"/>
  <c r="G37" i="5"/>
  <c r="G37" i="32" s="1"/>
  <c r="J29" i="5"/>
  <c r="J29" i="32" s="1"/>
  <c r="D26" i="5"/>
  <c r="D26" i="32" s="1"/>
  <c r="F52" i="5"/>
  <c r="F52" i="32" s="1"/>
  <c r="D65" i="5"/>
  <c r="D65" i="32" s="1"/>
  <c r="C51" i="5"/>
  <c r="C51" i="32" s="1"/>
  <c r="F36" i="5"/>
  <c r="F36" i="32" s="1"/>
  <c r="D60" i="5"/>
  <c r="D60" i="32" s="1"/>
  <c r="F38" i="5"/>
  <c r="F38" i="32" s="1"/>
  <c r="H49" i="5"/>
  <c r="H49" i="32" s="1"/>
  <c r="N28" i="5"/>
  <c r="N28" i="32" s="1"/>
  <c r="I60" i="5"/>
  <c r="I60" i="32" s="1"/>
  <c r="C32" i="5"/>
  <c r="C32" i="32" s="1"/>
  <c r="H55" i="5"/>
  <c r="H55" i="32" s="1"/>
  <c r="H23" i="5"/>
  <c r="H23" i="32" s="1"/>
  <c r="F35" i="5"/>
  <c r="F35" i="32" s="1"/>
  <c r="J58" i="5"/>
  <c r="J58" i="32" s="1"/>
  <c r="F58" i="5"/>
  <c r="F58" i="32" s="1"/>
  <c r="J35" i="5"/>
  <c r="J35" i="32" s="1"/>
  <c r="I21" i="5"/>
  <c r="I21" i="32" s="1"/>
  <c r="I19" i="5"/>
  <c r="I19" i="32" s="1"/>
  <c r="E34" i="5"/>
  <c r="E34" i="32" s="1"/>
  <c r="M37" i="5"/>
  <c r="M37" i="32" s="1"/>
  <c r="O31" i="5"/>
  <c r="N51" i="5"/>
  <c r="N51" i="32" s="1"/>
  <c r="O55" i="5"/>
  <c r="F7" i="5"/>
  <c r="F7" i="32" s="1"/>
  <c r="E52" i="5"/>
  <c r="E52" i="32" s="1"/>
  <c r="I35" i="5"/>
  <c r="I35" i="32" s="1"/>
  <c r="H22" i="5"/>
  <c r="H22" i="32" s="1"/>
  <c r="O58" i="5"/>
  <c r="K9" i="5"/>
  <c r="K9" i="32" s="1"/>
  <c r="N45" i="5"/>
  <c r="N45" i="32" s="1"/>
  <c r="I14" i="5"/>
  <c r="I14" i="32" s="1"/>
  <c r="G31" i="5"/>
  <c r="G31" i="32" s="1"/>
  <c r="M50" i="5"/>
  <c r="M50" i="32" s="1"/>
  <c r="E22" i="5"/>
  <c r="E22" i="32" s="1"/>
  <c r="M60" i="5"/>
  <c r="M60" i="32" s="1"/>
  <c r="I6" i="5"/>
  <c r="I6" i="32" s="1"/>
  <c r="K40" i="5"/>
  <c r="K40" i="32" s="1"/>
  <c r="G6" i="5"/>
  <c r="G6" i="32" s="1"/>
  <c r="I43" i="5"/>
  <c r="I43" i="32" s="1"/>
  <c r="I16" i="5"/>
  <c r="I16" i="32" s="1"/>
  <c r="E56" i="5"/>
  <c r="E56" i="32" s="1"/>
  <c r="I34" i="5"/>
  <c r="I34" i="32" s="1"/>
  <c r="E19" i="5"/>
  <c r="E19" i="32" s="1"/>
  <c r="O40" i="5"/>
  <c r="N9" i="5"/>
  <c r="N9" i="32" s="1"/>
  <c r="D34" i="5"/>
  <c r="D34" i="32" s="1"/>
  <c r="N30" i="5"/>
  <c r="N30" i="32" s="1"/>
  <c r="M47" i="5"/>
  <c r="M47" i="32" s="1"/>
  <c r="N37" i="5"/>
  <c r="N37" i="32" s="1"/>
  <c r="G56" i="5"/>
  <c r="G56" i="32" s="1"/>
  <c r="O10" i="5"/>
  <c r="M39" i="5"/>
  <c r="M39" i="32" s="1"/>
  <c r="D55" i="5"/>
  <c r="D55" i="32" s="1"/>
  <c r="J24" i="5"/>
  <c r="J24" i="32" s="1"/>
  <c r="G7" i="5"/>
  <c r="G7" i="32" s="1"/>
  <c r="F10" i="5"/>
  <c r="F10" i="32" s="1"/>
  <c r="E35" i="5"/>
  <c r="E35" i="32" s="1"/>
  <c r="K18" i="5"/>
  <c r="K18" i="32" s="1"/>
  <c r="E43" i="5"/>
  <c r="E43" i="32" s="1"/>
  <c r="H15" i="5"/>
  <c r="H15" i="32" s="1"/>
  <c r="D50" i="5"/>
  <c r="D50" i="32" s="1"/>
  <c r="K58" i="5"/>
  <c r="K58" i="32" s="1"/>
  <c r="O7" i="5"/>
  <c r="E58" i="5"/>
  <c r="E58" i="32" s="1"/>
  <c r="J17" i="5"/>
  <c r="J17" i="32" s="1"/>
  <c r="F55" i="5"/>
  <c r="F55" i="32" s="1"/>
  <c r="F50" i="5"/>
  <c r="F50" i="32" s="1"/>
  <c r="M41" i="5"/>
  <c r="M41" i="32" s="1"/>
  <c r="D15" i="5"/>
  <c r="D15" i="32" s="1"/>
  <c r="C40" i="5"/>
  <c r="C40" i="32" s="1"/>
  <c r="L43" i="5"/>
  <c r="L43" i="32" s="1"/>
  <c r="L14" i="5"/>
  <c r="L14" i="32" s="1"/>
  <c r="E14" i="5"/>
  <c r="H52" i="5"/>
  <c r="H52" i="32" s="1"/>
  <c r="E48" i="5"/>
  <c r="E48" i="32" s="1"/>
  <c r="N25" i="5"/>
  <c r="N25" i="32" s="1"/>
  <c r="D51" i="5"/>
  <c r="D51" i="32" s="1"/>
  <c r="F28" i="5"/>
  <c r="F28" i="32" s="1"/>
  <c r="K55" i="5"/>
  <c r="K55" i="32" s="1"/>
  <c r="C38" i="5"/>
  <c r="C38" i="32" s="1"/>
  <c r="H53" i="5"/>
  <c r="H53" i="32" s="1"/>
  <c r="J15" i="5"/>
  <c r="J15" i="32" s="1"/>
  <c r="M28" i="5"/>
  <c r="M28" i="32" s="1"/>
  <c r="K52" i="5"/>
  <c r="K52" i="32" s="1"/>
  <c r="H38" i="5"/>
  <c r="H38" i="32" s="1"/>
  <c r="O22" i="5"/>
  <c r="M55" i="5"/>
  <c r="M55" i="32" s="1"/>
  <c r="K10" i="5"/>
  <c r="K10" i="32" s="1"/>
  <c r="G29" i="5"/>
  <c r="G29" i="32" s="1"/>
  <c r="L52" i="5"/>
  <c r="L52" i="32" s="1"/>
  <c r="M46" i="5"/>
  <c r="M46" i="32" s="1"/>
  <c r="F16" i="5"/>
  <c r="F16" i="32" s="1"/>
  <c r="E32" i="5"/>
  <c r="E32" i="32" s="1"/>
  <c r="D39" i="5"/>
  <c r="D39" i="32" s="1"/>
  <c r="L16" i="5"/>
  <c r="L16" i="32" s="1"/>
  <c r="F18" i="5"/>
  <c r="F18" i="32" s="1"/>
  <c r="J26" i="5"/>
  <c r="J26" i="32" s="1"/>
  <c r="M34" i="5"/>
  <c r="M34" i="32" s="1"/>
  <c r="H20" i="5"/>
  <c r="H20" i="32" s="1"/>
  <c r="E28" i="5"/>
  <c r="E28" i="32" s="1"/>
  <c r="F40" i="5"/>
  <c r="F40" i="32" s="1"/>
  <c r="G43" i="5"/>
  <c r="G43" i="32" s="1"/>
  <c r="K56" i="5"/>
  <c r="K56" i="32" s="1"/>
  <c r="F26" i="5"/>
  <c r="F26" i="32" s="1"/>
  <c r="C17" i="5"/>
  <c r="C17" i="32" s="1"/>
  <c r="J51" i="5"/>
  <c r="J51" i="32" s="1"/>
  <c r="K57" i="5"/>
  <c r="K57" i="32" s="1"/>
  <c r="J52" i="5"/>
  <c r="J52" i="32" s="1"/>
  <c r="E36" i="5"/>
  <c r="E36" i="32" s="1"/>
  <c r="K37" i="5"/>
  <c r="K37" i="32" s="1"/>
  <c r="M43" i="5"/>
  <c r="M43" i="32" s="1"/>
  <c r="M7" i="5"/>
  <c r="M7" i="32" s="1"/>
  <c r="N54" i="5"/>
  <c r="N54" i="32" s="1"/>
  <c r="G53" i="5"/>
  <c r="G53" i="32" s="1"/>
  <c r="G57" i="5"/>
  <c r="G57" i="32" s="1"/>
  <c r="O59" i="5"/>
  <c r="J16" i="5"/>
  <c r="J16" i="32" s="1"/>
  <c r="C14" i="5"/>
  <c r="C14" i="32" s="1"/>
  <c r="H47" i="5"/>
  <c r="H47" i="32" s="1"/>
  <c r="M24" i="5"/>
  <c r="M24" i="32" s="1"/>
  <c r="N50" i="5"/>
  <c r="N50" i="32" s="1"/>
  <c r="L41" i="5"/>
  <c r="L41" i="32" s="1"/>
  <c r="F37" i="5"/>
  <c r="F37" i="32" s="1"/>
  <c r="E60" i="5"/>
  <c r="E60" i="32" s="1"/>
  <c r="N36" i="5"/>
  <c r="N36" i="32" s="1"/>
  <c r="E41" i="5"/>
  <c r="E41" i="32" s="1"/>
  <c r="C42" i="5"/>
  <c r="C42" i="32" s="1"/>
  <c r="N49" i="5"/>
  <c r="N49" i="32" s="1"/>
  <c r="G39" i="5"/>
  <c r="G39" i="32" s="1"/>
  <c r="G41" i="5"/>
  <c r="G41" i="32" s="1"/>
  <c r="F31" i="5"/>
  <c r="F31" i="32" s="1"/>
  <c r="G50" i="5"/>
  <c r="G50" i="32" s="1"/>
  <c r="H31" i="5"/>
  <c r="H31" i="32" s="1"/>
  <c r="D35" i="5"/>
  <c r="D35" i="32" s="1"/>
  <c r="K54" i="5"/>
  <c r="K54" i="32" s="1"/>
  <c r="M6" i="5"/>
  <c r="M8" i="5" s="1"/>
  <c r="M57" i="5"/>
  <c r="M57" i="32" s="1"/>
  <c r="F42" i="5"/>
  <c r="F42" i="32" s="1"/>
  <c r="N47" i="5"/>
  <c r="N47" i="32" s="1"/>
  <c r="H10" i="5"/>
  <c r="H10" i="32" s="1"/>
  <c r="N31" i="5"/>
  <c r="N31" i="32" s="1"/>
  <c r="K22" i="5"/>
  <c r="K22" i="32" s="1"/>
  <c r="M53" i="5"/>
  <c r="M53" i="32" s="1"/>
  <c r="J39" i="5"/>
  <c r="J39" i="32" s="1"/>
  <c r="C58" i="5"/>
  <c r="C58" i="32" s="1"/>
  <c r="O48" i="5"/>
  <c r="J47" i="5"/>
  <c r="J47" i="32" s="1"/>
  <c r="G58" i="5"/>
  <c r="G58" i="32" s="1"/>
  <c r="L48" i="5"/>
  <c r="L48" i="32" s="1"/>
  <c r="E26" i="5"/>
  <c r="E26" i="32" s="1"/>
  <c r="L51" i="5"/>
  <c r="L51" i="32" s="1"/>
  <c r="G19" i="5"/>
  <c r="G19" i="32" s="1"/>
  <c r="L46" i="5"/>
  <c r="L46" i="32" s="1"/>
  <c r="K50" i="5"/>
  <c r="K50" i="32" s="1"/>
  <c r="O18" i="5"/>
  <c r="J33" i="5"/>
  <c r="J33" i="32" s="1"/>
  <c r="O37" i="5"/>
  <c r="C22" i="5"/>
  <c r="C22" i="32" s="1"/>
  <c r="C43" i="5"/>
  <c r="C43" i="32" s="1"/>
  <c r="E7" i="5"/>
  <c r="E7" i="32" s="1"/>
  <c r="C46" i="5"/>
  <c r="C46" i="32" s="1"/>
  <c r="E46" i="5"/>
  <c r="E46" i="32" s="1"/>
  <c r="E49" i="5"/>
  <c r="E49" i="32" s="1"/>
  <c r="I24" i="5"/>
  <c r="I24" i="32" s="1"/>
  <c r="O17" i="5"/>
  <c r="C53" i="5"/>
  <c r="C53" i="32" s="1"/>
  <c r="H29" i="5"/>
  <c r="H29" i="32" s="1"/>
  <c r="E31" i="5"/>
  <c r="E31" i="32" s="1"/>
  <c r="D52" i="5"/>
  <c r="D52" i="32" s="1"/>
  <c r="K17" i="5"/>
  <c r="K17" i="32" s="1"/>
  <c r="D37" i="5"/>
  <c r="D37" i="32" s="1"/>
  <c r="L60" i="5"/>
  <c r="L60" i="32" s="1"/>
  <c r="L19" i="5"/>
  <c r="L19" i="32" s="1"/>
  <c r="E25" i="5"/>
  <c r="E25" i="32" s="1"/>
  <c r="L26" i="5"/>
  <c r="L26" i="32" s="1"/>
  <c r="C31" i="5"/>
  <c r="C31" i="32" s="1"/>
  <c r="C7" i="5"/>
  <c r="C7" i="32" s="1"/>
  <c r="J55" i="5"/>
  <c r="J55" i="32" s="1"/>
  <c r="L23" i="5"/>
  <c r="L23" i="32" s="1"/>
  <c r="H14" i="5"/>
  <c r="H14" i="32" s="1"/>
  <c r="N18" i="5"/>
  <c r="N18" i="32" s="1"/>
  <c r="M29" i="5"/>
  <c r="M29" i="32" s="1"/>
  <c r="K59" i="5"/>
  <c r="K59" i="32" s="1"/>
  <c r="K14" i="5"/>
  <c r="K14" i="32" s="1"/>
  <c r="E18" i="5"/>
  <c r="E18" i="32" s="1"/>
  <c r="D36" i="5"/>
  <c r="D36" i="32" s="1"/>
  <c r="G14" i="5"/>
  <c r="G14" i="32" s="1"/>
  <c r="K21" i="5"/>
  <c r="K21" i="32" s="1"/>
  <c r="H48" i="5"/>
  <c r="H48" i="32" s="1"/>
  <c r="D31" i="5"/>
  <c r="D31" i="32" s="1"/>
  <c r="L37" i="5"/>
  <c r="L37" i="32" s="1"/>
  <c r="H34" i="5"/>
  <c r="H34" i="32" s="1"/>
  <c r="C49" i="5"/>
  <c r="C49" i="32" s="1"/>
  <c r="I47" i="5"/>
  <c r="I47" i="32" s="1"/>
  <c r="I53" i="5"/>
  <c r="I53" i="32" s="1"/>
  <c r="N52" i="5"/>
  <c r="N52" i="32" s="1"/>
  <c r="M17" i="5"/>
  <c r="M17" i="32" s="1"/>
  <c r="L44" i="5"/>
  <c r="L44" i="32" s="1"/>
  <c r="D38" i="5"/>
  <c r="D38" i="32" s="1"/>
  <c r="G30" i="5"/>
  <c r="G30" i="32" s="1"/>
  <c r="K51" i="5"/>
  <c r="K51" i="32" s="1"/>
  <c r="J22" i="5"/>
  <c r="J22" i="32" s="1"/>
  <c r="O42" i="5"/>
  <c r="E29" i="5"/>
  <c r="E29" i="32" s="1"/>
  <c r="J7" i="5"/>
  <c r="J7" i="32" s="1"/>
  <c r="L30" i="5"/>
  <c r="L30" i="32" s="1"/>
  <c r="L59" i="5"/>
  <c r="L59" i="32" s="1"/>
  <c r="M52" i="5"/>
  <c r="M52" i="32" s="1"/>
  <c r="G23" i="5"/>
  <c r="G23" i="32" s="1"/>
  <c r="C24" i="5"/>
  <c r="C24" i="32" s="1"/>
  <c r="M18" i="5"/>
  <c r="M18" i="32" s="1"/>
  <c r="N35" i="5"/>
  <c r="N35" i="32" s="1"/>
  <c r="J50" i="5"/>
  <c r="J50" i="32" s="1"/>
  <c r="C34" i="5"/>
  <c r="C34" i="32" s="1"/>
  <c r="M58" i="5"/>
  <c r="M58" i="32" s="1"/>
  <c r="C30" i="5"/>
  <c r="C30" i="32" s="1"/>
  <c r="O46" i="5"/>
  <c r="C65" i="5"/>
  <c r="C65" i="32" s="1"/>
  <c r="O60" i="5"/>
  <c r="N53" i="5"/>
  <c r="N53" i="32" s="1"/>
  <c r="E53" i="5"/>
  <c r="E53" i="32" s="1"/>
  <c r="G47" i="5"/>
  <c r="G47" i="32" s="1"/>
  <c r="L54" i="5"/>
  <c r="L54" i="32" s="1"/>
  <c r="L17" i="5"/>
  <c r="L17" i="32" s="1"/>
  <c r="L33" i="5"/>
  <c r="L33" i="32" s="1"/>
  <c r="D45" i="5"/>
  <c r="D45" i="32" s="1"/>
  <c r="J60" i="5"/>
  <c r="J60" i="32" s="1"/>
  <c r="J10" i="5"/>
  <c r="J10" i="32" s="1"/>
  <c r="H32" i="5"/>
  <c r="H32" i="32" s="1"/>
  <c r="H21" i="5"/>
  <c r="H21" i="32" s="1"/>
  <c r="D27" i="5"/>
  <c r="D27" i="32" s="1"/>
  <c r="H50" i="5"/>
  <c r="H50" i="32" s="1"/>
  <c r="H65" i="5"/>
  <c r="H65" i="32" s="1"/>
  <c r="O57" i="5"/>
  <c r="J34" i="5"/>
  <c r="J34" i="32" s="1"/>
  <c r="H42" i="5"/>
  <c r="H42" i="32" s="1"/>
  <c r="M32" i="5"/>
  <c r="M32" i="32" s="1"/>
  <c r="C23" i="5"/>
  <c r="C23" i="32" s="1"/>
  <c r="E65" i="5"/>
  <c r="E65" i="32" s="1"/>
  <c r="M19" i="5"/>
  <c r="M19" i="32" s="1"/>
  <c r="M36" i="5"/>
  <c r="M36" i="32" s="1"/>
  <c r="M10" i="5"/>
  <c r="M10" i="32" s="1"/>
  <c r="M30" i="5"/>
  <c r="M30" i="32" s="1"/>
  <c r="F29" i="5"/>
  <c r="F29" i="32" s="1"/>
  <c r="M26" i="5"/>
  <c r="M26" i="32" s="1"/>
  <c r="O65" i="5"/>
  <c r="I18" i="5"/>
  <c r="I18" i="32" s="1"/>
  <c r="N44" i="5"/>
  <c r="N44" i="32" s="1"/>
  <c r="G44" i="5"/>
  <c r="G44" i="32" s="1"/>
  <c r="G45" i="5"/>
  <c r="G45" i="32" s="1"/>
  <c r="H16" i="5"/>
  <c r="H16" i="32" s="1"/>
  <c r="N27" i="5"/>
  <c r="N27" i="32" s="1"/>
  <c r="H6" i="5"/>
  <c r="H6" i="32" s="1"/>
  <c r="N41" i="5"/>
  <c r="N41" i="32" s="1"/>
  <c r="K43" i="5"/>
  <c r="K43" i="32" s="1"/>
  <c r="N15" i="5"/>
  <c r="N15" i="32" s="1"/>
  <c r="D58" i="5"/>
  <c r="D58" i="32" s="1"/>
  <c r="J44" i="5"/>
  <c r="J44" i="32" s="1"/>
  <c r="J20" i="5"/>
  <c r="J20" i="32" s="1"/>
  <c r="G9" i="5"/>
  <c r="G9" i="32" s="1"/>
  <c r="C19" i="5"/>
  <c r="C19" i="32" s="1"/>
  <c r="K30" i="5"/>
  <c r="K30" i="32" s="1"/>
  <c r="C59" i="5"/>
  <c r="C59" i="32" s="1"/>
  <c r="M31" i="5"/>
  <c r="M31" i="32" s="1"/>
  <c r="K42" i="5"/>
  <c r="K42" i="32" s="1"/>
  <c r="M23" i="5"/>
  <c r="M23" i="32" s="1"/>
  <c r="G60" i="5"/>
  <c r="G60" i="32" s="1"/>
  <c r="H25" i="5"/>
  <c r="H25" i="32" s="1"/>
  <c r="D47" i="5"/>
  <c r="D47" i="32" s="1"/>
  <c r="L6" i="5"/>
  <c r="L8" i="5" s="1"/>
  <c r="G16" i="5"/>
  <c r="G16" i="32" s="1"/>
  <c r="M68" i="5"/>
  <c r="M68" i="32" s="1"/>
  <c r="I68" i="5"/>
  <c r="I70" i="5" s="1"/>
  <c r="I70" i="32" s="1"/>
  <c r="J94" i="32"/>
  <c r="K68" i="5"/>
  <c r="K68" i="32" s="1"/>
  <c r="J68" i="5"/>
  <c r="J68" i="32" s="1"/>
  <c r="H68" i="5"/>
  <c r="H70" i="5" s="1"/>
  <c r="H70" i="32" s="1"/>
  <c r="E94" i="5"/>
  <c r="I94" i="32"/>
  <c r="H94" i="32"/>
  <c r="I94" i="5"/>
  <c r="N68" i="5"/>
  <c r="N68" i="32" s="1"/>
  <c r="C92" i="5"/>
  <c r="C92" i="32" s="1"/>
  <c r="C94" i="32" s="1"/>
  <c r="R8" i="10"/>
  <c r="O92" i="5" s="1"/>
  <c r="O94" i="5" s="1"/>
  <c r="J94" i="5"/>
  <c r="H94" i="5"/>
  <c r="N94" i="5"/>
  <c r="N94" i="32"/>
  <c r="L93" i="32"/>
  <c r="L94" i="32" s="1"/>
  <c r="L94" i="5"/>
  <c r="M93" i="32"/>
  <c r="M94" i="32" s="1"/>
  <c r="M94" i="5"/>
  <c r="G93" i="32"/>
  <c r="K94" i="5"/>
  <c r="K93" i="32"/>
  <c r="K94" i="32" s="1"/>
  <c r="L89" i="32"/>
  <c r="E94" i="32"/>
  <c r="O41" i="5"/>
  <c r="K16" i="5"/>
  <c r="K16" i="32" s="1"/>
  <c r="D89" i="32"/>
  <c r="O87" i="32"/>
  <c r="O89" i="32" s="1"/>
  <c r="O98" i="32"/>
  <c r="I37" i="5"/>
  <c r="I37" i="32" s="1"/>
  <c r="O35" i="5"/>
  <c r="I17" i="5"/>
  <c r="I17" i="32" s="1"/>
  <c r="D14" i="5"/>
  <c r="D14" i="32" s="1"/>
  <c r="F23" i="5"/>
  <c r="F23" i="32" s="1"/>
  <c r="G26" i="5"/>
  <c r="G26" i="32" s="1"/>
  <c r="I55" i="5"/>
  <c r="I55" i="32" s="1"/>
  <c r="C60" i="5"/>
  <c r="C60" i="32" s="1"/>
  <c r="L36" i="5"/>
  <c r="L36" i="32" s="1"/>
  <c r="K6" i="32"/>
  <c r="O75" i="32"/>
  <c r="O78" i="32"/>
  <c r="O69" i="32"/>
  <c r="O77" i="32"/>
  <c r="D8" i="32" l="1"/>
  <c r="D5" i="32" s="1"/>
  <c r="D12" i="32" s="1"/>
  <c r="M5" i="5"/>
  <c r="M12" i="5" s="1"/>
  <c r="M6" i="32"/>
  <c r="M8" i="32" s="1"/>
  <c r="M5" i="32" s="1"/>
  <c r="M12" i="32" s="1"/>
  <c r="D8" i="5"/>
  <c r="D5" i="5" s="1"/>
  <c r="D12" i="5" s="1"/>
  <c r="H8" i="32"/>
  <c r="H5" i="32" s="1"/>
  <c r="H12" i="32" s="1"/>
  <c r="F70" i="5"/>
  <c r="F70" i="32" s="1"/>
  <c r="F73" i="32" s="1"/>
  <c r="G8" i="32"/>
  <c r="G5" i="32" s="1"/>
  <c r="G12" i="32" s="1"/>
  <c r="O8" i="5"/>
  <c r="O5" i="5" s="1"/>
  <c r="O12" i="5" s="1"/>
  <c r="C68" i="32"/>
  <c r="O19" i="32"/>
  <c r="J8" i="5"/>
  <c r="J5" i="5" s="1"/>
  <c r="J12" i="5" s="1"/>
  <c r="N8" i="5"/>
  <c r="N5" i="5" s="1"/>
  <c r="N12" i="5" s="1"/>
  <c r="I8" i="5"/>
  <c r="I5" i="5" s="1"/>
  <c r="I12" i="5" s="1"/>
  <c r="I8" i="32"/>
  <c r="I5" i="32" s="1"/>
  <c r="I12" i="32" s="1"/>
  <c r="O32" i="32"/>
  <c r="O27" i="32"/>
  <c r="O59" i="32"/>
  <c r="F94" i="5"/>
  <c r="G94" i="32"/>
  <c r="G94" i="5"/>
  <c r="F97" i="32"/>
  <c r="F99" i="32" s="1"/>
  <c r="F99" i="5"/>
  <c r="F76" i="5"/>
  <c r="F76" i="32" s="1"/>
  <c r="F74" i="32"/>
  <c r="E70" i="5"/>
  <c r="E70" i="32" s="1"/>
  <c r="E73" i="32" s="1"/>
  <c r="L70" i="5"/>
  <c r="L70" i="32" s="1"/>
  <c r="L73" i="32" s="1"/>
  <c r="H97" i="32"/>
  <c r="H99" i="32" s="1"/>
  <c r="H99" i="5"/>
  <c r="I97" i="32"/>
  <c r="I99" i="32" s="1"/>
  <c r="I99" i="5"/>
  <c r="D99" i="5"/>
  <c r="D97" i="32"/>
  <c r="D99" i="32" s="1"/>
  <c r="M74" i="32"/>
  <c r="M76" i="5"/>
  <c r="M76" i="32" s="1"/>
  <c r="H74" i="32"/>
  <c r="H76" i="5"/>
  <c r="H76" i="32" s="1"/>
  <c r="I74" i="32"/>
  <c r="I76" i="5"/>
  <c r="I76" i="32" s="1"/>
  <c r="D74" i="32"/>
  <c r="D76" i="5"/>
  <c r="D76" i="32" s="1"/>
  <c r="L97" i="32"/>
  <c r="L99" i="32" s="1"/>
  <c r="L99" i="5"/>
  <c r="C74" i="32"/>
  <c r="C76" i="5"/>
  <c r="C76" i="32" s="1"/>
  <c r="L74" i="32"/>
  <c r="L76" i="5"/>
  <c r="L76" i="32" s="1"/>
  <c r="E74" i="32"/>
  <c r="E76" i="5"/>
  <c r="E76" i="32" s="1"/>
  <c r="J74" i="32"/>
  <c r="J76" i="5"/>
  <c r="J76" i="32" s="1"/>
  <c r="J97" i="32"/>
  <c r="J99" i="32" s="1"/>
  <c r="J99" i="5"/>
  <c r="C97" i="32"/>
  <c r="C99" i="32" s="1"/>
  <c r="C99" i="5"/>
  <c r="K74" i="32"/>
  <c r="K76" i="5"/>
  <c r="K76" i="32" s="1"/>
  <c r="G74" i="32"/>
  <c r="G76" i="5"/>
  <c r="G76" i="32" s="1"/>
  <c r="E97" i="32"/>
  <c r="E99" i="32" s="1"/>
  <c r="E99" i="5"/>
  <c r="M97" i="32"/>
  <c r="M99" i="32" s="1"/>
  <c r="M99" i="5"/>
  <c r="K97" i="32"/>
  <c r="K99" i="32" s="1"/>
  <c r="K99" i="5"/>
  <c r="G97" i="32"/>
  <c r="G99" i="32" s="1"/>
  <c r="G99" i="5"/>
  <c r="N97" i="32"/>
  <c r="N99" i="5"/>
  <c r="O97" i="5"/>
  <c r="O99" i="5" s="1"/>
  <c r="O74" i="5"/>
  <c r="O76" i="5" s="1"/>
  <c r="N74" i="32"/>
  <c r="N76" i="5"/>
  <c r="N76" i="32" s="1"/>
  <c r="G8" i="5"/>
  <c r="G5" i="5" s="1"/>
  <c r="G12" i="5" s="1"/>
  <c r="O43" i="32"/>
  <c r="O40" i="32"/>
  <c r="J8" i="32"/>
  <c r="J5" i="32" s="1"/>
  <c r="J12" i="32" s="1"/>
  <c r="O39" i="32"/>
  <c r="O10" i="32"/>
  <c r="H8" i="5"/>
  <c r="H5" i="5" s="1"/>
  <c r="H12" i="5" s="1"/>
  <c r="O24" i="32"/>
  <c r="G70" i="5"/>
  <c r="G70" i="32" s="1"/>
  <c r="G73" i="32" s="1"/>
  <c r="O45" i="32"/>
  <c r="O42" i="32"/>
  <c r="O44" i="32"/>
  <c r="O65" i="32"/>
  <c r="O33" i="32"/>
  <c r="O51" i="32"/>
  <c r="O49" i="32"/>
  <c r="O18" i="32"/>
  <c r="O7" i="32"/>
  <c r="O52" i="32"/>
  <c r="O46" i="32"/>
  <c r="O58" i="32"/>
  <c r="O29" i="32"/>
  <c r="O53" i="32"/>
  <c r="E62" i="5"/>
  <c r="E13" i="5" s="1"/>
  <c r="O56" i="32"/>
  <c r="O9" i="32"/>
  <c r="O57" i="32"/>
  <c r="O34" i="32"/>
  <c r="O21" i="32"/>
  <c r="O20" i="32"/>
  <c r="O22" i="32"/>
  <c r="D73" i="5"/>
  <c r="O38" i="32"/>
  <c r="O47" i="32"/>
  <c r="O28" i="32"/>
  <c r="O25" i="32"/>
  <c r="O35" i="32"/>
  <c r="O48" i="32"/>
  <c r="O54" i="32"/>
  <c r="O41" i="32"/>
  <c r="O23" i="32"/>
  <c r="O31" i="32"/>
  <c r="O55" i="32"/>
  <c r="D68" i="32"/>
  <c r="D73" i="32" s="1"/>
  <c r="O50" i="32"/>
  <c r="O30" i="32"/>
  <c r="L5" i="5"/>
  <c r="L12" i="5" s="1"/>
  <c r="D94" i="5"/>
  <c r="N8" i="32"/>
  <c r="N5" i="32" s="1"/>
  <c r="N12" i="32" s="1"/>
  <c r="O15" i="32"/>
  <c r="D62" i="5"/>
  <c r="D13" i="5" s="1"/>
  <c r="K8" i="5"/>
  <c r="K5" i="5" s="1"/>
  <c r="K12" i="5" s="1"/>
  <c r="O26" i="32"/>
  <c r="C8" i="5"/>
  <c r="C5" i="5" s="1"/>
  <c r="C12" i="5" s="1"/>
  <c r="I68" i="32"/>
  <c r="I73" i="32" s="1"/>
  <c r="G62" i="5"/>
  <c r="G13" i="5" s="1"/>
  <c r="K8" i="32"/>
  <c r="K5" i="32" s="1"/>
  <c r="K12" i="32" s="1"/>
  <c r="E8" i="5"/>
  <c r="E5" i="5" s="1"/>
  <c r="E12" i="5" s="1"/>
  <c r="J62" i="5"/>
  <c r="J13" i="5" s="1"/>
  <c r="E8" i="32"/>
  <c r="E5" i="32" s="1"/>
  <c r="E12" i="32" s="1"/>
  <c r="O16" i="32"/>
  <c r="H62" i="5"/>
  <c r="H13" i="5" s="1"/>
  <c r="O17" i="32"/>
  <c r="E14" i="32"/>
  <c r="O14" i="32" s="1"/>
  <c r="F8" i="5"/>
  <c r="F5" i="5" s="1"/>
  <c r="F12" i="5" s="1"/>
  <c r="O36" i="32"/>
  <c r="F8" i="32"/>
  <c r="F5" i="32" s="1"/>
  <c r="F12" i="32" s="1"/>
  <c r="O60" i="32"/>
  <c r="O37" i="32"/>
  <c r="I62" i="5"/>
  <c r="I13" i="5" s="1"/>
  <c r="K62" i="5"/>
  <c r="K13" i="5" s="1"/>
  <c r="L6" i="32"/>
  <c r="L8" i="32" s="1"/>
  <c r="L5" i="32" s="1"/>
  <c r="L12" i="32" s="1"/>
  <c r="M70" i="5"/>
  <c r="M73" i="5" s="1"/>
  <c r="M62" i="5"/>
  <c r="M62" i="32" s="1"/>
  <c r="M13" i="32" s="1"/>
  <c r="N62" i="5"/>
  <c r="N13" i="5" s="1"/>
  <c r="C62" i="5"/>
  <c r="C13" i="5" s="1"/>
  <c r="H68" i="32"/>
  <c r="H73" i="32" s="1"/>
  <c r="O92" i="32"/>
  <c r="J70" i="5"/>
  <c r="J70" i="32" s="1"/>
  <c r="J73" i="32" s="1"/>
  <c r="K70" i="5"/>
  <c r="K70" i="32" s="1"/>
  <c r="K73" i="32" s="1"/>
  <c r="C94" i="5"/>
  <c r="N70" i="5"/>
  <c r="N73" i="5" s="1"/>
  <c r="O68" i="5"/>
  <c r="O70" i="5" s="1"/>
  <c r="O73" i="5" s="1"/>
  <c r="I73" i="5"/>
  <c r="O93" i="32"/>
  <c r="H73" i="5"/>
  <c r="C70" i="32"/>
  <c r="C73" i="5"/>
  <c r="L62" i="5"/>
  <c r="L13" i="5" s="1"/>
  <c r="O62" i="5"/>
  <c r="O13" i="5" s="1"/>
  <c r="F62" i="5"/>
  <c r="F13" i="5" s="1"/>
  <c r="M3" i="10" a="1"/>
  <c r="M3" i="10" s="1"/>
  <c r="L3" i="10" a="1"/>
  <c r="L3" i="10" s="1"/>
  <c r="J3" i="10" a="1"/>
  <c r="J3" i="10" s="1"/>
  <c r="C8" i="32"/>
  <c r="C5" i="32" s="1"/>
  <c r="C12" i="32" s="1"/>
  <c r="Q3" i="10" a="1"/>
  <c r="Q3" i="10" s="1"/>
  <c r="E66" i="5" l="1"/>
  <c r="H3" i="10" a="1"/>
  <c r="H3" i="10" s="1"/>
  <c r="M66" i="32"/>
  <c r="O6" i="32"/>
  <c r="O8" i="32" s="1"/>
  <c r="O5" i="32" s="1"/>
  <c r="O12" i="32" s="1"/>
  <c r="M70" i="32"/>
  <c r="M73" i="32" s="1"/>
  <c r="G3" i="10" a="1"/>
  <c r="G3" i="10" s="1"/>
  <c r="F73" i="5"/>
  <c r="I66" i="5"/>
  <c r="E62" i="32"/>
  <c r="F3" i="10" a="1"/>
  <c r="F3" i="10" s="1"/>
  <c r="C66" i="5"/>
  <c r="L66" i="5"/>
  <c r="N66" i="5"/>
  <c r="J66" i="5"/>
  <c r="G66" i="5"/>
  <c r="G62" i="32"/>
  <c r="G13" i="32" s="1"/>
  <c r="G66" i="32" s="1"/>
  <c r="H66" i="5"/>
  <c r="E13" i="32"/>
  <c r="E66" i="32" s="1"/>
  <c r="D62" i="32"/>
  <c r="D13" i="32" s="1"/>
  <c r="D66" i="32" s="1"/>
  <c r="C79" i="5"/>
  <c r="C67" i="5" s="1"/>
  <c r="C81" i="5" s="1"/>
  <c r="G79" i="5"/>
  <c r="I79" i="5"/>
  <c r="I67" i="5" s="1"/>
  <c r="I81" i="5" s="1"/>
  <c r="K79" i="5"/>
  <c r="M79" i="5"/>
  <c r="M67" i="5" s="1"/>
  <c r="L73" i="5"/>
  <c r="L79" i="5"/>
  <c r="D79" i="5"/>
  <c r="D67" i="5" s="1"/>
  <c r="D81" i="5" s="1"/>
  <c r="G73" i="5"/>
  <c r="M79" i="32"/>
  <c r="H79" i="5"/>
  <c r="H67" i="5" s="1"/>
  <c r="H81" i="5" s="1"/>
  <c r="E73" i="5"/>
  <c r="H79" i="32"/>
  <c r="H67" i="32" s="1"/>
  <c r="H81" i="32" s="1"/>
  <c r="O79" i="5"/>
  <c r="O67" i="5" s="1"/>
  <c r="O81" i="5" s="1"/>
  <c r="O76" i="32"/>
  <c r="G79" i="32"/>
  <c r="G67" i="32" s="1"/>
  <c r="G81" i="32" s="1"/>
  <c r="J79" i="5"/>
  <c r="L79" i="32"/>
  <c r="L67" i="32" s="1"/>
  <c r="L81" i="32" s="1"/>
  <c r="D79" i="32"/>
  <c r="D67" i="32" s="1"/>
  <c r="D81" i="32" s="1"/>
  <c r="J79" i="32"/>
  <c r="J67" i="32" s="1"/>
  <c r="J81" i="32" s="1"/>
  <c r="F79" i="5"/>
  <c r="O94" i="32"/>
  <c r="K79" i="32"/>
  <c r="K67" i="32" s="1"/>
  <c r="K81" i="32" s="1"/>
  <c r="E79" i="5"/>
  <c r="C79" i="32"/>
  <c r="I79" i="32"/>
  <c r="I67" i="32" s="1"/>
  <c r="I81" i="32" s="1"/>
  <c r="F79" i="32"/>
  <c r="F67" i="32" s="1"/>
  <c r="E79" i="32"/>
  <c r="E67" i="32" s="1"/>
  <c r="E81" i="32" s="1"/>
  <c r="N79" i="5"/>
  <c r="N67" i="5" s="1"/>
  <c r="O74" i="32"/>
  <c r="N79" i="32"/>
  <c r="N99" i="32"/>
  <c r="O97" i="32"/>
  <c r="O99" i="32" s="1"/>
  <c r="O3" i="10" a="1"/>
  <c r="O3" i="10" s="1"/>
  <c r="D66" i="5"/>
  <c r="C62" i="32"/>
  <c r="C13" i="32" s="1"/>
  <c r="C66" i="32" s="1"/>
  <c r="N62" i="32"/>
  <c r="N13" i="32" s="1"/>
  <c r="N66" i="32" s="1"/>
  <c r="L62" i="32"/>
  <c r="L13" i="32" s="1"/>
  <c r="L66" i="32" s="1"/>
  <c r="H62" i="32"/>
  <c r="H13" i="32" s="1"/>
  <c r="H66" i="32" s="1"/>
  <c r="K3" i="10" a="1"/>
  <c r="K3" i="10" s="1"/>
  <c r="F62" i="32"/>
  <c r="F13" i="32" s="1"/>
  <c r="F66" i="32" s="1"/>
  <c r="O66" i="5"/>
  <c r="P3" i="10" a="1"/>
  <c r="P3" i="10" s="1"/>
  <c r="K66" i="5"/>
  <c r="J73" i="5"/>
  <c r="J62" i="32"/>
  <c r="J13" i="32" s="1"/>
  <c r="J66" i="32" s="1"/>
  <c r="M13" i="5"/>
  <c r="M66" i="5" s="1"/>
  <c r="O68" i="32"/>
  <c r="N3" i="10" a="1"/>
  <c r="N3" i="10" s="1"/>
  <c r="F66" i="5"/>
  <c r="K62" i="32"/>
  <c r="K13" i="32" s="1"/>
  <c r="K66" i="32" s="1"/>
  <c r="I62" i="32"/>
  <c r="I13" i="32" s="1"/>
  <c r="I66" i="32" s="1"/>
  <c r="N70" i="32"/>
  <c r="N73" i="32" s="1"/>
  <c r="K73" i="5"/>
  <c r="C73" i="32"/>
  <c r="I3" i="10" a="1"/>
  <c r="I3" i="10" s="1"/>
  <c r="M67" i="32" l="1"/>
  <c r="M80" i="32" s="1"/>
  <c r="F67" i="5"/>
  <c r="F81" i="5" s="1"/>
  <c r="K67" i="5"/>
  <c r="K81" i="5" s="1"/>
  <c r="J67" i="5"/>
  <c r="J81" i="5" s="1"/>
  <c r="M81" i="5"/>
  <c r="M80" i="5"/>
  <c r="N67" i="32"/>
  <c r="N81" i="32" s="1"/>
  <c r="G67" i="5"/>
  <c r="G81" i="5" s="1"/>
  <c r="D80" i="5"/>
  <c r="O79" i="32"/>
  <c r="H80" i="32"/>
  <c r="I80" i="5"/>
  <c r="D80" i="32"/>
  <c r="L67" i="5"/>
  <c r="F81" i="32"/>
  <c r="F80" i="32"/>
  <c r="H80" i="5"/>
  <c r="L80" i="32"/>
  <c r="E80" i="32"/>
  <c r="I80" i="32"/>
  <c r="G80" i="32"/>
  <c r="C67" i="32"/>
  <c r="C81" i="32" s="1"/>
  <c r="K80" i="32"/>
  <c r="J80" i="32"/>
  <c r="C80" i="5"/>
  <c r="E67" i="5"/>
  <c r="N81" i="5"/>
  <c r="N80" i="5"/>
  <c r="O80" i="5"/>
  <c r="O62" i="32"/>
  <c r="O13" i="32" s="1"/>
  <c r="O66" i="32" s="1"/>
  <c r="O70" i="32"/>
  <c r="O73" i="32" s="1"/>
  <c r="F80" i="5" l="1"/>
  <c r="K80" i="5"/>
  <c r="M81" i="32"/>
  <c r="N80" i="32"/>
  <c r="J80" i="5"/>
  <c r="G80" i="5"/>
  <c r="O67" i="32"/>
  <c r="O81" i="32" s="1"/>
  <c r="L81" i="5"/>
  <c r="L80" i="5"/>
  <c r="E81" i="5"/>
  <c r="E80" i="5"/>
  <c r="C80" i="32"/>
  <c r="O80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Đinh Khắc Hảo(Dinh Khac Hao)</author>
  </authors>
  <commentList>
    <comment ref="E3" authorId="0" shapeId="0" xr:uid="{5BA0F6B3-B0A9-42BF-8111-FCE5F5139801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G8" authorId="1" shapeId="0" xr:uid="{6299C41F-395E-42AD-B7CD-255B62F18FFF}">
      <text>
        <r>
          <rPr>
            <b/>
            <sz val="9"/>
            <color indexed="81"/>
            <rFont val="Tahoma"/>
            <family val="2"/>
          </rPr>
          <t>Kế hoạch nghỉ 5 ngày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1" shapeId="0" xr:uid="{4ACB0E1B-C564-4D87-94F5-895F461A37FF}">
      <text>
        <r>
          <rPr>
            <b/>
            <sz val="9"/>
            <color indexed="81"/>
            <rFont val="Tahoma"/>
            <family val="2"/>
          </rPr>
          <t xml:space="preserve">Kế hoạch nghỉ 5 ngày
</t>
        </r>
      </text>
    </comment>
    <comment ref="G16" authorId="1" shapeId="0" xr:uid="{2381EF1A-1E43-4726-8499-77E7D072494A}">
      <text>
        <r>
          <rPr>
            <b/>
            <sz val="9"/>
            <color indexed="81"/>
            <rFont val="Tahoma"/>
            <family val="2"/>
          </rPr>
          <t xml:space="preserve">Kế hoạch nghỉ 5 ngày
</t>
        </r>
      </text>
    </comment>
    <comment ref="M16" authorId="1" shapeId="0" xr:uid="{46B90477-9702-4A96-A8CD-A0C362BE4576}">
      <text>
        <r>
          <rPr>
            <b/>
            <sz val="9"/>
            <color indexed="81"/>
            <rFont val="Tahoma"/>
            <family val="2"/>
          </rPr>
          <t xml:space="preserve">Kế hoạch nghỉ 5 ngày
</t>
        </r>
      </text>
    </comment>
    <comment ref="F55" authorId="1" shapeId="0" xr:uid="{6ED10C8A-460D-4D7D-8DA5-47AE09B3201D}">
      <text>
        <r>
          <rPr>
            <b/>
            <sz val="9"/>
            <color indexed="81"/>
            <rFont val="Tahoma"/>
            <family val="2"/>
          </rPr>
          <t xml:space="preserve">Hết khấu hao: T8/2025
Chi phí khấu hao tháng cuối cùng sẽ khác
</t>
        </r>
      </text>
    </comment>
    <comment ref="F56" authorId="1" shapeId="0" xr:uid="{E9424E8D-C813-4937-93EE-26DF948E91A5}">
      <text>
        <r>
          <rPr>
            <b/>
            <sz val="9"/>
            <color indexed="81"/>
            <rFont val="Tahoma"/>
            <family val="2"/>
          </rPr>
          <t>Hết Khấu hao:
T11/2025
Chi phí khấu hao tháng cuối cùng sẽ khác</t>
        </r>
      </text>
    </comment>
    <comment ref="F57" authorId="1" shapeId="0" xr:uid="{5BF65EFD-EA8C-4935-9691-536EF6BB206E}">
      <text>
        <r>
          <rPr>
            <b/>
            <sz val="9"/>
            <color indexed="81"/>
            <rFont val="Tahoma"/>
            <family val="2"/>
          </rPr>
          <t>Thay đổi tháng 5 hàng năm</t>
        </r>
      </text>
    </comment>
    <comment ref="F58" authorId="1" shapeId="0" xr:uid="{73138F9F-3E44-4F0A-BDCE-93C0B6718A66}">
      <text>
        <r>
          <rPr>
            <b/>
            <sz val="9"/>
            <color indexed="81"/>
            <rFont val="Tahoma"/>
            <family val="2"/>
          </rPr>
          <t>Thay đổi tháng 5 hàng năm</t>
        </r>
      </text>
    </comment>
    <comment ref="G65" authorId="1" shapeId="0" xr:uid="{087CF7AD-2D9E-4393-ACFE-68CAEC8B3F45}">
      <text>
        <r>
          <rPr>
            <b/>
            <sz val="9"/>
            <color indexed="81"/>
            <rFont val="Tahoma"/>
            <family val="2"/>
          </rPr>
          <t>k tính người mới</t>
        </r>
      </text>
    </comment>
    <comment ref="I66" authorId="1" shapeId="0" xr:uid="{ADA41070-464C-4861-941C-6E515F9C4765}">
      <text>
        <r>
          <rPr>
            <b/>
            <sz val="9"/>
            <color indexed="81"/>
            <rFont val="Tahoma"/>
            <family val="2"/>
          </rPr>
          <t>k tính người mới</t>
        </r>
      </text>
    </comment>
    <comment ref="L67" authorId="1" shapeId="0" xr:uid="{0BFCD3B0-0B71-4AD2-BEF4-A0B1EF804C78}">
      <text>
        <r>
          <rPr>
            <b/>
            <sz val="9"/>
            <color indexed="81"/>
            <rFont val="Tahoma"/>
            <family val="2"/>
          </rPr>
          <t>aSang</t>
        </r>
      </text>
    </comment>
    <comment ref="L68" authorId="1" shapeId="0" xr:uid="{A9F30B96-295D-463E-986A-68C883A6C69E}">
      <text>
        <r>
          <rPr>
            <b/>
            <sz val="9"/>
            <color indexed="81"/>
            <rFont val="Tahoma"/>
            <family val="2"/>
          </rPr>
          <t>aSang</t>
        </r>
      </text>
    </comment>
    <comment ref="G73" authorId="1" shapeId="0" xr:uid="{D1B8B38F-050D-411E-A092-E9AE8BF851D6}">
      <text>
        <r>
          <rPr>
            <b/>
            <sz val="9"/>
            <color indexed="81"/>
            <rFont val="Tahoma"/>
            <family val="2"/>
          </rPr>
          <t>k tính người mới</t>
        </r>
      </text>
    </comment>
    <comment ref="H74" authorId="1" shapeId="0" xr:uid="{6821ACAC-8BDB-40B6-B37E-FB1F980DCC7F}">
      <text>
        <r>
          <rPr>
            <b/>
            <sz val="9"/>
            <color indexed="81"/>
            <rFont val="Tahoma"/>
            <family val="2"/>
          </rPr>
          <t xml:space="preserve">aNam,Quang,Thắng
</t>
        </r>
      </text>
    </comment>
    <comment ref="I74" authorId="1" shapeId="0" xr:uid="{4510177A-BA06-4E20-88AF-73F54175215D}">
      <text>
        <r>
          <rPr>
            <b/>
            <sz val="9"/>
            <color indexed="81"/>
            <rFont val="Tahoma"/>
            <family val="2"/>
          </rPr>
          <t>aHiep,aSang</t>
        </r>
      </text>
    </comment>
    <comment ref="L74" authorId="1" shapeId="0" xr:uid="{BF9147E0-1424-4249-96E2-DC8893AD98BB}">
      <text>
        <r>
          <rPr>
            <b/>
            <sz val="9"/>
            <color indexed="81"/>
            <rFont val="Tahoma"/>
            <family val="2"/>
          </rPr>
          <t xml:space="preserve">aHibino
</t>
        </r>
      </text>
    </comment>
    <comment ref="O74" authorId="1" shapeId="0" xr:uid="{208127D0-84C7-43F9-9BCB-C27EB4E03074}">
      <text>
        <r>
          <rPr>
            <b/>
            <sz val="9"/>
            <color indexed="81"/>
            <rFont val="Tahoma"/>
            <family val="2"/>
          </rPr>
          <t>aTai,Hao</t>
        </r>
      </text>
    </comment>
    <comment ref="P74" authorId="1" shapeId="0" xr:uid="{116D7628-0C96-47F4-B9C4-B79D53865B0C}">
      <text>
        <r>
          <rPr>
            <b/>
            <sz val="9"/>
            <color indexed="81"/>
            <rFont val="Tahoma"/>
            <family val="2"/>
          </rPr>
          <t>aKien,Long,Giang,DAnh</t>
        </r>
      </text>
    </comment>
    <comment ref="Q74" authorId="1" shapeId="0" xr:uid="{CABAB294-AA83-40E8-B532-A271D064F3E8}">
      <text>
        <r>
          <rPr>
            <b/>
            <sz val="9"/>
            <color indexed="81"/>
            <rFont val="Tahoma"/>
            <family val="2"/>
          </rPr>
          <t>khánh</t>
        </r>
      </text>
    </comment>
    <comment ref="H79" authorId="1" shapeId="0" xr:uid="{C57E95A1-26BE-4A36-A09E-5BEFB20F20D7}">
      <text>
        <r>
          <rPr>
            <b/>
            <sz val="9"/>
            <color indexed="81"/>
            <rFont val="Tahoma"/>
            <family val="2"/>
          </rPr>
          <t xml:space="preserve">Dự tính cho người mới vào sau ngày 16 tháng 5
</t>
        </r>
      </text>
    </comment>
    <comment ref="L82" authorId="1" shapeId="0" xr:uid="{C808E591-2F62-41D2-BF09-DC54C3010E3C}">
      <text>
        <r>
          <rPr>
            <b/>
            <sz val="9"/>
            <color indexed="81"/>
            <rFont val="Tahoma"/>
          </rPr>
          <t>Áo dài tay cho người mới</t>
        </r>
      </text>
    </comment>
    <comment ref="H93" authorId="1" shapeId="0" xr:uid="{35B2FEFD-4708-4261-97F4-42F95CF33796}">
      <text>
        <r>
          <rPr>
            <b/>
            <sz val="9"/>
            <color indexed="81"/>
            <rFont val="Tahoma"/>
            <charset val="1"/>
          </rPr>
          <t>Hỏi lại aKien</t>
        </r>
      </text>
    </comment>
    <comment ref="H98" authorId="1" shapeId="0" xr:uid="{71B84071-1A73-4C31-B73B-4940EC060A91}">
      <text>
        <r>
          <rPr>
            <b/>
            <sz val="9"/>
            <color indexed="81"/>
            <rFont val="Tahoma"/>
            <charset val="1"/>
          </rPr>
          <t>máy tính ng mới</t>
        </r>
      </text>
    </comment>
    <comment ref="M99" authorId="1" shapeId="0" xr:uid="{0B28BC4D-BC1E-45F8-B85A-6D536786C2CA}">
      <text>
        <r>
          <rPr>
            <b/>
            <sz val="9"/>
            <color indexed="81"/>
            <rFont val="Tahoma"/>
            <charset val="1"/>
          </rPr>
          <t xml:space="preserve">Lưỡi cưa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9F8B6947-3157-4979-9EAC-372E13D17DB7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<sst xmlns="http://schemas.openxmlformats.org/spreadsheetml/2006/main" count="1688" uniqueCount="750">
  <si>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</si>
  <si>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</si>
  <si>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</si>
  <si>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</si>
  <si>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</si>
  <si>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</si>
  <si>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</si>
  <si>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</si>
  <si>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</si>
  <si>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</si>
  <si>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</si>
  <si>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</si>
  <si>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</si>
  <si>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</si>
  <si>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</si>
  <si>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</si>
  <si>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</si>
  <si>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</si>
  <si>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</si>
  <si>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</si>
  <si>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</si>
  <si>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</si>
  <si>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</si>
  <si>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</si>
  <si>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</si>
  <si>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</si>
  <si>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</si>
  <si>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</si>
  <si>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</si>
  <si>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</si>
  <si>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</si>
  <si>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</si>
  <si>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</si>
  <si>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</si>
  <si>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</si>
  <si>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</si>
  <si>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</si>
  <si>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</si>
  <si>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</si>
  <si>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</si>
  <si>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</si>
  <si>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</si>
  <si>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</si>
  <si>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</si>
  <si>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</si>
  <si>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</si>
  <si>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</si>
  <si>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</si>
  <si>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</si>
  <si>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</si>
  <si>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</si>
  <si>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</si>
  <si>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</si>
  <si>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</si>
  <si>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</si>
  <si>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</si>
  <si>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</si>
  <si>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</si>
  <si>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</si>
  <si>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</si>
  <si>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</si>
  <si>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</si>
  <si>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</si>
  <si>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</si>
  <si>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</si>
  <si>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</si>
  <si>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</si>
  <si>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</si>
  <si>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</si>
  <si>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</si>
  <si>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</si>
  <si>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</si>
  <si>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</si>
  <si>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</si>
  <si>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</si>
  <si>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</si>
  <si>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</si>
  <si>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</si>
  <si>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</si>
  <si>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</si>
  <si>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</si>
  <si>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</si>
  <si>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</si>
  <si>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</si>
  <si>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</si>
  <si>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</si>
  <si>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</si>
  <si>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</si>
  <si>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</si>
  <si>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</si>
  <si>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</si>
  <si>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</si>
  <si>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</si>
  <si>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</si>
  <si>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</si>
  <si>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</si>
  <si>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</si>
  <si>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</si>
  <si>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</si>
  <si>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</si>
  <si>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</si>
  <si>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</si>
  <si>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</si>
  <si>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</si>
  <si>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</si>
  <si>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</si>
  <si>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</si>
  <si>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</si>
  <si>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</si>
  <si>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</si>
  <si>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</si>
  <si>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</si>
  <si>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</si>
  <si>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</si>
  <si>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</si>
  <si>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</si>
  <si>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</si>
  <si>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</si>
  <si>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</si>
  <si>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</si>
  <si>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</si>
  <si>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</si>
  <si>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</si>
  <si>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</si>
  <si>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</si>
  <si>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</si>
  <si>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</si>
  <si>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</si>
  <si>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</si>
  <si>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</si>
  <si>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</si>
  <si>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</si>
  <si>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</si>
  <si>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</si>
  <si>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</si>
  <si>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</si>
  <si>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</si>
  <si>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</si>
  <si>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</si>
  <si>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</si>
  <si>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</si>
  <si>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</si>
  <si>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</si>
  <si>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</si>
  <si>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</si>
  <si>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</si>
  <si>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</si>
  <si>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</si>
  <si>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</si>
  <si>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</si>
  <si>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</si>
  <si>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</si>
  <si>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</si>
  <si>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</si>
  <si>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</si>
  <si>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</si>
  <si>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</si>
  <si>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</si>
  <si>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</si>
  <si>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</si>
  <si>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</si>
  <si>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</si>
  <si>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</si>
  <si>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</si>
  <si>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</si>
  <si>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</si>
  <si>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</si>
  <si>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</si>
  <si>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</si>
  <si>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</si>
  <si>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</si>
  <si>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</si>
  <si>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</si>
  <si>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</si>
  <si>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</si>
  <si>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</si>
  <si>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</si>
  <si>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</si>
  <si>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</si>
  <si>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</si>
  <si>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</si>
  <si>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</si>
  <si>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</si>
  <si>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</si>
  <si>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</si>
  <si>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</si>
  <si>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</si>
  <si>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</si>
  <si>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</si>
  <si>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</si>
  <si>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</si>
  <si>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</si>
  <si>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</si>
  <si>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</si>
  <si>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</si>
  <si>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</si>
  <si>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</si>
  <si>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</si>
  <si>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</si>
  <si>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</si>
  <si>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</si>
  <si>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</si>
  <si>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</si>
  <si>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</si>
  <si>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</si>
  <si>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</si>
  <si>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</si>
  <si>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</si>
  <si>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</si>
  <si>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</si>
  <si>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</si>
  <si>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</si>
  <si>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</si>
  <si>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</si>
  <si>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</si>
  <si>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</si>
  <si>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</si>
  <si>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</si>
  <si>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</si>
  <si>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</si>
  <si>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</si>
  <si>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</si>
  <si>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</si>
  <si>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</si>
  <si>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</si>
  <si>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</si>
  <si>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</si>
  <si>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</si>
  <si>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</si>
  <si>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</si>
  <si>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</si>
  <si>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</si>
  <si>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</si>
  <si>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</si>
  <si>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</si>
  <si>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</si>
  <si>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</si>
  <si>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</si>
  <si>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</si>
  <si>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</si>
  <si>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</si>
  <si>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</si>
  <si>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</si>
  <si>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</si>
  <si>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</si>
  <si>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</si>
  <si>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</si>
  <si>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</si>
  <si>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</si>
  <si>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</si>
  <si>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</si>
  <si>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</si>
  <si>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</si>
  <si>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</si>
  <si>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</si>
  <si>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</si>
  <si>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</si>
  <si>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</si>
  <si>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</si>
  <si>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</si>
  <si>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</si>
  <si>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</si>
  <si>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</si>
  <si>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</si>
  <si>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</si>
  <si>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</si>
  <si>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</si>
  <si>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</si>
  <si>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</si>
  <si>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</si>
  <si>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</si>
  <si>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</si>
  <si>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</si>
  <si>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</si>
  <si>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</si>
  <si>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</si>
  <si>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</si>
  <si>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</si>
  <si>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</si>
  <si>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</si>
  <si>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</si>
  <si>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</si>
  <si>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</si>
  <si>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</si>
  <si>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</si>
  <si>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</si>
  <si>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</si>
  <si>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</si>
  <si>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</si>
  <si>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</si>
  <si>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</si>
  <si>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</si>
  <si>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</si>
  <si>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</si>
  <si>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</si>
  <si>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</si>
  <si>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</si>
  <si>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</si>
  <si>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</si>
  <si>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</si>
  <si>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</si>
  <si>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</si>
  <si>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</si>
  <si>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</si>
  <si>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</si>
  <si>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</si>
  <si>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</si>
  <si>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</si>
  <si>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</si>
  <si>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</si>
  <si>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</si>
  <si>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</si>
  <si>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</si>
  <si>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</si>
  <si>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</si>
  <si>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</si>
  <si>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</si>
  <si>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</si>
  <si>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</si>
  <si>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</si>
  <si>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</si>
  <si>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</si>
  <si>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</si>
  <si>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</si>
  <si>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</si>
  <si>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</si>
  <si>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</si>
  <si>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</si>
  <si>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</si>
  <si>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</si>
  <si>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</si>
  <si>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</si>
  <si>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</si>
  <si>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</si>
  <si>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</si>
  <si>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</si>
  <si>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</si>
  <si>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</si>
  <si>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</si>
  <si>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</si>
  <si>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</si>
  <si>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</si>
  <si>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</si>
  <si>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</si>
  <si>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</si>
  <si>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</si>
  <si>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</si>
  <si>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</si>
  <si>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</si>
  <si>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</si>
  <si>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</si>
  <si>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</si>
  <si>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</si>
  <si>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</si>
  <si>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</si>
  <si>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</si>
  <si>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</si>
  <si>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</si>
  <si>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</si>
  <si>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</si>
  <si>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</si>
  <si>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</si>
  <si>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</si>
  <si>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</si>
  <si>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</si>
  <si>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</si>
  <si>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</si>
  <si>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</si>
  <si>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</si>
  <si>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</si>
  <si>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</si>
  <si>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</si>
  <si>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</si>
  <si>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</si>
  <si>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</si>
  <si>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</si>
  <si>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</si>
  <si>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</si>
  <si>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</si>
  <si>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</si>
  <si>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</si>
  <si>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</si>
  <si>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</si>
  <si>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</si>
  <si>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</si>
  <si>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</si>
  <si>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</si>
  <si>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</si>
  <si>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</si>
  <si>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</si>
  <si>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</si>
  <si>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</si>
  <si>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</si>
  <si>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</si>
  <si>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</si>
  <si>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</si>
  <si>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</si>
  <si>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</si>
  <si>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</si>
  <si>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</si>
  <si>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</si>
  <si>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</si>
  <si>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</si>
  <si>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</si>
  <si>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</si>
  <si>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</si>
  <si>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</si>
  <si>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</si>
  <si>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</si>
  <si>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</si>
  <si>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</si>
  <si>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</si>
  <si>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</si>
  <si>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</si>
  <si>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</si>
  <si>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</si>
  <si>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</si>
  <si>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</si>
  <si>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</si>
  <si>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</si>
  <si>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</si>
  <si>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</si>
  <si>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</si>
  <si>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</si>
  <si>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</si>
  <si>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</si>
  <si>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</si>
  <si>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</si>
  <si>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</si>
  <si>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</si>
  <si>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</si>
  <si>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</si>
  <si>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</si>
  <si>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</si>
  <si>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</si>
  <si>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</si>
  <si>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</si>
  <si>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</si>
  <si>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</si>
  <si>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</si>
  <si>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</si>
  <si>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</si>
  <si>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</si>
  <si>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</si>
  <si>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</si>
  <si>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</si>
  <si>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</si>
  <si>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</si>
  <si>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</si>
  <si>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</si>
  <si>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</si>
  <si>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</si>
  <si>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</si>
  <si>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</si>
  <si>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</si>
  <si>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</si>
  <si>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</si>
  <si>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</si>
  <si>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</si>
  <si>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</si>
  <si>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</si>
  <si>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</si>
  <si>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</si>
  <si>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</si>
  <si>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</si>
  <si>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</si>
  <si>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</si>
  <si>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</si>
  <si>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</si>
  <si>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</si>
  <si>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</si>
  <si>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</si>
  <si>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</si>
  <si>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</si>
  <si>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</si>
  <si>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</si>
  <si>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</si>
  <si>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</si>
  <si>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</si>
  <si>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</si>
  <si>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</si>
  <si>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</si>
  <si>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</si>
  <si>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</si>
  <si>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</si>
  <si>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</si>
  <si>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</si>
  <si>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</si>
  <si>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</si>
  <si>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</si>
  <si>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</si>
  <si>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</si>
  <si>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</si>
  <si>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</si>
  <si>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</si>
  <si>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</si>
  <si>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</si>
  <si>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</si>
  <si>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</si>
  <si>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</si>
  <si>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</si>
  <si>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</si>
  <si>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</si>
  <si>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</si>
  <si>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</si>
  <si>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</si>
  <si>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</si>
  <si>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</si>
  <si>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</si>
  <si>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</si>
  <si>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</si>
  <si>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</si>
  <si>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</si>
  <si>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</si>
  <si>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</si>
  <si>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</si>
  <si>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</si>
  <si>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</si>
  <si>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</si>
  <si>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</si>
  <si>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</si>
  <si>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</si>
  <si>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</si>
  <si>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</si>
  <si>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</si>
  <si>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</si>
  <si>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</si>
  <si>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</si>
  <si>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</si>
  <si>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</si>
  <si>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</si>
  <si>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</si>
  <si>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</si>
  <si>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</si>
  <si>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</si>
  <si>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</si>
  <si>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</si>
  <si>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</si>
  <si>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</si>
  <si>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</si>
  <si>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</si>
  <si>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</si>
  <si>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</si>
  <si>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</si>
  <si>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</si>
  <si>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</si>
  <si>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</si>
  <si>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</si>
  <si>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</si>
  <si>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</si>
  <si>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</si>
  <si>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</si>
  <si>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</si>
  <si>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</si>
  <si>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</si>
  <si>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</si>
  <si>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</si>
  <si>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</si>
  <si>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</si>
  <si>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</si>
  <si>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</si>
  <si>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</si>
  <si>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</si>
  <si>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</si>
  <si>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</si>
  <si>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</si>
  <si>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</si>
  <si>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</si>
  <si>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</si>
  <si>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</si>
  <si>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</si>
  <si>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</si>
  <si>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</si>
  <si>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</si>
  <si>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</si>
  <si>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</si>
  <si>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</si>
  <si>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</si>
  <si>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</si>
  <si>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</si>
  <si>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</si>
  <si>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</si>
  <si>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</si>
  <si>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</si>
  <si>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</si>
  <si>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</si>
  <si>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</si>
  <si>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</si>
  <si>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</si>
  <si>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</si>
  <si>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</si>
  <si>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</si>
  <si>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</si>
  <si>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</si>
  <si>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</si>
  <si>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</si>
  <si>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</si>
  <si>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</si>
  <si>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</si>
  <si>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</si>
  <si>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</si>
  <si>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</si>
  <si>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</si>
  <si>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</si>
  <si>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</si>
  <si>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</si>
  <si>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</si>
  <si>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</si>
  <si>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</si>
  <si>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</si>
  <si>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</si>
  <si>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</si>
  <si>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</si>
  <si>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</si>
  <si>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</si>
  <si>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</si>
  <si>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</si>
  <si>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</si>
  <si>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</si>
  <si>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</si>
  <si>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</si>
  <si>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</si>
  <si>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</si>
  <si>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</si>
  <si>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</si>
  <si>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</si>
  <si>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</si>
  <si>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</si>
  <si>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</si>
  <si>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</si>
  <si>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</si>
  <si>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</si>
  <si>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</si>
  <si>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</si>
  <si>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</si>
  <si>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</si>
  <si>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</si>
  <si>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</si>
  <si>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</si>
  <si>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</si>
  <si>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</si>
  <si>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</si>
  <si>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</si>
  <si>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</si>
  <si>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</si>
  <si>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</si>
  <si>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</si>
  <si>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</si>
  <si>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</si>
  <si>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</si>
  <si>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</si>
  <si>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</si>
  <si>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</si>
  <si>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</si>
  <si>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</si>
  <si>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</si>
  <si>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</si>
  <si>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</si>
  <si>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</si>
  <si>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</si>
  <si>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</si>
  <si>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</si>
  <si>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</si>
  <si>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</si>
  <si>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</si>
  <si>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</si>
  <si>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</si>
  <si>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</si>
  <si>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</si>
  <si>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</si>
  <si>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</si>
  <si>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</si>
  <si>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</si>
  <si>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</si>
  <si>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</si>
  <si>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</si>
  <si>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</si>
  <si>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</si>
  <si>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</si>
  <si>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</si>
  <si>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</si>
  <si>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</si>
  <si>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</si>
  <si>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</si>
  <si>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</si>
  <si>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</si>
  <si>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</si>
  <si>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</si>
  <si>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</si>
  <si>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</si>
  <si>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</si>
  <si>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</si>
  <si>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thời gian cố định người Nhật</t>
  </si>
  <si>
    <t>Thời gian cố định người Việt</t>
  </si>
  <si>
    <t>di chuyển thời gian cố định người Nhật</t>
  </si>
  <si>
    <t>di chuyển thời gian cố định người Việt</t>
  </si>
  <si>
    <t>この分には間接部門から直接部門に配賦された数字</t>
  </si>
  <si>
    <t>thời gian tăng ca người Nhật</t>
  </si>
  <si>
    <t>thời gian tăng ca người Việt</t>
  </si>
  <si>
    <t>di chuyển thời gian tăng ca người Nhật</t>
  </si>
  <si>
    <t>di chuyển thời gian tăng ca người việt</t>
  </si>
  <si>
    <t>số người Nhật</t>
  </si>
  <si>
    <t>số người Việt</t>
  </si>
  <si>
    <t>lãi tồn kho</t>
  </si>
  <si>
    <t>tiền gas ( phân bổ theo số người tháng trước)ガス代（製）　　</t>
  </si>
  <si>
    <t>tiền nước rửa tay( phân bổ theo số người tháng trước)手洗い洗剤</t>
  </si>
  <si>
    <t>giấy vệ sinh ( phần bổ theo số người tháng trước)トイレットペーパ　　※課在籍人数が変更なければ金額変更なし。</t>
  </si>
  <si>
    <t>phí dọn vệ sinh ( phân bổ theo số người tháng trước)清掃費用　　　※KDTVN全体の在籍人員の変動で単価が変動。</t>
  </si>
  <si>
    <t>xe đưa đón nhân viên biệt phái cố đinh出向社員通勤送迎費用　　　　※翌月振替　※日数により変動</t>
  </si>
  <si>
    <t>xe đưa đón nhân viên biệt phái phát sinh 出向社員通勤送迎費用　　</t>
  </si>
  <si>
    <t>xe đưa đón người việt cố đinhローカル社員送迎費</t>
  </si>
  <si>
    <t>xe đưa đón người việt phát sinhローカル社員送迎費</t>
  </si>
  <si>
    <t>chi phí khấu hao nhà建屋償却費　　　※毎月総務からの連絡に基づき計上</t>
  </si>
  <si>
    <t>chi phí khấu hao đất土地使用権償却費　　　※毎月総務からの連絡に基づき計上</t>
  </si>
  <si>
    <t>lãi nhà 固定資産金利（建物）</t>
  </si>
  <si>
    <t>lãi đất 固定資産金利（土地）</t>
  </si>
  <si>
    <t>tiền điện電気代（製）　　　　※毎月総務からの連絡に基づき計上</t>
  </si>
  <si>
    <t>tiền nước 水道代（製）　　　　※毎月総務からの連絡に基づき計上</t>
  </si>
  <si>
    <t>khấu hao UV-UV 照度計償却費</t>
  </si>
  <si>
    <t>khấu hao-DC voltage償却費</t>
  </si>
  <si>
    <t>lãi UV-UV 照度計金利</t>
  </si>
  <si>
    <t>lãi DC-DC voltage金利</t>
  </si>
  <si>
    <t>tiền mail　メール (chốt số người vào 19 hàng tháng)</t>
  </si>
  <si>
    <t>tiền điện thoại</t>
  </si>
  <si>
    <t>10年勤続記念コンパ Tiệc kỷ niệm 10 năm gắn bó</t>
  </si>
  <si>
    <t>10年勤続記念品 Quà kỷ niệm cho CNV 10 năm gắn bó</t>
  </si>
  <si>
    <t>tháng 11 đại hội thể thao 11月運動会</t>
  </si>
  <si>
    <t>tháng 12 khám sức khỏe 12月健康診断 174000</t>
  </si>
  <si>
    <t>tiền hiếu hỉ (子供祝い、結婚祝い。。。）</t>
  </si>
  <si>
    <t>Nghỉ tiếng nhật</t>
  </si>
  <si>
    <t>tiền khám sức khỏe (sau 1 tháng nv vào)採用時健診</t>
  </si>
  <si>
    <t>lịch bỏ túi ポケットカレンダー 800</t>
  </si>
  <si>
    <t>quần 制服ズボン  116,000</t>
  </si>
  <si>
    <t>mũ màu 帽子（カラー） 39,000</t>
  </si>
  <si>
    <t>giày nữ シューズ（女性）</t>
  </si>
  <si>
    <t>giày nam シューズ（男性） 84,000</t>
  </si>
  <si>
    <t>thẻ từ chấm công + ảnh 社員証（新入社員用・再発行時、写真含む）58,000</t>
  </si>
  <si>
    <t xml:space="preserve">vỏ thẻ + móc thẻ社員証用ケース </t>
  </si>
  <si>
    <t xml:space="preserve">bút ペン </t>
  </si>
  <si>
    <t xml:space="preserve">sổ ノート </t>
  </si>
  <si>
    <t>Hiệu chuẩn thiết bị đo</t>
  </si>
  <si>
    <t>phí công cụ dụng cụ</t>
  </si>
  <si>
    <t>NX CAD</t>
  </si>
  <si>
    <t>áo mùa hè 制服（夏） 165,000</t>
  </si>
  <si>
    <t>áo mùa đông 制服（冬） 175000</t>
  </si>
  <si>
    <t>Sổ tay philosophy (chú ý 2 quyển) フィロソフィ手帳    27,200</t>
  </si>
  <si>
    <t>Tiền tất niên</t>
  </si>
  <si>
    <t>Visual Studio License</t>
  </si>
  <si>
    <t>Lưỡi cưa</t>
  </si>
  <si>
    <t>Máy khoan 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</si>
</sst>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(* #,##0.00_);_(* \(#,##0.00\);_(* &quot;-&quot;??_);_(@_)"/>
    <numFmt numFmtId="164" formatCode="&quot;¥&quot;#,##0;[Red]&quot;¥&quot;\-#,##0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  <numFmt numFmtId="183" formatCode="&quot;T5 du lịch công ty-5月社員旅行  &quot;#,##0&quot; VND&quot;"/>
    <numFmt numFmtId="184" formatCode="&quot;tiền lì xì tháng 2-2月お年玉 &quot;#,##0&quot; VND&quot;"/>
    <numFmt numFmtId="185" formatCode="&quot;7月phylosophy &quot;#,##0&quot; VND&quot;"/>
    <numFmt numFmtId="186" formatCode="&quot;9月 tháng 9 kyocera festival   &quot;#,##0&quot; VND&quot;"/>
    <numFmt numFmtId="187" formatCode="&quot;tiền khấy động năm tài chính 決起コンパ  &quot;#,##0&quot; VND&quot;"/>
    <numFmt numFmtId="188" formatCode="&quot;tiền sinh nhật 誕生日会  &quot;#,##0&quot; VND&quot;"/>
    <numFmt numFmtId="189" formatCode="&quot;10月餅  tháng 10 Bánh Trung Thu  &quot;#,##0&quot; VND&quot;"/>
  </numFmts>
  <fonts count="9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Arial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Arial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b/>
      <sz val="9"/>
      <color indexed="81"/>
      <name val="Tahoma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8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72" fillId="0" borderId="0">
      <alignment vertical="center"/>
    </xf>
    <xf numFmtId="40" fontId="72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</cellStyleXfs>
  <cellXfs count="309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73" fillId="34" borderId="39" xfId="68" applyFont="1" applyFill="1" applyBorder="1" applyAlignment="1" applyProtection="1">
      <alignment horizontal="right" vertical="center"/>
      <protection locked="0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  <xf numFmtId="183" fontId="5" fillId="34" borderId="39" xfId="0" applyNumberFormat="1" applyFont="1" applyFill="1" applyBorder="1" applyAlignment="1" applyProtection="1">
      <alignment horizontal="left"/>
      <protection locked="0"/>
    </xf>
    <xf numFmtId="184" fontId="5" fillId="34" borderId="39" xfId="0" applyNumberFormat="1" applyFont="1" applyFill="1" applyBorder="1" applyAlignment="1" applyProtection="1">
      <alignment horizontal="left"/>
      <protection locked="0"/>
    </xf>
    <xf numFmtId="185" fontId="5" fillId="34" borderId="39" xfId="0" applyNumberFormat="1" applyFont="1" applyFill="1" applyBorder="1" applyAlignment="1" applyProtection="1">
      <alignment horizontal="left"/>
      <protection locked="0"/>
    </xf>
    <xf numFmtId="186" fontId="5" fillId="34" borderId="39" xfId="0" applyNumberFormat="1" applyFont="1" applyFill="1" applyBorder="1" applyAlignment="1" applyProtection="1">
      <alignment horizontal="left"/>
      <protection locked="0"/>
    </xf>
    <xf numFmtId="187" fontId="5" fillId="34" borderId="39" xfId="0" applyNumberFormat="1" applyFont="1" applyFill="1" applyBorder="1" applyAlignment="1" applyProtection="1">
      <alignment horizontal="left"/>
      <protection locked="0"/>
    </xf>
    <xf numFmtId="188" fontId="5" fillId="34" borderId="39" xfId="0" applyNumberFormat="1" applyFont="1" applyFill="1" applyBorder="1" applyAlignment="1" applyProtection="1">
      <alignment horizontal="left"/>
      <protection locked="0"/>
    </xf>
    <xf numFmtId="189" fontId="5" fillId="34" borderId="39" xfId="0" applyNumberFormat="1" applyFont="1" applyFill="1" applyBorder="1" applyAlignment="1" applyProtection="1">
      <alignment horizontal="left"/>
      <protection locked="0"/>
    </xf>
  </cellXfs>
  <cellStyles count="178">
    <cellStyle name="_FY2014 MP作成依頼（KDTCN).1207(3)" xfId="1" xr:uid="{66AF9D99-A8D7-4B0D-8522-DCB3105C5538}"/>
    <cellStyle name="20% - Accent1" xfId="2" xr:uid="{D6F09675-8D1C-4BDB-A477-F9A5B72B71E5}"/>
    <cellStyle name="20% - Accent2" xfId="3" xr:uid="{59CD1553-3AC7-40E0-8828-923701C83597}"/>
    <cellStyle name="20% - Accent3" xfId="4" xr:uid="{B7012C1D-5B18-4AFC-A457-BD846E6DB3AC}"/>
    <cellStyle name="20% - Accent4" xfId="5" xr:uid="{403FCD11-3825-488A-8E9E-3C8F4859B098}"/>
    <cellStyle name="20% - Accent5" xfId="6" xr:uid="{897FDF92-7B8F-46B0-9255-BB8E017A09A0}"/>
    <cellStyle name="20% - Accent6" xfId="7" xr:uid="{17A5FD19-6568-455B-AEF6-033EA707E573}"/>
    <cellStyle name="20% - アクセント 1" xfId="8" xr:uid="{FCB15204-E79C-4838-BFFE-B9467DD7F3A5}"/>
    <cellStyle name="20% - アクセント 1 2" xfId="9" xr:uid="{3F98E4B2-4C9D-4C8D-9BC7-1588D5135EDB}"/>
    <cellStyle name="20% - アクセント 2" xfId="10" xr:uid="{AF95449C-5880-4C2E-8290-AFDCA5C4C31F}"/>
    <cellStyle name="20% - アクセント 2 2" xfId="11" xr:uid="{C14B18EE-86F2-481B-A233-691DCCD589EF}"/>
    <cellStyle name="20% - アクセント 3" xfId="12" xr:uid="{27255760-209B-487A-9CEB-504C512B9B5A}"/>
    <cellStyle name="20% - アクセント 3 2" xfId="13" xr:uid="{65737E66-DEA5-4E33-804D-1B6F5D4C99F1}"/>
    <cellStyle name="20% - アクセント 4" xfId="14" xr:uid="{3FD0B9E9-43C8-4B0C-AD9E-EA9B11A8A79F}"/>
    <cellStyle name="20% - アクセント 4 2" xfId="15" xr:uid="{8196B456-B9EF-46C8-ACE2-117816C69BCD}"/>
    <cellStyle name="20% - アクセント 5" xfId="16" xr:uid="{A2E5D1C4-6EE0-4E26-A5FA-EFA0E2B2DB88}"/>
    <cellStyle name="20% - アクセント 5 2" xfId="17" xr:uid="{343A1585-C9C1-4962-B70E-9127F7BA5BAA}"/>
    <cellStyle name="20% - アクセント 6" xfId="18" xr:uid="{60C521C0-885B-438A-8851-2277A8936770}"/>
    <cellStyle name="20% - アクセント 6 2" xfId="19" xr:uid="{F49558C8-E26D-434A-8525-E39431CBE3C5}"/>
    <cellStyle name="3232" xfId="20" xr:uid="{A565260C-1E79-48EA-BC1A-1EB075A9EB59}"/>
    <cellStyle name="40% - Accent1" xfId="21" xr:uid="{2CC863A8-3457-4A01-89A4-15E6EAD2A3FA}"/>
    <cellStyle name="40% - Accent2" xfId="22" xr:uid="{10CC8372-F972-4E00-BBF0-D8F78286BA8E}"/>
    <cellStyle name="40% - Accent3" xfId="23" xr:uid="{AE46AA11-02ED-46B2-BC0C-9DFB33E87D8D}"/>
    <cellStyle name="40% - Accent4" xfId="24" xr:uid="{D62D1C6F-8CA3-48F6-903B-BEB4AF15C6E5}"/>
    <cellStyle name="40% - Accent5" xfId="25" xr:uid="{8C881166-93D6-4A46-A98C-0011F1FCA898}"/>
    <cellStyle name="40% - Accent6" xfId="26" xr:uid="{D21FF164-DC4C-4F43-93AF-9706EF07474D}"/>
    <cellStyle name="40% - アクセント 1" xfId="27" xr:uid="{95A0362D-69F6-4AEC-8280-5355948F9762}"/>
    <cellStyle name="40% - アクセント 1 2" xfId="28" xr:uid="{3FDFFF69-7E65-41AA-8BC7-B2F2AC832A09}"/>
    <cellStyle name="40% - アクセント 2" xfId="29" xr:uid="{22C272B2-D8C9-4C80-9796-9B84F35A60E9}"/>
    <cellStyle name="40% - アクセント 2 2" xfId="30" xr:uid="{D3324B5A-81EC-42DC-94B2-2E5AB1CFE649}"/>
    <cellStyle name="40% - アクセント 3" xfId="31" xr:uid="{56408EBE-4687-48FC-AEC1-425BFE380812}"/>
    <cellStyle name="40% - アクセント 3 2" xfId="32" xr:uid="{E1BED46D-A4F3-46E0-BD54-ED907EDC8337}"/>
    <cellStyle name="40% - アクセント 4" xfId="33" xr:uid="{057C6782-C8E1-424D-82E0-A621DD4E5A48}"/>
    <cellStyle name="40% - アクセント 4 2" xfId="34" xr:uid="{337AEAF8-A174-45E8-915A-DBDF57AE56CF}"/>
    <cellStyle name="40% - アクセント 5" xfId="35" xr:uid="{0B2DE99B-0FCD-4E8F-A54F-1A1E5E52257C}"/>
    <cellStyle name="40% - アクセント 5 2" xfId="36" xr:uid="{A9AADC68-6BE3-4EC1-8709-60FCA60C408E}"/>
    <cellStyle name="40% - アクセント 6" xfId="37" xr:uid="{278777C0-9892-4FC3-933F-9B529B56521E}"/>
    <cellStyle name="40% - アクセント 6 2" xfId="38" xr:uid="{C4F22C9F-156A-4ADA-B52C-757ED0839C53}"/>
    <cellStyle name="60% - Accent1" xfId="39" xr:uid="{DEE5775D-0ABA-447A-B511-0E261E57C13C}"/>
    <cellStyle name="60% - Accent2" xfId="40" xr:uid="{BD39FCDF-B4DF-4CB3-A60B-8653EADA9D65}"/>
    <cellStyle name="60% - Accent3" xfId="41" xr:uid="{C2E14B4D-A054-44EC-96B6-B503C563EF57}"/>
    <cellStyle name="60% - Accent4" xfId="42" xr:uid="{475C282A-2709-48D9-B456-9E9EEE45B50B}"/>
    <cellStyle name="60% - Accent5" xfId="43" xr:uid="{FD524B47-D8AE-4926-A2D3-54794E3D5A7E}"/>
    <cellStyle name="60% - Accent6" xfId="44" xr:uid="{453083BF-A65C-47F8-91B3-3D6B081EA5ED}"/>
    <cellStyle name="60% - アクセント 1" xfId="45" xr:uid="{6451010C-B388-416E-8370-BF1B44C90DBE}"/>
    <cellStyle name="60% - アクセント 1 2" xfId="46" xr:uid="{5EDDFED1-1C00-4D3F-A65D-D763E7631352}"/>
    <cellStyle name="60% - アクセント 2" xfId="47" xr:uid="{BAF748E5-39A0-4F86-B7B7-2062D170F7C0}"/>
    <cellStyle name="60% - アクセント 2 2" xfId="48" xr:uid="{6F912E30-42C8-4DAD-A0E9-0A746C744E7B}"/>
    <cellStyle name="60% - アクセント 3" xfId="49" xr:uid="{7D8020FC-6F3F-4E3E-A2C1-A93F486AF5B2}"/>
    <cellStyle name="60% - アクセント 3 2" xfId="50" xr:uid="{87348326-D01F-488A-ABB0-96F38EDE5ACF}"/>
    <cellStyle name="60% - アクセント 4" xfId="51" xr:uid="{0D701442-809F-4B79-93C7-BD39D5642FFC}"/>
    <cellStyle name="60% - アクセント 4 2" xfId="52" xr:uid="{34F51655-8C7B-4D1B-A219-153EECD0E35C}"/>
    <cellStyle name="60% - アクセント 5" xfId="53" xr:uid="{7AC310D8-40D6-48C9-90DC-765D70608C94}"/>
    <cellStyle name="60% - アクセント 5 2" xfId="54" xr:uid="{21F7A83F-BA1A-405D-B6D5-FF2AD21DB721}"/>
    <cellStyle name="60% - アクセント 6" xfId="55" xr:uid="{4F5FC3E9-9864-45A6-80FF-9BFD6B8D90BA}"/>
    <cellStyle name="60% - アクセント 6 2" xfId="56" xr:uid="{C387F8D3-DBE8-48D7-821E-6C2229B339CE}"/>
    <cellStyle name="Accent1" xfId="57" xr:uid="{8EDD1B8A-D74E-44A8-A297-2EE946A2B40E}"/>
    <cellStyle name="Accent2" xfId="58" xr:uid="{B6595812-51D5-4389-8F0F-F606AA5DB09B}"/>
    <cellStyle name="Accent3" xfId="59" xr:uid="{246C4281-391B-43E2-8D39-31234A422B4A}"/>
    <cellStyle name="Accent4" xfId="60" xr:uid="{57D5BF8A-DCC8-44E6-A0C3-A293E515AA1B}"/>
    <cellStyle name="Accent5" xfId="61" xr:uid="{2C3C20EB-5D71-4BC2-9D0D-2EF0C79DDD5C}"/>
    <cellStyle name="Accent6" xfId="62" xr:uid="{4C7B5818-D634-401E-812B-1F93998FFFCC}"/>
    <cellStyle name="Bad" xfId="63" xr:uid="{BE2F5580-7491-4CD9-B47A-1607823C1F4C}"/>
    <cellStyle name="Calculation" xfId="64" xr:uid="{A9802BA6-0AF3-47D6-91A8-2BCB63F53E7D}"/>
    <cellStyle name="Check Cell" xfId="65" xr:uid="{B1F39CCC-F81A-444A-ADA0-DAA5ED693EF9}"/>
    <cellStyle name="Comma" xfId="66" builtinId="3"/>
    <cellStyle name="Comma [0]" xfId="67" builtinId="6"/>
    <cellStyle name="Comma [0] 2" xfId="68" xr:uid="{1B09BBB0-D507-4AE9-9EEC-4993E6A93576}"/>
    <cellStyle name="Comma [0] 2 2" xfId="69" xr:uid="{FEB94AA8-7B2E-48D0-B2BF-106FA4FA6050}"/>
    <cellStyle name="Comma [0] 3" xfId="70" xr:uid="{C601194D-309E-46C0-8DC0-E87AFACD9B2C}"/>
    <cellStyle name="Comma [0] 4" xfId="71" xr:uid="{4619AF22-D04B-4C1A-AD2B-9A307A652014}"/>
    <cellStyle name="Comma 2" xfId="72" xr:uid="{94A92B63-31A4-4C16-9F7F-DE8A6D9477AB}"/>
    <cellStyle name="Comma 2 3" xfId="73" xr:uid="{E46A7CF7-5725-42BF-B121-20266853016F}"/>
    <cellStyle name="Comma 3" xfId="74" xr:uid="{6E0C2521-E0C3-4A70-8E85-1C4A1F942D0D}"/>
    <cellStyle name="Comma 3 2 2" xfId="75" xr:uid="{45FCEA8F-0771-491D-8DB0-996A2B45DB1A}"/>
    <cellStyle name="Comma 4" xfId="76" xr:uid="{25F98AA9-3D05-409A-9384-C5936B99396C}"/>
    <cellStyle name="Comma 5" xfId="77" xr:uid="{C1F378DF-6898-4A2A-BB9B-8F86E0C86A14}"/>
    <cellStyle name="Comma 6" xfId="78" xr:uid="{6CF49341-A1C4-4485-977E-5BDBE7730F19}"/>
    <cellStyle name="Comma 7" xfId="176" xr:uid="{13D859E0-AE4F-4F86-8E09-FA0672792198}"/>
    <cellStyle name="Comma 8" xfId="177" xr:uid="{65FD5D1B-9579-41EF-9494-BC625B551B72}"/>
    <cellStyle name="Currency [0] 2" xfId="79" xr:uid="{944B261C-C088-4B7C-99C3-567617910A82}"/>
    <cellStyle name="Explanatory Text" xfId="80" xr:uid="{7229AA55-5222-4974-B875-483469AB8C5F}"/>
    <cellStyle name="Good" xfId="81" xr:uid="{5DB0BFEC-EFD6-47CE-8781-3F53FCE4C99D}"/>
    <cellStyle name="Heading 1" xfId="82" xr:uid="{21F85FA1-6D0B-4A07-9084-1CD36911B361}"/>
    <cellStyle name="Heading 2" xfId="83" xr:uid="{FA45FE70-2418-4C05-92BC-64F6F5DAB19D}"/>
    <cellStyle name="Heading 3" xfId="84" xr:uid="{346E0BCD-8CF6-4109-8F40-B43A5A6A4AC2}"/>
    <cellStyle name="Heading 4" xfId="85" xr:uid="{ED8BDAB0-89B7-4145-B22B-8C0CBB03F82E}"/>
    <cellStyle name="Input" xfId="86" xr:uid="{F7DECB08-2325-427D-850D-E412CB7B63AF}"/>
    <cellStyle name="Linked Cell" xfId="87" xr:uid="{328F178C-D286-4E65-923C-E79E954C0140}"/>
    <cellStyle name="Neutral" xfId="88" xr:uid="{FC807F96-8359-4B15-A623-01F41A5E5DEC}"/>
    <cellStyle name="Normal" xfId="0" builtinId="0"/>
    <cellStyle name="Normal 2" xfId="89" xr:uid="{205270A1-6270-43A6-9A34-EBD788E563CA}"/>
    <cellStyle name="Normal 2 2" xfId="90" xr:uid="{5F71454D-C430-494F-8D2F-FCCBC3D1555F}"/>
    <cellStyle name="Normal 3" xfId="91" xr:uid="{52346D52-1901-4B27-9AEA-06A7861DBC70}"/>
    <cellStyle name="Normal 4" xfId="92" xr:uid="{F45C393B-6D8E-41D7-B21D-3FF19DFCAE61}"/>
    <cellStyle name="Normal 5" xfId="93" xr:uid="{DF754067-ADCD-40C0-BCF3-86BDB27E4A90}"/>
    <cellStyle name="Normal 6" xfId="175" xr:uid="{0A4ED4D3-D93B-4318-9162-C0335434DF30}"/>
    <cellStyle name="Note" xfId="94" xr:uid="{A847F6BE-C2B4-4A0B-9040-7DC355B558F0}"/>
    <cellStyle name="Output" xfId="95" xr:uid="{24EFA2C8-196F-4203-9505-E625DE567E86}"/>
    <cellStyle name="Percent 2" xfId="96" xr:uid="{6946F1B9-7913-4590-9E11-152D2DD3A582}"/>
    <cellStyle name="Percent 3" xfId="97" xr:uid="{D79BB09C-3F1F-455A-A654-76409B37C3F1}"/>
    <cellStyle name="Title" xfId="98" xr:uid="{D8DDDDC2-671D-4072-80E6-4BB5F096B225}"/>
    <cellStyle name="Total" xfId="99" xr:uid="{AFC8AC20-1412-4F00-B1D3-6A8336EE200A}"/>
    <cellStyle name="Warning Text" xfId="100" xr:uid="{1A1929F2-C304-4DF7-AB54-EB99049FA1F9}"/>
    <cellStyle name="アクセント 1" xfId="101" xr:uid="{A051DDCC-4701-4AB5-863F-41DF89F6AAC1}"/>
    <cellStyle name="アクセント 1 2" xfId="102" xr:uid="{4A8F3608-2AD9-4990-8996-487D9E1BF504}"/>
    <cellStyle name="アクセント 2" xfId="103" xr:uid="{913EA8E4-108B-483D-A2F8-635FF83304E5}"/>
    <cellStyle name="アクセント 2 2" xfId="104" xr:uid="{CBC4DE55-78A4-42F4-AFE8-D1A9E4131CCD}"/>
    <cellStyle name="アクセント 3" xfId="105" xr:uid="{BD2928DC-F022-4278-B73E-C61E6B34CA8E}"/>
    <cellStyle name="アクセント 3 2" xfId="106" xr:uid="{13C17EE6-9DC9-414E-AA56-5FF971151CB3}"/>
    <cellStyle name="アクセント 4" xfId="107" xr:uid="{077330CD-3774-4212-AF5C-5C0460FC1391}"/>
    <cellStyle name="アクセント 4 2" xfId="108" xr:uid="{A758AA96-63CD-44AC-A227-59D1C2157428}"/>
    <cellStyle name="アクセント 5" xfId="109" xr:uid="{2AA4E997-299A-4AAA-A42A-104331085043}"/>
    <cellStyle name="アクセント 5 2" xfId="110" xr:uid="{4A93A8D4-F2F2-42C1-8854-60F61418D3CC}"/>
    <cellStyle name="アクセント 6" xfId="111" xr:uid="{34A288F2-C7BE-4F71-B48E-FC8285D9F83C}"/>
    <cellStyle name="アクセント 6 2" xfId="112" xr:uid="{5AA30861-18EF-465A-83A5-244CB15E2E83}"/>
    <cellStyle name="タイトル" xfId="113" xr:uid="{732A8A39-4902-4E66-BB25-79CA5895F194}"/>
    <cellStyle name="タイトル 2" xfId="114" xr:uid="{55BB47D2-7C23-4660-9C66-E74DD5CCD46C}"/>
    <cellStyle name="チェック セル" xfId="115" xr:uid="{038A6F9C-B1A6-438E-BA89-08901A6C32A4}"/>
    <cellStyle name="チェック セル 2" xfId="116" xr:uid="{6B9B3F24-742E-4926-9578-EC84C57237EC}"/>
    <cellStyle name="どちらでもない" xfId="117" xr:uid="{E39E572D-F80B-44F2-8F10-D253CE60160A}"/>
    <cellStyle name="どちらでもない 2" xfId="118" xr:uid="{1555C960-6101-4937-85F0-F46FD6264596}"/>
    <cellStyle name="パーセント 2" xfId="119" xr:uid="{87B1B629-907D-4711-9D60-68856EDB45E5}"/>
    <cellStyle name="パーセント 3" xfId="120" xr:uid="{E1D5723E-9D0F-4E55-BBC4-56A2E8D84DFB}"/>
    <cellStyle name="パーセント 3 2" xfId="121" xr:uid="{C18C6B94-7FFE-46D7-ACAD-EAB485CC230D}"/>
    <cellStyle name="メモ" xfId="122" xr:uid="{967C49ED-01BB-4590-BA23-226DCEE93754}"/>
    <cellStyle name="メモ 2" xfId="123" xr:uid="{E3F2D80B-9ADE-460D-9EFF-7C3FB68CFA23}"/>
    <cellStyle name="リンク セル" xfId="124" xr:uid="{EA557F7D-11F9-499D-9B0C-D0C9D3D4CDC2}"/>
    <cellStyle name="リンク セル 2" xfId="125" xr:uid="{05AFEBD0-0A54-447D-B286-02A7B7A70BF1}"/>
    <cellStyle name="一般_KMHK FY2008 時間当り採算 2007年4月 ( Month Plan )" xfId="128" xr:uid="{6754645B-D2D5-4D9E-A679-800D7706B6D7}"/>
    <cellStyle name="一般_設備投資金額一覽表" xfId="129" xr:uid="{BBFB05E0-9B1A-447F-9207-62A39C7EF53F}"/>
    <cellStyle name="入力" xfId="161" xr:uid="{4475967D-C5C4-4169-8767-F3DBC9C302EC}"/>
    <cellStyle name="入力 2" xfId="162" xr:uid="{4B9BC154-F1DF-4696-9A05-91A3FDFDE7AE}"/>
    <cellStyle name="出力" xfId="154" xr:uid="{F89788E6-771F-4D4D-9D7B-94B77F78495E}"/>
    <cellStyle name="出力 2" xfId="155" xr:uid="{7AB8F98C-4F76-464D-B422-B5F11CCA2AE5}"/>
    <cellStyle name="常规_総生産分析(0605-0606)" xfId="156" xr:uid="{CA4FAAEE-BDC1-44B8-80A6-1A7B73B80793}"/>
    <cellStyle name="悪い" xfId="126" xr:uid="{4D56D478-1CB4-484E-93AF-030DD66FFF42}"/>
    <cellStyle name="悪い 2" xfId="127" xr:uid="{28F11ED4-ECA2-4D14-B9D8-BCA5F7F1F8A1}"/>
    <cellStyle name="未定義" xfId="172" xr:uid="{FC2B7E91-976A-4AE6-9769-ED7BB71056D5}"/>
    <cellStyle name="桁区切り [0.00] 2" xfId="134" xr:uid="{83D82FBF-35C3-46D4-BB44-4F03D9496048}"/>
    <cellStyle name="桁区切り [0.00] 2 2" xfId="135" xr:uid="{E41CEA64-CEA3-4DA3-9C06-907D10F93F2D}"/>
    <cellStyle name="桁区切り [0.00] 2 3" xfId="136" xr:uid="{1D48EA16-28D0-4DC8-9126-4BD9932ADE43}"/>
    <cellStyle name="桁区切り 2" xfId="137" xr:uid="{F3076A27-F261-4037-AFED-AED6C41214D9}"/>
    <cellStyle name="桁区切り 2 2" xfId="138" xr:uid="{F161F15D-A589-47D1-99FE-D32CCBBC2D03}"/>
    <cellStyle name="桁区切り 2 3" xfId="139" xr:uid="{2C9DF004-FFB1-4E6B-94BB-42945A3416A0}"/>
    <cellStyle name="桁区切り 3" xfId="140" xr:uid="{22E15943-A028-4EB6-B887-26ACEDCF35D5}"/>
    <cellStyle name="桁区切り 4" xfId="141" xr:uid="{5005D2BB-8797-4A7F-B9D6-BF76F9307EDC}"/>
    <cellStyle name="桁区切り 5" xfId="142" xr:uid="{98B5D2E0-09FA-48A5-8695-3B3D1B98ECB2}"/>
    <cellStyle name="桁区切り 6" xfId="143" xr:uid="{996CD062-DFCA-4079-B3B7-E662D87A51E8}"/>
    <cellStyle name="標準 2" xfId="163" xr:uid="{AB170D45-0FCA-4DFF-B143-4F37563A16BC}"/>
    <cellStyle name="標準 2 2" xfId="164" xr:uid="{024EC88F-55F4-46FE-A777-99C538103B74}"/>
    <cellStyle name="標準 3" xfId="165" xr:uid="{FBBD0118-D362-4686-AF3F-4FDC10CA21F5}"/>
    <cellStyle name="標準 3 2" xfId="166" xr:uid="{7E9FA314-D3C3-4192-B0C8-5CCEF19616C5}"/>
    <cellStyle name="標準 4" xfId="167" xr:uid="{FEBAEE7F-5192-4EB3-977A-1BACC6FAA0EC}"/>
    <cellStyle name="標準 4 2" xfId="168" xr:uid="{58C7882B-AC05-4A82-902F-CA2ED19FE650}"/>
    <cellStyle name="標準_★予定用採算表フォーム（製造課用）" xfId="169" xr:uid="{7C1C9BC7-C49B-48B6-847B-3A450265B363}"/>
    <cellStyle name="標準_03.2012 08 31 KDTVN採算表及集計表 FY2013_09（製技用）" xfId="170" xr:uid="{34DBE75A-7043-44D1-9926-D68C3039478E}"/>
    <cellStyle name="標準_KDTVN 2012年9月1日付原価センタ" xfId="171" xr:uid="{B0FC1FDC-F11C-4E38-AF1D-CF1D6EDE2D53}"/>
    <cellStyle name="良い" xfId="173" xr:uid="{75DC96B5-5868-4A51-A57F-A520F3EE16C2}"/>
    <cellStyle name="良い 2" xfId="174" xr:uid="{4761C892-5071-4252-88A5-FC16B8A38525}"/>
    <cellStyle name="見出し 1" xfId="144" xr:uid="{1AA38BA6-C442-47C8-9645-B994C2D9253E}"/>
    <cellStyle name="見出し 1 2" xfId="145" xr:uid="{C412B54B-939B-4AB2-AD60-8B22D1669F26}"/>
    <cellStyle name="見出し 2" xfId="146" xr:uid="{2C60EA3A-A5E8-411C-A81F-B994AC187FF7}"/>
    <cellStyle name="見出し 2 2" xfId="147" xr:uid="{59749011-5558-4202-AC59-D8FF69063BB9}"/>
    <cellStyle name="見出し 3" xfId="148" xr:uid="{B5DF51AD-2086-4F46-BC78-C8D52BD8AE1E}"/>
    <cellStyle name="見出し 3 2" xfId="149" xr:uid="{89F735C7-7B67-4F0A-8A73-961CF1420D41}"/>
    <cellStyle name="見出し 4" xfId="150" xr:uid="{796B3CC8-DE0E-4ECF-9BC4-DB89BCC9A807}"/>
    <cellStyle name="見出し 4 2" xfId="151" xr:uid="{CDB1DFD1-7F2F-4E5A-8602-78A4FAF202E2}"/>
    <cellStyle name="計算" xfId="130" xr:uid="{C31E50C8-A2FA-4AFC-B576-E832598B2863}"/>
    <cellStyle name="計算 2" xfId="131" xr:uid="{76C23E5D-624F-42BB-A657-0B4147D7FFAB}"/>
    <cellStyle name="説明文" xfId="157" xr:uid="{BA085D82-2FE9-4BB0-9352-2BF0A385E833}"/>
    <cellStyle name="説明文 2" xfId="158" xr:uid="{BC62714A-FD44-430D-939D-E1621F2A163E}"/>
    <cellStyle name="警告文" xfId="132" xr:uid="{9670B24D-4690-4F55-BA6D-6EEC55627A2D}"/>
    <cellStyle name="警告文 2" xfId="133" xr:uid="{08DDDC16-944F-4FBB-BCBA-47317589094F}"/>
    <cellStyle name="通貨 2" xfId="159" xr:uid="{117C4316-B0FA-4D1A-A4EA-23C785F422A4}"/>
    <cellStyle name="通貨 3" xfId="160" xr:uid="{1ED90A89-73E9-45B2-A13F-0CB1286C30FC}"/>
    <cellStyle name="集計" xfId="152" xr:uid="{2D76AF45-BFDA-4923-B71E-54399D6FCCF5}"/>
    <cellStyle name="集計 2" xfId="153" xr:uid="{AADDCEA5-8EA6-4A02-AA3C-F7C4C968B8C8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FD09-C1F0-43FF-9076-57184481523B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生産技術2課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1.9999999999527063E-2</v>
      </c>
      <c r="D13" s="133">
        <f t="shared" ref="D13:O13" si="3">SUM(D14:D65)</f>
        <v>2.0000000000436557E-2</v>
      </c>
      <c r="E13" s="133">
        <f t="shared" si="3"/>
        <v>3.9999999999054126E-2</v>
      </c>
      <c r="F13" s="133">
        <f t="shared" si="3"/>
        <v>3.999999999996362E-2</v>
      </c>
      <c r="G13" s="133">
        <f t="shared" si="3"/>
        <v>4.9999999999727152E-2</v>
      </c>
      <c r="H13" s="133">
        <f t="shared" si="3"/>
        <v>4.9999999999727152E-2</v>
      </c>
      <c r="I13" s="133">
        <f t="shared" si="3"/>
        <v>4.0000000000418368E-2</v>
      </c>
      <c r="J13" s="133">
        <f t="shared" si="3"/>
        <v>3.999999999996362E-2</v>
      </c>
      <c r="K13" s="133">
        <f t="shared" si="3"/>
        <v>5.0000000000181899E-2</v>
      </c>
      <c r="L13" s="133">
        <f t="shared" si="3"/>
        <v>3.0000000000200089E-2</v>
      </c>
      <c r="M13" s="133">
        <f t="shared" si="3"/>
        <v>1.999999999998181E-2</v>
      </c>
      <c r="N13" s="133">
        <f t="shared" si="3"/>
        <v>4.0000000000418368E-2</v>
      </c>
      <c r="O13" s="133">
        <f t="shared" si="3"/>
        <v>0.43999999999505235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518.1</v>
      </c>
      <c r="D20" s="136">
        <f>ROUNDUP('採算表(VND)'!D20/$N$1,2)</f>
        <v>532</v>
      </c>
      <c r="E20" s="136">
        <f>ROUNDUP('採算表(VND)'!E20/$N$1,2)</f>
        <v>532.08000000000004</v>
      </c>
      <c r="F20" s="136">
        <f>ROUNDUP('採算表(VND)'!F20/$N$1,2)</f>
        <v>527.68999999999994</v>
      </c>
      <c r="G20" s="136">
        <f>ROUNDUP('採算表(VND)'!G20/$N$1,2)</f>
        <v>441.27</v>
      </c>
      <c r="H20" s="136">
        <f>ROUNDUP('採算表(VND)'!H20/$N$1,2)</f>
        <v>437.94</v>
      </c>
      <c r="I20" s="136">
        <f>ROUNDUP('採算表(VND)'!I20/$N$1,2)</f>
        <v>437.78999999999996</v>
      </c>
      <c r="J20" s="136">
        <f>ROUNDUP('採算表(VND)'!J20/$N$1,2)</f>
        <v>376.96</v>
      </c>
      <c r="K20" s="136">
        <f>ROUNDUP('採算表(VND)'!K20/$N$1,2)</f>
        <v>374.71999999999997</v>
      </c>
      <c r="L20" s="136">
        <f>ROUNDUP('採算表(VND)'!L20/$N$1,2)</f>
        <v>374.62</v>
      </c>
      <c r="M20" s="136">
        <f>ROUNDUP('採算表(VND)'!M20/$N$1,2)</f>
        <v>374.45</v>
      </c>
      <c r="N20" s="136">
        <f>ROUNDUP('採算表(VND)'!N20/$N$1,2)</f>
        <v>374.63</v>
      </c>
      <c r="O20" s="136">
        <f t="shared" si="4"/>
        <v>5302.25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10.01</v>
      </c>
      <c r="D25" s="136">
        <f>ROUNDUP('採算表(VND)'!D25/$N$1,2)</f>
        <v>9.66</v>
      </c>
      <c r="E25" s="136">
        <f>ROUNDUP('採算表(VND)'!E25/$N$1,2)</f>
        <v>11.34</v>
      </c>
      <c r="F25" s="136">
        <f>ROUNDUP('採算表(VND)'!F25/$N$1,2)</f>
        <v>12.27</v>
      </c>
      <c r="G25" s="136">
        <f>ROUNDUP('採算表(VND)'!G25/$N$1,2)</f>
        <v>10.75</v>
      </c>
      <c r="H25" s="136">
        <f>ROUNDUP('採算表(VND)'!H25/$N$1,2)</f>
        <v>10.26</v>
      </c>
      <c r="I25" s="136">
        <f>ROUNDUP('採算表(VND)'!I25/$N$1,2)</f>
        <v>12.27</v>
      </c>
      <c r="J25" s="136">
        <f>ROUNDUP('採算表(VND)'!J25/$N$1,2)</f>
        <v>10.78</v>
      </c>
      <c r="K25" s="136">
        <f>ROUNDUP('採算表(VND)'!K25/$N$1,2)</f>
        <v>11.79</v>
      </c>
      <c r="L25" s="136">
        <f>ROUNDUP('採算表(VND)'!L25/$N$1,2)</f>
        <v>10.77</v>
      </c>
      <c r="M25" s="136">
        <f>ROUNDUP('採算表(VND)'!M25/$N$1,2)</f>
        <v>8.2799999999999994</v>
      </c>
      <c r="N25" s="136">
        <f>ROUNDUP('採算表(VND)'!N25/$N$1,2)</f>
        <v>10.77</v>
      </c>
      <c r="O25" s="136">
        <f t="shared" si="4"/>
        <v>128.94999999999999</v>
      </c>
    </row>
    <row r="26" spans="1:15" ht="11.25" customHeight="1">
      <c r="A26" s="34"/>
      <c r="B26" s="37" t="s">
        <v>104</v>
      </c>
      <c r="C26" s="136">
        <f>ROUNDUP('採算表(VND)'!C26/$N$1,2)</f>
        <v>196.92999999999998</v>
      </c>
      <c r="D26" s="136">
        <f>ROUNDUP('採算表(VND)'!D26/$N$1,2)</f>
        <v>3296.5800000000004</v>
      </c>
      <c r="E26" s="136">
        <f>ROUNDUP('採算表(VND)'!E26/$N$1,2)</f>
        <v>1268.81</v>
      </c>
      <c r="F26" s="136">
        <f>ROUNDUP('採算表(VND)'!F26/$N$1,2)</f>
        <v>0</v>
      </c>
      <c r="G26" s="136">
        <f>ROUNDUP('採算表(VND)'!G26/$N$1,2)</f>
        <v>0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393.86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5156.1799999999994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92.87</v>
      </c>
      <c r="D30" s="136">
        <f>ROUNDUP('採算表(VND)'!D30/$N$1,2)</f>
        <v>97.75</v>
      </c>
      <c r="E30" s="136">
        <f>ROUNDUP('採算表(VND)'!E30/$N$1,2)</f>
        <v>120.06</v>
      </c>
      <c r="F30" s="136">
        <f>ROUNDUP('採算表(VND)'!F30/$N$1,2)</f>
        <v>134.89999999999998</v>
      </c>
      <c r="G30" s="136">
        <f>ROUNDUP('採算表(VND)'!G30/$N$1,2)</f>
        <v>132.45999999999998</v>
      </c>
      <c r="H30" s="136">
        <f>ROUNDUP('採算表(VND)'!H30/$N$1,2)</f>
        <v>119.86</v>
      </c>
      <c r="I30" s="136">
        <f>ROUNDUP('採算表(VND)'!I30/$N$1,2)</f>
        <v>117.09</v>
      </c>
      <c r="J30" s="136">
        <f>ROUNDUP('採算表(VND)'!J30/$N$1,2)</f>
        <v>112.83</v>
      </c>
      <c r="K30" s="136">
        <f>ROUNDUP('採算表(VND)'!K30/$N$1,2)</f>
        <v>111.56</v>
      </c>
      <c r="L30" s="136">
        <f>ROUNDUP('採算表(VND)'!L30/$N$1,2)</f>
        <v>96.84</v>
      </c>
      <c r="M30" s="136">
        <f>ROUNDUP('採算表(VND)'!M30/$N$1,2)</f>
        <v>87.78</v>
      </c>
      <c r="N30" s="136">
        <f>ROUNDUP('採算表(VND)'!N30/$N$1,2)</f>
        <v>81.940000000000012</v>
      </c>
      <c r="O30" s="136">
        <f t="shared" si="4"/>
        <v>1305.94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181.17999999999998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366.28999999999996</v>
      </c>
      <c r="K31" s="136">
        <f>ROUNDUP('採算表(VND)'!K31/$N$1,2)</f>
        <v>216.63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764.09999999999991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28.8</v>
      </c>
      <c r="D39" s="136">
        <f>ROUNDUP('採算表(VND)'!D39/$N$1,2)</f>
        <v>28.91</v>
      </c>
      <c r="E39" s="136">
        <f>ROUNDUP('採算表(VND)'!E39/$N$1,2)</f>
        <v>32.1</v>
      </c>
      <c r="F39" s="136">
        <f>ROUNDUP('採算表(VND)'!F39/$N$1,2)</f>
        <v>29.400000000000002</v>
      </c>
      <c r="G39" s="136">
        <f>ROUNDUP('採算表(VND)'!G39/$N$1,2)</f>
        <v>28.62</v>
      </c>
      <c r="H39" s="136">
        <f>ROUNDUP('採算表(VND)'!H39/$N$1,2)</f>
        <v>27.35</v>
      </c>
      <c r="I39" s="136">
        <f>ROUNDUP('採算表(VND)'!I39/$N$1,2)</f>
        <v>26.16</v>
      </c>
      <c r="J39" s="136">
        <f>ROUNDUP('採算表(VND)'!J39/$N$1,2)</f>
        <v>25.830000000000002</v>
      </c>
      <c r="K39" s="136">
        <f>ROUNDUP('採算表(VND)'!K39/$N$1,2)</f>
        <v>25.91</v>
      </c>
      <c r="L39" s="136">
        <f>ROUNDUP('採算表(VND)'!L39/$N$1,2)</f>
        <v>24.8</v>
      </c>
      <c r="M39" s="136">
        <f>ROUNDUP('採算表(VND)'!M39/$N$1,2)</f>
        <v>23.470000000000002</v>
      </c>
      <c r="N39" s="136">
        <f>ROUNDUP('採算表(VND)'!N39/$N$1,2)</f>
        <v>24.560000000000002</v>
      </c>
      <c r="O39" s="136">
        <f t="shared" si="4"/>
        <v>325.91000000000003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13.67</v>
      </c>
      <c r="D41" s="136">
        <f>ROUNDUP('採算表(VND)'!D41/$N$1,2)</f>
        <v>13.67</v>
      </c>
      <c r="E41" s="136">
        <f>ROUNDUP('採算表(VND)'!E41/$N$1,2)</f>
        <v>13.67</v>
      </c>
      <c r="F41" s="136">
        <f>ROUNDUP('採算表(VND)'!F41/$N$1,2)</f>
        <v>13.67</v>
      </c>
      <c r="G41" s="136">
        <f>ROUNDUP('採算表(VND)'!G41/$N$1,2)</f>
        <v>13.67</v>
      </c>
      <c r="H41" s="136">
        <f>ROUNDUP('採算表(VND)'!H41/$N$1,2)</f>
        <v>13.67</v>
      </c>
      <c r="I41" s="136">
        <f>ROUNDUP('採算表(VND)'!I41/$N$1,2)</f>
        <v>13.67</v>
      </c>
      <c r="J41" s="136">
        <f>ROUNDUP('採算表(VND)'!J41/$N$1,2)</f>
        <v>13.67</v>
      </c>
      <c r="K41" s="136">
        <f>ROUNDUP('採算表(VND)'!K41/$N$1,2)</f>
        <v>13.67</v>
      </c>
      <c r="L41" s="136">
        <f>ROUNDUP('採算表(VND)'!L41/$N$1,2)</f>
        <v>13.67</v>
      </c>
      <c r="M41" s="136">
        <f>ROUNDUP('採算表(VND)'!M41/$N$1,2)</f>
        <v>13.67</v>
      </c>
      <c r="N41" s="136">
        <f>ROUNDUP('採算表(VND)'!N41/$N$1,2)</f>
        <v>13.67</v>
      </c>
      <c r="O41" s="136">
        <f t="shared" si="4"/>
        <v>164.03999999999996</v>
      </c>
    </row>
    <row r="42" spans="1:15" ht="11.25" customHeight="1">
      <c r="A42" s="38"/>
      <c r="B42" s="37" t="s">
        <v>98</v>
      </c>
      <c r="C42" s="136">
        <f>ROUNDUP('採算表(VND)'!C42/$N$1,2)</f>
        <v>2425.9</v>
      </c>
      <c r="D42" s="136">
        <f>ROUNDUP('採算表(VND)'!D42/$N$1,2)</f>
        <v>2429.8700000000003</v>
      </c>
      <c r="E42" s="136">
        <f>ROUNDUP('採算表(VND)'!E42/$N$1,2)</f>
        <v>2437.3900000000003</v>
      </c>
      <c r="F42" s="136">
        <f>ROUNDUP('採算表(VND)'!F42/$N$1,2)</f>
        <v>4977.7300000000005</v>
      </c>
      <c r="G42" s="136">
        <f>ROUNDUP('採算表(VND)'!G42/$N$1,2)</f>
        <v>2437.36</v>
      </c>
      <c r="H42" s="136">
        <f>ROUNDUP('採算表(VND)'!H42/$N$1,2)</f>
        <v>2437.36</v>
      </c>
      <c r="I42" s="136">
        <f>ROUNDUP('採算表(VND)'!I42/$N$1,2)</f>
        <v>2437.36</v>
      </c>
      <c r="J42" s="136">
        <f>ROUNDUP('採算表(VND)'!J42/$N$1,2)</f>
        <v>2437.8000000000002</v>
      </c>
      <c r="K42" s="136">
        <f>ROUNDUP('採算表(VND)'!K42/$N$1,2)</f>
        <v>2437.36</v>
      </c>
      <c r="L42" s="136">
        <f>ROUNDUP('採算表(VND)'!L42/$N$1,2)</f>
        <v>2437.36</v>
      </c>
      <c r="M42" s="136">
        <f>ROUNDUP('採算表(VND)'!M42/$N$1,2)</f>
        <v>2437.36</v>
      </c>
      <c r="N42" s="136">
        <f>ROUNDUP('採算表(VND)'!N42/$N$1,2)</f>
        <v>2437.36</v>
      </c>
      <c r="O42" s="136">
        <f t="shared" si="4"/>
        <v>31770.210000000003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435.08</v>
      </c>
      <c r="D44" s="136">
        <f>ROUNDUP('採算表(VND)'!D44/$N$1,2)</f>
        <v>1165.98</v>
      </c>
      <c r="E44" s="136">
        <f>ROUNDUP('採算表(VND)'!E44/$N$1,2)</f>
        <v>135.14999999999998</v>
      </c>
      <c r="F44" s="136">
        <f>ROUNDUP('採算表(VND)'!F44/$N$1,2)</f>
        <v>151.17999999999998</v>
      </c>
      <c r="G44" s="136">
        <f>ROUNDUP('採算表(VND)'!G44/$N$1,2)</f>
        <v>99.240000000000009</v>
      </c>
      <c r="H44" s="136">
        <f>ROUNDUP('採算表(VND)'!H44/$N$1,2)</f>
        <v>170.17999999999998</v>
      </c>
      <c r="I44" s="136">
        <f>ROUNDUP('採算表(VND)'!I44/$N$1,2)</f>
        <v>189.79999999999998</v>
      </c>
      <c r="J44" s="136">
        <f>ROUNDUP('採算表(VND)'!J44/$N$1,2)</f>
        <v>155.91999999999999</v>
      </c>
      <c r="K44" s="136">
        <f>ROUNDUP('採算表(VND)'!K44/$N$1,2)</f>
        <v>189.39999999999998</v>
      </c>
      <c r="L44" s="136">
        <f>ROUNDUP('採算表(VND)'!L44/$N$1,2)</f>
        <v>105.09</v>
      </c>
      <c r="M44" s="136">
        <f>ROUNDUP('採算表(VND)'!M44/$N$1,2)</f>
        <v>325.03999999999996</v>
      </c>
      <c r="N44" s="136">
        <f>ROUNDUP('採算表(VND)'!N44/$N$1,2)</f>
        <v>81.13000000000001</v>
      </c>
      <c r="O44" s="136">
        <f t="shared" si="4"/>
        <v>3203.1900000000005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269.10000000000002</v>
      </c>
      <c r="D57" s="139">
        <f>ROUNDUP('採算表(VND)'!D57/$N$1,2)</f>
        <v>259.89</v>
      </c>
      <c r="E57" s="139">
        <f>ROUNDUP('採算表(VND)'!E57/$N$1,2)</f>
        <v>259.95</v>
      </c>
      <c r="F57" s="139">
        <f>ROUNDUP('採算表(VND)'!F57/$N$1,2)</f>
        <v>256.96999999999997</v>
      </c>
      <c r="G57" s="139">
        <f>ROUNDUP('採算表(VND)'!G57/$N$1,2)</f>
        <v>256.84999999999997</v>
      </c>
      <c r="H57" s="139">
        <f>ROUNDUP('採算表(VND)'!H57/$N$1,2)</f>
        <v>255.69</v>
      </c>
      <c r="I57" s="139">
        <f>ROUNDUP('採算表(VND)'!I57/$N$1,2)</f>
        <v>255.59</v>
      </c>
      <c r="J57" s="139">
        <f>ROUNDUP('採算表(VND)'!J57/$N$1,2)</f>
        <v>255.57</v>
      </c>
      <c r="K57" s="139">
        <f>ROUNDUP('採算表(VND)'!K57/$N$1,2)</f>
        <v>254.25</v>
      </c>
      <c r="L57" s="139">
        <f>ROUNDUP('採算表(VND)'!L57/$N$1,2)</f>
        <v>254.17</v>
      </c>
      <c r="M57" s="139">
        <f>ROUNDUP('採算表(VND)'!M57/$N$1,2)</f>
        <v>254.06</v>
      </c>
      <c r="N57" s="139">
        <f>ROUNDUP('採算表(VND)'!N57/$N$1,2)</f>
        <v>254.17</v>
      </c>
      <c r="O57" s="139">
        <f t="shared" si="4"/>
        <v>3086.26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-3990.44</v>
      </c>
      <c r="D62" s="139">
        <f>ROUNDUP('採算表(VND)'!D62/$N$1,2)</f>
        <v>-7834.29</v>
      </c>
      <c r="E62" s="139">
        <f>ROUNDUP('採算表(VND)'!E62/$N$1,2)</f>
        <v>-4991.6900000000005</v>
      </c>
      <c r="F62" s="139">
        <f>ROUNDUP('採算表(VND)'!F62/$N$1,2)</f>
        <v>-6103.77</v>
      </c>
      <c r="G62" s="139">
        <f>ROUNDUP('採算表(VND)'!G62/$N$1,2)</f>
        <v>-3420.17</v>
      </c>
      <c r="H62" s="139">
        <f>ROUNDUP('採算表(VND)'!H62/$N$1,2)</f>
        <v>-3472.26</v>
      </c>
      <c r="I62" s="139">
        <f>ROUNDUP('採算表(VND)'!I62/$N$1,2)</f>
        <v>-3489.69</v>
      </c>
      <c r="J62" s="139">
        <f>ROUNDUP('採算表(VND)'!J62/$N$1,2)</f>
        <v>-4149.47</v>
      </c>
      <c r="K62" s="139">
        <f>ROUNDUP('採算表(VND)'!K62/$N$1,2)</f>
        <v>-3635.2400000000002</v>
      </c>
      <c r="L62" s="139">
        <f>ROUNDUP('採算表(VND)'!L62/$N$1,2)</f>
        <v>-3317.2900000000004</v>
      </c>
      <c r="M62" s="139">
        <f>ROUNDUP('採算表(VND)'!M62/$N$1,2)</f>
        <v>-3524.09</v>
      </c>
      <c r="N62" s="139">
        <f>ROUNDUP('採算表(VND)'!N62/$N$1,2)</f>
        <v>-3278.19</v>
      </c>
      <c r="O62" s="139">
        <f t="shared" si="4"/>
        <v>-51206.590000000011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-1.9999999999527063E-2</v>
      </c>
      <c r="D66" s="134">
        <f t="shared" ref="D66:O66" si="5">IF(ISBLANK(D4),"",D12-D13)</f>
        <v>-2.0000000000436557E-2</v>
      </c>
      <c r="E66" s="134">
        <f t="shared" si="5"/>
        <v>-3.9999999999054126E-2</v>
      </c>
      <c r="F66" s="134">
        <f t="shared" si="5"/>
        <v>-3.999999999996362E-2</v>
      </c>
      <c r="G66" s="134">
        <f t="shared" si="5"/>
        <v>-4.9999999999727152E-2</v>
      </c>
      <c r="H66" s="134">
        <f t="shared" si="5"/>
        <v>-4.9999999999727152E-2</v>
      </c>
      <c r="I66" s="134">
        <f t="shared" si="5"/>
        <v>-4.0000000000418368E-2</v>
      </c>
      <c r="J66" s="134">
        <f t="shared" si="5"/>
        <v>-3.999999999996362E-2</v>
      </c>
      <c r="K66" s="134">
        <f t="shared" si="5"/>
        <v>-5.0000000000181899E-2</v>
      </c>
      <c r="L66" s="134">
        <f t="shared" si="5"/>
        <v>-3.0000000000200089E-2</v>
      </c>
      <c r="M66" s="134">
        <f t="shared" si="5"/>
        <v>-1.999999999998181E-2</v>
      </c>
      <c r="N66" s="134">
        <f t="shared" si="5"/>
        <v>-4.0000000000418368E-2</v>
      </c>
      <c r="O66" s="134">
        <f t="shared" si="5"/>
        <v>-0.43999999999505235</v>
      </c>
    </row>
    <row r="67" spans="1:15" ht="11.25" customHeight="1">
      <c r="A67" s="26"/>
      <c r="B67" s="28" t="s">
        <v>78</v>
      </c>
      <c r="C67" s="133">
        <f ca="1">C73+C79</f>
        <v>0</v>
      </c>
      <c r="D67" s="133">
        <f t="shared" ref="D67:O67" ca="1" si="6">IF(ISBLANK(D4),"",D73+D79)</f>
        <v>0</v>
      </c>
      <c r="E67" s="133">
        <f t="shared" ca="1" si="6"/>
        <v>0</v>
      </c>
      <c r="F67" s="133">
        <f t="shared" ca="1" si="6"/>
        <v>0</v>
      </c>
      <c r="G67" s="133">
        <f t="shared" ca="1" si="6"/>
        <v>0</v>
      </c>
      <c r="H67" s="133">
        <f t="shared" ca="1" si="6"/>
        <v>0</v>
      </c>
      <c r="I67" s="133">
        <f t="shared" ca="1" si="6"/>
        <v>0</v>
      </c>
      <c r="J67" s="133">
        <f t="shared" ca="1" si="6"/>
        <v>0</v>
      </c>
      <c r="K67" s="133">
        <f t="shared" ca="1" si="6"/>
        <v>0</v>
      </c>
      <c r="L67" s="133">
        <f t="shared" ca="1" si="6"/>
        <v>0</v>
      </c>
      <c r="M67" s="133">
        <f t="shared" ca="1" si="6"/>
        <v>0</v>
      </c>
      <c r="N67" s="133">
        <f t="shared" ca="1" si="6"/>
        <v>0</v>
      </c>
      <c r="O67" s="133">
        <f t="shared" ca="1" si="6"/>
        <v>0</v>
      </c>
    </row>
    <row r="68" spans="1:15" ht="11.25" customHeight="1">
      <c r="A68" s="38"/>
      <c r="B68" s="46" t="s">
        <v>144</v>
      </c>
      <c r="C68" s="135">
        <f ca="1">'採算表(VND)'!C68</f>
        <v>2108</v>
      </c>
      <c r="D68" s="135">
        <f ca="1">'採算表(VND)'!D68</f>
        <v>2108</v>
      </c>
      <c r="E68" s="135">
        <f ca="1">'採算表(VND)'!E68</f>
        <v>2388.5</v>
      </c>
      <c r="F68" s="135">
        <f ca="1">'採算表(VND)'!F68</f>
        <v>2626.5</v>
      </c>
      <c r="G68" s="135">
        <f ca="1">'採算表(VND)'!G68</f>
        <v>2269.5</v>
      </c>
      <c r="H68" s="135">
        <f ca="1">'採算表(VND)'!H68</f>
        <v>2150.5</v>
      </c>
      <c r="I68" s="135">
        <f ca="1">'採算表(VND)'!I68</f>
        <v>2626.5</v>
      </c>
      <c r="J68" s="135">
        <f ca="1">'採算表(VND)'!J68</f>
        <v>2227</v>
      </c>
      <c r="K68" s="135">
        <f ca="1">'採算表(VND)'!K68</f>
        <v>2452.25</v>
      </c>
      <c r="L68" s="135">
        <f ca="1">'採算表(VND)'!L68</f>
        <v>2269.5</v>
      </c>
      <c r="M68" s="135">
        <f ca="1">'採算表(VND)'!M68</f>
        <v>1674.5</v>
      </c>
      <c r="N68" s="135">
        <f ca="1">'採算表(VND)'!N68</f>
        <v>2269.5</v>
      </c>
      <c r="O68" s="135">
        <f ca="1">SUM(C68:N68)</f>
        <v>27170.25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 ca="1">'採算表(VND)'!C70</f>
        <v>-2108</v>
      </c>
      <c r="D70" s="140">
        <f ca="1">'採算表(VND)'!D70</f>
        <v>-2108</v>
      </c>
      <c r="E70" s="140">
        <f ca="1">'採算表(VND)'!E70</f>
        <v>-2388.5</v>
      </c>
      <c r="F70" s="140">
        <f ca="1">'採算表(VND)'!F70</f>
        <v>-2626.5</v>
      </c>
      <c r="G70" s="140">
        <f ca="1">'採算表(VND)'!G70</f>
        <v>-2269.5</v>
      </c>
      <c r="H70" s="140">
        <f ca="1">'採算表(VND)'!H70</f>
        <v>-2150.5</v>
      </c>
      <c r="I70" s="140">
        <f ca="1">'採算表(VND)'!I70</f>
        <v>-2626.5</v>
      </c>
      <c r="J70" s="140">
        <f ca="1">'採算表(VND)'!J70</f>
        <v>-2227</v>
      </c>
      <c r="K70" s="140">
        <f ca="1">'採算表(VND)'!K70</f>
        <v>-2452.25</v>
      </c>
      <c r="L70" s="140">
        <f ca="1">'採算表(VND)'!L70</f>
        <v>-2269.5</v>
      </c>
      <c r="M70" s="140">
        <f ca="1">'採算表(VND)'!M70</f>
        <v>-1674.5</v>
      </c>
      <c r="N70" s="140">
        <f ca="1">'採算表(VND)'!N70</f>
        <v>-2269.5</v>
      </c>
      <c r="O70" s="140">
        <f ca="1">SUM(C70:N70)</f>
        <v>-27170.25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 ca="1">SUM(C68:C72)</f>
        <v>0</v>
      </c>
      <c r="D73" s="142">
        <f t="shared" ref="D73:O73" ca="1" si="7">IF(ISBLANK(D4),"",SUM(D68:D72))</f>
        <v>0</v>
      </c>
      <c r="E73" s="142">
        <f t="shared" ca="1" si="7"/>
        <v>0</v>
      </c>
      <c r="F73" s="142">
        <f t="shared" ca="1" si="7"/>
        <v>0</v>
      </c>
      <c r="G73" s="142">
        <f t="shared" ca="1" si="7"/>
        <v>0</v>
      </c>
      <c r="H73" s="142">
        <f t="shared" ca="1" si="7"/>
        <v>0</v>
      </c>
      <c r="I73" s="142">
        <f t="shared" ca="1" si="7"/>
        <v>0</v>
      </c>
      <c r="J73" s="142">
        <f t="shared" ca="1" si="7"/>
        <v>0</v>
      </c>
      <c r="K73" s="142">
        <f t="shared" ca="1" si="7"/>
        <v>0</v>
      </c>
      <c r="L73" s="142">
        <f t="shared" ca="1" si="7"/>
        <v>0</v>
      </c>
      <c r="M73" s="142">
        <f t="shared" ca="1" si="7"/>
        <v>0</v>
      </c>
      <c r="N73" s="142">
        <f t="shared" ca="1" si="7"/>
        <v>0</v>
      </c>
      <c r="O73" s="142">
        <f t="shared" ca="1" si="7"/>
        <v>0</v>
      </c>
    </row>
    <row r="74" spans="1:15" ht="11.25" customHeight="1">
      <c r="A74" s="38"/>
      <c r="B74" s="39" t="s">
        <v>86</v>
      </c>
      <c r="C74" s="135">
        <f ca="1">'採算表(VND)'!C74</f>
        <v>120</v>
      </c>
      <c r="D74" s="135">
        <f ca="1">'採算表(VND)'!D74</f>
        <v>108</v>
      </c>
      <c r="E74" s="135">
        <f ca="1">'採算表(VND)'!E74</f>
        <v>122</v>
      </c>
      <c r="F74" s="135">
        <f ca="1">'採算表(VND)'!F74</f>
        <v>146</v>
      </c>
      <c r="G74" s="135">
        <f ca="1">'採算表(VND)'!G74</f>
        <v>140</v>
      </c>
      <c r="H74" s="135">
        <f ca="1">'採算表(VND)'!H74</f>
        <v>138</v>
      </c>
      <c r="I74" s="135">
        <f ca="1">'採算表(VND)'!I74</f>
        <v>146</v>
      </c>
      <c r="J74" s="135">
        <f ca="1">'採算表(VND)'!J74</f>
        <v>130</v>
      </c>
      <c r="K74" s="135">
        <f ca="1">'採算表(VND)'!K74</f>
        <v>144</v>
      </c>
      <c r="L74" s="135">
        <f ca="1">'採算表(VND)'!L74</f>
        <v>120</v>
      </c>
      <c r="M74" s="135">
        <f ca="1">'採算表(VND)'!M74</f>
        <v>90</v>
      </c>
      <c r="N74" s="135">
        <f ca="1">'採算表(VND)'!N74</f>
        <v>120</v>
      </c>
      <c r="O74" s="135">
        <f ca="1">SUM(C74:N74)</f>
        <v>1524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 ca="1">'採算表(VND)'!C76</f>
        <v>-120</v>
      </c>
      <c r="D76" s="140">
        <f ca="1">'採算表(VND)'!D76</f>
        <v>-108</v>
      </c>
      <c r="E76" s="140">
        <f ca="1">'採算表(VND)'!E76</f>
        <v>-122</v>
      </c>
      <c r="F76" s="140">
        <f ca="1">'採算表(VND)'!F76</f>
        <v>-146</v>
      </c>
      <c r="G76" s="140">
        <f ca="1">'採算表(VND)'!G76</f>
        <v>-140</v>
      </c>
      <c r="H76" s="140">
        <f ca="1">'採算表(VND)'!H76</f>
        <v>-138</v>
      </c>
      <c r="I76" s="140">
        <f ca="1">'採算表(VND)'!I76</f>
        <v>-146</v>
      </c>
      <c r="J76" s="140">
        <f ca="1">'採算表(VND)'!J76</f>
        <v>-130</v>
      </c>
      <c r="K76" s="140">
        <f ca="1">'採算表(VND)'!K76</f>
        <v>-144</v>
      </c>
      <c r="L76" s="140">
        <f ca="1">'採算表(VND)'!L76</f>
        <v>-120</v>
      </c>
      <c r="M76" s="140">
        <f ca="1">'採算表(VND)'!M76</f>
        <v>-90</v>
      </c>
      <c r="N76" s="140">
        <f ca="1">'採算表(VND)'!N76</f>
        <v>-120</v>
      </c>
      <c r="O76" s="140">
        <f ca="1">SUM(C76:N76)</f>
        <v>-1524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 ca="1">SUM(C74:C78)</f>
        <v>0</v>
      </c>
      <c r="D79" s="142">
        <f t="shared" ref="D79:O79" ca="1" si="8">IF(ISBLANK(D4),"",SUM(D74:D78))</f>
        <v>0</v>
      </c>
      <c r="E79" s="142">
        <f t="shared" ca="1" si="8"/>
        <v>0</v>
      </c>
      <c r="F79" s="142">
        <f t="shared" ca="1" si="8"/>
        <v>0</v>
      </c>
      <c r="G79" s="142">
        <f t="shared" ca="1" si="8"/>
        <v>0</v>
      </c>
      <c r="H79" s="142">
        <f t="shared" ca="1" si="8"/>
        <v>0</v>
      </c>
      <c r="I79" s="142">
        <f t="shared" ca="1" si="8"/>
        <v>0</v>
      </c>
      <c r="J79" s="142">
        <f t="shared" ca="1" si="8"/>
        <v>0</v>
      </c>
      <c r="K79" s="142">
        <f t="shared" ca="1" si="8"/>
        <v>0</v>
      </c>
      <c r="L79" s="142">
        <f t="shared" ca="1" si="8"/>
        <v>0</v>
      </c>
      <c r="M79" s="142">
        <f t="shared" ca="1" si="8"/>
        <v>0</v>
      </c>
      <c r="N79" s="142">
        <f t="shared" ca="1" si="8"/>
        <v>0</v>
      </c>
      <c r="O79" s="142">
        <f t="shared" ca="1" si="8"/>
        <v>0</v>
      </c>
    </row>
    <row r="80" spans="1:15" ht="14.25" customHeight="1">
      <c r="A80" s="26"/>
      <c r="B80" s="32" t="s">
        <v>79</v>
      </c>
      <c r="C80" s="143">
        <f ca="1">IFERROR(ROUNDDOWN(C66/C67,0),0)</f>
        <v>0</v>
      </c>
      <c r="D80" s="144">
        <f t="shared" ref="D80:O80" ca="1" si="9">IFERROR(ROUNDDOWN(D66/D67,0),0)</f>
        <v>0</v>
      </c>
      <c r="E80" s="144">
        <f t="shared" ca="1" si="9"/>
        <v>0</v>
      </c>
      <c r="F80" s="144">
        <f t="shared" ca="1" si="9"/>
        <v>0</v>
      </c>
      <c r="G80" s="144">
        <f t="shared" ca="1" si="9"/>
        <v>0</v>
      </c>
      <c r="H80" s="144">
        <f t="shared" ca="1" si="9"/>
        <v>0</v>
      </c>
      <c r="I80" s="144">
        <f t="shared" ca="1" si="9"/>
        <v>0</v>
      </c>
      <c r="J80" s="144">
        <f t="shared" ca="1" si="9"/>
        <v>0</v>
      </c>
      <c r="K80" s="144">
        <f t="shared" ca="1" si="9"/>
        <v>0</v>
      </c>
      <c r="L80" s="144">
        <f t="shared" ca="1" si="9"/>
        <v>0</v>
      </c>
      <c r="M80" s="144">
        <f t="shared" ca="1" si="9"/>
        <v>0</v>
      </c>
      <c r="N80" s="144">
        <f t="shared" ca="1" si="9"/>
        <v>0</v>
      </c>
      <c r="O80" s="144">
        <f t="shared" ca="1" si="9"/>
        <v>0</v>
      </c>
    </row>
    <row r="81" spans="1:15" ht="14.25" customHeight="1">
      <c r="A81" s="26"/>
      <c r="B81" s="42" t="s">
        <v>80</v>
      </c>
      <c r="C81" s="145">
        <f ca="1">IFERROR(ROUNDDOWN(C12/C67,0),0)</f>
        <v>0</v>
      </c>
      <c r="D81" s="146">
        <f t="shared" ref="D81:O81" ca="1" si="10">IFERROR(ROUNDDOWN(D12/D67,0),0)</f>
        <v>0</v>
      </c>
      <c r="E81" s="146">
        <f t="shared" ca="1" si="10"/>
        <v>0</v>
      </c>
      <c r="F81" s="146">
        <f t="shared" ca="1" si="10"/>
        <v>0</v>
      </c>
      <c r="G81" s="146">
        <f t="shared" ca="1" si="10"/>
        <v>0</v>
      </c>
      <c r="H81" s="146">
        <f t="shared" ca="1" si="10"/>
        <v>0</v>
      </c>
      <c r="I81" s="146">
        <f t="shared" ca="1" si="10"/>
        <v>0</v>
      </c>
      <c r="J81" s="146">
        <f t="shared" ca="1" si="10"/>
        <v>0</v>
      </c>
      <c r="K81" s="146">
        <f t="shared" ca="1" si="10"/>
        <v>0</v>
      </c>
      <c r="L81" s="146">
        <f t="shared" ca="1" si="10"/>
        <v>0</v>
      </c>
      <c r="M81" s="146">
        <f t="shared" ca="1" si="10"/>
        <v>0</v>
      </c>
      <c r="N81" s="146">
        <f t="shared" ca="1" si="10"/>
        <v>0</v>
      </c>
      <c r="O81" s="146">
        <f t="shared" ca="1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344</v>
      </c>
      <c r="C88" s="150">
        <f>'採算表(VND)'!C88</f>
        <v>12</v>
      </c>
      <c r="D88" s="150">
        <f>'採算表(VND)'!D88</f>
        <v>13</v>
      </c>
      <c r="E88" s="150">
        <f>'採算表(VND)'!E88</f>
        <v>13</v>
      </c>
      <c r="F88" s="150">
        <f>'採算表(VND)'!F88</f>
        <v>13</v>
      </c>
      <c r="G88" s="150">
        <f>'採算表(VND)'!G88</f>
        <v>13</v>
      </c>
      <c r="H88" s="150">
        <f>'採算表(VND)'!H88</f>
        <v>13</v>
      </c>
      <c r="I88" s="150">
        <f>'採算表(VND)'!I88</f>
        <v>13</v>
      </c>
      <c r="J88" s="150">
        <f>'採算表(VND)'!J88</f>
        <v>13</v>
      </c>
      <c r="K88" s="150">
        <f>'採算表(VND)'!K88</f>
        <v>13</v>
      </c>
      <c r="L88" s="150">
        <f>'採算表(VND)'!L88</f>
        <v>13</v>
      </c>
      <c r="M88" s="150">
        <f>'採算表(VND)'!M88</f>
        <v>13</v>
      </c>
      <c r="N88" s="150">
        <f>'採算表(VND)'!N88</f>
        <v>13</v>
      </c>
      <c r="O88" s="150">
        <f>SUM(C88:N88)</f>
        <v>155</v>
      </c>
    </row>
    <row r="89" spans="1:15">
      <c r="A89" s="44"/>
      <c r="B89" s="60" t="s">
        <v>18</v>
      </c>
      <c r="C89" s="151">
        <f t="shared" ref="C89:O89" si="11">C87+C88</f>
        <v>13</v>
      </c>
      <c r="D89" s="151">
        <f t="shared" si="11"/>
        <v>14</v>
      </c>
      <c r="E89" s="151">
        <f t="shared" si="11"/>
        <v>14</v>
      </c>
      <c r="F89" s="151">
        <f t="shared" si="11"/>
        <v>14</v>
      </c>
      <c r="G89" s="151">
        <f t="shared" si="11"/>
        <v>14</v>
      </c>
      <c r="H89" s="151">
        <f t="shared" si="11"/>
        <v>14</v>
      </c>
      <c r="I89" s="151">
        <f t="shared" si="11"/>
        <v>14</v>
      </c>
      <c r="J89" s="151">
        <f t="shared" si="11"/>
        <v>14</v>
      </c>
      <c r="K89" s="151">
        <f t="shared" si="11"/>
        <v>14</v>
      </c>
      <c r="L89" s="151">
        <f t="shared" si="11"/>
        <v>14</v>
      </c>
      <c r="M89" s="151">
        <f t="shared" si="11"/>
        <v>14</v>
      </c>
      <c r="N89" s="151">
        <f t="shared" si="11"/>
        <v>14</v>
      </c>
      <c r="O89" s="151">
        <f t="shared" si="11"/>
        <v>167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 ca="1">'採算表(VND)'!C92</f>
        <v>170</v>
      </c>
      <c r="D92" s="133">
        <f ca="1">'採算表(VND)'!D92</f>
        <v>119</v>
      </c>
      <c r="E92" s="133">
        <f ca="1">'採算表(VND)'!E92</f>
        <v>178.5</v>
      </c>
      <c r="F92" s="133">
        <f ca="1">'採算表(VND)'!F92</f>
        <v>195.5</v>
      </c>
      <c r="G92" s="133">
        <f ca="1">'採算表(VND)'!G92</f>
        <v>170</v>
      </c>
      <c r="H92" s="133">
        <f ca="1">'採算表(VND)'!H92</f>
        <v>161.5</v>
      </c>
      <c r="I92" s="133">
        <f ca="1">'採算表(VND)'!I92</f>
        <v>195.5</v>
      </c>
      <c r="J92" s="133">
        <f ca="1">'採算表(VND)'!J92</f>
        <v>127.5</v>
      </c>
      <c r="K92" s="133">
        <f ca="1">'採算表(VND)'!K92</f>
        <v>187</v>
      </c>
      <c r="L92" s="133">
        <f ca="1">'採算表(VND)'!L92</f>
        <v>170</v>
      </c>
      <c r="M92" s="133">
        <f ca="1">'採算表(VND)'!M92</f>
        <v>127.5</v>
      </c>
      <c r="N92" s="133">
        <f ca="1">'採算表(VND)'!N92</f>
        <v>170</v>
      </c>
      <c r="O92" s="133">
        <f ca="1">SUM(C92:N92)</f>
        <v>1972</v>
      </c>
    </row>
    <row r="93" spans="1:15">
      <c r="B93" s="59" t="s">
        <v>325</v>
      </c>
      <c r="C93" s="133">
        <f ca="1">'採算表(VND)'!C93</f>
        <v>1938</v>
      </c>
      <c r="D93" s="133">
        <f ca="1">'採算表(VND)'!D93</f>
        <v>1989</v>
      </c>
      <c r="E93" s="133">
        <f ca="1">'採算表(VND)'!E93</f>
        <v>2210</v>
      </c>
      <c r="F93" s="133">
        <f ca="1">'採算表(VND)'!F93</f>
        <v>2431</v>
      </c>
      <c r="G93" s="133">
        <f ca="1">'採算表(VND)'!G93</f>
        <v>2099.5</v>
      </c>
      <c r="H93" s="133">
        <f ca="1">'採算表(VND)'!H93</f>
        <v>1989</v>
      </c>
      <c r="I93" s="133">
        <f ca="1">'採算表(VND)'!I93</f>
        <v>2431</v>
      </c>
      <c r="J93" s="133">
        <f ca="1">'採算表(VND)'!J93</f>
        <v>2099.5</v>
      </c>
      <c r="K93" s="133">
        <f ca="1">'採算表(VND)'!K93</f>
        <v>2265.25</v>
      </c>
      <c r="L93" s="133">
        <f ca="1">'採算表(VND)'!L93</f>
        <v>2099.5</v>
      </c>
      <c r="M93" s="133">
        <f ca="1">'採算表(VND)'!M93</f>
        <v>1547</v>
      </c>
      <c r="N93" s="133">
        <f ca="1">'採算表(VND)'!N93</f>
        <v>2099.5</v>
      </c>
      <c r="O93" s="133">
        <f ca="1">SUM(C93:N93)</f>
        <v>25198.25</v>
      </c>
    </row>
    <row r="94" spans="1:15">
      <c r="B94" s="61" t="s">
        <v>18</v>
      </c>
      <c r="C94" s="147">
        <f t="shared" ref="C94:O94" ca="1" si="12">C92+C93</f>
        <v>2108</v>
      </c>
      <c r="D94" s="147">
        <f t="shared" ca="1" si="12"/>
        <v>2108</v>
      </c>
      <c r="E94" s="147">
        <f t="shared" ca="1" si="12"/>
        <v>2388.5</v>
      </c>
      <c r="F94" s="147">
        <f t="shared" ca="1" si="12"/>
        <v>2626.5</v>
      </c>
      <c r="G94" s="147">
        <f t="shared" ca="1" si="12"/>
        <v>2269.5</v>
      </c>
      <c r="H94" s="147">
        <f t="shared" ca="1" si="12"/>
        <v>2150.5</v>
      </c>
      <c r="I94" s="147">
        <f t="shared" ca="1" si="12"/>
        <v>2626.5</v>
      </c>
      <c r="J94" s="147">
        <f t="shared" ca="1" si="12"/>
        <v>2227</v>
      </c>
      <c r="K94" s="147">
        <f t="shared" ca="1" si="12"/>
        <v>2452.25</v>
      </c>
      <c r="L94" s="147">
        <f t="shared" ca="1" si="12"/>
        <v>2269.5</v>
      </c>
      <c r="M94" s="147">
        <f t="shared" ca="1" si="12"/>
        <v>1674.5</v>
      </c>
      <c r="N94" s="147">
        <f t="shared" ca="1" si="12"/>
        <v>2269.5</v>
      </c>
      <c r="O94" s="147">
        <f t="shared" ca="1" si="12"/>
        <v>27170.25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 ca="1">'採算表(VND)'!C97</f>
        <v>40</v>
      </c>
      <c r="D97" s="133">
        <f ca="1">'採算表(VND)'!D97</f>
        <v>28</v>
      </c>
      <c r="E97" s="133">
        <f ca="1">'採算表(VND)'!E97</f>
        <v>42</v>
      </c>
      <c r="F97" s="133">
        <f ca="1">'採算表(VND)'!F97</f>
        <v>46</v>
      </c>
      <c r="G97" s="133">
        <f ca="1">'採算表(VND)'!G97</f>
        <v>40</v>
      </c>
      <c r="H97" s="133">
        <f ca="1">'採算表(VND)'!H97</f>
        <v>38</v>
      </c>
      <c r="I97" s="133">
        <f ca="1">'採算表(VND)'!I97</f>
        <v>46</v>
      </c>
      <c r="J97" s="133">
        <f ca="1">'採算表(VND)'!J97</f>
        <v>30</v>
      </c>
      <c r="K97" s="133">
        <f ca="1">'採算表(VND)'!K97</f>
        <v>44</v>
      </c>
      <c r="L97" s="133">
        <f ca="1">'採算表(VND)'!L97</f>
        <v>40</v>
      </c>
      <c r="M97" s="133">
        <f ca="1">'採算表(VND)'!M97</f>
        <v>30</v>
      </c>
      <c r="N97" s="133">
        <f ca="1">'採算表(VND)'!N97</f>
        <v>40</v>
      </c>
      <c r="O97" s="133">
        <f ca="1">SUM(C97:N97)</f>
        <v>464</v>
      </c>
    </row>
    <row r="98" spans="2:15">
      <c r="B98" s="59" t="s">
        <v>327</v>
      </c>
      <c r="C98" s="133">
        <f>'採算表(VND)'!C98</f>
        <v>80</v>
      </c>
      <c r="D98" s="133">
        <f>'採算表(VND)'!D98</f>
        <v>80</v>
      </c>
      <c r="E98" s="133">
        <f>'採算表(VND)'!E98</f>
        <v>80</v>
      </c>
      <c r="F98" s="133">
        <f>'採算表(VND)'!F98</f>
        <v>100</v>
      </c>
      <c r="G98" s="133">
        <f>'採算表(VND)'!G98</f>
        <v>100</v>
      </c>
      <c r="H98" s="133">
        <f>'採算表(VND)'!H98</f>
        <v>100</v>
      </c>
      <c r="I98" s="133">
        <f>'採算表(VND)'!I98</f>
        <v>100</v>
      </c>
      <c r="J98" s="133">
        <f>'採算表(VND)'!J98</f>
        <v>100</v>
      </c>
      <c r="K98" s="133">
        <f>'採算表(VND)'!K98</f>
        <v>100</v>
      </c>
      <c r="L98" s="133">
        <f>'採算表(VND)'!L98</f>
        <v>80</v>
      </c>
      <c r="M98" s="133">
        <f>'採算表(VND)'!M98</f>
        <v>60</v>
      </c>
      <c r="N98" s="133">
        <f>'採算表(VND)'!N98</f>
        <v>80</v>
      </c>
      <c r="O98" s="133">
        <f>SUM(C98:N98)</f>
        <v>1060</v>
      </c>
    </row>
    <row r="99" spans="2:15">
      <c r="B99" s="61" t="s">
        <v>18</v>
      </c>
      <c r="C99" s="147">
        <f t="shared" ref="C99:O99" ca="1" si="13">C97+C98</f>
        <v>120</v>
      </c>
      <c r="D99" s="147">
        <f t="shared" ca="1" si="13"/>
        <v>108</v>
      </c>
      <c r="E99" s="147">
        <f t="shared" ca="1" si="13"/>
        <v>122</v>
      </c>
      <c r="F99" s="147">
        <f t="shared" ca="1" si="13"/>
        <v>146</v>
      </c>
      <c r="G99" s="147">
        <f t="shared" ca="1" si="13"/>
        <v>140</v>
      </c>
      <c r="H99" s="147">
        <f t="shared" ca="1" si="13"/>
        <v>138</v>
      </c>
      <c r="I99" s="147">
        <f t="shared" ca="1" si="13"/>
        <v>146</v>
      </c>
      <c r="J99" s="147">
        <f t="shared" ca="1" si="13"/>
        <v>130</v>
      </c>
      <c r="K99" s="147">
        <f t="shared" ca="1" si="13"/>
        <v>144</v>
      </c>
      <c r="L99" s="147">
        <f t="shared" ca="1" si="13"/>
        <v>120</v>
      </c>
      <c r="M99" s="147">
        <f t="shared" ca="1" si="13"/>
        <v>90</v>
      </c>
      <c r="N99" s="147">
        <f t="shared" ca="1" si="13"/>
        <v>120</v>
      </c>
      <c r="O99" s="147">
        <f t="shared" ca="1" si="13"/>
        <v>1524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5EE0-6036-4E7F-BD6F-DF3E7E56AE34}">
  <sheetPr codeName="Sheet2"/>
  <dimension ref="A1:BI99"/>
  <sheetViews>
    <sheetView topLeftCell="A11"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生産技術2課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13154559</v>
      </c>
      <c r="D20" s="158">
        <f>SUMIF('内訳ﾘｽﾄ(4～3月)'!$D$26:$D$1000,$B20,'内訳ﾘｽﾄ(4～3月)'!G$26:G$1000)</f>
        <v>13507480</v>
      </c>
      <c r="E20" s="158">
        <f>SUMIF('内訳ﾘｽﾄ(4～3月)'!$D$26:$D$1000,$B20,'内訳ﾘｽﾄ(4～3月)'!H$26:H$1000)</f>
        <v>13509511</v>
      </c>
      <c r="F20" s="158">
        <f>SUMIF('内訳ﾘｽﾄ(4～3月)'!$D$26:$D$1000,$B20,'内訳ﾘｽﾄ(4～3月)'!I$26:I$1000)</f>
        <v>13398049</v>
      </c>
      <c r="G20" s="158">
        <f>SUMIF('内訳ﾘｽﾄ(4～3月)'!$D$26:$D$1000,$B20,'内訳ﾘｽﾄ(4～3月)'!J$26:J$1000)</f>
        <v>11203592</v>
      </c>
      <c r="H20" s="158">
        <f>SUMIF('内訳ﾘｽﾄ(4～3月)'!$D$26:$D$1000,$B20,'内訳ﾘｽﾄ(4～3月)'!K$26:K$1000)</f>
        <v>11119043</v>
      </c>
      <c r="I20" s="158">
        <f>SUMIF('内訳ﾘｽﾄ(4～3月)'!$D$26:$D$1000,$B20,'内訳ﾘｽﾄ(4～3月)'!L$26:L$1000)</f>
        <v>11115235</v>
      </c>
      <c r="J20" s="158">
        <f>SUMIF('内訳ﾘｽﾄ(4～3月)'!$D$26:$D$1000,$B20,'内訳ﾘｽﾄ(4～3月)'!M$26:M$1000)</f>
        <v>9571014</v>
      </c>
      <c r="K20" s="158">
        <f>SUMIF('内訳ﾘｽﾄ(4～3月)'!$D$26:$D$1000,$B20,'内訳ﾘｽﾄ(4～3月)'!N$26:N$1000)</f>
        <v>9513887</v>
      </c>
      <c r="L20" s="158">
        <f>SUMIF('内訳ﾘｽﾄ(4～3月)'!$D$26:$D$1000,$B20,'内訳ﾘｽﾄ(4～3月)'!O$26:O$1000)</f>
        <v>9511348</v>
      </c>
      <c r="M20" s="158">
        <f>SUMIF('内訳ﾘｽﾄ(4～3月)'!$D$26:$D$1000,$B20,'内訳ﾘｽﾄ(4～3月)'!P$26:P$1000)</f>
        <v>9507285</v>
      </c>
      <c r="N20" s="158">
        <f>SUMIF('内訳ﾘｽﾄ(4～3月)'!$D$26:$D$1000,$B20,'内訳ﾘｽﾄ(4～3月)'!Q$26:Q$1000)</f>
        <v>9511602</v>
      </c>
      <c r="O20" s="158">
        <f>SUMIF('内訳ﾘｽﾄ(4～3月)'!$D$26:$D$799,'採算表(VND)'!$B20,'内訳ﾘｽﾄ(4～3月)'!R$26:R$799)</f>
        <v>134622605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254098</v>
      </c>
      <c r="D25" s="158">
        <f>SUMIF('内訳ﾘｽﾄ(4～3月)'!$D$26:$D$1000,$B25,'内訳ﾘｽﾄ(4～3月)'!G$26:G$1000)</f>
        <v>245258</v>
      </c>
      <c r="E25" s="158">
        <f>SUMIF('内訳ﾘｽﾄ(4～3月)'!$D$26:$D$1000,$B25,'内訳ﾘｽﾄ(4～3月)'!H$26:H$1000)</f>
        <v>287812</v>
      </c>
      <c r="F25" s="158">
        <f>SUMIF('内訳ﾘｽﾄ(4～3月)'!$D$26:$D$1000,$B25,'内訳ﾘｽﾄ(4～3月)'!I$26:I$1000)</f>
        <v>311514</v>
      </c>
      <c r="G25" s="158">
        <f>SUMIF('内訳ﾘｽﾄ(4～3月)'!$D$26:$D$1000,$B25,'内訳ﾘｽﾄ(4～3月)'!J$26:J$1000)</f>
        <v>272776</v>
      </c>
      <c r="H25" s="158">
        <f>SUMIF('内訳ﾘｽﾄ(4～3月)'!$D$26:$D$1000,$B25,'内訳ﾘｽﾄ(4～3月)'!K$26:K$1000)</f>
        <v>260302</v>
      </c>
      <c r="I25" s="158">
        <f>SUMIF('内訳ﾘｽﾄ(4～3月)'!$D$26:$D$1000,$B25,'内訳ﾘｽﾄ(4～3月)'!L$26:L$1000)</f>
        <v>311374</v>
      </c>
      <c r="J25" s="158">
        <f>SUMIF('内訳ﾘｽﾄ(4～3月)'!$D$26:$D$1000,$B25,'内訳ﾘｽﾄ(4～3月)'!M$26:M$1000)</f>
        <v>273490</v>
      </c>
      <c r="K25" s="158">
        <f>SUMIF('内訳ﾘｽﾄ(4～3月)'!$D$26:$D$1000,$B25,'内訳ﾘｽﾄ(4～3月)'!N$26:N$1000)</f>
        <v>299292</v>
      </c>
      <c r="L25" s="158">
        <f>SUMIF('内訳ﾘｽﾄ(4～3月)'!$D$26:$D$1000,$B25,'内訳ﾘｽﾄ(4～3月)'!O$26:O$1000)</f>
        <v>273378</v>
      </c>
      <c r="M25" s="158">
        <f>SUMIF('内訳ﾘｽﾄ(4～3月)'!$D$26:$D$1000,$B25,'内訳ﾘｽﾄ(4～3月)'!P$26:P$1000)</f>
        <v>210126</v>
      </c>
      <c r="N25" s="158">
        <f>SUMIF('内訳ﾘｽﾄ(4～3月)'!$D$26:$D$1000,$B25,'内訳ﾘｽﾄ(4～3月)'!Q$26:Q$1000)</f>
        <v>273280</v>
      </c>
      <c r="O25" s="158">
        <f>SUMIF('内訳ﾘｽﾄ(4～3月)'!$D$26:$D$799,'採算表(VND)'!$B25,'内訳ﾘｽﾄ(4～3月)'!R$26:R$799)</f>
        <v>3272700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5000000</v>
      </c>
      <c r="D26" s="158">
        <f>SUMIF('内訳ﾘｽﾄ(4～3月)'!$D$26:$D$1000,$B26,'内訳ﾘｽﾄ(4～3月)'!G$26:G$1000)</f>
        <v>83700000</v>
      </c>
      <c r="E26" s="158">
        <f>SUMIF('内訳ﾘｽﾄ(4～3月)'!$D$26:$D$1000,$B26,'内訳ﾘｽﾄ(4～3月)'!H$26:H$1000)</f>
        <v>32215000</v>
      </c>
      <c r="F26" s="158">
        <f>SUMIF('内訳ﾘｽﾄ(4～3月)'!$D$26:$D$1000,$B26,'内訳ﾘｽﾄ(4～3月)'!I$26:I$1000)</f>
        <v>0</v>
      </c>
      <c r="G26" s="158">
        <f>SUMIF('内訳ﾘｽﾄ(4～3月)'!$D$26:$D$1000,$B26,'内訳ﾘｽﾄ(4～3月)'!J$26:J$1000)</f>
        <v>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10000000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130915000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2357847</v>
      </c>
      <c r="D30" s="158">
        <f>SUMIF('内訳ﾘｽﾄ(4～3月)'!$D$26:$D$1000,$B30,'内訳ﾘｽﾄ(4～3月)'!G$26:G$1000)</f>
        <v>2481760</v>
      </c>
      <c r="E30" s="158">
        <f>SUMIF('内訳ﾘｽﾄ(4～3月)'!$D$26:$D$1000,$B30,'内訳ﾘｽﾄ(4～3月)'!H$26:H$1000)</f>
        <v>3048148</v>
      </c>
      <c r="F30" s="158">
        <f>SUMIF('内訳ﾘｽﾄ(4～3月)'!$D$26:$D$1000,$B30,'内訳ﾘｽﾄ(4～3月)'!I$26:I$1000)</f>
        <v>3425023</v>
      </c>
      <c r="G30" s="158">
        <f>SUMIF('内訳ﾘｽﾄ(4～3月)'!$D$26:$D$1000,$B30,'内訳ﾘｽﾄ(4～3月)'!J$26:J$1000)</f>
        <v>3363011</v>
      </c>
      <c r="H30" s="158">
        <f>SUMIF('内訳ﾘｽﾄ(4～3月)'!$D$26:$D$1000,$B30,'内訳ﾘｽﾄ(4～3月)'!K$26:K$1000)</f>
        <v>3043208</v>
      </c>
      <c r="I30" s="158">
        <f>SUMIF('内訳ﾘｽﾄ(4～3月)'!$D$26:$D$1000,$B30,'内訳ﾘｽﾄ(4～3月)'!L$26:L$1000)</f>
        <v>2972827</v>
      </c>
      <c r="J30" s="158">
        <f>SUMIF('内訳ﾘｽﾄ(4～3月)'!$D$26:$D$1000,$B30,'内訳ﾘｽﾄ(4～3月)'!M$26:M$1000)</f>
        <v>2864570</v>
      </c>
      <c r="K30" s="158">
        <f>SUMIF('内訳ﾘｽﾄ(4～3月)'!$D$26:$D$1000,$B30,'内訳ﾘｽﾄ(4～3月)'!N$26:N$1000)</f>
        <v>2832375</v>
      </c>
      <c r="L30" s="158">
        <f>SUMIF('内訳ﾘｽﾄ(4～3月)'!$D$26:$D$1000,$B30,'内訳ﾘｽﾄ(4～3月)'!O$26:O$1000)</f>
        <v>2458648</v>
      </c>
      <c r="M30" s="158">
        <f>SUMIF('内訳ﾘｽﾄ(4～3月)'!$D$26:$D$1000,$B30,'内訳ﾘｽﾄ(4～3月)'!P$26:P$1000)</f>
        <v>2228698</v>
      </c>
      <c r="N30" s="158">
        <f>SUMIF('内訳ﾘｽﾄ(4～3月)'!$D$26:$D$1000,$B30,'内訳ﾘｽﾄ(4～3月)'!Q$26:Q$1000)</f>
        <v>2080254</v>
      </c>
      <c r="O30" s="158">
        <f>SUMIF('内訳ﾘｽﾄ(4～3月)'!$D$26:$D$799,'採算表(VND)'!$B30,'内訳ﾘｽﾄ(4～3月)'!R$26:R$799)</f>
        <v>33156369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4600000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9300000</v>
      </c>
      <c r="K31" s="158">
        <f>SUMIF('内訳ﾘｽﾄ(4～3月)'!$D$26:$D$1000,$B31,'内訳ﾘｽﾄ(4～3月)'!N$26:N$1000)</f>
        <v>5500000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19400000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731211</v>
      </c>
      <c r="D39" s="158">
        <f>SUMIF('内訳ﾘｽﾄ(4～3月)'!$D$26:$D$1000,$B39,'内訳ﾘｽﾄ(4～3月)'!G$26:G$1000)</f>
        <v>734006</v>
      </c>
      <c r="E39" s="158">
        <f>SUMIF('内訳ﾘｽﾄ(4～3月)'!$D$26:$D$1000,$B39,'内訳ﾘｽﾄ(4～3月)'!H$26:H$1000)</f>
        <v>814814</v>
      </c>
      <c r="F39" s="158">
        <f>SUMIF('内訳ﾘｽﾄ(4～3月)'!$D$26:$D$1000,$B39,'内訳ﾘｽﾄ(4～3月)'!I$26:I$1000)</f>
        <v>746284</v>
      </c>
      <c r="G39" s="158">
        <f>SUMIF('内訳ﾘｽﾄ(4～3月)'!$D$26:$D$1000,$B39,'内訳ﾘｽﾄ(4～3月)'!J$26:J$1000)</f>
        <v>726474</v>
      </c>
      <c r="H39" s="158">
        <f>SUMIF('内訳ﾘｽﾄ(4～3月)'!$D$26:$D$1000,$B39,'内訳ﾘｽﾄ(4～3月)'!K$26:K$1000)</f>
        <v>694260</v>
      </c>
      <c r="I39" s="158">
        <f>SUMIF('内訳ﾘｽﾄ(4～3月)'!$D$26:$D$1000,$B39,'内訳ﾘｽﾄ(4～3月)'!L$26:L$1000)</f>
        <v>664048</v>
      </c>
      <c r="J39" s="158">
        <f>SUMIF('内訳ﾘｽﾄ(4～3月)'!$D$26:$D$1000,$B39,'内訳ﾘｽﾄ(4～3月)'!M$26:M$1000)</f>
        <v>655816</v>
      </c>
      <c r="K39" s="158">
        <f>SUMIF('内訳ﾘｽﾄ(4～3月)'!$D$26:$D$1000,$B39,'内訳ﾘｽﾄ(4～3月)'!N$26:N$1000)</f>
        <v>657678</v>
      </c>
      <c r="L39" s="158">
        <f>SUMIF('内訳ﾘｽﾄ(4～3月)'!$D$26:$D$1000,$B39,'内訳ﾘｽﾄ(4～3月)'!O$26:O$1000)</f>
        <v>629552</v>
      </c>
      <c r="M39" s="158">
        <f>SUMIF('内訳ﾘｽﾄ(4～3月)'!$D$26:$D$1000,$B39,'内訳ﾘｽﾄ(4～3月)'!P$26:P$1000)</f>
        <v>595868</v>
      </c>
      <c r="N39" s="158">
        <f>SUMIF('内訳ﾘｽﾄ(4～3月)'!$D$26:$D$1000,$B39,'内訳ﾘｽﾄ(4～3月)'!Q$26:Q$1000)</f>
        <v>623560</v>
      </c>
      <c r="O39" s="158">
        <f>SUMIF('内訳ﾘｽﾄ(4～3月)'!$D$26:$D$799,'採算表(VND)'!$B39,'内訳ﾘｽﾄ(4～3月)'!R$26:R$799)</f>
        <v>8273571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347000</v>
      </c>
      <c r="D41" s="158">
        <f>SUMIF('内訳ﾘｽﾄ(4～3月)'!$D$26:$D$1000,$B41,'内訳ﾘｽﾄ(4～3月)'!G$26:G$1000)</f>
        <v>347000</v>
      </c>
      <c r="E41" s="158">
        <f>SUMIF('内訳ﾘｽﾄ(4～3月)'!$D$26:$D$1000,$B41,'内訳ﾘｽﾄ(4～3月)'!H$26:H$1000)</f>
        <v>347000</v>
      </c>
      <c r="F41" s="158">
        <f>SUMIF('内訳ﾘｽﾄ(4～3月)'!$D$26:$D$1000,$B41,'内訳ﾘｽﾄ(4～3月)'!I$26:I$1000)</f>
        <v>347000</v>
      </c>
      <c r="G41" s="158">
        <f>SUMIF('内訳ﾘｽﾄ(4～3月)'!$D$26:$D$1000,$B41,'内訳ﾘｽﾄ(4～3月)'!J$26:J$1000)</f>
        <v>347000</v>
      </c>
      <c r="H41" s="158">
        <f>SUMIF('内訳ﾘｽﾄ(4～3月)'!$D$26:$D$1000,$B41,'内訳ﾘｽﾄ(4～3月)'!K$26:K$1000)</f>
        <v>347000</v>
      </c>
      <c r="I41" s="158">
        <f>SUMIF('内訳ﾘｽﾄ(4～3月)'!$D$26:$D$1000,$B41,'内訳ﾘｽﾄ(4～3月)'!L$26:L$1000)</f>
        <v>347000</v>
      </c>
      <c r="J41" s="158">
        <f>SUMIF('内訳ﾘｽﾄ(4～3月)'!$D$26:$D$1000,$B41,'内訳ﾘｽﾄ(4～3月)'!M$26:M$1000)</f>
        <v>347000</v>
      </c>
      <c r="K41" s="158">
        <f>SUMIF('内訳ﾘｽﾄ(4～3月)'!$D$26:$D$1000,$B41,'内訳ﾘｽﾄ(4～3月)'!N$26:N$1000)</f>
        <v>347000</v>
      </c>
      <c r="L41" s="158">
        <f>SUMIF('内訳ﾘｽﾄ(4～3月)'!$D$26:$D$1000,$B41,'内訳ﾘｽﾄ(4～3月)'!O$26:O$1000)</f>
        <v>347000</v>
      </c>
      <c r="M41" s="158">
        <f>SUMIF('内訳ﾘｽﾄ(4～3月)'!$D$26:$D$1000,$B41,'内訳ﾘｽﾄ(4～3月)'!P$26:P$1000)</f>
        <v>347000</v>
      </c>
      <c r="N41" s="158">
        <f>SUMIF('内訳ﾘｽﾄ(4～3月)'!$D$26:$D$1000,$B41,'内訳ﾘｽﾄ(4～3月)'!Q$26:Q$1000)</f>
        <v>347000</v>
      </c>
      <c r="O41" s="158">
        <f>SUMIF('内訳ﾘｽﾄ(4～3月)'!$D$26:$D$799,'採算表(VND)'!$B41,'内訳ﾘｽﾄ(4～3月)'!R$26:R$799)</f>
        <v>4164000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61593383</v>
      </c>
      <c r="D42" s="158">
        <f>SUMIF('内訳ﾘｽﾄ(4～3月)'!$D$26:$D$1000,$B42,'内訳ﾘｽﾄ(4～3月)'!G$26:G$1000)</f>
        <v>61694283</v>
      </c>
      <c r="E42" s="158">
        <f>SUMIF('内訳ﾘｽﾄ(4～3月)'!$D$26:$D$1000,$B42,'内訳ﾘｽﾄ(4～3月)'!H$26:H$1000)</f>
        <v>61885153</v>
      </c>
      <c r="F42" s="158">
        <f>SUMIF('内訳ﾘｽﾄ(4～3月)'!$D$26:$D$1000,$B42,'内訳ﾘｽﾄ(4～3月)'!I$26:I$1000)</f>
        <v>126384353</v>
      </c>
      <c r="G42" s="158">
        <f>SUMIF('内訳ﾘｽﾄ(4～3月)'!$D$26:$D$1000,$B42,'内訳ﾘｽﾄ(4～3月)'!J$26:J$1000)</f>
        <v>61884353</v>
      </c>
      <c r="H42" s="158">
        <f>SUMIF('内訳ﾘｽﾄ(4～3月)'!$D$26:$D$1000,$B42,'内訳ﾘｽﾄ(4～3月)'!K$26:K$1000)</f>
        <v>61884353</v>
      </c>
      <c r="I42" s="158">
        <f>SUMIF('内訳ﾘｽﾄ(4～3月)'!$D$26:$D$1000,$B42,'内訳ﾘｽﾄ(4～3月)'!L$26:L$1000)</f>
        <v>61884353</v>
      </c>
      <c r="J42" s="158">
        <f>SUMIF('内訳ﾘｽﾄ(4～3月)'!$D$26:$D$1000,$B42,'内訳ﾘｽﾄ(4～3月)'!M$26:M$1000)</f>
        <v>61895553</v>
      </c>
      <c r="K42" s="158">
        <f>SUMIF('内訳ﾘｽﾄ(4～3月)'!$D$26:$D$1000,$B42,'内訳ﾘｽﾄ(4～3月)'!N$26:N$1000)</f>
        <v>61884353</v>
      </c>
      <c r="L42" s="158">
        <f>SUMIF('内訳ﾘｽﾄ(4～3月)'!$D$26:$D$1000,$B42,'内訳ﾘｽﾄ(4～3月)'!O$26:O$1000)</f>
        <v>61884353</v>
      </c>
      <c r="M42" s="158">
        <f>SUMIF('内訳ﾘｽﾄ(4～3月)'!$D$26:$D$1000,$B42,'内訳ﾘｽﾄ(4～3月)'!P$26:P$1000)</f>
        <v>61884353</v>
      </c>
      <c r="N42" s="158">
        <f>SUMIF('内訳ﾘｽﾄ(4～3月)'!$D$26:$D$1000,$B42,'内訳ﾘｽﾄ(4～3月)'!Q$26:Q$1000)</f>
        <v>61884353</v>
      </c>
      <c r="O42" s="158">
        <f>SUMIF('内訳ﾘｽﾄ(4～3月)'!$D$26:$D$799,'採算表(VND)'!$B42,'内訳ﾘｽﾄ(4～3月)'!R$26:R$799)</f>
        <v>806643196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11046678</v>
      </c>
      <c r="D44" s="158">
        <f>SUMIF('内訳ﾘｽﾄ(4～3月)'!$D$26:$D$1000,$B44,'内訳ﾘｽﾄ(4～3月)'!G$26:G$1000)</f>
        <v>29604013</v>
      </c>
      <c r="E44" s="158">
        <f>SUMIF('内訳ﾘｽﾄ(4～3月)'!$D$26:$D$1000,$B44,'内訳ﾘｽﾄ(4～3月)'!H$26:H$1000)</f>
        <v>3431294</v>
      </c>
      <c r="F44" s="158">
        <f>SUMIF('内訳ﾘｽﾄ(4～3月)'!$D$26:$D$1000,$B44,'内訳ﾘｽﾄ(4～3月)'!I$26:I$1000)</f>
        <v>3838280</v>
      </c>
      <c r="G44" s="158">
        <f>SUMIF('内訳ﾘｽﾄ(4～3月)'!$D$26:$D$1000,$B44,'内訳ﾘｽﾄ(4～3月)'!J$26:J$1000)</f>
        <v>2519498</v>
      </c>
      <c r="H44" s="158">
        <f>SUMIF('内訳ﾘｽﾄ(4～3月)'!$D$26:$D$1000,$B44,'内訳ﾘｽﾄ(4～3月)'!K$26:K$1000)</f>
        <v>4320779</v>
      </c>
      <c r="I44" s="158">
        <f>SUMIF('内訳ﾘｽﾄ(4～3月)'!$D$26:$D$1000,$B44,'内訳ﾘｽﾄ(4～3月)'!L$26:L$1000)</f>
        <v>4819001</v>
      </c>
      <c r="J44" s="158">
        <f>SUMIF('内訳ﾘｽﾄ(4～3月)'!$D$26:$D$1000,$B44,'内訳ﾘｽﾄ(4～3月)'!M$26:M$1000)</f>
        <v>3958781</v>
      </c>
      <c r="K44" s="158">
        <f>SUMIF('内訳ﾘｽﾄ(4～3月)'!$D$26:$D$1000,$B44,'内訳ﾘｽﾄ(4～3月)'!N$26:N$1000)</f>
        <v>4808858</v>
      </c>
      <c r="L44" s="158">
        <f>SUMIF('内訳ﾘｽﾄ(4～3月)'!$D$26:$D$1000,$B44,'内訳ﾘｽﾄ(4～3月)'!O$26:O$1000)</f>
        <v>2668191</v>
      </c>
      <c r="M44" s="158">
        <f>SUMIF('内訳ﾘｽﾄ(4～3月)'!$D$26:$D$1000,$B44,'内訳ﾘｽﾄ(4～3月)'!P$26:P$1000)</f>
        <v>8252625</v>
      </c>
      <c r="N44" s="158">
        <f>SUMIF('内訳ﾘｽﾄ(4～3月)'!$D$26:$D$1000,$B44,'内訳ﾘｽﾄ(4～3月)'!Q$26:Q$1000)</f>
        <v>2059780</v>
      </c>
      <c r="O44" s="158">
        <f>SUMIF('内訳ﾘｽﾄ(4～3月)'!$D$26:$D$799,'採算表(VND)'!$B44,'内訳ﾘｽﾄ(4～3月)'!R$26:R$799)</f>
        <v>81327778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6832449</v>
      </c>
      <c r="D57" s="160">
        <f>SUMIF('内訳ﾘｽﾄ(4～3月)'!$D$26:$D$1000,$B57,'内訳ﾘｽﾄ(4～3月)'!G$26:G$1000)</f>
        <v>6598607</v>
      </c>
      <c r="E57" s="160">
        <f>SUMIF('内訳ﾘｽﾄ(4～3月)'!$D$26:$D$1000,$B57,'内訳ﾘｽﾄ(4～3月)'!H$26:H$1000)</f>
        <v>6600130</v>
      </c>
      <c r="F57" s="160">
        <f>SUMIF('内訳ﾘｽﾄ(4～3月)'!$D$26:$D$1000,$B57,'内訳ﾘｽﾄ(4～3月)'!I$26:I$1000)</f>
        <v>6524215</v>
      </c>
      <c r="G57" s="160">
        <f>SUMIF('内訳ﾘｽﾄ(4～3月)'!$D$26:$D$1000,$B57,'内訳ﾘｽﾄ(4～3月)'!J$26:J$1000)</f>
        <v>6521168</v>
      </c>
      <c r="H57" s="160">
        <f>SUMIF('内訳ﾘｽﾄ(4～3月)'!$D$26:$D$1000,$B57,'内訳ﾘｽﾄ(4～3月)'!K$26:K$1000)</f>
        <v>6491716</v>
      </c>
      <c r="I57" s="160">
        <f>SUMIF('内訳ﾘｽﾄ(4～3月)'!$D$26:$D$1000,$B57,'内訳ﾘｽﾄ(4～3月)'!L$26:L$1000)</f>
        <v>6489177</v>
      </c>
      <c r="J57" s="160">
        <f>SUMIF('内訳ﾘｽﾄ(4～3月)'!$D$26:$D$1000,$B57,'内訳ﾘｽﾄ(4～3月)'!M$26:M$1000)</f>
        <v>6488669</v>
      </c>
      <c r="K57" s="160">
        <f>SUMIF('内訳ﾘｽﾄ(4～3月)'!$D$26:$D$1000,$B57,'内訳ﾘｽﾄ(4～3月)'!N$26:N$1000)</f>
        <v>6455154</v>
      </c>
      <c r="L57" s="160">
        <f>SUMIF('内訳ﾘｽﾄ(4～3月)'!$D$26:$D$1000,$B57,'内訳ﾘｽﾄ(4～3月)'!O$26:O$1000)</f>
        <v>6453376</v>
      </c>
      <c r="M57" s="160">
        <f>SUMIF('内訳ﾘｽﾄ(4～3月)'!$D$26:$D$1000,$B57,'内訳ﾘｽﾄ(4～3月)'!P$26:P$1000)</f>
        <v>6450583</v>
      </c>
      <c r="N57" s="160">
        <f>SUMIF('内訳ﾘｽﾄ(4～3月)'!$D$26:$D$1000,$B57,'内訳ﾘｽﾄ(4～3月)'!Q$26:Q$1000)</f>
        <v>6453376</v>
      </c>
      <c r="O57" s="160">
        <f>SUMIF('内訳ﾘｽﾄ(4～3月)'!$D$26:$D$799,'採算表(VND)'!$B57,'内訳ﾘｽﾄ(4～3月)'!R$26:R$799)</f>
        <v>78358620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0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0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0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0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0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0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0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0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0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0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-101317225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-198912407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-126738862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-154974718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-86837872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-88160661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-88603015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-105354893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-92298597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-84225846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-89476538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-83233205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-1300133839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 ca="1">C73+C79</f>
        <v>0</v>
      </c>
      <c r="D67" s="161">
        <f t="shared" ref="D67:N67" ca="1" si="5">D73+D79</f>
        <v>0</v>
      </c>
      <c r="E67" s="161">
        <f t="shared" ca="1" si="5"/>
        <v>0</v>
      </c>
      <c r="F67" s="161">
        <f t="shared" ca="1" si="5"/>
        <v>0</v>
      </c>
      <c r="G67" s="161">
        <f t="shared" ca="1" si="5"/>
        <v>0</v>
      </c>
      <c r="H67" s="161">
        <f t="shared" ca="1" si="5"/>
        <v>0</v>
      </c>
      <c r="I67" s="161">
        <f t="shared" ca="1" si="5"/>
        <v>0</v>
      </c>
      <c r="J67" s="161">
        <f t="shared" ca="1" si="5"/>
        <v>0</v>
      </c>
      <c r="K67" s="161">
        <f t="shared" ca="1" si="5"/>
        <v>0</v>
      </c>
      <c r="L67" s="161">
        <f t="shared" ca="1" si="5"/>
        <v>0</v>
      </c>
      <c r="M67" s="161">
        <f t="shared" ca="1" si="5"/>
        <v>0</v>
      </c>
      <c r="N67" s="161">
        <f t="shared" ca="1" si="5"/>
        <v>0</v>
      </c>
      <c r="O67" s="161">
        <f ca="1"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 ca="1">SUMIF('内訳ﾘｽﾄ(4～3月)'!$D$8:$D$15,'採算表(VND)'!$B68,'内訳ﾘｽﾄ(4～3月)'!F$8:F$15)</f>
        <v>2108</v>
      </c>
      <c r="D68" s="162">
        <f ca="1">SUMIF('内訳ﾘｽﾄ(4～3月)'!$D$8:$D$15,'採算表(VND)'!$B68,'内訳ﾘｽﾄ(4～3月)'!G$8:G$15)</f>
        <v>2108</v>
      </c>
      <c r="E68" s="162">
        <f ca="1">SUMIF('内訳ﾘｽﾄ(4～3月)'!$D$8:$D$15,'採算表(VND)'!$B68,'内訳ﾘｽﾄ(4～3月)'!H$8:H$15)</f>
        <v>2388.5</v>
      </c>
      <c r="F68" s="162">
        <f ca="1">SUMIF('内訳ﾘｽﾄ(4～3月)'!$D$8:$D$15,'採算表(VND)'!$B68,'内訳ﾘｽﾄ(4～3月)'!I$8:I$15)</f>
        <v>2626.5</v>
      </c>
      <c r="G68" s="162">
        <f ca="1">SUMIF('内訳ﾘｽﾄ(4～3月)'!$D$8:$D$15,'採算表(VND)'!$B68,'内訳ﾘｽﾄ(4～3月)'!J$8:J$15)</f>
        <v>2269.5</v>
      </c>
      <c r="H68" s="162">
        <f ca="1">SUMIF('内訳ﾘｽﾄ(4～3月)'!$D$8:$D$15,'採算表(VND)'!$B68,'内訳ﾘｽﾄ(4～3月)'!K$8:K$15)</f>
        <v>2150.5</v>
      </c>
      <c r="I68" s="162">
        <f ca="1">SUMIF('内訳ﾘｽﾄ(4～3月)'!$D$8:$D$15,'採算表(VND)'!$B68,'内訳ﾘｽﾄ(4～3月)'!L$8:L$15)</f>
        <v>2626.5</v>
      </c>
      <c r="J68" s="162">
        <f ca="1">SUMIF('内訳ﾘｽﾄ(4～3月)'!$D$8:$D$15,'採算表(VND)'!$B68,'内訳ﾘｽﾄ(4～3月)'!M$8:M$15)</f>
        <v>2227</v>
      </c>
      <c r="K68" s="162">
        <f ca="1">SUMIF('内訳ﾘｽﾄ(4～3月)'!$D$8:$D$15,'採算表(VND)'!$B68,'内訳ﾘｽﾄ(4～3月)'!N$8:N$15)</f>
        <v>2452.25</v>
      </c>
      <c r="L68" s="162">
        <f ca="1">SUMIF('内訳ﾘｽﾄ(4～3月)'!$D$8:$D$15,'採算表(VND)'!$B68,'内訳ﾘｽﾄ(4～3月)'!O$8:O$15)</f>
        <v>2269.5</v>
      </c>
      <c r="M68" s="162">
        <f ca="1">SUMIF('内訳ﾘｽﾄ(4～3月)'!$D$8:$D$15,'採算表(VND)'!$B68,'内訳ﾘｽﾄ(4～3月)'!P$8:P$15)</f>
        <v>1674.5</v>
      </c>
      <c r="N68" s="162">
        <f ca="1">SUMIF('内訳ﾘｽﾄ(4～3月)'!$D$8:$D$15,'採算表(VND)'!$B68,'内訳ﾘｽﾄ(4～3月)'!Q$8:Q$15)</f>
        <v>2269.5</v>
      </c>
      <c r="O68" s="162">
        <f ca="1">SUMIF('内訳ﾘｽﾄ(4～3月)'!$D$8:$D$15,'採算表(VND)'!$B68,'内訳ﾘｽﾄ(4～3月)'!$R$8:$R$15)</f>
        <v>27170.25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 ca="1">IF('内訳ﾘｽﾄ(4～3月)'!$D$5="製造",SUMIF('内訳ﾘｽﾄ(4～3月)'!$D$8:$D$15,$B70,'内訳ﾘｽﾄ(4～3月)'!F$8:F$15),IF('内訳ﾘｽﾄ(4～3月)'!$D$5="部外間接1",-C$68,0))</f>
        <v>-2108</v>
      </c>
      <c r="D70" s="164">
        <f ca="1">IF('内訳ﾘｽﾄ(4～3月)'!$D$5="製造",SUMIF('内訳ﾘｽﾄ(4～3月)'!$D$8:$D$15,$B70,'内訳ﾘｽﾄ(4～3月)'!G$8:G$15),IF('内訳ﾘｽﾄ(4～3月)'!$D$5="部外間接1",-D$68,0))</f>
        <v>-2108</v>
      </c>
      <c r="E70" s="164">
        <f ca="1">IF('内訳ﾘｽﾄ(4～3月)'!$D$5="製造",SUMIF('内訳ﾘｽﾄ(4～3月)'!$D$8:$D$15,$B70,'内訳ﾘｽﾄ(4～3月)'!H$8:H$15),IF('内訳ﾘｽﾄ(4～3月)'!$D$5="部外間接1",-E$68,0))</f>
        <v>-2388.5</v>
      </c>
      <c r="F70" s="164">
        <f ca="1">IF('内訳ﾘｽﾄ(4～3月)'!$D$5="製造",SUMIF('内訳ﾘｽﾄ(4～3月)'!$D$8:$D$15,$B70,'内訳ﾘｽﾄ(4～3月)'!I$8:I$15),IF('内訳ﾘｽﾄ(4～3月)'!$D$5="部外間接1",-F$68,0))</f>
        <v>-2626.5</v>
      </c>
      <c r="G70" s="164">
        <f ca="1">IF('内訳ﾘｽﾄ(4～3月)'!$D$5="製造",SUMIF('内訳ﾘｽﾄ(4～3月)'!$D$8:$D$15,$B70,'内訳ﾘｽﾄ(4～3月)'!J$8:J$15),IF('内訳ﾘｽﾄ(4～3月)'!$D$5="部外間接1",-G$68,0))</f>
        <v>-2269.5</v>
      </c>
      <c r="H70" s="164">
        <f ca="1">IF('内訳ﾘｽﾄ(4～3月)'!$D$5="製造",SUMIF('内訳ﾘｽﾄ(4～3月)'!$D$8:$D$15,$B70,'内訳ﾘｽﾄ(4～3月)'!K$8:K$15),IF('内訳ﾘｽﾄ(4～3月)'!$D$5="部外間接1",-H$68,0))</f>
        <v>-2150.5</v>
      </c>
      <c r="I70" s="164">
        <f ca="1">IF('内訳ﾘｽﾄ(4～3月)'!$D$5="製造",SUMIF('内訳ﾘｽﾄ(4～3月)'!$D$8:$D$15,$B70,'内訳ﾘｽﾄ(4～3月)'!L$8:L$15),IF('内訳ﾘｽﾄ(4～3月)'!$D$5="部外間接1",-I$68,0))</f>
        <v>-2626.5</v>
      </c>
      <c r="J70" s="164">
        <f ca="1">IF('内訳ﾘｽﾄ(4～3月)'!$D$5="製造",SUMIF('内訳ﾘｽﾄ(4～3月)'!$D$8:$D$15,$B70,'内訳ﾘｽﾄ(4～3月)'!M$8:M$15),IF('内訳ﾘｽﾄ(4～3月)'!$D$5="部外間接1",-J$68,0))</f>
        <v>-2227</v>
      </c>
      <c r="K70" s="164">
        <f ca="1">IF('内訳ﾘｽﾄ(4～3月)'!$D$5="製造",SUMIF('内訳ﾘｽﾄ(4～3月)'!$D$8:$D$15,$B70,'内訳ﾘｽﾄ(4～3月)'!N$8:N$15),IF('内訳ﾘｽﾄ(4～3月)'!$D$5="部外間接1",-K$68,0))</f>
        <v>-2452.25</v>
      </c>
      <c r="L70" s="164">
        <f ca="1">IF('内訳ﾘｽﾄ(4～3月)'!$D$5="製造",SUMIF('内訳ﾘｽﾄ(4～3月)'!$D$8:$D$15,$B70,'内訳ﾘｽﾄ(4～3月)'!O$8:O$15),IF('内訳ﾘｽﾄ(4～3月)'!$D$5="部外間接1",-L$68,0))</f>
        <v>-2269.5</v>
      </c>
      <c r="M70" s="164">
        <f ca="1">IF('内訳ﾘｽﾄ(4～3月)'!$D$5="製造",SUMIF('内訳ﾘｽﾄ(4～3月)'!$D$8:$D$15,$B70,'内訳ﾘｽﾄ(4～3月)'!P$8:P$15),IF('内訳ﾘｽﾄ(4～3月)'!$D$5="部外間接1",-M$68,0))</f>
        <v>-1674.5</v>
      </c>
      <c r="N70" s="164">
        <f ca="1">IF('内訳ﾘｽﾄ(4～3月)'!$D$5="製造",SUMIF('内訳ﾘｽﾄ(4～3月)'!$D$8:$D$15,$B70,'内訳ﾘｽﾄ(4～3月)'!Q$8:Q$15),IF('内訳ﾘｽﾄ(4～3月)'!$D$5="部外間接1",-N$68,0))</f>
        <v>-2269.5</v>
      </c>
      <c r="O70" s="164">
        <f ca="1">IF('内訳ﾘｽﾄ(4～3月)'!$D$5="部外間接1",-SUM(O$68),IF('内訳ﾘｽﾄ(4～3月)'!$D$5="製造",SUMIF('内訳ﾘｽﾄ(4～3月)'!$D$8:$D$15,'採算表(VND)'!$B70,'内訳ﾘｽﾄ(4～3月)'!$R$8:$R$15),0))</f>
        <v>-27170.25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 ca="1">SUM(C68:C72)</f>
        <v>0</v>
      </c>
      <c r="D73" s="166">
        <f t="shared" ref="D73:N73" ca="1" si="6">SUM(D68:D72)</f>
        <v>0</v>
      </c>
      <c r="E73" s="166">
        <f t="shared" ca="1" si="6"/>
        <v>0</v>
      </c>
      <c r="F73" s="166">
        <f t="shared" ca="1" si="6"/>
        <v>0</v>
      </c>
      <c r="G73" s="166">
        <f t="shared" ca="1" si="6"/>
        <v>0</v>
      </c>
      <c r="H73" s="166">
        <f t="shared" ca="1" si="6"/>
        <v>0</v>
      </c>
      <c r="I73" s="166">
        <f t="shared" ca="1" si="6"/>
        <v>0</v>
      </c>
      <c r="J73" s="166">
        <f t="shared" ca="1" si="6"/>
        <v>0</v>
      </c>
      <c r="K73" s="166">
        <f t="shared" ca="1" si="6"/>
        <v>0</v>
      </c>
      <c r="L73" s="166">
        <f t="shared" ca="1" si="6"/>
        <v>0</v>
      </c>
      <c r="M73" s="166">
        <f t="shared" ca="1" si="6"/>
        <v>0</v>
      </c>
      <c r="N73" s="166">
        <f t="shared" ca="1" si="6"/>
        <v>0</v>
      </c>
      <c r="O73" s="166">
        <f ca="1"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 ca="1">SUMIF('内訳ﾘｽﾄ(4～3月)'!$D$16:$D$23,'採算表(VND)'!$B74,'内訳ﾘｽﾄ(4～3月)'!F$16:F$23)</f>
        <v>120</v>
      </c>
      <c r="D74" s="162">
        <f ca="1">SUMIF('内訳ﾘｽﾄ(4～3月)'!$D$16:$D$23,'採算表(VND)'!$B74,'内訳ﾘｽﾄ(4～3月)'!G$16:G$23)</f>
        <v>108</v>
      </c>
      <c r="E74" s="162">
        <f ca="1">SUMIF('内訳ﾘｽﾄ(4～3月)'!$D$16:$D$23,'採算表(VND)'!$B74,'内訳ﾘｽﾄ(4～3月)'!H$16:H$23)</f>
        <v>122</v>
      </c>
      <c r="F74" s="162">
        <f ca="1">SUMIF('内訳ﾘｽﾄ(4～3月)'!$D$16:$D$23,'採算表(VND)'!$B74,'内訳ﾘｽﾄ(4～3月)'!I$16:I$23)</f>
        <v>146</v>
      </c>
      <c r="G74" s="162">
        <f ca="1">SUMIF('内訳ﾘｽﾄ(4～3月)'!$D$16:$D$23,'採算表(VND)'!$B74,'内訳ﾘｽﾄ(4～3月)'!J$16:J$23)</f>
        <v>140</v>
      </c>
      <c r="H74" s="162">
        <f ca="1">SUMIF('内訳ﾘｽﾄ(4～3月)'!$D$16:$D$23,'採算表(VND)'!$B74,'内訳ﾘｽﾄ(4～3月)'!K$16:K$23)</f>
        <v>138</v>
      </c>
      <c r="I74" s="162">
        <f ca="1">SUMIF('内訳ﾘｽﾄ(4～3月)'!$D$16:$D$23,'採算表(VND)'!$B74,'内訳ﾘｽﾄ(4～3月)'!L$16:L$23)</f>
        <v>146</v>
      </c>
      <c r="J74" s="162">
        <f ca="1">SUMIF('内訳ﾘｽﾄ(4～3月)'!$D$16:$D$23,'採算表(VND)'!$B74,'内訳ﾘｽﾄ(4～3月)'!M$16:M$23)</f>
        <v>130</v>
      </c>
      <c r="K74" s="162">
        <f ca="1">SUMIF('内訳ﾘｽﾄ(4～3月)'!$D$16:$D$23,'採算表(VND)'!$B74,'内訳ﾘｽﾄ(4～3月)'!N$16:N$23)</f>
        <v>144</v>
      </c>
      <c r="L74" s="162">
        <f ca="1">SUMIF('内訳ﾘｽﾄ(4～3月)'!$D$16:$D$23,'採算表(VND)'!$B74,'内訳ﾘｽﾄ(4～3月)'!O$16:O$23)</f>
        <v>120</v>
      </c>
      <c r="M74" s="162">
        <f ca="1">SUMIF('内訳ﾘｽﾄ(4～3月)'!$D$16:$D$23,'採算表(VND)'!$B74,'内訳ﾘｽﾄ(4～3月)'!P$16:P$23)</f>
        <v>90</v>
      </c>
      <c r="N74" s="162">
        <f ca="1">SUMIF('内訳ﾘｽﾄ(4～3月)'!$D$16:$D$23,'採算表(VND)'!$B74,'内訳ﾘｽﾄ(4～3月)'!Q$16:Q$23)</f>
        <v>120</v>
      </c>
      <c r="O74" s="162">
        <f ca="1">SUMIF('内訳ﾘｽﾄ(4～3月)'!$D$16:$D$23,'採算表(VND)'!$B74,'内訳ﾘｽﾄ(4～3月)'!$R$16:$R$23)</f>
        <v>1524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 ca="1">IF('内訳ﾘｽﾄ(4～3月)'!$D$5="製造",SUMIF('内訳ﾘｽﾄ(4～3月)'!$D$16:$D$23,$B76,'内訳ﾘｽﾄ(4～3月)'!F$16:F$23),IF('内訳ﾘｽﾄ(4～3月)'!$D$5="部外間接1",-C$74,0))</f>
        <v>-120</v>
      </c>
      <c r="D76" s="164">
        <f ca="1">IF('内訳ﾘｽﾄ(4～3月)'!$D$5="製造",SUMIF('内訳ﾘｽﾄ(4～3月)'!$D$16:$D$23,$B76,'内訳ﾘｽﾄ(4～3月)'!G$16:G$23),IF('内訳ﾘｽﾄ(4～3月)'!$D$5="部外間接1",-D$74,0))</f>
        <v>-108</v>
      </c>
      <c r="E76" s="164">
        <f ca="1">IF('内訳ﾘｽﾄ(4～3月)'!$D$5="製造",SUMIF('内訳ﾘｽﾄ(4～3月)'!$D$16:$D$23,$B76,'内訳ﾘｽﾄ(4～3月)'!H$16:H$23),IF('内訳ﾘｽﾄ(4～3月)'!$D$5="部外間接1",-E$74,0))</f>
        <v>-122</v>
      </c>
      <c r="F76" s="164">
        <f ca="1">IF('内訳ﾘｽﾄ(4～3月)'!$D$5="製造",SUMIF('内訳ﾘｽﾄ(4～3月)'!$D$16:$D$23,$B76,'内訳ﾘｽﾄ(4～3月)'!I$16:I$23),IF('内訳ﾘｽﾄ(4～3月)'!$D$5="部外間接1",-F$74,0))</f>
        <v>-146</v>
      </c>
      <c r="G76" s="164">
        <f ca="1">IF('内訳ﾘｽﾄ(4～3月)'!$D$5="製造",SUMIF('内訳ﾘｽﾄ(4～3月)'!$D$16:$D$23,$B76,'内訳ﾘｽﾄ(4～3月)'!J$16:J$23),IF('内訳ﾘｽﾄ(4～3月)'!$D$5="部外間接1",-G$74,0))</f>
        <v>-140</v>
      </c>
      <c r="H76" s="164">
        <f ca="1">IF('内訳ﾘｽﾄ(4～3月)'!$D$5="製造",SUMIF('内訳ﾘｽﾄ(4～3月)'!$D$16:$D$23,$B76,'内訳ﾘｽﾄ(4～3月)'!K$16:K$23),IF('内訳ﾘｽﾄ(4～3月)'!$D$5="部外間接1",-H$74,0))</f>
        <v>-138</v>
      </c>
      <c r="I76" s="164">
        <f ca="1">IF('内訳ﾘｽﾄ(4～3月)'!$D$5="製造",SUMIF('内訳ﾘｽﾄ(4～3月)'!$D$16:$D$23,$B76,'内訳ﾘｽﾄ(4～3月)'!L$16:L$23),IF('内訳ﾘｽﾄ(4～3月)'!$D$5="部外間接1",-I$74,0))</f>
        <v>-146</v>
      </c>
      <c r="J76" s="164">
        <f ca="1">IF('内訳ﾘｽﾄ(4～3月)'!$D$5="製造",SUMIF('内訳ﾘｽﾄ(4～3月)'!$D$16:$D$23,$B76,'内訳ﾘｽﾄ(4～3月)'!M$16:M$23),IF('内訳ﾘｽﾄ(4～3月)'!$D$5="部外間接1",-J$74,0))</f>
        <v>-130</v>
      </c>
      <c r="K76" s="164">
        <f ca="1">IF('内訳ﾘｽﾄ(4～3月)'!$D$5="製造",SUMIF('内訳ﾘｽﾄ(4～3月)'!$D$16:$D$23,$B76,'内訳ﾘｽﾄ(4～3月)'!N$16:N$23),IF('内訳ﾘｽﾄ(4～3月)'!$D$5="部外間接1",-K$74,0))</f>
        <v>-144</v>
      </c>
      <c r="L76" s="164">
        <f ca="1">IF('内訳ﾘｽﾄ(4～3月)'!$D$5="製造",SUMIF('内訳ﾘｽﾄ(4～3月)'!$D$16:$D$23,$B76,'内訳ﾘｽﾄ(4～3月)'!O$16:O$23),IF('内訳ﾘｽﾄ(4～3月)'!$D$5="部外間接1",-L$74,0))</f>
        <v>-120</v>
      </c>
      <c r="M76" s="164">
        <f ca="1">IF('内訳ﾘｽﾄ(4～3月)'!$D$5="製造",SUMIF('内訳ﾘｽﾄ(4～3月)'!$D$16:$D$23,$B76,'内訳ﾘｽﾄ(4～3月)'!P$16:P$23),IF('内訳ﾘｽﾄ(4～3月)'!$D$5="部外間接1",-M$74,0))</f>
        <v>-90</v>
      </c>
      <c r="N76" s="164">
        <f ca="1">IF('内訳ﾘｽﾄ(4～3月)'!$D$5="製造",SUMIF('内訳ﾘｽﾄ(4～3月)'!$D$16:$D$23,$B76,'内訳ﾘｽﾄ(4～3月)'!Q$16:Q$23),IF('内訳ﾘｽﾄ(4～3月)'!$D$5="部外間接1",-N$74,0))</f>
        <v>-120</v>
      </c>
      <c r="O76" s="164">
        <f ca="1">IF('内訳ﾘｽﾄ(4～3月)'!$D$5="部外間接1",-SUM(O$74),IF('内訳ﾘｽﾄ(4～3月)'!$D$5="製造",SUMIF('内訳ﾘｽﾄ(4～3月)'!$D$16:$D$23,'採算表(VND)'!$B76,'内訳ﾘｽﾄ(4～3月)'!$R$16:$R$23),0))</f>
        <v>-1524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 ca="1">SUM(C74:C78)</f>
        <v>0</v>
      </c>
      <c r="D79" s="166">
        <f t="shared" ref="D79:N79" ca="1" si="7">SUM(D74:D78)</f>
        <v>0</v>
      </c>
      <c r="E79" s="166">
        <f t="shared" ca="1" si="7"/>
        <v>0</v>
      </c>
      <c r="F79" s="166">
        <f t="shared" ca="1" si="7"/>
        <v>0</v>
      </c>
      <c r="G79" s="166">
        <f t="shared" ca="1" si="7"/>
        <v>0</v>
      </c>
      <c r="H79" s="166">
        <f t="shared" ca="1" si="7"/>
        <v>0</v>
      </c>
      <c r="I79" s="166">
        <f t="shared" ca="1" si="7"/>
        <v>0</v>
      </c>
      <c r="J79" s="166">
        <f t="shared" ca="1" si="7"/>
        <v>0</v>
      </c>
      <c r="K79" s="166">
        <f t="shared" ca="1" si="7"/>
        <v>0</v>
      </c>
      <c r="L79" s="166">
        <f t="shared" ca="1" si="7"/>
        <v>0</v>
      </c>
      <c r="M79" s="166">
        <f t="shared" ca="1" si="7"/>
        <v>0</v>
      </c>
      <c r="N79" s="166">
        <f t="shared" ca="1" si="7"/>
        <v>0</v>
      </c>
      <c r="O79" s="166">
        <f ca="1"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 ca="1">IFERROR(ROUNDDOWN(C66/C67,0),0)</f>
        <v>0</v>
      </c>
      <c r="D80" s="167">
        <f t="shared" ref="D80:N80" ca="1" si="8">IFERROR(ROUNDDOWN(D66/D67,0),0)</f>
        <v>0</v>
      </c>
      <c r="E80" s="167">
        <f t="shared" ca="1" si="8"/>
        <v>0</v>
      </c>
      <c r="F80" s="167">
        <f t="shared" ca="1" si="8"/>
        <v>0</v>
      </c>
      <c r="G80" s="167">
        <f t="shared" ca="1" si="8"/>
        <v>0</v>
      </c>
      <c r="H80" s="167">
        <f t="shared" ca="1" si="8"/>
        <v>0</v>
      </c>
      <c r="I80" s="167">
        <f t="shared" ca="1" si="8"/>
        <v>0</v>
      </c>
      <c r="J80" s="167">
        <f t="shared" ca="1" si="8"/>
        <v>0</v>
      </c>
      <c r="K80" s="167">
        <f t="shared" ca="1" si="8"/>
        <v>0</v>
      </c>
      <c r="L80" s="167">
        <f t="shared" ca="1" si="8"/>
        <v>0</v>
      </c>
      <c r="M80" s="167">
        <f t="shared" ca="1" si="8"/>
        <v>0</v>
      </c>
      <c r="N80" s="167">
        <f t="shared" ca="1" si="8"/>
        <v>0</v>
      </c>
      <c r="O80" s="167">
        <f ca="1"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 ca="1">IFERROR(ROUNDDOWN(C12/C67,0),0)</f>
        <v>0</v>
      </c>
      <c r="D81" s="168">
        <f t="shared" ref="D81:N81" ca="1" si="9">IFERROR(ROUNDDOWN(D12/D67,0),0)</f>
        <v>0</v>
      </c>
      <c r="E81" s="168">
        <f t="shared" ca="1" si="9"/>
        <v>0</v>
      </c>
      <c r="F81" s="168">
        <f t="shared" ca="1" si="9"/>
        <v>0</v>
      </c>
      <c r="G81" s="168">
        <f t="shared" ca="1" si="9"/>
        <v>0</v>
      </c>
      <c r="H81" s="168">
        <f t="shared" ca="1" si="9"/>
        <v>0</v>
      </c>
      <c r="I81" s="168">
        <f t="shared" ca="1" si="9"/>
        <v>0</v>
      </c>
      <c r="J81" s="168">
        <f t="shared" ca="1" si="9"/>
        <v>0</v>
      </c>
      <c r="K81" s="168">
        <f t="shared" ca="1" si="9"/>
        <v>0</v>
      </c>
      <c r="L81" s="168">
        <f t="shared" ca="1" si="9"/>
        <v>0</v>
      </c>
      <c r="M81" s="168">
        <f t="shared" ca="1" si="9"/>
        <v>0</v>
      </c>
      <c r="N81" s="168">
        <f t="shared" ca="1" si="9"/>
        <v>0</v>
      </c>
      <c r="O81" s="168">
        <f ca="1"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12</v>
      </c>
      <c r="D88" s="150">
        <f>SUMIF('内訳ﾘｽﾄ(4～3月)'!$D$24:$D$25,'採算表(VND)'!$B88,'内訳ﾘｽﾄ(4～3月)'!G$24:G$25)</f>
        <v>13</v>
      </c>
      <c r="E88" s="150">
        <f>SUMIF('内訳ﾘｽﾄ(4～3月)'!$D$24:$D$25,'採算表(VND)'!$B88,'内訳ﾘｽﾄ(4～3月)'!H$24:H$25)</f>
        <v>13</v>
      </c>
      <c r="F88" s="150">
        <f>SUMIF('内訳ﾘｽﾄ(4～3月)'!$D$24:$D$25,'採算表(VND)'!$B88,'内訳ﾘｽﾄ(4～3月)'!I$24:I$25)</f>
        <v>13</v>
      </c>
      <c r="G88" s="150">
        <f>SUMIF('内訳ﾘｽﾄ(4～3月)'!$D$24:$D$25,'採算表(VND)'!$B88,'内訳ﾘｽﾄ(4～3月)'!J$24:J$25)</f>
        <v>13</v>
      </c>
      <c r="H88" s="150">
        <f>SUMIF('内訳ﾘｽﾄ(4～3月)'!$D$24:$D$25,'採算表(VND)'!$B88,'内訳ﾘｽﾄ(4～3月)'!K$24:K$25)</f>
        <v>13</v>
      </c>
      <c r="I88" s="150">
        <f>SUMIF('内訳ﾘｽﾄ(4～3月)'!$D$24:$D$25,'採算表(VND)'!$B88,'内訳ﾘｽﾄ(4～3月)'!L$24:L$25)</f>
        <v>13</v>
      </c>
      <c r="J88" s="150">
        <f>SUMIF('内訳ﾘｽﾄ(4～3月)'!$D$24:$D$25,'採算表(VND)'!$B88,'内訳ﾘｽﾄ(4～3月)'!M$24:M$25)</f>
        <v>13</v>
      </c>
      <c r="K88" s="150">
        <f>SUMIF('内訳ﾘｽﾄ(4～3月)'!$D$24:$D$25,'採算表(VND)'!$B88,'内訳ﾘｽﾄ(4～3月)'!N$24:N$25)</f>
        <v>13</v>
      </c>
      <c r="L88" s="150">
        <f>SUMIF('内訳ﾘｽﾄ(4～3月)'!$D$24:$D$25,'採算表(VND)'!$B88,'内訳ﾘｽﾄ(4～3月)'!O$24:O$25)</f>
        <v>13</v>
      </c>
      <c r="M88" s="150">
        <f>SUMIF('内訳ﾘｽﾄ(4～3月)'!$D$24:$D$25,'採算表(VND)'!$B88,'内訳ﾘｽﾄ(4～3月)'!P$24:P$25)</f>
        <v>13</v>
      </c>
      <c r="N88" s="150">
        <f>SUMIF('内訳ﾘｽﾄ(4～3月)'!$D$24:$D$25,'採算表(VND)'!$B88,'内訳ﾘｽﾄ(4～3月)'!Q$24:Q$25)</f>
        <v>13</v>
      </c>
      <c r="O88" s="150">
        <f>SUMIF('内訳ﾘｽﾄ(4～3月)'!$D$24:$D$25,'採算表(VND)'!$B88,'内訳ﾘｽﾄ(4～3月)'!R$24:R$25)</f>
        <v>13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13</v>
      </c>
      <c r="D89" s="151">
        <f t="shared" si="10"/>
        <v>14</v>
      </c>
      <c r="E89" s="151">
        <f t="shared" si="10"/>
        <v>14</v>
      </c>
      <c r="F89" s="151">
        <f t="shared" si="10"/>
        <v>14</v>
      </c>
      <c r="G89" s="151">
        <f t="shared" si="10"/>
        <v>14</v>
      </c>
      <c r="H89" s="151">
        <f t="shared" si="10"/>
        <v>14</v>
      </c>
      <c r="I89" s="151">
        <f t="shared" si="10"/>
        <v>14</v>
      </c>
      <c r="J89" s="151">
        <f t="shared" si="10"/>
        <v>14</v>
      </c>
      <c r="K89" s="151">
        <f t="shared" si="10"/>
        <v>14</v>
      </c>
      <c r="L89" s="151">
        <f t="shared" si="10"/>
        <v>14</v>
      </c>
      <c r="M89" s="151">
        <f t="shared" si="10"/>
        <v>14</v>
      </c>
      <c r="N89" s="151">
        <f t="shared" si="10"/>
        <v>14</v>
      </c>
      <c r="O89" s="151">
        <f>O87+O88</f>
        <v>14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 ca="1">SUMIF('内訳ﾘｽﾄ(4～3月)'!$B$8:$B$15,$B92,'内訳ﾘｽﾄ(4～3月)'!F$8:F$15)</f>
        <v>170</v>
      </c>
      <c r="D92" s="161">
        <f ca="1">SUMIF('内訳ﾘｽﾄ(4～3月)'!$B$8:$B$15,$B92,'内訳ﾘｽﾄ(4～3月)'!G$8:G$15)</f>
        <v>119</v>
      </c>
      <c r="E92" s="161">
        <f ca="1">SUMIF('内訳ﾘｽﾄ(4～3月)'!$B$8:$B$15,$B92,'内訳ﾘｽﾄ(4～3月)'!H$8:H$15)</f>
        <v>178.5</v>
      </c>
      <c r="F92" s="161">
        <f ca="1">SUMIF('内訳ﾘｽﾄ(4～3月)'!$B$8:$B$15,$B92,'内訳ﾘｽﾄ(4～3月)'!I$8:I$15)</f>
        <v>195.5</v>
      </c>
      <c r="G92" s="161">
        <f ca="1">SUMIF('内訳ﾘｽﾄ(4～3月)'!$B$8:$B$15,$B92,'内訳ﾘｽﾄ(4～3月)'!J$8:J$15)</f>
        <v>170</v>
      </c>
      <c r="H92" s="161">
        <f ca="1">SUMIF('内訳ﾘｽﾄ(4～3月)'!$B$8:$B$15,$B92,'内訳ﾘｽﾄ(4～3月)'!K$8:K$15)</f>
        <v>161.5</v>
      </c>
      <c r="I92" s="161">
        <f ca="1">SUMIF('内訳ﾘｽﾄ(4～3月)'!$B$8:$B$15,$B92,'内訳ﾘｽﾄ(4～3月)'!L$8:L$15)</f>
        <v>195.5</v>
      </c>
      <c r="J92" s="161">
        <f ca="1">SUMIF('内訳ﾘｽﾄ(4～3月)'!$B$8:$B$15,$B92,'内訳ﾘｽﾄ(4～3月)'!M$8:M$15)</f>
        <v>127.5</v>
      </c>
      <c r="K92" s="161">
        <f ca="1">SUMIF('内訳ﾘｽﾄ(4～3月)'!$B$8:$B$15,$B92,'内訳ﾘｽﾄ(4～3月)'!N$8:N$15)</f>
        <v>187</v>
      </c>
      <c r="L92" s="161">
        <f ca="1">SUMIF('内訳ﾘｽﾄ(4～3月)'!$B$8:$B$15,$B92,'内訳ﾘｽﾄ(4～3月)'!O$8:O$15)</f>
        <v>170</v>
      </c>
      <c r="M92" s="161">
        <f ca="1">SUMIF('内訳ﾘｽﾄ(4～3月)'!$B$8:$B$15,$B92,'内訳ﾘｽﾄ(4～3月)'!P$8:P$15)</f>
        <v>127.5</v>
      </c>
      <c r="N92" s="161">
        <f ca="1">SUMIF('内訳ﾘｽﾄ(4～3月)'!$B$8:$B$15,$B92,'内訳ﾘｽﾄ(4～3月)'!Q$8:Q$15)</f>
        <v>170</v>
      </c>
      <c r="O92" s="161">
        <f ca="1">SUMIF('内訳ﾘｽﾄ(4～3月)'!$B$8:$B$15,$B92,'内訳ﾘｽﾄ(4～3月)'!R$8:R$15)</f>
        <v>1972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 ca="1">SUMIF('内訳ﾘｽﾄ(4～3月)'!$B$8:$B$15,$B93,'内訳ﾘｽﾄ(4～3月)'!F$8:F$15)</f>
        <v>1938</v>
      </c>
      <c r="D93" s="161">
        <f ca="1">SUMIF('内訳ﾘｽﾄ(4～3月)'!$B$8:$B$15,$B93,'内訳ﾘｽﾄ(4～3月)'!G$8:G$15)</f>
        <v>1989</v>
      </c>
      <c r="E93" s="161">
        <f ca="1">SUMIF('内訳ﾘｽﾄ(4～3月)'!$B$8:$B$15,$B93,'内訳ﾘｽﾄ(4～3月)'!H$8:H$15)</f>
        <v>2210</v>
      </c>
      <c r="F93" s="161">
        <f ca="1">SUMIF('内訳ﾘｽﾄ(4～3月)'!$B$8:$B$15,$B93,'内訳ﾘｽﾄ(4～3月)'!I$8:I$15)</f>
        <v>2431</v>
      </c>
      <c r="G93" s="161">
        <f ca="1">SUMIF('内訳ﾘｽﾄ(4～3月)'!$B$8:$B$15,$B93,'内訳ﾘｽﾄ(4～3月)'!J$8:J$15)</f>
        <v>2099.5</v>
      </c>
      <c r="H93" s="161">
        <f ca="1">SUMIF('内訳ﾘｽﾄ(4～3月)'!$B$8:$B$15,$B93,'内訳ﾘｽﾄ(4～3月)'!K$8:K$15)</f>
        <v>1989</v>
      </c>
      <c r="I93" s="161">
        <f ca="1">SUMIF('内訳ﾘｽﾄ(4～3月)'!$B$8:$B$15,$B93,'内訳ﾘｽﾄ(4～3月)'!L$8:L$15)</f>
        <v>2431</v>
      </c>
      <c r="J93" s="161">
        <f ca="1">SUMIF('内訳ﾘｽﾄ(4～3月)'!$B$8:$B$15,$B93,'内訳ﾘｽﾄ(4～3月)'!M$8:M$15)</f>
        <v>2099.5</v>
      </c>
      <c r="K93" s="161">
        <f ca="1">SUMIF('内訳ﾘｽﾄ(4～3月)'!$B$8:$B$15,$B93,'内訳ﾘｽﾄ(4～3月)'!N$8:N$15)</f>
        <v>2265.25</v>
      </c>
      <c r="L93" s="161">
        <f ca="1">SUMIF('内訳ﾘｽﾄ(4～3月)'!$B$8:$B$15,$B93,'内訳ﾘｽﾄ(4～3月)'!O$8:O$15)</f>
        <v>2099.5</v>
      </c>
      <c r="M93" s="161">
        <f ca="1">SUMIF('内訳ﾘｽﾄ(4～3月)'!$B$8:$B$15,$B93,'内訳ﾘｽﾄ(4～3月)'!P$8:P$15)</f>
        <v>1547</v>
      </c>
      <c r="N93" s="161">
        <f ca="1">SUMIF('内訳ﾘｽﾄ(4～3月)'!$B$8:$B$15,$B93,'内訳ﾘｽﾄ(4～3月)'!Q$8:Q$15)</f>
        <v>2099.5</v>
      </c>
      <c r="O93" s="161">
        <f ca="1">SUMIF('内訳ﾘｽﾄ(4～3月)'!$B$8:$B$15,$B93,'内訳ﾘｽﾄ(4～3月)'!R$8:R$15)</f>
        <v>25198.25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ca="1" si="11">C92+C93</f>
        <v>2108</v>
      </c>
      <c r="D94" s="169">
        <f t="shared" ca="1" si="11"/>
        <v>2108</v>
      </c>
      <c r="E94" s="169">
        <f t="shared" ca="1" si="11"/>
        <v>2388.5</v>
      </c>
      <c r="F94" s="169">
        <f t="shared" ca="1" si="11"/>
        <v>2626.5</v>
      </c>
      <c r="G94" s="169">
        <f t="shared" ca="1" si="11"/>
        <v>2269.5</v>
      </c>
      <c r="H94" s="169">
        <f t="shared" ca="1" si="11"/>
        <v>2150.5</v>
      </c>
      <c r="I94" s="169">
        <f t="shared" ca="1" si="11"/>
        <v>2626.5</v>
      </c>
      <c r="J94" s="169">
        <f t="shared" ca="1" si="11"/>
        <v>2227</v>
      </c>
      <c r="K94" s="169">
        <f t="shared" ca="1" si="11"/>
        <v>2452.25</v>
      </c>
      <c r="L94" s="169">
        <f t="shared" ca="1" si="11"/>
        <v>2269.5</v>
      </c>
      <c r="M94" s="169">
        <f t="shared" ca="1" si="11"/>
        <v>1674.5</v>
      </c>
      <c r="N94" s="169">
        <f t="shared" ca="1" si="11"/>
        <v>2269.5</v>
      </c>
      <c r="O94" s="169">
        <f ca="1">O92+O93</f>
        <v>27170.25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 ca="1">SUMIF('内訳ﾘｽﾄ(4～3月)'!$B$16:$B$23,$B97,'内訳ﾘｽﾄ(4～3月)'!F$16:F$23)</f>
        <v>40</v>
      </c>
      <c r="D97" s="161">
        <f ca="1">SUMIF('内訳ﾘｽﾄ(4～3月)'!$B$16:$B$23,$B97,'内訳ﾘｽﾄ(4～3月)'!G$16:G$23)</f>
        <v>28</v>
      </c>
      <c r="E97" s="161">
        <f ca="1">SUMIF('内訳ﾘｽﾄ(4～3月)'!$B$16:$B$23,$B97,'内訳ﾘｽﾄ(4～3月)'!H$16:H$23)</f>
        <v>42</v>
      </c>
      <c r="F97" s="161">
        <f ca="1">SUMIF('内訳ﾘｽﾄ(4～3月)'!$B$16:$B$23,$B97,'内訳ﾘｽﾄ(4～3月)'!I$16:I$23)</f>
        <v>46</v>
      </c>
      <c r="G97" s="161">
        <f ca="1">SUMIF('内訳ﾘｽﾄ(4～3月)'!$B$16:$B$23,$B97,'内訳ﾘｽﾄ(4～3月)'!J$16:J$23)</f>
        <v>40</v>
      </c>
      <c r="H97" s="161">
        <f ca="1">SUMIF('内訳ﾘｽﾄ(4～3月)'!$B$16:$B$23,$B97,'内訳ﾘｽﾄ(4～3月)'!K$16:K$23)</f>
        <v>38</v>
      </c>
      <c r="I97" s="161">
        <f ca="1">SUMIF('内訳ﾘｽﾄ(4～3月)'!$B$16:$B$23,$B97,'内訳ﾘｽﾄ(4～3月)'!L$16:L$23)</f>
        <v>46</v>
      </c>
      <c r="J97" s="161">
        <f ca="1">SUMIF('内訳ﾘｽﾄ(4～3月)'!$B$16:$B$23,$B97,'内訳ﾘｽﾄ(4～3月)'!M$16:M$23)</f>
        <v>30</v>
      </c>
      <c r="K97" s="161">
        <f ca="1">SUMIF('内訳ﾘｽﾄ(4～3月)'!$B$16:$B$23,$B97,'内訳ﾘｽﾄ(4～3月)'!N$16:N$23)</f>
        <v>44</v>
      </c>
      <c r="L97" s="161">
        <f ca="1">SUMIF('内訳ﾘｽﾄ(4～3月)'!$B$16:$B$23,$B97,'内訳ﾘｽﾄ(4～3月)'!O$16:O$23)</f>
        <v>40</v>
      </c>
      <c r="M97" s="161">
        <f ca="1">SUMIF('内訳ﾘｽﾄ(4～3月)'!$B$16:$B$23,$B97,'内訳ﾘｽﾄ(4～3月)'!P$16:P$23)</f>
        <v>30</v>
      </c>
      <c r="N97" s="161">
        <f ca="1">SUMIF('内訳ﾘｽﾄ(4～3月)'!$B$16:$B$23,$B97,'内訳ﾘｽﾄ(4～3月)'!Q$16:Q$23)</f>
        <v>40</v>
      </c>
      <c r="O97" s="161">
        <f ca="1">SUMIF('内訳ﾘｽﾄ(4～3月)'!$B$16:$B$23,$B97,'内訳ﾘｽﾄ(4～3月)'!R$16:R$23)</f>
        <v>464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80</v>
      </c>
      <c r="D98" s="161">
        <f>SUMIF('内訳ﾘｽﾄ(4～3月)'!$B$16:$B$23,$B98,'内訳ﾘｽﾄ(4～3月)'!G$16:G$23)</f>
        <v>80</v>
      </c>
      <c r="E98" s="161">
        <f>SUMIF('内訳ﾘｽﾄ(4～3月)'!$B$16:$B$23,$B98,'内訳ﾘｽﾄ(4～3月)'!H$16:H$23)</f>
        <v>80</v>
      </c>
      <c r="F98" s="161">
        <f>SUMIF('内訳ﾘｽﾄ(4～3月)'!$B$16:$B$23,$B98,'内訳ﾘｽﾄ(4～3月)'!I$16:I$23)</f>
        <v>100</v>
      </c>
      <c r="G98" s="161">
        <f>SUMIF('内訳ﾘｽﾄ(4～3月)'!$B$16:$B$23,$B98,'内訳ﾘｽﾄ(4～3月)'!J$16:J$23)</f>
        <v>100</v>
      </c>
      <c r="H98" s="161">
        <f>SUMIF('内訳ﾘｽﾄ(4～3月)'!$B$16:$B$23,$B98,'内訳ﾘｽﾄ(4～3月)'!K$16:K$23)</f>
        <v>100</v>
      </c>
      <c r="I98" s="161">
        <f>SUMIF('内訳ﾘｽﾄ(4～3月)'!$B$16:$B$23,$B98,'内訳ﾘｽﾄ(4～3月)'!L$16:L$23)</f>
        <v>100</v>
      </c>
      <c r="J98" s="161">
        <f>SUMIF('内訳ﾘｽﾄ(4～3月)'!$B$16:$B$23,$B98,'内訳ﾘｽﾄ(4～3月)'!M$16:M$23)</f>
        <v>100</v>
      </c>
      <c r="K98" s="161">
        <f>SUMIF('内訳ﾘｽﾄ(4～3月)'!$B$16:$B$23,$B98,'内訳ﾘｽﾄ(4～3月)'!N$16:N$23)</f>
        <v>100</v>
      </c>
      <c r="L98" s="161">
        <f>SUMIF('内訳ﾘｽﾄ(4～3月)'!$B$16:$B$23,$B98,'内訳ﾘｽﾄ(4～3月)'!O$16:O$23)</f>
        <v>80</v>
      </c>
      <c r="M98" s="161">
        <f>SUMIF('内訳ﾘｽﾄ(4～3月)'!$B$16:$B$23,$B98,'内訳ﾘｽﾄ(4～3月)'!P$16:P$23)</f>
        <v>60</v>
      </c>
      <c r="N98" s="161">
        <f>SUMIF('内訳ﾘｽﾄ(4～3月)'!$B$16:$B$23,$B98,'内訳ﾘｽﾄ(4～3月)'!Q$16:Q$23)</f>
        <v>80</v>
      </c>
      <c r="O98" s="161">
        <f>SUMIF('内訳ﾘｽﾄ(4～3月)'!$B$16:$B$23,$B98,'内訳ﾘｽﾄ(4～3月)'!R$16:R$23)</f>
        <v>1060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ca="1" si="12">C97+C98</f>
        <v>120</v>
      </c>
      <c r="D99" s="169">
        <f t="shared" ca="1" si="12"/>
        <v>108</v>
      </c>
      <c r="E99" s="169">
        <f t="shared" ca="1" si="12"/>
        <v>122</v>
      </c>
      <c r="F99" s="169">
        <f t="shared" ca="1" si="12"/>
        <v>146</v>
      </c>
      <c r="G99" s="169">
        <f t="shared" ca="1" si="12"/>
        <v>140</v>
      </c>
      <c r="H99" s="169">
        <f t="shared" ca="1" si="12"/>
        <v>138</v>
      </c>
      <c r="I99" s="169">
        <f t="shared" ca="1" si="12"/>
        <v>146</v>
      </c>
      <c r="J99" s="169">
        <f t="shared" ca="1" si="12"/>
        <v>130</v>
      </c>
      <c r="K99" s="169">
        <f t="shared" ca="1" si="12"/>
        <v>144</v>
      </c>
      <c r="L99" s="169">
        <f t="shared" ca="1" si="12"/>
        <v>120</v>
      </c>
      <c r="M99" s="169">
        <f t="shared" ca="1" si="12"/>
        <v>90</v>
      </c>
      <c r="N99" s="169">
        <f t="shared" ca="1" si="12"/>
        <v>120</v>
      </c>
      <c r="O99" s="169">
        <f ca="1">O97+O98</f>
        <v>1524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D6506A5F-7C89-4A4B-9B00-AC535ED9DB2F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6D00-764F-49D1-BF0E-E6FB6DF64682}">
  <sheetPr codeName="Sheet3">
    <tabColor indexed="13"/>
  </sheetPr>
  <dimension ref="A1:BC1000"/>
  <sheetViews>
    <sheetView tabSelected="1" zoomScale="85" zoomScaleNormal="8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G18" sqref="G18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aca="1" ref="F3" ca="1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5" t="str">
        <f t="array" aca="1" ref="G3" ca="1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5" t="str">
        <f t="array" aca="1" ref="H3" ca="1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5" t="str">
        <f t="array" aca="1" ref="I3" ca="1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5" t="str">
        <f t="array" aca="1" ref="J3" ca="1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5" t="str">
        <f t="array" aca="1" ref="K3" ca="1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5" t="str">
        <f t="array" aca="1" ref="L3" ca="1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5" t="str">
        <f t="array" aca="1" ref="M3" ca="1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5" t="str">
        <f t="array" aca="1" ref="N3" ca="1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5" t="str">
        <f t="array" aca="1" ref="O3" ca="1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5" t="str">
        <f t="array" aca="1" ref="P3" ca="1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5" t="str">
        <f t="array" aca="1" ref="Q3" ca="1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1412000069</v>
      </c>
      <c r="C5" s="7" t="str">
        <f>VLOOKUP($B$5,原価センタ!$A:$E,2,0)</f>
        <v>生産技術2課</v>
      </c>
      <c r="D5" s="62" t="str">
        <f>VLOOKUP($B$5,原価センタ!$A:$E,4,0)</f>
        <v>部外間接1</v>
      </c>
      <c r="E5" s="62" t="str">
        <f>VLOOKUP($B$5,原価センタ!$A:$E,5,0)</f>
        <v>製造</v>
      </c>
      <c r="F5" s="252">
        <f t="shared" ref="F5:R5" si="0">SUM(F29:F1000)</f>
        <v>101317225</v>
      </c>
      <c r="G5" s="252">
        <f t="shared" si="0"/>
        <v>198912407</v>
      </c>
      <c r="H5" s="252">
        <f t="shared" si="0"/>
        <v>126738862</v>
      </c>
      <c r="I5" s="252">
        <f t="shared" si="0"/>
        <v>154974718</v>
      </c>
      <c r="J5" s="252">
        <f t="shared" si="0"/>
        <v>86837872</v>
      </c>
      <c r="K5" s="252">
        <f t="shared" si="0"/>
        <v>88160661</v>
      </c>
      <c r="L5" s="252">
        <f t="shared" si="0"/>
        <v>88603015</v>
      </c>
      <c r="M5" s="252">
        <f t="shared" si="0"/>
        <v>105354893</v>
      </c>
      <c r="N5" s="252">
        <f t="shared" si="0"/>
        <v>92298597</v>
      </c>
      <c r="O5" s="252">
        <f t="shared" si="0"/>
        <v>84225846</v>
      </c>
      <c r="P5" s="252">
        <f t="shared" si="0"/>
        <v>89476538</v>
      </c>
      <c r="Q5" s="252">
        <f t="shared" si="0"/>
        <v>83233205</v>
      </c>
      <c r="R5" s="253">
        <f t="shared" si="0"/>
        <v>1300133839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>
        <f ca="1">F2*F24*8.5</f>
        <v>170</v>
      </c>
      <c r="G8" s="186">
        <f ca="1">G2*G24*8.5-(5*8.5)</f>
        <v>119</v>
      </c>
      <c r="H8" s="186">
        <f t="shared" ref="H8:Q8" ca="1" si="1">H2*H24*8.5</f>
        <v>178.5</v>
      </c>
      <c r="I8" s="186">
        <f ca="1">I2*I24*8.5</f>
        <v>195.5</v>
      </c>
      <c r="J8" s="186">
        <f t="shared" ca="1" si="1"/>
        <v>170</v>
      </c>
      <c r="K8" s="186">
        <f t="shared" ca="1" si="1"/>
        <v>161.5</v>
      </c>
      <c r="L8" s="186">
        <f t="shared" ca="1" si="1"/>
        <v>195.5</v>
      </c>
      <c r="M8" s="186">
        <f ca="1">M2*M24*8.5-(5*8.5)</f>
        <v>127.5</v>
      </c>
      <c r="N8" s="186">
        <f t="shared" ca="1" si="1"/>
        <v>187</v>
      </c>
      <c r="O8" s="186">
        <f t="shared" ca="1" si="1"/>
        <v>170</v>
      </c>
      <c r="P8" s="186">
        <f t="shared" ca="1" si="1"/>
        <v>127.5</v>
      </c>
      <c r="Q8" s="186">
        <f t="shared" ca="1" si="1"/>
        <v>170</v>
      </c>
      <c r="R8" s="187">
        <f ca="1">SUM(F8:Q8)</f>
        <v>1972</v>
      </c>
      <c r="S8" s="188" t="s">
        <v>692</v>
      </c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>
        <f ca="1">F2*F25*8.5-(F25*8.5)</f>
        <v>1938</v>
      </c>
      <c r="G9" s="194">
        <f t="shared" ref="G9:Q9" ca="1" si="2">G2*G25*8.5-(G25*8.5)</f>
        <v>1989</v>
      </c>
      <c r="H9" s="194">
        <f t="shared" ca="1" si="2"/>
        <v>2210</v>
      </c>
      <c r="I9" s="194">
        <f t="shared" ca="1" si="2"/>
        <v>2431</v>
      </c>
      <c r="J9" s="194">
        <f t="shared" ca="1" si="2"/>
        <v>2099.5</v>
      </c>
      <c r="K9" s="194">
        <f t="shared" ca="1" si="2"/>
        <v>1989</v>
      </c>
      <c r="L9" s="194">
        <f t="shared" ca="1" si="2"/>
        <v>2431</v>
      </c>
      <c r="M9" s="194">
        <f t="shared" ca="1" si="2"/>
        <v>2099.5</v>
      </c>
      <c r="N9" s="194">
        <f ca="1">N2*N25*8.5-(N25*8.5*1.5)</f>
        <v>2265.25</v>
      </c>
      <c r="O9" s="194">
        <f t="shared" ca="1" si="2"/>
        <v>2099.5</v>
      </c>
      <c r="P9" s="194">
        <f t="shared" ca="1" si="2"/>
        <v>1547</v>
      </c>
      <c r="Q9" s="194">
        <f t="shared" ca="1" si="2"/>
        <v>2099.5</v>
      </c>
      <c r="R9" s="195">
        <f t="shared" ref="R9:R23" ca="1" si="3">SUM(F9:Q9)</f>
        <v>25198.25</v>
      </c>
      <c r="S9" s="196" t="s">
        <v>693</v>
      </c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3"/>
        <v>0</v>
      </c>
      <c r="S10" s="201" t="s">
        <v>694</v>
      </c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3"/>
        <v>0</v>
      </c>
      <c r="S11" s="206" t="s">
        <v>695</v>
      </c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3"/>
        <v>0</v>
      </c>
      <c r="S12" s="214" t="s">
        <v>696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3"/>
        <v>0</v>
      </c>
      <c r="S13" s="214" t="s">
        <v>696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3"/>
        <v>0</v>
      </c>
      <c r="S14" s="214" t="s">
        <v>696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3"/>
        <v>0</v>
      </c>
      <c r="S15" s="214" t="s">
        <v>696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>
        <f t="shared" ref="F16:P16" ca="1" si="4">F2*2</f>
        <v>40</v>
      </c>
      <c r="G16" s="194">
        <f ca="1">G2*2-2*5</f>
        <v>28</v>
      </c>
      <c r="H16" s="194">
        <f t="shared" ca="1" si="4"/>
        <v>42</v>
      </c>
      <c r="I16" s="194">
        <f t="shared" ca="1" si="4"/>
        <v>46</v>
      </c>
      <c r="J16" s="194">
        <f t="shared" ca="1" si="4"/>
        <v>40</v>
      </c>
      <c r="K16" s="194">
        <f t="shared" ca="1" si="4"/>
        <v>38</v>
      </c>
      <c r="L16" s="194">
        <f t="shared" ca="1" si="4"/>
        <v>46</v>
      </c>
      <c r="M16" s="194">
        <f ca="1">M2*2-2*5</f>
        <v>30</v>
      </c>
      <c r="N16" s="194">
        <f t="shared" ca="1" si="4"/>
        <v>44</v>
      </c>
      <c r="O16" s="194">
        <f t="shared" ca="1" si="4"/>
        <v>40</v>
      </c>
      <c r="P16" s="194">
        <f t="shared" ca="1" si="4"/>
        <v>30</v>
      </c>
      <c r="Q16" s="194">
        <f ca="1">Q2*2</f>
        <v>40</v>
      </c>
      <c r="R16" s="205">
        <f t="shared" ca="1" si="3"/>
        <v>464</v>
      </c>
      <c r="S16" s="206" t="s">
        <v>697</v>
      </c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>
        <v>80</v>
      </c>
      <c r="G17" s="194">
        <v>80</v>
      </c>
      <c r="H17" s="194">
        <v>80</v>
      </c>
      <c r="I17" s="194">
        <v>100</v>
      </c>
      <c r="J17" s="194">
        <v>100</v>
      </c>
      <c r="K17" s="194">
        <v>100</v>
      </c>
      <c r="L17" s="194">
        <v>100</v>
      </c>
      <c r="M17" s="194">
        <v>100</v>
      </c>
      <c r="N17" s="194">
        <v>100</v>
      </c>
      <c r="O17" s="194">
        <v>80</v>
      </c>
      <c r="P17" s="194">
        <v>60</v>
      </c>
      <c r="Q17" s="194">
        <v>80</v>
      </c>
      <c r="R17" s="205">
        <f t="shared" si="3"/>
        <v>1060</v>
      </c>
      <c r="S17" s="206" t="s">
        <v>698</v>
      </c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3"/>
        <v>0</v>
      </c>
      <c r="S18" s="201" t="s">
        <v>699</v>
      </c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3"/>
        <v>0</v>
      </c>
      <c r="S19" s="206" t="s">
        <v>700</v>
      </c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3"/>
        <v>0</v>
      </c>
      <c r="S20" s="214" t="s">
        <v>696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3"/>
        <v>0</v>
      </c>
      <c r="S21" s="214" t="s">
        <v>696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3"/>
        <v>0</v>
      </c>
      <c r="S22" s="214" t="s">
        <v>696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3"/>
        <v>0</v>
      </c>
      <c r="S23" s="214" t="s">
        <v>696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1</v>
      </c>
      <c r="G24" s="267">
        <v>1</v>
      </c>
      <c r="H24" s="267">
        <v>1</v>
      </c>
      <c r="I24" s="267">
        <v>1</v>
      </c>
      <c r="J24" s="267">
        <v>1</v>
      </c>
      <c r="K24" s="267">
        <v>1</v>
      </c>
      <c r="L24" s="267">
        <v>1</v>
      </c>
      <c r="M24" s="267">
        <v>1</v>
      </c>
      <c r="N24" s="267">
        <v>1</v>
      </c>
      <c r="O24" s="267">
        <v>1</v>
      </c>
      <c r="P24" s="267">
        <v>1</v>
      </c>
      <c r="Q24" s="267">
        <v>1</v>
      </c>
      <c r="R24" s="200">
        <f>Q24</f>
        <v>1</v>
      </c>
      <c r="S24" s="201" t="s">
        <v>701</v>
      </c>
      <c r="T24" s="202"/>
      <c r="U24" s="268"/>
      <c r="V24" s="190"/>
      <c r="W24" s="190"/>
      <c r="BA24"/>
      <c r="BB24"/>
    </row>
    <row r="25" spans="1:54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12</v>
      </c>
      <c r="G25" s="271">
        <v>13</v>
      </c>
      <c r="H25" s="271">
        <v>13</v>
      </c>
      <c r="I25" s="271">
        <v>13</v>
      </c>
      <c r="J25" s="271">
        <v>13</v>
      </c>
      <c r="K25" s="271">
        <v>13</v>
      </c>
      <c r="L25" s="271">
        <v>13</v>
      </c>
      <c r="M25" s="271">
        <v>13</v>
      </c>
      <c r="N25" s="271">
        <v>13</v>
      </c>
      <c r="O25" s="271">
        <v>13</v>
      </c>
      <c r="P25" s="271">
        <v>13</v>
      </c>
      <c r="Q25" s="271">
        <v>13</v>
      </c>
      <c r="R25" s="272">
        <f>Q25</f>
        <v>13</v>
      </c>
      <c r="S25" s="273" t="s">
        <v>702</v>
      </c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5">ROUNDDOWN(V26*$B$2,0)</f>
        <v>0</v>
      </c>
      <c r="G26" s="220">
        <f t="shared" si="5"/>
        <v>0</v>
      </c>
      <c r="H26" s="220">
        <f t="shared" si="5"/>
        <v>0</v>
      </c>
      <c r="I26" s="220">
        <f t="shared" si="5"/>
        <v>0</v>
      </c>
      <c r="J26" s="220">
        <f t="shared" si="5"/>
        <v>0</v>
      </c>
      <c r="K26" s="220">
        <f t="shared" si="5"/>
        <v>0</v>
      </c>
      <c r="L26" s="220">
        <f t="shared" si="5"/>
        <v>0</v>
      </c>
      <c r="M26" s="220">
        <f t="shared" si="5"/>
        <v>0</v>
      </c>
      <c r="N26" s="220">
        <f t="shared" si="5"/>
        <v>0</v>
      </c>
      <c r="O26" s="220">
        <f t="shared" si="5"/>
        <v>0</v>
      </c>
      <c r="P26" s="220">
        <f t="shared" si="5"/>
        <v>0</v>
      </c>
      <c r="Q26" s="220">
        <f t="shared" si="5"/>
        <v>0</v>
      </c>
      <c r="R26" s="221">
        <f t="shared" ref="R26:R118" si="6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5"/>
        <v>0</v>
      </c>
      <c r="G27" s="230">
        <f t="shared" si="5"/>
        <v>0</v>
      </c>
      <c r="H27" s="230">
        <f t="shared" si="5"/>
        <v>0</v>
      </c>
      <c r="I27" s="230">
        <f t="shared" si="5"/>
        <v>0</v>
      </c>
      <c r="J27" s="230">
        <f t="shared" si="5"/>
        <v>0</v>
      </c>
      <c r="K27" s="230">
        <f t="shared" si="5"/>
        <v>0</v>
      </c>
      <c r="L27" s="230">
        <f t="shared" si="5"/>
        <v>0</v>
      </c>
      <c r="M27" s="230">
        <f t="shared" si="5"/>
        <v>0</v>
      </c>
      <c r="N27" s="230">
        <f t="shared" si="5"/>
        <v>0</v>
      </c>
      <c r="O27" s="230">
        <f t="shared" si="5"/>
        <v>0</v>
      </c>
      <c r="P27" s="230">
        <f t="shared" si="5"/>
        <v>0</v>
      </c>
      <c r="Q27" s="230">
        <f t="shared" si="5"/>
        <v>0</v>
      </c>
      <c r="R27" s="221">
        <f t="shared" si="6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5"/>
        <v>0</v>
      </c>
      <c r="G28" s="230">
        <f t="shared" si="5"/>
        <v>0</v>
      </c>
      <c r="H28" s="230">
        <f t="shared" si="5"/>
        <v>0</v>
      </c>
      <c r="I28" s="230">
        <f t="shared" si="5"/>
        <v>0</v>
      </c>
      <c r="J28" s="230">
        <f t="shared" si="5"/>
        <v>0</v>
      </c>
      <c r="K28" s="230">
        <f t="shared" si="5"/>
        <v>0</v>
      </c>
      <c r="L28" s="230">
        <f t="shared" si="5"/>
        <v>0</v>
      </c>
      <c r="M28" s="230">
        <f t="shared" si="5"/>
        <v>0</v>
      </c>
      <c r="N28" s="230">
        <f t="shared" si="5"/>
        <v>0</v>
      </c>
      <c r="O28" s="230">
        <f t="shared" si="5"/>
        <v>0</v>
      </c>
      <c r="P28" s="230">
        <f t="shared" si="5"/>
        <v>0</v>
      </c>
      <c r="Q28" s="230">
        <f t="shared" si="5"/>
        <v>0</v>
      </c>
      <c r="R28" s="221">
        <f t="shared" si="6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7">ROUNDUP(V29*$B$2,0)</f>
        <v>0</v>
      </c>
      <c r="G29" s="235">
        <f t="shared" si="7"/>
        <v>0</v>
      </c>
      <c r="H29" s="235">
        <f t="shared" si="7"/>
        <v>0</v>
      </c>
      <c r="I29" s="235">
        <f t="shared" si="7"/>
        <v>0</v>
      </c>
      <c r="J29" s="235">
        <f t="shared" si="7"/>
        <v>0</v>
      </c>
      <c r="K29" s="235">
        <f t="shared" si="7"/>
        <v>0</v>
      </c>
      <c r="L29" s="235">
        <f t="shared" si="7"/>
        <v>0</v>
      </c>
      <c r="M29" s="235">
        <f t="shared" si="7"/>
        <v>0</v>
      </c>
      <c r="N29" s="235">
        <f t="shared" si="7"/>
        <v>0</v>
      </c>
      <c r="O29" s="235">
        <f t="shared" si="7"/>
        <v>0</v>
      </c>
      <c r="P29" s="235">
        <f t="shared" si="7"/>
        <v>0</v>
      </c>
      <c r="Q29" s="235">
        <f t="shared" si="7"/>
        <v>0</v>
      </c>
      <c r="R29" s="236">
        <f t="shared" si="6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6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6"/>
        <v>0</v>
      </c>
      <c r="S31" s="201" t="s">
        <v>696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6"/>
        <v>0</v>
      </c>
      <c r="S32" s="201" t="s">
        <v>696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6"/>
        <v>0</v>
      </c>
      <c r="S33" s="201" t="s">
        <v>696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6"/>
        <v>0</v>
      </c>
      <c r="S34" s="201" t="s">
        <v>696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6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6"/>
        <v>0</v>
      </c>
      <c r="S36" s="201" t="s">
        <v>703</v>
      </c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6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>
        <v>5005056281</v>
      </c>
      <c r="C38" s="183" t="str">
        <f>IFERROR(IF(VLOOKUP($B38,勘定科目!$A:$H,HLOOKUP($E$5,勘定科目!$F$1:$H$2,2,0),0)="","",VLOOKUP($B38,勘定科目!$A:$E,2,0)),"")</f>
        <v>ガス代（製）</v>
      </c>
      <c r="D38" s="239" t="str">
        <f>IF(C38="","",VLOOKUP($B38,勘定科目!$A:$E,4,0))</f>
        <v>水道光熱費</v>
      </c>
      <c r="E38" s="245"/>
      <c r="F38" s="194">
        <v>524758</v>
      </c>
      <c r="G38" s="247">
        <v>508443</v>
      </c>
      <c r="H38" s="247">
        <v>627984</v>
      </c>
      <c r="I38" s="247">
        <v>657006</v>
      </c>
      <c r="J38" s="247">
        <v>597632</v>
      </c>
      <c r="K38" s="247">
        <v>538874</v>
      </c>
      <c r="L38" s="247">
        <v>657678</v>
      </c>
      <c r="M38" s="247">
        <v>575764</v>
      </c>
      <c r="N38" s="247">
        <v>617204</v>
      </c>
      <c r="O38" s="247">
        <v>594426</v>
      </c>
      <c r="P38" s="247">
        <v>460516</v>
      </c>
      <c r="Q38" s="247">
        <v>595588</v>
      </c>
      <c r="R38" s="200">
        <f t="shared" si="6"/>
        <v>6955873</v>
      </c>
      <c r="S38" s="201" t="s">
        <v>704</v>
      </c>
      <c r="T38" s="202"/>
      <c r="U38" s="246"/>
      <c r="V38" s="246"/>
      <c r="W38" s="246"/>
      <c r="BA38"/>
      <c r="BB38"/>
    </row>
    <row r="39" spans="1:54" s="191" customFormat="1" ht="13.5">
      <c r="A39" s="226"/>
      <c r="B39" s="180">
        <v>5005016372</v>
      </c>
      <c r="C39" s="183" t="str">
        <f>IFERROR(IF(VLOOKUP($B39,勘定科目!$A:$H,HLOOKUP($E$5,勘定科目!$F$1:$H$2,2,0),0)="","",VLOOKUP($B39,勘定科目!$A:$E,2,0)),"")</f>
        <v>その他消耗品（製）</v>
      </c>
      <c r="D39" s="239" t="str">
        <f>IF(C39="","",VLOOKUP($B39,勘定科目!$A:$E,4,0))</f>
        <v>消耗品費</v>
      </c>
      <c r="E39" s="245"/>
      <c r="F39" s="194">
        <v>14586</v>
      </c>
      <c r="G39" s="247">
        <v>14690</v>
      </c>
      <c r="H39" s="247">
        <v>16198</v>
      </c>
      <c r="I39" s="247">
        <v>15582</v>
      </c>
      <c r="J39" s="247">
        <v>15120</v>
      </c>
      <c r="K39" s="247">
        <v>15302</v>
      </c>
      <c r="L39" s="247">
        <v>15834</v>
      </c>
      <c r="M39" s="247">
        <v>15596</v>
      </c>
      <c r="N39" s="247">
        <v>15736</v>
      </c>
      <c r="O39" s="247">
        <v>15792</v>
      </c>
      <c r="P39" s="247">
        <v>16044</v>
      </c>
      <c r="Q39" s="247">
        <v>15190</v>
      </c>
      <c r="R39" s="200">
        <f t="shared" si="6"/>
        <v>185670</v>
      </c>
      <c r="S39" s="201" t="s">
        <v>705</v>
      </c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5005016372</v>
      </c>
      <c r="C40" s="183" t="str">
        <f>IFERROR(IF(VLOOKUP($B40,勘定科目!$A:$H,HLOOKUP($E$5,勘定科目!$F$1:$H$2,2,0),0)="","",VLOOKUP($B40,勘定科目!$A:$E,2,0)),"")</f>
        <v>その他消耗品（製）</v>
      </c>
      <c r="D40" s="239" t="str">
        <f>IF(C40="","",VLOOKUP($B40,勘定科目!$A:$E,4,0))</f>
        <v>消耗品費</v>
      </c>
      <c r="E40" s="245"/>
      <c r="F40" s="194">
        <v>239512</v>
      </c>
      <c r="G40" s="247">
        <v>230568</v>
      </c>
      <c r="H40" s="247">
        <v>271614</v>
      </c>
      <c r="I40" s="247">
        <v>295932</v>
      </c>
      <c r="J40" s="247">
        <v>257656</v>
      </c>
      <c r="K40" s="247">
        <v>245000</v>
      </c>
      <c r="L40" s="247">
        <v>295540</v>
      </c>
      <c r="M40" s="247">
        <v>257894</v>
      </c>
      <c r="N40" s="247">
        <v>283556</v>
      </c>
      <c r="O40" s="247">
        <v>257586</v>
      </c>
      <c r="P40" s="247">
        <v>194082</v>
      </c>
      <c r="Q40" s="247">
        <v>258090</v>
      </c>
      <c r="R40" s="200">
        <f t="shared" si="6"/>
        <v>3087030</v>
      </c>
      <c r="S40" s="201" t="s">
        <v>706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80">
        <v>5005246286</v>
      </c>
      <c r="C41" s="183" t="str">
        <f>IFERROR(IF(VLOOKUP($B41,勘定科目!$A:$H,HLOOKUP($E$5,勘定科目!$F$1:$H$2,2,0),0)="","",VLOOKUP($B41,勘定科目!$A:$E,2,0)),"")</f>
        <v>その他手数料（製）</v>
      </c>
      <c r="D41" s="239" t="str">
        <f>IF(C41="","",VLOOKUP($B41,勘定科目!$A:$E,4,0))</f>
        <v>手数料</v>
      </c>
      <c r="E41" s="245"/>
      <c r="F41" s="194">
        <v>731211</v>
      </c>
      <c r="G41" s="247">
        <v>734006</v>
      </c>
      <c r="H41" s="247">
        <v>814814</v>
      </c>
      <c r="I41" s="247">
        <v>746284</v>
      </c>
      <c r="J41" s="247">
        <v>726474</v>
      </c>
      <c r="K41" s="247">
        <v>694260</v>
      </c>
      <c r="L41" s="247">
        <v>664048</v>
      </c>
      <c r="M41" s="247">
        <v>655816</v>
      </c>
      <c r="N41" s="247">
        <v>657678</v>
      </c>
      <c r="O41" s="247">
        <v>629552</v>
      </c>
      <c r="P41" s="247">
        <v>595868</v>
      </c>
      <c r="Q41" s="247">
        <v>623560</v>
      </c>
      <c r="R41" s="200">
        <f t="shared" si="6"/>
        <v>8273571</v>
      </c>
      <c r="S41" s="201" t="s">
        <v>707</v>
      </c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5004086291</v>
      </c>
      <c r="C42" s="183" t="str">
        <f>IFERROR(IF(VLOOKUP($B42,勘定科目!$A:$H,HLOOKUP($E$5,勘定科目!$F$1:$H$2,2,0),0)="","",VLOOKUP($B42,勘定科目!$A:$E,2,0)),"")</f>
        <v>福利厚生費（製）</v>
      </c>
      <c r="D42" s="239" t="str">
        <f>IF(C42="","",VLOOKUP($B42,勘定科目!$A:$E,4,0))</f>
        <v>福利厚生費</v>
      </c>
      <c r="E42" s="245"/>
      <c r="F42" s="194">
        <v>748000</v>
      </c>
      <c r="G42" s="247">
        <v>763266</v>
      </c>
      <c r="H42" s="247">
        <v>740817</v>
      </c>
      <c r="I42" s="247">
        <v>740817</v>
      </c>
      <c r="J42" s="247">
        <v>808164</v>
      </c>
      <c r="K42" s="247">
        <v>763266</v>
      </c>
      <c r="L42" s="247">
        <v>763266</v>
      </c>
      <c r="M42" s="247">
        <v>808164</v>
      </c>
      <c r="N42" s="247">
        <v>763266</v>
      </c>
      <c r="O42" s="247">
        <v>763266</v>
      </c>
      <c r="P42" s="247">
        <v>763266</v>
      </c>
      <c r="Q42" s="247">
        <v>477552</v>
      </c>
      <c r="R42" s="200">
        <f t="shared" si="6"/>
        <v>8903110</v>
      </c>
      <c r="S42" s="201" t="s">
        <v>708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>
        <v>5004086291</v>
      </c>
      <c r="C43" s="183" t="str">
        <f>IFERROR(IF(VLOOKUP($B43,勘定科目!$A:$H,HLOOKUP($E$5,勘定科目!$F$1:$H$2,2,0),0)="","",VLOOKUP($B43,勘定科目!$A:$E,2,0)),"")</f>
        <v>福利厚生費（製）</v>
      </c>
      <c r="D43" s="239" t="str">
        <f>IF(C43="","",VLOOKUP($B43,勘定科目!$A:$E,4,0))</f>
        <v>福利厚生費</v>
      </c>
      <c r="E43" s="245"/>
      <c r="F43" s="194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00">
        <f t="shared" si="6"/>
        <v>0</v>
      </c>
      <c r="S43" s="201" t="s">
        <v>709</v>
      </c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5004086291</v>
      </c>
      <c r="C44" s="183" t="str">
        <f>IFERROR(IF(VLOOKUP($B44,勘定科目!$A:$H,HLOOKUP($E$5,勘定科目!$F$1:$H$2,2,0),0)="","",VLOOKUP($B44,勘定科目!$A:$E,2,0)),"")</f>
        <v>福利厚生費（製）</v>
      </c>
      <c r="D44" s="239" t="str">
        <f>IF(C44="","",VLOOKUP($B44,勘定科目!$A:$E,4,0))</f>
        <v>福利厚生費</v>
      </c>
      <c r="E44" s="245"/>
      <c r="F44" s="194">
        <v>1374678</v>
      </c>
      <c r="G44" s="247">
        <v>1586747</v>
      </c>
      <c r="H44" s="247">
        <v>1418477</v>
      </c>
      <c r="I44" s="247">
        <v>1487463</v>
      </c>
      <c r="J44" s="247">
        <v>1588334</v>
      </c>
      <c r="K44" s="247">
        <v>1593513</v>
      </c>
      <c r="L44" s="247">
        <v>1194735</v>
      </c>
      <c r="M44" s="247">
        <v>1452617</v>
      </c>
      <c r="N44" s="247">
        <v>1465592</v>
      </c>
      <c r="O44" s="247">
        <v>1378925</v>
      </c>
      <c r="P44" s="247">
        <v>1253359</v>
      </c>
      <c r="Q44" s="247">
        <v>1296228</v>
      </c>
      <c r="R44" s="200">
        <f t="shared" si="6"/>
        <v>17090668</v>
      </c>
      <c r="S44" s="201" t="s">
        <v>710</v>
      </c>
      <c r="T44" s="202"/>
      <c r="U44" s="246"/>
      <c r="V44" s="246"/>
      <c r="W44" s="246"/>
      <c r="BA44"/>
      <c r="BB44"/>
    </row>
    <row r="45" spans="1:54" s="191" customFormat="1" ht="13.5">
      <c r="A45" s="226"/>
      <c r="B45" s="180">
        <v>5004086291</v>
      </c>
      <c r="C45" s="183" t="str">
        <f>IFERROR(IF(VLOOKUP($B45,勘定科目!$A:$H,HLOOKUP($E$5,勘定科目!$F$1:$H$2,2,0),0)="","",VLOOKUP($B45,勘定科目!$A:$E,2,0)),"")</f>
        <v>福利厚生費（製）</v>
      </c>
      <c r="D45" s="239" t="str">
        <f>IF(C45="","",VLOOKUP($B45,勘定科目!$A:$E,4,0))</f>
        <v>福利厚生費</v>
      </c>
      <c r="E45" s="245"/>
      <c r="F45" s="194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00">
        <f t="shared" si="6"/>
        <v>0</v>
      </c>
      <c r="S45" s="201" t="s">
        <v>711</v>
      </c>
      <c r="T45" s="202"/>
      <c r="U45" s="246"/>
      <c r="V45" s="246"/>
      <c r="W45" s="246"/>
      <c r="BA45"/>
      <c r="BB45"/>
    </row>
    <row r="46" spans="1:54" s="191" customFormat="1" ht="13.5">
      <c r="A46" s="226"/>
      <c r="B46" s="180"/>
      <c r="C46" s="183" t="str">
        <f>IFERROR(IF(VLOOKUP($B46,勘定科目!$A:$H,HLOOKUP($E$5,勘定科目!$F$1:$H$2,2,0),0)="","",VLOOKUP($B46,勘定科目!$A:$E,2,0)),"")</f>
        <v/>
      </c>
      <c r="D46" s="239" t="str">
        <f>IF(C46="","",VLOOKUP($B46,勘定科目!$A:$E,4,0))</f>
        <v/>
      </c>
      <c r="E46" s="245"/>
      <c r="F46" s="194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00">
        <f t="shared" si="6"/>
        <v>0</v>
      </c>
      <c r="S46" s="201"/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5006016260</v>
      </c>
      <c r="C47" s="183" t="str">
        <f>IFERROR(IF(VLOOKUP($B47,勘定科目!$A:$H,HLOOKUP($E$5,勘定科目!$F$1:$H$2,2,0),0)="","",VLOOKUP($B47,勘定科目!$A:$E,2,0)),"")</f>
        <v>減価償却費配賦（製）　建物</v>
      </c>
      <c r="D47" s="239" t="str">
        <f>IF(C47="","",VLOOKUP($B47,勘定科目!$A:$E,4,0))</f>
        <v>減価償却費</v>
      </c>
      <c r="E47" s="245"/>
      <c r="F47" s="247">
        <v>8695313</v>
      </c>
      <c r="G47" s="247">
        <v>9026145</v>
      </c>
      <c r="H47" s="247">
        <v>9027922</v>
      </c>
      <c r="I47" s="247">
        <v>8923569</v>
      </c>
      <c r="J47" s="247">
        <v>8918999</v>
      </c>
      <c r="K47" s="247">
        <v>8916460</v>
      </c>
      <c r="L47" s="247">
        <v>8912906</v>
      </c>
      <c r="M47" s="247">
        <v>8911890</v>
      </c>
      <c r="N47" s="247">
        <v>8912398</v>
      </c>
      <c r="O47" s="247">
        <v>8909859</v>
      </c>
      <c r="P47" s="247">
        <v>8906050</v>
      </c>
      <c r="Q47" s="247">
        <v>8910113</v>
      </c>
      <c r="R47" s="200">
        <f t="shared" si="6"/>
        <v>106971624</v>
      </c>
      <c r="S47" s="201" t="s">
        <v>712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80">
        <v>5006016261</v>
      </c>
      <c r="C48" s="183" t="str">
        <f>IFERROR(IF(VLOOKUP($B48,勘定科目!$A:$H,HLOOKUP($E$5,勘定科目!$F$1:$H$2,2,0),0)="","",VLOOKUP($B48,勘定科目!$A:$E,2,0)),"")</f>
        <v>減価償却費配賦（製）　土地使用権</v>
      </c>
      <c r="D48" s="239" t="str">
        <f>IF(C48="","",VLOOKUP($B48,勘定科目!$A:$E,4,0))</f>
        <v>減価償却費</v>
      </c>
      <c r="E48" s="245"/>
      <c r="F48" s="247">
        <v>587017</v>
      </c>
      <c r="G48" s="247">
        <v>609106</v>
      </c>
      <c r="H48" s="247">
        <v>609360</v>
      </c>
      <c r="I48" s="247">
        <v>602251</v>
      </c>
      <c r="J48" s="247">
        <v>601997</v>
      </c>
      <c r="K48" s="247">
        <v>601743</v>
      </c>
      <c r="L48" s="247">
        <v>601489</v>
      </c>
      <c r="M48" s="247">
        <v>601489</v>
      </c>
      <c r="N48" s="247">
        <v>601489</v>
      </c>
      <c r="O48" s="247">
        <v>601489</v>
      </c>
      <c r="P48" s="247">
        <v>601235</v>
      </c>
      <c r="Q48" s="247">
        <v>601489</v>
      </c>
      <c r="R48" s="200">
        <f t="shared" si="6"/>
        <v>7220154</v>
      </c>
      <c r="S48" s="201" t="s">
        <v>713</v>
      </c>
      <c r="T48" s="202"/>
      <c r="U48" s="246"/>
      <c r="V48" s="246"/>
      <c r="W48" s="246"/>
      <c r="BA48"/>
      <c r="BB48"/>
    </row>
    <row r="49" spans="1:54" s="191" customFormat="1" ht="13.5">
      <c r="A49" s="226"/>
      <c r="B49" s="180">
        <v>9114120007</v>
      </c>
      <c r="C49" s="183" t="str">
        <f>IFERROR(IF(VLOOKUP($B49,勘定科目!$A:$H,HLOOKUP($E$5,勘定科目!$F$1:$H$2,2,0),0)="","",VLOOKUP($B49,勘定科目!$A:$E,2,0)),"")</f>
        <v>社内金利（固定資産）</v>
      </c>
      <c r="D49" s="239" t="str">
        <f>IF(C49="","",VLOOKUP($B49,勘定科目!$A:$E,4,0))</f>
        <v>固定資産金利</v>
      </c>
      <c r="E49" s="245"/>
      <c r="F49" s="247">
        <v>5902159</v>
      </c>
      <c r="G49" s="247">
        <v>5801869</v>
      </c>
      <c r="H49" s="247">
        <v>5803138</v>
      </c>
      <c r="I49" s="247">
        <v>5735855</v>
      </c>
      <c r="J49" s="247">
        <v>5733062</v>
      </c>
      <c r="K49" s="247">
        <v>5731285</v>
      </c>
      <c r="L49" s="247">
        <v>5729000</v>
      </c>
      <c r="M49" s="247">
        <v>5728492</v>
      </c>
      <c r="N49" s="247">
        <v>5728746</v>
      </c>
      <c r="O49" s="247">
        <v>5727222</v>
      </c>
      <c r="P49" s="247">
        <v>5724683</v>
      </c>
      <c r="Q49" s="247">
        <v>5727222</v>
      </c>
      <c r="R49" s="200">
        <f t="shared" si="6"/>
        <v>69072733</v>
      </c>
      <c r="S49" s="201" t="s">
        <v>714</v>
      </c>
      <c r="T49" s="202"/>
      <c r="U49" s="246"/>
      <c r="V49" s="246"/>
      <c r="W49" s="246"/>
      <c r="BA49"/>
      <c r="BB49"/>
    </row>
    <row r="50" spans="1:54" s="191" customFormat="1" ht="13.5">
      <c r="A50" s="226"/>
      <c r="B50" s="180">
        <v>9114120007</v>
      </c>
      <c r="C50" s="183" t="str">
        <f>IFERROR(IF(VLOOKUP($B50,勘定科目!$A:$H,HLOOKUP($E$5,勘定科目!$F$1:$H$2,2,0),0)="","",VLOOKUP($B50,勘定科目!$A:$E,2,0)),"")</f>
        <v>社内金利（固定資産）</v>
      </c>
      <c r="D50" s="239" t="str">
        <f>IF(C50="","",VLOOKUP($B50,勘定科目!$A:$E,4,0))</f>
        <v>固定資産金利</v>
      </c>
      <c r="E50" s="245"/>
      <c r="F50" s="247">
        <v>729709</v>
      </c>
      <c r="G50" s="247">
        <v>735548</v>
      </c>
      <c r="H50" s="247">
        <v>735802</v>
      </c>
      <c r="I50" s="247">
        <v>727170</v>
      </c>
      <c r="J50" s="247">
        <v>726916</v>
      </c>
      <c r="K50" s="247">
        <v>726662</v>
      </c>
      <c r="L50" s="247">
        <v>726408</v>
      </c>
      <c r="M50" s="247">
        <v>726408</v>
      </c>
      <c r="N50" s="247">
        <v>726408</v>
      </c>
      <c r="O50" s="247">
        <v>726154</v>
      </c>
      <c r="P50" s="247">
        <v>725900</v>
      </c>
      <c r="Q50" s="247">
        <v>726154</v>
      </c>
      <c r="R50" s="200">
        <f t="shared" si="6"/>
        <v>8739239</v>
      </c>
      <c r="S50" s="201" t="s">
        <v>715</v>
      </c>
      <c r="T50" s="202"/>
      <c r="U50" s="246"/>
      <c r="V50" s="246"/>
      <c r="W50" s="246"/>
      <c r="BA50"/>
      <c r="BB50"/>
    </row>
    <row r="51" spans="1:54" s="191" customFormat="1" ht="13.5">
      <c r="A51" s="226"/>
      <c r="B51" s="180"/>
      <c r="C51" s="183" t="str">
        <f>IFERROR(IF(VLOOKUP($B51,勘定科目!$A:$H,HLOOKUP($E$5,勘定科目!$F$1:$H$2,2,0),0)="","",VLOOKUP($B51,勘定科目!$A:$E,2,0)),"")</f>
        <v/>
      </c>
      <c r="D51" s="239" t="str">
        <f>IF(C51="","",VLOOKUP($B51,勘定科目!$A:$E,4,0))</f>
        <v/>
      </c>
      <c r="E51" s="245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00">
        <f t="shared" si="6"/>
        <v>0</v>
      </c>
      <c r="S51" s="201"/>
      <c r="T51" s="202"/>
      <c r="U51" s="246"/>
      <c r="V51" s="246"/>
      <c r="W51" s="246"/>
      <c r="BA51"/>
      <c r="BB51"/>
    </row>
    <row r="52" spans="1:54" s="191" customFormat="1" ht="13.5">
      <c r="A52" s="226"/>
      <c r="B52" s="180">
        <v>5005066281</v>
      </c>
      <c r="C52" s="183" t="str">
        <f>IFERROR(IF(VLOOKUP($B52,勘定科目!$A:$H,HLOOKUP($E$5,勘定科目!$F$1:$H$2,2,0),0)="","",VLOOKUP($B52,勘定科目!$A:$E,2,0)),"")</f>
        <v>電気代（製）</v>
      </c>
      <c r="D52" s="239" t="str">
        <f>IF(C52="","",VLOOKUP($B52,勘定科目!$A:$E,4,0))</f>
        <v>水道光熱費</v>
      </c>
      <c r="E52" s="245"/>
      <c r="F52" s="247">
        <v>1455269</v>
      </c>
      <c r="G52" s="247">
        <v>1523645</v>
      </c>
      <c r="H52" s="247">
        <v>1912284</v>
      </c>
      <c r="I52" s="247">
        <v>2042728</v>
      </c>
      <c r="J52" s="247">
        <v>2115781</v>
      </c>
      <c r="K52" s="247">
        <v>1940682</v>
      </c>
      <c r="L52" s="247">
        <v>1929032</v>
      </c>
      <c r="M52" s="247">
        <v>1750991</v>
      </c>
      <c r="N52" s="247">
        <v>1678033</v>
      </c>
      <c r="O52" s="247">
        <v>1499992</v>
      </c>
      <c r="P52" s="247">
        <v>1495059</v>
      </c>
      <c r="Q52" s="247">
        <v>1167327</v>
      </c>
      <c r="R52" s="200">
        <f t="shared" si="6"/>
        <v>20510823</v>
      </c>
      <c r="S52" s="201" t="s">
        <v>716</v>
      </c>
      <c r="T52" s="202"/>
      <c r="U52" s="246"/>
      <c r="V52" s="246"/>
      <c r="W52" s="246"/>
      <c r="BA52"/>
      <c r="BB52"/>
    </row>
    <row r="53" spans="1:54" s="191" customFormat="1" ht="13.5">
      <c r="A53" s="226"/>
      <c r="B53" s="180">
        <v>5005066282</v>
      </c>
      <c r="C53" s="183" t="str">
        <f>IFERROR(IF(VLOOKUP($B53,勘定科目!$A:$H,HLOOKUP($E$5,勘定科目!$F$1:$H$2,2,0),0)="","",VLOOKUP($B53,勘定科目!$A:$E,2,0)),"")</f>
        <v>水道代（製）</v>
      </c>
      <c r="D53" s="239" t="str">
        <f>IF(C53="","",VLOOKUP($B53,勘定科目!$A:$E,4,0))</f>
        <v>水道光熱費</v>
      </c>
      <c r="E53" s="245"/>
      <c r="F53" s="247">
        <v>377820</v>
      </c>
      <c r="G53" s="247">
        <v>449672</v>
      </c>
      <c r="H53" s="247">
        <v>507880</v>
      </c>
      <c r="I53" s="247">
        <v>725289</v>
      </c>
      <c r="J53" s="247">
        <v>649598</v>
      </c>
      <c r="K53" s="247">
        <v>563652</v>
      </c>
      <c r="L53" s="247">
        <v>386117</v>
      </c>
      <c r="M53" s="247">
        <v>537815</v>
      </c>
      <c r="N53" s="247">
        <v>537138</v>
      </c>
      <c r="O53" s="247">
        <v>364230</v>
      </c>
      <c r="P53" s="247">
        <v>273123</v>
      </c>
      <c r="Q53" s="247">
        <v>317339</v>
      </c>
      <c r="R53" s="200">
        <f t="shared" si="6"/>
        <v>5689673</v>
      </c>
      <c r="S53" s="201" t="s">
        <v>717</v>
      </c>
      <c r="T53" s="202"/>
      <c r="U53" s="246"/>
      <c r="V53" s="246"/>
      <c r="W53" s="246"/>
      <c r="BA53"/>
      <c r="BB53"/>
    </row>
    <row r="54" spans="1:54" s="191" customFormat="1" ht="13.5">
      <c r="A54" s="226"/>
      <c r="B54" s="180"/>
      <c r="C54" s="183" t="str">
        <f>IFERROR(IF(VLOOKUP($B54,勘定科目!$A:$H,HLOOKUP($E$5,勘定科目!$F$1:$H$2,2,0),0)="","",VLOOKUP($B54,勘定科目!$A:$E,2,0)),"")</f>
        <v/>
      </c>
      <c r="D54" s="239" t="str">
        <f>IF(C54="","",VLOOKUP($B54,勘定科目!$A:$E,4,0))</f>
        <v/>
      </c>
      <c r="E54" s="245"/>
      <c r="F54" s="300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200">
        <f t="shared" si="6"/>
        <v>0</v>
      </c>
      <c r="S54" s="201"/>
      <c r="T54" s="202"/>
      <c r="U54" s="246"/>
      <c r="V54" s="246"/>
      <c r="W54" s="246"/>
      <c r="BA54"/>
      <c r="BB54"/>
    </row>
    <row r="55" spans="1:54" s="191" customFormat="1" ht="13.5">
      <c r="A55" s="226"/>
      <c r="B55" s="180">
        <v>5006016244</v>
      </c>
      <c r="C55" s="183" t="str">
        <f>IFERROR(IF(VLOOKUP($B55,勘定科目!$A:$H,HLOOKUP($E$5,勘定科目!$F$1:$H$2,2,0),0)="","",VLOOKUP($B55,勘定科目!$A:$E,2,0)),"")</f>
        <v>減価償却費（製）　工具器具備品</v>
      </c>
      <c r="D55" s="239" t="str">
        <f>IF(C55="","",VLOOKUP($B55,勘定科目!$A:$E,4,0))</f>
        <v>減価償却費</v>
      </c>
      <c r="E55" s="245"/>
      <c r="F55" s="300">
        <f>ROUND(89.46*$B$2,0)</f>
        <v>2271389</v>
      </c>
      <c r="G55" s="300">
        <f t="shared" ref="G55:I55" si="8">ROUND(89.46*$B$2,0)</f>
        <v>2271389</v>
      </c>
      <c r="H55" s="300">
        <f t="shared" si="8"/>
        <v>2271389</v>
      </c>
      <c r="I55" s="300">
        <f t="shared" si="8"/>
        <v>2271389</v>
      </c>
      <c r="J55" s="300">
        <f>ROUND(3.22*$B$2,0)</f>
        <v>81756</v>
      </c>
      <c r="K55" s="300"/>
      <c r="L55" s="300"/>
      <c r="M55" s="300"/>
      <c r="N55" s="300"/>
      <c r="O55" s="300"/>
      <c r="P55" s="300"/>
      <c r="Q55" s="300"/>
      <c r="R55" s="200">
        <f t="shared" si="6"/>
        <v>9167312</v>
      </c>
      <c r="S55" s="201" t="s">
        <v>718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80">
        <v>5006016244</v>
      </c>
      <c r="C56" s="183" t="str">
        <f>IFERROR(IF(VLOOKUP($B56,勘定科目!$A:$H,HLOOKUP($E$5,勘定科目!$F$1:$H$2,2,0),0)="","",VLOOKUP($B56,勘定科目!$A:$E,2,0)),"")</f>
        <v>減価償却費（製）　工具器具備品</v>
      </c>
      <c r="D56" s="239" t="str">
        <f>IF(C56="","",VLOOKUP($B56,勘定科目!$A:$E,4,0))</f>
        <v>減価償却費</v>
      </c>
      <c r="E56" s="245"/>
      <c r="F56" s="300">
        <f>ROUND(63.05*$B$2,0)</f>
        <v>1600840</v>
      </c>
      <c r="G56" s="300">
        <f t="shared" ref="G56:L56" si="9">ROUND(63.05*$B$2,0)</f>
        <v>1600840</v>
      </c>
      <c r="H56" s="300">
        <f t="shared" si="9"/>
        <v>1600840</v>
      </c>
      <c r="I56" s="300">
        <f t="shared" si="9"/>
        <v>1600840</v>
      </c>
      <c r="J56" s="300">
        <f t="shared" si="9"/>
        <v>1600840</v>
      </c>
      <c r="K56" s="300">
        <f t="shared" si="9"/>
        <v>1600840</v>
      </c>
      <c r="L56" s="300">
        <f t="shared" si="9"/>
        <v>1600840</v>
      </c>
      <c r="M56" s="300">
        <f>ROUND(2.27*$B$2,0)</f>
        <v>57635</v>
      </c>
      <c r="N56" s="300"/>
      <c r="O56" s="300"/>
      <c r="P56" s="300"/>
      <c r="Q56" s="300"/>
      <c r="R56" s="200">
        <f t="shared" si="6"/>
        <v>11263515</v>
      </c>
      <c r="S56" s="201" t="s">
        <v>719</v>
      </c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9114120007</v>
      </c>
      <c r="C57" s="183" t="str">
        <f>IFERROR(IF(VLOOKUP($B57,勘定科目!$A:$H,HLOOKUP($E$5,勘定科目!$F$1:$H$2,2,0),0)="","",VLOOKUP($B57,勘定科目!$A:$E,2,0)),"")</f>
        <v>社内金利（固定資産）</v>
      </c>
      <c r="D57" s="239" t="str">
        <f>IF(C57="","",VLOOKUP($B57,勘定科目!$A:$E,4,0))</f>
        <v>固定資産金利</v>
      </c>
      <c r="E57" s="245"/>
      <c r="F57" s="300">
        <f>ROUND(4.3*$B$2,0)</f>
        <v>109177</v>
      </c>
      <c r="G57" s="300">
        <f>ROUND(1.08*$B$2,0)</f>
        <v>27421</v>
      </c>
      <c r="H57" s="300">
        <f t="shared" ref="H57:J57" si="10">ROUND(1.08*$B$2,0)</f>
        <v>27421</v>
      </c>
      <c r="I57" s="300">
        <f t="shared" si="10"/>
        <v>27421</v>
      </c>
      <c r="J57" s="300">
        <f t="shared" si="10"/>
        <v>27421</v>
      </c>
      <c r="K57" s="300"/>
      <c r="L57" s="300"/>
      <c r="M57" s="300"/>
      <c r="N57" s="300"/>
      <c r="O57" s="300"/>
      <c r="P57" s="300"/>
      <c r="Q57" s="300"/>
      <c r="R57" s="200">
        <f t="shared" si="6"/>
        <v>218861</v>
      </c>
      <c r="S57" s="201" t="s">
        <v>720</v>
      </c>
      <c r="T57" s="202"/>
      <c r="U57" s="246"/>
      <c r="V57" s="246"/>
      <c r="W57" s="246"/>
      <c r="BA57"/>
      <c r="BB57"/>
    </row>
    <row r="58" spans="1:54" s="191" customFormat="1" ht="13.5">
      <c r="A58" s="226"/>
      <c r="B58" s="180">
        <v>9114120007</v>
      </c>
      <c r="C58" s="183" t="str">
        <f>IFERROR(IF(VLOOKUP($B58,勘定科目!$A:$H,HLOOKUP($E$5,勘定科目!$F$1:$H$2,2,0),0)="","",VLOOKUP($B58,勘定科目!$A:$E,2,0)),"")</f>
        <v>社内金利（固定資産）</v>
      </c>
      <c r="D58" s="239" t="str">
        <f>IF(C58="","",VLOOKUP($B58,勘定科目!$A:$E,4,0))</f>
        <v>固定資産金利</v>
      </c>
      <c r="E58" s="245"/>
      <c r="F58" s="300">
        <f>ROUND(3.6*$B$2,0)</f>
        <v>91404</v>
      </c>
      <c r="G58" s="300">
        <f>ROUND(1.33*$B$2,0)</f>
        <v>33769</v>
      </c>
      <c r="H58" s="300">
        <f t="shared" ref="H58:M58" si="11">ROUND(1.33*$B$2,0)</f>
        <v>33769</v>
      </c>
      <c r="I58" s="300">
        <f t="shared" si="11"/>
        <v>33769</v>
      </c>
      <c r="J58" s="300">
        <f t="shared" si="11"/>
        <v>33769</v>
      </c>
      <c r="K58" s="300">
        <f t="shared" si="11"/>
        <v>33769</v>
      </c>
      <c r="L58" s="300">
        <f t="shared" si="11"/>
        <v>33769</v>
      </c>
      <c r="M58" s="300">
        <f t="shared" si="11"/>
        <v>33769</v>
      </c>
      <c r="N58" s="300"/>
      <c r="O58" s="300"/>
      <c r="P58" s="300"/>
      <c r="Q58" s="300"/>
      <c r="R58" s="200">
        <f t="shared" si="6"/>
        <v>327787</v>
      </c>
      <c r="S58" s="201" t="s">
        <v>721</v>
      </c>
      <c r="T58" s="202"/>
      <c r="U58" s="246"/>
      <c r="V58" s="246"/>
      <c r="W58" s="246"/>
      <c r="BA58"/>
      <c r="BB58"/>
    </row>
    <row r="59" spans="1:54" s="191" customFormat="1" ht="13.5">
      <c r="A59" s="226"/>
      <c r="B59" s="180"/>
      <c r="C59" s="183" t="str">
        <f>IFERROR(IF(VLOOKUP($B59,勘定科目!$A:$H,HLOOKUP($E$5,勘定科目!$F$1:$H$2,2,0),0)="","",VLOOKUP($B59,勘定科目!$A:$E,2,0)),"")</f>
        <v/>
      </c>
      <c r="D59" s="239" t="str">
        <f>IF(C59="","",VLOOKUP($B59,勘定科目!$A:$E,4,0))</f>
        <v/>
      </c>
      <c r="E59" s="245"/>
      <c r="F59" s="300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200">
        <f t="shared" si="6"/>
        <v>0</v>
      </c>
      <c r="S59" s="201"/>
      <c r="T59" s="202"/>
      <c r="U59" s="246"/>
      <c r="V59" s="246"/>
      <c r="W59" s="246"/>
      <c r="BA59"/>
      <c r="BB59"/>
    </row>
    <row r="60" spans="1:54" s="191" customFormat="1" ht="13.5">
      <c r="A60" s="226"/>
      <c r="B60" s="180">
        <v>5005246282</v>
      </c>
      <c r="C60" s="183" t="str">
        <f>IFERROR(IF(VLOOKUP($B60,勘定科目!$A:$H,HLOOKUP($E$5,勘定科目!$F$1:$H$2,2,0),0)="","",VLOOKUP($B60,勘定科目!$A:$E,2,0)),"")</f>
        <v>ＫＤＣシステム使用料（製）</v>
      </c>
      <c r="D60" s="239" t="str">
        <f>IF(C60="","",VLOOKUP($B60,勘定科目!$A:$E,4,0))</f>
        <v>図書及び事務費</v>
      </c>
      <c r="E60" s="245"/>
      <c r="F60" s="300">
        <f>ROUND($B$2*(F25+F24)*11.46,0)</f>
        <v>3782602</v>
      </c>
      <c r="G60" s="300">
        <f>ROUND($B$2*(G25+G24-1)*11.46,0)</f>
        <v>3782602</v>
      </c>
      <c r="H60" s="300">
        <f t="shared" ref="H60:Q60" si="12">ROUND($B$2*(H25+H24)*11.46,0)</f>
        <v>4073572</v>
      </c>
      <c r="I60" s="300">
        <f t="shared" si="12"/>
        <v>4073572</v>
      </c>
      <c r="J60" s="300">
        <f t="shared" si="12"/>
        <v>4073572</v>
      </c>
      <c r="K60" s="300">
        <f t="shared" si="12"/>
        <v>4073572</v>
      </c>
      <c r="L60" s="300">
        <f t="shared" si="12"/>
        <v>4073572</v>
      </c>
      <c r="M60" s="300">
        <f t="shared" si="12"/>
        <v>4073572</v>
      </c>
      <c r="N60" s="300">
        <f t="shared" si="12"/>
        <v>4073572</v>
      </c>
      <c r="O60" s="300">
        <f t="shared" si="12"/>
        <v>4073572</v>
      </c>
      <c r="P60" s="300">
        <f t="shared" si="12"/>
        <v>4073572</v>
      </c>
      <c r="Q60" s="300">
        <f t="shared" si="12"/>
        <v>4073572</v>
      </c>
      <c r="R60" s="200">
        <f t="shared" si="6"/>
        <v>48300924</v>
      </c>
      <c r="S60" s="201" t="s">
        <v>722</v>
      </c>
      <c r="T60" s="202"/>
      <c r="U60" s="246"/>
      <c r="V60" s="246"/>
      <c r="W60" s="246"/>
      <c r="BA60"/>
      <c r="BB60"/>
    </row>
    <row r="61" spans="1:54" s="191" customFormat="1" ht="13.5">
      <c r="A61" s="226"/>
      <c r="B61" s="180">
        <v>5005136281</v>
      </c>
      <c r="C61" s="183" t="str">
        <f>IFERROR(IF(VLOOKUP($B61,勘定科目!$A:$H,HLOOKUP($E$5,勘定科目!$F$1:$H$2,2,0),0)="","",VLOOKUP($B61,勘定科目!$A:$E,2,0)),"")</f>
        <v>通信費（製）</v>
      </c>
      <c r="D61" s="239" t="str">
        <f>IF(C61="","",VLOOKUP($B61,勘定科目!$A:$E,4,0))</f>
        <v>通信費</v>
      </c>
      <c r="E61" s="245"/>
      <c r="F61" s="300">
        <f>3*99000+50000</f>
        <v>347000</v>
      </c>
      <c r="G61" s="300">
        <f t="shared" ref="G61:Q61" si="13">3*99000+50000</f>
        <v>347000</v>
      </c>
      <c r="H61" s="300">
        <f t="shared" si="13"/>
        <v>347000</v>
      </c>
      <c r="I61" s="300">
        <f t="shared" si="13"/>
        <v>347000</v>
      </c>
      <c r="J61" s="300">
        <f t="shared" si="13"/>
        <v>347000</v>
      </c>
      <c r="K61" s="300">
        <f t="shared" si="13"/>
        <v>347000</v>
      </c>
      <c r="L61" s="300">
        <f t="shared" si="13"/>
        <v>347000</v>
      </c>
      <c r="M61" s="300">
        <f t="shared" si="13"/>
        <v>347000</v>
      </c>
      <c r="N61" s="300">
        <f t="shared" si="13"/>
        <v>347000</v>
      </c>
      <c r="O61" s="300">
        <f t="shared" si="13"/>
        <v>347000</v>
      </c>
      <c r="P61" s="300">
        <f t="shared" si="13"/>
        <v>347000</v>
      </c>
      <c r="Q61" s="300">
        <f t="shared" si="13"/>
        <v>347000</v>
      </c>
      <c r="R61" s="200">
        <f t="shared" si="6"/>
        <v>4164000</v>
      </c>
      <c r="S61" s="201" t="s">
        <v>723</v>
      </c>
      <c r="T61" s="202"/>
      <c r="U61" s="246"/>
      <c r="V61" s="246"/>
      <c r="W61" s="246"/>
      <c r="BA61"/>
      <c r="BB61"/>
    </row>
    <row r="62" spans="1:54" s="191" customFormat="1" ht="13.5">
      <c r="A62" s="226"/>
      <c r="B62" s="180"/>
      <c r="C62" s="183" t="str">
        <f>IFERROR(IF(VLOOKUP($B62,勘定科目!$A:$H,HLOOKUP($E$5,勘定科目!$F$1:$H$2,2,0),0)="","",VLOOKUP($B62,勘定科目!$A:$E,2,0)),"")</f>
        <v/>
      </c>
      <c r="D62" s="239" t="str">
        <f>IF(C62="","",VLOOKUP($B62,勘定科目!$A:$E,4,0))</f>
        <v/>
      </c>
      <c r="E62" s="245"/>
      <c r="F62" s="300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200">
        <f t="shared" si="6"/>
        <v>0</v>
      </c>
      <c r="S62" s="201"/>
      <c r="T62" s="202"/>
      <c r="U62" s="246"/>
      <c r="V62" s="246"/>
      <c r="W62" s="246"/>
      <c r="BA62"/>
      <c r="BB62"/>
    </row>
    <row r="63" spans="1:54" s="191" customFormat="1" ht="13.5">
      <c r="A63" s="226"/>
      <c r="B63" s="180"/>
      <c r="C63" s="183" t="str">
        <f>IFERROR(IF(VLOOKUP($B63,勘定科目!$A:$H,HLOOKUP($E$5,勘定科目!$F$1:$H$2,2,0),0)="","",VLOOKUP($B63,勘定科目!$A:$E,2,0)),"")</f>
        <v/>
      </c>
      <c r="D63" s="239" t="str">
        <f>IF(C63="","",VLOOKUP($B63,勘定科目!$A:$E,4,0))</f>
        <v/>
      </c>
      <c r="E63" s="245"/>
      <c r="F63" s="300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200">
        <f t="shared" si="6"/>
        <v>0</v>
      </c>
      <c r="S63" s="201"/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39" t="str">
        <f>IF(C64="","",VLOOKUP($B64,勘定科目!$A:$E,4,0))</f>
        <v>福利厚生費</v>
      </c>
      <c r="E64" s="245"/>
      <c r="F64" s="300"/>
      <c r="G64" s="301"/>
      <c r="H64" s="301"/>
      <c r="I64" s="301"/>
      <c r="J64" s="301"/>
      <c r="K64" s="301"/>
      <c r="L64" s="301"/>
      <c r="M64" s="301"/>
      <c r="N64" s="301"/>
      <c r="O64" s="301"/>
      <c r="P64" s="301">
        <f>100000*13</f>
        <v>1300000</v>
      </c>
      <c r="Q64" s="301"/>
      <c r="R64" s="200">
        <f t="shared" si="6"/>
        <v>1300000</v>
      </c>
      <c r="S64" s="303">
        <v>100000</v>
      </c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39" t="str">
        <f>IF(C65="","",VLOOKUP($B65,勘定科目!$A:$E,4,0))</f>
        <v>福利厚生費</v>
      </c>
      <c r="E65" s="245"/>
      <c r="F65" s="300"/>
      <c r="G65" s="301">
        <f>1890000*13</f>
        <v>24570000</v>
      </c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200">
        <f t="shared" si="6"/>
        <v>24570000</v>
      </c>
      <c r="S65" s="302">
        <v>1890000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9" t="str">
        <f>IF(C66="","",VLOOKUP($B66,勘定科目!$A:$E,4,0))</f>
        <v>福利厚生費</v>
      </c>
      <c r="E66" s="245"/>
      <c r="F66" s="300"/>
      <c r="G66" s="301"/>
      <c r="H66" s="301"/>
      <c r="I66" s="301">
        <f>100000*12</f>
        <v>1200000</v>
      </c>
      <c r="J66" s="301"/>
      <c r="K66" s="301"/>
      <c r="L66" s="301"/>
      <c r="M66" s="301"/>
      <c r="N66" s="301"/>
      <c r="O66" s="301"/>
      <c r="P66" s="301"/>
      <c r="Q66" s="301"/>
      <c r="R66" s="200">
        <f t="shared" si="6"/>
        <v>1200000</v>
      </c>
      <c r="S66" s="304">
        <v>100000</v>
      </c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245"/>
      <c r="F67" s="300"/>
      <c r="G67" s="301"/>
      <c r="H67" s="301"/>
      <c r="I67" s="301"/>
      <c r="J67" s="301"/>
      <c r="K67" s="301"/>
      <c r="L67" s="301">
        <f>2*549000</f>
        <v>1098000</v>
      </c>
      <c r="M67" s="301"/>
      <c r="N67" s="301"/>
      <c r="O67" s="301"/>
      <c r="P67" s="301"/>
      <c r="Q67" s="301"/>
      <c r="R67" s="200">
        <f t="shared" si="6"/>
        <v>1098000</v>
      </c>
      <c r="S67" s="201" t="s">
        <v>724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245"/>
      <c r="F68" s="300"/>
      <c r="G68" s="301"/>
      <c r="H68" s="301"/>
      <c r="I68" s="301"/>
      <c r="J68" s="301"/>
      <c r="K68" s="301"/>
      <c r="L68" s="301">
        <v>382000</v>
      </c>
      <c r="M68" s="301"/>
      <c r="N68" s="301"/>
      <c r="O68" s="301"/>
      <c r="P68" s="301"/>
      <c r="Q68" s="301"/>
      <c r="R68" s="200">
        <f t="shared" si="6"/>
        <v>382000</v>
      </c>
      <c r="S68" s="201" t="s">
        <v>725</v>
      </c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245"/>
      <c r="F69" s="300"/>
      <c r="G69" s="301"/>
      <c r="H69" s="301"/>
      <c r="I69" s="301"/>
      <c r="J69" s="301"/>
      <c r="K69" s="301"/>
      <c r="L69" s="301">
        <f>56000*14</f>
        <v>784000</v>
      </c>
      <c r="M69" s="301"/>
      <c r="N69" s="301"/>
      <c r="O69" s="301"/>
      <c r="P69" s="301"/>
      <c r="Q69" s="301"/>
      <c r="R69" s="200">
        <f t="shared" si="6"/>
        <v>784000</v>
      </c>
      <c r="S69" s="308">
        <v>56000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5004086291</v>
      </c>
      <c r="C70" s="183" t="str">
        <f>IFERROR(IF(VLOOKUP($B70,勘定科目!$A:$H,HLOOKUP($E$5,勘定科目!$F$1:$H$2,2,0),0)="","",VLOOKUP($B70,勘定科目!$A:$E,2,0)),"")</f>
        <v>福利厚生費（製）</v>
      </c>
      <c r="D70" s="239" t="str">
        <f>IF(C70="","",VLOOKUP($B70,勘定科目!$A:$E,4,0))</f>
        <v>福利厚生費</v>
      </c>
      <c r="E70" s="245"/>
      <c r="F70" s="300"/>
      <c r="G70" s="301"/>
      <c r="H70" s="301"/>
      <c r="I70" s="301"/>
      <c r="J70" s="301"/>
      <c r="K70" s="301">
        <f>126000*14</f>
        <v>1764000</v>
      </c>
      <c r="L70" s="301"/>
      <c r="M70" s="301"/>
      <c r="N70" s="301"/>
      <c r="O70" s="301"/>
      <c r="P70" s="301"/>
      <c r="Q70" s="301"/>
      <c r="R70" s="200">
        <f t="shared" si="6"/>
        <v>1764000</v>
      </c>
      <c r="S70" s="305">
        <v>126000</v>
      </c>
      <c r="T70" s="202"/>
      <c r="U70" s="246"/>
      <c r="V70" s="246"/>
      <c r="W70" s="246"/>
      <c r="BA70"/>
      <c r="BB70"/>
    </row>
    <row r="71" spans="1:54" s="191" customFormat="1" ht="13.5">
      <c r="A71" s="226"/>
      <c r="B71" s="180">
        <v>5004086291</v>
      </c>
      <c r="C71" s="183" t="str">
        <f>IFERROR(IF(VLOOKUP($B71,勘定科目!$A:$H,HLOOKUP($E$5,勘定科目!$F$1:$H$2,2,0),0)="","",VLOOKUP($B71,勘定科目!$A:$E,2,0)),"")</f>
        <v>福利厚生費（製）</v>
      </c>
      <c r="D71" s="239" t="str">
        <f>IF(C71="","",VLOOKUP($B71,勘定科目!$A:$E,4,0))</f>
        <v>福利厚生費</v>
      </c>
      <c r="E71" s="245"/>
      <c r="F71" s="300"/>
      <c r="G71" s="301"/>
      <c r="H71" s="301"/>
      <c r="I71" s="301"/>
      <c r="J71" s="301"/>
      <c r="K71" s="301"/>
      <c r="L71" s="301"/>
      <c r="M71" s="301">
        <f>107000*14</f>
        <v>1498000</v>
      </c>
      <c r="N71" s="301"/>
      <c r="O71" s="301"/>
      <c r="P71" s="301"/>
      <c r="Q71" s="301"/>
      <c r="R71" s="200">
        <f t="shared" si="6"/>
        <v>1498000</v>
      </c>
      <c r="S71" s="201" t="s">
        <v>726</v>
      </c>
      <c r="T71" s="202"/>
      <c r="U71" s="246"/>
      <c r="V71" s="246"/>
      <c r="W71" s="246"/>
      <c r="BA71"/>
      <c r="BB71"/>
    </row>
    <row r="72" spans="1:54" s="191" customFormat="1" ht="13.5">
      <c r="A72" s="226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39" t="str">
        <f>IF(C72="","",VLOOKUP($B72,勘定科目!$A:$E,4,0))</f>
        <v>福利厚生費</v>
      </c>
      <c r="E72" s="245"/>
      <c r="F72" s="300"/>
      <c r="G72" s="301"/>
      <c r="H72" s="301"/>
      <c r="I72" s="301"/>
      <c r="J72" s="301"/>
      <c r="K72" s="301"/>
      <c r="L72" s="301"/>
      <c r="M72" s="301"/>
      <c r="N72" s="301">
        <f>189000*13</f>
        <v>2457000</v>
      </c>
      <c r="O72" s="301"/>
      <c r="P72" s="301"/>
      <c r="Q72" s="301"/>
      <c r="R72" s="200">
        <f t="shared" si="6"/>
        <v>2457000</v>
      </c>
      <c r="S72" s="201" t="s">
        <v>727</v>
      </c>
      <c r="T72" s="202"/>
      <c r="U72" s="246"/>
      <c r="V72" s="246"/>
      <c r="W72" s="246"/>
      <c r="BA72"/>
      <c r="BB72"/>
    </row>
    <row r="73" spans="1:54" s="191" customFormat="1" ht="13.5">
      <c r="A73" s="226"/>
      <c r="B73" s="180">
        <v>5004086291</v>
      </c>
      <c r="C73" s="183" t="str">
        <f>IFERROR(IF(VLOOKUP($B73,勘定科目!$A:$H,HLOOKUP($E$5,勘定科目!$F$1:$H$2,2,0),0)="","",VLOOKUP($B73,勘定科目!$A:$E,2,0)),"")</f>
        <v>福利厚生費（製）</v>
      </c>
      <c r="D73" s="239" t="str">
        <f>IF(C73="","",VLOOKUP($B73,勘定科目!$A:$E,4,0))</f>
        <v>福利厚生費</v>
      </c>
      <c r="E73" s="245"/>
      <c r="F73" s="300"/>
      <c r="G73" s="301">
        <f>200000*13</f>
        <v>2600000</v>
      </c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200">
        <f t="shared" si="6"/>
        <v>2600000</v>
      </c>
      <c r="S73" s="306">
        <v>200000</v>
      </c>
      <c r="T73" s="202"/>
      <c r="U73" s="246"/>
      <c r="V73" s="246"/>
      <c r="W73" s="246"/>
      <c r="BA73"/>
      <c r="BB73"/>
    </row>
    <row r="74" spans="1:54" s="191" customFormat="1" ht="13.5">
      <c r="A74" s="226"/>
      <c r="B74" s="180">
        <v>5004086291</v>
      </c>
      <c r="C74" s="183" t="str">
        <f>IFERROR(IF(VLOOKUP($B74,勘定科目!$A:$H,HLOOKUP($E$5,勘定科目!$F$1:$H$2,2,0),0)="","",VLOOKUP($B74,勘定科目!$A:$E,2,0)),"")</f>
        <v>福利厚生費（製）</v>
      </c>
      <c r="D74" s="239" t="str">
        <f>IF(C74="","",VLOOKUP($B74,勘定科目!$A:$E,4,0))</f>
        <v>福利厚生費</v>
      </c>
      <c r="E74" s="245"/>
      <c r="F74" s="300"/>
      <c r="G74" s="301"/>
      <c r="H74" s="301">
        <f>3*163000</f>
        <v>489000</v>
      </c>
      <c r="I74" s="301">
        <f>2*163000</f>
        <v>326000</v>
      </c>
      <c r="J74" s="301"/>
      <c r="K74" s="301"/>
      <c r="L74" s="301">
        <f>1*163000</f>
        <v>163000</v>
      </c>
      <c r="M74" s="301"/>
      <c r="N74" s="301"/>
      <c r="O74" s="301">
        <f>2*163000</f>
        <v>326000</v>
      </c>
      <c r="P74" s="301">
        <f>4*163000</f>
        <v>652000</v>
      </c>
      <c r="Q74" s="301">
        <f>1*163000</f>
        <v>163000</v>
      </c>
      <c r="R74" s="200">
        <f t="shared" si="6"/>
        <v>2119000</v>
      </c>
      <c r="S74" s="307">
        <v>157000</v>
      </c>
      <c r="T74" s="202"/>
      <c r="U74" s="246"/>
      <c r="V74" s="246"/>
      <c r="W74" s="246"/>
      <c r="BA74"/>
      <c r="BB74"/>
    </row>
    <row r="75" spans="1:54" s="191" customFormat="1" ht="13.5">
      <c r="A75" s="226"/>
      <c r="B75" s="180">
        <v>5004086291</v>
      </c>
      <c r="C75" s="183" t="str">
        <f>IFERROR(IF(VLOOKUP($B75,勘定科目!$A:$H,HLOOKUP($E$5,勘定科目!$F$1:$H$2,2,0),0)="","",VLOOKUP($B75,勘定科目!$A:$E,2,0)),"")</f>
        <v>福利厚生費（製）</v>
      </c>
      <c r="D75" s="239" t="str">
        <f>IF(C75="","",VLOOKUP($B75,勘定科目!$A:$E,4,0))</f>
        <v>福利厚生費</v>
      </c>
      <c r="E75" s="245"/>
      <c r="F75" s="300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200">
        <f t="shared" si="6"/>
        <v>0</v>
      </c>
      <c r="S75" s="201" t="s">
        <v>728</v>
      </c>
      <c r="T75" s="202"/>
      <c r="U75" s="246"/>
      <c r="V75" s="246"/>
      <c r="W75" s="246"/>
      <c r="BA75"/>
      <c r="BB75"/>
    </row>
    <row r="76" spans="1:54" s="191" customFormat="1" ht="13.5">
      <c r="A76" s="226"/>
      <c r="B76" s="180">
        <v>5004086291</v>
      </c>
      <c r="C76" s="183" t="str">
        <f>IFERROR(IF(VLOOKUP($B76,勘定科目!$A:$H,HLOOKUP($E$5,勘定科目!$F$1:$H$2,2,0),0)="","",VLOOKUP($B76,勘定科目!$A:$E,2,0)),"")</f>
        <v>福利厚生費（製）</v>
      </c>
      <c r="D76" s="239" t="str">
        <f>IF(C76="","",VLOOKUP($B76,勘定科目!$A:$E,4,0))</f>
        <v>福利厚生費</v>
      </c>
      <c r="E76" s="245"/>
      <c r="F76" s="300"/>
      <c r="G76" s="301"/>
      <c r="H76" s="301"/>
      <c r="I76" s="301"/>
      <c r="J76" s="301"/>
      <c r="K76" s="301"/>
      <c r="L76" s="301"/>
      <c r="M76" s="301"/>
      <c r="N76" s="301"/>
      <c r="O76" s="301"/>
      <c r="P76" s="301">
        <f>300000*14</f>
        <v>4200000</v>
      </c>
      <c r="Q76" s="301"/>
      <c r="R76" s="200">
        <f t="shared" si="6"/>
        <v>4200000</v>
      </c>
      <c r="S76" s="201" t="s">
        <v>746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80">
        <v>5004086291</v>
      </c>
      <c r="C77" s="183" t="str">
        <f>IFERROR(IF(VLOOKUP($B77,勘定科目!$A:$H,HLOOKUP($E$5,勘定科目!$F$1:$H$2,2,0),0)="","",VLOOKUP($B77,勘定科目!$A:$E,2,0)),"")</f>
        <v>福利厚生費（製）</v>
      </c>
      <c r="D77" s="239" t="str">
        <f>IF(C77="","",VLOOKUP($B77,勘定科目!$A:$E,4,0))</f>
        <v>福利厚生費</v>
      </c>
      <c r="E77" s="245"/>
      <c r="F77" s="300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200">
        <f t="shared" si="6"/>
        <v>0</v>
      </c>
      <c r="S77" s="201" t="s">
        <v>729</v>
      </c>
      <c r="T77" s="202"/>
      <c r="U77" s="246"/>
      <c r="V77" s="246"/>
      <c r="W77" s="246"/>
      <c r="BA77"/>
      <c r="BB77"/>
    </row>
    <row r="78" spans="1:54" s="191" customFormat="1" ht="13.5">
      <c r="A78" s="226"/>
      <c r="B78" s="180"/>
      <c r="C78" s="183" t="str">
        <f>IFERROR(IF(VLOOKUP($B78,勘定科目!$A:$H,HLOOKUP($E$5,勘定科目!$F$1:$H$2,2,0),0)="","",VLOOKUP($B78,勘定科目!$A:$E,2,0)),"")</f>
        <v/>
      </c>
      <c r="D78" s="239" t="str">
        <f>IF(C78="","",VLOOKUP($B78,勘定科目!$A:$E,4,0))</f>
        <v/>
      </c>
      <c r="E78" s="245"/>
      <c r="F78" s="300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200">
        <f t="shared" si="6"/>
        <v>0</v>
      </c>
      <c r="S78" s="201"/>
      <c r="T78" s="202"/>
      <c r="U78" s="246"/>
      <c r="V78" s="246"/>
      <c r="W78" s="246"/>
      <c r="BA78"/>
      <c r="BB78"/>
    </row>
    <row r="79" spans="1:54" s="191" customFormat="1" ht="13.5">
      <c r="A79" s="226"/>
      <c r="B79" s="180">
        <v>5004086291</v>
      </c>
      <c r="C79" s="183" t="str">
        <f>IFERROR(IF(VLOOKUP($B79,勘定科目!$A:$H,HLOOKUP($E$5,勘定科目!$F$1:$H$2,2,0),0)="","",VLOOKUP($B79,勘定科目!$A:$E,2,0)),"")</f>
        <v>福利厚生費（製）</v>
      </c>
      <c r="D79" s="239" t="str">
        <f>IF(C79="","",VLOOKUP($B79,勘定科目!$A:$E,4,0))</f>
        <v>福利厚生費</v>
      </c>
      <c r="E79" s="245"/>
      <c r="F79" s="300"/>
      <c r="G79" s="301"/>
      <c r="H79" s="301">
        <v>175000</v>
      </c>
      <c r="I79" s="301"/>
      <c r="J79" s="301"/>
      <c r="K79" s="301"/>
      <c r="L79" s="301"/>
      <c r="M79" s="301"/>
      <c r="N79" s="301"/>
      <c r="O79" s="301"/>
      <c r="P79" s="301"/>
      <c r="Q79" s="301"/>
      <c r="R79" s="200">
        <f t="shared" si="6"/>
        <v>175000</v>
      </c>
      <c r="S79" s="201" t="s">
        <v>730</v>
      </c>
      <c r="T79" s="202"/>
      <c r="U79" s="246"/>
      <c r="V79" s="246"/>
      <c r="W79" s="246"/>
      <c r="BA79"/>
      <c r="BB79"/>
    </row>
    <row r="80" spans="1:54" s="191" customFormat="1" ht="13.5">
      <c r="A80" s="226"/>
      <c r="B80" s="180">
        <v>5005246281</v>
      </c>
      <c r="C80" s="183" t="str">
        <f>IFERROR(IF(VLOOKUP($B80,勘定科目!$A:$H,HLOOKUP($E$5,勘定科目!$F$1:$H$2,2,0),0)="","",VLOOKUP($B80,勘定科目!$A:$E,2,0)),"")</f>
        <v>図書印刷費（製）</v>
      </c>
      <c r="D80" s="239" t="str">
        <f>IF(C80="","",VLOOKUP($B80,勘定科目!$A:$E,4,0))</f>
        <v>図書及び事務費</v>
      </c>
      <c r="E80" s="245"/>
      <c r="F80" s="300"/>
      <c r="G80" s="301"/>
      <c r="H80" s="301">
        <v>800</v>
      </c>
      <c r="I80" s="301"/>
      <c r="J80" s="301"/>
      <c r="K80" s="301"/>
      <c r="L80" s="301"/>
      <c r="M80" s="301">
        <f>800*14</f>
        <v>11200</v>
      </c>
      <c r="N80" s="301"/>
      <c r="O80" s="301"/>
      <c r="P80" s="301"/>
      <c r="Q80" s="301"/>
      <c r="R80" s="200">
        <f t="shared" si="6"/>
        <v>12000</v>
      </c>
      <c r="S80" s="201" t="s">
        <v>731</v>
      </c>
      <c r="T80" s="202"/>
      <c r="U80" s="246"/>
      <c r="V80" s="246"/>
      <c r="W80" s="246"/>
      <c r="BA80"/>
      <c r="BB80"/>
    </row>
    <row r="81" spans="1:54" s="191" customFormat="1" ht="13.5">
      <c r="A81" s="226"/>
      <c r="B81" s="180">
        <v>5004086291</v>
      </c>
      <c r="C81" s="183" t="str">
        <f>IFERROR(IF(VLOOKUP($B81,勘定科目!$A:$H,HLOOKUP($E$5,勘定科目!$F$1:$H$2,2,0),0)="","",VLOOKUP($B81,勘定科目!$A:$E,2,0)),"")</f>
        <v>福利厚生費（製）</v>
      </c>
      <c r="D81" s="239" t="str">
        <f>IF(C81="","",VLOOKUP($B81,勘定科目!$A:$E,4,0))</f>
        <v>福利厚生費</v>
      </c>
      <c r="E81" s="245"/>
      <c r="F81" s="300">
        <f>13*165000*2</f>
        <v>4290000</v>
      </c>
      <c r="G81" s="301"/>
      <c r="H81" s="301">
        <f>165000*2</f>
        <v>330000</v>
      </c>
      <c r="I81" s="301"/>
      <c r="J81" s="301"/>
      <c r="K81" s="301"/>
      <c r="L81" s="301"/>
      <c r="M81" s="301"/>
      <c r="N81" s="301"/>
      <c r="O81" s="301"/>
      <c r="P81" s="301"/>
      <c r="Q81" s="301"/>
      <c r="R81" s="200">
        <f t="shared" si="6"/>
        <v>4620000</v>
      </c>
      <c r="S81" s="201" t="s">
        <v>743</v>
      </c>
      <c r="T81" s="202"/>
      <c r="U81" s="246"/>
      <c r="V81" s="246"/>
      <c r="W81" s="246"/>
      <c r="BA81"/>
      <c r="BB81"/>
    </row>
    <row r="82" spans="1:54" s="191" customFormat="1" ht="13.5">
      <c r="A82" s="226"/>
      <c r="B82" s="180">
        <v>5004086291</v>
      </c>
      <c r="C82" s="183" t="str">
        <f>IFERROR(IF(VLOOKUP($B82,勘定科目!$A:$H,HLOOKUP($E$5,勘定科目!$F$1:$H$2,2,0),0)="","",VLOOKUP($B82,勘定科目!$A:$E,2,0)),"")</f>
        <v>福利厚生費（製）</v>
      </c>
      <c r="D82" s="239" t="str">
        <f>IF(C82="","",VLOOKUP($B82,勘定科目!$A:$E,4,0))</f>
        <v>福利厚生費</v>
      </c>
      <c r="E82" s="245"/>
      <c r="F82" s="300">
        <f>13*175000*2</f>
        <v>4550000</v>
      </c>
      <c r="G82" s="301"/>
      <c r="H82" s="301"/>
      <c r="I82" s="301"/>
      <c r="J82" s="301"/>
      <c r="K82" s="301"/>
      <c r="L82" s="301">
        <f>175000*2</f>
        <v>350000</v>
      </c>
      <c r="M82" s="301"/>
      <c r="N82" s="301"/>
      <c r="O82" s="301"/>
      <c r="P82" s="301"/>
      <c r="Q82" s="301"/>
      <c r="R82" s="200">
        <f t="shared" si="6"/>
        <v>4900000</v>
      </c>
      <c r="S82" s="201" t="s">
        <v>744</v>
      </c>
      <c r="T82" s="202"/>
      <c r="U82" s="246"/>
      <c r="V82" s="246"/>
      <c r="W82" s="246"/>
      <c r="BA82"/>
      <c r="BB82"/>
    </row>
    <row r="83" spans="1:54" s="191" customFormat="1" ht="13.5">
      <c r="A83" s="226"/>
      <c r="B83" s="180">
        <v>5004086291</v>
      </c>
      <c r="C83" s="183" t="str">
        <f>IFERROR(IF(VLOOKUP($B83,勘定科目!$A:$H,HLOOKUP($E$5,勘定科目!$F$1:$H$2,2,0),0)="","",VLOOKUP($B83,勘定科目!$A:$E,2,0)),"")</f>
        <v>福利厚生費（製）</v>
      </c>
      <c r="D83" s="239" t="str">
        <f>IF(C83="","",VLOOKUP($B83,勘定科目!$A:$E,4,0))</f>
        <v>福利厚生費</v>
      </c>
      <c r="E83" s="245"/>
      <c r="F83" s="300"/>
      <c r="G83" s="301"/>
      <c r="H83" s="301">
        <v>116000</v>
      </c>
      <c r="I83" s="301"/>
      <c r="J83" s="301"/>
      <c r="K83" s="301">
        <v>116000</v>
      </c>
      <c r="L83" s="301"/>
      <c r="M83" s="301">
        <v>116000</v>
      </c>
      <c r="N83" s="301"/>
      <c r="O83" s="301">
        <v>116000</v>
      </c>
      <c r="P83" s="301"/>
      <c r="Q83" s="301"/>
      <c r="R83" s="200">
        <f t="shared" si="6"/>
        <v>464000</v>
      </c>
      <c r="S83" s="201" t="s">
        <v>732</v>
      </c>
      <c r="T83" s="202"/>
      <c r="U83" s="246"/>
      <c r="V83" s="246"/>
      <c r="W83" s="246"/>
      <c r="BA83"/>
      <c r="BB83"/>
    </row>
    <row r="84" spans="1:54" s="191" customFormat="1" ht="13.5">
      <c r="A84" s="226"/>
      <c r="B84" s="180">
        <v>5004086291</v>
      </c>
      <c r="C84" s="183" t="str">
        <f>IFERROR(IF(VLOOKUP($B84,勘定科目!$A:$H,HLOOKUP($E$5,勘定科目!$F$1:$H$2,2,0),0)="","",VLOOKUP($B84,勘定科目!$A:$E,2,0)),"")</f>
        <v>福利厚生費（製）</v>
      </c>
      <c r="D84" s="239" t="str">
        <f>IF(C84="","",VLOOKUP($B84,勘定科目!$A:$E,4,0))</f>
        <v>福利厚生費</v>
      </c>
      <c r="E84" s="245"/>
      <c r="F84" s="300"/>
      <c r="G84" s="301"/>
      <c r="H84" s="301">
        <f>2*39000</f>
        <v>78000</v>
      </c>
      <c r="I84" s="301"/>
      <c r="J84" s="301">
        <v>39000</v>
      </c>
      <c r="K84" s="301"/>
      <c r="L84" s="301"/>
      <c r="M84" s="301"/>
      <c r="N84" s="301">
        <v>39000</v>
      </c>
      <c r="O84" s="301"/>
      <c r="P84" s="301"/>
      <c r="Q84" s="301">
        <v>39000</v>
      </c>
      <c r="R84" s="200">
        <f t="shared" si="6"/>
        <v>195000</v>
      </c>
      <c r="S84" s="201" t="s">
        <v>733</v>
      </c>
      <c r="T84" s="202"/>
      <c r="U84" s="246"/>
      <c r="V84" s="246"/>
      <c r="W84" s="246"/>
      <c r="BA84"/>
      <c r="BB84"/>
    </row>
    <row r="85" spans="1:54" s="191" customFormat="1" ht="13.5">
      <c r="A85" s="226"/>
      <c r="B85" s="180">
        <v>5004086291</v>
      </c>
      <c r="C85" s="183" t="str">
        <f>IFERROR(IF(VLOOKUP($B85,勘定科目!$A:$H,HLOOKUP($E$5,勘定科目!$F$1:$H$2,2,0),0)="","",VLOOKUP($B85,勘定科目!$A:$E,2,0)),"")</f>
        <v>福利厚生費（製）</v>
      </c>
      <c r="D85" s="239" t="str">
        <f>IF(C85="","",VLOOKUP($B85,勘定科目!$A:$E,4,0))</f>
        <v>福利厚生費</v>
      </c>
      <c r="E85" s="245"/>
      <c r="F85" s="300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200">
        <f t="shared" si="6"/>
        <v>0</v>
      </c>
      <c r="S85" s="201" t="s">
        <v>734</v>
      </c>
      <c r="T85" s="202"/>
      <c r="U85" s="246"/>
      <c r="V85" s="246"/>
      <c r="W85" s="246"/>
      <c r="BA85"/>
      <c r="BB85"/>
    </row>
    <row r="86" spans="1:54" s="191" customFormat="1" ht="13.5">
      <c r="A86" s="226"/>
      <c r="B86" s="180">
        <v>5004086291</v>
      </c>
      <c r="C86" s="183" t="str">
        <f>IFERROR(IF(VLOOKUP($B86,勘定科目!$A:$H,HLOOKUP($E$5,勘定科目!$F$1:$H$2,2,0),0)="","",VLOOKUP($B86,勘定科目!$A:$E,2,0)),"")</f>
        <v>福利厚生費（製）</v>
      </c>
      <c r="D86" s="239" t="str">
        <f>IF(C86="","",VLOOKUP($B86,勘定科目!$A:$E,4,0))</f>
        <v>福利厚生費</v>
      </c>
      <c r="E86" s="245"/>
      <c r="F86" s="301">
        <v>84000</v>
      </c>
      <c r="G86" s="301">
        <v>84000</v>
      </c>
      <c r="H86" s="301">
        <v>84000</v>
      </c>
      <c r="I86" s="301">
        <v>84000</v>
      </c>
      <c r="J86" s="301">
        <v>84000</v>
      </c>
      <c r="K86" s="301">
        <v>84000</v>
      </c>
      <c r="L86" s="301">
        <v>84000</v>
      </c>
      <c r="M86" s="301">
        <v>84000</v>
      </c>
      <c r="N86" s="301">
        <v>84000</v>
      </c>
      <c r="O86" s="301">
        <v>84000</v>
      </c>
      <c r="P86" s="301">
        <v>84000</v>
      </c>
      <c r="Q86" s="301">
        <v>84000</v>
      </c>
      <c r="R86" s="200">
        <f t="shared" si="6"/>
        <v>1008000</v>
      </c>
      <c r="S86" s="201" t="s">
        <v>735</v>
      </c>
      <c r="T86" s="202"/>
      <c r="U86" s="246"/>
      <c r="V86" s="246"/>
      <c r="W86" s="246"/>
      <c r="BA86"/>
      <c r="BB86"/>
    </row>
    <row r="87" spans="1:54" s="191" customFormat="1" ht="13.5">
      <c r="A87" s="226"/>
      <c r="B87" s="180">
        <v>5005246281</v>
      </c>
      <c r="C87" s="183" t="str">
        <f>IFERROR(IF(VLOOKUP($B87,勘定科目!$A:$H,HLOOKUP($E$5,勘定科目!$F$1:$H$2,2,0),0)="","",VLOOKUP($B87,勘定科目!$A:$E,2,0)),"")</f>
        <v>図書印刷費（製）</v>
      </c>
      <c r="D87" s="239" t="str">
        <f>IF(C87="","",VLOOKUP($B87,勘定科目!$A:$E,4,0))</f>
        <v>図書及び事務費</v>
      </c>
      <c r="E87" s="245"/>
      <c r="F87" s="300"/>
      <c r="G87" s="301">
        <v>58000</v>
      </c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200">
        <f t="shared" si="6"/>
        <v>58000</v>
      </c>
      <c r="S87" s="201" t="s">
        <v>736</v>
      </c>
      <c r="T87" s="202"/>
      <c r="U87" s="246"/>
      <c r="V87" s="246"/>
      <c r="W87" s="246"/>
      <c r="BA87"/>
      <c r="BB87"/>
    </row>
    <row r="88" spans="1:54" s="191" customFormat="1" ht="13.5">
      <c r="A88" s="226"/>
      <c r="B88" s="180">
        <v>5005246281</v>
      </c>
      <c r="C88" s="183" t="str">
        <f>IFERROR(IF(VLOOKUP($B88,勘定科目!$A:$H,HLOOKUP($E$5,勘定科目!$F$1:$H$2,2,0),0)="","",VLOOKUP($B88,勘定科目!$A:$E,2,0)),"")</f>
        <v>図書印刷費（製）</v>
      </c>
      <c r="D88" s="239" t="str">
        <f>IF(C88="","",VLOOKUP($B88,勘定科目!$A:$E,4,0))</f>
        <v>図書及び事務費</v>
      </c>
      <c r="E88" s="245"/>
      <c r="F88" s="300"/>
      <c r="G88" s="301">
        <v>27200</v>
      </c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200">
        <f t="shared" si="6"/>
        <v>27200</v>
      </c>
      <c r="S88" s="201" t="s">
        <v>745</v>
      </c>
      <c r="T88" s="202"/>
      <c r="U88" s="246"/>
      <c r="V88" s="246"/>
      <c r="W88" s="246"/>
      <c r="BA88"/>
      <c r="BB88"/>
    </row>
    <row r="89" spans="1:54" s="191" customFormat="1" ht="13.5">
      <c r="A89" s="226"/>
      <c r="B89" s="180">
        <v>5005246288</v>
      </c>
      <c r="C89" s="183" t="str">
        <f>IFERROR(IF(VLOOKUP($B89,勘定科目!$A:$H,HLOOKUP($E$5,勘定科目!$F$1:$H$2,2,0),0)="","",VLOOKUP($B89,勘定科目!$A:$E,2,0)),"")</f>
        <v>事務用品費（製）</v>
      </c>
      <c r="D89" s="239" t="str">
        <f>IF(C89="","",VLOOKUP($B89,勘定科目!$A:$E,4,0))</f>
        <v>図書及び事務費</v>
      </c>
      <c r="E89" s="245"/>
      <c r="F89" s="300"/>
      <c r="G89" s="301">
        <v>3600</v>
      </c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200">
        <f t="shared" si="6"/>
        <v>3600</v>
      </c>
      <c r="S89" s="201" t="s">
        <v>737</v>
      </c>
      <c r="T89" s="202"/>
      <c r="U89" s="246"/>
      <c r="V89" s="246"/>
      <c r="W89" s="246"/>
      <c r="BA89"/>
      <c r="BB89"/>
    </row>
    <row r="90" spans="1:54" s="191" customFormat="1" ht="13.5">
      <c r="A90" s="226"/>
      <c r="B90" s="180">
        <v>5005246288</v>
      </c>
      <c r="C90" s="183" t="str">
        <f>IFERROR(IF(VLOOKUP($B90,勘定科目!$A:$H,HLOOKUP($E$5,勘定科目!$F$1:$H$2,2,0),0)="","",VLOOKUP($B90,勘定科目!$A:$E,2,0)),"")</f>
        <v>事務用品費（製）</v>
      </c>
      <c r="D90" s="239" t="str">
        <f>IF(C90="","",VLOOKUP($B90,勘定科目!$A:$E,4,0))</f>
        <v>図書及び事務費</v>
      </c>
      <c r="E90" s="245"/>
      <c r="F90" s="300"/>
      <c r="G90" s="301">
        <v>3000</v>
      </c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200">
        <f t="shared" si="6"/>
        <v>3000</v>
      </c>
      <c r="S90" s="201" t="s">
        <v>738</v>
      </c>
      <c r="T90" s="202"/>
      <c r="U90" s="246"/>
      <c r="V90" s="246"/>
      <c r="W90" s="246"/>
      <c r="BA90"/>
      <c r="BB90"/>
    </row>
    <row r="91" spans="1:54" s="191" customFormat="1" ht="13.5">
      <c r="A91" s="226"/>
      <c r="B91" s="180">
        <v>5005246288</v>
      </c>
      <c r="C91" s="183" t="str">
        <f>IFERROR(IF(VLOOKUP($B91,勘定科目!$A:$H,HLOOKUP($E$5,勘定科目!$F$1:$H$2,2,0),0)="","",VLOOKUP($B91,勘定科目!$A:$E,2,0)),"")</f>
        <v>事務用品費（製）</v>
      </c>
      <c r="D91" s="239" t="str">
        <f>IF(C91="","",VLOOKUP($B91,勘定科目!$A:$E,4,0))</f>
        <v>図書及び事務費</v>
      </c>
      <c r="E91" s="245"/>
      <c r="F91" s="300"/>
      <c r="G91" s="301">
        <v>9100</v>
      </c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200">
        <f t="shared" si="6"/>
        <v>9100</v>
      </c>
      <c r="S91" s="201" t="s">
        <v>739</v>
      </c>
      <c r="T91" s="202"/>
      <c r="U91" s="246"/>
      <c r="V91" s="246"/>
      <c r="W91" s="246"/>
      <c r="BA91"/>
      <c r="BB91"/>
    </row>
    <row r="92" spans="1:54" s="191" customFormat="1" ht="13.5">
      <c r="A92" s="226"/>
      <c r="B92" s="180"/>
      <c r="C92" s="183" t="str">
        <f>IFERROR(IF(VLOOKUP($B92,勘定科目!$A:$H,HLOOKUP($E$5,勘定科目!$F$1:$H$2,2,0),0)="","",VLOOKUP($B92,勘定科目!$A:$E,2,0)),"")</f>
        <v/>
      </c>
      <c r="D92" s="239" t="str">
        <f>IF(C92="","",VLOOKUP($B92,勘定科目!$A:$E,4,0))</f>
        <v/>
      </c>
      <c r="E92" s="245"/>
      <c r="F92" s="300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200">
        <f t="shared" si="6"/>
        <v>0</v>
      </c>
      <c r="S92" s="201"/>
      <c r="T92" s="202"/>
      <c r="U92" s="246"/>
      <c r="V92" s="246"/>
      <c r="W92" s="246"/>
      <c r="BA92"/>
      <c r="BB92"/>
    </row>
    <row r="93" spans="1:54" s="191" customFormat="1" ht="13.5">
      <c r="A93" s="226"/>
      <c r="B93" s="180">
        <v>5005046281</v>
      </c>
      <c r="C93" s="183" t="str">
        <f>IFERROR(IF(VLOOKUP($B93,勘定科目!$A:$H,HLOOKUP($E$5,勘定科目!$F$1:$H$2,2,0),0)="","",VLOOKUP($B93,勘定科目!$A:$E,2,0)),"")</f>
        <v>機械設備修繕費（製）</v>
      </c>
      <c r="D93" s="239" t="str">
        <f>IF(C93="","",VLOOKUP($B93,勘定科目!$A:$E,4,0))</f>
        <v>修繕費</v>
      </c>
      <c r="E93" s="245"/>
      <c r="F93" s="300"/>
      <c r="G93" s="300"/>
      <c r="H93" s="300">
        <v>4600000</v>
      </c>
      <c r="I93" s="300"/>
      <c r="J93" s="300"/>
      <c r="K93" s="300"/>
      <c r="L93" s="300"/>
      <c r="M93" s="300">
        <v>9300000</v>
      </c>
      <c r="N93" s="300">
        <v>5500000</v>
      </c>
      <c r="O93" s="300"/>
      <c r="P93" s="300"/>
      <c r="Q93" s="300"/>
      <c r="R93" s="200">
        <f t="shared" si="6"/>
        <v>19400000</v>
      </c>
      <c r="S93" s="201" t="s">
        <v>740</v>
      </c>
      <c r="T93" s="202"/>
      <c r="U93" s="246"/>
      <c r="V93" s="246"/>
      <c r="W93" s="246"/>
      <c r="BA93"/>
      <c r="BB93"/>
    </row>
    <row r="94" spans="1:54" s="191" customFormat="1" ht="13.5">
      <c r="A94" s="226"/>
      <c r="B94" s="180">
        <v>5005046281</v>
      </c>
      <c r="C94" s="183" t="str">
        <f>IFERROR(IF(VLOOKUP($B94,勘定科目!$A:$H,HLOOKUP($E$5,勘定科目!$F$1:$H$2,2,0),0)="","",VLOOKUP($B94,勘定科目!$A:$E,2,0)),"")</f>
        <v>機械設備修繕費（製）</v>
      </c>
      <c r="D94" s="239" t="str">
        <f>IF(C94="","",VLOOKUP($B94,勘定科目!$A:$E,4,0))</f>
        <v>修繕費</v>
      </c>
      <c r="E94" s="245"/>
      <c r="F94" s="300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200">
        <f t="shared" si="6"/>
        <v>0</v>
      </c>
      <c r="S94" s="201"/>
      <c r="T94" s="202"/>
      <c r="U94" s="246"/>
      <c r="V94" s="246"/>
      <c r="W94" s="246"/>
      <c r="BA94"/>
      <c r="BB94"/>
    </row>
    <row r="95" spans="1:54" s="191" customFormat="1" ht="13.5">
      <c r="A95" s="226"/>
      <c r="B95" s="180">
        <v>5005046281</v>
      </c>
      <c r="C95" s="183" t="str">
        <f>IFERROR(IF(VLOOKUP($B95,勘定科目!$A:$H,HLOOKUP($E$5,勘定科目!$F$1:$H$2,2,0),0)="","",VLOOKUP($B95,勘定科目!$A:$E,2,0)),"")</f>
        <v>機械設備修繕費（製）</v>
      </c>
      <c r="D95" s="239" t="str">
        <f>IF(C95="","",VLOOKUP($B95,勘定科目!$A:$E,4,0))</f>
        <v>修繕費</v>
      </c>
      <c r="E95" s="245"/>
      <c r="F95" s="300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200">
        <f t="shared" si="6"/>
        <v>0</v>
      </c>
      <c r="S95" s="201"/>
      <c r="T95" s="202"/>
      <c r="U95" s="246"/>
      <c r="V95" s="246"/>
      <c r="W95" s="246"/>
      <c r="BA95"/>
      <c r="BB95"/>
    </row>
    <row r="96" spans="1:54" s="191" customFormat="1" ht="13.5">
      <c r="A96" s="226"/>
      <c r="B96" s="180">
        <v>5005046281</v>
      </c>
      <c r="C96" s="183" t="str">
        <f>IFERROR(IF(VLOOKUP($B96,勘定科目!$A:$H,HLOOKUP($E$5,勘定科目!$F$1:$H$2,2,0),0)="","",VLOOKUP($B96,勘定科目!$A:$E,2,0)),"")</f>
        <v>機械設備修繕費（製）</v>
      </c>
      <c r="D96" s="239" t="str">
        <f>IF(C96="","",VLOOKUP($B96,勘定科目!$A:$E,4,0))</f>
        <v>修繕費</v>
      </c>
      <c r="E96" s="245"/>
      <c r="F96" s="300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200">
        <f t="shared" si="6"/>
        <v>0</v>
      </c>
      <c r="S96" s="201"/>
      <c r="T96" s="202"/>
      <c r="U96" s="246"/>
      <c r="V96" s="246"/>
      <c r="W96" s="246"/>
      <c r="BA96"/>
      <c r="BB96"/>
    </row>
    <row r="97" spans="1:54" s="191" customFormat="1" ht="13.5">
      <c r="A97" s="226"/>
      <c r="B97" s="180"/>
      <c r="C97" s="183" t="str">
        <f>IFERROR(IF(VLOOKUP($B97,勘定科目!$A:$H,HLOOKUP($E$5,勘定科目!$F$1:$H$2,2,0),0)="","",VLOOKUP($B97,勘定科目!$A:$E,2,0)),"")</f>
        <v/>
      </c>
      <c r="D97" s="239" t="str">
        <f>IF(C97="","",VLOOKUP($B97,勘定科目!$A:$E,4,0))</f>
        <v/>
      </c>
      <c r="E97" s="245"/>
      <c r="F97" s="300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200">
        <f t="shared" si="6"/>
        <v>0</v>
      </c>
      <c r="S97" s="201"/>
      <c r="T97" s="202"/>
      <c r="U97" s="246"/>
      <c r="V97" s="246"/>
      <c r="W97" s="246"/>
      <c r="BA97"/>
      <c r="BB97"/>
    </row>
    <row r="98" spans="1:54" s="191" customFormat="1" ht="13.5">
      <c r="A98" s="226"/>
      <c r="B98" s="180">
        <v>5005026371</v>
      </c>
      <c r="C98" s="183" t="str">
        <f>IFERROR(IF(VLOOKUP($B98,勘定科目!$A:$H,HLOOKUP($E$5,勘定科目!$F$1:$H$2,2,0),0)="","",VLOOKUP($B98,勘定科目!$A:$E,2,0)),"")</f>
        <v>消耗工具器具備品費（製）</v>
      </c>
      <c r="D98" s="239" t="str">
        <f>IF(C98="","",VLOOKUP($B98,勘定科目!$A:$E,4,0))</f>
        <v>消耗工具器具備品費</v>
      </c>
      <c r="E98" s="245"/>
      <c r="F98" s="300"/>
      <c r="G98" s="301">
        <f>27900000*3</f>
        <v>83700000</v>
      </c>
      <c r="H98" s="300">
        <f>27900000+4315000</f>
        <v>32215000</v>
      </c>
      <c r="I98" s="301"/>
      <c r="J98" s="301"/>
      <c r="K98" s="301"/>
      <c r="L98" s="301"/>
      <c r="M98" s="301"/>
      <c r="N98" s="301"/>
      <c r="O98" s="301"/>
      <c r="P98" s="301"/>
      <c r="Q98" s="301"/>
      <c r="R98" s="200">
        <f>SUM(G98:Q98)</f>
        <v>115915000</v>
      </c>
      <c r="S98" s="201" t="s">
        <v>741</v>
      </c>
      <c r="T98" s="202"/>
      <c r="U98" s="246"/>
      <c r="V98" s="246"/>
      <c r="W98" s="246"/>
      <c r="BA98"/>
      <c r="BB98"/>
    </row>
    <row r="99" spans="1:54" s="191" customFormat="1" ht="13.5">
      <c r="A99" s="226"/>
      <c r="B99" s="180">
        <v>5005026371</v>
      </c>
      <c r="C99" s="183" t="str">
        <f>IFERROR(IF(VLOOKUP($B99,勘定科目!$A:$H,HLOOKUP($E$5,勘定科目!$F$1:$H$2,2,0),0)="","",VLOOKUP($B99,勘定科目!$A:$E,2,0)),"")</f>
        <v>消耗工具器具備品費（製）</v>
      </c>
      <c r="D99" s="239" t="str">
        <f>IF(C99="","",VLOOKUP($B99,勘定科目!$A:$E,4,0))</f>
        <v>消耗工具器具備品費</v>
      </c>
      <c r="E99" s="245"/>
      <c r="F99" s="300"/>
      <c r="G99" s="301"/>
      <c r="H99" s="301"/>
      <c r="I99" s="301"/>
      <c r="J99" s="301"/>
      <c r="K99" s="301"/>
      <c r="L99" s="301"/>
      <c r="M99" s="301">
        <v>10000000</v>
      </c>
      <c r="N99" s="301"/>
      <c r="O99" s="301"/>
      <c r="P99" s="301"/>
      <c r="Q99" s="301"/>
      <c r="R99" s="200">
        <f t="shared" si="6"/>
        <v>10000000</v>
      </c>
      <c r="S99" s="201" t="s">
        <v>748</v>
      </c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>
        <v>5005026371</v>
      </c>
      <c r="C100" s="183" t="str">
        <f>IFERROR(IF(VLOOKUP($B100,勘定科目!$A:$H,HLOOKUP($E$5,勘定科目!$F$1:$H$2,2,0),0)="","",VLOOKUP($B100,勘定科目!$A:$E,2,0)),"")</f>
        <v>消耗工具器具備品費（製）</v>
      </c>
      <c r="D100" s="239" t="str">
        <f>IF(C100="","",VLOOKUP($B100,勘定科目!$A:$E,4,0))</f>
        <v>消耗工具器具備品費</v>
      </c>
      <c r="E100" s="245"/>
      <c r="F100" s="300">
        <v>5000000</v>
      </c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200">
        <f t="shared" si="6"/>
        <v>5000000</v>
      </c>
      <c r="S100" s="201" t="s">
        <v>749</v>
      </c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>
        <v>5005026371</v>
      </c>
      <c r="C101" s="183" t="str">
        <f>IFERROR(IF(VLOOKUP($B101,勘定科目!$A:$H,HLOOKUP($E$5,勘定科目!$F$1:$H$2,2,0),0)="","",VLOOKUP($B101,勘定科目!$A:$E,2,0)),"")</f>
        <v>消耗工具器具備品費（製）</v>
      </c>
      <c r="D101" s="239" t="str">
        <f>IF(C101="","",VLOOKUP($B101,勘定科目!$A:$E,4,0))</f>
        <v>消耗工具器具備品費</v>
      </c>
      <c r="E101" s="245"/>
      <c r="F101" s="300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200">
        <f t="shared" ref="R101" si="14">SUM(F101:Q101)</f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/>
      <c r="C102" s="183" t="str">
        <f>IFERROR(IF(VLOOKUP($B102,勘定科目!$A:$H,HLOOKUP($E$5,勘定科目!$F$1:$H$2,2,0),0)="","",VLOOKUP($B102,勘定科目!$A:$E,2,0)),"")</f>
        <v/>
      </c>
      <c r="D102" s="239" t="str">
        <f>IF(C102="","",VLOOKUP($B102,勘定科目!$A:$E,4,0))</f>
        <v/>
      </c>
      <c r="E102" s="245"/>
      <c r="F102" s="300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200">
        <f t="shared" si="6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>
        <v>5005116291</v>
      </c>
      <c r="C103" s="183" t="str">
        <f>IFERROR(IF(VLOOKUP($B103,勘定科目!$A:$H,HLOOKUP($E$5,勘定科目!$F$1:$H$2,2,0),0)="","",VLOOKUP($B103,勘定科目!$A:$E,2,0)),"")</f>
        <v>ベトナム国内交通費（製）</v>
      </c>
      <c r="D103" s="239" t="str">
        <f>IF(C103="","",VLOOKUP($B103,勘定科目!$A:$E,4,0))</f>
        <v>旅費交通費</v>
      </c>
      <c r="E103" s="245"/>
      <c r="F103" s="300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200">
        <f t="shared" si="6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>
        <v>5005116291</v>
      </c>
      <c r="C104" s="183" t="str">
        <f>IFERROR(IF(VLOOKUP($B104,勘定科目!$A:$H,HLOOKUP($E$5,勘定科目!$F$1:$H$2,2,0),0)="","",VLOOKUP($B104,勘定科目!$A:$E,2,0)),"")</f>
        <v>ベトナム国内交通費（製）</v>
      </c>
      <c r="D104" s="239" t="str">
        <f>IF(C104="","",VLOOKUP($B104,勘定科目!$A:$E,4,0))</f>
        <v>旅費交通費</v>
      </c>
      <c r="E104" s="245"/>
      <c r="F104" s="300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200">
        <f t="shared" si="6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300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200">
        <f t="shared" si="6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>
        <v>5005246282</v>
      </c>
      <c r="C106" s="183" t="str">
        <f>IFERROR(IF(VLOOKUP($B106,勘定科目!$A:$H,HLOOKUP($E$5,勘定科目!$F$1:$H$2,2,0),0)="","",VLOOKUP($B106,勘定科目!$A:$E,2,0)),"")</f>
        <v>ＫＤＣシステム使用料（製）</v>
      </c>
      <c r="D106" s="239" t="str">
        <f>IF(C106="","",VLOOKUP($B106,勘定科目!$A:$E,4,0))</f>
        <v>図書及び事務費</v>
      </c>
      <c r="E106" s="245"/>
      <c r="F106" s="300">
        <f>ROUND(179014*2*161.47,0)</f>
        <v>57810781</v>
      </c>
      <c r="G106" s="300">
        <f t="shared" ref="G106:Q106" si="15">ROUND(179014*2*161.47,0)</f>
        <v>57810781</v>
      </c>
      <c r="H106" s="300">
        <f t="shared" si="15"/>
        <v>57810781</v>
      </c>
      <c r="I106" s="300">
        <f t="shared" si="15"/>
        <v>57810781</v>
      </c>
      <c r="J106" s="300">
        <f t="shared" si="15"/>
        <v>57810781</v>
      </c>
      <c r="K106" s="300">
        <f t="shared" si="15"/>
        <v>57810781</v>
      </c>
      <c r="L106" s="300">
        <f t="shared" si="15"/>
        <v>57810781</v>
      </c>
      <c r="M106" s="300">
        <f t="shared" si="15"/>
        <v>57810781</v>
      </c>
      <c r="N106" s="300">
        <f t="shared" si="15"/>
        <v>57810781</v>
      </c>
      <c r="O106" s="300">
        <f t="shared" si="15"/>
        <v>57810781</v>
      </c>
      <c r="P106" s="300">
        <f t="shared" si="15"/>
        <v>57810781</v>
      </c>
      <c r="Q106" s="300">
        <f t="shared" si="15"/>
        <v>57810781</v>
      </c>
      <c r="R106" s="200">
        <f t="shared" si="6"/>
        <v>693729372</v>
      </c>
      <c r="S106" s="201" t="s">
        <v>742</v>
      </c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>
        <v>5005246283</v>
      </c>
      <c r="C107" s="183" t="str">
        <f>IFERROR(IF(VLOOKUP($B107,勘定科目!$A:$H,HLOOKUP($E$5,勘定科目!$F$1:$H$2,2,0),0)="","",VLOOKUP($B107,勘定科目!$A:$E,2,0)),"")</f>
        <v>ライセンス料（製）</v>
      </c>
      <c r="D107" s="239" t="str">
        <f>IF(C107="","",VLOOKUP($B107,勘定科目!$A:$E,4,0))</f>
        <v>図書及び事務費</v>
      </c>
      <c r="E107" s="245"/>
      <c r="F107" s="300"/>
      <c r="G107" s="301"/>
      <c r="H107" s="301"/>
      <c r="I107" s="301">
        <f>12900000*5</f>
        <v>64500000</v>
      </c>
      <c r="J107" s="301"/>
      <c r="K107" s="301"/>
      <c r="L107" s="301"/>
      <c r="M107" s="301"/>
      <c r="N107" s="301"/>
      <c r="O107" s="301"/>
      <c r="P107" s="301"/>
      <c r="Q107" s="301"/>
      <c r="R107" s="200">
        <f t="shared" si="6"/>
        <v>64500000</v>
      </c>
      <c r="S107" s="201" t="s">
        <v>747</v>
      </c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300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200">
        <f t="shared" si="6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300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200">
        <f t="shared" si="6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300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200">
        <f t="shared" si="6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300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200">
        <f t="shared" si="6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300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200">
        <f t="shared" si="6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300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200">
        <f t="shared" si="6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300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200">
        <f t="shared" si="6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300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200">
        <f t="shared" si="6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300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200">
        <f t="shared" si="6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300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200">
        <f t="shared" si="6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300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200">
        <f t="shared" si="6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300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200">
        <f t="shared" ref="R119:R182" si="16">SUM(F119:Q119)</f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300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200">
        <f t="shared" si="16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300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200">
        <f t="shared" si="16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300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200">
        <f t="shared" si="16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300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200">
        <f t="shared" si="16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300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200">
        <f t="shared" si="16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300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200">
        <f t="shared" si="16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300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200">
        <f t="shared" si="16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300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200">
        <f t="shared" si="16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300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200">
        <f t="shared" si="16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300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200">
        <f t="shared" si="16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300"/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200">
        <f t="shared" si="16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300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200">
        <f t="shared" si="16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300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200">
        <f t="shared" si="16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300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200">
        <f t="shared" si="16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300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200">
        <f t="shared" si="16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300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200">
        <f t="shared" si="16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300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200">
        <f t="shared" si="16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300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200">
        <f t="shared" si="16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300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200">
        <f t="shared" si="16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16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16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16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16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16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16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16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16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16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16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16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16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16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16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16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16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16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16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16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16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16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16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16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16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16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16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16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16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16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16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16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16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16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16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16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16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16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16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16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16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16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16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16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16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17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17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17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17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17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17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17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17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17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17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17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17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17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17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17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17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17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17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17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17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17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17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17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17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17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17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17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17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17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17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17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17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17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17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17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17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17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17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17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17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17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17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17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17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17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17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17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17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17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17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17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17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17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17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17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17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17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17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17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17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17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17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17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17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18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18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18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18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18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18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18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18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18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18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18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18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18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18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18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18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18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18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18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18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18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18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18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18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18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18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18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18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18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18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18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18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18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18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18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18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18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18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18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18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18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18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18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18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18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18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18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18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18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18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18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18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18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18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18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18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18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18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18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18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18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18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18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18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19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19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19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19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19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19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19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19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19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19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19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19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19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19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19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19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19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19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19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19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19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19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19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19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19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19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19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19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19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19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19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19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19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19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19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19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19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19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19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19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19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19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19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19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19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19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19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19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19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19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19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19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19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19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19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19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19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19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19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19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19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19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19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19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20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20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20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20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20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20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20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20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20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20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20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20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20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20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20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20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20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20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20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20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20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20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20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20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20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20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20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20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20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20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20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20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20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20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20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20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20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20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20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20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20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20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20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20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20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20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20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20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20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20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20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20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20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20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20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20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20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20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20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20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20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20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20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20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21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21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21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21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21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21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21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21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21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21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21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21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21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21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21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21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21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21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21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21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21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21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21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21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21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21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21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21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21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21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21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21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21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21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21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21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21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21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21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21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21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21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21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21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21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21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21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21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21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21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21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21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21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21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21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21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21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21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21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21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21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21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21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21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22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22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22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22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22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22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22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22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22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22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22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22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22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22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22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22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22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22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22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22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22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22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22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22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22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22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22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22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22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22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22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22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22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22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22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22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22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22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22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22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22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22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22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22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22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22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22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22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22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22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22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22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22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22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22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22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22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22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22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22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22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22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22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22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23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23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23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23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23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23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23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23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23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23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23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23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23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23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23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23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23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23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23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23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23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23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23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23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23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23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23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23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23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23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23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23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23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23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23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23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23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23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23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23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23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23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23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23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23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23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23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23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23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23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23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23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23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23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23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23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23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23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23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23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23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23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23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23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24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24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24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24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24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24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24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24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24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24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24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24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24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24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24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24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24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24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24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24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24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24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24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24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24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24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24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24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24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24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24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24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24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24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24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24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24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24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24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24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24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24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24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24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24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24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24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24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24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24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24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24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24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24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24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24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24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24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24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24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24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24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24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24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25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25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25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25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25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25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25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25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25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25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25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25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25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25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25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25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25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25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25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25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25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25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25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25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25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25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25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25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25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25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25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25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25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25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25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25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25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25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25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25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25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25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25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25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25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25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25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25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25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25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25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25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25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25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25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25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25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25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25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25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25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25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25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25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26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26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26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26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26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26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26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26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26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26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26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26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26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26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26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26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26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26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26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26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26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26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26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26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26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26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26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26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26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26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26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26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26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26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26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26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26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26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26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26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26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T799" xr:uid="{6A00905A-0328-47C4-90E8-80B6B0F5A38A}"/>
  <phoneticPr fontId="3"/>
  <conditionalFormatting sqref="F3:Q3">
    <cfRule type="expression" dxfId="0" priority="1">
      <formula>F3&lt;&gt;"OK"</formula>
    </cfRule>
  </conditionalFormatting>
  <dataValidations disablePrompts="1" count="1">
    <dataValidation type="list" allowBlank="1" showInputMessage="1" showErrorMessage="1" sqref="T8:T799" xr:uid="{8FDDD4E5-A125-4C36-B0A8-85EFFC6E92E9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D152-C029-46F8-B14D-E4DD87716A18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生産技術2課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E496EE21-93EB-4904-B8B4-2E170B3A9430}"/>
  <phoneticPr fontId="3"/>
  <dataValidations count="1">
    <dataValidation type="list" allowBlank="1" showInputMessage="1" showErrorMessage="1" sqref="S4:S49" xr:uid="{DA179261-C026-40E2-8DEA-A1293016A400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BFD6-CBA5-4345-9C8A-DC86771D2583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0F2209B7-DAF7-437A-824E-144C239C8F2E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81F0-B583-4DBA-A82F-2BE04CB81395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56802FA6-87F9-4987-9688-AE7904DC4141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D8F7-2377-44FB-BFDB-2206FBFA5C87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 customWidth="1"/>
  </cols>
  <sheetData>
    <row r="2" spans="1:2">
      <c r="A2" s="123" t="s">
        <v>674</v>
      </c>
      <c r="B2" s="248" t="s">
        <v>401</v>
      </c>
    </row>
    <row r="3" spans="1:2" ht="14.25">
      <c r="A3" s="92">
        <v>4</v>
      </c>
      <c r="B3" s="249">
        <v>20</v>
      </c>
    </row>
    <row r="4" spans="1:2" ht="14.25">
      <c r="A4" s="92">
        <v>5</v>
      </c>
      <c r="B4" s="249">
        <v>19</v>
      </c>
    </row>
    <row r="5" spans="1:2" ht="14.25">
      <c r="A5" s="92">
        <v>6</v>
      </c>
      <c r="B5" s="249">
        <v>21</v>
      </c>
    </row>
    <row r="6" spans="1:2" ht="14.25">
      <c r="A6" s="92">
        <v>7</v>
      </c>
      <c r="B6" s="249">
        <v>23</v>
      </c>
    </row>
    <row r="7" spans="1:2" ht="14.25">
      <c r="A7" s="92">
        <v>8</v>
      </c>
      <c r="B7" s="249">
        <v>20</v>
      </c>
    </row>
    <row r="8" spans="1:2" ht="14.25">
      <c r="A8" s="92">
        <v>9</v>
      </c>
      <c r="B8" s="249">
        <v>19</v>
      </c>
    </row>
    <row r="9" spans="1:2" ht="14.25">
      <c r="A9" s="92">
        <v>10</v>
      </c>
      <c r="B9" s="249">
        <v>23</v>
      </c>
    </row>
    <row r="10" spans="1:2" ht="14.25">
      <c r="A10" s="92">
        <v>11</v>
      </c>
      <c r="B10" s="249">
        <v>20</v>
      </c>
    </row>
    <row r="11" spans="1:2" ht="14.25">
      <c r="A11" s="92">
        <v>12</v>
      </c>
      <c r="B11" s="249">
        <v>22</v>
      </c>
    </row>
    <row r="12" spans="1:2" ht="14.25">
      <c r="A12" s="92">
        <v>1</v>
      </c>
      <c r="B12" s="249">
        <v>20</v>
      </c>
    </row>
    <row r="13" spans="1:2" ht="14.25">
      <c r="A13" s="92">
        <v>2</v>
      </c>
      <c r="B13" s="249">
        <v>15</v>
      </c>
    </row>
    <row r="14" spans="1:2" ht="14.2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Đinh Khắc Hảo(Dinh Khac Hao)</cp:lastModifiedBy>
  <cp:lastPrinted>2017-10-06T02:39:42Z</cp:lastPrinted>
  <dcterms:created xsi:type="dcterms:W3CDTF">2002-04-10T08:05:47Z</dcterms:created>
  <dcterms:modified xsi:type="dcterms:W3CDTF">2025-01-08T05:52:54Z</dcterms:modified>
</cp:coreProperties>
</file>