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C7514445-8F87-406D-BE63-DE62B1D106C1}" xr6:coauthVersionLast="47" xr6:coauthVersionMax="47" xr10:uidLastSave="{00000000-0000-0000-0000-000000000000}"/>
  <bookViews>
    <workbookView xWindow="-110" yWindow="-110" windowWidth="19420" windowHeight="10300" tabRatio="702" activeTab="2" xr2:uid="{43EECE4D-29C6-488A-9061-8DC5660D70BD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'内訳ﾘｽﾄ(4～3月)'!$A$7:$T$801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10" l="1"/>
  <c r="P26" i="10"/>
  <c r="L26" i="10"/>
  <c r="K26" i="10"/>
  <c r="I26" i="10"/>
  <c r="H28" i="10"/>
  <c r="Q28" i="10"/>
  <c r="P28" i="10"/>
  <c r="O28" i="10"/>
  <c r="N28" i="10"/>
  <c r="M28" i="10"/>
  <c r="L28" i="10"/>
  <c r="K28" i="10"/>
  <c r="J28" i="10"/>
  <c r="I28" i="10"/>
  <c r="G28" i="10"/>
  <c r="F28" i="10"/>
  <c r="O26" i="10"/>
  <c r="N26" i="10"/>
  <c r="M26" i="10"/>
  <c r="J26" i="10"/>
  <c r="H26" i="10"/>
  <c r="G26" i="10"/>
  <c r="F26" i="10"/>
  <c r="Q36" i="10" l="1"/>
  <c r="P36" i="10"/>
  <c r="O36" i="10"/>
  <c r="N36" i="10"/>
  <c r="M36" i="10"/>
  <c r="L36" i="10"/>
  <c r="K36" i="10"/>
  <c r="J36" i="10"/>
  <c r="I36" i="10"/>
  <c r="H36" i="10"/>
  <c r="G36" i="10"/>
  <c r="F36" i="10"/>
  <c r="R39" i="10" l="1"/>
  <c r="D39" i="10"/>
  <c r="C39" i="10"/>
  <c r="R50" i="10" l="1"/>
  <c r="F2" i="10"/>
  <c r="F11" i="10" s="1"/>
  <c r="C68" i="5" s="1"/>
  <c r="C68" i="32" s="1"/>
  <c r="G2" i="10"/>
  <c r="G11" i="10" s="1"/>
  <c r="D93" i="5" s="1"/>
  <c r="D93" i="32" s="1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50" i="10" s="1"/>
  <c r="D50" i="10" s="1"/>
  <c r="D5" i="10"/>
  <c r="H2" i="36"/>
  <c r="G2" i="36"/>
  <c r="F2" i="36"/>
  <c r="N98" i="5"/>
  <c r="M98" i="5"/>
  <c r="M98" i="32"/>
  <c r="L98" i="5"/>
  <c r="K98" i="5"/>
  <c r="J98" i="5"/>
  <c r="J98" i="32" s="1"/>
  <c r="I98" i="5"/>
  <c r="H98" i="5"/>
  <c r="H98" i="32" s="1"/>
  <c r="G98" i="5"/>
  <c r="F98" i="5"/>
  <c r="E98" i="5"/>
  <c r="D98" i="5"/>
  <c r="D98" i="32" s="1"/>
  <c r="C98" i="5"/>
  <c r="C98" i="32" s="1"/>
  <c r="N97" i="5"/>
  <c r="N97" i="32" s="1"/>
  <c r="M97" i="5"/>
  <c r="M99" i="5" s="1"/>
  <c r="L97" i="5"/>
  <c r="L97" i="32" s="1"/>
  <c r="K97" i="5"/>
  <c r="K97" i="32" s="1"/>
  <c r="J97" i="5"/>
  <c r="J97" i="32" s="1"/>
  <c r="I97" i="5"/>
  <c r="I97" i="32" s="1"/>
  <c r="H97" i="5"/>
  <c r="H97" i="32" s="1"/>
  <c r="G97" i="5"/>
  <c r="G97" i="32" s="1"/>
  <c r="F97" i="5"/>
  <c r="F97" i="32" s="1"/>
  <c r="E97" i="5"/>
  <c r="D97" i="5"/>
  <c r="C97" i="5"/>
  <c r="C99" i="5" s="1"/>
  <c r="C93" i="5"/>
  <c r="C93" i="32" s="1"/>
  <c r="N92" i="5"/>
  <c r="M92" i="5"/>
  <c r="M92" i="32" s="1"/>
  <c r="L92" i="5"/>
  <c r="L92" i="32" s="1"/>
  <c r="K92" i="5"/>
  <c r="K92" i="32" s="1"/>
  <c r="J92" i="5"/>
  <c r="I92" i="5"/>
  <c r="I92" i="32" s="1"/>
  <c r="H92" i="5"/>
  <c r="H92" i="32" s="1"/>
  <c r="G92" i="5"/>
  <c r="G92" i="32" s="1"/>
  <c r="F92" i="5"/>
  <c r="E92" i="5"/>
  <c r="D92" i="5"/>
  <c r="D92" i="32" s="1"/>
  <c r="C92" i="5"/>
  <c r="N88" i="5"/>
  <c r="N88" i="32"/>
  <c r="M88" i="5"/>
  <c r="M88" i="32"/>
  <c r="L88" i="5"/>
  <c r="K88" i="5"/>
  <c r="K88" i="32" s="1"/>
  <c r="J88" i="5"/>
  <c r="I88" i="5"/>
  <c r="H88" i="5"/>
  <c r="G88" i="5"/>
  <c r="G88" i="32"/>
  <c r="F88" i="5"/>
  <c r="F88" i="32"/>
  <c r="E88" i="5"/>
  <c r="E88" i="32"/>
  <c r="D88" i="5"/>
  <c r="C88" i="5"/>
  <c r="C88" i="32"/>
  <c r="N87" i="5"/>
  <c r="M87" i="5"/>
  <c r="L87" i="5"/>
  <c r="K87" i="5"/>
  <c r="J87" i="5"/>
  <c r="J89" i="5" s="1"/>
  <c r="I87" i="5"/>
  <c r="H87" i="5"/>
  <c r="H89" i="5"/>
  <c r="G87" i="5"/>
  <c r="F87" i="5"/>
  <c r="E87" i="5"/>
  <c r="E87" i="32" s="1"/>
  <c r="D87" i="5"/>
  <c r="C87" i="5"/>
  <c r="N74" i="5"/>
  <c r="M74" i="5"/>
  <c r="M74" i="32" s="1"/>
  <c r="L74" i="5"/>
  <c r="K74" i="5"/>
  <c r="J74" i="5"/>
  <c r="J74" i="32" s="1"/>
  <c r="I74" i="5"/>
  <c r="I74" i="32" s="1"/>
  <c r="H74" i="5"/>
  <c r="H74" i="32" s="1"/>
  <c r="G74" i="5"/>
  <c r="F74" i="5"/>
  <c r="E74" i="5"/>
  <c r="D74" i="5"/>
  <c r="D74" i="32" s="1"/>
  <c r="C74" i="5"/>
  <c r="C79" i="5" s="1"/>
  <c r="F89" i="5"/>
  <c r="R801" i="10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49" i="10"/>
  <c r="R48" i="10"/>
  <c r="R47" i="10"/>
  <c r="R46" i="10"/>
  <c r="R45" i="10"/>
  <c r="R44" i="10"/>
  <c r="R43" i="10"/>
  <c r="R42" i="10"/>
  <c r="R41" i="10"/>
  <c r="R40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AG33" i="10"/>
  <c r="AF33" i="10"/>
  <c r="AE33" i="10"/>
  <c r="AD33" i="10"/>
  <c r="AC33" i="10"/>
  <c r="AB33" i="10"/>
  <c r="AA33" i="10"/>
  <c r="Z33" i="10"/>
  <c r="Y33" i="10"/>
  <c r="X33" i="10"/>
  <c r="W33" i="10"/>
  <c r="Q27" i="10"/>
  <c r="AG32" i="10" s="1"/>
  <c r="P27" i="10"/>
  <c r="AF32" i="10" s="1"/>
  <c r="O27" i="10"/>
  <c r="AE32" i="10" s="1"/>
  <c r="N27" i="10"/>
  <c r="AD32" i="10" s="1"/>
  <c r="M27" i="10"/>
  <c r="AC32" i="10" s="1"/>
  <c r="L27" i="10"/>
  <c r="AB32" i="10" s="1"/>
  <c r="K27" i="10"/>
  <c r="AA32" i="10" s="1"/>
  <c r="J27" i="10"/>
  <c r="Z32" i="10" s="1"/>
  <c r="I27" i="10"/>
  <c r="Y32" i="10" s="1"/>
  <c r="H27" i="10"/>
  <c r="X32" i="10" s="1"/>
  <c r="G27" i="10"/>
  <c r="W32" i="10" s="1"/>
  <c r="AG31" i="10"/>
  <c r="AF31" i="10"/>
  <c r="AE31" i="10"/>
  <c r="AD31" i="10"/>
  <c r="AC31" i="10"/>
  <c r="AB31" i="10"/>
  <c r="AA31" i="10"/>
  <c r="Z31" i="10"/>
  <c r="Y31" i="10"/>
  <c r="X31" i="10"/>
  <c r="W31" i="10"/>
  <c r="R36" i="10"/>
  <c r="F29" i="10"/>
  <c r="F5" i="10" s="1"/>
  <c r="V33" i="10"/>
  <c r="F27" i="10"/>
  <c r="V32" i="10" s="1"/>
  <c r="V31" i="10"/>
  <c r="C1" i="5"/>
  <c r="C1" i="32"/>
  <c r="R38" i="10"/>
  <c r="R37" i="10"/>
  <c r="R35" i="10"/>
  <c r="R25" i="10"/>
  <c r="O88" i="5"/>
  <c r="R24" i="10"/>
  <c r="O87" i="5" s="1"/>
  <c r="O89" i="5" s="1"/>
  <c r="R23" i="10"/>
  <c r="R22" i="10"/>
  <c r="R21" i="10"/>
  <c r="R20" i="10"/>
  <c r="O75" i="5" s="1"/>
  <c r="R19" i="10"/>
  <c r="R18" i="10"/>
  <c r="R17" i="10"/>
  <c r="R16" i="10"/>
  <c r="O74" i="5"/>
  <c r="O97" i="5"/>
  <c r="R15" i="10"/>
  <c r="R14" i="10"/>
  <c r="R13" i="10"/>
  <c r="R12" i="10"/>
  <c r="R10" i="10"/>
  <c r="R9" i="10"/>
  <c r="R8" i="10"/>
  <c r="N74" i="32"/>
  <c r="C5" i="10"/>
  <c r="N1" i="32"/>
  <c r="Q2" i="10"/>
  <c r="Q11" i="10" s="1"/>
  <c r="P2" i="10"/>
  <c r="P11" i="10" s="1"/>
  <c r="O2" i="10"/>
  <c r="O11" i="10" s="1"/>
  <c r="N2" i="10"/>
  <c r="N11" i="10" s="1"/>
  <c r="M2" i="10"/>
  <c r="M11" i="10" s="1"/>
  <c r="L2" i="10"/>
  <c r="L11" i="10" s="1"/>
  <c r="K2" i="10"/>
  <c r="K11" i="10" s="1"/>
  <c r="J2" i="10"/>
  <c r="J11" i="10" s="1"/>
  <c r="I2" i="10"/>
  <c r="I11" i="10" s="1"/>
  <c r="H2" i="10"/>
  <c r="H11" i="10" s="1"/>
  <c r="C4" i="5"/>
  <c r="C4" i="32" s="1"/>
  <c r="H87" i="32"/>
  <c r="L87" i="32"/>
  <c r="D88" i="32"/>
  <c r="H88" i="32"/>
  <c r="J88" i="32"/>
  <c r="D97" i="32"/>
  <c r="D4" i="32"/>
  <c r="E4" i="32"/>
  <c r="F4" i="32"/>
  <c r="G4" i="32"/>
  <c r="H4" i="32"/>
  <c r="I4" i="32"/>
  <c r="J4" i="32"/>
  <c r="K4" i="32"/>
  <c r="L4" i="32"/>
  <c r="M4" i="32"/>
  <c r="N4" i="32"/>
  <c r="O4" i="32"/>
  <c r="F92" i="32"/>
  <c r="L88" i="32"/>
  <c r="F87" i="32"/>
  <c r="F89" i="32"/>
  <c r="N92" i="32"/>
  <c r="L74" i="32"/>
  <c r="O92" i="5"/>
  <c r="E74" i="32"/>
  <c r="G74" i="32"/>
  <c r="C87" i="32"/>
  <c r="C89" i="5"/>
  <c r="G87" i="32"/>
  <c r="K87" i="32"/>
  <c r="K89" i="5"/>
  <c r="K98" i="32"/>
  <c r="F98" i="32"/>
  <c r="N98" i="32"/>
  <c r="F74" i="32"/>
  <c r="K74" i="32"/>
  <c r="E89" i="5"/>
  <c r="I87" i="32"/>
  <c r="M87" i="32"/>
  <c r="M89" i="32"/>
  <c r="M89" i="5"/>
  <c r="C92" i="32"/>
  <c r="C97" i="32"/>
  <c r="C99" i="32" s="1"/>
  <c r="G98" i="32"/>
  <c r="G99" i="5"/>
  <c r="E97" i="32"/>
  <c r="J92" i="32"/>
  <c r="M97" i="32"/>
  <c r="C275" i="10"/>
  <c r="D275" i="10" s="1"/>
  <c r="K69" i="5"/>
  <c r="C931" i="10"/>
  <c r="D931" i="10" s="1"/>
  <c r="C281" i="10"/>
  <c r="D281" i="10" s="1"/>
  <c r="L70" i="5"/>
  <c r="L70" i="32" s="1"/>
  <c r="C70" i="5"/>
  <c r="C70" i="32" s="1"/>
  <c r="C809" i="10"/>
  <c r="D809" i="10" s="1"/>
  <c r="C174" i="10"/>
  <c r="D174" i="10" s="1"/>
  <c r="C180" i="10"/>
  <c r="D180" i="10" s="1"/>
  <c r="C270" i="10"/>
  <c r="D270" i="10" s="1"/>
  <c r="C593" i="10"/>
  <c r="D593" i="10" s="1"/>
  <c r="C807" i="10"/>
  <c r="D807" i="10" s="1"/>
  <c r="C678" i="10"/>
  <c r="D678" i="10" s="1"/>
  <c r="C597" i="10"/>
  <c r="D597" i="10" s="1"/>
  <c r="C359" i="10"/>
  <c r="D359" i="10" s="1"/>
  <c r="C691" i="10"/>
  <c r="D691" i="10" s="1"/>
  <c r="C888" i="10"/>
  <c r="D888" i="10" s="1"/>
  <c r="C394" i="10"/>
  <c r="D394" i="10" s="1"/>
  <c r="C375" i="10"/>
  <c r="D375" i="10" s="1"/>
  <c r="C267" i="10"/>
  <c r="D267" i="10" s="1"/>
  <c r="C62" i="10"/>
  <c r="D62" i="10" s="1"/>
  <c r="C576" i="10"/>
  <c r="D576" i="10" s="1"/>
  <c r="C348" i="10"/>
  <c r="D348" i="10" s="1"/>
  <c r="C475" i="10"/>
  <c r="D475" i="10" s="1"/>
  <c r="C188" i="10"/>
  <c r="D188" i="10" s="1"/>
  <c r="C615" i="10"/>
  <c r="D615" i="10" s="1"/>
  <c r="C35" i="10"/>
  <c r="D35" i="10" s="1"/>
  <c r="C469" i="10"/>
  <c r="D469" i="10" s="1"/>
  <c r="K70" i="5"/>
  <c r="K70" i="32" s="1"/>
  <c r="C886" i="10"/>
  <c r="D886" i="10" s="1"/>
  <c r="C142" i="10"/>
  <c r="D142" i="10" s="1"/>
  <c r="C988" i="10"/>
  <c r="D988" i="10" s="1"/>
  <c r="C65" i="10"/>
  <c r="D65" i="10" s="1"/>
  <c r="C58" i="10"/>
  <c r="D58" i="10" s="1"/>
  <c r="C252" i="10"/>
  <c r="D252" i="10" s="1"/>
  <c r="C596" i="10"/>
  <c r="D596" i="10" s="1"/>
  <c r="O72" i="5"/>
  <c r="K72" i="5"/>
  <c r="K72" i="32" s="1"/>
  <c r="N76" i="5"/>
  <c r="N76" i="32" s="1"/>
  <c r="N72" i="5"/>
  <c r="N72" i="32" s="1"/>
  <c r="I76" i="5"/>
  <c r="I76" i="32"/>
  <c r="H78" i="5"/>
  <c r="H78" i="32" s="1"/>
  <c r="M72" i="5"/>
  <c r="M72" i="32" s="1"/>
  <c r="K77" i="5"/>
  <c r="K77" i="32" s="1"/>
  <c r="H75" i="5"/>
  <c r="F71" i="5"/>
  <c r="F71" i="32" s="1"/>
  <c r="L76" i="5"/>
  <c r="L76" i="32"/>
  <c r="M78" i="5"/>
  <c r="M78" i="32" s="1"/>
  <c r="F77" i="5"/>
  <c r="F77" i="32" s="1"/>
  <c r="I75" i="5"/>
  <c r="I75" i="32" s="1"/>
  <c r="F70" i="5"/>
  <c r="F70" i="32" s="1"/>
  <c r="I71" i="5"/>
  <c r="I71" i="32" s="1"/>
  <c r="J75" i="5"/>
  <c r="N78" i="5"/>
  <c r="N78" i="32" s="1"/>
  <c r="L78" i="5"/>
  <c r="L78" i="32" s="1"/>
  <c r="J71" i="5"/>
  <c r="J71" i="32" s="1"/>
  <c r="J70" i="5"/>
  <c r="M76" i="5"/>
  <c r="M76" i="32" s="1"/>
  <c r="M77" i="5"/>
  <c r="M77" i="32" s="1"/>
  <c r="E72" i="5"/>
  <c r="E72" i="32" s="1"/>
  <c r="E77" i="5"/>
  <c r="E77" i="32"/>
  <c r="G72" i="5"/>
  <c r="G72" i="32" s="1"/>
  <c r="L72" i="5"/>
  <c r="L72" i="32" s="1"/>
  <c r="E71" i="5"/>
  <c r="E71" i="32" s="1"/>
  <c r="L77" i="5"/>
  <c r="L77" i="32" s="1"/>
  <c r="H70" i="5"/>
  <c r="H70" i="32" s="1"/>
  <c r="H76" i="5"/>
  <c r="H76" i="32"/>
  <c r="G75" i="5"/>
  <c r="I69" i="5"/>
  <c r="C71" i="5"/>
  <c r="C71" i="32" s="1"/>
  <c r="F75" i="5"/>
  <c r="O71" i="5"/>
  <c r="I77" i="5"/>
  <c r="I77" i="32"/>
  <c r="D70" i="5"/>
  <c r="D70" i="32" s="1"/>
  <c r="N77" i="5"/>
  <c r="N77" i="32" s="1"/>
  <c r="E69" i="5"/>
  <c r="F69" i="5"/>
  <c r="N71" i="5"/>
  <c r="N71" i="32" s="1"/>
  <c r="N70" i="5"/>
  <c r="N70" i="32" s="1"/>
  <c r="M69" i="5"/>
  <c r="M69" i="32" s="1"/>
  <c r="K76" i="5"/>
  <c r="K76" i="32" s="1"/>
  <c r="D78" i="5"/>
  <c r="D78" i="32" s="1"/>
  <c r="C72" i="5"/>
  <c r="C72" i="32"/>
  <c r="F72" i="5"/>
  <c r="F72" i="32" s="1"/>
  <c r="L69" i="5"/>
  <c r="L69" i="32" s="1"/>
  <c r="O77" i="5"/>
  <c r="J69" i="5"/>
  <c r="J69" i="32" s="1"/>
  <c r="I70" i="5"/>
  <c r="I70" i="32" s="1"/>
  <c r="I72" i="5"/>
  <c r="D72" i="5"/>
  <c r="D72" i="32" s="1"/>
  <c r="L71" i="5"/>
  <c r="L71" i="32" s="1"/>
  <c r="E70" i="5"/>
  <c r="E70" i="32" s="1"/>
  <c r="C78" i="5"/>
  <c r="C78" i="32" s="1"/>
  <c r="N75" i="5"/>
  <c r="N79" i="5" s="1"/>
  <c r="G76" i="5"/>
  <c r="G76" i="32"/>
  <c r="H72" i="5"/>
  <c r="H72" i="32" s="1"/>
  <c r="L75" i="5"/>
  <c r="C75" i="5"/>
  <c r="H71" i="5"/>
  <c r="H71" i="32" s="1"/>
  <c r="D76" i="5"/>
  <c r="D76" i="32" s="1"/>
  <c r="I78" i="5"/>
  <c r="K71" i="5"/>
  <c r="K71" i="32" s="1"/>
  <c r="D75" i="5"/>
  <c r="D75" i="32" s="1"/>
  <c r="D79" i="32" s="1"/>
  <c r="D69" i="5"/>
  <c r="G77" i="5"/>
  <c r="G77" i="32" s="1"/>
  <c r="O78" i="5"/>
  <c r="N69" i="5"/>
  <c r="J78" i="5"/>
  <c r="J78" i="32" s="1"/>
  <c r="G71" i="5"/>
  <c r="G71" i="32" s="1"/>
  <c r="O69" i="5"/>
  <c r="M70" i="5"/>
  <c r="M70" i="32" s="1"/>
  <c r="J76" i="5"/>
  <c r="J76" i="32" s="1"/>
  <c r="G70" i="5"/>
  <c r="G70" i="32" s="1"/>
  <c r="K75" i="5"/>
  <c r="K75" i="32" s="1"/>
  <c r="E75" i="5"/>
  <c r="M71" i="5"/>
  <c r="M71" i="32" s="1"/>
  <c r="D71" i="5"/>
  <c r="D71" i="32" s="1"/>
  <c r="E78" i="5"/>
  <c r="E78" i="32" s="1"/>
  <c r="J77" i="5"/>
  <c r="J77" i="32" s="1"/>
  <c r="G78" i="5"/>
  <c r="G78" i="32" s="1"/>
  <c r="G69" i="5"/>
  <c r="G69" i="32" s="1"/>
  <c r="C76" i="5"/>
  <c r="C76" i="32" s="1"/>
  <c r="C77" i="5"/>
  <c r="C77" i="32" s="1"/>
  <c r="C69" i="5"/>
  <c r="C69" i="32" s="1"/>
  <c r="H77" i="5"/>
  <c r="H77" i="32" s="1"/>
  <c r="O70" i="5"/>
  <c r="F76" i="5"/>
  <c r="F76" i="32" s="1"/>
  <c r="E76" i="5"/>
  <c r="E76" i="32" s="1"/>
  <c r="K78" i="5"/>
  <c r="K78" i="32" s="1"/>
  <c r="J72" i="5"/>
  <c r="J72" i="32" s="1"/>
  <c r="M75" i="5"/>
  <c r="M75" i="32" s="1"/>
  <c r="M79" i="32" s="1"/>
  <c r="H69" i="5"/>
  <c r="H69" i="32" s="1"/>
  <c r="D77" i="5"/>
  <c r="D77" i="32" s="1"/>
  <c r="F78" i="5"/>
  <c r="F78" i="32" s="1"/>
  <c r="O76" i="5"/>
  <c r="D1" i="21"/>
  <c r="B2" i="5"/>
  <c r="B2" i="32" s="1"/>
  <c r="C33" i="10"/>
  <c r="D33" i="10" s="1"/>
  <c r="C827" i="10"/>
  <c r="D827" i="10" s="1"/>
  <c r="C941" i="10"/>
  <c r="D941" i="10" s="1"/>
  <c r="C440" i="10"/>
  <c r="D440" i="10" s="1"/>
  <c r="C933" i="10"/>
  <c r="D933" i="10" s="1"/>
  <c r="C165" i="10"/>
  <c r="D165" i="10" s="1"/>
  <c r="C385" i="10"/>
  <c r="D385" i="10" s="1"/>
  <c r="C193" i="10"/>
  <c r="D193" i="10" s="1"/>
  <c r="C438" i="10"/>
  <c r="D438" i="10" s="1"/>
  <c r="C121" i="10"/>
  <c r="D121" i="10" s="1"/>
  <c r="C343" i="10"/>
  <c r="D343" i="10" s="1"/>
  <c r="C999" i="10"/>
  <c r="D999" i="10" s="1"/>
  <c r="C871" i="10"/>
  <c r="D871" i="10" s="1"/>
  <c r="N69" i="32"/>
  <c r="C89" i="32"/>
  <c r="K89" i="32"/>
  <c r="K69" i="32"/>
  <c r="E69" i="32"/>
  <c r="I69" i="32"/>
  <c r="H75" i="32"/>
  <c r="H79" i="32" s="1"/>
  <c r="C75" i="32"/>
  <c r="F69" i="32"/>
  <c r="F75" i="32"/>
  <c r="G75" i="32"/>
  <c r="G79" i="32"/>
  <c r="K79" i="32" l="1"/>
  <c r="J99" i="32"/>
  <c r="L79" i="5"/>
  <c r="C74" i="32"/>
  <c r="C79" i="32" s="1"/>
  <c r="F99" i="5"/>
  <c r="G79" i="5"/>
  <c r="M79" i="5"/>
  <c r="N75" i="32"/>
  <c r="F79" i="5"/>
  <c r="J99" i="5"/>
  <c r="N99" i="5"/>
  <c r="C73" i="32"/>
  <c r="D68" i="5"/>
  <c r="D68" i="32" s="1"/>
  <c r="D73" i="32" s="1"/>
  <c r="D67" i="32" s="1"/>
  <c r="R26" i="10"/>
  <c r="R29" i="10"/>
  <c r="R5" i="10" s="1"/>
  <c r="D94" i="5"/>
  <c r="E93" i="5"/>
  <c r="E93" i="32" s="1"/>
  <c r="E68" i="5"/>
  <c r="R11" i="10"/>
  <c r="O93" i="5" s="1"/>
  <c r="O94" i="5" s="1"/>
  <c r="F93" i="5"/>
  <c r="F68" i="5"/>
  <c r="G93" i="5"/>
  <c r="G68" i="5"/>
  <c r="H93" i="5"/>
  <c r="H68" i="5"/>
  <c r="I93" i="5"/>
  <c r="I93" i="32" s="1"/>
  <c r="I94" i="32" s="1"/>
  <c r="I68" i="5"/>
  <c r="I68" i="32" s="1"/>
  <c r="J93" i="5"/>
  <c r="J93" i="32" s="1"/>
  <c r="J94" i="32" s="1"/>
  <c r="J68" i="5"/>
  <c r="J68" i="32" s="1"/>
  <c r="K93" i="5"/>
  <c r="K68" i="5"/>
  <c r="L93" i="5"/>
  <c r="L68" i="5"/>
  <c r="L68" i="32" s="1"/>
  <c r="L73" i="32" s="1"/>
  <c r="M93" i="5"/>
  <c r="M68" i="5"/>
  <c r="N93" i="5"/>
  <c r="N93" i="32" s="1"/>
  <c r="N94" i="32" s="1"/>
  <c r="N68" i="5"/>
  <c r="H89" i="32"/>
  <c r="O98" i="5"/>
  <c r="R27" i="10"/>
  <c r="O9" i="5" s="1"/>
  <c r="G89" i="5"/>
  <c r="L89" i="5"/>
  <c r="C94" i="32"/>
  <c r="F99" i="32"/>
  <c r="G99" i="32"/>
  <c r="D99" i="32"/>
  <c r="L99" i="5"/>
  <c r="L98" i="32"/>
  <c r="C848" i="10"/>
  <c r="D848" i="10" s="1"/>
  <c r="C339" i="10"/>
  <c r="D339" i="10" s="1"/>
  <c r="C388" i="10"/>
  <c r="D388" i="10" s="1"/>
  <c r="C657" i="10"/>
  <c r="D657" i="10" s="1"/>
  <c r="C909" i="10"/>
  <c r="D909" i="10" s="1"/>
  <c r="C572" i="10"/>
  <c r="D572" i="10" s="1"/>
  <c r="C197" i="10"/>
  <c r="D197" i="10" s="1"/>
  <c r="C739" i="10"/>
  <c r="D739" i="10" s="1"/>
  <c r="C972" i="10"/>
  <c r="D972" i="10" s="1"/>
  <c r="C660" i="10"/>
  <c r="D660" i="10" s="1"/>
  <c r="C754" i="10"/>
  <c r="D754" i="10" s="1"/>
  <c r="C155" i="10"/>
  <c r="D155" i="10" s="1"/>
  <c r="C295" i="10"/>
  <c r="D295" i="10" s="1"/>
  <c r="C490" i="10"/>
  <c r="D490" i="10" s="1"/>
  <c r="C439" i="10"/>
  <c r="D439" i="10" s="1"/>
  <c r="C728" i="10"/>
  <c r="D728" i="10" s="1"/>
  <c r="C111" i="10"/>
  <c r="D111" i="10" s="1"/>
  <c r="C37" i="10"/>
  <c r="D37" i="10" s="1"/>
  <c r="C353" i="10"/>
  <c r="D353" i="10" s="1"/>
  <c r="C364" i="10"/>
  <c r="D364" i="10" s="1"/>
  <c r="C659" i="10"/>
  <c r="D659" i="10" s="1"/>
  <c r="C536" i="10"/>
  <c r="D536" i="10" s="1"/>
  <c r="C723" i="10"/>
  <c r="D723" i="10" s="1"/>
  <c r="C905" i="10"/>
  <c r="D905" i="10" s="1"/>
  <c r="C162" i="10"/>
  <c r="D162" i="10" s="1"/>
  <c r="C479" i="10"/>
  <c r="D479" i="10" s="1"/>
  <c r="C772" i="10"/>
  <c r="D772" i="10" s="1"/>
  <c r="C927" i="10"/>
  <c r="D927" i="10" s="1"/>
  <c r="C919" i="10"/>
  <c r="D919" i="10" s="1"/>
  <c r="C803" i="10"/>
  <c r="D803" i="10" s="1"/>
  <c r="C81" i="10"/>
  <c r="D81" i="10" s="1"/>
  <c r="C285" i="10"/>
  <c r="D285" i="10" s="1"/>
  <c r="C462" i="10"/>
  <c r="D462" i="10" s="1"/>
  <c r="C750" i="10"/>
  <c r="D750" i="10" s="1"/>
  <c r="C66" i="10"/>
  <c r="D66" i="10" s="1"/>
  <c r="C224" i="10"/>
  <c r="D224" i="10" s="1"/>
  <c r="C411" i="10"/>
  <c r="D411" i="10" s="1"/>
  <c r="C399" i="10"/>
  <c r="D399" i="10" s="1"/>
  <c r="C366" i="10"/>
  <c r="D366" i="10" s="1"/>
  <c r="C483" i="10"/>
  <c r="D483" i="10" s="1"/>
  <c r="C617" i="10"/>
  <c r="D617" i="10" s="1"/>
  <c r="C649" i="10"/>
  <c r="D649" i="10" s="1"/>
  <c r="C744" i="10"/>
  <c r="D744" i="10" s="1"/>
  <c r="C786" i="10"/>
  <c r="D786" i="10" s="1"/>
  <c r="C924" i="10"/>
  <c r="D924" i="10" s="1"/>
  <c r="C874" i="10"/>
  <c r="D874" i="10" s="1"/>
  <c r="C178" i="10"/>
  <c r="D178" i="10" s="1"/>
  <c r="C139" i="10"/>
  <c r="D139" i="10" s="1"/>
  <c r="C811" i="10"/>
  <c r="D811" i="10" s="1"/>
  <c r="C175" i="10"/>
  <c r="D175" i="10" s="1"/>
  <c r="C63" i="10"/>
  <c r="D63" i="10" s="1"/>
  <c r="C859" i="10"/>
  <c r="D859" i="10" s="1"/>
  <c r="C736" i="10"/>
  <c r="D736" i="10" s="1"/>
  <c r="C143" i="10"/>
  <c r="D143" i="10" s="1"/>
  <c r="C537" i="10"/>
  <c r="D537" i="10" s="1"/>
  <c r="C748" i="10"/>
  <c r="D748" i="10" s="1"/>
  <c r="C776" i="10"/>
  <c r="D776" i="10" s="1"/>
  <c r="C171" i="10"/>
  <c r="D171" i="10" s="1"/>
  <c r="C712" i="10"/>
  <c r="D712" i="10" s="1"/>
  <c r="C95" i="10"/>
  <c r="D95" i="10" s="1"/>
  <c r="C322" i="10"/>
  <c r="D322" i="10" s="1"/>
  <c r="C69" i="10"/>
  <c r="D69" i="10" s="1"/>
  <c r="C823" i="10"/>
  <c r="D823" i="10" s="1"/>
  <c r="C965" i="10"/>
  <c r="D965" i="10" s="1"/>
  <c r="C240" i="10"/>
  <c r="D240" i="10" s="1"/>
  <c r="C674" i="10"/>
  <c r="D674" i="10" s="1"/>
  <c r="C319" i="10"/>
  <c r="D319" i="10" s="1"/>
  <c r="C663" i="10"/>
  <c r="D663" i="10" s="1"/>
  <c r="C829" i="10"/>
  <c r="D829" i="10" s="1"/>
  <c r="C34" i="10"/>
  <c r="D34" i="10" s="1"/>
  <c r="C702" i="10"/>
  <c r="D702" i="10" s="1"/>
  <c r="C627" i="10"/>
  <c r="D627" i="10" s="1"/>
  <c r="C784" i="10"/>
  <c r="D784" i="10" s="1"/>
  <c r="C882" i="10"/>
  <c r="D882" i="10" s="1"/>
  <c r="C159" i="10"/>
  <c r="D159" i="10" s="1"/>
  <c r="C215" i="10"/>
  <c r="D215" i="10" s="1"/>
  <c r="C249" i="10"/>
  <c r="D249" i="10" s="1"/>
  <c r="C554" i="10"/>
  <c r="D554" i="10" s="1"/>
  <c r="C284" i="10"/>
  <c r="D284" i="10" s="1"/>
  <c r="C577" i="10"/>
  <c r="D577" i="10" s="1"/>
  <c r="C906" i="10"/>
  <c r="D906" i="10" s="1"/>
  <c r="C666" i="10"/>
  <c r="D666" i="10" s="1"/>
  <c r="C709" i="10"/>
  <c r="D709" i="10" s="1"/>
  <c r="C373" i="10"/>
  <c r="D373" i="10" s="1"/>
  <c r="C987" i="10"/>
  <c r="D987" i="10" s="1"/>
  <c r="C959" i="10"/>
  <c r="D959" i="10" s="1"/>
  <c r="C534" i="10"/>
  <c r="D534" i="10" s="1"/>
  <c r="C857" i="10"/>
  <c r="D857" i="10" s="1"/>
  <c r="C824" i="10"/>
  <c r="D824" i="10" s="1"/>
  <c r="C156" i="10"/>
  <c r="D156" i="10" s="1"/>
  <c r="C124" i="10"/>
  <c r="D124" i="10" s="1"/>
  <c r="C654" i="10"/>
  <c r="D654" i="10" s="1"/>
  <c r="C872" i="10"/>
  <c r="D872" i="10" s="1"/>
  <c r="C847" i="10"/>
  <c r="D847" i="10" s="1"/>
  <c r="C57" i="10"/>
  <c r="D57" i="10" s="1"/>
  <c r="C78" i="10"/>
  <c r="D78" i="10" s="1"/>
  <c r="C196" i="10"/>
  <c r="D196" i="10" s="1"/>
  <c r="C406" i="10"/>
  <c r="D406" i="10" s="1"/>
  <c r="C831" i="10"/>
  <c r="D831" i="10" s="1"/>
  <c r="C457" i="10"/>
  <c r="D457" i="10" s="1"/>
  <c r="C544" i="10"/>
  <c r="D544" i="10" s="1"/>
  <c r="C271" i="10"/>
  <c r="D271" i="10" s="1"/>
  <c r="C210" i="10"/>
  <c r="D210" i="10" s="1"/>
  <c r="C321" i="10"/>
  <c r="D321" i="10" s="1"/>
  <c r="C690" i="10"/>
  <c r="D690" i="10" s="1"/>
  <c r="C118" i="10"/>
  <c r="D118" i="10" s="1"/>
  <c r="C280" i="10"/>
  <c r="D280" i="10" s="1"/>
  <c r="C237" i="10"/>
  <c r="D237" i="10" s="1"/>
  <c r="C861" i="10"/>
  <c r="D861" i="10" s="1"/>
  <c r="C740" i="10"/>
  <c r="D740" i="10" s="1"/>
  <c r="C716" i="10"/>
  <c r="D716" i="10" s="1"/>
  <c r="C725" i="10"/>
  <c r="D725" i="10" s="1"/>
  <c r="C520" i="10"/>
  <c r="D520" i="10" s="1"/>
  <c r="C703" i="10"/>
  <c r="D703" i="10" s="1"/>
  <c r="C928" i="10"/>
  <c r="D928" i="10" s="1"/>
  <c r="C110" i="10"/>
  <c r="D110" i="10" s="1"/>
  <c r="C422" i="10"/>
  <c r="D422" i="10" s="1"/>
  <c r="C1002" i="10"/>
  <c r="D1002" i="10" s="1"/>
  <c r="C868" i="10"/>
  <c r="D868" i="10" s="1"/>
  <c r="C233" i="10"/>
  <c r="D233" i="10" s="1"/>
  <c r="C482" i="10"/>
  <c r="D482" i="10" s="1"/>
  <c r="C602" i="10"/>
  <c r="D602" i="10" s="1"/>
  <c r="C302" i="10"/>
  <c r="D302" i="10" s="1"/>
  <c r="C705" i="10"/>
  <c r="D705" i="10" s="1"/>
  <c r="C614" i="10"/>
  <c r="D614" i="10" s="1"/>
  <c r="C629" i="10"/>
  <c r="D629" i="10" s="1"/>
  <c r="C722" i="10"/>
  <c r="D722" i="10" s="1"/>
  <c r="C749" i="10"/>
  <c r="D749" i="10" s="1"/>
  <c r="C778" i="10"/>
  <c r="D778" i="10" s="1"/>
  <c r="C433" i="10"/>
  <c r="D433" i="10" s="1"/>
  <c r="C198" i="10"/>
  <c r="D198" i="10" s="1"/>
  <c r="C840" i="10"/>
  <c r="D840" i="10" s="1"/>
  <c r="C916" i="10"/>
  <c r="D916" i="10" s="1"/>
  <c r="C915" i="10"/>
  <c r="D915" i="10" s="1"/>
  <c r="C998" i="10"/>
  <c r="D998" i="10" s="1"/>
  <c r="C444" i="10"/>
  <c r="D444" i="10" s="1"/>
  <c r="C115" i="10"/>
  <c r="D115" i="10" s="1"/>
  <c r="C942" i="10"/>
  <c r="D942" i="10" s="1"/>
  <c r="C946" i="10"/>
  <c r="D946" i="10" s="1"/>
  <c r="C805" i="10"/>
  <c r="D805" i="10" s="1"/>
  <c r="C843" i="10"/>
  <c r="D843" i="10" s="1"/>
  <c r="C211" i="10"/>
  <c r="D211" i="10" s="1"/>
  <c r="C168" i="10"/>
  <c r="D168" i="10" s="1"/>
  <c r="C46" i="10"/>
  <c r="D46" i="10" s="1"/>
  <c r="C309" i="10"/>
  <c r="D309" i="10" s="1"/>
  <c r="C605" i="10"/>
  <c r="D605" i="10" s="1"/>
  <c r="C850" i="10"/>
  <c r="D850" i="10" s="1"/>
  <c r="C978" i="10"/>
  <c r="D978" i="10" s="1"/>
  <c r="C889" i="10"/>
  <c r="D889" i="10" s="1"/>
  <c r="C687" i="10"/>
  <c r="D687" i="10" s="1"/>
  <c r="C943" i="10"/>
  <c r="D943" i="10" s="1"/>
  <c r="C40" i="10"/>
  <c r="D40" i="10" s="1"/>
  <c r="C253" i="10"/>
  <c r="D253" i="10" s="1"/>
  <c r="C430" i="10"/>
  <c r="D430" i="10" s="1"/>
  <c r="C566" i="10"/>
  <c r="D566" i="10" s="1"/>
  <c r="C106" i="10"/>
  <c r="D106" i="10" s="1"/>
  <c r="C74" i="10"/>
  <c r="D74" i="10" s="1"/>
  <c r="C246" i="10"/>
  <c r="D246" i="10" s="1"/>
  <c r="C361" i="10"/>
  <c r="D361" i="10" s="1"/>
  <c r="C570" i="10"/>
  <c r="D570" i="10" s="1"/>
  <c r="C488" i="10"/>
  <c r="D488" i="10" s="1"/>
  <c r="C292" i="10"/>
  <c r="D292" i="10" s="1"/>
  <c r="C354" i="10"/>
  <c r="D354" i="10" s="1"/>
  <c r="C455" i="10"/>
  <c r="D455" i="10" s="1"/>
  <c r="C562" i="10"/>
  <c r="D562" i="10" s="1"/>
  <c r="C648" i="10"/>
  <c r="D648" i="10" s="1"/>
  <c r="C560" i="10"/>
  <c r="D560" i="10" s="1"/>
  <c r="C863" i="10"/>
  <c r="D863" i="10" s="1"/>
  <c r="C755" i="10"/>
  <c r="D755" i="10" s="1"/>
  <c r="C129" i="10"/>
  <c r="D129" i="10" s="1"/>
  <c r="C992" i="10"/>
  <c r="D992" i="10" s="1"/>
  <c r="C777" i="10"/>
  <c r="D777" i="10" s="1"/>
  <c r="C642" i="10"/>
  <c r="D642" i="10" s="1"/>
  <c r="C540" i="10"/>
  <c r="D540" i="10" s="1"/>
  <c r="C26" i="10"/>
  <c r="D26" i="10" s="1"/>
  <c r="C686" i="10"/>
  <c r="D686" i="10" s="1"/>
  <c r="C515" i="10"/>
  <c r="D515" i="10" s="1"/>
  <c r="C474" i="10"/>
  <c r="D474" i="10" s="1"/>
  <c r="C426" i="10"/>
  <c r="D426" i="10" s="1"/>
  <c r="C400" i="10"/>
  <c r="D400" i="10" s="1"/>
  <c r="C384" i="10"/>
  <c r="D384" i="10" s="1"/>
  <c r="C360" i="10"/>
  <c r="D360" i="10" s="1"/>
  <c r="C336" i="10"/>
  <c r="D336" i="10" s="1"/>
  <c r="C320" i="10"/>
  <c r="D320" i="10" s="1"/>
  <c r="C298" i="10"/>
  <c r="D298" i="10" s="1"/>
  <c r="C700" i="10"/>
  <c r="D700" i="10" s="1"/>
  <c r="C223" i="10"/>
  <c r="D223" i="10" s="1"/>
  <c r="C527" i="10"/>
  <c r="D527" i="10" s="1"/>
  <c r="C869" i="10"/>
  <c r="D869" i="10" s="1"/>
  <c r="C955" i="10"/>
  <c r="D955" i="10" s="1"/>
  <c r="C821" i="10"/>
  <c r="D821" i="10" s="1"/>
  <c r="C99" i="10"/>
  <c r="D99" i="10" s="1"/>
  <c r="C145" i="10"/>
  <c r="D145" i="10" s="1"/>
  <c r="C177" i="10"/>
  <c r="D177" i="10" s="1"/>
  <c r="C761" i="10"/>
  <c r="D761" i="10" s="1"/>
  <c r="C636" i="10"/>
  <c r="D636" i="10" s="1"/>
  <c r="C505" i="10"/>
  <c r="D505" i="10" s="1"/>
  <c r="C984" i="10"/>
  <c r="D984" i="10" s="1"/>
  <c r="C89" i="10"/>
  <c r="D89" i="10" s="1"/>
  <c r="C108" i="10"/>
  <c r="D108" i="10" s="1"/>
  <c r="C798" i="10"/>
  <c r="D798" i="10" s="1"/>
  <c r="C590" i="10"/>
  <c r="D590" i="10" s="1"/>
  <c r="C203" i="10"/>
  <c r="D203" i="10" s="1"/>
  <c r="C470" i="10"/>
  <c r="D470" i="10" s="1"/>
  <c r="C903" i="10"/>
  <c r="D903" i="10" s="1"/>
  <c r="C1001" i="10"/>
  <c r="D1001" i="10" s="1"/>
  <c r="C862" i="10"/>
  <c r="D862" i="10" s="1"/>
  <c r="C945" i="10"/>
  <c r="D945" i="10" s="1"/>
  <c r="C779" i="10"/>
  <c r="D779" i="10" s="1"/>
  <c r="C837" i="10"/>
  <c r="D837" i="10" s="1"/>
  <c r="C679" i="10"/>
  <c r="D679" i="10" s="1"/>
  <c r="C190" i="10"/>
  <c r="D190" i="10" s="1"/>
  <c r="C557" i="10"/>
  <c r="D557" i="10" s="1"/>
  <c r="C32" i="10"/>
  <c r="D32" i="10" s="1"/>
  <c r="C538" i="10"/>
  <c r="D538" i="10" s="1"/>
  <c r="C594" i="10"/>
  <c r="D594" i="10" s="1"/>
  <c r="C896" i="10"/>
  <c r="D896" i="10" s="1"/>
  <c r="C765" i="10"/>
  <c r="D765" i="10" s="1"/>
  <c r="C997" i="10"/>
  <c r="D997" i="10" s="1"/>
  <c r="C173" i="10"/>
  <c r="D173" i="10" s="1"/>
  <c r="C715" i="10"/>
  <c r="D715" i="10" s="1"/>
  <c r="C186" i="10"/>
  <c r="D186" i="10" s="1"/>
  <c r="C514" i="10"/>
  <c r="D514" i="10" s="1"/>
  <c r="C953" i="10"/>
  <c r="D953" i="10" s="1"/>
  <c r="C975" i="10"/>
  <c r="D975" i="10" s="1"/>
  <c r="C317" i="10"/>
  <c r="D317" i="10" s="1"/>
  <c r="C584" i="10"/>
  <c r="D584" i="10" s="1"/>
  <c r="C52" i="10"/>
  <c r="D52" i="10" s="1"/>
  <c r="C331" i="10"/>
  <c r="D331" i="10" s="1"/>
  <c r="C670" i="10"/>
  <c r="D670" i="10" s="1"/>
  <c r="C342" i="10"/>
  <c r="D342" i="10" s="1"/>
  <c r="C434" i="10"/>
  <c r="D434" i="10" s="1"/>
  <c r="C613" i="10"/>
  <c r="D613" i="10" s="1"/>
  <c r="C653" i="10"/>
  <c r="D653" i="10" s="1"/>
  <c r="C680" i="10"/>
  <c r="D680" i="10" s="1"/>
  <c r="C760" i="10"/>
  <c r="D760" i="10" s="1"/>
  <c r="C764" i="10"/>
  <c r="D764" i="10" s="1"/>
  <c r="C363" i="10"/>
  <c r="D363" i="10" s="1"/>
  <c r="C85" i="10"/>
  <c r="D85" i="10" s="1"/>
  <c r="C923" i="10"/>
  <c r="D923" i="10" s="1"/>
  <c r="C626" i="10"/>
  <c r="D626" i="10" s="1"/>
  <c r="C381" i="10"/>
  <c r="D381" i="10" s="1"/>
  <c r="C42" i="10"/>
  <c r="D42" i="10" s="1"/>
  <c r="C163" i="10"/>
  <c r="D163" i="10" s="1"/>
  <c r="C894" i="10"/>
  <c r="D894" i="10" s="1"/>
  <c r="C898" i="10"/>
  <c r="D898" i="10" s="1"/>
  <c r="C695" i="10"/>
  <c r="D695" i="10" s="1"/>
  <c r="C907" i="10"/>
  <c r="D907" i="10" s="1"/>
  <c r="C199" i="10"/>
  <c r="D199" i="10" s="1"/>
  <c r="C160" i="10"/>
  <c r="D160" i="10" s="1"/>
  <c r="C144" i="10"/>
  <c r="D144" i="10" s="1"/>
  <c r="C120" i="10"/>
  <c r="D120" i="10" s="1"/>
  <c r="C227" i="10"/>
  <c r="D227" i="10" s="1"/>
  <c r="C496" i="10"/>
  <c r="D496" i="10" s="1"/>
  <c r="C697" i="10"/>
  <c r="D697" i="10" s="1"/>
  <c r="C893" i="10"/>
  <c r="D893" i="10" s="1"/>
  <c r="C932" i="10"/>
  <c r="D932" i="10" s="1"/>
  <c r="C751" i="10"/>
  <c r="D751" i="10" s="1"/>
  <c r="C105" i="10"/>
  <c r="D105" i="10" s="1"/>
  <c r="C289" i="10"/>
  <c r="D289" i="10" s="1"/>
  <c r="C424" i="10"/>
  <c r="D424" i="10" s="1"/>
  <c r="C995" i="10"/>
  <c r="D995" i="10" s="1"/>
  <c r="C880" i="10"/>
  <c r="D880" i="10" s="1"/>
  <c r="C311" i="10"/>
  <c r="D311" i="10" s="1"/>
  <c r="C717" i="10"/>
  <c r="D717" i="10" s="1"/>
  <c r="C55" i="10"/>
  <c r="D55" i="10" s="1"/>
  <c r="C346" i="10"/>
  <c r="D346" i="10" s="1"/>
  <c r="C662" i="10"/>
  <c r="D662" i="10" s="1"/>
  <c r="C206" i="10"/>
  <c r="D206" i="10" s="1"/>
  <c r="C701" i="10"/>
  <c r="D701" i="10" s="1"/>
  <c r="C409" i="10"/>
  <c r="D409" i="10" s="1"/>
  <c r="C130" i="10"/>
  <c r="D130" i="10" s="1"/>
  <c r="C324" i="10"/>
  <c r="D324" i="10" s="1"/>
  <c r="C497" i="10"/>
  <c r="D497" i="10" s="1"/>
  <c r="C688" i="10"/>
  <c r="D688" i="10" s="1"/>
  <c r="C221" i="10"/>
  <c r="D221" i="10" s="1"/>
  <c r="C325" i="10"/>
  <c r="D325" i="10" s="1"/>
  <c r="C1000" i="10"/>
  <c r="D1000" i="10" s="1"/>
  <c r="C140" i="10"/>
  <c r="D140" i="10" s="1"/>
  <c r="C957" i="10"/>
  <c r="D957" i="10" s="1"/>
  <c r="C417" i="10"/>
  <c r="D417" i="10" s="1"/>
  <c r="C100" i="10"/>
  <c r="D100" i="10" s="1"/>
  <c r="C453" i="10"/>
  <c r="D453" i="10" s="1"/>
  <c r="C260" i="10"/>
  <c r="D260" i="10" s="1"/>
  <c r="C532" i="10"/>
  <c r="D532" i="10" s="1"/>
  <c r="C788" i="10"/>
  <c r="D788" i="10" s="1"/>
  <c r="C637" i="10"/>
  <c r="D637" i="10" s="1"/>
  <c r="C661" i="10"/>
  <c r="D661" i="10" s="1"/>
  <c r="C693" i="10"/>
  <c r="D693" i="10" s="1"/>
  <c r="C730" i="10"/>
  <c r="D730" i="10" s="1"/>
  <c r="C789" i="10"/>
  <c r="D789" i="10" s="1"/>
  <c r="C503" i="10"/>
  <c r="D503" i="10" s="1"/>
  <c r="C269" i="10"/>
  <c r="D269" i="10" s="1"/>
  <c r="C967" i="10"/>
  <c r="D967" i="10" s="1"/>
  <c r="C711" i="10"/>
  <c r="D711" i="10" s="1"/>
  <c r="C860" i="10"/>
  <c r="D860" i="10" s="1"/>
  <c r="C864" i="10"/>
  <c r="D864" i="10" s="1"/>
  <c r="C787" i="10"/>
  <c r="D787" i="10" s="1"/>
  <c r="C517" i="10"/>
  <c r="D517" i="10" s="1"/>
  <c r="C297" i="10"/>
  <c r="D297" i="10" s="1"/>
  <c r="C131" i="10"/>
  <c r="D131" i="10" s="1"/>
  <c r="C213" i="10"/>
  <c r="D213" i="10" s="1"/>
  <c r="C791" i="10"/>
  <c r="D791" i="10" s="1"/>
  <c r="C971" i="10"/>
  <c r="D971" i="10" s="1"/>
  <c r="C136" i="10"/>
  <c r="D136" i="10" s="1"/>
  <c r="C114" i="10"/>
  <c r="D114" i="10" s="1"/>
  <c r="C345" i="10"/>
  <c r="D345" i="10" s="1"/>
  <c r="C555" i="10"/>
  <c r="D555" i="10" s="1"/>
  <c r="C980" i="10"/>
  <c r="D980" i="10" s="1"/>
  <c r="C846" i="10"/>
  <c r="D846" i="10" s="1"/>
  <c r="C974" i="10"/>
  <c r="D974" i="10" s="1"/>
  <c r="C961" i="10"/>
  <c r="D961" i="10" s="1"/>
  <c r="C87" i="10"/>
  <c r="D87" i="10" s="1"/>
  <c r="C389" i="10"/>
  <c r="D389" i="10" s="1"/>
  <c r="C410" i="10"/>
  <c r="D410" i="10" s="1"/>
  <c r="C825" i="10"/>
  <c r="D825" i="10" s="1"/>
  <c r="C704" i="10"/>
  <c r="D704" i="10" s="1"/>
  <c r="C968" i="10"/>
  <c r="D968" i="10" s="1"/>
  <c r="C231" i="10"/>
  <c r="D231" i="10" s="1"/>
  <c r="C838" i="10"/>
  <c r="D838" i="10" s="1"/>
  <c r="C183" i="10"/>
  <c r="D183" i="10" s="1"/>
  <c r="C263" i="10"/>
  <c r="D263" i="10" s="1"/>
  <c r="C936" i="10"/>
  <c r="D936" i="10" s="1"/>
  <c r="C879" i="10"/>
  <c r="D879" i="10" s="1"/>
  <c r="C468" i="10"/>
  <c r="D468" i="10" s="1"/>
  <c r="C60" i="10"/>
  <c r="D60" i="10" s="1"/>
  <c r="C758" i="10"/>
  <c r="D758" i="10" s="1"/>
  <c r="C374" i="10"/>
  <c r="D374" i="10" s="1"/>
  <c r="C501" i="10"/>
  <c r="D501" i="10" s="1"/>
  <c r="C774" i="10"/>
  <c r="D774" i="10" s="1"/>
  <c r="C769" i="10"/>
  <c r="D769" i="10" s="1"/>
  <c r="C966" i="10"/>
  <c r="D966" i="10" s="1"/>
  <c r="C856" i="10"/>
  <c r="D856" i="10" s="1"/>
  <c r="C477" i="10"/>
  <c r="D477" i="10" s="1"/>
  <c r="C962" i="10"/>
  <c r="D962" i="10" s="1"/>
  <c r="C891" i="10"/>
  <c r="D891" i="10" s="1"/>
  <c r="C585" i="10"/>
  <c r="D585" i="10" s="1"/>
  <c r="C508" i="10"/>
  <c r="D508" i="10" s="1"/>
  <c r="C579" i="10"/>
  <c r="D579" i="10" s="1"/>
  <c r="C494" i="10"/>
  <c r="D494" i="10" s="1"/>
  <c r="C442" i="10"/>
  <c r="D442" i="10" s="1"/>
  <c r="C376" i="10"/>
  <c r="D376" i="10" s="1"/>
  <c r="C344" i="10"/>
  <c r="D344" i="10" s="1"/>
  <c r="C282" i="10"/>
  <c r="D282" i="10" s="1"/>
  <c r="C258" i="10"/>
  <c r="D258" i="10" s="1"/>
  <c r="C640" i="10"/>
  <c r="D640" i="10" s="1"/>
  <c r="C446" i="10"/>
  <c r="D446" i="10" s="1"/>
  <c r="C724" i="10"/>
  <c r="D724" i="10" s="1"/>
  <c r="C735" i="10"/>
  <c r="D735" i="10" s="1"/>
  <c r="C836" i="10"/>
  <c r="D836" i="10" s="1"/>
  <c r="C133" i="10"/>
  <c r="D133" i="10" s="1"/>
  <c r="C229" i="10"/>
  <c r="D229" i="10" s="1"/>
  <c r="C913" i="10"/>
  <c r="D913" i="10" s="1"/>
  <c r="C214" i="10"/>
  <c r="D214" i="10" s="1"/>
  <c r="C588" i="10"/>
  <c r="D588" i="10" s="1"/>
  <c r="C766" i="10"/>
  <c r="D766" i="10" s="1"/>
  <c r="C551" i="10"/>
  <c r="D551" i="10" s="1"/>
  <c r="C431" i="10"/>
  <c r="D431" i="10" s="1"/>
  <c r="C382" i="10"/>
  <c r="D382" i="10" s="1"/>
  <c r="C330" i="10"/>
  <c r="D330" i="10" s="1"/>
  <c r="C288" i="10"/>
  <c r="D288" i="10" s="1"/>
  <c r="C268" i="10"/>
  <c r="D268" i="10" s="1"/>
  <c r="C713" i="10"/>
  <c r="D713" i="10" s="1"/>
  <c r="C742" i="10"/>
  <c r="D742" i="10" s="1"/>
  <c r="C518" i="10"/>
  <c r="D518" i="10" s="1"/>
  <c r="C461" i="10"/>
  <c r="D461" i="10" s="1"/>
  <c r="C323" i="10"/>
  <c r="D323" i="10" s="1"/>
  <c r="C228" i="10"/>
  <c r="D228" i="10" s="1"/>
  <c r="C216" i="10"/>
  <c r="D216" i="10" s="1"/>
  <c r="C45" i="10"/>
  <c r="D45" i="10" s="1"/>
  <c r="C743" i="10"/>
  <c r="D743" i="10" s="1"/>
  <c r="C753" i="10"/>
  <c r="D753" i="10" s="1"/>
  <c r="C604" i="10"/>
  <c r="D604" i="10" s="1"/>
  <c r="C564" i="10"/>
  <c r="D564" i="10" s="1"/>
  <c r="C481" i="10"/>
  <c r="D481" i="10" s="1"/>
  <c r="C547" i="10"/>
  <c r="D547" i="10" s="1"/>
  <c r="C447" i="10"/>
  <c r="D447" i="10" s="1"/>
  <c r="C412" i="10"/>
  <c r="D412" i="10" s="1"/>
  <c r="C380" i="10"/>
  <c r="D380" i="10" s="1"/>
  <c r="C276" i="10"/>
  <c r="D276" i="10" s="1"/>
  <c r="C796" i="10"/>
  <c r="D796" i="10" s="1"/>
  <c r="C622" i="10"/>
  <c r="D622" i="10" s="1"/>
  <c r="C467" i="10"/>
  <c r="D467" i="10" s="1"/>
  <c r="C581" i="10"/>
  <c r="D581" i="10" s="1"/>
  <c r="C456" i="10"/>
  <c r="D456" i="10" s="1"/>
  <c r="C379" i="10"/>
  <c r="D379" i="10" s="1"/>
  <c r="C259" i="10"/>
  <c r="D259" i="10" s="1"/>
  <c r="C47" i="10"/>
  <c r="D47" i="10" s="1"/>
  <c r="C72" i="10"/>
  <c r="D72" i="10" s="1"/>
  <c r="C88" i="10"/>
  <c r="D88" i="10" s="1"/>
  <c r="C623" i="10"/>
  <c r="D623" i="10" s="1"/>
  <c r="C664" i="10"/>
  <c r="D664" i="10" s="1"/>
  <c r="C706" i="10"/>
  <c r="D706" i="10" s="1"/>
  <c r="C733" i="10"/>
  <c r="D733" i="10" s="1"/>
  <c r="C762" i="10"/>
  <c r="D762" i="10" s="1"/>
  <c r="C814" i="10"/>
  <c r="D814" i="10" s="1"/>
  <c r="C420" i="10"/>
  <c r="D420" i="10" s="1"/>
  <c r="C101" i="10"/>
  <c r="D101" i="10" s="1"/>
  <c r="C956" i="10"/>
  <c r="D956" i="10" s="1"/>
  <c r="C912" i="10"/>
  <c r="D912" i="10" s="1"/>
  <c r="C767" i="10"/>
  <c r="D767" i="10" s="1"/>
  <c r="C419" i="10"/>
  <c r="D419" i="10" s="1"/>
  <c r="C119" i="10"/>
  <c r="D119" i="10" s="1"/>
  <c r="C189" i="10"/>
  <c r="D189" i="10" s="1"/>
  <c r="C994" i="10"/>
  <c r="D994" i="10" s="1"/>
  <c r="C794" i="10"/>
  <c r="D794" i="10" s="1"/>
  <c r="C983" i="10"/>
  <c r="D983" i="10" s="1"/>
  <c r="C166" i="10"/>
  <c r="D166" i="10" s="1"/>
  <c r="C134" i="10"/>
  <c r="D134" i="10" s="1"/>
  <c r="C71" i="10"/>
  <c r="D71" i="10" s="1"/>
  <c r="C313" i="10"/>
  <c r="D313" i="10" s="1"/>
  <c r="C571" i="10"/>
  <c r="D571" i="10" s="1"/>
  <c r="C816" i="10"/>
  <c r="D816" i="10" s="1"/>
  <c r="C986" i="10"/>
  <c r="D986" i="10" s="1"/>
  <c r="C982" i="10"/>
  <c r="D982" i="10" s="1"/>
  <c r="C899" i="10"/>
  <c r="D899" i="10" s="1"/>
  <c r="C31" i="10"/>
  <c r="D31" i="10" s="1"/>
  <c r="C349" i="10"/>
  <c r="D349" i="10" s="1"/>
  <c r="C523" i="10"/>
  <c r="D523" i="10" s="1"/>
  <c r="C92" i="10"/>
  <c r="D92" i="10" s="1"/>
  <c r="C41" i="10"/>
  <c r="D41" i="10" s="1"/>
  <c r="C251" i="10"/>
  <c r="D251" i="10" s="1"/>
  <c r="C499" i="10"/>
  <c r="D499" i="10" s="1"/>
  <c r="C511" i="10"/>
  <c r="D511" i="10" s="1"/>
  <c r="C272" i="10"/>
  <c r="D272" i="10" s="1"/>
  <c r="C356" i="10"/>
  <c r="D356" i="10" s="1"/>
  <c r="C463" i="10"/>
  <c r="D463" i="10" s="1"/>
  <c r="C785" i="10"/>
  <c r="D785" i="10" s="1"/>
  <c r="C658" i="10"/>
  <c r="D658" i="10" s="1"/>
  <c r="C989" i="10"/>
  <c r="D989" i="10" s="1"/>
  <c r="C876" i="10"/>
  <c r="D876" i="10" s="1"/>
  <c r="C192" i="10"/>
  <c r="D192" i="10" s="1"/>
  <c r="C641" i="10"/>
  <c r="D641" i="10" s="1"/>
  <c r="C75" i="10"/>
  <c r="D75" i="10" s="1"/>
  <c r="C598" i="10"/>
  <c r="D598" i="10" s="1"/>
  <c r="C86" i="10"/>
  <c r="D86" i="10" s="1"/>
  <c r="C731" i="10"/>
  <c r="D731" i="10" s="1"/>
  <c r="C939" i="10"/>
  <c r="D939" i="10" s="1"/>
  <c r="C792" i="10"/>
  <c r="D792" i="10" s="1"/>
  <c r="C621" i="10"/>
  <c r="D621" i="10" s="1"/>
  <c r="C91" i="10"/>
  <c r="D91" i="10" s="1"/>
  <c r="C853" i="10"/>
  <c r="D853" i="10" s="1"/>
  <c r="C152" i="10"/>
  <c r="D152" i="10" s="1"/>
  <c r="C448" i="10"/>
  <c r="D448" i="10" s="1"/>
  <c r="C335" i="10"/>
  <c r="D335" i="10" s="1"/>
  <c r="C507" i="10"/>
  <c r="D507" i="10" s="1"/>
  <c r="C94" i="10"/>
  <c r="D94" i="10" s="1"/>
  <c r="C43" i="10"/>
  <c r="D43" i="10" s="1"/>
  <c r="C230" i="10"/>
  <c r="D230" i="10" s="1"/>
  <c r="C441" i="10"/>
  <c r="D441" i="10" s="1"/>
  <c r="C652" i="10"/>
  <c r="D652" i="10" s="1"/>
  <c r="C396" i="10"/>
  <c r="D396" i="10" s="1"/>
  <c r="C513" i="10"/>
  <c r="D513" i="10" s="1"/>
  <c r="C273" i="10"/>
  <c r="D273" i="10" s="1"/>
  <c r="C671" i="10"/>
  <c r="D671" i="10" s="1"/>
  <c r="C182" i="10"/>
  <c r="D182" i="10" s="1"/>
  <c r="C799" i="10"/>
  <c r="D799" i="10" s="1"/>
  <c r="C817" i="10"/>
  <c r="D817" i="10" s="1"/>
  <c r="C620" i="10"/>
  <c r="D620" i="10" s="1"/>
  <c r="C492" i="10"/>
  <c r="D492" i="10" s="1"/>
  <c r="C558" i="10"/>
  <c r="D558" i="10" s="1"/>
  <c r="C392" i="10"/>
  <c r="D392" i="10" s="1"/>
  <c r="C368" i="10"/>
  <c r="D368" i="10" s="1"/>
  <c r="C314" i="10"/>
  <c r="D314" i="10" s="1"/>
  <c r="C274" i="10"/>
  <c r="D274" i="10" s="1"/>
  <c r="C250" i="10"/>
  <c r="D250" i="10" s="1"/>
  <c r="C606" i="10"/>
  <c r="D606" i="10" s="1"/>
  <c r="C539" i="10"/>
  <c r="D539" i="10" s="1"/>
  <c r="C421" i="10"/>
  <c r="D421" i="10" s="1"/>
  <c r="C509" i="10"/>
  <c r="D509" i="10" s="1"/>
  <c r="C137" i="10"/>
  <c r="D137" i="10" s="1"/>
  <c r="C832" i="10"/>
  <c r="D832" i="10" s="1"/>
  <c r="C83" i="10"/>
  <c r="D83" i="10" s="1"/>
  <c r="C425" i="10"/>
  <c r="D425" i="10" s="1"/>
  <c r="C595" i="10"/>
  <c r="D595" i="10" s="1"/>
  <c r="C694" i="10"/>
  <c r="D694" i="10" s="1"/>
  <c r="C569" i="10"/>
  <c r="D569" i="10" s="1"/>
  <c r="C681" i="10"/>
  <c r="D681" i="10" s="1"/>
  <c r="C526" i="10"/>
  <c r="D526" i="10" s="1"/>
  <c r="C471" i="10"/>
  <c r="D471" i="10" s="1"/>
  <c r="C372" i="10"/>
  <c r="D372" i="10" s="1"/>
  <c r="C350" i="10"/>
  <c r="D350" i="10" s="1"/>
  <c r="C318" i="10"/>
  <c r="D318" i="10" s="1"/>
  <c r="C632" i="10"/>
  <c r="D632" i="10" s="1"/>
  <c r="C535" i="10"/>
  <c r="D535" i="10" s="1"/>
  <c r="C449" i="10"/>
  <c r="D449" i="10" s="1"/>
  <c r="C600" i="10"/>
  <c r="D600" i="10" s="1"/>
  <c r="C437" i="10"/>
  <c r="D437" i="10" s="1"/>
  <c r="C291" i="10"/>
  <c r="D291" i="10" s="1"/>
  <c r="C244" i="10"/>
  <c r="D244" i="10" s="1"/>
  <c r="C220" i="10"/>
  <c r="D220" i="10" s="1"/>
  <c r="C800" i="10"/>
  <c r="D800" i="10" s="1"/>
  <c r="C194" i="10"/>
  <c r="D194" i="10" s="1"/>
  <c r="C970" i="10"/>
  <c r="D970" i="10" s="1"/>
  <c r="C665" i="10"/>
  <c r="D665" i="10" s="1"/>
  <c r="C545" i="10"/>
  <c r="D545" i="10" s="1"/>
  <c r="C745" i="10"/>
  <c r="D745" i="10" s="1"/>
  <c r="C608" i="10"/>
  <c r="D608" i="10" s="1"/>
  <c r="C519" i="10"/>
  <c r="D519" i="10" s="1"/>
  <c r="C370" i="10"/>
  <c r="D370" i="10" s="1"/>
  <c r="C338" i="10"/>
  <c r="D338" i="10" s="1"/>
  <c r="C308" i="10"/>
  <c r="D308" i="10" s="1"/>
  <c r="C264" i="10"/>
  <c r="D264" i="10" s="1"/>
  <c r="C587" i="10"/>
  <c r="D587" i="10" s="1"/>
  <c r="C435" i="10"/>
  <c r="D435" i="10" s="1"/>
  <c r="C367" i="10"/>
  <c r="D367" i="10" s="1"/>
  <c r="C543" i="10"/>
  <c r="D543" i="10" s="1"/>
  <c r="C242" i="10"/>
  <c r="D242" i="10" s="1"/>
  <c r="C172" i="10"/>
  <c r="D172" i="10" s="1"/>
  <c r="C204" i="10"/>
  <c r="D204" i="10" s="1"/>
  <c r="C56" i="10"/>
  <c r="D56" i="10" s="1"/>
  <c r="C96" i="10"/>
  <c r="D96" i="10" s="1"/>
  <c r="C631" i="10"/>
  <c r="D631" i="10" s="1"/>
  <c r="C647" i="10"/>
  <c r="D647" i="10" s="1"/>
  <c r="C677" i="10"/>
  <c r="D677" i="10" s="1"/>
  <c r="C773" i="10"/>
  <c r="D773" i="10" s="1"/>
  <c r="C718" i="10"/>
  <c r="D718" i="10" s="1"/>
  <c r="C333" i="10"/>
  <c r="D333" i="10" s="1"/>
  <c r="C918" i="10"/>
  <c r="D918" i="10" s="1"/>
  <c r="C908" i="10"/>
  <c r="D908" i="10" s="1"/>
  <c r="C845" i="10"/>
  <c r="D845" i="10" s="1"/>
  <c r="C812" i="10"/>
  <c r="D812" i="10" s="1"/>
  <c r="C371" i="10"/>
  <c r="D371" i="10" s="1"/>
  <c r="C135" i="10"/>
  <c r="D135" i="10" s="1"/>
  <c r="C938" i="10"/>
  <c r="D938" i="10" s="1"/>
  <c r="C747" i="10"/>
  <c r="D747" i="10" s="1"/>
  <c r="C207" i="10"/>
  <c r="D207" i="10" s="1"/>
  <c r="C158" i="10"/>
  <c r="D158" i="10" s="1"/>
  <c r="C126" i="10"/>
  <c r="D126" i="10" s="1"/>
  <c r="C202" i="10"/>
  <c r="D202" i="10" s="1"/>
  <c r="C369" i="10"/>
  <c r="D369" i="10" s="1"/>
  <c r="C618" i="10"/>
  <c r="D618" i="10" s="1"/>
  <c r="C858" i="10"/>
  <c r="D858" i="10" s="1"/>
  <c r="C854" i="10"/>
  <c r="D854" i="10" s="1"/>
  <c r="C707" i="10"/>
  <c r="D707" i="10" s="1"/>
  <c r="C963" i="10"/>
  <c r="D963" i="10" s="1"/>
  <c r="C225" i="10"/>
  <c r="D225" i="10" s="1"/>
  <c r="C413" i="10"/>
  <c r="D413" i="10" s="1"/>
  <c r="C574" i="10"/>
  <c r="D574" i="10" s="1"/>
  <c r="C82" i="10"/>
  <c r="D82" i="10" s="1"/>
  <c r="C208" i="10"/>
  <c r="D208" i="10" s="1"/>
  <c r="C307" i="10"/>
  <c r="D307" i="10" s="1"/>
  <c r="C575" i="10"/>
  <c r="D575" i="10" s="1"/>
  <c r="C578" i="10"/>
  <c r="D578" i="10" s="1"/>
  <c r="C294" i="10"/>
  <c r="D294" i="10" s="1"/>
  <c r="C378" i="10"/>
  <c r="D378" i="10" s="1"/>
  <c r="C512" i="10"/>
  <c r="D512" i="10" s="1"/>
  <c r="C516" i="10"/>
  <c r="D516" i="10" s="1"/>
  <c r="C782" i="10"/>
  <c r="D782" i="10" s="1"/>
  <c r="C884" i="10"/>
  <c r="D884" i="10" s="1"/>
  <c r="C243" i="10"/>
  <c r="D243" i="10" s="1"/>
  <c r="C459" i="10"/>
  <c r="D459" i="10" s="1"/>
  <c r="C875" i="10"/>
  <c r="D875" i="10" s="1"/>
  <c r="C738" i="10"/>
  <c r="D738" i="10" s="1"/>
  <c r="C833" i="10"/>
  <c r="D833" i="10" s="1"/>
  <c r="C283" i="10"/>
  <c r="D283" i="10" s="1"/>
  <c r="C633" i="10"/>
  <c r="D633" i="10" s="1"/>
  <c r="C719" i="10"/>
  <c r="D719" i="10" s="1"/>
  <c r="C238" i="10"/>
  <c r="D238" i="10" s="1"/>
  <c r="C386" i="10"/>
  <c r="D386" i="10" s="1"/>
  <c r="C645" i="10"/>
  <c r="D645" i="10" s="1"/>
  <c r="C770" i="10"/>
  <c r="D770" i="10" s="1"/>
  <c r="C147" i="10"/>
  <c r="D147" i="10" s="1"/>
  <c r="C128" i="10"/>
  <c r="D128" i="10" s="1"/>
  <c r="C73" i="10"/>
  <c r="D73" i="10" s="1"/>
  <c r="C403" i="10"/>
  <c r="D403" i="10" s="1"/>
  <c r="C212" i="10"/>
  <c r="D212" i="10" s="1"/>
  <c r="C493" i="10"/>
  <c r="D493" i="10" s="1"/>
  <c r="C428" i="10"/>
  <c r="D428" i="10" s="1"/>
  <c r="C248" i="10"/>
  <c r="D248" i="10" s="1"/>
  <c r="C312" i="10"/>
  <c r="D312" i="10" s="1"/>
  <c r="C416" i="10"/>
  <c r="D416" i="10" s="1"/>
  <c r="C553" i="10"/>
  <c r="D553" i="10" s="1"/>
  <c r="C684" i="10"/>
  <c r="D684" i="10" s="1"/>
  <c r="C117" i="10"/>
  <c r="D117" i="10" s="1"/>
  <c r="C542" i="10"/>
  <c r="D542" i="10" s="1"/>
  <c r="C646" i="10"/>
  <c r="D646" i="10" s="1"/>
  <c r="C109" i="10"/>
  <c r="D109" i="10" s="1"/>
  <c r="C732" i="10"/>
  <c r="D732" i="10" s="1"/>
  <c r="C556" i="10"/>
  <c r="D556" i="10" s="1"/>
  <c r="C644" i="10"/>
  <c r="D644" i="10" s="1"/>
  <c r="C533" i="10"/>
  <c r="D533" i="10" s="1"/>
  <c r="C414" i="10"/>
  <c r="D414" i="10" s="1"/>
  <c r="C352" i="10"/>
  <c r="D352" i="10" s="1"/>
  <c r="C328" i="10"/>
  <c r="D328" i="10" s="1"/>
  <c r="C306" i="10"/>
  <c r="D306" i="10" s="1"/>
  <c r="C266" i="10"/>
  <c r="D266" i="10" s="1"/>
  <c r="C780" i="10"/>
  <c r="D780" i="10" s="1"/>
  <c r="C582" i="10"/>
  <c r="D582" i="10" s="1"/>
  <c r="C502" i="10"/>
  <c r="D502" i="10" s="1"/>
  <c r="C391" i="10"/>
  <c r="D391" i="10" s="1"/>
  <c r="C607" i="10"/>
  <c r="D607" i="10" s="1"/>
  <c r="C185" i="10"/>
  <c r="D185" i="10" s="1"/>
  <c r="C819" i="10"/>
  <c r="D819" i="10" s="1"/>
  <c r="C806" i="10"/>
  <c r="D806" i="10" s="1"/>
  <c r="C548" i="10"/>
  <c r="D548" i="10" s="1"/>
  <c r="C484" i="10"/>
  <c r="D484" i="10" s="1"/>
  <c r="C628" i="10"/>
  <c r="D628" i="10" s="1"/>
  <c r="C404" i="10"/>
  <c r="D404" i="10" s="1"/>
  <c r="C310" i="10"/>
  <c r="D310" i="10" s="1"/>
  <c r="C278" i="10"/>
  <c r="D278" i="10" s="1"/>
  <c r="C256" i="10"/>
  <c r="D256" i="10" s="1"/>
  <c r="C592" i="10"/>
  <c r="D592" i="10" s="1"/>
  <c r="C415" i="10"/>
  <c r="D415" i="10" s="1"/>
  <c r="C550" i="10"/>
  <c r="D550" i="10" s="1"/>
  <c r="C486" i="10"/>
  <c r="D486" i="10" s="1"/>
  <c r="C393" i="10"/>
  <c r="D393" i="10" s="1"/>
  <c r="C184" i="10"/>
  <c r="D184" i="10" s="1"/>
  <c r="C36" i="10"/>
  <c r="D36" i="10" s="1"/>
  <c r="C54" i="10"/>
  <c r="D54" i="10" s="1"/>
  <c r="C476" i="10"/>
  <c r="D476" i="10" s="1"/>
  <c r="C157" i="10"/>
  <c r="D157" i="10" s="1"/>
  <c r="C630" i="10"/>
  <c r="D630" i="10" s="1"/>
  <c r="C580" i="10"/>
  <c r="D580" i="10" s="1"/>
  <c r="C521" i="10"/>
  <c r="D521" i="10" s="1"/>
  <c r="C487" i="10"/>
  <c r="D487" i="10" s="1"/>
  <c r="C423" i="10"/>
  <c r="D423" i="10" s="1"/>
  <c r="C402" i="10"/>
  <c r="D402" i="10" s="1"/>
  <c r="C358" i="10"/>
  <c r="D358" i="10" s="1"/>
  <c r="C296" i="10"/>
  <c r="D296" i="10" s="1"/>
  <c r="C254" i="10"/>
  <c r="D254" i="10" s="1"/>
  <c r="C689" i="10"/>
  <c r="D689" i="10" s="1"/>
  <c r="C559" i="10"/>
  <c r="D559" i="10" s="1"/>
  <c r="C506" i="10"/>
  <c r="D506" i="10" s="1"/>
  <c r="C427" i="10"/>
  <c r="D427" i="10" s="1"/>
  <c r="C347" i="10"/>
  <c r="D347" i="10" s="1"/>
  <c r="C234" i="10"/>
  <c r="D234" i="10" s="1"/>
  <c r="C30" i="10"/>
  <c r="D30" i="10" s="1"/>
  <c r="C64" i="10"/>
  <c r="D64" i="10" s="1"/>
  <c r="C80" i="10"/>
  <c r="D80" i="10" s="1"/>
  <c r="C104" i="10"/>
  <c r="D104" i="10" s="1"/>
  <c r="C685" i="10"/>
  <c r="D685" i="10" s="1"/>
  <c r="C714" i="10"/>
  <c r="D714" i="10" s="1"/>
  <c r="C741" i="10"/>
  <c r="D741" i="10" s="1"/>
  <c r="C781" i="10"/>
  <c r="D781" i="10" s="1"/>
  <c r="C586" i="10"/>
  <c r="D586" i="10" s="1"/>
  <c r="C255" i="10"/>
  <c r="D255" i="10" s="1"/>
  <c r="C795" i="10"/>
  <c r="D795" i="10" s="1"/>
  <c r="C839" i="10"/>
  <c r="D839" i="10" s="1"/>
  <c r="C797" i="10"/>
  <c r="D797" i="10" s="1"/>
  <c r="C567" i="10"/>
  <c r="D567" i="10" s="1"/>
  <c r="C261" i="10"/>
  <c r="D261" i="10" s="1"/>
  <c r="C151" i="10"/>
  <c r="D151" i="10" s="1"/>
  <c r="C934" i="10"/>
  <c r="D934" i="10" s="1"/>
  <c r="C890" i="10"/>
  <c r="D890" i="10" s="1"/>
  <c r="C855" i="10"/>
  <c r="D855" i="10" s="1"/>
  <c r="C195" i="10"/>
  <c r="D195" i="10" s="1"/>
  <c r="C150" i="10"/>
  <c r="D150" i="10" s="1"/>
  <c r="C112" i="10"/>
  <c r="D112" i="10" s="1"/>
  <c r="C235" i="10"/>
  <c r="D235" i="10" s="1"/>
  <c r="C454" i="10"/>
  <c r="D454" i="10" s="1"/>
  <c r="C721" i="10"/>
  <c r="D721" i="10" s="1"/>
  <c r="C901" i="10"/>
  <c r="D901" i="10" s="1"/>
  <c r="C897" i="10"/>
  <c r="D897" i="10" s="1"/>
  <c r="C771" i="10"/>
  <c r="D771" i="10" s="1"/>
  <c r="C97" i="10"/>
  <c r="D97" i="10" s="1"/>
  <c r="C257" i="10"/>
  <c r="D257" i="10" s="1"/>
  <c r="C436" i="10"/>
  <c r="D436" i="10" s="1"/>
  <c r="C638" i="10"/>
  <c r="D638" i="10" s="1"/>
  <c r="C70" i="10"/>
  <c r="D70" i="10" s="1"/>
  <c r="C176" i="10"/>
  <c r="D176" i="10" s="1"/>
  <c r="C365" i="10"/>
  <c r="D365" i="10" s="1"/>
  <c r="C801" i="10"/>
  <c r="D801" i="10" s="1"/>
  <c r="C675" i="10"/>
  <c r="D675" i="10" s="1"/>
  <c r="C316" i="10"/>
  <c r="D316" i="10" s="1"/>
  <c r="C398" i="10"/>
  <c r="D398" i="10" s="1"/>
  <c r="C565" i="10"/>
  <c r="D565" i="10" s="1"/>
  <c r="C561" i="10"/>
  <c r="D561" i="10" s="1"/>
  <c r="C239" i="10"/>
  <c r="D239" i="10" s="1"/>
  <c r="C952" i="10"/>
  <c r="D952" i="10" s="1"/>
  <c r="C990" i="10"/>
  <c r="D990" i="10" s="1"/>
  <c r="C991" i="10"/>
  <c r="D991" i="10" s="1"/>
  <c r="C351" i="10"/>
  <c r="D351" i="10" s="1"/>
  <c r="C357" i="10"/>
  <c r="D357" i="10" s="1"/>
  <c r="C153" i="10"/>
  <c r="D153" i="10" s="1"/>
  <c r="C904" i="10"/>
  <c r="D904" i="10" s="1"/>
  <c r="C926" i="10"/>
  <c r="D926" i="10" s="1"/>
  <c r="C734" i="10"/>
  <c r="D734" i="10" s="1"/>
  <c r="C935" i="10"/>
  <c r="D935" i="10" s="1"/>
  <c r="C546" i="10"/>
  <c r="D546" i="10" s="1"/>
  <c r="C948" i="10"/>
  <c r="D948" i="10" s="1"/>
  <c r="C113" i="10"/>
  <c r="D113" i="10" s="1"/>
  <c r="C802" i="10"/>
  <c r="D802" i="10" s="1"/>
  <c r="C947" i="10"/>
  <c r="D947" i="10" s="1"/>
  <c r="C395" i="10"/>
  <c r="D395" i="10" s="1"/>
  <c r="C917" i="10"/>
  <c r="D917" i="10" s="1"/>
  <c r="C950" i="10"/>
  <c r="D950" i="10" s="1"/>
  <c r="C28" i="10"/>
  <c r="D28" i="10" s="1"/>
  <c r="C287" i="10"/>
  <c r="D287" i="10" s="1"/>
  <c r="C201" i="10"/>
  <c r="D201" i="10" s="1"/>
  <c r="C510" i="10"/>
  <c r="D510" i="10" s="1"/>
  <c r="C954" i="10"/>
  <c r="D954" i="10" s="1"/>
  <c r="C329" i="10"/>
  <c r="D329" i="10" s="1"/>
  <c r="C969" i="10"/>
  <c r="D969" i="10" s="1"/>
  <c r="C866" i="10"/>
  <c r="D866" i="10" s="1"/>
  <c r="C44" i="10"/>
  <c r="D44" i="10" s="1"/>
  <c r="C209" i="10"/>
  <c r="D209" i="10" s="1"/>
  <c r="C377" i="10"/>
  <c r="D377" i="10" s="1"/>
  <c r="C650" i="10"/>
  <c r="D650" i="10" s="1"/>
  <c r="C432" i="10"/>
  <c r="D432" i="10" s="1"/>
  <c r="C102" i="10"/>
  <c r="D102" i="10" s="1"/>
  <c r="C835" i="10"/>
  <c r="D835" i="10" s="1"/>
  <c r="C504" i="10"/>
  <c r="D504" i="10" s="1"/>
  <c r="C179" i="10"/>
  <c r="D179" i="10" s="1"/>
  <c r="C895" i="10"/>
  <c r="D895" i="10" s="1"/>
  <c r="C485" i="10"/>
  <c r="D485" i="10" s="1"/>
  <c r="C696" i="10"/>
  <c r="D696" i="10" s="1"/>
  <c r="C226" i="10"/>
  <c r="D226" i="10" s="1"/>
  <c r="C708" i="10"/>
  <c r="D708" i="10" s="1"/>
  <c r="C390" i="10"/>
  <c r="D390" i="10" s="1"/>
  <c r="C656" i="10"/>
  <c r="D656" i="10" s="1"/>
  <c r="C790" i="10"/>
  <c r="D790" i="10" s="1"/>
  <c r="C355" i="10"/>
  <c r="D355" i="10" s="1"/>
  <c r="C478" i="10"/>
  <c r="D478" i="10" s="1"/>
  <c r="C300" i="10"/>
  <c r="D300" i="10" s="1"/>
  <c r="C450" i="10"/>
  <c r="D450" i="10" s="1"/>
  <c r="C529" i="10"/>
  <c r="D529" i="10" s="1"/>
  <c r="C973" i="10"/>
  <c r="D973" i="10" s="1"/>
  <c r="C464" i="10"/>
  <c r="D464" i="10" s="1"/>
  <c r="C290" i="10"/>
  <c r="D290" i="10" s="1"/>
  <c r="C408" i="10"/>
  <c r="D408" i="10" s="1"/>
  <c r="C756" i="10"/>
  <c r="D756" i="10" s="1"/>
  <c r="C405" i="10"/>
  <c r="D405" i="10" s="1"/>
  <c r="C634" i="10"/>
  <c r="D634" i="10" s="1"/>
  <c r="C573" i="10"/>
  <c r="D573" i="10" s="1"/>
  <c r="C84" i="10"/>
  <c r="D84" i="10" s="1"/>
  <c r="C815" i="10"/>
  <c r="D815" i="10" s="1"/>
  <c r="C673" i="10"/>
  <c r="D673" i="10" s="1"/>
  <c r="C530" i="10"/>
  <c r="D530" i="10" s="1"/>
  <c r="C107" i="10"/>
  <c r="D107" i="10" s="1"/>
  <c r="C878" i="10"/>
  <c r="D878" i="10" s="1"/>
  <c r="I89" i="5"/>
  <c r="I88" i="32"/>
  <c r="O88" i="32" s="1"/>
  <c r="D69" i="32"/>
  <c r="H79" i="5"/>
  <c r="C51" i="10"/>
  <c r="D51" i="10" s="1"/>
  <c r="C877" i="10"/>
  <c r="D877" i="10" s="1"/>
  <c r="C141" i="10"/>
  <c r="D141" i="10" s="1"/>
  <c r="C495" i="10"/>
  <c r="D495" i="10" s="1"/>
  <c r="C981" i="10"/>
  <c r="D981" i="10" s="1"/>
  <c r="C929" i="10"/>
  <c r="D929" i="10" s="1"/>
  <c r="C993" i="10"/>
  <c r="D993" i="10" s="1"/>
  <c r="C818" i="10"/>
  <c r="D818" i="10" s="1"/>
  <c r="C67" i="10"/>
  <c r="D67" i="10" s="1"/>
  <c r="C27" i="10"/>
  <c r="D27" i="10" s="1"/>
  <c r="C491" i="10"/>
  <c r="D491" i="10" s="1"/>
  <c r="C873" i="10"/>
  <c r="D873" i="10" s="1"/>
  <c r="C528" i="10"/>
  <c r="D528" i="10" s="1"/>
  <c r="K79" i="5"/>
  <c r="O71" i="32"/>
  <c r="C418" i="10"/>
  <c r="D418" i="10" s="1"/>
  <c r="C451" i="10"/>
  <c r="D451" i="10" s="1"/>
  <c r="C473" i="10"/>
  <c r="D473" i="10" s="1"/>
  <c r="C940" i="10"/>
  <c r="D940" i="10" s="1"/>
  <c r="C277" i="10"/>
  <c r="D277" i="10" s="1"/>
  <c r="C921" i="10"/>
  <c r="D921" i="10" s="1"/>
  <c r="C167" i="10"/>
  <c r="D167" i="10" s="1"/>
  <c r="C960" i="10"/>
  <c r="D960" i="10" s="1"/>
  <c r="C793" i="10"/>
  <c r="D793" i="10" s="1"/>
  <c r="C655" i="10"/>
  <c r="D655" i="10" s="1"/>
  <c r="C315" i="10"/>
  <c r="D315" i="10" s="1"/>
  <c r="C407" i="10"/>
  <c r="D407" i="10" s="1"/>
  <c r="C286" i="10"/>
  <c r="D286" i="10" s="1"/>
  <c r="C500" i="10"/>
  <c r="D500" i="10" s="1"/>
  <c r="C161" i="10"/>
  <c r="D161" i="10" s="1"/>
  <c r="C200" i="10"/>
  <c r="D200" i="10" s="1"/>
  <c r="C568" i="10"/>
  <c r="D568" i="10" s="1"/>
  <c r="C340" i="10"/>
  <c r="D340" i="10" s="1"/>
  <c r="C498" i="10"/>
  <c r="D498" i="10" s="1"/>
  <c r="C609" i="10"/>
  <c r="D609" i="10" s="1"/>
  <c r="C452" i="10"/>
  <c r="D452" i="10" s="1"/>
  <c r="C279" i="10"/>
  <c r="D279" i="10" s="1"/>
  <c r="C563" i="10"/>
  <c r="D563" i="10" s="1"/>
  <c r="C458" i="10"/>
  <c r="D458" i="10" s="1"/>
  <c r="C524" i="10"/>
  <c r="D524" i="10" s="1"/>
  <c r="C865" i="10"/>
  <c r="D865" i="10" s="1"/>
  <c r="C599" i="10"/>
  <c r="D599" i="10" s="1"/>
  <c r="C808" i="10"/>
  <c r="D808" i="10" s="1"/>
  <c r="C465" i="10"/>
  <c r="D465" i="10" s="1"/>
  <c r="C669" i="10"/>
  <c r="D669" i="10" s="1"/>
  <c r="F79" i="32"/>
  <c r="D79" i="5"/>
  <c r="N79" i="32"/>
  <c r="C881" i="10"/>
  <c r="D881" i="10" s="1"/>
  <c r="C828" i="10"/>
  <c r="D828" i="10" s="1"/>
  <c r="C610" i="10"/>
  <c r="D610" i="10" s="1"/>
  <c r="C937" i="10"/>
  <c r="D937" i="10" s="1"/>
  <c r="C301" i="10"/>
  <c r="D301" i="10" s="1"/>
  <c r="C902" i="10"/>
  <c r="D902" i="10" s="1"/>
  <c r="C245" i="10"/>
  <c r="D245" i="10" s="1"/>
  <c r="C885" i="10"/>
  <c r="D885" i="10" s="1"/>
  <c r="C883" i="10"/>
  <c r="D883" i="10" s="1"/>
  <c r="C293" i="10"/>
  <c r="D293" i="10" s="1"/>
  <c r="C844" i="10"/>
  <c r="D844" i="10" s="1"/>
  <c r="C93" i="10"/>
  <c r="D93" i="10" s="1"/>
  <c r="C810" i="10"/>
  <c r="D810" i="10" s="1"/>
  <c r="C852" i="10"/>
  <c r="D852" i="10" s="1"/>
  <c r="C763" i="10"/>
  <c r="D763" i="10" s="1"/>
  <c r="C61" i="10"/>
  <c r="D61" i="10" s="1"/>
  <c r="C149" i="10"/>
  <c r="D149" i="10" s="1"/>
  <c r="C922" i="10"/>
  <c r="D922" i="10" s="1"/>
  <c r="C77" i="10"/>
  <c r="D77" i="10" s="1"/>
  <c r="C169" i="10"/>
  <c r="D169" i="10" s="1"/>
  <c r="C958" i="10"/>
  <c r="D958" i="10" s="1"/>
  <c r="C737" i="10"/>
  <c r="D737" i="10" s="1"/>
  <c r="C217" i="10"/>
  <c r="D217" i="10" s="1"/>
  <c r="C842" i="10"/>
  <c r="D842" i="10" s="1"/>
  <c r="C977" i="10"/>
  <c r="D977" i="10" s="1"/>
  <c r="C125" i="10"/>
  <c r="D125" i="10" s="1"/>
  <c r="C337" i="10"/>
  <c r="D337" i="10" s="1"/>
  <c r="C334" i="10"/>
  <c r="D334" i="10" s="1"/>
  <c r="C232" i="10"/>
  <c r="D232" i="10" s="1"/>
  <c r="C303" i="10"/>
  <c r="D303" i="10" s="1"/>
  <c r="C944" i="10"/>
  <c r="D944" i="10" s="1"/>
  <c r="C103" i="10"/>
  <c r="D103" i="10" s="1"/>
  <c r="C841" i="10"/>
  <c r="D841" i="10" s="1"/>
  <c r="C59" i="10"/>
  <c r="D59" i="10" s="1"/>
  <c r="C667" i="10"/>
  <c r="D667" i="10" s="1"/>
  <c r="C752" i="10"/>
  <c r="D752" i="10" s="1"/>
  <c r="C639" i="10"/>
  <c r="D639" i="10" s="1"/>
  <c r="C38" i="10"/>
  <c r="D38" i="10" s="1"/>
  <c r="C525" i="10"/>
  <c r="D525" i="10" s="1"/>
  <c r="C326" i="10"/>
  <c r="D326" i="10" s="1"/>
  <c r="C466" i="10"/>
  <c r="D466" i="10" s="1"/>
  <c r="C387" i="10"/>
  <c r="D387" i="10" s="1"/>
  <c r="C236" i="10"/>
  <c r="D236" i="10" s="1"/>
  <c r="C822" i="10"/>
  <c r="D822" i="10" s="1"/>
  <c r="C362" i="10"/>
  <c r="D362" i="10" s="1"/>
  <c r="C583" i="10"/>
  <c r="D583" i="10" s="1"/>
  <c r="C900" i="10"/>
  <c r="D900" i="10" s="1"/>
  <c r="C616" i="10"/>
  <c r="D616" i="10" s="1"/>
  <c r="C601" i="10"/>
  <c r="D601" i="10" s="1"/>
  <c r="C265" i="10"/>
  <c r="D265" i="10" s="1"/>
  <c r="C892" i="10"/>
  <c r="D892" i="10" s="1"/>
  <c r="C332" i="10"/>
  <c r="D332" i="10" s="1"/>
  <c r="C299" i="10"/>
  <c r="D299" i="10" s="1"/>
  <c r="C79" i="10"/>
  <c r="D79" i="10" s="1"/>
  <c r="C964" i="10"/>
  <c r="D964" i="10" s="1"/>
  <c r="O74" i="32"/>
  <c r="N89" i="5"/>
  <c r="N87" i="32"/>
  <c r="N89" i="32" s="1"/>
  <c r="J87" i="32"/>
  <c r="J89" i="32" s="1"/>
  <c r="D89" i="5"/>
  <c r="D87" i="32"/>
  <c r="H99" i="32"/>
  <c r="E98" i="32"/>
  <c r="E99" i="5"/>
  <c r="I98" i="32"/>
  <c r="I99" i="32" s="1"/>
  <c r="I99" i="5"/>
  <c r="C985" i="10"/>
  <c r="D985" i="10" s="1"/>
  <c r="C910" i="10"/>
  <c r="D910" i="10" s="1"/>
  <c r="C219" i="10"/>
  <c r="D219" i="10" s="1"/>
  <c r="C123" i="10"/>
  <c r="D123" i="10" s="1"/>
  <c r="C443" i="10"/>
  <c r="D443" i="10" s="1"/>
  <c r="C603" i="10"/>
  <c r="D603" i="10" s="1"/>
  <c r="C138" i="10"/>
  <c r="D138" i="10" s="1"/>
  <c r="C76" i="10"/>
  <c r="D76" i="10" s="1"/>
  <c r="C132" i="10"/>
  <c r="D132" i="10" s="1"/>
  <c r="C68" i="10"/>
  <c r="D68" i="10" s="1"/>
  <c r="C625" i="10"/>
  <c r="D625" i="10" s="1"/>
  <c r="C305" i="10"/>
  <c r="D305" i="10" s="1"/>
  <c r="C429" i="10"/>
  <c r="D429" i="10" s="1"/>
  <c r="C241" i="10"/>
  <c r="D241" i="10" s="1"/>
  <c r="C692" i="10"/>
  <c r="D692" i="10" s="1"/>
  <c r="C699" i="10"/>
  <c r="D699" i="10" s="1"/>
  <c r="C53" i="10"/>
  <c r="D53" i="10" s="1"/>
  <c r="C759" i="10"/>
  <c r="D759" i="10" s="1"/>
  <c r="C914" i="10"/>
  <c r="D914" i="10" s="1"/>
  <c r="C222" i="10"/>
  <c r="D222" i="10" s="1"/>
  <c r="C925" i="10"/>
  <c r="D925" i="10" s="1"/>
  <c r="C804" i="10"/>
  <c r="D804" i="10" s="1"/>
  <c r="C834" i="10"/>
  <c r="D834" i="10" s="1"/>
  <c r="C920" i="10"/>
  <c r="D920" i="10" s="1"/>
  <c r="C154" i="10"/>
  <c r="D154" i="10" s="1"/>
  <c r="C522" i="10"/>
  <c r="D522" i="10" s="1"/>
  <c r="C867" i="10"/>
  <c r="D867" i="10" s="1"/>
  <c r="C98" i="10"/>
  <c r="D98" i="10" s="1"/>
  <c r="C460" i="10"/>
  <c r="D460" i="10" s="1"/>
  <c r="C726" i="10"/>
  <c r="D726" i="10" s="1"/>
  <c r="C619" i="10"/>
  <c r="D619" i="10" s="1"/>
  <c r="C768" i="10"/>
  <c r="D768" i="10" s="1"/>
  <c r="C870" i="10"/>
  <c r="D870" i="10" s="1"/>
  <c r="C181" i="10"/>
  <c r="D181" i="10" s="1"/>
  <c r="C191" i="10"/>
  <c r="D191" i="10" s="1"/>
  <c r="C327" i="10"/>
  <c r="D327" i="10" s="1"/>
  <c r="C996" i="10"/>
  <c r="D996" i="10" s="1"/>
  <c r="C541" i="10"/>
  <c r="D541" i="10" s="1"/>
  <c r="C531" i="10"/>
  <c r="D531" i="10" s="1"/>
  <c r="C480" i="10"/>
  <c r="D480" i="10" s="1"/>
  <c r="C951" i="10"/>
  <c r="D951" i="10" s="1"/>
  <c r="C397" i="10"/>
  <c r="D397" i="10" s="1"/>
  <c r="C170" i="10"/>
  <c r="D170" i="10" s="1"/>
  <c r="C746" i="10"/>
  <c r="D746" i="10" s="1"/>
  <c r="C851" i="10"/>
  <c r="D851" i="10" s="1"/>
  <c r="C672" i="10"/>
  <c r="D672" i="10" s="1"/>
  <c r="C612" i="10"/>
  <c r="D612" i="10" s="1"/>
  <c r="C472" i="10"/>
  <c r="D472" i="10" s="1"/>
  <c r="C729" i="10"/>
  <c r="D729" i="10" s="1"/>
  <c r="C698" i="10"/>
  <c r="D698" i="10" s="1"/>
  <c r="C949" i="10"/>
  <c r="D949" i="10" s="1"/>
  <c r="C727" i="10"/>
  <c r="D727" i="10" s="1"/>
  <c r="C591" i="10"/>
  <c r="D591" i="10" s="1"/>
  <c r="C304" i="10"/>
  <c r="D304" i="10" s="1"/>
  <c r="C635" i="10"/>
  <c r="D635" i="10" s="1"/>
  <c r="C930" i="10"/>
  <c r="D930" i="10" s="1"/>
  <c r="C164" i="10"/>
  <c r="D164" i="10" s="1"/>
  <c r="C783" i="10"/>
  <c r="D783" i="10" s="1"/>
  <c r="C383" i="10"/>
  <c r="D383" i="10" s="1"/>
  <c r="C683" i="10"/>
  <c r="D683" i="10" s="1"/>
  <c r="C445" i="10"/>
  <c r="D445" i="10" s="1"/>
  <c r="C710" i="10"/>
  <c r="D710" i="10" s="1"/>
  <c r="C813" i="10"/>
  <c r="D813" i="10" s="1"/>
  <c r="C122" i="10"/>
  <c r="D122" i="10" s="1"/>
  <c r="C29" i="10"/>
  <c r="D29" i="10" s="1"/>
  <c r="C48" i="10"/>
  <c r="D48" i="10" s="1"/>
  <c r="C49" i="10"/>
  <c r="D49" i="10" s="1"/>
  <c r="C262" i="10"/>
  <c r="D262" i="10" s="1"/>
  <c r="C624" i="10"/>
  <c r="D624" i="10" s="1"/>
  <c r="C651" i="10"/>
  <c r="D651" i="10" s="1"/>
  <c r="C668" i="10"/>
  <c r="D668" i="10" s="1"/>
  <c r="C826" i="10"/>
  <c r="D826" i="10" s="1"/>
  <c r="C849" i="10"/>
  <c r="D849" i="10" s="1"/>
  <c r="C148" i="10"/>
  <c r="D148" i="10" s="1"/>
  <c r="C589" i="10"/>
  <c r="D589" i="10" s="1"/>
  <c r="C911" i="10"/>
  <c r="D911" i="10" s="1"/>
  <c r="C90" i="10"/>
  <c r="D90" i="10" s="1"/>
  <c r="C549" i="10"/>
  <c r="D549" i="10" s="1"/>
  <c r="C489" i="10"/>
  <c r="D489" i="10" s="1"/>
  <c r="C611" i="10"/>
  <c r="D611" i="10" s="1"/>
  <c r="C643" i="10"/>
  <c r="D643" i="10" s="1"/>
  <c r="C676" i="10"/>
  <c r="D676" i="10" s="1"/>
  <c r="C720" i="10"/>
  <c r="D720" i="10" s="1"/>
  <c r="C757" i="10"/>
  <c r="D757" i="10" s="1"/>
  <c r="C820" i="10"/>
  <c r="D820" i="10" s="1"/>
  <c r="C401" i="10"/>
  <c r="D401" i="10" s="1"/>
  <c r="C775" i="10"/>
  <c r="D775" i="10" s="1"/>
  <c r="C830" i="10"/>
  <c r="D830" i="10" s="1"/>
  <c r="C979" i="10"/>
  <c r="D979" i="10" s="1"/>
  <c r="C552" i="10"/>
  <c r="D552" i="10" s="1"/>
  <c r="C247" i="10"/>
  <c r="D247" i="10" s="1"/>
  <c r="C127" i="10"/>
  <c r="D127" i="10" s="1"/>
  <c r="C205" i="10"/>
  <c r="D205" i="10" s="1"/>
  <c r="C976" i="10"/>
  <c r="D976" i="10" s="1"/>
  <c r="C682" i="10"/>
  <c r="D682" i="10" s="1"/>
  <c r="C887" i="10"/>
  <c r="D887" i="10" s="1"/>
  <c r="C187" i="10"/>
  <c r="D187" i="10" s="1"/>
  <c r="C146" i="10"/>
  <c r="D146" i="10" s="1"/>
  <c r="C116" i="10"/>
  <c r="D116" i="10" s="1"/>
  <c r="C218" i="10"/>
  <c r="D218" i="10" s="1"/>
  <c r="C341" i="10"/>
  <c r="D341" i="10" s="1"/>
  <c r="E89" i="32"/>
  <c r="E92" i="32"/>
  <c r="O92" i="32" s="1"/>
  <c r="H99" i="5"/>
  <c r="L99" i="32"/>
  <c r="N99" i="32"/>
  <c r="I89" i="32"/>
  <c r="G89" i="32"/>
  <c r="L89" i="32"/>
  <c r="O99" i="5"/>
  <c r="R28" i="10"/>
  <c r="O10" i="5" s="1"/>
  <c r="O79" i="5" s="1"/>
  <c r="D99" i="5"/>
  <c r="M99" i="32"/>
  <c r="O69" i="32"/>
  <c r="I72" i="32"/>
  <c r="K99" i="32"/>
  <c r="O97" i="32"/>
  <c r="J24" i="5"/>
  <c r="J24" i="32" s="1"/>
  <c r="C19" i="5"/>
  <c r="C19" i="32" s="1"/>
  <c r="D54" i="5"/>
  <c r="D54" i="32" s="1"/>
  <c r="H31" i="5"/>
  <c r="H31" i="32" s="1"/>
  <c r="C26" i="5"/>
  <c r="C26" i="32" s="1"/>
  <c r="L58" i="5"/>
  <c r="L58" i="32" s="1"/>
  <c r="H52" i="5"/>
  <c r="H52" i="32" s="1"/>
  <c r="E26" i="5"/>
  <c r="E26" i="32" s="1"/>
  <c r="H29" i="5"/>
  <c r="H29" i="32" s="1"/>
  <c r="N42" i="5"/>
  <c r="N42" i="32" s="1"/>
  <c r="F36" i="5"/>
  <c r="F36" i="32" s="1"/>
  <c r="E41" i="5"/>
  <c r="E41" i="32" s="1"/>
  <c r="K14" i="5"/>
  <c r="F16" i="5"/>
  <c r="F16" i="32" s="1"/>
  <c r="J16" i="5"/>
  <c r="J16" i="32" s="1"/>
  <c r="H21" i="5"/>
  <c r="H21" i="32" s="1"/>
  <c r="C34" i="5"/>
  <c r="C34" i="32" s="1"/>
  <c r="K34" i="5"/>
  <c r="K34" i="32" s="1"/>
  <c r="G55" i="5"/>
  <c r="G55" i="32" s="1"/>
  <c r="K59" i="5"/>
  <c r="K59" i="32" s="1"/>
  <c r="I59" i="5"/>
  <c r="I59" i="32" s="1"/>
  <c r="M46" i="5"/>
  <c r="M46" i="32" s="1"/>
  <c r="K58" i="5"/>
  <c r="K58" i="32" s="1"/>
  <c r="H34" i="5"/>
  <c r="H34" i="32" s="1"/>
  <c r="G20" i="5"/>
  <c r="G20" i="32" s="1"/>
  <c r="H45" i="5"/>
  <c r="H45" i="32" s="1"/>
  <c r="E79" i="5"/>
  <c r="E75" i="32"/>
  <c r="N34" i="5"/>
  <c r="N34" i="32" s="1"/>
  <c r="C14" i="5"/>
  <c r="J44" i="5"/>
  <c r="J44" i="32" s="1"/>
  <c r="G33" i="5"/>
  <c r="G33" i="32" s="1"/>
  <c r="N27" i="5"/>
  <c r="N27" i="32" s="1"/>
  <c r="G60" i="5"/>
  <c r="G60" i="32" s="1"/>
  <c r="G41" i="5"/>
  <c r="G41" i="32" s="1"/>
  <c r="N49" i="5"/>
  <c r="N49" i="32" s="1"/>
  <c r="C15" i="5"/>
  <c r="C15" i="32" s="1"/>
  <c r="E58" i="5"/>
  <c r="E58" i="32" s="1"/>
  <c r="M65" i="5"/>
  <c r="M65" i="32" s="1"/>
  <c r="N45" i="5"/>
  <c r="N45" i="32" s="1"/>
  <c r="D42" i="5"/>
  <c r="D42" i="32" s="1"/>
  <c r="E46" i="5"/>
  <c r="E46" i="32" s="1"/>
  <c r="J40" i="5"/>
  <c r="J40" i="32" s="1"/>
  <c r="I41" i="5"/>
  <c r="I41" i="32" s="1"/>
  <c r="J41" i="5"/>
  <c r="J41" i="32" s="1"/>
  <c r="L16" i="5"/>
  <c r="L16" i="32" s="1"/>
  <c r="M50" i="5"/>
  <c r="M50" i="32" s="1"/>
  <c r="K33" i="5"/>
  <c r="K33" i="32" s="1"/>
  <c r="M35" i="5"/>
  <c r="M35" i="32" s="1"/>
  <c r="G39" i="5"/>
  <c r="G39" i="32" s="1"/>
  <c r="G7" i="5"/>
  <c r="G7" i="32" s="1"/>
  <c r="F42" i="5"/>
  <c r="F42" i="32" s="1"/>
  <c r="D31" i="5"/>
  <c r="D31" i="32" s="1"/>
  <c r="I60" i="5"/>
  <c r="I60" i="32" s="1"/>
  <c r="D60" i="5"/>
  <c r="D60" i="32" s="1"/>
  <c r="K37" i="5"/>
  <c r="K37" i="32" s="1"/>
  <c r="E28" i="5"/>
  <c r="E28" i="32" s="1"/>
  <c r="E23" i="5"/>
  <c r="E23" i="32" s="1"/>
  <c r="I58" i="5"/>
  <c r="I58" i="32" s="1"/>
  <c r="F15" i="5"/>
  <c r="F15" i="32" s="1"/>
  <c r="J50" i="5"/>
  <c r="J50" i="32" s="1"/>
  <c r="D16" i="5"/>
  <c r="D16" i="32" s="1"/>
  <c r="E32" i="5"/>
  <c r="E32" i="32" s="1"/>
  <c r="I14" i="5"/>
  <c r="F25" i="5"/>
  <c r="F25" i="32" s="1"/>
  <c r="C35" i="5"/>
  <c r="C35" i="32" s="1"/>
  <c r="G29" i="5"/>
  <c r="G29" i="32" s="1"/>
  <c r="H22" i="5"/>
  <c r="H22" i="32" s="1"/>
  <c r="F38" i="5"/>
  <c r="F38" i="32" s="1"/>
  <c r="L38" i="5"/>
  <c r="L38" i="32" s="1"/>
  <c r="K35" i="5"/>
  <c r="K35" i="32" s="1"/>
  <c r="H15" i="5"/>
  <c r="H15" i="32" s="1"/>
  <c r="F34" i="5"/>
  <c r="F34" i="32" s="1"/>
  <c r="C54" i="5"/>
  <c r="C54" i="32" s="1"/>
  <c r="D53" i="5"/>
  <c r="D53" i="32" s="1"/>
  <c r="G16" i="5"/>
  <c r="G16" i="32" s="1"/>
  <c r="G9" i="5"/>
  <c r="G9" i="32" s="1"/>
  <c r="K30" i="5"/>
  <c r="K30" i="32" s="1"/>
  <c r="J26" i="5"/>
  <c r="J26" i="32" s="1"/>
  <c r="G42" i="5"/>
  <c r="G42" i="32" s="1"/>
  <c r="K39" i="5"/>
  <c r="K39" i="32" s="1"/>
  <c r="K27" i="5"/>
  <c r="K27" i="32" s="1"/>
  <c r="J31" i="5"/>
  <c r="J31" i="32" s="1"/>
  <c r="H32" i="5"/>
  <c r="H32" i="32" s="1"/>
  <c r="K50" i="5"/>
  <c r="K50" i="32" s="1"/>
  <c r="M55" i="5"/>
  <c r="M55" i="32" s="1"/>
  <c r="D49" i="5"/>
  <c r="D49" i="32" s="1"/>
  <c r="D43" i="5"/>
  <c r="D43" i="32" s="1"/>
  <c r="L46" i="5"/>
  <c r="L46" i="32" s="1"/>
  <c r="O22" i="5"/>
  <c r="N50" i="5"/>
  <c r="N50" i="32" s="1"/>
  <c r="O16" i="5"/>
  <c r="G25" i="5"/>
  <c r="G25" i="32" s="1"/>
  <c r="D7" i="5"/>
  <c r="D7" i="32" s="1"/>
  <c r="F29" i="5"/>
  <c r="F29" i="32" s="1"/>
  <c r="G32" i="5"/>
  <c r="G32" i="32" s="1"/>
  <c r="O51" i="5"/>
  <c r="G37" i="5"/>
  <c r="G37" i="32" s="1"/>
  <c r="O58" i="5"/>
  <c r="J36" i="5"/>
  <c r="J36" i="32" s="1"/>
  <c r="M7" i="5"/>
  <c r="M7" i="32" s="1"/>
  <c r="J58" i="5"/>
  <c r="J58" i="32" s="1"/>
  <c r="J57" i="5"/>
  <c r="J57" i="32" s="1"/>
  <c r="J48" i="5"/>
  <c r="J48" i="32" s="1"/>
  <c r="E48" i="5"/>
  <c r="E48" i="32" s="1"/>
  <c r="F35" i="5"/>
  <c r="F35" i="32" s="1"/>
  <c r="F33" i="5"/>
  <c r="F33" i="32" s="1"/>
  <c r="C51" i="5"/>
  <c r="C51" i="32" s="1"/>
  <c r="F37" i="5"/>
  <c r="F37" i="32" s="1"/>
  <c r="F10" i="5"/>
  <c r="F10" i="32" s="1"/>
  <c r="G27" i="5"/>
  <c r="G27" i="32" s="1"/>
  <c r="J29" i="5"/>
  <c r="J29" i="32" s="1"/>
  <c r="I29" i="5"/>
  <c r="I29" i="32" s="1"/>
  <c r="L56" i="5"/>
  <c r="L56" i="32" s="1"/>
  <c r="G59" i="5"/>
  <c r="G59" i="32" s="1"/>
  <c r="D35" i="5"/>
  <c r="D35" i="32" s="1"/>
  <c r="M58" i="5"/>
  <c r="M58" i="32" s="1"/>
  <c r="H23" i="5"/>
  <c r="H23" i="32" s="1"/>
  <c r="C42" i="5"/>
  <c r="C42" i="32" s="1"/>
  <c r="M28" i="5"/>
  <c r="M28" i="32" s="1"/>
  <c r="I24" i="5"/>
  <c r="I24" i="32" s="1"/>
  <c r="I35" i="5"/>
  <c r="I35" i="32" s="1"/>
  <c r="N15" i="5"/>
  <c r="N15" i="32" s="1"/>
  <c r="M38" i="5"/>
  <c r="M38" i="32" s="1"/>
  <c r="J17" i="5"/>
  <c r="J17" i="32" s="1"/>
  <c r="G50" i="5"/>
  <c r="G50" i="32" s="1"/>
  <c r="E57" i="5"/>
  <c r="E57" i="32" s="1"/>
  <c r="G54" i="5"/>
  <c r="G54" i="32" s="1"/>
  <c r="D36" i="5"/>
  <c r="D36" i="32" s="1"/>
  <c r="H17" i="5"/>
  <c r="H17" i="32" s="1"/>
  <c r="C10" i="5"/>
  <c r="C10" i="32" s="1"/>
  <c r="J30" i="5"/>
  <c r="J30" i="32" s="1"/>
  <c r="D24" i="5"/>
  <c r="D24" i="32" s="1"/>
  <c r="L37" i="5"/>
  <c r="L37" i="32" s="1"/>
  <c r="M18" i="5"/>
  <c r="M18" i="32" s="1"/>
  <c r="E55" i="5"/>
  <c r="E55" i="32" s="1"/>
  <c r="D32" i="5"/>
  <c r="D32" i="32" s="1"/>
  <c r="E27" i="5"/>
  <c r="E27" i="32" s="1"/>
  <c r="J27" i="5"/>
  <c r="J27" i="32" s="1"/>
  <c r="G38" i="5"/>
  <c r="G38" i="32" s="1"/>
  <c r="K57" i="5"/>
  <c r="K57" i="32" s="1"/>
  <c r="N54" i="5"/>
  <c r="N54" i="32" s="1"/>
  <c r="F19" i="5"/>
  <c r="F19" i="32" s="1"/>
  <c r="G53" i="5"/>
  <c r="G53" i="32" s="1"/>
  <c r="L32" i="5"/>
  <c r="L32" i="32" s="1"/>
  <c r="N10" i="5"/>
  <c r="N10" i="32" s="1"/>
  <c r="C17" i="5"/>
  <c r="C17" i="32" s="1"/>
  <c r="D52" i="5"/>
  <c r="D52" i="32" s="1"/>
  <c r="H59" i="5"/>
  <c r="H59" i="32" s="1"/>
  <c r="G35" i="5"/>
  <c r="G35" i="32" s="1"/>
  <c r="O77" i="32"/>
  <c r="G62" i="5"/>
  <c r="G62" i="32" s="1"/>
  <c r="M62" i="5"/>
  <c r="M62" i="32" s="1"/>
  <c r="K26" i="5"/>
  <c r="K26" i="32" s="1"/>
  <c r="I42" i="5"/>
  <c r="I42" i="32" s="1"/>
  <c r="M39" i="5"/>
  <c r="M39" i="32" s="1"/>
  <c r="O37" i="5"/>
  <c r="E31" i="5"/>
  <c r="E31" i="32" s="1"/>
  <c r="E34" i="5"/>
  <c r="E34" i="32" s="1"/>
  <c r="F58" i="5"/>
  <c r="F58" i="32" s="1"/>
  <c r="N24" i="5"/>
  <c r="N24" i="32" s="1"/>
  <c r="M15" i="5"/>
  <c r="M15" i="32" s="1"/>
  <c r="L28" i="5"/>
  <c r="L28" i="32" s="1"/>
  <c r="E42" i="5"/>
  <c r="E42" i="32" s="1"/>
  <c r="O25" i="5"/>
  <c r="F24" i="5"/>
  <c r="F24" i="32" s="1"/>
  <c r="H46" i="5"/>
  <c r="H46" i="32" s="1"/>
  <c r="G24" i="5"/>
  <c r="G24" i="32" s="1"/>
  <c r="E44" i="5"/>
  <c r="E44" i="32" s="1"/>
  <c r="I6" i="5"/>
  <c r="N21" i="5"/>
  <c r="N21" i="32" s="1"/>
  <c r="L7" i="5"/>
  <c r="L7" i="32" s="1"/>
  <c r="J21" i="5"/>
  <c r="J21" i="32" s="1"/>
  <c r="F49" i="5"/>
  <c r="F49" i="32" s="1"/>
  <c r="L19" i="5"/>
  <c r="L19" i="32" s="1"/>
  <c r="O61" i="5"/>
  <c r="E39" i="5"/>
  <c r="E39" i="32" s="1"/>
  <c r="M42" i="5"/>
  <c r="M42" i="32" s="1"/>
  <c r="G48" i="5"/>
  <c r="G48" i="32" s="1"/>
  <c r="F53" i="5"/>
  <c r="F53" i="32" s="1"/>
  <c r="D51" i="5"/>
  <c r="D51" i="32" s="1"/>
  <c r="G43" i="5"/>
  <c r="G43" i="32" s="1"/>
  <c r="N46" i="5"/>
  <c r="N46" i="32" s="1"/>
  <c r="N53" i="5"/>
  <c r="N53" i="32" s="1"/>
  <c r="F59" i="5"/>
  <c r="F59" i="32" s="1"/>
  <c r="J28" i="5"/>
  <c r="J28" i="32" s="1"/>
  <c r="K25" i="5"/>
  <c r="K25" i="32" s="1"/>
  <c r="C16" i="5"/>
  <c r="C16" i="32" s="1"/>
  <c r="I10" i="5"/>
  <c r="I10" i="32" s="1"/>
  <c r="L51" i="5"/>
  <c r="L51" i="32" s="1"/>
  <c r="K53" i="5"/>
  <c r="K53" i="32" s="1"/>
  <c r="C23" i="5"/>
  <c r="C23" i="32" s="1"/>
  <c r="D34" i="5"/>
  <c r="D34" i="32" s="1"/>
  <c r="F14" i="5"/>
  <c r="L21" i="5"/>
  <c r="L21" i="32" s="1"/>
  <c r="C64" i="5"/>
  <c r="C64" i="32" s="1"/>
  <c r="L64" i="5"/>
  <c r="L64" i="32" s="1"/>
  <c r="C63" i="5"/>
  <c r="C63" i="32" s="1"/>
  <c r="E21" i="5"/>
  <c r="E21" i="32" s="1"/>
  <c r="O54" i="5"/>
  <c r="G22" i="5"/>
  <c r="G22" i="32" s="1"/>
  <c r="I31" i="5"/>
  <c r="I31" i="32" s="1"/>
  <c r="D45" i="5"/>
  <c r="D45" i="32" s="1"/>
  <c r="H40" i="5"/>
  <c r="H40" i="32" s="1"/>
  <c r="K42" i="5"/>
  <c r="K42" i="32" s="1"/>
  <c r="I33" i="5"/>
  <c r="I33" i="32" s="1"/>
  <c r="I43" i="5"/>
  <c r="I43" i="32" s="1"/>
  <c r="D18" i="5"/>
  <c r="D18" i="32" s="1"/>
  <c r="N7" i="5"/>
  <c r="N7" i="32" s="1"/>
  <c r="N51" i="5"/>
  <c r="N51" i="32" s="1"/>
  <c r="N38" i="5"/>
  <c r="N38" i="32" s="1"/>
  <c r="N26" i="5"/>
  <c r="N26" i="32" s="1"/>
  <c r="H62" i="5"/>
  <c r="H62" i="32" s="1"/>
  <c r="K64" i="5"/>
  <c r="K64" i="32" s="1"/>
  <c r="L49" i="5"/>
  <c r="L49" i="32" s="1"/>
  <c r="O33" i="5"/>
  <c r="L17" i="5"/>
  <c r="L17" i="32" s="1"/>
  <c r="N17" i="5"/>
  <c r="N17" i="32" s="1"/>
  <c r="F39" i="5"/>
  <c r="F39" i="32" s="1"/>
  <c r="O45" i="5"/>
  <c r="L60" i="5"/>
  <c r="L60" i="32" s="1"/>
  <c r="L31" i="5"/>
  <c r="L31" i="32" s="1"/>
  <c r="L24" i="5"/>
  <c r="L24" i="32" s="1"/>
  <c r="G18" i="5"/>
  <c r="G18" i="32" s="1"/>
  <c r="K38" i="5"/>
  <c r="K38" i="32" s="1"/>
  <c r="C53" i="5"/>
  <c r="C53" i="32" s="1"/>
  <c r="N30" i="5"/>
  <c r="N30" i="32" s="1"/>
  <c r="D46" i="5"/>
  <c r="D46" i="32" s="1"/>
  <c r="M25" i="5"/>
  <c r="M25" i="32" s="1"/>
  <c r="K56" i="5"/>
  <c r="K56" i="32" s="1"/>
  <c r="E56" i="5"/>
  <c r="E56" i="32" s="1"/>
  <c r="N61" i="5"/>
  <c r="N61" i="32" s="1"/>
  <c r="D64" i="5"/>
  <c r="D64" i="32" s="1"/>
  <c r="N57" i="5"/>
  <c r="N57" i="32" s="1"/>
  <c r="F6" i="5"/>
  <c r="H19" i="5"/>
  <c r="H19" i="32" s="1"/>
  <c r="I54" i="5"/>
  <c r="I54" i="32" s="1"/>
  <c r="K65" i="5"/>
  <c r="K65" i="32" s="1"/>
  <c r="M14" i="5"/>
  <c r="D62" i="5"/>
  <c r="D62" i="32" s="1"/>
  <c r="I64" i="5"/>
  <c r="I64" i="32" s="1"/>
  <c r="H63" i="5"/>
  <c r="H63" i="32" s="1"/>
  <c r="E62" i="5"/>
  <c r="E62" i="32" s="1"/>
  <c r="L18" i="5"/>
  <c r="L18" i="32" s="1"/>
  <c r="K32" i="5"/>
  <c r="K32" i="32" s="1"/>
  <c r="O30" i="5"/>
  <c r="J42" i="5"/>
  <c r="J42" i="32" s="1"/>
  <c r="O76" i="32"/>
  <c r="M64" i="5"/>
  <c r="M64" i="32" s="1"/>
  <c r="J79" i="5"/>
  <c r="J75" i="32"/>
  <c r="J79" i="32" s="1"/>
  <c r="I32" i="5"/>
  <c r="I32" i="32" s="1"/>
  <c r="H41" i="5"/>
  <c r="H41" i="32" s="1"/>
  <c r="L40" i="5"/>
  <c r="L40" i="32" s="1"/>
  <c r="N18" i="5"/>
  <c r="N18" i="32" s="1"/>
  <c r="K23" i="5"/>
  <c r="K23" i="32" s="1"/>
  <c r="E47" i="5"/>
  <c r="E47" i="32" s="1"/>
  <c r="G49" i="5"/>
  <c r="G49" i="32" s="1"/>
  <c r="G21" i="5"/>
  <c r="G21" i="32" s="1"/>
  <c r="F41" i="5"/>
  <c r="F41" i="32" s="1"/>
  <c r="D10" i="5"/>
  <c r="D10" i="32" s="1"/>
  <c r="I78" i="32"/>
  <c r="O78" i="32" s="1"/>
  <c r="I79" i="5"/>
  <c r="J70" i="32"/>
  <c r="L52" i="5"/>
  <c r="L52" i="32" s="1"/>
  <c r="M32" i="5"/>
  <c r="M32" i="32" s="1"/>
  <c r="J10" i="5"/>
  <c r="J10" i="32" s="1"/>
  <c r="J6" i="5"/>
  <c r="N40" i="5"/>
  <c r="N40" i="32" s="1"/>
  <c r="H43" i="5"/>
  <c r="H43" i="32" s="1"/>
  <c r="E19" i="5"/>
  <c r="E19" i="32" s="1"/>
  <c r="I16" i="5"/>
  <c r="I16" i="32" s="1"/>
  <c r="L75" i="32"/>
  <c r="L79" i="32" s="1"/>
  <c r="C33" i="5"/>
  <c r="C33" i="32" s="1"/>
  <c r="C6" i="5"/>
  <c r="E61" i="5"/>
  <c r="E61" i="32" s="1"/>
  <c r="I62" i="5"/>
  <c r="I62" i="32" s="1"/>
  <c r="C62" i="5"/>
  <c r="C62" i="32" s="1"/>
  <c r="D59" i="5"/>
  <c r="D59" i="32" s="1"/>
  <c r="L63" i="5"/>
  <c r="L63" i="32" s="1"/>
  <c r="F63" i="5"/>
  <c r="F63" i="32" s="1"/>
  <c r="J63" i="5"/>
  <c r="J63" i="32" s="1"/>
  <c r="D61" i="5"/>
  <c r="D61" i="32" s="1"/>
  <c r="F64" i="5"/>
  <c r="F64" i="32" s="1"/>
  <c r="M63" i="5"/>
  <c r="M63" i="32" s="1"/>
  <c r="G61" i="5"/>
  <c r="G61" i="32" s="1"/>
  <c r="D63" i="5"/>
  <c r="D63" i="32" s="1"/>
  <c r="K63" i="5"/>
  <c r="K63" i="32" s="1"/>
  <c r="C61" i="5"/>
  <c r="C61" i="32" s="1"/>
  <c r="C73" i="5"/>
  <c r="C67" i="5" s="1"/>
  <c r="D94" i="32"/>
  <c r="C94" i="5"/>
  <c r="K99" i="5"/>
  <c r="C67" i="32" l="1"/>
  <c r="O14" i="5"/>
  <c r="D73" i="5"/>
  <c r="D67" i="5" s="1"/>
  <c r="L67" i="32"/>
  <c r="L73" i="5"/>
  <c r="L67" i="5" s="1"/>
  <c r="E94" i="5"/>
  <c r="E94" i="32"/>
  <c r="I73" i="5"/>
  <c r="I67" i="5" s="1"/>
  <c r="O68" i="5"/>
  <c r="O73" i="5" s="1"/>
  <c r="O67" i="5" s="1"/>
  <c r="I73" i="32"/>
  <c r="J94" i="5"/>
  <c r="J73" i="5"/>
  <c r="J67" i="5" s="1"/>
  <c r="N94" i="5"/>
  <c r="I94" i="5"/>
  <c r="N68" i="32"/>
  <c r="N73" i="32" s="1"/>
  <c r="N67" i="32" s="1"/>
  <c r="N73" i="5"/>
  <c r="N67" i="5" s="1"/>
  <c r="M68" i="32"/>
  <c r="M73" i="32" s="1"/>
  <c r="M67" i="32" s="1"/>
  <c r="M73" i="5"/>
  <c r="M67" i="5" s="1"/>
  <c r="M93" i="32"/>
  <c r="M94" i="32" s="1"/>
  <c r="M94" i="5"/>
  <c r="L93" i="32"/>
  <c r="L94" i="32" s="1"/>
  <c r="L94" i="5"/>
  <c r="K68" i="32"/>
  <c r="K73" i="32" s="1"/>
  <c r="K67" i="32" s="1"/>
  <c r="K73" i="5"/>
  <c r="K67" i="5" s="1"/>
  <c r="K93" i="32"/>
  <c r="K94" i="32" s="1"/>
  <c r="K94" i="5"/>
  <c r="H68" i="32"/>
  <c r="H73" i="32" s="1"/>
  <c r="H67" i="32" s="1"/>
  <c r="H73" i="5"/>
  <c r="H67" i="5" s="1"/>
  <c r="H93" i="32"/>
  <c r="H94" i="32" s="1"/>
  <c r="H94" i="5"/>
  <c r="G68" i="32"/>
  <c r="G73" i="32" s="1"/>
  <c r="G67" i="32" s="1"/>
  <c r="G73" i="5"/>
  <c r="G67" i="5" s="1"/>
  <c r="G93" i="32"/>
  <c r="G94" i="32" s="1"/>
  <c r="G94" i="5"/>
  <c r="F68" i="32"/>
  <c r="F73" i="32" s="1"/>
  <c r="F67" i="32" s="1"/>
  <c r="F73" i="5"/>
  <c r="F67" i="5" s="1"/>
  <c r="F93" i="32"/>
  <c r="F94" i="5"/>
  <c r="E68" i="32"/>
  <c r="E73" i="5"/>
  <c r="E67" i="5" s="1"/>
  <c r="H25" i="5"/>
  <c r="H25" i="32" s="1"/>
  <c r="E99" i="32"/>
  <c r="O98" i="32"/>
  <c r="O99" i="32" s="1"/>
  <c r="E17" i="5"/>
  <c r="E17" i="32" s="1"/>
  <c r="D57" i="5"/>
  <c r="D57" i="32" s="1"/>
  <c r="J14" i="5"/>
  <c r="J14" i="32" s="1"/>
  <c r="H6" i="5"/>
  <c r="H6" i="32" s="1"/>
  <c r="J73" i="32"/>
  <c r="J67" i="32" s="1"/>
  <c r="O70" i="32"/>
  <c r="D17" i="5"/>
  <c r="D17" i="32" s="1"/>
  <c r="M53" i="5"/>
  <c r="M53" i="32" s="1"/>
  <c r="H26" i="5"/>
  <c r="H26" i="32" s="1"/>
  <c r="M16" i="5"/>
  <c r="M16" i="32" s="1"/>
  <c r="J23" i="5"/>
  <c r="J23" i="32" s="1"/>
  <c r="K40" i="5"/>
  <c r="K40" i="32" s="1"/>
  <c r="C36" i="5"/>
  <c r="C36" i="32" s="1"/>
  <c r="G58" i="5"/>
  <c r="G58" i="32" s="1"/>
  <c r="I57" i="5"/>
  <c r="I57" i="32" s="1"/>
  <c r="I49" i="5"/>
  <c r="I49" i="32" s="1"/>
  <c r="G44" i="5"/>
  <c r="G44" i="32" s="1"/>
  <c r="N47" i="5"/>
  <c r="N47" i="32" s="1"/>
  <c r="D58" i="5"/>
  <c r="D58" i="32" s="1"/>
  <c r="I61" i="5"/>
  <c r="I61" i="32" s="1"/>
  <c r="M61" i="5"/>
  <c r="M61" i="32" s="1"/>
  <c r="O64" i="5"/>
  <c r="E64" i="5"/>
  <c r="E64" i="32" s="1"/>
  <c r="E63" i="5"/>
  <c r="E63" i="32" s="1"/>
  <c r="F61" i="5"/>
  <c r="F61" i="32" s="1"/>
  <c r="L41" i="5"/>
  <c r="L41" i="32" s="1"/>
  <c r="H33" i="5"/>
  <c r="H33" i="32" s="1"/>
  <c r="K48" i="5"/>
  <c r="K48" i="32" s="1"/>
  <c r="H9" i="5"/>
  <c r="H9" i="32" s="1"/>
  <c r="J39" i="5"/>
  <c r="J39" i="32" s="1"/>
  <c r="H50" i="5"/>
  <c r="H50" i="32" s="1"/>
  <c r="D37" i="5"/>
  <c r="D37" i="32" s="1"/>
  <c r="J46" i="5"/>
  <c r="J46" i="32" s="1"/>
  <c r="C45" i="5"/>
  <c r="C45" i="32" s="1"/>
  <c r="M24" i="5"/>
  <c r="M24" i="32" s="1"/>
  <c r="H64" i="5"/>
  <c r="H64" i="32" s="1"/>
  <c r="K61" i="5"/>
  <c r="K61" i="32" s="1"/>
  <c r="K19" i="5"/>
  <c r="K19" i="32" s="1"/>
  <c r="I56" i="5"/>
  <c r="I56" i="32" s="1"/>
  <c r="O32" i="5"/>
  <c r="H35" i="5"/>
  <c r="H35" i="32" s="1"/>
  <c r="O63" i="5"/>
  <c r="K17" i="5"/>
  <c r="K17" i="32" s="1"/>
  <c r="L27" i="5"/>
  <c r="L27" i="32" s="1"/>
  <c r="C65" i="5"/>
  <c r="C65" i="32" s="1"/>
  <c r="G10" i="5"/>
  <c r="G10" i="32" s="1"/>
  <c r="L65" i="5"/>
  <c r="L65" i="32" s="1"/>
  <c r="E49" i="5"/>
  <c r="E49" i="32" s="1"/>
  <c r="J54" i="5"/>
  <c r="J54" i="32" s="1"/>
  <c r="L10" i="5"/>
  <c r="L10" i="32" s="1"/>
  <c r="D22" i="5"/>
  <c r="D22" i="32" s="1"/>
  <c r="N14" i="5"/>
  <c r="N14" i="32" s="1"/>
  <c r="C28" i="5"/>
  <c r="C28" i="32" s="1"/>
  <c r="N65" i="5"/>
  <c r="N65" i="32" s="1"/>
  <c r="E10" i="5"/>
  <c r="E10" i="32" s="1"/>
  <c r="J19" i="5"/>
  <c r="J19" i="32" s="1"/>
  <c r="C41" i="5"/>
  <c r="C41" i="32" s="1"/>
  <c r="J43" i="5"/>
  <c r="J43" i="32" s="1"/>
  <c r="N56" i="5"/>
  <c r="N56" i="32" s="1"/>
  <c r="N64" i="5"/>
  <c r="N64" i="32" s="1"/>
  <c r="E9" i="5"/>
  <c r="E9" i="32" s="1"/>
  <c r="J52" i="5"/>
  <c r="J52" i="32" s="1"/>
  <c r="F40" i="5"/>
  <c r="F40" i="32" s="1"/>
  <c r="O57" i="5"/>
  <c r="C46" i="5"/>
  <c r="C46" i="32" s="1"/>
  <c r="H37" i="5"/>
  <c r="H37" i="32" s="1"/>
  <c r="I38" i="5"/>
  <c r="I38" i="32" s="1"/>
  <c r="M44" i="5"/>
  <c r="M44" i="32" s="1"/>
  <c r="O44" i="5"/>
  <c r="H51" i="5"/>
  <c r="H51" i="32" s="1"/>
  <c r="H30" i="5"/>
  <c r="H30" i="32" s="1"/>
  <c r="E51" i="5"/>
  <c r="E51" i="32" s="1"/>
  <c r="K20" i="5"/>
  <c r="K20" i="32" s="1"/>
  <c r="K52" i="5"/>
  <c r="K52" i="32" s="1"/>
  <c r="L53" i="5"/>
  <c r="L53" i="32" s="1"/>
  <c r="O60" i="5"/>
  <c r="C56" i="5"/>
  <c r="C56" i="32" s="1"/>
  <c r="N59" i="5"/>
  <c r="N59" i="32" s="1"/>
  <c r="I52" i="5"/>
  <c r="I52" i="32" s="1"/>
  <c r="N37" i="5"/>
  <c r="N37" i="32" s="1"/>
  <c r="J9" i="5"/>
  <c r="J9" i="32" s="1"/>
  <c r="K10" i="5"/>
  <c r="K10" i="32" s="1"/>
  <c r="F27" i="5"/>
  <c r="F27" i="32" s="1"/>
  <c r="G56" i="5"/>
  <c r="G56" i="32" s="1"/>
  <c r="L42" i="5"/>
  <c r="L42" i="32" s="1"/>
  <c r="O17" i="5"/>
  <c r="K43" i="5"/>
  <c r="K43" i="32" s="1"/>
  <c r="H24" i="5"/>
  <c r="H24" i="32" s="1"/>
  <c r="J15" i="5"/>
  <c r="J15" i="32" s="1"/>
  <c r="I7" i="5"/>
  <c r="I7" i="32" s="1"/>
  <c r="E14" i="5"/>
  <c r="E14" i="32" s="1"/>
  <c r="N52" i="5"/>
  <c r="N52" i="32" s="1"/>
  <c r="F55" i="5"/>
  <c r="F55" i="32" s="1"/>
  <c r="J25" i="5"/>
  <c r="J25" i="32" s="1"/>
  <c r="G36" i="5"/>
  <c r="G36" i="32" s="1"/>
  <c r="G31" i="5"/>
  <c r="G31" i="32" s="1"/>
  <c r="E65" i="5"/>
  <c r="E65" i="32" s="1"/>
  <c r="K41" i="5"/>
  <c r="K41" i="32" s="1"/>
  <c r="M52" i="5"/>
  <c r="M52" i="32" s="1"/>
  <c r="L34" i="5"/>
  <c r="L34" i="32" s="1"/>
  <c r="D33" i="5"/>
  <c r="D33" i="32" s="1"/>
  <c r="M26" i="5"/>
  <c r="M26" i="32" s="1"/>
  <c r="D14" i="5"/>
  <c r="D14" i="32" s="1"/>
  <c r="C52" i="5"/>
  <c r="C52" i="32" s="1"/>
  <c r="K22" i="5"/>
  <c r="K22" i="32" s="1"/>
  <c r="I48" i="5"/>
  <c r="I48" i="32" s="1"/>
  <c r="I45" i="5"/>
  <c r="I45" i="32" s="1"/>
  <c r="H14" i="5"/>
  <c r="H14" i="32" s="1"/>
  <c r="M34" i="5"/>
  <c r="M34" i="32" s="1"/>
  <c r="I30" i="5"/>
  <c r="I30" i="32" s="1"/>
  <c r="F32" i="5"/>
  <c r="F32" i="32" s="1"/>
  <c r="D41" i="5"/>
  <c r="D41" i="32" s="1"/>
  <c r="C30" i="5"/>
  <c r="C30" i="32" s="1"/>
  <c r="C47" i="5"/>
  <c r="C47" i="32" s="1"/>
  <c r="O46" i="5"/>
  <c r="K44" i="5"/>
  <c r="K44" i="32" s="1"/>
  <c r="J37" i="5"/>
  <c r="J37" i="32" s="1"/>
  <c r="C40" i="5"/>
  <c r="C40" i="32" s="1"/>
  <c r="G30" i="5"/>
  <c r="G30" i="32" s="1"/>
  <c r="D55" i="5"/>
  <c r="D55" i="32" s="1"/>
  <c r="F9" i="5"/>
  <c r="F9" i="32" s="1"/>
  <c r="I47" i="5"/>
  <c r="I47" i="32" s="1"/>
  <c r="K46" i="5"/>
  <c r="K46" i="32" s="1"/>
  <c r="C43" i="5"/>
  <c r="C43" i="32" s="1"/>
  <c r="L57" i="5"/>
  <c r="L57" i="32" s="1"/>
  <c r="E7" i="5"/>
  <c r="E7" i="32" s="1"/>
  <c r="L33" i="5"/>
  <c r="L33" i="32" s="1"/>
  <c r="C44" i="5"/>
  <c r="C44" i="32" s="1"/>
  <c r="J49" i="5"/>
  <c r="J49" i="32" s="1"/>
  <c r="F20" i="5"/>
  <c r="F20" i="32" s="1"/>
  <c r="E35" i="5"/>
  <c r="E35" i="32" s="1"/>
  <c r="O34" i="5"/>
  <c r="K51" i="5"/>
  <c r="K51" i="32" s="1"/>
  <c r="N20" i="5"/>
  <c r="N20" i="32" s="1"/>
  <c r="M10" i="5"/>
  <c r="M10" i="32" s="1"/>
  <c r="G46" i="5"/>
  <c r="G46" i="32" s="1"/>
  <c r="E24" i="5"/>
  <c r="E24" i="32" s="1"/>
  <c r="M40" i="5"/>
  <c r="M40" i="32" s="1"/>
  <c r="H53" i="5"/>
  <c r="H53" i="32" s="1"/>
  <c r="L50" i="5"/>
  <c r="L50" i="32" s="1"/>
  <c r="C37" i="5"/>
  <c r="C37" i="32" s="1"/>
  <c r="C32" i="5"/>
  <c r="C32" i="32" s="1"/>
  <c r="C59" i="5"/>
  <c r="C59" i="32" s="1"/>
  <c r="K49" i="5"/>
  <c r="K49" i="32" s="1"/>
  <c r="N43" i="5"/>
  <c r="N43" i="32" s="1"/>
  <c r="D27" i="5"/>
  <c r="D27" i="32" s="1"/>
  <c r="M33" i="5"/>
  <c r="M33" i="32" s="1"/>
  <c r="L48" i="5"/>
  <c r="L48" i="32" s="1"/>
  <c r="N39" i="5"/>
  <c r="N39" i="32" s="1"/>
  <c r="H48" i="5"/>
  <c r="H48" i="32" s="1"/>
  <c r="E20" i="5"/>
  <c r="E20" i="32" s="1"/>
  <c r="M54" i="5"/>
  <c r="M54" i="32" s="1"/>
  <c r="D26" i="5"/>
  <c r="D26" i="32" s="1"/>
  <c r="F47" i="5"/>
  <c r="F47" i="32" s="1"/>
  <c r="E22" i="5"/>
  <c r="E22" i="32" s="1"/>
  <c r="H36" i="5"/>
  <c r="H36" i="32" s="1"/>
  <c r="E59" i="5"/>
  <c r="E59" i="32" s="1"/>
  <c r="C22" i="5"/>
  <c r="C22" i="32" s="1"/>
  <c r="L55" i="5"/>
  <c r="L55" i="32" s="1"/>
  <c r="N28" i="5"/>
  <c r="N28" i="32" s="1"/>
  <c r="K16" i="5"/>
  <c r="K16" i="32" s="1"/>
  <c r="G17" i="5"/>
  <c r="G17" i="32" s="1"/>
  <c r="I23" i="5"/>
  <c r="I23" i="32" s="1"/>
  <c r="I19" i="5"/>
  <c r="I19" i="32" s="1"/>
  <c r="F31" i="5"/>
  <c r="F31" i="32" s="1"/>
  <c r="K7" i="5"/>
  <c r="K7" i="32" s="1"/>
  <c r="F65" i="5"/>
  <c r="F65" i="32" s="1"/>
  <c r="C29" i="5"/>
  <c r="C29" i="32" s="1"/>
  <c r="G15" i="5"/>
  <c r="G15" i="32" s="1"/>
  <c r="D47" i="5"/>
  <c r="D47" i="32" s="1"/>
  <c r="J34" i="5"/>
  <c r="J34" i="32" s="1"/>
  <c r="M9" i="5"/>
  <c r="M9" i="32" s="1"/>
  <c r="L9" i="5"/>
  <c r="L9" i="32" s="1"/>
  <c r="I28" i="5"/>
  <c r="I28" i="32" s="1"/>
  <c r="O23" i="5"/>
  <c r="O29" i="5"/>
  <c r="O31" i="5"/>
  <c r="I36" i="5"/>
  <c r="I36" i="32" s="1"/>
  <c r="E50" i="5"/>
  <c r="E50" i="32" s="1"/>
  <c r="H7" i="5"/>
  <c r="H7" i="32" s="1"/>
  <c r="F54" i="5"/>
  <c r="F54" i="32" s="1"/>
  <c r="G19" i="5"/>
  <c r="G19" i="32" s="1"/>
  <c r="F28" i="5"/>
  <c r="F28" i="32" s="1"/>
  <c r="L25" i="5"/>
  <c r="L25" i="32" s="1"/>
  <c r="N60" i="5"/>
  <c r="N60" i="32" s="1"/>
  <c r="M57" i="5"/>
  <c r="M57" i="32" s="1"/>
  <c r="O26" i="5"/>
  <c r="K28" i="5"/>
  <c r="K28" i="32" s="1"/>
  <c r="I39" i="5"/>
  <c r="I39" i="32" s="1"/>
  <c r="N41" i="5"/>
  <c r="N41" i="32" s="1"/>
  <c r="D38" i="5"/>
  <c r="D38" i="32" s="1"/>
  <c r="H28" i="5"/>
  <c r="H28" i="32" s="1"/>
  <c r="C21" i="5"/>
  <c r="C21" i="32" s="1"/>
  <c r="O65" i="5"/>
  <c r="D48" i="5"/>
  <c r="D48" i="32" s="1"/>
  <c r="G14" i="5"/>
  <c r="G14" i="32" s="1"/>
  <c r="E16" i="5"/>
  <c r="E16" i="32" s="1"/>
  <c r="O35" i="5"/>
  <c r="O59" i="5"/>
  <c r="F26" i="5"/>
  <c r="F26" i="32" s="1"/>
  <c r="L23" i="5"/>
  <c r="L23" i="32" s="1"/>
  <c r="E36" i="5"/>
  <c r="E36" i="32" s="1"/>
  <c r="M37" i="5"/>
  <c r="M37" i="32" s="1"/>
  <c r="I9" i="5"/>
  <c r="I9" i="32" s="1"/>
  <c r="O19" i="5"/>
  <c r="O42" i="5"/>
  <c r="O36" i="5"/>
  <c r="O6" i="5"/>
  <c r="O49" i="5"/>
  <c r="N36" i="5"/>
  <c r="N36" i="32" s="1"/>
  <c r="D15" i="5"/>
  <c r="D15" i="32" s="1"/>
  <c r="E60" i="5"/>
  <c r="E60" i="32" s="1"/>
  <c r="E54" i="5"/>
  <c r="E54" i="32" s="1"/>
  <c r="I65" i="5"/>
  <c r="I65" i="32" s="1"/>
  <c r="O27" i="5"/>
  <c r="M19" i="5"/>
  <c r="M19" i="32" s="1"/>
  <c r="F44" i="5"/>
  <c r="F44" i="32" s="1"/>
  <c r="C48" i="5"/>
  <c r="C48" i="32" s="1"/>
  <c r="C24" i="5"/>
  <c r="C24" i="32" s="1"/>
  <c r="G23" i="5"/>
  <c r="G23" i="32" s="1"/>
  <c r="E29" i="5"/>
  <c r="E29" i="32" s="1"/>
  <c r="I21" i="5"/>
  <c r="I21" i="32" s="1"/>
  <c r="D21" i="5"/>
  <c r="D21" i="32" s="1"/>
  <c r="H38" i="5"/>
  <c r="H38" i="32" s="1"/>
  <c r="J35" i="5"/>
  <c r="J35" i="32" s="1"/>
  <c r="F50" i="5"/>
  <c r="F50" i="32" s="1"/>
  <c r="K9" i="5"/>
  <c r="K9" i="32" s="1"/>
  <c r="C60" i="5"/>
  <c r="C60" i="32" s="1"/>
  <c r="O41" i="5"/>
  <c r="G57" i="5"/>
  <c r="G57" i="32" s="1"/>
  <c r="O7" i="5"/>
  <c r="L59" i="5"/>
  <c r="L59" i="32" s="1"/>
  <c r="L45" i="5"/>
  <c r="L45" i="32" s="1"/>
  <c r="D44" i="5"/>
  <c r="D44" i="32" s="1"/>
  <c r="K18" i="5"/>
  <c r="K18" i="32" s="1"/>
  <c r="H49" i="5"/>
  <c r="H49" i="32" s="1"/>
  <c r="L15" i="5"/>
  <c r="L15" i="32" s="1"/>
  <c r="F56" i="5"/>
  <c r="F56" i="32" s="1"/>
  <c r="O47" i="5"/>
  <c r="L39" i="5"/>
  <c r="L39" i="32" s="1"/>
  <c r="N32" i="5"/>
  <c r="N32" i="32" s="1"/>
  <c r="G28" i="5"/>
  <c r="G28" i="32" s="1"/>
  <c r="M36" i="5"/>
  <c r="M36" i="32" s="1"/>
  <c r="O18" i="5"/>
  <c r="C25" i="5"/>
  <c r="C25" i="32" s="1"/>
  <c r="M60" i="5"/>
  <c r="M60" i="32" s="1"/>
  <c r="L30" i="5"/>
  <c r="L30" i="32" s="1"/>
  <c r="F43" i="5"/>
  <c r="F43" i="32" s="1"/>
  <c r="O48" i="5"/>
  <c r="F7" i="5"/>
  <c r="F7" i="32" s="1"/>
  <c r="L20" i="5"/>
  <c r="L20" i="32" s="1"/>
  <c r="I15" i="5"/>
  <c r="I15" i="32" s="1"/>
  <c r="C58" i="5"/>
  <c r="C58" i="32" s="1"/>
  <c r="O55" i="5"/>
  <c r="H58" i="5"/>
  <c r="H58" i="32" s="1"/>
  <c r="O52" i="5"/>
  <c r="E43" i="5"/>
  <c r="E43" i="32" s="1"/>
  <c r="K47" i="5"/>
  <c r="K47" i="32" s="1"/>
  <c r="O38" i="5"/>
  <c r="I26" i="5"/>
  <c r="I26" i="32" s="1"/>
  <c r="D40" i="5"/>
  <c r="D40" i="32" s="1"/>
  <c r="G34" i="5"/>
  <c r="G34" i="32" s="1"/>
  <c r="M6" i="5"/>
  <c r="M6" i="32" s="1"/>
  <c r="M8" i="32" s="1"/>
  <c r="E33" i="5"/>
  <c r="E33" i="32" s="1"/>
  <c r="I51" i="5"/>
  <c r="I51" i="32" s="1"/>
  <c r="I55" i="5"/>
  <c r="I55" i="32" s="1"/>
  <c r="M23" i="5"/>
  <c r="M23" i="32" s="1"/>
  <c r="J56" i="5"/>
  <c r="J56" i="32" s="1"/>
  <c r="N33" i="5"/>
  <c r="N33" i="32" s="1"/>
  <c r="N44" i="5"/>
  <c r="N44" i="32" s="1"/>
  <c r="L6" i="5"/>
  <c r="L6" i="32" s="1"/>
  <c r="L8" i="32" s="1"/>
  <c r="J51" i="5"/>
  <c r="J51" i="32" s="1"/>
  <c r="K54" i="5"/>
  <c r="K54" i="32" s="1"/>
  <c r="M41" i="5"/>
  <c r="M41" i="32" s="1"/>
  <c r="O24" i="5"/>
  <c r="N19" i="5"/>
  <c r="N19" i="32" s="1"/>
  <c r="J32" i="5"/>
  <c r="J32" i="32" s="1"/>
  <c r="H10" i="5"/>
  <c r="H10" i="32" s="1"/>
  <c r="K45" i="5"/>
  <c r="K45" i="32" s="1"/>
  <c r="F23" i="5"/>
  <c r="F23" i="32" s="1"/>
  <c r="F57" i="5"/>
  <c r="F57" i="32" s="1"/>
  <c r="F17" i="5"/>
  <c r="F17" i="32" s="1"/>
  <c r="F21" i="5"/>
  <c r="F21" i="32" s="1"/>
  <c r="O39" i="5"/>
  <c r="L44" i="5"/>
  <c r="L44" i="32" s="1"/>
  <c r="J61" i="5"/>
  <c r="J61" i="32" s="1"/>
  <c r="K55" i="5"/>
  <c r="K55" i="32" s="1"/>
  <c r="H57" i="5"/>
  <c r="H57" i="32" s="1"/>
  <c r="G26" i="5"/>
  <c r="G26" i="32" s="1"/>
  <c r="G6" i="5"/>
  <c r="G6" i="32" s="1"/>
  <c r="G8" i="32" s="1"/>
  <c r="G5" i="32" s="1"/>
  <c r="G12" i="32" s="1"/>
  <c r="D56" i="5"/>
  <c r="D56" i="32" s="1"/>
  <c r="C49" i="5"/>
  <c r="C49" i="32" s="1"/>
  <c r="G65" i="5"/>
  <c r="G65" i="32" s="1"/>
  <c r="G40" i="5"/>
  <c r="G40" i="32" s="1"/>
  <c r="E53" i="5"/>
  <c r="E53" i="32" s="1"/>
  <c r="L47" i="5"/>
  <c r="L47" i="32" s="1"/>
  <c r="H61" i="5"/>
  <c r="H61" i="32" s="1"/>
  <c r="G63" i="5"/>
  <c r="G63" i="32" s="1"/>
  <c r="G64" i="5"/>
  <c r="G64" i="32" s="1"/>
  <c r="I63" i="5"/>
  <c r="I63" i="32" s="1"/>
  <c r="I27" i="5"/>
  <c r="I27" i="32" s="1"/>
  <c r="K62" i="5"/>
  <c r="K62" i="32" s="1"/>
  <c r="N62" i="5"/>
  <c r="N62" i="32" s="1"/>
  <c r="F18" i="5"/>
  <c r="F18" i="32" s="1"/>
  <c r="D28" i="5"/>
  <c r="D28" i="32" s="1"/>
  <c r="K15" i="5"/>
  <c r="K15" i="32" s="1"/>
  <c r="M30" i="5"/>
  <c r="M30" i="32" s="1"/>
  <c r="M22" i="5"/>
  <c r="M22" i="32" s="1"/>
  <c r="O20" i="5"/>
  <c r="J45" i="5"/>
  <c r="J45" i="32" s="1"/>
  <c r="G51" i="5"/>
  <c r="G51" i="32" s="1"/>
  <c r="D29" i="5"/>
  <c r="D29" i="32" s="1"/>
  <c r="C20" i="5"/>
  <c r="C20" i="32" s="1"/>
  <c r="M20" i="5"/>
  <c r="M20" i="32" s="1"/>
  <c r="L62" i="5"/>
  <c r="L62" i="32" s="1"/>
  <c r="O62" i="5"/>
  <c r="H39" i="5"/>
  <c r="H39" i="32" s="1"/>
  <c r="K24" i="5"/>
  <c r="K24" i="32" s="1"/>
  <c r="I20" i="5"/>
  <c r="I20" i="32" s="1"/>
  <c r="L29" i="5"/>
  <c r="L29" i="32" s="1"/>
  <c r="N29" i="5"/>
  <c r="N29" i="32" s="1"/>
  <c r="H65" i="5"/>
  <c r="H65" i="32" s="1"/>
  <c r="M43" i="5"/>
  <c r="M43" i="32" s="1"/>
  <c r="D6" i="5"/>
  <c r="D6" i="32" s="1"/>
  <c r="D8" i="32" s="1"/>
  <c r="O28" i="5"/>
  <c r="H56" i="5"/>
  <c r="H56" i="32" s="1"/>
  <c r="D23" i="5"/>
  <c r="D23" i="32" s="1"/>
  <c r="D9" i="5"/>
  <c r="D9" i="32" s="1"/>
  <c r="M48" i="5"/>
  <c r="M48" i="32" s="1"/>
  <c r="F62" i="5"/>
  <c r="F62" i="32" s="1"/>
  <c r="K6" i="5"/>
  <c r="E40" i="5"/>
  <c r="E40" i="32" s="1"/>
  <c r="D39" i="5"/>
  <c r="D39" i="32" s="1"/>
  <c r="J18" i="5"/>
  <c r="J18" i="32" s="1"/>
  <c r="D20" i="5"/>
  <c r="D20" i="32" s="1"/>
  <c r="C39" i="5"/>
  <c r="C39" i="32" s="1"/>
  <c r="F51" i="5"/>
  <c r="F51" i="32" s="1"/>
  <c r="N6" i="5"/>
  <c r="N6" i="32" s="1"/>
  <c r="N8" i="32" s="1"/>
  <c r="J64" i="5"/>
  <c r="J64" i="32" s="1"/>
  <c r="C27" i="5"/>
  <c r="C27" i="32" s="1"/>
  <c r="L26" i="5"/>
  <c r="L26" i="32" s="1"/>
  <c r="H20" i="5"/>
  <c r="H20" i="32" s="1"/>
  <c r="I34" i="5"/>
  <c r="I34" i="32" s="1"/>
  <c r="E45" i="5"/>
  <c r="E45" i="32" s="1"/>
  <c r="F45" i="5"/>
  <c r="F45" i="32" s="1"/>
  <c r="E38" i="5"/>
  <c r="E38" i="32" s="1"/>
  <c r="N16" i="5"/>
  <c r="N16" i="32" s="1"/>
  <c r="O40" i="5"/>
  <c r="N63" i="5"/>
  <c r="N63" i="32" s="1"/>
  <c r="L35" i="5"/>
  <c r="L35" i="32" s="1"/>
  <c r="L22" i="5"/>
  <c r="L22" i="32" s="1"/>
  <c r="O21" i="5"/>
  <c r="O56" i="5"/>
  <c r="C57" i="5"/>
  <c r="C57" i="32" s="1"/>
  <c r="J33" i="5"/>
  <c r="J33" i="32" s="1"/>
  <c r="O15" i="5"/>
  <c r="F22" i="5"/>
  <c r="F22" i="32" s="1"/>
  <c r="I40" i="5"/>
  <c r="I40" i="32" s="1"/>
  <c r="J59" i="5"/>
  <c r="J59" i="32" s="1"/>
  <c r="H18" i="5"/>
  <c r="H18" i="32" s="1"/>
  <c r="C7" i="5"/>
  <c r="C7" i="32" s="1"/>
  <c r="H42" i="5"/>
  <c r="H42" i="32" s="1"/>
  <c r="M49" i="5"/>
  <c r="M49" i="32" s="1"/>
  <c r="O53" i="5"/>
  <c r="H60" i="5"/>
  <c r="H60" i="32" s="1"/>
  <c r="M56" i="5"/>
  <c r="M56" i="32" s="1"/>
  <c r="M51" i="5"/>
  <c r="M51" i="32" s="1"/>
  <c r="J47" i="5"/>
  <c r="J47" i="32" s="1"/>
  <c r="E15" i="5"/>
  <c r="E15" i="32" s="1"/>
  <c r="H44" i="5"/>
  <c r="H44" i="32" s="1"/>
  <c r="F52" i="5"/>
  <c r="F52" i="32" s="1"/>
  <c r="J22" i="5"/>
  <c r="J22" i="32" s="1"/>
  <c r="K21" i="5"/>
  <c r="K21" i="32" s="1"/>
  <c r="I53" i="5"/>
  <c r="I53" i="32" s="1"/>
  <c r="J62" i="5"/>
  <c r="J62" i="32" s="1"/>
  <c r="E25" i="5"/>
  <c r="E25" i="32" s="1"/>
  <c r="I46" i="5"/>
  <c r="I46" i="32" s="1"/>
  <c r="N35" i="5"/>
  <c r="N35" i="32" s="1"/>
  <c r="E6" i="5"/>
  <c r="E6" i="32" s="1"/>
  <c r="H55" i="5"/>
  <c r="H55" i="32" s="1"/>
  <c r="L14" i="5"/>
  <c r="L14" i="32" s="1"/>
  <c r="L36" i="5"/>
  <c r="L36" i="32" s="1"/>
  <c r="E18" i="5"/>
  <c r="E18" i="32" s="1"/>
  <c r="J65" i="5"/>
  <c r="J65" i="32" s="1"/>
  <c r="J7" i="5"/>
  <c r="J7" i="32" s="1"/>
  <c r="I25" i="5"/>
  <c r="I25" i="32" s="1"/>
  <c r="M47" i="5"/>
  <c r="M47" i="32" s="1"/>
  <c r="H27" i="5"/>
  <c r="H27" i="32" s="1"/>
  <c r="E30" i="5"/>
  <c r="E30" i="32" s="1"/>
  <c r="M59" i="5"/>
  <c r="M59" i="32" s="1"/>
  <c r="O50" i="5"/>
  <c r="O43" i="5"/>
  <c r="C50" i="5"/>
  <c r="C50" i="32" s="1"/>
  <c r="E52" i="5"/>
  <c r="E52" i="32" s="1"/>
  <c r="N25" i="5"/>
  <c r="N25" i="32" s="1"/>
  <c r="K31" i="5"/>
  <c r="K31" i="32" s="1"/>
  <c r="J53" i="5"/>
  <c r="J53" i="32" s="1"/>
  <c r="D19" i="5"/>
  <c r="D19" i="32" s="1"/>
  <c r="G45" i="5"/>
  <c r="G45" i="32" s="1"/>
  <c r="M17" i="5"/>
  <c r="M17" i="32" s="1"/>
  <c r="D30" i="5"/>
  <c r="D30" i="32" s="1"/>
  <c r="N31" i="5"/>
  <c r="N31" i="32" s="1"/>
  <c r="I44" i="5"/>
  <c r="I44" i="32" s="1"/>
  <c r="G47" i="5"/>
  <c r="G47" i="32" s="1"/>
  <c r="E37" i="5"/>
  <c r="E37" i="32" s="1"/>
  <c r="L54" i="5"/>
  <c r="L54" i="32" s="1"/>
  <c r="F48" i="5"/>
  <c r="F48" i="32" s="1"/>
  <c r="N23" i="5"/>
  <c r="N23" i="32" s="1"/>
  <c r="N9" i="5"/>
  <c r="N9" i="32" s="1"/>
  <c r="N58" i="5"/>
  <c r="N58" i="32" s="1"/>
  <c r="L43" i="5"/>
  <c r="L43" i="32" s="1"/>
  <c r="K60" i="5"/>
  <c r="K60" i="32" s="1"/>
  <c r="K29" i="5"/>
  <c r="K29" i="32" s="1"/>
  <c r="I22" i="5"/>
  <c r="I22" i="32" s="1"/>
  <c r="J60" i="5"/>
  <c r="J60" i="32" s="1"/>
  <c r="C55" i="5"/>
  <c r="C55" i="32" s="1"/>
  <c r="N55" i="5"/>
  <c r="N55" i="32" s="1"/>
  <c r="M45" i="5"/>
  <c r="M45" i="32" s="1"/>
  <c r="I18" i="5"/>
  <c r="I18" i="32" s="1"/>
  <c r="D65" i="5"/>
  <c r="D65" i="32" s="1"/>
  <c r="M31" i="5"/>
  <c r="M31" i="32" s="1"/>
  <c r="J20" i="5"/>
  <c r="J20" i="32" s="1"/>
  <c r="N22" i="5"/>
  <c r="N22" i="32" s="1"/>
  <c r="M27" i="5"/>
  <c r="M27" i="32" s="1"/>
  <c r="C38" i="5"/>
  <c r="C38" i="32" s="1"/>
  <c r="D25" i="5"/>
  <c r="D25" i="32" s="1"/>
  <c r="J38" i="5"/>
  <c r="J38" i="32" s="1"/>
  <c r="D50" i="5"/>
  <c r="D50" i="32" s="1"/>
  <c r="I37" i="5"/>
  <c r="I37" i="32" s="1"/>
  <c r="I50" i="5"/>
  <c r="I50" i="32" s="1"/>
  <c r="N48" i="5"/>
  <c r="N48" i="32" s="1"/>
  <c r="G52" i="5"/>
  <c r="G52" i="32" s="1"/>
  <c r="K36" i="5"/>
  <c r="K36" i="32" s="1"/>
  <c r="C31" i="5"/>
  <c r="C31" i="32" s="1"/>
  <c r="C18" i="5"/>
  <c r="C18" i="32" s="1"/>
  <c r="M21" i="5"/>
  <c r="M21" i="32" s="1"/>
  <c r="F30" i="5"/>
  <c r="F30" i="32" s="1"/>
  <c r="H47" i="5"/>
  <c r="H47" i="32" s="1"/>
  <c r="L61" i="5"/>
  <c r="L61" i="32" s="1"/>
  <c r="J55" i="5"/>
  <c r="J55" i="32" s="1"/>
  <c r="F60" i="5"/>
  <c r="F60" i="32" s="1"/>
  <c r="C9" i="5"/>
  <c r="C9" i="32" s="1"/>
  <c r="F46" i="5"/>
  <c r="F46" i="32" s="1"/>
  <c r="M29" i="5"/>
  <c r="M29" i="32" s="1"/>
  <c r="I17" i="5"/>
  <c r="I17" i="32" s="1"/>
  <c r="H16" i="5"/>
  <c r="H16" i="32" s="1"/>
  <c r="H54" i="5"/>
  <c r="H54" i="32" s="1"/>
  <c r="D89" i="32"/>
  <c r="O87" i="32"/>
  <c r="O89" i="32" s="1"/>
  <c r="I6" i="32"/>
  <c r="I8" i="32" s="1"/>
  <c r="O72" i="32"/>
  <c r="O42" i="32"/>
  <c r="C6" i="32"/>
  <c r="M14" i="32"/>
  <c r="F6" i="32"/>
  <c r="K14" i="32"/>
  <c r="C14" i="32"/>
  <c r="E79" i="32"/>
  <c r="O75" i="32"/>
  <c r="O79" i="32" s="1"/>
  <c r="I79" i="32"/>
  <c r="J6" i="32"/>
  <c r="F14" i="32"/>
  <c r="I14" i="32"/>
  <c r="I8" i="5" l="1"/>
  <c r="G8" i="5"/>
  <c r="G5" i="5" s="1"/>
  <c r="F8" i="5"/>
  <c r="F5" i="5" s="1"/>
  <c r="F12" i="5" s="1"/>
  <c r="O46" i="32"/>
  <c r="J8" i="32"/>
  <c r="J5" i="32" s="1"/>
  <c r="J12" i="32" s="1"/>
  <c r="D8" i="5"/>
  <c r="D5" i="5" s="1"/>
  <c r="D12" i="5" s="1"/>
  <c r="D81" i="5" s="1"/>
  <c r="I5" i="32"/>
  <c r="I12" i="32" s="1"/>
  <c r="I5" i="5"/>
  <c r="I12" i="5" s="1"/>
  <c r="I81" i="5" s="1"/>
  <c r="M5" i="32"/>
  <c r="M12" i="32" s="1"/>
  <c r="M81" i="32" s="1"/>
  <c r="C8" i="5"/>
  <c r="C5" i="5" s="1"/>
  <c r="C12" i="5" s="1"/>
  <c r="C81" i="5" s="1"/>
  <c r="O61" i="32"/>
  <c r="K8" i="5"/>
  <c r="K5" i="5" s="1"/>
  <c r="K12" i="5" s="1"/>
  <c r="K81" i="5" s="1"/>
  <c r="L13" i="32"/>
  <c r="N5" i="32"/>
  <c r="N12" i="32" s="1"/>
  <c r="N81" i="32" s="1"/>
  <c r="J13" i="32"/>
  <c r="O39" i="32"/>
  <c r="O41" i="32"/>
  <c r="O34" i="32"/>
  <c r="L5" i="32"/>
  <c r="L12" i="32" s="1"/>
  <c r="N13" i="32"/>
  <c r="N8" i="5"/>
  <c r="O36" i="32"/>
  <c r="O19" i="32"/>
  <c r="O54" i="32"/>
  <c r="M13" i="5"/>
  <c r="P3" i="10" s="1" a="1"/>
  <c r="P3" i="10" s="1"/>
  <c r="M8" i="5"/>
  <c r="M5" i="5" s="1"/>
  <c r="M12" i="5" s="1"/>
  <c r="M81" i="5" s="1"/>
  <c r="O44" i="32"/>
  <c r="K6" i="32"/>
  <c r="K8" i="32" s="1"/>
  <c r="K5" i="32" s="1"/>
  <c r="K12" i="32" s="1"/>
  <c r="K13" i="32"/>
  <c r="J8" i="5"/>
  <c r="J5" i="5" s="1"/>
  <c r="J12" i="5" s="1"/>
  <c r="H8" i="5"/>
  <c r="H5" i="5" s="1"/>
  <c r="H12" i="5" s="1"/>
  <c r="I67" i="32"/>
  <c r="H8" i="32"/>
  <c r="H5" i="32" s="1"/>
  <c r="H12" i="32" s="1"/>
  <c r="H66" i="32" s="1"/>
  <c r="H80" i="32" s="1"/>
  <c r="G12" i="5"/>
  <c r="G81" i="5" s="1"/>
  <c r="O51" i="32"/>
  <c r="O63" i="32"/>
  <c r="O18" i="32"/>
  <c r="O62" i="32"/>
  <c r="O17" i="32"/>
  <c r="O65" i="32"/>
  <c r="F8" i="32"/>
  <c r="F5" i="32" s="1"/>
  <c r="F12" i="32" s="1"/>
  <c r="F81" i="32" s="1"/>
  <c r="O30" i="32"/>
  <c r="O26" i="32"/>
  <c r="E13" i="5"/>
  <c r="H3" i="10" s="1" a="1"/>
  <c r="H3" i="10" s="1"/>
  <c r="E8" i="32"/>
  <c r="E5" i="32" s="1"/>
  <c r="E12" i="32" s="1"/>
  <c r="O56" i="32"/>
  <c r="O13" i="5"/>
  <c r="D5" i="32"/>
  <c r="D12" i="32" s="1"/>
  <c r="D81" i="32" s="1"/>
  <c r="E73" i="32"/>
  <c r="E67" i="32" s="1"/>
  <c r="O68" i="32"/>
  <c r="O73" i="32" s="1"/>
  <c r="O67" i="32" s="1"/>
  <c r="O93" i="32"/>
  <c r="O94" i="32" s="1"/>
  <c r="F94" i="32"/>
  <c r="O38" i="32"/>
  <c r="O31" i="32"/>
  <c r="O29" i="32"/>
  <c r="O37" i="32"/>
  <c r="O45" i="32"/>
  <c r="O47" i="32"/>
  <c r="O52" i="32"/>
  <c r="O16" i="32"/>
  <c r="O23" i="32"/>
  <c r="O53" i="32"/>
  <c r="O55" i="32"/>
  <c r="O60" i="32"/>
  <c r="O9" i="32"/>
  <c r="O24" i="32"/>
  <c r="O48" i="32"/>
  <c r="O28" i="32"/>
  <c r="O50" i="32"/>
  <c r="O59" i="32"/>
  <c r="O35" i="32"/>
  <c r="O32" i="32"/>
  <c r="D13" i="32"/>
  <c r="E13" i="32"/>
  <c r="O43" i="32"/>
  <c r="O27" i="32"/>
  <c r="O40" i="32"/>
  <c r="O10" i="32"/>
  <c r="O22" i="32"/>
  <c r="O33" i="32"/>
  <c r="O64" i="32"/>
  <c r="O49" i="32"/>
  <c r="O57" i="32"/>
  <c r="L8" i="5"/>
  <c r="L5" i="5" s="1"/>
  <c r="L12" i="5" s="1"/>
  <c r="L81" i="5" s="1"/>
  <c r="L13" i="5"/>
  <c r="O3" i="10" s="1" a="1"/>
  <c r="O3" i="10" s="1"/>
  <c r="D13" i="5"/>
  <c r="G3" i="10" s="1" a="1"/>
  <c r="G3" i="10" s="1"/>
  <c r="C13" i="5"/>
  <c r="F3" i="10" s="1" a="1"/>
  <c r="F3" i="10" s="1"/>
  <c r="K13" i="5"/>
  <c r="N3" i="10" s="1" a="1"/>
  <c r="N3" i="10" s="1"/>
  <c r="H13" i="5"/>
  <c r="K3" i="10" s="1" a="1"/>
  <c r="K3" i="10" s="1"/>
  <c r="O25" i="32"/>
  <c r="O58" i="32"/>
  <c r="H13" i="32"/>
  <c r="F13" i="5"/>
  <c r="I3" i="10" s="1" a="1"/>
  <c r="I3" i="10" s="1"/>
  <c r="G13" i="5"/>
  <c r="J3" i="10" s="1" a="1"/>
  <c r="J3" i="10" s="1"/>
  <c r="O7" i="32"/>
  <c r="O20" i="32"/>
  <c r="I13" i="5"/>
  <c r="L3" i="10" s="1" a="1"/>
  <c r="L3" i="10" s="1"/>
  <c r="E8" i="5"/>
  <c r="E5" i="5" s="1"/>
  <c r="E12" i="5" s="1"/>
  <c r="I13" i="32"/>
  <c r="F13" i="32"/>
  <c r="G13" i="32"/>
  <c r="G66" i="32" s="1"/>
  <c r="G80" i="32" s="1"/>
  <c r="N5" i="5"/>
  <c r="N12" i="5" s="1"/>
  <c r="N81" i="5" s="1"/>
  <c r="M13" i="32"/>
  <c r="N13" i="5"/>
  <c r="Q3" i="10" s="1" a="1"/>
  <c r="Q3" i="10" s="1"/>
  <c r="J13" i="5"/>
  <c r="M3" i="10" s="1" a="1"/>
  <c r="M3" i="10" s="1"/>
  <c r="O21" i="32"/>
  <c r="O8" i="5"/>
  <c r="O5" i="5" s="1"/>
  <c r="O12" i="5" s="1"/>
  <c r="O81" i="5" s="1"/>
  <c r="O15" i="32"/>
  <c r="J81" i="5"/>
  <c r="H81" i="5"/>
  <c r="J66" i="32"/>
  <c r="J80" i="32" s="1"/>
  <c r="J81" i="32"/>
  <c r="C8" i="32"/>
  <c r="C5" i="32" s="1"/>
  <c r="C12" i="32" s="1"/>
  <c r="C13" i="32"/>
  <c r="O14" i="32"/>
  <c r="F81" i="5"/>
  <c r="G81" i="32"/>
  <c r="I81" i="32" l="1"/>
  <c r="I66" i="32"/>
  <c r="I80" i="32" s="1"/>
  <c r="M66" i="32"/>
  <c r="M80" i="32" s="1"/>
  <c r="E66" i="5"/>
  <c r="E80" i="5" s="1"/>
  <c r="E66" i="32"/>
  <c r="E80" i="32" s="1"/>
  <c r="K66" i="32"/>
  <c r="K80" i="32" s="1"/>
  <c r="N66" i="32"/>
  <c r="N80" i="32" s="1"/>
  <c r="E81" i="32"/>
  <c r="L66" i="32"/>
  <c r="L80" i="32" s="1"/>
  <c r="L81" i="32"/>
  <c r="K81" i="32"/>
  <c r="O6" i="32"/>
  <c r="O8" i="32" s="1"/>
  <c r="O5" i="32" s="1"/>
  <c r="O12" i="32" s="1"/>
  <c r="H81" i="32"/>
  <c r="D66" i="5"/>
  <c r="D80" i="5" s="1"/>
  <c r="D66" i="32"/>
  <c r="D80" i="32" s="1"/>
  <c r="K66" i="5"/>
  <c r="K80" i="5" s="1"/>
  <c r="M66" i="5"/>
  <c r="M80" i="5" s="1"/>
  <c r="H66" i="5"/>
  <c r="H80" i="5" s="1"/>
  <c r="N66" i="5"/>
  <c r="N80" i="5" s="1"/>
  <c r="I66" i="5"/>
  <c r="I80" i="5" s="1"/>
  <c r="G66" i="5"/>
  <c r="G80" i="5" s="1"/>
  <c r="F66" i="32"/>
  <c r="F80" i="32" s="1"/>
  <c r="C66" i="5"/>
  <c r="C80" i="5" s="1"/>
  <c r="O13" i="32"/>
  <c r="E81" i="5"/>
  <c r="F66" i="5"/>
  <c r="F80" i="5" s="1"/>
  <c r="L66" i="5"/>
  <c r="L80" i="5" s="1"/>
  <c r="J66" i="5"/>
  <c r="J80" i="5" s="1"/>
  <c r="O66" i="5"/>
  <c r="O80" i="5" s="1"/>
  <c r="C81" i="32"/>
  <c r="C66" i="32"/>
  <c r="C80" i="32" s="1"/>
  <c r="O66" i="32" l="1"/>
  <c r="O80" i="32" s="1"/>
  <c r="O81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5CAA65FD-6DB8-46F1-BA6F-AEF784B9C1BB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8F47FABB-36C9-4B81-B6E7-88DF72515D93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<sst xmlns="http://schemas.openxmlformats.org/spreadsheetml/2006/main" count="1645" uniqueCount="707">
  <si>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</si>
  <si>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</si>
  <si>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</si>
  <si>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</si>
  <si>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</si>
  <si>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</si>
  <si>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</si>
  <si>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</si>
  <si>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</si>
  <si>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</si>
  <si>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</si>
  <si>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</si>
  <si>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</si>
  <si>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</si>
  <si>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</si>
  <si>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</si>
  <si>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</si>
  <si>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</si>
  <si>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</si>
  <si>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</si>
  <si>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</si>
  <si>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</si>
  <si>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</si>
  <si>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</si>
  <si>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</si>
  <si>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</si>
  <si>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</si>
  <si>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</si>
  <si>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</si>
  <si>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</si>
  <si>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</si>
  <si>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</si>
  <si>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</si>
  <si>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</si>
  <si>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</si>
  <si>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</si>
  <si>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</si>
  <si>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</si>
  <si>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</si>
  <si>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</si>
  <si>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</si>
  <si>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</si>
  <si>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</si>
  <si>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</si>
  <si>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</si>
  <si>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</si>
  <si>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</si>
  <si>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</si>
  <si>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</si>
  <si>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</si>
  <si>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</si>
  <si>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</si>
  <si>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</si>
  <si>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</si>
  <si>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</si>
  <si>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</si>
  <si>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</si>
  <si>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</si>
  <si>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</si>
  <si>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</si>
  <si>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</si>
  <si>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</si>
  <si>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</si>
  <si>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</si>
  <si>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</si>
  <si>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</si>
  <si>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</si>
  <si>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</si>
  <si>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</si>
  <si>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</si>
  <si>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</si>
  <si>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</si>
  <si>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</si>
  <si>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</si>
  <si>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</si>
  <si>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</si>
  <si>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</si>
  <si>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</si>
  <si>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</si>
  <si>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</si>
  <si>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</si>
  <si>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</si>
  <si>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</si>
  <si>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</si>
  <si>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</si>
  <si>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</si>
  <si>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</si>
  <si>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</si>
  <si>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</si>
  <si>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</si>
  <si>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</si>
  <si>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</si>
  <si>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</si>
  <si>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</si>
  <si>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</si>
  <si>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</si>
  <si>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</si>
  <si>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</si>
  <si>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</si>
  <si>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</si>
  <si>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</si>
  <si>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</si>
  <si>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</si>
  <si>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</si>
  <si>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</si>
  <si>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</si>
  <si>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</si>
  <si>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</si>
  <si>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</si>
  <si>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</si>
  <si>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</si>
  <si>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</si>
  <si>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</si>
  <si>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</si>
  <si>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</si>
  <si>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</si>
  <si>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</si>
  <si>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</si>
  <si>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</si>
  <si>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</si>
  <si>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</si>
  <si>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</si>
  <si>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</si>
  <si>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</si>
  <si>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</si>
  <si>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</si>
  <si>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</si>
  <si>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</si>
  <si>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</si>
  <si>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</si>
  <si>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</si>
  <si>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</si>
  <si>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</si>
  <si>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</si>
  <si>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</si>
  <si>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</si>
  <si>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</si>
  <si>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</si>
  <si>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</si>
  <si>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</si>
  <si>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</si>
  <si>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</si>
  <si>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</si>
  <si>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</si>
  <si>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</si>
  <si>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</si>
  <si>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</si>
  <si>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</si>
  <si>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</si>
  <si>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</si>
  <si>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</si>
  <si>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</si>
  <si>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</si>
  <si>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</si>
  <si>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</si>
  <si>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</si>
  <si>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</si>
  <si>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</si>
  <si>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</si>
  <si>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</si>
  <si>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</si>
  <si>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</si>
  <si>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</si>
  <si>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</si>
  <si>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</si>
  <si>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</si>
  <si>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</si>
  <si>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</si>
  <si>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</si>
  <si>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</si>
  <si>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</si>
  <si>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</si>
  <si>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</si>
  <si>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</si>
  <si>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</si>
  <si>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</si>
  <si>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</si>
  <si>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</si>
  <si>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</si>
  <si>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</si>
  <si>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</si>
  <si>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</si>
  <si>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</si>
  <si>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</si>
  <si>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</si>
  <si>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</si>
  <si>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</si>
  <si>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</si>
  <si>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</si>
  <si>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</si>
  <si>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</si>
  <si>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</si>
  <si>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</si>
  <si>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</si>
  <si>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</si>
  <si>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</si>
  <si>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</si>
  <si>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</si>
  <si>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</si>
  <si>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</si>
  <si>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</si>
  <si>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</si>
  <si>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</si>
  <si>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</si>
  <si>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</si>
  <si>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</si>
  <si>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</si>
  <si>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</si>
  <si>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</si>
  <si>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</si>
  <si>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</si>
  <si>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</si>
  <si>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</si>
  <si>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</si>
  <si>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</si>
  <si>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</si>
  <si>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</si>
  <si>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</si>
  <si>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</si>
  <si>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</si>
  <si>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</si>
  <si>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</si>
  <si>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</si>
  <si>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</si>
  <si>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</si>
  <si>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</si>
  <si>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</si>
  <si>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</si>
  <si>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</si>
  <si>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</si>
  <si>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</si>
  <si>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</si>
  <si>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</si>
  <si>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</si>
  <si>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</si>
  <si>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</si>
  <si>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</si>
  <si>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</si>
  <si>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</si>
  <si>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</si>
  <si>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</si>
  <si>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</si>
  <si>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</si>
  <si>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</si>
  <si>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</si>
  <si>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</si>
  <si>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</si>
  <si>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</si>
  <si>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</si>
  <si>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</si>
  <si>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</si>
  <si>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</si>
  <si>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</si>
  <si>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</si>
  <si>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</si>
  <si>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</si>
  <si>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</si>
  <si>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</si>
  <si>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</si>
  <si>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</si>
  <si>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</si>
  <si>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</si>
  <si>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</si>
  <si>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</si>
  <si>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</si>
  <si>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</si>
  <si>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</si>
  <si>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</si>
  <si>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</si>
  <si>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</si>
  <si>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</si>
  <si>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</si>
  <si>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</si>
  <si>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</si>
  <si>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</si>
  <si>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</si>
  <si>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</si>
  <si>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</si>
  <si>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</si>
  <si>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</si>
  <si>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</si>
  <si>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</si>
  <si>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</si>
  <si>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</si>
  <si>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</si>
  <si>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</si>
  <si>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</si>
  <si>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</si>
  <si>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</si>
  <si>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</si>
  <si>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</si>
  <si>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</si>
  <si>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</si>
  <si>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</si>
  <si>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</si>
  <si>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</si>
  <si>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</si>
  <si>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</si>
  <si>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</si>
  <si>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</si>
  <si>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</si>
  <si>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</si>
  <si>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</si>
  <si>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</si>
  <si>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</si>
  <si>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</si>
  <si>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</si>
  <si>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</si>
  <si>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</si>
  <si>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</si>
  <si>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</si>
  <si>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</si>
  <si>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</si>
  <si>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</si>
  <si>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</si>
  <si>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</si>
  <si>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</si>
  <si>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</si>
  <si>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</si>
  <si>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</si>
  <si>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</si>
  <si>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</si>
  <si>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</si>
  <si>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</si>
  <si>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</si>
  <si>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</si>
  <si>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</si>
  <si>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</si>
  <si>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</si>
  <si>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</si>
  <si>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</si>
  <si>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</si>
  <si>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</si>
  <si>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</si>
  <si>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</si>
  <si>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</si>
  <si>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</si>
  <si>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</si>
  <si>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</si>
  <si>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</si>
  <si>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</si>
  <si>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</si>
  <si>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</si>
  <si>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</si>
  <si>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</si>
  <si>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</si>
  <si>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</si>
  <si>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</si>
  <si>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</si>
  <si>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</si>
  <si>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</si>
  <si>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</si>
  <si>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</si>
  <si>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</si>
  <si>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</si>
  <si>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</si>
  <si>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</si>
  <si>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</si>
  <si>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</si>
  <si>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</si>
  <si>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</si>
  <si>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</si>
  <si>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</si>
  <si>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</si>
  <si>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</si>
  <si>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</si>
  <si>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</si>
  <si>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</si>
  <si>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</si>
  <si>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</si>
  <si>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</si>
  <si>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</si>
  <si>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</si>
  <si>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</si>
  <si>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</si>
  <si>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</si>
  <si>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</si>
  <si>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</si>
  <si>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</si>
  <si>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</si>
  <si>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</si>
  <si>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</si>
  <si>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</si>
  <si>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</si>
  <si>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</si>
  <si>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</si>
  <si>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</si>
  <si>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</si>
  <si>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</si>
  <si>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</si>
  <si>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</si>
  <si>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</si>
  <si>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</si>
  <si>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</si>
  <si>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</si>
  <si>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</si>
  <si>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</si>
  <si>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</si>
  <si>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</si>
  <si>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</si>
  <si>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</si>
  <si>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</si>
  <si>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</si>
  <si>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</si>
  <si>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</si>
  <si>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</si>
  <si>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</si>
  <si>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</si>
  <si>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</si>
  <si>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</si>
  <si>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</si>
  <si>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</si>
  <si>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</si>
  <si>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</si>
  <si>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</si>
  <si>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</si>
  <si>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</si>
  <si>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</si>
  <si>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</si>
  <si>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</si>
  <si>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</si>
  <si>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</si>
  <si>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</si>
  <si>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</si>
  <si>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</si>
  <si>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</si>
  <si>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</si>
  <si>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</si>
  <si>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</si>
  <si>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</si>
  <si>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</si>
  <si>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</si>
  <si>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</si>
  <si>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</si>
  <si>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</si>
  <si>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</si>
  <si>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</si>
  <si>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</si>
  <si>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</si>
  <si>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</si>
  <si>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</si>
  <si>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</si>
  <si>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</si>
  <si>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</si>
  <si>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</si>
  <si>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</si>
  <si>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</si>
  <si>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</si>
  <si>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</si>
  <si>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</si>
  <si>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</si>
  <si>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</si>
  <si>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</si>
  <si>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</si>
  <si>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</si>
  <si>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</si>
  <si>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</si>
  <si>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</si>
  <si>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</si>
  <si>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</si>
  <si>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</si>
  <si>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</si>
  <si>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</si>
  <si>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</si>
  <si>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</si>
  <si>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</si>
  <si>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</si>
  <si>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</si>
  <si>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</si>
  <si>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</si>
  <si>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</si>
  <si>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</si>
  <si>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</si>
  <si>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</si>
  <si>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</si>
  <si>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</si>
  <si>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</si>
  <si>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</si>
  <si>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</si>
  <si>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</si>
  <si>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</si>
  <si>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</si>
  <si>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</si>
  <si>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</si>
  <si>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</si>
  <si>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</si>
  <si>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</si>
  <si>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</si>
  <si>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</si>
  <si>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</si>
  <si>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</si>
  <si>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</si>
  <si>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</si>
  <si>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</si>
  <si>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</si>
  <si>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</si>
  <si>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</si>
  <si>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</si>
  <si>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</si>
  <si>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</si>
  <si>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</si>
  <si>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</si>
  <si>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</si>
  <si>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</si>
  <si>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</si>
  <si>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</si>
  <si>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</si>
  <si>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</si>
  <si>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</si>
  <si>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</si>
  <si>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</si>
  <si>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</si>
  <si>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</si>
  <si>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</si>
  <si>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</si>
  <si>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</si>
  <si>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</si>
  <si>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</si>
  <si>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</si>
  <si>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</si>
  <si>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</si>
  <si>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</si>
  <si>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</si>
  <si>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</si>
  <si>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</si>
  <si>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</si>
  <si>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</si>
  <si>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</si>
  <si>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</si>
  <si>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</si>
  <si>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</si>
  <si>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</si>
  <si>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</si>
  <si>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</si>
  <si>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</si>
  <si>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</si>
  <si>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</si>
  <si>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</si>
  <si>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</si>
  <si>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</si>
  <si>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</si>
  <si>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</si>
  <si>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</si>
  <si>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</si>
  <si>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</si>
  <si>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</si>
  <si>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</si>
  <si>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</si>
  <si>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</si>
  <si>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</si>
  <si>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</si>
  <si>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</si>
  <si>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</si>
  <si>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</si>
  <si>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</si>
  <si>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</si>
  <si>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</si>
  <si>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</si>
  <si>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</si>
  <si>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</si>
  <si>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</si>
  <si>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</si>
  <si>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</si>
  <si>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</si>
  <si>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</si>
  <si>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</si>
  <si>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</si>
  <si>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</si>
  <si>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</si>
  <si>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</si>
  <si>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</si>
  <si>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</si>
  <si>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</si>
  <si>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</si>
  <si>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</si>
  <si>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</si>
  <si>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</si>
  <si>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</si>
  <si>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</si>
  <si>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</si>
  <si>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</si>
  <si>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</si>
  <si>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</si>
  <si>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</si>
  <si>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</si>
  <si>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</si>
  <si>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</si>
  <si>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</si>
  <si>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</si>
  <si>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</si>
  <si>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</si>
  <si>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</si>
  <si>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</si>
  <si>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</si>
  <si>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</si>
  <si>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</si>
  <si>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</si>
  <si>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</si>
  <si>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</si>
  <si>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</si>
  <si>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</si>
  <si>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</si>
  <si>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</si>
  <si>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</si>
  <si>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</si>
  <si>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</si>
  <si>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</si>
  <si>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</si>
  <si>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</si>
  <si>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</si>
  <si>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</si>
  <si>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</si>
  <si>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</si>
  <si>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</si>
  <si>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</si>
  <si>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</si>
  <si>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</si>
  <si>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</si>
  <si>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</si>
  <si>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</si>
  <si>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</si>
  <si>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</si>
  <si>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</si>
  <si>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</si>
  <si>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</si>
  <si>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</si>
  <si>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</si>
  <si>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</si>
  <si>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</si>
  <si>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</si>
  <si>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</si>
  <si>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</si>
  <si>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</si>
  <si>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</si>
  <si>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</si>
  <si>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</si>
  <si>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</si>
  <si>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</si>
  <si>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</si>
  <si>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</si>
  <si>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</si>
  <si>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</si>
  <si>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</si>
  <si>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</si>
  <si>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</si>
  <si>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</si>
  <si>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</si>
  <si>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</si>
  <si>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</si>
  <si>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</si>
  <si>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</si>
  <si>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</si>
  <si>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</si>
  <si>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</si>
  <si>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</si>
  <si>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</si>
  <si>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</si>
  <si>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</si>
  <si>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</si>
  <si>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</si>
  <si>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</si>
  <si>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</si>
  <si>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</si>
  <si>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</si>
  <si>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</si>
  <si>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</si>
  <si>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</si>
  <si>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</si>
  <si>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</si>
  <si>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</si>
  <si>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</si>
  <si>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</si>
  <si>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</si>
  <si>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</si>
  <si>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</si>
  <si>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</si>
  <si>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</si>
  <si>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</si>
  <si>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</si>
  <si>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</si>
  <si>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</si>
  <si>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</si>
  <si>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</si>
  <si>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</si>
  <si>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</si>
  <si>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</si>
  <si>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</si>
  <si>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</si>
  <si>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</si>
  <si>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</si>
  <si>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</si>
  <si>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</si>
  <si>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</si>
  <si>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DOM IMP-EXP</t>
  </si>
  <si>
    <t>SEA IMP</t>
  </si>
  <si>
    <t>AIR EXP</t>
  </si>
  <si>
    <t xml:space="preserve">SEA EXP </t>
  </si>
  <si>
    <t>COURIER IMP-EXP</t>
  </si>
  <si>
    <t>外部倉庫許可申請 Giấy phép kho ngoài</t>
  </si>
  <si>
    <t>トラック代-Mr Thành Purchasing</t>
  </si>
  <si>
    <t>Chi phí nhựa FY2024   毎年4月のみ発生</t>
  </si>
  <si>
    <t>*建物償却費) Bulding fee</t>
  </si>
  <si>
    <t>*土地(償却費) Land fee</t>
  </si>
  <si>
    <t>*電気代 Electrica usage cost</t>
  </si>
  <si>
    <t>固定資産金利 (建物)</t>
  </si>
  <si>
    <t>固定資産金利 (土地)</t>
  </si>
  <si>
    <t xml:space="preserve">AIR IMP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</si>
</sst>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.00_);_(* \(#,##0.00\);_(* &quot;-&quot;??_);_(@_)"/>
    <numFmt numFmtId="165" formatCode="&quot;¥&quot;#,##0;[Red]&quot;¥&quot;\-#,##0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4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4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6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3" fontId="85" fillId="0" borderId="0" xfId="171" applyNumberFormat="1" applyFont="1">
      <alignment vertical="center"/>
    </xf>
    <xf numFmtId="173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3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80" fillId="32" borderId="0" xfId="0" applyNumberFormat="1" applyFont="1" applyFill="1"/>
    <xf numFmtId="40" fontId="5" fillId="32" borderId="0" xfId="0" applyNumberFormat="1" applyFont="1" applyFill="1"/>
    <xf numFmtId="40" fontId="73" fillId="32" borderId="39" xfId="66" applyFont="1" applyFill="1" applyBorder="1" applyAlignment="1" applyProtection="1">
      <alignment horizontal="right"/>
      <protection locked="0"/>
    </xf>
    <xf numFmtId="40" fontId="5" fillId="32" borderId="20" xfId="0" applyNumberFormat="1" applyFont="1" applyFill="1" applyBorder="1"/>
    <xf numFmtId="40" fontId="5" fillId="32" borderId="41" xfId="0" applyNumberFormat="1" applyFont="1" applyFill="1" applyBorder="1"/>
    <xf numFmtId="40" fontId="5" fillId="32" borderId="49" xfId="0" applyNumberFormat="1" applyFont="1" applyFill="1" applyBorder="1" applyAlignment="1">
      <alignment horizontal="center"/>
    </xf>
  </cellXfs>
  <cellStyles count="175">
    <cellStyle name="_FY2014 MP作成依頼（KDTCN).1207(3)" xfId="1" xr:uid="{5C9B6ABD-DB05-4D1B-93FE-2785F49E23F2}"/>
    <cellStyle name="20% - Accent1" xfId="2" xr:uid="{5E7CEDAE-8352-4BB1-A325-97741089C3AF}"/>
    <cellStyle name="20% - Accent2" xfId="3" xr:uid="{4C598937-8745-41A7-B6DF-5DA5D1E3AE40}"/>
    <cellStyle name="20% - Accent3" xfId="4" xr:uid="{282209A9-0A5D-4B37-9F3F-D8D2E28C996E}"/>
    <cellStyle name="20% - Accent4" xfId="5" xr:uid="{388A4B0E-C49F-4DF4-BEBE-021DF168BD46}"/>
    <cellStyle name="20% - Accent5" xfId="6" xr:uid="{66D16D31-687F-40DE-B613-FBB2F331AE2F}"/>
    <cellStyle name="20% - Accent6" xfId="7" xr:uid="{DEE30389-1C42-4DE7-987A-2BB0D067729A}"/>
    <cellStyle name="20% - アクセント 1" xfId="8" xr:uid="{6B8E31C5-8E7C-47D5-A207-77EB436353A9}"/>
    <cellStyle name="20% - アクセント 1 2" xfId="9" xr:uid="{D5C4E38D-93DC-4703-9093-CF8DE3EEB9FD}"/>
    <cellStyle name="20% - アクセント 2" xfId="10" xr:uid="{D35CDCF6-9305-4762-B6E0-9A2FB7B1EC59}"/>
    <cellStyle name="20% - アクセント 2 2" xfId="11" xr:uid="{972B80B2-E351-4ECC-A213-DCBD6B081C62}"/>
    <cellStyle name="20% - アクセント 3" xfId="12" xr:uid="{8C453FD8-5343-4C19-8DD5-52E411CBE715}"/>
    <cellStyle name="20% - アクセント 3 2" xfId="13" xr:uid="{9392ED8F-8FA2-48BA-998E-C350CCB7F5C8}"/>
    <cellStyle name="20% - アクセント 4" xfId="14" xr:uid="{28903743-1DAF-4603-8302-CDA1A51F9F7F}"/>
    <cellStyle name="20% - アクセント 4 2" xfId="15" xr:uid="{993B9C74-7D30-4C33-8E93-98F65ECBB87C}"/>
    <cellStyle name="20% - アクセント 5" xfId="16" xr:uid="{404029F1-7E4F-42EA-953F-452E649A717C}"/>
    <cellStyle name="20% - アクセント 5 2" xfId="17" xr:uid="{64FC97EE-0B73-4C3F-A61F-8313582327B8}"/>
    <cellStyle name="20% - アクセント 6" xfId="18" xr:uid="{979FB1B7-DAC6-4F23-B55B-B6FE92BE7531}"/>
    <cellStyle name="20% - アクセント 6 2" xfId="19" xr:uid="{299B42D9-8A36-4CB8-A929-09B43D100A46}"/>
    <cellStyle name="3232" xfId="20" xr:uid="{DB095782-B14B-4173-8A76-E10ED1354706}"/>
    <cellStyle name="40% - Accent1" xfId="21" xr:uid="{AB7F477B-437C-4BBC-9272-8296B4944949}"/>
    <cellStyle name="40% - Accent2" xfId="22" xr:uid="{500A8968-D391-4EB2-A9B6-FC5DAA57C89B}"/>
    <cellStyle name="40% - Accent3" xfId="23" xr:uid="{4133AF03-5BDD-4A15-A7AC-4E0A07559878}"/>
    <cellStyle name="40% - Accent4" xfId="24" xr:uid="{10E7F248-5746-4354-AA22-0D254814D651}"/>
    <cellStyle name="40% - Accent5" xfId="25" xr:uid="{9EE8379D-7E07-474C-9B53-AC4221FF86C8}"/>
    <cellStyle name="40% - Accent6" xfId="26" xr:uid="{2EC000FA-6EEA-477E-8E95-3348E4D97889}"/>
    <cellStyle name="40% - アクセント 1" xfId="27" xr:uid="{7742DC67-DAD8-4A3D-B9A9-668DD71B2DDE}"/>
    <cellStyle name="40% - アクセント 1 2" xfId="28" xr:uid="{524CB2AC-D2A0-4F20-BA1D-A0002E7541AD}"/>
    <cellStyle name="40% - アクセント 2" xfId="29" xr:uid="{D19A18E2-1A69-4164-840A-6696980A52BD}"/>
    <cellStyle name="40% - アクセント 2 2" xfId="30" xr:uid="{2A470F69-81D9-4014-9BA6-2B2FE33378D2}"/>
    <cellStyle name="40% - アクセント 3" xfId="31" xr:uid="{34F0A3A0-3225-4EB4-AE2F-C590A1ED9B75}"/>
    <cellStyle name="40% - アクセント 3 2" xfId="32" xr:uid="{572A9740-4422-43DD-B5E5-83D2A67D2A2B}"/>
    <cellStyle name="40% - アクセント 4" xfId="33" xr:uid="{2CF400DE-8970-4252-A817-FA8E264CC4C7}"/>
    <cellStyle name="40% - アクセント 4 2" xfId="34" xr:uid="{619F5E85-6A4C-41B9-9DB2-F992B9866449}"/>
    <cellStyle name="40% - アクセント 5" xfId="35" xr:uid="{867F89DC-C55D-4FEE-AC9F-52EAAEDE9482}"/>
    <cellStyle name="40% - アクセント 5 2" xfId="36" xr:uid="{EB4E5550-BA21-475D-B7F7-551E21BC36C7}"/>
    <cellStyle name="40% - アクセント 6" xfId="37" xr:uid="{07551B2B-FFDA-4108-B1BA-1B5EF9808063}"/>
    <cellStyle name="40% - アクセント 6 2" xfId="38" xr:uid="{E00E8B7F-6BA0-4EC2-98AA-790E2DD84621}"/>
    <cellStyle name="60% - Accent1" xfId="39" xr:uid="{40D37402-1380-40AF-9F8F-A6A504AB2636}"/>
    <cellStyle name="60% - Accent2" xfId="40" xr:uid="{91F7CEBE-E014-4AAD-94C8-027867D28381}"/>
    <cellStyle name="60% - Accent3" xfId="41" xr:uid="{C01C2F27-47E8-4255-8E9F-4301D0F4F2D8}"/>
    <cellStyle name="60% - Accent4" xfId="42" xr:uid="{B219E1D3-5014-403F-B460-F4973539DC98}"/>
    <cellStyle name="60% - Accent5" xfId="43" xr:uid="{1D2925DB-8724-4A91-8D93-B400EEC1553B}"/>
    <cellStyle name="60% - Accent6" xfId="44" xr:uid="{C508DEF1-47C5-413E-AA36-30955035A17C}"/>
    <cellStyle name="60% - アクセント 1" xfId="45" xr:uid="{590B3074-5AA2-49A1-BD18-2C87BD41E31D}"/>
    <cellStyle name="60% - アクセント 1 2" xfId="46" xr:uid="{70A07BD8-DA70-4EC8-8781-73DA6E4F61DA}"/>
    <cellStyle name="60% - アクセント 2" xfId="47" xr:uid="{90614545-54B0-4DAF-A48F-33FF89C24D5A}"/>
    <cellStyle name="60% - アクセント 2 2" xfId="48" xr:uid="{FE6948CB-9569-4715-8CF0-9921273C96E7}"/>
    <cellStyle name="60% - アクセント 3" xfId="49" xr:uid="{4CADFCAA-0283-467E-B2CB-7411ED3F0F01}"/>
    <cellStyle name="60% - アクセント 3 2" xfId="50" xr:uid="{14860DBB-C56E-4F31-82EF-16C1BC0748D0}"/>
    <cellStyle name="60% - アクセント 4" xfId="51" xr:uid="{C840A727-E764-400A-AA17-B840E496556C}"/>
    <cellStyle name="60% - アクセント 4 2" xfId="52" xr:uid="{F26A075C-8F0F-4B84-8859-98B89E38AF24}"/>
    <cellStyle name="60% - アクセント 5" xfId="53" xr:uid="{DA9EE798-4E32-458D-9BC1-71E38E54CB8F}"/>
    <cellStyle name="60% - アクセント 5 2" xfId="54" xr:uid="{9BFA61E0-29F7-4711-BA0A-859271F1D11B}"/>
    <cellStyle name="60% - アクセント 6" xfId="55" xr:uid="{3C84BA4F-9011-436E-9406-69604745E759}"/>
    <cellStyle name="60% - アクセント 6 2" xfId="56" xr:uid="{6DFA0C0E-4E8B-4E05-88AF-5978329C3219}"/>
    <cellStyle name="Accent1" xfId="57" xr:uid="{E72614AB-53FB-472F-82C9-8A56C2D300ED}"/>
    <cellStyle name="Accent2" xfId="58" xr:uid="{A9D70F8E-2096-4F21-A934-2B7A410E265A}"/>
    <cellStyle name="Accent3" xfId="59" xr:uid="{44B55A48-48AA-475D-8118-686A30D77CD0}"/>
    <cellStyle name="Accent4" xfId="60" xr:uid="{886A0CF5-0F38-43CC-A0C6-D2EC4D75CCDC}"/>
    <cellStyle name="Accent5" xfId="61" xr:uid="{714AC34A-938A-455F-BBBF-AB77339543D0}"/>
    <cellStyle name="Accent6" xfId="62" xr:uid="{45027401-359A-48B0-BCB6-741033348C3E}"/>
    <cellStyle name="Bad" xfId="63" xr:uid="{7BC1329C-58E9-41E8-980C-8F83E0CD6050}"/>
    <cellStyle name="Calculation" xfId="64" xr:uid="{38F3FBEF-CF73-4532-8FE4-E294BA4D3928}"/>
    <cellStyle name="Check Cell" xfId="65" xr:uid="{0DC80092-451F-4A35-9B71-C504CED8BD41}"/>
    <cellStyle name="Comma" xfId="66" builtinId="3"/>
    <cellStyle name="Comma [0]" xfId="67" builtinId="6"/>
    <cellStyle name="Comma [0] 2" xfId="68" xr:uid="{3B726FF3-6A12-4D09-8684-E25F0D35D3E6}"/>
    <cellStyle name="Comma [0] 2 2" xfId="69" xr:uid="{B3C922A7-62DC-4A37-A265-CD9D3D03FCB4}"/>
    <cellStyle name="Comma [0] 3" xfId="70" xr:uid="{FD581773-D9BA-4C83-A435-A341EAF8A923}"/>
    <cellStyle name="Comma [0] 4" xfId="71" xr:uid="{3C7AEDDB-5A7D-45E3-9AFB-824BC4D733FB}"/>
    <cellStyle name="Comma 2" xfId="72" xr:uid="{0E9175EA-E8B6-45D7-B07D-AF87CB0F4924}"/>
    <cellStyle name="Comma 2 3" xfId="73" xr:uid="{5067C062-8590-451E-B405-940097203517}"/>
    <cellStyle name="Comma 3" xfId="74" xr:uid="{0B48F1BA-D577-481C-AFDC-23EB905209FB}"/>
    <cellStyle name="Comma 3 2 2" xfId="75" xr:uid="{7C33296F-9C54-40BF-A8B5-5926623E98CB}"/>
    <cellStyle name="Comma 4" xfId="76" xr:uid="{F0377708-F0E9-45E5-B1CC-D530E0866DD4}"/>
    <cellStyle name="Comma 5" xfId="77" xr:uid="{567D3B55-7B51-40E1-8AA0-B4C71B5D36EC}"/>
    <cellStyle name="Comma 6" xfId="78" xr:uid="{1076C1D2-ACF3-49C4-9714-03FBBD6093F9}"/>
    <cellStyle name="Currency [0] 2" xfId="79" xr:uid="{682131F4-127D-499A-B20F-6F10A54678C1}"/>
    <cellStyle name="Explanatory Text" xfId="80" xr:uid="{183DD489-1DD8-4239-8998-D29EFFDA2E8C}"/>
    <cellStyle name="Good" xfId="81" xr:uid="{B8E979C2-67F9-4ACC-BD72-102918E124AC}"/>
    <cellStyle name="Heading 1" xfId="82" xr:uid="{E296359A-8914-4276-883D-BE38471C5EBD}"/>
    <cellStyle name="Heading 2" xfId="83" xr:uid="{40E3CD59-5A94-4C1E-A0F7-8F6E6895A021}"/>
    <cellStyle name="Heading 3" xfId="84" xr:uid="{12845A52-BB5D-4803-ADCF-0D46C642279A}"/>
    <cellStyle name="Heading 4" xfId="85" xr:uid="{CB592A1B-B98F-4129-B1B4-C6D921FCFCFF}"/>
    <cellStyle name="Input" xfId="86" xr:uid="{FC00D558-3410-4ABF-B351-0F468D939E46}"/>
    <cellStyle name="Linked Cell" xfId="87" xr:uid="{13FBFFDF-414F-4872-B4B7-04915180D9C7}"/>
    <cellStyle name="Neutral" xfId="88" xr:uid="{FB991C68-3D18-49E5-8FD4-307905E40917}"/>
    <cellStyle name="Normal" xfId="0" builtinId="0"/>
    <cellStyle name="Normal 2" xfId="89" xr:uid="{30313A35-32E6-4F37-843A-727712E498B6}"/>
    <cellStyle name="Normal 2 2" xfId="90" xr:uid="{3B2FDB4F-7718-4415-AC28-A856E3906C9C}"/>
    <cellStyle name="Normal 3" xfId="91" xr:uid="{0BFEC3FA-F3AC-40D8-BB32-869FA9A7F2C9}"/>
    <cellStyle name="Normal 4" xfId="92" xr:uid="{00461FF0-5CB9-4146-9480-7AFC704D4053}"/>
    <cellStyle name="Normal 5" xfId="93" xr:uid="{A3460293-9271-422E-BEF8-342F3A473F51}"/>
    <cellStyle name="Note" xfId="94" xr:uid="{110902D5-70F8-4B3B-8259-F1C69AC878D2}"/>
    <cellStyle name="Output" xfId="95" xr:uid="{8579D563-DB9A-4DC5-8D26-86FA85AFBCCA}"/>
    <cellStyle name="Percent 2" xfId="96" xr:uid="{EB266FF3-F3AA-4244-BF34-F9A1EF6E2E1B}"/>
    <cellStyle name="Percent 3" xfId="97" xr:uid="{567E9A3C-DFF3-4FDC-AF07-283B3F064B3B}"/>
    <cellStyle name="Title" xfId="98" xr:uid="{574DF14D-28FB-4EC4-8B6E-0EB901901CFD}"/>
    <cellStyle name="Total" xfId="99" xr:uid="{799EF7F1-4BEC-4FAC-81B7-46FD8ABA4C4E}"/>
    <cellStyle name="Warning Text" xfId="100" xr:uid="{BB30028C-94BF-447B-BDE3-9CA66EA4A515}"/>
    <cellStyle name="アクセント 1" xfId="101" xr:uid="{AEF3B8F2-878D-40CB-A977-EA2D81CF1073}"/>
    <cellStyle name="アクセント 1 2" xfId="102" xr:uid="{FCA9369D-5418-4362-B208-FB4C47882198}"/>
    <cellStyle name="アクセント 2" xfId="103" xr:uid="{775272BB-DA8B-4A5F-B44A-10A2C73A2D1C}"/>
    <cellStyle name="アクセント 2 2" xfId="104" xr:uid="{8E469C9A-7C6A-452A-870A-338027D7C58A}"/>
    <cellStyle name="アクセント 3" xfId="105" xr:uid="{120426D7-B46A-426D-89BD-F4A4C307ADF3}"/>
    <cellStyle name="アクセント 3 2" xfId="106" xr:uid="{C95B6469-5FE2-40A5-9F0C-27310F5F9A26}"/>
    <cellStyle name="アクセント 4" xfId="107" xr:uid="{802F0F3D-D129-4BC1-AC8F-70135C03C481}"/>
    <cellStyle name="アクセント 4 2" xfId="108" xr:uid="{C5A2CF60-070D-494A-AA65-258A36348026}"/>
    <cellStyle name="アクセント 5" xfId="109" xr:uid="{4D96ED36-F3B2-44B3-A0F5-21D9F9C859E3}"/>
    <cellStyle name="アクセント 5 2" xfId="110" xr:uid="{065C5D80-BE5C-4B22-83BC-698ACCE449E5}"/>
    <cellStyle name="アクセント 6" xfId="111" xr:uid="{BF231650-7FC7-4B4D-9E43-69EDB8936EBC}"/>
    <cellStyle name="アクセント 6 2" xfId="112" xr:uid="{8DA1A296-A50A-440A-B43E-1CF8AE4F9F03}"/>
    <cellStyle name="タイトル" xfId="113" xr:uid="{9ADDBAB7-590B-48A6-A8E4-62AD502ECFAB}"/>
    <cellStyle name="タイトル 2" xfId="114" xr:uid="{911F1FC7-2D34-42FD-A3FE-36533D1F56FC}"/>
    <cellStyle name="チェック セル" xfId="115" xr:uid="{EFED5720-580E-4CB9-9A40-B7D16CCD3B4E}"/>
    <cellStyle name="チェック セル 2" xfId="116" xr:uid="{4647E5A8-903F-468F-B804-5EF94BC3BD57}"/>
    <cellStyle name="どちらでもない" xfId="117" xr:uid="{4010B30F-F9EB-421E-AE31-799D2AFF641D}"/>
    <cellStyle name="どちらでもない 2" xfId="118" xr:uid="{B10750EC-434E-4BC4-B100-AD12B546F51F}"/>
    <cellStyle name="パーセント 2" xfId="119" xr:uid="{46205304-44F7-44AA-BEA4-4CF97EC6D1A7}"/>
    <cellStyle name="パーセント 3" xfId="120" xr:uid="{5AF0BC47-0E69-4787-9EC9-4E638385DA36}"/>
    <cellStyle name="パーセント 3 2" xfId="121" xr:uid="{B4E230B2-B3CE-4B88-AF74-1C4A97DAA1A6}"/>
    <cellStyle name="メモ" xfId="122" xr:uid="{6540966D-18E2-44F3-817C-A80F91349B37}"/>
    <cellStyle name="メモ 2" xfId="123" xr:uid="{7720559C-F547-40F3-A865-14057C6A89C6}"/>
    <cellStyle name="リンク セル" xfId="124" xr:uid="{9F04C7E8-793A-4269-A6E5-62CB1A0A8966}"/>
    <cellStyle name="リンク セル 2" xfId="125" xr:uid="{305CE4FA-B80E-4135-96EC-C7F7D25110E2}"/>
    <cellStyle name="悪い" xfId="126" xr:uid="{3ED25ED8-C158-4E36-9E21-EA7D0802A13A}"/>
    <cellStyle name="悪い 2" xfId="127" xr:uid="{CD64C398-6459-4B15-88EF-6FE6F9F71B3B}"/>
    <cellStyle name="一般_KMHK FY2008 時間当り採算 2007年4月 ( Month Plan )" xfId="128" xr:uid="{375FF907-E834-4553-9B78-187509155017}"/>
    <cellStyle name="一般_設備投資金額一覽表" xfId="129" xr:uid="{32BD78E9-B6E2-432A-8F3C-01D5BB3DDBDA}"/>
    <cellStyle name="計算" xfId="130" xr:uid="{EE02439B-7CB3-42B4-94E1-47FD84B5A959}"/>
    <cellStyle name="計算 2" xfId="131" xr:uid="{2BB3761A-8DD8-4C55-8CEF-429435255D51}"/>
    <cellStyle name="警告文" xfId="132" xr:uid="{353909C1-F10E-4760-AF7B-5ABA43950512}"/>
    <cellStyle name="警告文 2" xfId="133" xr:uid="{90EB0799-7F01-41F9-AF74-8B0B887DF43F}"/>
    <cellStyle name="桁区切り [0.00] 2" xfId="134" xr:uid="{3BE67703-4445-4843-9F12-1F6E2F0A97A3}"/>
    <cellStyle name="桁区切り [0.00] 2 2" xfId="135" xr:uid="{7633FFFA-B83D-4A82-B120-DA7DFAEB4AEF}"/>
    <cellStyle name="桁区切り [0.00] 2 3" xfId="136" xr:uid="{B232CC5F-886B-4512-BCEE-34CE46D77B89}"/>
    <cellStyle name="桁区切り 2" xfId="137" xr:uid="{D416A62E-40A4-4106-BBC0-8CA401E70EE2}"/>
    <cellStyle name="桁区切り 2 2" xfId="138" xr:uid="{D951347F-6BFB-4D39-892C-BFC76D690CAD}"/>
    <cellStyle name="桁区切り 2 3" xfId="139" xr:uid="{AE89796D-FBA4-479A-B320-533B735EB792}"/>
    <cellStyle name="桁区切り 3" xfId="140" xr:uid="{1359AECF-2E78-40EF-BABC-9FA054AB6735}"/>
    <cellStyle name="桁区切り 4" xfId="141" xr:uid="{CED14B19-0935-414E-AF72-5357D596AE54}"/>
    <cellStyle name="桁区切り 5" xfId="142" xr:uid="{61F9034B-BB81-448C-9AE5-AE3B89FA1441}"/>
    <cellStyle name="桁区切り 6" xfId="143" xr:uid="{23FD9B80-567A-4CC3-829F-905179E61026}"/>
    <cellStyle name="見出し 1" xfId="144" xr:uid="{BBDE0ACC-25A5-4FFB-AE59-2F6F50211AF1}"/>
    <cellStyle name="見出し 1 2" xfId="145" xr:uid="{C2D2DDE4-CAC0-4F71-A4FD-0030C3F73CBC}"/>
    <cellStyle name="見出し 2" xfId="146" xr:uid="{7A901574-DED3-403B-8F7A-301080331835}"/>
    <cellStyle name="見出し 2 2" xfId="147" xr:uid="{A97E0753-6C10-4B9F-9128-F848F6CC8AE4}"/>
    <cellStyle name="見出し 3" xfId="148" xr:uid="{16C95CE4-6029-41DF-A496-FE2817B1B53C}"/>
    <cellStyle name="見出し 3 2" xfId="149" xr:uid="{6A3ADF63-83CF-4BDB-AF18-DFC370D3DD77}"/>
    <cellStyle name="見出し 4" xfId="150" xr:uid="{995A2155-2D1F-443B-A25C-25CD01B82FE5}"/>
    <cellStyle name="見出し 4 2" xfId="151" xr:uid="{71D3E489-985A-4674-B39B-1FF9418A2537}"/>
    <cellStyle name="集計" xfId="152" xr:uid="{FB4EB35C-DC7E-47B6-BF51-AF1A460DA587}"/>
    <cellStyle name="集計 2" xfId="153" xr:uid="{2DC7EE93-AFF3-4A18-80AB-E6971D468F45}"/>
    <cellStyle name="出力" xfId="154" xr:uid="{35C29BFA-73F4-4AD2-98A3-A00EDC968342}"/>
    <cellStyle name="出力 2" xfId="155" xr:uid="{7CF1FA39-CCD3-4611-BE06-880F9F44A0C6}"/>
    <cellStyle name="常规_総生産分析(0605-0606)" xfId="156" xr:uid="{F90BB0FE-598D-4398-BB7A-A1A0B1B1B0A2}"/>
    <cellStyle name="説明文" xfId="157" xr:uid="{AE945657-2EBA-4760-BA89-769583FF2BF2}"/>
    <cellStyle name="説明文 2" xfId="158" xr:uid="{5DB49076-5B84-4F0F-B880-219373E4EE10}"/>
    <cellStyle name="通貨 2" xfId="159" xr:uid="{C9CE1F26-ADA3-4973-99D0-1A9559738199}"/>
    <cellStyle name="通貨 3" xfId="160" xr:uid="{805EFB77-B8B9-4B0B-B570-FC1611B246FB}"/>
    <cellStyle name="入力" xfId="161" xr:uid="{608D5F69-6589-42D1-9C65-6DBB89D53280}"/>
    <cellStyle name="入力 2" xfId="162" xr:uid="{8A579FF7-04EC-4D15-87E7-5AB46A063A45}"/>
    <cellStyle name="標準 2" xfId="163" xr:uid="{06DE86D9-BFEA-47BB-B329-86668FCFC13D}"/>
    <cellStyle name="標準 2 2" xfId="164" xr:uid="{F2045B77-7FC7-46D0-A87C-055FB798233F}"/>
    <cellStyle name="標準 3" xfId="165" xr:uid="{24F2FAD6-E337-4D2A-B047-9B3D9FA74B4B}"/>
    <cellStyle name="標準 3 2" xfId="166" xr:uid="{FA07ADED-E447-4EB3-BC10-7F336C5E9F8B}"/>
    <cellStyle name="標準 4" xfId="167" xr:uid="{E5CE4DD3-4669-4391-8D9D-1718D9F0FCD7}"/>
    <cellStyle name="標準 4 2" xfId="168" xr:uid="{E208573D-FC64-4321-ABF9-7225833C75E2}"/>
    <cellStyle name="標準_★予定用採算表フォーム（製造課用）" xfId="169" xr:uid="{DFF28BD3-D7C0-4527-B033-D0EB5CCC9FCC}"/>
    <cellStyle name="標準_03.2012 08 31 KDTVN採算表及集計表 FY2013_09（製技用）" xfId="170" xr:uid="{3705A2BF-F223-4B8C-AC67-AA01BF8B9950}"/>
    <cellStyle name="標準_KDTVN 2012年9月1日付原価センタ" xfId="171" xr:uid="{143A057E-F05D-46BB-B536-B3FED93C47C5}"/>
    <cellStyle name="未定義" xfId="172" xr:uid="{8B6A924E-961A-4B80-9BA1-46CE8A5DFD47}"/>
    <cellStyle name="良い" xfId="173" xr:uid="{D6D0F34D-28F8-48EA-9D06-0C75F7AEB478}"/>
    <cellStyle name="良い 2" xfId="174" xr:uid="{814E9280-AAE2-4077-BF2F-CA940D49CDBB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41C8-4823-4CB1-880B-B048ED68EF22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RPS製造課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1261640.95</v>
      </c>
      <c r="D5" s="129">
        <f t="shared" ref="D5:O5" si="0">D8+D9</f>
        <v>1514174.46</v>
      </c>
      <c r="E5" s="129">
        <f t="shared" si="0"/>
        <v>1397276.49</v>
      </c>
      <c r="F5" s="129">
        <f t="shared" si="0"/>
        <v>1510097.76</v>
      </c>
      <c r="G5" s="129">
        <f t="shared" si="0"/>
        <v>1598714.89</v>
      </c>
      <c r="H5" s="129">
        <f t="shared" si="0"/>
        <v>1640060.54</v>
      </c>
      <c r="I5" s="129">
        <f t="shared" si="0"/>
        <v>1263693.8400000001</v>
      </c>
      <c r="J5" s="129">
        <f t="shared" si="0"/>
        <v>1446632.85</v>
      </c>
      <c r="K5" s="129">
        <f t="shared" si="0"/>
        <v>1438756.06</v>
      </c>
      <c r="L5" s="129">
        <f t="shared" si="0"/>
        <v>1359204.79</v>
      </c>
      <c r="M5" s="129">
        <f t="shared" si="0"/>
        <v>1290659.03</v>
      </c>
      <c r="N5" s="129">
        <f t="shared" si="0"/>
        <v>1337523.46</v>
      </c>
      <c r="O5" s="129">
        <f t="shared" si="0"/>
        <v>17058435.119999997</v>
      </c>
    </row>
    <row r="6" spans="1:15" ht="11.25" customHeight="1">
      <c r="A6" s="26"/>
      <c r="B6" s="29" t="s">
        <v>141</v>
      </c>
      <c r="C6" s="130">
        <f>ROUNDDOWN('採算表(VND)'!C6/$N$1,2)</f>
        <v>1261640.95</v>
      </c>
      <c r="D6" s="130">
        <f>ROUNDDOWN('採算表(VND)'!D6/$N$1,2)</f>
        <v>1514174.46</v>
      </c>
      <c r="E6" s="130">
        <f>ROUNDDOWN('採算表(VND)'!E6/$N$1,2)</f>
        <v>1397276.49</v>
      </c>
      <c r="F6" s="130">
        <f>ROUNDDOWN('採算表(VND)'!F6/$N$1,2)</f>
        <v>1510097.76</v>
      </c>
      <c r="G6" s="130">
        <f>ROUNDDOWN('採算表(VND)'!G6/$N$1,2)</f>
        <v>1598714.89</v>
      </c>
      <c r="H6" s="130">
        <f>ROUNDDOWN('採算表(VND)'!H6/$N$1,2)</f>
        <v>1640060.54</v>
      </c>
      <c r="I6" s="130">
        <f>ROUNDDOWN('採算表(VND)'!I6/$N$1,2)</f>
        <v>1263693.8400000001</v>
      </c>
      <c r="J6" s="130">
        <f>ROUNDDOWN('採算表(VND)'!J6/$N$1,2)</f>
        <v>1446632.85</v>
      </c>
      <c r="K6" s="130">
        <f>ROUNDDOWN('採算表(VND)'!K6/$N$1,2)</f>
        <v>1438756.06</v>
      </c>
      <c r="L6" s="130">
        <f>ROUNDDOWN('採算表(VND)'!L6/$N$1,2)</f>
        <v>1359204.79</v>
      </c>
      <c r="M6" s="130">
        <f>ROUNDDOWN('採算表(VND)'!M6/$N$1,2)</f>
        <v>1290659.03</v>
      </c>
      <c r="N6" s="130">
        <f>ROUNDDOWN('採算表(VND)'!N6/$N$1,2)</f>
        <v>1337523.46</v>
      </c>
      <c r="O6" s="130">
        <f>SUM(C6:N6)</f>
        <v>17058435.119999997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1261640.95</v>
      </c>
      <c r="D8" s="132">
        <f t="shared" si="1"/>
        <v>1514174.46</v>
      </c>
      <c r="E8" s="132">
        <f t="shared" si="1"/>
        <v>1397276.49</v>
      </c>
      <c r="F8" s="132">
        <f t="shared" si="1"/>
        <v>1510097.76</v>
      </c>
      <c r="G8" s="132">
        <f t="shared" si="1"/>
        <v>1598714.89</v>
      </c>
      <c r="H8" s="132">
        <f t="shared" si="1"/>
        <v>1640060.54</v>
      </c>
      <c r="I8" s="132">
        <f t="shared" si="1"/>
        <v>1263693.8400000001</v>
      </c>
      <c r="J8" s="132">
        <f t="shared" si="1"/>
        <v>1446632.85</v>
      </c>
      <c r="K8" s="132">
        <f t="shared" si="1"/>
        <v>1438756.06</v>
      </c>
      <c r="L8" s="132">
        <f t="shared" si="1"/>
        <v>1359204.79</v>
      </c>
      <c r="M8" s="132">
        <f t="shared" si="1"/>
        <v>1290659.03</v>
      </c>
      <c r="N8" s="132">
        <f t="shared" si="1"/>
        <v>1337523.46</v>
      </c>
      <c r="O8" s="132">
        <f t="shared" si="1"/>
        <v>17058435.119999997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1213108.83</v>
      </c>
      <c r="D10" s="133">
        <f>ROUNDDOWN('採算表(VND)'!D10/$N$1,2)</f>
        <v>1440509.26</v>
      </c>
      <c r="E10" s="133">
        <f>ROUNDDOWN('採算表(VND)'!E10/$N$1,2)</f>
        <v>1329304</v>
      </c>
      <c r="F10" s="133">
        <f>ROUNDDOWN('採算表(VND)'!F10/$N$1,2)</f>
        <v>1436632.37</v>
      </c>
      <c r="G10" s="133">
        <f>ROUNDDOWN('採算表(VND)'!G10/$N$1,2)</f>
        <v>1520940.21</v>
      </c>
      <c r="H10" s="133">
        <f>ROUNDDOWN('採算表(VND)'!H10/$N$1,2)</f>
        <v>1560283.88</v>
      </c>
      <c r="I10" s="133">
        <f>ROUNDDOWN('採算表(VND)'!I10/$N$1,2)</f>
        <v>1202219.05</v>
      </c>
      <c r="J10" s="133">
        <f>ROUNDDOWN('採算表(VND)'!J10/$N$1,2)</f>
        <v>1376258.64</v>
      </c>
      <c r="K10" s="133">
        <f>ROUNDDOWN('採算表(VND)'!K10/$N$1,2)</f>
        <v>1368764.76</v>
      </c>
      <c r="L10" s="133">
        <f>ROUNDDOWN('採算表(VND)'!L10/$N$1,2)</f>
        <v>1293082.48</v>
      </c>
      <c r="M10" s="133">
        <f>ROUNDDOWN('採算表(VND)'!M10/$N$1,2)</f>
        <v>1227871.05</v>
      </c>
      <c r="N10" s="133">
        <f>ROUNDDOWN('採算表(VND)'!N10/$N$1,2)</f>
        <v>1272455.27</v>
      </c>
      <c r="O10" s="133">
        <f>SUM(C10:N10)</f>
        <v>16241429.800000003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48532.119999999879</v>
      </c>
      <c r="D12" s="134">
        <f t="shared" ref="D12:O12" si="2">D5-D10</f>
        <v>73665.199999999953</v>
      </c>
      <c r="E12" s="134">
        <f t="shared" si="2"/>
        <v>67972.489999999991</v>
      </c>
      <c r="F12" s="134">
        <f t="shared" si="2"/>
        <v>73465.389999999898</v>
      </c>
      <c r="G12" s="134">
        <f t="shared" si="2"/>
        <v>77774.679999999935</v>
      </c>
      <c r="H12" s="134">
        <f t="shared" si="2"/>
        <v>79776.660000000149</v>
      </c>
      <c r="I12" s="134">
        <f t="shared" si="2"/>
        <v>61474.790000000037</v>
      </c>
      <c r="J12" s="134">
        <f t="shared" si="2"/>
        <v>70374.210000000196</v>
      </c>
      <c r="K12" s="134">
        <f t="shared" si="2"/>
        <v>69991.300000000047</v>
      </c>
      <c r="L12" s="134">
        <f t="shared" si="2"/>
        <v>66122.310000000056</v>
      </c>
      <c r="M12" s="134">
        <f t="shared" si="2"/>
        <v>62787.979999999981</v>
      </c>
      <c r="N12" s="134">
        <f t="shared" si="2"/>
        <v>65068.189999999944</v>
      </c>
      <c r="O12" s="134">
        <f t="shared" si="2"/>
        <v>817005.31999999471</v>
      </c>
    </row>
    <row r="13" spans="1:15" ht="11.25" customHeight="1">
      <c r="A13" s="26"/>
      <c r="B13" s="28" t="s">
        <v>76</v>
      </c>
      <c r="C13" s="133">
        <f>SUM(C14:C65)</f>
        <v>53491.609999999993</v>
      </c>
      <c r="D13" s="133">
        <f t="shared" ref="D13:O13" si="3">SUM(D14:D65)</f>
        <v>53044.27</v>
      </c>
      <c r="E13" s="133">
        <f t="shared" si="3"/>
        <v>53855.569999999992</v>
      </c>
      <c r="F13" s="133">
        <f t="shared" si="3"/>
        <v>58999.710000000006</v>
      </c>
      <c r="G13" s="133">
        <f t="shared" si="3"/>
        <v>56535.12999999999</v>
      </c>
      <c r="H13" s="133">
        <f t="shared" si="3"/>
        <v>55454.01</v>
      </c>
      <c r="I13" s="133">
        <f t="shared" si="3"/>
        <v>60478.380000000005</v>
      </c>
      <c r="J13" s="133">
        <f t="shared" si="3"/>
        <v>57549</v>
      </c>
      <c r="K13" s="133">
        <f t="shared" si="3"/>
        <v>59283.33</v>
      </c>
      <c r="L13" s="133">
        <f t="shared" si="3"/>
        <v>55825.81</v>
      </c>
      <c r="M13" s="133">
        <f t="shared" si="3"/>
        <v>52228.999999999993</v>
      </c>
      <c r="N13" s="133">
        <f t="shared" si="3"/>
        <v>55900.18</v>
      </c>
      <c r="O13" s="133">
        <f t="shared" si="3"/>
        <v>672646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6813.55</v>
      </c>
      <c r="D20" s="136">
        <f>ROUNDUP('採算表(VND)'!D20/$N$1,2)</f>
        <v>6813.55</v>
      </c>
      <c r="E20" s="136">
        <f>ROUNDUP('採算表(VND)'!E20/$N$1,2)</f>
        <v>6813.55</v>
      </c>
      <c r="F20" s="136">
        <f>ROUNDUP('採算表(VND)'!F20/$N$1,2)</f>
        <v>6813.55</v>
      </c>
      <c r="G20" s="136">
        <f>ROUNDUP('採算表(VND)'!G20/$N$1,2)</f>
        <v>6813.55</v>
      </c>
      <c r="H20" s="136">
        <f>ROUNDUP('採算表(VND)'!H20/$N$1,2)</f>
        <v>6813.55</v>
      </c>
      <c r="I20" s="136">
        <f>ROUNDUP('採算表(VND)'!I20/$N$1,2)</f>
        <v>6813.55</v>
      </c>
      <c r="J20" s="136">
        <f>ROUNDUP('採算表(VND)'!J20/$N$1,2)</f>
        <v>6813.55</v>
      </c>
      <c r="K20" s="136">
        <f>ROUNDUP('採算表(VND)'!K20/$N$1,2)</f>
        <v>6813.55</v>
      </c>
      <c r="L20" s="136">
        <f>ROUNDUP('採算表(VND)'!L20/$N$1,2)</f>
        <v>6813.55</v>
      </c>
      <c r="M20" s="136">
        <f>ROUNDUP('採算表(VND)'!M20/$N$1,2)</f>
        <v>6813.55</v>
      </c>
      <c r="N20" s="136">
        <f>ROUNDUP('採算表(VND)'!N20/$N$1,2)</f>
        <v>6813.55</v>
      </c>
      <c r="O20" s="136">
        <f t="shared" si="4"/>
        <v>81762.60000000002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0</v>
      </c>
      <c r="D25" s="136">
        <f>ROUNDUP('採算表(VND)'!D25/$N$1,2)</f>
        <v>0</v>
      </c>
      <c r="E25" s="136">
        <f>ROUNDUP('採算表(VND)'!E25/$N$1,2)</f>
        <v>0</v>
      </c>
      <c r="F25" s="136">
        <f>ROUNDUP('採算表(VND)'!F25/$N$1,2)</f>
        <v>0</v>
      </c>
      <c r="G25" s="136">
        <f>ROUNDUP('採算表(VND)'!G25/$N$1,2)</f>
        <v>0</v>
      </c>
      <c r="H25" s="136">
        <f>ROUNDUP('採算表(VND)'!H25/$N$1,2)</f>
        <v>0</v>
      </c>
      <c r="I25" s="136">
        <f>ROUNDUP('採算表(VND)'!I25/$N$1,2)</f>
        <v>0</v>
      </c>
      <c r="J25" s="136">
        <f>ROUNDUP('採算表(VND)'!J25/$N$1,2)</f>
        <v>0</v>
      </c>
      <c r="K25" s="136">
        <f>ROUNDUP('採算表(VND)'!K25/$N$1,2)</f>
        <v>0</v>
      </c>
      <c r="L25" s="136">
        <f>ROUNDUP('採算表(VND)'!L25/$N$1,2)</f>
        <v>0</v>
      </c>
      <c r="M25" s="136">
        <f>ROUNDUP('採算表(VND)'!M25/$N$1,2)</f>
        <v>0</v>
      </c>
      <c r="N25" s="136">
        <f>ROUNDUP('採算表(VND)'!N25/$N$1,2)</f>
        <v>0</v>
      </c>
      <c r="O25" s="136">
        <f t="shared" si="4"/>
        <v>0</v>
      </c>
    </row>
    <row r="26" spans="1:15" ht="11.25" customHeight="1">
      <c r="A26" s="34"/>
      <c r="B26" s="37" t="s">
        <v>104</v>
      </c>
      <c r="C26" s="136">
        <f>ROUNDUP('採算表(VND)'!C26/$N$1,2)</f>
        <v>0</v>
      </c>
      <c r="D26" s="136">
        <f>ROUNDUP('採算表(VND)'!D26/$N$1,2)</f>
        <v>0</v>
      </c>
      <c r="E26" s="136">
        <f>ROUNDUP('採算表(VND)'!E26/$N$1,2)</f>
        <v>0</v>
      </c>
      <c r="F26" s="136">
        <f>ROUNDUP('採算表(VND)'!F26/$N$1,2)</f>
        <v>0</v>
      </c>
      <c r="G26" s="136">
        <f>ROUNDUP('採算表(VND)'!G26/$N$1,2)</f>
        <v>0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0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372.23</v>
      </c>
      <c r="D30" s="136">
        <f>ROUNDUP('採算表(VND)'!D30/$N$1,2)</f>
        <v>381.31</v>
      </c>
      <c r="E30" s="136">
        <f>ROUNDUP('採算表(VND)'!E30/$N$1,2)</f>
        <v>478</v>
      </c>
      <c r="F30" s="136">
        <f>ROUNDUP('採算表(VND)'!F30/$N$1,2)</f>
        <v>514.77</v>
      </c>
      <c r="G30" s="136">
        <f>ROUNDUP('採算表(VND)'!G30/$N$1,2)</f>
        <v>533.15</v>
      </c>
      <c r="H30" s="136">
        <f>ROUNDUP('採算表(VND)'!H30/$N$1,2)</f>
        <v>489.03</v>
      </c>
      <c r="I30" s="136">
        <f>ROUNDUP('採算表(VND)'!I30/$N$1,2)</f>
        <v>496.38</v>
      </c>
      <c r="J30" s="136">
        <f>ROUNDUP('採算表(VND)'!J30/$N$1,2)</f>
        <v>441.23</v>
      </c>
      <c r="K30" s="136">
        <f>ROUNDUP('採算表(VND)'!K30/$N$1,2)</f>
        <v>422.84999999999997</v>
      </c>
      <c r="L30" s="136">
        <f>ROUNDUP('採算表(VND)'!L30/$N$1,2)</f>
        <v>367.69</v>
      </c>
      <c r="M30" s="136">
        <f>ROUNDUP('採算表(VND)'!M30/$N$1,2)</f>
        <v>367.69</v>
      </c>
      <c r="N30" s="136">
        <f>ROUNDUP('採算表(VND)'!N30/$N$1,2)</f>
        <v>294.14999999999998</v>
      </c>
      <c r="O30" s="136">
        <f t="shared" si="4"/>
        <v>5158.4799999999987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25481.46</v>
      </c>
      <c r="D32" s="136">
        <f>ROUNDUP('採算表(VND)'!D32/$N$1,2)</f>
        <v>24991.62</v>
      </c>
      <c r="E32" s="136">
        <f>ROUNDUP('採算表(VND)'!E32/$N$1,2)</f>
        <v>25971.3</v>
      </c>
      <c r="F32" s="136">
        <f>ROUNDUP('採算表(VND)'!F32/$N$1,2)</f>
        <v>26950.98</v>
      </c>
      <c r="G32" s="136">
        <f>ROUNDUP('採算表(VND)'!G32/$N$1,2)</f>
        <v>25481.46</v>
      </c>
      <c r="H32" s="136">
        <f>ROUNDUP('採算表(VND)'!H32/$N$1,2)</f>
        <v>24991.62</v>
      </c>
      <c r="I32" s="136">
        <f>ROUNDUP('採算表(VND)'!I32/$N$1,2)</f>
        <v>26950.98</v>
      </c>
      <c r="J32" s="136">
        <f>ROUNDUP('採算表(VND)'!J32/$N$1,2)</f>
        <v>25481.46</v>
      </c>
      <c r="K32" s="136">
        <f>ROUNDUP('採算表(VND)'!K32/$N$1,2)</f>
        <v>26461.14</v>
      </c>
      <c r="L32" s="136">
        <f>ROUNDUP('採算表(VND)'!L32/$N$1,2)</f>
        <v>25481.46</v>
      </c>
      <c r="M32" s="136">
        <f>ROUNDUP('採算表(VND)'!M32/$N$1,2)</f>
        <v>23032.269999999997</v>
      </c>
      <c r="N32" s="136">
        <f>ROUNDUP('採算表(VND)'!N32/$N$1,2)</f>
        <v>25971.3</v>
      </c>
      <c r="O32" s="136">
        <f t="shared" si="4"/>
        <v>307247.05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0</v>
      </c>
      <c r="D39" s="136">
        <f>ROUNDUP('採算表(VND)'!D39/$N$1,2)</f>
        <v>0</v>
      </c>
      <c r="E39" s="136">
        <f>ROUNDUP('採算表(VND)'!E39/$N$1,2)</f>
        <v>0</v>
      </c>
      <c r="F39" s="136">
        <f>ROUNDUP('採算表(VND)'!F39/$N$1,2)</f>
        <v>0</v>
      </c>
      <c r="G39" s="136">
        <f>ROUNDUP('採算表(VND)'!G39/$N$1,2)</f>
        <v>0</v>
      </c>
      <c r="H39" s="136">
        <f>ROUNDUP('採算表(VND)'!H39/$N$1,2)</f>
        <v>0</v>
      </c>
      <c r="I39" s="136">
        <f>ROUNDUP('採算表(VND)'!I39/$N$1,2)</f>
        <v>0</v>
      </c>
      <c r="J39" s="136">
        <f>ROUNDUP('採算表(VND)'!J39/$N$1,2)</f>
        <v>0</v>
      </c>
      <c r="K39" s="136">
        <f>ROUNDUP('採算表(VND)'!K39/$N$1,2)</f>
        <v>0</v>
      </c>
      <c r="L39" s="136">
        <f>ROUNDUP('採算表(VND)'!L39/$N$1,2)</f>
        <v>0</v>
      </c>
      <c r="M39" s="136">
        <f>ROUNDUP('採算表(VND)'!M39/$N$1,2)</f>
        <v>0</v>
      </c>
      <c r="N39" s="136">
        <f>ROUNDUP('採算表(VND)'!N39/$N$1,2)</f>
        <v>0</v>
      </c>
      <c r="O39" s="136">
        <f t="shared" si="4"/>
        <v>0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0</v>
      </c>
      <c r="D41" s="136">
        <f>ROUNDUP('採算表(VND)'!D41/$N$1,2)</f>
        <v>0</v>
      </c>
      <c r="E41" s="136">
        <f>ROUNDUP('採算表(VND)'!E41/$N$1,2)</f>
        <v>0</v>
      </c>
      <c r="F41" s="136">
        <f>ROUNDUP('採算表(VND)'!F41/$N$1,2)</f>
        <v>0</v>
      </c>
      <c r="G41" s="136">
        <f>ROUNDUP('採算表(VND)'!G41/$N$1,2)</f>
        <v>0</v>
      </c>
      <c r="H41" s="136">
        <f>ROUNDUP('採算表(VND)'!H41/$N$1,2)</f>
        <v>0</v>
      </c>
      <c r="I41" s="136">
        <f>ROUNDUP('採算表(VND)'!I41/$N$1,2)</f>
        <v>0</v>
      </c>
      <c r="J41" s="136">
        <f>ROUNDUP('採算表(VND)'!J41/$N$1,2)</f>
        <v>0</v>
      </c>
      <c r="K41" s="136">
        <f>ROUNDUP('採算表(VND)'!K41/$N$1,2)</f>
        <v>0</v>
      </c>
      <c r="L41" s="136">
        <f>ROUNDUP('採算表(VND)'!L41/$N$1,2)</f>
        <v>0</v>
      </c>
      <c r="M41" s="136">
        <f>ROUNDUP('採算表(VND)'!M41/$N$1,2)</f>
        <v>0</v>
      </c>
      <c r="N41" s="136">
        <f>ROUNDUP('採算表(VND)'!N41/$N$1,2)</f>
        <v>0</v>
      </c>
      <c r="O41" s="136">
        <f t="shared" si="4"/>
        <v>0</v>
      </c>
    </row>
    <row r="42" spans="1:15" ht="11.25" customHeight="1">
      <c r="A42" s="38"/>
      <c r="B42" s="37" t="s">
        <v>98</v>
      </c>
      <c r="C42" s="136">
        <f>ROUNDUP('採算表(VND)'!C42/$N$1,2)</f>
        <v>0</v>
      </c>
      <c r="D42" s="136">
        <f>ROUNDUP('採算表(VND)'!D42/$N$1,2)</f>
        <v>0</v>
      </c>
      <c r="E42" s="136">
        <f>ROUNDUP('採算表(VND)'!E42/$N$1,2)</f>
        <v>0</v>
      </c>
      <c r="F42" s="136">
        <f>ROUNDUP('採算表(VND)'!F42/$N$1,2)</f>
        <v>0</v>
      </c>
      <c r="G42" s="136">
        <f>ROUNDUP('採算表(VND)'!G42/$N$1,2)</f>
        <v>0</v>
      </c>
      <c r="H42" s="136">
        <f>ROUNDUP('採算表(VND)'!H42/$N$1,2)</f>
        <v>0</v>
      </c>
      <c r="I42" s="136">
        <f>ROUNDUP('採算表(VND)'!I42/$N$1,2)</f>
        <v>0</v>
      </c>
      <c r="J42" s="136">
        <f>ROUNDUP('採算表(VND)'!J42/$N$1,2)</f>
        <v>0</v>
      </c>
      <c r="K42" s="136">
        <f>ROUNDUP('採算表(VND)'!K42/$N$1,2)</f>
        <v>0</v>
      </c>
      <c r="L42" s="136">
        <f>ROUNDUP('採算表(VND)'!L42/$N$1,2)</f>
        <v>0</v>
      </c>
      <c r="M42" s="136">
        <f>ROUNDUP('採算表(VND)'!M42/$N$1,2)</f>
        <v>0</v>
      </c>
      <c r="N42" s="136">
        <f>ROUNDUP('採算表(VND)'!N42/$N$1,2)</f>
        <v>0</v>
      </c>
      <c r="O42" s="136">
        <f t="shared" si="4"/>
        <v>0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0</v>
      </c>
      <c r="D44" s="136">
        <f>ROUNDUP('採算表(VND)'!D44/$N$1,2)</f>
        <v>0</v>
      </c>
      <c r="E44" s="136">
        <f>ROUNDUP('採算表(VND)'!E44/$N$1,2)</f>
        <v>0</v>
      </c>
      <c r="F44" s="136">
        <f>ROUNDUP('採算表(VND)'!F44/$N$1,2)</f>
        <v>0</v>
      </c>
      <c r="G44" s="136">
        <f>ROUNDUP('採算表(VND)'!G44/$N$1,2)</f>
        <v>0</v>
      </c>
      <c r="H44" s="136">
        <f>ROUNDUP('採算表(VND)'!H44/$N$1,2)</f>
        <v>0</v>
      </c>
      <c r="I44" s="136">
        <f>ROUNDUP('採算表(VND)'!I44/$N$1,2)</f>
        <v>0</v>
      </c>
      <c r="J44" s="136">
        <f>ROUNDUP('採算表(VND)'!J44/$N$1,2)</f>
        <v>0</v>
      </c>
      <c r="K44" s="136">
        <f>ROUNDUP('採算表(VND)'!K44/$N$1,2)</f>
        <v>0</v>
      </c>
      <c r="L44" s="136">
        <f>ROUNDUP('採算表(VND)'!L44/$N$1,2)</f>
        <v>0</v>
      </c>
      <c r="M44" s="136">
        <f>ROUNDUP('採算表(VND)'!M44/$N$1,2)</f>
        <v>0</v>
      </c>
      <c r="N44" s="136">
        <f>ROUNDUP('採算表(VND)'!N44/$N$1,2)</f>
        <v>0</v>
      </c>
      <c r="O44" s="136">
        <f t="shared" si="4"/>
        <v>0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4868.18</v>
      </c>
      <c r="D57" s="139">
        <f>ROUNDUP('採算表(VND)'!D57/$N$1,2)</f>
        <v>4622.8900000000003</v>
      </c>
      <c r="E57" s="139">
        <f>ROUNDUP('採算表(VND)'!E57/$N$1,2)</f>
        <v>4622.8900000000003</v>
      </c>
      <c r="F57" s="139">
        <f>ROUNDUP('採算表(VND)'!F57/$N$1,2)</f>
        <v>4622.8900000000003</v>
      </c>
      <c r="G57" s="139">
        <f>ROUNDUP('採算表(VND)'!G57/$N$1,2)</f>
        <v>4622.8900000000003</v>
      </c>
      <c r="H57" s="139">
        <f>ROUNDUP('採算表(VND)'!H57/$N$1,2)</f>
        <v>4622.8900000000003</v>
      </c>
      <c r="I57" s="139">
        <f>ROUNDUP('採算表(VND)'!I57/$N$1,2)</f>
        <v>4622.8900000000003</v>
      </c>
      <c r="J57" s="139">
        <f>ROUNDUP('採算表(VND)'!J57/$N$1,2)</f>
        <v>4622.8900000000003</v>
      </c>
      <c r="K57" s="139">
        <f>ROUNDUP('採算表(VND)'!K57/$N$1,2)</f>
        <v>4622.8900000000003</v>
      </c>
      <c r="L57" s="139">
        <f>ROUNDUP('採算表(VND)'!L57/$N$1,2)</f>
        <v>4622.8900000000003</v>
      </c>
      <c r="M57" s="139">
        <f>ROUNDUP('採算表(VND)'!M57/$N$1,2)</f>
        <v>4622.8900000000003</v>
      </c>
      <c r="N57" s="139">
        <f>ROUNDUP('採算表(VND)'!N57/$N$1,2)</f>
        <v>4622.8900000000003</v>
      </c>
      <c r="O57" s="139">
        <f t="shared" si="4"/>
        <v>55719.969999999994</v>
      </c>
    </row>
    <row r="58" spans="1:15" ht="11.25" customHeight="1">
      <c r="A58" s="38"/>
      <c r="B58" s="37" t="s">
        <v>122</v>
      </c>
      <c r="C58" s="139">
        <f>ROUNDUP('採算表(VND)'!C58/$N$1,2)</f>
        <v>6643.34</v>
      </c>
      <c r="D58" s="139">
        <f>ROUNDUP('採算表(VND)'!D58/$N$1,2)</f>
        <v>6261.2</v>
      </c>
      <c r="E58" s="139">
        <f>ROUNDUP('採算表(VND)'!E58/$N$1,2)</f>
        <v>6652.35</v>
      </c>
      <c r="F58" s="139">
        <f>ROUNDUP('採算表(VND)'!F58/$N$1,2)</f>
        <v>8415.68</v>
      </c>
      <c r="G58" s="139">
        <f>ROUNDUP('採算表(VND)'!G58/$N$1,2)</f>
        <v>7691.2</v>
      </c>
      <c r="H58" s="139">
        <f>ROUNDUP('採算表(VND)'!H58/$N$1,2)</f>
        <v>7206.75</v>
      </c>
      <c r="I58" s="139">
        <f>ROUNDUP('採算表(VND)'!I58/$N$1,2)</f>
        <v>8732.16</v>
      </c>
      <c r="J58" s="139">
        <f>ROUNDUP('採算表(VND)'!J58/$N$1,2)</f>
        <v>8132.68</v>
      </c>
      <c r="K58" s="139">
        <f>ROUNDUP('採算表(VND)'!K58/$N$1,2)</f>
        <v>8789.35</v>
      </c>
      <c r="L58" s="139">
        <f>ROUNDUP('採算表(VND)'!L58/$N$1,2)</f>
        <v>8623.5400000000009</v>
      </c>
      <c r="M58" s="139">
        <f>ROUNDUP('採算表(VND)'!M58/$N$1,2)</f>
        <v>7124.83</v>
      </c>
      <c r="N58" s="139">
        <f>ROUNDUP('採算表(VND)'!N58/$N$1,2)</f>
        <v>8214.9</v>
      </c>
      <c r="O58" s="139">
        <f t="shared" si="4"/>
        <v>92487.98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8688.66</v>
      </c>
      <c r="D61" s="139">
        <f>ROUNDUP('採算表(VND)'!D61/$N$1,2)</f>
        <v>9222.01</v>
      </c>
      <c r="E61" s="139">
        <f>ROUNDUP('採算表(VND)'!E61/$N$1,2)</f>
        <v>8760.5300000000007</v>
      </c>
      <c r="F61" s="139">
        <f>ROUNDUP('採算表(VND)'!F61/$N$1,2)</f>
        <v>10886.34</v>
      </c>
      <c r="G61" s="139">
        <f>ROUNDUP('採算表(VND)'!G61/$N$1,2)</f>
        <v>10942.53</v>
      </c>
      <c r="H61" s="139">
        <f>ROUNDUP('採算表(VND)'!H61/$N$1,2)</f>
        <v>10890</v>
      </c>
      <c r="I61" s="139">
        <f>ROUNDUP('採算表(VND)'!I61/$N$1,2)</f>
        <v>12306.56</v>
      </c>
      <c r="J61" s="139">
        <f>ROUNDUP('採算表(VND)'!J61/$N$1,2)</f>
        <v>11585.31</v>
      </c>
      <c r="K61" s="139">
        <f>ROUNDUP('採算表(VND)'!K61/$N$1,2)</f>
        <v>11707.01</v>
      </c>
      <c r="L61" s="139">
        <f>ROUNDUP('採算表(VND)'!L61/$N$1,2)</f>
        <v>9402.64</v>
      </c>
      <c r="M61" s="139">
        <f>ROUNDUP('採算表(VND)'!M61/$N$1,2)</f>
        <v>9906.64</v>
      </c>
      <c r="N61" s="139">
        <f>ROUNDUP('採算表(VND)'!N61/$N$1,2)</f>
        <v>9611.7900000000009</v>
      </c>
      <c r="O61" s="139">
        <f t="shared" si="4"/>
        <v>123910.01999999999</v>
      </c>
    </row>
    <row r="62" spans="1:15" ht="11.25" customHeight="1">
      <c r="A62" s="38"/>
      <c r="B62" s="37" t="s">
        <v>418</v>
      </c>
      <c r="C62" s="139">
        <f>ROUNDUP('採算表(VND)'!C62/$N$1,2)</f>
        <v>7.84</v>
      </c>
      <c r="D62" s="139">
        <f>ROUNDUP('採算表(VND)'!D62/$N$1,2)</f>
        <v>9</v>
      </c>
      <c r="E62" s="139">
        <f>ROUNDUP('採算表(VND)'!E62/$N$1,2)</f>
        <v>7.49</v>
      </c>
      <c r="F62" s="139">
        <f>ROUNDUP('採算表(VND)'!F62/$N$1,2)</f>
        <v>8.25</v>
      </c>
      <c r="G62" s="139">
        <f>ROUNDUP('採算表(VND)'!G62/$N$1,2)</f>
        <v>7.42</v>
      </c>
      <c r="H62" s="139">
        <f>ROUNDUP('採算表(VND)'!H62/$N$1,2)</f>
        <v>8.1199999999999992</v>
      </c>
      <c r="I62" s="139">
        <f>ROUNDUP('採算表(VND)'!I62/$N$1,2)</f>
        <v>7.3199999999999994</v>
      </c>
      <c r="J62" s="139">
        <f>ROUNDUP('採算表(VND)'!J62/$N$1,2)</f>
        <v>7.37</v>
      </c>
      <c r="K62" s="139">
        <f>ROUNDUP('採算表(VND)'!K62/$N$1,2)</f>
        <v>7.4399999999999995</v>
      </c>
      <c r="L62" s="139">
        <f>ROUNDUP('採算表(VND)'!L62/$N$1,2)</f>
        <v>7.16</v>
      </c>
      <c r="M62" s="139">
        <f>ROUNDUP('採算表(VND)'!M62/$N$1,2)</f>
        <v>7.58</v>
      </c>
      <c r="N62" s="139">
        <f>ROUNDUP('採算表(VND)'!N62/$N$1,2)</f>
        <v>7.25</v>
      </c>
      <c r="O62" s="139">
        <f t="shared" si="4"/>
        <v>92.24</v>
      </c>
    </row>
    <row r="63" spans="1:15" ht="11.25" customHeight="1">
      <c r="A63" s="38"/>
      <c r="B63" s="37" t="s">
        <v>419</v>
      </c>
      <c r="C63" s="139">
        <f>ROUNDUP('採算表(VND)'!C63/$N$1,2)</f>
        <v>47.83</v>
      </c>
      <c r="D63" s="139">
        <f>ROUNDUP('採算表(VND)'!D63/$N$1,2)</f>
        <v>16.350000000000001</v>
      </c>
      <c r="E63" s="139">
        <f>ROUNDUP('採算表(VND)'!E63/$N$1,2)</f>
        <v>11.709999999999999</v>
      </c>
      <c r="F63" s="139">
        <f>ROUNDUP('採算表(VND)'!F63/$N$1,2)</f>
        <v>12.61</v>
      </c>
      <c r="G63" s="139">
        <f>ROUNDUP('採算表(VND)'!G63/$N$1,2)</f>
        <v>11.32</v>
      </c>
      <c r="H63" s="139">
        <f>ROUNDUP('採算表(VND)'!H63/$N$1,2)</f>
        <v>10.18</v>
      </c>
      <c r="I63" s="139">
        <f>ROUNDUP('採算表(VND)'!I63/$N$1,2)</f>
        <v>12.73</v>
      </c>
      <c r="J63" s="139">
        <f>ROUNDUP('採算表(VND)'!J63/$N$1,2)</f>
        <v>13.1</v>
      </c>
      <c r="K63" s="139">
        <f>ROUNDUP('採算表(VND)'!K63/$N$1,2)</f>
        <v>12.65</v>
      </c>
      <c r="L63" s="139">
        <f>ROUNDUP('採算表(VND)'!L63/$N$1,2)</f>
        <v>9.89</v>
      </c>
      <c r="M63" s="139">
        <f>ROUNDUP('採算表(VND)'!M63/$N$1,2)</f>
        <v>10.35</v>
      </c>
      <c r="N63" s="139">
        <f>ROUNDUP('採算表(VND)'!N63/$N$1,2)</f>
        <v>10.17</v>
      </c>
      <c r="O63" s="139">
        <f t="shared" si="4"/>
        <v>178.89</v>
      </c>
    </row>
    <row r="64" spans="1:15" ht="11.25" customHeight="1">
      <c r="A64" s="38"/>
      <c r="B64" s="37" t="s">
        <v>143</v>
      </c>
      <c r="C64" s="139">
        <f>ROUNDUP('採算表(VND)'!C64/$N$1,2)</f>
        <v>568.52</v>
      </c>
      <c r="D64" s="139">
        <f>ROUNDUP('採算表(VND)'!D64/$N$1,2)</f>
        <v>726.34</v>
      </c>
      <c r="E64" s="139">
        <f>ROUNDUP('採算表(VND)'!E64/$N$1,2)</f>
        <v>537.75</v>
      </c>
      <c r="F64" s="139">
        <f>ROUNDUP('採算表(VND)'!F64/$N$1,2)</f>
        <v>774.64</v>
      </c>
      <c r="G64" s="139">
        <f>ROUNDUP('採算表(VND)'!G64/$N$1,2)</f>
        <v>431.61</v>
      </c>
      <c r="H64" s="139">
        <f>ROUNDUP('採算表(VND)'!H64/$N$1,2)</f>
        <v>421.87</v>
      </c>
      <c r="I64" s="139">
        <f>ROUNDUP('採算表(VND)'!I64/$N$1,2)</f>
        <v>535.80999999999995</v>
      </c>
      <c r="J64" s="139">
        <f>ROUNDUP('採算表(VND)'!J64/$N$1,2)</f>
        <v>451.40999999999997</v>
      </c>
      <c r="K64" s="139">
        <f>ROUNDUP('採算表(VND)'!K64/$N$1,2)</f>
        <v>446.45</v>
      </c>
      <c r="L64" s="139">
        <f>ROUNDUP('採算表(VND)'!L64/$N$1,2)</f>
        <v>496.99</v>
      </c>
      <c r="M64" s="139">
        <f>ROUNDUP('採算表(VND)'!M64/$N$1,2)</f>
        <v>343.2</v>
      </c>
      <c r="N64" s="139">
        <f>ROUNDUP('採算表(VND)'!N64/$N$1,2)</f>
        <v>354.18</v>
      </c>
      <c r="O64" s="139">
        <f t="shared" si="4"/>
        <v>6088.7699999999995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-4959.4900000001144</v>
      </c>
      <c r="D66" s="134">
        <f t="shared" ref="D66:O66" si="5">IF(ISBLANK(D4),"",D12-D13)</f>
        <v>20620.929999999957</v>
      </c>
      <c r="E66" s="134">
        <f t="shared" si="5"/>
        <v>14116.919999999998</v>
      </c>
      <c r="F66" s="134">
        <f t="shared" si="5"/>
        <v>14465.679999999891</v>
      </c>
      <c r="G66" s="134">
        <f t="shared" si="5"/>
        <v>21239.549999999945</v>
      </c>
      <c r="H66" s="134">
        <f t="shared" si="5"/>
        <v>24322.650000000147</v>
      </c>
      <c r="I66" s="134">
        <f t="shared" si="5"/>
        <v>996.4100000000326</v>
      </c>
      <c r="J66" s="134">
        <f t="shared" si="5"/>
        <v>12825.210000000196</v>
      </c>
      <c r="K66" s="134">
        <f t="shared" si="5"/>
        <v>10707.970000000045</v>
      </c>
      <c r="L66" s="134">
        <f t="shared" si="5"/>
        <v>10296.500000000058</v>
      </c>
      <c r="M66" s="134">
        <f t="shared" si="5"/>
        <v>10558.979999999989</v>
      </c>
      <c r="N66" s="134">
        <f t="shared" si="5"/>
        <v>9168.0099999999438</v>
      </c>
      <c r="O66" s="134">
        <f t="shared" si="5"/>
        <v>144359.31999999471</v>
      </c>
    </row>
    <row r="67" spans="1:15" ht="11.25" customHeight="1">
      <c r="A67" s="26"/>
      <c r="B67" s="28" t="s">
        <v>78</v>
      </c>
      <c r="C67" s="133">
        <f ca="1">C73+C79</f>
        <v>2421.75</v>
      </c>
      <c r="D67" s="133">
        <f t="shared" ref="D67:O67" ca="1" si="6">IF(ISBLANK(D4),"",D73+D79)</f>
        <v>2289.5</v>
      </c>
      <c r="E67" s="133">
        <f t="shared" ca="1" si="6"/>
        <v>2517.5</v>
      </c>
      <c r="F67" s="133">
        <f t="shared" ca="1" si="6"/>
        <v>3049.5</v>
      </c>
      <c r="G67" s="133">
        <f t="shared" ca="1" si="6"/>
        <v>2684.25</v>
      </c>
      <c r="H67" s="133">
        <f t="shared" ca="1" si="6"/>
        <v>2625.75</v>
      </c>
      <c r="I67" s="133">
        <f t="shared" ca="1" si="6"/>
        <v>3312.75</v>
      </c>
      <c r="J67" s="133">
        <f t="shared" ca="1" si="6"/>
        <v>2822.75</v>
      </c>
      <c r="K67" s="133">
        <f t="shared" ca="1" si="6"/>
        <v>3136</v>
      </c>
      <c r="L67" s="133">
        <f t="shared" ca="1" si="6"/>
        <v>2556.25</v>
      </c>
      <c r="M67" s="133">
        <f t="shared" ca="1" si="6"/>
        <v>2051.25</v>
      </c>
      <c r="N67" s="133">
        <f t="shared" ca="1" si="6"/>
        <v>2639.5</v>
      </c>
      <c r="O67" s="133">
        <f t="shared" ca="1" si="6"/>
        <v>32106.75</v>
      </c>
    </row>
    <row r="68" spans="1:15" ht="11.25" customHeight="1">
      <c r="A68" s="38"/>
      <c r="B68" s="46" t="s">
        <v>144</v>
      </c>
      <c r="C68" s="135">
        <f ca="1">'採算表(VND)'!C68</f>
        <v>930</v>
      </c>
      <c r="D68" s="135">
        <f ca="1">'採算表(VND)'!D68</f>
        <v>883.5</v>
      </c>
      <c r="E68" s="135">
        <f ca="1">'採算表(VND)'!E68</f>
        <v>976.5</v>
      </c>
      <c r="F68" s="135">
        <f ca="1">'採算表(VND)'!F68</f>
        <v>1069.5</v>
      </c>
      <c r="G68" s="135">
        <f ca="1">'採算表(VND)'!G68</f>
        <v>930</v>
      </c>
      <c r="H68" s="135">
        <f ca="1">'採算表(VND)'!H68</f>
        <v>883.5</v>
      </c>
      <c r="I68" s="135">
        <f ca="1">'採算表(VND)'!I68</f>
        <v>1069.5</v>
      </c>
      <c r="J68" s="135">
        <f ca="1">'採算表(VND)'!J68</f>
        <v>930</v>
      </c>
      <c r="K68" s="135">
        <f ca="1">'採算表(VND)'!K68</f>
        <v>1023</v>
      </c>
      <c r="L68" s="135">
        <f ca="1">'採算表(VND)'!L68</f>
        <v>930</v>
      </c>
      <c r="M68" s="135">
        <f ca="1">'採算表(VND)'!M68</f>
        <v>697.5</v>
      </c>
      <c r="N68" s="135">
        <f ca="1">'採算表(VND)'!N68</f>
        <v>930</v>
      </c>
      <c r="O68" s="135">
        <f ca="1">SUM(C68:N68)</f>
        <v>11253</v>
      </c>
    </row>
    <row r="69" spans="1:15" ht="11.25" customHeight="1">
      <c r="A69" s="38"/>
      <c r="B69" s="46" t="s">
        <v>88</v>
      </c>
      <c r="C69" s="136">
        <f>'採算表(VND)'!C69</f>
        <v>1443.25</v>
      </c>
      <c r="D69" s="136">
        <f>'採算表(VND)'!D69</f>
        <v>1358</v>
      </c>
      <c r="E69" s="136">
        <f>'採算表(VND)'!E69</f>
        <v>1490.25</v>
      </c>
      <c r="F69" s="136">
        <f>'採算表(VND)'!F69</f>
        <v>1923</v>
      </c>
      <c r="G69" s="136">
        <f>'採算表(VND)'!G69</f>
        <v>1647.75</v>
      </c>
      <c r="H69" s="136">
        <f>'採算表(VND)'!H69</f>
        <v>1627.5</v>
      </c>
      <c r="I69" s="136">
        <f>'採算表(VND)'!I69</f>
        <v>2112.75</v>
      </c>
      <c r="J69" s="136">
        <f>'採算表(VND)'!J69</f>
        <v>1804.5</v>
      </c>
      <c r="K69" s="136">
        <f>'採算表(VND)'!K69</f>
        <v>1970.25</v>
      </c>
      <c r="L69" s="136">
        <f>'採算表(VND)'!L69</f>
        <v>1486</v>
      </c>
      <c r="M69" s="136">
        <f>'採算表(VND)'!M69</f>
        <v>1219.5</v>
      </c>
      <c r="N69" s="136">
        <f>'採算表(VND)'!N69</f>
        <v>1563.75</v>
      </c>
      <c r="O69" s="136">
        <f>SUM(C69:N69)</f>
        <v>19646.5</v>
      </c>
    </row>
    <row r="70" spans="1:15" ht="11.25" customHeight="1">
      <c r="A70" s="38"/>
      <c r="B70" s="47" t="s">
        <v>126</v>
      </c>
      <c r="C70" s="140">
        <f>'採算表(VND)'!C70</f>
        <v>3.5</v>
      </c>
      <c r="D70" s="140">
        <f>'採算表(VND)'!D70</f>
        <v>3.5</v>
      </c>
      <c r="E70" s="140">
        <f>'採算表(VND)'!E70</f>
        <v>3.75</v>
      </c>
      <c r="F70" s="140">
        <f>'採算表(VND)'!F70</f>
        <v>4</v>
      </c>
      <c r="G70" s="140">
        <f>'採算表(VND)'!G70</f>
        <v>3.5</v>
      </c>
      <c r="H70" s="140">
        <f>'採算表(VND)'!H70</f>
        <v>3.5</v>
      </c>
      <c r="I70" s="140">
        <f>'採算表(VND)'!I70</f>
        <v>4</v>
      </c>
      <c r="J70" s="140">
        <f>'採算表(VND)'!J70</f>
        <v>3.5</v>
      </c>
      <c r="K70" s="140">
        <f>'採算表(VND)'!K70</f>
        <v>3.75</v>
      </c>
      <c r="L70" s="140">
        <f>'採算表(VND)'!L70</f>
        <v>3.75</v>
      </c>
      <c r="M70" s="140">
        <f>'採算表(VND)'!M70</f>
        <v>2.75</v>
      </c>
      <c r="N70" s="140">
        <f>'採算表(VND)'!N70</f>
        <v>3.75</v>
      </c>
      <c r="O70" s="140">
        <f>SUM(C70:N70)</f>
        <v>43.25</v>
      </c>
    </row>
    <row r="71" spans="1:15" ht="11.25" customHeight="1">
      <c r="A71" s="38"/>
      <c r="B71" s="47" t="s">
        <v>127</v>
      </c>
      <c r="C71" s="140">
        <f>'採算表(VND)'!C71</f>
        <v>6.5</v>
      </c>
      <c r="D71" s="140">
        <f>'採算表(VND)'!D71</f>
        <v>6.25</v>
      </c>
      <c r="E71" s="140">
        <f>'採算表(VND)'!E71</f>
        <v>6.75</v>
      </c>
      <c r="F71" s="140">
        <f>'採算表(VND)'!F71</f>
        <v>7.75</v>
      </c>
      <c r="G71" s="140">
        <f>'採算表(VND)'!G71</f>
        <v>6.75</v>
      </c>
      <c r="H71" s="140">
        <f>'採算表(VND)'!H71</f>
        <v>6.5</v>
      </c>
      <c r="I71" s="140">
        <f>'採算表(VND)'!I71</f>
        <v>8</v>
      </c>
      <c r="J71" s="140">
        <f>'採算表(VND)'!J71</f>
        <v>7</v>
      </c>
      <c r="K71" s="140">
        <f>'採算表(VND)'!K71</f>
        <v>8</v>
      </c>
      <c r="L71" s="140">
        <f>'採算表(VND)'!L71</f>
        <v>7</v>
      </c>
      <c r="M71" s="140">
        <f>'採算表(VND)'!M71</f>
        <v>5.25</v>
      </c>
      <c r="N71" s="140">
        <f>'採算表(VND)'!N71</f>
        <v>7.25</v>
      </c>
      <c r="O71" s="140">
        <f>SUM(C71:N71)</f>
        <v>83</v>
      </c>
    </row>
    <row r="72" spans="1:15" ht="11.25" customHeight="1">
      <c r="A72" s="38"/>
      <c r="B72" s="40" t="s">
        <v>89</v>
      </c>
      <c r="C72" s="141">
        <f>'採算表(VND)'!C72</f>
        <v>28.5</v>
      </c>
      <c r="D72" s="141">
        <f>'採算表(VND)'!D72</f>
        <v>28.5</v>
      </c>
      <c r="E72" s="141">
        <f>'採算表(VND)'!E72</f>
        <v>30</v>
      </c>
      <c r="F72" s="141">
        <f>'採算表(VND)'!F72</f>
        <v>32.25</v>
      </c>
      <c r="G72" s="141">
        <f>'採算表(VND)'!G72</f>
        <v>29.25</v>
      </c>
      <c r="H72" s="141">
        <f>'採算表(VND)'!H72</f>
        <v>27.75</v>
      </c>
      <c r="I72" s="141">
        <f>'採算表(VND)'!I72</f>
        <v>32.75</v>
      </c>
      <c r="J72" s="141">
        <f>'採算表(VND)'!J72</f>
        <v>29.75</v>
      </c>
      <c r="K72" s="141">
        <f>'採算表(VND)'!K72</f>
        <v>32</v>
      </c>
      <c r="L72" s="141">
        <f>'採算表(VND)'!L72</f>
        <v>30.5</v>
      </c>
      <c r="M72" s="141">
        <f>'採算表(VND)'!M72</f>
        <v>23</v>
      </c>
      <c r="N72" s="141">
        <f>'採算表(VND)'!N72</f>
        <v>30.5</v>
      </c>
      <c r="O72" s="141">
        <f>SUM(C72:N72)</f>
        <v>354.75</v>
      </c>
    </row>
    <row r="73" spans="1:15" ht="11.25" customHeight="1">
      <c r="A73" s="38"/>
      <c r="B73" s="41" t="s">
        <v>145</v>
      </c>
      <c r="C73" s="142">
        <f ca="1">SUM(C68:C72)</f>
        <v>2411.75</v>
      </c>
      <c r="D73" s="142">
        <f t="shared" ref="D73:O73" ca="1" si="7">IF(ISBLANK(D4),"",SUM(D68:D72))</f>
        <v>2279.75</v>
      </c>
      <c r="E73" s="142">
        <f t="shared" ca="1" si="7"/>
        <v>2507.25</v>
      </c>
      <c r="F73" s="142">
        <f t="shared" ca="1" si="7"/>
        <v>3036.5</v>
      </c>
      <c r="G73" s="142">
        <f t="shared" ca="1" si="7"/>
        <v>2617.25</v>
      </c>
      <c r="H73" s="142">
        <f t="shared" ca="1" si="7"/>
        <v>2548.75</v>
      </c>
      <c r="I73" s="142">
        <f t="shared" ca="1" si="7"/>
        <v>3227</v>
      </c>
      <c r="J73" s="142">
        <f t="shared" ca="1" si="7"/>
        <v>2774.75</v>
      </c>
      <c r="K73" s="142">
        <f t="shared" ca="1" si="7"/>
        <v>3037</v>
      </c>
      <c r="L73" s="142">
        <f t="shared" ca="1" si="7"/>
        <v>2457.25</v>
      </c>
      <c r="M73" s="142">
        <f t="shared" ca="1" si="7"/>
        <v>1948</v>
      </c>
      <c r="N73" s="142">
        <f t="shared" ca="1" si="7"/>
        <v>2535.25</v>
      </c>
      <c r="O73" s="142">
        <f t="shared" ca="1" si="7"/>
        <v>31380.5</v>
      </c>
    </row>
    <row r="74" spans="1:15" ht="11.25" customHeight="1">
      <c r="A74" s="38"/>
      <c r="B74" s="39" t="s">
        <v>86</v>
      </c>
      <c r="C74" s="135">
        <f>'採算表(VND)'!C74</f>
        <v>0</v>
      </c>
      <c r="D74" s="135">
        <f>'採算表(VND)'!D74</f>
        <v>0</v>
      </c>
      <c r="E74" s="135">
        <f>'採算表(VND)'!E74</f>
        <v>0</v>
      </c>
      <c r="F74" s="135">
        <f>'採算表(VND)'!F74</f>
        <v>0</v>
      </c>
      <c r="G74" s="135">
        <f>'採算表(VND)'!G74</f>
        <v>0</v>
      </c>
      <c r="H74" s="135">
        <f>'採算表(VND)'!H74</f>
        <v>0</v>
      </c>
      <c r="I74" s="135">
        <f>'採算表(VND)'!I74</f>
        <v>0</v>
      </c>
      <c r="J74" s="135">
        <f>'採算表(VND)'!J74</f>
        <v>0</v>
      </c>
      <c r="K74" s="135">
        <f>'採算表(VND)'!K74</f>
        <v>0</v>
      </c>
      <c r="L74" s="135">
        <f>'採算表(VND)'!L74</f>
        <v>0</v>
      </c>
      <c r="M74" s="135">
        <f>'採算表(VND)'!M74</f>
        <v>0</v>
      </c>
      <c r="N74" s="135">
        <f>'採算表(VND)'!N74</f>
        <v>0</v>
      </c>
      <c r="O74" s="135">
        <f>SUM(C74:N74)</f>
        <v>0</v>
      </c>
    </row>
    <row r="75" spans="1:15">
      <c r="A75" s="38"/>
      <c r="B75" s="37" t="s">
        <v>88</v>
      </c>
      <c r="C75" s="136">
        <f>'採算表(VND)'!C75</f>
        <v>8.5</v>
      </c>
      <c r="D75" s="136">
        <f>'採算表(VND)'!D75</f>
        <v>8.25</v>
      </c>
      <c r="E75" s="136">
        <f>'採算表(VND)'!E75</f>
        <v>8.5</v>
      </c>
      <c r="F75" s="136">
        <f>'採算表(VND)'!F75</f>
        <v>10.75</v>
      </c>
      <c r="G75" s="136">
        <f>'採算表(VND)'!G75</f>
        <v>65.75</v>
      </c>
      <c r="H75" s="136">
        <f>'採算表(VND)'!H75</f>
        <v>75.25</v>
      </c>
      <c r="I75" s="136">
        <f>'採算表(VND)'!I75</f>
        <v>83.5</v>
      </c>
      <c r="J75" s="136">
        <f>'採算表(VND)'!J75</f>
        <v>46.75</v>
      </c>
      <c r="K75" s="136">
        <f>'採算表(VND)'!K75</f>
        <v>96.75</v>
      </c>
      <c r="L75" s="136">
        <f>'採算表(VND)'!L75</f>
        <v>97.75</v>
      </c>
      <c r="M75" s="136">
        <f>'採算表(VND)'!M75</f>
        <v>101</v>
      </c>
      <c r="N75" s="136">
        <f>'採算表(VND)'!N75</f>
        <v>103</v>
      </c>
      <c r="O75" s="136">
        <f>SUM(C75:N75)</f>
        <v>705.75</v>
      </c>
    </row>
    <row r="76" spans="1:15">
      <c r="A76" s="38"/>
      <c r="B76" s="37" t="s">
        <v>126</v>
      </c>
      <c r="C76" s="140">
        <f>'採算表(VND)'!C76</f>
        <v>0.25</v>
      </c>
      <c r="D76" s="140">
        <f>'採算表(VND)'!D76</f>
        <v>0.25</v>
      </c>
      <c r="E76" s="140">
        <f>'採算表(VND)'!E76</f>
        <v>0.25</v>
      </c>
      <c r="F76" s="140">
        <f>'採算表(VND)'!F76</f>
        <v>0.25</v>
      </c>
      <c r="G76" s="140">
        <f>'採算表(VND)'!G76</f>
        <v>0.25</v>
      </c>
      <c r="H76" s="140">
        <f>'採算表(VND)'!H76</f>
        <v>0.25</v>
      </c>
      <c r="I76" s="140">
        <f>'採算表(VND)'!I76</f>
        <v>0.25</v>
      </c>
      <c r="J76" s="140">
        <f>'採算表(VND)'!J76</f>
        <v>0.25</v>
      </c>
      <c r="K76" s="140">
        <f>'採算表(VND)'!K76</f>
        <v>0.25</v>
      </c>
      <c r="L76" s="140">
        <f>'採算表(VND)'!L76</f>
        <v>0.25</v>
      </c>
      <c r="M76" s="140">
        <f>'採算表(VND)'!M76</f>
        <v>0.25</v>
      </c>
      <c r="N76" s="140">
        <f>'採算表(VND)'!N76</f>
        <v>0.25</v>
      </c>
      <c r="O76" s="140">
        <f>SUM(C76:N76)</f>
        <v>3</v>
      </c>
    </row>
    <row r="77" spans="1:15">
      <c r="A77" s="38"/>
      <c r="B77" s="37" t="s">
        <v>127</v>
      </c>
      <c r="C77" s="140">
        <f>'採算表(VND)'!C77</f>
        <v>0.25</v>
      </c>
      <c r="D77" s="140">
        <f>'採算表(VND)'!D77</f>
        <v>0.25</v>
      </c>
      <c r="E77" s="140">
        <f>'採算表(VND)'!E77</f>
        <v>0.25</v>
      </c>
      <c r="F77" s="140">
        <f>'採算表(VND)'!F77</f>
        <v>0.5</v>
      </c>
      <c r="G77" s="140">
        <f>'採算表(VND)'!G77</f>
        <v>0.25</v>
      </c>
      <c r="H77" s="140">
        <f>'採算表(VND)'!H77</f>
        <v>0.25</v>
      </c>
      <c r="I77" s="140">
        <f>'採算表(VND)'!I77</f>
        <v>0.5</v>
      </c>
      <c r="J77" s="140">
        <f>'採算表(VND)'!J77</f>
        <v>0.25</v>
      </c>
      <c r="K77" s="140">
        <f>'採算表(VND)'!K77</f>
        <v>0.5</v>
      </c>
      <c r="L77" s="140">
        <f>'採算表(VND)'!L77</f>
        <v>0.25</v>
      </c>
      <c r="M77" s="140">
        <f>'採算表(VND)'!M77</f>
        <v>0.25</v>
      </c>
      <c r="N77" s="140">
        <f>'採算表(VND)'!N77</f>
        <v>0.25</v>
      </c>
      <c r="O77" s="140">
        <f>SUM(C77:N77)</f>
        <v>3.75</v>
      </c>
    </row>
    <row r="78" spans="1:15">
      <c r="A78" s="38"/>
      <c r="B78" s="40" t="s">
        <v>89</v>
      </c>
      <c r="C78" s="141">
        <f>'採算表(VND)'!C78</f>
        <v>1</v>
      </c>
      <c r="D78" s="141">
        <f>'採算表(VND)'!D78</f>
        <v>1</v>
      </c>
      <c r="E78" s="141">
        <f>'採算表(VND)'!E78</f>
        <v>1.25</v>
      </c>
      <c r="F78" s="141">
        <f>'採算表(VND)'!F78</f>
        <v>1.5</v>
      </c>
      <c r="G78" s="141">
        <f>'採算表(VND)'!G78</f>
        <v>0.75</v>
      </c>
      <c r="H78" s="141">
        <f>'採算表(VND)'!H78</f>
        <v>1.25</v>
      </c>
      <c r="I78" s="141">
        <f>'採算表(VND)'!I78</f>
        <v>1.5</v>
      </c>
      <c r="J78" s="141">
        <f>'採算表(VND)'!J78</f>
        <v>0.75</v>
      </c>
      <c r="K78" s="141">
        <f>'採算表(VND)'!K78</f>
        <v>1.5</v>
      </c>
      <c r="L78" s="141">
        <f>'採算表(VND)'!L78</f>
        <v>0.75</v>
      </c>
      <c r="M78" s="141">
        <f>'採算表(VND)'!M78</f>
        <v>1.75</v>
      </c>
      <c r="N78" s="141">
        <f>'採算表(VND)'!N78</f>
        <v>0.75</v>
      </c>
      <c r="O78" s="141">
        <f>SUM(C78:N78)</f>
        <v>13.75</v>
      </c>
    </row>
    <row r="79" spans="1:15" ht="14.25" customHeight="1">
      <c r="A79" s="38"/>
      <c r="B79" s="41" t="s">
        <v>156</v>
      </c>
      <c r="C79" s="142">
        <f>SUM(C74:C78)</f>
        <v>10</v>
      </c>
      <c r="D79" s="142">
        <f t="shared" ref="D79:O79" si="8">IF(ISBLANK(D4),"",SUM(D74:D78))</f>
        <v>9.75</v>
      </c>
      <c r="E79" s="142">
        <f t="shared" si="8"/>
        <v>10.25</v>
      </c>
      <c r="F79" s="142">
        <f t="shared" si="8"/>
        <v>13</v>
      </c>
      <c r="G79" s="142">
        <f t="shared" si="8"/>
        <v>67</v>
      </c>
      <c r="H79" s="142">
        <f t="shared" si="8"/>
        <v>77</v>
      </c>
      <c r="I79" s="142">
        <f t="shared" si="8"/>
        <v>85.75</v>
      </c>
      <c r="J79" s="142">
        <f t="shared" si="8"/>
        <v>48</v>
      </c>
      <c r="K79" s="142">
        <f t="shared" si="8"/>
        <v>99</v>
      </c>
      <c r="L79" s="142">
        <f t="shared" si="8"/>
        <v>99</v>
      </c>
      <c r="M79" s="142">
        <f t="shared" si="8"/>
        <v>103.25</v>
      </c>
      <c r="N79" s="142">
        <f t="shared" si="8"/>
        <v>104.25</v>
      </c>
      <c r="O79" s="142">
        <f t="shared" si="8"/>
        <v>726.25</v>
      </c>
    </row>
    <row r="80" spans="1:15" ht="14.25" customHeight="1">
      <c r="A80" s="26"/>
      <c r="B80" s="32" t="s">
        <v>79</v>
      </c>
      <c r="C80" s="143">
        <f ca="1">IFERROR(ROUNDDOWN(C66/C67,0),0)</f>
        <v>-2</v>
      </c>
      <c r="D80" s="144">
        <f t="shared" ref="D80:O80" ca="1" si="9">IFERROR(ROUNDDOWN(D66/D67,0),0)</f>
        <v>9</v>
      </c>
      <c r="E80" s="144">
        <f t="shared" ca="1" si="9"/>
        <v>5</v>
      </c>
      <c r="F80" s="144">
        <f t="shared" ca="1" si="9"/>
        <v>4</v>
      </c>
      <c r="G80" s="144">
        <f t="shared" ca="1" si="9"/>
        <v>7</v>
      </c>
      <c r="H80" s="144">
        <f t="shared" ca="1" si="9"/>
        <v>9</v>
      </c>
      <c r="I80" s="144">
        <f t="shared" ca="1" si="9"/>
        <v>0</v>
      </c>
      <c r="J80" s="144">
        <f t="shared" ca="1" si="9"/>
        <v>4</v>
      </c>
      <c r="K80" s="144">
        <f t="shared" ca="1" si="9"/>
        <v>3</v>
      </c>
      <c r="L80" s="144">
        <f t="shared" ca="1" si="9"/>
        <v>4</v>
      </c>
      <c r="M80" s="144">
        <f t="shared" ca="1" si="9"/>
        <v>5</v>
      </c>
      <c r="N80" s="144">
        <f t="shared" ca="1" si="9"/>
        <v>3</v>
      </c>
      <c r="O80" s="144">
        <f t="shared" ca="1" si="9"/>
        <v>4</v>
      </c>
    </row>
    <row r="81" spans="1:15" ht="14.25" customHeight="1">
      <c r="A81" s="26"/>
      <c r="B81" s="42" t="s">
        <v>80</v>
      </c>
      <c r="C81" s="145">
        <f ca="1">IFERROR(ROUNDDOWN(C12/C67,0),0)</f>
        <v>20</v>
      </c>
      <c r="D81" s="146">
        <f t="shared" ref="D81:O81" ca="1" si="10">IFERROR(ROUNDDOWN(D12/D67,0),0)</f>
        <v>32</v>
      </c>
      <c r="E81" s="146">
        <f t="shared" ca="1" si="10"/>
        <v>26</v>
      </c>
      <c r="F81" s="146">
        <f t="shared" ca="1" si="10"/>
        <v>24</v>
      </c>
      <c r="G81" s="146">
        <f t="shared" ca="1" si="10"/>
        <v>28</v>
      </c>
      <c r="H81" s="146">
        <f t="shared" ca="1" si="10"/>
        <v>30</v>
      </c>
      <c r="I81" s="146">
        <f t="shared" ca="1" si="10"/>
        <v>18</v>
      </c>
      <c r="J81" s="146">
        <f t="shared" ca="1" si="10"/>
        <v>24</v>
      </c>
      <c r="K81" s="146">
        <f t="shared" ca="1" si="10"/>
        <v>22</v>
      </c>
      <c r="L81" s="146">
        <f t="shared" ca="1" si="10"/>
        <v>25</v>
      </c>
      <c r="M81" s="146">
        <f t="shared" ca="1" si="10"/>
        <v>30</v>
      </c>
      <c r="N81" s="146">
        <f t="shared" ca="1" si="10"/>
        <v>24</v>
      </c>
      <c r="O81" s="146">
        <f t="shared" ca="1" si="10"/>
        <v>25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0</v>
      </c>
      <c r="D88" s="150">
        <f>'採算表(VND)'!D88</f>
        <v>0</v>
      </c>
      <c r="E88" s="150">
        <f>'採算表(VND)'!E88</f>
        <v>0</v>
      </c>
      <c r="F88" s="150">
        <f>'採算表(VND)'!F88</f>
        <v>0</v>
      </c>
      <c r="G88" s="150">
        <f>'採算表(VND)'!G88</f>
        <v>0</v>
      </c>
      <c r="H88" s="150">
        <f>'採算表(VND)'!H88</f>
        <v>0</v>
      </c>
      <c r="I88" s="150">
        <f>'採算表(VND)'!I88</f>
        <v>0</v>
      </c>
      <c r="J88" s="150">
        <f>'採算表(VND)'!J88</f>
        <v>0</v>
      </c>
      <c r="K88" s="150">
        <f>'採算表(VND)'!K88</f>
        <v>0</v>
      </c>
      <c r="L88" s="150">
        <f>'採算表(VND)'!L88</f>
        <v>0</v>
      </c>
      <c r="M88" s="150">
        <f>'採算表(VND)'!M88</f>
        <v>0</v>
      </c>
      <c r="N88" s="150">
        <f>'採算表(VND)'!N88</f>
        <v>0</v>
      </c>
      <c r="O88" s="150">
        <f>SUM(C88:N88)</f>
        <v>0</v>
      </c>
    </row>
    <row r="89" spans="1:15">
      <c r="A89" s="44"/>
      <c r="B89" s="60" t="s">
        <v>18</v>
      </c>
      <c r="C89" s="151">
        <f t="shared" ref="C89:O89" si="11">C87+C88</f>
        <v>0</v>
      </c>
      <c r="D89" s="151">
        <f t="shared" si="11"/>
        <v>0</v>
      </c>
      <c r="E89" s="151">
        <f t="shared" si="11"/>
        <v>0</v>
      </c>
      <c r="F89" s="151">
        <f t="shared" si="11"/>
        <v>0</v>
      </c>
      <c r="G89" s="151">
        <f t="shared" si="11"/>
        <v>0</v>
      </c>
      <c r="H89" s="151">
        <f t="shared" si="11"/>
        <v>0</v>
      </c>
      <c r="I89" s="151">
        <f t="shared" si="11"/>
        <v>0</v>
      </c>
      <c r="J89" s="151">
        <f t="shared" si="11"/>
        <v>0</v>
      </c>
      <c r="K89" s="151">
        <f t="shared" si="11"/>
        <v>0</v>
      </c>
      <c r="L89" s="151">
        <f t="shared" si="11"/>
        <v>0</v>
      </c>
      <c r="M89" s="151">
        <f t="shared" si="11"/>
        <v>0</v>
      </c>
      <c r="N89" s="151">
        <f t="shared" si="11"/>
        <v>0</v>
      </c>
      <c r="O89" s="151">
        <f t="shared" si="11"/>
        <v>0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 ca="1">'採算表(VND)'!C93</f>
        <v>930</v>
      </c>
      <c r="D93" s="133">
        <f ca="1">'採算表(VND)'!D93</f>
        <v>883.5</v>
      </c>
      <c r="E93" s="133">
        <f ca="1">'採算表(VND)'!E93</f>
        <v>976.5</v>
      </c>
      <c r="F93" s="133">
        <f ca="1">'採算表(VND)'!F93</f>
        <v>1069.5</v>
      </c>
      <c r="G93" s="133">
        <f ca="1">'採算表(VND)'!G93</f>
        <v>930</v>
      </c>
      <c r="H93" s="133">
        <f ca="1">'採算表(VND)'!H93</f>
        <v>883.5</v>
      </c>
      <c r="I93" s="133">
        <f ca="1">'採算表(VND)'!I93</f>
        <v>1069.5</v>
      </c>
      <c r="J93" s="133">
        <f ca="1">'採算表(VND)'!J93</f>
        <v>930</v>
      </c>
      <c r="K93" s="133">
        <f ca="1">'採算表(VND)'!K93</f>
        <v>1023</v>
      </c>
      <c r="L93" s="133">
        <f ca="1">'採算表(VND)'!L93</f>
        <v>930</v>
      </c>
      <c r="M93" s="133">
        <f ca="1">'採算表(VND)'!M93</f>
        <v>697.5</v>
      </c>
      <c r="N93" s="133">
        <f ca="1">'採算表(VND)'!N93</f>
        <v>930</v>
      </c>
      <c r="O93" s="133">
        <f ca="1">SUM(C93:N93)</f>
        <v>11253</v>
      </c>
    </row>
    <row r="94" spans="1:15">
      <c r="B94" s="61" t="s">
        <v>18</v>
      </c>
      <c r="C94" s="147">
        <f t="shared" ref="C94:O94" ca="1" si="12">C92+C93</f>
        <v>930</v>
      </c>
      <c r="D94" s="147">
        <f t="shared" ca="1" si="12"/>
        <v>883.5</v>
      </c>
      <c r="E94" s="147">
        <f t="shared" ca="1" si="12"/>
        <v>976.5</v>
      </c>
      <c r="F94" s="147">
        <f t="shared" ca="1" si="12"/>
        <v>1069.5</v>
      </c>
      <c r="G94" s="147">
        <f t="shared" ca="1" si="12"/>
        <v>930</v>
      </c>
      <c r="H94" s="147">
        <f t="shared" ca="1" si="12"/>
        <v>883.5</v>
      </c>
      <c r="I94" s="147">
        <f t="shared" ca="1" si="12"/>
        <v>1069.5</v>
      </c>
      <c r="J94" s="147">
        <f t="shared" ca="1" si="12"/>
        <v>930</v>
      </c>
      <c r="K94" s="147">
        <f t="shared" ca="1" si="12"/>
        <v>1023</v>
      </c>
      <c r="L94" s="147">
        <f t="shared" ca="1" si="12"/>
        <v>930</v>
      </c>
      <c r="M94" s="147">
        <f t="shared" ca="1" si="12"/>
        <v>697.5</v>
      </c>
      <c r="N94" s="147">
        <f t="shared" ca="1" si="12"/>
        <v>930</v>
      </c>
      <c r="O94" s="147">
        <f t="shared" ca="1" si="12"/>
        <v>11253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0</v>
      </c>
      <c r="D98" s="133">
        <f>'採算表(VND)'!D98</f>
        <v>0</v>
      </c>
      <c r="E98" s="133">
        <f>'採算表(VND)'!E98</f>
        <v>0</v>
      </c>
      <c r="F98" s="133">
        <f>'採算表(VND)'!F98</f>
        <v>0</v>
      </c>
      <c r="G98" s="133">
        <f>'採算表(VND)'!G98</f>
        <v>0</v>
      </c>
      <c r="H98" s="133">
        <f>'採算表(VND)'!H98</f>
        <v>0</v>
      </c>
      <c r="I98" s="133">
        <f>'採算表(VND)'!I98</f>
        <v>0</v>
      </c>
      <c r="J98" s="133">
        <f>'採算表(VND)'!J98</f>
        <v>0</v>
      </c>
      <c r="K98" s="133">
        <f>'採算表(VND)'!K98</f>
        <v>0</v>
      </c>
      <c r="L98" s="133">
        <f>'採算表(VND)'!L98</f>
        <v>0</v>
      </c>
      <c r="M98" s="133">
        <f>'採算表(VND)'!M98</f>
        <v>0</v>
      </c>
      <c r="N98" s="133">
        <f>'採算表(VND)'!N98</f>
        <v>0</v>
      </c>
      <c r="O98" s="133">
        <f>SUM(C98:N98)</f>
        <v>0</v>
      </c>
    </row>
    <row r="99" spans="2:15">
      <c r="B99" s="61" t="s">
        <v>18</v>
      </c>
      <c r="C99" s="147">
        <f t="shared" ref="C99:O99" si="13">C97+C98</f>
        <v>0</v>
      </c>
      <c r="D99" s="147">
        <f t="shared" si="13"/>
        <v>0</v>
      </c>
      <c r="E99" s="147">
        <f t="shared" si="13"/>
        <v>0</v>
      </c>
      <c r="F99" s="147">
        <f t="shared" si="13"/>
        <v>0</v>
      </c>
      <c r="G99" s="147">
        <f t="shared" si="13"/>
        <v>0</v>
      </c>
      <c r="H99" s="147">
        <f t="shared" si="13"/>
        <v>0</v>
      </c>
      <c r="I99" s="147">
        <f t="shared" si="13"/>
        <v>0</v>
      </c>
      <c r="J99" s="147">
        <f t="shared" si="13"/>
        <v>0</v>
      </c>
      <c r="K99" s="147">
        <f t="shared" si="13"/>
        <v>0</v>
      </c>
      <c r="L99" s="147">
        <f t="shared" si="13"/>
        <v>0</v>
      </c>
      <c r="M99" s="147">
        <f t="shared" si="13"/>
        <v>0</v>
      </c>
      <c r="N99" s="147">
        <f t="shared" si="13"/>
        <v>0</v>
      </c>
      <c r="O99" s="147">
        <f t="shared" si="13"/>
        <v>0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0DF0-C591-4013-8A4E-992E3876F9D2}">
  <sheetPr codeName="Sheet2"/>
  <dimension ref="A1:BI99"/>
  <sheetViews>
    <sheetView topLeftCell="A50" zoomScaleNormal="100" workbookViewId="0">
      <selection activeCell="B62" sqref="B62:B6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26953125" style="19" bestFit="1" customWidth="1"/>
    <col min="44" max="46" width="11.7265625" style="19" bestFit="1" customWidth="1"/>
    <col min="47" max="47" width="9" style="19"/>
    <col min="48" max="51" width="14.36328125" style="19" bestFit="1" customWidth="1"/>
    <col min="52" max="52" width="9" style="19"/>
    <col min="53" max="56" width="14.7265625" style="19" bestFit="1" customWidth="1"/>
    <col min="57" max="57" width="9" style="19"/>
    <col min="58" max="58" width="15.26953125" style="19" bestFit="1" customWidth="1"/>
    <col min="59" max="60" width="11.7265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RPS製造課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32033063721</v>
      </c>
      <c r="D5" s="152">
        <f t="shared" ref="D5:N5" si="0">D8+D9</f>
        <v>38444889540</v>
      </c>
      <c r="E5" s="152">
        <f t="shared" si="0"/>
        <v>35476850082</v>
      </c>
      <c r="F5" s="152">
        <f t="shared" si="0"/>
        <v>38341382128</v>
      </c>
      <c r="G5" s="152">
        <f t="shared" si="0"/>
        <v>40591371058</v>
      </c>
      <c r="H5" s="152">
        <f t="shared" si="0"/>
        <v>41641137112</v>
      </c>
      <c r="I5" s="152">
        <f t="shared" si="0"/>
        <v>32085186599</v>
      </c>
      <c r="J5" s="152">
        <f t="shared" si="0"/>
        <v>36730008062</v>
      </c>
      <c r="K5" s="152">
        <f t="shared" si="0"/>
        <v>36530016364</v>
      </c>
      <c r="L5" s="152">
        <f t="shared" si="0"/>
        <v>34510209619</v>
      </c>
      <c r="M5" s="152">
        <f t="shared" si="0"/>
        <v>32769832773</v>
      </c>
      <c r="N5" s="152">
        <f t="shared" si="0"/>
        <v>33959720651</v>
      </c>
      <c r="O5" s="152">
        <f>O8+O9</f>
        <v>433113667709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SUMIF('内訳ﾘｽﾄ(4～3月)'!$D$26:$D$1002,'採算表(VND)'!$B6,'内訳ﾘｽﾄ(4～3月)'!F$26:F$1002)</f>
        <v>32033063721</v>
      </c>
      <c r="D6" s="153">
        <f>SUMIF('内訳ﾘｽﾄ(4～3月)'!$D$26:$D$1002,'採算表(VND)'!$B6,'内訳ﾘｽﾄ(4～3月)'!G$26:G$1002)</f>
        <v>38444889540</v>
      </c>
      <c r="E6" s="153">
        <f>SUMIF('内訳ﾘｽﾄ(4～3月)'!$D$26:$D$1002,'採算表(VND)'!$B6,'内訳ﾘｽﾄ(4～3月)'!H$26:H$1002)</f>
        <v>35476850082</v>
      </c>
      <c r="F6" s="153">
        <f>SUMIF('内訳ﾘｽﾄ(4～3月)'!$D$26:$D$1002,'採算表(VND)'!$B6,'内訳ﾘｽﾄ(4～3月)'!I$26:I$1002)</f>
        <v>38341382128</v>
      </c>
      <c r="G6" s="153">
        <f>SUMIF('内訳ﾘｽﾄ(4～3月)'!$D$26:$D$1002,'採算表(VND)'!$B6,'内訳ﾘｽﾄ(4～3月)'!J$26:J$1002)</f>
        <v>40591371058</v>
      </c>
      <c r="H6" s="153">
        <f>SUMIF('内訳ﾘｽﾄ(4～3月)'!$D$26:$D$1002,'採算表(VND)'!$B6,'内訳ﾘｽﾄ(4～3月)'!K$26:K$1002)</f>
        <v>41641137112</v>
      </c>
      <c r="I6" s="153">
        <f>SUMIF('内訳ﾘｽﾄ(4～3月)'!$D$26:$D$1002,'採算表(VND)'!$B6,'内訳ﾘｽﾄ(4～3月)'!L$26:L$1002)</f>
        <v>32085186599</v>
      </c>
      <c r="J6" s="153">
        <f>SUMIF('内訳ﾘｽﾄ(4～3月)'!$D$26:$D$1002,'採算表(VND)'!$B6,'内訳ﾘｽﾄ(4～3月)'!M$26:M$1002)</f>
        <v>36730008062</v>
      </c>
      <c r="K6" s="153">
        <f>SUMIF('内訳ﾘｽﾄ(4～3月)'!$D$26:$D$1002,'採算表(VND)'!$B6,'内訳ﾘｽﾄ(4～3月)'!N$26:N$1002)</f>
        <v>36530016364</v>
      </c>
      <c r="L6" s="153">
        <f>SUMIF('内訳ﾘｽﾄ(4～3月)'!$D$26:$D$1002,'採算表(VND)'!$B6,'内訳ﾘｽﾄ(4～3月)'!O$26:O$1002)</f>
        <v>34510209619</v>
      </c>
      <c r="M6" s="153">
        <f>SUMIF('内訳ﾘｽﾄ(4～3月)'!$D$26:$D$1002,'採算表(VND)'!$B6,'内訳ﾘｽﾄ(4～3月)'!P$26:P$1002)</f>
        <v>32769832773</v>
      </c>
      <c r="N6" s="153">
        <f>SUMIF('内訳ﾘｽﾄ(4～3月)'!$D$26:$D$1002,'採算表(VND)'!$B6,'内訳ﾘｽﾄ(4～3月)'!Q$26:Q$1002)</f>
        <v>33959720651</v>
      </c>
      <c r="O6" s="153">
        <f>SUMIF('内訳ﾘｽﾄ(4～3月)'!$D$26:$D$801,'採算表(VND)'!$B6,'内訳ﾘｽﾄ(4～3月)'!R$26:R$801)</f>
        <v>433113667709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SUMIF('内訳ﾘｽﾄ(4～3月)'!$D$26:$D$1002,'採算表(VND)'!$B7,'内訳ﾘｽﾄ(4～3月)'!F$26:F$1002)</f>
        <v>0</v>
      </c>
      <c r="D7" s="154">
        <f>SUMIF('内訳ﾘｽﾄ(4～3月)'!$D$26:$D$1002,'採算表(VND)'!$B7,'内訳ﾘｽﾄ(4～3月)'!G$26:G$1002)</f>
        <v>0</v>
      </c>
      <c r="E7" s="154">
        <f>SUMIF('内訳ﾘｽﾄ(4～3月)'!$D$26:$D$1002,'採算表(VND)'!$B7,'内訳ﾘｽﾄ(4～3月)'!H$26:H$1002)</f>
        <v>0</v>
      </c>
      <c r="F7" s="154">
        <f>SUMIF('内訳ﾘｽﾄ(4～3月)'!$D$26:$D$1002,'採算表(VND)'!$B7,'内訳ﾘｽﾄ(4～3月)'!I$26:I$1002)</f>
        <v>0</v>
      </c>
      <c r="G7" s="154">
        <f>SUMIF('内訳ﾘｽﾄ(4～3月)'!$D$26:$D$1002,'採算表(VND)'!$B7,'内訳ﾘｽﾄ(4～3月)'!J$26:J$1002)</f>
        <v>0</v>
      </c>
      <c r="H7" s="154">
        <f>SUMIF('内訳ﾘｽﾄ(4～3月)'!$D$26:$D$1002,'採算表(VND)'!$B7,'内訳ﾘｽﾄ(4～3月)'!K$26:K$1002)</f>
        <v>0</v>
      </c>
      <c r="I7" s="154">
        <f>SUMIF('内訳ﾘｽﾄ(4～3月)'!$D$26:$D$1002,'採算表(VND)'!$B7,'内訳ﾘｽﾄ(4～3月)'!L$26:L$1002)</f>
        <v>0</v>
      </c>
      <c r="J7" s="154">
        <f>SUMIF('内訳ﾘｽﾄ(4～3月)'!$D$26:$D$1002,'採算表(VND)'!$B7,'内訳ﾘｽﾄ(4～3月)'!M$26:M$1002)</f>
        <v>0</v>
      </c>
      <c r="K7" s="154">
        <f>SUMIF('内訳ﾘｽﾄ(4～3月)'!$D$26:$D$1002,'採算表(VND)'!$B7,'内訳ﾘｽﾄ(4～3月)'!N$26:N$1002)</f>
        <v>0</v>
      </c>
      <c r="L7" s="154">
        <f>SUMIF('内訳ﾘｽﾄ(4～3月)'!$D$26:$D$1002,'採算表(VND)'!$B7,'内訳ﾘｽﾄ(4～3月)'!O$26:O$1002)</f>
        <v>0</v>
      </c>
      <c r="M7" s="154">
        <f>SUMIF('内訳ﾘｽﾄ(4～3月)'!$D$26:$D$1002,'採算表(VND)'!$B7,'内訳ﾘｽﾄ(4～3月)'!P$26:P$1002)</f>
        <v>0</v>
      </c>
      <c r="N7" s="154">
        <f>SUMIF('内訳ﾘｽﾄ(4～3月)'!$D$26:$D$1002,'採算表(VND)'!$B7,'内訳ﾘｽﾄ(4～3月)'!Q$26:Q$1002)</f>
        <v>0</v>
      </c>
      <c r="O7" s="154">
        <f>SUMIF('内訳ﾘｽﾄ(4～3月)'!$D$26:$D$801,'採算表(VND)'!$B7,'内訳ﾘｽﾄ(4～3月)'!R$26:R$801)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32033063721</v>
      </c>
      <c r="D8" s="155">
        <f t="shared" si="1"/>
        <v>38444889540</v>
      </c>
      <c r="E8" s="155">
        <f t="shared" si="1"/>
        <v>35476850082</v>
      </c>
      <c r="F8" s="155">
        <f t="shared" si="1"/>
        <v>38341382128</v>
      </c>
      <c r="G8" s="155">
        <f t="shared" si="1"/>
        <v>40591371058</v>
      </c>
      <c r="H8" s="155">
        <f t="shared" si="1"/>
        <v>41641137112</v>
      </c>
      <c r="I8" s="155">
        <f t="shared" si="1"/>
        <v>32085186599</v>
      </c>
      <c r="J8" s="155">
        <f t="shared" si="1"/>
        <v>36730008062</v>
      </c>
      <c r="K8" s="155">
        <f t="shared" si="1"/>
        <v>36530016364</v>
      </c>
      <c r="L8" s="155">
        <f t="shared" si="1"/>
        <v>34510209619</v>
      </c>
      <c r="M8" s="155">
        <f t="shared" si="1"/>
        <v>32769832773</v>
      </c>
      <c r="N8" s="155">
        <f t="shared" si="1"/>
        <v>33959720651</v>
      </c>
      <c r="O8" s="155">
        <f>O6+O7</f>
        <v>433113667709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SUMIF('内訳ﾘｽﾄ(4～3月)'!$D$26:$D$1002,'採算表(VND)'!$B9,'内訳ﾘｽﾄ(4～3月)'!F$26:F$1002)</f>
        <v>0</v>
      </c>
      <c r="D9" s="150">
        <f>SUMIF('内訳ﾘｽﾄ(4～3月)'!$D$26:$D$1002,'採算表(VND)'!$B9,'内訳ﾘｽﾄ(4～3月)'!G$26:G$1002)</f>
        <v>0</v>
      </c>
      <c r="E9" s="150">
        <f>SUMIF('内訳ﾘｽﾄ(4～3月)'!$D$26:$D$1002,'採算表(VND)'!$B9,'内訳ﾘｽﾄ(4～3月)'!H$26:H$1002)</f>
        <v>0</v>
      </c>
      <c r="F9" s="150">
        <f>SUMIF('内訳ﾘｽﾄ(4～3月)'!$D$26:$D$1002,'採算表(VND)'!$B9,'内訳ﾘｽﾄ(4～3月)'!I$26:I$1002)</f>
        <v>0</v>
      </c>
      <c r="G9" s="150">
        <f>SUMIF('内訳ﾘｽﾄ(4～3月)'!$D$26:$D$1002,'採算表(VND)'!$B9,'内訳ﾘｽﾄ(4～3月)'!J$26:J$1002)</f>
        <v>0</v>
      </c>
      <c r="H9" s="150">
        <f>SUMIF('内訳ﾘｽﾄ(4～3月)'!$D$26:$D$1002,'採算表(VND)'!$B9,'内訳ﾘｽﾄ(4～3月)'!K$26:K$1002)</f>
        <v>0</v>
      </c>
      <c r="I9" s="150">
        <f>SUMIF('内訳ﾘｽﾄ(4～3月)'!$D$26:$D$1002,'採算表(VND)'!$B9,'内訳ﾘｽﾄ(4～3月)'!L$26:L$1002)</f>
        <v>0</v>
      </c>
      <c r="J9" s="150">
        <f>SUMIF('内訳ﾘｽﾄ(4～3月)'!$D$26:$D$1002,'採算表(VND)'!$B9,'内訳ﾘｽﾄ(4～3月)'!M$26:M$1002)</f>
        <v>0</v>
      </c>
      <c r="K9" s="150">
        <f>SUMIF('内訳ﾘｽﾄ(4～3月)'!$D$26:$D$1002,'採算表(VND)'!$B9,'内訳ﾘｽﾄ(4～3月)'!N$26:N$1002)</f>
        <v>0</v>
      </c>
      <c r="L9" s="150">
        <f>SUMIF('内訳ﾘｽﾄ(4～3月)'!$D$26:$D$1002,'採算表(VND)'!$B9,'内訳ﾘｽﾄ(4～3月)'!O$26:O$1002)</f>
        <v>0</v>
      </c>
      <c r="M9" s="150">
        <f>SUMIF('内訳ﾘｽﾄ(4～3月)'!$D$26:$D$1002,'採算表(VND)'!$B9,'内訳ﾘｽﾄ(4～3月)'!P$26:P$1002)</f>
        <v>0</v>
      </c>
      <c r="N9" s="150">
        <f>SUMIF('内訳ﾘｽﾄ(4～3月)'!$D$26:$D$1002,'採算表(VND)'!$B9,'内訳ﾘｽﾄ(4～3月)'!Q$26:Q$1002)</f>
        <v>0</v>
      </c>
      <c r="O9" s="150">
        <f>SUMIF('内訳ﾘｽﾄ(4～3月)'!$D$26:$D$801,'採算表(VND)'!$B9,'内訳ﾘｽﾄ(4～3月)'!R$26:R$801)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SUMIF('内訳ﾘｽﾄ(4～3月)'!$D$26:$D$1002,'採算表(VND)'!$B10,'内訳ﾘｽﾄ(4～3月)'!F$26:F$1002)</f>
        <v>30800833194</v>
      </c>
      <c r="D10" s="150">
        <f>SUMIF('内訳ﾘｽﾄ(4～3月)'!$D$26:$D$1002,'採算表(VND)'!$B10,'内訳ﾘｽﾄ(4～3月)'!G$26:G$1002)</f>
        <v>36574530112</v>
      </c>
      <c r="E10" s="150">
        <f>SUMIF('内訳ﾘｽﾄ(4～3月)'!$D$26:$D$1002,'採算表(VND)'!$B10,'内訳ﾘｽﾄ(4～3月)'!H$26:H$1002)</f>
        <v>33751028560</v>
      </c>
      <c r="F10" s="150">
        <f>SUMIF('内訳ﾘｽﾄ(4～3月)'!$D$26:$D$1002,'採算表(VND)'!$B10,'内訳ﾘｽﾄ(4～3月)'!I$26:I$1002)</f>
        <v>36476095875</v>
      </c>
      <c r="G10" s="150">
        <f>SUMIF('内訳ﾘｽﾄ(4～3月)'!$D$26:$D$1002,'採算表(VND)'!$B10,'内訳ﾘｽﾄ(4～3月)'!J$26:J$1002)</f>
        <v>38616671932</v>
      </c>
      <c r="H10" s="150">
        <f>SUMIF('内訳ﾘｽﾄ(4～3月)'!$D$26:$D$1002,'採算表(VND)'!$B10,'内訳ﾘｽﾄ(4～3月)'!K$26:K$1002)</f>
        <v>39615607714</v>
      </c>
      <c r="I10" s="150">
        <f>SUMIF('内訳ﾘｽﾄ(4～3月)'!$D$26:$D$1002,'採算表(VND)'!$B10,'内訳ﾘｽﾄ(4～3月)'!L$26:L$1002)</f>
        <v>30524341680</v>
      </c>
      <c r="J10" s="150">
        <f>SUMIF('内訳ﾘｽﾄ(4～3月)'!$D$26:$D$1002,'採算表(VND)'!$B10,'内訳ﾘｽﾄ(4～3月)'!M$26:M$1002)</f>
        <v>34943206870</v>
      </c>
      <c r="K10" s="150">
        <f>SUMIF('内訳ﾘｽﾄ(4～3月)'!$D$26:$D$1002,'採算表(VND)'!$B10,'内訳ﾘｽﾄ(4～3月)'!N$26:N$1002)</f>
        <v>34752937257</v>
      </c>
      <c r="L10" s="150">
        <f>SUMIF('内訳ﾘｽﾄ(4～3月)'!$D$26:$D$1002,'採算表(VND)'!$B10,'内訳ﾘｽﾄ(4～3月)'!O$26:O$1002)</f>
        <v>32831364168</v>
      </c>
      <c r="M10" s="150">
        <f>SUMIF('内訳ﾘｽﾄ(4～3月)'!$D$26:$D$1002,'採算表(VND)'!$B10,'内訳ﾘｽﾄ(4～3月)'!P$26:P$1002)</f>
        <v>31175645960</v>
      </c>
      <c r="N10" s="150">
        <f>SUMIF('内訳ﾘｽﾄ(4～3月)'!$D$26:$D$1002,'採算表(VND)'!$B10,'内訳ﾘｽﾄ(4～3月)'!Q$26:Q$1002)</f>
        <v>32307639306</v>
      </c>
      <c r="O10" s="150">
        <f>SUMIF('内訳ﾘｽﾄ(4～3月)'!$D$26:$D$801,'採算表(VND)'!$B10,'内訳ﾘｽﾄ(4～3月)'!R$26:R$801)</f>
        <v>412369902628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1232230527</v>
      </c>
      <c r="D12" s="156">
        <f t="shared" ref="D12:N12" si="2">D5-D10</f>
        <v>1870359428</v>
      </c>
      <c r="E12" s="156">
        <f t="shared" si="2"/>
        <v>1725821522</v>
      </c>
      <c r="F12" s="156">
        <f t="shared" si="2"/>
        <v>1865286253</v>
      </c>
      <c r="G12" s="156">
        <f t="shared" si="2"/>
        <v>1974699126</v>
      </c>
      <c r="H12" s="156">
        <f t="shared" si="2"/>
        <v>2025529398</v>
      </c>
      <c r="I12" s="156">
        <f t="shared" si="2"/>
        <v>1560844919</v>
      </c>
      <c r="J12" s="156">
        <f t="shared" si="2"/>
        <v>1786801192</v>
      </c>
      <c r="K12" s="156">
        <f t="shared" si="2"/>
        <v>1777079107</v>
      </c>
      <c r="L12" s="156">
        <f t="shared" si="2"/>
        <v>1678845451</v>
      </c>
      <c r="M12" s="156">
        <f t="shared" si="2"/>
        <v>1594186813</v>
      </c>
      <c r="N12" s="156">
        <f t="shared" si="2"/>
        <v>1652081345</v>
      </c>
      <c r="O12" s="156">
        <f>O5-O10</f>
        <v>20743765081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1358150709</v>
      </c>
      <c r="D13" s="150">
        <f t="shared" ref="D13:N13" si="3">SUM(D14:D65)</f>
        <v>1346793095</v>
      </c>
      <c r="E13" s="150">
        <f t="shared" si="3"/>
        <v>1367391548</v>
      </c>
      <c r="F13" s="150">
        <f t="shared" si="3"/>
        <v>1498001280</v>
      </c>
      <c r="G13" s="150">
        <f t="shared" si="3"/>
        <v>1435425829</v>
      </c>
      <c r="H13" s="150">
        <f t="shared" si="3"/>
        <v>1407976231</v>
      </c>
      <c r="I13" s="150">
        <f t="shared" si="3"/>
        <v>1535545195</v>
      </c>
      <c r="J13" s="150">
        <f t="shared" si="3"/>
        <v>1461167785</v>
      </c>
      <c r="K13" s="150">
        <f t="shared" si="3"/>
        <v>1505202450</v>
      </c>
      <c r="L13" s="150">
        <f t="shared" si="3"/>
        <v>1417416426</v>
      </c>
      <c r="M13" s="150">
        <f t="shared" si="3"/>
        <v>1326093042</v>
      </c>
      <c r="N13" s="150">
        <f t="shared" si="3"/>
        <v>1419304720</v>
      </c>
      <c r="O13" s="150">
        <f>SUM(O14:O65)</f>
        <v>17078468310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SUMIF('内訳ﾘｽﾄ(4～3月)'!$D$26:$D$1002,$B14,'内訳ﾘｽﾄ(4～3月)'!F$26:F$1002)</f>
        <v>0</v>
      </c>
      <c r="D14" s="157">
        <f>SUMIF('内訳ﾘｽﾄ(4～3月)'!$D$26:$D$1002,$B14,'内訳ﾘｽﾄ(4～3月)'!G$26:G$1002)</f>
        <v>0</v>
      </c>
      <c r="E14" s="157">
        <f>SUMIF('内訳ﾘｽﾄ(4～3月)'!$D$26:$D$1002,$B14,'内訳ﾘｽﾄ(4～3月)'!H$26:H$1002)</f>
        <v>0</v>
      </c>
      <c r="F14" s="157">
        <f>SUMIF('内訳ﾘｽﾄ(4～3月)'!$D$26:$D$1002,$B14,'内訳ﾘｽﾄ(4～3月)'!I$26:I$1002)</f>
        <v>0</v>
      </c>
      <c r="G14" s="157">
        <f>SUMIF('内訳ﾘｽﾄ(4～3月)'!$D$26:$D$1002,$B14,'内訳ﾘｽﾄ(4～3月)'!J$26:J$1002)</f>
        <v>0</v>
      </c>
      <c r="H14" s="157">
        <f>SUMIF('内訳ﾘｽﾄ(4～3月)'!$D$26:$D$1002,$B14,'内訳ﾘｽﾄ(4～3月)'!K$26:K$1002)</f>
        <v>0</v>
      </c>
      <c r="I14" s="157">
        <f>SUMIF('内訳ﾘｽﾄ(4～3月)'!$D$26:$D$1002,$B14,'内訳ﾘｽﾄ(4～3月)'!L$26:L$1002)</f>
        <v>0</v>
      </c>
      <c r="J14" s="157">
        <f>SUMIF('内訳ﾘｽﾄ(4～3月)'!$D$26:$D$1002,$B14,'内訳ﾘｽﾄ(4～3月)'!M$26:M$1002)</f>
        <v>0</v>
      </c>
      <c r="K14" s="157">
        <f>SUMIF('内訳ﾘｽﾄ(4～3月)'!$D$26:$D$1002,$B14,'内訳ﾘｽﾄ(4～3月)'!N$26:N$1002)</f>
        <v>0</v>
      </c>
      <c r="L14" s="157">
        <f>SUMIF('内訳ﾘｽﾄ(4～3月)'!$D$26:$D$1002,$B14,'内訳ﾘｽﾄ(4～3月)'!O$26:O$1002)</f>
        <v>0</v>
      </c>
      <c r="M14" s="157">
        <f>SUMIF('内訳ﾘｽﾄ(4～3月)'!$D$26:$D$1002,$B14,'内訳ﾘｽﾄ(4～3月)'!P$26:P$1002)</f>
        <v>0</v>
      </c>
      <c r="N14" s="157">
        <f>SUMIF('内訳ﾘｽﾄ(4～3月)'!$D$26:$D$1002,$B14,'内訳ﾘｽﾄ(4～3月)'!Q$26:Q$1002)</f>
        <v>0</v>
      </c>
      <c r="O14" s="157">
        <f>SUMIF('内訳ﾘｽﾄ(4～3月)'!$D$26:$D$801,'採算表(VND)'!$B14,'内訳ﾘｽﾄ(4～3月)'!R$26:R$801)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SUMIF('内訳ﾘｽﾄ(4～3月)'!$D$26:$D$1002,$B15,'内訳ﾘｽﾄ(4～3月)'!F$26:F$1002)</f>
        <v>0</v>
      </c>
      <c r="D15" s="157">
        <f>SUMIF('内訳ﾘｽﾄ(4～3月)'!$D$26:$D$1002,$B15,'内訳ﾘｽﾄ(4～3月)'!G$26:G$1002)</f>
        <v>0</v>
      </c>
      <c r="E15" s="157">
        <f>SUMIF('内訳ﾘｽﾄ(4～3月)'!$D$26:$D$1002,$B15,'内訳ﾘｽﾄ(4～3月)'!H$26:H$1002)</f>
        <v>0</v>
      </c>
      <c r="F15" s="157">
        <f>SUMIF('内訳ﾘｽﾄ(4～3月)'!$D$26:$D$1002,$B15,'内訳ﾘｽﾄ(4～3月)'!I$26:I$1002)</f>
        <v>0</v>
      </c>
      <c r="G15" s="157">
        <f>SUMIF('内訳ﾘｽﾄ(4～3月)'!$D$26:$D$1002,$B15,'内訳ﾘｽﾄ(4～3月)'!J$26:J$1002)</f>
        <v>0</v>
      </c>
      <c r="H15" s="157">
        <f>SUMIF('内訳ﾘｽﾄ(4～3月)'!$D$26:$D$1002,$B15,'内訳ﾘｽﾄ(4～3月)'!K$26:K$1002)</f>
        <v>0</v>
      </c>
      <c r="I15" s="157">
        <f>SUMIF('内訳ﾘｽﾄ(4～3月)'!$D$26:$D$1002,$B15,'内訳ﾘｽﾄ(4～3月)'!L$26:L$1002)</f>
        <v>0</v>
      </c>
      <c r="J15" s="157">
        <f>SUMIF('内訳ﾘｽﾄ(4～3月)'!$D$26:$D$1002,$B15,'内訳ﾘｽﾄ(4～3月)'!M$26:M$1002)</f>
        <v>0</v>
      </c>
      <c r="K15" s="157">
        <f>SUMIF('内訳ﾘｽﾄ(4～3月)'!$D$26:$D$1002,$B15,'内訳ﾘｽﾄ(4～3月)'!N$26:N$1002)</f>
        <v>0</v>
      </c>
      <c r="L15" s="157">
        <f>SUMIF('内訳ﾘｽﾄ(4～3月)'!$D$26:$D$1002,$B15,'内訳ﾘｽﾄ(4～3月)'!O$26:O$1002)</f>
        <v>0</v>
      </c>
      <c r="M15" s="157">
        <f>SUMIF('内訳ﾘｽﾄ(4～3月)'!$D$26:$D$1002,$B15,'内訳ﾘｽﾄ(4～3月)'!P$26:P$1002)</f>
        <v>0</v>
      </c>
      <c r="N15" s="157">
        <f>SUMIF('内訳ﾘｽﾄ(4～3月)'!$D$26:$D$1002,$B15,'内訳ﾘｽﾄ(4～3月)'!Q$26:Q$1002)</f>
        <v>0</v>
      </c>
      <c r="O15" s="157">
        <f>SUMIF('内訳ﾘｽﾄ(4～3月)'!$D$26:$D$801,'採算表(VND)'!$B15,'内訳ﾘｽﾄ(4～3月)'!R$26:R$801)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SUMIF('内訳ﾘｽﾄ(4～3月)'!$D$26:$D$1002,$B16,'内訳ﾘｽﾄ(4～3月)'!F$26:F$1002)</f>
        <v>0</v>
      </c>
      <c r="D16" s="157">
        <f>SUMIF('内訳ﾘｽﾄ(4～3月)'!$D$26:$D$1002,$B16,'内訳ﾘｽﾄ(4～3月)'!G$26:G$1002)</f>
        <v>0</v>
      </c>
      <c r="E16" s="157">
        <f>SUMIF('内訳ﾘｽﾄ(4～3月)'!$D$26:$D$1002,$B16,'内訳ﾘｽﾄ(4～3月)'!H$26:H$1002)</f>
        <v>0</v>
      </c>
      <c r="F16" s="157">
        <f>SUMIF('内訳ﾘｽﾄ(4～3月)'!$D$26:$D$1002,$B16,'内訳ﾘｽﾄ(4～3月)'!I$26:I$1002)</f>
        <v>0</v>
      </c>
      <c r="G16" s="157">
        <f>SUMIF('内訳ﾘｽﾄ(4～3月)'!$D$26:$D$1002,$B16,'内訳ﾘｽﾄ(4～3月)'!J$26:J$1002)</f>
        <v>0</v>
      </c>
      <c r="H16" s="157">
        <f>SUMIF('内訳ﾘｽﾄ(4～3月)'!$D$26:$D$1002,$B16,'内訳ﾘｽﾄ(4～3月)'!K$26:K$1002)</f>
        <v>0</v>
      </c>
      <c r="I16" s="157">
        <f>SUMIF('内訳ﾘｽﾄ(4～3月)'!$D$26:$D$1002,$B16,'内訳ﾘｽﾄ(4～3月)'!L$26:L$1002)</f>
        <v>0</v>
      </c>
      <c r="J16" s="157">
        <f>SUMIF('内訳ﾘｽﾄ(4～3月)'!$D$26:$D$1002,$B16,'内訳ﾘｽﾄ(4～3月)'!M$26:M$1002)</f>
        <v>0</v>
      </c>
      <c r="K16" s="157">
        <f>SUMIF('内訳ﾘｽﾄ(4～3月)'!$D$26:$D$1002,$B16,'内訳ﾘｽﾄ(4～3月)'!N$26:N$1002)</f>
        <v>0</v>
      </c>
      <c r="L16" s="157">
        <f>SUMIF('内訳ﾘｽﾄ(4～3月)'!$D$26:$D$1002,$B16,'内訳ﾘｽﾄ(4～3月)'!O$26:O$1002)</f>
        <v>0</v>
      </c>
      <c r="M16" s="157">
        <f>SUMIF('内訳ﾘｽﾄ(4～3月)'!$D$26:$D$1002,$B16,'内訳ﾘｽﾄ(4～3月)'!P$26:P$1002)</f>
        <v>0</v>
      </c>
      <c r="N16" s="157">
        <f>SUMIF('内訳ﾘｽﾄ(4～3月)'!$D$26:$D$1002,$B16,'内訳ﾘｽﾄ(4～3月)'!Q$26:Q$1002)</f>
        <v>0</v>
      </c>
      <c r="O16" s="157">
        <f>SUMIF('内訳ﾘｽﾄ(4～3月)'!$D$26:$D$801,'採算表(VND)'!$B16,'内訳ﾘｽﾄ(4～3月)'!R$26:R$801)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SUMIF('内訳ﾘｽﾄ(4～3月)'!$D$26:$D$1002,$B17,'内訳ﾘｽﾄ(4～3月)'!F$26:F$1002)</f>
        <v>0</v>
      </c>
      <c r="D17" s="158">
        <f>SUMIF('内訳ﾘｽﾄ(4～3月)'!$D$26:$D$1002,$B17,'内訳ﾘｽﾄ(4～3月)'!G$26:G$1002)</f>
        <v>0</v>
      </c>
      <c r="E17" s="158">
        <f>SUMIF('内訳ﾘｽﾄ(4～3月)'!$D$26:$D$1002,$B17,'内訳ﾘｽﾄ(4～3月)'!H$26:H$1002)</f>
        <v>0</v>
      </c>
      <c r="F17" s="158">
        <f>SUMIF('内訳ﾘｽﾄ(4～3月)'!$D$26:$D$1002,$B17,'内訳ﾘｽﾄ(4～3月)'!I$26:I$1002)</f>
        <v>0</v>
      </c>
      <c r="G17" s="158">
        <f>SUMIF('内訳ﾘｽﾄ(4～3月)'!$D$26:$D$1002,$B17,'内訳ﾘｽﾄ(4～3月)'!J$26:J$1002)</f>
        <v>0</v>
      </c>
      <c r="H17" s="158">
        <f>SUMIF('内訳ﾘｽﾄ(4～3月)'!$D$26:$D$1002,$B17,'内訳ﾘｽﾄ(4～3月)'!K$26:K$1002)</f>
        <v>0</v>
      </c>
      <c r="I17" s="158">
        <f>SUMIF('内訳ﾘｽﾄ(4～3月)'!$D$26:$D$1002,$B17,'内訳ﾘｽﾄ(4～3月)'!L$26:L$1002)</f>
        <v>0</v>
      </c>
      <c r="J17" s="158">
        <f>SUMIF('内訳ﾘｽﾄ(4～3月)'!$D$26:$D$1002,$B17,'内訳ﾘｽﾄ(4～3月)'!M$26:M$1002)</f>
        <v>0</v>
      </c>
      <c r="K17" s="158">
        <f>SUMIF('内訳ﾘｽﾄ(4～3月)'!$D$26:$D$1002,$B17,'内訳ﾘｽﾄ(4～3月)'!N$26:N$1002)</f>
        <v>0</v>
      </c>
      <c r="L17" s="158">
        <f>SUMIF('内訳ﾘｽﾄ(4～3月)'!$D$26:$D$1002,$B17,'内訳ﾘｽﾄ(4～3月)'!O$26:O$1002)</f>
        <v>0</v>
      </c>
      <c r="M17" s="158">
        <f>SUMIF('内訳ﾘｽﾄ(4～3月)'!$D$26:$D$1002,$B17,'内訳ﾘｽﾄ(4～3月)'!P$26:P$1002)</f>
        <v>0</v>
      </c>
      <c r="N17" s="158">
        <f>SUMIF('内訳ﾘｽﾄ(4～3月)'!$D$26:$D$1002,$B17,'内訳ﾘｽﾄ(4～3月)'!Q$26:Q$1002)</f>
        <v>0</v>
      </c>
      <c r="O17" s="158">
        <f>SUMIF('内訳ﾘｽﾄ(4～3月)'!$D$26:$D$801,'採算表(VND)'!$B17,'内訳ﾘｽﾄ(4～3月)'!R$26:R$801)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SUMIF('内訳ﾘｽﾄ(4～3月)'!$D$26:$D$1002,$B18,'内訳ﾘｽﾄ(4～3月)'!F$26:F$1002)</f>
        <v>0</v>
      </c>
      <c r="D18" s="158">
        <f>SUMIF('内訳ﾘｽﾄ(4～3月)'!$D$26:$D$1002,$B18,'内訳ﾘｽﾄ(4～3月)'!G$26:G$1002)</f>
        <v>0</v>
      </c>
      <c r="E18" s="158">
        <f>SUMIF('内訳ﾘｽﾄ(4～3月)'!$D$26:$D$1002,$B18,'内訳ﾘｽﾄ(4～3月)'!H$26:H$1002)</f>
        <v>0</v>
      </c>
      <c r="F18" s="158">
        <f>SUMIF('内訳ﾘｽﾄ(4～3月)'!$D$26:$D$1002,$B18,'内訳ﾘｽﾄ(4～3月)'!I$26:I$1002)</f>
        <v>0</v>
      </c>
      <c r="G18" s="158">
        <f>SUMIF('内訳ﾘｽﾄ(4～3月)'!$D$26:$D$1002,$B18,'内訳ﾘｽﾄ(4～3月)'!J$26:J$1002)</f>
        <v>0</v>
      </c>
      <c r="H18" s="158">
        <f>SUMIF('内訳ﾘｽﾄ(4～3月)'!$D$26:$D$1002,$B18,'内訳ﾘｽﾄ(4～3月)'!K$26:K$1002)</f>
        <v>0</v>
      </c>
      <c r="I18" s="158">
        <f>SUMIF('内訳ﾘｽﾄ(4～3月)'!$D$26:$D$1002,$B18,'内訳ﾘｽﾄ(4～3月)'!L$26:L$1002)</f>
        <v>0</v>
      </c>
      <c r="J18" s="158">
        <f>SUMIF('内訳ﾘｽﾄ(4～3月)'!$D$26:$D$1002,$B18,'内訳ﾘｽﾄ(4～3月)'!M$26:M$1002)</f>
        <v>0</v>
      </c>
      <c r="K18" s="158">
        <f>SUMIF('内訳ﾘｽﾄ(4～3月)'!$D$26:$D$1002,$B18,'内訳ﾘｽﾄ(4～3月)'!N$26:N$1002)</f>
        <v>0</v>
      </c>
      <c r="L18" s="158">
        <f>SUMIF('内訳ﾘｽﾄ(4～3月)'!$D$26:$D$1002,$B18,'内訳ﾘｽﾄ(4～3月)'!O$26:O$1002)</f>
        <v>0</v>
      </c>
      <c r="M18" s="158">
        <f>SUMIF('内訳ﾘｽﾄ(4～3月)'!$D$26:$D$1002,$B18,'内訳ﾘｽﾄ(4～3月)'!P$26:P$1002)</f>
        <v>0</v>
      </c>
      <c r="N18" s="158">
        <f>SUMIF('内訳ﾘｽﾄ(4～3月)'!$D$26:$D$1002,$B18,'内訳ﾘｽﾄ(4～3月)'!Q$26:Q$1002)</f>
        <v>0</v>
      </c>
      <c r="O18" s="158">
        <f>SUMIF('内訳ﾘｽﾄ(4～3月)'!$D$26:$D$801,'採算表(VND)'!$B18,'内訳ﾘｽﾄ(4～3月)'!R$26:R$801)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SUMIF('内訳ﾘｽﾄ(4～3月)'!$D$26:$D$1002,$B19,'内訳ﾘｽﾄ(4～3月)'!F$26:F$1002)</f>
        <v>0</v>
      </c>
      <c r="D19" s="158">
        <f>SUMIF('内訳ﾘｽﾄ(4～3月)'!$D$26:$D$1002,$B19,'内訳ﾘｽﾄ(4～3月)'!G$26:G$1002)</f>
        <v>0</v>
      </c>
      <c r="E19" s="158">
        <f>SUMIF('内訳ﾘｽﾄ(4～3月)'!$D$26:$D$1002,$B19,'内訳ﾘｽﾄ(4～3月)'!H$26:H$1002)</f>
        <v>0</v>
      </c>
      <c r="F19" s="158">
        <f>SUMIF('内訳ﾘｽﾄ(4～3月)'!$D$26:$D$1002,$B19,'内訳ﾘｽﾄ(4～3月)'!I$26:I$1002)</f>
        <v>0</v>
      </c>
      <c r="G19" s="158">
        <f>SUMIF('内訳ﾘｽﾄ(4～3月)'!$D$26:$D$1002,$B19,'内訳ﾘｽﾄ(4～3月)'!J$26:J$1002)</f>
        <v>0</v>
      </c>
      <c r="H19" s="158">
        <f>SUMIF('内訳ﾘｽﾄ(4～3月)'!$D$26:$D$1002,$B19,'内訳ﾘｽﾄ(4～3月)'!K$26:K$1002)</f>
        <v>0</v>
      </c>
      <c r="I19" s="158">
        <f>SUMIF('内訳ﾘｽﾄ(4～3月)'!$D$26:$D$1002,$B19,'内訳ﾘｽﾄ(4～3月)'!L$26:L$1002)</f>
        <v>0</v>
      </c>
      <c r="J19" s="158">
        <f>SUMIF('内訳ﾘｽﾄ(4～3月)'!$D$26:$D$1002,$B19,'内訳ﾘｽﾄ(4～3月)'!M$26:M$1002)</f>
        <v>0</v>
      </c>
      <c r="K19" s="158">
        <f>SUMIF('内訳ﾘｽﾄ(4～3月)'!$D$26:$D$1002,$B19,'内訳ﾘｽﾄ(4～3月)'!N$26:N$1002)</f>
        <v>0</v>
      </c>
      <c r="L19" s="158">
        <f>SUMIF('内訳ﾘｽﾄ(4～3月)'!$D$26:$D$1002,$B19,'内訳ﾘｽﾄ(4～3月)'!O$26:O$1002)</f>
        <v>0</v>
      </c>
      <c r="M19" s="158">
        <f>SUMIF('内訳ﾘｽﾄ(4～3月)'!$D$26:$D$1002,$B19,'内訳ﾘｽﾄ(4～3月)'!P$26:P$1002)</f>
        <v>0</v>
      </c>
      <c r="N19" s="158">
        <f>SUMIF('内訳ﾘｽﾄ(4～3月)'!$D$26:$D$1002,$B19,'内訳ﾘｽﾄ(4～3月)'!Q$26:Q$1002)</f>
        <v>0</v>
      </c>
      <c r="O19" s="158">
        <f>SUMIF('内訳ﾘｽﾄ(4～3月)'!$D$26:$D$801,'採算表(VND)'!$B19,'内訳ﾘｽﾄ(4～3月)'!R$26:R$801)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SUMIF('内訳ﾘｽﾄ(4～3月)'!$D$26:$D$1002,$B20,'内訳ﾘｽﾄ(4～3月)'!F$26:F$1002)</f>
        <v>172995781</v>
      </c>
      <c r="D20" s="158">
        <f>SUMIF('内訳ﾘｽﾄ(4～3月)'!$D$26:$D$1002,$B20,'内訳ﾘｽﾄ(4～3月)'!G$26:G$1002)</f>
        <v>172995781</v>
      </c>
      <c r="E20" s="158">
        <f>SUMIF('内訳ﾘｽﾄ(4～3月)'!$D$26:$D$1002,$B20,'内訳ﾘｽﾄ(4～3月)'!H$26:H$1002)</f>
        <v>172995781</v>
      </c>
      <c r="F20" s="158">
        <f>SUMIF('内訳ﾘｽﾄ(4～3月)'!$D$26:$D$1002,$B20,'内訳ﾘｽﾄ(4～3月)'!I$26:I$1002)</f>
        <v>172995781</v>
      </c>
      <c r="G20" s="158">
        <f>SUMIF('内訳ﾘｽﾄ(4～3月)'!$D$26:$D$1002,$B20,'内訳ﾘｽﾄ(4～3月)'!J$26:J$1002)</f>
        <v>172995781</v>
      </c>
      <c r="H20" s="158">
        <f>SUMIF('内訳ﾘｽﾄ(4～3月)'!$D$26:$D$1002,$B20,'内訳ﾘｽﾄ(4～3月)'!K$26:K$1002)</f>
        <v>172995781</v>
      </c>
      <c r="I20" s="158">
        <f>SUMIF('内訳ﾘｽﾄ(4～3月)'!$D$26:$D$1002,$B20,'内訳ﾘｽﾄ(4～3月)'!L$26:L$1002)</f>
        <v>172995781</v>
      </c>
      <c r="J20" s="158">
        <f>SUMIF('内訳ﾘｽﾄ(4～3月)'!$D$26:$D$1002,$B20,'内訳ﾘｽﾄ(4～3月)'!M$26:M$1002)</f>
        <v>172995781</v>
      </c>
      <c r="K20" s="158">
        <f>SUMIF('内訳ﾘｽﾄ(4～3月)'!$D$26:$D$1002,$B20,'内訳ﾘｽﾄ(4～3月)'!N$26:N$1002)</f>
        <v>172995781</v>
      </c>
      <c r="L20" s="158">
        <f>SUMIF('内訳ﾘｽﾄ(4～3月)'!$D$26:$D$1002,$B20,'内訳ﾘｽﾄ(4～3月)'!O$26:O$1002)</f>
        <v>172995781</v>
      </c>
      <c r="M20" s="158">
        <f>SUMIF('内訳ﾘｽﾄ(4～3月)'!$D$26:$D$1002,$B20,'内訳ﾘｽﾄ(4～3月)'!P$26:P$1002)</f>
        <v>172995781</v>
      </c>
      <c r="N20" s="158">
        <f>SUMIF('内訳ﾘｽﾄ(4～3月)'!$D$26:$D$1002,$B20,'内訳ﾘｽﾄ(4～3月)'!Q$26:Q$1002)</f>
        <v>172995781</v>
      </c>
      <c r="O20" s="158">
        <f>SUMIF('内訳ﾘｽﾄ(4～3月)'!$D$26:$D$801,'採算表(VND)'!$B20,'内訳ﾘｽﾄ(4～3月)'!R$26:R$801)</f>
        <v>2075949372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SUMIF('内訳ﾘｽﾄ(4～3月)'!$D$26:$D$1002,$B21,'内訳ﾘｽﾄ(4～3月)'!F$26:F$1002)</f>
        <v>0</v>
      </c>
      <c r="D21" s="158">
        <f>SUMIF('内訳ﾘｽﾄ(4～3月)'!$D$26:$D$1002,$B21,'内訳ﾘｽﾄ(4～3月)'!G$26:G$1002)</f>
        <v>0</v>
      </c>
      <c r="E21" s="158">
        <f>SUMIF('内訳ﾘｽﾄ(4～3月)'!$D$26:$D$1002,$B21,'内訳ﾘｽﾄ(4～3月)'!H$26:H$1002)</f>
        <v>0</v>
      </c>
      <c r="F21" s="158">
        <f>SUMIF('内訳ﾘｽﾄ(4～3月)'!$D$26:$D$1002,$B21,'内訳ﾘｽﾄ(4～3月)'!I$26:I$1002)</f>
        <v>0</v>
      </c>
      <c r="G21" s="158">
        <f>SUMIF('内訳ﾘｽﾄ(4～3月)'!$D$26:$D$1002,$B21,'内訳ﾘｽﾄ(4～3月)'!J$26:J$1002)</f>
        <v>0</v>
      </c>
      <c r="H21" s="158">
        <f>SUMIF('内訳ﾘｽﾄ(4～3月)'!$D$26:$D$1002,$B21,'内訳ﾘｽﾄ(4～3月)'!K$26:K$1002)</f>
        <v>0</v>
      </c>
      <c r="I21" s="158">
        <f>SUMIF('内訳ﾘｽﾄ(4～3月)'!$D$26:$D$1002,$B21,'内訳ﾘｽﾄ(4～3月)'!L$26:L$1002)</f>
        <v>0</v>
      </c>
      <c r="J21" s="158">
        <f>SUMIF('内訳ﾘｽﾄ(4～3月)'!$D$26:$D$1002,$B21,'内訳ﾘｽﾄ(4～3月)'!M$26:M$1002)</f>
        <v>0</v>
      </c>
      <c r="K21" s="158">
        <f>SUMIF('内訳ﾘｽﾄ(4～3月)'!$D$26:$D$1002,$B21,'内訳ﾘｽﾄ(4～3月)'!N$26:N$1002)</f>
        <v>0</v>
      </c>
      <c r="L21" s="158">
        <f>SUMIF('内訳ﾘｽﾄ(4～3月)'!$D$26:$D$1002,$B21,'内訳ﾘｽﾄ(4～3月)'!O$26:O$1002)</f>
        <v>0</v>
      </c>
      <c r="M21" s="158">
        <f>SUMIF('内訳ﾘｽﾄ(4～3月)'!$D$26:$D$1002,$B21,'内訳ﾘｽﾄ(4～3月)'!P$26:P$1002)</f>
        <v>0</v>
      </c>
      <c r="N21" s="158">
        <f>SUMIF('内訳ﾘｽﾄ(4～3月)'!$D$26:$D$1002,$B21,'内訳ﾘｽﾄ(4～3月)'!Q$26:Q$1002)</f>
        <v>0</v>
      </c>
      <c r="O21" s="158">
        <f>SUMIF('内訳ﾘｽﾄ(4～3月)'!$D$26:$D$801,'採算表(VND)'!$B21,'内訳ﾘｽﾄ(4～3月)'!R$26:R$801)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SUMIF('内訳ﾘｽﾄ(4～3月)'!$D$26:$D$1002,$B22,'内訳ﾘｽﾄ(4～3月)'!F$26:F$1002)</f>
        <v>0</v>
      </c>
      <c r="D22" s="158">
        <f>SUMIF('内訳ﾘｽﾄ(4～3月)'!$D$26:$D$1002,$B22,'内訳ﾘｽﾄ(4～3月)'!G$26:G$1002)</f>
        <v>0</v>
      </c>
      <c r="E22" s="158">
        <f>SUMIF('内訳ﾘｽﾄ(4～3月)'!$D$26:$D$1002,$B22,'内訳ﾘｽﾄ(4～3月)'!H$26:H$1002)</f>
        <v>0</v>
      </c>
      <c r="F22" s="158">
        <f>SUMIF('内訳ﾘｽﾄ(4～3月)'!$D$26:$D$1002,$B22,'内訳ﾘｽﾄ(4～3月)'!I$26:I$1002)</f>
        <v>0</v>
      </c>
      <c r="G22" s="158">
        <f>SUMIF('内訳ﾘｽﾄ(4～3月)'!$D$26:$D$1002,$B22,'内訳ﾘｽﾄ(4～3月)'!J$26:J$1002)</f>
        <v>0</v>
      </c>
      <c r="H22" s="158">
        <f>SUMIF('内訳ﾘｽﾄ(4～3月)'!$D$26:$D$1002,$B22,'内訳ﾘｽﾄ(4～3月)'!K$26:K$1002)</f>
        <v>0</v>
      </c>
      <c r="I22" s="158">
        <f>SUMIF('内訳ﾘｽﾄ(4～3月)'!$D$26:$D$1002,$B22,'内訳ﾘｽﾄ(4～3月)'!L$26:L$1002)</f>
        <v>0</v>
      </c>
      <c r="J22" s="158">
        <f>SUMIF('内訳ﾘｽﾄ(4～3月)'!$D$26:$D$1002,$B22,'内訳ﾘｽﾄ(4～3月)'!M$26:M$1002)</f>
        <v>0</v>
      </c>
      <c r="K22" s="158">
        <f>SUMIF('内訳ﾘｽﾄ(4～3月)'!$D$26:$D$1002,$B22,'内訳ﾘｽﾄ(4～3月)'!N$26:N$1002)</f>
        <v>0</v>
      </c>
      <c r="L22" s="158">
        <f>SUMIF('内訳ﾘｽﾄ(4～3月)'!$D$26:$D$1002,$B22,'内訳ﾘｽﾄ(4～3月)'!O$26:O$1002)</f>
        <v>0</v>
      </c>
      <c r="M22" s="158">
        <f>SUMIF('内訳ﾘｽﾄ(4～3月)'!$D$26:$D$1002,$B22,'内訳ﾘｽﾄ(4～3月)'!P$26:P$1002)</f>
        <v>0</v>
      </c>
      <c r="N22" s="158">
        <f>SUMIF('内訳ﾘｽﾄ(4～3月)'!$D$26:$D$1002,$B22,'内訳ﾘｽﾄ(4～3月)'!Q$26:Q$1002)</f>
        <v>0</v>
      </c>
      <c r="O22" s="158">
        <f>SUMIF('内訳ﾘｽﾄ(4～3月)'!$D$26:$D$801,'採算表(VND)'!$B22,'内訳ﾘｽﾄ(4～3月)'!R$26:R$801)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SUMIF('内訳ﾘｽﾄ(4～3月)'!$D$26:$D$1002,$B23,'内訳ﾘｽﾄ(4～3月)'!F$26:F$1002)</f>
        <v>0</v>
      </c>
      <c r="D23" s="158">
        <f>SUMIF('内訳ﾘｽﾄ(4～3月)'!$D$26:$D$1002,$B23,'内訳ﾘｽﾄ(4～3月)'!G$26:G$1002)</f>
        <v>0</v>
      </c>
      <c r="E23" s="158">
        <f>SUMIF('内訳ﾘｽﾄ(4～3月)'!$D$26:$D$1002,$B23,'内訳ﾘｽﾄ(4～3月)'!H$26:H$1002)</f>
        <v>0</v>
      </c>
      <c r="F23" s="158">
        <f>SUMIF('内訳ﾘｽﾄ(4～3月)'!$D$26:$D$1002,$B23,'内訳ﾘｽﾄ(4～3月)'!I$26:I$1002)</f>
        <v>0</v>
      </c>
      <c r="G23" s="158">
        <f>SUMIF('内訳ﾘｽﾄ(4～3月)'!$D$26:$D$1002,$B23,'内訳ﾘｽﾄ(4～3月)'!J$26:J$1002)</f>
        <v>0</v>
      </c>
      <c r="H23" s="158">
        <f>SUMIF('内訳ﾘｽﾄ(4～3月)'!$D$26:$D$1002,$B23,'内訳ﾘｽﾄ(4～3月)'!K$26:K$1002)</f>
        <v>0</v>
      </c>
      <c r="I23" s="158">
        <f>SUMIF('内訳ﾘｽﾄ(4～3月)'!$D$26:$D$1002,$B23,'内訳ﾘｽﾄ(4～3月)'!L$26:L$1002)</f>
        <v>0</v>
      </c>
      <c r="J23" s="158">
        <f>SUMIF('内訳ﾘｽﾄ(4～3月)'!$D$26:$D$1002,$B23,'内訳ﾘｽﾄ(4～3月)'!M$26:M$1002)</f>
        <v>0</v>
      </c>
      <c r="K23" s="158">
        <f>SUMIF('内訳ﾘｽﾄ(4～3月)'!$D$26:$D$1002,$B23,'内訳ﾘｽﾄ(4～3月)'!N$26:N$1002)</f>
        <v>0</v>
      </c>
      <c r="L23" s="158">
        <f>SUMIF('内訳ﾘｽﾄ(4～3月)'!$D$26:$D$1002,$B23,'内訳ﾘｽﾄ(4～3月)'!O$26:O$1002)</f>
        <v>0</v>
      </c>
      <c r="M23" s="158">
        <f>SUMIF('内訳ﾘｽﾄ(4～3月)'!$D$26:$D$1002,$B23,'内訳ﾘｽﾄ(4～3月)'!P$26:P$1002)</f>
        <v>0</v>
      </c>
      <c r="N23" s="158">
        <f>SUMIF('内訳ﾘｽﾄ(4～3月)'!$D$26:$D$1002,$B23,'内訳ﾘｽﾄ(4～3月)'!Q$26:Q$1002)</f>
        <v>0</v>
      </c>
      <c r="O23" s="158">
        <f>SUMIF('内訳ﾘｽﾄ(4～3月)'!$D$26:$D$801,'採算表(VND)'!$B23,'内訳ﾘｽﾄ(4～3月)'!R$26:R$801)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SUMIF('内訳ﾘｽﾄ(4～3月)'!$D$26:$D$1002,$B24,'内訳ﾘｽﾄ(4～3月)'!F$26:F$1002)</f>
        <v>0</v>
      </c>
      <c r="D24" s="158">
        <f>SUMIF('内訳ﾘｽﾄ(4～3月)'!$D$26:$D$1002,$B24,'内訳ﾘｽﾄ(4～3月)'!G$26:G$1002)</f>
        <v>0</v>
      </c>
      <c r="E24" s="158">
        <f>SUMIF('内訳ﾘｽﾄ(4～3月)'!$D$26:$D$1002,$B24,'内訳ﾘｽﾄ(4～3月)'!H$26:H$1002)</f>
        <v>0</v>
      </c>
      <c r="F24" s="158">
        <f>SUMIF('内訳ﾘｽﾄ(4～3月)'!$D$26:$D$1002,$B24,'内訳ﾘｽﾄ(4～3月)'!I$26:I$1002)</f>
        <v>0</v>
      </c>
      <c r="G24" s="158">
        <f>SUMIF('内訳ﾘｽﾄ(4～3月)'!$D$26:$D$1002,$B24,'内訳ﾘｽﾄ(4～3月)'!J$26:J$1002)</f>
        <v>0</v>
      </c>
      <c r="H24" s="158">
        <f>SUMIF('内訳ﾘｽﾄ(4～3月)'!$D$26:$D$1002,$B24,'内訳ﾘｽﾄ(4～3月)'!K$26:K$1002)</f>
        <v>0</v>
      </c>
      <c r="I24" s="158">
        <f>SUMIF('内訳ﾘｽﾄ(4～3月)'!$D$26:$D$1002,$B24,'内訳ﾘｽﾄ(4～3月)'!L$26:L$1002)</f>
        <v>0</v>
      </c>
      <c r="J24" s="158">
        <f>SUMIF('内訳ﾘｽﾄ(4～3月)'!$D$26:$D$1002,$B24,'内訳ﾘｽﾄ(4～3月)'!M$26:M$1002)</f>
        <v>0</v>
      </c>
      <c r="K24" s="158">
        <f>SUMIF('内訳ﾘｽﾄ(4～3月)'!$D$26:$D$1002,$B24,'内訳ﾘｽﾄ(4～3月)'!N$26:N$1002)</f>
        <v>0</v>
      </c>
      <c r="L24" s="158">
        <f>SUMIF('内訳ﾘｽﾄ(4～3月)'!$D$26:$D$1002,$B24,'内訳ﾘｽﾄ(4～3月)'!O$26:O$1002)</f>
        <v>0</v>
      </c>
      <c r="M24" s="158">
        <f>SUMIF('内訳ﾘｽﾄ(4～3月)'!$D$26:$D$1002,$B24,'内訳ﾘｽﾄ(4～3月)'!P$26:P$1002)</f>
        <v>0</v>
      </c>
      <c r="N24" s="158">
        <f>SUMIF('内訳ﾘｽﾄ(4～3月)'!$D$26:$D$1002,$B24,'内訳ﾘｽﾄ(4～3月)'!Q$26:Q$1002)</f>
        <v>0</v>
      </c>
      <c r="O24" s="158">
        <f>SUMIF('内訳ﾘｽﾄ(4～3月)'!$D$26:$D$801,'採算表(VND)'!$B24,'内訳ﾘｽﾄ(4～3月)'!R$26:R$801)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SUMIF('内訳ﾘｽﾄ(4～3月)'!$D$26:$D$1002,$B25,'内訳ﾘｽﾄ(4～3月)'!F$26:F$1002)</f>
        <v>0</v>
      </c>
      <c r="D25" s="158">
        <f>SUMIF('内訳ﾘｽﾄ(4～3月)'!$D$26:$D$1002,$B25,'内訳ﾘｽﾄ(4～3月)'!G$26:G$1002)</f>
        <v>0</v>
      </c>
      <c r="E25" s="158">
        <f>SUMIF('内訳ﾘｽﾄ(4～3月)'!$D$26:$D$1002,$B25,'内訳ﾘｽﾄ(4～3月)'!H$26:H$1002)</f>
        <v>0</v>
      </c>
      <c r="F25" s="158">
        <f>SUMIF('内訳ﾘｽﾄ(4～3月)'!$D$26:$D$1002,$B25,'内訳ﾘｽﾄ(4～3月)'!I$26:I$1002)</f>
        <v>0</v>
      </c>
      <c r="G25" s="158">
        <f>SUMIF('内訳ﾘｽﾄ(4～3月)'!$D$26:$D$1002,$B25,'内訳ﾘｽﾄ(4～3月)'!J$26:J$1002)</f>
        <v>0</v>
      </c>
      <c r="H25" s="158">
        <f>SUMIF('内訳ﾘｽﾄ(4～3月)'!$D$26:$D$1002,$B25,'内訳ﾘｽﾄ(4～3月)'!K$26:K$1002)</f>
        <v>0</v>
      </c>
      <c r="I25" s="158">
        <f>SUMIF('内訳ﾘｽﾄ(4～3月)'!$D$26:$D$1002,$B25,'内訳ﾘｽﾄ(4～3月)'!L$26:L$1002)</f>
        <v>0</v>
      </c>
      <c r="J25" s="158">
        <f>SUMIF('内訳ﾘｽﾄ(4～3月)'!$D$26:$D$1002,$B25,'内訳ﾘｽﾄ(4～3月)'!M$26:M$1002)</f>
        <v>0</v>
      </c>
      <c r="K25" s="158">
        <f>SUMIF('内訳ﾘｽﾄ(4～3月)'!$D$26:$D$1002,$B25,'内訳ﾘｽﾄ(4～3月)'!N$26:N$1002)</f>
        <v>0</v>
      </c>
      <c r="L25" s="158">
        <f>SUMIF('内訳ﾘｽﾄ(4～3月)'!$D$26:$D$1002,$B25,'内訳ﾘｽﾄ(4～3月)'!O$26:O$1002)</f>
        <v>0</v>
      </c>
      <c r="M25" s="158">
        <f>SUMIF('内訳ﾘｽﾄ(4～3月)'!$D$26:$D$1002,$B25,'内訳ﾘｽﾄ(4～3月)'!P$26:P$1002)</f>
        <v>0</v>
      </c>
      <c r="N25" s="158">
        <f>SUMIF('内訳ﾘｽﾄ(4～3月)'!$D$26:$D$1002,$B25,'内訳ﾘｽﾄ(4～3月)'!Q$26:Q$1002)</f>
        <v>0</v>
      </c>
      <c r="O25" s="158">
        <f>SUMIF('内訳ﾘｽﾄ(4～3月)'!$D$26:$D$801,'採算表(VND)'!$B25,'内訳ﾘｽﾄ(4～3月)'!R$26:R$801)</f>
        <v>0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SUMIF('内訳ﾘｽﾄ(4～3月)'!$D$26:$D$1002,$B26,'内訳ﾘｽﾄ(4～3月)'!F$26:F$1002)</f>
        <v>0</v>
      </c>
      <c r="D26" s="158">
        <f>SUMIF('内訳ﾘｽﾄ(4～3月)'!$D$26:$D$1002,$B26,'内訳ﾘｽﾄ(4～3月)'!G$26:G$1002)</f>
        <v>0</v>
      </c>
      <c r="E26" s="158">
        <f>SUMIF('内訳ﾘｽﾄ(4～3月)'!$D$26:$D$1002,$B26,'内訳ﾘｽﾄ(4～3月)'!H$26:H$1002)</f>
        <v>0</v>
      </c>
      <c r="F26" s="158">
        <f>SUMIF('内訳ﾘｽﾄ(4～3月)'!$D$26:$D$1002,$B26,'内訳ﾘｽﾄ(4～3月)'!I$26:I$1002)</f>
        <v>0</v>
      </c>
      <c r="G26" s="158">
        <f>SUMIF('内訳ﾘｽﾄ(4～3月)'!$D$26:$D$1002,$B26,'内訳ﾘｽﾄ(4～3月)'!J$26:J$1002)</f>
        <v>0</v>
      </c>
      <c r="H26" s="158">
        <f>SUMIF('内訳ﾘｽﾄ(4～3月)'!$D$26:$D$1002,$B26,'内訳ﾘｽﾄ(4～3月)'!K$26:K$1002)</f>
        <v>0</v>
      </c>
      <c r="I26" s="158">
        <f>SUMIF('内訳ﾘｽﾄ(4～3月)'!$D$26:$D$1002,$B26,'内訳ﾘｽﾄ(4～3月)'!L$26:L$1002)</f>
        <v>0</v>
      </c>
      <c r="J26" s="158">
        <f>SUMIF('内訳ﾘｽﾄ(4～3月)'!$D$26:$D$1002,$B26,'内訳ﾘｽﾄ(4～3月)'!M$26:M$1002)</f>
        <v>0</v>
      </c>
      <c r="K26" s="158">
        <f>SUMIF('内訳ﾘｽﾄ(4～3月)'!$D$26:$D$1002,$B26,'内訳ﾘｽﾄ(4～3月)'!N$26:N$1002)</f>
        <v>0</v>
      </c>
      <c r="L26" s="158">
        <f>SUMIF('内訳ﾘｽﾄ(4～3月)'!$D$26:$D$1002,$B26,'内訳ﾘｽﾄ(4～3月)'!O$26:O$1002)</f>
        <v>0</v>
      </c>
      <c r="M26" s="158">
        <f>SUMIF('内訳ﾘｽﾄ(4～3月)'!$D$26:$D$1002,$B26,'内訳ﾘｽﾄ(4～3月)'!P$26:P$1002)</f>
        <v>0</v>
      </c>
      <c r="N26" s="158">
        <f>SUMIF('内訳ﾘｽﾄ(4～3月)'!$D$26:$D$1002,$B26,'内訳ﾘｽﾄ(4～3月)'!Q$26:Q$1002)</f>
        <v>0</v>
      </c>
      <c r="O26" s="158">
        <f>SUMIF('内訳ﾘｽﾄ(4～3月)'!$D$26:$D$801,'採算表(VND)'!$B26,'内訳ﾘｽﾄ(4～3月)'!R$26:R$801)</f>
        <v>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SUMIF('内訳ﾘｽﾄ(4～3月)'!$D$26:$D$1002,$B27,'内訳ﾘｽﾄ(4～3月)'!F$26:F$1002)</f>
        <v>0</v>
      </c>
      <c r="D27" s="158">
        <f>SUMIF('内訳ﾘｽﾄ(4～3月)'!$D$26:$D$1002,$B27,'内訳ﾘｽﾄ(4～3月)'!G$26:G$1002)</f>
        <v>0</v>
      </c>
      <c r="E27" s="158">
        <f>SUMIF('内訳ﾘｽﾄ(4～3月)'!$D$26:$D$1002,$B27,'内訳ﾘｽﾄ(4～3月)'!H$26:H$1002)</f>
        <v>0</v>
      </c>
      <c r="F27" s="158">
        <f>SUMIF('内訳ﾘｽﾄ(4～3月)'!$D$26:$D$1002,$B27,'内訳ﾘｽﾄ(4～3月)'!I$26:I$1002)</f>
        <v>0</v>
      </c>
      <c r="G27" s="158">
        <f>SUMIF('内訳ﾘｽﾄ(4～3月)'!$D$26:$D$1002,$B27,'内訳ﾘｽﾄ(4～3月)'!J$26:J$1002)</f>
        <v>0</v>
      </c>
      <c r="H27" s="158">
        <f>SUMIF('内訳ﾘｽﾄ(4～3月)'!$D$26:$D$1002,$B27,'内訳ﾘｽﾄ(4～3月)'!K$26:K$1002)</f>
        <v>0</v>
      </c>
      <c r="I27" s="158">
        <f>SUMIF('内訳ﾘｽﾄ(4～3月)'!$D$26:$D$1002,$B27,'内訳ﾘｽﾄ(4～3月)'!L$26:L$1002)</f>
        <v>0</v>
      </c>
      <c r="J27" s="158">
        <f>SUMIF('内訳ﾘｽﾄ(4～3月)'!$D$26:$D$1002,$B27,'内訳ﾘｽﾄ(4～3月)'!M$26:M$1002)</f>
        <v>0</v>
      </c>
      <c r="K27" s="158">
        <f>SUMIF('内訳ﾘｽﾄ(4～3月)'!$D$26:$D$1002,$B27,'内訳ﾘｽﾄ(4～3月)'!N$26:N$1002)</f>
        <v>0</v>
      </c>
      <c r="L27" s="158">
        <f>SUMIF('内訳ﾘｽﾄ(4～3月)'!$D$26:$D$1002,$B27,'内訳ﾘｽﾄ(4～3月)'!O$26:O$1002)</f>
        <v>0</v>
      </c>
      <c r="M27" s="158">
        <f>SUMIF('内訳ﾘｽﾄ(4～3月)'!$D$26:$D$1002,$B27,'内訳ﾘｽﾄ(4～3月)'!P$26:P$1002)</f>
        <v>0</v>
      </c>
      <c r="N27" s="158">
        <f>SUMIF('内訳ﾘｽﾄ(4～3月)'!$D$26:$D$1002,$B27,'内訳ﾘｽﾄ(4～3月)'!Q$26:Q$1002)</f>
        <v>0</v>
      </c>
      <c r="O27" s="158">
        <f>SUMIF('内訳ﾘｽﾄ(4～3月)'!$D$26:$D$801,'採算表(VND)'!$B27,'内訳ﾘｽﾄ(4～3月)'!R$26:R$801)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SUMIF('内訳ﾘｽﾄ(4～3月)'!$D$26:$D$1002,$B28,'内訳ﾘｽﾄ(4～3月)'!F$26:F$1002)</f>
        <v>0</v>
      </c>
      <c r="D28" s="158">
        <f>SUMIF('内訳ﾘｽﾄ(4～3月)'!$D$26:$D$1002,$B28,'内訳ﾘｽﾄ(4～3月)'!G$26:G$1002)</f>
        <v>0</v>
      </c>
      <c r="E28" s="158">
        <f>SUMIF('内訳ﾘｽﾄ(4～3月)'!$D$26:$D$1002,$B28,'内訳ﾘｽﾄ(4～3月)'!H$26:H$1002)</f>
        <v>0</v>
      </c>
      <c r="F28" s="158">
        <f>SUMIF('内訳ﾘｽﾄ(4～3月)'!$D$26:$D$1002,$B28,'内訳ﾘｽﾄ(4～3月)'!I$26:I$1002)</f>
        <v>0</v>
      </c>
      <c r="G28" s="158">
        <f>SUMIF('内訳ﾘｽﾄ(4～3月)'!$D$26:$D$1002,$B28,'内訳ﾘｽﾄ(4～3月)'!J$26:J$1002)</f>
        <v>0</v>
      </c>
      <c r="H28" s="158">
        <f>SUMIF('内訳ﾘｽﾄ(4～3月)'!$D$26:$D$1002,$B28,'内訳ﾘｽﾄ(4～3月)'!K$26:K$1002)</f>
        <v>0</v>
      </c>
      <c r="I28" s="158">
        <f>SUMIF('内訳ﾘｽﾄ(4～3月)'!$D$26:$D$1002,$B28,'内訳ﾘｽﾄ(4～3月)'!L$26:L$1002)</f>
        <v>0</v>
      </c>
      <c r="J28" s="158">
        <f>SUMIF('内訳ﾘｽﾄ(4～3月)'!$D$26:$D$1002,$B28,'内訳ﾘｽﾄ(4～3月)'!M$26:M$1002)</f>
        <v>0</v>
      </c>
      <c r="K28" s="158">
        <f>SUMIF('内訳ﾘｽﾄ(4～3月)'!$D$26:$D$1002,$B28,'内訳ﾘｽﾄ(4～3月)'!N$26:N$1002)</f>
        <v>0</v>
      </c>
      <c r="L28" s="158">
        <f>SUMIF('内訳ﾘｽﾄ(4～3月)'!$D$26:$D$1002,$B28,'内訳ﾘｽﾄ(4～3月)'!O$26:O$1002)</f>
        <v>0</v>
      </c>
      <c r="M28" s="158">
        <f>SUMIF('内訳ﾘｽﾄ(4～3月)'!$D$26:$D$1002,$B28,'内訳ﾘｽﾄ(4～3月)'!P$26:P$1002)</f>
        <v>0</v>
      </c>
      <c r="N28" s="158">
        <f>SUMIF('内訳ﾘｽﾄ(4～3月)'!$D$26:$D$1002,$B28,'内訳ﾘｽﾄ(4～3月)'!Q$26:Q$1002)</f>
        <v>0</v>
      </c>
      <c r="O28" s="158">
        <f>SUMIF('内訳ﾘｽﾄ(4～3月)'!$D$26:$D$801,'採算表(VND)'!$B28,'内訳ﾘｽﾄ(4～3月)'!R$26:R$801)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SUMIF('内訳ﾘｽﾄ(4～3月)'!$D$26:$D$1002,$B29,'内訳ﾘｽﾄ(4～3月)'!F$26:F$1002)</f>
        <v>0</v>
      </c>
      <c r="D29" s="158">
        <f>SUMIF('内訳ﾘｽﾄ(4～3月)'!$D$26:$D$1002,$B29,'内訳ﾘｽﾄ(4～3月)'!G$26:G$1002)</f>
        <v>0</v>
      </c>
      <c r="E29" s="158">
        <f>SUMIF('内訳ﾘｽﾄ(4～3月)'!$D$26:$D$1002,$B29,'内訳ﾘｽﾄ(4～3月)'!H$26:H$1002)</f>
        <v>0</v>
      </c>
      <c r="F29" s="158">
        <f>SUMIF('内訳ﾘｽﾄ(4～3月)'!$D$26:$D$1002,$B29,'内訳ﾘｽﾄ(4～3月)'!I$26:I$1002)</f>
        <v>0</v>
      </c>
      <c r="G29" s="158">
        <f>SUMIF('内訳ﾘｽﾄ(4～3月)'!$D$26:$D$1002,$B29,'内訳ﾘｽﾄ(4～3月)'!J$26:J$1002)</f>
        <v>0</v>
      </c>
      <c r="H29" s="158">
        <f>SUMIF('内訳ﾘｽﾄ(4～3月)'!$D$26:$D$1002,$B29,'内訳ﾘｽﾄ(4～3月)'!K$26:K$1002)</f>
        <v>0</v>
      </c>
      <c r="I29" s="158">
        <f>SUMIF('内訳ﾘｽﾄ(4～3月)'!$D$26:$D$1002,$B29,'内訳ﾘｽﾄ(4～3月)'!L$26:L$1002)</f>
        <v>0</v>
      </c>
      <c r="J29" s="158">
        <f>SUMIF('内訳ﾘｽﾄ(4～3月)'!$D$26:$D$1002,$B29,'内訳ﾘｽﾄ(4～3月)'!M$26:M$1002)</f>
        <v>0</v>
      </c>
      <c r="K29" s="158">
        <f>SUMIF('内訳ﾘｽﾄ(4～3月)'!$D$26:$D$1002,$B29,'内訳ﾘｽﾄ(4～3月)'!N$26:N$1002)</f>
        <v>0</v>
      </c>
      <c r="L29" s="158">
        <f>SUMIF('内訳ﾘｽﾄ(4～3月)'!$D$26:$D$1002,$B29,'内訳ﾘｽﾄ(4～3月)'!O$26:O$1002)</f>
        <v>0</v>
      </c>
      <c r="M29" s="158">
        <f>SUMIF('内訳ﾘｽﾄ(4～3月)'!$D$26:$D$1002,$B29,'内訳ﾘｽﾄ(4～3月)'!P$26:P$1002)</f>
        <v>0</v>
      </c>
      <c r="N29" s="158">
        <f>SUMIF('内訳ﾘｽﾄ(4～3月)'!$D$26:$D$1002,$B29,'内訳ﾘｽﾄ(4～3月)'!Q$26:Q$1002)</f>
        <v>0</v>
      </c>
      <c r="O29" s="158">
        <f>SUMIF('内訳ﾘｽﾄ(4～3月)'!$D$26:$D$801,'採算表(VND)'!$B29,'内訳ﾘｽﾄ(4～3月)'!R$26:R$801)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SUMIF('内訳ﾘｽﾄ(4～3月)'!$D$26:$D$1002,$B30,'内訳ﾘｽﾄ(4～3月)'!F$26:F$1002)</f>
        <v>9450856</v>
      </c>
      <c r="D30" s="158">
        <f>SUMIF('内訳ﾘｽﾄ(4～3月)'!$D$26:$D$1002,$B30,'内訳ﾘｽﾄ(4～3月)'!G$26:G$1002)</f>
        <v>9681403</v>
      </c>
      <c r="E30" s="158">
        <f>SUMIF('内訳ﾘｽﾄ(4～3月)'!$D$26:$D$1002,$B30,'内訳ﾘｽﾄ(4～3月)'!H$26:H$1002)</f>
        <v>12136256</v>
      </c>
      <c r="F30" s="158">
        <f>SUMIF('内訳ﾘｽﾄ(4～3月)'!$D$26:$D$1002,$B30,'内訳ﾘｽﾄ(4～3月)'!I$26:I$1002)</f>
        <v>13069814</v>
      </c>
      <c r="G30" s="158">
        <f>SUMIF('内訳ﾘｽﾄ(4～3月)'!$D$26:$D$1002,$B30,'内訳ﾘｽﾄ(4～3月)'!J$26:J$1002)</f>
        <v>13536593</v>
      </c>
      <c r="H30" s="158">
        <f>SUMIF('内訳ﾘｽﾄ(4～3月)'!$D$26:$D$1002,$B30,'内訳ﾘｽﾄ(4～3月)'!K$26:K$1002)</f>
        <v>12416324</v>
      </c>
      <c r="I30" s="158">
        <f>SUMIF('内訳ﾘｽﾄ(4～3月)'!$D$26:$D$1002,$B30,'内訳ﾘｽﾄ(4～3月)'!L$26:L$1002)</f>
        <v>12603035</v>
      </c>
      <c r="J30" s="158">
        <f>SUMIF('内訳ﾘｽﾄ(4～3月)'!$D$26:$D$1002,$B30,'内訳ﾘｽﾄ(4～3月)'!M$26:M$1002)</f>
        <v>11202698</v>
      </c>
      <c r="K30" s="158">
        <f>SUMIF('内訳ﾘｽﾄ(4～3月)'!$D$26:$D$1002,$B30,'内訳ﾘｽﾄ(4～3月)'!N$26:N$1002)</f>
        <v>10735919</v>
      </c>
      <c r="L30" s="158">
        <f>SUMIF('内訳ﾘｽﾄ(4～3月)'!$D$26:$D$1002,$B30,'内訳ﾘｽﾄ(4～3月)'!O$26:O$1002)</f>
        <v>9335582</v>
      </c>
      <c r="M30" s="158">
        <f>SUMIF('内訳ﾘｽﾄ(4～3月)'!$D$26:$D$1002,$B30,'内訳ﾘｽﾄ(4～3月)'!P$26:P$1002)</f>
        <v>9335582</v>
      </c>
      <c r="N30" s="158">
        <f>SUMIF('内訳ﾘｽﾄ(4～3月)'!$D$26:$D$1002,$B30,'内訳ﾘｽﾄ(4～3月)'!Q$26:Q$1002)</f>
        <v>7468465</v>
      </c>
      <c r="O30" s="158">
        <f>SUMIF('内訳ﾘｽﾄ(4～3月)'!$D$26:$D$801,'採算表(VND)'!$B30,'内訳ﾘｽﾄ(4～3月)'!R$26:R$801)</f>
        <v>130972527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SUMIF('内訳ﾘｽﾄ(4～3月)'!$D$26:$D$1002,$B31,'内訳ﾘｽﾄ(4～3月)'!F$26:F$1002)</f>
        <v>0</v>
      </c>
      <c r="D31" s="158">
        <f>SUMIF('内訳ﾘｽﾄ(4～3月)'!$D$26:$D$1002,$B31,'内訳ﾘｽﾄ(4～3月)'!G$26:G$1002)</f>
        <v>0</v>
      </c>
      <c r="E31" s="158">
        <f>SUMIF('内訳ﾘｽﾄ(4～3月)'!$D$26:$D$1002,$B31,'内訳ﾘｽﾄ(4～3月)'!H$26:H$1002)</f>
        <v>0</v>
      </c>
      <c r="F31" s="158">
        <f>SUMIF('内訳ﾘｽﾄ(4～3月)'!$D$26:$D$1002,$B31,'内訳ﾘｽﾄ(4～3月)'!I$26:I$1002)</f>
        <v>0</v>
      </c>
      <c r="G31" s="158">
        <f>SUMIF('内訳ﾘｽﾄ(4～3月)'!$D$26:$D$1002,$B31,'内訳ﾘｽﾄ(4～3月)'!J$26:J$1002)</f>
        <v>0</v>
      </c>
      <c r="H31" s="158">
        <f>SUMIF('内訳ﾘｽﾄ(4～3月)'!$D$26:$D$1002,$B31,'内訳ﾘｽﾄ(4～3月)'!K$26:K$1002)</f>
        <v>0</v>
      </c>
      <c r="I31" s="158">
        <f>SUMIF('内訳ﾘｽﾄ(4～3月)'!$D$26:$D$1002,$B31,'内訳ﾘｽﾄ(4～3月)'!L$26:L$1002)</f>
        <v>0</v>
      </c>
      <c r="J31" s="158">
        <f>SUMIF('内訳ﾘｽﾄ(4～3月)'!$D$26:$D$1002,$B31,'内訳ﾘｽﾄ(4～3月)'!M$26:M$1002)</f>
        <v>0</v>
      </c>
      <c r="K31" s="158">
        <f>SUMIF('内訳ﾘｽﾄ(4～3月)'!$D$26:$D$1002,$B31,'内訳ﾘｽﾄ(4～3月)'!N$26:N$1002)</f>
        <v>0</v>
      </c>
      <c r="L31" s="158">
        <f>SUMIF('内訳ﾘｽﾄ(4～3月)'!$D$26:$D$1002,$B31,'内訳ﾘｽﾄ(4～3月)'!O$26:O$1002)</f>
        <v>0</v>
      </c>
      <c r="M31" s="158">
        <f>SUMIF('内訳ﾘｽﾄ(4～3月)'!$D$26:$D$1002,$B31,'内訳ﾘｽﾄ(4～3月)'!P$26:P$1002)</f>
        <v>0</v>
      </c>
      <c r="N31" s="158">
        <f>SUMIF('内訳ﾘｽﾄ(4～3月)'!$D$26:$D$1002,$B31,'内訳ﾘｽﾄ(4～3月)'!Q$26:Q$1002)</f>
        <v>0</v>
      </c>
      <c r="O31" s="158">
        <f>SUMIF('内訳ﾘｽﾄ(4～3月)'!$D$26:$D$801,'採算表(VND)'!$B31,'内訳ﾘｽﾄ(4～3月)'!R$26:R$801)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SUMIF('内訳ﾘｽﾄ(4～3月)'!$D$26:$D$1002,$B32,'内訳ﾘｽﾄ(4～3月)'!F$26:F$1002)</f>
        <v>646974222</v>
      </c>
      <c r="D32" s="158">
        <f>SUMIF('内訳ﾘｽﾄ(4～3月)'!$D$26:$D$1002,$B32,'内訳ﾘｽﾄ(4～3月)'!G$26:G$1002)</f>
        <v>634537197</v>
      </c>
      <c r="E32" s="158">
        <f>SUMIF('内訳ﾘｽﾄ(4～3月)'!$D$26:$D$1002,$B32,'内訳ﾘｽﾄ(4～3月)'!H$26:H$1002)</f>
        <v>659411247</v>
      </c>
      <c r="F32" s="158">
        <f>SUMIF('内訳ﾘｽﾄ(4～3月)'!$D$26:$D$1002,$B32,'内訳ﾘｽﾄ(4～3月)'!I$26:I$1002)</f>
        <v>684285296</v>
      </c>
      <c r="G32" s="158">
        <f>SUMIF('内訳ﾘｽﾄ(4～3月)'!$D$26:$D$1002,$B32,'内訳ﾘｽﾄ(4～3月)'!J$26:J$1002)</f>
        <v>646974222</v>
      </c>
      <c r="H32" s="158">
        <f>SUMIF('内訳ﾘｽﾄ(4～3月)'!$D$26:$D$1002,$B32,'内訳ﾘｽﾄ(4～3月)'!K$26:K$1002)</f>
        <v>634537197</v>
      </c>
      <c r="I32" s="158">
        <f>SUMIF('内訳ﾘｽﾄ(4～3月)'!$D$26:$D$1002,$B32,'内訳ﾘｽﾄ(4～3月)'!L$26:L$1002)</f>
        <v>684285296</v>
      </c>
      <c r="J32" s="158">
        <f>SUMIF('内訳ﾘｽﾄ(4～3月)'!$D$26:$D$1002,$B32,'内訳ﾘｽﾄ(4～3月)'!M$26:M$1002)</f>
        <v>646974222</v>
      </c>
      <c r="K32" s="158">
        <f>SUMIF('内訳ﾘｽﾄ(4～3月)'!$D$26:$D$1002,$B32,'内訳ﾘｽﾄ(4～3月)'!N$26:N$1002)</f>
        <v>671848271</v>
      </c>
      <c r="L32" s="158">
        <f>SUMIF('内訳ﾘｽﾄ(4～3月)'!$D$26:$D$1002,$B32,'内訳ﾘｽﾄ(4～3月)'!O$26:O$1002)</f>
        <v>646974222</v>
      </c>
      <c r="M32" s="158">
        <f>SUMIF('内訳ﾘｽﾄ(4～3月)'!$D$26:$D$1002,$B32,'内訳ﾘｽﾄ(4～3月)'!P$26:P$1002)</f>
        <v>584789099</v>
      </c>
      <c r="N32" s="158">
        <f>SUMIF('内訳ﾘｽﾄ(4～3月)'!$D$26:$D$1002,$B32,'内訳ﾘｽﾄ(4～3月)'!Q$26:Q$1002)</f>
        <v>659411247</v>
      </c>
      <c r="O32" s="158">
        <f>SUMIF('内訳ﾘｽﾄ(4～3月)'!$D$26:$D$801,'採算表(VND)'!$B32,'内訳ﾘｽﾄ(4～3月)'!R$26:R$801)</f>
        <v>7801001738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SUMIF('内訳ﾘｽﾄ(4～3月)'!$D$26:$D$1002,$B33,'内訳ﾘｽﾄ(4～3月)'!F$26:F$1002)</f>
        <v>0</v>
      </c>
      <c r="D33" s="158">
        <f>SUMIF('内訳ﾘｽﾄ(4～3月)'!$D$26:$D$1002,$B33,'内訳ﾘｽﾄ(4～3月)'!G$26:G$1002)</f>
        <v>0</v>
      </c>
      <c r="E33" s="158">
        <f>SUMIF('内訳ﾘｽﾄ(4～3月)'!$D$26:$D$1002,$B33,'内訳ﾘｽﾄ(4～3月)'!H$26:H$1002)</f>
        <v>0</v>
      </c>
      <c r="F33" s="158">
        <f>SUMIF('内訳ﾘｽﾄ(4～3月)'!$D$26:$D$1002,$B33,'内訳ﾘｽﾄ(4～3月)'!I$26:I$1002)</f>
        <v>0</v>
      </c>
      <c r="G33" s="158">
        <f>SUMIF('内訳ﾘｽﾄ(4～3月)'!$D$26:$D$1002,$B33,'内訳ﾘｽﾄ(4～3月)'!J$26:J$1002)</f>
        <v>0</v>
      </c>
      <c r="H33" s="158">
        <f>SUMIF('内訳ﾘｽﾄ(4～3月)'!$D$26:$D$1002,$B33,'内訳ﾘｽﾄ(4～3月)'!K$26:K$1002)</f>
        <v>0</v>
      </c>
      <c r="I33" s="158">
        <f>SUMIF('内訳ﾘｽﾄ(4～3月)'!$D$26:$D$1002,$B33,'内訳ﾘｽﾄ(4～3月)'!L$26:L$1002)</f>
        <v>0</v>
      </c>
      <c r="J33" s="158">
        <f>SUMIF('内訳ﾘｽﾄ(4～3月)'!$D$26:$D$1002,$B33,'内訳ﾘｽﾄ(4～3月)'!M$26:M$1002)</f>
        <v>0</v>
      </c>
      <c r="K33" s="158">
        <f>SUMIF('内訳ﾘｽﾄ(4～3月)'!$D$26:$D$1002,$B33,'内訳ﾘｽﾄ(4～3月)'!N$26:N$1002)</f>
        <v>0</v>
      </c>
      <c r="L33" s="158">
        <f>SUMIF('内訳ﾘｽﾄ(4～3月)'!$D$26:$D$1002,$B33,'内訳ﾘｽﾄ(4～3月)'!O$26:O$1002)</f>
        <v>0</v>
      </c>
      <c r="M33" s="158">
        <f>SUMIF('内訳ﾘｽﾄ(4～3月)'!$D$26:$D$1002,$B33,'内訳ﾘｽﾄ(4～3月)'!P$26:P$1002)</f>
        <v>0</v>
      </c>
      <c r="N33" s="158">
        <f>SUMIF('内訳ﾘｽﾄ(4～3月)'!$D$26:$D$1002,$B33,'内訳ﾘｽﾄ(4～3月)'!Q$26:Q$1002)</f>
        <v>0</v>
      </c>
      <c r="O33" s="158">
        <f>SUMIF('内訳ﾘｽﾄ(4～3月)'!$D$26:$D$801,'採算表(VND)'!$B33,'内訳ﾘｽﾄ(4～3月)'!R$26:R$801)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SUMIF('内訳ﾘｽﾄ(4～3月)'!$D$26:$D$1002,$B34,'内訳ﾘｽﾄ(4～3月)'!F$26:F$1002)</f>
        <v>0</v>
      </c>
      <c r="D34" s="158">
        <f>SUMIF('内訳ﾘｽﾄ(4～3月)'!$D$26:$D$1002,$B34,'内訳ﾘｽﾄ(4～3月)'!G$26:G$1002)</f>
        <v>0</v>
      </c>
      <c r="E34" s="158">
        <f>SUMIF('内訳ﾘｽﾄ(4～3月)'!$D$26:$D$1002,$B34,'内訳ﾘｽﾄ(4～3月)'!H$26:H$1002)</f>
        <v>0</v>
      </c>
      <c r="F34" s="158">
        <f>SUMIF('内訳ﾘｽﾄ(4～3月)'!$D$26:$D$1002,$B34,'内訳ﾘｽﾄ(4～3月)'!I$26:I$1002)</f>
        <v>0</v>
      </c>
      <c r="G34" s="158">
        <f>SUMIF('内訳ﾘｽﾄ(4～3月)'!$D$26:$D$1002,$B34,'内訳ﾘｽﾄ(4～3月)'!J$26:J$1002)</f>
        <v>0</v>
      </c>
      <c r="H34" s="158">
        <f>SUMIF('内訳ﾘｽﾄ(4～3月)'!$D$26:$D$1002,$B34,'内訳ﾘｽﾄ(4～3月)'!K$26:K$1002)</f>
        <v>0</v>
      </c>
      <c r="I34" s="158">
        <f>SUMIF('内訳ﾘｽﾄ(4～3月)'!$D$26:$D$1002,$B34,'内訳ﾘｽﾄ(4～3月)'!L$26:L$1002)</f>
        <v>0</v>
      </c>
      <c r="J34" s="158">
        <f>SUMIF('内訳ﾘｽﾄ(4～3月)'!$D$26:$D$1002,$B34,'内訳ﾘｽﾄ(4～3月)'!M$26:M$1002)</f>
        <v>0</v>
      </c>
      <c r="K34" s="158">
        <f>SUMIF('内訳ﾘｽﾄ(4～3月)'!$D$26:$D$1002,$B34,'内訳ﾘｽﾄ(4～3月)'!N$26:N$1002)</f>
        <v>0</v>
      </c>
      <c r="L34" s="158">
        <f>SUMIF('内訳ﾘｽﾄ(4～3月)'!$D$26:$D$1002,$B34,'内訳ﾘｽﾄ(4～3月)'!O$26:O$1002)</f>
        <v>0</v>
      </c>
      <c r="M34" s="158">
        <f>SUMIF('内訳ﾘｽﾄ(4～3月)'!$D$26:$D$1002,$B34,'内訳ﾘｽﾄ(4～3月)'!P$26:P$1002)</f>
        <v>0</v>
      </c>
      <c r="N34" s="158">
        <f>SUMIF('内訳ﾘｽﾄ(4～3月)'!$D$26:$D$1002,$B34,'内訳ﾘｽﾄ(4～3月)'!Q$26:Q$1002)</f>
        <v>0</v>
      </c>
      <c r="O34" s="158">
        <f>SUMIF('内訳ﾘｽﾄ(4～3月)'!$D$26:$D$801,'採算表(VND)'!$B34,'内訳ﾘｽﾄ(4～3月)'!R$26:R$801)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SUMIF('内訳ﾘｽﾄ(4～3月)'!$D$26:$D$1002,$B35,'内訳ﾘｽﾄ(4～3月)'!F$26:F$1002)</f>
        <v>0</v>
      </c>
      <c r="D35" s="158">
        <f>SUMIF('内訳ﾘｽﾄ(4～3月)'!$D$26:$D$1002,$B35,'内訳ﾘｽﾄ(4～3月)'!G$26:G$1002)</f>
        <v>0</v>
      </c>
      <c r="E35" s="158">
        <f>SUMIF('内訳ﾘｽﾄ(4～3月)'!$D$26:$D$1002,$B35,'内訳ﾘｽﾄ(4～3月)'!H$26:H$1002)</f>
        <v>0</v>
      </c>
      <c r="F35" s="158">
        <f>SUMIF('内訳ﾘｽﾄ(4～3月)'!$D$26:$D$1002,$B35,'内訳ﾘｽﾄ(4～3月)'!I$26:I$1002)</f>
        <v>0</v>
      </c>
      <c r="G35" s="158">
        <f>SUMIF('内訳ﾘｽﾄ(4～3月)'!$D$26:$D$1002,$B35,'内訳ﾘｽﾄ(4～3月)'!J$26:J$1002)</f>
        <v>0</v>
      </c>
      <c r="H35" s="158">
        <f>SUMIF('内訳ﾘｽﾄ(4～3月)'!$D$26:$D$1002,$B35,'内訳ﾘｽﾄ(4～3月)'!K$26:K$1002)</f>
        <v>0</v>
      </c>
      <c r="I35" s="158">
        <f>SUMIF('内訳ﾘｽﾄ(4～3月)'!$D$26:$D$1002,$B35,'内訳ﾘｽﾄ(4～3月)'!L$26:L$1002)</f>
        <v>0</v>
      </c>
      <c r="J35" s="158">
        <f>SUMIF('内訳ﾘｽﾄ(4～3月)'!$D$26:$D$1002,$B35,'内訳ﾘｽﾄ(4～3月)'!M$26:M$1002)</f>
        <v>0</v>
      </c>
      <c r="K35" s="158">
        <f>SUMIF('内訳ﾘｽﾄ(4～3月)'!$D$26:$D$1002,$B35,'内訳ﾘｽﾄ(4～3月)'!N$26:N$1002)</f>
        <v>0</v>
      </c>
      <c r="L35" s="158">
        <f>SUMIF('内訳ﾘｽﾄ(4～3月)'!$D$26:$D$1002,$B35,'内訳ﾘｽﾄ(4～3月)'!O$26:O$1002)</f>
        <v>0</v>
      </c>
      <c r="M35" s="158">
        <f>SUMIF('内訳ﾘｽﾄ(4～3月)'!$D$26:$D$1002,$B35,'内訳ﾘｽﾄ(4～3月)'!P$26:P$1002)</f>
        <v>0</v>
      </c>
      <c r="N35" s="158">
        <f>SUMIF('内訳ﾘｽﾄ(4～3月)'!$D$26:$D$1002,$B35,'内訳ﾘｽﾄ(4～3月)'!Q$26:Q$1002)</f>
        <v>0</v>
      </c>
      <c r="O35" s="158">
        <f>SUMIF('内訳ﾘｽﾄ(4～3月)'!$D$26:$D$801,'採算表(VND)'!$B35,'内訳ﾘｽﾄ(4～3月)'!R$26:R$801)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SUMIF('内訳ﾘｽﾄ(4～3月)'!$D$26:$D$1002,$B36,'内訳ﾘｽﾄ(4～3月)'!F$26:F$1002)</f>
        <v>0</v>
      </c>
      <c r="D36" s="158">
        <f>SUMIF('内訳ﾘｽﾄ(4～3月)'!$D$26:$D$1002,$B36,'内訳ﾘｽﾄ(4～3月)'!G$26:G$1002)</f>
        <v>0</v>
      </c>
      <c r="E36" s="158">
        <f>SUMIF('内訳ﾘｽﾄ(4～3月)'!$D$26:$D$1002,$B36,'内訳ﾘｽﾄ(4～3月)'!H$26:H$1002)</f>
        <v>0</v>
      </c>
      <c r="F36" s="158">
        <f>SUMIF('内訳ﾘｽﾄ(4～3月)'!$D$26:$D$1002,$B36,'内訳ﾘｽﾄ(4～3月)'!I$26:I$1002)</f>
        <v>0</v>
      </c>
      <c r="G36" s="158">
        <f>SUMIF('内訳ﾘｽﾄ(4～3月)'!$D$26:$D$1002,$B36,'内訳ﾘｽﾄ(4～3月)'!J$26:J$1002)</f>
        <v>0</v>
      </c>
      <c r="H36" s="158">
        <f>SUMIF('内訳ﾘｽﾄ(4～3月)'!$D$26:$D$1002,$B36,'内訳ﾘｽﾄ(4～3月)'!K$26:K$1002)</f>
        <v>0</v>
      </c>
      <c r="I36" s="158">
        <f>SUMIF('内訳ﾘｽﾄ(4～3月)'!$D$26:$D$1002,$B36,'内訳ﾘｽﾄ(4～3月)'!L$26:L$1002)</f>
        <v>0</v>
      </c>
      <c r="J36" s="158">
        <f>SUMIF('内訳ﾘｽﾄ(4～3月)'!$D$26:$D$1002,$B36,'内訳ﾘｽﾄ(4～3月)'!M$26:M$1002)</f>
        <v>0</v>
      </c>
      <c r="K36" s="158">
        <f>SUMIF('内訳ﾘｽﾄ(4～3月)'!$D$26:$D$1002,$B36,'内訳ﾘｽﾄ(4～3月)'!N$26:N$1002)</f>
        <v>0</v>
      </c>
      <c r="L36" s="158">
        <f>SUMIF('内訳ﾘｽﾄ(4～3月)'!$D$26:$D$1002,$B36,'内訳ﾘｽﾄ(4～3月)'!O$26:O$1002)</f>
        <v>0</v>
      </c>
      <c r="M36" s="158">
        <f>SUMIF('内訳ﾘｽﾄ(4～3月)'!$D$26:$D$1002,$B36,'内訳ﾘｽﾄ(4～3月)'!P$26:P$1002)</f>
        <v>0</v>
      </c>
      <c r="N36" s="158">
        <f>SUMIF('内訳ﾘｽﾄ(4～3月)'!$D$26:$D$1002,$B36,'内訳ﾘｽﾄ(4～3月)'!Q$26:Q$1002)</f>
        <v>0</v>
      </c>
      <c r="O36" s="158">
        <f>SUMIF('内訳ﾘｽﾄ(4～3月)'!$D$26:$D$801,'採算表(VND)'!$B36,'内訳ﾘｽﾄ(4～3月)'!R$26:R$801)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SUMIF('内訳ﾘｽﾄ(4～3月)'!$D$26:$D$1002,$B37,'内訳ﾘｽﾄ(4～3月)'!F$26:F$1002)</f>
        <v>0</v>
      </c>
      <c r="D37" s="158">
        <f>SUMIF('内訳ﾘｽﾄ(4～3月)'!$D$26:$D$1002,$B37,'内訳ﾘｽﾄ(4～3月)'!G$26:G$1002)</f>
        <v>0</v>
      </c>
      <c r="E37" s="158">
        <f>SUMIF('内訳ﾘｽﾄ(4～3月)'!$D$26:$D$1002,$B37,'内訳ﾘｽﾄ(4～3月)'!H$26:H$1002)</f>
        <v>0</v>
      </c>
      <c r="F37" s="158">
        <f>SUMIF('内訳ﾘｽﾄ(4～3月)'!$D$26:$D$1002,$B37,'内訳ﾘｽﾄ(4～3月)'!I$26:I$1002)</f>
        <v>0</v>
      </c>
      <c r="G37" s="158">
        <f>SUMIF('内訳ﾘｽﾄ(4～3月)'!$D$26:$D$1002,$B37,'内訳ﾘｽﾄ(4～3月)'!J$26:J$1002)</f>
        <v>0</v>
      </c>
      <c r="H37" s="158">
        <f>SUMIF('内訳ﾘｽﾄ(4～3月)'!$D$26:$D$1002,$B37,'内訳ﾘｽﾄ(4～3月)'!K$26:K$1002)</f>
        <v>0</v>
      </c>
      <c r="I37" s="158">
        <f>SUMIF('内訳ﾘｽﾄ(4～3月)'!$D$26:$D$1002,$B37,'内訳ﾘｽﾄ(4～3月)'!L$26:L$1002)</f>
        <v>0</v>
      </c>
      <c r="J37" s="158">
        <f>SUMIF('内訳ﾘｽﾄ(4～3月)'!$D$26:$D$1002,$B37,'内訳ﾘｽﾄ(4～3月)'!M$26:M$1002)</f>
        <v>0</v>
      </c>
      <c r="K37" s="158">
        <f>SUMIF('内訳ﾘｽﾄ(4～3月)'!$D$26:$D$1002,$B37,'内訳ﾘｽﾄ(4～3月)'!N$26:N$1002)</f>
        <v>0</v>
      </c>
      <c r="L37" s="158">
        <f>SUMIF('内訳ﾘｽﾄ(4～3月)'!$D$26:$D$1002,$B37,'内訳ﾘｽﾄ(4～3月)'!O$26:O$1002)</f>
        <v>0</v>
      </c>
      <c r="M37" s="158">
        <f>SUMIF('内訳ﾘｽﾄ(4～3月)'!$D$26:$D$1002,$B37,'内訳ﾘｽﾄ(4～3月)'!P$26:P$1002)</f>
        <v>0</v>
      </c>
      <c r="N37" s="158">
        <f>SUMIF('内訳ﾘｽﾄ(4～3月)'!$D$26:$D$1002,$B37,'内訳ﾘｽﾄ(4～3月)'!Q$26:Q$1002)</f>
        <v>0</v>
      </c>
      <c r="O37" s="158">
        <f>SUMIF('内訳ﾘｽﾄ(4～3月)'!$D$26:$D$801,'採算表(VND)'!$B37,'内訳ﾘｽﾄ(4～3月)'!R$26:R$801)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SUMIF('内訳ﾘｽﾄ(4～3月)'!$D$26:$D$1002,$B38,'内訳ﾘｽﾄ(4～3月)'!F$26:F$1002)</f>
        <v>0</v>
      </c>
      <c r="D38" s="158">
        <f>SUMIF('内訳ﾘｽﾄ(4～3月)'!$D$26:$D$1002,$B38,'内訳ﾘｽﾄ(4～3月)'!G$26:G$1002)</f>
        <v>0</v>
      </c>
      <c r="E38" s="158">
        <f>SUMIF('内訳ﾘｽﾄ(4～3月)'!$D$26:$D$1002,$B38,'内訳ﾘｽﾄ(4～3月)'!H$26:H$1002)</f>
        <v>0</v>
      </c>
      <c r="F38" s="158">
        <f>SUMIF('内訳ﾘｽﾄ(4～3月)'!$D$26:$D$1002,$B38,'内訳ﾘｽﾄ(4～3月)'!I$26:I$1002)</f>
        <v>0</v>
      </c>
      <c r="G38" s="158">
        <f>SUMIF('内訳ﾘｽﾄ(4～3月)'!$D$26:$D$1002,$B38,'内訳ﾘｽﾄ(4～3月)'!J$26:J$1002)</f>
        <v>0</v>
      </c>
      <c r="H38" s="158">
        <f>SUMIF('内訳ﾘｽﾄ(4～3月)'!$D$26:$D$1002,$B38,'内訳ﾘｽﾄ(4～3月)'!K$26:K$1002)</f>
        <v>0</v>
      </c>
      <c r="I38" s="158">
        <f>SUMIF('内訳ﾘｽﾄ(4～3月)'!$D$26:$D$1002,$B38,'内訳ﾘｽﾄ(4～3月)'!L$26:L$1002)</f>
        <v>0</v>
      </c>
      <c r="J38" s="158">
        <f>SUMIF('内訳ﾘｽﾄ(4～3月)'!$D$26:$D$1002,$B38,'内訳ﾘｽﾄ(4～3月)'!M$26:M$1002)</f>
        <v>0</v>
      </c>
      <c r="K38" s="158">
        <f>SUMIF('内訳ﾘｽﾄ(4～3月)'!$D$26:$D$1002,$B38,'内訳ﾘｽﾄ(4～3月)'!N$26:N$1002)</f>
        <v>0</v>
      </c>
      <c r="L38" s="158">
        <f>SUMIF('内訳ﾘｽﾄ(4～3月)'!$D$26:$D$1002,$B38,'内訳ﾘｽﾄ(4～3月)'!O$26:O$1002)</f>
        <v>0</v>
      </c>
      <c r="M38" s="158">
        <f>SUMIF('内訳ﾘｽﾄ(4～3月)'!$D$26:$D$1002,$B38,'内訳ﾘｽﾄ(4～3月)'!P$26:P$1002)</f>
        <v>0</v>
      </c>
      <c r="N38" s="158">
        <f>SUMIF('内訳ﾘｽﾄ(4～3月)'!$D$26:$D$1002,$B38,'内訳ﾘｽﾄ(4～3月)'!Q$26:Q$1002)</f>
        <v>0</v>
      </c>
      <c r="O38" s="158">
        <f>SUMIF('内訳ﾘｽﾄ(4～3月)'!$D$26:$D$801,'採算表(VND)'!$B38,'内訳ﾘｽﾄ(4～3月)'!R$26:R$801)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SUMIF('内訳ﾘｽﾄ(4～3月)'!$D$26:$D$1002,$B39,'内訳ﾘｽﾄ(4～3月)'!F$26:F$1002)</f>
        <v>0</v>
      </c>
      <c r="D39" s="158">
        <f>SUMIF('内訳ﾘｽﾄ(4～3月)'!$D$26:$D$1002,$B39,'内訳ﾘｽﾄ(4～3月)'!G$26:G$1002)</f>
        <v>0</v>
      </c>
      <c r="E39" s="158">
        <f>SUMIF('内訳ﾘｽﾄ(4～3月)'!$D$26:$D$1002,$B39,'内訳ﾘｽﾄ(4～3月)'!H$26:H$1002)</f>
        <v>0</v>
      </c>
      <c r="F39" s="158">
        <f>SUMIF('内訳ﾘｽﾄ(4～3月)'!$D$26:$D$1002,$B39,'内訳ﾘｽﾄ(4～3月)'!I$26:I$1002)</f>
        <v>0</v>
      </c>
      <c r="G39" s="158">
        <f>SUMIF('内訳ﾘｽﾄ(4～3月)'!$D$26:$D$1002,$B39,'内訳ﾘｽﾄ(4～3月)'!J$26:J$1002)</f>
        <v>0</v>
      </c>
      <c r="H39" s="158">
        <f>SUMIF('内訳ﾘｽﾄ(4～3月)'!$D$26:$D$1002,$B39,'内訳ﾘｽﾄ(4～3月)'!K$26:K$1002)</f>
        <v>0</v>
      </c>
      <c r="I39" s="158">
        <f>SUMIF('内訳ﾘｽﾄ(4～3月)'!$D$26:$D$1002,$B39,'内訳ﾘｽﾄ(4～3月)'!L$26:L$1002)</f>
        <v>0</v>
      </c>
      <c r="J39" s="158">
        <f>SUMIF('内訳ﾘｽﾄ(4～3月)'!$D$26:$D$1002,$B39,'内訳ﾘｽﾄ(4～3月)'!M$26:M$1002)</f>
        <v>0</v>
      </c>
      <c r="K39" s="158">
        <f>SUMIF('内訳ﾘｽﾄ(4～3月)'!$D$26:$D$1002,$B39,'内訳ﾘｽﾄ(4～3月)'!N$26:N$1002)</f>
        <v>0</v>
      </c>
      <c r="L39" s="158">
        <f>SUMIF('内訳ﾘｽﾄ(4～3月)'!$D$26:$D$1002,$B39,'内訳ﾘｽﾄ(4～3月)'!O$26:O$1002)</f>
        <v>0</v>
      </c>
      <c r="M39" s="158">
        <f>SUMIF('内訳ﾘｽﾄ(4～3月)'!$D$26:$D$1002,$B39,'内訳ﾘｽﾄ(4～3月)'!P$26:P$1002)</f>
        <v>0</v>
      </c>
      <c r="N39" s="158">
        <f>SUMIF('内訳ﾘｽﾄ(4～3月)'!$D$26:$D$1002,$B39,'内訳ﾘｽﾄ(4～3月)'!Q$26:Q$1002)</f>
        <v>0</v>
      </c>
      <c r="O39" s="158">
        <f>SUMIF('内訳ﾘｽﾄ(4～3月)'!$D$26:$D$801,'採算表(VND)'!$B39,'内訳ﾘｽﾄ(4～3月)'!R$26:R$801)</f>
        <v>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SUMIF('内訳ﾘｽﾄ(4～3月)'!$D$26:$D$1002,$B40,'内訳ﾘｽﾄ(4～3月)'!F$26:F$1002)</f>
        <v>0</v>
      </c>
      <c r="D40" s="158">
        <f>SUMIF('内訳ﾘｽﾄ(4～3月)'!$D$26:$D$1002,$B40,'内訳ﾘｽﾄ(4～3月)'!G$26:G$1002)</f>
        <v>0</v>
      </c>
      <c r="E40" s="158">
        <f>SUMIF('内訳ﾘｽﾄ(4～3月)'!$D$26:$D$1002,$B40,'内訳ﾘｽﾄ(4～3月)'!H$26:H$1002)</f>
        <v>0</v>
      </c>
      <c r="F40" s="158">
        <f>SUMIF('内訳ﾘｽﾄ(4～3月)'!$D$26:$D$1002,$B40,'内訳ﾘｽﾄ(4～3月)'!I$26:I$1002)</f>
        <v>0</v>
      </c>
      <c r="G40" s="158">
        <f>SUMIF('内訳ﾘｽﾄ(4～3月)'!$D$26:$D$1002,$B40,'内訳ﾘｽﾄ(4～3月)'!J$26:J$1002)</f>
        <v>0</v>
      </c>
      <c r="H40" s="158">
        <f>SUMIF('内訳ﾘｽﾄ(4～3月)'!$D$26:$D$1002,$B40,'内訳ﾘｽﾄ(4～3月)'!K$26:K$1002)</f>
        <v>0</v>
      </c>
      <c r="I40" s="158">
        <f>SUMIF('内訳ﾘｽﾄ(4～3月)'!$D$26:$D$1002,$B40,'内訳ﾘｽﾄ(4～3月)'!L$26:L$1002)</f>
        <v>0</v>
      </c>
      <c r="J40" s="158">
        <f>SUMIF('内訳ﾘｽﾄ(4～3月)'!$D$26:$D$1002,$B40,'内訳ﾘｽﾄ(4～3月)'!M$26:M$1002)</f>
        <v>0</v>
      </c>
      <c r="K40" s="158">
        <f>SUMIF('内訳ﾘｽﾄ(4～3月)'!$D$26:$D$1002,$B40,'内訳ﾘｽﾄ(4～3月)'!N$26:N$1002)</f>
        <v>0</v>
      </c>
      <c r="L40" s="158">
        <f>SUMIF('内訳ﾘｽﾄ(4～3月)'!$D$26:$D$1002,$B40,'内訳ﾘｽﾄ(4～3月)'!O$26:O$1002)</f>
        <v>0</v>
      </c>
      <c r="M40" s="158">
        <f>SUMIF('内訳ﾘｽﾄ(4～3月)'!$D$26:$D$1002,$B40,'内訳ﾘｽﾄ(4～3月)'!P$26:P$1002)</f>
        <v>0</v>
      </c>
      <c r="N40" s="158">
        <f>SUMIF('内訳ﾘｽﾄ(4～3月)'!$D$26:$D$1002,$B40,'内訳ﾘｽﾄ(4～3月)'!Q$26:Q$1002)</f>
        <v>0</v>
      </c>
      <c r="O40" s="158">
        <f>SUMIF('内訳ﾘｽﾄ(4～3月)'!$D$26:$D$801,'採算表(VND)'!$B40,'内訳ﾘｽﾄ(4～3月)'!R$26:R$801)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SUMIF('内訳ﾘｽﾄ(4～3月)'!$D$26:$D$1002,$B41,'内訳ﾘｽﾄ(4～3月)'!F$26:F$1002)</f>
        <v>0</v>
      </c>
      <c r="D41" s="158">
        <f>SUMIF('内訳ﾘｽﾄ(4～3月)'!$D$26:$D$1002,$B41,'内訳ﾘｽﾄ(4～3月)'!G$26:G$1002)</f>
        <v>0</v>
      </c>
      <c r="E41" s="158">
        <f>SUMIF('内訳ﾘｽﾄ(4～3月)'!$D$26:$D$1002,$B41,'内訳ﾘｽﾄ(4～3月)'!H$26:H$1002)</f>
        <v>0</v>
      </c>
      <c r="F41" s="158">
        <f>SUMIF('内訳ﾘｽﾄ(4～3月)'!$D$26:$D$1002,$B41,'内訳ﾘｽﾄ(4～3月)'!I$26:I$1002)</f>
        <v>0</v>
      </c>
      <c r="G41" s="158">
        <f>SUMIF('内訳ﾘｽﾄ(4～3月)'!$D$26:$D$1002,$B41,'内訳ﾘｽﾄ(4～3月)'!J$26:J$1002)</f>
        <v>0</v>
      </c>
      <c r="H41" s="158">
        <f>SUMIF('内訳ﾘｽﾄ(4～3月)'!$D$26:$D$1002,$B41,'内訳ﾘｽﾄ(4～3月)'!K$26:K$1002)</f>
        <v>0</v>
      </c>
      <c r="I41" s="158">
        <f>SUMIF('内訳ﾘｽﾄ(4～3月)'!$D$26:$D$1002,$B41,'内訳ﾘｽﾄ(4～3月)'!L$26:L$1002)</f>
        <v>0</v>
      </c>
      <c r="J41" s="158">
        <f>SUMIF('内訳ﾘｽﾄ(4～3月)'!$D$26:$D$1002,$B41,'内訳ﾘｽﾄ(4～3月)'!M$26:M$1002)</f>
        <v>0</v>
      </c>
      <c r="K41" s="158">
        <f>SUMIF('内訳ﾘｽﾄ(4～3月)'!$D$26:$D$1002,$B41,'内訳ﾘｽﾄ(4～3月)'!N$26:N$1002)</f>
        <v>0</v>
      </c>
      <c r="L41" s="158">
        <f>SUMIF('内訳ﾘｽﾄ(4～3月)'!$D$26:$D$1002,$B41,'内訳ﾘｽﾄ(4～3月)'!O$26:O$1002)</f>
        <v>0</v>
      </c>
      <c r="M41" s="158">
        <f>SUMIF('内訳ﾘｽﾄ(4～3月)'!$D$26:$D$1002,$B41,'内訳ﾘｽﾄ(4～3月)'!P$26:P$1002)</f>
        <v>0</v>
      </c>
      <c r="N41" s="158">
        <f>SUMIF('内訳ﾘｽﾄ(4～3月)'!$D$26:$D$1002,$B41,'内訳ﾘｽﾄ(4～3月)'!Q$26:Q$1002)</f>
        <v>0</v>
      </c>
      <c r="O41" s="158">
        <f>SUMIF('内訳ﾘｽﾄ(4～3月)'!$D$26:$D$801,'採算表(VND)'!$B41,'内訳ﾘｽﾄ(4～3月)'!R$26:R$801)</f>
        <v>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SUMIF('内訳ﾘｽﾄ(4～3月)'!$D$26:$D$1002,$B42,'内訳ﾘｽﾄ(4～3月)'!F$26:F$1002)</f>
        <v>0</v>
      </c>
      <c r="D42" s="158">
        <f>SUMIF('内訳ﾘｽﾄ(4～3月)'!$D$26:$D$1002,$B42,'内訳ﾘｽﾄ(4～3月)'!G$26:G$1002)</f>
        <v>0</v>
      </c>
      <c r="E42" s="158">
        <f>SUMIF('内訳ﾘｽﾄ(4～3月)'!$D$26:$D$1002,$B42,'内訳ﾘｽﾄ(4～3月)'!H$26:H$1002)</f>
        <v>0</v>
      </c>
      <c r="F42" s="158">
        <f>SUMIF('内訳ﾘｽﾄ(4～3月)'!$D$26:$D$1002,$B42,'内訳ﾘｽﾄ(4～3月)'!I$26:I$1002)</f>
        <v>0</v>
      </c>
      <c r="G42" s="158">
        <f>SUMIF('内訳ﾘｽﾄ(4～3月)'!$D$26:$D$1002,$B42,'内訳ﾘｽﾄ(4～3月)'!J$26:J$1002)</f>
        <v>0</v>
      </c>
      <c r="H42" s="158">
        <f>SUMIF('内訳ﾘｽﾄ(4～3月)'!$D$26:$D$1002,$B42,'内訳ﾘｽﾄ(4～3月)'!K$26:K$1002)</f>
        <v>0</v>
      </c>
      <c r="I42" s="158">
        <f>SUMIF('内訳ﾘｽﾄ(4～3月)'!$D$26:$D$1002,$B42,'内訳ﾘｽﾄ(4～3月)'!L$26:L$1002)</f>
        <v>0</v>
      </c>
      <c r="J42" s="158">
        <f>SUMIF('内訳ﾘｽﾄ(4～3月)'!$D$26:$D$1002,$B42,'内訳ﾘｽﾄ(4～3月)'!M$26:M$1002)</f>
        <v>0</v>
      </c>
      <c r="K42" s="158">
        <f>SUMIF('内訳ﾘｽﾄ(4～3月)'!$D$26:$D$1002,$B42,'内訳ﾘｽﾄ(4～3月)'!N$26:N$1002)</f>
        <v>0</v>
      </c>
      <c r="L42" s="158">
        <f>SUMIF('内訳ﾘｽﾄ(4～3月)'!$D$26:$D$1002,$B42,'内訳ﾘｽﾄ(4～3月)'!O$26:O$1002)</f>
        <v>0</v>
      </c>
      <c r="M42" s="158">
        <f>SUMIF('内訳ﾘｽﾄ(4～3月)'!$D$26:$D$1002,$B42,'内訳ﾘｽﾄ(4～3月)'!P$26:P$1002)</f>
        <v>0</v>
      </c>
      <c r="N42" s="158">
        <f>SUMIF('内訳ﾘｽﾄ(4～3月)'!$D$26:$D$1002,$B42,'内訳ﾘｽﾄ(4～3月)'!Q$26:Q$1002)</f>
        <v>0</v>
      </c>
      <c r="O42" s="158">
        <f>SUMIF('内訳ﾘｽﾄ(4～3月)'!$D$26:$D$801,'採算表(VND)'!$B42,'内訳ﾘｽﾄ(4～3月)'!R$26:R$801)</f>
        <v>0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SUMIF('内訳ﾘｽﾄ(4～3月)'!$D$26:$D$1002,$B43,'内訳ﾘｽﾄ(4～3月)'!F$26:F$1002)</f>
        <v>0</v>
      </c>
      <c r="D43" s="158">
        <f>SUMIF('内訳ﾘｽﾄ(4～3月)'!$D$26:$D$1002,$B43,'内訳ﾘｽﾄ(4～3月)'!G$26:G$1002)</f>
        <v>0</v>
      </c>
      <c r="E43" s="158">
        <f>SUMIF('内訳ﾘｽﾄ(4～3月)'!$D$26:$D$1002,$B43,'内訳ﾘｽﾄ(4～3月)'!H$26:H$1002)</f>
        <v>0</v>
      </c>
      <c r="F43" s="158">
        <f>SUMIF('内訳ﾘｽﾄ(4～3月)'!$D$26:$D$1002,$B43,'内訳ﾘｽﾄ(4～3月)'!I$26:I$1002)</f>
        <v>0</v>
      </c>
      <c r="G43" s="158">
        <f>SUMIF('内訳ﾘｽﾄ(4～3月)'!$D$26:$D$1002,$B43,'内訳ﾘｽﾄ(4～3月)'!J$26:J$1002)</f>
        <v>0</v>
      </c>
      <c r="H43" s="158">
        <f>SUMIF('内訳ﾘｽﾄ(4～3月)'!$D$26:$D$1002,$B43,'内訳ﾘｽﾄ(4～3月)'!K$26:K$1002)</f>
        <v>0</v>
      </c>
      <c r="I43" s="158">
        <f>SUMIF('内訳ﾘｽﾄ(4～3月)'!$D$26:$D$1002,$B43,'内訳ﾘｽﾄ(4～3月)'!L$26:L$1002)</f>
        <v>0</v>
      </c>
      <c r="J43" s="158">
        <f>SUMIF('内訳ﾘｽﾄ(4～3月)'!$D$26:$D$1002,$B43,'内訳ﾘｽﾄ(4～3月)'!M$26:M$1002)</f>
        <v>0</v>
      </c>
      <c r="K43" s="158">
        <f>SUMIF('内訳ﾘｽﾄ(4～3月)'!$D$26:$D$1002,$B43,'内訳ﾘｽﾄ(4～3月)'!N$26:N$1002)</f>
        <v>0</v>
      </c>
      <c r="L43" s="158">
        <f>SUMIF('内訳ﾘｽﾄ(4～3月)'!$D$26:$D$1002,$B43,'内訳ﾘｽﾄ(4～3月)'!O$26:O$1002)</f>
        <v>0</v>
      </c>
      <c r="M43" s="158">
        <f>SUMIF('内訳ﾘｽﾄ(4～3月)'!$D$26:$D$1002,$B43,'内訳ﾘｽﾄ(4～3月)'!P$26:P$1002)</f>
        <v>0</v>
      </c>
      <c r="N43" s="158">
        <f>SUMIF('内訳ﾘｽﾄ(4～3月)'!$D$26:$D$1002,$B43,'内訳ﾘｽﾄ(4～3月)'!Q$26:Q$1002)</f>
        <v>0</v>
      </c>
      <c r="O43" s="158">
        <f>SUMIF('内訳ﾘｽﾄ(4～3月)'!$D$26:$D$801,'採算表(VND)'!$B43,'内訳ﾘｽﾄ(4～3月)'!R$26:R$801)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SUMIF('内訳ﾘｽﾄ(4～3月)'!$D$26:$D$1002,$B44,'内訳ﾘｽﾄ(4～3月)'!F$26:F$1002)</f>
        <v>0</v>
      </c>
      <c r="D44" s="158">
        <f>SUMIF('内訳ﾘｽﾄ(4～3月)'!$D$26:$D$1002,$B44,'内訳ﾘｽﾄ(4～3月)'!G$26:G$1002)</f>
        <v>0</v>
      </c>
      <c r="E44" s="158">
        <f>SUMIF('内訳ﾘｽﾄ(4～3月)'!$D$26:$D$1002,$B44,'内訳ﾘｽﾄ(4～3月)'!H$26:H$1002)</f>
        <v>0</v>
      </c>
      <c r="F44" s="158">
        <f>SUMIF('内訳ﾘｽﾄ(4～3月)'!$D$26:$D$1002,$B44,'内訳ﾘｽﾄ(4～3月)'!I$26:I$1002)</f>
        <v>0</v>
      </c>
      <c r="G44" s="158">
        <f>SUMIF('内訳ﾘｽﾄ(4～3月)'!$D$26:$D$1002,$B44,'内訳ﾘｽﾄ(4～3月)'!J$26:J$1002)</f>
        <v>0</v>
      </c>
      <c r="H44" s="158">
        <f>SUMIF('内訳ﾘｽﾄ(4～3月)'!$D$26:$D$1002,$B44,'内訳ﾘｽﾄ(4～3月)'!K$26:K$1002)</f>
        <v>0</v>
      </c>
      <c r="I44" s="158">
        <f>SUMIF('内訳ﾘｽﾄ(4～3月)'!$D$26:$D$1002,$B44,'内訳ﾘｽﾄ(4～3月)'!L$26:L$1002)</f>
        <v>0</v>
      </c>
      <c r="J44" s="158">
        <f>SUMIF('内訳ﾘｽﾄ(4～3月)'!$D$26:$D$1002,$B44,'内訳ﾘｽﾄ(4～3月)'!M$26:M$1002)</f>
        <v>0</v>
      </c>
      <c r="K44" s="158">
        <f>SUMIF('内訳ﾘｽﾄ(4～3月)'!$D$26:$D$1002,$B44,'内訳ﾘｽﾄ(4～3月)'!N$26:N$1002)</f>
        <v>0</v>
      </c>
      <c r="L44" s="158">
        <f>SUMIF('内訳ﾘｽﾄ(4～3月)'!$D$26:$D$1002,$B44,'内訳ﾘｽﾄ(4～3月)'!O$26:O$1002)</f>
        <v>0</v>
      </c>
      <c r="M44" s="158">
        <f>SUMIF('内訳ﾘｽﾄ(4～3月)'!$D$26:$D$1002,$B44,'内訳ﾘｽﾄ(4～3月)'!P$26:P$1002)</f>
        <v>0</v>
      </c>
      <c r="N44" s="158">
        <f>SUMIF('内訳ﾘｽﾄ(4～3月)'!$D$26:$D$1002,$B44,'内訳ﾘｽﾄ(4～3月)'!Q$26:Q$1002)</f>
        <v>0</v>
      </c>
      <c r="O44" s="158">
        <f>SUMIF('内訳ﾘｽﾄ(4～3月)'!$D$26:$D$801,'採算表(VND)'!$B44,'内訳ﾘｽﾄ(4～3月)'!R$26:R$801)</f>
        <v>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SUMIF('内訳ﾘｽﾄ(4～3月)'!$D$26:$D$1002,$B45,'内訳ﾘｽﾄ(4～3月)'!F$26:F$1002)</f>
        <v>0</v>
      </c>
      <c r="D45" s="158">
        <f>SUMIF('内訳ﾘｽﾄ(4～3月)'!$D$26:$D$1002,$B45,'内訳ﾘｽﾄ(4～3月)'!G$26:G$1002)</f>
        <v>0</v>
      </c>
      <c r="E45" s="158">
        <f>SUMIF('内訳ﾘｽﾄ(4～3月)'!$D$26:$D$1002,$B45,'内訳ﾘｽﾄ(4～3月)'!H$26:H$1002)</f>
        <v>0</v>
      </c>
      <c r="F45" s="158">
        <f>SUMIF('内訳ﾘｽﾄ(4～3月)'!$D$26:$D$1002,$B45,'内訳ﾘｽﾄ(4～3月)'!I$26:I$1002)</f>
        <v>0</v>
      </c>
      <c r="G45" s="158">
        <f>SUMIF('内訳ﾘｽﾄ(4～3月)'!$D$26:$D$1002,$B45,'内訳ﾘｽﾄ(4～3月)'!J$26:J$1002)</f>
        <v>0</v>
      </c>
      <c r="H45" s="158">
        <f>SUMIF('内訳ﾘｽﾄ(4～3月)'!$D$26:$D$1002,$B45,'内訳ﾘｽﾄ(4～3月)'!K$26:K$1002)</f>
        <v>0</v>
      </c>
      <c r="I45" s="158">
        <f>SUMIF('内訳ﾘｽﾄ(4～3月)'!$D$26:$D$1002,$B45,'内訳ﾘｽﾄ(4～3月)'!L$26:L$1002)</f>
        <v>0</v>
      </c>
      <c r="J45" s="158">
        <f>SUMIF('内訳ﾘｽﾄ(4～3月)'!$D$26:$D$1002,$B45,'内訳ﾘｽﾄ(4～3月)'!M$26:M$1002)</f>
        <v>0</v>
      </c>
      <c r="K45" s="158">
        <f>SUMIF('内訳ﾘｽﾄ(4～3月)'!$D$26:$D$1002,$B45,'内訳ﾘｽﾄ(4～3月)'!N$26:N$1002)</f>
        <v>0</v>
      </c>
      <c r="L45" s="158">
        <f>SUMIF('内訳ﾘｽﾄ(4～3月)'!$D$26:$D$1002,$B45,'内訳ﾘｽﾄ(4～3月)'!O$26:O$1002)</f>
        <v>0</v>
      </c>
      <c r="M45" s="158">
        <f>SUMIF('内訳ﾘｽﾄ(4～3月)'!$D$26:$D$1002,$B45,'内訳ﾘｽﾄ(4～3月)'!P$26:P$1002)</f>
        <v>0</v>
      </c>
      <c r="N45" s="158">
        <f>SUMIF('内訳ﾘｽﾄ(4～3月)'!$D$26:$D$1002,$B45,'内訳ﾘｽﾄ(4～3月)'!Q$26:Q$1002)</f>
        <v>0</v>
      </c>
      <c r="O45" s="158">
        <f>SUMIF('内訳ﾘｽﾄ(4～3月)'!$D$26:$D$801,'採算表(VND)'!$B45,'内訳ﾘｽﾄ(4～3月)'!R$26:R$801)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SUMIF('内訳ﾘｽﾄ(4～3月)'!$D$26:$D$1002,$B46,'内訳ﾘｽﾄ(4～3月)'!F$26:F$1002)</f>
        <v>0</v>
      </c>
      <c r="D46" s="158">
        <f>SUMIF('内訳ﾘｽﾄ(4～3月)'!$D$26:$D$1002,$B46,'内訳ﾘｽﾄ(4～3月)'!G$26:G$1002)</f>
        <v>0</v>
      </c>
      <c r="E46" s="158">
        <f>SUMIF('内訳ﾘｽﾄ(4～3月)'!$D$26:$D$1002,$B46,'内訳ﾘｽﾄ(4～3月)'!H$26:H$1002)</f>
        <v>0</v>
      </c>
      <c r="F46" s="158">
        <f>SUMIF('内訳ﾘｽﾄ(4～3月)'!$D$26:$D$1002,$B46,'内訳ﾘｽﾄ(4～3月)'!I$26:I$1002)</f>
        <v>0</v>
      </c>
      <c r="G46" s="158">
        <f>SUMIF('内訳ﾘｽﾄ(4～3月)'!$D$26:$D$1002,$B46,'内訳ﾘｽﾄ(4～3月)'!J$26:J$1002)</f>
        <v>0</v>
      </c>
      <c r="H46" s="158">
        <f>SUMIF('内訳ﾘｽﾄ(4～3月)'!$D$26:$D$1002,$B46,'内訳ﾘｽﾄ(4～3月)'!K$26:K$1002)</f>
        <v>0</v>
      </c>
      <c r="I46" s="158">
        <f>SUMIF('内訳ﾘｽﾄ(4～3月)'!$D$26:$D$1002,$B46,'内訳ﾘｽﾄ(4～3月)'!L$26:L$1002)</f>
        <v>0</v>
      </c>
      <c r="J46" s="158">
        <f>SUMIF('内訳ﾘｽﾄ(4～3月)'!$D$26:$D$1002,$B46,'内訳ﾘｽﾄ(4～3月)'!M$26:M$1002)</f>
        <v>0</v>
      </c>
      <c r="K46" s="158">
        <f>SUMIF('内訳ﾘｽﾄ(4～3月)'!$D$26:$D$1002,$B46,'内訳ﾘｽﾄ(4～3月)'!N$26:N$1002)</f>
        <v>0</v>
      </c>
      <c r="L46" s="158">
        <f>SUMIF('内訳ﾘｽﾄ(4～3月)'!$D$26:$D$1002,$B46,'内訳ﾘｽﾄ(4～3月)'!O$26:O$1002)</f>
        <v>0</v>
      </c>
      <c r="M46" s="158">
        <f>SUMIF('内訳ﾘｽﾄ(4～3月)'!$D$26:$D$1002,$B46,'内訳ﾘｽﾄ(4～3月)'!P$26:P$1002)</f>
        <v>0</v>
      </c>
      <c r="N46" s="158">
        <f>SUMIF('内訳ﾘｽﾄ(4～3月)'!$D$26:$D$1002,$B46,'内訳ﾘｽﾄ(4～3月)'!Q$26:Q$1002)</f>
        <v>0</v>
      </c>
      <c r="O46" s="158">
        <f>SUMIF('内訳ﾘｽﾄ(4～3月)'!$D$26:$D$801,'採算表(VND)'!$B46,'内訳ﾘｽﾄ(4～3月)'!R$26:R$801)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SUMIF('内訳ﾘｽﾄ(4～3月)'!$D$26:$D$1002,$B47,'内訳ﾘｽﾄ(4～3月)'!F$26:F$1002)</f>
        <v>0</v>
      </c>
      <c r="D47" s="158">
        <f>SUMIF('内訳ﾘｽﾄ(4～3月)'!$D$26:$D$1002,$B47,'内訳ﾘｽﾄ(4～3月)'!G$26:G$1002)</f>
        <v>0</v>
      </c>
      <c r="E47" s="158">
        <f>SUMIF('内訳ﾘｽﾄ(4～3月)'!$D$26:$D$1002,$B47,'内訳ﾘｽﾄ(4～3月)'!H$26:H$1002)</f>
        <v>0</v>
      </c>
      <c r="F47" s="158">
        <f>SUMIF('内訳ﾘｽﾄ(4～3月)'!$D$26:$D$1002,$B47,'内訳ﾘｽﾄ(4～3月)'!I$26:I$1002)</f>
        <v>0</v>
      </c>
      <c r="G47" s="158">
        <f>SUMIF('内訳ﾘｽﾄ(4～3月)'!$D$26:$D$1002,$B47,'内訳ﾘｽﾄ(4～3月)'!J$26:J$1002)</f>
        <v>0</v>
      </c>
      <c r="H47" s="158">
        <f>SUMIF('内訳ﾘｽﾄ(4～3月)'!$D$26:$D$1002,$B47,'内訳ﾘｽﾄ(4～3月)'!K$26:K$1002)</f>
        <v>0</v>
      </c>
      <c r="I47" s="158">
        <f>SUMIF('内訳ﾘｽﾄ(4～3月)'!$D$26:$D$1002,$B47,'内訳ﾘｽﾄ(4～3月)'!L$26:L$1002)</f>
        <v>0</v>
      </c>
      <c r="J47" s="158">
        <f>SUMIF('内訳ﾘｽﾄ(4～3月)'!$D$26:$D$1002,$B47,'内訳ﾘｽﾄ(4～3月)'!M$26:M$1002)</f>
        <v>0</v>
      </c>
      <c r="K47" s="158">
        <f>SUMIF('内訳ﾘｽﾄ(4～3月)'!$D$26:$D$1002,$B47,'内訳ﾘｽﾄ(4～3月)'!N$26:N$1002)</f>
        <v>0</v>
      </c>
      <c r="L47" s="158">
        <f>SUMIF('内訳ﾘｽﾄ(4～3月)'!$D$26:$D$1002,$B47,'内訳ﾘｽﾄ(4～3月)'!O$26:O$1002)</f>
        <v>0</v>
      </c>
      <c r="M47" s="158">
        <f>SUMIF('内訳ﾘｽﾄ(4～3月)'!$D$26:$D$1002,$B47,'内訳ﾘｽﾄ(4～3月)'!P$26:P$1002)</f>
        <v>0</v>
      </c>
      <c r="N47" s="158">
        <f>SUMIF('内訳ﾘｽﾄ(4～3月)'!$D$26:$D$1002,$B47,'内訳ﾘｽﾄ(4～3月)'!Q$26:Q$1002)</f>
        <v>0</v>
      </c>
      <c r="O47" s="158">
        <f>SUMIF('内訳ﾘｽﾄ(4～3月)'!$D$26:$D$801,'採算表(VND)'!$B47,'内訳ﾘｽﾄ(4～3月)'!R$26:R$801)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SUMIF('内訳ﾘｽﾄ(4～3月)'!$D$26:$D$1002,$B48,'内訳ﾘｽﾄ(4～3月)'!F$26:F$1002)</f>
        <v>0</v>
      </c>
      <c r="D48" s="158">
        <f>SUMIF('内訳ﾘｽﾄ(4～3月)'!$D$26:$D$1002,$B48,'内訳ﾘｽﾄ(4～3月)'!G$26:G$1002)</f>
        <v>0</v>
      </c>
      <c r="E48" s="158">
        <f>SUMIF('内訳ﾘｽﾄ(4～3月)'!$D$26:$D$1002,$B48,'内訳ﾘｽﾄ(4～3月)'!H$26:H$1002)</f>
        <v>0</v>
      </c>
      <c r="F48" s="158">
        <f>SUMIF('内訳ﾘｽﾄ(4～3月)'!$D$26:$D$1002,$B48,'内訳ﾘｽﾄ(4～3月)'!I$26:I$1002)</f>
        <v>0</v>
      </c>
      <c r="G48" s="158">
        <f>SUMIF('内訳ﾘｽﾄ(4～3月)'!$D$26:$D$1002,$B48,'内訳ﾘｽﾄ(4～3月)'!J$26:J$1002)</f>
        <v>0</v>
      </c>
      <c r="H48" s="158">
        <f>SUMIF('内訳ﾘｽﾄ(4～3月)'!$D$26:$D$1002,$B48,'内訳ﾘｽﾄ(4～3月)'!K$26:K$1002)</f>
        <v>0</v>
      </c>
      <c r="I48" s="158">
        <f>SUMIF('内訳ﾘｽﾄ(4～3月)'!$D$26:$D$1002,$B48,'内訳ﾘｽﾄ(4～3月)'!L$26:L$1002)</f>
        <v>0</v>
      </c>
      <c r="J48" s="158">
        <f>SUMIF('内訳ﾘｽﾄ(4～3月)'!$D$26:$D$1002,$B48,'内訳ﾘｽﾄ(4～3月)'!M$26:M$1002)</f>
        <v>0</v>
      </c>
      <c r="K48" s="158">
        <f>SUMIF('内訳ﾘｽﾄ(4～3月)'!$D$26:$D$1002,$B48,'内訳ﾘｽﾄ(4～3月)'!N$26:N$1002)</f>
        <v>0</v>
      </c>
      <c r="L48" s="158">
        <f>SUMIF('内訳ﾘｽﾄ(4～3月)'!$D$26:$D$1002,$B48,'内訳ﾘｽﾄ(4～3月)'!O$26:O$1002)</f>
        <v>0</v>
      </c>
      <c r="M48" s="158">
        <f>SUMIF('内訳ﾘｽﾄ(4～3月)'!$D$26:$D$1002,$B48,'内訳ﾘｽﾄ(4～3月)'!P$26:P$1002)</f>
        <v>0</v>
      </c>
      <c r="N48" s="158">
        <f>SUMIF('内訳ﾘｽﾄ(4～3月)'!$D$26:$D$1002,$B48,'内訳ﾘｽﾄ(4～3月)'!Q$26:Q$1002)</f>
        <v>0</v>
      </c>
      <c r="O48" s="158">
        <f>SUMIF('内訳ﾘｽﾄ(4～3月)'!$D$26:$D$801,'採算表(VND)'!$B48,'内訳ﾘｽﾄ(4～3月)'!R$26:R$801)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SUMIF('内訳ﾘｽﾄ(4～3月)'!$D$26:$D$1002,$B49,'内訳ﾘｽﾄ(4～3月)'!F$26:F$1002)</f>
        <v>0</v>
      </c>
      <c r="D49" s="158">
        <f>SUMIF('内訳ﾘｽﾄ(4～3月)'!$D$26:$D$1002,$B49,'内訳ﾘｽﾄ(4～3月)'!G$26:G$1002)</f>
        <v>0</v>
      </c>
      <c r="E49" s="158">
        <f>SUMIF('内訳ﾘｽﾄ(4～3月)'!$D$26:$D$1002,$B49,'内訳ﾘｽﾄ(4～3月)'!H$26:H$1002)</f>
        <v>0</v>
      </c>
      <c r="F49" s="158">
        <f>SUMIF('内訳ﾘｽﾄ(4～3月)'!$D$26:$D$1002,$B49,'内訳ﾘｽﾄ(4～3月)'!I$26:I$1002)</f>
        <v>0</v>
      </c>
      <c r="G49" s="158">
        <f>SUMIF('内訳ﾘｽﾄ(4～3月)'!$D$26:$D$1002,$B49,'内訳ﾘｽﾄ(4～3月)'!J$26:J$1002)</f>
        <v>0</v>
      </c>
      <c r="H49" s="158">
        <f>SUMIF('内訳ﾘｽﾄ(4～3月)'!$D$26:$D$1002,$B49,'内訳ﾘｽﾄ(4～3月)'!K$26:K$1002)</f>
        <v>0</v>
      </c>
      <c r="I49" s="158">
        <f>SUMIF('内訳ﾘｽﾄ(4～3月)'!$D$26:$D$1002,$B49,'内訳ﾘｽﾄ(4～3月)'!L$26:L$1002)</f>
        <v>0</v>
      </c>
      <c r="J49" s="158">
        <f>SUMIF('内訳ﾘｽﾄ(4～3月)'!$D$26:$D$1002,$B49,'内訳ﾘｽﾄ(4～3月)'!M$26:M$1002)</f>
        <v>0</v>
      </c>
      <c r="K49" s="158">
        <f>SUMIF('内訳ﾘｽﾄ(4～3月)'!$D$26:$D$1002,$B49,'内訳ﾘｽﾄ(4～3月)'!N$26:N$1002)</f>
        <v>0</v>
      </c>
      <c r="L49" s="158">
        <f>SUMIF('内訳ﾘｽﾄ(4～3月)'!$D$26:$D$1002,$B49,'内訳ﾘｽﾄ(4～3月)'!O$26:O$1002)</f>
        <v>0</v>
      </c>
      <c r="M49" s="158">
        <f>SUMIF('内訳ﾘｽﾄ(4～3月)'!$D$26:$D$1002,$B49,'内訳ﾘｽﾄ(4～3月)'!P$26:P$1002)</f>
        <v>0</v>
      </c>
      <c r="N49" s="158">
        <f>SUMIF('内訳ﾘｽﾄ(4～3月)'!$D$26:$D$1002,$B49,'内訳ﾘｽﾄ(4～3月)'!Q$26:Q$1002)</f>
        <v>0</v>
      </c>
      <c r="O49" s="158">
        <f>SUMIF('内訳ﾘｽﾄ(4～3月)'!$D$26:$D$801,'採算表(VND)'!$B49,'内訳ﾘｽﾄ(4～3月)'!R$26:R$801)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SUMIF('内訳ﾘｽﾄ(4～3月)'!$D$26:$D$1002,$B50,'内訳ﾘｽﾄ(4～3月)'!F$26:F$1002)</f>
        <v>0</v>
      </c>
      <c r="D50" s="158">
        <f>SUMIF('内訳ﾘｽﾄ(4～3月)'!$D$26:$D$1002,$B50,'内訳ﾘｽﾄ(4～3月)'!G$26:G$1002)</f>
        <v>0</v>
      </c>
      <c r="E50" s="158">
        <f>SUMIF('内訳ﾘｽﾄ(4～3月)'!$D$26:$D$1002,$B50,'内訳ﾘｽﾄ(4～3月)'!H$26:H$1002)</f>
        <v>0</v>
      </c>
      <c r="F50" s="158">
        <f>SUMIF('内訳ﾘｽﾄ(4～3月)'!$D$26:$D$1002,$B50,'内訳ﾘｽﾄ(4～3月)'!I$26:I$1002)</f>
        <v>0</v>
      </c>
      <c r="G50" s="158">
        <f>SUMIF('内訳ﾘｽﾄ(4～3月)'!$D$26:$D$1002,$B50,'内訳ﾘｽﾄ(4～3月)'!J$26:J$1002)</f>
        <v>0</v>
      </c>
      <c r="H50" s="158">
        <f>SUMIF('内訳ﾘｽﾄ(4～3月)'!$D$26:$D$1002,$B50,'内訳ﾘｽﾄ(4～3月)'!K$26:K$1002)</f>
        <v>0</v>
      </c>
      <c r="I50" s="158">
        <f>SUMIF('内訳ﾘｽﾄ(4～3月)'!$D$26:$D$1002,$B50,'内訳ﾘｽﾄ(4～3月)'!L$26:L$1002)</f>
        <v>0</v>
      </c>
      <c r="J50" s="158">
        <f>SUMIF('内訳ﾘｽﾄ(4～3月)'!$D$26:$D$1002,$B50,'内訳ﾘｽﾄ(4～3月)'!M$26:M$1002)</f>
        <v>0</v>
      </c>
      <c r="K50" s="158">
        <f>SUMIF('内訳ﾘｽﾄ(4～3月)'!$D$26:$D$1002,$B50,'内訳ﾘｽﾄ(4～3月)'!N$26:N$1002)</f>
        <v>0</v>
      </c>
      <c r="L50" s="158">
        <f>SUMIF('内訳ﾘｽﾄ(4～3月)'!$D$26:$D$1002,$B50,'内訳ﾘｽﾄ(4～3月)'!O$26:O$1002)</f>
        <v>0</v>
      </c>
      <c r="M50" s="158">
        <f>SUMIF('内訳ﾘｽﾄ(4～3月)'!$D$26:$D$1002,$B50,'内訳ﾘｽﾄ(4～3月)'!P$26:P$1002)</f>
        <v>0</v>
      </c>
      <c r="N50" s="158">
        <f>SUMIF('内訳ﾘｽﾄ(4～3月)'!$D$26:$D$1002,$B50,'内訳ﾘｽﾄ(4～3月)'!Q$26:Q$1002)</f>
        <v>0</v>
      </c>
      <c r="O50" s="158">
        <f>SUMIF('内訳ﾘｽﾄ(4～3月)'!$D$26:$D$801,'採算表(VND)'!$B50,'内訳ﾘｽﾄ(4～3月)'!R$26:R$801)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SUMIF('内訳ﾘｽﾄ(4～3月)'!$D$26:$D$1002,$B51,'内訳ﾘｽﾄ(4～3月)'!F$26:F$1002)</f>
        <v>0</v>
      </c>
      <c r="D51" s="159">
        <f>SUMIF('内訳ﾘｽﾄ(4～3月)'!$D$26:$D$1002,$B51,'内訳ﾘｽﾄ(4～3月)'!G$26:G$1002)</f>
        <v>0</v>
      </c>
      <c r="E51" s="159">
        <f>SUMIF('内訳ﾘｽﾄ(4～3月)'!$D$26:$D$1002,$B51,'内訳ﾘｽﾄ(4～3月)'!H$26:H$1002)</f>
        <v>0</v>
      </c>
      <c r="F51" s="159">
        <f>SUMIF('内訳ﾘｽﾄ(4～3月)'!$D$26:$D$1002,$B51,'内訳ﾘｽﾄ(4～3月)'!I$26:I$1002)</f>
        <v>0</v>
      </c>
      <c r="G51" s="159">
        <f>SUMIF('内訳ﾘｽﾄ(4～3月)'!$D$26:$D$1002,$B51,'内訳ﾘｽﾄ(4～3月)'!J$26:J$1002)</f>
        <v>0</v>
      </c>
      <c r="H51" s="159">
        <f>SUMIF('内訳ﾘｽﾄ(4～3月)'!$D$26:$D$1002,$B51,'内訳ﾘｽﾄ(4～3月)'!K$26:K$1002)</f>
        <v>0</v>
      </c>
      <c r="I51" s="159">
        <f>SUMIF('内訳ﾘｽﾄ(4～3月)'!$D$26:$D$1002,$B51,'内訳ﾘｽﾄ(4～3月)'!L$26:L$1002)</f>
        <v>0</v>
      </c>
      <c r="J51" s="159">
        <f>SUMIF('内訳ﾘｽﾄ(4～3月)'!$D$26:$D$1002,$B51,'内訳ﾘｽﾄ(4～3月)'!M$26:M$1002)</f>
        <v>0</v>
      </c>
      <c r="K51" s="159">
        <f>SUMIF('内訳ﾘｽﾄ(4～3月)'!$D$26:$D$1002,$B51,'内訳ﾘｽﾄ(4～3月)'!N$26:N$1002)</f>
        <v>0</v>
      </c>
      <c r="L51" s="159">
        <f>SUMIF('内訳ﾘｽﾄ(4～3月)'!$D$26:$D$1002,$B51,'内訳ﾘｽﾄ(4～3月)'!O$26:O$1002)</f>
        <v>0</v>
      </c>
      <c r="M51" s="159">
        <f>SUMIF('内訳ﾘｽﾄ(4～3月)'!$D$26:$D$1002,$B51,'内訳ﾘｽﾄ(4～3月)'!P$26:P$1002)</f>
        <v>0</v>
      </c>
      <c r="N51" s="159">
        <f>SUMIF('内訳ﾘｽﾄ(4～3月)'!$D$26:$D$1002,$B51,'内訳ﾘｽﾄ(4～3月)'!Q$26:Q$1002)</f>
        <v>0</v>
      </c>
      <c r="O51" s="159">
        <f>SUMIF('内訳ﾘｽﾄ(4～3月)'!$D$26:$D$801,'採算表(VND)'!$B51,'内訳ﾘｽﾄ(4～3月)'!R$26:R$801)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SUMIF('内訳ﾘｽﾄ(4～3月)'!$D$26:$D$1002,$B52,'内訳ﾘｽﾄ(4～3月)'!F$26:F$1002)</f>
        <v>0</v>
      </c>
      <c r="D52" s="160">
        <f>SUMIF('内訳ﾘｽﾄ(4～3月)'!$D$26:$D$1002,$B52,'内訳ﾘｽﾄ(4～3月)'!G$26:G$1002)</f>
        <v>0</v>
      </c>
      <c r="E52" s="160">
        <f>SUMIF('内訳ﾘｽﾄ(4～3月)'!$D$26:$D$1002,$B52,'内訳ﾘｽﾄ(4～3月)'!H$26:H$1002)</f>
        <v>0</v>
      </c>
      <c r="F52" s="160">
        <f>SUMIF('内訳ﾘｽﾄ(4～3月)'!$D$26:$D$1002,$B52,'内訳ﾘｽﾄ(4～3月)'!I$26:I$1002)</f>
        <v>0</v>
      </c>
      <c r="G52" s="160">
        <f>SUMIF('内訳ﾘｽﾄ(4～3月)'!$D$26:$D$1002,$B52,'内訳ﾘｽﾄ(4～3月)'!J$26:J$1002)</f>
        <v>0</v>
      </c>
      <c r="H52" s="160">
        <f>SUMIF('内訳ﾘｽﾄ(4～3月)'!$D$26:$D$1002,$B52,'内訳ﾘｽﾄ(4～3月)'!K$26:K$1002)</f>
        <v>0</v>
      </c>
      <c r="I52" s="160">
        <f>SUMIF('内訳ﾘｽﾄ(4～3月)'!$D$26:$D$1002,$B52,'内訳ﾘｽﾄ(4～3月)'!L$26:L$1002)</f>
        <v>0</v>
      </c>
      <c r="J52" s="160">
        <f>SUMIF('内訳ﾘｽﾄ(4～3月)'!$D$26:$D$1002,$B52,'内訳ﾘｽﾄ(4～3月)'!M$26:M$1002)</f>
        <v>0</v>
      </c>
      <c r="K52" s="160">
        <f>SUMIF('内訳ﾘｽﾄ(4～3月)'!$D$26:$D$1002,$B52,'内訳ﾘｽﾄ(4～3月)'!N$26:N$1002)</f>
        <v>0</v>
      </c>
      <c r="L52" s="160">
        <f>SUMIF('内訳ﾘｽﾄ(4～3月)'!$D$26:$D$1002,$B52,'内訳ﾘｽﾄ(4～3月)'!O$26:O$1002)</f>
        <v>0</v>
      </c>
      <c r="M52" s="160">
        <f>SUMIF('内訳ﾘｽﾄ(4～3月)'!$D$26:$D$1002,$B52,'内訳ﾘｽﾄ(4～3月)'!P$26:P$1002)</f>
        <v>0</v>
      </c>
      <c r="N52" s="160">
        <f>SUMIF('内訳ﾘｽﾄ(4～3月)'!$D$26:$D$1002,$B52,'内訳ﾘｽﾄ(4～3月)'!Q$26:Q$1002)</f>
        <v>0</v>
      </c>
      <c r="O52" s="160">
        <f>SUMIF('内訳ﾘｽﾄ(4～3月)'!$D$26:$D$801,'採算表(VND)'!$B52,'内訳ﾘｽﾄ(4～3月)'!R$26:R$801)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SUMIF('内訳ﾘｽﾄ(4～3月)'!$D$26:$D$1002,$B53,'内訳ﾘｽﾄ(4～3月)'!F$26:F$1002)</f>
        <v>0</v>
      </c>
      <c r="D53" s="160">
        <f>SUMIF('内訳ﾘｽﾄ(4～3月)'!$D$26:$D$1002,$B53,'内訳ﾘｽﾄ(4～3月)'!G$26:G$1002)</f>
        <v>0</v>
      </c>
      <c r="E53" s="160">
        <f>SUMIF('内訳ﾘｽﾄ(4～3月)'!$D$26:$D$1002,$B53,'内訳ﾘｽﾄ(4～3月)'!H$26:H$1002)</f>
        <v>0</v>
      </c>
      <c r="F53" s="160">
        <f>SUMIF('内訳ﾘｽﾄ(4～3月)'!$D$26:$D$1002,$B53,'内訳ﾘｽﾄ(4～3月)'!I$26:I$1002)</f>
        <v>0</v>
      </c>
      <c r="G53" s="160">
        <f>SUMIF('内訳ﾘｽﾄ(4～3月)'!$D$26:$D$1002,$B53,'内訳ﾘｽﾄ(4～3月)'!J$26:J$1002)</f>
        <v>0</v>
      </c>
      <c r="H53" s="160">
        <f>SUMIF('内訳ﾘｽﾄ(4～3月)'!$D$26:$D$1002,$B53,'内訳ﾘｽﾄ(4～3月)'!K$26:K$1002)</f>
        <v>0</v>
      </c>
      <c r="I53" s="160">
        <f>SUMIF('内訳ﾘｽﾄ(4～3月)'!$D$26:$D$1002,$B53,'内訳ﾘｽﾄ(4～3月)'!L$26:L$1002)</f>
        <v>0</v>
      </c>
      <c r="J53" s="160">
        <f>SUMIF('内訳ﾘｽﾄ(4～3月)'!$D$26:$D$1002,$B53,'内訳ﾘｽﾄ(4～3月)'!M$26:M$1002)</f>
        <v>0</v>
      </c>
      <c r="K53" s="160">
        <f>SUMIF('内訳ﾘｽﾄ(4～3月)'!$D$26:$D$1002,$B53,'内訳ﾘｽﾄ(4～3月)'!N$26:N$1002)</f>
        <v>0</v>
      </c>
      <c r="L53" s="160">
        <f>SUMIF('内訳ﾘｽﾄ(4～3月)'!$D$26:$D$1002,$B53,'内訳ﾘｽﾄ(4～3月)'!O$26:O$1002)</f>
        <v>0</v>
      </c>
      <c r="M53" s="160">
        <f>SUMIF('内訳ﾘｽﾄ(4～3月)'!$D$26:$D$1002,$B53,'内訳ﾘｽﾄ(4～3月)'!P$26:P$1002)</f>
        <v>0</v>
      </c>
      <c r="N53" s="160">
        <f>SUMIF('内訳ﾘｽﾄ(4～3月)'!$D$26:$D$1002,$B53,'内訳ﾘｽﾄ(4～3月)'!Q$26:Q$1002)</f>
        <v>0</v>
      </c>
      <c r="O53" s="160">
        <f>SUMIF('内訳ﾘｽﾄ(4～3月)'!$D$26:$D$801,'採算表(VND)'!$B53,'内訳ﾘｽﾄ(4～3月)'!R$26:R$801)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SUMIF('内訳ﾘｽﾄ(4～3月)'!$D$26:$D$1002,$B54,'内訳ﾘｽﾄ(4～3月)'!F$26:F$1002)</f>
        <v>0</v>
      </c>
      <c r="D54" s="160">
        <f>SUMIF('内訳ﾘｽﾄ(4～3月)'!$D$26:$D$1002,$B54,'内訳ﾘｽﾄ(4～3月)'!G$26:G$1002)</f>
        <v>0</v>
      </c>
      <c r="E54" s="160">
        <f>SUMIF('内訳ﾘｽﾄ(4～3月)'!$D$26:$D$1002,$B54,'内訳ﾘｽﾄ(4～3月)'!H$26:H$1002)</f>
        <v>0</v>
      </c>
      <c r="F54" s="160">
        <f>SUMIF('内訳ﾘｽﾄ(4～3月)'!$D$26:$D$1002,$B54,'内訳ﾘｽﾄ(4～3月)'!I$26:I$1002)</f>
        <v>0</v>
      </c>
      <c r="G54" s="160">
        <f>SUMIF('内訳ﾘｽﾄ(4～3月)'!$D$26:$D$1002,$B54,'内訳ﾘｽﾄ(4～3月)'!J$26:J$1002)</f>
        <v>0</v>
      </c>
      <c r="H54" s="160">
        <f>SUMIF('内訳ﾘｽﾄ(4～3月)'!$D$26:$D$1002,$B54,'内訳ﾘｽﾄ(4～3月)'!K$26:K$1002)</f>
        <v>0</v>
      </c>
      <c r="I54" s="160">
        <f>SUMIF('内訳ﾘｽﾄ(4～3月)'!$D$26:$D$1002,$B54,'内訳ﾘｽﾄ(4～3月)'!L$26:L$1002)</f>
        <v>0</v>
      </c>
      <c r="J54" s="160">
        <f>SUMIF('内訳ﾘｽﾄ(4～3月)'!$D$26:$D$1002,$B54,'内訳ﾘｽﾄ(4～3月)'!M$26:M$1002)</f>
        <v>0</v>
      </c>
      <c r="K54" s="160">
        <f>SUMIF('内訳ﾘｽﾄ(4～3月)'!$D$26:$D$1002,$B54,'内訳ﾘｽﾄ(4～3月)'!N$26:N$1002)</f>
        <v>0</v>
      </c>
      <c r="L54" s="160">
        <f>SUMIF('内訳ﾘｽﾄ(4～3月)'!$D$26:$D$1002,$B54,'内訳ﾘｽﾄ(4～3月)'!O$26:O$1002)</f>
        <v>0</v>
      </c>
      <c r="M54" s="160">
        <f>SUMIF('内訳ﾘｽﾄ(4～3月)'!$D$26:$D$1002,$B54,'内訳ﾘｽﾄ(4～3月)'!P$26:P$1002)</f>
        <v>0</v>
      </c>
      <c r="N54" s="160">
        <f>SUMIF('内訳ﾘｽﾄ(4～3月)'!$D$26:$D$1002,$B54,'内訳ﾘｽﾄ(4～3月)'!Q$26:Q$1002)</f>
        <v>0</v>
      </c>
      <c r="O54" s="160">
        <f>SUMIF('内訳ﾘｽﾄ(4～3月)'!$D$26:$D$801,'採算表(VND)'!$B54,'内訳ﾘｽﾄ(4～3月)'!R$26:R$801)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SUMIF('内訳ﾘｽﾄ(4～3月)'!$D$26:$D$1002,$B55,'内訳ﾘｽﾄ(4～3月)'!F$26:F$1002)</f>
        <v>0</v>
      </c>
      <c r="D55" s="160">
        <f>SUMIF('内訳ﾘｽﾄ(4～3月)'!$D$26:$D$1002,$B55,'内訳ﾘｽﾄ(4～3月)'!G$26:G$1002)</f>
        <v>0</v>
      </c>
      <c r="E55" s="160">
        <f>SUMIF('内訳ﾘｽﾄ(4～3月)'!$D$26:$D$1002,$B55,'内訳ﾘｽﾄ(4～3月)'!H$26:H$1002)</f>
        <v>0</v>
      </c>
      <c r="F55" s="160">
        <f>SUMIF('内訳ﾘｽﾄ(4～3月)'!$D$26:$D$1002,$B55,'内訳ﾘｽﾄ(4～3月)'!I$26:I$1002)</f>
        <v>0</v>
      </c>
      <c r="G55" s="160">
        <f>SUMIF('内訳ﾘｽﾄ(4～3月)'!$D$26:$D$1002,$B55,'内訳ﾘｽﾄ(4～3月)'!J$26:J$1002)</f>
        <v>0</v>
      </c>
      <c r="H55" s="160">
        <f>SUMIF('内訳ﾘｽﾄ(4～3月)'!$D$26:$D$1002,$B55,'内訳ﾘｽﾄ(4～3月)'!K$26:K$1002)</f>
        <v>0</v>
      </c>
      <c r="I55" s="160">
        <f>SUMIF('内訳ﾘｽﾄ(4～3月)'!$D$26:$D$1002,$B55,'内訳ﾘｽﾄ(4～3月)'!L$26:L$1002)</f>
        <v>0</v>
      </c>
      <c r="J55" s="160">
        <f>SUMIF('内訳ﾘｽﾄ(4～3月)'!$D$26:$D$1002,$B55,'内訳ﾘｽﾄ(4～3月)'!M$26:M$1002)</f>
        <v>0</v>
      </c>
      <c r="K55" s="160">
        <f>SUMIF('内訳ﾘｽﾄ(4～3月)'!$D$26:$D$1002,$B55,'内訳ﾘｽﾄ(4～3月)'!N$26:N$1002)</f>
        <v>0</v>
      </c>
      <c r="L55" s="160">
        <f>SUMIF('内訳ﾘｽﾄ(4～3月)'!$D$26:$D$1002,$B55,'内訳ﾘｽﾄ(4～3月)'!O$26:O$1002)</f>
        <v>0</v>
      </c>
      <c r="M55" s="160">
        <f>SUMIF('内訳ﾘｽﾄ(4～3月)'!$D$26:$D$1002,$B55,'内訳ﾘｽﾄ(4～3月)'!P$26:P$1002)</f>
        <v>0</v>
      </c>
      <c r="N55" s="160">
        <f>SUMIF('内訳ﾘｽﾄ(4～3月)'!$D$26:$D$1002,$B55,'内訳ﾘｽﾄ(4～3月)'!Q$26:Q$1002)</f>
        <v>0</v>
      </c>
      <c r="O55" s="160">
        <f>SUMIF('内訳ﾘｽﾄ(4～3月)'!$D$26:$D$801,'採算表(VND)'!$B55,'内訳ﾘｽﾄ(4～3月)'!R$26:R$801)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SUMIF('内訳ﾘｽﾄ(4～3月)'!$D$26:$D$1002,$B56,'内訳ﾘｽﾄ(4～3月)'!F$26:F$1002)</f>
        <v>0</v>
      </c>
      <c r="D56" s="160">
        <f>SUMIF('内訳ﾘｽﾄ(4～3月)'!$D$26:$D$1002,$B56,'内訳ﾘｽﾄ(4～3月)'!G$26:G$1002)</f>
        <v>0</v>
      </c>
      <c r="E56" s="160">
        <f>SUMIF('内訳ﾘｽﾄ(4～3月)'!$D$26:$D$1002,$B56,'内訳ﾘｽﾄ(4～3月)'!H$26:H$1002)</f>
        <v>0</v>
      </c>
      <c r="F56" s="160">
        <f>SUMIF('内訳ﾘｽﾄ(4～3月)'!$D$26:$D$1002,$B56,'内訳ﾘｽﾄ(4～3月)'!I$26:I$1002)</f>
        <v>0</v>
      </c>
      <c r="G56" s="160">
        <f>SUMIF('内訳ﾘｽﾄ(4～3月)'!$D$26:$D$1002,$B56,'内訳ﾘｽﾄ(4～3月)'!J$26:J$1002)</f>
        <v>0</v>
      </c>
      <c r="H56" s="160">
        <f>SUMIF('内訳ﾘｽﾄ(4～3月)'!$D$26:$D$1002,$B56,'内訳ﾘｽﾄ(4～3月)'!K$26:K$1002)</f>
        <v>0</v>
      </c>
      <c r="I56" s="160">
        <f>SUMIF('内訳ﾘｽﾄ(4～3月)'!$D$26:$D$1002,$B56,'内訳ﾘｽﾄ(4～3月)'!L$26:L$1002)</f>
        <v>0</v>
      </c>
      <c r="J56" s="160">
        <f>SUMIF('内訳ﾘｽﾄ(4～3月)'!$D$26:$D$1002,$B56,'内訳ﾘｽﾄ(4～3月)'!M$26:M$1002)</f>
        <v>0</v>
      </c>
      <c r="K56" s="160">
        <f>SUMIF('内訳ﾘｽﾄ(4～3月)'!$D$26:$D$1002,$B56,'内訳ﾘｽﾄ(4～3月)'!N$26:N$1002)</f>
        <v>0</v>
      </c>
      <c r="L56" s="160">
        <f>SUMIF('内訳ﾘｽﾄ(4～3月)'!$D$26:$D$1002,$B56,'内訳ﾘｽﾄ(4～3月)'!O$26:O$1002)</f>
        <v>0</v>
      </c>
      <c r="M56" s="160">
        <f>SUMIF('内訳ﾘｽﾄ(4～3月)'!$D$26:$D$1002,$B56,'内訳ﾘｽﾄ(4～3月)'!P$26:P$1002)</f>
        <v>0</v>
      </c>
      <c r="N56" s="160">
        <f>SUMIF('内訳ﾘｽﾄ(4～3月)'!$D$26:$D$1002,$B56,'内訳ﾘｽﾄ(4～3月)'!Q$26:Q$1002)</f>
        <v>0</v>
      </c>
      <c r="O56" s="160">
        <f>SUMIF('内訳ﾘｽﾄ(4～3月)'!$D$26:$D$801,'採算表(VND)'!$B56,'内訳ﾘｽﾄ(4～3月)'!R$26:R$801)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SUMIF('内訳ﾘｽﾄ(4～3月)'!$D$26:$D$1002,$B57,'内訳ﾘｽﾄ(4～3月)'!F$26:F$1002)</f>
        <v>123603090</v>
      </c>
      <c r="D57" s="160">
        <f>SUMIF('内訳ﾘｽﾄ(4～3月)'!$D$26:$D$1002,$B57,'内訳ﾘｽﾄ(4～3月)'!G$26:G$1002)</f>
        <v>117375177</v>
      </c>
      <c r="E57" s="160">
        <f>SUMIF('内訳ﾘｽﾄ(4～3月)'!$D$26:$D$1002,$B57,'内訳ﾘｽﾄ(4～3月)'!H$26:H$1002)</f>
        <v>117375177</v>
      </c>
      <c r="F57" s="160">
        <f>SUMIF('内訳ﾘｽﾄ(4～3月)'!$D$26:$D$1002,$B57,'内訳ﾘｽﾄ(4～3月)'!I$26:I$1002)</f>
        <v>117375177</v>
      </c>
      <c r="G57" s="160">
        <f>SUMIF('内訳ﾘｽﾄ(4～3月)'!$D$26:$D$1002,$B57,'内訳ﾘｽﾄ(4～3月)'!J$26:J$1002)</f>
        <v>117375177</v>
      </c>
      <c r="H57" s="160">
        <f>SUMIF('内訳ﾘｽﾄ(4～3月)'!$D$26:$D$1002,$B57,'内訳ﾘｽﾄ(4～3月)'!K$26:K$1002)</f>
        <v>117375177</v>
      </c>
      <c r="I57" s="160">
        <f>SUMIF('内訳ﾘｽﾄ(4～3月)'!$D$26:$D$1002,$B57,'内訳ﾘｽﾄ(4～3月)'!L$26:L$1002)</f>
        <v>117375177</v>
      </c>
      <c r="J57" s="160">
        <f>SUMIF('内訳ﾘｽﾄ(4～3月)'!$D$26:$D$1002,$B57,'内訳ﾘｽﾄ(4～3月)'!M$26:M$1002)</f>
        <v>117375177</v>
      </c>
      <c r="K57" s="160">
        <f>SUMIF('内訳ﾘｽﾄ(4～3月)'!$D$26:$D$1002,$B57,'内訳ﾘｽﾄ(4～3月)'!N$26:N$1002)</f>
        <v>117375177</v>
      </c>
      <c r="L57" s="160">
        <f>SUMIF('内訳ﾘｽﾄ(4～3月)'!$D$26:$D$1002,$B57,'内訳ﾘｽﾄ(4～3月)'!O$26:O$1002)</f>
        <v>117375177</v>
      </c>
      <c r="M57" s="160">
        <f>SUMIF('内訳ﾘｽﾄ(4～3月)'!$D$26:$D$1002,$B57,'内訳ﾘｽﾄ(4～3月)'!P$26:P$1002)</f>
        <v>117375177</v>
      </c>
      <c r="N57" s="160">
        <f>SUMIF('内訳ﾘｽﾄ(4～3月)'!$D$26:$D$1002,$B57,'内訳ﾘｽﾄ(4～3月)'!Q$26:Q$1002)</f>
        <v>117375177</v>
      </c>
      <c r="O57" s="160">
        <f>SUMIF('内訳ﾘｽﾄ(4～3月)'!$D$26:$D$801,'採算表(VND)'!$B57,'内訳ﾘｽﾄ(4～3月)'!R$26:R$801)</f>
        <v>1414730037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SUMIF('内訳ﾘｽﾄ(4～3月)'!$D$26:$D$1002,$B58,'内訳ﾘｽﾄ(4～3月)'!F$26:F$1002)</f>
        <v>168674149</v>
      </c>
      <c r="D58" s="160">
        <f>SUMIF('内訳ﾘｽﾄ(4～3月)'!$D$26:$D$1002,$B58,'内訳ﾘｽﾄ(4～3月)'!G$26:G$1002)</f>
        <v>158971868</v>
      </c>
      <c r="E58" s="160">
        <f>SUMIF('内訳ﾘｽﾄ(4～3月)'!$D$26:$D$1002,$B58,'内訳ﾘｽﾄ(4～3月)'!H$26:H$1002)</f>
        <v>168902913</v>
      </c>
      <c r="F58" s="160">
        <f>SUMIF('内訳ﾘｽﾄ(4～3月)'!$D$26:$D$1002,$B58,'内訳ﾘｽﾄ(4～3月)'!I$26:I$1002)</f>
        <v>213673862</v>
      </c>
      <c r="G58" s="160">
        <f>SUMIF('内訳ﾘｽﾄ(4～3月)'!$D$26:$D$1002,$B58,'内訳ﾘｽﾄ(4～3月)'!J$26:J$1002)</f>
        <v>195279315</v>
      </c>
      <c r="H58" s="160">
        <f>SUMIF('内訳ﾘｽﾄ(4～3月)'!$D$26:$D$1002,$B58,'内訳ﾘｽﾄ(4～3月)'!K$26:K$1002)</f>
        <v>182979129</v>
      </c>
      <c r="I58" s="160">
        <f>SUMIF('内訳ﾘｽﾄ(4～3月)'!$D$26:$D$1002,$B58,'内訳ﾘｽﾄ(4～3月)'!L$26:L$1002)</f>
        <v>221709289</v>
      </c>
      <c r="J58" s="160">
        <f>SUMIF('内訳ﾘｽﾄ(4～3月)'!$D$26:$D$1002,$B58,'内訳ﾘｽﾄ(4～3月)'!M$26:M$1002)</f>
        <v>206488492</v>
      </c>
      <c r="K58" s="160">
        <f>SUMIF('内訳ﾘｽﾄ(4～3月)'!$D$26:$D$1002,$B58,'内訳ﾘｽﾄ(4～3月)'!N$26:N$1002)</f>
        <v>223161343</v>
      </c>
      <c r="L58" s="160">
        <f>SUMIF('内訳ﾘｽﾄ(4～3月)'!$D$26:$D$1002,$B58,'内訳ﾘｽﾄ(4～3月)'!O$26:O$1002)</f>
        <v>218951427</v>
      </c>
      <c r="M58" s="160">
        <f>SUMIF('内訳ﾘｽﾄ(4～3月)'!$D$26:$D$1002,$B58,'内訳ﾘｽﾄ(4～3月)'!P$26:P$1002)</f>
        <v>180899180</v>
      </c>
      <c r="N58" s="160">
        <f>SUMIF('内訳ﾘｽﾄ(4～3月)'!$D$26:$D$1002,$B58,'内訳ﾘｽﾄ(4～3月)'!Q$26:Q$1002)</f>
        <v>208576311</v>
      </c>
      <c r="O58" s="160">
        <f>SUMIF('内訳ﾘｽﾄ(4～3月)'!$D$26:$D$801,'採算表(VND)'!$B58,'内訳ﾘｽﾄ(4～3月)'!R$26:R$801)</f>
        <v>2348267278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SUMIF('内訳ﾘｽﾄ(4～3月)'!$D$26:$D$1002,$B59,'内訳ﾘｽﾄ(4～3月)'!F$26:F$1002)</f>
        <v>0</v>
      </c>
      <c r="D59" s="160">
        <f>SUMIF('内訳ﾘｽﾄ(4～3月)'!$D$26:$D$1002,$B59,'内訳ﾘｽﾄ(4～3月)'!G$26:G$1002)</f>
        <v>0</v>
      </c>
      <c r="E59" s="160">
        <f>SUMIF('内訳ﾘｽﾄ(4～3月)'!$D$26:$D$1002,$B59,'内訳ﾘｽﾄ(4～3月)'!H$26:H$1002)</f>
        <v>0</v>
      </c>
      <c r="F59" s="160">
        <f>SUMIF('内訳ﾘｽﾄ(4～3月)'!$D$26:$D$1002,$B59,'内訳ﾘｽﾄ(4～3月)'!I$26:I$1002)</f>
        <v>0</v>
      </c>
      <c r="G59" s="160">
        <f>SUMIF('内訳ﾘｽﾄ(4～3月)'!$D$26:$D$1002,$B59,'内訳ﾘｽﾄ(4～3月)'!J$26:J$1002)</f>
        <v>0</v>
      </c>
      <c r="H59" s="160">
        <f>SUMIF('内訳ﾘｽﾄ(4～3月)'!$D$26:$D$1002,$B59,'内訳ﾘｽﾄ(4～3月)'!K$26:K$1002)</f>
        <v>0</v>
      </c>
      <c r="I59" s="160">
        <f>SUMIF('内訳ﾘｽﾄ(4～3月)'!$D$26:$D$1002,$B59,'内訳ﾘｽﾄ(4～3月)'!L$26:L$1002)</f>
        <v>0</v>
      </c>
      <c r="J59" s="160">
        <f>SUMIF('内訳ﾘｽﾄ(4～3月)'!$D$26:$D$1002,$B59,'内訳ﾘｽﾄ(4～3月)'!M$26:M$1002)</f>
        <v>0</v>
      </c>
      <c r="K59" s="160">
        <f>SUMIF('内訳ﾘｽﾄ(4～3月)'!$D$26:$D$1002,$B59,'内訳ﾘｽﾄ(4～3月)'!N$26:N$1002)</f>
        <v>0</v>
      </c>
      <c r="L59" s="160">
        <f>SUMIF('内訳ﾘｽﾄ(4～3月)'!$D$26:$D$1002,$B59,'内訳ﾘｽﾄ(4～3月)'!O$26:O$1002)</f>
        <v>0</v>
      </c>
      <c r="M59" s="160">
        <f>SUMIF('内訳ﾘｽﾄ(4～3月)'!$D$26:$D$1002,$B59,'内訳ﾘｽﾄ(4～3月)'!P$26:P$1002)</f>
        <v>0</v>
      </c>
      <c r="N59" s="160">
        <f>SUMIF('内訳ﾘｽﾄ(4～3月)'!$D$26:$D$1002,$B59,'内訳ﾘｽﾄ(4～3月)'!Q$26:Q$1002)</f>
        <v>0</v>
      </c>
      <c r="O59" s="160">
        <f>SUMIF('内訳ﾘｽﾄ(4～3月)'!$D$26:$D$801,'採算表(VND)'!$B59,'内訳ﾘｽﾄ(4～3月)'!R$26:R$801)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SUMIF('内訳ﾘｽﾄ(4～3月)'!$D$26:$D$1002,$B60,'内訳ﾘｽﾄ(4～3月)'!F$26:F$1002)</f>
        <v>0</v>
      </c>
      <c r="D60" s="160">
        <f>SUMIF('内訳ﾘｽﾄ(4～3月)'!$D$26:$D$1002,$B60,'内訳ﾘｽﾄ(4～3月)'!G$26:G$1002)</f>
        <v>0</v>
      </c>
      <c r="E60" s="160">
        <f>SUMIF('内訳ﾘｽﾄ(4～3月)'!$D$26:$D$1002,$B60,'内訳ﾘｽﾄ(4～3月)'!H$26:H$1002)</f>
        <v>0</v>
      </c>
      <c r="F60" s="160">
        <f>SUMIF('内訳ﾘｽﾄ(4～3月)'!$D$26:$D$1002,$B60,'内訳ﾘｽﾄ(4～3月)'!I$26:I$1002)</f>
        <v>0</v>
      </c>
      <c r="G60" s="160">
        <f>SUMIF('内訳ﾘｽﾄ(4～3月)'!$D$26:$D$1002,$B60,'内訳ﾘｽﾄ(4～3月)'!J$26:J$1002)</f>
        <v>0</v>
      </c>
      <c r="H60" s="160">
        <f>SUMIF('内訳ﾘｽﾄ(4～3月)'!$D$26:$D$1002,$B60,'内訳ﾘｽﾄ(4～3月)'!K$26:K$1002)</f>
        <v>0</v>
      </c>
      <c r="I60" s="160">
        <f>SUMIF('内訳ﾘｽﾄ(4～3月)'!$D$26:$D$1002,$B60,'内訳ﾘｽﾄ(4～3月)'!L$26:L$1002)</f>
        <v>0</v>
      </c>
      <c r="J60" s="160">
        <f>SUMIF('内訳ﾘｽﾄ(4～3月)'!$D$26:$D$1002,$B60,'内訳ﾘｽﾄ(4～3月)'!M$26:M$1002)</f>
        <v>0</v>
      </c>
      <c r="K60" s="160">
        <f>SUMIF('内訳ﾘｽﾄ(4～3月)'!$D$26:$D$1002,$B60,'内訳ﾘｽﾄ(4～3月)'!N$26:N$1002)</f>
        <v>0</v>
      </c>
      <c r="L60" s="160">
        <f>SUMIF('内訳ﾘｽﾄ(4～3月)'!$D$26:$D$1002,$B60,'内訳ﾘｽﾄ(4～3月)'!O$26:O$1002)</f>
        <v>0</v>
      </c>
      <c r="M60" s="160">
        <f>SUMIF('内訳ﾘｽﾄ(4～3月)'!$D$26:$D$1002,$B60,'内訳ﾘｽﾄ(4～3月)'!P$26:P$1002)</f>
        <v>0</v>
      </c>
      <c r="N60" s="160">
        <f>SUMIF('内訳ﾘｽﾄ(4～3月)'!$D$26:$D$1002,$B60,'内訳ﾘｽﾄ(4～3月)'!Q$26:Q$1002)</f>
        <v>0</v>
      </c>
      <c r="O60" s="160">
        <f>SUMIF('内訳ﾘｽﾄ(4～3月)'!$D$26:$D$801,'採算表(VND)'!$B60,'内訳ﾘｽﾄ(4～3月)'!R$26:R$801)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IF('内訳ﾘｽﾄ(4～3月)'!$D$5="製造",SUMIF('内訳ﾘｽﾄ(4～3月)'!$D$26:$D$1002,$B61,'内訳ﾘｽﾄ(4～3月)'!F$26:F$1002),IF('内訳ﾘｽﾄ(4～3月)'!$D$5="部内間接",-SUM(C$14:C$60,C$65),0))</f>
        <v>220604931</v>
      </c>
      <c r="D61" s="160">
        <f>IF('内訳ﾘｽﾄ(4～3月)'!$D$5="製造",SUMIF('内訳ﾘｽﾄ(4～3月)'!$D$26:$D$1002,$B61,'内訳ﾘｽﾄ(4～3月)'!G$26:G$1002),IF('内訳ﾘｽﾄ(4～3月)'!$D$5="部内間接",-SUM(D$14:D$60,D$65),0))</f>
        <v>234146808</v>
      </c>
      <c r="E61" s="160">
        <f>IF('内訳ﾘｽﾄ(4～3月)'!$D$5="製造",SUMIF('内訳ﾘｽﾄ(4～3月)'!$D$26:$D$1002,$B61,'内訳ﾘｽﾄ(4～3月)'!H$26:H$1002),IF('内訳ﾘｽﾄ(4～3月)'!$D$5="部内間接",-SUM(E$14:E$60,E$65),0))</f>
        <v>222429733</v>
      </c>
      <c r="F61" s="160">
        <f>IF('内訳ﾘｽﾄ(4～3月)'!$D$5="製造",SUMIF('内訳ﾘｽﾄ(4～3月)'!$D$26:$D$1002,$B61,'内訳ﾘｽﾄ(4～3月)'!I$26:I$1002),IF('内訳ﾘｽﾄ(4～3月)'!$D$5="部内間接",-SUM(F$14:F$60,F$65),0))</f>
        <v>276404039</v>
      </c>
      <c r="G61" s="160">
        <f>IF('内訳ﾘｽﾄ(4～3月)'!$D$5="製造",SUMIF('内訳ﾘｽﾄ(4～3月)'!$D$26:$D$1002,$B61,'内訳ﾘｽﾄ(4～3月)'!J$26:J$1002),IF('内訳ﾘｽﾄ(4～3月)'!$D$5="部内間接",-SUM(G$14:G$60,G$65),0))</f>
        <v>277830780</v>
      </c>
      <c r="H61" s="160">
        <f>IF('内訳ﾘｽﾄ(4～3月)'!$D$5="製造",SUMIF('内訳ﾘｽﾄ(4～3月)'!$D$26:$D$1002,$B61,'内訳ﾘｽﾄ(4～3月)'!K$26:K$1002),IF('内訳ﾘｽﾄ(4～3月)'!$D$5="部内間接",-SUM(H$14:H$60,H$65),0))</f>
        <v>276497088</v>
      </c>
      <c r="I61" s="160">
        <f>IF('内訳ﾘｽﾄ(4～3月)'!$D$5="製造",SUMIF('内訳ﾘｽﾄ(4～3月)'!$D$26:$D$1002,$B61,'内訳ﾘｽﾄ(4～3月)'!L$26:L$1002),IF('内訳ﾘｽﾄ(4～3月)'!$D$5="部内間接",-SUM(I$14:I$60,I$65),0))</f>
        <v>312463556</v>
      </c>
      <c r="J61" s="160">
        <f>IF('内訳ﾘｽﾄ(4～3月)'!$D$5="製造",SUMIF('内訳ﾘｽﾄ(4～3月)'!$D$26:$D$1002,$B61,'内訳ﾘｽﾄ(4～3月)'!M$26:M$1002),IF('内訳ﾘｽﾄ(4～3月)'!$D$5="部内間接",-SUM(J$14:J$60,J$65),0))</f>
        <v>294150946</v>
      </c>
      <c r="K61" s="160">
        <f>IF('内訳ﾘｽﾄ(4～3月)'!$D$5="製造",SUMIF('内訳ﾘｽﾄ(4～3月)'!$D$26:$D$1002,$B61,'内訳ﾘｽﾄ(4～3月)'!N$26:N$1002),IF('内訳ﾘｽﾄ(4～3月)'!$D$5="部内間接",-SUM(K$14:K$60,K$65),0))</f>
        <v>297240844</v>
      </c>
      <c r="L61" s="160">
        <f>IF('内訳ﾘｽﾄ(4～3月)'!$D$5="製造",SUMIF('内訳ﾘｽﾄ(4～3月)'!$D$26:$D$1002,$B61,'内訳ﾘｽﾄ(4～3月)'!O$26:O$1002),IF('内訳ﾘｽﾄ(4～3月)'!$D$5="部内間接",-SUM(L$14:L$60,L$65),0))</f>
        <v>238733014</v>
      </c>
      <c r="M61" s="160">
        <f>IF('内訳ﾘｽﾄ(4～3月)'!$D$5="製造",SUMIF('内訳ﾘｽﾄ(4～3月)'!$D$26:$D$1002,$B61,'内訳ﾘｽﾄ(4～3月)'!P$26:P$1002),IF('内訳ﾘｽﾄ(4～3月)'!$D$5="部内間接",-SUM(M$14:M$60,M$65),0))</f>
        <v>251529445</v>
      </c>
      <c r="N61" s="160">
        <f>IF('内訳ﾘｽﾄ(4～3月)'!$D$5="製造",SUMIF('内訳ﾘｽﾄ(4～3月)'!$D$26:$D$1002,$B61,'内訳ﾘｽﾄ(4～3月)'!Q$26:Q$1002),IF('内訳ﾘｽﾄ(4～3月)'!$D$5="部内間接",-SUM(N$14:N$60,N$65),0))</f>
        <v>244043153</v>
      </c>
      <c r="O61" s="160">
        <f>IF('内訳ﾘｽﾄ(4～3月)'!$D$5="部内間接",-SUM(O$65,O$14:O$60),IF('内訳ﾘｽﾄ(4～3月)'!$D$5="製造",SUMIF('内訳ﾘｽﾄ(4～3月)'!$D$26:$D$801,'採算表(VND)'!$B61,'内訳ﾘｽﾄ(4～3月)'!R$26:R$801),0))</f>
        <v>3146074337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678</v>
      </c>
      <c r="C62" s="160">
        <f>IF('内訳ﾘｽﾄ(4～3月)'!$D$5="製造",SUMIF('内訳ﾘｽﾄ(4～3月)'!$D$26:$D$1002,$B62,'内訳ﾘｽﾄ(4～3月)'!F$26:F$1002),IF('内訳ﾘｽﾄ(4～3月)'!$D$5="部外間接1",-SUM(C$14:C$60,C$65),0))</f>
        <v>198874</v>
      </c>
      <c r="D62" s="160">
        <f>IF('内訳ﾘｽﾄ(4～3月)'!$D$5="製造",SUMIF('内訳ﾘｽﾄ(4～3月)'!$D$26:$D$1002,$B62,'内訳ﾘｽﾄ(4～3月)'!G$26:G$1002),IF('内訳ﾘｽﾄ(4～3月)'!$D$5="部外間接1",-SUM(D$14:D$60,D$65),0))</f>
        <v>228267</v>
      </c>
      <c r="E62" s="160">
        <f>IF('内訳ﾘｽﾄ(4～3月)'!$D$5="製造",SUMIF('内訳ﾘｽﾄ(4～3月)'!$D$26:$D$1002,$B62,'内訳ﾘｽﾄ(4～3月)'!H$26:H$1002),IF('内訳ﾘｽﾄ(4～3月)'!$D$5="部外間接1",-SUM(E$14:E$60,E$65),0))</f>
        <v>190014</v>
      </c>
      <c r="F62" s="160">
        <f>IF('内訳ﾘｽﾄ(4～3月)'!$D$5="製造",SUMIF('内訳ﾘｽﾄ(4～3月)'!$D$26:$D$1002,$B62,'内訳ﾘｽﾄ(4～3月)'!I$26:I$1002),IF('内訳ﾘｽﾄ(4～3月)'!$D$5="部外間接1",-SUM(F$14:F$60,F$65),0))</f>
        <v>209340</v>
      </c>
      <c r="G62" s="160">
        <f>IF('内訳ﾘｽﾄ(4～3月)'!$D$5="製造",SUMIF('内訳ﾘｽﾄ(4～3月)'!$D$26:$D$1002,$B62,'内訳ﾘｽﾄ(4～3月)'!J$26:J$1002),IF('内訳ﾘｽﾄ(4～3月)'!$D$5="部外間接1",-SUM(G$14:G$60,G$65),0))</f>
        <v>188212</v>
      </c>
      <c r="H62" s="160">
        <f>IF('内訳ﾘｽﾄ(4～3月)'!$D$5="製造",SUMIF('内訳ﾘｽﾄ(4～3月)'!$D$26:$D$1002,$B62,'内訳ﾘｽﾄ(4～3月)'!K$26:K$1002),IF('内訳ﾘｽﾄ(4～3月)'!$D$5="部外間接1",-SUM(H$14:H$60,H$65),0))</f>
        <v>205979</v>
      </c>
      <c r="I62" s="160">
        <f>IF('内訳ﾘｽﾄ(4～3月)'!$D$5="製造",SUMIF('内訳ﾘｽﾄ(4～3月)'!$D$26:$D$1002,$B62,'内訳ﾘｽﾄ(4～3月)'!L$26:L$1002),IF('内訳ﾘｽﾄ(4～3月)'!$D$5="部外間接1",-SUM(I$14:I$60,I$65),0))</f>
        <v>185781</v>
      </c>
      <c r="J62" s="160">
        <f>IF('内訳ﾘｽﾄ(4～3月)'!$D$5="製造",SUMIF('内訳ﾘｽﾄ(4～3月)'!$D$26:$D$1002,$B62,'内訳ﾘｽﾄ(4～3月)'!M$26:M$1002),IF('内訳ﾘｽﾄ(4～3月)'!$D$5="部外間接1",-SUM(J$14:J$60,J$65),0))</f>
        <v>186990</v>
      </c>
      <c r="K62" s="160">
        <f>IF('内訳ﾘｽﾄ(4～3月)'!$D$5="製造",SUMIF('内訳ﾘｽﾄ(4～3月)'!$D$26:$D$1002,$B62,'内訳ﾘｽﾄ(4～3月)'!N$26:N$1002),IF('内訳ﾘｽﾄ(4～3月)'!$D$5="部外間接1",-SUM(K$14:K$60,K$65),0))</f>
        <v>188869</v>
      </c>
      <c r="L62" s="160">
        <f>IF('内訳ﾘｽﾄ(4～3月)'!$D$5="製造",SUMIF('内訳ﾘｽﾄ(4～3月)'!$D$26:$D$1002,$B62,'内訳ﾘｽﾄ(4～3月)'!O$26:O$1002),IF('内訳ﾘｽﾄ(4～3月)'!$D$5="部外間接1",-SUM(L$14:L$60,L$65),0))</f>
        <v>181684</v>
      </c>
      <c r="M62" s="160">
        <f>IF('内訳ﾘｽﾄ(4～3月)'!$D$5="製造",SUMIF('内訳ﾘｽﾄ(4～3月)'!$D$26:$D$1002,$B62,'内訳ﾘｽﾄ(4～3月)'!P$26:P$1002),IF('内訳ﾘｽﾄ(4～3月)'!$D$5="部外間接1",-SUM(M$14:M$60,M$65),0))</f>
        <v>192328</v>
      </c>
      <c r="N62" s="160">
        <f>IF('内訳ﾘｽﾄ(4～3月)'!$D$5="製造",SUMIF('内訳ﾘｽﾄ(4～3月)'!$D$26:$D$1002,$B62,'内訳ﾘｽﾄ(4～3月)'!Q$26:Q$1002),IF('内訳ﾘｽﾄ(4～3月)'!$D$5="部外間接1",-SUM(N$14:N$60,N$65),0))</f>
        <v>183871</v>
      </c>
      <c r="O62" s="160">
        <f>IF('内訳ﾘｽﾄ(4～3月)'!$D$5="部外間接1",-SUM(O$65,O$14:O$60),IF('内訳ﾘｽﾄ(4～3月)'!$D$5="製造",SUMIF('内訳ﾘｽﾄ(4～3月)'!$D$26:$D$801,'採算表(VND)'!$B62,'内訳ﾘｽﾄ(4～3月)'!R$26:R$801),0))</f>
        <v>2340209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679</v>
      </c>
      <c r="C63" s="160">
        <f>IF('内訳ﾘｽﾄ(4～3月)'!$D$5="製造",SUMIF('内訳ﾘｽﾄ(4～3月)'!$D$26:$D$1002,$B63,'内訳ﾘｽﾄ(4～3月)'!F$26:F$1002),IF('内訳ﾘｽﾄ(4～3月)'!$D$5="部外間接2",-SUM(C$14:C$60,C$65),0))</f>
        <v>1214154</v>
      </c>
      <c r="D63" s="160">
        <f>IF('内訳ﾘｽﾄ(4～3月)'!$D$5="製造",SUMIF('内訳ﾘｽﾄ(4～3月)'!$D$26:$D$1002,$B63,'内訳ﾘｽﾄ(4～3月)'!G$26:G$1002),IF('内訳ﾘｽﾄ(4～3月)'!$D$5="部外間接2",-SUM(D$14:D$60,D$65),0))</f>
        <v>414914</v>
      </c>
      <c r="E63" s="160">
        <f>IF('内訳ﾘｽﾄ(4～3月)'!$D$5="製造",SUMIF('内訳ﾘｽﾄ(4～3月)'!$D$26:$D$1002,$B63,'内訳ﾘｽﾄ(4～3月)'!H$26:H$1002),IF('内訳ﾘｽﾄ(4～3月)'!$D$5="部外間接2",-SUM(E$14:E$60,E$65),0))</f>
        <v>297065</v>
      </c>
      <c r="F63" s="160">
        <f>IF('内訳ﾘｽﾄ(4～3月)'!$D$5="製造",SUMIF('内訳ﾘｽﾄ(4～3月)'!$D$26:$D$1002,$B63,'内訳ﾘｽﾄ(4～3月)'!I$26:I$1002),IF('内訳ﾘｽﾄ(4～3月)'!$D$5="部外間接2",-SUM(F$14:F$60,F$65),0))</f>
        <v>320060</v>
      </c>
      <c r="G63" s="160">
        <f>IF('内訳ﾘｽﾄ(4～3月)'!$D$5="製造",SUMIF('内訳ﾘｽﾄ(4～3月)'!$D$26:$D$1002,$B63,'内訳ﾘｽﾄ(4～3月)'!J$26:J$1002),IF('内訳ﾘｽﾄ(4～3月)'!$D$5="部外間接2",-SUM(G$14:G$60,G$65),0))</f>
        <v>287343</v>
      </c>
      <c r="H63" s="160">
        <f>IF('内訳ﾘｽﾄ(4～3月)'!$D$5="製造",SUMIF('内訳ﾘｽﾄ(4～3月)'!$D$26:$D$1002,$B63,'内訳ﾘｽﾄ(4～3月)'!K$26:K$1002),IF('内訳ﾘｽﾄ(4～3月)'!$D$5="部外間接2",-SUM(H$14:H$60,H$65),0))</f>
        <v>258389</v>
      </c>
      <c r="I63" s="160">
        <f>IF('内訳ﾘｽﾄ(4～3月)'!$D$5="製造",SUMIF('内訳ﾘｽﾄ(4～3月)'!$D$26:$D$1002,$B63,'内訳ﾘｽﾄ(4～3月)'!L$26:L$1002),IF('内訳ﾘｽﾄ(4～3月)'!$D$5="部外間接2",-SUM(I$14:I$60,I$65),0))</f>
        <v>323179</v>
      </c>
      <c r="J63" s="160">
        <f>IF('内訳ﾘｽﾄ(4～3月)'!$D$5="製造",SUMIF('内訳ﾘｽﾄ(4～3月)'!$D$26:$D$1002,$B63,'内訳ﾘｽﾄ(4～3月)'!M$26:M$1002),IF('内訳ﾘｽﾄ(4～3月)'!$D$5="部外間接2",-SUM(J$14:J$60,J$65),0))</f>
        <v>332392</v>
      </c>
      <c r="K63" s="160">
        <f>IF('内訳ﾘｽﾄ(4～3月)'!$D$5="製造",SUMIF('内訳ﾘｽﾄ(4～3月)'!$D$26:$D$1002,$B63,'内訳ﾘｽﾄ(4～3月)'!N$26:N$1002),IF('内訳ﾘｽﾄ(4～3月)'!$D$5="部外間接2",-SUM(K$14:K$60,K$65),0))</f>
        <v>321031</v>
      </c>
      <c r="L63" s="160">
        <f>IF('内訳ﾘｽﾄ(4～3月)'!$D$5="製造",SUMIF('内訳ﾘｽﾄ(4～3月)'!$D$26:$D$1002,$B63,'内訳ﾘｽﾄ(4～3月)'!O$26:O$1002),IF('内訳ﾘｽﾄ(4～3月)'!$D$5="部外間接2",-SUM(L$14:L$60,L$65),0))</f>
        <v>251033</v>
      </c>
      <c r="M63" s="160">
        <f>IF('内訳ﾘｽﾄ(4～3月)'!$D$5="製造",SUMIF('内訳ﾘｽﾄ(4～3月)'!$D$26:$D$1002,$B63,'内訳ﾘｽﾄ(4～3月)'!P$26:P$1002),IF('内訳ﾘｽﾄ(4～3月)'!$D$5="部外間接2",-SUM(M$14:M$60,M$65),0))</f>
        <v>262703</v>
      </c>
      <c r="N63" s="160">
        <f>IF('内訳ﾘｽﾄ(4～3月)'!$D$5="製造",SUMIF('内訳ﾘｽﾄ(4～3月)'!$D$26:$D$1002,$B63,'内訳ﾘｽﾄ(4～3月)'!Q$26:Q$1002),IF('内訳ﾘｽﾄ(4～3月)'!$D$5="部外間接2",-SUM(N$14:N$60,N$65),0))</f>
        <v>258196</v>
      </c>
      <c r="O63" s="160">
        <f>IF('内訳ﾘｽﾄ(4～3月)'!$D$5="部外間接2",-SUM(O$65,O$14:O$60),IF('内訳ﾘｽﾄ(4～3月)'!$D$5="製造",SUMIF('内訳ﾘｽﾄ(4～3月)'!$D$26:$D$801,'採算表(VND)'!$B63,'内訳ﾘｽﾄ(4～3月)'!R$26:R$801),0))</f>
        <v>4540459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IF('内訳ﾘｽﾄ(4～3月)'!$D$5="製造",SUMIF('内訳ﾘｽﾄ(4～3月)'!$D$26:$D$1002,$B64,'内訳ﾘｽﾄ(4～3月)'!F$26:F$1002),IF('内訳ﾘｽﾄ(4～3月)'!$D$5="工場間接",-SUM(C$14:C$60,C$65),0))</f>
        <v>14434652</v>
      </c>
      <c r="D64" s="160">
        <f>IF('内訳ﾘｽﾄ(4～3月)'!$D$5="製造",SUMIF('内訳ﾘｽﾄ(4～3月)'!$D$26:$D$1002,$B64,'内訳ﾘｽﾄ(4～3月)'!G$26:G$1002),IF('内訳ﾘｽﾄ(4～3月)'!$D$5="工場間接",-SUM(D$14:D$60,D$65),0))</f>
        <v>18441680</v>
      </c>
      <c r="E64" s="160">
        <f>IF('内訳ﾘｽﾄ(4～3月)'!$D$5="製造",SUMIF('内訳ﾘｽﾄ(4～3月)'!$D$26:$D$1002,$B64,'内訳ﾘｽﾄ(4～3月)'!H$26:H$1002),IF('内訳ﾘｽﾄ(4～3月)'!$D$5="工場間接",-SUM(E$14:E$60,E$65),0))</f>
        <v>13653362</v>
      </c>
      <c r="F64" s="160">
        <f>IF('内訳ﾘｽﾄ(4～3月)'!$D$5="製造",SUMIF('内訳ﾘｽﾄ(4～3月)'!$D$26:$D$1002,$B64,'内訳ﾘｽﾄ(4～3月)'!I$26:I$1002),IF('内訳ﾘｽﾄ(4～3月)'!$D$5="工場間接",-SUM(F$14:F$60,F$65),0))</f>
        <v>19667911</v>
      </c>
      <c r="G64" s="160">
        <f>IF('内訳ﾘｽﾄ(4～3月)'!$D$5="製造",SUMIF('内訳ﾘｽﾄ(4～3月)'!$D$26:$D$1002,$B64,'内訳ﾘｽﾄ(4～3月)'!J$26:J$1002),IF('内訳ﾘｽﾄ(4～3月)'!$D$5="工場間接",-SUM(G$14:G$60,G$65),0))</f>
        <v>10958406</v>
      </c>
      <c r="H64" s="160">
        <f>IF('内訳ﾘｽﾄ(4～3月)'!$D$5="製造",SUMIF('内訳ﾘｽﾄ(4～3月)'!$D$26:$D$1002,$B64,'内訳ﾘｽﾄ(4～3月)'!K$26:K$1002),IF('内訳ﾘｽﾄ(4～3月)'!$D$5="工場間接",-SUM(H$14:H$60,H$65),0))</f>
        <v>10711167</v>
      </c>
      <c r="I64" s="160">
        <f>IF('内訳ﾘｽﾄ(4～3月)'!$D$5="製造",SUMIF('内訳ﾘｽﾄ(4～3月)'!$D$26:$D$1002,$B64,'内訳ﾘｽﾄ(4～3月)'!L$26:L$1002),IF('内訳ﾘｽﾄ(4～3月)'!$D$5="工場間接",-SUM(I$14:I$60,I$65),0))</f>
        <v>13604101</v>
      </c>
      <c r="J64" s="160">
        <f>IF('内訳ﾘｽﾄ(4～3月)'!$D$5="製造",SUMIF('内訳ﾘｽﾄ(4～3月)'!$D$26:$D$1002,$B64,'内訳ﾘｽﾄ(4～3月)'!M$26:M$1002),IF('内訳ﾘｽﾄ(4～3月)'!$D$5="工場間接",-SUM(J$14:J$60,J$65),0))</f>
        <v>11461087</v>
      </c>
      <c r="K64" s="160">
        <f>IF('内訳ﾘｽﾄ(4～3月)'!$D$5="製造",SUMIF('内訳ﾘｽﾄ(4～3月)'!$D$26:$D$1002,$B64,'内訳ﾘｽﾄ(4～3月)'!N$26:N$1002),IF('内訳ﾘｽﾄ(4～3月)'!$D$5="工場間接",-SUM(K$14:K$60,K$65),0))</f>
        <v>11335215</v>
      </c>
      <c r="L64" s="160">
        <f>IF('内訳ﾘｽﾄ(4～3月)'!$D$5="製造",SUMIF('内訳ﾘｽﾄ(4～3月)'!$D$26:$D$1002,$B64,'内訳ﾘｽﾄ(4～3月)'!O$26:O$1002),IF('内訳ﾘｽﾄ(4～3月)'!$D$5="工場間接",-SUM(L$14:L$60,L$65),0))</f>
        <v>12618506</v>
      </c>
      <c r="M64" s="160">
        <f>IF('内訳ﾘｽﾄ(4～3月)'!$D$5="製造",SUMIF('内訳ﾘｽﾄ(4～3月)'!$D$26:$D$1002,$B64,'内訳ﾘｽﾄ(4～3月)'!P$26:P$1002),IF('内訳ﾘｽﾄ(4～3月)'!$D$5="工場間接",-SUM(M$14:M$60,M$65),0))</f>
        <v>8713747</v>
      </c>
      <c r="N64" s="160">
        <f>IF('内訳ﾘｽﾄ(4～3月)'!$D$5="製造",SUMIF('内訳ﾘｽﾄ(4～3月)'!$D$26:$D$1002,$B64,'内訳ﾘｽﾄ(4～3月)'!Q$26:Q$1002),IF('内訳ﾘｽﾄ(4～3月)'!$D$5="工場間接",-SUM(N$14:N$60,N$65),0))</f>
        <v>8992519</v>
      </c>
      <c r="O64" s="160">
        <f>IF('内訳ﾘｽﾄ(4～3月)'!$D$5="工場間接",-SUM(O$65,O$14:O$60),IF('内訳ﾘｽﾄ(4～3月)'!$D$5="製造",SUMIF('内訳ﾘｽﾄ(4～3月)'!$D$26:$D$801,'採算表(VND)'!$B64,'内訳ﾘｽﾄ(4～3月)'!R$26:R$801),0))</f>
        <v>154592353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SUMIF('内訳ﾘｽﾄ(4～3月)'!$D$26:$D$1002,$B65,'内訳ﾘｽﾄ(4～3月)'!F$26:F$1002)</f>
        <v>0</v>
      </c>
      <c r="D65" s="158">
        <f>SUMIF('内訳ﾘｽﾄ(4～3月)'!$D$26:$D$1002,$B65,'内訳ﾘｽﾄ(4～3月)'!G$26:G$1002)</f>
        <v>0</v>
      </c>
      <c r="E65" s="158">
        <f>SUMIF('内訳ﾘｽﾄ(4～3月)'!$D$26:$D$1002,$B65,'内訳ﾘｽﾄ(4～3月)'!H$26:H$1002)</f>
        <v>0</v>
      </c>
      <c r="F65" s="158">
        <f>SUMIF('内訳ﾘｽﾄ(4～3月)'!$D$26:$D$1002,$B65,'内訳ﾘｽﾄ(4～3月)'!I$26:I$1002)</f>
        <v>0</v>
      </c>
      <c r="G65" s="158">
        <f>SUMIF('内訳ﾘｽﾄ(4～3月)'!$D$26:$D$1002,$B65,'内訳ﾘｽﾄ(4～3月)'!J$26:J$1002)</f>
        <v>0</v>
      </c>
      <c r="H65" s="158">
        <f>SUMIF('内訳ﾘｽﾄ(4～3月)'!$D$26:$D$1002,$B65,'内訳ﾘｽﾄ(4～3月)'!K$26:K$1002)</f>
        <v>0</v>
      </c>
      <c r="I65" s="158">
        <f>SUMIF('内訳ﾘｽﾄ(4～3月)'!$D$26:$D$1002,$B65,'内訳ﾘｽﾄ(4～3月)'!L$26:L$1002)</f>
        <v>0</v>
      </c>
      <c r="J65" s="158">
        <f>SUMIF('内訳ﾘｽﾄ(4～3月)'!$D$26:$D$1002,$B65,'内訳ﾘｽﾄ(4～3月)'!M$26:M$1002)</f>
        <v>0</v>
      </c>
      <c r="K65" s="158">
        <f>SUMIF('内訳ﾘｽﾄ(4～3月)'!$D$26:$D$1002,$B65,'内訳ﾘｽﾄ(4～3月)'!N$26:N$1002)</f>
        <v>0</v>
      </c>
      <c r="L65" s="158">
        <f>SUMIF('内訳ﾘｽﾄ(4～3月)'!$D$26:$D$1002,$B65,'内訳ﾘｽﾄ(4～3月)'!O$26:O$1002)</f>
        <v>0</v>
      </c>
      <c r="M65" s="158">
        <f>SUMIF('内訳ﾘｽﾄ(4～3月)'!$D$26:$D$1002,$B65,'内訳ﾘｽﾄ(4～3月)'!P$26:P$1002)</f>
        <v>0</v>
      </c>
      <c r="N65" s="158">
        <f>SUMIF('内訳ﾘｽﾄ(4～3月)'!$D$26:$D$1002,$B65,'内訳ﾘｽﾄ(4～3月)'!Q$26:Q$1002)</f>
        <v>0</v>
      </c>
      <c r="O65" s="158">
        <f>SUMIF('内訳ﾘｽﾄ(4～3月)'!$D$26:$D$801,'採算表(VND)'!$B65,'内訳ﾘｽﾄ(4～3月)'!R$26:R$801)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-125920182</v>
      </c>
      <c r="D66" s="156">
        <f t="shared" ref="D66:N66" si="4">D12-D13</f>
        <v>523566333</v>
      </c>
      <c r="E66" s="156">
        <f t="shared" si="4"/>
        <v>358429974</v>
      </c>
      <c r="F66" s="156">
        <f t="shared" si="4"/>
        <v>367284973</v>
      </c>
      <c r="G66" s="156">
        <f t="shared" si="4"/>
        <v>539273297</v>
      </c>
      <c r="H66" s="156">
        <f t="shared" si="4"/>
        <v>617553167</v>
      </c>
      <c r="I66" s="156">
        <f t="shared" si="4"/>
        <v>25299724</v>
      </c>
      <c r="J66" s="156">
        <f t="shared" si="4"/>
        <v>325633407</v>
      </c>
      <c r="K66" s="156">
        <f t="shared" si="4"/>
        <v>271876657</v>
      </c>
      <c r="L66" s="156">
        <f t="shared" si="4"/>
        <v>261429025</v>
      </c>
      <c r="M66" s="156">
        <f t="shared" si="4"/>
        <v>268093771</v>
      </c>
      <c r="N66" s="156">
        <f t="shared" si="4"/>
        <v>232776625</v>
      </c>
      <c r="O66" s="156">
        <f>IF(ISBLANK(O4),"",O12-O13)</f>
        <v>3665296771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 ca="1">C73+C79</f>
        <v>2421.75</v>
      </c>
      <c r="D67" s="161">
        <f t="shared" ref="D67:N67" ca="1" si="5">D73+D79</f>
        <v>2289.5</v>
      </c>
      <c r="E67" s="161">
        <f t="shared" ca="1" si="5"/>
        <v>2517.5</v>
      </c>
      <c r="F67" s="161">
        <f t="shared" ca="1" si="5"/>
        <v>3049.5</v>
      </c>
      <c r="G67" s="161">
        <f t="shared" ca="1" si="5"/>
        <v>2684.25</v>
      </c>
      <c r="H67" s="161">
        <f t="shared" ca="1" si="5"/>
        <v>2625.75</v>
      </c>
      <c r="I67" s="161">
        <f t="shared" ca="1" si="5"/>
        <v>3312.75</v>
      </c>
      <c r="J67" s="161">
        <f t="shared" ca="1" si="5"/>
        <v>2822.75</v>
      </c>
      <c r="K67" s="161">
        <f t="shared" ca="1" si="5"/>
        <v>3136</v>
      </c>
      <c r="L67" s="161">
        <f t="shared" ca="1" si="5"/>
        <v>2556.25</v>
      </c>
      <c r="M67" s="161">
        <f t="shared" ca="1" si="5"/>
        <v>2051.25</v>
      </c>
      <c r="N67" s="161">
        <f t="shared" ca="1" si="5"/>
        <v>2639.5</v>
      </c>
      <c r="O67" s="161">
        <f ca="1">IF(ISBLANK(O4),"",O73+O79)</f>
        <v>32106.75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 ca="1">SUMIF('内訳ﾘｽﾄ(4～3月)'!$D$8:$D$15,'採算表(VND)'!$B68,'内訳ﾘｽﾄ(4～3月)'!F$8:F$15)</f>
        <v>930</v>
      </c>
      <c r="D68" s="162">
        <f ca="1">SUMIF('内訳ﾘｽﾄ(4～3月)'!$D$8:$D$15,'採算表(VND)'!$B68,'内訳ﾘｽﾄ(4～3月)'!G$8:G$15)</f>
        <v>883.5</v>
      </c>
      <c r="E68" s="162">
        <f ca="1">SUMIF('内訳ﾘｽﾄ(4～3月)'!$D$8:$D$15,'採算表(VND)'!$B68,'内訳ﾘｽﾄ(4～3月)'!H$8:H$15)</f>
        <v>976.5</v>
      </c>
      <c r="F68" s="162">
        <f ca="1">SUMIF('内訳ﾘｽﾄ(4～3月)'!$D$8:$D$15,'採算表(VND)'!$B68,'内訳ﾘｽﾄ(4～3月)'!I$8:I$15)</f>
        <v>1069.5</v>
      </c>
      <c r="G68" s="162">
        <f ca="1">SUMIF('内訳ﾘｽﾄ(4～3月)'!$D$8:$D$15,'採算表(VND)'!$B68,'内訳ﾘｽﾄ(4～3月)'!J$8:J$15)</f>
        <v>930</v>
      </c>
      <c r="H68" s="162">
        <f ca="1">SUMIF('内訳ﾘｽﾄ(4～3月)'!$D$8:$D$15,'採算表(VND)'!$B68,'内訳ﾘｽﾄ(4～3月)'!K$8:K$15)</f>
        <v>883.5</v>
      </c>
      <c r="I68" s="162">
        <f ca="1">SUMIF('内訳ﾘｽﾄ(4～3月)'!$D$8:$D$15,'採算表(VND)'!$B68,'内訳ﾘｽﾄ(4～3月)'!L$8:L$15)</f>
        <v>1069.5</v>
      </c>
      <c r="J68" s="162">
        <f ca="1">SUMIF('内訳ﾘｽﾄ(4～3月)'!$D$8:$D$15,'採算表(VND)'!$B68,'内訳ﾘｽﾄ(4～3月)'!M$8:M$15)</f>
        <v>930</v>
      </c>
      <c r="K68" s="162">
        <f ca="1">SUMIF('内訳ﾘｽﾄ(4～3月)'!$D$8:$D$15,'採算表(VND)'!$B68,'内訳ﾘｽﾄ(4～3月)'!N$8:N$15)</f>
        <v>1023</v>
      </c>
      <c r="L68" s="162">
        <f ca="1">SUMIF('内訳ﾘｽﾄ(4～3月)'!$D$8:$D$15,'採算表(VND)'!$B68,'内訳ﾘｽﾄ(4～3月)'!O$8:O$15)</f>
        <v>930</v>
      </c>
      <c r="M68" s="162">
        <f ca="1">SUMIF('内訳ﾘｽﾄ(4～3月)'!$D$8:$D$15,'採算表(VND)'!$B68,'内訳ﾘｽﾄ(4～3月)'!P$8:P$15)</f>
        <v>697.5</v>
      </c>
      <c r="N68" s="162">
        <f ca="1">SUMIF('内訳ﾘｽﾄ(4～3月)'!$D$8:$D$15,'採算表(VND)'!$B68,'内訳ﾘｽﾄ(4～3月)'!Q$8:Q$15)</f>
        <v>930</v>
      </c>
      <c r="O68" s="162">
        <f ca="1">SUMIF('内訳ﾘｽﾄ(4～3月)'!$D$8:$D$15,'採算表(VND)'!$B68,'内訳ﾘｽﾄ(4～3月)'!$R$8:$R$15)</f>
        <v>11253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1443.25</v>
      </c>
      <c r="D69" s="163">
        <f>IF('内訳ﾘｽﾄ(4～3月)'!$D$5="製造",SUMIF('内訳ﾘｽﾄ(4～3月)'!$D$8:$D$15,$B69,'内訳ﾘｽﾄ(4～3月)'!G$8:G$15),IF('内訳ﾘｽﾄ(4～3月)'!$D$5="部内間接",-D$68,0))</f>
        <v>1358</v>
      </c>
      <c r="E69" s="163">
        <f>IF('内訳ﾘｽﾄ(4～3月)'!$D$5="製造",SUMIF('内訳ﾘｽﾄ(4～3月)'!$D$8:$D$15,$B69,'内訳ﾘｽﾄ(4～3月)'!H$8:H$15),IF('内訳ﾘｽﾄ(4～3月)'!$D$5="部内間接",-E$68,0))</f>
        <v>1490.25</v>
      </c>
      <c r="F69" s="163">
        <f>IF('内訳ﾘｽﾄ(4～3月)'!$D$5="製造",SUMIF('内訳ﾘｽﾄ(4～3月)'!$D$8:$D$15,$B69,'内訳ﾘｽﾄ(4～3月)'!I$8:I$15),IF('内訳ﾘｽﾄ(4～3月)'!$D$5="部内間接",-F$68,0))</f>
        <v>1923</v>
      </c>
      <c r="G69" s="163">
        <f>IF('内訳ﾘｽﾄ(4～3月)'!$D$5="製造",SUMIF('内訳ﾘｽﾄ(4～3月)'!$D$8:$D$15,$B69,'内訳ﾘｽﾄ(4～3月)'!J$8:J$15),IF('内訳ﾘｽﾄ(4～3月)'!$D$5="部内間接",-G$68,0))</f>
        <v>1647.75</v>
      </c>
      <c r="H69" s="163">
        <f>IF('内訳ﾘｽﾄ(4～3月)'!$D$5="製造",SUMIF('内訳ﾘｽﾄ(4～3月)'!$D$8:$D$15,$B69,'内訳ﾘｽﾄ(4～3月)'!K$8:K$15),IF('内訳ﾘｽﾄ(4～3月)'!$D$5="部内間接",-H$68,0))</f>
        <v>1627.5</v>
      </c>
      <c r="I69" s="163">
        <f>IF('内訳ﾘｽﾄ(4～3月)'!$D$5="製造",SUMIF('内訳ﾘｽﾄ(4～3月)'!$D$8:$D$15,$B69,'内訳ﾘｽﾄ(4～3月)'!L$8:L$15),IF('内訳ﾘｽﾄ(4～3月)'!$D$5="部内間接",-I$68,0))</f>
        <v>2112.75</v>
      </c>
      <c r="J69" s="163">
        <f>IF('内訳ﾘｽﾄ(4～3月)'!$D$5="製造",SUMIF('内訳ﾘｽﾄ(4～3月)'!$D$8:$D$15,$B69,'内訳ﾘｽﾄ(4～3月)'!M$8:M$15),IF('内訳ﾘｽﾄ(4～3月)'!$D$5="部内間接",-J$68,0))</f>
        <v>1804.5</v>
      </c>
      <c r="K69" s="163">
        <f>IF('内訳ﾘｽﾄ(4～3月)'!$D$5="製造",SUMIF('内訳ﾘｽﾄ(4～3月)'!$D$8:$D$15,$B69,'内訳ﾘｽﾄ(4～3月)'!N$8:N$15),IF('内訳ﾘｽﾄ(4～3月)'!$D$5="部内間接",-K$68,0))</f>
        <v>1970.25</v>
      </c>
      <c r="L69" s="163">
        <f>IF('内訳ﾘｽﾄ(4～3月)'!$D$5="製造",SUMIF('内訳ﾘｽﾄ(4～3月)'!$D$8:$D$15,$B69,'内訳ﾘｽﾄ(4～3月)'!O$8:O$15),IF('内訳ﾘｽﾄ(4～3月)'!$D$5="部内間接",-L$68,0))</f>
        <v>1486</v>
      </c>
      <c r="M69" s="163">
        <f>IF('内訳ﾘｽﾄ(4～3月)'!$D$5="製造",SUMIF('内訳ﾘｽﾄ(4～3月)'!$D$8:$D$15,$B69,'内訳ﾘｽﾄ(4～3月)'!P$8:P$15),IF('内訳ﾘｽﾄ(4～3月)'!$D$5="部内間接",-M$68,0))</f>
        <v>1219.5</v>
      </c>
      <c r="N69" s="163">
        <f>IF('内訳ﾘｽﾄ(4～3月)'!$D$5="製造",SUMIF('内訳ﾘｽﾄ(4～3月)'!$D$8:$D$15,$B69,'内訳ﾘｽﾄ(4～3月)'!Q$8:Q$15),IF('内訳ﾘｽﾄ(4～3月)'!$D$5="部内間接",-N$68,0))</f>
        <v>1563.75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19646.5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3.5</v>
      </c>
      <c r="D70" s="164">
        <f>IF('内訳ﾘｽﾄ(4～3月)'!$D$5="製造",SUMIF('内訳ﾘｽﾄ(4～3月)'!$D$8:$D$15,$B70,'内訳ﾘｽﾄ(4～3月)'!G$8:G$15),IF('内訳ﾘｽﾄ(4～3月)'!$D$5="部外間接1",-D$68,0))</f>
        <v>3.5</v>
      </c>
      <c r="E70" s="164">
        <f>IF('内訳ﾘｽﾄ(4～3月)'!$D$5="製造",SUMIF('内訳ﾘｽﾄ(4～3月)'!$D$8:$D$15,$B70,'内訳ﾘｽﾄ(4～3月)'!H$8:H$15),IF('内訳ﾘｽﾄ(4～3月)'!$D$5="部外間接1",-E$68,0))</f>
        <v>3.75</v>
      </c>
      <c r="F70" s="164">
        <f>IF('内訳ﾘｽﾄ(4～3月)'!$D$5="製造",SUMIF('内訳ﾘｽﾄ(4～3月)'!$D$8:$D$15,$B70,'内訳ﾘｽﾄ(4～3月)'!I$8:I$15),IF('内訳ﾘｽﾄ(4～3月)'!$D$5="部外間接1",-F$68,0))</f>
        <v>4</v>
      </c>
      <c r="G70" s="164">
        <f>IF('内訳ﾘｽﾄ(4～3月)'!$D$5="製造",SUMIF('内訳ﾘｽﾄ(4～3月)'!$D$8:$D$15,$B70,'内訳ﾘｽﾄ(4～3月)'!J$8:J$15),IF('内訳ﾘｽﾄ(4～3月)'!$D$5="部外間接1",-G$68,0))</f>
        <v>3.5</v>
      </c>
      <c r="H70" s="164">
        <f>IF('内訳ﾘｽﾄ(4～3月)'!$D$5="製造",SUMIF('内訳ﾘｽﾄ(4～3月)'!$D$8:$D$15,$B70,'内訳ﾘｽﾄ(4～3月)'!K$8:K$15),IF('内訳ﾘｽﾄ(4～3月)'!$D$5="部外間接1",-H$68,0))</f>
        <v>3.5</v>
      </c>
      <c r="I70" s="164">
        <f>IF('内訳ﾘｽﾄ(4～3月)'!$D$5="製造",SUMIF('内訳ﾘｽﾄ(4～3月)'!$D$8:$D$15,$B70,'内訳ﾘｽﾄ(4～3月)'!L$8:L$15),IF('内訳ﾘｽﾄ(4～3月)'!$D$5="部外間接1",-I$68,0))</f>
        <v>4</v>
      </c>
      <c r="J70" s="164">
        <f>IF('内訳ﾘｽﾄ(4～3月)'!$D$5="製造",SUMIF('内訳ﾘｽﾄ(4～3月)'!$D$8:$D$15,$B70,'内訳ﾘｽﾄ(4～3月)'!M$8:M$15),IF('内訳ﾘｽﾄ(4～3月)'!$D$5="部外間接1",-J$68,0))</f>
        <v>3.5</v>
      </c>
      <c r="K70" s="164">
        <f>IF('内訳ﾘｽﾄ(4～3月)'!$D$5="製造",SUMIF('内訳ﾘｽﾄ(4～3月)'!$D$8:$D$15,$B70,'内訳ﾘｽﾄ(4～3月)'!N$8:N$15),IF('内訳ﾘｽﾄ(4～3月)'!$D$5="部外間接1",-K$68,0))</f>
        <v>3.75</v>
      </c>
      <c r="L70" s="164">
        <f>IF('内訳ﾘｽﾄ(4～3月)'!$D$5="製造",SUMIF('内訳ﾘｽﾄ(4～3月)'!$D$8:$D$15,$B70,'内訳ﾘｽﾄ(4～3月)'!O$8:O$15),IF('内訳ﾘｽﾄ(4～3月)'!$D$5="部外間接1",-L$68,0))</f>
        <v>3.75</v>
      </c>
      <c r="M70" s="164">
        <f>IF('内訳ﾘｽﾄ(4～3月)'!$D$5="製造",SUMIF('内訳ﾘｽﾄ(4～3月)'!$D$8:$D$15,$B70,'内訳ﾘｽﾄ(4～3月)'!P$8:P$15),IF('内訳ﾘｽﾄ(4～3月)'!$D$5="部外間接1",-M$68,0))</f>
        <v>2.75</v>
      </c>
      <c r="N70" s="164">
        <f>IF('内訳ﾘｽﾄ(4～3月)'!$D$5="製造",SUMIF('内訳ﾘｽﾄ(4～3月)'!$D$8:$D$15,$B70,'内訳ﾘｽﾄ(4～3月)'!Q$8:Q$15),IF('内訳ﾘｽﾄ(4～3月)'!$D$5="部外間接1",-N$68,0))</f>
        <v>3.75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43.25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6.5</v>
      </c>
      <c r="D71" s="164">
        <f>IF('内訳ﾘｽﾄ(4～3月)'!$D$5="製造",SUMIF('内訳ﾘｽﾄ(4～3月)'!$D$8:$D$15,$B71,'内訳ﾘｽﾄ(4～3月)'!G$8:G$15),IF('内訳ﾘｽﾄ(4～3月)'!$D$5="部外間接2",-D$68,0))</f>
        <v>6.25</v>
      </c>
      <c r="E71" s="164">
        <f>IF('内訳ﾘｽﾄ(4～3月)'!$D$5="製造",SUMIF('内訳ﾘｽﾄ(4～3月)'!$D$8:$D$15,$B71,'内訳ﾘｽﾄ(4～3月)'!H$8:H$15),IF('内訳ﾘｽﾄ(4～3月)'!$D$5="部外間接2",-E$68,0))</f>
        <v>6.75</v>
      </c>
      <c r="F71" s="164">
        <f>IF('内訳ﾘｽﾄ(4～3月)'!$D$5="製造",SUMIF('内訳ﾘｽﾄ(4～3月)'!$D$8:$D$15,$B71,'内訳ﾘｽﾄ(4～3月)'!I$8:I$15),IF('内訳ﾘｽﾄ(4～3月)'!$D$5="部外間接2",-F$68,0))</f>
        <v>7.75</v>
      </c>
      <c r="G71" s="164">
        <f>IF('内訳ﾘｽﾄ(4～3月)'!$D$5="製造",SUMIF('内訳ﾘｽﾄ(4～3月)'!$D$8:$D$15,$B71,'内訳ﾘｽﾄ(4～3月)'!J$8:J$15),IF('内訳ﾘｽﾄ(4～3月)'!$D$5="部外間接2",-G$68,0))</f>
        <v>6.75</v>
      </c>
      <c r="H71" s="164">
        <f>IF('内訳ﾘｽﾄ(4～3月)'!$D$5="製造",SUMIF('内訳ﾘｽﾄ(4～3月)'!$D$8:$D$15,$B71,'内訳ﾘｽﾄ(4～3月)'!K$8:K$15),IF('内訳ﾘｽﾄ(4～3月)'!$D$5="部外間接2",-H$68,0))</f>
        <v>6.5</v>
      </c>
      <c r="I71" s="164">
        <f>IF('内訳ﾘｽﾄ(4～3月)'!$D$5="製造",SUMIF('内訳ﾘｽﾄ(4～3月)'!$D$8:$D$15,$B71,'内訳ﾘｽﾄ(4～3月)'!L$8:L$15),IF('内訳ﾘｽﾄ(4～3月)'!$D$5="部外間接2",-I$68,0))</f>
        <v>8</v>
      </c>
      <c r="J71" s="164">
        <f>IF('内訳ﾘｽﾄ(4～3月)'!$D$5="製造",SUMIF('内訳ﾘｽﾄ(4～3月)'!$D$8:$D$15,$B71,'内訳ﾘｽﾄ(4～3月)'!M$8:M$15),IF('内訳ﾘｽﾄ(4～3月)'!$D$5="部外間接2",-J$68,0))</f>
        <v>7</v>
      </c>
      <c r="K71" s="164">
        <f>IF('内訳ﾘｽﾄ(4～3月)'!$D$5="製造",SUMIF('内訳ﾘｽﾄ(4～3月)'!$D$8:$D$15,$B71,'内訳ﾘｽﾄ(4～3月)'!N$8:N$15),IF('内訳ﾘｽﾄ(4～3月)'!$D$5="部外間接2",-K$68,0))</f>
        <v>8</v>
      </c>
      <c r="L71" s="164">
        <f>IF('内訳ﾘｽﾄ(4～3月)'!$D$5="製造",SUMIF('内訳ﾘｽﾄ(4～3月)'!$D$8:$D$15,$B71,'内訳ﾘｽﾄ(4～3月)'!O$8:O$15),IF('内訳ﾘｽﾄ(4～3月)'!$D$5="部外間接2",-L$68,0))</f>
        <v>7</v>
      </c>
      <c r="M71" s="164">
        <f>IF('内訳ﾘｽﾄ(4～3月)'!$D$5="製造",SUMIF('内訳ﾘｽﾄ(4～3月)'!$D$8:$D$15,$B71,'内訳ﾘｽﾄ(4～3月)'!P$8:P$15),IF('内訳ﾘｽﾄ(4～3月)'!$D$5="部外間接2",-M$68,0))</f>
        <v>5.25</v>
      </c>
      <c r="N71" s="164">
        <f>IF('内訳ﾘｽﾄ(4～3月)'!$D$5="製造",SUMIF('内訳ﾘｽﾄ(4～3月)'!$D$8:$D$15,$B71,'内訳ﾘｽﾄ(4～3月)'!Q$8:Q$15),IF('内訳ﾘｽﾄ(4～3月)'!$D$5="部外間接2",-N$68,0))</f>
        <v>7.25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83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28.5</v>
      </c>
      <c r="D72" s="165">
        <f>IF('内訳ﾘｽﾄ(4～3月)'!$D$5="製造",SUMIF('内訳ﾘｽﾄ(4～3月)'!$D$8:$D$15,$B72,'内訳ﾘｽﾄ(4～3月)'!G$8:G$15),IF('内訳ﾘｽﾄ(4～3月)'!$D$5="工場間接",-D$68,0))</f>
        <v>28.5</v>
      </c>
      <c r="E72" s="165">
        <f>IF('内訳ﾘｽﾄ(4～3月)'!$D$5="製造",SUMIF('内訳ﾘｽﾄ(4～3月)'!$D$8:$D$15,$B72,'内訳ﾘｽﾄ(4～3月)'!H$8:H$15),IF('内訳ﾘｽﾄ(4～3月)'!$D$5="工場間接",-E$68,0))</f>
        <v>30</v>
      </c>
      <c r="F72" s="165">
        <f>IF('内訳ﾘｽﾄ(4～3月)'!$D$5="製造",SUMIF('内訳ﾘｽﾄ(4～3月)'!$D$8:$D$15,$B72,'内訳ﾘｽﾄ(4～3月)'!I$8:I$15),IF('内訳ﾘｽﾄ(4～3月)'!$D$5="工場間接",-F$68,0))</f>
        <v>32.25</v>
      </c>
      <c r="G72" s="165">
        <f>IF('内訳ﾘｽﾄ(4～3月)'!$D$5="製造",SUMIF('内訳ﾘｽﾄ(4～3月)'!$D$8:$D$15,$B72,'内訳ﾘｽﾄ(4～3月)'!J$8:J$15),IF('内訳ﾘｽﾄ(4～3月)'!$D$5="工場間接",-G$68,0))</f>
        <v>29.25</v>
      </c>
      <c r="H72" s="165">
        <f>IF('内訳ﾘｽﾄ(4～3月)'!$D$5="製造",SUMIF('内訳ﾘｽﾄ(4～3月)'!$D$8:$D$15,$B72,'内訳ﾘｽﾄ(4～3月)'!K$8:K$15),IF('内訳ﾘｽﾄ(4～3月)'!$D$5="工場間接",-H$68,0))</f>
        <v>27.75</v>
      </c>
      <c r="I72" s="165">
        <f>IF('内訳ﾘｽﾄ(4～3月)'!$D$5="製造",SUMIF('内訳ﾘｽﾄ(4～3月)'!$D$8:$D$15,$B72,'内訳ﾘｽﾄ(4～3月)'!L$8:L$15),IF('内訳ﾘｽﾄ(4～3月)'!$D$5="工場間接",-I$68,0))</f>
        <v>32.75</v>
      </c>
      <c r="J72" s="165">
        <f>IF('内訳ﾘｽﾄ(4～3月)'!$D$5="製造",SUMIF('内訳ﾘｽﾄ(4～3月)'!$D$8:$D$15,$B72,'内訳ﾘｽﾄ(4～3月)'!M$8:M$15),IF('内訳ﾘｽﾄ(4～3月)'!$D$5="工場間接",-J$68,0))</f>
        <v>29.75</v>
      </c>
      <c r="K72" s="165">
        <f>IF('内訳ﾘｽﾄ(4～3月)'!$D$5="製造",SUMIF('内訳ﾘｽﾄ(4～3月)'!$D$8:$D$15,$B72,'内訳ﾘｽﾄ(4～3月)'!N$8:N$15),IF('内訳ﾘｽﾄ(4～3月)'!$D$5="工場間接",-K$68,0))</f>
        <v>32</v>
      </c>
      <c r="L72" s="165">
        <f>IF('内訳ﾘｽﾄ(4～3月)'!$D$5="製造",SUMIF('内訳ﾘｽﾄ(4～3月)'!$D$8:$D$15,$B72,'内訳ﾘｽﾄ(4～3月)'!O$8:O$15),IF('内訳ﾘｽﾄ(4～3月)'!$D$5="工場間接",-L$68,0))</f>
        <v>30.5</v>
      </c>
      <c r="M72" s="165">
        <f>IF('内訳ﾘｽﾄ(4～3月)'!$D$5="製造",SUMIF('内訳ﾘｽﾄ(4～3月)'!$D$8:$D$15,$B72,'内訳ﾘｽﾄ(4～3月)'!P$8:P$15),IF('内訳ﾘｽﾄ(4～3月)'!$D$5="工場間接",-M$68,0))</f>
        <v>23</v>
      </c>
      <c r="N72" s="165">
        <f>IF('内訳ﾘｽﾄ(4～3月)'!$D$5="製造",SUMIF('内訳ﾘｽﾄ(4～3月)'!$D$8:$D$15,$B72,'内訳ﾘｽﾄ(4～3月)'!Q$8:Q$15),IF('内訳ﾘｽﾄ(4～3月)'!$D$5="工場間接",-N$68,0))</f>
        <v>30.5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354.75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 ca="1">SUM(C68:C72)</f>
        <v>2411.75</v>
      </c>
      <c r="D73" s="166">
        <f t="shared" ref="D73:N73" ca="1" si="6">SUM(D68:D72)</f>
        <v>2279.75</v>
      </c>
      <c r="E73" s="166">
        <f t="shared" ca="1" si="6"/>
        <v>2507.25</v>
      </c>
      <c r="F73" s="166">
        <f t="shared" ca="1" si="6"/>
        <v>3036.5</v>
      </c>
      <c r="G73" s="166">
        <f t="shared" ca="1" si="6"/>
        <v>2617.25</v>
      </c>
      <c r="H73" s="166">
        <f t="shared" ca="1" si="6"/>
        <v>2548.75</v>
      </c>
      <c r="I73" s="166">
        <f t="shared" ca="1" si="6"/>
        <v>3227</v>
      </c>
      <c r="J73" s="166">
        <f t="shared" ca="1" si="6"/>
        <v>2774.75</v>
      </c>
      <c r="K73" s="166">
        <f t="shared" ca="1" si="6"/>
        <v>3037</v>
      </c>
      <c r="L73" s="166">
        <f t="shared" ca="1" si="6"/>
        <v>2457.25</v>
      </c>
      <c r="M73" s="166">
        <f t="shared" ca="1" si="6"/>
        <v>1948</v>
      </c>
      <c r="N73" s="166">
        <f t="shared" ca="1" si="6"/>
        <v>2535.25</v>
      </c>
      <c r="O73" s="166">
        <f ca="1">IF(ISBLANK(O4),"",SUM(O68:O72))</f>
        <v>31380.5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0</v>
      </c>
      <c r="D74" s="162">
        <f>SUMIF('内訳ﾘｽﾄ(4～3月)'!$D$16:$D$23,'採算表(VND)'!$B74,'内訳ﾘｽﾄ(4～3月)'!G$16:G$23)</f>
        <v>0</v>
      </c>
      <c r="E74" s="162">
        <f>SUMIF('内訳ﾘｽﾄ(4～3月)'!$D$16:$D$23,'採算表(VND)'!$B74,'内訳ﾘｽﾄ(4～3月)'!H$16:H$23)</f>
        <v>0</v>
      </c>
      <c r="F74" s="162">
        <f>SUMIF('内訳ﾘｽﾄ(4～3月)'!$D$16:$D$23,'採算表(VND)'!$B74,'内訳ﾘｽﾄ(4～3月)'!I$16:I$23)</f>
        <v>0</v>
      </c>
      <c r="G74" s="162">
        <f>SUMIF('内訳ﾘｽﾄ(4～3月)'!$D$16:$D$23,'採算表(VND)'!$B74,'内訳ﾘｽﾄ(4～3月)'!J$16:J$23)</f>
        <v>0</v>
      </c>
      <c r="H74" s="162">
        <f>SUMIF('内訳ﾘｽﾄ(4～3月)'!$D$16:$D$23,'採算表(VND)'!$B74,'内訳ﾘｽﾄ(4～3月)'!K$16:K$23)</f>
        <v>0</v>
      </c>
      <c r="I74" s="162">
        <f>SUMIF('内訳ﾘｽﾄ(4～3月)'!$D$16:$D$23,'採算表(VND)'!$B74,'内訳ﾘｽﾄ(4～3月)'!L$16:L$23)</f>
        <v>0</v>
      </c>
      <c r="J74" s="162">
        <f>SUMIF('内訳ﾘｽﾄ(4～3月)'!$D$16:$D$23,'採算表(VND)'!$B74,'内訳ﾘｽﾄ(4～3月)'!M$16:M$23)</f>
        <v>0</v>
      </c>
      <c r="K74" s="162">
        <f>SUMIF('内訳ﾘｽﾄ(4～3月)'!$D$16:$D$23,'採算表(VND)'!$B74,'内訳ﾘｽﾄ(4～3月)'!N$16:N$23)</f>
        <v>0</v>
      </c>
      <c r="L74" s="162">
        <f>SUMIF('内訳ﾘｽﾄ(4～3月)'!$D$16:$D$23,'採算表(VND)'!$B74,'内訳ﾘｽﾄ(4～3月)'!O$16:O$23)</f>
        <v>0</v>
      </c>
      <c r="M74" s="162">
        <f>SUMIF('内訳ﾘｽﾄ(4～3月)'!$D$16:$D$23,'採算表(VND)'!$B74,'内訳ﾘｽﾄ(4～3月)'!P$16:P$23)</f>
        <v>0</v>
      </c>
      <c r="N74" s="162">
        <f>SUMIF('内訳ﾘｽﾄ(4～3月)'!$D$16:$D$23,'採算表(VND)'!$B74,'内訳ﾘｽﾄ(4～3月)'!Q$16:Q$23)</f>
        <v>0</v>
      </c>
      <c r="O74" s="162">
        <f>SUMIF('内訳ﾘｽﾄ(4～3月)'!$D$16:$D$23,'採算表(VND)'!$B74,'内訳ﾘｽﾄ(4～3月)'!$R$16:$R$23)</f>
        <v>0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8.5</v>
      </c>
      <c r="D75" s="163">
        <f>IF('内訳ﾘｽﾄ(4～3月)'!$D$5="製造",SUMIF('内訳ﾘｽﾄ(4～3月)'!$D$16:$D$23,$B75,'内訳ﾘｽﾄ(4～3月)'!G$16:G$23),IF('内訳ﾘｽﾄ(4～3月)'!$D$5="部内間接",-D$74,0))</f>
        <v>8.25</v>
      </c>
      <c r="E75" s="163">
        <f>IF('内訳ﾘｽﾄ(4～3月)'!$D$5="製造",SUMIF('内訳ﾘｽﾄ(4～3月)'!$D$16:$D$23,$B75,'内訳ﾘｽﾄ(4～3月)'!H$16:H$23),IF('内訳ﾘｽﾄ(4～3月)'!$D$5="部内間接",-E$74,0))</f>
        <v>8.5</v>
      </c>
      <c r="F75" s="163">
        <f>IF('内訳ﾘｽﾄ(4～3月)'!$D$5="製造",SUMIF('内訳ﾘｽﾄ(4～3月)'!$D$16:$D$23,$B75,'内訳ﾘｽﾄ(4～3月)'!I$16:I$23),IF('内訳ﾘｽﾄ(4～3月)'!$D$5="部内間接",-F$74,0))</f>
        <v>10.75</v>
      </c>
      <c r="G75" s="163">
        <f>IF('内訳ﾘｽﾄ(4～3月)'!$D$5="製造",SUMIF('内訳ﾘｽﾄ(4～3月)'!$D$16:$D$23,$B75,'内訳ﾘｽﾄ(4～3月)'!J$16:J$23),IF('内訳ﾘｽﾄ(4～3月)'!$D$5="部内間接",-G$74,0))</f>
        <v>65.75</v>
      </c>
      <c r="H75" s="163">
        <f>IF('内訳ﾘｽﾄ(4～3月)'!$D$5="製造",SUMIF('内訳ﾘｽﾄ(4～3月)'!$D$16:$D$23,$B75,'内訳ﾘｽﾄ(4～3月)'!K$16:K$23),IF('内訳ﾘｽﾄ(4～3月)'!$D$5="部内間接",-H$74,0))</f>
        <v>75.25</v>
      </c>
      <c r="I75" s="163">
        <f>IF('内訳ﾘｽﾄ(4～3月)'!$D$5="製造",SUMIF('内訳ﾘｽﾄ(4～3月)'!$D$16:$D$23,$B75,'内訳ﾘｽﾄ(4～3月)'!L$16:L$23),IF('内訳ﾘｽﾄ(4～3月)'!$D$5="部内間接",-I$74,0))</f>
        <v>83.5</v>
      </c>
      <c r="J75" s="163">
        <f>IF('内訳ﾘｽﾄ(4～3月)'!$D$5="製造",SUMIF('内訳ﾘｽﾄ(4～3月)'!$D$16:$D$23,$B75,'内訳ﾘｽﾄ(4～3月)'!M$16:M$23),IF('内訳ﾘｽﾄ(4～3月)'!$D$5="部内間接",-J$74,0))</f>
        <v>46.75</v>
      </c>
      <c r="K75" s="163">
        <f>IF('内訳ﾘｽﾄ(4～3月)'!$D$5="製造",SUMIF('内訳ﾘｽﾄ(4～3月)'!$D$16:$D$23,$B75,'内訳ﾘｽﾄ(4～3月)'!N$16:N$23),IF('内訳ﾘｽﾄ(4～3月)'!$D$5="部内間接",-K$74,0))</f>
        <v>96.75</v>
      </c>
      <c r="L75" s="163">
        <f>IF('内訳ﾘｽﾄ(4～3月)'!$D$5="製造",SUMIF('内訳ﾘｽﾄ(4～3月)'!$D$16:$D$23,$B75,'内訳ﾘｽﾄ(4～3月)'!O$16:O$23),IF('内訳ﾘｽﾄ(4～3月)'!$D$5="部内間接",-L$74,0))</f>
        <v>97.75</v>
      </c>
      <c r="M75" s="163">
        <f>IF('内訳ﾘｽﾄ(4～3月)'!$D$5="製造",SUMIF('内訳ﾘｽﾄ(4～3月)'!$D$16:$D$23,$B75,'内訳ﾘｽﾄ(4～3月)'!P$16:P$23),IF('内訳ﾘｽﾄ(4～3月)'!$D$5="部内間接",-M$74,0))</f>
        <v>101</v>
      </c>
      <c r="N75" s="163">
        <f>IF('内訳ﾘｽﾄ(4～3月)'!$D$5="製造",SUMIF('内訳ﾘｽﾄ(4～3月)'!$D$16:$D$23,$B75,'内訳ﾘｽﾄ(4～3月)'!Q$16:Q$23),IF('内訳ﾘｽﾄ(4～3月)'!$D$5="部内間接",-N$74,0))</f>
        <v>103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705.75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0.25</v>
      </c>
      <c r="D76" s="164">
        <f>IF('内訳ﾘｽﾄ(4～3月)'!$D$5="製造",SUMIF('内訳ﾘｽﾄ(4～3月)'!$D$16:$D$23,$B76,'内訳ﾘｽﾄ(4～3月)'!G$16:G$23),IF('内訳ﾘｽﾄ(4～3月)'!$D$5="部外間接1",-D$74,0))</f>
        <v>0.25</v>
      </c>
      <c r="E76" s="164">
        <f>IF('内訳ﾘｽﾄ(4～3月)'!$D$5="製造",SUMIF('内訳ﾘｽﾄ(4～3月)'!$D$16:$D$23,$B76,'内訳ﾘｽﾄ(4～3月)'!H$16:H$23),IF('内訳ﾘｽﾄ(4～3月)'!$D$5="部外間接1",-E$74,0))</f>
        <v>0.25</v>
      </c>
      <c r="F76" s="164">
        <f>IF('内訳ﾘｽﾄ(4～3月)'!$D$5="製造",SUMIF('内訳ﾘｽﾄ(4～3月)'!$D$16:$D$23,$B76,'内訳ﾘｽﾄ(4～3月)'!I$16:I$23),IF('内訳ﾘｽﾄ(4～3月)'!$D$5="部外間接1",-F$74,0))</f>
        <v>0.25</v>
      </c>
      <c r="G76" s="164">
        <f>IF('内訳ﾘｽﾄ(4～3月)'!$D$5="製造",SUMIF('内訳ﾘｽﾄ(4～3月)'!$D$16:$D$23,$B76,'内訳ﾘｽﾄ(4～3月)'!J$16:J$23),IF('内訳ﾘｽﾄ(4～3月)'!$D$5="部外間接1",-G$74,0))</f>
        <v>0.25</v>
      </c>
      <c r="H76" s="164">
        <f>IF('内訳ﾘｽﾄ(4～3月)'!$D$5="製造",SUMIF('内訳ﾘｽﾄ(4～3月)'!$D$16:$D$23,$B76,'内訳ﾘｽﾄ(4～3月)'!K$16:K$23),IF('内訳ﾘｽﾄ(4～3月)'!$D$5="部外間接1",-H$74,0))</f>
        <v>0.25</v>
      </c>
      <c r="I76" s="164">
        <f>IF('内訳ﾘｽﾄ(4～3月)'!$D$5="製造",SUMIF('内訳ﾘｽﾄ(4～3月)'!$D$16:$D$23,$B76,'内訳ﾘｽﾄ(4～3月)'!L$16:L$23),IF('内訳ﾘｽﾄ(4～3月)'!$D$5="部外間接1",-I$74,0))</f>
        <v>0.25</v>
      </c>
      <c r="J76" s="164">
        <f>IF('内訳ﾘｽﾄ(4～3月)'!$D$5="製造",SUMIF('内訳ﾘｽﾄ(4～3月)'!$D$16:$D$23,$B76,'内訳ﾘｽﾄ(4～3月)'!M$16:M$23),IF('内訳ﾘｽﾄ(4～3月)'!$D$5="部外間接1",-J$74,0))</f>
        <v>0.25</v>
      </c>
      <c r="K76" s="164">
        <f>IF('内訳ﾘｽﾄ(4～3月)'!$D$5="製造",SUMIF('内訳ﾘｽﾄ(4～3月)'!$D$16:$D$23,$B76,'内訳ﾘｽﾄ(4～3月)'!N$16:N$23),IF('内訳ﾘｽﾄ(4～3月)'!$D$5="部外間接1",-K$74,0))</f>
        <v>0.25</v>
      </c>
      <c r="L76" s="164">
        <f>IF('内訳ﾘｽﾄ(4～3月)'!$D$5="製造",SUMIF('内訳ﾘｽﾄ(4～3月)'!$D$16:$D$23,$B76,'内訳ﾘｽﾄ(4～3月)'!O$16:O$23),IF('内訳ﾘｽﾄ(4～3月)'!$D$5="部外間接1",-L$74,0))</f>
        <v>0.25</v>
      </c>
      <c r="M76" s="164">
        <f>IF('内訳ﾘｽﾄ(4～3月)'!$D$5="製造",SUMIF('内訳ﾘｽﾄ(4～3月)'!$D$16:$D$23,$B76,'内訳ﾘｽﾄ(4～3月)'!P$16:P$23),IF('内訳ﾘｽﾄ(4～3月)'!$D$5="部外間接1",-M$74,0))</f>
        <v>0.25</v>
      </c>
      <c r="N76" s="164">
        <f>IF('内訳ﾘｽﾄ(4～3月)'!$D$5="製造",SUMIF('内訳ﾘｽﾄ(4～3月)'!$D$16:$D$23,$B76,'内訳ﾘｽﾄ(4～3月)'!Q$16:Q$23),IF('内訳ﾘｽﾄ(4～3月)'!$D$5="部外間接1",-N$74,0))</f>
        <v>0.25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3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0.25</v>
      </c>
      <c r="D77" s="164">
        <f>IF('内訳ﾘｽﾄ(4～3月)'!$D$5="製造",SUMIF('内訳ﾘｽﾄ(4～3月)'!$D$16:$D$23,$B77,'内訳ﾘｽﾄ(4～3月)'!G$16:G$23),IF('内訳ﾘｽﾄ(4～3月)'!$D$5="部外間接2",-D$74,0))</f>
        <v>0.25</v>
      </c>
      <c r="E77" s="164">
        <f>IF('内訳ﾘｽﾄ(4～3月)'!$D$5="製造",SUMIF('内訳ﾘｽﾄ(4～3月)'!$D$16:$D$23,$B77,'内訳ﾘｽﾄ(4～3月)'!H$16:H$23),IF('内訳ﾘｽﾄ(4～3月)'!$D$5="部外間接2",-E$74,0))</f>
        <v>0.25</v>
      </c>
      <c r="F77" s="164">
        <f>IF('内訳ﾘｽﾄ(4～3月)'!$D$5="製造",SUMIF('内訳ﾘｽﾄ(4～3月)'!$D$16:$D$23,$B77,'内訳ﾘｽﾄ(4～3月)'!I$16:I$23),IF('内訳ﾘｽﾄ(4～3月)'!$D$5="部外間接2",-F$74,0))</f>
        <v>0.5</v>
      </c>
      <c r="G77" s="164">
        <f>IF('内訳ﾘｽﾄ(4～3月)'!$D$5="製造",SUMIF('内訳ﾘｽﾄ(4～3月)'!$D$16:$D$23,$B77,'内訳ﾘｽﾄ(4～3月)'!J$16:J$23),IF('内訳ﾘｽﾄ(4～3月)'!$D$5="部外間接2",-G$74,0))</f>
        <v>0.25</v>
      </c>
      <c r="H77" s="164">
        <f>IF('内訳ﾘｽﾄ(4～3月)'!$D$5="製造",SUMIF('内訳ﾘｽﾄ(4～3月)'!$D$16:$D$23,$B77,'内訳ﾘｽﾄ(4～3月)'!K$16:K$23),IF('内訳ﾘｽﾄ(4～3月)'!$D$5="部外間接2",-H$74,0))</f>
        <v>0.25</v>
      </c>
      <c r="I77" s="164">
        <f>IF('内訳ﾘｽﾄ(4～3月)'!$D$5="製造",SUMIF('内訳ﾘｽﾄ(4～3月)'!$D$16:$D$23,$B77,'内訳ﾘｽﾄ(4～3月)'!L$16:L$23),IF('内訳ﾘｽﾄ(4～3月)'!$D$5="部外間接2",-I$74,0))</f>
        <v>0.5</v>
      </c>
      <c r="J77" s="164">
        <f>IF('内訳ﾘｽﾄ(4～3月)'!$D$5="製造",SUMIF('内訳ﾘｽﾄ(4～3月)'!$D$16:$D$23,$B77,'内訳ﾘｽﾄ(4～3月)'!M$16:M$23),IF('内訳ﾘｽﾄ(4～3月)'!$D$5="部外間接2",-J$74,0))</f>
        <v>0.25</v>
      </c>
      <c r="K77" s="164">
        <f>IF('内訳ﾘｽﾄ(4～3月)'!$D$5="製造",SUMIF('内訳ﾘｽﾄ(4～3月)'!$D$16:$D$23,$B77,'内訳ﾘｽﾄ(4～3月)'!N$16:N$23),IF('内訳ﾘｽﾄ(4～3月)'!$D$5="部外間接2",-K$74,0))</f>
        <v>0.5</v>
      </c>
      <c r="L77" s="164">
        <f>IF('内訳ﾘｽﾄ(4～3月)'!$D$5="製造",SUMIF('内訳ﾘｽﾄ(4～3月)'!$D$16:$D$23,$B77,'内訳ﾘｽﾄ(4～3月)'!O$16:O$23),IF('内訳ﾘｽﾄ(4～3月)'!$D$5="部外間接2",-L$74,0))</f>
        <v>0.25</v>
      </c>
      <c r="M77" s="164">
        <f>IF('内訳ﾘｽﾄ(4～3月)'!$D$5="製造",SUMIF('内訳ﾘｽﾄ(4～3月)'!$D$16:$D$23,$B77,'内訳ﾘｽﾄ(4～3月)'!P$16:P$23),IF('内訳ﾘｽﾄ(4～3月)'!$D$5="部外間接2",-M$74,0))</f>
        <v>0.25</v>
      </c>
      <c r="N77" s="164">
        <f>IF('内訳ﾘｽﾄ(4～3月)'!$D$5="製造",SUMIF('内訳ﾘｽﾄ(4～3月)'!$D$16:$D$23,$B77,'内訳ﾘｽﾄ(4～3月)'!Q$16:Q$23),IF('内訳ﾘｽﾄ(4～3月)'!$D$5="部外間接2",-N$74,0))</f>
        <v>0.25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3.75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1</v>
      </c>
      <c r="D78" s="165">
        <f>IF('内訳ﾘｽﾄ(4～3月)'!$D$5="製造",SUMIF('内訳ﾘｽﾄ(4～3月)'!$D$16:$D$23,$B78,'内訳ﾘｽﾄ(4～3月)'!G$16:G$23),IF('内訳ﾘｽﾄ(4～3月)'!$D$5="工場間接",-D$74,0))</f>
        <v>1</v>
      </c>
      <c r="E78" s="165">
        <f>IF('内訳ﾘｽﾄ(4～3月)'!$D$5="製造",SUMIF('内訳ﾘｽﾄ(4～3月)'!$D$16:$D$23,$B78,'内訳ﾘｽﾄ(4～3月)'!H$16:H$23),IF('内訳ﾘｽﾄ(4～3月)'!$D$5="工場間接",-E$74,0))</f>
        <v>1.25</v>
      </c>
      <c r="F78" s="165">
        <f>IF('内訳ﾘｽﾄ(4～3月)'!$D$5="製造",SUMIF('内訳ﾘｽﾄ(4～3月)'!$D$16:$D$23,$B78,'内訳ﾘｽﾄ(4～3月)'!I$16:I$23),IF('内訳ﾘｽﾄ(4～3月)'!$D$5="工場間接",-F$74,0))</f>
        <v>1.5</v>
      </c>
      <c r="G78" s="165">
        <f>IF('内訳ﾘｽﾄ(4～3月)'!$D$5="製造",SUMIF('内訳ﾘｽﾄ(4～3月)'!$D$16:$D$23,$B78,'内訳ﾘｽﾄ(4～3月)'!J$16:J$23),IF('内訳ﾘｽﾄ(4～3月)'!$D$5="工場間接",-G$74,0))</f>
        <v>0.75</v>
      </c>
      <c r="H78" s="165">
        <f>IF('内訳ﾘｽﾄ(4～3月)'!$D$5="製造",SUMIF('内訳ﾘｽﾄ(4～3月)'!$D$16:$D$23,$B78,'内訳ﾘｽﾄ(4～3月)'!K$16:K$23),IF('内訳ﾘｽﾄ(4～3月)'!$D$5="工場間接",-H$74,0))</f>
        <v>1.25</v>
      </c>
      <c r="I78" s="165">
        <f>IF('内訳ﾘｽﾄ(4～3月)'!$D$5="製造",SUMIF('内訳ﾘｽﾄ(4～3月)'!$D$16:$D$23,$B78,'内訳ﾘｽﾄ(4～3月)'!L$16:L$23),IF('内訳ﾘｽﾄ(4～3月)'!$D$5="工場間接",-I$74,0))</f>
        <v>1.5</v>
      </c>
      <c r="J78" s="165">
        <f>IF('内訳ﾘｽﾄ(4～3月)'!$D$5="製造",SUMIF('内訳ﾘｽﾄ(4～3月)'!$D$16:$D$23,$B78,'内訳ﾘｽﾄ(4～3月)'!M$16:M$23),IF('内訳ﾘｽﾄ(4～3月)'!$D$5="工場間接",-J$74,0))</f>
        <v>0.75</v>
      </c>
      <c r="K78" s="165">
        <f>IF('内訳ﾘｽﾄ(4～3月)'!$D$5="製造",SUMIF('内訳ﾘｽﾄ(4～3月)'!$D$16:$D$23,$B78,'内訳ﾘｽﾄ(4～3月)'!N$16:N$23),IF('内訳ﾘｽﾄ(4～3月)'!$D$5="工場間接",-K$74,0))</f>
        <v>1.5</v>
      </c>
      <c r="L78" s="165">
        <f>IF('内訳ﾘｽﾄ(4～3月)'!$D$5="製造",SUMIF('内訳ﾘｽﾄ(4～3月)'!$D$16:$D$23,$B78,'内訳ﾘｽﾄ(4～3月)'!O$16:O$23),IF('内訳ﾘｽﾄ(4～3月)'!$D$5="工場間接",-L$74,0))</f>
        <v>0.75</v>
      </c>
      <c r="M78" s="165">
        <f>IF('内訳ﾘｽﾄ(4～3月)'!$D$5="製造",SUMIF('内訳ﾘｽﾄ(4～3月)'!$D$16:$D$23,$B78,'内訳ﾘｽﾄ(4～3月)'!P$16:P$23),IF('内訳ﾘｽﾄ(4～3月)'!$D$5="工場間接",-M$74,0))</f>
        <v>1.75</v>
      </c>
      <c r="N78" s="165">
        <f>IF('内訳ﾘｽﾄ(4～3月)'!$D$5="製造",SUMIF('内訳ﾘｽﾄ(4～3月)'!$D$16:$D$23,$B78,'内訳ﾘｽﾄ(4～3月)'!Q$16:Q$23),IF('内訳ﾘｽﾄ(4～3月)'!$D$5="工場間接",-N$74,0))</f>
        <v>0.75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13.75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10</v>
      </c>
      <c r="D79" s="166">
        <f t="shared" ref="D79:N79" si="7">SUM(D74:D78)</f>
        <v>9.75</v>
      </c>
      <c r="E79" s="166">
        <f t="shared" si="7"/>
        <v>10.25</v>
      </c>
      <c r="F79" s="166">
        <f t="shared" si="7"/>
        <v>13</v>
      </c>
      <c r="G79" s="166">
        <f t="shared" si="7"/>
        <v>67</v>
      </c>
      <c r="H79" s="166">
        <f t="shared" si="7"/>
        <v>77</v>
      </c>
      <c r="I79" s="166">
        <f t="shared" si="7"/>
        <v>85.75</v>
      </c>
      <c r="J79" s="166">
        <f t="shared" si="7"/>
        <v>48</v>
      </c>
      <c r="K79" s="166">
        <f t="shared" si="7"/>
        <v>99</v>
      </c>
      <c r="L79" s="166">
        <f t="shared" si="7"/>
        <v>99</v>
      </c>
      <c r="M79" s="166">
        <f t="shared" si="7"/>
        <v>103.25</v>
      </c>
      <c r="N79" s="166">
        <f t="shared" si="7"/>
        <v>104.25</v>
      </c>
      <c r="O79" s="166">
        <f>IF(ISBLANK(O10),"",SUM(O74:O78))</f>
        <v>726.25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 ca="1">IFERROR(ROUNDDOWN(C66/C67,0),0)</f>
        <v>-51995</v>
      </c>
      <c r="D80" s="167">
        <f t="shared" ref="D80:N80" ca="1" si="8">IFERROR(ROUNDDOWN(D66/D67,0),0)</f>
        <v>228681</v>
      </c>
      <c r="E80" s="167">
        <f t="shared" ca="1" si="8"/>
        <v>142375</v>
      </c>
      <c r="F80" s="167">
        <f t="shared" ca="1" si="8"/>
        <v>120441</v>
      </c>
      <c r="G80" s="167">
        <f t="shared" ca="1" si="8"/>
        <v>200902</v>
      </c>
      <c r="H80" s="167">
        <f t="shared" ca="1" si="8"/>
        <v>235191</v>
      </c>
      <c r="I80" s="167">
        <f t="shared" ca="1" si="8"/>
        <v>7637</v>
      </c>
      <c r="J80" s="167">
        <f t="shared" ca="1" si="8"/>
        <v>115360</v>
      </c>
      <c r="K80" s="167">
        <f t="shared" ca="1" si="8"/>
        <v>86695</v>
      </c>
      <c r="L80" s="167">
        <f t="shared" ca="1" si="8"/>
        <v>102270</v>
      </c>
      <c r="M80" s="167">
        <f t="shared" ca="1" si="8"/>
        <v>130697</v>
      </c>
      <c r="N80" s="167">
        <f t="shared" ca="1" si="8"/>
        <v>88189</v>
      </c>
      <c r="O80" s="167">
        <f ca="1">IFERROR(ROUNDDOWN(O66/O67,0),0)</f>
        <v>114159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 ca="1">IFERROR(ROUNDDOWN(C12/C67,0),0)</f>
        <v>508818</v>
      </c>
      <c r="D81" s="168">
        <f t="shared" ref="D81:N81" ca="1" si="9">IFERROR(ROUNDDOWN(D12/D67,0),0)</f>
        <v>816929</v>
      </c>
      <c r="E81" s="168">
        <f t="shared" ca="1" si="9"/>
        <v>685529</v>
      </c>
      <c r="F81" s="168">
        <f t="shared" ca="1" si="9"/>
        <v>611669</v>
      </c>
      <c r="G81" s="168">
        <f t="shared" ca="1" si="9"/>
        <v>735661</v>
      </c>
      <c r="H81" s="168">
        <f t="shared" ca="1" si="9"/>
        <v>771409</v>
      </c>
      <c r="I81" s="168">
        <f t="shared" ca="1" si="9"/>
        <v>471162</v>
      </c>
      <c r="J81" s="168">
        <f t="shared" ca="1" si="9"/>
        <v>633000</v>
      </c>
      <c r="K81" s="168">
        <f t="shared" ca="1" si="9"/>
        <v>566670</v>
      </c>
      <c r="L81" s="168">
        <f t="shared" ca="1" si="9"/>
        <v>656761</v>
      </c>
      <c r="M81" s="168">
        <f t="shared" ca="1" si="9"/>
        <v>777178</v>
      </c>
      <c r="N81" s="168">
        <f t="shared" ca="1" si="9"/>
        <v>625906</v>
      </c>
      <c r="O81" s="168">
        <f ca="1">IFERROR(ROUNDDOWN(O12/O67,0),0)</f>
        <v>646087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0</v>
      </c>
      <c r="D88" s="150">
        <f>SUMIF('内訳ﾘｽﾄ(4～3月)'!$D$24:$D$25,'採算表(VND)'!$B88,'内訳ﾘｽﾄ(4～3月)'!G$24:G$25)</f>
        <v>0</v>
      </c>
      <c r="E88" s="150">
        <f>SUMIF('内訳ﾘｽﾄ(4～3月)'!$D$24:$D$25,'採算表(VND)'!$B88,'内訳ﾘｽﾄ(4～3月)'!H$24:H$25)</f>
        <v>0</v>
      </c>
      <c r="F88" s="150">
        <f>SUMIF('内訳ﾘｽﾄ(4～3月)'!$D$24:$D$25,'採算表(VND)'!$B88,'内訳ﾘｽﾄ(4～3月)'!I$24:I$25)</f>
        <v>0</v>
      </c>
      <c r="G88" s="150">
        <f>SUMIF('内訳ﾘｽﾄ(4～3月)'!$D$24:$D$25,'採算表(VND)'!$B88,'内訳ﾘｽﾄ(4～3月)'!J$24:J$25)</f>
        <v>0</v>
      </c>
      <c r="H88" s="150">
        <f>SUMIF('内訳ﾘｽﾄ(4～3月)'!$D$24:$D$25,'採算表(VND)'!$B88,'内訳ﾘｽﾄ(4～3月)'!K$24:K$25)</f>
        <v>0</v>
      </c>
      <c r="I88" s="150">
        <f>SUMIF('内訳ﾘｽﾄ(4～3月)'!$D$24:$D$25,'採算表(VND)'!$B88,'内訳ﾘｽﾄ(4～3月)'!L$24:L$25)</f>
        <v>0</v>
      </c>
      <c r="J88" s="150">
        <f>SUMIF('内訳ﾘｽﾄ(4～3月)'!$D$24:$D$25,'採算表(VND)'!$B88,'内訳ﾘｽﾄ(4～3月)'!M$24:M$25)</f>
        <v>0</v>
      </c>
      <c r="K88" s="150">
        <f>SUMIF('内訳ﾘｽﾄ(4～3月)'!$D$24:$D$25,'採算表(VND)'!$B88,'内訳ﾘｽﾄ(4～3月)'!N$24:N$25)</f>
        <v>0</v>
      </c>
      <c r="L88" s="150">
        <f>SUMIF('内訳ﾘｽﾄ(4～3月)'!$D$24:$D$25,'採算表(VND)'!$B88,'内訳ﾘｽﾄ(4～3月)'!O$24:O$25)</f>
        <v>0</v>
      </c>
      <c r="M88" s="150">
        <f>SUMIF('内訳ﾘｽﾄ(4～3月)'!$D$24:$D$25,'採算表(VND)'!$B88,'内訳ﾘｽﾄ(4～3月)'!P$24:P$25)</f>
        <v>0</v>
      </c>
      <c r="N88" s="150">
        <f>SUMIF('内訳ﾘｽﾄ(4～3月)'!$D$24:$D$25,'採算表(VND)'!$B88,'内訳ﾘｽﾄ(4～3月)'!Q$24:Q$25)</f>
        <v>0</v>
      </c>
      <c r="O88" s="150">
        <f>SUMIF('内訳ﾘｽﾄ(4～3月)'!$D$24:$D$25,'採算表(VND)'!$B88,'内訳ﾘｽﾄ(4～3月)'!R$24:R$25)</f>
        <v>0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0</v>
      </c>
      <c r="D89" s="151">
        <f t="shared" si="10"/>
        <v>0</v>
      </c>
      <c r="E89" s="151">
        <f t="shared" si="10"/>
        <v>0</v>
      </c>
      <c r="F89" s="151">
        <f t="shared" si="10"/>
        <v>0</v>
      </c>
      <c r="G89" s="151">
        <f t="shared" si="10"/>
        <v>0</v>
      </c>
      <c r="H89" s="151">
        <f t="shared" si="10"/>
        <v>0</v>
      </c>
      <c r="I89" s="151">
        <f t="shared" si="10"/>
        <v>0</v>
      </c>
      <c r="J89" s="151">
        <f t="shared" si="10"/>
        <v>0</v>
      </c>
      <c r="K89" s="151">
        <f t="shared" si="10"/>
        <v>0</v>
      </c>
      <c r="L89" s="151">
        <f t="shared" si="10"/>
        <v>0</v>
      </c>
      <c r="M89" s="151">
        <f t="shared" si="10"/>
        <v>0</v>
      </c>
      <c r="N89" s="151">
        <f t="shared" si="10"/>
        <v>0</v>
      </c>
      <c r="O89" s="151">
        <f>O87+O88</f>
        <v>0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 ca="1">SUMIF('内訳ﾘｽﾄ(4～3月)'!$B$8:$B$15,$B93,'内訳ﾘｽﾄ(4～3月)'!F$8:F$15)</f>
        <v>930</v>
      </c>
      <c r="D93" s="161">
        <f ca="1">SUMIF('内訳ﾘｽﾄ(4～3月)'!$B$8:$B$15,$B93,'内訳ﾘｽﾄ(4～3月)'!G$8:G$15)</f>
        <v>883.5</v>
      </c>
      <c r="E93" s="161">
        <f ca="1">SUMIF('内訳ﾘｽﾄ(4～3月)'!$B$8:$B$15,$B93,'内訳ﾘｽﾄ(4～3月)'!H$8:H$15)</f>
        <v>976.5</v>
      </c>
      <c r="F93" s="161">
        <f ca="1">SUMIF('内訳ﾘｽﾄ(4～3月)'!$B$8:$B$15,$B93,'内訳ﾘｽﾄ(4～3月)'!I$8:I$15)</f>
        <v>1069.5</v>
      </c>
      <c r="G93" s="161">
        <f ca="1">SUMIF('内訳ﾘｽﾄ(4～3月)'!$B$8:$B$15,$B93,'内訳ﾘｽﾄ(4～3月)'!J$8:J$15)</f>
        <v>930</v>
      </c>
      <c r="H93" s="161">
        <f ca="1">SUMIF('内訳ﾘｽﾄ(4～3月)'!$B$8:$B$15,$B93,'内訳ﾘｽﾄ(4～3月)'!K$8:K$15)</f>
        <v>883.5</v>
      </c>
      <c r="I93" s="161">
        <f ca="1">SUMIF('内訳ﾘｽﾄ(4～3月)'!$B$8:$B$15,$B93,'内訳ﾘｽﾄ(4～3月)'!L$8:L$15)</f>
        <v>1069.5</v>
      </c>
      <c r="J93" s="161">
        <f ca="1">SUMIF('内訳ﾘｽﾄ(4～3月)'!$B$8:$B$15,$B93,'内訳ﾘｽﾄ(4～3月)'!M$8:M$15)</f>
        <v>930</v>
      </c>
      <c r="K93" s="161">
        <f ca="1">SUMIF('内訳ﾘｽﾄ(4～3月)'!$B$8:$B$15,$B93,'内訳ﾘｽﾄ(4～3月)'!N$8:N$15)</f>
        <v>1023</v>
      </c>
      <c r="L93" s="161">
        <f ca="1">SUMIF('内訳ﾘｽﾄ(4～3月)'!$B$8:$B$15,$B93,'内訳ﾘｽﾄ(4～3月)'!O$8:O$15)</f>
        <v>930</v>
      </c>
      <c r="M93" s="161">
        <f ca="1">SUMIF('内訳ﾘｽﾄ(4～3月)'!$B$8:$B$15,$B93,'内訳ﾘｽﾄ(4～3月)'!P$8:P$15)</f>
        <v>697.5</v>
      </c>
      <c r="N93" s="161">
        <f ca="1">SUMIF('内訳ﾘｽﾄ(4～3月)'!$B$8:$B$15,$B93,'内訳ﾘｽﾄ(4～3月)'!Q$8:Q$15)</f>
        <v>930</v>
      </c>
      <c r="O93" s="161">
        <f ca="1">SUMIF('内訳ﾘｽﾄ(4～3月)'!$B$8:$B$15,$B93,'内訳ﾘｽﾄ(4～3月)'!R$8:R$15)</f>
        <v>11253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ca="1" si="11">C92+C93</f>
        <v>930</v>
      </c>
      <c r="D94" s="169">
        <f t="shared" ca="1" si="11"/>
        <v>883.5</v>
      </c>
      <c r="E94" s="169">
        <f t="shared" ca="1" si="11"/>
        <v>976.5</v>
      </c>
      <c r="F94" s="169">
        <f t="shared" ca="1" si="11"/>
        <v>1069.5</v>
      </c>
      <c r="G94" s="169">
        <f t="shared" ca="1" si="11"/>
        <v>930</v>
      </c>
      <c r="H94" s="169">
        <f t="shared" ca="1" si="11"/>
        <v>883.5</v>
      </c>
      <c r="I94" s="169">
        <f t="shared" ca="1" si="11"/>
        <v>1069.5</v>
      </c>
      <c r="J94" s="169">
        <f t="shared" ca="1" si="11"/>
        <v>930</v>
      </c>
      <c r="K94" s="169">
        <f t="shared" ca="1" si="11"/>
        <v>1023</v>
      </c>
      <c r="L94" s="169">
        <f t="shared" ca="1" si="11"/>
        <v>930</v>
      </c>
      <c r="M94" s="169">
        <f t="shared" ca="1" si="11"/>
        <v>697.5</v>
      </c>
      <c r="N94" s="169">
        <f t="shared" ca="1" si="11"/>
        <v>930</v>
      </c>
      <c r="O94" s="169">
        <f ca="1">O92+O93</f>
        <v>11253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0</v>
      </c>
      <c r="D98" s="161">
        <f>SUMIF('内訳ﾘｽﾄ(4～3月)'!$B$16:$B$23,$B98,'内訳ﾘｽﾄ(4～3月)'!G$16:G$23)</f>
        <v>0</v>
      </c>
      <c r="E98" s="161">
        <f>SUMIF('内訳ﾘｽﾄ(4～3月)'!$B$16:$B$23,$B98,'内訳ﾘｽﾄ(4～3月)'!H$16:H$23)</f>
        <v>0</v>
      </c>
      <c r="F98" s="161">
        <f>SUMIF('内訳ﾘｽﾄ(4～3月)'!$B$16:$B$23,$B98,'内訳ﾘｽﾄ(4～3月)'!I$16:I$23)</f>
        <v>0</v>
      </c>
      <c r="G98" s="161">
        <f>SUMIF('内訳ﾘｽﾄ(4～3月)'!$B$16:$B$23,$B98,'内訳ﾘｽﾄ(4～3月)'!J$16:J$23)</f>
        <v>0</v>
      </c>
      <c r="H98" s="161">
        <f>SUMIF('内訳ﾘｽﾄ(4～3月)'!$B$16:$B$23,$B98,'内訳ﾘｽﾄ(4～3月)'!K$16:K$23)</f>
        <v>0</v>
      </c>
      <c r="I98" s="161">
        <f>SUMIF('内訳ﾘｽﾄ(4～3月)'!$B$16:$B$23,$B98,'内訳ﾘｽﾄ(4～3月)'!L$16:L$23)</f>
        <v>0</v>
      </c>
      <c r="J98" s="161">
        <f>SUMIF('内訳ﾘｽﾄ(4～3月)'!$B$16:$B$23,$B98,'内訳ﾘｽﾄ(4～3月)'!M$16:M$23)</f>
        <v>0</v>
      </c>
      <c r="K98" s="161">
        <f>SUMIF('内訳ﾘｽﾄ(4～3月)'!$B$16:$B$23,$B98,'内訳ﾘｽﾄ(4～3月)'!N$16:N$23)</f>
        <v>0</v>
      </c>
      <c r="L98" s="161">
        <f>SUMIF('内訳ﾘｽﾄ(4～3月)'!$B$16:$B$23,$B98,'内訳ﾘｽﾄ(4～3月)'!O$16:O$23)</f>
        <v>0</v>
      </c>
      <c r="M98" s="161">
        <f>SUMIF('内訳ﾘｽﾄ(4～3月)'!$B$16:$B$23,$B98,'内訳ﾘｽﾄ(4～3月)'!P$16:P$23)</f>
        <v>0</v>
      </c>
      <c r="N98" s="161">
        <f>SUMIF('内訳ﾘｽﾄ(4～3月)'!$B$16:$B$23,$B98,'内訳ﾘｽﾄ(4～3月)'!Q$16:Q$23)</f>
        <v>0</v>
      </c>
      <c r="O98" s="161">
        <f>SUMIF('内訳ﾘｽﾄ(4～3月)'!$B$16:$B$23,$B98,'内訳ﾘｽﾄ(4～3月)'!R$16:R$23)</f>
        <v>0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0</v>
      </c>
      <c r="D99" s="169">
        <f t="shared" si="12"/>
        <v>0</v>
      </c>
      <c r="E99" s="169">
        <f t="shared" si="12"/>
        <v>0</v>
      </c>
      <c r="F99" s="169">
        <f t="shared" si="12"/>
        <v>0</v>
      </c>
      <c r="G99" s="169">
        <f t="shared" si="12"/>
        <v>0</v>
      </c>
      <c r="H99" s="169">
        <f t="shared" si="12"/>
        <v>0</v>
      </c>
      <c r="I99" s="169">
        <f t="shared" si="12"/>
        <v>0</v>
      </c>
      <c r="J99" s="169">
        <f t="shared" si="12"/>
        <v>0</v>
      </c>
      <c r="K99" s="169">
        <f t="shared" si="12"/>
        <v>0</v>
      </c>
      <c r="L99" s="169">
        <f t="shared" si="12"/>
        <v>0</v>
      </c>
      <c r="M99" s="169">
        <f t="shared" si="12"/>
        <v>0</v>
      </c>
      <c r="N99" s="169">
        <f t="shared" si="12"/>
        <v>0</v>
      </c>
      <c r="O99" s="169">
        <f>O97+O98</f>
        <v>0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7017FB9B-7A6A-49E0-920C-255C9E005715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01F0-DCA9-4957-AE66-DF0EF3EE409F}">
  <sheetPr codeName="Sheet3">
    <tabColor indexed="13"/>
  </sheetPr>
  <dimension ref="A1:BK1002"/>
  <sheetViews>
    <sheetView tabSelected="1" zoomScaleNormal="100" workbookViewId="0">
      <pane xSplit="4" ySplit="7" topLeftCell="E28" activePane="bottomRight" state="frozen"/>
      <selection pane="topRight" activeCell="E1" sqref="E1"/>
      <selection pane="bottomLeft" activeCell="A8" sqref="A8"/>
      <selection pane="bottomRight" activeCell="C31" sqref="C31:E34"/>
    </sheetView>
  </sheetViews>
  <sheetFormatPr defaultColWidth="9" defaultRowHeight="11"/>
  <cols>
    <col min="1" max="1" width="2" style="1" customWidth="1"/>
    <col min="2" max="2" width="12.36328125" style="181" customWidth="1"/>
    <col min="3" max="3" width="31" style="4" bestFit="1" customWidth="1"/>
    <col min="4" max="4" width="19.08984375" style="4" bestFit="1" customWidth="1"/>
    <col min="5" max="5" width="7.6328125" style="3" customWidth="1"/>
    <col min="6" max="6" width="13" style="124" bestFit="1" customWidth="1"/>
    <col min="7" max="17" width="11.6328125" style="125" customWidth="1"/>
    <col min="18" max="18" width="14.6328125" style="126" customWidth="1"/>
    <col min="19" max="19" width="53.7265625" style="4" customWidth="1"/>
    <col min="20" max="20" width="18.90625" style="72" customWidth="1"/>
    <col min="21" max="23" width="9" style="4" customWidth="1"/>
    <col min="24" max="25" width="9.26953125" style="4" bestFit="1" customWidth="1"/>
    <col min="26" max="16384" width="9" style="4"/>
  </cols>
  <sheetData>
    <row r="1" spans="1:55" ht="2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6.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5" thickBot="1">
      <c r="A3" s="111"/>
      <c r="B3" s="172"/>
      <c r="D3" s="113"/>
      <c r="E3" s="258" t="s">
        <v>579</v>
      </c>
      <c r="F3" s="275" t="str">
        <f t="array" aca="1" ref="F3" ca="1">IF(SUM((F8:F25)-ROUNDDOWN((F8:F25)*4,0)/4)&lt;&gt;0,"時間➝0.25の倍数では無い",IF(SUM(ROUND((F26:F1002),0)-ROUND((F26:F1002),4))&lt;&gt;0,"経費➝小数点",IF(F5&lt;&gt;IF($D$5="製造",'採算表(VND)'!C13,-VLOOKUP($D$5&amp;"経費",'採算表(VND)'!$B:$N,'採算表(VND)'!C3,0)),"経費➝NG","OK")))</f>
        <v>OK</v>
      </c>
      <c r="G3" s="275" t="str">
        <f t="array" aca="1" ref="G3" ca="1">IF(SUM((G8:G25)-ROUNDDOWN((G8:G25)*4,0)/4)&lt;&gt;0,"時間➝0.25の倍数では無い",IF(SUM(ROUND((G26:G1002),0)-ROUND((G26:G1002),4))&lt;&gt;0,"経費➝小数点",IF(G5&lt;&gt;IF($D$5="製造",'採算表(VND)'!D13,-VLOOKUP($D$5&amp;"経費",'採算表(VND)'!$B:$N,'採算表(VND)'!D3,0)),"経費➝NG","OK")))</f>
        <v>OK</v>
      </c>
      <c r="H3" s="275" t="str">
        <f t="array" aca="1" ref="H3" ca="1">IF(SUM((H8:H25)-ROUNDDOWN((H8:H25)*4,0)/4)&lt;&gt;0,"時間➝0.25の倍数では無い",IF(SUM(ROUND((H26:H1002),0)-ROUND((H26:H1002),4))&lt;&gt;0,"経費➝小数点",IF(H5&lt;&gt;IF($D$5="製造",'採算表(VND)'!E13,-VLOOKUP($D$5&amp;"経費",'採算表(VND)'!$B:$N,'採算表(VND)'!E3,0)),"経費➝NG","OK")))</f>
        <v>OK</v>
      </c>
      <c r="I3" s="275" t="str">
        <f t="array" aca="1" ref="I3" ca="1">IF(SUM((I8:I25)-ROUNDDOWN((I8:I25)*4,0)/4)&lt;&gt;0,"時間➝0.25の倍数では無い",IF(SUM(ROUND((I26:I1002),0)-ROUND((I26:I1002),4))&lt;&gt;0,"経費➝小数点",IF(I5&lt;&gt;IF($D$5="製造",'採算表(VND)'!F13,-VLOOKUP($D$5&amp;"経費",'採算表(VND)'!$B:$N,'採算表(VND)'!F3,0)),"経費➝NG","OK")))</f>
        <v>OK</v>
      </c>
      <c r="J3" s="275" t="str">
        <f t="array" aca="1" ref="J3" ca="1">IF(SUM((J8:J25)-ROUNDDOWN((J8:J25)*4,0)/4)&lt;&gt;0,"時間➝0.25の倍数では無い",IF(SUM(ROUND((J26:J1002),0)-ROUND((J26:J1002),4))&lt;&gt;0,"経費➝小数点",IF(J5&lt;&gt;IF($D$5="製造",'採算表(VND)'!G13,-VLOOKUP($D$5&amp;"経費",'採算表(VND)'!$B:$N,'採算表(VND)'!G3,0)),"経費➝NG","OK")))</f>
        <v>OK</v>
      </c>
      <c r="K3" s="275" t="str">
        <f t="array" aca="1" ref="K3" ca="1">IF(SUM((K8:K25)-ROUNDDOWN((K8:K25)*4,0)/4)&lt;&gt;0,"時間➝0.25の倍数では無い",IF(SUM(ROUND((K26:K1002),0)-ROUND((K26:K1002),4))&lt;&gt;0,"経費➝小数点",IF(K5&lt;&gt;IF($D$5="製造",'採算表(VND)'!H13,-VLOOKUP($D$5&amp;"経費",'採算表(VND)'!$B:$N,'採算表(VND)'!H3,0)),"経費➝NG","OK")))</f>
        <v>OK</v>
      </c>
      <c r="L3" s="275" t="str">
        <f t="array" aca="1" ref="L3" ca="1">IF(SUM((L8:L25)-ROUNDDOWN((L8:L25)*4,0)/4)&lt;&gt;0,"時間➝0.25の倍数では無い",IF(SUM(ROUND((L26:L1002),0)-ROUND((L26:L1002),4))&lt;&gt;0,"経費➝小数点",IF(L5&lt;&gt;IF($D$5="製造",'採算表(VND)'!I13,-VLOOKUP($D$5&amp;"経費",'採算表(VND)'!$B:$N,'採算表(VND)'!I3,0)),"経費➝NG","OK")))</f>
        <v>OK</v>
      </c>
      <c r="M3" s="275" t="str">
        <f t="array" aca="1" ref="M3" ca="1">IF(SUM((M8:M25)-ROUNDDOWN((M8:M25)*4,0)/4)&lt;&gt;0,"時間➝0.25の倍数では無い",IF(SUM(ROUND((M26:M1002),0)-ROUND((M26:M1002),4))&lt;&gt;0,"経費➝小数点",IF(M5&lt;&gt;IF($D$5="製造",'採算表(VND)'!J13,-VLOOKUP($D$5&amp;"経費",'採算表(VND)'!$B:$N,'採算表(VND)'!J3,0)),"経費➝NG","OK")))</f>
        <v>OK</v>
      </c>
      <c r="N3" s="275" t="str">
        <f t="array" aca="1" ref="N3" ca="1">IF(SUM((N8:N25)-ROUNDDOWN((N8:N25)*4,0)/4)&lt;&gt;0,"時間➝0.25の倍数では無い",IF(SUM(ROUND((N26:N1002),0)-ROUND((N26:N1002),4))&lt;&gt;0,"経費➝小数点",IF(N5&lt;&gt;IF($D$5="製造",'採算表(VND)'!K13,-VLOOKUP($D$5&amp;"経費",'採算表(VND)'!$B:$N,'採算表(VND)'!K3,0)),"経費➝NG","OK")))</f>
        <v>OK</v>
      </c>
      <c r="O3" s="275" t="str">
        <f t="array" aca="1" ref="O3" ca="1">IF(SUM((O8:O25)-ROUNDDOWN((O8:O25)*4,0)/4)&lt;&gt;0,"時間➝0.25の倍数では無い",IF(SUM(ROUND((O26:O1002),0)-ROUND((O26:O1002),4))&lt;&gt;0,"経費➝小数点",IF(O5&lt;&gt;IF($D$5="製造",'採算表(VND)'!L13,-VLOOKUP($D$5&amp;"経費",'採算表(VND)'!$B:$N,'採算表(VND)'!L3,0)),"経費➝NG","OK")))</f>
        <v>OK</v>
      </c>
      <c r="P3" s="275" t="str">
        <f t="array" aca="1" ref="P3" ca="1">IF(SUM((P8:P25)-ROUNDDOWN((P8:P25)*4,0)/4)&lt;&gt;0,"時間➝0.25の倍数では無い",IF(SUM(ROUND((P26:P1002),0)-ROUND((P26:P1002),4))&lt;&gt;0,"経費➝小数点",IF(P5&lt;&gt;IF($D$5="製造",'採算表(VND)'!M13,-VLOOKUP($D$5&amp;"経費",'採算表(VND)'!$B:$N,'採算表(VND)'!M3,0)),"経費➝NG","OK")))</f>
        <v>OK</v>
      </c>
      <c r="Q3" s="275" t="str">
        <f t="array" aca="1" ref="Q3" ca="1">IF(SUM((Q8:Q25)-ROUNDDOWN((Q8:Q25)*4,0)/4)&lt;&gt;0,"時間➝0.25の倍数では無い",IF(SUM(ROUND((Q26:Q1002),0)-ROUND((Q26:Q1002)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3.5" thickBot="1">
      <c r="B5" s="174">
        <v>1412000066</v>
      </c>
      <c r="C5" s="7" t="str">
        <f>VLOOKUP($B$5,原価センタ!$A:$E,2,0)</f>
        <v>RPS製造課</v>
      </c>
      <c r="D5" s="62" t="str">
        <f>VLOOKUP($B$5,原価センタ!$A:$E,4,0)</f>
        <v>製造</v>
      </c>
      <c r="E5" s="62" t="str">
        <f>VLOOKUP($B$5,原価センタ!$A:$E,5,0)</f>
        <v>製造</v>
      </c>
      <c r="F5" s="252">
        <f t="shared" ref="F5:R5" si="0">SUM(F29:F1002)</f>
        <v>1358150709</v>
      </c>
      <c r="G5" s="252">
        <f t="shared" si="0"/>
        <v>1346793095</v>
      </c>
      <c r="H5" s="252">
        <f t="shared" si="0"/>
        <v>1367391548</v>
      </c>
      <c r="I5" s="252">
        <f t="shared" si="0"/>
        <v>1498001280</v>
      </c>
      <c r="J5" s="252">
        <f t="shared" si="0"/>
        <v>1435425829</v>
      </c>
      <c r="K5" s="252">
        <f t="shared" si="0"/>
        <v>1407976231</v>
      </c>
      <c r="L5" s="252">
        <f t="shared" si="0"/>
        <v>1535545195</v>
      </c>
      <c r="M5" s="252">
        <f t="shared" si="0"/>
        <v>1461167785</v>
      </c>
      <c r="N5" s="252">
        <f t="shared" si="0"/>
        <v>1505202450</v>
      </c>
      <c r="O5" s="252">
        <f t="shared" si="0"/>
        <v>1417416426</v>
      </c>
      <c r="P5" s="252">
        <f t="shared" si="0"/>
        <v>1326093042</v>
      </c>
      <c r="Q5" s="252">
        <f t="shared" si="0"/>
        <v>1419304720</v>
      </c>
      <c r="R5" s="253">
        <f t="shared" si="0"/>
        <v>17078468310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">
      <c r="A8" s="182"/>
      <c r="B8" s="259" t="s">
        <v>324</v>
      </c>
      <c r="C8" s="183" t="s">
        <v>334</v>
      </c>
      <c r="D8" s="184" t="s">
        <v>81</v>
      </c>
      <c r="E8" s="185"/>
      <c r="F8" s="186">
        <v>0</v>
      </c>
      <c r="G8" s="186">
        <v>0</v>
      </c>
      <c r="H8" s="186">
        <v>0</v>
      </c>
      <c r="I8" s="186">
        <v>0</v>
      </c>
      <c r="J8" s="186">
        <v>0</v>
      </c>
      <c r="K8" s="186">
        <v>0</v>
      </c>
      <c r="L8" s="186">
        <v>0</v>
      </c>
      <c r="M8" s="186">
        <v>0</v>
      </c>
      <c r="N8" s="186">
        <v>0</v>
      </c>
      <c r="O8" s="186">
        <v>0</v>
      </c>
      <c r="P8" s="186">
        <v>0</v>
      </c>
      <c r="Q8" s="186">
        <v>0</v>
      </c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">
      <c r="A9" s="182"/>
      <c r="B9" s="260" t="s">
        <v>325</v>
      </c>
      <c r="C9" s="183" t="s">
        <v>335</v>
      </c>
      <c r="D9" s="192" t="s">
        <v>81</v>
      </c>
      <c r="E9" s="193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5">
        <f t="shared" ref="R9:R23" si="1">SUM(F9:Q9)</f>
        <v>0</v>
      </c>
      <c r="S9" s="196"/>
      <c r="T9" s="197"/>
      <c r="U9" s="190"/>
      <c r="V9" s="190"/>
      <c r="W9" s="190"/>
      <c r="BA9"/>
      <c r="BB9"/>
    </row>
    <row r="10" spans="1:55" s="191" customFormat="1" ht="13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">
      <c r="A11" s="203"/>
      <c r="B11" s="262" t="s">
        <v>325</v>
      </c>
      <c r="C11" s="183" t="s">
        <v>337</v>
      </c>
      <c r="D11" s="198" t="s">
        <v>86</v>
      </c>
      <c r="E11" s="204"/>
      <c r="F11" s="194">
        <f ca="1">5*8.5*F2+1*4*F2</f>
        <v>930</v>
      </c>
      <c r="G11" s="194">
        <f t="shared" ref="G11:Q11" ca="1" si="2">5*8.5*G2+1*4*G2</f>
        <v>883.5</v>
      </c>
      <c r="H11" s="194">
        <f t="shared" ca="1" si="2"/>
        <v>976.5</v>
      </c>
      <c r="I11" s="194">
        <f t="shared" ca="1" si="2"/>
        <v>1069.5</v>
      </c>
      <c r="J11" s="194">
        <f t="shared" ca="1" si="2"/>
        <v>930</v>
      </c>
      <c r="K11" s="194">
        <f t="shared" ca="1" si="2"/>
        <v>883.5</v>
      </c>
      <c r="L11" s="194">
        <f t="shared" ca="1" si="2"/>
        <v>1069.5</v>
      </c>
      <c r="M11" s="194">
        <f t="shared" ca="1" si="2"/>
        <v>930</v>
      </c>
      <c r="N11" s="194">
        <f t="shared" ca="1" si="2"/>
        <v>1023</v>
      </c>
      <c r="O11" s="194">
        <f t="shared" ca="1" si="2"/>
        <v>930</v>
      </c>
      <c r="P11" s="194">
        <f t="shared" ca="1" si="2"/>
        <v>697.5</v>
      </c>
      <c r="Q11" s="194">
        <f t="shared" ca="1" si="2"/>
        <v>930</v>
      </c>
      <c r="R11" s="205">
        <f t="shared" ca="1" si="1"/>
        <v>11253</v>
      </c>
      <c r="S11" s="206"/>
      <c r="T11" s="207"/>
      <c r="U11" s="190"/>
      <c r="V11" s="190"/>
      <c r="W11" s="190"/>
      <c r="BA11"/>
      <c r="BB11"/>
    </row>
    <row r="12" spans="1:55" s="208" customFormat="1" ht="13">
      <c r="A12" s="203"/>
      <c r="B12" s="261"/>
      <c r="C12" s="209" t="s">
        <v>451</v>
      </c>
      <c r="D12" s="210" t="s">
        <v>452</v>
      </c>
      <c r="E12" s="211"/>
      <c r="F12" s="212">
        <v>1443.25</v>
      </c>
      <c r="G12" s="212">
        <v>1358</v>
      </c>
      <c r="H12" s="212">
        <v>1490.25</v>
      </c>
      <c r="I12" s="212">
        <v>1923</v>
      </c>
      <c r="J12" s="212">
        <v>1647.75</v>
      </c>
      <c r="K12" s="212">
        <v>1627.5</v>
      </c>
      <c r="L12" s="212">
        <v>2112.75</v>
      </c>
      <c r="M12" s="212">
        <v>1804.5</v>
      </c>
      <c r="N12" s="212">
        <v>1970.25</v>
      </c>
      <c r="O12" s="212">
        <v>1486</v>
      </c>
      <c r="P12" s="212">
        <v>1219.5</v>
      </c>
      <c r="Q12" s="212">
        <v>1563.75</v>
      </c>
      <c r="R12" s="213">
        <f t="shared" si="1"/>
        <v>19646.5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">
      <c r="A13" s="203"/>
      <c r="B13" s="261"/>
      <c r="C13" s="209" t="s">
        <v>453</v>
      </c>
      <c r="D13" s="210" t="s">
        <v>454</v>
      </c>
      <c r="E13" s="211"/>
      <c r="F13" s="212">
        <v>3.5</v>
      </c>
      <c r="G13" s="212">
        <v>3.5</v>
      </c>
      <c r="H13" s="212">
        <v>3.75</v>
      </c>
      <c r="I13" s="212">
        <v>4</v>
      </c>
      <c r="J13" s="212">
        <v>3.5</v>
      </c>
      <c r="K13" s="212">
        <v>3.5</v>
      </c>
      <c r="L13" s="212">
        <v>4</v>
      </c>
      <c r="M13" s="212">
        <v>3.5</v>
      </c>
      <c r="N13" s="212">
        <v>3.75</v>
      </c>
      <c r="O13" s="212">
        <v>3.75</v>
      </c>
      <c r="P13" s="212">
        <v>2.75</v>
      </c>
      <c r="Q13" s="212">
        <v>3.75</v>
      </c>
      <c r="R13" s="213">
        <f t="shared" si="1"/>
        <v>43.25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">
      <c r="A14" s="203"/>
      <c r="B14" s="262"/>
      <c r="C14" s="209" t="s">
        <v>455</v>
      </c>
      <c r="D14" s="210" t="s">
        <v>456</v>
      </c>
      <c r="E14" s="211"/>
      <c r="F14" s="212">
        <v>6.5</v>
      </c>
      <c r="G14" s="212">
        <v>6.25</v>
      </c>
      <c r="H14" s="212">
        <v>6.75</v>
      </c>
      <c r="I14" s="212">
        <v>7.75</v>
      </c>
      <c r="J14" s="212">
        <v>6.75</v>
      </c>
      <c r="K14" s="212">
        <v>6.5</v>
      </c>
      <c r="L14" s="212">
        <v>8</v>
      </c>
      <c r="M14" s="212">
        <v>7</v>
      </c>
      <c r="N14" s="212">
        <v>8</v>
      </c>
      <c r="O14" s="212">
        <v>7</v>
      </c>
      <c r="P14" s="212">
        <v>5.25</v>
      </c>
      <c r="Q14" s="212">
        <v>7.25</v>
      </c>
      <c r="R14" s="213">
        <f t="shared" si="1"/>
        <v>83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">
      <c r="A15" s="203"/>
      <c r="B15" s="262"/>
      <c r="C15" s="209" t="s">
        <v>457</v>
      </c>
      <c r="D15" s="210" t="s">
        <v>450</v>
      </c>
      <c r="E15" s="211"/>
      <c r="F15" s="212">
        <v>28.5</v>
      </c>
      <c r="G15" s="212">
        <v>28.5</v>
      </c>
      <c r="H15" s="212">
        <v>30</v>
      </c>
      <c r="I15" s="212">
        <v>32.25</v>
      </c>
      <c r="J15" s="212">
        <v>29.25</v>
      </c>
      <c r="K15" s="212">
        <v>27.75</v>
      </c>
      <c r="L15" s="212">
        <v>32.75</v>
      </c>
      <c r="M15" s="212">
        <v>29.75</v>
      </c>
      <c r="N15" s="212">
        <v>32</v>
      </c>
      <c r="O15" s="212">
        <v>30.5</v>
      </c>
      <c r="P15" s="212">
        <v>23</v>
      </c>
      <c r="Q15" s="212">
        <v>30.5</v>
      </c>
      <c r="R15" s="213">
        <f t="shared" si="1"/>
        <v>354.75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3">
      <c r="A16" s="203"/>
      <c r="B16" s="263" t="s">
        <v>326</v>
      </c>
      <c r="C16" s="183" t="s">
        <v>338</v>
      </c>
      <c r="D16" s="215" t="s">
        <v>86</v>
      </c>
      <c r="E16" s="204"/>
      <c r="F16" s="194">
        <v>0</v>
      </c>
      <c r="G16" s="194">
        <v>0</v>
      </c>
      <c r="H16" s="194">
        <v>0</v>
      </c>
      <c r="I16" s="194">
        <v>0</v>
      </c>
      <c r="J16" s="194">
        <v>0</v>
      </c>
      <c r="K16" s="194">
        <v>0</v>
      </c>
      <c r="L16" s="194">
        <v>0</v>
      </c>
      <c r="M16" s="194">
        <v>0</v>
      </c>
      <c r="N16" s="194">
        <v>0</v>
      </c>
      <c r="O16" s="194">
        <v>0</v>
      </c>
      <c r="P16" s="194">
        <v>0</v>
      </c>
      <c r="Q16" s="194">
        <v>0</v>
      </c>
      <c r="R16" s="205">
        <f t="shared" si="1"/>
        <v>0</v>
      </c>
      <c r="S16" s="206"/>
      <c r="T16" s="207"/>
      <c r="U16" s="190"/>
      <c r="V16" s="190"/>
      <c r="W16" s="190"/>
      <c r="BA16"/>
      <c r="BB16"/>
    </row>
    <row r="17" spans="1:63" s="191" customFormat="1" ht="13">
      <c r="A17" s="182"/>
      <c r="B17" s="263" t="s">
        <v>327</v>
      </c>
      <c r="C17" s="183" t="s">
        <v>339</v>
      </c>
      <c r="D17" s="215" t="s">
        <v>86</v>
      </c>
      <c r="E17" s="20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205">
        <f t="shared" si="1"/>
        <v>0</v>
      </c>
      <c r="S17" s="206"/>
      <c r="T17" s="207"/>
      <c r="U17" s="190"/>
      <c r="V17" s="190"/>
      <c r="W17" s="190"/>
      <c r="BA17"/>
      <c r="BB17"/>
    </row>
    <row r="18" spans="1:63" s="191" customFormat="1" ht="13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63" s="208" customFormat="1" ht="13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63" s="208" customFormat="1" ht="13">
      <c r="A20" s="203"/>
      <c r="B20" s="262"/>
      <c r="C20" s="209" t="s">
        <v>458</v>
      </c>
      <c r="D20" s="210" t="s">
        <v>452</v>
      </c>
      <c r="E20" s="211"/>
      <c r="F20" s="212">
        <v>8.5</v>
      </c>
      <c r="G20" s="212">
        <v>8.25</v>
      </c>
      <c r="H20" s="212">
        <v>8.5</v>
      </c>
      <c r="I20" s="212">
        <v>10.75</v>
      </c>
      <c r="J20" s="212">
        <v>65.75</v>
      </c>
      <c r="K20" s="212">
        <v>75.25</v>
      </c>
      <c r="L20" s="212">
        <v>83.5</v>
      </c>
      <c r="M20" s="212">
        <v>46.75</v>
      </c>
      <c r="N20" s="212">
        <v>96.75</v>
      </c>
      <c r="O20" s="212">
        <v>97.75</v>
      </c>
      <c r="P20" s="212">
        <v>101</v>
      </c>
      <c r="Q20" s="212">
        <v>103</v>
      </c>
      <c r="R20" s="213">
        <f t="shared" si="1"/>
        <v>705.75</v>
      </c>
      <c r="S20" s="214" t="s">
        <v>692</v>
      </c>
      <c r="T20" s="207"/>
      <c r="U20" s="190"/>
      <c r="V20" s="190"/>
      <c r="W20" s="190"/>
      <c r="BA20"/>
      <c r="BB20"/>
    </row>
    <row r="21" spans="1:63" s="208" customFormat="1" ht="13">
      <c r="A21" s="203"/>
      <c r="B21" s="262"/>
      <c r="C21" s="209" t="s">
        <v>342</v>
      </c>
      <c r="D21" s="210" t="s">
        <v>454</v>
      </c>
      <c r="E21" s="211"/>
      <c r="F21" s="212">
        <v>0.25</v>
      </c>
      <c r="G21" s="212">
        <v>0.25</v>
      </c>
      <c r="H21" s="212">
        <v>0.25</v>
      </c>
      <c r="I21" s="212">
        <v>0.25</v>
      </c>
      <c r="J21" s="212">
        <v>0.25</v>
      </c>
      <c r="K21" s="212">
        <v>0.25</v>
      </c>
      <c r="L21" s="212">
        <v>0.25</v>
      </c>
      <c r="M21" s="212">
        <v>0.25</v>
      </c>
      <c r="N21" s="212">
        <v>0.25</v>
      </c>
      <c r="O21" s="212">
        <v>0.25</v>
      </c>
      <c r="P21" s="212">
        <v>0.25</v>
      </c>
      <c r="Q21" s="212">
        <v>0.25</v>
      </c>
      <c r="R21" s="213">
        <f t="shared" si="1"/>
        <v>3</v>
      </c>
      <c r="S21" s="214" t="s">
        <v>692</v>
      </c>
      <c r="T21" s="207"/>
      <c r="U21" s="190"/>
      <c r="V21" s="190"/>
      <c r="W21" s="190"/>
      <c r="BA21"/>
      <c r="BB21"/>
    </row>
    <row r="22" spans="1:63" s="208" customFormat="1" ht="13">
      <c r="A22" s="203"/>
      <c r="B22" s="262"/>
      <c r="C22" s="209" t="s">
        <v>459</v>
      </c>
      <c r="D22" s="210" t="s">
        <v>456</v>
      </c>
      <c r="E22" s="211"/>
      <c r="F22" s="212">
        <v>0.25</v>
      </c>
      <c r="G22" s="212">
        <v>0.25</v>
      </c>
      <c r="H22" s="212">
        <v>0.25</v>
      </c>
      <c r="I22" s="212">
        <v>0.5</v>
      </c>
      <c r="J22" s="212">
        <v>0.25</v>
      </c>
      <c r="K22" s="212">
        <v>0.25</v>
      </c>
      <c r="L22" s="212">
        <v>0.5</v>
      </c>
      <c r="M22" s="212">
        <v>0.25</v>
      </c>
      <c r="N22" s="212">
        <v>0.5</v>
      </c>
      <c r="O22" s="212">
        <v>0.25</v>
      </c>
      <c r="P22" s="212">
        <v>0.25</v>
      </c>
      <c r="Q22" s="212">
        <v>0.25</v>
      </c>
      <c r="R22" s="213">
        <f t="shared" si="1"/>
        <v>3.75</v>
      </c>
      <c r="S22" s="214" t="s">
        <v>692</v>
      </c>
      <c r="T22" s="207"/>
      <c r="U22" s="190"/>
      <c r="V22" s="190"/>
      <c r="W22" s="190"/>
      <c r="BA22"/>
      <c r="BB22"/>
    </row>
    <row r="23" spans="1:63" s="208" customFormat="1" ht="13">
      <c r="A23" s="203"/>
      <c r="B23" s="262"/>
      <c r="C23" s="209" t="s">
        <v>460</v>
      </c>
      <c r="D23" s="210" t="s">
        <v>450</v>
      </c>
      <c r="E23" s="211"/>
      <c r="F23" s="212">
        <v>1</v>
      </c>
      <c r="G23" s="212">
        <v>1</v>
      </c>
      <c r="H23" s="212">
        <v>1.25</v>
      </c>
      <c r="I23" s="212">
        <v>1.5</v>
      </c>
      <c r="J23" s="212">
        <v>0.75</v>
      </c>
      <c r="K23" s="212">
        <v>1.25</v>
      </c>
      <c r="L23" s="212">
        <v>1.5</v>
      </c>
      <c r="M23" s="212">
        <v>0.75</v>
      </c>
      <c r="N23" s="212">
        <v>1.5</v>
      </c>
      <c r="O23" s="212">
        <v>0.75</v>
      </c>
      <c r="P23" s="212">
        <v>1.75</v>
      </c>
      <c r="Q23" s="212">
        <v>0.75</v>
      </c>
      <c r="R23" s="213">
        <f t="shared" si="1"/>
        <v>13.75</v>
      </c>
      <c r="S23" s="214" t="s">
        <v>692</v>
      </c>
      <c r="T23" s="207"/>
      <c r="U23" s="190"/>
      <c r="V23" s="190"/>
      <c r="W23" s="190"/>
      <c r="BA23"/>
      <c r="BB23"/>
    </row>
    <row r="24" spans="1:63" s="208" customFormat="1" ht="13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0</v>
      </c>
      <c r="G24" s="267">
        <v>0</v>
      </c>
      <c r="H24" s="267">
        <v>0</v>
      </c>
      <c r="I24" s="267">
        <v>0</v>
      </c>
      <c r="J24" s="267">
        <v>0</v>
      </c>
      <c r="K24" s="267">
        <v>0</v>
      </c>
      <c r="L24" s="267">
        <v>0</v>
      </c>
      <c r="M24" s="267">
        <v>0</v>
      </c>
      <c r="N24" s="267">
        <v>0</v>
      </c>
      <c r="O24" s="267">
        <v>0</v>
      </c>
      <c r="P24" s="267">
        <v>0</v>
      </c>
      <c r="Q24" s="267">
        <v>0</v>
      </c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63" s="191" customFormat="1" ht="1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0</v>
      </c>
      <c r="G25" s="271">
        <v>0</v>
      </c>
      <c r="H25" s="271">
        <v>0</v>
      </c>
      <c r="I25" s="271">
        <v>0</v>
      </c>
      <c r="J25" s="271">
        <v>0</v>
      </c>
      <c r="K25" s="271">
        <v>0</v>
      </c>
      <c r="L25" s="271">
        <v>0</v>
      </c>
      <c r="M25" s="271">
        <v>0</v>
      </c>
      <c r="N25" s="271">
        <v>0</v>
      </c>
      <c r="O25" s="271">
        <v>0</v>
      </c>
      <c r="P25" s="271">
        <v>0</v>
      </c>
      <c r="Q25" s="271">
        <v>0</v>
      </c>
      <c r="R25" s="272">
        <f>Q25</f>
        <v>0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  <c r="BE25" s="191">
        <v>12</v>
      </c>
      <c r="BF25" s="191">
        <v>12</v>
      </c>
      <c r="BH25" s="191">
        <v>13</v>
      </c>
      <c r="BI25" s="191">
        <v>14</v>
      </c>
      <c r="BJ25" s="191">
        <v>15</v>
      </c>
      <c r="BK25" s="191">
        <v>16</v>
      </c>
    </row>
    <row r="26" spans="1:63" s="191" customFormat="1" ht="13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>ROUNDDOWN(V26*$B$2,0)+1</f>
        <v>32033063721</v>
      </c>
      <c r="G26" s="220">
        <f t="shared" ref="G26:O26" si="3">ROUNDDOWN(W26*$B$2,0)+1</f>
        <v>38444889540</v>
      </c>
      <c r="H26" s="220">
        <f t="shared" si="3"/>
        <v>35476850082</v>
      </c>
      <c r="I26" s="220">
        <f>ROUNDDOWN(Y26*$B$2,0)+1+1</f>
        <v>38341382128</v>
      </c>
      <c r="J26" s="220">
        <f t="shared" si="3"/>
        <v>40591371058</v>
      </c>
      <c r="K26" s="220">
        <f>ROUNDDOWN(AA26*$B$2,0)+1+1</f>
        <v>41641137112</v>
      </c>
      <c r="L26" s="220">
        <f>ROUNDDOWN(AB26*$B$2,0)+1+1</f>
        <v>32085186599</v>
      </c>
      <c r="M26" s="220">
        <f t="shared" si="3"/>
        <v>36730008062</v>
      </c>
      <c r="N26" s="220">
        <f t="shared" si="3"/>
        <v>36530016364</v>
      </c>
      <c r="O26" s="220">
        <f t="shared" si="3"/>
        <v>34510209619</v>
      </c>
      <c r="P26" s="220">
        <f>ROUNDDOWN(AF26*$B$2,0)+1+1</f>
        <v>32769832773</v>
      </c>
      <c r="Q26" s="220">
        <f>ROUNDDOWN(AG26*$B$2,0)+1+1</f>
        <v>33959720651</v>
      </c>
      <c r="R26" s="221">
        <f t="shared" ref="R26:R120" si="4">SUM(F26:Q26)</f>
        <v>433113667709</v>
      </c>
      <c r="S26" s="222" t="s">
        <v>75</v>
      </c>
      <c r="T26" s="223"/>
      <c r="U26" s="190"/>
      <c r="V26" s="224">
        <v>1261640.95</v>
      </c>
      <c r="W26" s="224">
        <v>1514174.46</v>
      </c>
      <c r="X26" s="225">
        <v>1397276.49</v>
      </c>
      <c r="Y26" s="225">
        <v>1510097.76</v>
      </c>
      <c r="Z26" s="225">
        <v>1598714.89</v>
      </c>
      <c r="AA26" s="225">
        <v>1640060.54</v>
      </c>
      <c r="AB26" s="225">
        <v>1263693.8400000001</v>
      </c>
      <c r="AC26" s="225">
        <v>1446632.85</v>
      </c>
      <c r="AD26" s="225">
        <v>1438756.06</v>
      </c>
      <c r="AE26" s="225">
        <v>1359204.79</v>
      </c>
      <c r="AF26" s="225">
        <v>1290659.03</v>
      </c>
      <c r="AG26" s="225">
        <v>1337523.46</v>
      </c>
      <c r="BA26"/>
      <c r="BB26"/>
      <c r="BE26" s="191">
        <v>1621832.89</v>
      </c>
      <c r="BF26" s="191">
        <v>1775800.67</v>
      </c>
      <c r="BH26" s="191">
        <v>944755.96</v>
      </c>
      <c r="BI26" s="191">
        <v>1286949.28</v>
      </c>
    </row>
    <row r="27" spans="1:63" s="191" customFormat="1" ht="13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ref="F27:Q27" si="5">ROUNDDOWN(V27*$B$2,0)</f>
        <v>0</v>
      </c>
      <c r="G27" s="230">
        <f t="shared" si="5"/>
        <v>0</v>
      </c>
      <c r="H27" s="230">
        <f t="shared" si="5"/>
        <v>0</v>
      </c>
      <c r="I27" s="230">
        <f t="shared" si="5"/>
        <v>0</v>
      </c>
      <c r="J27" s="230">
        <f t="shared" si="5"/>
        <v>0</v>
      </c>
      <c r="K27" s="230">
        <f t="shared" si="5"/>
        <v>0</v>
      </c>
      <c r="L27" s="230">
        <f t="shared" si="5"/>
        <v>0</v>
      </c>
      <c r="M27" s="230">
        <f t="shared" si="5"/>
        <v>0</v>
      </c>
      <c r="N27" s="230">
        <f t="shared" si="5"/>
        <v>0</v>
      </c>
      <c r="O27" s="230">
        <f t="shared" si="5"/>
        <v>0</v>
      </c>
      <c r="P27" s="230">
        <f t="shared" si="5"/>
        <v>0</v>
      </c>
      <c r="Q27" s="230">
        <f t="shared" si="5"/>
        <v>0</v>
      </c>
      <c r="R27" s="221">
        <f t="shared" si="4"/>
        <v>0</v>
      </c>
      <c r="S27" s="231" t="s">
        <v>75</v>
      </c>
      <c r="T27" s="202"/>
      <c r="U27" s="190"/>
      <c r="V27" s="224">
        <v>0</v>
      </c>
      <c r="W27" s="224">
        <v>0</v>
      </c>
      <c r="X27" s="225">
        <v>0</v>
      </c>
      <c r="Y27" s="225">
        <v>0</v>
      </c>
      <c r="Z27" s="225">
        <v>0</v>
      </c>
      <c r="AA27" s="225">
        <v>0</v>
      </c>
      <c r="AB27" s="225">
        <v>0</v>
      </c>
      <c r="AC27" s="225">
        <v>0</v>
      </c>
      <c r="AD27" s="225">
        <v>0</v>
      </c>
      <c r="AE27" s="225">
        <v>0</v>
      </c>
      <c r="AF27" s="225">
        <v>0</v>
      </c>
      <c r="AG27" s="225">
        <v>0</v>
      </c>
      <c r="BA27"/>
      <c r="BB27"/>
      <c r="BE27" s="191">
        <v>0</v>
      </c>
      <c r="BF27" s="191">
        <v>0</v>
      </c>
      <c r="BH27" s="191">
        <v>0</v>
      </c>
      <c r="BI27" s="191">
        <v>0</v>
      </c>
    </row>
    <row r="28" spans="1:63" s="191" customFormat="1" ht="13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ref="F28:Q28" si="6">ROUNDDOWN(V28*$B$2,0)+1</f>
        <v>30800833194</v>
      </c>
      <c r="G28" s="230">
        <f t="shared" si="6"/>
        <v>36574530112</v>
      </c>
      <c r="H28" s="230">
        <f>ROUNDDOWN(X28*$B$2,0)</f>
        <v>33751028560</v>
      </c>
      <c r="I28" s="230">
        <f t="shared" si="6"/>
        <v>36476095875</v>
      </c>
      <c r="J28" s="230">
        <f t="shared" si="6"/>
        <v>38616671932</v>
      </c>
      <c r="K28" s="230">
        <f t="shared" si="6"/>
        <v>39615607714</v>
      </c>
      <c r="L28" s="230">
        <f t="shared" si="6"/>
        <v>30524341680</v>
      </c>
      <c r="M28" s="230">
        <f t="shared" si="6"/>
        <v>34943206870</v>
      </c>
      <c r="N28" s="230">
        <f t="shared" si="6"/>
        <v>34752937257</v>
      </c>
      <c r="O28" s="230">
        <f t="shared" si="6"/>
        <v>32831364168</v>
      </c>
      <c r="P28" s="230">
        <f t="shared" si="6"/>
        <v>31175645960</v>
      </c>
      <c r="Q28" s="230">
        <f t="shared" si="6"/>
        <v>32307639306</v>
      </c>
      <c r="R28" s="221">
        <f t="shared" si="4"/>
        <v>412369902628</v>
      </c>
      <c r="S28" s="231" t="s">
        <v>75</v>
      </c>
      <c r="T28" s="202"/>
      <c r="U28" s="190"/>
      <c r="V28" s="224">
        <v>1213108.83</v>
      </c>
      <c r="W28" s="224">
        <v>1440509.26</v>
      </c>
      <c r="X28" s="225">
        <v>1329304</v>
      </c>
      <c r="Y28" s="225">
        <v>1436632.37</v>
      </c>
      <c r="Z28" s="225">
        <v>1520940.21</v>
      </c>
      <c r="AA28" s="225">
        <v>1560283.88</v>
      </c>
      <c r="AB28" s="225">
        <v>1202219.05</v>
      </c>
      <c r="AC28" s="225">
        <v>1376258.64</v>
      </c>
      <c r="AD28" s="225">
        <v>1368764.76</v>
      </c>
      <c r="AE28" s="225">
        <v>1293082.48</v>
      </c>
      <c r="AF28" s="225">
        <v>1227871.05</v>
      </c>
      <c r="AG28" s="225">
        <v>1272455.27</v>
      </c>
      <c r="BA28"/>
      <c r="BB28"/>
      <c r="BE28" s="191">
        <v>1549169.46</v>
      </c>
      <c r="BF28" s="191">
        <v>1541760.63</v>
      </c>
      <c r="BH28" s="191">
        <v>720533.8</v>
      </c>
      <c r="BI28" s="191">
        <v>855477</v>
      </c>
    </row>
    <row r="29" spans="1:63" s="191" customFormat="1" ht="13.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7">ROUNDUP(V29*$B$2,0)</f>
        <v>0</v>
      </c>
      <c r="G29" s="235">
        <f t="shared" si="7"/>
        <v>0</v>
      </c>
      <c r="H29" s="235">
        <f t="shared" si="7"/>
        <v>0</v>
      </c>
      <c r="I29" s="235">
        <f t="shared" si="7"/>
        <v>0</v>
      </c>
      <c r="J29" s="235">
        <f t="shared" si="7"/>
        <v>0</v>
      </c>
      <c r="K29" s="235">
        <f t="shared" si="7"/>
        <v>0</v>
      </c>
      <c r="L29" s="235">
        <f t="shared" si="7"/>
        <v>0</v>
      </c>
      <c r="M29" s="235">
        <f t="shared" si="7"/>
        <v>0</v>
      </c>
      <c r="N29" s="235">
        <f t="shared" si="7"/>
        <v>0</v>
      </c>
      <c r="O29" s="235">
        <f t="shared" si="7"/>
        <v>0</v>
      </c>
      <c r="P29" s="235">
        <f t="shared" si="7"/>
        <v>0</v>
      </c>
      <c r="Q29" s="235">
        <f t="shared" si="7"/>
        <v>0</v>
      </c>
      <c r="R29" s="236">
        <f t="shared" si="4"/>
        <v>0</v>
      </c>
      <c r="S29" s="237" t="s">
        <v>75</v>
      </c>
      <c r="T29" s="238"/>
      <c r="U29" s="190"/>
      <c r="V29" s="224">
        <v>0</v>
      </c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BA29"/>
      <c r="BB29"/>
      <c r="BE29" s="191">
        <v>0</v>
      </c>
      <c r="BF29" s="191">
        <v>0</v>
      </c>
      <c r="BH29" s="191">
        <v>0</v>
      </c>
      <c r="BI29" s="191">
        <v>0</v>
      </c>
    </row>
    <row r="30" spans="1:63" s="208" customFormat="1" ht="13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4"/>
        <v>0</v>
      </c>
      <c r="S30" s="201"/>
      <c r="T30" s="202"/>
      <c r="U30" s="190"/>
      <c r="V30" s="190"/>
      <c r="W30" s="190"/>
      <c r="BA30"/>
      <c r="BB30"/>
    </row>
    <row r="31" spans="1:63" s="208" customFormat="1" ht="13">
      <c r="B31" s="180">
        <v>9114120018</v>
      </c>
      <c r="C31" s="303" t="str">
        <f>IFERROR(IF(VLOOKUP($B31,勘定科目!$A:$H,HLOOKUP($E$5,勘定科目!$F$1:$H$2,2,0),0)="","",VLOOKUP($B31,勘定科目!$A:$E,2,0)),"")</f>
        <v>部内間接経費</v>
      </c>
      <c r="D31" s="304" t="str">
        <f>IF(C31="","",VLOOKUP($B31,勘定科目!$A:$E,4,0))</f>
        <v>部内間接経費</v>
      </c>
      <c r="E31" s="305"/>
      <c r="F31" s="230">
        <v>220604931</v>
      </c>
      <c r="G31" s="302">
        <v>234146808</v>
      </c>
      <c r="H31" s="302">
        <v>222429733</v>
      </c>
      <c r="I31" s="302">
        <v>276404039</v>
      </c>
      <c r="J31" s="302">
        <v>277830780</v>
      </c>
      <c r="K31" s="302">
        <v>276497088</v>
      </c>
      <c r="L31" s="302">
        <v>312463556</v>
      </c>
      <c r="M31" s="302">
        <v>294150946</v>
      </c>
      <c r="N31" s="302">
        <v>297240844</v>
      </c>
      <c r="O31" s="302">
        <v>238733014</v>
      </c>
      <c r="P31" s="302">
        <v>251529445</v>
      </c>
      <c r="Q31" s="302">
        <v>244043153</v>
      </c>
      <c r="R31" s="200">
        <f t="shared" si="4"/>
        <v>3146074337</v>
      </c>
      <c r="S31" s="201" t="s">
        <v>692</v>
      </c>
      <c r="T31" s="202"/>
      <c r="U31" s="190"/>
      <c r="V31" s="190">
        <f>ROUNDDOWN(F26/$B$2,2)-V26</f>
        <v>0</v>
      </c>
      <c r="W31" s="190">
        <f t="shared" ref="W31:AG31" si="8">ROUNDDOWN(G26/$B$2,2)-W26</f>
        <v>0</v>
      </c>
      <c r="X31" s="190">
        <f t="shared" si="8"/>
        <v>0</v>
      </c>
      <c r="Y31" s="190">
        <f t="shared" si="8"/>
        <v>0</v>
      </c>
      <c r="Z31" s="190">
        <f t="shared" si="8"/>
        <v>0</v>
      </c>
      <c r="AA31" s="190">
        <f t="shared" si="8"/>
        <v>0</v>
      </c>
      <c r="AB31" s="190">
        <f t="shared" si="8"/>
        <v>0</v>
      </c>
      <c r="AC31" s="190">
        <f t="shared" si="8"/>
        <v>0</v>
      </c>
      <c r="AD31" s="190">
        <f t="shared" si="8"/>
        <v>0</v>
      </c>
      <c r="AE31" s="190">
        <f t="shared" si="8"/>
        <v>0</v>
      </c>
      <c r="AF31" s="190">
        <f t="shared" si="8"/>
        <v>0</v>
      </c>
      <c r="AG31" s="190">
        <f t="shared" si="8"/>
        <v>0</v>
      </c>
      <c r="BA31"/>
      <c r="BB31"/>
      <c r="BE31" s="208" t="e">
        <v>#REF!</v>
      </c>
      <c r="BF31" s="208" t="e">
        <v>#REF!</v>
      </c>
      <c r="BG31" s="208" t="e">
        <v>#REF!</v>
      </c>
      <c r="BH31" s="208" t="e">
        <v>#REF!</v>
      </c>
      <c r="BI31" s="208" t="e">
        <v>#REF!</v>
      </c>
    </row>
    <row r="32" spans="1:63" s="208" customFormat="1" ht="13">
      <c r="B32" s="180">
        <v>9114120029</v>
      </c>
      <c r="C32" s="303" t="str">
        <f>IFERROR(IF(VLOOKUP($B32,勘定科目!$A:$H,HLOOKUP($E$5,勘定科目!$F$1:$H$2,2,0),0)="","",VLOOKUP($B32,勘定科目!$A:$E,2,0)),"")</f>
        <v>部外間接経費1</v>
      </c>
      <c r="D32" s="304" t="str">
        <f>IF(C32="","",VLOOKUP($B32,勘定科目!$A:$E,4,0))</f>
        <v>部外間接経費1</v>
      </c>
      <c r="E32" s="305"/>
      <c r="F32" s="230">
        <v>198874</v>
      </c>
      <c r="G32" s="302">
        <v>228267</v>
      </c>
      <c r="H32" s="302">
        <v>190014</v>
      </c>
      <c r="I32" s="302">
        <v>209340</v>
      </c>
      <c r="J32" s="302">
        <v>188212</v>
      </c>
      <c r="K32" s="302">
        <v>205979</v>
      </c>
      <c r="L32" s="302">
        <v>185781</v>
      </c>
      <c r="M32" s="302">
        <v>186990</v>
      </c>
      <c r="N32" s="302">
        <v>188869</v>
      </c>
      <c r="O32" s="302">
        <v>181684</v>
      </c>
      <c r="P32" s="302">
        <v>192328</v>
      </c>
      <c r="Q32" s="302">
        <v>183871</v>
      </c>
      <c r="R32" s="200">
        <f t="shared" si="4"/>
        <v>2340209</v>
      </c>
      <c r="S32" s="201" t="s">
        <v>692</v>
      </c>
      <c r="T32" s="202"/>
      <c r="U32" s="190"/>
      <c r="V32" s="190">
        <f t="shared" ref="V32:AG33" si="9">ROUNDDOWN(F27/$B$2,2)-V27</f>
        <v>0</v>
      </c>
      <c r="W32" s="190">
        <f t="shared" si="9"/>
        <v>0</v>
      </c>
      <c r="X32" s="190">
        <f t="shared" si="9"/>
        <v>0</v>
      </c>
      <c r="Y32" s="190">
        <f t="shared" si="9"/>
        <v>0</v>
      </c>
      <c r="Z32" s="190">
        <f t="shared" si="9"/>
        <v>0</v>
      </c>
      <c r="AA32" s="190">
        <f t="shared" si="9"/>
        <v>0</v>
      </c>
      <c r="AB32" s="190">
        <f t="shared" si="9"/>
        <v>0</v>
      </c>
      <c r="AC32" s="190">
        <f t="shared" si="9"/>
        <v>0</v>
      </c>
      <c r="AD32" s="190">
        <f t="shared" si="9"/>
        <v>0</v>
      </c>
      <c r="AE32" s="190">
        <f t="shared" si="9"/>
        <v>0</v>
      </c>
      <c r="AF32" s="190">
        <f t="shared" si="9"/>
        <v>0</v>
      </c>
      <c r="AG32" s="190">
        <f t="shared" si="9"/>
        <v>0</v>
      </c>
      <c r="BA32"/>
      <c r="BB32"/>
      <c r="BE32" s="208" t="e">
        <v>#REF!</v>
      </c>
      <c r="BF32" s="208" t="e">
        <v>#REF!</v>
      </c>
      <c r="BG32" s="208" t="e">
        <v>#REF!</v>
      </c>
      <c r="BH32" s="208" t="e">
        <v>#REF!</v>
      </c>
      <c r="BI32" s="208" t="e">
        <v>#REF!</v>
      </c>
    </row>
    <row r="33" spans="1:63" s="208" customFormat="1" ht="13">
      <c r="B33" s="180">
        <v>9114120030</v>
      </c>
      <c r="C33" s="303" t="str">
        <f>IFERROR(IF(VLOOKUP($B33,勘定科目!$A:$H,HLOOKUP($E$5,勘定科目!$F$1:$H$2,2,0),0)="","",VLOOKUP($B33,勘定科目!$A:$E,2,0)),"")</f>
        <v>部外間接経費2</v>
      </c>
      <c r="D33" s="304" t="str">
        <f>IF(C33="","",VLOOKUP($B33,勘定科目!$A:$E,4,0))</f>
        <v>部外間接経費2</v>
      </c>
      <c r="E33" s="305"/>
      <c r="F33" s="230">
        <v>1214154</v>
      </c>
      <c r="G33" s="302">
        <v>414914</v>
      </c>
      <c r="H33" s="302">
        <v>297065</v>
      </c>
      <c r="I33" s="302">
        <v>320060</v>
      </c>
      <c r="J33" s="302">
        <v>287343</v>
      </c>
      <c r="K33" s="302">
        <v>258389</v>
      </c>
      <c r="L33" s="302">
        <v>323179</v>
      </c>
      <c r="M33" s="302">
        <v>332392</v>
      </c>
      <c r="N33" s="302">
        <v>321031</v>
      </c>
      <c r="O33" s="302">
        <v>251033</v>
      </c>
      <c r="P33" s="302">
        <v>262703</v>
      </c>
      <c r="Q33" s="302">
        <v>258196</v>
      </c>
      <c r="R33" s="200">
        <f t="shared" si="4"/>
        <v>4540459</v>
      </c>
      <c r="S33" s="201" t="s">
        <v>692</v>
      </c>
      <c r="T33" s="202"/>
      <c r="U33" s="190"/>
      <c r="V33" s="190">
        <f t="shared" si="9"/>
        <v>0</v>
      </c>
      <c r="W33" s="190">
        <f t="shared" si="9"/>
        <v>0</v>
      </c>
      <c r="X33" s="190">
        <f t="shared" si="9"/>
        <v>0</v>
      </c>
      <c r="Y33" s="190">
        <f t="shared" si="9"/>
        <v>0</v>
      </c>
      <c r="Z33" s="190">
        <f t="shared" si="9"/>
        <v>0</v>
      </c>
      <c r="AA33" s="190">
        <f t="shared" si="9"/>
        <v>0</v>
      </c>
      <c r="AB33" s="190">
        <f t="shared" si="9"/>
        <v>0</v>
      </c>
      <c r="AC33" s="190">
        <f t="shared" si="9"/>
        <v>0</v>
      </c>
      <c r="AD33" s="190">
        <f t="shared" si="9"/>
        <v>0</v>
      </c>
      <c r="AE33" s="190">
        <f t="shared" si="9"/>
        <v>0</v>
      </c>
      <c r="AF33" s="190">
        <f t="shared" si="9"/>
        <v>0</v>
      </c>
      <c r="AG33" s="190">
        <f t="shared" si="9"/>
        <v>0</v>
      </c>
      <c r="BA33"/>
      <c r="BB33"/>
      <c r="BE33" s="208" t="e">
        <v>#REF!</v>
      </c>
      <c r="BF33" s="208" t="e">
        <v>#REF!</v>
      </c>
      <c r="BG33" s="208" t="e">
        <v>#REF!</v>
      </c>
      <c r="BH33" s="208" t="e">
        <v>#REF!</v>
      </c>
      <c r="BI33" s="208" t="e">
        <v>#REF!</v>
      </c>
    </row>
    <row r="34" spans="1:63" s="208" customFormat="1" ht="13">
      <c r="B34" s="180">
        <v>9114120021</v>
      </c>
      <c r="C34" s="303" t="str">
        <f>IFERROR(IF(VLOOKUP($B34,勘定科目!$A:$H,HLOOKUP($E$5,勘定科目!$F$1:$H$2,2,0),0)="","",VLOOKUP($B34,勘定科目!$A:$E,2,0)),"")</f>
        <v>工場間接経費</v>
      </c>
      <c r="D34" s="304" t="str">
        <f>IF(C34="","",VLOOKUP($B34,勘定科目!$A:$E,4,0))</f>
        <v>工場間接経費</v>
      </c>
      <c r="E34" s="305"/>
      <c r="F34" s="230">
        <v>14434652</v>
      </c>
      <c r="G34" s="302">
        <v>18441680</v>
      </c>
      <c r="H34" s="302">
        <v>13653362</v>
      </c>
      <c r="I34" s="302">
        <v>19667911</v>
      </c>
      <c r="J34" s="302">
        <v>10958406</v>
      </c>
      <c r="K34" s="302">
        <v>10711167</v>
      </c>
      <c r="L34" s="302">
        <v>13604101</v>
      </c>
      <c r="M34" s="302">
        <v>11461087</v>
      </c>
      <c r="N34" s="302">
        <v>11335215</v>
      </c>
      <c r="O34" s="302">
        <v>12618506</v>
      </c>
      <c r="P34" s="302">
        <v>8713747</v>
      </c>
      <c r="Q34" s="302">
        <v>8992519</v>
      </c>
      <c r="R34" s="200">
        <f t="shared" si="4"/>
        <v>154592353</v>
      </c>
      <c r="S34" s="201" t="s">
        <v>692</v>
      </c>
      <c r="T34" s="202"/>
      <c r="U34" s="190"/>
      <c r="V34" s="190"/>
      <c r="W34" s="190"/>
      <c r="BA34"/>
      <c r="BB34"/>
    </row>
    <row r="35" spans="1:63" s="208" customFormat="1" ht="13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4"/>
        <v>0</v>
      </c>
      <c r="S35" s="201"/>
      <c r="T35" s="202"/>
      <c r="U35" s="190"/>
      <c r="V35" s="190"/>
      <c r="W35" s="190"/>
      <c r="BA35"/>
      <c r="BB35"/>
    </row>
    <row r="36" spans="1:63" s="191" customFormat="1" ht="13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>
        <f t="shared" ref="F36" si="10">ROUNDUP(V36*$B$2,0)</f>
        <v>168674149</v>
      </c>
      <c r="G36" s="241">
        <f t="shared" ref="G36" si="11">ROUNDUP(W36*$B$2,0)</f>
        <v>158971868</v>
      </c>
      <c r="H36" s="241">
        <f t="shared" ref="H36" si="12">ROUNDUP(X36*$B$2,0)</f>
        <v>168902913</v>
      </c>
      <c r="I36" s="241">
        <f t="shared" ref="I36" si="13">ROUNDUP(Y36*$B$2,0)</f>
        <v>213673862</v>
      </c>
      <c r="J36" s="241">
        <f t="shared" ref="J36" si="14">ROUNDUP(Z36*$B$2,0)</f>
        <v>195279315</v>
      </c>
      <c r="K36" s="241">
        <f t="shared" ref="K36" si="15">ROUNDUP(AA36*$B$2,0)</f>
        <v>182979129</v>
      </c>
      <c r="L36" s="241">
        <f t="shared" ref="L36" si="16">ROUNDUP(AB36*$B$2,0)</f>
        <v>221709289</v>
      </c>
      <c r="M36" s="241">
        <f t="shared" ref="M36" si="17">ROUNDUP(AC36*$B$2,0)</f>
        <v>206488492</v>
      </c>
      <c r="N36" s="241">
        <f t="shared" ref="N36" si="18">ROUNDUP(AD36*$B$2,0)</f>
        <v>223161343</v>
      </c>
      <c r="O36" s="241">
        <f t="shared" ref="O36" si="19">ROUNDUP(AE36*$B$2,0)</f>
        <v>218951427</v>
      </c>
      <c r="P36" s="241">
        <f t="shared" ref="P36" si="20">ROUNDUP(AF36*$B$2,0)</f>
        <v>180899180</v>
      </c>
      <c r="Q36" s="241">
        <f t="shared" ref="Q36" si="21">ROUNDUP(AG36*$B$2,0)</f>
        <v>208576311</v>
      </c>
      <c r="R36" s="200">
        <f t="shared" si="4"/>
        <v>2348267278</v>
      </c>
      <c r="S36" s="201"/>
      <c r="T36" s="202"/>
      <c r="U36" s="246"/>
      <c r="V36" s="300">
        <v>6643.33</v>
      </c>
      <c r="W36" s="300">
        <v>6261.2</v>
      </c>
      <c r="X36" s="301">
        <v>6652.34</v>
      </c>
      <c r="Y36" s="301">
        <v>8415.67</v>
      </c>
      <c r="Z36" s="301">
        <v>7691.19</v>
      </c>
      <c r="AA36" s="301">
        <v>7206.74</v>
      </c>
      <c r="AB36" s="301">
        <v>8732.15</v>
      </c>
      <c r="AC36" s="301">
        <v>8132.67</v>
      </c>
      <c r="AD36" s="301">
        <v>8789.34</v>
      </c>
      <c r="AE36" s="301">
        <v>8623.5300000000007</v>
      </c>
      <c r="AF36" s="301">
        <v>7124.82</v>
      </c>
      <c r="AG36" s="301">
        <v>8214.9</v>
      </c>
      <c r="BA36"/>
      <c r="BB36"/>
      <c r="BE36" s="191">
        <v>6050.36</v>
      </c>
      <c r="BF36" s="191">
        <v>6050.36</v>
      </c>
      <c r="BG36" s="191">
        <v>6050.36</v>
      </c>
      <c r="BH36" s="191">
        <v>6050.36</v>
      </c>
      <c r="BI36" s="191">
        <v>6050.36</v>
      </c>
      <c r="BJ36" s="191">
        <v>6050.36</v>
      </c>
      <c r="BK36" s="191">
        <v>6050.36</v>
      </c>
    </row>
    <row r="37" spans="1:63" s="191" customFormat="1" ht="13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4"/>
        <v>0</v>
      </c>
      <c r="S37" s="201"/>
      <c r="T37" s="202"/>
      <c r="U37" s="246"/>
      <c r="V37" s="246"/>
      <c r="W37" s="246"/>
      <c r="BA37"/>
      <c r="BB37"/>
    </row>
    <row r="38" spans="1:63" s="191" customFormat="1" ht="13">
      <c r="A38" s="226"/>
      <c r="B38" s="180">
        <v>5005076281</v>
      </c>
      <c r="C38" s="183" t="str">
        <f>IFERROR(IF(VLOOKUP($B38,勘定科目!$A:$H,HLOOKUP($E$5,勘定科目!$F$1:$H$2,2,0),0)="","",VLOOKUP($B38,勘定科目!$A:$E,2,0)),"")</f>
        <v>通関申告費用（製）</v>
      </c>
      <c r="D38" s="239" t="str">
        <f>IF(C38="","",VLOOKUP($B38,勘定科目!$A:$E,4,0))</f>
        <v>荷造運賃</v>
      </c>
      <c r="E38" s="245"/>
      <c r="F38" s="194">
        <v>6591880</v>
      </c>
      <c r="G38" s="194">
        <v>6591880</v>
      </c>
      <c r="H38" s="194">
        <v>6591880</v>
      </c>
      <c r="I38" s="194">
        <v>6591880</v>
      </c>
      <c r="J38" s="194">
        <v>6591880</v>
      </c>
      <c r="K38" s="194">
        <v>6591880</v>
      </c>
      <c r="L38" s="194">
        <v>6591880</v>
      </c>
      <c r="M38" s="194">
        <v>6591880</v>
      </c>
      <c r="N38" s="194">
        <v>6591880</v>
      </c>
      <c r="O38" s="194">
        <v>6591880</v>
      </c>
      <c r="P38" s="194">
        <v>6591880</v>
      </c>
      <c r="Q38" s="194">
        <v>6591880</v>
      </c>
      <c r="R38" s="200">
        <f t="shared" si="4"/>
        <v>79102560</v>
      </c>
      <c r="S38" s="201" t="s">
        <v>693</v>
      </c>
      <c r="T38" s="202"/>
      <c r="U38" s="246"/>
      <c r="V38" s="246"/>
      <c r="W38" s="246"/>
      <c r="BA38"/>
      <c r="BB38"/>
      <c r="BE38" s="191" t="e">
        <v>#REF!</v>
      </c>
      <c r="BF38" s="191" t="e">
        <v>#REF!</v>
      </c>
      <c r="BG38" s="191" t="e">
        <v>#REF!</v>
      </c>
      <c r="BH38" s="191" t="e">
        <v>#REF!</v>
      </c>
      <c r="BI38" s="191" t="e">
        <v>#REF!</v>
      </c>
    </row>
    <row r="39" spans="1:63" s="191" customFormat="1" ht="13">
      <c r="A39" s="226"/>
      <c r="B39" s="180">
        <v>5005076283</v>
      </c>
      <c r="C39" s="183" t="str">
        <f>IFERROR(IF(VLOOKUP($B39,勘定科目!$A:$H,HLOOKUP($E$5,勘定科目!$F$1:$H$2,2,0),0)="","",VLOOKUP($B39,勘定科目!$A:$E,2,0)),"")</f>
        <v>輸入航空運賃（製）</v>
      </c>
      <c r="D39" s="239" t="str">
        <f>IF(C39="","",VLOOKUP($B39,勘定科目!$A:$E,4,0))</f>
        <v>荷造運賃</v>
      </c>
      <c r="E39" s="245"/>
      <c r="F39" s="194">
        <v>93515850</v>
      </c>
      <c r="G39" s="194">
        <v>93515850</v>
      </c>
      <c r="H39" s="194">
        <v>93515850</v>
      </c>
      <c r="I39" s="194">
        <v>93515850</v>
      </c>
      <c r="J39" s="194">
        <v>93515850</v>
      </c>
      <c r="K39" s="194">
        <v>93515850</v>
      </c>
      <c r="L39" s="194">
        <v>93515850</v>
      </c>
      <c r="M39" s="194">
        <v>93515850</v>
      </c>
      <c r="N39" s="194">
        <v>93515850</v>
      </c>
      <c r="O39" s="194">
        <v>93515850</v>
      </c>
      <c r="P39" s="194">
        <v>93515850</v>
      </c>
      <c r="Q39" s="194">
        <v>93515850</v>
      </c>
      <c r="R39" s="200">
        <f t="shared" si="4"/>
        <v>1122190200</v>
      </c>
      <c r="S39" s="201" t="s">
        <v>706</v>
      </c>
      <c r="T39" s="202"/>
      <c r="U39" s="246"/>
      <c r="V39" s="246"/>
      <c r="W39" s="246"/>
      <c r="BA39"/>
      <c r="BB39"/>
    </row>
    <row r="40" spans="1:63" s="191" customFormat="1" ht="13">
      <c r="A40" s="226"/>
      <c r="B40" s="180">
        <v>5005076284</v>
      </c>
      <c r="C40" s="183" t="str">
        <f>IFERROR(IF(VLOOKUP($B40,勘定科目!$A:$H,HLOOKUP($E$5,勘定科目!$F$1:$H$2,2,0),0)="","",VLOOKUP($B40,勘定科目!$A:$E,2,0)),"")</f>
        <v>輸入海上運賃（製）</v>
      </c>
      <c r="D40" s="239" t="str">
        <f>IF(C40="","",VLOOKUP($B40,勘定科目!$A:$E,4,0))</f>
        <v>荷造運賃</v>
      </c>
      <c r="E40" s="245"/>
      <c r="F40" s="194">
        <v>60000000</v>
      </c>
      <c r="G40" s="194">
        <v>60000000</v>
      </c>
      <c r="H40" s="194">
        <v>60000000</v>
      </c>
      <c r="I40" s="194">
        <v>60000000</v>
      </c>
      <c r="J40" s="194">
        <v>60000000</v>
      </c>
      <c r="K40" s="194">
        <v>60000000</v>
      </c>
      <c r="L40" s="194">
        <v>60000000</v>
      </c>
      <c r="M40" s="194">
        <v>60000000</v>
      </c>
      <c r="N40" s="194">
        <v>60000000</v>
      </c>
      <c r="O40" s="194">
        <v>60000000</v>
      </c>
      <c r="P40" s="194">
        <v>60000000</v>
      </c>
      <c r="Q40" s="194">
        <v>60000000</v>
      </c>
      <c r="R40" s="200">
        <f t="shared" si="4"/>
        <v>720000000</v>
      </c>
      <c r="S40" s="201" t="s">
        <v>694</v>
      </c>
      <c r="T40" s="202"/>
      <c r="U40" s="246"/>
      <c r="V40" s="246"/>
      <c r="W40" s="246"/>
      <c r="BA40"/>
      <c r="BB40"/>
      <c r="BE40" s="191" t="e">
        <v>#REF!</v>
      </c>
      <c r="BF40" s="191" t="e">
        <v>#REF!</v>
      </c>
      <c r="BG40" s="191" t="e">
        <v>#REF!</v>
      </c>
      <c r="BH40" s="191" t="e">
        <v>#REF!</v>
      </c>
      <c r="BI40" s="191" t="e">
        <v>#REF!</v>
      </c>
    </row>
    <row r="41" spans="1:63" s="191" customFormat="1" ht="13">
      <c r="A41" s="226"/>
      <c r="B41" s="180">
        <v>6003036543</v>
      </c>
      <c r="C41" s="183" t="str">
        <f>IFERROR(IF(VLOOKUP($B41,勘定科目!$A:$H,HLOOKUP($E$5,勘定科目!$F$1:$H$2,2,0),0)="","",VLOOKUP($B41,勘定科目!$A:$E,2,0)),"")</f>
        <v>輸出航空運賃（販売）</v>
      </c>
      <c r="D41" s="239" t="str">
        <f>IF(C41="","",VLOOKUP($B41,勘定科目!$A:$E,4,0))</f>
        <v>荷造運賃</v>
      </c>
      <c r="E41" s="245"/>
      <c r="F41" s="194">
        <v>26000</v>
      </c>
      <c r="G41" s="194">
        <v>26000</v>
      </c>
      <c r="H41" s="194">
        <v>26000</v>
      </c>
      <c r="I41" s="194">
        <v>26000</v>
      </c>
      <c r="J41" s="194">
        <v>26000</v>
      </c>
      <c r="K41" s="194">
        <v>26000</v>
      </c>
      <c r="L41" s="194">
        <v>26000</v>
      </c>
      <c r="M41" s="194">
        <v>26000</v>
      </c>
      <c r="N41" s="194">
        <v>26000</v>
      </c>
      <c r="O41" s="194">
        <v>26000</v>
      </c>
      <c r="P41" s="194">
        <v>26000</v>
      </c>
      <c r="Q41" s="194">
        <v>26000</v>
      </c>
      <c r="R41" s="200">
        <f t="shared" si="4"/>
        <v>312000</v>
      </c>
      <c r="S41" s="201" t="s">
        <v>695</v>
      </c>
      <c r="T41" s="202"/>
      <c r="U41" s="246"/>
      <c r="V41" s="246"/>
      <c r="W41" s="246"/>
      <c r="BA41"/>
      <c r="BB41"/>
    </row>
    <row r="42" spans="1:63" s="191" customFormat="1" ht="13">
      <c r="A42" s="226"/>
      <c r="B42" s="180">
        <v>6003036544</v>
      </c>
      <c r="C42" s="183" t="str">
        <f>IFERROR(IF(VLOOKUP($B42,勘定科目!$A:$H,HLOOKUP($E$5,勘定科目!$F$1:$H$2,2,0),0)="","",VLOOKUP($B42,勘定科目!$A:$E,2,0)),"")</f>
        <v>輸出海上運賃（販売）</v>
      </c>
      <c r="D42" s="239" t="str">
        <f>IF(C42="","",VLOOKUP($B42,勘定科目!$A:$E,4,0))</f>
        <v>荷造運賃</v>
      </c>
      <c r="E42" s="245"/>
      <c r="F42" s="194">
        <v>235000000</v>
      </c>
      <c r="G42" s="194">
        <v>235000000</v>
      </c>
      <c r="H42" s="194">
        <v>235000000</v>
      </c>
      <c r="I42" s="194">
        <v>235000000</v>
      </c>
      <c r="J42" s="194">
        <v>235000000</v>
      </c>
      <c r="K42" s="194">
        <v>235000000</v>
      </c>
      <c r="L42" s="194">
        <v>235000000</v>
      </c>
      <c r="M42" s="194">
        <v>235000000</v>
      </c>
      <c r="N42" s="194">
        <v>235000000</v>
      </c>
      <c r="O42" s="194">
        <v>235000000</v>
      </c>
      <c r="P42" s="194">
        <v>235000000</v>
      </c>
      <c r="Q42" s="194">
        <v>235000000</v>
      </c>
      <c r="R42" s="200">
        <f t="shared" si="4"/>
        <v>2820000000</v>
      </c>
      <c r="S42" s="201" t="s">
        <v>696</v>
      </c>
      <c r="T42" s="202"/>
      <c r="U42" s="246"/>
      <c r="V42" s="246"/>
      <c r="W42" s="246"/>
      <c r="BA42"/>
      <c r="BB42"/>
    </row>
    <row r="43" spans="1:63" s="191" customFormat="1" ht="13">
      <c r="A43" s="226"/>
      <c r="B43" s="180">
        <v>5005076289</v>
      </c>
      <c r="C43" s="183" t="str">
        <f>IFERROR(IF(VLOOKUP($B43,勘定科目!$A:$H,HLOOKUP($E$5,勘定科目!$F$1:$H$2,2,0),0)="","",VLOOKUP($B43,勘定科目!$A:$E,2,0)),"")</f>
        <v>クーリエ費用（製）</v>
      </c>
      <c r="D43" s="239" t="str">
        <f>IF(C43="","",VLOOKUP($B43,勘定科目!$A:$E,4,0))</f>
        <v>荷造運賃</v>
      </c>
      <c r="E43" s="245"/>
      <c r="F43" s="194">
        <v>3100000</v>
      </c>
      <c r="G43" s="194">
        <v>3100000</v>
      </c>
      <c r="H43" s="194">
        <v>3100000</v>
      </c>
      <c r="I43" s="194">
        <v>3100000</v>
      </c>
      <c r="J43" s="194">
        <v>3100000</v>
      </c>
      <c r="K43" s="194">
        <v>3100000</v>
      </c>
      <c r="L43" s="194">
        <v>3100000</v>
      </c>
      <c r="M43" s="194">
        <v>3100000</v>
      </c>
      <c r="N43" s="194">
        <v>3100000</v>
      </c>
      <c r="O43" s="194">
        <v>3100000</v>
      </c>
      <c r="P43" s="194">
        <v>3100000</v>
      </c>
      <c r="Q43" s="194">
        <v>3100000</v>
      </c>
      <c r="R43" s="200">
        <f t="shared" si="4"/>
        <v>37200000</v>
      </c>
      <c r="S43" s="201" t="s">
        <v>697</v>
      </c>
      <c r="T43" s="202"/>
      <c r="U43" s="246"/>
      <c r="V43" s="246"/>
      <c r="W43" s="246"/>
      <c r="BA43"/>
      <c r="BB43"/>
    </row>
    <row r="44" spans="1:63" s="191" customFormat="1" ht="13">
      <c r="A44" s="226"/>
      <c r="B44" s="180">
        <v>6003036555</v>
      </c>
      <c r="C44" s="183" t="str">
        <f>IFERROR(IF(VLOOKUP($B44,勘定科目!$A:$H,HLOOKUP($E$5,勘定科目!$F$1:$H$2,2,0),0)="","",VLOOKUP($B44,勘定科目!$A:$E,2,0)),"")</f>
        <v>外部倉庫　保管料（販売）</v>
      </c>
      <c r="D44" s="239" t="str">
        <f>IF(C44="","",VLOOKUP($B44,勘定科目!$A:$E,4,0))</f>
        <v>荷造運賃</v>
      </c>
      <c r="E44" s="245"/>
      <c r="F44" s="194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00">
        <f t="shared" si="4"/>
        <v>0</v>
      </c>
      <c r="S44" s="201" t="s">
        <v>698</v>
      </c>
      <c r="T44" s="202"/>
      <c r="U44" s="246"/>
      <c r="V44" s="246"/>
      <c r="W44" s="246"/>
      <c r="BA44"/>
      <c r="BB44"/>
      <c r="BE44" s="191" t="e">
        <v>#REF!</v>
      </c>
      <c r="BF44" s="191" t="e">
        <v>#REF!</v>
      </c>
      <c r="BG44" s="191" t="e">
        <v>#REF!</v>
      </c>
      <c r="BH44" s="191" t="e">
        <v>#REF!</v>
      </c>
      <c r="BI44" s="191" t="e">
        <v>#REF!</v>
      </c>
    </row>
    <row r="45" spans="1:63" s="191" customFormat="1" ht="13">
      <c r="A45" s="226"/>
      <c r="B45" s="180">
        <v>5005076286</v>
      </c>
      <c r="C45" s="183" t="str">
        <f>IFERROR(IF(VLOOKUP($B45,勘定科目!$A:$H,HLOOKUP($E$5,勘定科目!$F$1:$H$2,2,0),0)="","",VLOOKUP($B45,勘定科目!$A:$E,2,0)),"")</f>
        <v>部品集荷トラック代</v>
      </c>
      <c r="D45" s="239" t="str">
        <f>IF(C45="","",VLOOKUP($B45,勘定科目!$A:$E,4,0))</f>
        <v>荷造運賃</v>
      </c>
      <c r="E45" s="245"/>
      <c r="F45" s="194">
        <v>248740492</v>
      </c>
      <c r="G45" s="247">
        <v>236303467</v>
      </c>
      <c r="H45" s="247">
        <v>261177517</v>
      </c>
      <c r="I45" s="247">
        <v>286051566</v>
      </c>
      <c r="J45" s="247">
        <v>248740492</v>
      </c>
      <c r="K45" s="247">
        <v>236303467</v>
      </c>
      <c r="L45" s="247">
        <v>286051566</v>
      </c>
      <c r="M45" s="247">
        <v>248740492</v>
      </c>
      <c r="N45" s="247">
        <v>273614541</v>
      </c>
      <c r="O45" s="247">
        <v>248740492</v>
      </c>
      <c r="P45" s="247">
        <v>186555369</v>
      </c>
      <c r="Q45" s="247">
        <v>261177517</v>
      </c>
      <c r="R45" s="200">
        <f t="shared" si="4"/>
        <v>3022196978</v>
      </c>
      <c r="S45" s="201" t="s">
        <v>699</v>
      </c>
      <c r="T45" s="202"/>
      <c r="U45" s="246"/>
      <c r="V45" s="246"/>
      <c r="W45" s="246"/>
      <c r="BA45"/>
      <c r="BB45"/>
    </row>
    <row r="46" spans="1:63" s="191" customFormat="1" ht="13">
      <c r="A46" s="226"/>
      <c r="B46" s="180">
        <v>5001016131</v>
      </c>
      <c r="C46" s="183" t="str">
        <f>IFERROR(IF(VLOOKUP($B46,勘定科目!$A:$H,HLOOKUP($E$5,勘定科目!$F$1:$H$2,2,0),0)="","",VLOOKUP($B46,勘定科目!$A:$E,2,0)),"")</f>
        <v>材料仕入割戻高</v>
      </c>
      <c r="D46" s="239" t="str">
        <f>IF(C46="","",VLOOKUP($B46,勘定科目!$A:$E,4,0))</f>
        <v>材料費</v>
      </c>
      <c r="E46" s="245"/>
      <c r="F46" s="194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00">
        <f t="shared" si="4"/>
        <v>0</v>
      </c>
      <c r="S46" s="201" t="s">
        <v>700</v>
      </c>
      <c r="T46" s="202"/>
      <c r="U46" s="246"/>
      <c r="V46" s="246"/>
      <c r="W46" s="246"/>
      <c r="BA46"/>
      <c r="BB46"/>
    </row>
    <row r="47" spans="1:63" s="191" customFormat="1" ht="13">
      <c r="A47" s="226"/>
      <c r="B47" s="180">
        <v>5006016260</v>
      </c>
      <c r="C47" s="183" t="str">
        <f>IFERROR(IF(VLOOKUP($B47,勘定科目!$A:$H,HLOOKUP($E$5,勘定科目!$F$1:$H$2,2,0),0)="","",VLOOKUP($B47,勘定科目!$A:$E,2,0)),"")</f>
        <v>減価償却費配賦（製）　建物</v>
      </c>
      <c r="D47" s="239" t="str">
        <f>IF(C47="","",VLOOKUP($B47,勘定科目!$A:$E,4,0))</f>
        <v>減価償却費</v>
      </c>
      <c r="E47" s="245"/>
      <c r="F47" s="194">
        <v>162057515</v>
      </c>
      <c r="G47" s="247">
        <v>162057515</v>
      </c>
      <c r="H47" s="247">
        <v>162057515</v>
      </c>
      <c r="I47" s="247">
        <v>162057515</v>
      </c>
      <c r="J47" s="247">
        <v>162057515</v>
      </c>
      <c r="K47" s="247">
        <v>162057515</v>
      </c>
      <c r="L47" s="247">
        <v>162057515</v>
      </c>
      <c r="M47" s="247">
        <v>162057515</v>
      </c>
      <c r="N47" s="247">
        <v>162057515</v>
      </c>
      <c r="O47" s="247">
        <v>162057515</v>
      </c>
      <c r="P47" s="247">
        <v>162057515</v>
      </c>
      <c r="Q47" s="247">
        <v>162057515</v>
      </c>
      <c r="R47" s="200">
        <f t="shared" si="4"/>
        <v>1944690180</v>
      </c>
      <c r="S47" s="201" t="s">
        <v>701</v>
      </c>
      <c r="T47" s="202"/>
      <c r="U47" s="246"/>
      <c r="V47" s="246"/>
      <c r="W47" s="246"/>
      <c r="BA47"/>
      <c r="BB47"/>
      <c r="BE47" s="191" t="e">
        <v>#REF!</v>
      </c>
      <c r="BF47" s="191" t="e">
        <v>#REF!</v>
      </c>
      <c r="BH47" s="191" t="e">
        <v>#REF!</v>
      </c>
      <c r="BI47" s="191" t="e">
        <v>#REF!</v>
      </c>
    </row>
    <row r="48" spans="1:63" s="191" customFormat="1" ht="13">
      <c r="A48" s="226"/>
      <c r="B48" s="180">
        <v>5006016261</v>
      </c>
      <c r="C48" s="183" t="str">
        <f>IFERROR(IF(VLOOKUP($B48,勘定科目!$A:$H,HLOOKUP($E$5,勘定科目!$F$1:$H$2,2,0),0)="","",VLOOKUP($B48,勘定科目!$A:$E,2,0)),"")</f>
        <v>減価償却費配賦（製）　土地使用権</v>
      </c>
      <c r="D48" s="239" t="str">
        <f>IF(C48="","",VLOOKUP($B48,勘定科目!$A:$E,4,0))</f>
        <v>減価償却費</v>
      </c>
      <c r="E48" s="245"/>
      <c r="F48" s="194">
        <v>10938266</v>
      </c>
      <c r="G48" s="247">
        <v>10938266</v>
      </c>
      <c r="H48" s="247">
        <v>10938266</v>
      </c>
      <c r="I48" s="247">
        <v>10938266</v>
      </c>
      <c r="J48" s="247">
        <v>10938266</v>
      </c>
      <c r="K48" s="247">
        <v>10938266</v>
      </c>
      <c r="L48" s="247">
        <v>10938266</v>
      </c>
      <c r="M48" s="247">
        <v>10938266</v>
      </c>
      <c r="N48" s="247">
        <v>10938266</v>
      </c>
      <c r="O48" s="247">
        <v>10938266</v>
      </c>
      <c r="P48" s="247">
        <v>10938266</v>
      </c>
      <c r="Q48" s="247">
        <v>10938266</v>
      </c>
      <c r="R48" s="200">
        <f t="shared" si="4"/>
        <v>131259192</v>
      </c>
      <c r="S48" s="201" t="s">
        <v>702</v>
      </c>
      <c r="T48" s="202"/>
      <c r="U48" s="246"/>
      <c r="V48" s="246"/>
      <c r="W48" s="246"/>
      <c r="BA48"/>
      <c r="BB48"/>
      <c r="BE48" s="191" t="e">
        <v>#REF!</v>
      </c>
      <c r="BF48" s="191" t="e">
        <v>#REF!</v>
      </c>
      <c r="BH48" s="191" t="e">
        <v>#REF!</v>
      </c>
      <c r="BI48" s="191" t="e">
        <v>#REF!</v>
      </c>
    </row>
    <row r="49" spans="1:61" s="191" customFormat="1" ht="13">
      <c r="A49" s="226"/>
      <c r="B49" s="180">
        <v>9114120007</v>
      </c>
      <c r="C49" s="183" t="str">
        <f>IFERROR(IF(VLOOKUP($B49,勘定科目!$A:$H,HLOOKUP($E$5,勘定科目!$F$1:$H$2,2,0),0)="","",VLOOKUP($B49,勘定科目!$A:$E,2,0)),"")</f>
        <v>社内金利（固定資産）</v>
      </c>
      <c r="D49" s="239" t="str">
        <f>IF(C49="","",VLOOKUP($B49,勘定科目!$A:$E,4,0))</f>
        <v>固定資産金利</v>
      </c>
      <c r="E49" s="245"/>
      <c r="F49" s="194">
        <v>110001921</v>
      </c>
      <c r="G49" s="247">
        <v>104167807</v>
      </c>
      <c r="H49" s="247">
        <v>104167807</v>
      </c>
      <c r="I49" s="247">
        <v>104167807</v>
      </c>
      <c r="J49" s="247">
        <v>104167807</v>
      </c>
      <c r="K49" s="247">
        <v>104167807</v>
      </c>
      <c r="L49" s="247">
        <v>104167807</v>
      </c>
      <c r="M49" s="247">
        <v>104167807</v>
      </c>
      <c r="N49" s="247">
        <v>104167807</v>
      </c>
      <c r="O49" s="247">
        <v>104167807</v>
      </c>
      <c r="P49" s="247">
        <v>104167807</v>
      </c>
      <c r="Q49" s="247">
        <v>104167807</v>
      </c>
      <c r="R49" s="200">
        <f t="shared" si="4"/>
        <v>1255847798</v>
      </c>
      <c r="S49" s="201" t="s">
        <v>704</v>
      </c>
      <c r="T49" s="202"/>
      <c r="U49" s="246"/>
      <c r="V49" s="246"/>
      <c r="W49" s="246"/>
      <c r="BA49"/>
      <c r="BB49"/>
      <c r="BE49" s="191" t="e">
        <v>#REF!</v>
      </c>
      <c r="BF49" s="191" t="e">
        <v>#REF!</v>
      </c>
      <c r="BH49" s="191" t="e">
        <v>#REF!</v>
      </c>
      <c r="BI49" s="191" t="e">
        <v>#REF!</v>
      </c>
    </row>
    <row r="50" spans="1:61" s="191" customFormat="1" ht="13">
      <c r="A50" s="226"/>
      <c r="B50" s="180">
        <v>9114120007</v>
      </c>
      <c r="C50" s="183" t="str">
        <f>IFERROR(IF(VLOOKUP($B50,勘定科目!$A:$H,HLOOKUP($E$5,勘定科目!$F$1:$H$2,2,0),0)="","",VLOOKUP($B50,勘定科目!$A:$E,2,0)),"")</f>
        <v>社内金利（固定資産）</v>
      </c>
      <c r="D50" s="239" t="str">
        <f>IF(C50="","",VLOOKUP($B50,勘定科目!$A:$E,4,0))</f>
        <v>固定資産金利</v>
      </c>
      <c r="E50" s="245"/>
      <c r="F50" s="194">
        <v>13601169</v>
      </c>
      <c r="G50" s="247">
        <v>13207370</v>
      </c>
      <c r="H50" s="247">
        <v>13207370</v>
      </c>
      <c r="I50" s="247">
        <v>13207370</v>
      </c>
      <c r="J50" s="247">
        <v>13207370</v>
      </c>
      <c r="K50" s="247">
        <v>13207370</v>
      </c>
      <c r="L50" s="247">
        <v>13207370</v>
      </c>
      <c r="M50" s="247">
        <v>13207370</v>
      </c>
      <c r="N50" s="247">
        <v>13207370</v>
      </c>
      <c r="O50" s="247">
        <v>13207370</v>
      </c>
      <c r="P50" s="247">
        <v>13207370</v>
      </c>
      <c r="Q50" s="247">
        <v>13207370</v>
      </c>
      <c r="R50" s="200">
        <f t="shared" si="4"/>
        <v>158882239</v>
      </c>
      <c r="S50" s="201" t="s">
        <v>705</v>
      </c>
      <c r="T50" s="202"/>
      <c r="U50" s="246"/>
      <c r="V50" s="246"/>
      <c r="W50" s="246"/>
      <c r="BA50"/>
      <c r="BB50"/>
    </row>
    <row r="51" spans="1:61" s="191" customFormat="1" ht="13">
      <c r="A51" s="226"/>
      <c r="B51" s="180">
        <v>5005066281</v>
      </c>
      <c r="C51" s="183" t="str">
        <f>IFERROR(IF(VLOOKUP($B51,勘定科目!$A:$H,HLOOKUP($E$5,勘定科目!$F$1:$H$2,2,0),0)="","",VLOOKUP($B51,勘定科目!$A:$E,2,0)),"")</f>
        <v>電気代（製）</v>
      </c>
      <c r="D51" s="239" t="str">
        <f>IF(C51="","",VLOOKUP($B51,勘定科目!$A:$E,4,0))</f>
        <v>水道光熱費</v>
      </c>
      <c r="E51" s="245"/>
      <c r="F51" s="194">
        <v>9450856</v>
      </c>
      <c r="G51" s="247">
        <v>9681403</v>
      </c>
      <c r="H51" s="247">
        <v>12136256</v>
      </c>
      <c r="I51" s="247">
        <v>13069814</v>
      </c>
      <c r="J51" s="247">
        <v>13536593</v>
      </c>
      <c r="K51" s="247">
        <v>12416324</v>
      </c>
      <c r="L51" s="247">
        <v>12603035</v>
      </c>
      <c r="M51" s="247">
        <v>11202698</v>
      </c>
      <c r="N51" s="247">
        <v>10735919</v>
      </c>
      <c r="O51" s="247">
        <v>9335582</v>
      </c>
      <c r="P51" s="247">
        <v>9335582</v>
      </c>
      <c r="Q51" s="247">
        <v>7468465</v>
      </c>
      <c r="R51" s="200">
        <f t="shared" si="4"/>
        <v>130972527</v>
      </c>
      <c r="S51" s="201" t="s">
        <v>703</v>
      </c>
      <c r="T51" s="202"/>
      <c r="U51" s="246"/>
      <c r="V51" s="246"/>
      <c r="W51" s="246"/>
      <c r="BA51"/>
      <c r="BB51"/>
    </row>
    <row r="52" spans="1:61" s="191" customFormat="1" ht="13">
      <c r="A52" s="226"/>
      <c r="B52" s="180"/>
      <c r="C52" s="183" t="str">
        <f>IFERROR(IF(VLOOKUP($B52,勘定科目!$A:$H,HLOOKUP($E$5,勘定科目!$F$1:$H$2,2,0),0)="","",VLOOKUP($B52,勘定科目!$A:$E,2,0)),"")</f>
        <v/>
      </c>
      <c r="D52" s="239" t="str">
        <f>IF(C52="","",VLOOKUP($B52,勘定科目!$A:$E,4,0))</f>
        <v/>
      </c>
      <c r="E52" s="245"/>
      <c r="F52" s="194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00">
        <f t="shared" si="4"/>
        <v>0</v>
      </c>
      <c r="S52" s="201"/>
      <c r="T52" s="202"/>
      <c r="U52" s="246"/>
      <c r="V52" s="246"/>
      <c r="W52" s="246"/>
      <c r="BA52"/>
      <c r="BB52"/>
    </row>
    <row r="53" spans="1:61" s="191" customFormat="1" ht="13">
      <c r="A53" s="226"/>
      <c r="B53" s="180"/>
      <c r="C53" s="183" t="str">
        <f>IFERROR(IF(VLOOKUP($B53,勘定科目!$A:$H,HLOOKUP($E$5,勘定科目!$F$1:$H$2,2,0),0)="","",VLOOKUP($B53,勘定科目!$A:$E,2,0)),"")</f>
        <v/>
      </c>
      <c r="D53" s="239" t="str">
        <f>IF(C53="","",VLOOKUP($B53,勘定科目!$A:$E,4,0))</f>
        <v/>
      </c>
      <c r="E53" s="245"/>
      <c r="F53" s="194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00">
        <f t="shared" si="4"/>
        <v>0</v>
      </c>
      <c r="S53" s="201"/>
      <c r="T53" s="202"/>
      <c r="U53" s="246"/>
      <c r="V53" s="246"/>
      <c r="W53" s="246"/>
      <c r="BA53"/>
      <c r="BB53"/>
    </row>
    <row r="54" spans="1:61" s="191" customFormat="1" ht="13">
      <c r="A54" s="226"/>
      <c r="B54" s="180"/>
      <c r="C54" s="183" t="str">
        <f>IFERROR(IF(VLOOKUP($B54,勘定科目!$A:$H,HLOOKUP($E$5,勘定科目!$F$1:$H$2,2,0),0)="","",VLOOKUP($B54,勘定科目!$A:$E,2,0)),"")</f>
        <v/>
      </c>
      <c r="D54" s="239" t="str">
        <f>IF(C54="","",VLOOKUP($B54,勘定科目!$A:$E,4,0))</f>
        <v/>
      </c>
      <c r="E54" s="245"/>
      <c r="F54" s="194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00">
        <f t="shared" si="4"/>
        <v>0</v>
      </c>
      <c r="S54" s="201"/>
      <c r="T54" s="202"/>
      <c r="U54" s="246"/>
      <c r="V54" s="246"/>
      <c r="W54" s="246"/>
      <c r="BA54"/>
      <c r="BB54"/>
    </row>
    <row r="55" spans="1:61" s="191" customFormat="1" ht="13">
      <c r="A55" s="226"/>
      <c r="B55" s="180"/>
      <c r="C55" s="183" t="str">
        <f>IFERROR(IF(VLOOKUP($B55,勘定科目!$A:$H,HLOOKUP($E$5,勘定科目!$F$1:$H$2,2,0),0)="","",VLOOKUP($B55,勘定科目!$A:$E,2,0)),"")</f>
        <v/>
      </c>
      <c r="D55" s="239" t="str">
        <f>IF(C55="","",VLOOKUP($B55,勘定科目!$A:$E,4,0))</f>
        <v/>
      </c>
      <c r="E55" s="245"/>
      <c r="F55" s="194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00">
        <f t="shared" si="4"/>
        <v>0</v>
      </c>
      <c r="S55" s="201"/>
      <c r="T55" s="202"/>
      <c r="U55" s="246"/>
      <c r="V55" s="246"/>
      <c r="W55" s="246"/>
      <c r="BA55"/>
      <c r="BB55"/>
    </row>
    <row r="56" spans="1:61" s="191" customFormat="1" ht="13">
      <c r="A56" s="226"/>
      <c r="B56" s="180"/>
      <c r="C56" s="183" t="str">
        <f>IFERROR(IF(VLOOKUP($B56,勘定科目!$A:$H,HLOOKUP($E$5,勘定科目!$F$1:$H$2,2,0),0)="","",VLOOKUP($B56,勘定科目!$A:$E,2,0)),"")</f>
        <v/>
      </c>
      <c r="D56" s="239" t="str">
        <f>IF(C56="","",VLOOKUP($B56,勘定科目!$A:$E,4,0))</f>
        <v/>
      </c>
      <c r="E56" s="245"/>
      <c r="F56" s="194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4"/>
        <v>0</v>
      </c>
      <c r="S56" s="201"/>
      <c r="T56" s="202"/>
      <c r="U56" s="246"/>
      <c r="V56" s="246"/>
      <c r="W56" s="246"/>
      <c r="BA56"/>
      <c r="BB56"/>
    </row>
    <row r="57" spans="1:61" s="191" customFormat="1" ht="13">
      <c r="A57" s="226"/>
      <c r="B57" s="180"/>
      <c r="C57" s="183" t="str">
        <f>IFERROR(IF(VLOOKUP($B57,勘定科目!$A:$H,HLOOKUP($E$5,勘定科目!$F$1:$H$2,2,0),0)="","",VLOOKUP($B57,勘定科目!$A:$E,2,0)),"")</f>
        <v/>
      </c>
      <c r="D57" s="239" t="str">
        <f>IF(C57="","",VLOOKUP($B57,勘定科目!$A:$E,4,0))</f>
        <v/>
      </c>
      <c r="E57" s="245"/>
      <c r="F57" s="194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00">
        <f t="shared" si="4"/>
        <v>0</v>
      </c>
      <c r="S57" s="201"/>
      <c r="T57" s="202"/>
      <c r="U57" s="246"/>
      <c r="V57" s="246"/>
      <c r="W57" s="246"/>
      <c r="BA57"/>
      <c r="BB57"/>
    </row>
    <row r="58" spans="1:61" s="191" customFormat="1" ht="13">
      <c r="A58" s="226"/>
      <c r="B58" s="180"/>
      <c r="C58" s="183" t="str">
        <f>IFERROR(IF(VLOOKUP($B58,勘定科目!$A:$H,HLOOKUP($E$5,勘定科目!$F$1:$H$2,2,0),0)="","",VLOOKUP($B58,勘定科目!$A:$E,2,0)),"")</f>
        <v/>
      </c>
      <c r="D58" s="239" t="str">
        <f>IF(C58="","",VLOOKUP($B58,勘定科目!$A:$E,4,0))</f>
        <v/>
      </c>
      <c r="E58" s="245"/>
      <c r="F58" s="194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00">
        <f t="shared" si="4"/>
        <v>0</v>
      </c>
      <c r="S58" s="201"/>
      <c r="T58" s="202"/>
      <c r="U58" s="246"/>
      <c r="V58" s="246"/>
      <c r="W58" s="246"/>
      <c r="BA58"/>
      <c r="BB58"/>
    </row>
    <row r="59" spans="1:61" s="191" customFormat="1" ht="13">
      <c r="A59" s="226"/>
      <c r="B59" s="180"/>
      <c r="C59" s="183" t="str">
        <f>IFERROR(IF(VLOOKUP($B59,勘定科目!$A:$H,HLOOKUP($E$5,勘定科目!$F$1:$H$2,2,0),0)="","",VLOOKUP($B59,勘定科目!$A:$E,2,0)),"")</f>
        <v/>
      </c>
      <c r="D59" s="239" t="str">
        <f>IF(C59="","",VLOOKUP($B59,勘定科目!$A:$E,4,0))</f>
        <v/>
      </c>
      <c r="E59" s="245"/>
      <c r="F59" s="194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00">
        <f t="shared" si="4"/>
        <v>0</v>
      </c>
      <c r="S59" s="201"/>
      <c r="T59" s="202"/>
      <c r="U59" s="246"/>
      <c r="V59" s="246"/>
      <c r="W59" s="246"/>
      <c r="BA59"/>
      <c r="BB59"/>
    </row>
    <row r="60" spans="1:61" s="191" customFormat="1" ht="13">
      <c r="A60" s="226"/>
      <c r="B60" s="180"/>
      <c r="C60" s="183" t="str">
        <f>IFERROR(IF(VLOOKUP($B60,勘定科目!$A:$H,HLOOKUP($E$5,勘定科目!$F$1:$H$2,2,0),0)="","",VLOOKUP($B60,勘定科目!$A:$E,2,0)),"")</f>
        <v/>
      </c>
      <c r="D60" s="239" t="str">
        <f>IF(C60="","",VLOOKUP($B60,勘定科目!$A:$E,4,0))</f>
        <v/>
      </c>
      <c r="E60" s="245"/>
      <c r="F60" s="194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00">
        <f t="shared" si="4"/>
        <v>0</v>
      </c>
      <c r="S60" s="201"/>
      <c r="T60" s="202"/>
      <c r="U60" s="246"/>
      <c r="V60" s="246"/>
      <c r="W60" s="246"/>
      <c r="BA60"/>
      <c r="BB60"/>
    </row>
    <row r="61" spans="1:61" s="191" customFormat="1" ht="13">
      <c r="A61" s="226"/>
      <c r="B61" s="180"/>
      <c r="C61" s="183" t="str">
        <f>IFERROR(IF(VLOOKUP($B61,勘定科目!$A:$H,HLOOKUP($E$5,勘定科目!$F$1:$H$2,2,0),0)="","",VLOOKUP($B61,勘定科目!$A:$E,2,0)),"")</f>
        <v/>
      </c>
      <c r="D61" s="239" t="str">
        <f>IF(C61="","",VLOOKUP($B61,勘定科目!$A:$E,4,0))</f>
        <v/>
      </c>
      <c r="E61" s="245"/>
      <c r="F61" s="194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00">
        <f t="shared" si="4"/>
        <v>0</v>
      </c>
      <c r="S61" s="201"/>
      <c r="T61" s="202"/>
      <c r="U61" s="246"/>
      <c r="V61" s="246"/>
      <c r="W61" s="246"/>
      <c r="BA61"/>
      <c r="BB61"/>
    </row>
    <row r="62" spans="1:61" s="191" customFormat="1" ht="13">
      <c r="A62" s="226"/>
      <c r="B62" s="180"/>
      <c r="C62" s="183" t="str">
        <f>IFERROR(IF(VLOOKUP($B62,勘定科目!$A:$H,HLOOKUP($E$5,勘定科目!$F$1:$H$2,2,0),0)="","",VLOOKUP($B62,勘定科目!$A:$E,2,0)),"")</f>
        <v/>
      </c>
      <c r="D62" s="239" t="str">
        <f>IF(C62="","",VLOOKUP($B62,勘定科目!$A:$E,4,0))</f>
        <v/>
      </c>
      <c r="E62" s="245"/>
      <c r="F62" s="194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00">
        <f t="shared" si="4"/>
        <v>0</v>
      </c>
      <c r="S62" s="201"/>
      <c r="T62" s="202"/>
      <c r="U62" s="246"/>
      <c r="V62" s="246"/>
      <c r="W62" s="246"/>
      <c r="BA62"/>
      <c r="BB62"/>
    </row>
    <row r="63" spans="1:61" s="191" customFormat="1" ht="13">
      <c r="A63" s="226"/>
      <c r="B63" s="180"/>
      <c r="C63" s="183" t="str">
        <f>IFERROR(IF(VLOOKUP($B63,勘定科目!$A:$H,HLOOKUP($E$5,勘定科目!$F$1:$H$2,2,0),0)="","",VLOOKUP($B63,勘定科目!$A:$E,2,0)),"")</f>
        <v/>
      </c>
      <c r="D63" s="239" t="str">
        <f>IF(C63="","",VLOOKUP($B63,勘定科目!$A:$E,4,0))</f>
        <v/>
      </c>
      <c r="E63" s="245"/>
      <c r="F63" s="194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00">
        <f t="shared" si="4"/>
        <v>0</v>
      </c>
      <c r="S63" s="201"/>
      <c r="T63" s="202"/>
      <c r="U63" s="246"/>
      <c r="V63" s="246"/>
      <c r="W63" s="246"/>
      <c r="BA63"/>
      <c r="BB63"/>
    </row>
    <row r="64" spans="1:61" s="191" customFormat="1" ht="13">
      <c r="A64" s="226"/>
      <c r="B64" s="180"/>
      <c r="C64" s="183" t="str">
        <f>IFERROR(IF(VLOOKUP($B64,勘定科目!$A:$H,HLOOKUP($E$5,勘定科目!$F$1:$H$2,2,0),0)="","",VLOOKUP($B64,勘定科目!$A:$E,2,0)),"")</f>
        <v/>
      </c>
      <c r="D64" s="239" t="str">
        <f>IF(C64="","",VLOOKUP($B64,勘定科目!$A:$E,4,0))</f>
        <v/>
      </c>
      <c r="E64" s="245"/>
      <c r="F64" s="194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00">
        <f t="shared" si="4"/>
        <v>0</v>
      </c>
      <c r="S64" s="201"/>
      <c r="T64" s="202"/>
      <c r="U64" s="246"/>
      <c r="V64" s="246"/>
      <c r="W64" s="246"/>
      <c r="BA64"/>
      <c r="BB64"/>
    </row>
    <row r="65" spans="1:54" s="191" customFormat="1" ht="13">
      <c r="A65" s="226"/>
      <c r="B65" s="180"/>
      <c r="C65" s="183" t="str">
        <f>IFERROR(IF(VLOOKUP($B65,勘定科目!$A:$H,HLOOKUP($E$5,勘定科目!$F$1:$H$2,2,0),0)="","",VLOOKUP($B65,勘定科目!$A:$E,2,0)),"")</f>
        <v/>
      </c>
      <c r="D65" s="239" t="str">
        <f>IF(C65="","",VLOOKUP($B65,勘定科目!$A:$E,4,0))</f>
        <v/>
      </c>
      <c r="E65" s="245"/>
      <c r="F65" s="194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00">
        <f t="shared" si="4"/>
        <v>0</v>
      </c>
      <c r="S65" s="201"/>
      <c r="T65" s="202"/>
      <c r="U65" s="246"/>
      <c r="V65" s="246"/>
      <c r="W65" s="246"/>
      <c r="BA65"/>
      <c r="BB65"/>
    </row>
    <row r="66" spans="1:54" s="191" customFormat="1" ht="13">
      <c r="A66" s="226"/>
      <c r="B66" s="180"/>
      <c r="C66" s="183" t="str">
        <f>IFERROR(IF(VLOOKUP($B66,勘定科目!$A:$H,HLOOKUP($E$5,勘定科目!$F$1:$H$2,2,0),0)="","",VLOOKUP($B66,勘定科目!$A:$E,2,0)),"")</f>
        <v/>
      </c>
      <c r="D66" s="239" t="str">
        <f>IF(C66="","",VLOOKUP($B66,勘定科目!$A:$E,4,0))</f>
        <v/>
      </c>
      <c r="E66" s="245"/>
      <c r="F66" s="194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00">
        <f t="shared" si="4"/>
        <v>0</v>
      </c>
      <c r="S66" s="201"/>
      <c r="T66" s="202"/>
      <c r="U66" s="246"/>
      <c r="V66" s="246"/>
      <c r="W66" s="246"/>
      <c r="BA66"/>
      <c r="BB66"/>
    </row>
    <row r="67" spans="1:54" s="191" customFormat="1" ht="13">
      <c r="A67" s="226"/>
      <c r="B67" s="180"/>
      <c r="C67" s="183" t="str">
        <f>IFERROR(IF(VLOOKUP($B67,勘定科目!$A:$H,HLOOKUP($E$5,勘定科目!$F$1:$H$2,2,0),0)="","",VLOOKUP($B67,勘定科目!$A:$E,2,0)),"")</f>
        <v/>
      </c>
      <c r="D67" s="239" t="str">
        <f>IF(C67="","",VLOOKUP($B67,勘定科目!$A:$E,4,0))</f>
        <v/>
      </c>
      <c r="E67" s="245"/>
      <c r="F67" s="194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00">
        <f t="shared" si="4"/>
        <v>0</v>
      </c>
      <c r="S67" s="201"/>
      <c r="T67" s="202"/>
      <c r="U67" s="246"/>
      <c r="V67" s="246"/>
      <c r="W67" s="246"/>
      <c r="BA67"/>
      <c r="BB67"/>
    </row>
    <row r="68" spans="1:54" s="191" customFormat="1" ht="13">
      <c r="A68" s="226"/>
      <c r="B68" s="180"/>
      <c r="C68" s="183" t="str">
        <f>IFERROR(IF(VLOOKUP($B68,勘定科目!$A:$H,HLOOKUP($E$5,勘定科目!$F$1:$H$2,2,0),0)="","",VLOOKUP($B68,勘定科目!$A:$E,2,0)),"")</f>
        <v/>
      </c>
      <c r="D68" s="239" t="str">
        <f>IF(C68="","",VLOOKUP($B68,勘定科目!$A:$E,4,0))</f>
        <v/>
      </c>
      <c r="E68" s="245"/>
      <c r="F68" s="194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00">
        <f t="shared" si="4"/>
        <v>0</v>
      </c>
      <c r="S68" s="201"/>
      <c r="T68" s="202"/>
      <c r="U68" s="246"/>
      <c r="V68" s="246"/>
      <c r="W68" s="246"/>
      <c r="BA68"/>
      <c r="BB68"/>
    </row>
    <row r="69" spans="1:54" s="191" customFormat="1" ht="13">
      <c r="A69" s="226"/>
      <c r="B69" s="180"/>
      <c r="C69" s="183" t="str">
        <f>IFERROR(IF(VLOOKUP($B69,勘定科目!$A:$H,HLOOKUP($E$5,勘定科目!$F$1:$H$2,2,0),0)="","",VLOOKUP($B69,勘定科目!$A:$E,2,0)),"")</f>
        <v/>
      </c>
      <c r="D69" s="239" t="str">
        <f>IF(C69="","",VLOOKUP($B69,勘定科目!$A:$E,4,0))</f>
        <v/>
      </c>
      <c r="E69" s="245"/>
      <c r="F69" s="194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00">
        <f t="shared" si="4"/>
        <v>0</v>
      </c>
      <c r="S69" s="201"/>
      <c r="T69" s="202"/>
      <c r="U69" s="246"/>
      <c r="V69" s="246"/>
      <c r="W69" s="246"/>
      <c r="BA69"/>
      <c r="BB69"/>
    </row>
    <row r="70" spans="1:54" s="191" customFormat="1" ht="13">
      <c r="A70" s="226"/>
      <c r="B70" s="180"/>
      <c r="C70" s="183" t="str">
        <f>IFERROR(IF(VLOOKUP($B70,勘定科目!$A:$H,HLOOKUP($E$5,勘定科目!$F$1:$H$2,2,0),0)="","",VLOOKUP($B70,勘定科目!$A:$E,2,0)),"")</f>
        <v/>
      </c>
      <c r="D70" s="239" t="str">
        <f>IF(C70="","",VLOOKUP($B70,勘定科目!$A:$E,4,0))</f>
        <v/>
      </c>
      <c r="E70" s="245"/>
      <c r="F70" s="194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00">
        <f t="shared" si="4"/>
        <v>0</v>
      </c>
      <c r="S70" s="201"/>
      <c r="T70" s="202"/>
      <c r="U70" s="246"/>
      <c r="V70" s="246"/>
      <c r="W70" s="246"/>
      <c r="BA70"/>
      <c r="BB70"/>
    </row>
    <row r="71" spans="1:54" s="191" customFormat="1" ht="13">
      <c r="A71" s="226"/>
      <c r="B71" s="180"/>
      <c r="C71" s="183" t="str">
        <f>IFERROR(IF(VLOOKUP($B71,勘定科目!$A:$H,HLOOKUP($E$5,勘定科目!$F$1:$H$2,2,0),0)="","",VLOOKUP($B71,勘定科目!$A:$E,2,0)),"")</f>
        <v/>
      </c>
      <c r="D71" s="239" t="str">
        <f>IF(C71="","",VLOOKUP($B71,勘定科目!$A:$E,4,0))</f>
        <v/>
      </c>
      <c r="E71" s="245"/>
      <c r="F71" s="194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00">
        <f t="shared" si="4"/>
        <v>0</v>
      </c>
      <c r="S71" s="201"/>
      <c r="T71" s="202"/>
      <c r="U71" s="246"/>
      <c r="V71" s="246"/>
      <c r="W71" s="246"/>
      <c r="BA71"/>
      <c r="BB71"/>
    </row>
    <row r="72" spans="1:54" s="191" customFormat="1" ht="13">
      <c r="A72" s="226"/>
      <c r="B72" s="180"/>
      <c r="C72" s="183" t="str">
        <f>IFERROR(IF(VLOOKUP($B72,勘定科目!$A:$H,HLOOKUP($E$5,勘定科目!$F$1:$H$2,2,0),0)="","",VLOOKUP($B72,勘定科目!$A:$E,2,0)),"")</f>
        <v/>
      </c>
      <c r="D72" s="239" t="str">
        <f>IF(C72="","",VLOOKUP($B72,勘定科目!$A:$E,4,0))</f>
        <v/>
      </c>
      <c r="E72" s="245"/>
      <c r="F72" s="194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00">
        <f t="shared" si="4"/>
        <v>0</v>
      </c>
      <c r="S72" s="201"/>
      <c r="T72" s="202"/>
      <c r="U72" s="246"/>
      <c r="V72" s="246"/>
      <c r="W72" s="246"/>
      <c r="BA72"/>
      <c r="BB72"/>
    </row>
    <row r="73" spans="1:54" s="191" customFormat="1" ht="13">
      <c r="A73" s="226"/>
      <c r="B73" s="180"/>
      <c r="C73" s="183" t="str">
        <f>IFERROR(IF(VLOOKUP($B73,勘定科目!$A:$H,HLOOKUP($E$5,勘定科目!$F$1:$H$2,2,0),0)="","",VLOOKUP($B73,勘定科目!$A:$E,2,0)),"")</f>
        <v/>
      </c>
      <c r="D73" s="239" t="str">
        <f>IF(C73="","",VLOOKUP($B73,勘定科目!$A:$E,4,0))</f>
        <v/>
      </c>
      <c r="E73" s="245"/>
      <c r="F73" s="194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00">
        <f t="shared" si="4"/>
        <v>0</v>
      </c>
      <c r="S73" s="201"/>
      <c r="T73" s="202"/>
      <c r="U73" s="246"/>
      <c r="V73" s="246"/>
      <c r="W73" s="246"/>
      <c r="BA73"/>
      <c r="BB73"/>
    </row>
    <row r="74" spans="1:54" s="191" customFormat="1" ht="13">
      <c r="A74" s="226"/>
      <c r="B74" s="180"/>
      <c r="C74" s="183" t="str">
        <f>IFERROR(IF(VLOOKUP($B74,勘定科目!$A:$H,HLOOKUP($E$5,勘定科目!$F$1:$H$2,2,0),0)="","",VLOOKUP($B74,勘定科目!$A:$E,2,0)),"")</f>
        <v/>
      </c>
      <c r="D74" s="239" t="str">
        <f>IF(C74="","",VLOOKUP($B74,勘定科目!$A:$E,4,0))</f>
        <v/>
      </c>
      <c r="E74" s="245"/>
      <c r="F74" s="194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00">
        <f t="shared" si="4"/>
        <v>0</v>
      </c>
      <c r="S74" s="201"/>
      <c r="T74" s="202"/>
      <c r="U74" s="246"/>
      <c r="V74" s="246"/>
      <c r="W74" s="246"/>
      <c r="BA74"/>
      <c r="BB74"/>
    </row>
    <row r="75" spans="1:54" s="191" customFormat="1" ht="13">
      <c r="A75" s="226"/>
      <c r="B75" s="180"/>
      <c r="C75" s="183" t="str">
        <f>IFERROR(IF(VLOOKUP($B75,勘定科目!$A:$H,HLOOKUP($E$5,勘定科目!$F$1:$H$2,2,0),0)="","",VLOOKUP($B75,勘定科目!$A:$E,2,0)),"")</f>
        <v/>
      </c>
      <c r="D75" s="239" t="str">
        <f>IF(C75="","",VLOOKUP($B75,勘定科目!$A:$E,4,0))</f>
        <v/>
      </c>
      <c r="E75" s="245"/>
      <c r="F75" s="194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00">
        <f t="shared" si="4"/>
        <v>0</v>
      </c>
      <c r="S75" s="201"/>
      <c r="T75" s="202"/>
      <c r="U75" s="246"/>
      <c r="V75" s="246"/>
      <c r="W75" s="246"/>
      <c r="BA75"/>
      <c r="BB75"/>
    </row>
    <row r="76" spans="1:54" s="191" customFormat="1" ht="13">
      <c r="A76" s="226"/>
      <c r="B76" s="180"/>
      <c r="C76" s="183" t="str">
        <f>IFERROR(IF(VLOOKUP($B76,勘定科目!$A:$H,HLOOKUP($E$5,勘定科目!$F$1:$H$2,2,0),0)="","",VLOOKUP($B76,勘定科目!$A:$E,2,0)),"")</f>
        <v/>
      </c>
      <c r="D76" s="239" t="str">
        <f>IF(C76="","",VLOOKUP($B76,勘定科目!$A:$E,4,0))</f>
        <v/>
      </c>
      <c r="E76" s="245"/>
      <c r="F76" s="194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00">
        <f t="shared" si="4"/>
        <v>0</v>
      </c>
      <c r="S76" s="201"/>
      <c r="T76" s="202"/>
      <c r="U76" s="246"/>
      <c r="V76" s="246"/>
      <c r="W76" s="246"/>
      <c r="BA76"/>
      <c r="BB76"/>
    </row>
    <row r="77" spans="1:54" s="191" customFormat="1" ht="13">
      <c r="A77" s="226"/>
      <c r="B77" s="180"/>
      <c r="C77" s="183" t="str">
        <f>IFERROR(IF(VLOOKUP($B77,勘定科目!$A:$H,HLOOKUP($E$5,勘定科目!$F$1:$H$2,2,0),0)="","",VLOOKUP($B77,勘定科目!$A:$E,2,0)),"")</f>
        <v/>
      </c>
      <c r="D77" s="239" t="str">
        <f>IF(C77="","",VLOOKUP($B77,勘定科目!$A:$E,4,0))</f>
        <v/>
      </c>
      <c r="E77" s="245"/>
      <c r="F77" s="194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00">
        <f t="shared" si="4"/>
        <v>0</v>
      </c>
      <c r="S77" s="201"/>
      <c r="T77" s="202"/>
      <c r="U77" s="246"/>
      <c r="V77" s="246"/>
      <c r="W77" s="246"/>
      <c r="BA77"/>
      <c r="BB77"/>
    </row>
    <row r="78" spans="1:54" s="191" customFormat="1" ht="13">
      <c r="A78" s="226"/>
      <c r="B78" s="180"/>
      <c r="C78" s="183" t="str">
        <f>IFERROR(IF(VLOOKUP($B78,勘定科目!$A:$H,HLOOKUP($E$5,勘定科目!$F$1:$H$2,2,0),0)="","",VLOOKUP($B78,勘定科目!$A:$E,2,0)),"")</f>
        <v/>
      </c>
      <c r="D78" s="239" t="str">
        <f>IF(C78="","",VLOOKUP($B78,勘定科目!$A:$E,4,0))</f>
        <v/>
      </c>
      <c r="E78" s="245"/>
      <c r="F78" s="194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00">
        <f t="shared" si="4"/>
        <v>0</v>
      </c>
      <c r="S78" s="201"/>
      <c r="T78" s="202"/>
      <c r="U78" s="246"/>
      <c r="V78" s="246"/>
      <c r="W78" s="246"/>
      <c r="BA78"/>
      <c r="BB78"/>
    </row>
    <row r="79" spans="1:54" s="191" customFormat="1" ht="13">
      <c r="A79" s="226"/>
      <c r="B79" s="180"/>
      <c r="C79" s="183" t="str">
        <f>IFERROR(IF(VLOOKUP($B79,勘定科目!$A:$H,HLOOKUP($E$5,勘定科目!$F$1:$H$2,2,0),0)="","",VLOOKUP($B79,勘定科目!$A:$E,2,0)),"")</f>
        <v/>
      </c>
      <c r="D79" s="239" t="str">
        <f>IF(C79="","",VLOOKUP($B79,勘定科目!$A:$E,4,0))</f>
        <v/>
      </c>
      <c r="E79" s="245"/>
      <c r="F79" s="194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00">
        <f t="shared" si="4"/>
        <v>0</v>
      </c>
      <c r="S79" s="201"/>
      <c r="T79" s="202"/>
      <c r="U79" s="246"/>
      <c r="V79" s="246"/>
      <c r="W79" s="246"/>
      <c r="BA79"/>
      <c r="BB79"/>
    </row>
    <row r="80" spans="1:54" s="191" customFormat="1" ht="13">
      <c r="A80" s="226"/>
      <c r="B80" s="180"/>
      <c r="C80" s="183" t="str">
        <f>IFERROR(IF(VLOOKUP($B80,勘定科目!$A:$H,HLOOKUP($E$5,勘定科目!$F$1:$H$2,2,0),0)="","",VLOOKUP($B80,勘定科目!$A:$E,2,0)),"")</f>
        <v/>
      </c>
      <c r="D80" s="239" t="str">
        <f>IF(C80="","",VLOOKUP($B80,勘定科目!$A:$E,4,0))</f>
        <v/>
      </c>
      <c r="E80" s="245"/>
      <c r="F80" s="194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00">
        <f t="shared" si="4"/>
        <v>0</v>
      </c>
      <c r="S80" s="201"/>
      <c r="T80" s="202"/>
      <c r="U80" s="246"/>
      <c r="V80" s="246"/>
      <c r="W80" s="246"/>
      <c r="BA80"/>
      <c r="BB80"/>
    </row>
    <row r="81" spans="1:54" s="191" customFormat="1" ht="13">
      <c r="A81" s="226"/>
      <c r="B81" s="180"/>
      <c r="C81" s="183" t="str">
        <f>IFERROR(IF(VLOOKUP($B81,勘定科目!$A:$H,HLOOKUP($E$5,勘定科目!$F$1:$H$2,2,0),0)="","",VLOOKUP($B81,勘定科目!$A:$E,2,0)),"")</f>
        <v/>
      </c>
      <c r="D81" s="239" t="str">
        <f>IF(C81="","",VLOOKUP($B81,勘定科目!$A:$E,4,0))</f>
        <v/>
      </c>
      <c r="E81" s="245"/>
      <c r="F81" s="194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00">
        <f t="shared" si="4"/>
        <v>0</v>
      </c>
      <c r="S81" s="201"/>
      <c r="T81" s="202"/>
      <c r="U81" s="246"/>
      <c r="V81" s="246"/>
      <c r="W81" s="246"/>
      <c r="BA81"/>
      <c r="BB81"/>
    </row>
    <row r="82" spans="1:54" s="191" customFormat="1" ht="13">
      <c r="A82" s="226"/>
      <c r="B82" s="180"/>
      <c r="C82" s="183" t="str">
        <f>IFERROR(IF(VLOOKUP($B82,勘定科目!$A:$H,HLOOKUP($E$5,勘定科目!$F$1:$H$2,2,0),0)="","",VLOOKUP($B82,勘定科目!$A:$E,2,0)),"")</f>
        <v/>
      </c>
      <c r="D82" s="239" t="str">
        <f>IF(C82="","",VLOOKUP($B82,勘定科目!$A:$E,4,0))</f>
        <v/>
      </c>
      <c r="E82" s="245"/>
      <c r="F82" s="194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00">
        <f t="shared" si="4"/>
        <v>0</v>
      </c>
      <c r="S82" s="201"/>
      <c r="T82" s="202"/>
      <c r="U82" s="246"/>
      <c r="V82" s="246"/>
      <c r="W82" s="246"/>
      <c r="BA82"/>
      <c r="BB82"/>
    </row>
    <row r="83" spans="1:54" s="191" customFormat="1" ht="13">
      <c r="A83" s="226"/>
      <c r="B83" s="180"/>
      <c r="C83" s="183" t="str">
        <f>IFERROR(IF(VLOOKUP($B83,勘定科目!$A:$H,HLOOKUP($E$5,勘定科目!$F$1:$H$2,2,0),0)="","",VLOOKUP($B83,勘定科目!$A:$E,2,0)),"")</f>
        <v/>
      </c>
      <c r="D83" s="239" t="str">
        <f>IF(C83="","",VLOOKUP($B83,勘定科目!$A:$E,4,0))</f>
        <v/>
      </c>
      <c r="E83" s="245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4"/>
        <v>0</v>
      </c>
      <c r="S83" s="201"/>
      <c r="T83" s="202"/>
      <c r="U83" s="246"/>
      <c r="V83" s="246"/>
      <c r="W83" s="246"/>
      <c r="BA83"/>
      <c r="BB83"/>
    </row>
    <row r="84" spans="1:54" s="191" customFormat="1" ht="13">
      <c r="A84" s="226"/>
      <c r="B84" s="180"/>
      <c r="C84" s="183" t="str">
        <f>IFERROR(IF(VLOOKUP($B84,勘定科目!$A:$H,HLOOKUP($E$5,勘定科目!$F$1:$H$2,2,0),0)="","",VLOOKUP($B84,勘定科目!$A:$E,2,0)),"")</f>
        <v/>
      </c>
      <c r="D84" s="239" t="str">
        <f>IF(C84="","",VLOOKUP($B84,勘定科目!$A:$E,4,0))</f>
        <v/>
      </c>
      <c r="E84" s="245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4"/>
        <v>0</v>
      </c>
      <c r="S84" s="201"/>
      <c r="T84" s="202"/>
      <c r="U84" s="246"/>
      <c r="V84" s="246"/>
      <c r="W84" s="246"/>
      <c r="BA84"/>
      <c r="BB84"/>
    </row>
    <row r="85" spans="1:54" s="191" customFormat="1" ht="13">
      <c r="A85" s="226"/>
      <c r="B85" s="180"/>
      <c r="C85" s="183" t="str">
        <f>IFERROR(IF(VLOOKUP($B85,勘定科目!$A:$H,HLOOKUP($E$5,勘定科目!$F$1:$H$2,2,0),0)="","",VLOOKUP($B85,勘定科目!$A:$E,2,0)),"")</f>
        <v/>
      </c>
      <c r="D85" s="239" t="str">
        <f>IF(C85="","",VLOOKUP($B85,勘定科目!$A:$E,4,0))</f>
        <v/>
      </c>
      <c r="E85" s="245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4"/>
        <v>0</v>
      </c>
      <c r="S85" s="201"/>
      <c r="T85" s="202"/>
      <c r="U85" s="246"/>
      <c r="V85" s="246"/>
      <c r="W85" s="246"/>
      <c r="BA85"/>
      <c r="BB85"/>
    </row>
    <row r="86" spans="1:54" s="191" customFormat="1" ht="13">
      <c r="A86" s="226"/>
      <c r="B86" s="180"/>
      <c r="C86" s="183" t="str">
        <f>IFERROR(IF(VLOOKUP($B86,勘定科目!$A:$H,HLOOKUP($E$5,勘定科目!$F$1:$H$2,2,0),0)="","",VLOOKUP($B86,勘定科目!$A:$E,2,0)),"")</f>
        <v/>
      </c>
      <c r="D86" s="239" t="str">
        <f>IF(C86="","",VLOOKUP($B86,勘定科目!$A:$E,4,0))</f>
        <v/>
      </c>
      <c r="E86" s="245"/>
      <c r="F86" s="194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4"/>
        <v>0</v>
      </c>
      <c r="S86" s="201"/>
      <c r="T86" s="202"/>
      <c r="U86" s="246"/>
      <c r="V86" s="246"/>
      <c r="W86" s="246"/>
      <c r="BA86"/>
      <c r="BB86"/>
    </row>
    <row r="87" spans="1:54" s="191" customFormat="1" ht="13">
      <c r="A87" s="226"/>
      <c r="B87" s="180"/>
      <c r="C87" s="183" t="str">
        <f>IFERROR(IF(VLOOKUP($B87,勘定科目!$A:$H,HLOOKUP($E$5,勘定科目!$F$1:$H$2,2,0),0)="","",VLOOKUP($B87,勘定科目!$A:$E,2,0)),"")</f>
        <v/>
      </c>
      <c r="D87" s="239" t="str">
        <f>IF(C87="","",VLOOKUP($B87,勘定科目!$A:$E,4,0))</f>
        <v/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4"/>
        <v>0</v>
      </c>
      <c r="S87" s="201"/>
      <c r="T87" s="202"/>
      <c r="U87" s="246"/>
      <c r="V87" s="246"/>
      <c r="W87" s="246"/>
      <c r="BA87"/>
      <c r="BB87"/>
    </row>
    <row r="88" spans="1:54" s="191" customFormat="1" ht="13">
      <c r="A88" s="226"/>
      <c r="B88" s="180"/>
      <c r="C88" s="183" t="str">
        <f>IFERROR(IF(VLOOKUP($B88,勘定科目!$A:$H,HLOOKUP($E$5,勘定科目!$F$1:$H$2,2,0),0)="","",VLOOKUP($B88,勘定科目!$A:$E,2,0)),"")</f>
        <v/>
      </c>
      <c r="D88" s="239" t="str">
        <f>IF(C88="","",VLOOKUP($B88,勘定科目!$A:$E,4,0))</f>
        <v/>
      </c>
      <c r="E88" s="245"/>
      <c r="F88" s="194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si="4"/>
        <v>0</v>
      </c>
      <c r="S88" s="201"/>
      <c r="T88" s="202"/>
      <c r="U88" s="246"/>
      <c r="V88" s="246"/>
      <c r="W88" s="246"/>
      <c r="BA88"/>
      <c r="BB88"/>
    </row>
    <row r="89" spans="1:54" s="191" customFormat="1" ht="13">
      <c r="A89" s="226"/>
      <c r="B89" s="180"/>
      <c r="C89" s="183" t="str">
        <f>IFERROR(IF(VLOOKUP($B89,勘定科目!$A:$H,HLOOKUP($E$5,勘定科目!$F$1:$H$2,2,0),0)="","",VLOOKUP($B89,勘定科目!$A:$E,2,0)),"")</f>
        <v/>
      </c>
      <c r="D89" s="239" t="str">
        <f>IF(C89="","",VLOOKUP($B89,勘定科目!$A:$E,4,0))</f>
        <v/>
      </c>
      <c r="E89" s="245"/>
      <c r="F89" s="194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>
        <f t="shared" si="4"/>
        <v>0</v>
      </c>
      <c r="S89" s="201"/>
      <c r="T89" s="202"/>
      <c r="U89" s="246"/>
      <c r="V89" s="246"/>
      <c r="W89" s="246"/>
      <c r="BA89"/>
      <c r="BB89"/>
    </row>
    <row r="90" spans="1:54" s="191" customFormat="1" ht="13">
      <c r="A90" s="226"/>
      <c r="B90" s="180"/>
      <c r="C90" s="183" t="str">
        <f>IFERROR(IF(VLOOKUP($B90,勘定科目!$A:$H,HLOOKUP($E$5,勘定科目!$F$1:$H$2,2,0),0)="","",VLOOKUP($B90,勘定科目!$A:$E,2,0)),"")</f>
        <v/>
      </c>
      <c r="D90" s="239" t="str">
        <f>IF(C90="","",VLOOKUP($B90,勘定科目!$A:$E,4,0))</f>
        <v/>
      </c>
      <c r="E90" s="245"/>
      <c r="F90" s="194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00">
        <f t="shared" si="4"/>
        <v>0</v>
      </c>
      <c r="S90" s="201"/>
      <c r="T90" s="202"/>
      <c r="U90" s="246"/>
      <c r="V90" s="246"/>
      <c r="W90" s="246"/>
      <c r="BA90"/>
      <c r="BB90"/>
    </row>
    <row r="91" spans="1:54" s="191" customFormat="1" ht="13">
      <c r="A91" s="226"/>
      <c r="B91" s="180"/>
      <c r="C91" s="183" t="str">
        <f>IFERROR(IF(VLOOKUP($B91,勘定科目!$A:$H,HLOOKUP($E$5,勘定科目!$F$1:$H$2,2,0),0)="","",VLOOKUP($B91,勘定科目!$A:$E,2,0)),"")</f>
        <v/>
      </c>
      <c r="D91" s="239" t="str">
        <f>IF(C91="","",VLOOKUP($B91,勘定科目!$A:$E,4,0))</f>
        <v/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4"/>
        <v>0</v>
      </c>
      <c r="S91" s="201"/>
      <c r="T91" s="202"/>
      <c r="U91" s="246"/>
      <c r="V91" s="246"/>
      <c r="W91" s="246"/>
      <c r="BA91"/>
      <c r="BB91"/>
    </row>
    <row r="92" spans="1:54" s="191" customFormat="1" ht="13">
      <c r="A92" s="226"/>
      <c r="B92" s="180"/>
      <c r="C92" s="183" t="str">
        <f>IFERROR(IF(VLOOKUP($B92,勘定科目!$A:$H,HLOOKUP($E$5,勘定科目!$F$1:$H$2,2,0),0)="","",VLOOKUP($B92,勘定科目!$A:$E,2,0)),"")</f>
        <v/>
      </c>
      <c r="D92" s="239" t="str">
        <f>IF(C92="","",VLOOKUP($B92,勘定科目!$A:$E,4,0))</f>
        <v/>
      </c>
      <c r="E92" s="245"/>
      <c r="F92" s="194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00">
        <f t="shared" si="4"/>
        <v>0</v>
      </c>
      <c r="S92" s="201"/>
      <c r="T92" s="202"/>
      <c r="U92" s="246"/>
      <c r="V92" s="246"/>
      <c r="W92" s="246"/>
      <c r="BA92"/>
      <c r="BB92"/>
    </row>
    <row r="93" spans="1:54" s="191" customFormat="1" ht="13">
      <c r="A93" s="226"/>
      <c r="B93" s="180"/>
      <c r="C93" s="183" t="str">
        <f>IFERROR(IF(VLOOKUP($B93,勘定科目!$A:$H,HLOOKUP($E$5,勘定科目!$F$1:$H$2,2,0),0)="","",VLOOKUP($B93,勘定科目!$A:$E,2,0)),"")</f>
        <v/>
      </c>
      <c r="D93" s="239" t="str">
        <f>IF(C93="","",VLOOKUP($B93,勘定科目!$A:$E,4,0))</f>
        <v/>
      </c>
      <c r="E93" s="245"/>
      <c r="F93" s="194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00">
        <f t="shared" si="4"/>
        <v>0</v>
      </c>
      <c r="S93" s="201"/>
      <c r="T93" s="202"/>
      <c r="U93" s="246"/>
      <c r="V93" s="246"/>
      <c r="W93" s="246"/>
      <c r="BA93"/>
      <c r="BB93"/>
    </row>
    <row r="94" spans="1:54" s="191" customFormat="1" ht="13">
      <c r="A94" s="226"/>
      <c r="B94" s="180"/>
      <c r="C94" s="183" t="str">
        <f>IFERROR(IF(VLOOKUP($B94,勘定科目!$A:$H,HLOOKUP($E$5,勘定科目!$F$1:$H$2,2,0),0)="","",VLOOKUP($B94,勘定科目!$A:$E,2,0)),"")</f>
        <v/>
      </c>
      <c r="D94" s="239" t="str">
        <f>IF(C94="","",VLOOKUP($B94,勘定科目!$A:$E,4,0))</f>
        <v/>
      </c>
      <c r="E94" s="245"/>
      <c r="F94" s="194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00">
        <f t="shared" si="4"/>
        <v>0</v>
      </c>
      <c r="S94" s="201"/>
      <c r="T94" s="202"/>
      <c r="U94" s="246"/>
      <c r="V94" s="246"/>
      <c r="W94" s="246"/>
      <c r="BA94"/>
      <c r="BB94"/>
    </row>
    <row r="95" spans="1:54" s="191" customFormat="1" ht="13">
      <c r="A95" s="226"/>
      <c r="B95" s="180"/>
      <c r="C95" s="183" t="str">
        <f>IFERROR(IF(VLOOKUP($B95,勘定科目!$A:$H,HLOOKUP($E$5,勘定科目!$F$1:$H$2,2,0),0)="","",VLOOKUP($B95,勘定科目!$A:$E,2,0)),"")</f>
        <v/>
      </c>
      <c r="D95" s="239" t="str">
        <f>IF(C95="","",VLOOKUP($B95,勘定科目!$A:$E,4,0))</f>
        <v/>
      </c>
      <c r="E95" s="245"/>
      <c r="F95" s="194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00">
        <f t="shared" si="4"/>
        <v>0</v>
      </c>
      <c r="S95" s="201"/>
      <c r="T95" s="202"/>
      <c r="U95" s="246"/>
      <c r="V95" s="246"/>
      <c r="W95" s="246"/>
      <c r="BA95"/>
      <c r="BB95"/>
    </row>
    <row r="96" spans="1:54" s="191" customFormat="1" ht="13">
      <c r="A96" s="226"/>
      <c r="B96" s="180"/>
      <c r="C96" s="183" t="str">
        <f>IFERROR(IF(VLOOKUP($B96,勘定科目!$A:$H,HLOOKUP($E$5,勘定科目!$F$1:$H$2,2,0),0)="","",VLOOKUP($B96,勘定科目!$A:$E,2,0)),"")</f>
        <v/>
      </c>
      <c r="D96" s="239" t="str">
        <f>IF(C96="","",VLOOKUP($B96,勘定科目!$A:$E,4,0))</f>
        <v/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00">
        <f t="shared" si="4"/>
        <v>0</v>
      </c>
      <c r="S96" s="201"/>
      <c r="T96" s="202"/>
      <c r="U96" s="246"/>
      <c r="V96" s="246"/>
      <c r="W96" s="246"/>
      <c r="BA96"/>
      <c r="BB96"/>
    </row>
    <row r="97" spans="1:54" s="191" customFormat="1" ht="13">
      <c r="A97" s="226"/>
      <c r="B97" s="180"/>
      <c r="C97" s="183" t="str">
        <f>IFERROR(IF(VLOOKUP($B97,勘定科目!$A:$H,HLOOKUP($E$5,勘定科目!$F$1:$H$2,2,0),0)="","",VLOOKUP($B97,勘定科目!$A:$E,2,0)),"")</f>
        <v/>
      </c>
      <c r="D97" s="239" t="str">
        <f>IF(C97="","",VLOOKUP($B97,勘定科目!$A:$E,4,0))</f>
        <v/>
      </c>
      <c r="E97" s="245"/>
      <c r="F97" s="194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00">
        <f t="shared" si="4"/>
        <v>0</v>
      </c>
      <c r="S97" s="201"/>
      <c r="T97" s="202"/>
      <c r="U97" s="246"/>
      <c r="V97" s="246"/>
      <c r="W97" s="246"/>
      <c r="BA97"/>
      <c r="BB97"/>
    </row>
    <row r="98" spans="1:54" s="191" customFormat="1" ht="13">
      <c r="A98" s="226"/>
      <c r="B98" s="180"/>
      <c r="C98" s="183" t="str">
        <f>IFERROR(IF(VLOOKUP($B98,勘定科目!$A:$H,HLOOKUP($E$5,勘定科目!$F$1:$H$2,2,0),0)="","",VLOOKUP($B98,勘定科目!$A:$E,2,0)),"")</f>
        <v/>
      </c>
      <c r="D98" s="239" t="str">
        <f>IF(C98="","",VLOOKUP($B98,勘定科目!$A:$E,4,0))</f>
        <v/>
      </c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00">
        <f t="shared" si="4"/>
        <v>0</v>
      </c>
      <c r="S98" s="201"/>
      <c r="T98" s="202"/>
      <c r="U98" s="246"/>
      <c r="V98" s="246"/>
      <c r="W98" s="246"/>
      <c r="BA98"/>
      <c r="BB98"/>
    </row>
    <row r="99" spans="1:54" s="191" customFormat="1" ht="13">
      <c r="A99" s="226"/>
      <c r="B99" s="180"/>
      <c r="C99" s="183" t="str">
        <f>IFERROR(IF(VLOOKUP($B99,勘定科目!$A:$H,HLOOKUP($E$5,勘定科目!$F$1:$H$2,2,0),0)="","",VLOOKUP($B99,勘定科目!$A:$E,2,0)),"")</f>
        <v/>
      </c>
      <c r="D99" s="239" t="str">
        <f>IF(C99="","",VLOOKUP($B99,勘定科目!$A:$E,4,0))</f>
        <v/>
      </c>
      <c r="E99" s="245"/>
      <c r="F99" s="194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00">
        <f t="shared" si="4"/>
        <v>0</v>
      </c>
      <c r="S99" s="201"/>
      <c r="T99" s="202"/>
      <c r="U99" s="246"/>
      <c r="V99" s="246"/>
      <c r="W99" s="246"/>
      <c r="BA99"/>
      <c r="BB99"/>
    </row>
    <row r="100" spans="1:54" s="191" customFormat="1" ht="13">
      <c r="A100" s="226"/>
      <c r="B100" s="180"/>
      <c r="C100" s="183" t="str">
        <f>IFERROR(IF(VLOOKUP($B100,勘定科目!$A:$H,HLOOKUP($E$5,勘定科目!$F$1:$H$2,2,0),0)="","",VLOOKUP($B100,勘定科目!$A:$E,2,0)),"")</f>
        <v/>
      </c>
      <c r="D100" s="239" t="str">
        <f>IF(C100="","",VLOOKUP($B100,勘定科目!$A:$E,4,0))</f>
        <v/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00">
        <f t="shared" si="4"/>
        <v>0</v>
      </c>
      <c r="S100" s="201"/>
      <c r="T100" s="202"/>
      <c r="U100" s="246"/>
      <c r="V100" s="246"/>
      <c r="W100" s="246"/>
      <c r="BA100"/>
      <c r="BB100"/>
    </row>
    <row r="101" spans="1:54" s="191" customFormat="1" ht="13">
      <c r="A101" s="226"/>
      <c r="B101" s="180"/>
      <c r="C101" s="183" t="str">
        <f>IFERROR(IF(VLOOKUP($B101,勘定科目!$A:$H,HLOOKUP($E$5,勘定科目!$F$1:$H$2,2,0),0)="","",VLOOKUP($B101,勘定科目!$A:$E,2,0)),"")</f>
        <v/>
      </c>
      <c r="D101" s="239" t="str">
        <f>IF(C101="","",VLOOKUP($B101,勘定科目!$A:$E,4,0))</f>
        <v/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4"/>
        <v>0</v>
      </c>
      <c r="S101" s="201"/>
      <c r="T101" s="202"/>
      <c r="U101" s="246"/>
      <c r="V101" s="246"/>
      <c r="W101" s="246"/>
      <c r="BA101"/>
      <c r="BB101"/>
    </row>
    <row r="102" spans="1:54" s="191" customFormat="1" ht="13">
      <c r="A102" s="226"/>
      <c r="B102" s="180"/>
      <c r="C102" s="183" t="str">
        <f>IFERROR(IF(VLOOKUP($B102,勘定科目!$A:$H,HLOOKUP($E$5,勘定科目!$F$1:$H$2,2,0),0)="","",VLOOKUP($B102,勘定科目!$A:$E,2,0)),"")</f>
        <v/>
      </c>
      <c r="D102" s="239" t="str">
        <f>IF(C102="","",VLOOKUP($B102,勘定科目!$A:$E,4,0))</f>
        <v/>
      </c>
      <c r="E102" s="245"/>
      <c r="F102" s="194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00">
        <f t="shared" si="4"/>
        <v>0</v>
      </c>
      <c r="S102" s="201"/>
      <c r="T102" s="202"/>
      <c r="U102" s="246"/>
      <c r="V102" s="246"/>
      <c r="W102" s="246"/>
      <c r="BA102"/>
      <c r="BB102"/>
    </row>
    <row r="103" spans="1:54" s="191" customFormat="1" ht="13">
      <c r="A103" s="226"/>
      <c r="B103" s="180"/>
      <c r="C103" s="183" t="str">
        <f>IFERROR(IF(VLOOKUP($B103,勘定科目!$A:$H,HLOOKUP($E$5,勘定科目!$F$1:$H$2,2,0),0)="","",VLOOKUP($B103,勘定科目!$A:$E,2,0)),"")</f>
        <v/>
      </c>
      <c r="D103" s="239" t="str">
        <f>IF(C103="","",VLOOKUP($B103,勘定科目!$A:$E,4,0))</f>
        <v/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4"/>
        <v>0</v>
      </c>
      <c r="S103" s="201"/>
      <c r="T103" s="202"/>
      <c r="U103" s="246"/>
      <c r="V103" s="246"/>
      <c r="W103" s="246"/>
      <c r="BA103"/>
      <c r="BB103"/>
    </row>
    <row r="104" spans="1:54" s="191" customFormat="1" ht="13">
      <c r="A104" s="226"/>
      <c r="B104" s="180"/>
      <c r="C104" s="183" t="str">
        <f>IFERROR(IF(VLOOKUP($B104,勘定科目!$A:$H,HLOOKUP($E$5,勘定科目!$F$1:$H$2,2,0),0)="","",VLOOKUP($B104,勘定科目!$A:$E,2,0)),"")</f>
        <v/>
      </c>
      <c r="D104" s="239" t="str">
        <f>IF(C104="","",VLOOKUP($B104,勘定科目!$A:$E,4,0))</f>
        <v/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>
        <f t="shared" si="4"/>
        <v>0</v>
      </c>
      <c r="S104" s="201"/>
      <c r="T104" s="202"/>
      <c r="U104" s="246"/>
      <c r="V104" s="246"/>
      <c r="W104" s="246"/>
      <c r="BA104"/>
      <c r="BB104"/>
    </row>
    <row r="105" spans="1:54" s="191" customFormat="1" ht="13">
      <c r="A105" s="226"/>
      <c r="B105" s="180"/>
      <c r="C105" s="183" t="str">
        <f>IFERROR(IF(VLOOKUP($B105,勘定科目!$A:$H,HLOOKUP($E$5,勘定科目!$F$1:$H$2,2,0),0)="","",VLOOKUP($B105,勘定科目!$A:$E,2,0)),"")</f>
        <v/>
      </c>
      <c r="D105" s="239" t="str">
        <f>IF(C105="","",VLOOKUP($B105,勘定科目!$A:$E,4,0))</f>
        <v/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4"/>
        <v>0</v>
      </c>
      <c r="S105" s="201"/>
      <c r="T105" s="202"/>
      <c r="U105" s="246"/>
      <c r="V105" s="246"/>
      <c r="W105" s="246"/>
      <c r="BA105"/>
      <c r="BB105"/>
    </row>
    <row r="106" spans="1:54" s="191" customFormat="1" ht="13">
      <c r="A106" s="226"/>
      <c r="B106" s="180"/>
      <c r="C106" s="183" t="str">
        <f>IFERROR(IF(VLOOKUP($B106,勘定科目!$A:$H,HLOOKUP($E$5,勘定科目!$F$1:$H$2,2,0),0)="","",VLOOKUP($B106,勘定科目!$A:$E,2,0)),"")</f>
        <v/>
      </c>
      <c r="D106" s="239" t="str">
        <f>IF(C106="","",VLOOKUP($B106,勘定科目!$A:$E,4,0))</f>
        <v/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4"/>
        <v>0</v>
      </c>
      <c r="S106" s="201"/>
      <c r="T106" s="202"/>
      <c r="U106" s="246"/>
      <c r="V106" s="246"/>
      <c r="W106" s="246"/>
      <c r="BA106"/>
      <c r="BB106"/>
    </row>
    <row r="107" spans="1:54" s="191" customFormat="1" ht="13">
      <c r="A107" s="226"/>
      <c r="B107" s="180"/>
      <c r="C107" s="183" t="str">
        <f>IFERROR(IF(VLOOKUP($B107,勘定科目!$A:$H,HLOOKUP($E$5,勘定科目!$F$1:$H$2,2,0),0)="","",VLOOKUP($B107,勘定科目!$A:$E,2,0)),"")</f>
        <v/>
      </c>
      <c r="D107" s="239" t="str">
        <f>IF(C107="","",VLOOKUP($B107,勘定科目!$A:$E,4,0))</f>
        <v/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4"/>
        <v>0</v>
      </c>
      <c r="S107" s="201"/>
      <c r="T107" s="202"/>
      <c r="U107" s="246"/>
      <c r="V107" s="246"/>
      <c r="W107" s="246"/>
      <c r="BA107"/>
      <c r="BB107"/>
    </row>
    <row r="108" spans="1:54" s="191" customFormat="1" ht="13">
      <c r="A108" s="226"/>
      <c r="B108" s="180"/>
      <c r="C108" s="183" t="str">
        <f>IFERROR(IF(VLOOKUP($B108,勘定科目!$A:$H,HLOOKUP($E$5,勘定科目!$F$1:$H$2,2,0),0)="","",VLOOKUP($B108,勘定科目!$A:$E,2,0)),"")</f>
        <v/>
      </c>
      <c r="D108" s="239" t="str">
        <f>IF(C108="","",VLOOKUP($B108,勘定科目!$A:$E,4,0))</f>
        <v/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4"/>
        <v>0</v>
      </c>
      <c r="S108" s="201"/>
      <c r="T108" s="202"/>
      <c r="U108" s="246"/>
      <c r="V108" s="246"/>
      <c r="W108" s="246"/>
      <c r="BA108"/>
      <c r="BB108"/>
    </row>
    <row r="109" spans="1:54" s="191" customFormat="1" ht="13">
      <c r="A109" s="226"/>
      <c r="B109" s="180"/>
      <c r="C109" s="183" t="str">
        <f>IFERROR(IF(VLOOKUP($B109,勘定科目!$A:$H,HLOOKUP($E$5,勘定科目!$F$1:$H$2,2,0),0)="","",VLOOKUP($B109,勘定科目!$A:$E,2,0)),"")</f>
        <v/>
      </c>
      <c r="D109" s="239" t="str">
        <f>IF(C109="","",VLOOKUP($B109,勘定科目!$A:$E,4,0))</f>
        <v/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4"/>
        <v>0</v>
      </c>
      <c r="S109" s="201"/>
      <c r="T109" s="202"/>
      <c r="U109" s="246"/>
      <c r="V109" s="246"/>
      <c r="W109" s="246"/>
      <c r="BA109"/>
      <c r="BB109"/>
    </row>
    <row r="110" spans="1:54" s="191" customFormat="1" ht="13">
      <c r="A110" s="226"/>
      <c r="B110" s="180"/>
      <c r="C110" s="183" t="str">
        <f>IFERROR(IF(VLOOKUP($B110,勘定科目!$A:$H,HLOOKUP($E$5,勘定科目!$F$1:$H$2,2,0),0)="","",VLOOKUP($B110,勘定科目!$A:$E,2,0)),"")</f>
        <v/>
      </c>
      <c r="D110" s="239" t="str">
        <f>IF(C110="","",VLOOKUP($B110,勘定科目!$A:$E,4,0))</f>
        <v/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00">
        <f t="shared" si="4"/>
        <v>0</v>
      </c>
      <c r="S110" s="201"/>
      <c r="T110" s="202"/>
      <c r="U110" s="246"/>
      <c r="V110" s="246"/>
      <c r="W110" s="246"/>
      <c r="BA110"/>
      <c r="BB110"/>
    </row>
    <row r="111" spans="1:54" s="191" customFormat="1" ht="13">
      <c r="A111" s="226"/>
      <c r="B111" s="180"/>
      <c r="C111" s="183" t="str">
        <f>IFERROR(IF(VLOOKUP($B111,勘定科目!$A:$H,HLOOKUP($E$5,勘定科目!$F$1:$H$2,2,0),0)="","",VLOOKUP($B111,勘定科目!$A:$E,2,0)),"")</f>
        <v/>
      </c>
      <c r="D111" s="239" t="str">
        <f>IF(C111="","",VLOOKUP($B111,勘定科目!$A:$E,4,0))</f>
        <v/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4"/>
        <v>0</v>
      </c>
      <c r="S111" s="201"/>
      <c r="T111" s="202"/>
      <c r="U111" s="246"/>
      <c r="V111" s="246"/>
      <c r="W111" s="246"/>
      <c r="BA111"/>
      <c r="BB111"/>
    </row>
    <row r="112" spans="1:54" s="191" customFormat="1" ht="13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4"/>
        <v>0</v>
      </c>
      <c r="S112" s="201"/>
      <c r="T112" s="202"/>
      <c r="U112" s="246"/>
      <c r="V112" s="246"/>
      <c r="W112" s="246"/>
      <c r="BA112"/>
      <c r="BB112"/>
    </row>
    <row r="113" spans="1:54" s="191" customFormat="1" ht="13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4"/>
        <v>0</v>
      </c>
      <c r="S113" s="201"/>
      <c r="T113" s="202"/>
      <c r="U113" s="246"/>
      <c r="V113" s="246"/>
      <c r="W113" s="246"/>
      <c r="BA113"/>
      <c r="BB113"/>
    </row>
    <row r="114" spans="1:54" s="191" customFormat="1" ht="13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4"/>
        <v>0</v>
      </c>
      <c r="S114" s="201"/>
      <c r="T114" s="202"/>
      <c r="U114" s="246"/>
      <c r="V114" s="246"/>
      <c r="W114" s="246"/>
      <c r="BA114"/>
      <c r="BB114"/>
    </row>
    <row r="115" spans="1:54" s="191" customFormat="1" ht="13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4"/>
        <v>0</v>
      </c>
      <c r="S115" s="201"/>
      <c r="T115" s="202"/>
      <c r="U115" s="246"/>
      <c r="V115" s="246"/>
      <c r="W115" s="246"/>
      <c r="BA115"/>
      <c r="BB115"/>
    </row>
    <row r="116" spans="1:54" s="191" customFormat="1" ht="13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4"/>
        <v>0</v>
      </c>
      <c r="S116" s="201"/>
      <c r="T116" s="202"/>
      <c r="U116" s="246"/>
      <c r="V116" s="246"/>
      <c r="W116" s="246"/>
      <c r="BA116"/>
      <c r="BB116"/>
    </row>
    <row r="117" spans="1:54" s="191" customFormat="1" ht="13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4"/>
        <v>0</v>
      </c>
      <c r="S117" s="201"/>
      <c r="T117" s="202"/>
      <c r="U117" s="246"/>
      <c r="V117" s="246"/>
      <c r="W117" s="246"/>
      <c r="BA117"/>
      <c r="BB117"/>
    </row>
    <row r="118" spans="1:54" s="191" customFormat="1" ht="13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4"/>
        <v>0</v>
      </c>
      <c r="S118" s="201"/>
      <c r="T118" s="202"/>
      <c r="U118" s="246"/>
      <c r="V118" s="246"/>
      <c r="W118" s="246"/>
      <c r="BA118"/>
      <c r="BB118"/>
    </row>
    <row r="119" spans="1:54" s="191" customFormat="1" ht="13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si="4"/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4"/>
        <v>0</v>
      </c>
      <c r="S120" s="201"/>
      <c r="T120" s="202"/>
      <c r="U120" s="246"/>
      <c r="V120" s="246"/>
      <c r="W120" s="246"/>
      <c r="BA120"/>
      <c r="BB120"/>
    </row>
    <row r="121" spans="1:54" s="191" customFormat="1" ht="13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ref="R121:R184" si="22">SUM(F121:Q121)</f>
        <v>0</v>
      </c>
      <c r="S121" s="201"/>
      <c r="T121" s="202"/>
      <c r="U121" s="246"/>
      <c r="V121" s="246"/>
      <c r="W121" s="246"/>
      <c r="BA121"/>
      <c r="BB121"/>
    </row>
    <row r="122" spans="1:54" s="191" customFormat="1" ht="13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22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22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22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22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22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22"/>
        <v>0</v>
      </c>
      <c r="S127" s="201"/>
      <c r="T127" s="202"/>
      <c r="U127" s="246"/>
      <c r="V127" s="246"/>
      <c r="W127" s="246"/>
      <c r="BA127"/>
      <c r="BB127"/>
    </row>
    <row r="128" spans="1:54" s="191" customFormat="1" ht="13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22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22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22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22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22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22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22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22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22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22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22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22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22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22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22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22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22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22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22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22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22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22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22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22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22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22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22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22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22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22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22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22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22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22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22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22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22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22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22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22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22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22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22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22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22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22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22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22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22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22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22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22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22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22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22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si="22"/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22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ref="R185:R248" si="23">SUM(F185:Q185)</f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23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23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23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23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23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23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23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23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23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23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23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23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23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23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23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23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23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23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23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23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23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23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23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23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23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23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23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23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23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23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23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23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23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23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23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23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23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23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23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23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23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23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23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23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23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23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23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23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23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23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23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23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23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23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23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23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23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23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23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23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23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si="23"/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23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ref="R249:R312" si="24">SUM(F249:Q249)</f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24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24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24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24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24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24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24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24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24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24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24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24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24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24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24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24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24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24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24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24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24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24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24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24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24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24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24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24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24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24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24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24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24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24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24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24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24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24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24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24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24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24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24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24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24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24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24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24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24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24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24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24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24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24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24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24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24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24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24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24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24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si="24"/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24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ref="R313:R376" si="25">SUM(F313:Q313)</f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25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25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25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25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">
      <c r="A318" s="226"/>
      <c r="B318" s="180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194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00">
        <f t="shared" si="25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">
      <c r="A319" s="226"/>
      <c r="B319" s="180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194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00">
        <f t="shared" si="25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25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25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25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25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25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25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25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25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25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25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25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25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25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25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25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25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25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25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25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25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25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25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25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25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25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25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25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25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25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25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25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25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25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25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25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25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25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25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25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25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25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25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25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25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25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25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25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25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25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25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25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25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25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25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25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si="25"/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25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ref="R377:R440" si="26">SUM(F377:Q377)</f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26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26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26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26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26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26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26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26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26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26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26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26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26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26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26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26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26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26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26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26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26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26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26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26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26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26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26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26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26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26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26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26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26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26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26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26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26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26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26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26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26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26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26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26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26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26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26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26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26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26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26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26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26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26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26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26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26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26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26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26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26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si="26"/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26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ref="R441:R504" si="27">SUM(F441:Q441)</f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27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27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27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27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27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27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27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27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27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27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27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27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27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27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27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27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27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27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27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27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27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27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27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27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27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27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27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27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27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27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27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27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27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27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27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27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27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27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27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27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27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27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27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27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27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27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27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27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27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27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27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27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27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27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27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27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27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27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27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27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27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si="27"/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27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ref="R505:R568" si="28">SUM(F505:Q505)</f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28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28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28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28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28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28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28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28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28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28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28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28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28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28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28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28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28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28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28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28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28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28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28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28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28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28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28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28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28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28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28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28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28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28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28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28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28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28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28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28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28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28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28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28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28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28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28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28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28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28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28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28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28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28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28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28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28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28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28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28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28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si="28"/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28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ref="R569:R632" si="29">SUM(F569:Q569)</f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29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29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29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29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29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29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29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29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29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29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29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29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29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29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29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29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29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29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29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29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29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29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29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29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29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29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29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29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29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29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29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29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29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29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29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29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29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29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29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29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29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29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29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29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29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29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29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29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29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29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29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29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29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29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29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29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29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29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29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29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29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si="29"/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29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ref="R633:R696" si="30">SUM(F633:Q633)</f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30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30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30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30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30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30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30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30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30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30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30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30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30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30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30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30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30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30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30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30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30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30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30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30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30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30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30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30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30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30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30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30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30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30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30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30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30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30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30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30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30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30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30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30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30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30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30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30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30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30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30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30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30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30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30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30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30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30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30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30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30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si="30"/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30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ref="R697:R760" si="31">SUM(F697:Q697)</f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31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31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31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31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31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31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31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31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31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31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31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31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31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31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31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31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31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31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31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31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31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31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31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31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31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31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31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31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31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31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31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31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31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31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31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31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31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31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31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31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31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31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31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31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31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31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31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31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31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31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31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31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31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31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31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31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31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31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31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31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31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si="31"/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31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ref="R761:R801" si="32">SUM(F761:Q761)</f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32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32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32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32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32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32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32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32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32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32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32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32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32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32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32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32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32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32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32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32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32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32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32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32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32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32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32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32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32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32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32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32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32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32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32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32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32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32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>
        <f t="shared" si="32"/>
        <v>0</v>
      </c>
      <c r="S800" s="201"/>
      <c r="T800" s="202"/>
      <c r="U800" s="246"/>
      <c r="V800" s="246"/>
      <c r="W800" s="246"/>
      <c r="BA800"/>
      <c r="BB800"/>
    </row>
    <row r="801" spans="1:54" s="191" customFormat="1" ht="13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>
        <f t="shared" si="32"/>
        <v>0</v>
      </c>
      <c r="S801" s="201"/>
      <c r="T801" s="202"/>
      <c r="U801" s="246"/>
      <c r="V801" s="246"/>
      <c r="W801" s="246"/>
      <c r="BA801"/>
      <c r="BB801"/>
    </row>
    <row r="802" spans="1:54" s="191" customFormat="1" ht="13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  <row r="1001" spans="1:54" s="191" customFormat="1" ht="13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9" t="str">
        <f>IF(C1001="","",VLOOKUP($B1001,勘定科目!$A:$E,4,0))</f>
        <v/>
      </c>
      <c r="E1001" s="245"/>
      <c r="F1001" s="240"/>
      <c r="G1001" s="241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00"/>
      <c r="S1001" s="201"/>
      <c r="T1001" s="202"/>
      <c r="U1001" s="246"/>
      <c r="V1001" s="246"/>
      <c r="W1001" s="246"/>
      <c r="BA1001"/>
      <c r="BB1001"/>
    </row>
    <row r="1002" spans="1:54" s="191" customFormat="1" ht="13">
      <c r="A1002" s="182"/>
      <c r="B1002" s="178"/>
      <c r="C1002" s="183" t="str">
        <f>IFERROR(IF(VLOOKUP($B1002,勘定科目!$A:$H,HLOOKUP($E$5,勘定科目!$F$1:$H$2,2,0),0)="","",VLOOKUP($B1002,勘定科目!$A:$E,2,0)),"")</f>
        <v/>
      </c>
      <c r="D1002" s="239" t="str">
        <f>IF(C1002="","",VLOOKUP($B1002,勘定科目!$A:$E,4,0))</f>
        <v/>
      </c>
      <c r="E1002" s="245"/>
      <c r="F1002" s="240"/>
      <c r="G1002" s="241"/>
      <c r="H1002" s="241"/>
      <c r="I1002" s="241"/>
      <c r="J1002" s="241"/>
      <c r="K1002" s="241"/>
      <c r="L1002" s="241"/>
      <c r="M1002" s="241"/>
      <c r="N1002" s="241"/>
      <c r="O1002" s="241"/>
      <c r="P1002" s="241"/>
      <c r="Q1002" s="241"/>
      <c r="R1002" s="200"/>
      <c r="S1002" s="201"/>
      <c r="T1002" s="202"/>
      <c r="U1002" s="246"/>
      <c r="V1002" s="246"/>
      <c r="W1002" s="246"/>
      <c r="BA1002"/>
      <c r="BB1002"/>
    </row>
  </sheetData>
  <autoFilter ref="A7:T801" xr:uid="{83DEA93C-5A98-4A22-97A5-264E060A8F5E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1" xr:uid="{87F0C259-6E05-4108-8742-9FFF242A92DE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8B45-6C95-4E0F-A292-D0B7D4AC6E15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37.26953125" style="48" customWidth="1"/>
    <col min="5" max="18" width="14.08984375" style="48" customWidth="1"/>
    <col min="19" max="19" width="12.7265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RPS製造課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6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495F51F4-6FAA-4958-B50F-611621A01E2C}"/>
  <phoneticPr fontId="3"/>
  <dataValidations count="1">
    <dataValidation type="list" allowBlank="1" showInputMessage="1" showErrorMessage="1" sqref="S4:S49" xr:uid="{22E64FDD-1492-4819-8D25-CC2C24163FEA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10F3-F7F4-49C0-A2CB-C6BE7B3933E3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6" bestFit="1" customWidth="1"/>
    <col min="2" max="2" width="34.7265625" style="107" bestFit="1" customWidth="1"/>
    <col min="3" max="3" width="32.6328125" style="107" bestFit="1" customWidth="1"/>
    <col min="4" max="4" width="18" style="107" bestFit="1" customWidth="1"/>
    <col min="5" max="5" width="32.6328125" style="107" bestFit="1" customWidth="1"/>
    <col min="6" max="7" width="8.36328125" style="107" bestFit="1" customWidth="1"/>
    <col min="8" max="8" width="9" style="106"/>
    <col min="9" max="9" width="41.2695312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6EC691F7-C80B-402A-8347-B768F806AAE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82EC-B753-4EEF-84BD-549B1F613D7D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"/>
  <cols>
    <col min="1" max="1" width="11.6328125" style="294" bestFit="1" customWidth="1"/>
    <col min="2" max="2" width="19" style="291" bestFit="1" customWidth="1"/>
    <col min="3" max="3" width="3.90625" style="292" bestFit="1" customWidth="1"/>
    <col min="4" max="4" width="10.26953125" style="291" bestFit="1" customWidth="1"/>
    <col min="5" max="5" width="9" style="291"/>
    <col min="6" max="6" width="10.90625" style="291" bestFit="1" customWidth="1"/>
    <col min="7" max="7" width="19.453125" style="291" bestFit="1" customWidth="1"/>
    <col min="8" max="8" width="9" style="291"/>
    <col min="9" max="9" width="13.45312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A7CF598E-2744-4CA2-B70B-9F382B26185F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D3ED-D081-46C7-A075-2ED529968878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8" customWidth="1"/>
  </cols>
  <sheetData>
    <row r="2" spans="1:2">
      <c r="A2" s="123" t="s">
        <v>674</v>
      </c>
      <c r="B2" s="248" t="s">
        <v>401</v>
      </c>
    </row>
    <row r="3" spans="1:2" ht="14.5">
      <c r="A3" s="92">
        <v>4</v>
      </c>
      <c r="B3" s="249">
        <v>20</v>
      </c>
    </row>
    <row r="4" spans="1:2" ht="14.5">
      <c r="A4" s="92">
        <v>5</v>
      </c>
      <c r="B4" s="249">
        <v>19</v>
      </c>
    </row>
    <row r="5" spans="1:2" ht="14.5">
      <c r="A5" s="92">
        <v>6</v>
      </c>
      <c r="B5" s="249">
        <v>21</v>
      </c>
    </row>
    <row r="6" spans="1:2" ht="14.5">
      <c r="A6" s="92">
        <v>7</v>
      </c>
      <c r="B6" s="249">
        <v>23</v>
      </c>
    </row>
    <row r="7" spans="1:2" ht="14.5">
      <c r="A7" s="92">
        <v>8</v>
      </c>
      <c r="B7" s="249">
        <v>20</v>
      </c>
    </row>
    <row r="8" spans="1:2" ht="14.5">
      <c r="A8" s="92">
        <v>9</v>
      </c>
      <c r="B8" s="249">
        <v>19</v>
      </c>
    </row>
    <row r="9" spans="1:2" ht="14.5">
      <c r="A9" s="92">
        <v>10</v>
      </c>
      <c r="B9" s="249">
        <v>23</v>
      </c>
    </row>
    <row r="10" spans="1:2" ht="14.5">
      <c r="A10" s="92">
        <v>11</v>
      </c>
      <c r="B10" s="249">
        <v>20</v>
      </c>
    </row>
    <row r="11" spans="1:2" ht="14.5">
      <c r="A11" s="92">
        <v>12</v>
      </c>
      <c r="B11" s="249">
        <v>22</v>
      </c>
    </row>
    <row r="12" spans="1:2" ht="14.5">
      <c r="A12" s="92">
        <v>1</v>
      </c>
      <c r="B12" s="249">
        <v>20</v>
      </c>
    </row>
    <row r="13" spans="1:2" ht="14.5">
      <c r="A13" s="92">
        <v>2</v>
      </c>
      <c r="B13" s="249">
        <v>15</v>
      </c>
    </row>
    <row r="14" spans="1:2" ht="14.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Thúy Lan(Nguyen Thi Thuy Lan)</cp:lastModifiedBy>
  <cp:lastPrinted>2017-10-06T02:39:42Z</cp:lastPrinted>
  <dcterms:created xsi:type="dcterms:W3CDTF">2002-04-10T08:05:47Z</dcterms:created>
  <dcterms:modified xsi:type="dcterms:W3CDTF">2025-03-25T02:19:03Z</dcterms:modified>
</cp:coreProperties>
</file>