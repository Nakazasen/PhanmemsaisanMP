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Profit Managerment\"/>
    </mc:Choice>
  </mc:AlternateContent>
  <xr:revisionPtr revIDLastSave="0" documentId="13_ncr:1_{7E5CC4D1-AE02-4067-91FD-6ABC07943447}" xr6:coauthVersionLast="47" xr6:coauthVersionMax="47" xr10:uidLastSave="{00000000-0000-0000-0000-000000000000}"/>
  <bookViews>
    <workbookView xWindow="-120" yWindow="-120" windowWidth="21840" windowHeight="1302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externalReferences>
    <externalReference r:id="rId8"/>
  </externalReference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'内訳ﾘｽﾄ(4～3月)'!$A$7:$T$382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5" l="1"/>
  <c r="N65" i="5"/>
  <c r="M65" i="5"/>
  <c r="L65" i="5"/>
  <c r="K65" i="5"/>
  <c r="J65" i="5"/>
  <c r="I65" i="5"/>
  <c r="H65" i="5"/>
  <c r="G65" i="5"/>
  <c r="F65" i="5"/>
  <c r="E65" i="5"/>
  <c r="D65" i="5"/>
  <c r="C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P26" i="10"/>
  <c r="F26" i="10"/>
  <c r="Q26" i="10"/>
  <c r="O26" i="10"/>
  <c r="N26" i="10"/>
  <c r="M26" i="10"/>
  <c r="L26" i="10"/>
  <c r="K26" i="10"/>
  <c r="J26" i="10"/>
  <c r="I26" i="10"/>
  <c r="H26" i="10"/>
  <c r="G26" i="10"/>
  <c r="I4" i="21" l="1"/>
  <c r="I5" i="21"/>
  <c r="I6" i="21"/>
  <c r="I7" i="21"/>
  <c r="I8" i="21"/>
  <c r="I9" i="21"/>
  <c r="I10" i="21"/>
  <c r="R4" i="21" l="1"/>
  <c r="C382" i="10"/>
  <c r="D382" i="10" s="1"/>
  <c r="C381" i="10"/>
  <c r="D381" i="10" s="1"/>
  <c r="C380" i="10"/>
  <c r="D380" i="10" s="1"/>
  <c r="C379" i="10"/>
  <c r="D379" i="10" s="1"/>
  <c r="C378" i="10"/>
  <c r="D378" i="10" s="1"/>
  <c r="C377" i="10"/>
  <c r="D377" i="10" s="1"/>
  <c r="C376" i="10"/>
  <c r="D376" i="10" s="1"/>
  <c r="C375" i="10"/>
  <c r="D375" i="10" s="1"/>
  <c r="C374" i="10"/>
  <c r="D374" i="10" s="1"/>
  <c r="C373" i="10"/>
  <c r="D373" i="10" s="1"/>
  <c r="C372" i="10"/>
  <c r="D372" i="10" s="1"/>
  <c r="C371" i="10"/>
  <c r="D371" i="10" s="1"/>
  <c r="C370" i="10"/>
  <c r="D370" i="10" s="1"/>
  <c r="C369" i="10"/>
  <c r="D369" i="10" s="1"/>
  <c r="C368" i="10"/>
  <c r="D368" i="10" s="1"/>
  <c r="C367" i="10"/>
  <c r="D367" i="10" s="1"/>
  <c r="C366" i="10"/>
  <c r="D366" i="10" s="1"/>
  <c r="C365" i="10"/>
  <c r="D365" i="10" s="1"/>
  <c r="C364" i="10"/>
  <c r="D364" i="10" s="1"/>
  <c r="C363" i="10"/>
  <c r="D363" i="10" s="1"/>
  <c r="C362" i="10"/>
  <c r="D362" i="10" s="1"/>
  <c r="C361" i="10"/>
  <c r="D361" i="10" s="1"/>
  <c r="C360" i="10"/>
  <c r="D360" i="10" s="1"/>
  <c r="C359" i="10"/>
  <c r="D359" i="10" s="1"/>
  <c r="C358" i="10"/>
  <c r="D358" i="10" s="1"/>
  <c r="C357" i="10"/>
  <c r="D357" i="10" s="1"/>
  <c r="C356" i="10"/>
  <c r="D356" i="10" s="1"/>
  <c r="C355" i="10"/>
  <c r="D355" i="10" s="1"/>
  <c r="C354" i="10"/>
  <c r="D354" i="10" s="1"/>
  <c r="C353" i="10"/>
  <c r="D353" i="10" s="1"/>
  <c r="C352" i="10"/>
  <c r="D352" i="10" s="1"/>
  <c r="C351" i="10"/>
  <c r="D351" i="10" s="1"/>
  <c r="C350" i="10"/>
  <c r="D350" i="10" s="1"/>
  <c r="C349" i="10"/>
  <c r="D349" i="10" s="1"/>
  <c r="C348" i="10"/>
  <c r="D348" i="10" s="1"/>
  <c r="C347" i="10"/>
  <c r="D347" i="10" s="1"/>
  <c r="C346" i="10"/>
  <c r="D346" i="10" s="1"/>
  <c r="C345" i="10"/>
  <c r="D345" i="10" s="1"/>
  <c r="C344" i="10"/>
  <c r="D344" i="10" s="1"/>
  <c r="C343" i="10"/>
  <c r="D343" i="10" s="1"/>
  <c r="C342" i="10"/>
  <c r="D342" i="10" s="1"/>
  <c r="C341" i="10"/>
  <c r="D341" i="10" s="1"/>
  <c r="C340" i="10"/>
  <c r="D340" i="10" s="1"/>
  <c r="C339" i="10"/>
  <c r="D339" i="10" s="1"/>
  <c r="C338" i="10"/>
  <c r="D338" i="10" s="1"/>
  <c r="C337" i="10"/>
  <c r="D337" i="10" s="1"/>
  <c r="C336" i="10"/>
  <c r="D336" i="10" s="1"/>
  <c r="C335" i="10"/>
  <c r="D335" i="10" s="1"/>
  <c r="C334" i="10"/>
  <c r="D334" i="10" s="1"/>
  <c r="C333" i="10"/>
  <c r="D333" i="10" s="1"/>
  <c r="C332" i="10"/>
  <c r="D332" i="10" s="1"/>
  <c r="C331" i="10"/>
  <c r="D331" i="10" s="1"/>
  <c r="C330" i="10"/>
  <c r="D330" i="10" s="1"/>
  <c r="C329" i="10"/>
  <c r="D329" i="10" s="1"/>
  <c r="C328" i="10"/>
  <c r="D328" i="10" s="1"/>
  <c r="C327" i="10"/>
  <c r="D327" i="10" s="1"/>
  <c r="C326" i="10"/>
  <c r="D326" i="10" s="1"/>
  <c r="C325" i="10"/>
  <c r="D325" i="10" s="1"/>
  <c r="C324" i="10"/>
  <c r="D324" i="10" s="1"/>
  <c r="C323" i="10"/>
  <c r="D323" i="10" s="1"/>
  <c r="C322" i="10"/>
  <c r="D322" i="10" s="1"/>
  <c r="C321" i="10"/>
  <c r="D321" i="10" s="1"/>
  <c r="C320" i="10"/>
  <c r="D320" i="10" s="1"/>
  <c r="C319" i="10"/>
  <c r="D319" i="10" s="1"/>
  <c r="C318" i="10"/>
  <c r="D318" i="10" s="1"/>
  <c r="C317" i="10"/>
  <c r="D317" i="10" s="1"/>
  <c r="C316" i="10"/>
  <c r="D316" i="10" s="1"/>
  <c r="C315" i="10"/>
  <c r="D315" i="10" s="1"/>
  <c r="C314" i="10"/>
  <c r="D314" i="10" s="1"/>
  <c r="C313" i="10"/>
  <c r="D313" i="10" s="1"/>
  <c r="C312" i="10"/>
  <c r="D312" i="10" s="1"/>
  <c r="C311" i="10"/>
  <c r="D311" i="10" s="1"/>
  <c r="C310" i="10"/>
  <c r="D310" i="10" s="1"/>
  <c r="C309" i="10"/>
  <c r="D309" i="10" s="1"/>
  <c r="C308" i="10"/>
  <c r="D308" i="10" s="1"/>
  <c r="C307" i="10"/>
  <c r="D307" i="10" s="1"/>
  <c r="C306" i="10"/>
  <c r="D306" i="10" s="1"/>
  <c r="C305" i="10"/>
  <c r="D305" i="10" s="1"/>
  <c r="C304" i="10"/>
  <c r="D304" i="10" s="1"/>
  <c r="C303" i="10"/>
  <c r="D303" i="10" s="1"/>
  <c r="C302" i="10"/>
  <c r="D302" i="10" s="1"/>
  <c r="C301" i="10"/>
  <c r="D301" i="10" s="1"/>
  <c r="C300" i="10"/>
  <c r="D300" i="10" s="1"/>
  <c r="C299" i="10"/>
  <c r="D299" i="10" s="1"/>
  <c r="C298" i="10"/>
  <c r="D298" i="10" s="1"/>
  <c r="C297" i="10"/>
  <c r="D297" i="10" s="1"/>
  <c r="C296" i="10"/>
  <c r="D296" i="10" s="1"/>
  <c r="C295" i="10"/>
  <c r="D295" i="10" s="1"/>
  <c r="C294" i="10"/>
  <c r="D294" i="10" s="1"/>
  <c r="C293" i="10"/>
  <c r="D293" i="10" s="1"/>
  <c r="C292" i="10"/>
  <c r="D292" i="10" s="1"/>
  <c r="C291" i="10"/>
  <c r="D291" i="10" s="1"/>
  <c r="C290" i="10"/>
  <c r="D290" i="10" s="1"/>
  <c r="C289" i="10"/>
  <c r="D289" i="10" s="1"/>
  <c r="C288" i="10"/>
  <c r="D288" i="10" s="1"/>
  <c r="C287" i="10"/>
  <c r="D287" i="10" s="1"/>
  <c r="C286" i="10"/>
  <c r="D286" i="10" s="1"/>
  <c r="C285" i="10"/>
  <c r="D285" i="10" s="1"/>
  <c r="C284" i="10"/>
  <c r="D284" i="10" s="1"/>
  <c r="C283" i="10"/>
  <c r="D283" i="10" s="1"/>
  <c r="C282" i="10"/>
  <c r="D282" i="10" s="1"/>
  <c r="C281" i="10"/>
  <c r="D281" i="10" s="1"/>
  <c r="C280" i="10"/>
  <c r="D280" i="10" s="1"/>
  <c r="C279" i="10"/>
  <c r="D279" i="10" s="1"/>
  <c r="C278" i="10"/>
  <c r="D278" i="10" s="1"/>
  <c r="C277" i="10"/>
  <c r="D277" i="10" s="1"/>
  <c r="C276" i="10"/>
  <c r="D276" i="10" s="1"/>
  <c r="C275" i="10"/>
  <c r="D275" i="10" s="1"/>
  <c r="C274" i="10"/>
  <c r="D274" i="10" s="1"/>
  <c r="C273" i="10"/>
  <c r="D273" i="10" s="1"/>
  <c r="C272" i="10"/>
  <c r="D272" i="10" s="1"/>
  <c r="C271" i="10"/>
  <c r="D271" i="10" s="1"/>
  <c r="C270" i="10"/>
  <c r="D270" i="10" s="1"/>
  <c r="C269" i="10"/>
  <c r="D269" i="10" s="1"/>
  <c r="C268" i="10"/>
  <c r="D268" i="10" s="1"/>
  <c r="C267" i="10"/>
  <c r="D267" i="10" s="1"/>
  <c r="C266" i="10"/>
  <c r="D266" i="10" s="1"/>
  <c r="C265" i="10"/>
  <c r="D265" i="10" s="1"/>
  <c r="C264" i="10"/>
  <c r="D264" i="10" s="1"/>
  <c r="C263" i="10"/>
  <c r="D263" i="10" s="1"/>
  <c r="C262" i="10"/>
  <c r="D262" i="10" s="1"/>
  <c r="C261" i="10"/>
  <c r="D261" i="10" s="1"/>
  <c r="C260" i="10"/>
  <c r="D260" i="10" s="1"/>
  <c r="C259" i="10"/>
  <c r="D259" i="10" s="1"/>
  <c r="C258" i="10"/>
  <c r="D258" i="10" s="1"/>
  <c r="C257" i="10"/>
  <c r="D257" i="10" s="1"/>
  <c r="C256" i="10"/>
  <c r="D256" i="10" s="1"/>
  <c r="C255" i="10"/>
  <c r="D255" i="10" s="1"/>
  <c r="C254" i="10"/>
  <c r="D254" i="10" s="1"/>
  <c r="C253" i="10"/>
  <c r="D253" i="10" s="1"/>
  <c r="C252" i="10"/>
  <c r="D252" i="10" s="1"/>
  <c r="C251" i="10"/>
  <c r="D251" i="10" s="1"/>
  <c r="C250" i="10"/>
  <c r="D250" i="10" s="1"/>
  <c r="C249" i="10"/>
  <c r="D249" i="10" s="1"/>
  <c r="C248" i="10"/>
  <c r="D248" i="10" s="1"/>
  <c r="C247" i="10"/>
  <c r="D247" i="10" s="1"/>
  <c r="C246" i="10"/>
  <c r="D246" i="10" s="1"/>
  <c r="C245" i="10"/>
  <c r="D245" i="10" s="1"/>
  <c r="C244" i="10"/>
  <c r="D244" i="10" s="1"/>
  <c r="C243" i="10"/>
  <c r="D243" i="10" s="1"/>
  <c r="C242" i="10"/>
  <c r="D242" i="10" s="1"/>
  <c r="C241" i="10"/>
  <c r="D241" i="10" s="1"/>
  <c r="C240" i="10"/>
  <c r="D240" i="10" s="1"/>
  <c r="C239" i="10"/>
  <c r="D239" i="10" s="1"/>
  <c r="C238" i="10"/>
  <c r="D238" i="10" s="1"/>
  <c r="C237" i="10"/>
  <c r="D237" i="10" s="1"/>
  <c r="C236" i="10"/>
  <c r="D236" i="10" s="1"/>
  <c r="C235" i="10"/>
  <c r="D235" i="10" s="1"/>
  <c r="C234" i="10"/>
  <c r="D234" i="10" s="1"/>
  <c r="C233" i="10"/>
  <c r="D233" i="10" s="1"/>
  <c r="C232" i="10"/>
  <c r="D232" i="10" s="1"/>
  <c r="C231" i="10"/>
  <c r="D231" i="10" s="1"/>
  <c r="C230" i="10"/>
  <c r="D230" i="10" s="1"/>
  <c r="C229" i="10"/>
  <c r="D229" i="10" s="1"/>
  <c r="C228" i="10"/>
  <c r="D228" i="10" s="1"/>
  <c r="C227" i="10"/>
  <c r="D227" i="10" s="1"/>
  <c r="C226" i="10"/>
  <c r="D226" i="10" s="1"/>
  <c r="C225" i="10"/>
  <c r="D225" i="10" s="1"/>
  <c r="C224" i="10"/>
  <c r="D224" i="10" s="1"/>
  <c r="C223" i="10"/>
  <c r="D223" i="10" s="1"/>
  <c r="C222" i="10"/>
  <c r="D222" i="10" s="1"/>
  <c r="C221" i="10"/>
  <c r="D221" i="10" s="1"/>
  <c r="C220" i="10"/>
  <c r="D220" i="10" s="1"/>
  <c r="C219" i="10"/>
  <c r="D219" i="10" s="1"/>
  <c r="C218" i="10"/>
  <c r="D218" i="10" s="1"/>
  <c r="C217" i="10"/>
  <c r="D217" i="10" s="1"/>
  <c r="C216" i="10"/>
  <c r="D216" i="10" s="1"/>
  <c r="C215" i="10"/>
  <c r="D215" i="10" s="1"/>
  <c r="C214" i="10"/>
  <c r="D214" i="10" s="1"/>
  <c r="C213" i="10"/>
  <c r="D213" i="10" s="1"/>
  <c r="C212" i="10"/>
  <c r="D212" i="10" s="1"/>
  <c r="C211" i="10"/>
  <c r="D211" i="10" s="1"/>
  <c r="C210" i="10"/>
  <c r="D210" i="10" s="1"/>
  <c r="C209" i="10"/>
  <c r="D209" i="10" s="1"/>
  <c r="C208" i="10"/>
  <c r="D208" i="10" s="1"/>
  <c r="C207" i="10"/>
  <c r="D207" i="10" s="1"/>
  <c r="C206" i="10"/>
  <c r="D206" i="10" s="1"/>
  <c r="C205" i="10"/>
  <c r="D205" i="10" s="1"/>
  <c r="C204" i="10"/>
  <c r="D204" i="10" s="1"/>
  <c r="C203" i="10"/>
  <c r="D203" i="10" s="1"/>
  <c r="C202" i="10"/>
  <c r="D202" i="10" s="1"/>
  <c r="C201" i="10"/>
  <c r="D201" i="10" s="1"/>
  <c r="C200" i="10"/>
  <c r="D200" i="10" s="1"/>
  <c r="C199" i="10"/>
  <c r="D199" i="10" s="1"/>
  <c r="C198" i="10"/>
  <c r="D198" i="10" s="1"/>
  <c r="C197" i="10"/>
  <c r="D197" i="10" s="1"/>
  <c r="C196" i="10"/>
  <c r="D196" i="10" s="1"/>
  <c r="C195" i="10"/>
  <c r="D195" i="10" s="1"/>
  <c r="C194" i="10"/>
  <c r="D194" i="10" s="1"/>
  <c r="C193" i="10"/>
  <c r="D193" i="10" s="1"/>
  <c r="C192" i="10"/>
  <c r="D192" i="10" s="1"/>
  <c r="C191" i="10"/>
  <c r="D191" i="10" s="1"/>
  <c r="C190" i="10"/>
  <c r="D190" i="10" s="1"/>
  <c r="C189" i="10"/>
  <c r="D189" i="10" s="1"/>
  <c r="C188" i="10"/>
  <c r="D188" i="10" s="1"/>
  <c r="C187" i="10"/>
  <c r="D187" i="10" s="1"/>
  <c r="C186" i="10"/>
  <c r="D186" i="10" s="1"/>
  <c r="C185" i="10"/>
  <c r="D185" i="10" s="1"/>
  <c r="C184" i="10"/>
  <c r="D184" i="10" s="1"/>
  <c r="C183" i="10"/>
  <c r="D183" i="10" s="1"/>
  <c r="C182" i="10"/>
  <c r="D182" i="10" s="1"/>
  <c r="C181" i="10"/>
  <c r="D181" i="10" s="1"/>
  <c r="C180" i="10"/>
  <c r="D180" i="10" s="1"/>
  <c r="C179" i="10"/>
  <c r="D179" i="10" s="1"/>
  <c r="C178" i="10"/>
  <c r="D178" i="10" s="1"/>
  <c r="C177" i="10"/>
  <c r="D177" i="10" s="1"/>
  <c r="C176" i="10"/>
  <c r="D176" i="10" s="1"/>
  <c r="C175" i="10"/>
  <c r="D175" i="10" s="1"/>
  <c r="C174" i="10"/>
  <c r="D174" i="10" s="1"/>
  <c r="C173" i="10"/>
  <c r="D173" i="10" s="1"/>
  <c r="C172" i="10"/>
  <c r="D172" i="10" s="1"/>
  <c r="C171" i="10"/>
  <c r="D171" i="10" s="1"/>
  <c r="C170" i="10"/>
  <c r="D170" i="10" s="1"/>
  <c r="C169" i="10"/>
  <c r="D169" i="10" s="1"/>
  <c r="C168" i="10"/>
  <c r="D168" i="10" s="1"/>
  <c r="C167" i="10"/>
  <c r="D167" i="10" s="1"/>
  <c r="C166" i="10"/>
  <c r="D166" i="10" s="1"/>
  <c r="C165" i="10"/>
  <c r="D165" i="10" s="1"/>
  <c r="C164" i="10"/>
  <c r="D164" i="10" s="1"/>
  <c r="C163" i="10"/>
  <c r="D163" i="10" s="1"/>
  <c r="C162" i="10"/>
  <c r="D162" i="10" s="1"/>
  <c r="C161" i="10"/>
  <c r="D161" i="10" s="1"/>
  <c r="C160" i="10"/>
  <c r="D160" i="10" s="1"/>
  <c r="C159" i="10"/>
  <c r="D159" i="10" s="1"/>
  <c r="C158" i="10"/>
  <c r="D158" i="10" s="1"/>
  <c r="C157" i="10"/>
  <c r="D157" i="10" s="1"/>
  <c r="C156" i="10"/>
  <c r="D156" i="10" s="1"/>
  <c r="C155" i="10"/>
  <c r="D155" i="10" s="1"/>
  <c r="C154" i="10"/>
  <c r="D154" i="10" s="1"/>
  <c r="C153" i="10"/>
  <c r="D153" i="10" s="1"/>
  <c r="C152" i="10"/>
  <c r="D152" i="10" s="1"/>
  <c r="C151" i="10"/>
  <c r="D151" i="10" s="1"/>
  <c r="C150" i="10"/>
  <c r="D150" i="10" s="1"/>
  <c r="C149" i="10"/>
  <c r="D149" i="10" s="1"/>
  <c r="C148" i="10"/>
  <c r="D148" i="10" s="1"/>
  <c r="C147" i="10"/>
  <c r="D147" i="10" s="1"/>
  <c r="C146" i="10"/>
  <c r="D146" i="10" s="1"/>
  <c r="C145" i="10"/>
  <c r="D145" i="10" s="1"/>
  <c r="C144" i="10"/>
  <c r="D144" i="10" s="1"/>
  <c r="C143" i="10"/>
  <c r="D143" i="10" s="1"/>
  <c r="C142" i="10"/>
  <c r="D142" i="10" s="1"/>
  <c r="C141" i="10"/>
  <c r="D141" i="10" s="1"/>
  <c r="C140" i="10"/>
  <c r="D140" i="10" s="1"/>
  <c r="C139" i="10"/>
  <c r="D139" i="10" s="1"/>
  <c r="C138" i="10"/>
  <c r="D138" i="10" s="1"/>
  <c r="C137" i="10"/>
  <c r="D137" i="10" s="1"/>
  <c r="C136" i="10"/>
  <c r="D136" i="10" s="1"/>
  <c r="C135" i="10"/>
  <c r="D135" i="10" s="1"/>
  <c r="C134" i="10"/>
  <c r="D134" i="10" s="1"/>
  <c r="C133" i="10"/>
  <c r="D133" i="10" s="1"/>
  <c r="C132" i="10"/>
  <c r="D132" i="10" s="1"/>
  <c r="C131" i="10"/>
  <c r="D131" i="10" s="1"/>
  <c r="C130" i="10"/>
  <c r="D130" i="10" s="1"/>
  <c r="C129" i="10"/>
  <c r="D129" i="10" s="1"/>
  <c r="C128" i="10"/>
  <c r="D128" i="10" s="1"/>
  <c r="C127" i="10"/>
  <c r="D127" i="10" s="1"/>
  <c r="C126" i="10"/>
  <c r="D126" i="10" s="1"/>
  <c r="C125" i="10"/>
  <c r="D125" i="10" s="1"/>
  <c r="C124" i="10"/>
  <c r="D124" i="10" s="1"/>
  <c r="C123" i="10"/>
  <c r="D123" i="10" s="1"/>
  <c r="C122" i="10"/>
  <c r="D122" i="10" s="1"/>
  <c r="C121" i="10"/>
  <c r="D121" i="10" s="1"/>
  <c r="C120" i="10"/>
  <c r="D120" i="10" s="1"/>
  <c r="C119" i="10"/>
  <c r="D119" i="10" s="1"/>
  <c r="C118" i="10"/>
  <c r="D118" i="10" s="1"/>
  <c r="C117" i="10"/>
  <c r="D117" i="10" s="1"/>
  <c r="C116" i="10"/>
  <c r="D116" i="10" s="1"/>
  <c r="C115" i="10"/>
  <c r="D115" i="10" s="1"/>
  <c r="C114" i="10"/>
  <c r="D114" i="10" s="1"/>
  <c r="C113" i="10"/>
  <c r="D113" i="10" s="1"/>
  <c r="C112" i="10"/>
  <c r="D112" i="10" s="1"/>
  <c r="C111" i="10"/>
  <c r="D111" i="10" s="1"/>
  <c r="C110" i="10"/>
  <c r="D110" i="10" s="1"/>
  <c r="C109" i="10"/>
  <c r="D109" i="10" s="1"/>
  <c r="C108" i="10"/>
  <c r="D108" i="10" s="1"/>
  <c r="C107" i="10"/>
  <c r="D107" i="10" s="1"/>
  <c r="C106" i="10"/>
  <c r="D106" i="10" s="1"/>
  <c r="C105" i="10"/>
  <c r="D105" i="10" s="1"/>
  <c r="C104" i="10"/>
  <c r="D104" i="10" s="1"/>
  <c r="C103" i="10"/>
  <c r="D103" i="10" s="1"/>
  <c r="C102" i="10"/>
  <c r="D102" i="10" s="1"/>
  <c r="C101" i="10"/>
  <c r="D101" i="10" s="1"/>
  <c r="C100" i="10"/>
  <c r="D100" i="10" s="1"/>
  <c r="C99" i="10"/>
  <c r="D99" i="10" s="1"/>
  <c r="C98" i="10"/>
  <c r="D98" i="10" s="1"/>
  <c r="C97" i="10"/>
  <c r="D97" i="10" s="1"/>
  <c r="C96" i="10"/>
  <c r="D96" i="10" s="1"/>
  <c r="C95" i="10"/>
  <c r="D95" i="10" s="1"/>
  <c r="C94" i="10"/>
  <c r="D94" i="10" s="1"/>
  <c r="C93" i="10"/>
  <c r="D93" i="10" s="1"/>
  <c r="C92" i="10"/>
  <c r="D92" i="10" s="1"/>
  <c r="C91" i="10"/>
  <c r="D91" i="10" s="1"/>
  <c r="C90" i="10"/>
  <c r="D90" i="10" s="1"/>
  <c r="C89" i="10"/>
  <c r="D89" i="10" s="1"/>
  <c r="C88" i="10"/>
  <c r="D88" i="10" s="1"/>
  <c r="C87" i="10"/>
  <c r="D87" i="10" s="1"/>
  <c r="C86" i="10"/>
  <c r="D86" i="10" s="1"/>
  <c r="C85" i="10"/>
  <c r="D85" i="10" s="1"/>
  <c r="C84" i="10"/>
  <c r="D84" i="10" s="1"/>
  <c r="C83" i="10"/>
  <c r="D83" i="10" s="1"/>
  <c r="C82" i="10"/>
  <c r="D82" i="10" s="1"/>
  <c r="C81" i="10"/>
  <c r="D81" i="10" s="1"/>
  <c r="C80" i="10"/>
  <c r="D80" i="10" s="1"/>
  <c r="C79" i="10"/>
  <c r="D79" i="10" s="1"/>
  <c r="C78" i="10"/>
  <c r="D78" i="10" s="1"/>
  <c r="C77" i="10"/>
  <c r="D77" i="10" s="1"/>
  <c r="C76" i="10"/>
  <c r="D76" i="10" s="1"/>
  <c r="C75" i="10"/>
  <c r="D75" i="10" s="1"/>
  <c r="C74" i="10"/>
  <c r="D74" i="10" s="1"/>
  <c r="C73" i="10"/>
  <c r="D73" i="10" s="1"/>
  <c r="C72" i="10"/>
  <c r="D72" i="10" s="1"/>
  <c r="C71" i="10"/>
  <c r="D71" i="10" s="1"/>
  <c r="C70" i="10"/>
  <c r="D70" i="10" s="1"/>
  <c r="C69" i="10"/>
  <c r="D69" i="10" s="1"/>
  <c r="C68" i="10"/>
  <c r="D68" i="10" s="1"/>
  <c r="C67" i="10"/>
  <c r="D67" i="10" s="1"/>
  <c r="C66" i="10"/>
  <c r="D66" i="10" s="1"/>
  <c r="C65" i="10"/>
  <c r="D65" i="10" s="1"/>
  <c r="C64" i="10"/>
  <c r="D64" i="10" s="1"/>
  <c r="C63" i="10"/>
  <c r="D63" i="10" s="1"/>
  <c r="C62" i="10"/>
  <c r="D62" i="10" s="1"/>
  <c r="C61" i="10"/>
  <c r="D61" i="10" s="1"/>
  <c r="C60" i="10"/>
  <c r="D60" i="10" s="1"/>
  <c r="C59" i="10"/>
  <c r="D59" i="10" s="1"/>
  <c r="C58" i="10"/>
  <c r="D58" i="10" s="1"/>
  <c r="C57" i="10"/>
  <c r="D57" i="10" s="1"/>
  <c r="C56" i="10"/>
  <c r="D56" i="10" s="1"/>
  <c r="C55" i="10"/>
  <c r="D55" i="10" s="1"/>
  <c r="C54" i="10"/>
  <c r="D54" i="10" s="1"/>
  <c r="C53" i="10"/>
  <c r="D53" i="10" s="1"/>
  <c r="C52" i="10"/>
  <c r="D52" i="10" s="1"/>
  <c r="C51" i="10"/>
  <c r="D51" i="10" s="1"/>
  <c r="C50" i="10"/>
  <c r="D50" i="10" s="1"/>
  <c r="C49" i="10"/>
  <c r="D49" i="10" s="1"/>
  <c r="C48" i="10"/>
  <c r="D48" i="10" s="1"/>
  <c r="C47" i="10"/>
  <c r="D47" i="10" s="1"/>
  <c r="C46" i="10"/>
  <c r="D46" i="10" s="1"/>
  <c r="C45" i="10"/>
  <c r="D45" i="10" s="1"/>
  <c r="C44" i="10"/>
  <c r="D44" i="10" s="1"/>
  <c r="C43" i="10"/>
  <c r="D43" i="10" s="1"/>
  <c r="C42" i="10"/>
  <c r="D42" i="10" s="1"/>
  <c r="C41" i="10"/>
  <c r="D41" i="10" s="1"/>
  <c r="C40" i="10"/>
  <c r="D40" i="10" s="1"/>
  <c r="C39" i="10"/>
  <c r="D39" i="10" s="1"/>
  <c r="C38" i="10"/>
  <c r="D38" i="10" s="1"/>
  <c r="C37" i="10"/>
  <c r="D37" i="10" s="1"/>
  <c r="C36" i="10"/>
  <c r="D36" i="10" s="1"/>
  <c r="C35" i="10"/>
  <c r="D35" i="10" s="1"/>
  <c r="C34" i="10"/>
  <c r="D34" i="10" s="1"/>
  <c r="C33" i="10"/>
  <c r="D33" i="10" s="1"/>
  <c r="C32" i="10"/>
  <c r="D32" i="10" s="1"/>
  <c r="C31" i="10"/>
  <c r="D31" i="10" s="1"/>
  <c r="R275" i="10" l="1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3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5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35" i="10"/>
  <c r="R39" i="10"/>
  <c r="F2" i="10" l="1"/>
  <c r="G2" i="10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D5" i="10"/>
  <c r="H2" i="36"/>
  <c r="G2" i="36"/>
  <c r="F2" i="36"/>
  <c r="N98" i="5"/>
  <c r="N98" i="32" s="1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F98" i="32" s="1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F97" i="32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F88" i="32" s="1"/>
  <c r="E88" i="5"/>
  <c r="E88" i="32" s="1"/>
  <c r="D88" i="5"/>
  <c r="D88" i="32" s="1"/>
  <c r="C88" i="5"/>
  <c r="C88" i="32" s="1"/>
  <c r="N87" i="5"/>
  <c r="N87" i="32" s="1"/>
  <c r="M87" i="5"/>
  <c r="L87" i="5"/>
  <c r="L87" i="32" s="1"/>
  <c r="K87" i="5"/>
  <c r="K87" i="32" s="1"/>
  <c r="J87" i="5"/>
  <c r="J87" i="32" s="1"/>
  <c r="I87" i="5"/>
  <c r="I87" i="32" s="1"/>
  <c r="H87" i="5"/>
  <c r="H87" i="32" s="1"/>
  <c r="G87" i="5"/>
  <c r="G87" i="32" s="1"/>
  <c r="G89" i="32" s="1"/>
  <c r="F87" i="5"/>
  <c r="E87" i="5"/>
  <c r="D87" i="5"/>
  <c r="D87" i="32" s="1"/>
  <c r="C87" i="5"/>
  <c r="C87" i="32" s="1"/>
  <c r="N74" i="5"/>
  <c r="N74" i="32" s="1"/>
  <c r="M74" i="5"/>
  <c r="M74" i="32" s="1"/>
  <c r="L74" i="5"/>
  <c r="L74" i="32" s="1"/>
  <c r="K74" i="5"/>
  <c r="K74" i="32" s="1"/>
  <c r="J74" i="5"/>
  <c r="J74" i="32" s="1"/>
  <c r="I74" i="5"/>
  <c r="I74" i="32" s="1"/>
  <c r="H74" i="5"/>
  <c r="H74" i="32" s="1"/>
  <c r="G74" i="5"/>
  <c r="G74" i="32" s="1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G68" i="32" s="1"/>
  <c r="F68" i="5"/>
  <c r="F68" i="32" s="1"/>
  <c r="E68" i="5"/>
  <c r="E68" i="32" s="1"/>
  <c r="D68" i="5"/>
  <c r="D68" i="32" s="1"/>
  <c r="C68" i="5"/>
  <c r="C68" i="32" s="1"/>
  <c r="R40" i="10"/>
  <c r="R38" i="10"/>
  <c r="R37" i="10"/>
  <c r="R36" i="10"/>
  <c r="Q5" i="10"/>
  <c r="P5" i="10"/>
  <c r="O5" i="10"/>
  <c r="N5" i="10"/>
  <c r="M5" i="10"/>
  <c r="L5" i="10"/>
  <c r="K5" i="10"/>
  <c r="J5" i="10"/>
  <c r="I5" i="10"/>
  <c r="H5" i="10"/>
  <c r="G5" i="10"/>
  <c r="R28" i="10"/>
  <c r="R27" i="10"/>
  <c r="C1" i="5"/>
  <c r="C1" i="32" s="1"/>
  <c r="R25" i="10"/>
  <c r="O88" i="5" s="1"/>
  <c r="R24" i="10"/>
  <c r="O87" i="5" s="1"/>
  <c r="R23" i="10"/>
  <c r="O78" i="5" s="1"/>
  <c r="R22" i="10"/>
  <c r="O77" i="5" s="1"/>
  <c r="R21" i="10"/>
  <c r="O76" i="5" s="1"/>
  <c r="R20" i="10"/>
  <c r="R19" i="10"/>
  <c r="R18" i="10"/>
  <c r="R17" i="10"/>
  <c r="R16" i="10"/>
  <c r="R15" i="10"/>
  <c r="O72" i="5" s="1"/>
  <c r="R14" i="10"/>
  <c r="O71" i="5" s="1"/>
  <c r="R13" i="10"/>
  <c r="O70" i="5" s="1"/>
  <c r="R12" i="10"/>
  <c r="O69" i="5" s="1"/>
  <c r="R11" i="10"/>
  <c r="R10" i="10"/>
  <c r="R9" i="10"/>
  <c r="R8" i="10"/>
  <c r="C5" i="10"/>
  <c r="D1" i="21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D4" i="32"/>
  <c r="E4" i="32"/>
  <c r="F4" i="32"/>
  <c r="G4" i="32"/>
  <c r="H4" i="32"/>
  <c r="I4" i="32"/>
  <c r="J4" i="32"/>
  <c r="K4" i="32"/>
  <c r="L4" i="32"/>
  <c r="M4" i="32"/>
  <c r="N4" i="32"/>
  <c r="O4" i="32"/>
  <c r="E87" i="32"/>
  <c r="M87" i="32"/>
  <c r="F5" i="10"/>
  <c r="J92" i="32"/>
  <c r="K69" i="5"/>
  <c r="K69" i="32" s="1"/>
  <c r="L70" i="5"/>
  <c r="L70" i="32" s="1"/>
  <c r="C70" i="5"/>
  <c r="C70" i="32" s="1"/>
  <c r="K70" i="5"/>
  <c r="K70" i="32" s="1"/>
  <c r="K72" i="5"/>
  <c r="K72" i="32" s="1"/>
  <c r="N76" i="5"/>
  <c r="N76" i="32" s="1"/>
  <c r="N72" i="5"/>
  <c r="N72" i="32" s="1"/>
  <c r="I76" i="5"/>
  <c r="I76" i="32" s="1"/>
  <c r="H78" i="5"/>
  <c r="H78" i="32" s="1"/>
  <c r="M72" i="5"/>
  <c r="M72" i="32" s="1"/>
  <c r="K77" i="5"/>
  <c r="K77" i="32" s="1"/>
  <c r="H75" i="5"/>
  <c r="H75" i="32" s="1"/>
  <c r="F71" i="5"/>
  <c r="F71" i="32" s="1"/>
  <c r="L76" i="5"/>
  <c r="L76" i="32" s="1"/>
  <c r="M78" i="5"/>
  <c r="M78" i="32" s="1"/>
  <c r="F77" i="5"/>
  <c r="F77" i="32" s="1"/>
  <c r="I75" i="5"/>
  <c r="F70" i="5"/>
  <c r="F70" i="32" s="1"/>
  <c r="I71" i="5"/>
  <c r="I71" i="32" s="1"/>
  <c r="J75" i="5"/>
  <c r="J75" i="32" s="1"/>
  <c r="N78" i="5"/>
  <c r="N78" i="32" s="1"/>
  <c r="L78" i="5"/>
  <c r="L78" i="32" s="1"/>
  <c r="J71" i="5"/>
  <c r="J71" i="32" s="1"/>
  <c r="J70" i="5"/>
  <c r="J70" i="32" s="1"/>
  <c r="M76" i="5"/>
  <c r="M76" i="32" s="1"/>
  <c r="M77" i="5"/>
  <c r="M77" i="32" s="1"/>
  <c r="E72" i="5"/>
  <c r="E72" i="32" s="1"/>
  <c r="E77" i="5"/>
  <c r="E77" i="32" s="1"/>
  <c r="G72" i="5"/>
  <c r="G72" i="32" s="1"/>
  <c r="L72" i="5"/>
  <c r="L72" i="32" s="1"/>
  <c r="E71" i="5"/>
  <c r="E71" i="32" s="1"/>
  <c r="L77" i="5"/>
  <c r="L77" i="32" s="1"/>
  <c r="H70" i="5"/>
  <c r="H70" i="32" s="1"/>
  <c r="H76" i="5"/>
  <c r="H76" i="32" s="1"/>
  <c r="G75" i="5"/>
  <c r="G75" i="32" s="1"/>
  <c r="I69" i="5"/>
  <c r="I69" i="32" s="1"/>
  <c r="C71" i="5"/>
  <c r="C71" i="32" s="1"/>
  <c r="F75" i="5"/>
  <c r="F75" i="32" s="1"/>
  <c r="I77" i="5"/>
  <c r="I77" i="32" s="1"/>
  <c r="D70" i="5"/>
  <c r="D70" i="32" s="1"/>
  <c r="N77" i="5"/>
  <c r="N77" i="32" s="1"/>
  <c r="E69" i="5"/>
  <c r="E69" i="32" s="1"/>
  <c r="F69" i="5"/>
  <c r="F69" i="32" s="1"/>
  <c r="N71" i="5"/>
  <c r="N71" i="32" s="1"/>
  <c r="N70" i="5"/>
  <c r="N70" i="32" s="1"/>
  <c r="M69" i="5"/>
  <c r="M69" i="32" s="1"/>
  <c r="K76" i="5"/>
  <c r="K76" i="32" s="1"/>
  <c r="D78" i="5"/>
  <c r="D78" i="32" s="1"/>
  <c r="C72" i="5"/>
  <c r="C72" i="32" s="1"/>
  <c r="F72" i="5"/>
  <c r="F72" i="32" s="1"/>
  <c r="L69" i="5"/>
  <c r="L69" i="32" s="1"/>
  <c r="J69" i="5"/>
  <c r="J69" i="32" s="1"/>
  <c r="I70" i="5"/>
  <c r="I70" i="32" s="1"/>
  <c r="I72" i="5"/>
  <c r="I72" i="32" s="1"/>
  <c r="D72" i="5"/>
  <c r="D72" i="32" s="1"/>
  <c r="L71" i="5"/>
  <c r="L71" i="32" s="1"/>
  <c r="E70" i="5"/>
  <c r="E70" i="32" s="1"/>
  <c r="O75" i="5"/>
  <c r="C78" i="5"/>
  <c r="C78" i="32" s="1"/>
  <c r="N75" i="5"/>
  <c r="G76" i="5"/>
  <c r="G76" i="32" s="1"/>
  <c r="H72" i="5"/>
  <c r="H72" i="32" s="1"/>
  <c r="L75" i="5"/>
  <c r="L75" i="32" s="1"/>
  <c r="C75" i="5"/>
  <c r="C75" i="32" s="1"/>
  <c r="H71" i="5"/>
  <c r="H71" i="32" s="1"/>
  <c r="D76" i="5"/>
  <c r="D76" i="32" s="1"/>
  <c r="I78" i="5"/>
  <c r="I78" i="32" s="1"/>
  <c r="K71" i="5"/>
  <c r="K71" i="32" s="1"/>
  <c r="D75" i="5"/>
  <c r="D75" i="32" s="1"/>
  <c r="D69" i="5"/>
  <c r="D69" i="32" s="1"/>
  <c r="G77" i="5"/>
  <c r="G77" i="32" s="1"/>
  <c r="N69" i="5"/>
  <c r="N69" i="32" s="1"/>
  <c r="J78" i="5"/>
  <c r="J78" i="32" s="1"/>
  <c r="G71" i="5"/>
  <c r="G71" i="32" s="1"/>
  <c r="M70" i="5"/>
  <c r="M70" i="32" s="1"/>
  <c r="J76" i="5"/>
  <c r="G70" i="5"/>
  <c r="G70" i="32" s="1"/>
  <c r="K75" i="5"/>
  <c r="K75" i="32" s="1"/>
  <c r="E75" i="5"/>
  <c r="E75" i="32" s="1"/>
  <c r="M71" i="5"/>
  <c r="D71" i="5"/>
  <c r="D71" i="32" s="1"/>
  <c r="E78" i="5"/>
  <c r="E78" i="32" s="1"/>
  <c r="J77" i="5"/>
  <c r="J77" i="32" s="1"/>
  <c r="G78" i="5"/>
  <c r="G78" i="32" s="1"/>
  <c r="G69" i="5"/>
  <c r="C76" i="5"/>
  <c r="C76" i="32" s="1"/>
  <c r="C77" i="5"/>
  <c r="C77" i="32" s="1"/>
  <c r="C69" i="5"/>
  <c r="C69" i="32" s="1"/>
  <c r="H77" i="5"/>
  <c r="H77" i="32" s="1"/>
  <c r="F76" i="5"/>
  <c r="F76" i="32" s="1"/>
  <c r="E76" i="5"/>
  <c r="E76" i="32" s="1"/>
  <c r="K78" i="5"/>
  <c r="K78" i="32" s="1"/>
  <c r="J72" i="5"/>
  <c r="J72" i="32" s="1"/>
  <c r="M75" i="5"/>
  <c r="M75" i="32" s="1"/>
  <c r="H69" i="5"/>
  <c r="D77" i="5"/>
  <c r="D77" i="32" s="1"/>
  <c r="F78" i="5"/>
  <c r="F78" i="32" s="1"/>
  <c r="B2" i="5"/>
  <c r="B2" i="32" s="1"/>
  <c r="R29" i="10"/>
  <c r="R26" i="10"/>
  <c r="O98" i="5" l="1"/>
  <c r="N89" i="5"/>
  <c r="J89" i="32"/>
  <c r="J94" i="32"/>
  <c r="M89" i="5"/>
  <c r="E89" i="5"/>
  <c r="K89" i="32"/>
  <c r="N89" i="32"/>
  <c r="D89" i="32"/>
  <c r="K89" i="5"/>
  <c r="O97" i="5"/>
  <c r="O99" i="5" s="1"/>
  <c r="D89" i="5"/>
  <c r="O93" i="5"/>
  <c r="F89" i="5"/>
  <c r="M89" i="32"/>
  <c r="O68" i="32"/>
  <c r="L79" i="5"/>
  <c r="O74" i="32"/>
  <c r="L89" i="32"/>
  <c r="H89" i="32"/>
  <c r="M79" i="5"/>
  <c r="R5" i="10"/>
  <c r="O68" i="5"/>
  <c r="O73" i="5" s="1"/>
  <c r="G89" i="5"/>
  <c r="F79" i="5"/>
  <c r="N79" i="5"/>
  <c r="O74" i="5"/>
  <c r="H89" i="5"/>
  <c r="I89" i="32"/>
  <c r="E89" i="32"/>
  <c r="O89" i="5"/>
  <c r="C89" i="32"/>
  <c r="O88" i="32"/>
  <c r="L89" i="5"/>
  <c r="I89" i="5"/>
  <c r="C89" i="5"/>
  <c r="J99" i="5"/>
  <c r="J89" i="5"/>
  <c r="G99" i="5"/>
  <c r="F73" i="32"/>
  <c r="I79" i="5"/>
  <c r="F73" i="5"/>
  <c r="H73" i="5"/>
  <c r="K79" i="32"/>
  <c r="L73" i="32"/>
  <c r="O92" i="5"/>
  <c r="F87" i="32"/>
  <c r="F89" i="32" s="1"/>
  <c r="I73" i="32"/>
  <c r="C99" i="5"/>
  <c r="F99" i="5"/>
  <c r="J99" i="32"/>
  <c r="L79" i="32"/>
  <c r="I75" i="32"/>
  <c r="I79" i="32" s="1"/>
  <c r="E73" i="5"/>
  <c r="G98" i="32"/>
  <c r="G99" i="32" s="1"/>
  <c r="D79" i="5"/>
  <c r="E79" i="5"/>
  <c r="K73" i="32"/>
  <c r="E79" i="32"/>
  <c r="E92" i="32"/>
  <c r="E94" i="32" s="1"/>
  <c r="E94" i="5"/>
  <c r="M99" i="5"/>
  <c r="M97" i="32"/>
  <c r="M99" i="32" s="1"/>
  <c r="C79" i="5"/>
  <c r="G94" i="32"/>
  <c r="K94" i="32"/>
  <c r="D99" i="5"/>
  <c r="C99" i="32"/>
  <c r="C73" i="32"/>
  <c r="K94" i="5"/>
  <c r="M94" i="5"/>
  <c r="E99" i="5"/>
  <c r="G79" i="5"/>
  <c r="N75" i="32"/>
  <c r="N73" i="5"/>
  <c r="D79" i="32"/>
  <c r="I73" i="5"/>
  <c r="D94" i="5"/>
  <c r="D73" i="32"/>
  <c r="F79" i="32"/>
  <c r="F67" i="32" s="1"/>
  <c r="C73" i="5"/>
  <c r="E73" i="32"/>
  <c r="G94" i="5"/>
  <c r="K99" i="5"/>
  <c r="F93" i="32"/>
  <c r="F94" i="32" s="1"/>
  <c r="F94" i="5"/>
  <c r="N99" i="5"/>
  <c r="N97" i="32"/>
  <c r="N99" i="32" s="1"/>
  <c r="H98" i="32"/>
  <c r="H99" i="5"/>
  <c r="J73" i="5"/>
  <c r="H69" i="32"/>
  <c r="H73" i="32" s="1"/>
  <c r="O78" i="32"/>
  <c r="L94" i="5"/>
  <c r="L92" i="32"/>
  <c r="L94" i="32" s="1"/>
  <c r="C93" i="32"/>
  <c r="C94" i="32" s="1"/>
  <c r="C94" i="5"/>
  <c r="C79" i="32"/>
  <c r="H79" i="5"/>
  <c r="H67" i="5" s="1"/>
  <c r="M79" i="32"/>
  <c r="I92" i="32"/>
  <c r="I94" i="32" s="1"/>
  <c r="I94" i="5"/>
  <c r="G79" i="32"/>
  <c r="D73" i="5"/>
  <c r="H79" i="32"/>
  <c r="L73" i="5"/>
  <c r="K79" i="5"/>
  <c r="O77" i="32"/>
  <c r="D94" i="32"/>
  <c r="L97" i="32"/>
  <c r="L99" i="5"/>
  <c r="I98" i="32"/>
  <c r="I99" i="32" s="1"/>
  <c r="I99" i="5"/>
  <c r="E99" i="32"/>
  <c r="H92" i="32"/>
  <c r="H94" i="32" s="1"/>
  <c r="H94" i="5"/>
  <c r="N92" i="32"/>
  <c r="N94" i="32" s="1"/>
  <c r="N94" i="5"/>
  <c r="D99" i="32"/>
  <c r="M94" i="32"/>
  <c r="K99" i="32"/>
  <c r="J76" i="32"/>
  <c r="J79" i="32" s="1"/>
  <c r="J79" i="5"/>
  <c r="J73" i="32"/>
  <c r="G69" i="32"/>
  <c r="G73" i="5"/>
  <c r="M71" i="32"/>
  <c r="M73" i="32" s="1"/>
  <c r="M73" i="5"/>
  <c r="O72" i="32"/>
  <c r="N73" i="32"/>
  <c r="O70" i="32"/>
  <c r="K73" i="5"/>
  <c r="F99" i="32"/>
  <c r="J94" i="5"/>
  <c r="L67" i="5" l="1"/>
  <c r="F67" i="5"/>
  <c r="I67" i="32"/>
  <c r="K67" i="32"/>
  <c r="O94" i="5"/>
  <c r="L67" i="32"/>
  <c r="M67" i="32"/>
  <c r="C67" i="32"/>
  <c r="M67" i="5"/>
  <c r="E67" i="5"/>
  <c r="D67" i="5"/>
  <c r="I67" i="5"/>
  <c r="N67" i="5"/>
  <c r="C67" i="5"/>
  <c r="K67" i="5"/>
  <c r="E67" i="32"/>
  <c r="J67" i="5"/>
  <c r="F58" i="5"/>
  <c r="F58" i="32" s="1"/>
  <c r="L23" i="5"/>
  <c r="L23" i="32" s="1"/>
  <c r="C45" i="5"/>
  <c r="C45" i="32" s="1"/>
  <c r="O87" i="32"/>
  <c r="O89" i="32" s="1"/>
  <c r="O76" i="32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32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67" i="5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32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32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K6" i="32" s="1"/>
  <c r="E53" i="5"/>
  <c r="E53" i="32" s="1"/>
  <c r="L14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32"/>
  <c r="I62" i="32"/>
  <c r="K62" i="32"/>
  <c r="K63" i="32"/>
  <c r="D62" i="32"/>
  <c r="C61" i="32"/>
  <c r="G61" i="32"/>
  <c r="M62" i="32"/>
  <c r="F63" i="32"/>
  <c r="G62" i="32"/>
  <c r="I61" i="32"/>
  <c r="J61" i="32"/>
  <c r="M63" i="32"/>
  <c r="M61" i="32"/>
  <c r="H62" i="32"/>
  <c r="C62" i="32"/>
  <c r="L61" i="32"/>
  <c r="N63" i="32"/>
  <c r="F61" i="32"/>
  <c r="D63" i="32"/>
  <c r="I63" i="32"/>
  <c r="N62" i="32"/>
  <c r="K61" i="32"/>
  <c r="J62" i="32"/>
  <c r="D61" i="32"/>
  <c r="H61" i="32"/>
  <c r="F62" i="32"/>
  <c r="J63" i="32"/>
  <c r="G63" i="32"/>
  <c r="L63" i="32"/>
  <c r="E62" i="32"/>
  <c r="L62" i="32"/>
  <c r="N61" i="32"/>
  <c r="C63" i="32"/>
  <c r="E63" i="32"/>
  <c r="H63" i="32"/>
  <c r="K10" i="5"/>
  <c r="K10" i="32" s="1"/>
  <c r="I65" i="32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32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32"/>
  <c r="J46" i="5"/>
  <c r="J46" i="32" s="1"/>
  <c r="M51" i="5"/>
  <c r="M51" i="32" s="1"/>
  <c r="E65" i="32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32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O67" i="5" s="1"/>
  <c r="F24" i="5"/>
  <c r="F24" i="32" s="1"/>
  <c r="L38" i="5"/>
  <c r="L38" i="32" s="1"/>
  <c r="F53" i="5"/>
  <c r="F53" i="32" s="1"/>
  <c r="C65" i="32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32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67" i="32"/>
  <c r="J31" i="5"/>
  <c r="J31" i="32" s="1"/>
  <c r="J43" i="5"/>
  <c r="J43" i="32" s="1"/>
  <c r="K17" i="5"/>
  <c r="K17" i="32" s="1"/>
  <c r="D27" i="5"/>
  <c r="D27" i="32" s="1"/>
  <c r="N79" i="32"/>
  <c r="N67" i="32" s="1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32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32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D6" i="32" s="1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M24" i="5"/>
  <c r="M24" i="32" s="1"/>
  <c r="L99" i="32"/>
  <c r="O97" i="32"/>
  <c r="O93" i="32"/>
  <c r="H67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M6" i="32"/>
  <c r="G73" i="32"/>
  <c r="G67" i="32" s="1"/>
  <c r="O69" i="32"/>
  <c r="E14" i="32"/>
  <c r="L14" i="32"/>
  <c r="E6" i="32"/>
  <c r="N6" i="32"/>
  <c r="N8" i="5"/>
  <c r="O79" i="32" l="1"/>
  <c r="O73" i="32"/>
  <c r="E8" i="32"/>
  <c r="E5" i="32" s="1"/>
  <c r="E12" i="32" s="1"/>
  <c r="K8" i="5"/>
  <c r="K5" i="5" s="1"/>
  <c r="K12" i="5" s="1"/>
  <c r="K81" i="5" s="1"/>
  <c r="M8" i="32"/>
  <c r="M5" i="32" s="1"/>
  <c r="M12" i="32" s="1"/>
  <c r="M81" i="32" s="1"/>
  <c r="K8" i="32"/>
  <c r="K5" i="32" s="1"/>
  <c r="K12" i="32" s="1"/>
  <c r="K81" i="32" s="1"/>
  <c r="L8" i="5"/>
  <c r="L5" i="5" s="1"/>
  <c r="L12" i="5" s="1"/>
  <c r="L81" i="5" s="1"/>
  <c r="G8" i="32"/>
  <c r="G5" i="32" s="1"/>
  <c r="G12" i="32" s="1"/>
  <c r="F8" i="32"/>
  <c r="F5" i="32" s="1"/>
  <c r="F12" i="32" s="1"/>
  <c r="F81" i="32" s="1"/>
  <c r="G8" i="5"/>
  <c r="G5" i="5" s="1"/>
  <c r="G12" i="5" s="1"/>
  <c r="G81" i="5" s="1"/>
  <c r="H8" i="32"/>
  <c r="H5" i="32" s="1"/>
  <c r="H12" i="32" s="1"/>
  <c r="H81" i="32" s="1"/>
  <c r="H8" i="5"/>
  <c r="H5" i="5" s="1"/>
  <c r="H12" i="5" s="1"/>
  <c r="H81" i="5" s="1"/>
  <c r="M8" i="5"/>
  <c r="M5" i="5" s="1"/>
  <c r="M12" i="5" s="1"/>
  <c r="M81" i="5" s="1"/>
  <c r="N8" i="32"/>
  <c r="N5" i="32" s="1"/>
  <c r="N12" i="32" s="1"/>
  <c r="N81" i="32" s="1"/>
  <c r="E8" i="5"/>
  <c r="E5" i="5" s="1"/>
  <c r="E12" i="5" s="1"/>
  <c r="E81" i="5" s="1"/>
  <c r="F8" i="5"/>
  <c r="F5" i="5" s="1"/>
  <c r="F12" i="5" s="1"/>
  <c r="F81" i="5" s="1"/>
  <c r="I8" i="32"/>
  <c r="I5" i="32" s="1"/>
  <c r="I12" i="32" s="1"/>
  <c r="I81" i="32" s="1"/>
  <c r="J8" i="5"/>
  <c r="J5" i="5" s="1"/>
  <c r="J12" i="5" s="1"/>
  <c r="J81" i="5" s="1"/>
  <c r="D8" i="32"/>
  <c r="D5" i="32" s="1"/>
  <c r="D12" i="32" s="1"/>
  <c r="D81" i="32" s="1"/>
  <c r="O18" i="32"/>
  <c r="L8" i="32"/>
  <c r="L5" i="32" s="1"/>
  <c r="L12" i="32" s="1"/>
  <c r="L81" i="32" s="1"/>
  <c r="O8" i="5"/>
  <c r="O5" i="5" s="1"/>
  <c r="O12" i="5" s="1"/>
  <c r="O81" i="5" s="1"/>
  <c r="D8" i="5"/>
  <c r="D5" i="5" s="1"/>
  <c r="D12" i="5" s="1"/>
  <c r="D81" i="5" s="1"/>
  <c r="O26" i="32"/>
  <c r="O50" i="32"/>
  <c r="O34" i="32"/>
  <c r="I8" i="5"/>
  <c r="I5" i="5" s="1"/>
  <c r="I12" i="5" s="1"/>
  <c r="I81" i="5" s="1"/>
  <c r="O46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16" i="32"/>
  <c r="H13" i="5"/>
  <c r="K3" i="10" s="1" a="1"/>
  <c r="K3" i="10" s="1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13" i="5"/>
  <c r="O58" i="32"/>
  <c r="O63" i="32"/>
  <c r="O62" i="32"/>
  <c r="O29" i="32"/>
  <c r="O27" i="32"/>
  <c r="O67" i="32"/>
  <c r="O99" i="32"/>
  <c r="O28" i="32"/>
  <c r="J8" i="32"/>
  <c r="J5" i="32" s="1"/>
  <c r="J12" i="32" s="1"/>
  <c r="J81" i="32" s="1"/>
  <c r="J13" i="5"/>
  <c r="O59" i="32"/>
  <c r="N5" i="5"/>
  <c r="N12" i="5" s="1"/>
  <c r="N81" i="5" s="1"/>
  <c r="H14" i="32"/>
  <c r="O14" i="32" s="1"/>
  <c r="C8" i="5"/>
  <c r="C5" i="5" s="1"/>
  <c r="C12" i="5" s="1"/>
  <c r="C81" i="5" s="1"/>
  <c r="O94" i="32"/>
  <c r="O24" i="32"/>
  <c r="O21" i="32"/>
  <c r="O19" i="32"/>
  <c r="O10" i="32"/>
  <c r="O60" i="32"/>
  <c r="G13" i="5"/>
  <c r="L64" i="32"/>
  <c r="L13" i="32" s="1"/>
  <c r="K13" i="5"/>
  <c r="N3" i="10" s="1" a="1"/>
  <c r="N3" i="10" s="1"/>
  <c r="I64" i="32"/>
  <c r="I13" i="32" s="1"/>
  <c r="O42" i="32"/>
  <c r="O44" i="32"/>
  <c r="O30" i="32"/>
  <c r="O49" i="32"/>
  <c r="O38" i="32"/>
  <c r="F13" i="5"/>
  <c r="N64" i="32"/>
  <c r="N13" i="32" s="1"/>
  <c r="M13" i="5"/>
  <c r="E64" i="32"/>
  <c r="E13" i="32" s="1"/>
  <c r="E66" i="32" s="1"/>
  <c r="E80" i="32" s="1"/>
  <c r="O48" i="32"/>
  <c r="D64" i="32"/>
  <c r="D13" i="32" s="1"/>
  <c r="O47" i="32"/>
  <c r="C64" i="32"/>
  <c r="C13" i="32" s="1"/>
  <c r="F3" i="10" a="1"/>
  <c r="F3" i="10" s="1"/>
  <c r="C8" i="32"/>
  <c r="C5" i="32" s="1"/>
  <c r="C12" i="32" s="1"/>
  <c r="O6" i="32"/>
  <c r="C13" i="5"/>
  <c r="E81" i="32"/>
  <c r="H64" i="32"/>
  <c r="G81" i="32"/>
  <c r="I3" i="10" a="1"/>
  <c r="I3" i="10" s="1"/>
  <c r="J64" i="32"/>
  <c r="J13" i="32" s="1"/>
  <c r="M3" i="10" a="1"/>
  <c r="M3" i="10" s="1"/>
  <c r="K66" i="5" l="1"/>
  <c r="K80" i="5" s="1"/>
  <c r="C66" i="5"/>
  <c r="C80" i="5" s="1"/>
  <c r="J66" i="32"/>
  <c r="J80" i="32" s="1"/>
  <c r="L66" i="32"/>
  <c r="L80" i="32" s="1"/>
  <c r="H66" i="5"/>
  <c r="H80" i="5" s="1"/>
  <c r="G66" i="5"/>
  <c r="G80" i="5" s="1"/>
  <c r="J66" i="5"/>
  <c r="J80" i="5" s="1"/>
  <c r="D66" i="32"/>
  <c r="D80" i="32" s="1"/>
  <c r="M66" i="5"/>
  <c r="M80" i="5" s="1"/>
  <c r="H13" i="32"/>
  <c r="H66" i="32" s="1"/>
  <c r="H80" i="32" s="1"/>
  <c r="O66" i="5"/>
  <c r="O80" i="5" s="1"/>
  <c r="I66" i="32"/>
  <c r="I80" i="32" s="1"/>
  <c r="F66" i="5"/>
  <c r="F80" i="5" s="1"/>
  <c r="D13" i="5"/>
  <c r="D66" i="5" s="1"/>
  <c r="D80" i="5" s="1"/>
  <c r="E13" i="5"/>
  <c r="E66" i="5" s="1"/>
  <c r="E80" i="5" s="1"/>
  <c r="F64" i="32"/>
  <c r="F13" i="32" s="1"/>
  <c r="F66" i="32" s="1"/>
  <c r="F80" i="32" s="1"/>
  <c r="O8" i="32"/>
  <c r="O5" i="32" s="1"/>
  <c r="O12" i="32" s="1"/>
  <c r="O81" i="32" s="1"/>
  <c r="L13" i="5"/>
  <c r="L66" i="5" s="1"/>
  <c r="L80" i="5" s="1"/>
  <c r="N13" i="5"/>
  <c r="N66" i="5" s="1"/>
  <c r="N80" i="5" s="1"/>
  <c r="N66" i="32"/>
  <c r="N80" i="32" s="1"/>
  <c r="G64" i="32"/>
  <c r="G13" i="32" s="1"/>
  <c r="G66" i="32" s="1"/>
  <c r="G80" i="32" s="1"/>
  <c r="I13" i="5"/>
  <c r="I66" i="5" s="1"/>
  <c r="I80" i="5" s="1"/>
  <c r="L3" i="10" a="1"/>
  <c r="L3" i="10" s="1"/>
  <c r="J3" i="10" a="1"/>
  <c r="J3" i="10" s="1"/>
  <c r="M64" i="32"/>
  <c r="M13" i="32" s="1"/>
  <c r="M66" i="32" s="1"/>
  <c r="M80" i="32" s="1"/>
  <c r="Q3" i="10" a="1"/>
  <c r="Q3" i="10" s="1"/>
  <c r="P3" i="10" a="1"/>
  <c r="P3" i="10" s="1"/>
  <c r="K64" i="32"/>
  <c r="K13" i="32" s="1"/>
  <c r="K66" i="32" s="1"/>
  <c r="K80" i="32" s="1"/>
  <c r="C66" i="32"/>
  <c r="C80" i="32" s="1"/>
  <c r="C81" i="32"/>
  <c r="O3" i="10" l="1" a="1"/>
  <c r="O3" i="10" s="1"/>
  <c r="H3" i="10" a="1"/>
  <c r="H3" i="10" s="1"/>
  <c r="G3" i="10" a="1"/>
  <c r="G3" i="10" s="1"/>
  <c r="O64" i="32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<sst xmlns="http://schemas.openxmlformats.org/spreadsheetml/2006/main" count="1890" uniqueCount="905">
  <si>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</si>
  <si>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</si>
  <si>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</si>
  <si>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</si>
  <si>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</si>
  <si>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</si>
  <si>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</si>
  <si>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</si>
  <si>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</si>
  <si>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</si>
  <si>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</si>
  <si>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</si>
  <si>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</si>
  <si>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</si>
  <si>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</si>
  <si>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</si>
  <si>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</si>
  <si>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</si>
  <si>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</si>
  <si>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</si>
  <si>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</si>
  <si>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</si>
  <si>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</si>
  <si>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</si>
  <si>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</si>
  <si>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</si>
  <si>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</si>
  <si>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</si>
  <si>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</si>
  <si>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</si>
  <si>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</si>
  <si>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</si>
  <si>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</si>
  <si>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</si>
  <si>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</si>
  <si>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</si>
  <si>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</si>
  <si>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</si>
  <si>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</si>
  <si>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</si>
  <si>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</si>
  <si>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</si>
  <si>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</si>
  <si>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</si>
  <si>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</si>
  <si>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</si>
  <si>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</si>
  <si>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</si>
  <si>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</si>
  <si>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</si>
  <si>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</si>
  <si>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</si>
  <si>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</si>
  <si>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</si>
  <si>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</si>
  <si>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</si>
  <si>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</si>
  <si>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</si>
  <si>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</si>
  <si>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</si>
  <si>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</si>
  <si>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</si>
  <si>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</si>
  <si>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</si>
  <si>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</si>
  <si>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</si>
  <si>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</si>
  <si>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</si>
  <si>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</si>
  <si>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</si>
  <si>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</si>
  <si>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</si>
  <si>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</si>
  <si>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</si>
  <si>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</si>
  <si>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</si>
  <si>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</si>
  <si>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</si>
  <si>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</si>
  <si>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</si>
  <si>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</si>
  <si>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</si>
  <si>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</si>
  <si>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</si>
  <si>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</si>
  <si>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</si>
  <si>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</si>
  <si>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</si>
  <si>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4"/>
  </si>
  <si>
    <t>工場間接部門</t>
    <rPh sb="0" eb="2">
      <t>コウジョウ</t>
    </rPh>
    <phoneticPr fontId="14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</si>
  <si>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</si>
  <si>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</si>
  <si>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</si>
  <si>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</si>
  <si>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</si>
  <si>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</si>
  <si>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</si>
  <si>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</si>
  <si>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</si>
  <si>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</si>
  <si>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</si>
  <si>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</si>
  <si>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</si>
  <si>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</si>
  <si>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</si>
  <si>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</si>
  <si>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</si>
  <si>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</si>
  <si>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</si>
  <si>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</si>
  <si>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</si>
  <si>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</si>
  <si>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</si>
  <si>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</si>
  <si>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</si>
  <si>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</si>
  <si>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</si>
  <si>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</si>
  <si>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</si>
  <si>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</si>
  <si>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</si>
  <si>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</si>
  <si>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</si>
  <si>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</si>
  <si>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</si>
  <si>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</si>
  <si>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4"/>
  </si>
  <si>
    <t>部外間接部門2</t>
    <rPh sb="0" eb="2">
      <t>ブガイ</t>
    </rPh>
    <rPh sb="2" eb="4">
      <t>カンセツ</t>
    </rPh>
    <rPh sb="4" eb="6">
      <t>ブモン</t>
    </rPh>
    <phoneticPr fontId="14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</si>
  <si>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</si>
  <si>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</si>
  <si>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</si>
  <si>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</si>
  <si>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</si>
  <si>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</si>
  <si>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</si>
  <si>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</si>
  <si>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</si>
  <si>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</si>
  <si>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</si>
  <si>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</si>
  <si>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</si>
  <si>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</si>
  <si>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</si>
  <si>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</si>
  <si>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</si>
  <si>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</si>
  <si>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</si>
  <si>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</si>
  <si>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</si>
  <si>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</si>
  <si>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</si>
  <si>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</si>
  <si>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</si>
  <si>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</si>
  <si>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</si>
  <si>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</si>
  <si>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</si>
  <si>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</si>
  <si>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</si>
  <si>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</si>
  <si>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</si>
  <si>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</si>
  <si>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</si>
  <si>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</si>
  <si>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</si>
  <si>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</si>
  <si>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</si>
  <si>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</si>
  <si>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</si>
  <si>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</si>
  <si>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</si>
  <si>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</si>
  <si>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</si>
  <si>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</si>
  <si>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</si>
  <si>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</si>
  <si>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</si>
  <si>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</si>
  <si>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</si>
  <si>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</si>
  <si>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</si>
  <si>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</si>
  <si>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</si>
  <si>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</si>
  <si>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</si>
  <si>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</si>
  <si>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</si>
  <si>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</si>
  <si>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</si>
  <si>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</si>
  <si>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</si>
  <si>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</si>
  <si>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</si>
  <si>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</si>
  <si>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</si>
  <si>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</si>
  <si>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</si>
  <si>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</si>
  <si>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</si>
  <si>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</si>
  <si>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</si>
  <si>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</si>
  <si>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</si>
  <si>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</si>
  <si>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</si>
  <si>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</si>
  <si>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</si>
  <si>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</si>
  <si>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</si>
  <si>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</si>
  <si>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</si>
  <si>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</si>
  <si>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</si>
  <si>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</si>
  <si>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</si>
  <si>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</si>
  <si>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</si>
  <si>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</si>
  <si>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</si>
  <si>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</si>
  <si>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</si>
  <si>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</si>
  <si>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</si>
  <si>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</si>
  <si>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</si>
  <si>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</si>
  <si>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</si>
  <si>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</si>
  <si>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</si>
  <si>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</si>
  <si>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</si>
  <si>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</si>
  <si>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</si>
  <si>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</si>
  <si>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</si>
  <si>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</si>
  <si>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</si>
  <si>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</si>
  <si>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</si>
  <si>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</si>
  <si>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</si>
  <si>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</si>
  <si>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</si>
  <si>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</si>
  <si>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</si>
  <si>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</si>
  <si>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</si>
  <si>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</si>
  <si>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</si>
  <si>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</si>
  <si>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</si>
  <si>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</si>
  <si>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</si>
  <si>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</si>
  <si>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</si>
  <si>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</si>
  <si>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</si>
  <si>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</si>
  <si>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</si>
  <si>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</si>
  <si>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</si>
  <si>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</si>
  <si>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</si>
  <si>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</si>
  <si>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</si>
  <si>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</si>
  <si>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</si>
  <si>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</si>
  <si>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</si>
  <si>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</si>
  <si>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</si>
  <si>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</si>
  <si>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</si>
  <si>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</si>
  <si>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</si>
  <si>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</si>
  <si>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</si>
  <si>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</si>
  <si>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</si>
  <si>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</si>
  <si>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</si>
  <si>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</si>
  <si>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</si>
  <si>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</si>
  <si>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</si>
  <si>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</si>
  <si>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</si>
  <si>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</si>
  <si>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</si>
  <si>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</si>
  <si>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</si>
  <si>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</si>
  <si>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</si>
  <si>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</si>
  <si>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</si>
  <si>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</si>
  <si>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</si>
  <si>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</si>
  <si>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</si>
  <si>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</si>
  <si>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</si>
  <si>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</si>
  <si>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</si>
  <si>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</si>
  <si>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</si>
  <si>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</si>
  <si>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</si>
  <si>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</si>
  <si>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</si>
  <si>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</si>
  <si>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</si>
  <si>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</si>
  <si>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</si>
  <si>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</si>
  <si>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</si>
  <si>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</si>
  <si>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</si>
  <si>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</si>
  <si>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</si>
  <si>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</si>
  <si>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</si>
  <si>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</si>
  <si>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</si>
  <si>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</si>
  <si>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</si>
  <si>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</si>
  <si>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</si>
  <si>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</si>
  <si>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</si>
  <si>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</si>
  <si>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</si>
  <si>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</si>
  <si>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</si>
  <si>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</si>
  <si>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</si>
  <si>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</si>
  <si>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</si>
  <si>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</si>
  <si>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</si>
  <si>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</si>
  <si>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</si>
  <si>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</si>
  <si>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</si>
  <si>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</si>
  <si>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</si>
  <si>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</si>
  <si>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</si>
  <si>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</si>
  <si>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</si>
  <si>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</si>
  <si>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</si>
  <si>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</si>
  <si>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</si>
  <si>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</si>
  <si>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</si>
  <si>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</si>
  <si>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</si>
  <si>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</si>
  <si>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</si>
  <si>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</si>
  <si>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</si>
  <si>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</si>
  <si>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</si>
  <si>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</si>
  <si>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</si>
  <si>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</si>
  <si>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</si>
  <si>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</si>
  <si>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</si>
  <si>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</si>
  <si>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</si>
  <si>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</si>
  <si>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</si>
  <si>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</si>
  <si>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</si>
  <si>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</si>
  <si>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</si>
  <si>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</si>
  <si>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</si>
  <si>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</si>
  <si>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</si>
  <si>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</si>
  <si>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</si>
  <si>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</si>
  <si>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</si>
  <si>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</si>
  <si>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</si>
  <si>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</si>
  <si>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</si>
  <si>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</si>
  <si>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</si>
  <si>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</si>
  <si>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</si>
  <si>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</si>
  <si>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</si>
  <si>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</si>
  <si>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</si>
  <si>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</si>
  <si>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</si>
  <si>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</si>
  <si>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</si>
  <si>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</si>
  <si>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</si>
  <si>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</si>
  <si>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</si>
  <si>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</si>
  <si>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</si>
  <si>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</si>
  <si>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</si>
  <si>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</si>
  <si>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</si>
  <si>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</si>
  <si>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</si>
  <si>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</si>
  <si>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</si>
  <si>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</si>
  <si>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</si>
  <si>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</si>
  <si>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</si>
  <si>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</si>
  <si>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</si>
  <si>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</si>
  <si>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</si>
  <si>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</si>
  <si>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</si>
  <si>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</si>
  <si>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</si>
  <si>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</si>
  <si>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</si>
  <si>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</si>
  <si>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</si>
  <si>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</si>
  <si>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</si>
  <si>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</si>
  <si>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</si>
  <si>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</si>
  <si>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</si>
  <si>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</si>
  <si>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</si>
  <si>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</si>
  <si>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</si>
  <si>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</si>
  <si>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</si>
  <si>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</si>
  <si>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</si>
  <si>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</si>
  <si>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</si>
  <si>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</si>
  <si>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</si>
  <si>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</si>
  <si>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</si>
  <si>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</si>
  <si>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</si>
  <si>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</si>
  <si>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</si>
  <si>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</si>
  <si>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</si>
  <si>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</si>
  <si>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</si>
  <si>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</si>
  <si>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</si>
  <si>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</si>
  <si>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</si>
  <si>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</si>
  <si>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</si>
  <si>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</si>
  <si>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</si>
  <si>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</si>
  <si>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</si>
  <si>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</si>
  <si>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</si>
  <si>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</si>
  <si>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</si>
  <si>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</si>
  <si>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</si>
  <si>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</si>
  <si>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</si>
  <si>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</si>
  <si>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</si>
  <si>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</si>
  <si>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</si>
  <si>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</si>
  <si>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</si>
  <si>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</si>
  <si>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</si>
  <si>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</si>
  <si>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</si>
  <si>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</si>
  <si>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</si>
  <si>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</si>
  <si>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</si>
  <si>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</si>
  <si>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</si>
  <si>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</si>
  <si>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</si>
  <si>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</si>
  <si>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</si>
  <si>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</si>
  <si>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</si>
  <si>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</si>
  <si>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</si>
  <si>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</si>
  <si>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</si>
  <si>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</si>
  <si>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</si>
  <si>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</si>
  <si>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</si>
  <si>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</si>
  <si>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</si>
  <si>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</si>
  <si>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</si>
  <si>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</si>
  <si>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</si>
  <si>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</si>
  <si>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</si>
  <si>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</si>
  <si>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</si>
  <si>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</si>
  <si>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</si>
  <si>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</si>
  <si>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</si>
  <si>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</si>
  <si>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</si>
  <si>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</si>
  <si>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</si>
  <si>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</si>
  <si>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</si>
  <si>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</si>
  <si>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</si>
  <si>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</si>
  <si>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</si>
  <si>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</si>
  <si>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</si>
  <si>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</si>
  <si>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</si>
  <si>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</si>
  <si>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</si>
  <si>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</si>
  <si>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</si>
  <si>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</si>
  <si>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</si>
  <si>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</si>
  <si>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</si>
  <si>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</si>
  <si>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</si>
  <si>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</si>
  <si>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</si>
  <si>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</si>
  <si>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</si>
  <si>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</si>
  <si>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</si>
  <si>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</si>
  <si>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</si>
  <si>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</si>
  <si>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</si>
  <si>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</si>
  <si>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</si>
  <si>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</si>
  <si>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</si>
  <si>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</si>
  <si>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</si>
  <si>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</si>
  <si>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</si>
  <si>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</si>
  <si>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</si>
  <si>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</si>
  <si>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</si>
  <si>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</si>
  <si>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</si>
  <si>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</si>
  <si>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</si>
  <si>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</si>
  <si>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</si>
  <si>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</si>
  <si>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</si>
  <si>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</si>
  <si>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</si>
  <si>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</si>
  <si>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</si>
  <si>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</si>
  <si>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</si>
  <si>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</si>
  <si>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</si>
  <si>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</si>
  <si>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</si>
  <si>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</si>
  <si>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</si>
  <si>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</si>
  <si>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</si>
  <si>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</si>
  <si>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</si>
  <si>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</si>
  <si>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</si>
  <si>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</si>
  <si>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</si>
  <si>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</si>
  <si>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</si>
  <si>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</si>
  <si>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</si>
  <si>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</si>
  <si>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</si>
  <si>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</si>
  <si>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</si>
  <si>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</si>
  <si>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</si>
  <si>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</si>
  <si>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</si>
  <si>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</si>
  <si>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</si>
  <si>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</si>
  <si>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</si>
  <si>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</si>
  <si>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</si>
  <si>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</si>
  <si>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</si>
  <si>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</si>
  <si>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</si>
  <si>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</si>
  <si>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</si>
  <si>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</si>
  <si>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</si>
  <si>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</si>
  <si>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</si>
  <si>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</si>
  <si>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</si>
  <si>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</si>
  <si>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</si>
  <si>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</si>
  <si>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</si>
  <si>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</si>
  <si>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</si>
  <si>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</si>
  <si>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</si>
  <si>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</si>
  <si>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</si>
  <si>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</si>
  <si>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</si>
  <si>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</si>
  <si>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</si>
  <si>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</si>
  <si>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</si>
  <si>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</si>
  <si>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</si>
  <si>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</si>
  <si>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</si>
  <si>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</si>
  <si>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</si>
  <si>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</si>
  <si>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</si>
  <si>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</si>
  <si>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</si>
  <si>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</si>
  <si>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</si>
  <si>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</si>
  <si>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</si>
  <si>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</si>
  <si>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</si>
  <si>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</si>
  <si>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</si>
  <si>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</si>
  <si>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</si>
  <si>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</si>
  <si>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</si>
  <si>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</si>
  <si>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</si>
  <si>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</si>
  <si>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</si>
  <si>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</si>
  <si>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</si>
  <si>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</si>
  <si>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</si>
  <si>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</si>
  <si>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</si>
  <si>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</si>
  <si>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</si>
  <si>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</si>
  <si>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</si>
  <si>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</si>
  <si>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</si>
  <si>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</si>
  <si>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</si>
  <si>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</si>
  <si>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</si>
  <si>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</si>
  <si>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</si>
  <si>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</si>
  <si>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</si>
  <si>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</si>
  <si>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</si>
  <si>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</si>
  <si>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</si>
  <si>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</si>
  <si>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</si>
  <si>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VPN</t>
  </si>
  <si>
    <t/>
  </si>
  <si>
    <t>総生産情報</t>
  </si>
  <si>
    <t>一般経費↓</t>
  </si>
  <si>
    <t>固定資産金利　建物</t>
    <rPh sb="7" eb="9">
      <t>タテモノ</t>
    </rPh>
    <phoneticPr fontId="5"/>
  </si>
  <si>
    <t>電気代</t>
  </si>
  <si>
    <t>水道代</t>
  </si>
  <si>
    <t>ガス</t>
  </si>
  <si>
    <t>手洗い洗剤</t>
  </si>
  <si>
    <t>トイレットペーパー</t>
  </si>
  <si>
    <t>アルコール　消毒</t>
    <rPh sb="6" eb="8">
      <t>ショウドク</t>
    </rPh>
    <phoneticPr fontId="5"/>
  </si>
  <si>
    <t>清掃費</t>
  </si>
  <si>
    <t>出向者送迎費</t>
  </si>
  <si>
    <t>残業時のタクシー送迎費</t>
  </si>
  <si>
    <t>出向者　通勤タクシー費用　（140,000*4 朝会　160,000×8　英語　固定 ＋α)</t>
    <rPh sb="0" eb="3">
      <t>シュッコウシャ</t>
    </rPh>
    <rPh sb="4" eb="6">
      <t>ツウキン</t>
    </rPh>
    <rPh sb="10" eb="12">
      <t>ヒヨウ</t>
    </rPh>
    <rPh sb="24" eb="26">
      <t>アサカイ</t>
    </rPh>
    <rPh sb="37" eb="39">
      <t>エイゴ</t>
    </rPh>
    <rPh sb="40" eb="42">
      <t>コテイ</t>
    </rPh>
    <phoneticPr fontId="5"/>
  </si>
  <si>
    <t xml:space="preserve">月餅 </t>
  </si>
  <si>
    <t>昼食代　(前月21日～当月20日を当月)</t>
  </si>
  <si>
    <t>社員旅行</t>
  </si>
  <si>
    <t>Kyoceraフェスティバル</t>
  </si>
  <si>
    <t>運動会　</t>
  </si>
  <si>
    <t>忘年会補助金</t>
    <rPh sb="0" eb="3">
      <t>ボウネンカイ</t>
    </rPh>
    <rPh sb="3" eb="6">
      <t>ホジョキン</t>
    </rPh>
    <phoneticPr fontId="6"/>
  </si>
  <si>
    <t>お年玉</t>
    <rPh sb="1" eb="2">
      <t>トシ</t>
    </rPh>
    <rPh sb="2" eb="3">
      <t>ダマ</t>
    </rPh>
    <phoneticPr fontId="5"/>
  </si>
  <si>
    <t>誕生日会</t>
  </si>
  <si>
    <t>決起コンパ</t>
  </si>
  <si>
    <t>ポケットカレンダー</t>
  </si>
  <si>
    <t>フィロソフィ論文参加賞</t>
  </si>
  <si>
    <t>健康診断（ローカル）男性</t>
  </si>
  <si>
    <t>健康診断（ローカル）女性</t>
    <rPh sb="10" eb="12">
      <t>ジョセイ</t>
    </rPh>
    <phoneticPr fontId="5"/>
  </si>
  <si>
    <t>システム経費↓</t>
  </si>
  <si>
    <t>新入社員経費↓</t>
  </si>
  <si>
    <t>新入社員　社員証</t>
    <rPh sb="5" eb="7">
      <t>シャイン</t>
    </rPh>
    <rPh sb="7" eb="8">
      <t>ショウ</t>
    </rPh>
    <phoneticPr fontId="5"/>
  </si>
  <si>
    <t>新入社員　社員証ケース</t>
    <rPh sb="5" eb="7">
      <t>シャイン</t>
    </rPh>
    <rPh sb="7" eb="8">
      <t>ショウ</t>
    </rPh>
    <phoneticPr fontId="5"/>
  </si>
  <si>
    <t>新入社員　採用時健康診断 （採用時）男性</t>
    <rPh sb="8" eb="10">
      <t>ケンコウ</t>
    </rPh>
    <rPh sb="10" eb="12">
      <t>シンダン</t>
    </rPh>
    <phoneticPr fontId="5"/>
  </si>
  <si>
    <t>新入社員　採用時健康診断 （採用時）女性</t>
    <rPh sb="8" eb="10">
      <t>ケンコウ</t>
    </rPh>
    <rPh sb="10" eb="12">
      <t>シンダン</t>
    </rPh>
    <phoneticPr fontId="5"/>
  </si>
  <si>
    <t>新入社員　制服上着(夏服) x2枚/人</t>
    <rPh sb="7" eb="9">
      <t>ウワギ</t>
    </rPh>
    <rPh sb="11" eb="12">
      <t>フク</t>
    </rPh>
    <rPh sb="18" eb="19">
      <t>ヒト</t>
    </rPh>
    <phoneticPr fontId="6"/>
  </si>
  <si>
    <t>新入社員　制服上着(冬服) x2枚/人</t>
    <rPh sb="7" eb="9">
      <t>ウワギ</t>
    </rPh>
    <rPh sb="11" eb="12">
      <t>フク</t>
    </rPh>
    <phoneticPr fontId="5"/>
  </si>
  <si>
    <t>新入社員　靴 男性</t>
    <rPh sb="7" eb="9">
      <t>ダンセイ</t>
    </rPh>
    <phoneticPr fontId="6"/>
  </si>
  <si>
    <t xml:space="preserve">新入社員　靴 女性 </t>
    <rPh sb="7" eb="9">
      <t>ジョセイ</t>
    </rPh>
    <phoneticPr fontId="6"/>
  </si>
  <si>
    <t>INTERNSHIP↓</t>
  </si>
  <si>
    <t>社員証（新入社員用・再発行時、写真含む）
Thẻ từ chấm công + ảnh 58000VND　</t>
  </si>
  <si>
    <t>社員証用ケース Vỏ thẻ + móc thẻ 3600VND</t>
  </si>
  <si>
    <t>ペン Bút　1名×3000VND</t>
  </si>
  <si>
    <t>ノート Số　1名×400VND</t>
  </si>
  <si>
    <t xml:space="preserve">フィロソフィ手帳 Sổ tay philosophy I &amp;II　 1名×12,000VND  </t>
  </si>
  <si>
    <t>制服（夏） Đồng phục ngắn tay 1名×2X116,000VND</t>
  </si>
  <si>
    <t>制服（冬） Đồng phục dài tay 142500VND</t>
  </si>
  <si>
    <t>制服ズボン Quần　1名×116,000VND</t>
  </si>
  <si>
    <t xml:space="preserve">シューズ（男性） Giày vải nam　1名×82,000VND  </t>
  </si>
  <si>
    <t>帽子（白） Mũ trắng　1名×33,500VND</t>
  </si>
  <si>
    <t>折りたたみ　</t>
  </si>
  <si>
    <t>バス代</t>
  </si>
  <si>
    <t>宿泊代</t>
  </si>
  <si>
    <t>給料</t>
  </si>
  <si>
    <t>実習用部材費</t>
  </si>
  <si>
    <t>計測器校正費↓</t>
  </si>
  <si>
    <t>測定器校正費_Dial Gauge</t>
  </si>
  <si>
    <t>測定器校正費_Laser doppler surface velocity sensor</t>
  </si>
  <si>
    <t>測定器校正費_Infrared camera</t>
  </si>
  <si>
    <t>測定器校正費_High voltage digital voltmeter</t>
  </si>
  <si>
    <t>測定器校正費 TEMPERATURE MEASUREMENT UNIT① NR-TH08</t>
  </si>
  <si>
    <t>測定器校正費 TEMPERATURE MEASUREMENT UNIT② NR-TH08</t>
  </si>
  <si>
    <t>測定器校正費 TEMPERATURE MEASUREMENT UNIT③ NR-TH08</t>
  </si>
  <si>
    <t>測定器校正費 TEMPERATURE MEASUREMENT UNIT④ NR-TH08</t>
  </si>
  <si>
    <t>測定器校正費 VOLTAGE MEASUREMENT UNIT ①NR-HV04</t>
  </si>
  <si>
    <t>測定器校正費 ACCELERATION MEASUREMENT UNIT 352B10</t>
  </si>
  <si>
    <t>測定器校正費 DC-Stable Electrostatic Voltmeter</t>
  </si>
  <si>
    <t>測定器校正費 Spectrodensitometer</t>
  </si>
  <si>
    <t>測定器校正費 Force tester</t>
  </si>
  <si>
    <t>測定器校正費 Electrostatic fieldmeter</t>
  </si>
  <si>
    <t>測定器校正費 Electronic Balance</t>
  </si>
  <si>
    <t>測定器校正費 TEMPERATURE MEASUREMENT UNIT⑤ NR-TH08</t>
  </si>
  <si>
    <t>測定器校正費 TEMPERATURE MEASUREMENT UNIT⑥ NR-TH08</t>
  </si>
  <si>
    <t>測定器校正費 TEMPERATURE MEASUREMENT UNIT⑦ NR-TH08</t>
  </si>
  <si>
    <t>測定器校正費 TEMPERATURE MEASUREMENT UNIT⑧ NR-TH08</t>
  </si>
  <si>
    <t>測定器校正費 ACCELERATION MEASUREMENT UNIT ①NP-3211</t>
  </si>
  <si>
    <t>測定器校正費 ACCELERATION MEASUREMENT UNIT ②NP-3211</t>
  </si>
  <si>
    <t>測定器校正費 ACCELERATION MEASUREMENT UNIT ③ NP-3211</t>
  </si>
  <si>
    <t>測定器校正費 ACCELERATION MEASUREMENT UNIT ④ NP-3211</t>
  </si>
  <si>
    <t>測定器校正費 Q/m Meter</t>
  </si>
  <si>
    <t>測定器校正費 Multi-channel Data Station</t>
  </si>
  <si>
    <t>測定器校正費 VOLTAGE MEASUREMENT UNIT　②　NR-HV04</t>
  </si>
  <si>
    <t>測定器校正費 Anemometer</t>
  </si>
  <si>
    <t>測定器校正費 Sound calibration</t>
  </si>
  <si>
    <t>測定器校正費 VOLTAGE MEASUREMENT UNIT ③　(NR-HV04)</t>
  </si>
  <si>
    <t>測定器校正費 TEMPERATURE MEASUREMENT UNIT⑨ NR-TH08</t>
  </si>
  <si>
    <t>測定器校正費 ACCELERATION MEASUREMENT UNIT NR-CA04</t>
  </si>
  <si>
    <t>測定器校正費 Accelerometer</t>
  </si>
  <si>
    <t>測定器校正費 Ultra_High Speed In-line Profilometer LJ-V7060</t>
  </si>
  <si>
    <t>測定器校正費 Sound level meter LA-7500</t>
  </si>
  <si>
    <t>測定器校正費 Mini-Portable DC Ammeter (電流計)</t>
  </si>
  <si>
    <t>測定器校正費 Infrared camera_new</t>
  </si>
  <si>
    <t>測定器校正費 Torque meter</t>
  </si>
  <si>
    <t>減価償却費↓</t>
  </si>
  <si>
    <t>資産No.170001331 (圧力分布計) USD 512.52  ～2024/06</t>
  </si>
  <si>
    <t>資産No.170001333 Multi-channel Data Station (FFTアナライザー) USD 737.65  ～2024/08</t>
  </si>
  <si>
    <t>資産No.170001610(NR-HV04 ) USD 63.74  ～2024/03</t>
  </si>
  <si>
    <t>資産No.170001872 振動測定器</t>
  </si>
  <si>
    <t>資産No.170001873 騒音測定器</t>
  </si>
  <si>
    <t>資産No.170001909 3Dプリンター</t>
  </si>
  <si>
    <t>資産No.170002036 トルクデューサー＆アンプ 20kgfcm</t>
  </si>
  <si>
    <t>資産No.170002037 レーザーマイクロ　40mm</t>
  </si>
  <si>
    <t>資産No.170002038 Iscan キャリブレーション装置　</t>
  </si>
  <si>
    <t>資産No.170002046 6000B-7C</t>
  </si>
  <si>
    <t>資産No.170002070 NR-HV04 (電圧測定ユニット)　</t>
  </si>
  <si>
    <t>資産No.170002071 フォーステスター</t>
  </si>
  <si>
    <t>Strain Amplifier (DPM-912B A230)</t>
  </si>
  <si>
    <t>含水率測定機</t>
  </si>
  <si>
    <t>搬送Scaner DR-G2100</t>
  </si>
  <si>
    <t>画像測定器(VMZ-S4540)</t>
  </si>
  <si>
    <t>表面電位計</t>
  </si>
  <si>
    <t>膜厚計</t>
  </si>
  <si>
    <t>調湿チャンバー</t>
  </si>
  <si>
    <t>DC安定化電源</t>
  </si>
  <si>
    <t>社内金利↓</t>
  </si>
  <si>
    <t>消耗品費↓</t>
  </si>
  <si>
    <t>PC（故障、寿命で購入 x3台 25,000,000 VND/台）</t>
  </si>
  <si>
    <t>PC　Monitor</t>
  </si>
  <si>
    <t>Window</t>
  </si>
  <si>
    <t>テーブルタップ</t>
  </si>
  <si>
    <t>HDMIケーブル</t>
  </si>
  <si>
    <t>パソコン電池買い替え</t>
  </si>
  <si>
    <t>その他↓</t>
  </si>
  <si>
    <t>データ印×2名　(10期生＆11期生)</t>
  </si>
  <si>
    <t>新しい制服へ変更＆制服支給</t>
  </si>
  <si>
    <t>Thanh 携帯</t>
  </si>
  <si>
    <t>郵便代</t>
  </si>
  <si>
    <t>物品送付/クーリエ代</t>
  </si>
  <si>
    <t>輸入運賃</t>
  </si>
  <si>
    <t>税関申告費</t>
  </si>
  <si>
    <t>出向者↓</t>
  </si>
  <si>
    <t>労働許可証　取得費用</t>
    <rPh sb="6" eb="10">
      <t>シュトクヒヨウ</t>
    </rPh>
    <phoneticPr fontId="57"/>
  </si>
  <si>
    <t xml:space="preserve">労働許可証　新規申請時翻訳 </t>
    <rPh sb="0" eb="5">
      <t>ロウドウキョカショウ</t>
    </rPh>
    <rPh sb="6" eb="11">
      <t>シンキシンセイジ</t>
    </rPh>
    <rPh sb="11" eb="13">
      <t>ホンヤク</t>
    </rPh>
    <phoneticPr fontId="58"/>
  </si>
  <si>
    <t>労働許可 確認証明書</t>
    <rPh sb="0" eb="2">
      <t>ロウドウ</t>
    </rPh>
    <rPh sb="2" eb="4">
      <t>キョカ</t>
    </rPh>
    <rPh sb="5" eb="7">
      <t>カクニン</t>
    </rPh>
    <rPh sb="7" eb="10">
      <t>ショウメイショ</t>
    </rPh>
    <phoneticPr fontId="58"/>
  </si>
  <si>
    <t>労働許可証　更新申請(無罪照明)　　1回/2年</t>
    <rPh sb="6" eb="8">
      <t>コウシン</t>
    </rPh>
    <rPh sb="8" eb="10">
      <t>シンセイ</t>
    </rPh>
    <rPh sb="11" eb="13">
      <t>ムザイ</t>
    </rPh>
    <rPh sb="13" eb="15">
      <t>ショウメイ</t>
    </rPh>
    <phoneticPr fontId="57"/>
  </si>
  <si>
    <t>労働許可証　写真＆公証　　1回/2年</t>
    <rPh sb="0" eb="5">
      <t>ロウドウキョカショウ</t>
    </rPh>
    <rPh sb="6" eb="8">
      <t>シャシン</t>
    </rPh>
    <rPh sb="9" eb="11">
      <t>コウショウ</t>
    </rPh>
    <phoneticPr fontId="58"/>
  </si>
  <si>
    <t>労働許可証　翻訳　　1回/2年</t>
    <rPh sb="0" eb="5">
      <t>ロウドウキョカショウ</t>
    </rPh>
    <rPh sb="6" eb="8">
      <t>ホンヤク</t>
    </rPh>
    <phoneticPr fontId="58"/>
  </si>
  <si>
    <t>労働許可証　健康診断　　1回/2年</t>
    <rPh sb="0" eb="5">
      <t>ロウドウキョカショウ</t>
    </rPh>
    <rPh sb="6" eb="10">
      <t>ケンコウシンダン</t>
    </rPh>
    <rPh sb="13" eb="14">
      <t>カイ</t>
    </rPh>
    <rPh sb="16" eb="17">
      <t>ネン</t>
    </rPh>
    <phoneticPr fontId="58"/>
  </si>
  <si>
    <t>パスポート更新時のVISA費用</t>
    <rPh sb="5" eb="8">
      <t>コウシンジ</t>
    </rPh>
    <rPh sb="13" eb="15">
      <t>ヒヨウ</t>
    </rPh>
    <phoneticPr fontId="58"/>
  </si>
  <si>
    <t>滞在カード取得　　1回/2年</t>
    <rPh sb="0" eb="2">
      <t>タイザイ</t>
    </rPh>
    <rPh sb="5" eb="7">
      <t>シュトク</t>
    </rPh>
    <phoneticPr fontId="58"/>
  </si>
  <si>
    <t>パスポート更新5年（出向者）</t>
    <rPh sb="5" eb="7">
      <t>コウシン</t>
    </rPh>
    <rPh sb="8" eb="9">
      <t>ネン</t>
    </rPh>
    <rPh sb="10" eb="13">
      <t>シュッコウシャ</t>
    </rPh>
    <phoneticPr fontId="57"/>
  </si>
  <si>
    <t>パスポート更新申請料（出向者）</t>
    <rPh sb="5" eb="7">
      <t>コウシン</t>
    </rPh>
    <rPh sb="7" eb="10">
      <t>シンセイリョウ</t>
    </rPh>
    <rPh sb="11" eb="14">
      <t>シュッコウシャ</t>
    </rPh>
    <phoneticPr fontId="57"/>
  </si>
  <si>
    <t>労働許可証　申請時＆健康診断時交通費</t>
    <rPh sb="0" eb="5">
      <t>ロウドウキョカショウ</t>
    </rPh>
    <rPh sb="6" eb="8">
      <t>シンセイ</t>
    </rPh>
    <rPh sb="8" eb="9">
      <t>ジ</t>
    </rPh>
    <rPh sb="10" eb="14">
      <t>ケンコウシンダン</t>
    </rPh>
    <rPh sb="14" eb="15">
      <t>ジ</t>
    </rPh>
    <rPh sb="15" eb="18">
      <t>コウツウヒ</t>
    </rPh>
    <phoneticPr fontId="57"/>
  </si>
  <si>
    <t>滞在カード取得申請時　交通費</t>
    <rPh sb="0" eb="2">
      <t>タイザイ</t>
    </rPh>
    <rPh sb="5" eb="7">
      <t>シュトク</t>
    </rPh>
    <rPh sb="7" eb="10">
      <t>シンセイジ</t>
    </rPh>
    <rPh sb="11" eb="14">
      <t>コウツウヒ</t>
    </rPh>
    <phoneticPr fontId="58"/>
  </si>
  <si>
    <t>日本大使館　往復交通費</t>
    <rPh sb="0" eb="2">
      <t>ニホン</t>
    </rPh>
    <rPh sb="2" eb="5">
      <t>タイシカン</t>
    </rPh>
    <rPh sb="6" eb="8">
      <t>オウフク</t>
    </rPh>
    <rPh sb="8" eb="11">
      <t>コウツウヒ</t>
    </rPh>
    <phoneticPr fontId="57"/>
  </si>
  <si>
    <t>試験研究費↓</t>
  </si>
  <si>
    <t>試験研究費 実験用紙購入</t>
  </si>
  <si>
    <t>Leo プロト2試作費　MFP：2台</t>
  </si>
  <si>
    <t>Leo DMT出庫費用(本体)　PRT:15台/MFP:20台/PF：8台</t>
  </si>
  <si>
    <t>Leo　DMT出庫費用(ユニット) Fuser: 24台　ISU:4台/DP:2台 DK/DLP: 11台 + Toner 150本 LSU 6</t>
  </si>
  <si>
    <t>Leo PMT出庫費用(本体)　PRT:19台、MFP:25台/PF：9台</t>
  </si>
  <si>
    <t>Leo PMT出庫費用(ユニット)　Fuser: 24台　ISU:4台/DP:2台 DK/DLP: 11台 + Toner 150本 LSU 6</t>
  </si>
  <si>
    <t>Leo MD/PT改良試作費 毎月10万円</t>
  </si>
  <si>
    <t>実験用の機械社内出庫 (20万円）</t>
  </si>
  <si>
    <t>語学能力試験↓</t>
    <rPh sb="0" eb="2">
      <t>ゴガク</t>
    </rPh>
    <rPh sb="2" eb="4">
      <t>ノウリョク</t>
    </rPh>
    <rPh sb="4" eb="6">
      <t>シケン</t>
    </rPh>
    <phoneticPr fontId="5"/>
  </si>
  <si>
    <t>日本語能力試験受験交通費</t>
  </si>
  <si>
    <t>日本語能力試験受験料補助金</t>
  </si>
  <si>
    <t>TOEIC受験料補助金</t>
    <rPh sb="5" eb="8">
      <t>ジュケンリョウ</t>
    </rPh>
    <rPh sb="8" eb="11">
      <t>ホジョキン</t>
    </rPh>
    <phoneticPr fontId="5"/>
  </si>
  <si>
    <t>国内出張↓</t>
    <rPh sb="0" eb="2">
      <t>コクナイ</t>
    </rPh>
    <rPh sb="2" eb="4">
      <t>シュッチョウ</t>
    </rPh>
    <phoneticPr fontId="5"/>
  </si>
  <si>
    <t>交通費　ジョブフェアー参加→MD4課へ移動</t>
  </si>
  <si>
    <t>ローカルKDC出張↓</t>
  </si>
  <si>
    <t xml:space="preserve">Leo　ローカルメンバーKDC出張　2名(4・10月) 1名(2月）　VISA </t>
  </si>
  <si>
    <t>Leo　ローカルメンバーKDC出張  2名(4・10月) 1名(2月） 航空券 1500USD</t>
  </si>
  <si>
    <t>Leo　ローカルメンバーKDC出張　2名(4・10月) 1名(2月）　現地交通費　\5000</t>
  </si>
  <si>
    <t>Leo　ローカルメンバーKDC出張　2名(4・10月) 1名(2月）  空港Taxi</t>
    <rPh sb="36" eb="38">
      <t>クウコウ</t>
    </rPh>
    <phoneticPr fontId="5"/>
  </si>
  <si>
    <t>Leo　ローカルメンバーKDC出張　2名(4・10月) 1名(2月）日当</t>
  </si>
  <si>
    <t>Leo　ローカルメンバーKDC出張　2名(4・10月) 1名(2月）電話代　\3500</t>
  </si>
  <si>
    <t>Leo　ローカルメンバーKDC出張　2名(4・10月) 1名(2月）宿泊費　\6500×日数</t>
  </si>
  <si>
    <t>ローカルKDC出向↓</t>
  </si>
  <si>
    <t>支度金 3名（７月）</t>
  </si>
  <si>
    <t>フィリピン出張↓</t>
  </si>
  <si>
    <t>フィリピン語学研修　新規パスポート申請(1名）</t>
  </si>
  <si>
    <t>フィリピン語学研修　語学学校支払い（登録料、授業料）(1名）</t>
  </si>
  <si>
    <t>フィリピン語学研修　語学学校支払い（教材費、就学許可証）(1名）</t>
  </si>
  <si>
    <t>フィリピン語学研修　保険代(1名）</t>
  </si>
  <si>
    <t>フィリピン語学研修　交通費（飛行機）(1名）</t>
  </si>
  <si>
    <t>フィリピン語学研修　交通費（PH）(1名）</t>
  </si>
  <si>
    <t>フィリピン語学研修　交通費（工場－空港）(1名）</t>
  </si>
  <si>
    <t>フィリピン語学研修　日当(1名）</t>
  </si>
  <si>
    <t>フィリピン語学研修　食費(1名）</t>
  </si>
  <si>
    <t>フィリピン語学研修　宿泊費(PH)(1名）</t>
  </si>
  <si>
    <t>Leo PJ用のSkew, 等倍度測定</t>
  </si>
  <si>
    <t>36ヶ月</t>
  </si>
  <si>
    <t>Leo PJ用の画像測定機</t>
  </si>
  <si>
    <t>60ヶ月</t>
  </si>
  <si>
    <t>Leo PJ用</t>
  </si>
  <si>
    <t>15時間/人・月(1-12期生)で計算 係責任者は2時間のみなし残業</t>
  </si>
  <si>
    <t>減価償却費配賦　建物</t>
  </si>
  <si>
    <t>減価償却費配賦　土地使用権</t>
  </si>
  <si>
    <t>固定資産金利　土地使用権</t>
  </si>
  <si>
    <t>Local Bus送迎費 (local Member 人員比率　で計算)</t>
  </si>
  <si>
    <t>メール</t>
  </si>
  <si>
    <t>R3</t>
  </si>
  <si>
    <t>PLM</t>
  </si>
  <si>
    <t>VPS</t>
  </si>
  <si>
    <t>翻訳ツール(COTOHA)</t>
  </si>
  <si>
    <t>CAD \4,931,701/月　（新CADも含む CADユーザー追加分で予測）→FY2026～MD4課へ移動</t>
  </si>
  <si>
    <t>新入社員　Pen</t>
  </si>
  <si>
    <t>新入社員　Note</t>
  </si>
  <si>
    <t>新入社員　フィロソフィ手帳</t>
  </si>
  <si>
    <t>新入社員　帽子</t>
  </si>
  <si>
    <t>新入社員　制服(ズボン) x2枚/人</t>
  </si>
  <si>
    <t>新入社員　ポケットカレンダー</t>
  </si>
  <si>
    <t>新入社員　データ印</t>
  </si>
  <si>
    <t>新入社員　PC</t>
  </si>
  <si>
    <t>新入社員　事務机</t>
  </si>
  <si>
    <t>新入社員　事務机用椅子</t>
  </si>
  <si>
    <t>セミナー↓</t>
  </si>
  <si>
    <t>TOEIC試験交通費</t>
  </si>
  <si>
    <t>Leo　ローカルメンバーKDC出張　2名(4・10月) 1名(2月）パスポート</t>
  </si>
  <si>
    <t>Leo  ローカルメンバーKDC出張　2名(4・10月) 1名(2月）　大使館手数料　640000VND</t>
  </si>
  <si>
    <t>Leo  ローカルメンバーKDC出張　2名(4・10月) 1名(2月）　保険　57USD</t>
  </si>
  <si>
    <t>Leo  ローカルメンバーKDC出張　2名(4・10月) 1名(2月）　海外出張の携帯電話代　30USD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</si>
</sst>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&quot;¥&quot;#,##0_);[Red]\(&quot;¥&quot;#,##0\)"/>
    <numFmt numFmtId="165" formatCode="_(* #,##0.00_);_(* \(#,##0.00\);_(* &quot;-&quot;??_);_(@_)"/>
    <numFmt numFmtId="166" formatCode="#,##0.0;[Red]\-#,##0.0"/>
    <numFmt numFmtId="167" formatCode="&quot;　　&quot;General"/>
    <numFmt numFmtId="168" formatCode="0&quot;月度&quot;"/>
    <numFmt numFmtId="169" formatCode="0&quot;月&quot;"/>
    <numFmt numFmtId="170" formatCode="0&quot;日&quot;"/>
    <numFmt numFmtId="171" formatCode="&quot;1US$=&quot;0&quot;VND&quot;"/>
    <numFmt numFmtId="172" formatCode="yyyy&quot;年&quot;m&quot;月&quot;;@"/>
    <numFmt numFmtId="173" formatCode="0_ "/>
    <numFmt numFmtId="174" formatCode="0.0"/>
    <numFmt numFmtId="175" formatCode="#,##0.0_);[Red]\(#,##0.0\)"/>
    <numFmt numFmtId="176" formatCode="#,##0.000_);[Red]\(#,##0.000\)"/>
    <numFmt numFmtId="177" formatCode="#,##0.0000_);[Red]\(#,##0.0000\)"/>
    <numFmt numFmtId="178" formatCode="&quot;NT$&quot;#,##0;[Red]\-&quot;NT$&quot;#,##0"/>
    <numFmt numFmtId="179" formatCode="&quot;換算Rate：1US$=&quot;0,000&quot;VND&quot;"/>
    <numFmt numFmtId="180" formatCode="&quot;1USD  =  &quot;#,#00&quot; VND&quot;"/>
    <numFmt numFmtId="181" formatCode="#,##0_);[Red]\-#,##0_)"/>
    <numFmt numFmtId="182" formatCode="&quot;1USD = &quot;#,#00&quot; VND&quot;"/>
    <numFmt numFmtId="183" formatCode="#,##0."/>
  </numFmts>
  <fonts count="9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Calibri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Calibri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8"/>
      <color theme="1"/>
      <name val="Meiryo UI"/>
      <family val="3"/>
      <charset val="128"/>
    </font>
    <font>
      <b/>
      <sz val="8"/>
      <color theme="1"/>
      <name val="Meiryo UI"/>
      <family val="3"/>
      <charset val="128"/>
    </font>
    <font>
      <b/>
      <sz val="12"/>
      <color rgb="FFFF0000"/>
      <name val="Meiryo UI"/>
      <family val="3"/>
      <charset val="128"/>
    </font>
    <font>
      <b/>
      <sz val="8"/>
      <color rgb="FFFF0000"/>
      <name val="Meiryo UI"/>
      <family val="3"/>
      <charset val="128"/>
    </font>
    <font>
      <b/>
      <sz val="8"/>
      <name val="Meiryo UI"/>
      <family val="3"/>
      <charset val="128"/>
    </font>
    <font>
      <b/>
      <i/>
      <sz val="8"/>
      <color theme="1"/>
      <name val="Meiryo UI"/>
      <family val="3"/>
      <charset val="128"/>
    </font>
    <font>
      <i/>
      <sz val="8"/>
      <color theme="1"/>
      <name val="Meiryo UI"/>
      <family val="3"/>
      <charset val="128"/>
    </font>
    <font>
      <sz val="8"/>
      <name val="Meiryo UI"/>
      <family val="3"/>
      <charset val="128"/>
    </font>
    <font>
      <b/>
      <i/>
      <sz val="8"/>
      <color rgb="FFFF0000"/>
      <name val="Meiryo UI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5">
    <xf numFmtId="0" fontId="0" fillId="0" borderId="0" applyNumberFormat="0" applyFill="0" applyBorder="0" applyAlignment="0" applyProtection="0"/>
    <xf numFmtId="0" fontId="15" fillId="0" borderId="0" applyBorder="0"/>
    <xf numFmtId="0" fontId="38" fillId="2" borderId="0" applyNumberFormat="0" applyBorder="0" applyAlignment="0" applyProtection="0"/>
    <xf numFmtId="0" fontId="38" fillId="3" borderId="0" applyNumberFormat="0" applyBorder="0" applyAlignment="0" applyProtection="0"/>
    <xf numFmtId="0" fontId="38" fillId="4" borderId="0" applyNumberFormat="0" applyBorder="0" applyAlignment="0" applyProtection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8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5" fillId="0" borderId="0" applyBorder="0"/>
    <xf numFmtId="0" fontId="38" fillId="8" borderId="0" applyNumberFormat="0" applyBorder="0" applyAlignment="0" applyProtection="0"/>
    <xf numFmtId="0" fontId="38" fillId="9" borderId="0" applyNumberFormat="0" applyBorder="0" applyAlignment="0" applyProtection="0"/>
    <xf numFmtId="0" fontId="38" fillId="10" borderId="0" applyNumberFormat="0" applyBorder="0" applyAlignment="0" applyProtection="0"/>
    <xf numFmtId="0" fontId="38" fillId="5" borderId="0" applyNumberFormat="0" applyBorder="0" applyAlignment="0" applyProtection="0"/>
    <xf numFmtId="0" fontId="38" fillId="8" borderId="0" applyNumberFormat="0" applyBorder="0" applyAlignment="0" applyProtection="0"/>
    <xf numFmtId="0" fontId="38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5" borderId="0" applyNumberFormat="0" applyBorder="0" applyAlignment="0" applyProtection="0"/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42" fillId="18" borderId="0" applyNumberFormat="0" applyBorder="0" applyAlignment="0" applyProtection="0"/>
    <xf numFmtId="0" fontId="42" fillId="13" borderId="0" applyNumberFormat="0" applyBorder="0" applyAlignment="0" applyProtection="0"/>
    <xf numFmtId="0" fontId="42" fillId="14" borderId="0" applyNumberFormat="0" applyBorder="0" applyAlignment="0" applyProtection="0"/>
    <xf numFmtId="0" fontId="42" fillId="19" borderId="0" applyNumberFormat="0" applyBorder="0" applyAlignment="0" applyProtection="0"/>
    <xf numFmtId="0" fontId="43" fillId="3" borderId="0" applyNumberFormat="0" applyBorder="0" applyAlignment="0" applyProtection="0"/>
    <xf numFmtId="0" fontId="44" fillId="20" borderId="1" applyNumberFormat="0" applyAlignment="0" applyProtection="0"/>
    <xf numFmtId="0" fontId="45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40" fontId="20" fillId="0" borderId="0" applyFont="0" applyFill="0" applyBorder="0" applyAlignment="0" applyProtection="0"/>
    <xf numFmtId="165" fontId="38" fillId="0" borderId="0" applyFont="0" applyFill="0" applyBorder="0" applyAlignment="0" applyProtection="0"/>
    <xf numFmtId="40" fontId="20" fillId="0" borderId="0" applyFont="0" applyFill="0" applyBorder="0" applyAlignment="0" applyProtection="0">
      <alignment vertical="center"/>
    </xf>
    <xf numFmtId="165" fontId="71" fillId="0" borderId="0" applyFont="0" applyFill="0" applyBorder="0" applyAlignment="0" applyProtection="0"/>
    <xf numFmtId="40" fontId="20" fillId="0" borderId="0" applyFont="0" applyFill="0" applyBorder="0" applyAlignment="0" applyProtection="0">
      <alignment vertical="center"/>
    </xf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/>
    <xf numFmtId="178" fontId="2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/>
    <xf numFmtId="0" fontId="47" fillId="4" borderId="0" applyNumberFormat="0" applyBorder="0" applyAlignment="0" applyProtection="0"/>
    <xf numFmtId="0" fontId="48" fillId="0" borderId="3" applyNumberFormat="0" applyFill="0" applyAlignment="0" applyProtection="0"/>
    <xf numFmtId="0" fontId="49" fillId="0" borderId="4" applyNumberFormat="0" applyFill="0" applyAlignment="0" applyProtection="0"/>
    <xf numFmtId="0" fontId="50" fillId="0" borderId="5" applyNumberFormat="0" applyFill="0" applyAlignment="0" applyProtection="0"/>
    <xf numFmtId="0" fontId="50" fillId="0" borderId="0" applyNumberFormat="0" applyFill="0" applyBorder="0" applyAlignment="0" applyProtection="0"/>
    <xf numFmtId="0" fontId="51" fillId="7" borderId="1" applyNumberFormat="0" applyAlignment="0" applyProtection="0"/>
    <xf numFmtId="0" fontId="52" fillId="0" borderId="6" applyNumberFormat="0" applyFill="0" applyAlignment="0" applyProtection="0"/>
    <xf numFmtId="0" fontId="53" fillId="22" borderId="0" applyNumberFormat="0" applyBorder="0" applyAlignment="0" applyProtection="0"/>
    <xf numFmtId="0" fontId="20" fillId="0" borderId="0" applyNumberFormat="0" applyFill="0" applyBorder="0" applyAlignment="0" applyProtection="0"/>
    <xf numFmtId="0" fontId="20" fillId="0" borderId="0" applyBorder="0"/>
    <xf numFmtId="0" fontId="15" fillId="0" borderId="0"/>
    <xf numFmtId="0" fontId="20" fillId="0" borderId="0" applyBorder="0"/>
    <xf numFmtId="0" fontId="20" fillId="0" borderId="0" applyBorder="0"/>
    <xf numFmtId="0" fontId="20" fillId="23" borderId="7" applyNumberFormat="0" applyFont="0" applyAlignment="0" applyProtection="0"/>
    <xf numFmtId="0" fontId="54" fillId="20" borderId="8" applyNumberFormat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/>
    <xf numFmtId="0" fontId="56" fillId="0" borderId="9" applyNumberFormat="0" applyFill="0" applyAlignment="0" applyProtection="0"/>
    <xf numFmtId="0" fontId="57" fillId="0" borderId="0" applyNumberForma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8" fillId="21" borderId="2" applyNumberFormat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9" fontId="20" fillId="0" borderId="0" applyFont="0" applyFill="0" applyBorder="0" applyAlignment="0" applyProtection="0"/>
    <xf numFmtId="9" fontId="7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0" fontId="20" fillId="23" borderId="7" applyNumberFormat="0" applyFont="0" applyAlignment="0" applyProtection="0">
      <alignment vertical="center"/>
    </xf>
    <xf numFmtId="0" fontId="20" fillId="23" borderId="7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23" fillId="20" borderId="1" applyNumberFormat="0" applyAlignment="0" applyProtection="0">
      <alignment vertical="center"/>
    </xf>
    <xf numFmtId="0" fontId="23" fillId="20" borderId="1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40" fontId="20" fillId="0" borderId="0" applyFont="0" applyFill="0" applyBorder="0" applyAlignment="0" applyProtection="0"/>
    <xf numFmtId="40" fontId="20" fillId="0" borderId="0" applyFont="0" applyFill="0" applyBorder="0" applyAlignment="0" applyProtection="0">
      <alignment vertical="center"/>
    </xf>
    <xf numFmtId="40" fontId="7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15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20" borderId="8" applyNumberFormat="0" applyAlignment="0" applyProtection="0">
      <alignment vertical="center"/>
    </xf>
    <xf numFmtId="0" fontId="28" fillId="20" borderId="8" applyNumberFormat="0" applyAlignment="0" applyProtection="0">
      <alignment vertical="center"/>
    </xf>
    <xf numFmtId="0" fontId="59" fillId="0" borderId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64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30" fillId="7" borderId="1" applyNumberFormat="0" applyAlignment="0" applyProtection="0">
      <alignment vertical="center"/>
    </xf>
    <xf numFmtId="0" fontId="30" fillId="7" borderId="1" applyNumberFormat="0" applyAlignment="0" applyProtection="0">
      <alignment vertical="center"/>
    </xf>
    <xf numFmtId="0" fontId="20" fillId="0" borderId="0">
      <alignment vertical="center"/>
    </xf>
    <xf numFmtId="0" fontId="20" fillId="0" borderId="0"/>
    <xf numFmtId="0" fontId="71" fillId="0" borderId="0">
      <alignment vertical="center"/>
    </xf>
    <xf numFmtId="0" fontId="20" fillId="0" borderId="0"/>
    <xf numFmtId="0" fontId="71" fillId="0" borderId="0">
      <alignment vertical="center"/>
    </xf>
    <xf numFmtId="0" fontId="20" fillId="0" borderId="0" applyBorder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1" fillId="0" borderId="0"/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</cellStyleXfs>
  <cellXfs count="337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4" fillId="0" borderId="0" xfId="0" applyFont="1" applyFill="1" applyBorder="1" applyAlignment="1" applyProtection="1">
      <protection locked="0"/>
    </xf>
    <xf numFmtId="0" fontId="34" fillId="25" borderId="10" xfId="0" applyFont="1" applyFill="1" applyBorder="1" applyAlignment="1">
      <alignment horizontal="center"/>
    </xf>
    <xf numFmtId="0" fontId="36" fillId="26" borderId="0" xfId="0" applyFont="1" applyFill="1" applyProtection="1">
      <protection locked="0"/>
    </xf>
    <xf numFmtId="0" fontId="36" fillId="0" borderId="0" xfId="0" applyFont="1" applyProtection="1">
      <protection locked="0"/>
    </xf>
    <xf numFmtId="0" fontId="36" fillId="0" borderId="0" xfId="0" applyFont="1" applyFill="1" applyBorder="1" applyAlignment="1" applyProtection="1">
      <alignment horizontal="left"/>
      <protection locked="0"/>
    </xf>
    <xf numFmtId="0" fontId="36" fillId="0" borderId="10" xfId="0" applyFont="1" applyFill="1" applyBorder="1" applyAlignment="1">
      <alignment horizontal="center"/>
    </xf>
    <xf numFmtId="0" fontId="34" fillId="26" borderId="0" xfId="0" applyFont="1" applyFill="1" applyAlignment="1" applyProtection="1">
      <alignment horizontal="centerContinuous"/>
      <protection locked="0"/>
    </xf>
    <xf numFmtId="0" fontId="36" fillId="0" borderId="0" xfId="0" applyFont="1" applyAlignment="1" applyProtection="1">
      <alignment horizontal="left"/>
      <protection locked="0"/>
    </xf>
    <xf numFmtId="49" fontId="36" fillId="0" borderId="0" xfId="0" applyNumberFormat="1" applyFont="1" applyFill="1" applyBorder="1" applyProtection="1"/>
    <xf numFmtId="0" fontId="36" fillId="0" borderId="13" xfId="0" applyFont="1" applyBorder="1" applyAlignment="1" applyProtection="1">
      <alignment horizontal="centerContinuous" vertical="center"/>
    </xf>
    <xf numFmtId="0" fontId="36" fillId="0" borderId="14" xfId="0" applyFont="1" applyFill="1" applyBorder="1" applyAlignment="1" applyProtection="1">
      <alignment horizontal="distributed"/>
    </xf>
    <xf numFmtId="0" fontId="36" fillId="0" borderId="15" xfId="0" applyFont="1" applyBorder="1" applyAlignment="1">
      <alignment horizontal="distributed"/>
    </xf>
    <xf numFmtId="0" fontId="36" fillId="0" borderId="13" xfId="0" applyFont="1" applyBorder="1" applyAlignment="1" applyProtection="1">
      <alignment horizontal="distributed"/>
    </xf>
    <xf numFmtId="0" fontId="36" fillId="24" borderId="16" xfId="0" applyFont="1" applyFill="1" applyBorder="1" applyAlignment="1" applyProtection="1">
      <alignment horizontal="distributed"/>
    </xf>
    <xf numFmtId="0" fontId="36" fillId="24" borderId="17" xfId="0" applyFont="1" applyFill="1" applyBorder="1" applyAlignment="1" applyProtection="1">
      <alignment horizontal="distributed"/>
    </xf>
    <xf numFmtId="0" fontId="36" fillId="24" borderId="14" xfId="0" applyFont="1" applyFill="1" applyBorder="1" applyAlignment="1">
      <alignment horizontal="distributed"/>
    </xf>
    <xf numFmtId="0" fontId="36" fillId="24" borderId="13" xfId="0" applyFont="1" applyFill="1" applyBorder="1" applyAlignment="1" applyProtection="1">
      <alignment horizontal="distributed"/>
    </xf>
    <xf numFmtId="0" fontId="36" fillId="0" borderId="18" xfId="0" applyFont="1" applyFill="1" applyBorder="1" applyAlignment="1" applyProtection="1">
      <alignment horizontal="distributed"/>
    </xf>
    <xf numFmtId="0" fontId="36" fillId="0" borderId="14" xfId="0" applyFont="1" applyFill="1" applyBorder="1" applyProtection="1"/>
    <xf numFmtId="0" fontId="36" fillId="0" borderId="19" xfId="0" applyFont="1" applyBorder="1" applyProtection="1"/>
    <xf numFmtId="0" fontId="36" fillId="0" borderId="20" xfId="0" applyFont="1" applyBorder="1" applyProtection="1"/>
    <xf numFmtId="0" fontId="36" fillId="0" borderId="20" xfId="0" applyFont="1" applyBorder="1" applyAlignment="1" applyProtection="1">
      <alignment horizontal="left"/>
    </xf>
    <xf numFmtId="0" fontId="36" fillId="0" borderId="14" xfId="0" applyFont="1" applyFill="1" applyBorder="1" applyAlignment="1" applyProtection="1">
      <alignment horizontal="left"/>
    </xf>
    <xf numFmtId="0" fontId="36" fillId="0" borderId="19" xfId="0" applyFont="1" applyBorder="1" applyAlignment="1" applyProtection="1">
      <alignment horizontal="left"/>
    </xf>
    <xf numFmtId="0" fontId="36" fillId="0" borderId="17" xfId="0" applyFont="1" applyBorder="1" applyAlignment="1" applyProtection="1">
      <alignment horizontal="left"/>
    </xf>
    <xf numFmtId="0" fontId="36" fillId="0" borderId="21" xfId="0" applyFont="1" applyBorder="1" applyAlignment="1" applyProtection="1">
      <alignment horizontal="left"/>
    </xf>
    <xf numFmtId="0" fontId="36" fillId="0" borderId="21" xfId="0" applyFont="1" applyBorder="1" applyAlignment="1" applyProtection="1">
      <alignment horizontal="distributed"/>
    </xf>
    <xf numFmtId="0" fontId="36" fillId="0" borderId="0" xfId="0" applyFont="1" applyFill="1" applyBorder="1" applyAlignment="1" applyProtection="1">
      <alignment horizontal="center"/>
      <protection locked="0"/>
    </xf>
    <xf numFmtId="0" fontId="36" fillId="0" borderId="0" xfId="0" applyFont="1" applyFill="1" applyBorder="1" applyAlignment="1" applyProtection="1">
      <alignment horizontal="distributed"/>
    </xf>
    <xf numFmtId="0" fontId="36" fillId="0" borderId="16" xfId="0" applyFont="1" applyBorder="1" applyAlignment="1" applyProtection="1">
      <alignment horizontal="left"/>
    </xf>
    <xf numFmtId="167" fontId="36" fillId="0" borderId="19" xfId="0" applyNumberFormat="1" applyFont="1" applyBorder="1" applyAlignment="1" applyProtection="1">
      <alignment horizontal="left"/>
    </xf>
    <xf numFmtId="167" fontId="36" fillId="0" borderId="20" xfId="0" applyNumberFormat="1" applyFont="1" applyBorder="1" applyAlignment="1" applyProtection="1">
      <alignment horizontal="left"/>
    </xf>
    <xf numFmtId="0" fontId="20" fillId="0" borderId="0" xfId="129"/>
    <xf numFmtId="49" fontId="37" fillId="0" borderId="0" xfId="0" applyNumberFormat="1" applyFont="1" applyAlignment="1">
      <alignment horizontal="right"/>
    </xf>
    <xf numFmtId="170" fontId="5" fillId="0" borderId="0" xfId="67" applyNumberFormat="1" applyFont="1" applyFill="1"/>
    <xf numFmtId="0" fontId="36" fillId="0" borderId="13" xfId="0" applyFont="1" applyBorder="1" applyAlignment="1" applyProtection="1">
      <alignment horizontal="center" wrapText="1"/>
      <protection locked="0"/>
    </xf>
    <xf numFmtId="0" fontId="10" fillId="26" borderId="0" xfId="0" applyFont="1" applyFill="1" applyProtection="1">
      <protection locked="0"/>
    </xf>
    <xf numFmtId="0" fontId="39" fillId="0" borderId="0" xfId="129" applyFont="1"/>
    <xf numFmtId="0" fontId="40" fillId="0" borderId="0" xfId="129" applyFont="1"/>
    <xf numFmtId="38" fontId="20" fillId="0" borderId="0" xfId="67" applyFont="1" applyAlignment="1">
      <alignment horizontal="right"/>
    </xf>
    <xf numFmtId="0" fontId="20" fillId="0" borderId="22" xfId="129" applyBorder="1"/>
    <xf numFmtId="38" fontId="20" fillId="0" borderId="0" xfId="67" applyFont="1" applyAlignment="1"/>
    <xf numFmtId="0" fontId="34" fillId="0" borderId="0" xfId="0" applyFont="1" applyBorder="1" applyAlignment="1" applyProtection="1">
      <protection locked="0"/>
    </xf>
    <xf numFmtId="0" fontId="36" fillId="0" borderId="13" xfId="0" applyFont="1" applyBorder="1" applyAlignment="1" applyProtection="1">
      <alignment horizontal="left"/>
    </xf>
    <xf numFmtId="0" fontId="36" fillId="27" borderId="21" xfId="0" applyFont="1" applyFill="1" applyBorder="1" applyAlignment="1" applyProtection="1">
      <alignment horizontal="distributed"/>
    </xf>
    <xf numFmtId="0" fontId="36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6" fillId="0" borderId="0" xfId="0" applyFont="1" applyFill="1" applyProtection="1">
      <protection locked="0"/>
    </xf>
    <xf numFmtId="0" fontId="36" fillId="0" borderId="0" xfId="0" applyFont="1" applyFill="1" applyBorder="1" applyAlignment="1" applyProtection="1">
      <alignment horizontal="center"/>
    </xf>
    <xf numFmtId="0" fontId="20" fillId="0" borderId="24" xfId="129" applyBorder="1" applyProtection="1">
      <protection locked="0"/>
    </xf>
    <xf numFmtId="38" fontId="41" fillId="28" borderId="25" xfId="170" applyNumberFormat="1" applyFont="1" applyFill="1" applyBorder="1" applyProtection="1">
      <alignment vertical="center"/>
      <protection locked="0"/>
    </xf>
    <xf numFmtId="0" fontId="20" fillId="0" borderId="26" xfId="129" applyBorder="1" applyProtection="1">
      <protection locked="0"/>
    </xf>
    <xf numFmtId="168" fontId="5" fillId="0" borderId="0" xfId="67" applyNumberFormat="1" applyFont="1" applyFill="1"/>
    <xf numFmtId="169" fontId="36" fillId="0" borderId="13" xfId="0" applyNumberFormat="1" applyFont="1" applyBorder="1" applyAlignment="1" applyProtection="1">
      <alignment horizontal="center" wrapText="1"/>
      <protection locked="0"/>
    </xf>
    <xf numFmtId="168" fontId="36" fillId="0" borderId="0" xfId="67" applyNumberFormat="1" applyFont="1" applyFill="1"/>
    <xf numFmtId="0" fontId="5" fillId="0" borderId="0" xfId="0" applyFont="1" applyFill="1"/>
    <xf numFmtId="38" fontId="36" fillId="0" borderId="0" xfId="0" applyNumberFormat="1" applyFont="1" applyProtection="1">
      <protection locked="0"/>
    </xf>
    <xf numFmtId="175" fontId="36" fillId="0" borderId="0" xfId="0" applyNumberFormat="1" applyFont="1" applyProtection="1">
      <protection locked="0"/>
    </xf>
    <xf numFmtId="174" fontId="36" fillId="0" borderId="0" xfId="0" applyNumberFormat="1" applyFont="1" applyProtection="1">
      <protection locked="0"/>
    </xf>
    <xf numFmtId="4" fontId="36" fillId="0" borderId="0" xfId="0" applyNumberFormat="1" applyFont="1" applyProtection="1">
      <protection locked="0"/>
    </xf>
    <xf numFmtId="176" fontId="36" fillId="0" borderId="0" xfId="0" applyNumberFormat="1" applyFont="1" applyProtection="1">
      <protection locked="0"/>
    </xf>
    <xf numFmtId="177" fontId="36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73" fontId="33" fillId="29" borderId="27" xfId="169" applyNumberFormat="1" applyFont="1" applyFill="1" applyBorder="1" applyAlignment="1">
      <alignment horizontal="center" vertical="center"/>
    </xf>
    <xf numFmtId="49" fontId="33" fillId="29" borderId="27" xfId="169" applyNumberFormat="1" applyFont="1" applyFill="1" applyBorder="1" applyAlignment="1">
      <alignment horizontal="center" vertical="center"/>
    </xf>
    <xf numFmtId="49" fontId="33" fillId="30" borderId="28" xfId="169" applyNumberFormat="1" applyFont="1" applyFill="1" applyBorder="1" applyAlignment="1">
      <alignment horizontal="center" vertical="center"/>
    </xf>
    <xf numFmtId="49" fontId="33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2" fillId="0" borderId="0" xfId="67" applyFont="1" applyFill="1" applyAlignment="1">
      <alignment horizontal="center" vertical="center"/>
    </xf>
    <xf numFmtId="170" fontId="72" fillId="0" borderId="0" xfId="67" applyNumberFormat="1" applyFont="1" applyFill="1" applyAlignment="1">
      <alignment horizontal="center" vertical="center"/>
    </xf>
    <xf numFmtId="169" fontId="73" fillId="25" borderId="10" xfId="67" applyNumberFormat="1" applyFont="1" applyFill="1" applyBorder="1" applyAlignment="1">
      <alignment horizontal="center" vertical="center"/>
    </xf>
    <xf numFmtId="169" fontId="73" fillId="25" borderId="30" xfId="67" applyNumberFormat="1" applyFont="1" applyFill="1" applyBorder="1" applyAlignment="1">
      <alignment horizontal="center" vertical="center"/>
    </xf>
    <xf numFmtId="38" fontId="73" fillId="25" borderId="11" xfId="67" applyFont="1" applyFill="1" applyBorder="1" applyAlignment="1">
      <alignment horizontal="center" vertical="center"/>
    </xf>
    <xf numFmtId="38" fontId="73" fillId="25" borderId="12" xfId="67" applyFont="1" applyFill="1" applyBorder="1" applyAlignment="1">
      <alignment horizontal="center" vertical="center"/>
    </xf>
    <xf numFmtId="170" fontId="72" fillId="0" borderId="0" xfId="68" applyNumberFormat="1" applyFont="1" applyFill="1" applyAlignment="1">
      <alignment horizontal="center" vertical="center"/>
    </xf>
    <xf numFmtId="169" fontId="74" fillId="0" borderId="0" xfId="0" applyNumberFormat="1" applyFont="1" applyFill="1"/>
    <xf numFmtId="0" fontId="0" fillId="0" borderId="0" xfId="129" applyFont="1"/>
    <xf numFmtId="40" fontId="72" fillId="0" borderId="0" xfId="66" applyFont="1" applyFill="1" applyAlignment="1">
      <alignment horizontal="center" vertical="center"/>
    </xf>
    <xf numFmtId="0" fontId="34" fillId="26" borderId="0" xfId="0" applyFont="1" applyFill="1" applyProtection="1">
      <protection locked="0"/>
    </xf>
    <xf numFmtId="171" fontId="58" fillId="31" borderId="0" xfId="0" applyNumberFormat="1" applyFont="1" applyFill="1" applyAlignment="1" applyProtection="1">
      <alignment horizontal="centerContinuous"/>
      <protection locked="0"/>
    </xf>
    <xf numFmtId="179" fontId="10" fillId="31" borderId="0" xfId="0" applyNumberFormat="1" applyFont="1" applyFill="1" applyAlignment="1" applyProtection="1">
      <alignment horizontal="centerContinuous"/>
      <protection locked="0"/>
    </xf>
    <xf numFmtId="168" fontId="60" fillId="26" borderId="0" xfId="0" applyNumberFormat="1" applyFont="1" applyFill="1" applyAlignment="1">
      <alignment horizontal="centerContinuous" vertical="center"/>
    </xf>
    <xf numFmtId="0" fontId="34" fillId="26" borderId="0" xfId="0" applyFont="1" applyFill="1" applyBorder="1" applyAlignment="1" applyProtection="1">
      <alignment horizontal="centerContinuous"/>
      <protection locked="0"/>
    </xf>
    <xf numFmtId="0" fontId="36" fillId="26" borderId="0" xfId="0" applyFont="1" applyFill="1" applyAlignment="1" applyProtection="1">
      <alignment horizontal="centerContinuous"/>
      <protection locked="0"/>
    </xf>
    <xf numFmtId="168" fontId="35" fillId="26" borderId="0" xfId="0" applyNumberFormat="1" applyFont="1" applyFill="1" applyAlignment="1">
      <alignment horizontal="centerContinuous"/>
    </xf>
    <xf numFmtId="49" fontId="11" fillId="0" borderId="0" xfId="0" applyNumberFormat="1" applyFont="1" applyFill="1" applyAlignment="1"/>
    <xf numFmtId="0" fontId="13" fillId="0" borderId="0" xfId="0" applyFont="1" applyFill="1"/>
    <xf numFmtId="180" fontId="10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73" fontId="61" fillId="0" borderId="0" xfId="169" applyNumberFormat="1" applyFont="1" applyAlignment="1">
      <alignment horizontal="center" vertical="center"/>
    </xf>
    <xf numFmtId="49" fontId="61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9" fillId="0" borderId="0" xfId="67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Fill="1" applyAlignment="1">
      <alignment vertical="center"/>
    </xf>
    <xf numFmtId="49" fontId="75" fillId="0" borderId="0" xfId="0" applyNumberFormat="1" applyFont="1"/>
    <xf numFmtId="0" fontId="76" fillId="0" borderId="0" xfId="0" applyFont="1"/>
    <xf numFmtId="38" fontId="76" fillId="0" borderId="0" xfId="67" applyFont="1" applyAlignment="1">
      <alignment horizontal="center" vertical="center"/>
    </xf>
    <xf numFmtId="38" fontId="76" fillId="0" borderId="0" xfId="67" applyFont="1"/>
    <xf numFmtId="0" fontId="76" fillId="0" borderId="0" xfId="0" applyFont="1" applyFill="1"/>
    <xf numFmtId="0" fontId="61" fillId="0" borderId="0" xfId="169" applyFont="1" applyAlignment="1">
      <alignment horizontal="center" vertical="center"/>
    </xf>
    <xf numFmtId="0" fontId="62" fillId="32" borderId="0" xfId="0" applyFont="1" applyFill="1"/>
    <xf numFmtId="181" fontId="72" fillId="0" borderId="0" xfId="67" applyNumberFormat="1" applyFont="1" applyAlignment="1">
      <alignment horizontal="center" vertical="center"/>
    </xf>
    <xf numFmtId="181" fontId="72" fillId="0" borderId="0" xfId="66" applyNumberFormat="1" applyFont="1" applyAlignment="1">
      <alignment horizontal="center" vertical="center"/>
    </xf>
    <xf numFmtId="181" fontId="5" fillId="0" borderId="0" xfId="67" applyNumberFormat="1" applyFont="1"/>
    <xf numFmtId="182" fontId="5" fillId="0" borderId="0" xfId="0" applyNumberFormat="1" applyFont="1" applyFill="1" applyAlignment="1" applyProtection="1">
      <alignment horizontal="left" vertical="center" shrinkToFit="1"/>
      <protection locked="0"/>
    </xf>
    <xf numFmtId="38" fontId="36" fillId="0" borderId="0" xfId="68" applyFont="1" applyProtection="1">
      <protection locked="0"/>
    </xf>
    <xf numFmtId="40" fontId="36" fillId="0" borderId="31" xfId="68" applyNumberFormat="1" applyFont="1" applyBorder="1" applyProtection="1"/>
    <xf numFmtId="40" fontId="36" fillId="24" borderId="16" xfId="68" applyNumberFormat="1" applyFont="1" applyFill="1" applyBorder="1" applyProtection="1"/>
    <xf numFmtId="40" fontId="36" fillId="24" borderId="17" xfId="68" applyNumberFormat="1" applyFont="1" applyFill="1" applyBorder="1" applyProtection="1"/>
    <xf numFmtId="40" fontId="36" fillId="24" borderId="13" xfId="68" applyNumberFormat="1" applyFont="1" applyFill="1" applyBorder="1" applyProtection="1">
      <protection locked="0"/>
    </xf>
    <xf numFmtId="40" fontId="36" fillId="0" borderId="13" xfId="68" applyNumberFormat="1" applyFont="1" applyBorder="1" applyProtection="1"/>
    <xf numFmtId="40" fontId="36" fillId="24" borderId="13" xfId="68" applyNumberFormat="1" applyFont="1" applyFill="1" applyBorder="1" applyProtection="1"/>
    <xf numFmtId="40" fontId="36" fillId="0" borderId="19" xfId="68" applyNumberFormat="1" applyFont="1" applyBorder="1" applyProtection="1">
      <protection locked="0"/>
    </xf>
    <xf numFmtId="40" fontId="36" fillId="0" borderId="20" xfId="68" applyNumberFormat="1" applyFont="1" applyBorder="1" applyProtection="1">
      <protection locked="0"/>
    </xf>
    <xf numFmtId="40" fontId="36" fillId="0" borderId="16" xfId="68" applyNumberFormat="1" applyFont="1" applyBorder="1" applyProtection="1"/>
    <xf numFmtId="40" fontId="36" fillId="0" borderId="19" xfId="68" applyNumberFormat="1" applyFont="1" applyBorder="1" applyProtection="1"/>
    <xf numFmtId="40" fontId="36" fillId="0" borderId="20" xfId="68" applyNumberFormat="1" applyFont="1" applyBorder="1" applyProtection="1"/>
    <xf numFmtId="40" fontId="36" fillId="0" borderId="32" xfId="68" applyNumberFormat="1" applyFont="1" applyBorder="1" applyProtection="1">
      <protection locked="0"/>
    </xf>
    <xf numFmtId="40" fontId="36" fillId="0" borderId="17" xfId="68" applyNumberFormat="1" applyFont="1" applyBorder="1" applyProtection="1">
      <protection locked="0"/>
    </xf>
    <xf numFmtId="40" fontId="36" fillId="0" borderId="21" xfId="68" applyNumberFormat="1" applyFont="1" applyBorder="1" applyProtection="1"/>
    <xf numFmtId="40" fontId="36" fillId="24" borderId="13" xfId="72" applyFont="1" applyFill="1" applyBorder="1" applyAlignment="1" applyProtection="1"/>
    <xf numFmtId="40" fontId="36" fillId="24" borderId="13" xfId="68" applyNumberFormat="1" applyFont="1" applyFill="1" applyBorder="1" applyAlignment="1" applyProtection="1"/>
    <xf numFmtId="40" fontId="36" fillId="0" borderId="21" xfId="72" applyFont="1" applyBorder="1" applyAlignment="1" applyProtection="1"/>
    <xf numFmtId="40" fontId="36" fillId="0" borderId="21" xfId="68" applyNumberFormat="1" applyFont="1" applyBorder="1" applyAlignment="1" applyProtection="1"/>
    <xf numFmtId="40" fontId="36" fillId="27" borderId="13" xfId="68" applyNumberFormat="1" applyFont="1" applyFill="1" applyBorder="1" applyProtection="1"/>
    <xf numFmtId="40" fontId="36" fillId="0" borderId="0" xfId="0" applyNumberFormat="1" applyFont="1" applyProtection="1">
      <protection locked="0"/>
    </xf>
    <xf numFmtId="40" fontId="36" fillId="0" borderId="0" xfId="68" applyNumberFormat="1" applyFont="1" applyProtection="1">
      <protection locked="0"/>
    </xf>
    <xf numFmtId="38" fontId="36" fillId="0" borderId="13" xfId="68" applyFont="1" applyBorder="1" applyProtection="1"/>
    <xf numFmtId="38" fontId="36" fillId="27" borderId="13" xfId="68" applyFont="1" applyFill="1" applyBorder="1" applyProtection="1"/>
    <xf numFmtId="38" fontId="36" fillId="0" borderId="31" xfId="68" applyFont="1" applyBorder="1" applyProtection="1"/>
    <xf numFmtId="38" fontId="36" fillId="24" borderId="16" xfId="68" applyFont="1" applyFill="1" applyBorder="1" applyProtection="1"/>
    <xf numFmtId="38" fontId="36" fillId="24" borderId="17" xfId="68" applyFont="1" applyFill="1" applyBorder="1" applyProtection="1"/>
    <xf numFmtId="38" fontId="36" fillId="24" borderId="13" xfId="68" applyFont="1" applyFill="1" applyBorder="1" applyProtection="1">
      <protection locked="0"/>
    </xf>
    <xf numFmtId="38" fontId="36" fillId="24" borderId="13" xfId="68" applyFont="1" applyFill="1" applyBorder="1" applyProtection="1"/>
    <xf numFmtId="38" fontId="36" fillId="0" borderId="19" xfId="68" applyFont="1" applyBorder="1" applyProtection="1">
      <protection locked="0"/>
    </xf>
    <xf numFmtId="38" fontId="36" fillId="0" borderId="20" xfId="68" applyFont="1" applyBorder="1" applyProtection="1">
      <protection locked="0"/>
    </xf>
    <xf numFmtId="38" fontId="36" fillId="0" borderId="19" xfId="68" applyFont="1" applyBorder="1" applyProtection="1"/>
    <xf numFmtId="38" fontId="36" fillId="0" borderId="20" xfId="68" applyFont="1" applyBorder="1" applyProtection="1"/>
    <xf numFmtId="166" fontId="36" fillId="0" borderId="13" xfId="68" applyNumberFormat="1" applyFont="1" applyBorder="1" applyProtection="1"/>
    <xf numFmtId="166" fontId="36" fillId="0" borderId="19" xfId="68" applyNumberFormat="1" applyFont="1" applyBorder="1" applyProtection="1">
      <protection locked="0"/>
    </xf>
    <xf numFmtId="166" fontId="36" fillId="0" borderId="20" xfId="68" applyNumberFormat="1" applyFont="1" applyBorder="1" applyProtection="1">
      <protection locked="0"/>
    </xf>
    <xf numFmtId="166" fontId="36" fillId="0" borderId="32" xfId="68" applyNumberFormat="1" applyFont="1" applyBorder="1" applyProtection="1">
      <protection locked="0"/>
    </xf>
    <xf numFmtId="166" fontId="36" fillId="0" borderId="17" xfId="68" applyNumberFormat="1" applyFont="1" applyBorder="1" applyProtection="1">
      <protection locked="0"/>
    </xf>
    <xf numFmtId="166" fontId="36" fillId="0" borderId="21" xfId="68" applyNumberFormat="1" applyFont="1" applyBorder="1" applyProtection="1"/>
    <xf numFmtId="166" fontId="36" fillId="24" borderId="13" xfId="68" applyNumberFormat="1" applyFont="1" applyFill="1" applyBorder="1" applyAlignment="1" applyProtection="1"/>
    <xf numFmtId="166" fontId="36" fillId="0" borderId="21" xfId="68" applyNumberFormat="1" applyFont="1" applyBorder="1" applyAlignment="1" applyProtection="1"/>
    <xf numFmtId="166" fontId="36" fillId="27" borderId="13" xfId="68" applyNumberFormat="1" applyFont="1" applyFill="1" applyBorder="1" applyProtection="1"/>
    <xf numFmtId="166" fontId="36" fillId="0" borderId="0" xfId="0" applyNumberFormat="1" applyFont="1" applyProtection="1">
      <protection locked="0"/>
    </xf>
    <xf numFmtId="166" fontId="36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6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37" xfId="0" applyNumberFormat="1" applyFont="1" applyFill="1" applyBorder="1" applyAlignment="1" applyProtection="1">
      <alignment wrapText="1"/>
      <protection locked="0"/>
    </xf>
    <xf numFmtId="40" fontId="77" fillId="0" borderId="0" xfId="0" applyNumberFormat="1" applyFont="1"/>
    <xf numFmtId="40" fontId="5" fillId="0" borderId="0" xfId="0" applyNumberFormat="1" applyFont="1"/>
    <xf numFmtId="40" fontId="5" fillId="0" borderId="40" xfId="0" applyNumberFormat="1" applyFont="1" applyFill="1" applyBorder="1" applyAlignment="1" applyProtection="1">
      <alignment wrapText="1"/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5" fillId="0" borderId="40" xfId="0" applyNumberFormat="1" applyFont="1" applyFill="1" applyBorder="1" applyProtection="1">
      <protection locked="0"/>
    </xf>
    <xf numFmtId="40" fontId="77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0" borderId="48" xfId="0" applyNumberFormat="1" applyFont="1" applyFill="1" applyBorder="1" applyProtection="1">
      <protection locked="0"/>
    </xf>
    <xf numFmtId="40" fontId="78" fillId="0" borderId="0" xfId="0" applyNumberFormat="1" applyFont="1"/>
    <xf numFmtId="0" fontId="0" fillId="0" borderId="0" xfId="0" applyAlignment="1">
      <alignment horizontal="center"/>
    </xf>
    <xf numFmtId="170" fontId="74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6" fillId="0" borderId="0" xfId="0" applyFont="1" applyFill="1" applyBorder="1" applyAlignment="1">
      <alignment horizontal="left"/>
    </xf>
    <xf numFmtId="40" fontId="72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79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0" fillId="0" borderId="0" xfId="67" applyNumberFormat="1" applyFont="1" applyFill="1" applyAlignment="1">
      <alignment horizontal="center"/>
    </xf>
    <xf numFmtId="0" fontId="64" fillId="0" borderId="0" xfId="0" applyNumberFormat="1" applyFont="1" applyFill="1" applyBorder="1" applyAlignment="1">
      <alignment horizontal="right" vertical="center"/>
    </xf>
    <xf numFmtId="40" fontId="77" fillId="0" borderId="0" xfId="0" applyNumberFormat="1" applyFont="1" applyAlignment="1">
      <alignment horizontal="right"/>
    </xf>
    <xf numFmtId="40" fontId="74" fillId="35" borderId="13" xfId="0" applyNumberFormat="1" applyFont="1" applyFill="1" applyBorder="1" applyAlignment="1">
      <alignment horizontal="center"/>
    </xf>
    <xf numFmtId="38" fontId="81" fillId="0" borderId="0" xfId="68" applyFont="1" applyAlignment="1">
      <alignment horizontal="center" vertical="center"/>
    </xf>
    <xf numFmtId="38" fontId="20" fillId="0" borderId="26" xfId="67" applyFont="1" applyBorder="1" applyAlignment="1" applyProtection="1">
      <protection locked="0"/>
    </xf>
    <xf numFmtId="0" fontId="20" fillId="0" borderId="13" xfId="129" applyBorder="1"/>
    <xf numFmtId="0" fontId="0" fillId="0" borderId="24" xfId="129" applyFont="1" applyBorder="1" applyProtection="1">
      <protection locked="0"/>
    </xf>
    <xf numFmtId="38" fontId="20" fillId="0" borderId="0" xfId="68" applyFont="1" applyAlignment="1">
      <alignment horizontal="right"/>
    </xf>
    <xf numFmtId="4" fontId="20" fillId="0" borderId="24" xfId="129" applyNumberFormat="1" applyBorder="1" applyAlignment="1" applyProtection="1">
      <alignment horizontal="center"/>
      <protection locked="0"/>
    </xf>
    <xf numFmtId="4" fontId="20" fillId="0" borderId="24" xfId="129" applyNumberFormat="1" applyBorder="1" applyProtection="1">
      <protection locked="0"/>
    </xf>
    <xf numFmtId="4" fontId="20" fillId="0" borderId="22" xfId="129" applyNumberFormat="1" applyBorder="1"/>
    <xf numFmtId="4" fontId="20" fillId="0" borderId="26" xfId="129" applyNumberFormat="1" applyBorder="1"/>
    <xf numFmtId="0" fontId="20" fillId="0" borderId="22" xfId="129" applyBorder="1" applyAlignment="1">
      <alignment horizontal="centerContinuous" vertical="center"/>
    </xf>
    <xf numFmtId="0" fontId="20" fillId="0" borderId="22" xfId="129" applyBorder="1" applyAlignment="1">
      <alignment horizontal="left" vertical="center"/>
    </xf>
    <xf numFmtId="169" fontId="20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72" fontId="20" fillId="0" borderId="53" xfId="68" quotePrefix="1" applyNumberFormat="1" applyFont="1" applyBorder="1" applyAlignment="1">
      <alignment horizontal="center" vertical="center"/>
    </xf>
    <xf numFmtId="0" fontId="20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2" fillId="0" borderId="0" xfId="171" applyFont="1">
      <alignment vertical="center"/>
    </xf>
    <xf numFmtId="183" fontId="82" fillId="0" borderId="0" xfId="171" applyNumberFormat="1" applyFont="1">
      <alignment vertical="center"/>
    </xf>
    <xf numFmtId="173" fontId="82" fillId="0" borderId="0" xfId="171" applyNumberFormat="1" applyFont="1">
      <alignment vertical="center"/>
    </xf>
    <xf numFmtId="0" fontId="82" fillId="0" borderId="0" xfId="171" applyFont="1" applyAlignment="1">
      <alignment horizontal="left" vertical="center"/>
    </xf>
    <xf numFmtId="49" fontId="82" fillId="0" borderId="0" xfId="171" applyNumberFormat="1" applyFont="1" applyAlignment="1">
      <alignment horizontal="left" vertical="center"/>
    </xf>
    <xf numFmtId="183" fontId="82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40" fontId="83" fillId="34" borderId="37" xfId="0" applyNumberFormat="1" applyFont="1" applyFill="1" applyBorder="1" applyAlignment="1" applyProtection="1">
      <alignment wrapText="1"/>
    </xf>
    <xf numFmtId="40" fontId="83" fillId="34" borderId="40" xfId="0" applyNumberFormat="1" applyFont="1" applyFill="1" applyBorder="1" applyAlignment="1" applyProtection="1">
      <alignment wrapText="1"/>
    </xf>
    <xf numFmtId="40" fontId="83" fillId="34" borderId="39" xfId="0" applyNumberFormat="1" applyFont="1" applyFill="1" applyBorder="1" applyProtection="1"/>
    <xf numFmtId="40" fontId="83" fillId="34" borderId="43" xfId="0" applyNumberFormat="1" applyFont="1" applyFill="1" applyBorder="1" applyProtection="1"/>
    <xf numFmtId="40" fontId="83" fillId="32" borderId="43" xfId="0" applyNumberFormat="1" applyFont="1" applyFill="1" applyBorder="1" applyProtection="1"/>
    <xf numFmtId="40" fontId="84" fillId="34" borderId="43" xfId="0" applyNumberFormat="1" applyFont="1" applyFill="1" applyBorder="1" applyProtection="1"/>
    <xf numFmtId="3" fontId="83" fillId="34" borderId="39" xfId="0" applyNumberFormat="1" applyFont="1" applyFill="1" applyBorder="1" applyProtection="1"/>
    <xf numFmtId="3" fontId="83" fillId="34" borderId="48" xfId="0" applyNumberFormat="1" applyFont="1" applyFill="1" applyBorder="1" applyProtection="1"/>
    <xf numFmtId="40" fontId="83" fillId="32" borderId="40" xfId="0" applyNumberFormat="1" applyFont="1" applyFill="1" applyBorder="1" applyProtection="1"/>
    <xf numFmtId="40" fontId="83" fillId="32" borderId="39" xfId="0" applyNumberFormat="1" applyFont="1" applyFill="1" applyBorder="1" applyProtection="1"/>
    <xf numFmtId="40" fontId="83" fillId="32" borderId="48" xfId="0" applyNumberFormat="1" applyFont="1" applyFill="1" applyBorder="1" applyProtection="1"/>
    <xf numFmtId="40" fontId="83" fillId="34" borderId="40" xfId="0" applyNumberFormat="1" applyFont="1" applyFill="1" applyBorder="1" applyProtection="1"/>
    <xf numFmtId="40" fontId="85" fillId="36" borderId="39" xfId="0" applyNumberFormat="1" applyFont="1" applyFill="1" applyBorder="1" applyProtection="1"/>
    <xf numFmtId="40" fontId="84" fillId="34" borderId="39" xfId="0" applyNumberFormat="1" applyFont="1" applyFill="1" applyBorder="1" applyProtection="1"/>
    <xf numFmtId="40" fontId="87" fillId="34" borderId="39" xfId="0" applyNumberFormat="1" applyFont="1" applyFill="1" applyBorder="1" applyProtection="1"/>
    <xf numFmtId="40" fontId="84" fillId="34" borderId="39" xfId="0" applyNumberFormat="1" applyFont="1" applyFill="1" applyBorder="1" applyAlignment="1" applyProtection="1">
      <alignment wrapText="1"/>
    </xf>
    <xf numFmtId="40" fontId="85" fillId="0" borderId="39" xfId="0" applyNumberFormat="1" applyFont="1" applyFill="1" applyBorder="1" applyProtection="1"/>
    <xf numFmtId="40" fontId="86" fillId="34" borderId="39" xfId="0" applyNumberFormat="1" applyFont="1" applyFill="1" applyBorder="1" applyProtection="1"/>
    <xf numFmtId="166" fontId="5" fillId="34" borderId="37" xfId="67" applyNumberFormat="1" applyFont="1" applyFill="1" applyBorder="1" applyProtection="1">
      <protection locked="0"/>
    </xf>
    <xf numFmtId="166" fontId="5" fillId="34" borderId="40" xfId="67" applyNumberFormat="1" applyFont="1" applyFill="1" applyBorder="1" applyProtection="1">
      <protection locked="0"/>
    </xf>
    <xf numFmtId="166" fontId="5" fillId="34" borderId="39" xfId="67" applyNumberFormat="1" applyFont="1" applyFill="1" applyBorder="1" applyProtection="1">
      <protection locked="0"/>
    </xf>
    <xf numFmtId="166" fontId="5" fillId="34" borderId="43" xfId="67" applyNumberFormat="1" applyFont="1" applyFill="1" applyBorder="1" applyProtection="1">
      <protection locked="0"/>
    </xf>
    <xf numFmtId="166" fontId="5" fillId="32" borderId="43" xfId="67" applyNumberFormat="1" applyFont="1" applyFill="1" applyBorder="1" applyProtection="1">
      <protection locked="0"/>
    </xf>
    <xf numFmtId="166" fontId="72" fillId="34" borderId="39" xfId="96" applyNumberFormat="1" applyFont="1" applyFill="1" applyBorder="1" applyAlignment="1" applyProtection="1">
      <alignment horizontal="right" vertical="center"/>
      <protection locked="0"/>
    </xf>
    <xf numFmtId="166" fontId="5" fillId="34" borderId="48" xfId="67" applyNumberFormat="1" applyFont="1" applyFill="1" applyBorder="1" applyProtection="1">
      <protection locked="0"/>
    </xf>
    <xf numFmtId="166" fontId="5" fillId="32" borderId="40" xfId="67" applyNumberFormat="1" applyFont="1" applyFill="1" applyBorder="1" applyProtection="1">
      <protection locked="0"/>
    </xf>
    <xf numFmtId="166" fontId="5" fillId="32" borderId="48" xfId="67" applyNumberFormat="1" applyFont="1" applyFill="1" applyBorder="1" applyProtection="1">
      <protection locked="0"/>
    </xf>
    <xf numFmtId="166" fontId="5" fillId="36" borderId="39" xfId="67" applyNumberFormat="1" applyFont="1" applyFill="1" applyBorder="1" applyProtection="1">
      <protection locked="0"/>
    </xf>
    <xf numFmtId="0" fontId="20" fillId="0" borderId="24" xfId="129" applyBorder="1" applyAlignment="1" applyProtection="1">
      <alignment horizontal="left"/>
      <protection locked="0"/>
    </xf>
    <xf numFmtId="3" fontId="20" fillId="0" borderId="24" xfId="129" applyNumberFormat="1" applyBorder="1" applyAlignment="1" applyProtection="1">
      <alignment horizontal="right"/>
      <protection locked="0"/>
    </xf>
    <xf numFmtId="1" fontId="83" fillId="0" borderId="33" xfId="0" applyNumberFormat="1" applyFont="1" applyFill="1" applyBorder="1" applyAlignment="1" applyProtection="1">
      <alignment horizontal="center"/>
    </xf>
    <xf numFmtId="40" fontId="83" fillId="0" borderId="19" xfId="0" applyNumberFormat="1" applyFont="1" applyFill="1" applyBorder="1" applyProtection="1"/>
    <xf numFmtId="40" fontId="83" fillId="0" borderId="36" xfId="0" applyNumberFormat="1" applyFont="1" applyFill="1" applyBorder="1" applyProtection="1"/>
    <xf numFmtId="40" fontId="83" fillId="0" borderId="36" xfId="0" applyNumberFormat="1" applyFont="1" applyFill="1" applyBorder="1" applyAlignment="1" applyProtection="1">
      <alignment horizontal="center"/>
    </xf>
    <xf numFmtId="175" fontId="88" fillId="34" borderId="37" xfId="68" applyNumberFormat="1" applyFont="1" applyFill="1" applyBorder="1" applyAlignment="1" applyProtection="1">
      <alignment horizontal="right" vertical="center"/>
    </xf>
    <xf numFmtId="1" fontId="83" fillId="0" borderId="50" xfId="0" applyNumberFormat="1" applyFont="1" applyFill="1" applyBorder="1" applyAlignment="1" applyProtection="1">
      <alignment horizontal="center"/>
    </xf>
    <xf numFmtId="40" fontId="83" fillId="0" borderId="38" xfId="0" applyNumberFormat="1" applyFont="1" applyFill="1" applyBorder="1" applyProtection="1"/>
    <xf numFmtId="40" fontId="83" fillId="0" borderId="38" xfId="0" applyNumberFormat="1" applyFont="1" applyFill="1" applyBorder="1" applyAlignment="1" applyProtection="1">
      <alignment horizontal="center"/>
    </xf>
    <xf numFmtId="175" fontId="88" fillId="34" borderId="39" xfId="68" applyNumberFormat="1" applyFont="1" applyFill="1" applyBorder="1" applyAlignment="1" applyProtection="1">
      <alignment horizontal="right" vertical="center"/>
    </xf>
    <xf numFmtId="1" fontId="83" fillId="0" borderId="34" xfId="0" applyNumberFormat="1" applyFont="1" applyFill="1" applyBorder="1" applyAlignment="1" applyProtection="1">
      <alignment horizontal="center"/>
    </xf>
    <xf numFmtId="40" fontId="83" fillId="0" borderId="41" xfId="0" applyNumberFormat="1" applyFont="1" applyFill="1" applyBorder="1" applyProtection="1"/>
    <xf numFmtId="40" fontId="83" fillId="0" borderId="41" xfId="0" applyNumberFormat="1" applyFont="1" applyFill="1" applyBorder="1" applyAlignment="1" applyProtection="1">
      <alignment horizontal="center"/>
    </xf>
    <xf numFmtId="175" fontId="83" fillId="34" borderId="39" xfId="68" applyNumberFormat="1" applyFont="1" applyFill="1" applyBorder="1" applyAlignment="1" applyProtection="1">
      <alignment horizontal="right" vertical="center"/>
    </xf>
    <xf numFmtId="1" fontId="83" fillId="0" borderId="51" xfId="0" applyNumberFormat="1" applyFont="1" applyFill="1" applyBorder="1" applyAlignment="1" applyProtection="1">
      <alignment horizontal="center"/>
    </xf>
    <xf numFmtId="40" fontId="83" fillId="0" borderId="42" xfId="0" applyNumberFormat="1" applyFont="1" applyFill="1" applyBorder="1" applyAlignment="1" applyProtection="1">
      <alignment horizontal="center"/>
    </xf>
    <xf numFmtId="40" fontId="83" fillId="32" borderId="32" xfId="0" applyNumberFormat="1" applyFont="1" applyFill="1" applyBorder="1" applyProtection="1"/>
    <xf numFmtId="40" fontId="83" fillId="32" borderId="42" xfId="0" applyNumberFormat="1" applyFont="1" applyFill="1" applyBorder="1" applyProtection="1"/>
    <xf numFmtId="40" fontId="83" fillId="32" borderId="42" xfId="0" applyNumberFormat="1" applyFont="1" applyFill="1" applyBorder="1" applyAlignment="1" applyProtection="1">
      <alignment horizontal="center"/>
    </xf>
    <xf numFmtId="175" fontId="84" fillId="32" borderId="39" xfId="68" applyNumberFormat="1" applyFont="1" applyFill="1" applyBorder="1" applyAlignment="1" applyProtection="1">
      <alignment horizontal="right" vertical="center"/>
      <protection locked="0"/>
    </xf>
    <xf numFmtId="40" fontId="83" fillId="0" borderId="42" xfId="0" applyNumberFormat="1" applyFont="1" applyFill="1" applyBorder="1" applyProtection="1"/>
    <xf numFmtId="175" fontId="83" fillId="34" borderId="39" xfId="96" applyNumberFormat="1" applyFont="1" applyFill="1" applyBorder="1" applyAlignment="1" applyProtection="1">
      <alignment horizontal="right" vertical="center"/>
    </xf>
    <xf numFmtId="175" fontId="88" fillId="32" borderId="39" xfId="68" applyNumberFormat="1" applyFont="1" applyFill="1" applyBorder="1" applyAlignment="1" applyProtection="1">
      <alignment horizontal="right" vertical="center"/>
      <protection locked="0"/>
    </xf>
    <xf numFmtId="40" fontId="84" fillId="32" borderId="39" xfId="68" applyNumberFormat="1" applyFont="1" applyFill="1" applyBorder="1" applyAlignment="1" applyProtection="1">
      <alignment horizontal="right" vertical="center"/>
      <protection locked="0"/>
    </xf>
    <xf numFmtId="40" fontId="88" fillId="32" borderId="39" xfId="68" applyNumberFormat="1" applyFont="1" applyFill="1" applyBorder="1" applyAlignment="1" applyProtection="1">
      <alignment horizontal="right" vertical="center"/>
      <protection locked="0"/>
    </xf>
    <xf numFmtId="3" fontId="83" fillId="0" borderId="20" xfId="0" applyNumberFormat="1" applyFont="1" applyFill="1" applyBorder="1" applyProtection="1"/>
    <xf numFmtId="3" fontId="83" fillId="0" borderId="41" xfId="0" applyNumberFormat="1" applyFont="1" applyFill="1" applyBorder="1" applyProtection="1"/>
    <xf numFmtId="3" fontId="83" fillId="33" borderId="41" xfId="0" applyNumberFormat="1" applyFont="1" applyFill="1" applyBorder="1" applyAlignment="1" applyProtection="1">
      <alignment horizontal="center"/>
    </xf>
    <xf numFmtId="3" fontId="88" fillId="34" borderId="39" xfId="68" applyNumberFormat="1" applyFont="1" applyFill="1" applyBorder="1" applyAlignment="1" applyProtection="1">
      <alignment horizontal="right" vertical="center"/>
    </xf>
    <xf numFmtId="3" fontId="83" fillId="0" borderId="32" xfId="0" applyNumberFormat="1" applyFont="1" applyFill="1" applyBorder="1" applyProtection="1"/>
    <xf numFmtId="3" fontId="83" fillId="0" borderId="42" xfId="0" applyNumberFormat="1" applyFont="1" applyFill="1" applyBorder="1" applyProtection="1"/>
    <xf numFmtId="3" fontId="83" fillId="33" borderId="42" xfId="0" applyNumberFormat="1" applyFont="1" applyFill="1" applyBorder="1" applyAlignment="1" applyProtection="1">
      <alignment horizontal="center"/>
    </xf>
    <xf numFmtId="3" fontId="88" fillId="34" borderId="48" xfId="68" applyNumberFormat="1" applyFont="1" applyFill="1" applyBorder="1" applyAlignment="1" applyProtection="1">
      <alignment horizontal="right" vertical="center"/>
    </xf>
    <xf numFmtId="1" fontId="83" fillId="33" borderId="33" xfId="0" applyNumberFormat="1" applyFont="1" applyFill="1" applyBorder="1" applyAlignment="1" applyProtection="1">
      <alignment horizontal="center"/>
    </xf>
    <xf numFmtId="40" fontId="83" fillId="32" borderId="44" xfId="0" applyNumberFormat="1" applyFont="1" applyFill="1" applyBorder="1" applyProtection="1"/>
    <xf numFmtId="40" fontId="83" fillId="32" borderId="36" xfId="0" applyNumberFormat="1" applyFont="1" applyFill="1" applyBorder="1" applyProtection="1"/>
    <xf numFmtId="40" fontId="83" fillId="32" borderId="45" xfId="0" applyNumberFormat="1" applyFont="1" applyFill="1" applyBorder="1" applyAlignment="1" applyProtection="1">
      <alignment horizontal="center"/>
    </xf>
    <xf numFmtId="38" fontId="88" fillId="32" borderId="37" xfId="68" applyFont="1" applyFill="1" applyBorder="1" applyAlignment="1" applyProtection="1">
      <alignment horizontal="right"/>
      <protection locked="0"/>
    </xf>
    <xf numFmtId="1" fontId="83" fillId="33" borderId="34" xfId="0" applyNumberFormat="1" applyFont="1" applyFill="1" applyBorder="1" applyAlignment="1" applyProtection="1">
      <alignment horizontal="center"/>
    </xf>
    <xf numFmtId="40" fontId="83" fillId="32" borderId="19" xfId="0" applyNumberFormat="1" applyFont="1" applyFill="1" applyBorder="1" applyProtection="1"/>
    <xf numFmtId="40" fontId="83" fillId="32" borderId="38" xfId="0" applyNumberFormat="1" applyFont="1" applyFill="1" applyBorder="1" applyProtection="1"/>
    <xf numFmtId="40" fontId="83" fillId="32" borderId="41" xfId="0" applyNumberFormat="1" applyFont="1" applyFill="1" applyBorder="1" applyAlignment="1" applyProtection="1">
      <alignment horizontal="center"/>
    </xf>
    <xf numFmtId="38" fontId="83" fillId="32" borderId="39" xfId="68" applyFont="1" applyFill="1" applyBorder="1" applyAlignment="1" applyProtection="1">
      <alignment horizontal="right"/>
      <protection locked="0"/>
    </xf>
    <xf numFmtId="1" fontId="83" fillId="33" borderId="35" xfId="0" applyNumberFormat="1" applyFont="1" applyFill="1" applyBorder="1" applyAlignment="1" applyProtection="1">
      <alignment horizontal="center"/>
    </xf>
    <xf numFmtId="40" fontId="83" fillId="32" borderId="46" xfId="0" applyNumberFormat="1" applyFont="1" applyFill="1" applyBorder="1" applyProtection="1"/>
    <xf numFmtId="40" fontId="83" fillId="32" borderId="47" xfId="0" applyNumberFormat="1" applyFont="1" applyFill="1" applyBorder="1" applyProtection="1"/>
    <xf numFmtId="40" fontId="83" fillId="32" borderId="47" xfId="0" applyNumberFormat="1" applyFont="1" applyFill="1" applyBorder="1" applyAlignment="1" applyProtection="1">
      <alignment horizontal="center"/>
    </xf>
    <xf numFmtId="38" fontId="83" fillId="32" borderId="48" xfId="68" applyFont="1" applyFill="1" applyBorder="1" applyAlignment="1" applyProtection="1">
      <alignment horizontal="right"/>
      <protection locked="0"/>
    </xf>
    <xf numFmtId="38" fontId="83" fillId="34" borderId="39" xfId="68" applyFont="1" applyFill="1" applyBorder="1" applyAlignment="1" applyProtection="1">
      <alignment horizontal="right"/>
    </xf>
    <xf numFmtId="38" fontId="83" fillId="34" borderId="39" xfId="66" applyNumberFormat="1" applyFont="1" applyFill="1" applyBorder="1" applyAlignment="1" applyProtection="1">
      <alignment horizontal="right"/>
    </xf>
    <xf numFmtId="38" fontId="88" fillId="32" borderId="39" xfId="68" applyFont="1" applyFill="1" applyBorder="1" applyAlignment="1" applyProtection="1">
      <alignment horizontal="right" vertical="center"/>
      <protection locked="0"/>
    </xf>
    <xf numFmtId="40" fontId="83" fillId="32" borderId="49" xfId="0" applyNumberFormat="1" applyFont="1" applyFill="1" applyBorder="1" applyAlignment="1" applyProtection="1">
      <alignment horizontal="center"/>
    </xf>
    <xf numFmtId="40" fontId="83" fillId="0" borderId="49" xfId="0" applyNumberFormat="1" applyFont="1" applyFill="1" applyBorder="1" applyAlignment="1" applyProtection="1">
      <alignment horizontal="center"/>
    </xf>
    <xf numFmtId="40" fontId="83" fillId="33" borderId="41" xfId="0" applyNumberFormat="1" applyFont="1" applyFill="1" applyBorder="1" applyAlignment="1" applyProtection="1">
      <alignment horizontal="center"/>
    </xf>
    <xf numFmtId="38" fontId="84" fillId="34" borderId="39" xfId="68" applyFont="1" applyFill="1" applyBorder="1" applyAlignment="1" applyProtection="1">
      <alignment horizontal="right"/>
    </xf>
    <xf numFmtId="38" fontId="84" fillId="34" borderId="39" xfId="66" applyNumberFormat="1" applyFont="1" applyFill="1" applyBorder="1" applyAlignment="1" applyProtection="1">
      <alignment horizontal="right"/>
    </xf>
    <xf numFmtId="38" fontId="83" fillId="0" borderId="39" xfId="68" applyFont="1" applyFill="1" applyBorder="1" applyAlignment="1" applyProtection="1">
      <alignment horizontal="right"/>
    </xf>
    <xf numFmtId="38" fontId="83" fillId="0" borderId="39" xfId="66" applyNumberFormat="1" applyFont="1" applyFill="1" applyBorder="1" applyAlignment="1" applyProtection="1">
      <alignment horizontal="right"/>
    </xf>
    <xf numFmtId="38" fontId="83" fillId="36" borderId="39" xfId="66" applyNumberFormat="1" applyFont="1" applyFill="1" applyBorder="1" applyAlignment="1" applyProtection="1">
      <alignment horizontal="right" vertical="center"/>
    </xf>
    <xf numFmtId="38" fontId="88" fillId="34" borderId="39" xfId="68" applyFont="1" applyFill="1" applyBorder="1" applyAlignment="1" applyProtection="1">
      <alignment horizontal="right" vertical="center"/>
    </xf>
    <xf numFmtId="0" fontId="83" fillId="0" borderId="34" xfId="0" applyNumberFormat="1" applyFont="1" applyFill="1" applyBorder="1" applyAlignment="1" applyProtection="1">
      <alignment horizontal="center"/>
    </xf>
    <xf numFmtId="38" fontId="88" fillId="34" borderId="39" xfId="66" applyNumberFormat="1" applyFont="1" applyFill="1" applyBorder="1" applyAlignment="1" applyProtection="1">
      <alignment horizontal="right" vertical="center"/>
    </xf>
    <xf numFmtId="38" fontId="88" fillId="36" borderId="39" xfId="66" applyNumberFormat="1" applyFont="1" applyFill="1" applyBorder="1" applyAlignment="1" applyProtection="1">
      <alignment horizontal="right" vertical="center"/>
    </xf>
    <xf numFmtId="38" fontId="88" fillId="32" borderId="39" xfId="68" applyFont="1" applyFill="1" applyBorder="1" applyAlignment="1" applyProtection="1">
      <alignment horizontal="right" vertical="center"/>
    </xf>
    <xf numFmtId="38" fontId="88" fillId="36" borderId="39" xfId="68" applyFont="1" applyFill="1" applyBorder="1" applyAlignment="1" applyProtection="1">
      <alignment horizontal="right" vertical="center"/>
    </xf>
    <xf numFmtId="38" fontId="89" fillId="34" borderId="39" xfId="68" applyFont="1" applyFill="1" applyBorder="1" applyAlignment="1" applyProtection="1">
      <alignment horizontal="right" vertical="center"/>
    </xf>
    <xf numFmtId="38" fontId="89" fillId="34" borderId="39" xfId="66" applyNumberFormat="1" applyFont="1" applyFill="1" applyBorder="1" applyAlignment="1" applyProtection="1">
      <alignment horizontal="right" vertical="center"/>
    </xf>
    <xf numFmtId="38" fontId="88" fillId="0" borderId="39" xfId="66" applyNumberFormat="1" applyFont="1" applyFill="1" applyBorder="1" applyAlignment="1" applyProtection="1">
      <alignment horizontal="right" vertical="center"/>
    </xf>
    <xf numFmtId="0" fontId="90" fillId="0" borderId="34" xfId="0" applyNumberFormat="1" applyFont="1" applyFill="1" applyBorder="1" applyAlignment="1" applyProtection="1">
      <alignment horizontal="center"/>
    </xf>
    <xf numFmtId="38" fontId="91" fillId="34" borderId="39" xfId="66" applyNumberFormat="1" applyFont="1" applyFill="1" applyBorder="1" applyAlignment="1" applyProtection="1">
      <alignment horizontal="right" vertical="center"/>
    </xf>
    <xf numFmtId="166" fontId="5" fillId="0" borderId="39" xfId="67" applyNumberFormat="1" applyFont="1" applyFill="1" applyBorder="1" applyProtection="1">
      <protection locked="0"/>
    </xf>
    <xf numFmtId="166" fontId="5" fillId="32" borderId="39" xfId="67" applyNumberFormat="1" applyFont="1" applyFill="1" applyBorder="1" applyProtection="1"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19" xfId="0" applyNumberFormat="1" applyFont="1" applyFill="1" applyBorder="1"/>
    <xf numFmtId="40" fontId="5" fillId="0" borderId="38" xfId="0" applyNumberFormat="1" applyFont="1" applyFill="1" applyBorder="1"/>
    <xf numFmtId="3" fontId="20" fillId="0" borderId="24" xfId="129" applyNumberFormat="1" applyBorder="1" applyAlignment="1" applyProtection="1">
      <alignment horizontal="right" vertical="center"/>
      <protection locked="0"/>
    </xf>
    <xf numFmtId="40" fontId="83" fillId="32" borderId="39" xfId="68" applyNumberFormat="1" applyFont="1" applyFill="1" applyBorder="1" applyAlignment="1" applyProtection="1">
      <alignment horizontal="right"/>
      <protection locked="0"/>
    </xf>
  </cellXfs>
  <cellStyles count="175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悪い" xfId="126" xr:uid="{F69DD0D1-F5B9-43E1-8FEA-49BE292D9603}"/>
    <cellStyle name="悪い 2" xfId="127" xr:uid="{C07ACB36-C2BF-453A-9358-185F014B625E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計算" xfId="130" xr:uid="{6F5C4C80-375F-4666-BF76-EEC04DC98C7E}"/>
    <cellStyle name="計算 2" xfId="131" xr:uid="{E8B34AE7-261B-4AB3-89B5-740B093C2CE1}"/>
    <cellStyle name="警告文" xfId="132" xr:uid="{290E5CB7-DF2A-46B2-97C0-33601A355B30}"/>
    <cellStyle name="警告文 2" xfId="133" xr:uid="{15C1B7D8-F7FD-4606-BDE8-8DA46C2F32F4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集計" xfId="152" xr:uid="{7FB6E6C0-34AB-449C-B42F-2B94261B1E38}"/>
    <cellStyle name="集計 2" xfId="153" xr:uid="{BFCDBC1E-CB3A-4179-9FDF-31D927DEE85D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説明文" xfId="157" xr:uid="{BED0F12A-990A-42B1-8C98-78C437B3C0DF}"/>
    <cellStyle name="説明文 2" xfId="158" xr:uid="{E5858331-FB1E-4F78-9C33-1305E180D272}"/>
    <cellStyle name="通貨 2" xfId="159" xr:uid="{31611A0E-4F07-4498-B4E0-FD7077369C25}"/>
    <cellStyle name="通貨 3" xfId="160" xr:uid="{9BB8D89F-F2F2-4F71-956E-F5CF14CB7534}"/>
    <cellStyle name="入力" xfId="161" xr:uid="{C2DFFBC4-C404-48B1-90A3-87FE342B7747}"/>
    <cellStyle name="入力 2" xfId="162" xr:uid="{A412DD7B-43F2-4473-A9DA-F8B3E3E98E41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未定義" xfId="172" xr:uid="{733415D2-06C5-4E20-BD43-A9C469219456}"/>
    <cellStyle name="良い" xfId="173" xr:uid="{2D3E2A06-6074-41F4-99C2-5D3C62694F78}"/>
    <cellStyle name="良い 2" xfId="174" xr:uid="{D9973607-A1A0-40E7-8692-32D6D593E18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%20driver%20C\Downloads\07.KDTVN%20MD1&#35506;_MP%20FY2026_&#21508;&#20104;&#23450;(Ver01)FORM.xlsx" TargetMode="External"/><Relationship Id="rId1" Type="http://schemas.openxmlformats.org/officeDocument/2006/relationships/externalLinkPath" Target="/data%20driver%20C/Downloads/07.KDTVN%20MD1&#35506;_MP%20FY2026_&#21508;&#20104;&#23450;(Ver01)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採算表(USD)"/>
      <sheetName val="採算表(VND)"/>
      <sheetName val="内訳ﾘｽﾄ(4～3月)"/>
      <sheetName val="設備投資計画"/>
      <sheetName val="勘定科目"/>
      <sheetName val="原価センタ"/>
      <sheetName val="稼働日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 t="str">
            <v>Account_Code</v>
          </cell>
          <cell r="B1" t="str">
            <v>JPN (50cha)</v>
          </cell>
          <cell r="C1" t="str">
            <v>Tiếng Việt_Tên tài khoản kế toán</v>
          </cell>
          <cell r="D1" t="str">
            <v>JP_Name</v>
          </cell>
          <cell r="E1" t="str">
            <v>Tiếng Việt_Hạng mục lợi nhuận</v>
          </cell>
          <cell r="F1" t="str">
            <v>製造</v>
          </cell>
          <cell r="G1" t="str">
            <v>一般</v>
          </cell>
          <cell r="H1" t="str">
            <v>販売</v>
          </cell>
        </row>
        <row r="2">
          <cell r="F2">
            <v>6</v>
          </cell>
          <cell r="G2">
            <v>7</v>
          </cell>
          <cell r="H2">
            <v>8</v>
          </cell>
        </row>
        <row r="3">
          <cell r="A3">
            <v>7001065118</v>
          </cell>
          <cell r="B3" t="str">
            <v>雑収入</v>
          </cell>
          <cell r="C3" t="str">
            <v>Doanh thu khác</v>
          </cell>
          <cell r="D3" t="str">
            <v>雑収入</v>
          </cell>
          <cell r="E3" t="str">
            <v>Thu nhập khác</v>
          </cell>
          <cell r="F3" t="str">
            <v>7001065118</v>
          </cell>
          <cell r="G3">
            <v>7001065118</v>
          </cell>
          <cell r="H3">
            <v>7001065118</v>
          </cell>
        </row>
        <row r="4">
          <cell r="A4">
            <v>7001075118</v>
          </cell>
          <cell r="B4" t="str">
            <v>雑収入（関係会社）</v>
          </cell>
          <cell r="C4" t="str">
            <v>Doanh thu khác</v>
          </cell>
          <cell r="D4" t="str">
            <v>雑収入</v>
          </cell>
          <cell r="E4" t="str">
            <v>Thu nhập khác</v>
          </cell>
          <cell r="F4" t="str">
            <v>7001075118</v>
          </cell>
          <cell r="G4">
            <v>7001075118</v>
          </cell>
          <cell r="H4">
            <v>7001075118</v>
          </cell>
        </row>
        <row r="5">
          <cell r="A5">
            <v>7001065119</v>
          </cell>
          <cell r="B5" t="str">
            <v>固定資産売却勘定</v>
          </cell>
          <cell r="C5" t="str">
            <v>Doanh thu khác</v>
          </cell>
          <cell r="D5" t="str">
            <v>雑収入</v>
          </cell>
          <cell r="E5" t="str">
            <v>Thu nhập khác</v>
          </cell>
          <cell r="F5" t="str">
            <v>7001065119</v>
          </cell>
          <cell r="G5">
            <v>7001065119</v>
          </cell>
          <cell r="H5">
            <v>7001065119</v>
          </cell>
        </row>
        <row r="6">
          <cell r="A6">
            <v>5001016131</v>
          </cell>
          <cell r="B6" t="str">
            <v>材料仕入割戻高</v>
          </cell>
          <cell r="C6" t="str">
            <v>Chi phí nguyên liệu, vật liệu trực tiếp</v>
          </cell>
          <cell r="D6" t="str">
            <v>材料費</v>
          </cell>
          <cell r="E6" t="str">
            <v>Chi phí nguyên vật liệu</v>
          </cell>
          <cell r="F6" t="str">
            <v>5001016131</v>
          </cell>
        </row>
        <row r="7">
          <cell r="A7">
            <v>5001016134</v>
          </cell>
          <cell r="B7" t="str">
            <v>リーフレット用材料</v>
          </cell>
          <cell r="C7" t="str">
            <v>Chi phí nguyên liệu, vật liệu trực tiếp</v>
          </cell>
          <cell r="D7" t="str">
            <v>材料費</v>
          </cell>
          <cell r="E7" t="str">
            <v>Chi phí nguyên vật liệu</v>
          </cell>
          <cell r="F7" t="str">
            <v>5001016134</v>
          </cell>
          <cell r="G7">
            <v>5001016134</v>
          </cell>
          <cell r="H7">
            <v>5001016134</v>
          </cell>
        </row>
        <row r="8">
          <cell r="A8">
            <v>5001016135</v>
          </cell>
          <cell r="B8" t="str">
            <v>不良部品材料費</v>
          </cell>
          <cell r="C8" t="str">
            <v>Chi phí nguyên liệu, vật liệu trực tiếp</v>
          </cell>
          <cell r="D8" t="str">
            <v>材料費</v>
          </cell>
          <cell r="E8" t="str">
            <v>Chi phí nguyên vật liệu</v>
          </cell>
          <cell r="F8" t="str">
            <v>5001016135</v>
          </cell>
          <cell r="G8">
            <v>5001016135</v>
          </cell>
          <cell r="H8">
            <v>5001016135</v>
          </cell>
        </row>
        <row r="9">
          <cell r="A9">
            <v>5001016136</v>
          </cell>
          <cell r="B9" t="str">
            <v>追加指図部品費</v>
          </cell>
          <cell r="C9" t="str">
            <v>Chi phí nguyên liệu, vật liệu trực tiếp</v>
          </cell>
          <cell r="D9" t="str">
            <v>材料費</v>
          </cell>
          <cell r="E9" t="str">
            <v>Chi phí nguyên vật liệu</v>
          </cell>
          <cell r="F9" t="str">
            <v>5001016136</v>
          </cell>
          <cell r="G9">
            <v>5001016136</v>
          </cell>
          <cell r="H9">
            <v>5001016136</v>
          </cell>
        </row>
        <row r="10">
          <cell r="A10">
            <v>5001016142</v>
          </cell>
          <cell r="B10" t="str">
            <v>加工中不良廃棄損</v>
          </cell>
          <cell r="C10" t="str">
            <v>Chi phí nguyên liệu, vật liệu trực tiếp</v>
          </cell>
          <cell r="D10" t="str">
            <v>仕掛仕損</v>
          </cell>
          <cell r="E10" t="str">
            <v>Sản phẩm chưa hoàn thiện,hỏng</v>
          </cell>
          <cell r="F10" t="str">
            <v>5001016142</v>
          </cell>
          <cell r="G10">
            <v>5001016142</v>
          </cell>
          <cell r="H10">
            <v>5001016142</v>
          </cell>
        </row>
        <row r="11">
          <cell r="A11">
            <v>5001016149</v>
          </cell>
          <cell r="B11" t="str">
            <v>金型材料仕入</v>
          </cell>
          <cell r="C11" t="str">
            <v>Chi phí nguyên liệu, vật liệu trực tiếp</v>
          </cell>
          <cell r="D11" t="str">
            <v>材料費</v>
          </cell>
          <cell r="E11" t="str">
            <v>Chi phí nguyên vật liệu</v>
          </cell>
          <cell r="F11" t="str">
            <v>5001016149</v>
          </cell>
          <cell r="G11">
            <v>5001016149</v>
          </cell>
          <cell r="H11">
            <v>5001016149</v>
          </cell>
        </row>
        <row r="12">
          <cell r="A12">
            <v>5001016151</v>
          </cell>
          <cell r="B12" t="str">
            <v>生産用副資材</v>
          </cell>
          <cell r="C12" t="str">
            <v>Chi phí nguyên liệu, vật liệu trực tiếp</v>
          </cell>
          <cell r="D12" t="str">
            <v>材料費</v>
          </cell>
          <cell r="E12" t="str">
            <v>Chi phí nguyên vật liệu</v>
          </cell>
          <cell r="F12" t="str">
            <v>5001016151</v>
          </cell>
        </row>
        <row r="13">
          <cell r="A13">
            <v>5004046221</v>
          </cell>
          <cell r="B13" t="str">
            <v>雑給（直製）</v>
          </cell>
          <cell r="C13" t="str">
            <v>Chi phí nhân công trực tiếp</v>
          </cell>
          <cell r="D13" t="str">
            <v>雑給</v>
          </cell>
          <cell r="E13" t="str">
            <v>Chi phí nhân công trực tiếp</v>
          </cell>
          <cell r="F13" t="str">
            <v>5004046221</v>
          </cell>
        </row>
        <row r="14">
          <cell r="A14">
            <v>5004046371</v>
          </cell>
          <cell r="B14" t="str">
            <v>雑給（間製）</v>
          </cell>
          <cell r="C14" t="str">
            <v>Chi phí nhân viên phân xưởng</v>
          </cell>
          <cell r="D14" t="str">
            <v>雑給</v>
          </cell>
          <cell r="E14" t="str">
            <v>Chi phí nhân công trực tiếp</v>
          </cell>
          <cell r="F14" t="str">
            <v>5004046371</v>
          </cell>
        </row>
        <row r="15">
          <cell r="A15">
            <v>5005016371</v>
          </cell>
          <cell r="B15" t="str">
            <v>生産用消耗品費（製）</v>
          </cell>
          <cell r="C15" t="str">
            <v>Chi phí dụng cụ sản xuất</v>
          </cell>
          <cell r="D15" t="str">
            <v>消耗品費</v>
          </cell>
          <cell r="E15" t="str">
            <v>Chi phí hàng hóa tiêu hao</v>
          </cell>
          <cell r="F15" t="str">
            <v>5005016371</v>
          </cell>
        </row>
        <row r="16">
          <cell r="A16">
            <v>5005016372</v>
          </cell>
          <cell r="B16" t="str">
            <v>その他消耗品（製）</v>
          </cell>
          <cell r="C16" t="str">
            <v>Chi phí dụng cụ sản xuất</v>
          </cell>
          <cell r="D16" t="str">
            <v>消耗品費</v>
          </cell>
          <cell r="E16" t="str">
            <v>Chi phí hàng hóa tiêu hao</v>
          </cell>
          <cell r="F16" t="str">
            <v>5005016372</v>
          </cell>
        </row>
        <row r="17">
          <cell r="A17">
            <v>5005016373</v>
          </cell>
          <cell r="B17" t="str">
            <v>生産用文房具（製造）</v>
          </cell>
          <cell r="C17" t="str">
            <v>Chi phí dụng cụ sản xuất</v>
          </cell>
          <cell r="D17" t="str">
            <v>消耗品費</v>
          </cell>
          <cell r="E17" t="str">
            <v>Chi phí hàng hóa tiêu hao</v>
          </cell>
          <cell r="F17" t="str">
            <v>5005016373</v>
          </cell>
        </row>
        <row r="18">
          <cell r="A18">
            <v>5005026371</v>
          </cell>
          <cell r="B18" t="str">
            <v>消耗工具器具備品費（製）</v>
          </cell>
          <cell r="C18" t="str">
            <v>Chi phí dụng cụ sản xuất</v>
          </cell>
          <cell r="D18" t="str">
            <v>消耗工具器具備品費</v>
          </cell>
          <cell r="E18" t="str">
            <v>Chi phí sử dụng công cụ,đồ đạc</v>
          </cell>
          <cell r="F18" t="str">
            <v>5005026371</v>
          </cell>
        </row>
        <row r="19">
          <cell r="A19">
            <v>5005026372</v>
          </cell>
          <cell r="B19" t="str">
            <v>消耗金型代（製）</v>
          </cell>
          <cell r="C19" t="str">
            <v>Chi phí dụng cụ sản xuất</v>
          </cell>
          <cell r="D19" t="str">
            <v>消耗金型費</v>
          </cell>
          <cell r="E19" t="str">
            <v>Chi phí tiêu hao khuôn</v>
          </cell>
          <cell r="F19" t="str">
            <v>5005026372</v>
          </cell>
        </row>
        <row r="20">
          <cell r="A20">
            <v>5006016241</v>
          </cell>
          <cell r="B20" t="str">
            <v>減価償却費（製）　建物</v>
          </cell>
          <cell r="C20" t="str">
            <v>Chi phí khấu hao TSCĐ</v>
          </cell>
          <cell r="D20" t="str">
            <v>減価償却費</v>
          </cell>
          <cell r="E20" t="str">
            <v>Chi phí khấu hao</v>
          </cell>
          <cell r="F20" t="str">
            <v>5006016241</v>
          </cell>
        </row>
        <row r="21">
          <cell r="A21">
            <v>5006016242</v>
          </cell>
          <cell r="B21" t="str">
            <v>減価償却費（製）　機械装置</v>
          </cell>
          <cell r="C21" t="str">
            <v>Chi phí khấu hao TSCĐ</v>
          </cell>
          <cell r="D21" t="str">
            <v>減価償却費</v>
          </cell>
          <cell r="E21" t="str">
            <v>Chi phí khấu hao</v>
          </cell>
          <cell r="F21" t="str">
            <v>5006016242</v>
          </cell>
        </row>
        <row r="22">
          <cell r="A22">
            <v>5006016243</v>
          </cell>
          <cell r="B22" t="str">
            <v>減価償却費（製）　車輌運搬具</v>
          </cell>
          <cell r="C22" t="str">
            <v>Chi phí khấu hao TSCĐ</v>
          </cell>
          <cell r="D22" t="str">
            <v>減価償却費</v>
          </cell>
          <cell r="E22" t="str">
            <v>Chi phí khấu hao</v>
          </cell>
          <cell r="F22" t="str">
            <v>5006016243</v>
          </cell>
        </row>
        <row r="23">
          <cell r="A23">
            <v>5006016244</v>
          </cell>
          <cell r="B23" t="str">
            <v>減価償却費（製）　工具器具備品</v>
          </cell>
          <cell r="C23" t="str">
            <v>Chi phí khấu hao TSCĐ</v>
          </cell>
          <cell r="D23" t="str">
            <v>減価償却費</v>
          </cell>
          <cell r="E23" t="str">
            <v>Chi phí khấu hao</v>
          </cell>
          <cell r="F23" t="str">
            <v>5006016244</v>
          </cell>
        </row>
        <row r="24">
          <cell r="A24">
            <v>5006016245</v>
          </cell>
          <cell r="B24" t="str">
            <v>減価償却費（製）　構築物</v>
          </cell>
          <cell r="C24" t="str">
            <v>Chi phí khấu hao TSCĐ</v>
          </cell>
          <cell r="D24" t="str">
            <v>減価償却費</v>
          </cell>
          <cell r="E24" t="str">
            <v>Chi phí khấu hao</v>
          </cell>
          <cell r="F24" t="str">
            <v>5006016245</v>
          </cell>
        </row>
        <row r="25">
          <cell r="A25">
            <v>5005036246</v>
          </cell>
          <cell r="B25" t="str">
            <v>減価償却費（製）　金型</v>
          </cell>
          <cell r="C25" t="str">
            <v>Chi phí khấu hao TSCĐ</v>
          </cell>
          <cell r="D25" t="str">
            <v>金型償却費</v>
          </cell>
          <cell r="E25" t="str">
            <v>Chi phí khấu hao khuôn</v>
          </cell>
          <cell r="F25" t="str">
            <v>5005036246</v>
          </cell>
        </row>
        <row r="26">
          <cell r="A26">
            <v>5006016247</v>
          </cell>
          <cell r="B26" t="str">
            <v>減価償却費（製）　その他有形固定資産</v>
          </cell>
          <cell r="C26" t="str">
            <v>Chi phí khấu hao TSCĐ</v>
          </cell>
          <cell r="D26" t="str">
            <v>減価償却費</v>
          </cell>
          <cell r="E26" t="str">
            <v>Chi phí khấu hao</v>
          </cell>
          <cell r="F26" t="str">
            <v>5006016247</v>
          </cell>
        </row>
        <row r="27">
          <cell r="A27">
            <v>5006016248</v>
          </cell>
          <cell r="B27" t="str">
            <v>減価償却費（製）　リース建物</v>
          </cell>
          <cell r="C27" t="str">
            <v>Chi phí khấu hao TSCĐ</v>
          </cell>
          <cell r="D27" t="str">
            <v>減価償却費</v>
          </cell>
          <cell r="E27" t="str">
            <v>Chi phí khấu hao</v>
          </cell>
          <cell r="F27" t="str">
            <v>5006016248</v>
          </cell>
        </row>
        <row r="28">
          <cell r="A28">
            <v>5006016249</v>
          </cell>
          <cell r="B28" t="str">
            <v>減価償却費（製）　リース機械装置</v>
          </cell>
          <cell r="C28" t="str">
            <v>Chi phí khấu hao TSCĐ</v>
          </cell>
          <cell r="D28" t="str">
            <v>減価償却費</v>
          </cell>
          <cell r="E28" t="str">
            <v>Chi phí khấu hao</v>
          </cell>
          <cell r="F28" t="str">
            <v>5006016249</v>
          </cell>
        </row>
        <row r="29">
          <cell r="A29">
            <v>5006016250</v>
          </cell>
          <cell r="B29" t="str">
            <v>減価償却費（製）　リース車輌運搬具</v>
          </cell>
          <cell r="C29" t="str">
            <v>Chi phí khấu hao TSCĐ</v>
          </cell>
          <cell r="D29" t="str">
            <v>減価償却費</v>
          </cell>
          <cell r="E29" t="str">
            <v>Chi phí khấu hao</v>
          </cell>
          <cell r="F29" t="str">
            <v>5006016250</v>
          </cell>
        </row>
        <row r="30">
          <cell r="A30">
            <v>5006016251</v>
          </cell>
          <cell r="B30" t="str">
            <v>減価償却費（製）　リース工具器具備品</v>
          </cell>
          <cell r="C30" t="str">
            <v>Chi phí khấu hao TSCĐ</v>
          </cell>
          <cell r="D30" t="str">
            <v>減価償却費</v>
          </cell>
          <cell r="E30" t="str">
            <v>Chi phí khấu hao</v>
          </cell>
          <cell r="F30" t="str">
            <v>5006016251</v>
          </cell>
        </row>
        <row r="31">
          <cell r="A31">
            <v>5006016252</v>
          </cell>
          <cell r="B31" t="str">
            <v>減価償却費（製）　リース構築物</v>
          </cell>
          <cell r="C31" t="str">
            <v>Chi phí khấu hao TSCĐ</v>
          </cell>
          <cell r="D31" t="str">
            <v>減価償却費</v>
          </cell>
          <cell r="E31" t="str">
            <v>Chi phí khấu hao</v>
          </cell>
          <cell r="F31" t="str">
            <v>5006016252</v>
          </cell>
        </row>
        <row r="32">
          <cell r="A32">
            <v>5006016253</v>
          </cell>
          <cell r="B32" t="str">
            <v>減価償却費（製）　土地使用権</v>
          </cell>
          <cell r="C32" t="str">
            <v>Chi phí khấu hao TSCĐ</v>
          </cell>
          <cell r="D32" t="str">
            <v>減価償却費</v>
          </cell>
          <cell r="E32" t="str">
            <v>Chi phí khấu hao</v>
          </cell>
          <cell r="F32" t="str">
            <v>5006016253</v>
          </cell>
        </row>
        <row r="33">
          <cell r="A33">
            <v>5006016254</v>
          </cell>
          <cell r="B33" t="str">
            <v>減価償却費（製）　出版著作権</v>
          </cell>
          <cell r="C33" t="str">
            <v>Chi phí khấu hao TSCĐ</v>
          </cell>
          <cell r="D33" t="str">
            <v>減価償却費</v>
          </cell>
          <cell r="E33" t="str">
            <v>Chi phí khấu hao</v>
          </cell>
          <cell r="F33" t="str">
            <v>5006016254</v>
          </cell>
        </row>
        <row r="34">
          <cell r="A34">
            <v>5006016255</v>
          </cell>
          <cell r="B34" t="str">
            <v>減価償却費（製）　特許権</v>
          </cell>
          <cell r="C34" t="str">
            <v>Chi phí khấu hao TSCĐ</v>
          </cell>
          <cell r="D34" t="str">
            <v>減価償却費</v>
          </cell>
          <cell r="E34" t="str">
            <v>Chi phí khấu hao</v>
          </cell>
          <cell r="F34" t="str">
            <v>5006016255</v>
          </cell>
        </row>
        <row r="35">
          <cell r="A35">
            <v>5006016256</v>
          </cell>
          <cell r="B35" t="str">
            <v>減価償却費（製）　商標権</v>
          </cell>
          <cell r="C35" t="str">
            <v>Chi phí khấu hao TSCĐ</v>
          </cell>
          <cell r="D35" t="str">
            <v>減価償却費</v>
          </cell>
          <cell r="E35" t="str">
            <v>Chi phí khấu hao</v>
          </cell>
          <cell r="F35" t="str">
            <v>5006016256</v>
          </cell>
        </row>
        <row r="36">
          <cell r="A36">
            <v>5006016257</v>
          </cell>
          <cell r="B36" t="str">
            <v>減価償却費（製）　ソフトウェア</v>
          </cell>
          <cell r="C36" t="str">
            <v>Chi phí khấu hao TSCĐ</v>
          </cell>
          <cell r="D36" t="str">
            <v>減価償却費</v>
          </cell>
          <cell r="E36" t="str">
            <v>Chi phí khấu hao</v>
          </cell>
          <cell r="F36" t="str">
            <v>5006016257</v>
          </cell>
        </row>
        <row r="37">
          <cell r="A37">
            <v>5006016258</v>
          </cell>
          <cell r="B37" t="str">
            <v>減価償却費（製）　営業権</v>
          </cell>
          <cell r="C37" t="str">
            <v>Chi phí khấu hao TSCĐ</v>
          </cell>
          <cell r="D37" t="str">
            <v>減価償却費</v>
          </cell>
          <cell r="E37" t="str">
            <v>Chi phí khấu hao</v>
          </cell>
          <cell r="F37" t="str">
            <v>5006016258</v>
          </cell>
        </row>
        <row r="38">
          <cell r="A38">
            <v>5006016259</v>
          </cell>
          <cell r="B38" t="str">
            <v>減価償却費（製）　その他無形固定資産</v>
          </cell>
          <cell r="C38" t="str">
            <v>Chi phí khấu hao TSCĐ</v>
          </cell>
          <cell r="D38" t="str">
            <v>減価償却費</v>
          </cell>
          <cell r="E38" t="str">
            <v>Chi phí khấu hao</v>
          </cell>
          <cell r="F38" t="str">
            <v>5006016259</v>
          </cell>
        </row>
        <row r="39">
          <cell r="A39">
            <v>5006016260</v>
          </cell>
          <cell r="B39" t="str">
            <v>減価償却費配賦（製）　建物</v>
          </cell>
          <cell r="C39" t="str">
            <v>Chi phí khấu hao TSCĐ</v>
          </cell>
          <cell r="D39" t="str">
            <v>減価償却費</v>
          </cell>
          <cell r="E39" t="str">
            <v>Chi phí khấu hao</v>
          </cell>
          <cell r="F39" t="str">
            <v>5006016260</v>
          </cell>
        </row>
        <row r="40">
          <cell r="A40">
            <v>5006016261</v>
          </cell>
          <cell r="B40" t="str">
            <v>減価償却費配賦（製）　土地使用権</v>
          </cell>
          <cell r="C40" t="str">
            <v>Chi phí khấu hao TSCĐ</v>
          </cell>
          <cell r="D40" t="str">
            <v>減価償却費</v>
          </cell>
          <cell r="E40" t="str">
            <v>Chi phí khấu hao</v>
          </cell>
          <cell r="F40" t="str">
            <v>5006016261</v>
          </cell>
        </row>
        <row r="41">
          <cell r="A41">
            <v>5004096281</v>
          </cell>
          <cell r="B41" t="str">
            <v>求人費（製）</v>
          </cell>
          <cell r="C41" t="str">
            <v>Chi phi dịch vụ mua ngoài</v>
          </cell>
          <cell r="D41" t="str">
            <v>募集教育費</v>
          </cell>
          <cell r="E41" t="str">
            <v>Chi phí tuyển dụng,đào tạo</v>
          </cell>
          <cell r="F41" t="str">
            <v>5004096281</v>
          </cell>
        </row>
        <row r="42">
          <cell r="A42">
            <v>5005046281</v>
          </cell>
          <cell r="B42" t="str">
            <v>機械設備修繕費（製）</v>
          </cell>
          <cell r="C42" t="str">
            <v>Chi phi dịch vụ mua ngoài</v>
          </cell>
          <cell r="D42" t="str">
            <v>修繕費</v>
          </cell>
          <cell r="E42" t="str">
            <v>Chi phí sửa chữa</v>
          </cell>
          <cell r="F42" t="str">
            <v>5005046281</v>
          </cell>
        </row>
        <row r="43">
          <cell r="A43">
            <v>5005046282</v>
          </cell>
          <cell r="B43" t="str">
            <v>その他修繕費（製）</v>
          </cell>
          <cell r="C43" t="str">
            <v>Chi phi dịch vụ mua ngoài</v>
          </cell>
          <cell r="D43" t="str">
            <v>修繕費</v>
          </cell>
          <cell r="E43" t="str">
            <v>Chi phí sửa chữa</v>
          </cell>
          <cell r="F43" t="str">
            <v>5005046282</v>
          </cell>
        </row>
        <row r="44">
          <cell r="A44">
            <v>5005046283</v>
          </cell>
          <cell r="B44" t="str">
            <v>年間保守料（製）</v>
          </cell>
          <cell r="C44" t="str">
            <v>Chi phi dịch vụ mua ngoài</v>
          </cell>
          <cell r="D44" t="str">
            <v>修繕費</v>
          </cell>
          <cell r="E44" t="str">
            <v>Chi phí sửa chữa</v>
          </cell>
          <cell r="F44" t="str">
            <v>5005046283</v>
          </cell>
        </row>
        <row r="45">
          <cell r="A45">
            <v>5005046284</v>
          </cell>
          <cell r="B45" t="str">
            <v>金型修繕費（製造）</v>
          </cell>
          <cell r="C45" t="str">
            <v>Chi phi dịch vụ mua ngoài</v>
          </cell>
          <cell r="D45" t="str">
            <v>修繕費</v>
          </cell>
          <cell r="E45" t="str">
            <v>Chi phí sửa chữa</v>
          </cell>
          <cell r="F45" t="str">
            <v>5005046284</v>
          </cell>
        </row>
        <row r="46">
          <cell r="A46">
            <v>5005066281</v>
          </cell>
          <cell r="B46" t="str">
            <v>電気代（製）</v>
          </cell>
          <cell r="C46" t="str">
            <v>Chi phi dịch vụ mua ngoài</v>
          </cell>
          <cell r="D46" t="str">
            <v>水道光熱費</v>
          </cell>
          <cell r="E46" t="str">
            <v>Chi phí Utilities(điện,nước..)</v>
          </cell>
          <cell r="F46" t="str">
            <v>5005066281</v>
          </cell>
        </row>
        <row r="47">
          <cell r="A47">
            <v>5005066282</v>
          </cell>
          <cell r="B47" t="str">
            <v>水道代（製）</v>
          </cell>
          <cell r="C47" t="str">
            <v>Chi phi dịch vụ mua ngoài</v>
          </cell>
          <cell r="D47" t="str">
            <v>水道光熱費</v>
          </cell>
          <cell r="E47" t="str">
            <v>Chi phí Utilities(điện,nước..)</v>
          </cell>
          <cell r="F47" t="str">
            <v>5005066282</v>
          </cell>
        </row>
        <row r="48">
          <cell r="A48">
            <v>5005056281</v>
          </cell>
          <cell r="B48" t="str">
            <v>ガス代（製）</v>
          </cell>
          <cell r="C48" t="str">
            <v>Chi phi dịch vụ mua ngoài</v>
          </cell>
          <cell r="D48" t="str">
            <v>水道光熱費</v>
          </cell>
          <cell r="E48" t="str">
            <v>Chi phí Utilities(điện,nước..)</v>
          </cell>
          <cell r="F48" t="str">
            <v>5005056281</v>
          </cell>
        </row>
        <row r="49">
          <cell r="A49">
            <v>5005076281</v>
          </cell>
          <cell r="B49" t="str">
            <v>通関申告費用（製）</v>
          </cell>
          <cell r="C49" t="str">
            <v>Chi phi dịch vụ mua ngoài</v>
          </cell>
          <cell r="D49" t="str">
            <v>荷造運賃</v>
          </cell>
          <cell r="E49" t="str">
            <v>Chi phí vận chuyển hàng hóa</v>
          </cell>
          <cell r="F49" t="str">
            <v>5005076281</v>
          </cell>
        </row>
        <row r="50">
          <cell r="A50">
            <v>5005076282</v>
          </cell>
          <cell r="B50" t="str">
            <v>設備輸送費（製）</v>
          </cell>
          <cell r="C50" t="str">
            <v>Chi phi dịch vụ mua ngoài</v>
          </cell>
          <cell r="D50" t="str">
            <v>荷造運賃</v>
          </cell>
          <cell r="E50" t="str">
            <v>Chi phí vận chuyển hàng hóa</v>
          </cell>
          <cell r="F50" t="str">
            <v>5005076282</v>
          </cell>
        </row>
        <row r="51">
          <cell r="A51">
            <v>5005076283</v>
          </cell>
          <cell r="B51" t="str">
            <v>輸入航空運賃（製）</v>
          </cell>
          <cell r="C51" t="str">
            <v>Chi phi dịch vụ mua ngoài</v>
          </cell>
          <cell r="D51" t="str">
            <v>荷造運賃</v>
          </cell>
          <cell r="E51" t="str">
            <v>Chi phí vận chuyển hàng hóa</v>
          </cell>
          <cell r="F51" t="str">
            <v>5005076283</v>
          </cell>
        </row>
        <row r="52">
          <cell r="A52">
            <v>5005076284</v>
          </cell>
          <cell r="B52" t="str">
            <v>輸入海上運賃（製）</v>
          </cell>
          <cell r="C52" t="str">
            <v>Chi phi dịch vụ mua ngoài</v>
          </cell>
          <cell r="D52" t="str">
            <v>荷造運賃</v>
          </cell>
          <cell r="E52" t="str">
            <v>Chi phí vận chuyển hàng hóa</v>
          </cell>
          <cell r="F52" t="str">
            <v>5005076284</v>
          </cell>
        </row>
        <row r="53">
          <cell r="A53">
            <v>5005076285</v>
          </cell>
          <cell r="B53" t="str">
            <v>空箱返却費用</v>
          </cell>
          <cell r="C53" t="str">
            <v>Chi phi dịch vụ mua ngoài</v>
          </cell>
          <cell r="D53" t="str">
            <v>荷造運賃</v>
          </cell>
          <cell r="E53" t="str">
            <v>Chi phí vận chuyển hàng hóa</v>
          </cell>
          <cell r="F53" t="str">
            <v>5005076285</v>
          </cell>
        </row>
        <row r="54">
          <cell r="A54">
            <v>5005076286</v>
          </cell>
          <cell r="B54" t="str">
            <v>部品集荷トラック代</v>
          </cell>
          <cell r="C54" t="str">
            <v>Chi phi dịch vụ mua ngoài</v>
          </cell>
          <cell r="D54" t="str">
            <v>荷造運賃</v>
          </cell>
          <cell r="E54" t="str">
            <v>Chi phí vận chuyển hàng hóa</v>
          </cell>
          <cell r="F54" t="str">
            <v>5005076286</v>
          </cell>
        </row>
        <row r="55">
          <cell r="A55">
            <v>5005076287</v>
          </cell>
          <cell r="B55" t="str">
            <v>物流保険料（製）</v>
          </cell>
          <cell r="C55" t="str">
            <v>Chi phi dịch vụ mua ngoài</v>
          </cell>
          <cell r="D55" t="str">
            <v>荷造運賃</v>
          </cell>
          <cell r="E55" t="str">
            <v>Chi phí vận chuyển hàng hóa</v>
          </cell>
          <cell r="F55" t="str">
            <v>5005076287</v>
          </cell>
        </row>
        <row r="56">
          <cell r="A56">
            <v>5005076288</v>
          </cell>
          <cell r="B56" t="str">
            <v>梱包材料費（製）</v>
          </cell>
          <cell r="C56" t="str">
            <v>Chi phi dịch vụ mua ngoài</v>
          </cell>
          <cell r="D56" t="str">
            <v>荷造用品費</v>
          </cell>
          <cell r="E56" t="str">
            <v>Chi phí NVL dùng đóng gói hàng</v>
          </cell>
          <cell r="F56" t="str">
            <v>5005076288</v>
          </cell>
        </row>
        <row r="57">
          <cell r="A57">
            <v>5005076289</v>
          </cell>
          <cell r="B57" t="str">
            <v>クーリエ費用（製）</v>
          </cell>
          <cell r="C57" t="str">
            <v>Chi phi dịch vụ mua ngoài</v>
          </cell>
          <cell r="D57" t="str">
            <v>荷造運賃</v>
          </cell>
          <cell r="E57" t="str">
            <v>Chi phí vận chuyển hàng hóa</v>
          </cell>
          <cell r="F57" t="str">
            <v>5005076289</v>
          </cell>
        </row>
        <row r="58">
          <cell r="A58">
            <v>5005076291</v>
          </cell>
          <cell r="B58" t="str">
            <v>外部倉庫　取扱手数料（製造）</v>
          </cell>
          <cell r="C58" t="str">
            <v>Chi phi dịch vụ mua ngoài</v>
          </cell>
          <cell r="D58" t="str">
            <v>荷造運賃</v>
          </cell>
          <cell r="E58" t="str">
            <v>Chi phí vận chuyển hàng hóa</v>
          </cell>
          <cell r="F58" t="str">
            <v>5005076291</v>
          </cell>
        </row>
        <row r="59">
          <cell r="A59">
            <v>5005076292</v>
          </cell>
          <cell r="B59" t="str">
            <v>外部倉庫　保管料（製造）</v>
          </cell>
          <cell r="C59" t="str">
            <v>Chi phi dịch vụ mua ngoài</v>
          </cell>
          <cell r="D59" t="str">
            <v>荷造運賃</v>
          </cell>
          <cell r="E59" t="str">
            <v>Chi phí vận chuyển hàng hóa</v>
          </cell>
          <cell r="F59" t="str">
            <v>5005076292</v>
          </cell>
        </row>
        <row r="60">
          <cell r="A60">
            <v>5005076293</v>
          </cell>
          <cell r="B60" t="str">
            <v>外部倉庫　輸送料（製造）</v>
          </cell>
          <cell r="C60" t="str">
            <v>Chi phi dịch vụ mua ngoài</v>
          </cell>
          <cell r="D60" t="str">
            <v>荷造運賃</v>
          </cell>
          <cell r="E60" t="str">
            <v>Chi phí vận chuyển hàng hóa</v>
          </cell>
          <cell r="F60" t="str">
            <v>5005076293</v>
          </cell>
        </row>
        <row r="61">
          <cell r="A61">
            <v>5005076294</v>
          </cell>
          <cell r="B61" t="str">
            <v>外部物流業者　取扱手数料（製造）</v>
          </cell>
          <cell r="C61" t="str">
            <v>Chi phi dịch vụ mua ngoài</v>
          </cell>
          <cell r="D61" t="str">
            <v>荷造運賃</v>
          </cell>
          <cell r="E61" t="str">
            <v>Chi phí vận chuyển hàng hóa</v>
          </cell>
          <cell r="F61" t="str">
            <v>5005076294</v>
          </cell>
        </row>
        <row r="62">
          <cell r="A62">
            <v>5005086281</v>
          </cell>
          <cell r="B62" t="str">
            <v>技術料（製）</v>
          </cell>
          <cell r="C62" t="str">
            <v>Chi phi dịch vụ mua ngoài</v>
          </cell>
          <cell r="D62" t="str">
            <v>技術料</v>
          </cell>
          <cell r="E62" t="str">
            <v>Phí kỹ thuật</v>
          </cell>
          <cell r="F62" t="str">
            <v>5005086281</v>
          </cell>
        </row>
        <row r="63">
          <cell r="A63">
            <v>5005136281</v>
          </cell>
          <cell r="B63" t="str">
            <v>通信費（製）</v>
          </cell>
          <cell r="C63" t="str">
            <v>Chi phi dịch vụ mua ngoài</v>
          </cell>
          <cell r="D63" t="str">
            <v>通信費</v>
          </cell>
          <cell r="E63" t="str">
            <v>Chi phí điện thoại</v>
          </cell>
          <cell r="F63" t="str">
            <v>5005136281</v>
          </cell>
        </row>
        <row r="64">
          <cell r="A64">
            <v>5005246281</v>
          </cell>
          <cell r="B64" t="str">
            <v>図書印刷費（製）</v>
          </cell>
          <cell r="C64" t="str">
            <v>Chi phi dịch vụ mua ngoài</v>
          </cell>
          <cell r="D64" t="str">
            <v>図書及び事務費</v>
          </cell>
          <cell r="E64" t="str">
            <v>Chi phí văn phòng</v>
          </cell>
          <cell r="F64" t="str">
            <v>5005246281</v>
          </cell>
        </row>
        <row r="65">
          <cell r="A65">
            <v>5005246282</v>
          </cell>
          <cell r="B65" t="str">
            <v>ＫＤＣシステム使用料（製）</v>
          </cell>
          <cell r="C65" t="str">
            <v>Chi phi dịch vụ mua ngoài</v>
          </cell>
          <cell r="D65" t="str">
            <v>図書及び事務費</v>
          </cell>
          <cell r="E65" t="str">
            <v>Chi phí văn phòng</v>
          </cell>
          <cell r="F65" t="str">
            <v>5005246282</v>
          </cell>
        </row>
        <row r="66">
          <cell r="A66">
            <v>5005246283</v>
          </cell>
          <cell r="B66" t="str">
            <v>ライセンス料（製）</v>
          </cell>
          <cell r="C66" t="str">
            <v>Chi phi dịch vụ mua ngoài</v>
          </cell>
          <cell r="D66" t="str">
            <v>図書及び事務費</v>
          </cell>
          <cell r="E66" t="str">
            <v>Chi phí văn phòng</v>
          </cell>
          <cell r="F66" t="str">
            <v>5005246283</v>
          </cell>
        </row>
        <row r="67">
          <cell r="A67">
            <v>5005246284</v>
          </cell>
          <cell r="B67" t="str">
            <v>会費（製）</v>
          </cell>
          <cell r="C67" t="str">
            <v>Chi phi dịch vụ mua ngoài</v>
          </cell>
          <cell r="D67" t="str">
            <v>会費及び会議費</v>
          </cell>
          <cell r="E67" t="str">
            <v>Chi phí cuộc họp</v>
          </cell>
          <cell r="F67" t="str">
            <v>5005246284</v>
          </cell>
        </row>
        <row r="68">
          <cell r="A68">
            <v>5005216281</v>
          </cell>
          <cell r="B68" t="str">
            <v>委嘱報酬・設計委託費（製）</v>
          </cell>
          <cell r="C68" t="str">
            <v>Chi phi dịch vụ mua ngoài</v>
          </cell>
          <cell r="D68" t="str">
            <v>委嘱報酬</v>
          </cell>
          <cell r="E68" t="str">
            <v>Thù lao ủy thác,phí hoa hồng</v>
          </cell>
          <cell r="F68" t="str">
            <v>5005216281</v>
          </cell>
        </row>
        <row r="69">
          <cell r="A69">
            <v>5005226281</v>
          </cell>
          <cell r="B69" t="str">
            <v>保険料（製）</v>
          </cell>
          <cell r="C69" t="str">
            <v>Chi phi dịch vụ mua ngoài</v>
          </cell>
          <cell r="D69" t="str">
            <v>保険料</v>
          </cell>
          <cell r="E69" t="str">
            <v>Chi phí bảo hiểm</v>
          </cell>
          <cell r="F69" t="str">
            <v>5005226281</v>
          </cell>
        </row>
        <row r="70">
          <cell r="A70">
            <v>5005236281</v>
          </cell>
          <cell r="B70" t="str">
            <v>事務所賃借料（製）</v>
          </cell>
          <cell r="C70" t="str">
            <v>Chi phi dịch vụ mua ngoài</v>
          </cell>
          <cell r="D70" t="str">
            <v>賃借料</v>
          </cell>
          <cell r="E70" t="str">
            <v>Chi phí thuê</v>
          </cell>
          <cell r="F70" t="str">
            <v>5005236281</v>
          </cell>
        </row>
        <row r="71">
          <cell r="A71">
            <v>5005236282</v>
          </cell>
          <cell r="B71" t="str">
            <v>倉庫賃借料（製）</v>
          </cell>
          <cell r="C71" t="str">
            <v>Chi phi dịch vụ mua ngoài</v>
          </cell>
          <cell r="D71" t="str">
            <v>賃借料</v>
          </cell>
          <cell r="E71" t="str">
            <v>Chi phí thuê</v>
          </cell>
          <cell r="F71" t="str">
            <v>5005236282</v>
          </cell>
        </row>
        <row r="72">
          <cell r="A72">
            <v>5005246285</v>
          </cell>
          <cell r="B72" t="str">
            <v>取扱手数料（製）</v>
          </cell>
          <cell r="C72" t="str">
            <v>Chi phi dịch vụ mua ngoài</v>
          </cell>
          <cell r="D72" t="str">
            <v>手数料</v>
          </cell>
          <cell r="E72" t="str">
            <v>Tiền dịch vụ,tiền lệ phí</v>
          </cell>
          <cell r="F72" t="str">
            <v>5005246285</v>
          </cell>
        </row>
        <row r="73">
          <cell r="A73">
            <v>5005246286</v>
          </cell>
          <cell r="B73" t="str">
            <v>その他手数料（製）</v>
          </cell>
          <cell r="C73" t="str">
            <v>Chi phi dịch vụ mua ngoài</v>
          </cell>
          <cell r="D73" t="str">
            <v>手数料</v>
          </cell>
          <cell r="E73" t="str">
            <v>Tiền dịch vụ,tiền lệ phí</v>
          </cell>
          <cell r="F73" t="str">
            <v>5005246286</v>
          </cell>
        </row>
        <row r="74">
          <cell r="A74">
            <v>5005246287</v>
          </cell>
          <cell r="B74" t="str">
            <v>ＫＤＣ手数料（製）</v>
          </cell>
          <cell r="C74" t="str">
            <v>Chi phi dịch vụ mua ngoài</v>
          </cell>
          <cell r="D74" t="str">
            <v>手数料</v>
          </cell>
          <cell r="E74" t="str">
            <v>Tiền dịch vụ,tiền lệ phí</v>
          </cell>
          <cell r="F74" t="str">
            <v>5005246287</v>
          </cell>
        </row>
        <row r="75">
          <cell r="A75">
            <v>5005246288</v>
          </cell>
          <cell r="B75" t="str">
            <v>事務用品費（製）</v>
          </cell>
          <cell r="C75" t="str">
            <v>Chi phi dịch vụ mua ngoài</v>
          </cell>
          <cell r="D75" t="str">
            <v>図書及び事務費</v>
          </cell>
          <cell r="E75" t="str">
            <v>Chi phí văn phòng</v>
          </cell>
          <cell r="F75" t="str">
            <v>5005246288</v>
          </cell>
        </row>
        <row r="76">
          <cell r="A76">
            <v>5004086291</v>
          </cell>
          <cell r="B76" t="str">
            <v>福利厚生費（製）</v>
          </cell>
          <cell r="C76" t="str">
            <v>Chi phí bằng tiền khác</v>
          </cell>
          <cell r="D76" t="str">
            <v>福利厚生費</v>
          </cell>
          <cell r="E76" t="str">
            <v>Chi phí phúc lợi</v>
          </cell>
          <cell r="F76" t="str">
            <v>5004086291</v>
          </cell>
        </row>
        <row r="77">
          <cell r="A77">
            <v>5004086293</v>
          </cell>
          <cell r="B77" t="str">
            <v>教育訓練費（製）</v>
          </cell>
          <cell r="C77" t="str">
            <v>Chi phí bằng tiền khác</v>
          </cell>
          <cell r="D77" t="str">
            <v>募集教育費</v>
          </cell>
          <cell r="E77" t="str">
            <v>Chi phí tuyển dụng,đào tạo</v>
          </cell>
          <cell r="F77" t="str">
            <v>5004086293</v>
          </cell>
        </row>
        <row r="78">
          <cell r="A78">
            <v>5005116291</v>
          </cell>
          <cell r="B78" t="str">
            <v>ベトナム国内交通費（製）</v>
          </cell>
          <cell r="C78" t="str">
            <v>Chi phí bằng tiền khác</v>
          </cell>
          <cell r="D78" t="str">
            <v>旅費交通費</v>
          </cell>
          <cell r="E78" t="str">
            <v>Chi phí di chuyển</v>
          </cell>
          <cell r="F78" t="str">
            <v>5005116291</v>
          </cell>
        </row>
        <row r="79">
          <cell r="A79">
            <v>5005116292</v>
          </cell>
          <cell r="B79" t="str">
            <v>海外渡航費（製）</v>
          </cell>
          <cell r="C79" t="str">
            <v>Chi phí bằng tiền khác</v>
          </cell>
          <cell r="D79" t="str">
            <v>渡航費</v>
          </cell>
          <cell r="E79" t="str">
            <v>Chi phí di chuyển(nước ngoài)</v>
          </cell>
          <cell r="F79" t="str">
            <v>5005116292</v>
          </cell>
        </row>
        <row r="80">
          <cell r="A80">
            <v>5005136291</v>
          </cell>
          <cell r="B80" t="str">
            <v>郵送代（製）</v>
          </cell>
          <cell r="C80" t="str">
            <v>Chi phí bằng tiền khác</v>
          </cell>
          <cell r="D80" t="str">
            <v>通信費</v>
          </cell>
          <cell r="E80" t="str">
            <v>Chi phí điện thoại</v>
          </cell>
          <cell r="F80" t="str">
            <v>5005136291</v>
          </cell>
        </row>
        <row r="81">
          <cell r="A81">
            <v>5005166291</v>
          </cell>
          <cell r="B81" t="str">
            <v>接待交際費（製）</v>
          </cell>
          <cell r="C81" t="str">
            <v>Chi phí bằng tiền khác</v>
          </cell>
          <cell r="D81" t="str">
            <v>接待交際費</v>
          </cell>
          <cell r="E81" t="str">
            <v>Chi phí tiếp khách</v>
          </cell>
          <cell r="F81" t="str">
            <v>5005166291</v>
          </cell>
        </row>
        <row r="82">
          <cell r="A82">
            <v>5005186292</v>
          </cell>
          <cell r="B82" t="str">
            <v>その他税金（製）</v>
          </cell>
          <cell r="C82" t="str">
            <v>Chi phí bằng tiền khác</v>
          </cell>
          <cell r="D82" t="str">
            <v>公租公課</v>
          </cell>
          <cell r="E82" t="str">
            <v>Thuế,phí công cộng</v>
          </cell>
          <cell r="F82" t="str">
            <v>5005186292</v>
          </cell>
        </row>
        <row r="83">
          <cell r="A83">
            <v>5005196373</v>
          </cell>
          <cell r="B83" t="str">
            <v>試験研究用材料費</v>
          </cell>
          <cell r="C83" t="str">
            <v>Chi phí dụng cụ sản xuất</v>
          </cell>
          <cell r="D83" t="str">
            <v>試験研究費</v>
          </cell>
          <cell r="E83" t="str">
            <v>Chi phí thử nghiệm,nghiên cứu</v>
          </cell>
          <cell r="F83" t="str">
            <v>5005196373</v>
          </cell>
          <cell r="G83">
            <v>5005196373</v>
          </cell>
          <cell r="H83">
            <v>5005196373</v>
          </cell>
        </row>
        <row r="84">
          <cell r="A84">
            <v>5005196277</v>
          </cell>
          <cell r="B84" t="str">
            <v>試験研究用役務費</v>
          </cell>
          <cell r="C84" t="str">
            <v>Chi phi dịch vụ mua ngoài</v>
          </cell>
          <cell r="D84" t="str">
            <v>試験研究費</v>
          </cell>
          <cell r="E84" t="str">
            <v>Chi phí thử nghiệm,nghiên cứu</v>
          </cell>
          <cell r="F84" t="str">
            <v>5005196277</v>
          </cell>
          <cell r="G84">
            <v>5005196277</v>
          </cell>
          <cell r="H84">
            <v>5005196277</v>
          </cell>
        </row>
        <row r="85">
          <cell r="A85">
            <v>5005246291</v>
          </cell>
          <cell r="B85" t="str">
            <v>会議費（製）</v>
          </cell>
          <cell r="C85" t="str">
            <v>Chi phí bằng tiền khác</v>
          </cell>
          <cell r="D85" t="str">
            <v>会費及び会議費</v>
          </cell>
          <cell r="E85" t="str">
            <v>Chi phí cuộc họp</v>
          </cell>
          <cell r="F85" t="str">
            <v>5005246291</v>
          </cell>
        </row>
        <row r="86">
          <cell r="A86">
            <v>5005246292</v>
          </cell>
          <cell r="B86" t="str">
            <v>雑費（製）</v>
          </cell>
          <cell r="C86" t="str">
            <v>Chi phí bằng tiền khác</v>
          </cell>
          <cell r="D86" t="str">
            <v>雑費</v>
          </cell>
          <cell r="E86" t="str">
            <v>Các loại chi phí bằng tiền khác</v>
          </cell>
          <cell r="F86" t="str">
            <v>5005246292</v>
          </cell>
        </row>
        <row r="87">
          <cell r="A87">
            <v>5005246294</v>
          </cell>
          <cell r="B87" t="str">
            <v>開発費振替勘定（製）</v>
          </cell>
          <cell r="C87" t="str">
            <v>Chi phí bằng tiền khác</v>
          </cell>
          <cell r="D87" t="str">
            <v>雑費</v>
          </cell>
          <cell r="E87" t="str">
            <v>Các loại chi phí bằng tiền khác</v>
          </cell>
          <cell r="F87" t="str">
            <v>5005246294</v>
          </cell>
        </row>
        <row r="88">
          <cell r="A88">
            <v>5005256291</v>
          </cell>
          <cell r="B88" t="str">
            <v>棚卸減耗費（製）</v>
          </cell>
          <cell r="C88" t="str">
            <v>Chi phí bằng tiền khác</v>
          </cell>
          <cell r="D88" t="str">
            <v>棚卸減耗費</v>
          </cell>
          <cell r="E88" t="str">
            <v>Chi phí hao hụt sau kiểm kê</v>
          </cell>
          <cell r="F88" t="str">
            <v>5005256291</v>
          </cell>
        </row>
        <row r="89">
          <cell r="A89">
            <v>5101016174</v>
          </cell>
          <cell r="B89" t="str">
            <v>製商品仕入諸掛</v>
          </cell>
          <cell r="C89" t="str">
            <v>Giá vốn hàng bán</v>
          </cell>
          <cell r="D89" t="str">
            <v>仕入製商品費</v>
          </cell>
          <cell r="E89" t="str">
            <v>Chi phí bán hàng</v>
          </cell>
          <cell r="F89" t="str">
            <v>5101016174</v>
          </cell>
        </row>
        <row r="90">
          <cell r="A90">
            <v>5101016179</v>
          </cell>
          <cell r="B90" t="str">
            <v>製品品目外注加工費</v>
          </cell>
          <cell r="C90" t="str">
            <v>Giá vốn hàng bán</v>
          </cell>
          <cell r="D90" t="str">
            <v>外注加工費</v>
          </cell>
          <cell r="E90" t="str">
            <v>Chi phí gia công ngoài</v>
          </cell>
          <cell r="F90" t="str">
            <v>5101016179</v>
          </cell>
        </row>
        <row r="91">
          <cell r="A91">
            <v>5101016187</v>
          </cell>
          <cell r="B91" t="str">
            <v>製商品在庫廃棄損</v>
          </cell>
          <cell r="C91" t="str">
            <v>Giá vốn hàng bán</v>
          </cell>
          <cell r="D91" t="str">
            <v>雑損失</v>
          </cell>
          <cell r="E91" t="str">
            <v>Tổn thất,lỗ khác</v>
          </cell>
          <cell r="F91" t="str">
            <v>5101016187</v>
          </cell>
        </row>
        <row r="92">
          <cell r="A92">
            <v>5101016189</v>
          </cell>
          <cell r="B92" t="str">
            <v>金型製作収入</v>
          </cell>
          <cell r="C92" t="str">
            <v>Doanh thu bán thành phẩm</v>
          </cell>
          <cell r="D92" t="str">
            <v>雑収入</v>
          </cell>
          <cell r="E92" t="str">
            <v>Thu nhập khác</v>
          </cell>
          <cell r="F92" t="str">
            <v>5101016189</v>
          </cell>
        </row>
        <row r="93">
          <cell r="A93">
            <v>6004046511</v>
          </cell>
          <cell r="B93" t="str">
            <v>雑給（販売）</v>
          </cell>
          <cell r="C93" t="str">
            <v>Chi phí nhân viên</v>
          </cell>
          <cell r="D93" t="str">
            <v>雑給</v>
          </cell>
          <cell r="E93" t="str">
            <v>Chi phí nhân công trực tiếp</v>
          </cell>
          <cell r="H93">
            <v>6004046511</v>
          </cell>
        </row>
        <row r="94">
          <cell r="A94">
            <v>6003036412</v>
          </cell>
          <cell r="B94" t="str">
            <v>梱包材料費（販売）</v>
          </cell>
          <cell r="C94" t="str">
            <v>Chi phí vật liệu bao bì</v>
          </cell>
          <cell r="D94" t="str">
            <v>荷造用品費</v>
          </cell>
          <cell r="E94" t="str">
            <v>Chi phí NVL dùng đóng gói hàng</v>
          </cell>
          <cell r="H94">
            <v>6003036412</v>
          </cell>
        </row>
        <row r="95">
          <cell r="A95">
            <v>6005016413</v>
          </cell>
          <cell r="B95" t="str">
            <v>消耗品費（販売）</v>
          </cell>
          <cell r="C95" t="str">
            <v>Chi phí dụng cụ đồ dùng</v>
          </cell>
          <cell r="D95" t="str">
            <v>消耗品費</v>
          </cell>
          <cell r="E95" t="str">
            <v>Chi phí hàng hóa tiêu hao</v>
          </cell>
          <cell r="H95">
            <v>6005016413</v>
          </cell>
        </row>
        <row r="96">
          <cell r="A96">
            <v>6005016414</v>
          </cell>
          <cell r="B96" t="str">
            <v>消耗備品費（販売）</v>
          </cell>
          <cell r="C96" t="str">
            <v>Chi phí dụng cụ đồ dùng</v>
          </cell>
          <cell r="D96" t="str">
            <v>消耗工具器具備品費</v>
          </cell>
          <cell r="E96" t="str">
            <v>Chi phí sử dụng công cụ,đồ đạc</v>
          </cell>
          <cell r="G96">
            <v>6005016414</v>
          </cell>
          <cell r="H96">
            <v>6005016414</v>
          </cell>
        </row>
        <row r="97">
          <cell r="A97">
            <v>6006016521</v>
          </cell>
          <cell r="B97" t="str">
            <v>減価償却費（販）　建物</v>
          </cell>
          <cell r="C97" t="str">
            <v>Chi phí khấu hao TSCĐ</v>
          </cell>
          <cell r="D97" t="str">
            <v>減価償却費</v>
          </cell>
          <cell r="E97" t="str">
            <v>Chi phí khấu hao</v>
          </cell>
          <cell r="H97">
            <v>6006016521</v>
          </cell>
        </row>
        <row r="98">
          <cell r="A98">
            <v>6006016522</v>
          </cell>
          <cell r="B98" t="str">
            <v>減価償却費（販）　機械装置</v>
          </cell>
          <cell r="C98" t="str">
            <v>Chi phí khấu hao TSCĐ</v>
          </cell>
          <cell r="D98" t="str">
            <v>減価償却費</v>
          </cell>
          <cell r="E98" t="str">
            <v>Chi phí khấu hao</v>
          </cell>
          <cell r="H98">
            <v>6006016522</v>
          </cell>
        </row>
        <row r="99">
          <cell r="A99">
            <v>6006016523</v>
          </cell>
          <cell r="B99" t="str">
            <v>減価償却費（販）　車輌運搬具</v>
          </cell>
          <cell r="C99" t="str">
            <v>Chi phí khấu hao TSCĐ</v>
          </cell>
          <cell r="D99" t="str">
            <v>減価償却費</v>
          </cell>
          <cell r="E99" t="str">
            <v>Chi phí khấu hao</v>
          </cell>
          <cell r="H99">
            <v>6006016523</v>
          </cell>
        </row>
        <row r="100">
          <cell r="A100">
            <v>6006016524</v>
          </cell>
          <cell r="B100" t="str">
            <v>減価償却費（販）　工具器具備品</v>
          </cell>
          <cell r="C100" t="str">
            <v>Chi phí khấu hao TSCĐ</v>
          </cell>
          <cell r="D100" t="str">
            <v>減価償却費</v>
          </cell>
          <cell r="E100" t="str">
            <v>Chi phí khấu hao</v>
          </cell>
          <cell r="H100">
            <v>6006016524</v>
          </cell>
        </row>
        <row r="101">
          <cell r="A101">
            <v>6006016525</v>
          </cell>
          <cell r="B101" t="str">
            <v>減価償却費（販）　構築物</v>
          </cell>
          <cell r="C101" t="str">
            <v>Chi phí khấu hao TSCĐ</v>
          </cell>
          <cell r="D101" t="str">
            <v>減価償却費</v>
          </cell>
          <cell r="E101" t="str">
            <v>Chi phí khấu hao</v>
          </cell>
          <cell r="H101">
            <v>6006016525</v>
          </cell>
        </row>
        <row r="102">
          <cell r="A102">
            <v>6006016526</v>
          </cell>
          <cell r="B102" t="str">
            <v>減価償却費（販）　その他有形固定資産</v>
          </cell>
          <cell r="C102" t="str">
            <v>Chi phí khấu hao TSCĐ</v>
          </cell>
          <cell r="D102" t="str">
            <v>減価償却費</v>
          </cell>
          <cell r="E102" t="str">
            <v>Chi phí khấu hao</v>
          </cell>
          <cell r="H102">
            <v>6006016526</v>
          </cell>
        </row>
        <row r="103">
          <cell r="A103">
            <v>6006016527</v>
          </cell>
          <cell r="B103" t="str">
            <v>減価償却費（販）　リース建物</v>
          </cell>
          <cell r="C103" t="str">
            <v>Chi phí khấu hao TSCĐ</v>
          </cell>
          <cell r="D103" t="str">
            <v>減価償却費</v>
          </cell>
          <cell r="E103" t="str">
            <v>Chi phí khấu hao</v>
          </cell>
          <cell r="H103">
            <v>6006016527</v>
          </cell>
        </row>
        <row r="104">
          <cell r="A104">
            <v>6006016528</v>
          </cell>
          <cell r="B104" t="str">
            <v>減価償却費（販）　リース機械装置</v>
          </cell>
          <cell r="C104" t="str">
            <v>Chi phí khấu hao TSCĐ</v>
          </cell>
          <cell r="D104" t="str">
            <v>減価償却費</v>
          </cell>
          <cell r="E104" t="str">
            <v>Chi phí khấu hao</v>
          </cell>
          <cell r="H104">
            <v>6006016528</v>
          </cell>
        </row>
        <row r="105">
          <cell r="A105">
            <v>6006016529</v>
          </cell>
          <cell r="B105" t="str">
            <v>減価償却費（販）　リース車輌運搬具</v>
          </cell>
          <cell r="C105" t="str">
            <v>Chi phí khấu hao TSCĐ</v>
          </cell>
          <cell r="D105" t="str">
            <v>減価償却費</v>
          </cell>
          <cell r="E105" t="str">
            <v>Chi phí khấu hao</v>
          </cell>
          <cell r="H105">
            <v>6006016529</v>
          </cell>
        </row>
        <row r="106">
          <cell r="A106">
            <v>6006016530</v>
          </cell>
          <cell r="B106" t="str">
            <v>減価償却費（販）　リース工具器具備品</v>
          </cell>
          <cell r="C106" t="str">
            <v>Chi phí khấu hao TSCĐ</v>
          </cell>
          <cell r="D106" t="str">
            <v>減価償却費</v>
          </cell>
          <cell r="E106" t="str">
            <v>Chi phí khấu hao</v>
          </cell>
          <cell r="H106">
            <v>6006016530</v>
          </cell>
        </row>
        <row r="107">
          <cell r="A107">
            <v>6006016531</v>
          </cell>
          <cell r="B107" t="str">
            <v>減価償却費（販）　リース構築物</v>
          </cell>
          <cell r="C107" t="str">
            <v>Chi phí khấu hao TSCĐ</v>
          </cell>
          <cell r="D107" t="str">
            <v>減価償却費</v>
          </cell>
          <cell r="E107" t="str">
            <v>Chi phí khấu hao</v>
          </cell>
          <cell r="H107">
            <v>6006016531</v>
          </cell>
        </row>
        <row r="108">
          <cell r="A108">
            <v>6006016532</v>
          </cell>
          <cell r="B108" t="str">
            <v>減価償却費（販）　土地使用権</v>
          </cell>
          <cell r="C108" t="str">
            <v>Chi phí khấu hao TSCĐ</v>
          </cell>
          <cell r="D108" t="str">
            <v>減価償却費</v>
          </cell>
          <cell r="E108" t="str">
            <v>Chi phí khấu hao</v>
          </cell>
          <cell r="H108">
            <v>6006016532</v>
          </cell>
        </row>
        <row r="109">
          <cell r="A109">
            <v>6006016533</v>
          </cell>
          <cell r="B109" t="str">
            <v>減価償却費（販）　出版著作権</v>
          </cell>
          <cell r="C109" t="str">
            <v>Chi phí khấu hao TSCĐ</v>
          </cell>
          <cell r="D109" t="str">
            <v>減価償却費</v>
          </cell>
          <cell r="E109" t="str">
            <v>Chi phí khấu hao</v>
          </cell>
          <cell r="H109">
            <v>6006016533</v>
          </cell>
        </row>
        <row r="110">
          <cell r="A110">
            <v>6006016534</v>
          </cell>
          <cell r="B110" t="str">
            <v>減価償却費（販）　特許権</v>
          </cell>
          <cell r="C110" t="str">
            <v>Chi phí khấu hao TSCĐ</v>
          </cell>
          <cell r="D110" t="str">
            <v>減価償却費</v>
          </cell>
          <cell r="E110" t="str">
            <v>Chi phí khấu hao</v>
          </cell>
          <cell r="H110">
            <v>6006016534</v>
          </cell>
        </row>
        <row r="111">
          <cell r="A111">
            <v>6006016535</v>
          </cell>
          <cell r="B111" t="str">
            <v>減価償却費（販）　商標権</v>
          </cell>
          <cell r="C111" t="str">
            <v>Chi phí khấu hao TSCĐ</v>
          </cell>
          <cell r="D111" t="str">
            <v>減価償却費</v>
          </cell>
          <cell r="E111" t="str">
            <v>Chi phí khấu hao</v>
          </cell>
          <cell r="H111">
            <v>6006016535</v>
          </cell>
        </row>
        <row r="112">
          <cell r="A112">
            <v>6006016536</v>
          </cell>
          <cell r="B112" t="str">
            <v>減価償却費（販）　ソフトウェア</v>
          </cell>
          <cell r="C112" t="str">
            <v>Chi phí khấu hao TSCĐ</v>
          </cell>
          <cell r="D112" t="str">
            <v>減価償却費</v>
          </cell>
          <cell r="E112" t="str">
            <v>Chi phí khấu hao</v>
          </cell>
          <cell r="H112">
            <v>6006016536</v>
          </cell>
        </row>
        <row r="113">
          <cell r="A113">
            <v>6006016537</v>
          </cell>
          <cell r="B113" t="str">
            <v>減価償却費（販）　営業権</v>
          </cell>
          <cell r="C113" t="str">
            <v>Chi phí khấu hao TSCĐ</v>
          </cell>
          <cell r="D113" t="str">
            <v>減価償却費</v>
          </cell>
          <cell r="E113" t="str">
            <v>Chi phí khấu hao</v>
          </cell>
          <cell r="H113">
            <v>6006016537</v>
          </cell>
        </row>
        <row r="114">
          <cell r="A114">
            <v>6006016538</v>
          </cell>
          <cell r="B114" t="str">
            <v>減価償却費（販）　その他無形固定資産</v>
          </cell>
          <cell r="C114" t="str">
            <v>Chi phí khấu hao TSCĐ</v>
          </cell>
          <cell r="D114" t="str">
            <v>減価償却費</v>
          </cell>
          <cell r="E114" t="str">
            <v>Chi phí khấu hao</v>
          </cell>
          <cell r="H114">
            <v>6006016538</v>
          </cell>
        </row>
        <row r="115">
          <cell r="A115">
            <v>6006016539</v>
          </cell>
          <cell r="B115" t="str">
            <v>減価償却費配賦（販）　建物</v>
          </cell>
          <cell r="C115" t="str">
            <v>Chi phí khấu hao TSCĐ</v>
          </cell>
          <cell r="D115" t="str">
            <v>減価償却費</v>
          </cell>
          <cell r="E115" t="str">
            <v>Chi phí khấu hao</v>
          </cell>
          <cell r="H115">
            <v>6006016539</v>
          </cell>
        </row>
        <row r="116">
          <cell r="A116">
            <v>6006016540</v>
          </cell>
          <cell r="B116" t="str">
            <v>減価償却費配賦（販）　土地使用権</v>
          </cell>
          <cell r="C116" t="str">
            <v>Chi phí khấu hao TSCĐ</v>
          </cell>
          <cell r="D116" t="str">
            <v>減価償却費</v>
          </cell>
          <cell r="E116" t="str">
            <v>Chi phí khấu hao</v>
          </cell>
          <cell r="H116">
            <v>6006016540</v>
          </cell>
        </row>
        <row r="117">
          <cell r="A117">
            <v>6005046541</v>
          </cell>
          <cell r="B117" t="str">
            <v>その他修繕費（販売）</v>
          </cell>
          <cell r="C117" t="str">
            <v>Chi phí bảo hành</v>
          </cell>
          <cell r="D117" t="str">
            <v>修繕費</v>
          </cell>
          <cell r="E117" t="str">
            <v>Chi phí sửa chữa</v>
          </cell>
          <cell r="H117">
            <v>6005046541</v>
          </cell>
        </row>
        <row r="118">
          <cell r="A118">
            <v>6005046542</v>
          </cell>
          <cell r="B118" t="str">
            <v>年間保守料（販売）</v>
          </cell>
          <cell r="C118" t="str">
            <v>Chi phí bảo hành</v>
          </cell>
          <cell r="D118" t="str">
            <v>修繕費</v>
          </cell>
          <cell r="E118" t="str">
            <v>Chi phí sửa chữa</v>
          </cell>
          <cell r="H118">
            <v>6005046542</v>
          </cell>
        </row>
        <row r="119">
          <cell r="A119">
            <v>6003016541</v>
          </cell>
          <cell r="B119" t="str">
            <v>販売手数料（販売）</v>
          </cell>
          <cell r="C119" t="str">
            <v>Chi phí dịch vụ mua ngòai</v>
          </cell>
          <cell r="D119" t="str">
            <v>手数料</v>
          </cell>
          <cell r="E119" t="str">
            <v>Tiền dịch vụ,tiền lệ phí</v>
          </cell>
          <cell r="H119">
            <v>6003016541</v>
          </cell>
        </row>
        <row r="120">
          <cell r="A120">
            <v>6003026541</v>
          </cell>
          <cell r="B120" t="str">
            <v>販売促進費（販売）</v>
          </cell>
          <cell r="C120" t="str">
            <v>Chi phí dịch vụ mua ngòai</v>
          </cell>
          <cell r="D120" t="str">
            <v>雑費</v>
          </cell>
          <cell r="E120" t="str">
            <v>Các loại chi phí bằng tiền khác</v>
          </cell>
          <cell r="H120">
            <v>6003026541</v>
          </cell>
        </row>
        <row r="121">
          <cell r="A121">
            <v>6003036541</v>
          </cell>
          <cell r="B121" t="str">
            <v>通関申告料（販売）</v>
          </cell>
          <cell r="C121" t="str">
            <v>Chi phí dịch vụ mua ngòai</v>
          </cell>
          <cell r="D121" t="str">
            <v>荷造運賃</v>
          </cell>
          <cell r="E121" t="str">
            <v>Chi phí vận chuyển hàng hóa</v>
          </cell>
          <cell r="H121">
            <v>6003036541</v>
          </cell>
        </row>
        <row r="122">
          <cell r="A122">
            <v>6003036542</v>
          </cell>
          <cell r="B122" t="str">
            <v>クーリエ費用（販売）</v>
          </cell>
          <cell r="C122" t="str">
            <v>Chi phí dịch vụ mua ngòai</v>
          </cell>
          <cell r="D122" t="str">
            <v>荷造運賃</v>
          </cell>
          <cell r="E122" t="str">
            <v>Chi phí vận chuyển hàng hóa</v>
          </cell>
          <cell r="H122">
            <v>6003036542</v>
          </cell>
        </row>
        <row r="123">
          <cell r="A123">
            <v>6003036543</v>
          </cell>
          <cell r="B123" t="str">
            <v>輸出航空運賃（販売）</v>
          </cell>
          <cell r="C123" t="str">
            <v>Chi phí dịch vụ mua ngòai</v>
          </cell>
          <cell r="D123" t="str">
            <v>荷造運賃</v>
          </cell>
          <cell r="E123" t="str">
            <v>Chi phí vận chuyển hàng hóa</v>
          </cell>
          <cell r="F123" t="str">
            <v>6003036543</v>
          </cell>
          <cell r="H123">
            <v>6003036543</v>
          </cell>
        </row>
        <row r="124">
          <cell r="A124">
            <v>6003036544</v>
          </cell>
          <cell r="B124" t="str">
            <v>輸出海上運賃（販売）</v>
          </cell>
          <cell r="C124" t="str">
            <v>Chi phí dịch vụ mua ngòai</v>
          </cell>
          <cell r="D124" t="str">
            <v>荷造運賃</v>
          </cell>
          <cell r="E124" t="str">
            <v>Chi phí vận chuyển hàng hóa</v>
          </cell>
          <cell r="F124" t="str">
            <v>6003036544</v>
          </cell>
          <cell r="G124">
            <v>6003036544</v>
          </cell>
          <cell r="H124">
            <v>6003036544</v>
          </cell>
        </row>
        <row r="125">
          <cell r="A125">
            <v>6003036545</v>
          </cell>
          <cell r="B125" t="str">
            <v>保管延長費（販売）</v>
          </cell>
          <cell r="C125" t="str">
            <v>Chi phí dịch vụ mua ngòai</v>
          </cell>
          <cell r="D125" t="str">
            <v>荷造運賃</v>
          </cell>
          <cell r="E125" t="str">
            <v>Chi phí vận chuyển hàng hóa</v>
          </cell>
          <cell r="H125">
            <v>6003036545</v>
          </cell>
        </row>
        <row r="126">
          <cell r="A126">
            <v>6003036546</v>
          </cell>
          <cell r="B126" t="str">
            <v>物流保険料（販売）</v>
          </cell>
          <cell r="C126" t="str">
            <v>Chi phí dịch vụ mua ngòai</v>
          </cell>
          <cell r="D126" t="str">
            <v>荷造運賃</v>
          </cell>
          <cell r="E126" t="str">
            <v>Chi phí vận chuyển hàng hóa</v>
          </cell>
          <cell r="H126">
            <v>6003036546</v>
          </cell>
        </row>
        <row r="127">
          <cell r="A127">
            <v>6003036547</v>
          </cell>
          <cell r="B127" t="str">
            <v>梱包費用（販売）</v>
          </cell>
          <cell r="C127" t="str">
            <v>Chi phí dịch vụ mua ngòai</v>
          </cell>
          <cell r="D127" t="str">
            <v>荷造運賃</v>
          </cell>
          <cell r="E127" t="str">
            <v>Chi phí vận chuyển hàng hóa</v>
          </cell>
          <cell r="H127">
            <v>6003036547</v>
          </cell>
        </row>
        <row r="128">
          <cell r="A128">
            <v>6003036548</v>
          </cell>
          <cell r="B128" t="str">
            <v>返品手数料（販売）</v>
          </cell>
          <cell r="C128" t="str">
            <v>Chi phí dịch vụ mua ngòai</v>
          </cell>
          <cell r="D128" t="str">
            <v>荷造運賃</v>
          </cell>
          <cell r="E128" t="str">
            <v>Chi phí vận chuyển hàng hóa</v>
          </cell>
          <cell r="H128">
            <v>6003036548</v>
          </cell>
        </row>
        <row r="129">
          <cell r="A129">
            <v>6003036549</v>
          </cell>
          <cell r="B129" t="str">
            <v>保管料（販売）</v>
          </cell>
          <cell r="C129" t="str">
            <v>Chi phí dịch vụ mua ngòai</v>
          </cell>
          <cell r="D129" t="str">
            <v>荷造運賃</v>
          </cell>
          <cell r="E129" t="str">
            <v>Chi phí vận chuyển hàng hóa</v>
          </cell>
          <cell r="H129">
            <v>6003036549</v>
          </cell>
        </row>
        <row r="130">
          <cell r="A130">
            <v>6003036550</v>
          </cell>
          <cell r="B130" t="str">
            <v>オーバーナイト費（販売）</v>
          </cell>
          <cell r="C130" t="str">
            <v>Chi phí dịch vụ mua ngòai</v>
          </cell>
          <cell r="D130" t="str">
            <v>荷造運賃</v>
          </cell>
          <cell r="E130" t="str">
            <v>Chi phí vận chuyển hàng hóa</v>
          </cell>
          <cell r="H130">
            <v>6003036550</v>
          </cell>
        </row>
        <row r="131">
          <cell r="A131">
            <v>6003036551</v>
          </cell>
          <cell r="B131" t="str">
            <v>バンニング費（販売）</v>
          </cell>
          <cell r="C131" t="str">
            <v>Chi phí dịch vụ mua ngòai</v>
          </cell>
          <cell r="D131" t="str">
            <v>荷造運賃</v>
          </cell>
          <cell r="E131" t="str">
            <v>Chi phí vận chuyển hàng hóa</v>
          </cell>
          <cell r="H131">
            <v>6003036551</v>
          </cell>
        </row>
        <row r="132">
          <cell r="A132">
            <v>6003036552</v>
          </cell>
          <cell r="B132" t="str">
            <v>その他物流費（販売）</v>
          </cell>
          <cell r="C132" t="str">
            <v>Chi phí dịch vụ mua ngòai</v>
          </cell>
          <cell r="D132" t="str">
            <v>荷造運賃</v>
          </cell>
          <cell r="E132" t="str">
            <v>Chi phí vận chuyển hàng hóa</v>
          </cell>
          <cell r="F132" t="str">
            <v>6003036552</v>
          </cell>
          <cell r="H132">
            <v>6003036552</v>
          </cell>
        </row>
        <row r="133">
          <cell r="A133">
            <v>6003036554</v>
          </cell>
          <cell r="B133" t="str">
            <v>外部倉庫　取扱手数料（販売）</v>
          </cell>
          <cell r="C133" t="str">
            <v>Chi phí dịch vụ mua ngòai</v>
          </cell>
          <cell r="D133" t="str">
            <v>荷造運賃</v>
          </cell>
          <cell r="E133" t="str">
            <v>Chi phí vận chuyển hàng hóa</v>
          </cell>
          <cell r="F133" t="str">
            <v>6003036554</v>
          </cell>
          <cell r="G133">
            <v>6003036554</v>
          </cell>
          <cell r="H133">
            <v>6003036554</v>
          </cell>
        </row>
        <row r="134">
          <cell r="A134">
            <v>6003036555</v>
          </cell>
          <cell r="B134" t="str">
            <v>外部倉庫　保管料（販売）</v>
          </cell>
          <cell r="C134" t="str">
            <v>Chi phí dịch vụ mua ngòai</v>
          </cell>
          <cell r="D134" t="str">
            <v>荷造運賃</v>
          </cell>
          <cell r="E134" t="str">
            <v>Chi phí vận chuyển hàng hóa</v>
          </cell>
          <cell r="F134" t="str">
            <v>6003036555</v>
          </cell>
          <cell r="G134">
            <v>6003036555</v>
          </cell>
          <cell r="H134">
            <v>6003036555</v>
          </cell>
        </row>
        <row r="135">
          <cell r="A135">
            <v>6003036556</v>
          </cell>
          <cell r="B135" t="str">
            <v>外部倉庫　輸送料（販売）</v>
          </cell>
          <cell r="C135" t="str">
            <v>Chi phí dịch vụ mua ngòai</v>
          </cell>
          <cell r="D135" t="str">
            <v>荷造運賃</v>
          </cell>
          <cell r="E135" t="str">
            <v>Chi phí vận chuyển hàng hóa</v>
          </cell>
          <cell r="F135" t="str">
            <v>6003036556</v>
          </cell>
          <cell r="G135">
            <v>6003036556</v>
          </cell>
          <cell r="H135">
            <v>6003036556</v>
          </cell>
        </row>
        <row r="136">
          <cell r="A136">
            <v>6003036557</v>
          </cell>
          <cell r="B136" t="str">
            <v>外部物流業者　取扱手数料（販売）</v>
          </cell>
          <cell r="C136" t="str">
            <v>Chi phí dịch vụ mua ngòai</v>
          </cell>
          <cell r="D136" t="str">
            <v>荷造運賃</v>
          </cell>
          <cell r="E136" t="str">
            <v>Chi phí vận chuyển hàng hóa</v>
          </cell>
          <cell r="F136" t="str">
            <v>6003036557</v>
          </cell>
          <cell r="G136">
            <v>6003036557</v>
          </cell>
          <cell r="H136">
            <v>6003036557</v>
          </cell>
        </row>
        <row r="137">
          <cell r="A137">
            <v>6004096541</v>
          </cell>
          <cell r="B137" t="str">
            <v>求人費（販売）</v>
          </cell>
          <cell r="C137" t="str">
            <v>Chi phí dịch vụ mua ngòai</v>
          </cell>
          <cell r="D137" t="str">
            <v>募集教育費</v>
          </cell>
          <cell r="E137" t="str">
            <v>Chi phí tuyển dụng,đào tạo</v>
          </cell>
          <cell r="H137">
            <v>6004096541</v>
          </cell>
        </row>
        <row r="138">
          <cell r="A138">
            <v>6005056541</v>
          </cell>
          <cell r="B138" t="str">
            <v>電気代（販売）</v>
          </cell>
          <cell r="C138" t="str">
            <v>Chi phí dịch vụ mua ngòai</v>
          </cell>
          <cell r="D138" t="str">
            <v>水道光熱費</v>
          </cell>
          <cell r="E138" t="str">
            <v>Chi phí Utilities(điện,nước..)</v>
          </cell>
          <cell r="H138">
            <v>6005056541</v>
          </cell>
        </row>
        <row r="139">
          <cell r="A139">
            <v>6005056542</v>
          </cell>
          <cell r="B139" t="str">
            <v>水道代（販売）</v>
          </cell>
          <cell r="C139" t="str">
            <v>Chi phí dịch vụ mua ngòai</v>
          </cell>
          <cell r="D139" t="str">
            <v>水道光熱費</v>
          </cell>
          <cell r="E139" t="str">
            <v>Chi phí Utilities(điện,nước..)</v>
          </cell>
          <cell r="H139">
            <v>6005056542</v>
          </cell>
        </row>
        <row r="140">
          <cell r="A140">
            <v>6005056543</v>
          </cell>
          <cell r="B140" t="str">
            <v>ガス代（販売）</v>
          </cell>
          <cell r="C140" t="str">
            <v>Chi phí dịch vụ mua ngòai</v>
          </cell>
          <cell r="D140" t="str">
            <v>水道光熱費</v>
          </cell>
          <cell r="E140" t="str">
            <v>Chi phí Utilities(điện,nước..)</v>
          </cell>
          <cell r="H140">
            <v>6005056543</v>
          </cell>
        </row>
        <row r="141">
          <cell r="A141">
            <v>6005136541</v>
          </cell>
          <cell r="B141" t="str">
            <v>通信費（販売）</v>
          </cell>
          <cell r="C141" t="str">
            <v>Chi phí dịch vụ mua ngòai</v>
          </cell>
          <cell r="D141" t="str">
            <v>通信費</v>
          </cell>
          <cell r="E141" t="str">
            <v>Chi phí điện thoại</v>
          </cell>
          <cell r="H141">
            <v>6005136541</v>
          </cell>
        </row>
        <row r="142">
          <cell r="A142">
            <v>6005146541</v>
          </cell>
          <cell r="B142" t="str">
            <v>図書印刷費（販売）</v>
          </cell>
          <cell r="C142" t="str">
            <v>Chi phí dịch vụ mua ngòai</v>
          </cell>
          <cell r="D142" t="str">
            <v>図書及び事務費</v>
          </cell>
          <cell r="E142" t="str">
            <v>Chi phí văn phòng</v>
          </cell>
          <cell r="H142">
            <v>6005146541</v>
          </cell>
        </row>
        <row r="143">
          <cell r="A143">
            <v>6005146542</v>
          </cell>
          <cell r="B143" t="str">
            <v>ＫＤＣシステム使用料（販売）</v>
          </cell>
          <cell r="C143" t="str">
            <v>Chi phí dịch vụ mua ngòai</v>
          </cell>
          <cell r="D143" t="str">
            <v>図書及び事務費</v>
          </cell>
          <cell r="E143" t="str">
            <v>Chi phí văn phòng</v>
          </cell>
          <cell r="H143">
            <v>6005146542</v>
          </cell>
        </row>
        <row r="144">
          <cell r="A144">
            <v>6005146543</v>
          </cell>
          <cell r="B144" t="str">
            <v>ライセンス料（販売）</v>
          </cell>
          <cell r="C144" t="str">
            <v>Chi phí dịch vụ mua ngòai</v>
          </cell>
          <cell r="D144" t="str">
            <v>図書及び事務費</v>
          </cell>
          <cell r="E144" t="str">
            <v>Chi phí văn phòng</v>
          </cell>
          <cell r="H144">
            <v>6005146543</v>
          </cell>
        </row>
        <row r="145">
          <cell r="A145">
            <v>6005156541</v>
          </cell>
          <cell r="B145" t="str">
            <v>広告宣伝費（販売）</v>
          </cell>
          <cell r="C145" t="str">
            <v>Chi phí dịch vụ mua ngòai</v>
          </cell>
          <cell r="D145" t="str">
            <v>雑費</v>
          </cell>
          <cell r="E145" t="str">
            <v>Các loại chi phí bằng tiền khác</v>
          </cell>
          <cell r="H145">
            <v>6005156541</v>
          </cell>
        </row>
        <row r="146">
          <cell r="A146">
            <v>6005206541</v>
          </cell>
          <cell r="B146" t="str">
            <v>会費（販売）</v>
          </cell>
          <cell r="C146" t="str">
            <v>Chi phí dịch vụ mua ngòai</v>
          </cell>
          <cell r="D146" t="str">
            <v>会費及び会議費</v>
          </cell>
          <cell r="E146" t="str">
            <v>Chi phí cuộc họp</v>
          </cell>
          <cell r="H146">
            <v>6005206541</v>
          </cell>
        </row>
        <row r="147">
          <cell r="A147">
            <v>6005216541</v>
          </cell>
          <cell r="B147" t="str">
            <v>委嘱報酬・設計委託費（販売）</v>
          </cell>
          <cell r="C147" t="str">
            <v>Chi phí dịch vụ mua ngòai</v>
          </cell>
          <cell r="D147" t="str">
            <v>委嘱報酬</v>
          </cell>
          <cell r="E147" t="str">
            <v>Thù lao ủy thác,phí hoa hồng</v>
          </cell>
          <cell r="H147">
            <v>6005216541</v>
          </cell>
        </row>
        <row r="148">
          <cell r="A148">
            <v>6005226541</v>
          </cell>
          <cell r="B148" t="str">
            <v>保険料（販売）</v>
          </cell>
          <cell r="C148" t="str">
            <v>Chi phí dịch vụ mua ngòai</v>
          </cell>
          <cell r="D148" t="str">
            <v>保険料</v>
          </cell>
          <cell r="E148" t="str">
            <v>Chi phí bảo hiểm</v>
          </cell>
          <cell r="H148">
            <v>6005226541</v>
          </cell>
        </row>
        <row r="149">
          <cell r="A149">
            <v>6005236541</v>
          </cell>
          <cell r="B149" t="str">
            <v>事務所賃借料（販売）</v>
          </cell>
          <cell r="C149" t="str">
            <v>Chi phí dịch vụ mua ngòai</v>
          </cell>
          <cell r="D149" t="str">
            <v>賃借料</v>
          </cell>
          <cell r="E149" t="str">
            <v>Chi phí thuê</v>
          </cell>
          <cell r="H149">
            <v>6005236541</v>
          </cell>
        </row>
        <row r="150">
          <cell r="A150">
            <v>6005246541</v>
          </cell>
          <cell r="B150" t="str">
            <v>取扱手数料（販売）</v>
          </cell>
          <cell r="C150" t="str">
            <v>Chi phí dịch vụ mua ngòai</v>
          </cell>
          <cell r="D150" t="str">
            <v>手数料</v>
          </cell>
          <cell r="E150" t="str">
            <v>Tiền dịch vụ,tiền lệ phí</v>
          </cell>
          <cell r="H150">
            <v>6005246541</v>
          </cell>
        </row>
        <row r="151">
          <cell r="A151">
            <v>6005246542</v>
          </cell>
          <cell r="B151" t="str">
            <v>その他手数料</v>
          </cell>
          <cell r="C151" t="str">
            <v>Chi phí dịch vụ mua ngòai</v>
          </cell>
          <cell r="D151" t="str">
            <v>手数料</v>
          </cell>
          <cell r="E151" t="str">
            <v>Tiền dịch vụ,tiền lệ phí</v>
          </cell>
          <cell r="F151" t="str">
            <v>6005246542</v>
          </cell>
          <cell r="G151">
            <v>6005246542</v>
          </cell>
          <cell r="H151">
            <v>6005246542</v>
          </cell>
        </row>
        <row r="152">
          <cell r="A152">
            <v>6005246543</v>
          </cell>
          <cell r="B152" t="str">
            <v>ＫＤＣ手数料</v>
          </cell>
          <cell r="C152" t="str">
            <v>Chi phí dịch vụ mua ngòai</v>
          </cell>
          <cell r="D152" t="str">
            <v>手数料</v>
          </cell>
          <cell r="E152" t="str">
            <v>Tiền dịch vụ,tiền lệ phí</v>
          </cell>
          <cell r="F152" t="str">
            <v>6005246543</v>
          </cell>
          <cell r="G152">
            <v>6005246543</v>
          </cell>
          <cell r="H152">
            <v>6005246543</v>
          </cell>
        </row>
        <row r="153">
          <cell r="A153">
            <v>6005246544</v>
          </cell>
          <cell r="B153" t="str">
            <v>事務用品費（販売）</v>
          </cell>
          <cell r="C153" t="str">
            <v>Chi phí dịch vụ mua ngòai</v>
          </cell>
          <cell r="D153" t="str">
            <v>図書及び事務費</v>
          </cell>
          <cell r="E153" t="str">
            <v>Chi phí văn phòng</v>
          </cell>
          <cell r="H153">
            <v>6005246544</v>
          </cell>
        </row>
        <row r="154">
          <cell r="A154">
            <v>6004086551</v>
          </cell>
          <cell r="B154" t="str">
            <v>福利厚生費（販売）</v>
          </cell>
          <cell r="C154" t="str">
            <v>Chi phí bằng tiền khác</v>
          </cell>
          <cell r="D154" t="str">
            <v>福利厚生費</v>
          </cell>
          <cell r="E154" t="str">
            <v>Chi phí phúc lợi</v>
          </cell>
          <cell r="H154">
            <v>6004086551</v>
          </cell>
        </row>
        <row r="155">
          <cell r="A155">
            <v>6004086553</v>
          </cell>
          <cell r="B155" t="str">
            <v>教育訓練費（販売）</v>
          </cell>
          <cell r="C155" t="str">
            <v>Chi phí bằng tiền khác</v>
          </cell>
          <cell r="D155" t="str">
            <v>募集教育費</v>
          </cell>
          <cell r="E155" t="str">
            <v>Chi phí tuyển dụng,đào tạo</v>
          </cell>
          <cell r="H155">
            <v>6004086553</v>
          </cell>
        </row>
        <row r="156">
          <cell r="A156">
            <v>6005116551</v>
          </cell>
          <cell r="B156" t="str">
            <v>ベトナム国内交通費（販売）</v>
          </cell>
          <cell r="C156" t="str">
            <v>Chi phí bằng tiền khác</v>
          </cell>
          <cell r="D156" t="str">
            <v>旅費交通費</v>
          </cell>
          <cell r="E156" t="str">
            <v>Chi phí di chuyển</v>
          </cell>
          <cell r="H156">
            <v>6005116551</v>
          </cell>
        </row>
        <row r="157">
          <cell r="A157">
            <v>6005116552</v>
          </cell>
          <cell r="B157" t="str">
            <v>海外渡航費（販売）</v>
          </cell>
          <cell r="C157" t="str">
            <v>Chi phí bằng tiền khác</v>
          </cell>
          <cell r="D157" t="str">
            <v>渡航費</v>
          </cell>
          <cell r="E157" t="str">
            <v>Chi phí di chuyển(nước ngoài)</v>
          </cell>
          <cell r="H157">
            <v>6005116552</v>
          </cell>
        </row>
        <row r="158">
          <cell r="A158">
            <v>6005136551</v>
          </cell>
          <cell r="B158" t="str">
            <v>郵送代（販売）</v>
          </cell>
          <cell r="C158" t="str">
            <v>Chi phí bằng tiền khác</v>
          </cell>
          <cell r="D158" t="str">
            <v>通信費</v>
          </cell>
          <cell r="E158" t="str">
            <v>Chi phí điện thoại</v>
          </cell>
          <cell r="H158">
            <v>6005136551</v>
          </cell>
        </row>
        <row r="159">
          <cell r="A159">
            <v>6005166551</v>
          </cell>
          <cell r="B159" t="str">
            <v>接待交際費（販売）</v>
          </cell>
          <cell r="C159" t="str">
            <v>Chi phí bằng tiền khác</v>
          </cell>
          <cell r="D159" t="str">
            <v>接待交際費</v>
          </cell>
          <cell r="E159" t="str">
            <v>Chi phí tiếp khách</v>
          </cell>
          <cell r="H159">
            <v>6005166551</v>
          </cell>
        </row>
        <row r="160">
          <cell r="A160">
            <v>6005186552</v>
          </cell>
          <cell r="B160" t="str">
            <v>その他税金（販売）</v>
          </cell>
          <cell r="C160" t="str">
            <v>Chi phí bằng tiền khác</v>
          </cell>
          <cell r="D160" t="str">
            <v>公租公課</v>
          </cell>
          <cell r="E160" t="str">
            <v>Thuế,phí công cộng</v>
          </cell>
          <cell r="H160">
            <v>6005186552</v>
          </cell>
        </row>
        <row r="161">
          <cell r="A161">
            <v>6005246551</v>
          </cell>
          <cell r="B161" t="str">
            <v>会議費（販売）</v>
          </cell>
          <cell r="C161" t="str">
            <v>Chi phí bằng tiền khác</v>
          </cell>
          <cell r="D161" t="str">
            <v>会費及び会議費</v>
          </cell>
          <cell r="E161" t="str">
            <v>Chi phí cuộc họp</v>
          </cell>
          <cell r="H161">
            <v>6005246551</v>
          </cell>
        </row>
        <row r="162">
          <cell r="A162">
            <v>6005246552</v>
          </cell>
          <cell r="B162" t="str">
            <v>雑費（販売）</v>
          </cell>
          <cell r="C162" t="str">
            <v>Chi phí bằng tiền khác</v>
          </cell>
          <cell r="D162" t="str">
            <v>雑費</v>
          </cell>
          <cell r="E162" t="str">
            <v>Các loại chi phí bằng tiền khác</v>
          </cell>
          <cell r="H162">
            <v>6005246552</v>
          </cell>
        </row>
        <row r="163">
          <cell r="A163">
            <v>6005246553</v>
          </cell>
          <cell r="B163" t="str">
            <v>棚卸減耗費（販売）</v>
          </cell>
          <cell r="C163" t="str">
            <v>Chi phí bằng tiền khác</v>
          </cell>
          <cell r="D163" t="str">
            <v>棚卸減耗費</v>
          </cell>
          <cell r="E163" t="str">
            <v>Chi phí hao hụt sau kiểm kê</v>
          </cell>
          <cell r="H163">
            <v>6005246553</v>
          </cell>
        </row>
        <row r="164">
          <cell r="A164">
            <v>6004046421</v>
          </cell>
          <cell r="B164" t="str">
            <v>雑給（一般）</v>
          </cell>
          <cell r="C164" t="str">
            <v>Chi phí nhân viên quản lý</v>
          </cell>
          <cell r="D164" t="str">
            <v>雑給</v>
          </cell>
          <cell r="E164" t="str">
            <v>Chi phí nhân công trực tiếp</v>
          </cell>
          <cell r="G164">
            <v>6004046421</v>
          </cell>
        </row>
        <row r="165">
          <cell r="A165">
            <v>6005016422</v>
          </cell>
          <cell r="B165" t="str">
            <v>消耗品費（一般）</v>
          </cell>
          <cell r="C165" t="str">
            <v>Chi phí vật liệu quản lý</v>
          </cell>
          <cell r="D165" t="str">
            <v>消耗品費</v>
          </cell>
          <cell r="E165" t="str">
            <v>Chi phí hàng hóa tiêu hao</v>
          </cell>
          <cell r="G165">
            <v>6005016422</v>
          </cell>
        </row>
        <row r="166">
          <cell r="A166">
            <v>6005016423</v>
          </cell>
          <cell r="B166" t="str">
            <v>消耗備品費（一般）</v>
          </cell>
          <cell r="C166" t="str">
            <v>Chi phí vật liệu quản lý</v>
          </cell>
          <cell r="D166" t="str">
            <v>消耗工具器具備品費</v>
          </cell>
          <cell r="E166" t="str">
            <v>Chi phí sử dụng công cụ,đồ đạc</v>
          </cell>
          <cell r="G166">
            <v>6005016423</v>
          </cell>
          <cell r="H166">
            <v>6005016423</v>
          </cell>
        </row>
        <row r="167">
          <cell r="A167">
            <v>6005126423</v>
          </cell>
          <cell r="B167" t="str">
            <v>事務用品費（一般）</v>
          </cell>
          <cell r="C167" t="str">
            <v>Chi phí đồ dùng văn phòng</v>
          </cell>
          <cell r="D167" t="str">
            <v>図書及び事務費</v>
          </cell>
          <cell r="E167" t="str">
            <v>Chi phí văn phòng</v>
          </cell>
          <cell r="G167">
            <v>6005126423</v>
          </cell>
        </row>
        <row r="168">
          <cell r="A168">
            <v>6006016611</v>
          </cell>
          <cell r="B168" t="str">
            <v>減価償却費（一般）　建物</v>
          </cell>
          <cell r="C168" t="str">
            <v>Chi phí khấu hao TSCĐ</v>
          </cell>
          <cell r="D168" t="str">
            <v>減価償却費</v>
          </cell>
          <cell r="E168" t="str">
            <v>Chi phí khấu hao</v>
          </cell>
          <cell r="G168">
            <v>6006016611</v>
          </cell>
        </row>
        <row r="169">
          <cell r="A169">
            <v>6006016612</v>
          </cell>
          <cell r="B169" t="str">
            <v>減価償却費（一般）　車輌運搬具</v>
          </cell>
          <cell r="C169" t="str">
            <v>Chi phí khấu hao TSCĐ</v>
          </cell>
          <cell r="D169" t="str">
            <v>減価償却費</v>
          </cell>
          <cell r="E169" t="str">
            <v>Chi phí khấu hao</v>
          </cell>
          <cell r="G169">
            <v>6006016612</v>
          </cell>
        </row>
        <row r="170">
          <cell r="A170">
            <v>6006016613</v>
          </cell>
          <cell r="B170" t="str">
            <v>減価償却費（一般）　工具器具備品</v>
          </cell>
          <cell r="C170" t="str">
            <v>Chi phí khấu hao TSCĐ</v>
          </cell>
          <cell r="D170" t="str">
            <v>減価償却費</v>
          </cell>
          <cell r="E170" t="str">
            <v>Chi phí khấu hao</v>
          </cell>
          <cell r="G170">
            <v>6006016613</v>
          </cell>
        </row>
        <row r="171">
          <cell r="A171">
            <v>6006016614</v>
          </cell>
          <cell r="B171" t="str">
            <v>減価償却費（一般）　構築物</v>
          </cell>
          <cell r="C171" t="str">
            <v>Chi phí khấu hao TSCĐ</v>
          </cell>
          <cell r="D171" t="str">
            <v>減価償却費</v>
          </cell>
          <cell r="E171" t="str">
            <v>Chi phí khấu hao</v>
          </cell>
          <cell r="G171">
            <v>6006016614</v>
          </cell>
        </row>
        <row r="172">
          <cell r="A172">
            <v>6006016615</v>
          </cell>
          <cell r="B172" t="str">
            <v>減価償却費（一般）　その他有形固定資産</v>
          </cell>
          <cell r="C172" t="str">
            <v>Chi phí khấu hao TSCĐ</v>
          </cell>
          <cell r="D172" t="str">
            <v>減価償却費</v>
          </cell>
          <cell r="E172" t="str">
            <v>Chi phí khấu hao</v>
          </cell>
          <cell r="G172">
            <v>6006016615</v>
          </cell>
        </row>
        <row r="173">
          <cell r="A173">
            <v>6006016616</v>
          </cell>
          <cell r="B173" t="str">
            <v>減価償却費（一般）　リース建物</v>
          </cell>
          <cell r="C173" t="str">
            <v>Chi phí khấu hao TSCĐ</v>
          </cell>
          <cell r="D173" t="str">
            <v>減価償却費</v>
          </cell>
          <cell r="E173" t="str">
            <v>Chi phí khấu hao</v>
          </cell>
          <cell r="G173">
            <v>6006016616</v>
          </cell>
        </row>
        <row r="174">
          <cell r="A174">
            <v>6006016617</v>
          </cell>
          <cell r="B174" t="str">
            <v>減価償却費（一般）　リース車輌運搬具</v>
          </cell>
          <cell r="C174" t="str">
            <v>Chi phí khấu hao TSCĐ</v>
          </cell>
          <cell r="D174" t="str">
            <v>減価償却費</v>
          </cell>
          <cell r="E174" t="str">
            <v>Chi phí khấu hao</v>
          </cell>
          <cell r="G174">
            <v>6006016617</v>
          </cell>
        </row>
        <row r="175">
          <cell r="A175">
            <v>6006016618</v>
          </cell>
          <cell r="B175" t="str">
            <v>減価償却費（一般）　リース工具器具備品</v>
          </cell>
          <cell r="C175" t="str">
            <v>Chi phí khấu hao TSCĐ</v>
          </cell>
          <cell r="D175" t="str">
            <v>減価償却費</v>
          </cell>
          <cell r="E175" t="str">
            <v>Chi phí khấu hao</v>
          </cell>
          <cell r="G175">
            <v>6006016618</v>
          </cell>
        </row>
        <row r="176">
          <cell r="A176">
            <v>6006016619</v>
          </cell>
          <cell r="B176" t="str">
            <v>減価償却費（一般）　リース構築物</v>
          </cell>
          <cell r="C176" t="str">
            <v>Chi phí khấu hao TSCĐ</v>
          </cell>
          <cell r="D176" t="str">
            <v>減価償却費</v>
          </cell>
          <cell r="E176" t="str">
            <v>Chi phí khấu hao</v>
          </cell>
          <cell r="G176">
            <v>6006016619</v>
          </cell>
        </row>
        <row r="177">
          <cell r="A177">
            <v>6006016620</v>
          </cell>
          <cell r="B177" t="str">
            <v>減価償却費（一般）　土地使用権</v>
          </cell>
          <cell r="C177" t="str">
            <v>Chi phí khấu hao TSCĐ</v>
          </cell>
          <cell r="D177" t="str">
            <v>減価償却費</v>
          </cell>
          <cell r="E177" t="str">
            <v>Chi phí khấu hao</v>
          </cell>
          <cell r="G177">
            <v>6006016620</v>
          </cell>
        </row>
        <row r="178">
          <cell r="A178">
            <v>6006016621</v>
          </cell>
          <cell r="B178" t="str">
            <v>減価償却費（一般）　出版著作権</v>
          </cell>
          <cell r="C178" t="str">
            <v>Chi phí khấu hao TSCĐ</v>
          </cell>
          <cell r="D178" t="str">
            <v>減価償却費</v>
          </cell>
          <cell r="E178" t="str">
            <v>Chi phí khấu hao</v>
          </cell>
          <cell r="G178">
            <v>6006016621</v>
          </cell>
        </row>
        <row r="179">
          <cell r="A179">
            <v>6006016622</v>
          </cell>
          <cell r="B179" t="str">
            <v>減価償却費（一般）　特許権</v>
          </cell>
          <cell r="C179" t="str">
            <v>Chi phí khấu hao TSCĐ</v>
          </cell>
          <cell r="D179" t="str">
            <v>減価償却費</v>
          </cell>
          <cell r="E179" t="str">
            <v>Chi phí khấu hao</v>
          </cell>
          <cell r="G179">
            <v>6006016622</v>
          </cell>
        </row>
        <row r="180">
          <cell r="A180">
            <v>6006016623</v>
          </cell>
          <cell r="B180" t="str">
            <v>減価償却費（一般）　商標権</v>
          </cell>
          <cell r="C180" t="str">
            <v>Chi phí khấu hao TSCĐ</v>
          </cell>
          <cell r="D180" t="str">
            <v>減価償却費</v>
          </cell>
          <cell r="E180" t="str">
            <v>Chi phí khấu hao</v>
          </cell>
          <cell r="G180">
            <v>6006016623</v>
          </cell>
        </row>
        <row r="181">
          <cell r="A181">
            <v>6006016624</v>
          </cell>
          <cell r="B181" t="str">
            <v>減価償却費（一般）　ソフトウェア</v>
          </cell>
          <cell r="C181" t="str">
            <v>Chi phí khấu hao TSCĐ</v>
          </cell>
          <cell r="D181" t="str">
            <v>減価償却費</v>
          </cell>
          <cell r="E181" t="str">
            <v>Chi phí khấu hao</v>
          </cell>
          <cell r="G181">
            <v>6006016624</v>
          </cell>
        </row>
        <row r="182">
          <cell r="A182">
            <v>6006016625</v>
          </cell>
          <cell r="B182" t="str">
            <v>減価償却費（一般）　営業権</v>
          </cell>
          <cell r="C182" t="str">
            <v>Chi phí khấu hao TSCĐ</v>
          </cell>
          <cell r="D182" t="str">
            <v>減価償却費</v>
          </cell>
          <cell r="E182" t="str">
            <v>Chi phí khấu hao</v>
          </cell>
          <cell r="G182">
            <v>6006016625</v>
          </cell>
        </row>
        <row r="183">
          <cell r="A183">
            <v>6006016626</v>
          </cell>
          <cell r="B183" t="str">
            <v>減価償却費（一般）　その他無形固定資産</v>
          </cell>
          <cell r="C183" t="str">
            <v>Chi phí khấu hao TSCĐ</v>
          </cell>
          <cell r="D183" t="str">
            <v>減価償却費</v>
          </cell>
          <cell r="E183" t="str">
            <v>Chi phí khấu hao</v>
          </cell>
          <cell r="G183">
            <v>6006016626</v>
          </cell>
        </row>
        <row r="184">
          <cell r="A184">
            <v>6006016627</v>
          </cell>
          <cell r="B184" t="str">
            <v>減価償却費（一般）　差異調整</v>
          </cell>
          <cell r="C184" t="str">
            <v>Chi phí khấu hao TSCĐ</v>
          </cell>
          <cell r="D184" t="str">
            <v>減価償却費</v>
          </cell>
          <cell r="E184" t="str">
            <v>Chi phí khấu hao</v>
          </cell>
          <cell r="G184">
            <v>6006016627</v>
          </cell>
        </row>
        <row r="185">
          <cell r="A185">
            <v>6006016628</v>
          </cell>
          <cell r="B185" t="str">
            <v>減価償却費配賦（一般）　建物</v>
          </cell>
          <cell r="C185" t="str">
            <v>Chi phí khấu hao TSCĐ</v>
          </cell>
          <cell r="D185" t="str">
            <v>減価償却費</v>
          </cell>
          <cell r="E185" t="str">
            <v>Chi phí khấu hao</v>
          </cell>
          <cell r="G185">
            <v>6006016628</v>
          </cell>
        </row>
        <row r="186">
          <cell r="A186">
            <v>6006016629</v>
          </cell>
          <cell r="B186" t="str">
            <v>減価償却費配賦（一般）　土地使用権</v>
          </cell>
          <cell r="C186" t="str">
            <v>Chi phí khấu hao TSCĐ</v>
          </cell>
          <cell r="D186" t="str">
            <v>減価償却費</v>
          </cell>
          <cell r="E186" t="str">
            <v>Chi phí khấu hao</v>
          </cell>
          <cell r="G186">
            <v>6006016629</v>
          </cell>
        </row>
        <row r="187">
          <cell r="A187">
            <v>6005186425</v>
          </cell>
          <cell r="B187" t="str">
            <v>外国契約者税（一般）</v>
          </cell>
          <cell r="C187" t="str">
            <v>Thuế phí và lệ phí</v>
          </cell>
          <cell r="D187" t="str">
            <v>公租公課</v>
          </cell>
          <cell r="E187" t="str">
            <v>Thuế,phí công cộng</v>
          </cell>
          <cell r="G187">
            <v>6005186425</v>
          </cell>
        </row>
        <row r="188">
          <cell r="A188">
            <v>6005186429</v>
          </cell>
          <cell r="B188" t="str">
            <v>その他税金（一般）</v>
          </cell>
          <cell r="C188" t="str">
            <v>Thuế phí và lệ phí</v>
          </cell>
          <cell r="D188" t="str">
            <v>公租公課</v>
          </cell>
          <cell r="E188" t="str">
            <v>Thuế,phí công cộng</v>
          </cell>
          <cell r="G188">
            <v>6005186429</v>
          </cell>
        </row>
        <row r="189">
          <cell r="A189">
            <v>6005266426</v>
          </cell>
          <cell r="B189" t="str">
            <v>貸倒引当金繰入（一般）</v>
          </cell>
          <cell r="C189" t="str">
            <v>Chi phí dự phòng</v>
          </cell>
          <cell r="D189" t="str">
            <v>雑費</v>
          </cell>
          <cell r="E189" t="str">
            <v>Các loại chi phí bằng tiền khác</v>
          </cell>
          <cell r="G189">
            <v>6005266426</v>
          </cell>
        </row>
        <row r="190">
          <cell r="A190">
            <v>6004096621</v>
          </cell>
          <cell r="B190" t="str">
            <v>求人費（一般）</v>
          </cell>
          <cell r="C190" t="str">
            <v>Chi phí dịch vụ mua ngoài</v>
          </cell>
          <cell r="D190" t="str">
            <v>募集教育費</v>
          </cell>
          <cell r="E190" t="str">
            <v>Chi phí tuyển dụng,đào tạo</v>
          </cell>
          <cell r="G190">
            <v>6004096621</v>
          </cell>
        </row>
        <row r="191">
          <cell r="A191">
            <v>6005046622</v>
          </cell>
          <cell r="B191" t="str">
            <v>修繕費（一般）</v>
          </cell>
          <cell r="C191" t="str">
            <v>Chi phí dịch vụ mua ngoài</v>
          </cell>
          <cell r="D191" t="str">
            <v>修繕費</v>
          </cell>
          <cell r="E191" t="str">
            <v>Chi phí sửa chữa</v>
          </cell>
          <cell r="G191">
            <v>6005046622</v>
          </cell>
        </row>
        <row r="192">
          <cell r="A192">
            <v>6005046635</v>
          </cell>
          <cell r="B192" t="str">
            <v>保守料（一般）</v>
          </cell>
          <cell r="C192" t="str">
            <v>Chi phí dịch vụ mua ngoài</v>
          </cell>
          <cell r="D192" t="str">
            <v>修繕費</v>
          </cell>
          <cell r="E192" t="str">
            <v>Chi phí sửa chữa</v>
          </cell>
          <cell r="G192">
            <v>6005046635</v>
          </cell>
        </row>
        <row r="193">
          <cell r="A193">
            <v>6005056623</v>
          </cell>
          <cell r="B193" t="str">
            <v>電気代（一般）</v>
          </cell>
          <cell r="C193" t="str">
            <v>Chi phí dịch vụ mua ngoài</v>
          </cell>
          <cell r="D193" t="str">
            <v>水道光熱費</v>
          </cell>
          <cell r="E193" t="str">
            <v>Chi phí Utilities(điện,nước..)</v>
          </cell>
          <cell r="G193">
            <v>6005056623</v>
          </cell>
        </row>
        <row r="194">
          <cell r="A194">
            <v>6005056624</v>
          </cell>
          <cell r="B194" t="str">
            <v>水道代（一般）</v>
          </cell>
          <cell r="C194" t="str">
            <v>Chi phí dịch vụ mua ngoài</v>
          </cell>
          <cell r="D194" t="str">
            <v>水道光熱費</v>
          </cell>
          <cell r="E194" t="str">
            <v>Chi phí Utilities(điện,nước..)</v>
          </cell>
          <cell r="G194">
            <v>6005056624</v>
          </cell>
        </row>
        <row r="195">
          <cell r="A195">
            <v>6005056625</v>
          </cell>
          <cell r="B195" t="str">
            <v>ガス代（一般）</v>
          </cell>
          <cell r="C195" t="str">
            <v>Chi phí dịch vụ mua ngoài</v>
          </cell>
          <cell r="D195" t="str">
            <v>水道光熱費</v>
          </cell>
          <cell r="E195" t="str">
            <v>Chi phí Utilities(điện,nước..)</v>
          </cell>
          <cell r="G195">
            <v>6005056625</v>
          </cell>
        </row>
        <row r="196">
          <cell r="A196">
            <v>6005136626</v>
          </cell>
          <cell r="B196" t="str">
            <v>通信費（一般）</v>
          </cell>
          <cell r="C196" t="str">
            <v>Chi phí dịch vụ mua ngoài</v>
          </cell>
          <cell r="D196" t="str">
            <v>通信費</v>
          </cell>
          <cell r="E196" t="str">
            <v>Chi phí điện thoại</v>
          </cell>
          <cell r="G196">
            <v>6005136626</v>
          </cell>
        </row>
        <row r="197">
          <cell r="A197">
            <v>6005146627</v>
          </cell>
          <cell r="B197" t="str">
            <v>図書印刷費（一般）</v>
          </cell>
          <cell r="C197" t="str">
            <v>Chi phí dịch vụ mua ngoài</v>
          </cell>
          <cell r="D197" t="str">
            <v>図書及び事務費</v>
          </cell>
          <cell r="E197" t="str">
            <v>Chi phí văn phòng</v>
          </cell>
          <cell r="G197">
            <v>6005146627</v>
          </cell>
        </row>
        <row r="198">
          <cell r="A198">
            <v>6005146628</v>
          </cell>
          <cell r="B198" t="str">
            <v>ＫＤＣシステム使用料（一般）</v>
          </cell>
          <cell r="C198" t="str">
            <v>Chi phí dịch vụ mua ngoài</v>
          </cell>
          <cell r="D198" t="str">
            <v>図書及び事務費</v>
          </cell>
          <cell r="E198" t="str">
            <v>Chi phí văn phòng</v>
          </cell>
          <cell r="G198">
            <v>6005146628</v>
          </cell>
        </row>
        <row r="199">
          <cell r="A199">
            <v>6005146629</v>
          </cell>
          <cell r="B199" t="str">
            <v>ライセンス料（一般）</v>
          </cell>
          <cell r="C199" t="str">
            <v>Chi phí dịch vụ mua ngoài</v>
          </cell>
          <cell r="D199" t="str">
            <v>図書及び事務費</v>
          </cell>
          <cell r="E199" t="str">
            <v>Chi phí văn phòng</v>
          </cell>
          <cell r="G199">
            <v>6005146629</v>
          </cell>
        </row>
        <row r="200">
          <cell r="A200">
            <v>6005156630</v>
          </cell>
          <cell r="B200" t="str">
            <v>広告宣伝費（一般）</v>
          </cell>
          <cell r="C200" t="str">
            <v>Chi phí dịch vụ mua ngoài</v>
          </cell>
          <cell r="D200" t="str">
            <v>雑費</v>
          </cell>
          <cell r="E200" t="str">
            <v>Các loại chi phí bằng tiền khác</v>
          </cell>
          <cell r="G200">
            <v>6005156630</v>
          </cell>
        </row>
        <row r="201">
          <cell r="A201">
            <v>6005206631</v>
          </cell>
          <cell r="B201" t="str">
            <v>会費（一般）</v>
          </cell>
          <cell r="C201" t="str">
            <v>Chi phí dịch vụ mua ngoài</v>
          </cell>
          <cell r="D201" t="str">
            <v>会費及び会議費</v>
          </cell>
          <cell r="E201" t="str">
            <v>Chi phí cuộc họp</v>
          </cell>
          <cell r="G201">
            <v>6005206631</v>
          </cell>
        </row>
        <row r="202">
          <cell r="A202">
            <v>6005216632</v>
          </cell>
          <cell r="B202" t="str">
            <v>委嘱報酬・設計委託費（一般）</v>
          </cell>
          <cell r="C202" t="str">
            <v>Chi phí dịch vụ mua ngoài</v>
          </cell>
          <cell r="D202" t="str">
            <v>委嘱報酬</v>
          </cell>
          <cell r="E202" t="str">
            <v>Thù lao ủy thác,phí hoa hồng</v>
          </cell>
          <cell r="G202">
            <v>6005216632</v>
          </cell>
        </row>
        <row r="203">
          <cell r="A203">
            <v>6005226633</v>
          </cell>
          <cell r="B203" t="str">
            <v>保険料（一般）</v>
          </cell>
          <cell r="C203" t="str">
            <v>Chi phí dịch vụ mua ngoài</v>
          </cell>
          <cell r="D203" t="str">
            <v>保険料</v>
          </cell>
          <cell r="E203" t="str">
            <v>Chi phí bảo hiểm</v>
          </cell>
          <cell r="G203">
            <v>6005226633</v>
          </cell>
        </row>
        <row r="204">
          <cell r="A204">
            <v>6005236634</v>
          </cell>
          <cell r="B204" t="str">
            <v>事務所賃借料（一般）</v>
          </cell>
          <cell r="C204" t="str">
            <v>Chi phí dịch vụ mua ngoài</v>
          </cell>
          <cell r="D204" t="str">
            <v>賃借料</v>
          </cell>
          <cell r="E204" t="str">
            <v>Chi phí thuê</v>
          </cell>
          <cell r="G204">
            <v>6005236634</v>
          </cell>
        </row>
        <row r="205">
          <cell r="A205">
            <v>6005246636</v>
          </cell>
          <cell r="B205" t="str">
            <v>取扱手数料（一般）</v>
          </cell>
          <cell r="C205" t="str">
            <v>Chi phí dịch vụ mua ngoài</v>
          </cell>
          <cell r="D205" t="str">
            <v>手数料</v>
          </cell>
          <cell r="E205" t="str">
            <v>Tiền dịch vụ,tiền lệ phí</v>
          </cell>
          <cell r="G205">
            <v>6005246636</v>
          </cell>
        </row>
        <row r="206">
          <cell r="A206">
            <v>6005246672</v>
          </cell>
          <cell r="B206" t="str">
            <v>銀行手数料（一般）</v>
          </cell>
          <cell r="C206" t="str">
            <v>Chi phí dịch vụ mua ngoài</v>
          </cell>
          <cell r="D206" t="str">
            <v>手数料</v>
          </cell>
          <cell r="E206" t="str">
            <v>Tiền dịch vụ,tiền lệ phí</v>
          </cell>
          <cell r="G206">
            <v>6005246672</v>
          </cell>
        </row>
        <row r="207">
          <cell r="A207">
            <v>6005246673</v>
          </cell>
          <cell r="B207" t="str">
            <v>その他手数料（一般）</v>
          </cell>
          <cell r="C207" t="str">
            <v>Chi phí dịch vụ mua ngoài</v>
          </cell>
          <cell r="D207" t="str">
            <v>手数料</v>
          </cell>
          <cell r="E207" t="str">
            <v>Tiền dịch vụ,tiền lệ phí</v>
          </cell>
          <cell r="G207">
            <v>6005246673</v>
          </cell>
        </row>
        <row r="208">
          <cell r="A208">
            <v>6005246674</v>
          </cell>
          <cell r="B208" t="str">
            <v>ＫＤＣ手数料（一般）</v>
          </cell>
          <cell r="C208" t="str">
            <v>Chi phí dịch vụ mua ngoài</v>
          </cell>
          <cell r="D208" t="str">
            <v>手数料</v>
          </cell>
          <cell r="E208" t="str">
            <v>Tiền dịch vụ,tiền lệ phí</v>
          </cell>
          <cell r="G208">
            <v>6005246674</v>
          </cell>
        </row>
        <row r="209">
          <cell r="A209">
            <v>6004086651</v>
          </cell>
          <cell r="B209" t="str">
            <v>福利厚生費（一般）</v>
          </cell>
          <cell r="C209" t="str">
            <v>Chi phí bằng tiền khác</v>
          </cell>
          <cell r="D209" t="str">
            <v>福利厚生費</v>
          </cell>
          <cell r="E209" t="str">
            <v>Chi phí phúc lợi</v>
          </cell>
          <cell r="G209">
            <v>6004086651</v>
          </cell>
        </row>
        <row r="210">
          <cell r="A210">
            <v>6004086653</v>
          </cell>
          <cell r="B210" t="str">
            <v>教育訓練費（一般）</v>
          </cell>
          <cell r="C210" t="str">
            <v>Chi phí bằng tiền khác</v>
          </cell>
          <cell r="D210" t="str">
            <v>募集教育費</v>
          </cell>
          <cell r="E210" t="str">
            <v>Chi phí tuyển dụng,đào tạo</v>
          </cell>
          <cell r="G210">
            <v>6004086653</v>
          </cell>
        </row>
        <row r="211">
          <cell r="A211">
            <v>6005116654</v>
          </cell>
          <cell r="B211" t="str">
            <v>ベトナム国内交通費（一般）</v>
          </cell>
          <cell r="C211" t="str">
            <v>Chi phí bằng tiền khác</v>
          </cell>
          <cell r="D211" t="str">
            <v>旅費交通費</v>
          </cell>
          <cell r="E211" t="str">
            <v>Chi phí di chuyển</v>
          </cell>
          <cell r="G211">
            <v>6005116654</v>
          </cell>
        </row>
        <row r="212">
          <cell r="A212">
            <v>6005116655</v>
          </cell>
          <cell r="B212" t="str">
            <v>海外渡航費（一般）</v>
          </cell>
          <cell r="C212" t="str">
            <v>Chi phí bằng tiền khác</v>
          </cell>
          <cell r="D212" t="str">
            <v>渡航費</v>
          </cell>
          <cell r="E212" t="str">
            <v>Chi phí di chuyển(nước ngoài)</v>
          </cell>
          <cell r="G212">
            <v>6005116655</v>
          </cell>
        </row>
        <row r="213">
          <cell r="A213">
            <v>6005136657</v>
          </cell>
          <cell r="B213" t="str">
            <v>郵送代（一般）</v>
          </cell>
          <cell r="C213" t="str">
            <v>Chi phí bằng tiền khác</v>
          </cell>
          <cell r="D213" t="str">
            <v>通信費</v>
          </cell>
          <cell r="E213" t="str">
            <v>Chi phí điện thoại</v>
          </cell>
          <cell r="G213">
            <v>6005136657</v>
          </cell>
        </row>
        <row r="214">
          <cell r="A214">
            <v>6005166658</v>
          </cell>
          <cell r="B214" t="str">
            <v>接待交際費（一般）</v>
          </cell>
          <cell r="C214" t="str">
            <v>Chi phí bằng tiền khác</v>
          </cell>
          <cell r="D214" t="str">
            <v>接待交際費</v>
          </cell>
          <cell r="E214" t="str">
            <v>Chi phí tiếp khách</v>
          </cell>
          <cell r="G214">
            <v>6005166658</v>
          </cell>
        </row>
        <row r="215">
          <cell r="A215">
            <v>6005176659</v>
          </cell>
          <cell r="B215" t="str">
            <v>寄付金（一般）</v>
          </cell>
          <cell r="C215" t="str">
            <v>Chi phí bằng tiền khác</v>
          </cell>
          <cell r="D215" t="str">
            <v>雑費</v>
          </cell>
          <cell r="E215" t="str">
            <v>Các loại chi phí bằng tiền khác</v>
          </cell>
          <cell r="G215">
            <v>6005176659</v>
          </cell>
        </row>
        <row r="216">
          <cell r="A216">
            <v>6005246671</v>
          </cell>
          <cell r="B216" t="str">
            <v>雑費（一般）</v>
          </cell>
          <cell r="C216" t="str">
            <v>Chi phí bằng tiền khác</v>
          </cell>
          <cell r="D216" t="str">
            <v>雑費</v>
          </cell>
          <cell r="E216" t="str">
            <v>Các loại chi phí bằng tiền khác</v>
          </cell>
          <cell r="G216">
            <v>6005246671</v>
          </cell>
        </row>
        <row r="217">
          <cell r="A217">
            <v>6005246675</v>
          </cell>
          <cell r="B217" t="str">
            <v>会議費（一般）</v>
          </cell>
          <cell r="C217" t="str">
            <v>Chi phí bằng tiền khác</v>
          </cell>
          <cell r="D217" t="str">
            <v>会費及び会議費</v>
          </cell>
          <cell r="E217" t="str">
            <v>Chi phí cuộc họp</v>
          </cell>
          <cell r="G217">
            <v>6005246675</v>
          </cell>
        </row>
        <row r="218">
          <cell r="A218">
            <v>6005246676</v>
          </cell>
          <cell r="B218" t="str">
            <v>開発費振替勘定（一般）</v>
          </cell>
          <cell r="C218" t="str">
            <v>Chi phí bằng tiền khác</v>
          </cell>
          <cell r="D218" t="str">
            <v>雑費</v>
          </cell>
          <cell r="E218" t="str">
            <v>Các loại chi phí bằng tiền khác</v>
          </cell>
          <cell r="G218">
            <v>6005246676</v>
          </cell>
        </row>
        <row r="219">
          <cell r="A219">
            <v>8001017111</v>
          </cell>
          <cell r="B219" t="str">
            <v>固定資産売却益</v>
          </cell>
          <cell r="C219" t="str">
            <v>Thu nhập khác</v>
          </cell>
          <cell r="D219" t="str">
            <v>特別利益</v>
          </cell>
          <cell r="E219" t="str">
            <v>Lợi nhuận đặc biệt</v>
          </cell>
          <cell r="F219" t="str">
            <v>8001017111</v>
          </cell>
          <cell r="G219">
            <v>8001017111</v>
          </cell>
          <cell r="H219">
            <v>8001017111</v>
          </cell>
        </row>
        <row r="220">
          <cell r="A220">
            <v>8001027111</v>
          </cell>
          <cell r="B220" t="str">
            <v>前期損益修正益</v>
          </cell>
          <cell r="C220" t="str">
            <v>Thu nhập khác</v>
          </cell>
          <cell r="D220" t="str">
            <v>特別利益</v>
          </cell>
          <cell r="E220" t="str">
            <v>Lợi nhuận đặc biệt</v>
          </cell>
          <cell r="F220" t="str">
            <v>8001027111</v>
          </cell>
          <cell r="G220">
            <v>8001027111</v>
          </cell>
          <cell r="H220">
            <v>8001027111</v>
          </cell>
        </row>
        <row r="221">
          <cell r="A221">
            <v>8001037111</v>
          </cell>
          <cell r="B221" t="str">
            <v>その他特別利益</v>
          </cell>
          <cell r="C221" t="str">
            <v>Thu nhập khác</v>
          </cell>
          <cell r="D221" t="str">
            <v>特別利益</v>
          </cell>
          <cell r="E221" t="str">
            <v>Lợi nhuận đặc biệt</v>
          </cell>
          <cell r="F221" t="str">
            <v>8001037111</v>
          </cell>
          <cell r="G221">
            <v>8001037111</v>
          </cell>
          <cell r="H221">
            <v>8001037111</v>
          </cell>
        </row>
        <row r="222">
          <cell r="A222">
            <v>7002048111</v>
          </cell>
          <cell r="B222" t="str">
            <v>雑損失</v>
          </cell>
          <cell r="C222" t="str">
            <v>Chi phí khác</v>
          </cell>
          <cell r="D222" t="str">
            <v>雑損失</v>
          </cell>
          <cell r="E222" t="str">
            <v>Tổn thất,lỗ khác</v>
          </cell>
          <cell r="F222" t="str">
            <v>7002048111</v>
          </cell>
          <cell r="G222">
            <v>7002048111</v>
          </cell>
          <cell r="H222">
            <v>7002048111</v>
          </cell>
        </row>
        <row r="223">
          <cell r="A223">
            <v>7002048112</v>
          </cell>
          <cell r="B223" t="str">
            <v>棚卸資産廃棄損</v>
          </cell>
          <cell r="C223" t="str">
            <v>Chi phí khác</v>
          </cell>
          <cell r="D223" t="str">
            <v>棚卸資産廃棄損</v>
          </cell>
          <cell r="E223" t="str">
            <v>Tổn thất tài sản hư hỏng sau kiểm kê</v>
          </cell>
          <cell r="F223" t="str">
            <v>7002048112</v>
          </cell>
          <cell r="G223">
            <v>7002048112</v>
          </cell>
          <cell r="H223">
            <v>7002048112</v>
          </cell>
        </row>
        <row r="224">
          <cell r="A224">
            <v>8002018111</v>
          </cell>
          <cell r="B224" t="str">
            <v>固定資産売却損・除却損</v>
          </cell>
          <cell r="C224" t="str">
            <v>Chi phí khác</v>
          </cell>
          <cell r="D224" t="str">
            <v>特別損失</v>
          </cell>
          <cell r="E224" t="str">
            <v>Lỗ đặc biệt</v>
          </cell>
          <cell r="F224" t="str">
            <v>8002018111</v>
          </cell>
          <cell r="G224">
            <v>8002018111</v>
          </cell>
          <cell r="H224">
            <v>8002018111</v>
          </cell>
        </row>
        <row r="225">
          <cell r="A225">
            <v>8002028111</v>
          </cell>
          <cell r="B225" t="str">
            <v>前期損益修正損</v>
          </cell>
          <cell r="C225" t="str">
            <v>Chi phí khác</v>
          </cell>
          <cell r="D225" t="str">
            <v>特別損失</v>
          </cell>
          <cell r="E225" t="str">
            <v>Lỗ đặc biệt</v>
          </cell>
          <cell r="F225" t="str">
            <v>8002028111</v>
          </cell>
          <cell r="G225">
            <v>8002028111</v>
          </cell>
          <cell r="H225">
            <v>8002028111</v>
          </cell>
        </row>
        <row r="226">
          <cell r="A226">
            <v>8002038111</v>
          </cell>
          <cell r="B226" t="str">
            <v>その他特別損失</v>
          </cell>
          <cell r="C226" t="str">
            <v>Chi phí khác</v>
          </cell>
          <cell r="D226" t="str">
            <v>特別損失</v>
          </cell>
          <cell r="E226" t="str">
            <v>Lỗ đặc biệt</v>
          </cell>
          <cell r="F226" t="str">
            <v>8002038111</v>
          </cell>
          <cell r="G226">
            <v>8002038111</v>
          </cell>
          <cell r="H226">
            <v>8002038111</v>
          </cell>
        </row>
        <row r="227">
          <cell r="A227">
            <v>9114120002</v>
          </cell>
          <cell r="B227" t="str">
            <v>社外出荷</v>
          </cell>
          <cell r="D227" t="str">
            <v>社外出荷</v>
          </cell>
          <cell r="E227" t="str">
            <v>Xuất hàng ra ngoài</v>
          </cell>
          <cell r="F227" t="str">
            <v>9114120002</v>
          </cell>
          <cell r="G227">
            <v>9114120002</v>
          </cell>
          <cell r="H227">
            <v>9114120002</v>
          </cell>
        </row>
        <row r="228">
          <cell r="A228">
            <v>9114120004</v>
          </cell>
          <cell r="B228" t="str">
            <v>社内売</v>
          </cell>
          <cell r="D228" t="str">
            <v>社内売</v>
          </cell>
          <cell r="E228" t="str">
            <v>Bán hàng nội bộ</v>
          </cell>
          <cell r="F228" t="str">
            <v>9114120004</v>
          </cell>
          <cell r="G228">
            <v>9114120004</v>
          </cell>
          <cell r="H228">
            <v>9114120004</v>
          </cell>
        </row>
        <row r="229">
          <cell r="A229">
            <v>9114120005</v>
          </cell>
          <cell r="B229" t="str">
            <v>支払営業口銭</v>
          </cell>
          <cell r="D229" t="str">
            <v>営業経費</v>
          </cell>
          <cell r="E229" t="str">
            <v>Chi phí hoạt động</v>
          </cell>
          <cell r="F229" t="str">
            <v>9114120005</v>
          </cell>
          <cell r="G229">
            <v>9114120005</v>
          </cell>
          <cell r="H229">
            <v>9114120005</v>
          </cell>
        </row>
        <row r="230">
          <cell r="A230">
            <v>9114120006</v>
          </cell>
          <cell r="B230" t="str">
            <v>材料費(指図出庫）</v>
          </cell>
          <cell r="D230" t="str">
            <v>材料費</v>
          </cell>
          <cell r="E230" t="str">
            <v>Chi phí nguyên vật liệu</v>
          </cell>
          <cell r="F230" t="str">
            <v>9114120006</v>
          </cell>
          <cell r="G230">
            <v>9114120006</v>
          </cell>
          <cell r="H230">
            <v>9114120006</v>
          </cell>
        </row>
        <row r="231">
          <cell r="A231">
            <v>9114120007</v>
          </cell>
          <cell r="B231" t="str">
            <v>社内金利（固定資産）</v>
          </cell>
          <cell r="D231" t="str">
            <v>固定資産金利</v>
          </cell>
          <cell r="E231" t="str">
            <v>Lãi suất tài sản cố định</v>
          </cell>
          <cell r="F231" t="str">
            <v>9114120007</v>
          </cell>
          <cell r="G231">
            <v>9114120007</v>
          </cell>
          <cell r="H231">
            <v>9114120007</v>
          </cell>
        </row>
        <row r="232">
          <cell r="A232">
            <v>9114120008</v>
          </cell>
          <cell r="B232" t="str">
            <v>仕入製商品費</v>
          </cell>
          <cell r="D232" t="str">
            <v>仕入製商品費</v>
          </cell>
          <cell r="E232" t="str">
            <v>Chi phí bán hàng</v>
          </cell>
          <cell r="F232" t="str">
            <v>9114120008</v>
          </cell>
        </row>
        <row r="233">
          <cell r="A233">
            <v>9114120009</v>
          </cell>
          <cell r="B233" t="str">
            <v>社内金利（在庫）</v>
          </cell>
          <cell r="D233" t="str">
            <v>在庫金利</v>
          </cell>
          <cell r="E233" t="str">
            <v>Lãi suất tồn kho</v>
          </cell>
          <cell r="F233" t="str">
            <v>9114120009</v>
          </cell>
          <cell r="G233">
            <v>9114120009</v>
          </cell>
          <cell r="H233">
            <v>9114120009</v>
          </cell>
        </row>
        <row r="234">
          <cell r="A234">
            <v>9114120011</v>
          </cell>
          <cell r="B234" t="str">
            <v>内部諸経費</v>
          </cell>
          <cell r="D234" t="str">
            <v>内部諸経費</v>
          </cell>
          <cell r="E234" t="str">
            <v>Chi phí nội bộ</v>
          </cell>
          <cell r="F234" t="str">
            <v>9114120011</v>
          </cell>
          <cell r="G234">
            <v>9114120011</v>
          </cell>
          <cell r="H234">
            <v>9114120011</v>
          </cell>
        </row>
        <row r="235">
          <cell r="A235">
            <v>9114120014</v>
          </cell>
          <cell r="B235" t="str">
            <v>社内買</v>
          </cell>
          <cell r="D235" t="str">
            <v>社内買</v>
          </cell>
          <cell r="E235" t="str">
            <v>Mua hàng nội bộ</v>
          </cell>
          <cell r="F235" t="str">
            <v>9114120014</v>
          </cell>
          <cell r="G235">
            <v>9114120014</v>
          </cell>
          <cell r="H235">
            <v>9114120014</v>
          </cell>
        </row>
        <row r="236">
          <cell r="A236">
            <v>9114120018</v>
          </cell>
          <cell r="B236" t="str">
            <v>部内間接経費</v>
          </cell>
          <cell r="D236" t="str">
            <v>部内間接経費</v>
          </cell>
          <cell r="E236" t="str">
            <v>Chi phí trong bộ phận(gián tiếp)</v>
          </cell>
          <cell r="F236" t="str">
            <v>9114120018</v>
          </cell>
          <cell r="G236">
            <v>9114120018</v>
          </cell>
          <cell r="H236">
            <v>9114120018</v>
          </cell>
        </row>
        <row r="237">
          <cell r="A237">
            <v>9114120021</v>
          </cell>
          <cell r="B237" t="str">
            <v>工場間接経費</v>
          </cell>
          <cell r="D237" t="str">
            <v>工場間接経費</v>
          </cell>
          <cell r="E237" t="str">
            <v xml:space="preserve">Chi phí nhà máy(gián tiếp) </v>
          </cell>
          <cell r="F237" t="str">
            <v>9114120021</v>
          </cell>
          <cell r="G237">
            <v>9114120021</v>
          </cell>
          <cell r="H237">
            <v>9114120021</v>
          </cell>
        </row>
        <row r="238">
          <cell r="A238">
            <v>9114120028</v>
          </cell>
          <cell r="B238" t="str">
            <v>社内システム使用料</v>
          </cell>
          <cell r="D238" t="str">
            <v>社内システム使用料</v>
          </cell>
          <cell r="E238" t="str">
            <v>Phí sử dụng phần mềm nội bộ</v>
          </cell>
          <cell r="F238" t="str">
            <v>9114120028</v>
          </cell>
          <cell r="G238">
            <v>9114120028</v>
          </cell>
          <cell r="H238">
            <v>9114120028</v>
          </cell>
        </row>
        <row r="239">
          <cell r="A239">
            <v>9114120029</v>
          </cell>
          <cell r="B239" t="str">
            <v>部外間接経費1</v>
          </cell>
          <cell r="D239" t="str">
            <v>部外間接経費1</v>
          </cell>
          <cell r="E239" t="str">
            <v>Chi phí ngoài bộ phận(gián tiếp 1)</v>
          </cell>
          <cell r="F239" t="str">
            <v>9114120029</v>
          </cell>
          <cell r="G239">
            <v>9114120029</v>
          </cell>
          <cell r="H239">
            <v>9114120029</v>
          </cell>
        </row>
        <row r="240">
          <cell r="A240">
            <v>9114120030</v>
          </cell>
          <cell r="B240" t="str">
            <v>部外間接経費2</v>
          </cell>
          <cell r="D240" t="str">
            <v>部外間接経費2</v>
          </cell>
          <cell r="E240" t="str">
            <v>Chi phí ngoài bộ phận(gián tiếp 2)</v>
          </cell>
          <cell r="F240" t="str">
            <v>9114120030</v>
          </cell>
          <cell r="G240">
            <v>9114120030</v>
          </cell>
          <cell r="H240">
            <v>9114120030</v>
          </cell>
        </row>
        <row r="241">
          <cell r="A241">
            <v>5005046284</v>
          </cell>
          <cell r="B241" t="str">
            <v>金型修繕費（製造）</v>
          </cell>
          <cell r="C241" t="str">
            <v>Chi phi dịch vụ mua ngoài</v>
          </cell>
          <cell r="D241" t="str">
            <v>修繕費</v>
          </cell>
          <cell r="E241" t="str">
            <v>Chi phi dịch vụ mua ngoài</v>
          </cell>
          <cell r="F241" t="str">
            <v>5005046284</v>
          </cell>
        </row>
        <row r="242">
          <cell r="A242">
            <v>5005016373</v>
          </cell>
          <cell r="B242" t="str">
            <v>生産用文房具（製造）</v>
          </cell>
          <cell r="C242" t="str">
            <v>Chi phí dụng cụ sản xuất</v>
          </cell>
          <cell r="D242" t="str">
            <v>消耗品費</v>
          </cell>
          <cell r="E242" t="str">
            <v>Chi phí dụng cụ sản xuất</v>
          </cell>
          <cell r="F242" t="str">
            <v>5005016373</v>
          </cell>
        </row>
        <row r="243">
          <cell r="A243">
            <v>6005016422</v>
          </cell>
          <cell r="B243" t="str">
            <v>消耗品費（一般）</v>
          </cell>
          <cell r="C243" t="str">
            <v>Chi phí vật liệu quản lý</v>
          </cell>
          <cell r="D243" t="str">
            <v>消耗品費</v>
          </cell>
          <cell r="E243" t="str">
            <v>Chi phí hàng hóa tiêu hao</v>
          </cell>
          <cell r="G243">
            <v>6005016422</v>
          </cell>
        </row>
        <row r="244">
          <cell r="A244">
            <v>5001016151</v>
          </cell>
          <cell r="B244" t="str">
            <v>生産用副資材</v>
          </cell>
          <cell r="C244" t="str">
            <v>Chi phí nguyên liệu, vật liệu trực tiếp</v>
          </cell>
          <cell r="D244" t="str">
            <v>材料費</v>
          </cell>
          <cell r="E244" t="str">
            <v>Chi phí nguyên liệu, vật liệu trực tiếp</v>
          </cell>
          <cell r="F244" t="str">
            <v>5001016151</v>
          </cell>
        </row>
        <row r="245">
          <cell r="A245">
            <v>6006016630</v>
          </cell>
          <cell r="B245" t="str">
            <v>減価償却費（一般）機械装置</v>
          </cell>
          <cell r="C245" t="str">
            <v>Chi phí khấu hao TBMM</v>
          </cell>
          <cell r="D245" t="str">
            <v>減価償却費</v>
          </cell>
          <cell r="E245" t="str">
            <v>Chi phí khấu hao</v>
          </cell>
          <cell r="G245">
            <v>6006016630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7" t="str">
        <f>'採算表(VND)'!C1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103">
        <f>'内訳ﾘｽﾄ(4～3月)'!B2</f>
        <v>25390</v>
      </c>
      <c r="O1" s="95"/>
    </row>
    <row r="2" spans="1:15" ht="14.25" customHeight="1" thickBot="1">
      <c r="B2" s="21" t="str">
        <f>'採算表(VND)'!B2</f>
        <v>MD1課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4"/>
      <c r="O2" s="52"/>
    </row>
    <row r="3" spans="1:15" ht="11.25" customHeight="1">
      <c r="C3" s="70"/>
      <c r="D3" s="70"/>
      <c r="E3" s="63"/>
      <c r="F3" s="70"/>
      <c r="G3" s="70"/>
      <c r="H3" s="63"/>
      <c r="I3" s="70"/>
      <c r="J3" s="63"/>
      <c r="K3" s="70"/>
      <c r="L3" s="70"/>
      <c r="M3" s="70"/>
      <c r="N3" s="70"/>
      <c r="O3" s="70"/>
    </row>
    <row r="4" spans="1:15">
      <c r="A4" s="24"/>
      <c r="B4" s="25" t="s">
        <v>71</v>
      </c>
      <c r="C4" s="69">
        <f>'採算表(VND)'!C4</f>
        <v>4</v>
      </c>
      <c r="D4" s="69">
        <f>'採算表(VND)'!D4</f>
        <v>5</v>
      </c>
      <c r="E4" s="69">
        <f>'採算表(VND)'!E4</f>
        <v>6</v>
      </c>
      <c r="F4" s="69">
        <f>'採算表(VND)'!F4</f>
        <v>7</v>
      </c>
      <c r="G4" s="69">
        <f>'採算表(VND)'!G4</f>
        <v>8</v>
      </c>
      <c r="H4" s="69">
        <f>'採算表(VND)'!H4</f>
        <v>9</v>
      </c>
      <c r="I4" s="69">
        <f>'採算表(VND)'!I4</f>
        <v>10</v>
      </c>
      <c r="J4" s="69">
        <f>'採算表(VND)'!J4</f>
        <v>11</v>
      </c>
      <c r="K4" s="69">
        <f>'採算表(VND)'!K4</f>
        <v>12</v>
      </c>
      <c r="L4" s="69">
        <f>'採算表(VND)'!L4</f>
        <v>1</v>
      </c>
      <c r="M4" s="69">
        <f>'採算表(VND)'!M4</f>
        <v>2</v>
      </c>
      <c r="N4" s="69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8">
        <f>C8+C9</f>
        <v>157754.28</v>
      </c>
      <c r="D5" s="128">
        <f t="shared" ref="D5:O5" si="0">D8+D9</f>
        <v>109708.83</v>
      </c>
      <c r="E5" s="128">
        <f t="shared" si="0"/>
        <v>18580.41</v>
      </c>
      <c r="F5" s="128">
        <f t="shared" si="0"/>
        <v>20971.09</v>
      </c>
      <c r="G5" s="128">
        <f t="shared" si="0"/>
        <v>20506.54</v>
      </c>
      <c r="H5" s="128">
        <f t="shared" si="0"/>
        <v>52349.04</v>
      </c>
      <c r="I5" s="128">
        <f t="shared" si="0"/>
        <v>30050.97</v>
      </c>
      <c r="J5" s="128">
        <f t="shared" si="0"/>
        <v>26150.47</v>
      </c>
      <c r="K5" s="128">
        <f t="shared" si="0"/>
        <v>25642.34</v>
      </c>
      <c r="L5" s="128">
        <f t="shared" si="0"/>
        <v>34544.69</v>
      </c>
      <c r="M5" s="128">
        <f t="shared" si="0"/>
        <v>30156.2</v>
      </c>
      <c r="N5" s="128">
        <f t="shared" si="0"/>
        <v>43456.52</v>
      </c>
      <c r="O5" s="128">
        <f t="shared" si="0"/>
        <v>569871.37999999989</v>
      </c>
    </row>
    <row r="6" spans="1:15" ht="11.25" customHeight="1">
      <c r="A6" s="26"/>
      <c r="B6" s="29" t="s">
        <v>141</v>
      </c>
      <c r="C6" s="129">
        <f>ROUNDDOWN('採算表(VND)'!C6/$N$1,2)</f>
        <v>157754.28</v>
      </c>
      <c r="D6" s="129">
        <f>ROUNDDOWN('採算表(VND)'!D6/$N$1,2)</f>
        <v>109708.83</v>
      </c>
      <c r="E6" s="129">
        <f>ROUNDDOWN('採算表(VND)'!E6/$N$1,2)</f>
        <v>18580.41</v>
      </c>
      <c r="F6" s="129">
        <f>ROUNDDOWN('採算表(VND)'!F6/$N$1,2)</f>
        <v>20971.09</v>
      </c>
      <c r="G6" s="129">
        <f>ROUNDDOWN('採算表(VND)'!G6/$N$1,2)</f>
        <v>20506.54</v>
      </c>
      <c r="H6" s="129">
        <f>ROUNDDOWN('採算表(VND)'!H6/$N$1,2)</f>
        <v>52349.04</v>
      </c>
      <c r="I6" s="129">
        <f>ROUNDDOWN('採算表(VND)'!I6/$N$1,2)</f>
        <v>30050.97</v>
      </c>
      <c r="J6" s="129">
        <f>ROUNDDOWN('採算表(VND)'!J6/$N$1,2)</f>
        <v>26150.47</v>
      </c>
      <c r="K6" s="129">
        <f>ROUNDDOWN('採算表(VND)'!K6/$N$1,2)</f>
        <v>25642.34</v>
      </c>
      <c r="L6" s="129">
        <f>ROUNDDOWN('採算表(VND)'!L6/$N$1,2)</f>
        <v>34544.69</v>
      </c>
      <c r="M6" s="129">
        <f>ROUNDDOWN('採算表(VND)'!M6/$N$1,2)</f>
        <v>30156.2</v>
      </c>
      <c r="N6" s="129">
        <f>ROUNDDOWN('採算表(VND)'!N6/$N$1,2)</f>
        <v>43456.52</v>
      </c>
      <c r="O6" s="129">
        <f>SUM(C6:N6)</f>
        <v>569871.37999999989</v>
      </c>
    </row>
    <row r="7" spans="1:15" ht="11.25" customHeight="1">
      <c r="A7" s="26"/>
      <c r="B7" s="30" t="s">
        <v>112</v>
      </c>
      <c r="C7" s="130">
        <f>ROUNDDOWN('採算表(VND)'!C7/$N$1,2)</f>
        <v>0</v>
      </c>
      <c r="D7" s="130">
        <f>ROUNDDOWN('採算表(VND)'!D7/$N$1,2)</f>
        <v>0</v>
      </c>
      <c r="E7" s="130">
        <f>ROUNDDOWN('採算表(VND)'!E7/$N$1,2)</f>
        <v>0</v>
      </c>
      <c r="F7" s="130">
        <f>ROUNDDOWN('採算表(VND)'!F7/$N$1,2)</f>
        <v>0</v>
      </c>
      <c r="G7" s="130">
        <f>ROUNDDOWN('採算表(VND)'!G7/$N$1,2)</f>
        <v>0</v>
      </c>
      <c r="H7" s="130">
        <f>ROUNDDOWN('採算表(VND)'!H7/$N$1,2)</f>
        <v>0</v>
      </c>
      <c r="I7" s="130">
        <f>ROUNDDOWN('採算表(VND)'!I7/$N$1,2)</f>
        <v>0</v>
      </c>
      <c r="J7" s="130">
        <f>ROUNDDOWN('採算表(VND)'!J7/$N$1,2)</f>
        <v>0</v>
      </c>
      <c r="K7" s="130">
        <f>ROUNDDOWN('採算表(VND)'!K7/$N$1,2)</f>
        <v>0</v>
      </c>
      <c r="L7" s="130">
        <f>ROUNDDOWN('採算表(VND)'!L7/$N$1,2)</f>
        <v>0</v>
      </c>
      <c r="M7" s="130">
        <f>ROUNDDOWN('採算表(VND)'!M7/$N$1,2)</f>
        <v>0</v>
      </c>
      <c r="N7" s="130">
        <f>ROUNDDOWN('採算表(VND)'!N7/$N$1,2)</f>
        <v>0</v>
      </c>
      <c r="O7" s="130">
        <f>SUM(C7:N7)</f>
        <v>0</v>
      </c>
    </row>
    <row r="8" spans="1:15" ht="11.25" customHeight="1">
      <c r="A8" s="26"/>
      <c r="B8" s="31" t="s">
        <v>85</v>
      </c>
      <c r="C8" s="131">
        <f t="shared" ref="C8:O8" si="1">C6+C7</f>
        <v>157754.28</v>
      </c>
      <c r="D8" s="131">
        <f t="shared" si="1"/>
        <v>109708.83</v>
      </c>
      <c r="E8" s="131">
        <f t="shared" si="1"/>
        <v>18580.41</v>
      </c>
      <c r="F8" s="131">
        <f t="shared" si="1"/>
        <v>20971.09</v>
      </c>
      <c r="G8" s="131">
        <f t="shared" si="1"/>
        <v>20506.54</v>
      </c>
      <c r="H8" s="131">
        <f t="shared" si="1"/>
        <v>52349.04</v>
      </c>
      <c r="I8" s="131">
        <f t="shared" si="1"/>
        <v>30050.97</v>
      </c>
      <c r="J8" s="131">
        <f t="shared" si="1"/>
        <v>26150.47</v>
      </c>
      <c r="K8" s="131">
        <f t="shared" si="1"/>
        <v>25642.34</v>
      </c>
      <c r="L8" s="131">
        <f t="shared" si="1"/>
        <v>34544.69</v>
      </c>
      <c r="M8" s="131">
        <f t="shared" si="1"/>
        <v>30156.2</v>
      </c>
      <c r="N8" s="131">
        <f t="shared" si="1"/>
        <v>43456.52</v>
      </c>
      <c r="O8" s="131">
        <f t="shared" si="1"/>
        <v>569871.37999999989</v>
      </c>
    </row>
    <row r="9" spans="1:15" ht="11.25" customHeight="1">
      <c r="A9" s="26"/>
      <c r="B9" s="28" t="s">
        <v>73</v>
      </c>
      <c r="C9" s="132">
        <f>ROUNDDOWN('採算表(VND)'!C9/$N$1,2)</f>
        <v>0</v>
      </c>
      <c r="D9" s="132">
        <f>ROUNDDOWN('採算表(VND)'!D9/$N$1,2)</f>
        <v>0</v>
      </c>
      <c r="E9" s="132">
        <f>ROUNDDOWN('採算表(VND)'!E9/$N$1,2)</f>
        <v>0</v>
      </c>
      <c r="F9" s="132">
        <f>ROUNDDOWN('採算表(VND)'!F9/$N$1,2)</f>
        <v>0</v>
      </c>
      <c r="G9" s="132">
        <f>ROUNDDOWN('採算表(VND)'!G9/$N$1,2)</f>
        <v>0</v>
      </c>
      <c r="H9" s="132">
        <f>ROUNDDOWN('採算表(VND)'!H9/$N$1,2)</f>
        <v>0</v>
      </c>
      <c r="I9" s="132">
        <f>ROUNDDOWN('採算表(VND)'!I9/$N$1,2)</f>
        <v>0</v>
      </c>
      <c r="J9" s="132">
        <f>ROUNDDOWN('採算表(VND)'!J9/$N$1,2)</f>
        <v>0</v>
      </c>
      <c r="K9" s="132">
        <f>ROUNDDOWN('採算表(VND)'!K9/$N$1,2)</f>
        <v>0</v>
      </c>
      <c r="L9" s="132">
        <f>ROUNDDOWN('採算表(VND)'!L9/$N$1,2)</f>
        <v>0</v>
      </c>
      <c r="M9" s="132">
        <f>ROUNDDOWN('採算表(VND)'!M9/$N$1,2)</f>
        <v>0</v>
      </c>
      <c r="N9" s="132">
        <f>ROUNDDOWN('採算表(VND)'!N9/$N$1,2)</f>
        <v>0</v>
      </c>
      <c r="O9" s="132">
        <f>SUM(C9:N9)</f>
        <v>0</v>
      </c>
    </row>
    <row r="10" spans="1:15" ht="11.25" customHeight="1">
      <c r="A10" s="26"/>
      <c r="B10" s="28" t="s">
        <v>74</v>
      </c>
      <c r="C10" s="132">
        <f>ROUNDDOWN('採算表(VND)'!C10/$N$1,2)</f>
        <v>0</v>
      </c>
      <c r="D10" s="132">
        <f>ROUNDDOWN('採算表(VND)'!D10/$N$1,2)</f>
        <v>0</v>
      </c>
      <c r="E10" s="132">
        <f>ROUNDDOWN('採算表(VND)'!E10/$N$1,2)</f>
        <v>0</v>
      </c>
      <c r="F10" s="132">
        <f>ROUNDDOWN('採算表(VND)'!F10/$N$1,2)</f>
        <v>0</v>
      </c>
      <c r="G10" s="132">
        <f>ROUNDDOWN('採算表(VND)'!G10/$N$1,2)</f>
        <v>0</v>
      </c>
      <c r="H10" s="132">
        <f>ROUNDDOWN('採算表(VND)'!H10/$N$1,2)</f>
        <v>0</v>
      </c>
      <c r="I10" s="132">
        <f>ROUNDDOWN('採算表(VND)'!I10/$N$1,2)</f>
        <v>0</v>
      </c>
      <c r="J10" s="132">
        <f>ROUNDDOWN('採算表(VND)'!J10/$N$1,2)</f>
        <v>0</v>
      </c>
      <c r="K10" s="132">
        <f>ROUNDDOWN('採算表(VND)'!K10/$N$1,2)</f>
        <v>0</v>
      </c>
      <c r="L10" s="132">
        <f>ROUNDDOWN('採算表(VND)'!L10/$N$1,2)</f>
        <v>0</v>
      </c>
      <c r="M10" s="132">
        <f>ROUNDDOWN('採算表(VND)'!M10/$N$1,2)</f>
        <v>0</v>
      </c>
      <c r="N10" s="132">
        <f>ROUNDDOWN('採算表(VND)'!N10/$N$1,2)</f>
        <v>0</v>
      </c>
      <c r="O10" s="132">
        <f>SUM(C10:N10)</f>
        <v>0</v>
      </c>
    </row>
    <row r="11" spans="1:15" ht="1.5" customHeight="1">
      <c r="A11" s="26"/>
      <c r="B11" s="28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132"/>
    </row>
    <row r="12" spans="1:15" ht="11.25" customHeight="1">
      <c r="A12" s="33"/>
      <c r="B12" s="32" t="s">
        <v>75</v>
      </c>
      <c r="C12" s="133">
        <f>C5-C10</f>
        <v>157754.28</v>
      </c>
      <c r="D12" s="133">
        <f t="shared" ref="D12:O12" si="2">D5-D10</f>
        <v>109708.83</v>
      </c>
      <c r="E12" s="133">
        <f t="shared" si="2"/>
        <v>18580.41</v>
      </c>
      <c r="F12" s="133">
        <f t="shared" si="2"/>
        <v>20971.09</v>
      </c>
      <c r="G12" s="133">
        <f t="shared" si="2"/>
        <v>20506.54</v>
      </c>
      <c r="H12" s="133">
        <f t="shared" si="2"/>
        <v>52349.04</v>
      </c>
      <c r="I12" s="133">
        <f t="shared" si="2"/>
        <v>30050.97</v>
      </c>
      <c r="J12" s="133">
        <f t="shared" si="2"/>
        <v>26150.47</v>
      </c>
      <c r="K12" s="133">
        <f t="shared" si="2"/>
        <v>25642.34</v>
      </c>
      <c r="L12" s="133">
        <f t="shared" si="2"/>
        <v>34544.69</v>
      </c>
      <c r="M12" s="133">
        <f t="shared" si="2"/>
        <v>30156.2</v>
      </c>
      <c r="N12" s="133">
        <f t="shared" si="2"/>
        <v>43456.52</v>
      </c>
      <c r="O12" s="133">
        <f t="shared" si="2"/>
        <v>569871.37999999989</v>
      </c>
    </row>
    <row r="13" spans="1:15" ht="11.25" customHeight="1">
      <c r="A13" s="26"/>
      <c r="B13" s="28" t="s">
        <v>76</v>
      </c>
      <c r="C13" s="132">
        <f>SUM(C14:C65)</f>
        <v>92833.64999999998</v>
      </c>
      <c r="D13" s="132">
        <f t="shared" ref="D13:O13" si="3">SUM(D14:D65)</f>
        <v>8138.7300000000005</v>
      </c>
      <c r="E13" s="132">
        <f t="shared" si="3"/>
        <v>8454.3799999999974</v>
      </c>
      <c r="F13" s="132">
        <f t="shared" si="3"/>
        <v>7159.8900000000012</v>
      </c>
      <c r="G13" s="132">
        <f t="shared" si="3"/>
        <v>38364.019999999997</v>
      </c>
      <c r="H13" s="132">
        <f t="shared" si="3"/>
        <v>16539.71</v>
      </c>
      <c r="I13" s="132">
        <f t="shared" si="3"/>
        <v>11927.309999999998</v>
      </c>
      <c r="J13" s="132">
        <f t="shared" si="3"/>
        <v>12086</v>
      </c>
      <c r="K13" s="132">
        <f t="shared" si="3"/>
        <v>19700.100000000006</v>
      </c>
      <c r="L13" s="132">
        <f t="shared" si="3"/>
        <v>16592.13</v>
      </c>
      <c r="M13" s="132">
        <f t="shared" si="3"/>
        <v>28690.030000000006</v>
      </c>
      <c r="N13" s="132">
        <f t="shared" si="3"/>
        <v>11283.449999999999</v>
      </c>
      <c r="O13" s="132">
        <f t="shared" si="3"/>
        <v>271769.39999999991</v>
      </c>
    </row>
    <row r="14" spans="1:15" ht="11.25" customHeight="1">
      <c r="A14" s="34"/>
      <c r="B14" s="35" t="s">
        <v>101</v>
      </c>
      <c r="C14" s="134">
        <f>ROUNDUP('採算表(VND)'!C14/$N$1,2)</f>
        <v>0</v>
      </c>
      <c r="D14" s="134">
        <f>ROUNDUP('採算表(VND)'!D14/$N$1,2)</f>
        <v>0</v>
      </c>
      <c r="E14" s="134">
        <f>ROUNDUP('採算表(VND)'!E14/$N$1,2)</f>
        <v>0</v>
      </c>
      <c r="F14" s="134">
        <f>ROUNDUP('採算表(VND)'!F14/$N$1,2)</f>
        <v>0</v>
      </c>
      <c r="G14" s="134">
        <f>ROUNDUP('採算表(VND)'!G14/$N$1,2)</f>
        <v>0</v>
      </c>
      <c r="H14" s="134">
        <f>ROUNDUP('採算表(VND)'!H14/$N$1,2)</f>
        <v>0</v>
      </c>
      <c r="I14" s="134">
        <f>ROUNDUP('採算表(VND)'!I14/$N$1,2)</f>
        <v>0</v>
      </c>
      <c r="J14" s="134">
        <f>ROUNDUP('採算表(VND)'!J14/$N$1,2)</f>
        <v>0</v>
      </c>
      <c r="K14" s="134">
        <f>ROUNDUP('採算表(VND)'!K14/$N$1,2)</f>
        <v>0</v>
      </c>
      <c r="L14" s="134">
        <f>ROUNDUP('採算表(VND)'!L14/$N$1,2)</f>
        <v>0</v>
      </c>
      <c r="M14" s="134">
        <f>ROUNDUP('採算表(VND)'!M14/$N$1,2)</f>
        <v>0</v>
      </c>
      <c r="N14" s="134">
        <f>ROUNDUP('採算表(VND)'!N14/$N$1,2)</f>
        <v>0</v>
      </c>
      <c r="O14" s="134">
        <f t="shared" ref="O14:O65" si="4">SUM(C14:N14)</f>
        <v>0</v>
      </c>
    </row>
    <row r="15" spans="1:15" ht="11.25" customHeight="1">
      <c r="A15" s="34"/>
      <c r="B15" s="35" t="s">
        <v>124</v>
      </c>
      <c r="C15" s="134">
        <f>ROUNDUP('採算表(VND)'!C15/$N$1,2)</f>
        <v>0</v>
      </c>
      <c r="D15" s="134">
        <f>ROUNDUP('採算表(VND)'!D15/$N$1,2)</f>
        <v>0</v>
      </c>
      <c r="E15" s="134">
        <f>ROUNDUP('採算表(VND)'!E15/$N$1,2)</f>
        <v>0</v>
      </c>
      <c r="F15" s="134">
        <f>ROUNDUP('採算表(VND)'!F15/$N$1,2)</f>
        <v>0</v>
      </c>
      <c r="G15" s="134">
        <f>ROUNDUP('採算表(VND)'!G15/$N$1,2)</f>
        <v>0</v>
      </c>
      <c r="H15" s="134">
        <f>ROUNDUP('採算表(VND)'!H15/$N$1,2)</f>
        <v>0</v>
      </c>
      <c r="I15" s="134">
        <f>ROUNDUP('採算表(VND)'!I15/$N$1,2)</f>
        <v>0</v>
      </c>
      <c r="J15" s="134">
        <f>ROUNDUP('採算表(VND)'!J15/$N$1,2)</f>
        <v>0</v>
      </c>
      <c r="K15" s="134">
        <f>ROUNDUP('採算表(VND)'!K15/$N$1,2)</f>
        <v>0</v>
      </c>
      <c r="L15" s="134">
        <f>ROUNDUP('採算表(VND)'!L15/$N$1,2)</f>
        <v>0</v>
      </c>
      <c r="M15" s="134">
        <f>ROUNDUP('採算表(VND)'!M15/$N$1,2)</f>
        <v>0</v>
      </c>
      <c r="N15" s="134">
        <f>ROUNDUP('採算表(VND)'!N15/$N$1,2)</f>
        <v>0</v>
      </c>
      <c r="O15" s="134">
        <f t="shared" si="4"/>
        <v>0</v>
      </c>
    </row>
    <row r="16" spans="1:15" ht="11.25" customHeight="1">
      <c r="A16" s="34"/>
      <c r="B16" s="35" t="s">
        <v>120</v>
      </c>
      <c r="C16" s="134">
        <f>ROUNDUP('採算表(VND)'!C16/$N$1,2)</f>
        <v>0</v>
      </c>
      <c r="D16" s="134">
        <f>ROUNDUP('採算表(VND)'!D16/$N$1,2)</f>
        <v>0</v>
      </c>
      <c r="E16" s="134">
        <f>ROUNDUP('採算表(VND)'!E16/$N$1,2)</f>
        <v>0</v>
      </c>
      <c r="F16" s="134">
        <f>ROUNDUP('採算表(VND)'!F16/$N$1,2)</f>
        <v>0</v>
      </c>
      <c r="G16" s="134">
        <f>ROUNDUP('採算表(VND)'!G16/$N$1,2)</f>
        <v>0</v>
      </c>
      <c r="H16" s="134">
        <f>ROUNDUP('採算表(VND)'!H16/$N$1,2)</f>
        <v>0</v>
      </c>
      <c r="I16" s="134">
        <f>ROUNDUP('採算表(VND)'!I16/$N$1,2)</f>
        <v>0</v>
      </c>
      <c r="J16" s="134">
        <f>ROUNDUP('採算表(VND)'!J16/$N$1,2)</f>
        <v>0</v>
      </c>
      <c r="K16" s="134">
        <f>ROUNDUP('採算表(VND)'!K16/$N$1,2)</f>
        <v>0</v>
      </c>
      <c r="L16" s="134">
        <f>ROUNDUP('採算表(VND)'!L16/$N$1,2)</f>
        <v>0</v>
      </c>
      <c r="M16" s="134">
        <f>ROUNDUP('採算表(VND)'!M16/$N$1,2)</f>
        <v>0</v>
      </c>
      <c r="N16" s="134">
        <f>ROUNDUP('採算表(VND)'!N16/$N$1,2)</f>
        <v>0</v>
      </c>
      <c r="O16" s="134">
        <f t="shared" si="4"/>
        <v>0</v>
      </c>
    </row>
    <row r="17" spans="1:15" ht="11.25" customHeight="1">
      <c r="A17" s="34"/>
      <c r="B17" s="36" t="s">
        <v>102</v>
      </c>
      <c r="C17" s="135">
        <f>ROUNDUP('採算表(VND)'!C17/$N$1,2)</f>
        <v>0</v>
      </c>
      <c r="D17" s="135">
        <f>ROUNDUP('採算表(VND)'!D17/$N$1,2)</f>
        <v>0</v>
      </c>
      <c r="E17" s="135">
        <f>ROUNDUP('採算表(VND)'!E17/$N$1,2)</f>
        <v>0</v>
      </c>
      <c r="F17" s="135">
        <f>ROUNDUP('採算表(VND)'!F17/$N$1,2)</f>
        <v>0</v>
      </c>
      <c r="G17" s="135">
        <f>ROUNDUP('採算表(VND)'!G17/$N$1,2)</f>
        <v>0</v>
      </c>
      <c r="H17" s="135">
        <f>ROUNDUP('採算表(VND)'!H17/$N$1,2)</f>
        <v>0</v>
      </c>
      <c r="I17" s="135">
        <f>ROUNDUP('採算表(VND)'!I17/$N$1,2)</f>
        <v>0</v>
      </c>
      <c r="J17" s="135">
        <f>ROUNDUP('採算表(VND)'!J17/$N$1,2)</f>
        <v>0</v>
      </c>
      <c r="K17" s="135">
        <f>ROUNDUP('採算表(VND)'!K17/$N$1,2)</f>
        <v>0</v>
      </c>
      <c r="L17" s="135">
        <f>ROUNDUP('採算表(VND)'!L17/$N$1,2)</f>
        <v>0</v>
      </c>
      <c r="M17" s="135">
        <f>ROUNDUP('採算表(VND)'!M17/$N$1,2)</f>
        <v>0</v>
      </c>
      <c r="N17" s="135">
        <f>ROUNDUP('採算表(VND)'!N17/$N$1,2)</f>
        <v>0</v>
      </c>
      <c r="O17" s="135">
        <f t="shared" si="4"/>
        <v>0</v>
      </c>
    </row>
    <row r="18" spans="1:15" ht="11.25" customHeight="1">
      <c r="A18" s="34"/>
      <c r="B18" s="36" t="s">
        <v>37</v>
      </c>
      <c r="C18" s="135">
        <f>ROUNDUP('採算表(VND)'!C18/$N$1,2)</f>
        <v>0</v>
      </c>
      <c r="D18" s="135">
        <f>ROUNDUP('採算表(VND)'!D18/$N$1,2)</f>
        <v>0</v>
      </c>
      <c r="E18" s="135">
        <f>ROUNDUP('採算表(VND)'!E18/$N$1,2)</f>
        <v>0</v>
      </c>
      <c r="F18" s="135">
        <f>ROUNDUP('採算表(VND)'!F18/$N$1,2)</f>
        <v>0</v>
      </c>
      <c r="G18" s="135">
        <f>ROUNDUP('採算表(VND)'!G18/$N$1,2)</f>
        <v>0</v>
      </c>
      <c r="H18" s="135">
        <f>ROUNDUP('採算表(VND)'!H18/$N$1,2)</f>
        <v>0</v>
      </c>
      <c r="I18" s="135">
        <f>ROUNDUP('採算表(VND)'!I18/$N$1,2)</f>
        <v>0</v>
      </c>
      <c r="J18" s="135">
        <f>ROUNDUP('採算表(VND)'!J18/$N$1,2)</f>
        <v>0</v>
      </c>
      <c r="K18" s="135">
        <f>ROUNDUP('採算表(VND)'!K18/$N$1,2)</f>
        <v>0</v>
      </c>
      <c r="L18" s="135">
        <f>ROUNDUP('採算表(VND)'!L18/$N$1,2)</f>
        <v>0</v>
      </c>
      <c r="M18" s="135">
        <f>ROUNDUP('採算表(VND)'!M18/$N$1,2)</f>
        <v>0</v>
      </c>
      <c r="N18" s="135">
        <f>ROUNDUP('採算表(VND)'!N18/$N$1,2)</f>
        <v>0</v>
      </c>
      <c r="O18" s="135">
        <f t="shared" si="4"/>
        <v>0</v>
      </c>
    </row>
    <row r="19" spans="1:15" ht="11.25" customHeight="1">
      <c r="A19" s="34"/>
      <c r="B19" s="36" t="s">
        <v>43</v>
      </c>
      <c r="C19" s="135">
        <f>ROUNDUP('採算表(VND)'!C19/$N$1,2)</f>
        <v>0</v>
      </c>
      <c r="D19" s="135">
        <f>ROUNDUP('採算表(VND)'!D19/$N$1,2)</f>
        <v>0</v>
      </c>
      <c r="E19" s="135">
        <f>ROUNDUP('採算表(VND)'!E19/$N$1,2)</f>
        <v>0</v>
      </c>
      <c r="F19" s="135">
        <f>ROUNDUP('採算表(VND)'!F19/$N$1,2)</f>
        <v>0</v>
      </c>
      <c r="G19" s="135">
        <f>ROUNDUP('採算表(VND)'!G19/$N$1,2)</f>
        <v>0</v>
      </c>
      <c r="H19" s="135">
        <f>ROUNDUP('採算表(VND)'!H19/$N$1,2)</f>
        <v>0</v>
      </c>
      <c r="I19" s="135">
        <f>ROUNDUP('採算表(VND)'!I19/$N$1,2)</f>
        <v>0</v>
      </c>
      <c r="J19" s="135">
        <f>ROUNDUP('採算表(VND)'!J19/$N$1,2)</f>
        <v>0</v>
      </c>
      <c r="K19" s="135">
        <f>ROUNDUP('採算表(VND)'!K19/$N$1,2)</f>
        <v>0</v>
      </c>
      <c r="L19" s="135">
        <f>ROUNDUP('採算表(VND)'!L19/$N$1,2)</f>
        <v>0</v>
      </c>
      <c r="M19" s="135">
        <f>ROUNDUP('採算表(VND)'!M19/$N$1,2)</f>
        <v>0</v>
      </c>
      <c r="N19" s="135">
        <f>ROUNDUP('採算表(VND)'!N19/$N$1,2)</f>
        <v>0</v>
      </c>
      <c r="O19" s="135">
        <f t="shared" si="4"/>
        <v>0</v>
      </c>
    </row>
    <row r="20" spans="1:15" ht="11.25" customHeight="1">
      <c r="A20" s="34"/>
      <c r="B20" s="36" t="s">
        <v>45</v>
      </c>
      <c r="C20" s="135">
        <f>ROUNDUP('採算表(VND)'!C20/$N$1,2)</f>
        <v>2802.88</v>
      </c>
      <c r="D20" s="135">
        <f>ROUNDUP('採算表(VND)'!D20/$N$1,2)</f>
        <v>2802.88</v>
      </c>
      <c r="E20" s="135">
        <f>ROUNDUP('採算表(VND)'!E20/$N$1,2)</f>
        <v>2808.51</v>
      </c>
      <c r="F20" s="135">
        <f>ROUNDUP('採算表(VND)'!F20/$N$1,2)</f>
        <v>2808.9300000000003</v>
      </c>
      <c r="G20" s="135">
        <f>ROUNDUP('採算表(VND)'!G20/$N$1,2)</f>
        <v>7433.72</v>
      </c>
      <c r="H20" s="135">
        <f>ROUNDUP('採算表(VND)'!H20/$N$1,2)</f>
        <v>7432.52</v>
      </c>
      <c r="I20" s="135">
        <f>ROUNDUP('採算表(VND)'!I20/$N$1,2)</f>
        <v>7432.52</v>
      </c>
      <c r="J20" s="135">
        <f>ROUNDUP('採算表(VND)'!J20/$N$1,2)</f>
        <v>7432.52</v>
      </c>
      <c r="K20" s="135">
        <f>ROUNDUP('採算表(VND)'!K20/$N$1,2)</f>
        <v>7432.1900000000005</v>
      </c>
      <c r="L20" s="135">
        <f>ROUNDUP('採算表(VND)'!L20/$N$1,2)</f>
        <v>7432.14</v>
      </c>
      <c r="M20" s="135">
        <f>ROUNDUP('採算表(VND)'!M20/$N$1,2)</f>
        <v>7432.14</v>
      </c>
      <c r="N20" s="135">
        <f>ROUNDUP('採算表(VND)'!N20/$N$1,2)</f>
        <v>7432.89</v>
      </c>
      <c r="O20" s="135">
        <f t="shared" si="4"/>
        <v>70683.840000000011</v>
      </c>
    </row>
    <row r="21" spans="1:15" ht="11.25" customHeight="1">
      <c r="A21" s="34"/>
      <c r="B21" s="36" t="s">
        <v>46</v>
      </c>
      <c r="C21" s="135">
        <f>ROUNDUP('採算表(VND)'!C21/$N$1,2)</f>
        <v>0</v>
      </c>
      <c r="D21" s="135">
        <f>ROUNDUP('採算表(VND)'!D21/$N$1,2)</f>
        <v>0</v>
      </c>
      <c r="E21" s="135">
        <f>ROUNDUP('採算表(VND)'!E21/$N$1,2)</f>
        <v>0</v>
      </c>
      <c r="F21" s="135">
        <f>ROUNDUP('採算表(VND)'!F21/$N$1,2)</f>
        <v>0</v>
      </c>
      <c r="G21" s="135">
        <f>ROUNDUP('採算表(VND)'!G21/$N$1,2)</f>
        <v>0</v>
      </c>
      <c r="H21" s="135">
        <f>ROUNDUP('採算表(VND)'!H21/$N$1,2)</f>
        <v>0</v>
      </c>
      <c r="I21" s="135">
        <f>ROUNDUP('採算表(VND)'!I21/$N$1,2)</f>
        <v>0</v>
      </c>
      <c r="J21" s="135">
        <f>ROUNDUP('採算表(VND)'!J21/$N$1,2)</f>
        <v>0</v>
      </c>
      <c r="K21" s="135">
        <f>ROUNDUP('採算表(VND)'!K21/$N$1,2)</f>
        <v>0</v>
      </c>
      <c r="L21" s="135">
        <f>ROUNDUP('採算表(VND)'!L21/$N$1,2)</f>
        <v>0</v>
      </c>
      <c r="M21" s="135">
        <f>ROUNDUP('採算表(VND)'!M21/$N$1,2)</f>
        <v>0</v>
      </c>
      <c r="N21" s="135">
        <f>ROUNDUP('採算表(VND)'!N21/$N$1,2)</f>
        <v>0</v>
      </c>
      <c r="O21" s="135">
        <f t="shared" si="4"/>
        <v>0</v>
      </c>
    </row>
    <row r="22" spans="1:15" ht="11.25" customHeight="1">
      <c r="A22" s="34"/>
      <c r="B22" s="36" t="s">
        <v>47</v>
      </c>
      <c r="C22" s="135">
        <f>ROUNDUP('採算表(VND)'!C22/$N$1,2)</f>
        <v>0</v>
      </c>
      <c r="D22" s="135">
        <f>ROUNDUP('採算表(VND)'!D22/$N$1,2)</f>
        <v>0</v>
      </c>
      <c r="E22" s="135">
        <f>ROUNDUP('採算表(VND)'!E22/$N$1,2)</f>
        <v>0</v>
      </c>
      <c r="F22" s="135">
        <f>ROUNDUP('採算表(VND)'!F22/$N$1,2)</f>
        <v>0</v>
      </c>
      <c r="G22" s="135">
        <f>ROUNDUP('採算表(VND)'!G22/$N$1,2)</f>
        <v>0</v>
      </c>
      <c r="H22" s="135">
        <f>ROUNDUP('採算表(VND)'!H22/$N$1,2)</f>
        <v>0</v>
      </c>
      <c r="I22" s="135">
        <f>ROUNDUP('採算表(VND)'!I22/$N$1,2)</f>
        <v>0</v>
      </c>
      <c r="J22" s="135">
        <f>ROUNDUP('採算表(VND)'!J22/$N$1,2)</f>
        <v>0</v>
      </c>
      <c r="K22" s="135">
        <f>ROUNDUP('採算表(VND)'!K22/$N$1,2)</f>
        <v>0</v>
      </c>
      <c r="L22" s="135">
        <f>ROUNDUP('採算表(VND)'!L22/$N$1,2)</f>
        <v>0</v>
      </c>
      <c r="M22" s="135">
        <f>ROUNDUP('採算表(VND)'!M22/$N$1,2)</f>
        <v>0</v>
      </c>
      <c r="N22" s="135">
        <f>ROUNDUP('採算表(VND)'!N22/$N$1,2)</f>
        <v>0</v>
      </c>
      <c r="O22" s="135">
        <f t="shared" si="4"/>
        <v>0</v>
      </c>
    </row>
    <row r="23" spans="1:15" ht="11.25" customHeight="1">
      <c r="A23" s="34"/>
      <c r="B23" s="36" t="s">
        <v>49</v>
      </c>
      <c r="C23" s="135">
        <f>ROUNDUP('採算表(VND)'!C23/$N$1,2)</f>
        <v>0</v>
      </c>
      <c r="D23" s="135">
        <f>ROUNDUP('採算表(VND)'!D23/$N$1,2)</f>
        <v>0</v>
      </c>
      <c r="E23" s="135">
        <f>ROUNDUP('採算表(VND)'!E23/$N$1,2)</f>
        <v>0</v>
      </c>
      <c r="F23" s="135">
        <f>ROUNDUP('採算表(VND)'!F23/$N$1,2)</f>
        <v>0</v>
      </c>
      <c r="G23" s="135">
        <f>ROUNDUP('採算表(VND)'!G23/$N$1,2)</f>
        <v>0</v>
      </c>
      <c r="H23" s="135">
        <f>ROUNDUP('採算表(VND)'!H23/$N$1,2)</f>
        <v>0</v>
      </c>
      <c r="I23" s="135">
        <f>ROUNDUP('採算表(VND)'!I23/$N$1,2)</f>
        <v>0</v>
      </c>
      <c r="J23" s="135">
        <f>ROUNDUP('採算表(VND)'!J23/$N$1,2)</f>
        <v>0</v>
      </c>
      <c r="K23" s="135">
        <f>ROUNDUP('採算表(VND)'!K23/$N$1,2)</f>
        <v>0</v>
      </c>
      <c r="L23" s="135">
        <f>ROUNDUP('採算表(VND)'!L23/$N$1,2)</f>
        <v>0</v>
      </c>
      <c r="M23" s="135">
        <f>ROUNDUP('採算表(VND)'!M23/$N$1,2)</f>
        <v>0</v>
      </c>
      <c r="N23" s="135">
        <f>ROUNDUP('採算表(VND)'!N23/$N$1,2)</f>
        <v>0</v>
      </c>
      <c r="O23" s="135">
        <f t="shared" si="4"/>
        <v>0</v>
      </c>
    </row>
    <row r="24" spans="1:15" ht="11.25" customHeight="1">
      <c r="A24" s="34"/>
      <c r="B24" s="36" t="s">
        <v>52</v>
      </c>
      <c r="C24" s="135">
        <f>ROUNDUP('採算表(VND)'!C24/$N$1,2)</f>
        <v>0</v>
      </c>
      <c r="D24" s="135">
        <f>ROUNDUP('採算表(VND)'!D24/$N$1,2)</f>
        <v>0</v>
      </c>
      <c r="E24" s="135">
        <f>ROUNDUP('採算表(VND)'!E24/$N$1,2)</f>
        <v>0</v>
      </c>
      <c r="F24" s="135">
        <f>ROUNDUP('採算表(VND)'!F24/$N$1,2)</f>
        <v>0</v>
      </c>
      <c r="G24" s="135">
        <f>ROUNDUP('採算表(VND)'!G24/$N$1,2)</f>
        <v>0</v>
      </c>
      <c r="H24" s="135">
        <f>ROUNDUP('採算表(VND)'!H24/$N$1,2)</f>
        <v>0</v>
      </c>
      <c r="I24" s="135">
        <f>ROUNDUP('採算表(VND)'!I24/$N$1,2)</f>
        <v>0</v>
      </c>
      <c r="J24" s="135">
        <f>ROUNDUP('採算表(VND)'!J24/$N$1,2)</f>
        <v>0</v>
      </c>
      <c r="K24" s="135">
        <f>ROUNDUP('採算表(VND)'!K24/$N$1,2)</f>
        <v>0</v>
      </c>
      <c r="L24" s="135">
        <f>ROUNDUP('採算表(VND)'!L24/$N$1,2)</f>
        <v>0</v>
      </c>
      <c r="M24" s="135">
        <f>ROUNDUP('採算表(VND)'!M24/$N$1,2)</f>
        <v>0</v>
      </c>
      <c r="N24" s="135">
        <f>ROUNDUP('採算表(VND)'!N24/$N$1,2)</f>
        <v>0</v>
      </c>
      <c r="O24" s="135">
        <f t="shared" si="4"/>
        <v>0</v>
      </c>
    </row>
    <row r="25" spans="1:15" ht="11.25" customHeight="1">
      <c r="A25" s="34"/>
      <c r="B25" s="36" t="s">
        <v>55</v>
      </c>
      <c r="C25" s="135">
        <f>ROUNDUP('採算表(VND)'!C25/$N$1,2)</f>
        <v>5.88</v>
      </c>
      <c r="D25" s="135">
        <f>ROUNDUP('採算表(VND)'!D25/$N$1,2)</f>
        <v>6.47</v>
      </c>
      <c r="E25" s="135">
        <f>ROUNDUP('採算表(VND)'!E25/$N$1,2)</f>
        <v>6.18</v>
      </c>
      <c r="F25" s="135">
        <f>ROUNDUP('採算表(VND)'!F25/$N$1,2)</f>
        <v>7.09</v>
      </c>
      <c r="G25" s="135">
        <f>ROUNDUP('採算表(VND)'!G25/$N$1,2)</f>
        <v>6.7799999999999994</v>
      </c>
      <c r="H25" s="135">
        <f>ROUNDUP('採算表(VND)'!H25/$N$1,2)</f>
        <v>6.26</v>
      </c>
      <c r="I25" s="135">
        <f>ROUNDUP('採算表(VND)'!I25/$N$1,2)</f>
        <v>7.95</v>
      </c>
      <c r="J25" s="135">
        <f>ROUNDUP('採算表(VND)'!J25/$N$1,2)</f>
        <v>7.27</v>
      </c>
      <c r="K25" s="135">
        <f>ROUNDUP('採算表(VND)'!K25/$N$1,2)</f>
        <v>6.9399999999999995</v>
      </c>
      <c r="L25" s="135">
        <f>ROUNDUP('採算表(VND)'!L25/$N$1,2)</f>
        <v>5.8999999999999995</v>
      </c>
      <c r="M25" s="135">
        <f>ROUNDUP('採算表(VND)'!M25/$N$1,2)</f>
        <v>6.59</v>
      </c>
      <c r="N25" s="135">
        <f>ROUNDUP('採算表(VND)'!N25/$N$1,2)</f>
        <v>6.95</v>
      </c>
      <c r="O25" s="135">
        <f t="shared" si="4"/>
        <v>80.260000000000005</v>
      </c>
    </row>
    <row r="26" spans="1:15" ht="11.25" customHeight="1">
      <c r="A26" s="34"/>
      <c r="B26" s="37" t="s">
        <v>104</v>
      </c>
      <c r="C26" s="135">
        <f>ROUNDUP('採算表(VND)'!C26/$N$1,2)</f>
        <v>0</v>
      </c>
      <c r="D26" s="135">
        <f>ROUNDUP('採算表(VND)'!D26/$N$1,2)</f>
        <v>0</v>
      </c>
      <c r="E26" s="135">
        <f>ROUNDUP('採算表(VND)'!E26/$N$1,2)</f>
        <v>1969.28</v>
      </c>
      <c r="F26" s="135">
        <f>ROUNDUP('採算表(VND)'!F26/$N$1,2)</f>
        <v>236.32</v>
      </c>
      <c r="G26" s="135">
        <f>ROUNDUP('採算表(VND)'!G26/$N$1,2)</f>
        <v>1339.11</v>
      </c>
      <c r="H26" s="135">
        <f>ROUNDUP('採算表(VND)'!H26/$N$1,2)</f>
        <v>0</v>
      </c>
      <c r="I26" s="135">
        <f>ROUNDUP('採算表(VND)'!I26/$N$1,2)</f>
        <v>0</v>
      </c>
      <c r="J26" s="135">
        <f>ROUNDUP('採算表(VND)'!J26/$N$1,2)</f>
        <v>0</v>
      </c>
      <c r="K26" s="135">
        <f>ROUNDUP('採算表(VND)'!K26/$N$1,2)</f>
        <v>0</v>
      </c>
      <c r="L26" s="135">
        <f>ROUNDUP('採算表(VND)'!L26/$N$1,2)</f>
        <v>0</v>
      </c>
      <c r="M26" s="135">
        <f>ROUNDUP('採算表(VND)'!M26/$N$1,2)</f>
        <v>0</v>
      </c>
      <c r="N26" s="135">
        <f>ROUNDUP('採算表(VND)'!N26/$N$1,2)</f>
        <v>0</v>
      </c>
      <c r="O26" s="135">
        <f t="shared" si="4"/>
        <v>3544.71</v>
      </c>
    </row>
    <row r="27" spans="1:15" ht="11.25" customHeight="1">
      <c r="A27" s="34"/>
      <c r="B27" s="37" t="s">
        <v>54</v>
      </c>
      <c r="C27" s="135">
        <f>ROUNDUP('採算表(VND)'!C27/$N$1,2)</f>
        <v>0</v>
      </c>
      <c r="D27" s="135">
        <f>ROUNDUP('採算表(VND)'!D27/$N$1,2)</f>
        <v>0</v>
      </c>
      <c r="E27" s="135">
        <f>ROUNDUP('採算表(VND)'!E27/$N$1,2)</f>
        <v>0</v>
      </c>
      <c r="F27" s="135">
        <f>ROUNDUP('採算表(VND)'!F27/$N$1,2)</f>
        <v>0</v>
      </c>
      <c r="G27" s="135">
        <f>ROUNDUP('採算表(VND)'!G27/$N$1,2)</f>
        <v>0</v>
      </c>
      <c r="H27" s="135">
        <f>ROUNDUP('採算表(VND)'!H27/$N$1,2)</f>
        <v>0</v>
      </c>
      <c r="I27" s="135">
        <f>ROUNDUP('採算表(VND)'!I27/$N$1,2)</f>
        <v>0</v>
      </c>
      <c r="J27" s="135">
        <f>ROUNDUP('採算表(VND)'!J27/$N$1,2)</f>
        <v>0</v>
      </c>
      <c r="K27" s="135">
        <f>ROUNDUP('採算表(VND)'!K27/$N$1,2)</f>
        <v>0</v>
      </c>
      <c r="L27" s="135">
        <f>ROUNDUP('採算表(VND)'!L27/$N$1,2)</f>
        <v>0</v>
      </c>
      <c r="M27" s="135">
        <f>ROUNDUP('採算表(VND)'!M27/$N$1,2)</f>
        <v>0</v>
      </c>
      <c r="N27" s="135">
        <f>ROUNDUP('採算表(VND)'!N27/$N$1,2)</f>
        <v>0</v>
      </c>
      <c r="O27" s="135">
        <f t="shared" si="4"/>
        <v>0</v>
      </c>
    </row>
    <row r="28" spans="1:15" ht="11.25" customHeight="1">
      <c r="A28" s="34"/>
      <c r="B28" s="37" t="s">
        <v>56</v>
      </c>
      <c r="C28" s="135">
        <f>ROUNDUP('採算表(VND)'!C28/$N$1,2)</f>
        <v>0</v>
      </c>
      <c r="D28" s="135">
        <f>ROUNDUP('採算表(VND)'!D28/$N$1,2)</f>
        <v>0</v>
      </c>
      <c r="E28" s="135">
        <f>ROUNDUP('採算表(VND)'!E28/$N$1,2)</f>
        <v>0</v>
      </c>
      <c r="F28" s="135">
        <f>ROUNDUP('採算表(VND)'!F28/$N$1,2)</f>
        <v>59.08</v>
      </c>
      <c r="G28" s="135">
        <f>ROUNDUP('採算表(VND)'!G28/$N$1,2)</f>
        <v>0</v>
      </c>
      <c r="H28" s="135">
        <f>ROUNDUP('採算表(VND)'!H28/$N$1,2)</f>
        <v>0</v>
      </c>
      <c r="I28" s="135">
        <f>ROUNDUP('採算表(VND)'!I28/$N$1,2)</f>
        <v>23.64</v>
      </c>
      <c r="J28" s="135">
        <f>ROUNDUP('採算表(VND)'!J28/$N$1,2)</f>
        <v>0</v>
      </c>
      <c r="K28" s="135">
        <f>ROUNDUP('採算表(VND)'!K28/$N$1,2)</f>
        <v>0</v>
      </c>
      <c r="L28" s="135">
        <f>ROUNDUP('採算表(VND)'!L28/$N$1,2)</f>
        <v>0</v>
      </c>
      <c r="M28" s="135">
        <f>ROUNDUP('採算表(VND)'!M28/$N$1,2)</f>
        <v>0</v>
      </c>
      <c r="N28" s="135">
        <f>ROUNDUP('採算表(VND)'!N28/$N$1,2)</f>
        <v>0</v>
      </c>
      <c r="O28" s="135">
        <f t="shared" si="4"/>
        <v>82.72</v>
      </c>
    </row>
    <row r="29" spans="1:15" ht="11.25" customHeight="1">
      <c r="A29" s="34"/>
      <c r="B29" s="37" t="s">
        <v>57</v>
      </c>
      <c r="C29" s="135">
        <f>ROUNDUP('採算表(VND)'!C29/$N$1,2)</f>
        <v>0</v>
      </c>
      <c r="D29" s="135">
        <f>ROUNDUP('採算表(VND)'!D29/$N$1,2)</f>
        <v>0</v>
      </c>
      <c r="E29" s="135">
        <f>ROUNDUP('採算表(VND)'!E29/$N$1,2)</f>
        <v>0</v>
      </c>
      <c r="F29" s="135">
        <f>ROUNDUP('採算表(VND)'!F29/$N$1,2)</f>
        <v>0</v>
      </c>
      <c r="G29" s="135">
        <f>ROUNDUP('採算表(VND)'!G29/$N$1,2)</f>
        <v>0</v>
      </c>
      <c r="H29" s="135">
        <f>ROUNDUP('採算表(VND)'!H29/$N$1,2)</f>
        <v>0</v>
      </c>
      <c r="I29" s="135">
        <f>ROUNDUP('採算表(VND)'!I29/$N$1,2)</f>
        <v>0</v>
      </c>
      <c r="J29" s="135">
        <f>ROUNDUP('採算表(VND)'!J29/$N$1,2)</f>
        <v>558.30999999999995</v>
      </c>
      <c r="K29" s="135">
        <f>ROUNDUP('採算表(VND)'!K29/$N$1,2)</f>
        <v>7742.25</v>
      </c>
      <c r="L29" s="135">
        <f>ROUNDUP('採算表(VND)'!L29/$N$1,2)</f>
        <v>0</v>
      </c>
      <c r="M29" s="135">
        <f>ROUNDUP('採算表(VND)'!M29/$N$1,2)</f>
        <v>59.08</v>
      </c>
      <c r="N29" s="135">
        <f>ROUNDUP('採算表(VND)'!N29/$N$1,2)</f>
        <v>0</v>
      </c>
      <c r="O29" s="135">
        <f t="shared" si="4"/>
        <v>8359.64</v>
      </c>
    </row>
    <row r="30" spans="1:15" ht="11.25" customHeight="1">
      <c r="A30" s="34"/>
      <c r="B30" s="37" t="s">
        <v>97</v>
      </c>
      <c r="C30" s="135">
        <f>ROUNDUP('採算表(VND)'!C30/$N$1,2)</f>
        <v>59.94</v>
      </c>
      <c r="D30" s="135">
        <f>ROUNDUP('採算表(VND)'!D30/$N$1,2)</f>
        <v>59.3</v>
      </c>
      <c r="E30" s="135">
        <f>ROUNDUP('採算表(VND)'!E30/$N$1,2)</f>
        <v>59.9</v>
      </c>
      <c r="F30" s="135">
        <f>ROUNDUP('採算表(VND)'!F30/$N$1,2)</f>
        <v>60.11</v>
      </c>
      <c r="G30" s="135">
        <f>ROUNDUP('採算表(VND)'!G30/$N$1,2)</f>
        <v>61.69</v>
      </c>
      <c r="H30" s="135">
        <f>ROUNDUP('採算表(VND)'!H30/$N$1,2)</f>
        <v>64.36</v>
      </c>
      <c r="I30" s="135">
        <f>ROUNDUP('採算表(VND)'!I30/$N$1,2)</f>
        <v>59.86</v>
      </c>
      <c r="J30" s="135">
        <f>ROUNDUP('採算表(VND)'!J30/$N$1,2)</f>
        <v>58.78</v>
      </c>
      <c r="K30" s="135">
        <f>ROUNDUP('採算表(VND)'!K30/$N$1,2)</f>
        <v>62.199999999999996</v>
      </c>
      <c r="L30" s="135">
        <f>ROUNDUP('採算表(VND)'!L30/$N$1,2)</f>
        <v>43.6</v>
      </c>
      <c r="M30" s="135">
        <f>ROUNDUP('採算表(VND)'!M30/$N$1,2)</f>
        <v>43.97</v>
      </c>
      <c r="N30" s="135">
        <f>ROUNDUP('採算表(VND)'!N30/$N$1,2)</f>
        <v>45.46</v>
      </c>
      <c r="O30" s="135">
        <f t="shared" si="4"/>
        <v>679.17000000000019</v>
      </c>
    </row>
    <row r="31" spans="1:15" ht="11.25" customHeight="1">
      <c r="A31" s="34"/>
      <c r="B31" s="37" t="s">
        <v>59</v>
      </c>
      <c r="C31" s="135">
        <f>ROUNDUP('採算表(VND)'!C31/$N$1,2)</f>
        <v>52.78</v>
      </c>
      <c r="D31" s="135">
        <f>ROUNDUP('採算表(VND)'!D31/$N$1,2)</f>
        <v>766.84</v>
      </c>
      <c r="E31" s="135">
        <f>ROUNDUP('採算表(VND)'!E31/$N$1,2)</f>
        <v>131.94999999999999</v>
      </c>
      <c r="F31" s="135">
        <f>ROUNDUP('採算表(VND)'!F31/$N$1,2)</f>
        <v>0</v>
      </c>
      <c r="G31" s="135">
        <f>ROUNDUP('採算表(VND)'!G31/$N$1,2)</f>
        <v>641.20000000000005</v>
      </c>
      <c r="H31" s="135">
        <f>ROUNDUP('採算表(VND)'!H31/$N$1,2)</f>
        <v>80.150000000000006</v>
      </c>
      <c r="I31" s="135">
        <f>ROUNDUP('採算表(VND)'!I31/$N$1,2)</f>
        <v>86.65</v>
      </c>
      <c r="J31" s="135">
        <f>ROUNDUP('採算表(VND)'!J31/$N$1,2)</f>
        <v>43.33</v>
      </c>
      <c r="K31" s="135">
        <f>ROUNDUP('採算表(VND)'!K31/$N$1,2)</f>
        <v>407.25</v>
      </c>
      <c r="L31" s="135">
        <f>ROUNDUP('採算表(VND)'!L31/$N$1,2)</f>
        <v>0</v>
      </c>
      <c r="M31" s="135">
        <f>ROUNDUP('採算表(VND)'!M31/$N$1,2)</f>
        <v>0</v>
      </c>
      <c r="N31" s="135">
        <f>ROUNDUP('採算表(VND)'!N31/$N$1,2)</f>
        <v>0</v>
      </c>
      <c r="O31" s="135">
        <f t="shared" si="4"/>
        <v>2210.15</v>
      </c>
    </row>
    <row r="32" spans="1:15" ht="11.25" customHeight="1">
      <c r="A32" s="38"/>
      <c r="B32" s="37" t="s">
        <v>61</v>
      </c>
      <c r="C32" s="135">
        <f>ROUNDUP('採算表(VND)'!C32/$N$1,2)</f>
        <v>590.79</v>
      </c>
      <c r="D32" s="135">
        <f>ROUNDUP('採算表(VND)'!D32/$N$1,2)</f>
        <v>590.79</v>
      </c>
      <c r="E32" s="135">
        <f>ROUNDUP('採算表(VND)'!E32/$N$1,2)</f>
        <v>590.79</v>
      </c>
      <c r="F32" s="135">
        <f>ROUNDUP('採算表(VND)'!F32/$N$1,2)</f>
        <v>590.79</v>
      </c>
      <c r="G32" s="135">
        <f>ROUNDUP('採算表(VND)'!G32/$N$1,2)</f>
        <v>590.79</v>
      </c>
      <c r="H32" s="135">
        <f>ROUNDUP('採算表(VND)'!H32/$N$1,2)</f>
        <v>590.79</v>
      </c>
      <c r="I32" s="135">
        <f>ROUNDUP('採算表(VND)'!I32/$N$1,2)</f>
        <v>590.79</v>
      </c>
      <c r="J32" s="135">
        <f>ROUNDUP('採算表(VND)'!J32/$N$1,2)</f>
        <v>590.79</v>
      </c>
      <c r="K32" s="135">
        <f>ROUNDUP('採算表(VND)'!K32/$N$1,2)</f>
        <v>590.79</v>
      </c>
      <c r="L32" s="135">
        <f>ROUNDUP('採算表(VND)'!L32/$N$1,2)</f>
        <v>590.79</v>
      </c>
      <c r="M32" s="135">
        <f>ROUNDUP('採算表(VND)'!M32/$N$1,2)</f>
        <v>590.79</v>
      </c>
      <c r="N32" s="135">
        <f>ROUNDUP('採算表(VND)'!N32/$N$1,2)</f>
        <v>590.79</v>
      </c>
      <c r="O32" s="135">
        <f t="shared" si="4"/>
        <v>7089.48</v>
      </c>
    </row>
    <row r="33" spans="1:15" ht="11.25" customHeight="1">
      <c r="A33" s="38"/>
      <c r="B33" s="37" t="s">
        <v>60</v>
      </c>
      <c r="C33" s="135">
        <f>ROUNDUP('採算表(VND)'!C33/$N$1,2)</f>
        <v>0</v>
      </c>
      <c r="D33" s="135">
        <f>ROUNDUP('採算表(VND)'!D33/$N$1,2)</f>
        <v>0</v>
      </c>
      <c r="E33" s="135">
        <f>ROUNDUP('採算表(VND)'!E33/$N$1,2)</f>
        <v>0</v>
      </c>
      <c r="F33" s="135">
        <f>ROUNDUP('採算表(VND)'!F33/$N$1,2)</f>
        <v>0</v>
      </c>
      <c r="G33" s="135">
        <f>ROUNDUP('採算表(VND)'!G33/$N$1,2)</f>
        <v>0</v>
      </c>
      <c r="H33" s="135">
        <f>ROUNDUP('採算表(VND)'!H33/$N$1,2)</f>
        <v>0</v>
      </c>
      <c r="I33" s="135">
        <f>ROUNDUP('採算表(VND)'!I33/$N$1,2)</f>
        <v>0</v>
      </c>
      <c r="J33" s="135">
        <f>ROUNDUP('採算表(VND)'!J33/$N$1,2)</f>
        <v>0</v>
      </c>
      <c r="K33" s="135">
        <f>ROUNDUP('採算表(VND)'!K33/$N$1,2)</f>
        <v>0</v>
      </c>
      <c r="L33" s="135">
        <f>ROUNDUP('採算表(VND)'!L33/$N$1,2)</f>
        <v>0</v>
      </c>
      <c r="M33" s="135">
        <f>ROUNDUP('採算表(VND)'!M33/$N$1,2)</f>
        <v>0</v>
      </c>
      <c r="N33" s="135">
        <f>ROUNDUP('採算表(VND)'!N33/$N$1,2)</f>
        <v>0</v>
      </c>
      <c r="O33" s="135">
        <f t="shared" si="4"/>
        <v>0</v>
      </c>
    </row>
    <row r="34" spans="1:15" ht="11.25" customHeight="1">
      <c r="A34" s="38"/>
      <c r="B34" s="37" t="s">
        <v>65</v>
      </c>
      <c r="C34" s="135">
        <f>ROUNDUP('採算表(VND)'!C34/$N$1,2)</f>
        <v>0</v>
      </c>
      <c r="D34" s="135">
        <f>ROUNDUP('採算表(VND)'!D34/$N$1,2)</f>
        <v>0</v>
      </c>
      <c r="E34" s="135">
        <f>ROUNDUP('採算表(VND)'!E34/$N$1,2)</f>
        <v>0</v>
      </c>
      <c r="F34" s="135">
        <f>ROUNDUP('採算表(VND)'!F34/$N$1,2)</f>
        <v>0</v>
      </c>
      <c r="G34" s="135">
        <f>ROUNDUP('採算表(VND)'!G34/$N$1,2)</f>
        <v>0</v>
      </c>
      <c r="H34" s="135">
        <f>ROUNDUP('採算表(VND)'!H34/$N$1,2)</f>
        <v>0</v>
      </c>
      <c r="I34" s="135">
        <f>ROUNDUP('採算表(VND)'!I34/$N$1,2)</f>
        <v>0</v>
      </c>
      <c r="J34" s="135">
        <f>ROUNDUP('採算表(VND)'!J34/$N$1,2)</f>
        <v>0</v>
      </c>
      <c r="K34" s="135">
        <f>ROUNDUP('採算表(VND)'!K34/$N$1,2)</f>
        <v>0</v>
      </c>
      <c r="L34" s="135">
        <f>ROUNDUP('採算表(VND)'!L34/$N$1,2)</f>
        <v>0</v>
      </c>
      <c r="M34" s="135">
        <f>ROUNDUP('採算表(VND)'!M34/$N$1,2)</f>
        <v>0</v>
      </c>
      <c r="N34" s="135">
        <f>ROUNDUP('採算表(VND)'!N34/$N$1,2)</f>
        <v>0</v>
      </c>
      <c r="O34" s="135">
        <f t="shared" si="4"/>
        <v>0</v>
      </c>
    </row>
    <row r="35" spans="1:15" ht="11.25" customHeight="1">
      <c r="A35" s="38"/>
      <c r="B35" s="37" t="s">
        <v>44</v>
      </c>
      <c r="C35" s="135">
        <f>ROUNDUP('採算表(VND)'!C35/$N$1,2)</f>
        <v>0</v>
      </c>
      <c r="D35" s="135">
        <f>ROUNDUP('採算表(VND)'!D35/$N$1,2)</f>
        <v>0</v>
      </c>
      <c r="E35" s="135">
        <f>ROUNDUP('採算表(VND)'!E35/$N$1,2)</f>
        <v>0</v>
      </c>
      <c r="F35" s="135">
        <f>ROUNDUP('採算表(VND)'!F35/$N$1,2)</f>
        <v>0</v>
      </c>
      <c r="G35" s="135">
        <f>ROUNDUP('採算表(VND)'!G35/$N$1,2)</f>
        <v>0</v>
      </c>
      <c r="H35" s="135">
        <f>ROUNDUP('採算表(VND)'!H35/$N$1,2)</f>
        <v>0</v>
      </c>
      <c r="I35" s="135">
        <f>ROUNDUP('採算表(VND)'!I35/$N$1,2)</f>
        <v>0</v>
      </c>
      <c r="J35" s="135">
        <f>ROUNDUP('採算表(VND)'!J35/$N$1,2)</f>
        <v>0</v>
      </c>
      <c r="K35" s="135">
        <f>ROUNDUP('採算表(VND)'!K35/$N$1,2)</f>
        <v>0</v>
      </c>
      <c r="L35" s="135">
        <f>ROUNDUP('採算表(VND)'!L35/$N$1,2)</f>
        <v>0</v>
      </c>
      <c r="M35" s="135">
        <f>ROUNDUP('採算表(VND)'!M35/$N$1,2)</f>
        <v>0</v>
      </c>
      <c r="N35" s="135">
        <f>ROUNDUP('採算表(VND)'!N35/$N$1,2)</f>
        <v>0</v>
      </c>
      <c r="O35" s="135">
        <f t="shared" si="4"/>
        <v>0</v>
      </c>
    </row>
    <row r="36" spans="1:15" ht="11.25" customHeight="1">
      <c r="A36" s="38"/>
      <c r="B36" s="37" t="s">
        <v>63</v>
      </c>
      <c r="C36" s="135">
        <f>ROUNDUP('採算表(VND)'!C36/$N$1,2)</f>
        <v>86842.37999999999</v>
      </c>
      <c r="D36" s="135">
        <f>ROUNDUP('採算表(VND)'!D36/$N$1,2)</f>
        <v>657.9</v>
      </c>
      <c r="E36" s="135">
        <f>ROUNDUP('採算表(VND)'!E36/$N$1,2)</f>
        <v>657.9</v>
      </c>
      <c r="F36" s="135">
        <f>ROUNDUP('採算表(VND)'!F36/$N$1,2)</f>
        <v>657.9</v>
      </c>
      <c r="G36" s="135">
        <f>ROUNDUP('採算表(VND)'!G36/$N$1,2)</f>
        <v>26315.879999999997</v>
      </c>
      <c r="H36" s="135">
        <f>ROUNDUP('採算表(VND)'!H36/$N$1,2)</f>
        <v>5657.9000000000005</v>
      </c>
      <c r="I36" s="135">
        <f>ROUNDUP('採算表(VND)'!I36/$N$1,2)</f>
        <v>657.9</v>
      </c>
      <c r="J36" s="135">
        <f>ROUNDUP('採算表(VND)'!J36/$N$1,2)</f>
        <v>657.9</v>
      </c>
      <c r="K36" s="135">
        <f>ROUNDUP('採算表(VND)'!K36/$N$1,2)</f>
        <v>657.9</v>
      </c>
      <c r="L36" s="135">
        <f>ROUNDUP('採算表(VND)'!L36/$N$1,2)</f>
        <v>5657.9000000000005</v>
      </c>
      <c r="M36" s="135">
        <f>ROUNDUP('採算表(VND)'!M36/$N$1,2)</f>
        <v>18050.5</v>
      </c>
      <c r="N36" s="135">
        <f>ROUNDUP('採算表(VND)'!N36/$N$1,2)</f>
        <v>657.9</v>
      </c>
      <c r="O36" s="135">
        <f t="shared" si="4"/>
        <v>147129.85999999993</v>
      </c>
    </row>
    <row r="37" spans="1:15" ht="11.25" customHeight="1">
      <c r="A37" s="38"/>
      <c r="B37" s="37" t="s">
        <v>41</v>
      </c>
      <c r="C37" s="135">
        <f>ROUNDUP('採算表(VND)'!C37/$N$1,2)</f>
        <v>0</v>
      </c>
      <c r="D37" s="135">
        <f>ROUNDUP('採算表(VND)'!D37/$N$1,2)</f>
        <v>0</v>
      </c>
      <c r="E37" s="135">
        <f>ROUNDUP('採算表(VND)'!E37/$N$1,2)</f>
        <v>0</v>
      </c>
      <c r="F37" s="135">
        <f>ROUNDUP('採算表(VND)'!F37/$N$1,2)</f>
        <v>0</v>
      </c>
      <c r="G37" s="135">
        <f>ROUNDUP('採算表(VND)'!G37/$N$1,2)</f>
        <v>0</v>
      </c>
      <c r="H37" s="135">
        <f>ROUNDUP('採算表(VND)'!H37/$N$1,2)</f>
        <v>0</v>
      </c>
      <c r="I37" s="135">
        <f>ROUNDUP('採算表(VND)'!I37/$N$1,2)</f>
        <v>0</v>
      </c>
      <c r="J37" s="135">
        <f>ROUNDUP('採算表(VND)'!J37/$N$1,2)</f>
        <v>0</v>
      </c>
      <c r="K37" s="135">
        <f>ROUNDUP('採算表(VND)'!K37/$N$1,2)</f>
        <v>0</v>
      </c>
      <c r="L37" s="135">
        <f>ROUNDUP('採算表(VND)'!L37/$N$1,2)</f>
        <v>0</v>
      </c>
      <c r="M37" s="135">
        <f>ROUNDUP('採算表(VND)'!M37/$N$1,2)</f>
        <v>0</v>
      </c>
      <c r="N37" s="135">
        <f>ROUNDUP('採算表(VND)'!N37/$N$1,2)</f>
        <v>0</v>
      </c>
      <c r="O37" s="135">
        <f t="shared" si="4"/>
        <v>0</v>
      </c>
    </row>
    <row r="38" spans="1:15" ht="11.25" customHeight="1">
      <c r="A38" s="38"/>
      <c r="B38" s="37" t="s">
        <v>48</v>
      </c>
      <c r="C38" s="135">
        <f>ROUNDUP('採算表(VND)'!C38/$N$1,2)</f>
        <v>0</v>
      </c>
      <c r="D38" s="135">
        <f>ROUNDUP('採算表(VND)'!D38/$N$1,2)</f>
        <v>0</v>
      </c>
      <c r="E38" s="135">
        <f>ROUNDUP('採算表(VND)'!E38/$N$1,2)</f>
        <v>0</v>
      </c>
      <c r="F38" s="135">
        <f>ROUNDUP('採算表(VND)'!F38/$N$1,2)</f>
        <v>0</v>
      </c>
      <c r="G38" s="135">
        <f>ROUNDUP('採算表(VND)'!G38/$N$1,2)</f>
        <v>0</v>
      </c>
      <c r="H38" s="135">
        <f>ROUNDUP('採算表(VND)'!H38/$N$1,2)</f>
        <v>0</v>
      </c>
      <c r="I38" s="135">
        <f>ROUNDUP('採算表(VND)'!I38/$N$1,2)</f>
        <v>0</v>
      </c>
      <c r="J38" s="135">
        <f>ROUNDUP('採算表(VND)'!J38/$N$1,2)</f>
        <v>0</v>
      </c>
      <c r="K38" s="135">
        <f>ROUNDUP('採算表(VND)'!K38/$N$1,2)</f>
        <v>0</v>
      </c>
      <c r="L38" s="135">
        <f>ROUNDUP('採算表(VND)'!L38/$N$1,2)</f>
        <v>0</v>
      </c>
      <c r="M38" s="135">
        <f>ROUNDUP('採算表(VND)'!M38/$N$1,2)</f>
        <v>0</v>
      </c>
      <c r="N38" s="135">
        <f>ROUNDUP('採算表(VND)'!N38/$N$1,2)</f>
        <v>0</v>
      </c>
      <c r="O38" s="135">
        <f t="shared" si="4"/>
        <v>0</v>
      </c>
    </row>
    <row r="39" spans="1:15" ht="11.25" customHeight="1">
      <c r="A39" s="38"/>
      <c r="B39" s="37" t="s">
        <v>50</v>
      </c>
      <c r="C39" s="135">
        <f>ROUNDUP('採算表(VND)'!C39/$N$1,2)</f>
        <v>17.720000000000002</v>
      </c>
      <c r="D39" s="135">
        <f>ROUNDUP('採算表(VND)'!D39/$N$1,2)</f>
        <v>17.110000000000003</v>
      </c>
      <c r="E39" s="135">
        <f>ROUNDUP('採算表(VND)'!E39/$N$1,2)</f>
        <v>18.130000000000003</v>
      </c>
      <c r="F39" s="135">
        <f>ROUNDUP('採算表(VND)'!F39/$N$1,2)</f>
        <v>16.770000000000003</v>
      </c>
      <c r="G39" s="135">
        <f>ROUNDUP('採算表(VND)'!G39/$N$1,2)</f>
        <v>17.16</v>
      </c>
      <c r="H39" s="135">
        <f>ROUNDUP('採算表(VND)'!H39/$N$1,2)</f>
        <v>17.900000000000002</v>
      </c>
      <c r="I39" s="135">
        <f>ROUNDUP('採算表(VND)'!I39/$N$1,2)</f>
        <v>17.560000000000002</v>
      </c>
      <c r="J39" s="135">
        <f>ROUNDUP('採算表(VND)'!J39/$N$1,2)</f>
        <v>17.540000000000003</v>
      </c>
      <c r="K39" s="135">
        <f>ROUNDUP('採算表(VND)'!K39/$N$1,2)</f>
        <v>17.580000000000002</v>
      </c>
      <c r="L39" s="135">
        <f>ROUNDUP('採算表(VND)'!L39/$N$1,2)</f>
        <v>17.360000000000003</v>
      </c>
      <c r="M39" s="135">
        <f>ROUNDUP('採算表(VND)'!M39/$N$1,2)</f>
        <v>16.64</v>
      </c>
      <c r="N39" s="135">
        <f>ROUNDUP('採算表(VND)'!N39/$N$1,2)</f>
        <v>17.970000000000002</v>
      </c>
      <c r="O39" s="135">
        <f t="shared" si="4"/>
        <v>209.44000000000003</v>
      </c>
    </row>
    <row r="40" spans="1:15" ht="11.25" customHeight="1">
      <c r="A40" s="38"/>
      <c r="B40" s="37" t="s">
        <v>51</v>
      </c>
      <c r="C40" s="135">
        <f>ROUNDUP('採算表(VND)'!C40/$N$1,2)</f>
        <v>0</v>
      </c>
      <c r="D40" s="135">
        <f>ROUNDUP('採算表(VND)'!D40/$N$1,2)</f>
        <v>0</v>
      </c>
      <c r="E40" s="135">
        <f>ROUNDUP('採算表(VND)'!E40/$N$1,2)</f>
        <v>0</v>
      </c>
      <c r="F40" s="135">
        <f>ROUNDUP('採算表(VND)'!F40/$N$1,2)</f>
        <v>0</v>
      </c>
      <c r="G40" s="135">
        <f>ROUNDUP('採算表(VND)'!G40/$N$1,2)</f>
        <v>0</v>
      </c>
      <c r="H40" s="135">
        <f>ROUNDUP('採算表(VND)'!H40/$N$1,2)</f>
        <v>0</v>
      </c>
      <c r="I40" s="135">
        <f>ROUNDUP('採算表(VND)'!I40/$N$1,2)</f>
        <v>0</v>
      </c>
      <c r="J40" s="135">
        <f>ROUNDUP('採算表(VND)'!J40/$N$1,2)</f>
        <v>0</v>
      </c>
      <c r="K40" s="135">
        <f>ROUNDUP('採算表(VND)'!K40/$N$1,2)</f>
        <v>0</v>
      </c>
      <c r="L40" s="135">
        <f>ROUNDUP('採算表(VND)'!L40/$N$1,2)</f>
        <v>0</v>
      </c>
      <c r="M40" s="135">
        <f>ROUNDUP('採算表(VND)'!M40/$N$1,2)</f>
        <v>0</v>
      </c>
      <c r="N40" s="135">
        <f>ROUNDUP('採算表(VND)'!N40/$N$1,2)</f>
        <v>0</v>
      </c>
      <c r="O40" s="135">
        <f t="shared" si="4"/>
        <v>0</v>
      </c>
    </row>
    <row r="41" spans="1:15" ht="11.25" customHeight="1">
      <c r="A41" s="38"/>
      <c r="B41" s="37" t="s">
        <v>58</v>
      </c>
      <c r="C41" s="135">
        <f>ROUNDUP('採算表(VND)'!C41/$N$1,2)</f>
        <v>3.94</v>
      </c>
      <c r="D41" s="135">
        <f>ROUNDUP('採算表(VND)'!D41/$N$1,2)</f>
        <v>19.700000000000003</v>
      </c>
      <c r="E41" s="135">
        <f>ROUNDUP('採算表(VND)'!E41/$N$1,2)</f>
        <v>19.700000000000003</v>
      </c>
      <c r="F41" s="135">
        <f>ROUNDUP('採算表(VND)'!F41/$N$1,2)</f>
        <v>19.700000000000003</v>
      </c>
      <c r="G41" s="135">
        <f>ROUNDUP('採算表(VND)'!G41/$N$1,2)</f>
        <v>3.94</v>
      </c>
      <c r="H41" s="135">
        <f>ROUNDUP('採算表(VND)'!H41/$N$1,2)</f>
        <v>19.700000000000003</v>
      </c>
      <c r="I41" s="135">
        <f>ROUNDUP('採算表(VND)'!I41/$N$1,2)</f>
        <v>19.700000000000003</v>
      </c>
      <c r="J41" s="135">
        <f>ROUNDUP('採算表(VND)'!J41/$N$1,2)</f>
        <v>19.700000000000003</v>
      </c>
      <c r="K41" s="135">
        <f>ROUNDUP('採算表(VND)'!K41/$N$1,2)</f>
        <v>3.94</v>
      </c>
      <c r="L41" s="135">
        <f>ROUNDUP('採算表(VND)'!L41/$N$1,2)</f>
        <v>19.700000000000003</v>
      </c>
      <c r="M41" s="135">
        <f>ROUNDUP('採算表(VND)'!M41/$N$1,2)</f>
        <v>19.700000000000003</v>
      </c>
      <c r="N41" s="135">
        <f>ROUNDUP('採算表(VND)'!N41/$N$1,2)</f>
        <v>19.700000000000003</v>
      </c>
      <c r="O41" s="135">
        <f t="shared" si="4"/>
        <v>189.12</v>
      </c>
    </row>
    <row r="42" spans="1:15" ht="11.25" customHeight="1">
      <c r="A42" s="38"/>
      <c r="B42" s="37" t="s">
        <v>98</v>
      </c>
      <c r="C42" s="135">
        <f>ROUNDUP('採算表(VND)'!C42/$N$1,2)</f>
        <v>608.51</v>
      </c>
      <c r="D42" s="135">
        <f>ROUNDUP('採算表(VND)'!D42/$N$1,2)</f>
        <v>608.51</v>
      </c>
      <c r="E42" s="135">
        <f>ROUNDUP('採算表(VND)'!E42/$N$1,2)</f>
        <v>640.02</v>
      </c>
      <c r="F42" s="135">
        <f>ROUNDUP('採算表(VND)'!F42/$N$1,2)</f>
        <v>624.26</v>
      </c>
      <c r="G42" s="135">
        <f>ROUNDUP('採算表(VND)'!G42/$N$1,2)</f>
        <v>612.28</v>
      </c>
      <c r="H42" s="135">
        <f>ROUNDUP('採算表(VND)'!H42/$N$1,2)</f>
        <v>615.55999999999995</v>
      </c>
      <c r="I42" s="135">
        <f>ROUNDUP('採算表(VND)'!I42/$N$1,2)</f>
        <v>615.55999999999995</v>
      </c>
      <c r="J42" s="135">
        <f>ROUNDUP('採算表(VND)'!J42/$N$1,2)</f>
        <v>615.55999999999995</v>
      </c>
      <c r="K42" s="135">
        <f>ROUNDUP('採算表(VND)'!K42/$N$1,2)</f>
        <v>616.11</v>
      </c>
      <c r="L42" s="135">
        <f>ROUNDUP('採算表(VND)'!L42/$N$1,2)</f>
        <v>615.55999999999995</v>
      </c>
      <c r="M42" s="135">
        <f>ROUNDUP('採算表(VND)'!M42/$N$1,2)</f>
        <v>615.55999999999995</v>
      </c>
      <c r="N42" s="135">
        <f>ROUNDUP('採算表(VND)'!N42/$N$1,2)</f>
        <v>615.55999999999995</v>
      </c>
      <c r="O42" s="135">
        <f t="shared" si="4"/>
        <v>7403.0499999999993</v>
      </c>
    </row>
    <row r="43" spans="1:15" ht="11.25" customHeight="1">
      <c r="A43" s="38"/>
      <c r="B43" s="37" t="s">
        <v>99</v>
      </c>
      <c r="C43" s="135">
        <f>ROUNDUP('採算表(VND)'!C43/$N$1,2)</f>
        <v>0</v>
      </c>
      <c r="D43" s="135">
        <f>ROUNDUP('採算表(VND)'!D43/$N$1,2)</f>
        <v>0</v>
      </c>
      <c r="E43" s="135">
        <f>ROUNDUP('採算表(VND)'!E43/$N$1,2)</f>
        <v>0</v>
      </c>
      <c r="F43" s="135">
        <f>ROUNDUP('採算表(VND)'!F43/$N$1,2)</f>
        <v>0</v>
      </c>
      <c r="G43" s="135">
        <f>ROUNDUP('採算表(VND)'!G43/$N$1,2)</f>
        <v>0</v>
      </c>
      <c r="H43" s="135">
        <f>ROUNDUP('採算表(VND)'!H43/$N$1,2)</f>
        <v>0</v>
      </c>
      <c r="I43" s="135">
        <f>ROUNDUP('採算表(VND)'!I43/$N$1,2)</f>
        <v>0</v>
      </c>
      <c r="J43" s="135">
        <f>ROUNDUP('採算表(VND)'!J43/$N$1,2)</f>
        <v>0</v>
      </c>
      <c r="K43" s="135">
        <f>ROUNDUP('採算表(VND)'!K43/$N$1,2)</f>
        <v>0</v>
      </c>
      <c r="L43" s="135">
        <f>ROUNDUP('採算表(VND)'!L43/$N$1,2)</f>
        <v>0</v>
      </c>
      <c r="M43" s="135">
        <f>ROUNDUP('採算表(VND)'!M43/$N$1,2)</f>
        <v>0</v>
      </c>
      <c r="N43" s="135">
        <f>ROUNDUP('採算表(VND)'!N43/$N$1,2)</f>
        <v>0</v>
      </c>
      <c r="O43" s="135">
        <f t="shared" si="4"/>
        <v>0</v>
      </c>
    </row>
    <row r="44" spans="1:15" ht="11.25" customHeight="1">
      <c r="A44" s="38"/>
      <c r="B44" s="37" t="s">
        <v>42</v>
      </c>
      <c r="C44" s="135">
        <f>ROUNDUP('採算表(VND)'!C44/$N$1,2)</f>
        <v>103.98</v>
      </c>
      <c r="D44" s="135">
        <f>ROUNDUP('採算表(VND)'!D44/$N$1,2)</f>
        <v>691.93</v>
      </c>
      <c r="E44" s="135">
        <f>ROUNDUP('採算表(VND)'!E44/$N$1,2)</f>
        <v>24.900000000000002</v>
      </c>
      <c r="F44" s="135">
        <f>ROUNDUP('採算表(VND)'!F44/$N$1,2)</f>
        <v>15.33</v>
      </c>
      <c r="G44" s="135">
        <f>ROUNDUP('採算表(VND)'!G44/$N$1,2)</f>
        <v>46.239999999999995</v>
      </c>
      <c r="H44" s="135">
        <f>ROUNDUP('採算表(VND)'!H44/$N$1,2)</f>
        <v>76.61</v>
      </c>
      <c r="I44" s="135">
        <f>ROUNDUP('採算表(VND)'!I44/$N$1,2)</f>
        <v>150.69</v>
      </c>
      <c r="J44" s="135">
        <f>ROUNDUP('採算表(VND)'!J44/$N$1,2)</f>
        <v>42.94</v>
      </c>
      <c r="K44" s="135">
        <f>ROUNDUP('採算表(VND)'!K44/$N$1,2)</f>
        <v>73.42</v>
      </c>
      <c r="L44" s="135">
        <f>ROUNDUP('採算表(VND)'!L44/$N$1,2)</f>
        <v>83.740000000000009</v>
      </c>
      <c r="M44" s="135">
        <f>ROUNDUP('採算表(VND)'!M44/$N$1,2)</f>
        <v>35.449999999999996</v>
      </c>
      <c r="N44" s="135">
        <f>ROUNDUP('採算表(VND)'!N44/$N$1,2)</f>
        <v>0</v>
      </c>
      <c r="O44" s="135">
        <f t="shared" si="4"/>
        <v>1345.2300000000002</v>
      </c>
    </row>
    <row r="45" spans="1:15" ht="11.25" customHeight="1">
      <c r="A45" s="38"/>
      <c r="B45" s="37" t="s">
        <v>115</v>
      </c>
      <c r="C45" s="135">
        <f>ROUNDUP('採算表(VND)'!C45/$N$1,2)</f>
        <v>0</v>
      </c>
      <c r="D45" s="135">
        <f>ROUNDUP('採算表(VND)'!D45/$N$1,2)</f>
        <v>0</v>
      </c>
      <c r="E45" s="135">
        <f>ROUNDUP('採算表(VND)'!E45/$N$1,2)</f>
        <v>0</v>
      </c>
      <c r="F45" s="135">
        <f>ROUNDUP('採算表(VND)'!F45/$N$1,2)</f>
        <v>59.08</v>
      </c>
      <c r="G45" s="135">
        <f>ROUNDUP('採算表(VND)'!G45/$N$1,2)</f>
        <v>0</v>
      </c>
      <c r="H45" s="135">
        <f>ROUNDUP('採算表(VND)'!H45/$N$1,2)</f>
        <v>0</v>
      </c>
      <c r="I45" s="135">
        <f>ROUNDUP('採算表(VND)'!I45/$N$1,2)</f>
        <v>55.14</v>
      </c>
      <c r="J45" s="135">
        <f>ROUNDUP('採算表(VND)'!J45/$N$1,2)</f>
        <v>0</v>
      </c>
      <c r="K45" s="135">
        <f>ROUNDUP('採算表(VND)'!K45/$N$1,2)</f>
        <v>59.08</v>
      </c>
      <c r="L45" s="135">
        <f>ROUNDUP('採算表(VND)'!L45/$N$1,2)</f>
        <v>0</v>
      </c>
      <c r="M45" s="135">
        <f>ROUNDUP('採算表(VND)'!M45/$N$1,2)</f>
        <v>0</v>
      </c>
      <c r="N45" s="135">
        <f>ROUNDUP('採算表(VND)'!N45/$N$1,2)</f>
        <v>55.14</v>
      </c>
      <c r="O45" s="135">
        <f t="shared" si="4"/>
        <v>228.44</v>
      </c>
    </row>
    <row r="46" spans="1:15" ht="11.25" customHeight="1">
      <c r="A46" s="38"/>
      <c r="B46" s="37" t="s">
        <v>116</v>
      </c>
      <c r="C46" s="135">
        <f>ROUNDUP('採算表(VND)'!C46/$N$1,2)</f>
        <v>0</v>
      </c>
      <c r="D46" s="135">
        <f>ROUNDUP('採算表(VND)'!D46/$N$1,2)</f>
        <v>0</v>
      </c>
      <c r="E46" s="135">
        <f>ROUNDUP('採算表(VND)'!E46/$N$1,2)</f>
        <v>0</v>
      </c>
      <c r="F46" s="135">
        <f>ROUNDUP('採算表(VND)'!F46/$N$1,2)</f>
        <v>0</v>
      </c>
      <c r="G46" s="135">
        <f>ROUNDUP('採算表(VND)'!G46/$N$1,2)</f>
        <v>0</v>
      </c>
      <c r="H46" s="135">
        <f>ROUNDUP('採算表(VND)'!H46/$N$1,2)</f>
        <v>0</v>
      </c>
      <c r="I46" s="135">
        <f>ROUNDUP('採算表(VND)'!I46/$N$1,2)</f>
        <v>0</v>
      </c>
      <c r="J46" s="135">
        <f>ROUNDUP('採算表(VND)'!J46/$N$1,2)</f>
        <v>0</v>
      </c>
      <c r="K46" s="135">
        <f>ROUNDUP('採算表(VND)'!K46/$N$1,2)</f>
        <v>0</v>
      </c>
      <c r="L46" s="135">
        <f>ROUNDUP('採算表(VND)'!L46/$N$1,2)</f>
        <v>0</v>
      </c>
      <c r="M46" s="135">
        <f>ROUNDUP('採算表(VND)'!M46/$N$1,2)</f>
        <v>0</v>
      </c>
      <c r="N46" s="135">
        <f>ROUNDUP('採算表(VND)'!N46/$N$1,2)</f>
        <v>0</v>
      </c>
      <c r="O46" s="135">
        <f t="shared" si="4"/>
        <v>0</v>
      </c>
    </row>
    <row r="47" spans="1:15" ht="11.25" customHeight="1">
      <c r="A47" s="38"/>
      <c r="B47" s="37" t="s">
        <v>117</v>
      </c>
      <c r="C47" s="135">
        <f>ROUNDUP('採算表(VND)'!C47/$N$1,2)</f>
        <v>0</v>
      </c>
      <c r="D47" s="135">
        <f>ROUNDUP('採算表(VND)'!D47/$N$1,2)</f>
        <v>0</v>
      </c>
      <c r="E47" s="135">
        <f>ROUNDUP('採算表(VND)'!E47/$N$1,2)</f>
        <v>0</v>
      </c>
      <c r="F47" s="135">
        <f>ROUNDUP('採算表(VND)'!F47/$N$1,2)</f>
        <v>0</v>
      </c>
      <c r="G47" s="135">
        <f>ROUNDUP('採算表(VND)'!G47/$N$1,2)</f>
        <v>0</v>
      </c>
      <c r="H47" s="135">
        <f>ROUNDUP('採算表(VND)'!H47/$N$1,2)</f>
        <v>0</v>
      </c>
      <c r="I47" s="135">
        <f>ROUNDUP('採算表(VND)'!I47/$N$1,2)</f>
        <v>0</v>
      </c>
      <c r="J47" s="135">
        <f>ROUNDUP('採算表(VND)'!J47/$N$1,2)</f>
        <v>0</v>
      </c>
      <c r="K47" s="135">
        <f>ROUNDUP('採算表(VND)'!K47/$N$1,2)</f>
        <v>0</v>
      </c>
      <c r="L47" s="135">
        <f>ROUNDUP('採算表(VND)'!L47/$N$1,2)</f>
        <v>0</v>
      </c>
      <c r="M47" s="135">
        <f>ROUNDUP('採算表(VND)'!M47/$N$1,2)</f>
        <v>0</v>
      </c>
      <c r="N47" s="135">
        <f>ROUNDUP('採算表(VND)'!N47/$N$1,2)</f>
        <v>0</v>
      </c>
      <c r="O47" s="135">
        <f t="shared" si="4"/>
        <v>0</v>
      </c>
    </row>
    <row r="48" spans="1:15" ht="11.25" customHeight="1">
      <c r="A48" s="38"/>
      <c r="B48" s="37" t="s">
        <v>53</v>
      </c>
      <c r="C48" s="135">
        <f>ROUNDUP('採算表(VND)'!C48/$N$1,2)</f>
        <v>0</v>
      </c>
      <c r="D48" s="135">
        <f>ROUNDUP('採算表(VND)'!D48/$N$1,2)</f>
        <v>0</v>
      </c>
      <c r="E48" s="135">
        <f>ROUNDUP('採算表(VND)'!E48/$N$1,2)</f>
        <v>0</v>
      </c>
      <c r="F48" s="135">
        <f>ROUNDUP('採算表(VND)'!F48/$N$1,2)</f>
        <v>0</v>
      </c>
      <c r="G48" s="135">
        <f>ROUNDUP('採算表(VND)'!G48/$N$1,2)</f>
        <v>0</v>
      </c>
      <c r="H48" s="135">
        <f>ROUNDUP('採算表(VND)'!H48/$N$1,2)</f>
        <v>0</v>
      </c>
      <c r="I48" s="135">
        <f>ROUNDUP('採算表(VND)'!I48/$N$1,2)</f>
        <v>0</v>
      </c>
      <c r="J48" s="135">
        <f>ROUNDUP('採算表(VND)'!J48/$N$1,2)</f>
        <v>0</v>
      </c>
      <c r="K48" s="135">
        <f>ROUNDUP('採算表(VND)'!K48/$N$1,2)</f>
        <v>0</v>
      </c>
      <c r="L48" s="135">
        <f>ROUNDUP('採算表(VND)'!L48/$N$1,2)</f>
        <v>0</v>
      </c>
      <c r="M48" s="135">
        <f>ROUNDUP('採算表(VND)'!M48/$N$1,2)</f>
        <v>0</v>
      </c>
      <c r="N48" s="135">
        <f>ROUNDUP('採算表(VND)'!N48/$N$1,2)</f>
        <v>0</v>
      </c>
      <c r="O48" s="135">
        <f t="shared" si="4"/>
        <v>0</v>
      </c>
    </row>
    <row r="49" spans="1:15" ht="11.25" customHeight="1">
      <c r="A49" s="38"/>
      <c r="B49" s="45" t="s">
        <v>64</v>
      </c>
      <c r="C49" s="136">
        <f>ROUNDUP('採算表(VND)'!C49/$N$1,2)</f>
        <v>0</v>
      </c>
      <c r="D49" s="136">
        <f>ROUNDUP('採算表(VND)'!D49/$N$1,2)</f>
        <v>0</v>
      </c>
      <c r="E49" s="136">
        <f>ROUNDUP('採算表(VND)'!E49/$N$1,2)</f>
        <v>0</v>
      </c>
      <c r="F49" s="136">
        <f>ROUNDUP('採算表(VND)'!F49/$N$1,2)</f>
        <v>0</v>
      </c>
      <c r="G49" s="136">
        <f>ROUNDUP('採算表(VND)'!G49/$N$1,2)</f>
        <v>0</v>
      </c>
      <c r="H49" s="136">
        <f>ROUNDUP('採算表(VND)'!H49/$N$1,2)</f>
        <v>0</v>
      </c>
      <c r="I49" s="136">
        <f>ROUNDUP('採算表(VND)'!I49/$N$1,2)</f>
        <v>0</v>
      </c>
      <c r="J49" s="136">
        <f>ROUNDUP('採算表(VND)'!J49/$N$1,2)</f>
        <v>0</v>
      </c>
      <c r="K49" s="136">
        <f>ROUNDUP('採算表(VND)'!K49/$N$1,2)</f>
        <v>0</v>
      </c>
      <c r="L49" s="136">
        <f>ROUNDUP('採算表(VND)'!L49/$N$1,2)</f>
        <v>0</v>
      </c>
      <c r="M49" s="136">
        <f>ROUNDUP('採算表(VND)'!M49/$N$1,2)</f>
        <v>0</v>
      </c>
      <c r="N49" s="136">
        <f>ROUNDUP('採算表(VND)'!N49/$N$1,2)</f>
        <v>0</v>
      </c>
      <c r="O49" s="136">
        <f t="shared" si="4"/>
        <v>0</v>
      </c>
    </row>
    <row r="50" spans="1:15" ht="11.25" customHeight="1">
      <c r="A50" s="38"/>
      <c r="B50" s="39" t="s">
        <v>62</v>
      </c>
      <c r="C50" s="137">
        <f>ROUNDUP('採算表(VND)'!C50/$N$1,2)</f>
        <v>0</v>
      </c>
      <c r="D50" s="137">
        <f>ROUNDUP('採算表(VND)'!D50/$N$1,2)</f>
        <v>0</v>
      </c>
      <c r="E50" s="137">
        <f>ROUNDUP('採算表(VND)'!E50/$N$1,2)</f>
        <v>0</v>
      </c>
      <c r="F50" s="137">
        <f>ROUNDUP('採算表(VND)'!F50/$N$1,2)</f>
        <v>0</v>
      </c>
      <c r="G50" s="137">
        <f>ROUNDUP('採算表(VND)'!G50/$N$1,2)</f>
        <v>0</v>
      </c>
      <c r="H50" s="137">
        <f>ROUNDUP('採算表(VND)'!H50/$N$1,2)</f>
        <v>0</v>
      </c>
      <c r="I50" s="137">
        <f>ROUNDUP('採算表(VND)'!I50/$N$1,2)</f>
        <v>0</v>
      </c>
      <c r="J50" s="137">
        <f>ROUNDUP('採算表(VND)'!J50/$N$1,2)</f>
        <v>0</v>
      </c>
      <c r="K50" s="137">
        <f>ROUNDUP('採算表(VND)'!K50/$N$1,2)</f>
        <v>0</v>
      </c>
      <c r="L50" s="137">
        <f>ROUNDUP('採算表(VND)'!L50/$N$1,2)</f>
        <v>0</v>
      </c>
      <c r="M50" s="137">
        <f>ROUNDUP('採算表(VND)'!M50/$N$1,2)</f>
        <v>0</v>
      </c>
      <c r="N50" s="137">
        <f>ROUNDUP('採算表(VND)'!N50/$N$1,2)</f>
        <v>0</v>
      </c>
      <c r="O50" s="137">
        <f t="shared" si="4"/>
        <v>0</v>
      </c>
    </row>
    <row r="51" spans="1:15" ht="11.25" customHeight="1">
      <c r="A51" s="38"/>
      <c r="B51" s="39" t="s">
        <v>105</v>
      </c>
      <c r="C51" s="137">
        <f>ROUNDUP('採算表(VND)'!C51/$N$1,2)</f>
        <v>0</v>
      </c>
      <c r="D51" s="137">
        <f>ROUNDUP('採算表(VND)'!D51/$N$1,2)</f>
        <v>0</v>
      </c>
      <c r="E51" s="137">
        <f>ROUNDUP('採算表(VND)'!E51/$N$1,2)</f>
        <v>0</v>
      </c>
      <c r="F51" s="137">
        <f>ROUNDUP('採算表(VND)'!F51/$N$1,2)</f>
        <v>0</v>
      </c>
      <c r="G51" s="137">
        <f>ROUNDUP('採算表(VND)'!G51/$N$1,2)</f>
        <v>0</v>
      </c>
      <c r="H51" s="137">
        <f>ROUNDUP('採算表(VND)'!H51/$N$1,2)</f>
        <v>0</v>
      </c>
      <c r="I51" s="137">
        <f>ROUNDUP('採算表(VND)'!I51/$N$1,2)</f>
        <v>0</v>
      </c>
      <c r="J51" s="137">
        <f>ROUNDUP('採算表(VND)'!J51/$N$1,2)</f>
        <v>0</v>
      </c>
      <c r="K51" s="137">
        <f>ROUNDUP('採算表(VND)'!K51/$N$1,2)</f>
        <v>0</v>
      </c>
      <c r="L51" s="137">
        <f>ROUNDUP('採算表(VND)'!L51/$N$1,2)</f>
        <v>0</v>
      </c>
      <c r="M51" s="137">
        <f>ROUNDUP('採算表(VND)'!M51/$N$1,2)</f>
        <v>0</v>
      </c>
      <c r="N51" s="137">
        <f>ROUNDUP('採算表(VND)'!N51/$N$1,2)</f>
        <v>0</v>
      </c>
      <c r="O51" s="137">
        <f t="shared" si="4"/>
        <v>0</v>
      </c>
    </row>
    <row r="52" spans="1:15" ht="11.25" customHeight="1">
      <c r="A52" s="38"/>
      <c r="B52" s="37" t="s">
        <v>118</v>
      </c>
      <c r="C52" s="138">
        <f>ROUNDUP('採算表(VND)'!C52/$N$1,2)</f>
        <v>0</v>
      </c>
      <c r="D52" s="138">
        <f>ROUNDUP('採算表(VND)'!D52/$N$1,2)</f>
        <v>0</v>
      </c>
      <c r="E52" s="138">
        <f>ROUNDUP('採算表(VND)'!E52/$N$1,2)</f>
        <v>0</v>
      </c>
      <c r="F52" s="138">
        <f>ROUNDUP('採算表(VND)'!F52/$N$1,2)</f>
        <v>0</v>
      </c>
      <c r="G52" s="138">
        <f>ROUNDUP('採算表(VND)'!G52/$N$1,2)</f>
        <v>0</v>
      </c>
      <c r="H52" s="138">
        <f>ROUNDUP('採算表(VND)'!H52/$N$1,2)</f>
        <v>0</v>
      </c>
      <c r="I52" s="138">
        <f>ROUNDUP('採算表(VND)'!I52/$N$1,2)</f>
        <v>0</v>
      </c>
      <c r="J52" s="138">
        <f>ROUNDUP('採算表(VND)'!J52/$N$1,2)</f>
        <v>0</v>
      </c>
      <c r="K52" s="138">
        <f>ROUNDUP('採算表(VND)'!K52/$N$1,2)</f>
        <v>0</v>
      </c>
      <c r="L52" s="138">
        <f>ROUNDUP('採算表(VND)'!L52/$N$1,2)</f>
        <v>0</v>
      </c>
      <c r="M52" s="138">
        <f>ROUNDUP('採算表(VND)'!M52/$N$1,2)</f>
        <v>0</v>
      </c>
      <c r="N52" s="138">
        <f>ROUNDUP('採算表(VND)'!N52/$N$1,2)</f>
        <v>0</v>
      </c>
      <c r="O52" s="138">
        <f t="shared" si="4"/>
        <v>0</v>
      </c>
    </row>
    <row r="53" spans="1:15" ht="11.25" customHeight="1">
      <c r="A53" s="38"/>
      <c r="B53" s="37" t="s">
        <v>119</v>
      </c>
      <c r="C53" s="138">
        <f>ROUNDUP('採算表(VND)'!C53/$N$1,2)</f>
        <v>0</v>
      </c>
      <c r="D53" s="138">
        <f>ROUNDUP('採算表(VND)'!D53/$N$1,2)</f>
        <v>0</v>
      </c>
      <c r="E53" s="138">
        <f>ROUNDUP('採算表(VND)'!E53/$N$1,2)</f>
        <v>0</v>
      </c>
      <c r="F53" s="138">
        <f>ROUNDUP('採算表(VND)'!F53/$N$1,2)</f>
        <v>0</v>
      </c>
      <c r="G53" s="138">
        <f>ROUNDUP('採算表(VND)'!G53/$N$1,2)</f>
        <v>0</v>
      </c>
      <c r="H53" s="138">
        <f>ROUNDUP('採算表(VND)'!H53/$N$1,2)</f>
        <v>0</v>
      </c>
      <c r="I53" s="138">
        <f>ROUNDUP('採算表(VND)'!I53/$N$1,2)</f>
        <v>0</v>
      </c>
      <c r="J53" s="138">
        <f>ROUNDUP('採算表(VND)'!J53/$N$1,2)</f>
        <v>0</v>
      </c>
      <c r="K53" s="138">
        <f>ROUNDUP('採算表(VND)'!K53/$N$1,2)</f>
        <v>0</v>
      </c>
      <c r="L53" s="138">
        <f>ROUNDUP('採算表(VND)'!L53/$N$1,2)</f>
        <v>0</v>
      </c>
      <c r="M53" s="138">
        <f>ROUNDUP('採算表(VND)'!M53/$N$1,2)</f>
        <v>0</v>
      </c>
      <c r="N53" s="138">
        <f>ROUNDUP('採算表(VND)'!N53/$N$1,2)</f>
        <v>0</v>
      </c>
      <c r="O53" s="138">
        <f t="shared" si="4"/>
        <v>0</v>
      </c>
    </row>
    <row r="54" spans="1:15" ht="11.25" customHeight="1">
      <c r="A54" s="38"/>
      <c r="B54" s="37" t="s">
        <v>100</v>
      </c>
      <c r="C54" s="138">
        <f>ROUNDUP('採算表(VND)'!C54/$N$1,2)</f>
        <v>0</v>
      </c>
      <c r="D54" s="138">
        <f>ROUNDUP('採算表(VND)'!D54/$N$1,2)</f>
        <v>0</v>
      </c>
      <c r="E54" s="138">
        <f>ROUNDUP('採算表(VND)'!E54/$N$1,2)</f>
        <v>0</v>
      </c>
      <c r="F54" s="138">
        <f>ROUNDUP('採算表(VND)'!F54/$N$1,2)</f>
        <v>0</v>
      </c>
      <c r="G54" s="138">
        <f>ROUNDUP('採算表(VND)'!G54/$N$1,2)</f>
        <v>0</v>
      </c>
      <c r="H54" s="138">
        <f>ROUNDUP('採算表(VND)'!H54/$N$1,2)</f>
        <v>0</v>
      </c>
      <c r="I54" s="138">
        <f>ROUNDUP('採算表(VND)'!I54/$N$1,2)</f>
        <v>0</v>
      </c>
      <c r="J54" s="138">
        <f>ROUNDUP('採算表(VND)'!J54/$N$1,2)</f>
        <v>0</v>
      </c>
      <c r="K54" s="138">
        <f>ROUNDUP('採算表(VND)'!K54/$N$1,2)</f>
        <v>0</v>
      </c>
      <c r="L54" s="138">
        <f>ROUNDUP('採算表(VND)'!L54/$N$1,2)</f>
        <v>0</v>
      </c>
      <c r="M54" s="138">
        <f>ROUNDUP('採算表(VND)'!M54/$N$1,2)</f>
        <v>0</v>
      </c>
      <c r="N54" s="138">
        <f>ROUNDUP('採算表(VND)'!N54/$N$1,2)</f>
        <v>0</v>
      </c>
      <c r="O54" s="138">
        <f t="shared" si="4"/>
        <v>0</v>
      </c>
    </row>
    <row r="55" spans="1:15" ht="11.25" customHeight="1">
      <c r="A55" s="38"/>
      <c r="B55" s="37" t="s">
        <v>110</v>
      </c>
      <c r="C55" s="138">
        <f>ROUNDUP('採算表(VND)'!C55/$N$1,2)</f>
        <v>0</v>
      </c>
      <c r="D55" s="138">
        <f>ROUNDUP('採算表(VND)'!D55/$N$1,2)</f>
        <v>0</v>
      </c>
      <c r="E55" s="138">
        <f>ROUNDUP('採算表(VND)'!E55/$N$1,2)</f>
        <v>0</v>
      </c>
      <c r="F55" s="138">
        <f>ROUNDUP('採算表(VND)'!F55/$N$1,2)</f>
        <v>0</v>
      </c>
      <c r="G55" s="138">
        <f>ROUNDUP('採算表(VND)'!G55/$N$1,2)</f>
        <v>0</v>
      </c>
      <c r="H55" s="138">
        <f>ROUNDUP('採算表(VND)'!H55/$N$1,2)</f>
        <v>0</v>
      </c>
      <c r="I55" s="138">
        <f>ROUNDUP('採算表(VND)'!I55/$N$1,2)</f>
        <v>0</v>
      </c>
      <c r="J55" s="138">
        <f>ROUNDUP('採算表(VND)'!J55/$N$1,2)</f>
        <v>0</v>
      </c>
      <c r="K55" s="138">
        <f>ROUNDUP('採算表(VND)'!K55/$N$1,2)</f>
        <v>0</v>
      </c>
      <c r="L55" s="138">
        <f>ROUNDUP('採算表(VND)'!L55/$N$1,2)</f>
        <v>0</v>
      </c>
      <c r="M55" s="138">
        <f>ROUNDUP('採算表(VND)'!M55/$N$1,2)</f>
        <v>0</v>
      </c>
      <c r="N55" s="138">
        <f>ROUNDUP('採算表(VND)'!N55/$N$1,2)</f>
        <v>0</v>
      </c>
      <c r="O55" s="138">
        <f t="shared" si="4"/>
        <v>0</v>
      </c>
    </row>
    <row r="56" spans="1:15" ht="11.25" customHeight="1">
      <c r="A56" s="38"/>
      <c r="B56" s="37" t="s">
        <v>113</v>
      </c>
      <c r="C56" s="138">
        <f>ROUNDUP('採算表(VND)'!C56/$N$1,2)</f>
        <v>0</v>
      </c>
      <c r="D56" s="138">
        <f>ROUNDUP('採算表(VND)'!D56/$N$1,2)</f>
        <v>0</v>
      </c>
      <c r="E56" s="138">
        <f>ROUNDUP('採算表(VND)'!E56/$N$1,2)</f>
        <v>0</v>
      </c>
      <c r="F56" s="138">
        <f>ROUNDUP('採算表(VND)'!F56/$N$1,2)</f>
        <v>0</v>
      </c>
      <c r="G56" s="138">
        <f>ROUNDUP('採算表(VND)'!G56/$N$1,2)</f>
        <v>0</v>
      </c>
      <c r="H56" s="138">
        <f>ROUNDUP('採算表(VND)'!H56/$N$1,2)</f>
        <v>0</v>
      </c>
      <c r="I56" s="138">
        <f>ROUNDUP('採算表(VND)'!I56/$N$1,2)</f>
        <v>0</v>
      </c>
      <c r="J56" s="138">
        <f>ROUNDUP('採算表(VND)'!J56/$N$1,2)</f>
        <v>0</v>
      </c>
      <c r="K56" s="138">
        <f>ROUNDUP('採算表(VND)'!K56/$N$1,2)</f>
        <v>0</v>
      </c>
      <c r="L56" s="138">
        <f>ROUNDUP('採算表(VND)'!L56/$N$1,2)</f>
        <v>0</v>
      </c>
      <c r="M56" s="138">
        <f>ROUNDUP('採算表(VND)'!M56/$N$1,2)</f>
        <v>0</v>
      </c>
      <c r="N56" s="138">
        <f>ROUNDUP('採算表(VND)'!N56/$N$1,2)</f>
        <v>0</v>
      </c>
      <c r="O56" s="138">
        <f t="shared" si="4"/>
        <v>0</v>
      </c>
    </row>
    <row r="57" spans="1:15" ht="11.25" customHeight="1">
      <c r="A57" s="38"/>
      <c r="B57" s="37" t="s">
        <v>114</v>
      </c>
      <c r="C57" s="138">
        <f>ROUNDUP('採算表(VND)'!C57/$N$1,2)</f>
        <v>488.61</v>
      </c>
      <c r="D57" s="138">
        <f>ROUNDUP('採算表(VND)'!D57/$N$1,2)</f>
        <v>406.06</v>
      </c>
      <c r="E57" s="138">
        <f>ROUNDUP('採算表(VND)'!E57/$N$1,2)</f>
        <v>405.36</v>
      </c>
      <c r="F57" s="138">
        <f>ROUNDUP('採算表(VND)'!F57/$N$1,2)</f>
        <v>405.67</v>
      </c>
      <c r="G57" s="138">
        <f>ROUNDUP('採算表(VND)'!G57/$N$1,2)</f>
        <v>386.67</v>
      </c>
      <c r="H57" s="138">
        <f>ROUNDUP('採算表(VND)'!H57/$N$1,2)</f>
        <v>1089.75</v>
      </c>
      <c r="I57" s="138">
        <f>ROUNDUP('採算表(VND)'!I57/$N$1,2)</f>
        <v>1089.75</v>
      </c>
      <c r="J57" s="138">
        <f>ROUNDUP('採算表(VND)'!J57/$N$1,2)</f>
        <v>1089.75</v>
      </c>
      <c r="K57" s="138">
        <f>ROUNDUP('採算表(VND)'!K57/$N$1,2)</f>
        <v>1089.51</v>
      </c>
      <c r="L57" s="138">
        <f>ROUNDUP('採算表(VND)'!L57/$N$1,2)</f>
        <v>1089.48</v>
      </c>
      <c r="M57" s="138">
        <f>ROUNDUP('採算表(VND)'!M57/$N$1,2)</f>
        <v>1089.48</v>
      </c>
      <c r="N57" s="138">
        <f>ROUNDUP('採算表(VND)'!N57/$N$1,2)</f>
        <v>1090.02</v>
      </c>
      <c r="O57" s="138">
        <f t="shared" si="4"/>
        <v>9720.11</v>
      </c>
    </row>
    <row r="58" spans="1:15" ht="11.25" customHeight="1">
      <c r="A58" s="38"/>
      <c r="B58" s="37" t="s">
        <v>122</v>
      </c>
      <c r="C58" s="138">
        <f>ROUNDUP('採算表(VND)'!C58/$N$1,2)</f>
        <v>7.88</v>
      </c>
      <c r="D58" s="138">
        <f>ROUNDUP('採算表(VND)'!D58/$N$1,2)</f>
        <v>7.88</v>
      </c>
      <c r="E58" s="138">
        <f>ROUNDUP('採算表(VND)'!E58/$N$1,2)</f>
        <v>7.88</v>
      </c>
      <c r="F58" s="138">
        <f>ROUNDUP('採算表(VND)'!F58/$N$1,2)</f>
        <v>7.88</v>
      </c>
      <c r="G58" s="138">
        <f>ROUNDUP('採算表(VND)'!G58/$N$1,2)</f>
        <v>7.88</v>
      </c>
      <c r="H58" s="138">
        <f>ROUNDUP('採算表(VND)'!H58/$N$1,2)</f>
        <v>7.88</v>
      </c>
      <c r="I58" s="138">
        <f>ROUNDUP('採算表(VND)'!I58/$N$1,2)</f>
        <v>7.88</v>
      </c>
      <c r="J58" s="138">
        <f>ROUNDUP('採算表(VND)'!J58/$N$1,2)</f>
        <v>7.88</v>
      </c>
      <c r="K58" s="138">
        <f>ROUNDUP('採算表(VND)'!K58/$N$1,2)</f>
        <v>7.88</v>
      </c>
      <c r="L58" s="138">
        <f>ROUNDUP('採算表(VND)'!L58/$N$1,2)</f>
        <v>7.88</v>
      </c>
      <c r="M58" s="138">
        <f>ROUNDUP('採算表(VND)'!M58/$N$1,2)</f>
        <v>7.88</v>
      </c>
      <c r="N58" s="138">
        <f>ROUNDUP('採算表(VND)'!N58/$N$1,2)</f>
        <v>7.88</v>
      </c>
      <c r="O58" s="138">
        <f t="shared" si="4"/>
        <v>94.559999999999988</v>
      </c>
    </row>
    <row r="59" spans="1:15" ht="11.25" customHeight="1">
      <c r="A59" s="38"/>
      <c r="B59" s="37" t="s">
        <v>121</v>
      </c>
      <c r="C59" s="138">
        <f>ROUNDUP('採算表(VND)'!C59/$N$1,2)</f>
        <v>0</v>
      </c>
      <c r="D59" s="138">
        <f>ROUNDUP('採算表(VND)'!D59/$N$1,2)</f>
        <v>0</v>
      </c>
      <c r="E59" s="138">
        <f>ROUNDUP('採算表(VND)'!E59/$N$1,2)</f>
        <v>0</v>
      </c>
      <c r="F59" s="138">
        <f>ROUNDUP('採算表(VND)'!F59/$N$1,2)</f>
        <v>0</v>
      </c>
      <c r="G59" s="138">
        <f>ROUNDUP('採算表(VND)'!G59/$N$1,2)</f>
        <v>0</v>
      </c>
      <c r="H59" s="138">
        <f>ROUNDUP('採算表(VND)'!H59/$N$1,2)</f>
        <v>0</v>
      </c>
      <c r="I59" s="138">
        <f>ROUNDUP('採算表(VND)'!I59/$N$1,2)</f>
        <v>0</v>
      </c>
      <c r="J59" s="138">
        <f>ROUNDUP('採算表(VND)'!J59/$N$1,2)</f>
        <v>0</v>
      </c>
      <c r="K59" s="138">
        <f>ROUNDUP('採算表(VND)'!K59/$N$1,2)</f>
        <v>0</v>
      </c>
      <c r="L59" s="138">
        <f>ROUNDUP('採算表(VND)'!L59/$N$1,2)</f>
        <v>0</v>
      </c>
      <c r="M59" s="138">
        <f>ROUNDUP('採算表(VND)'!M59/$N$1,2)</f>
        <v>0</v>
      </c>
      <c r="N59" s="138">
        <f>ROUNDUP('採算表(VND)'!N59/$N$1,2)</f>
        <v>0</v>
      </c>
      <c r="O59" s="138">
        <f t="shared" si="4"/>
        <v>0</v>
      </c>
    </row>
    <row r="60" spans="1:15" ht="11.25" customHeight="1">
      <c r="A60" s="38"/>
      <c r="B60" s="37" t="s">
        <v>123</v>
      </c>
      <c r="C60" s="138">
        <f>ROUNDUP('採算表(VND)'!C60/$N$1,2)</f>
        <v>0</v>
      </c>
      <c r="D60" s="138">
        <f>ROUNDUP('採算表(VND)'!D60/$N$1,2)</f>
        <v>0</v>
      </c>
      <c r="E60" s="138">
        <f>ROUNDUP('採算表(VND)'!E60/$N$1,2)</f>
        <v>0</v>
      </c>
      <c r="F60" s="138">
        <f>ROUNDUP('採算表(VND)'!F60/$N$1,2)</f>
        <v>0</v>
      </c>
      <c r="G60" s="138">
        <f>ROUNDUP('採算表(VND)'!G60/$N$1,2)</f>
        <v>0</v>
      </c>
      <c r="H60" s="138">
        <f>ROUNDUP('採算表(VND)'!H60/$N$1,2)</f>
        <v>0</v>
      </c>
      <c r="I60" s="138">
        <f>ROUNDUP('採算表(VND)'!I60/$N$1,2)</f>
        <v>0</v>
      </c>
      <c r="J60" s="138">
        <f>ROUNDUP('採算表(VND)'!J60/$N$1,2)</f>
        <v>0</v>
      </c>
      <c r="K60" s="138">
        <f>ROUNDUP('採算表(VND)'!K60/$N$1,2)</f>
        <v>0</v>
      </c>
      <c r="L60" s="138">
        <f>ROUNDUP('採算表(VND)'!L60/$N$1,2)</f>
        <v>0</v>
      </c>
      <c r="M60" s="138">
        <f>ROUNDUP('採算表(VND)'!M60/$N$1,2)</f>
        <v>0</v>
      </c>
      <c r="N60" s="138">
        <f>ROUNDUP('採算表(VND)'!N60/$N$1,2)</f>
        <v>0</v>
      </c>
      <c r="O60" s="138">
        <f t="shared" si="4"/>
        <v>0</v>
      </c>
    </row>
    <row r="61" spans="1:15" ht="11.25" customHeight="1">
      <c r="A61" s="38"/>
      <c r="B61" s="37" t="s">
        <v>106</v>
      </c>
      <c r="C61" s="138">
        <f>ROUNDUP('採算表(VND)'!C61/$N$1,2)</f>
        <v>0</v>
      </c>
      <c r="D61" s="138">
        <f>ROUNDUP('採算表(VND)'!D61/$N$1,2)</f>
        <v>0</v>
      </c>
      <c r="E61" s="138">
        <f>ROUNDUP('採算表(VND)'!E61/$N$1,2)</f>
        <v>0</v>
      </c>
      <c r="F61" s="138">
        <f>ROUNDUP('採算表(VND)'!F61/$N$1,2)</f>
        <v>0</v>
      </c>
      <c r="G61" s="138">
        <f>ROUNDUP('採算表(VND)'!G61/$N$1,2)</f>
        <v>0</v>
      </c>
      <c r="H61" s="138">
        <f>ROUNDUP('採算表(VND)'!H61/$N$1,2)</f>
        <v>0</v>
      </c>
      <c r="I61" s="138">
        <f>ROUNDUP('採算表(VND)'!I61/$N$1,2)</f>
        <v>0</v>
      </c>
      <c r="J61" s="138">
        <f>ROUNDUP('採算表(VND)'!J61/$N$1,2)</f>
        <v>0</v>
      </c>
      <c r="K61" s="138">
        <f>ROUNDUP('採算表(VND)'!K61/$N$1,2)</f>
        <v>0</v>
      </c>
      <c r="L61" s="138">
        <f>ROUNDUP('採算表(VND)'!L61/$N$1,2)</f>
        <v>0</v>
      </c>
      <c r="M61" s="138">
        <f>ROUNDUP('採算表(VND)'!M61/$N$1,2)</f>
        <v>0</v>
      </c>
      <c r="N61" s="138">
        <f>ROUNDUP('採算表(VND)'!N61/$N$1,2)</f>
        <v>0</v>
      </c>
      <c r="O61" s="138">
        <f t="shared" si="4"/>
        <v>0</v>
      </c>
    </row>
    <row r="62" spans="1:15" ht="11.25" customHeight="1">
      <c r="A62" s="38"/>
      <c r="B62" s="37" t="s">
        <v>418</v>
      </c>
      <c r="C62" s="138">
        <f>ROUNDUP('採算表(VND)'!C62/$N$1,2)</f>
        <v>15.67</v>
      </c>
      <c r="D62" s="138">
        <f>ROUNDUP('採算表(VND)'!D62/$N$1,2)</f>
        <v>17.990000000000002</v>
      </c>
      <c r="E62" s="138">
        <f>ROUNDUP('採算表(VND)'!E62/$N$1,2)</f>
        <v>14.97</v>
      </c>
      <c r="F62" s="138">
        <f>ROUNDUP('採算表(VND)'!F62/$N$1,2)</f>
        <v>16.490000000000002</v>
      </c>
      <c r="G62" s="138">
        <f>ROUNDUP('採算表(VND)'!G62/$N$1,2)</f>
        <v>14.83</v>
      </c>
      <c r="H62" s="138">
        <f>ROUNDUP('採算表(VND)'!H62/$N$1,2)</f>
        <v>16.23</v>
      </c>
      <c r="I62" s="138">
        <f>ROUNDUP('採算表(VND)'!I62/$N$1,2)</f>
        <v>14.64</v>
      </c>
      <c r="J62" s="138">
        <f>ROUNDUP('採算表(VND)'!J62/$N$1,2)</f>
        <v>14.73</v>
      </c>
      <c r="K62" s="138">
        <f>ROUNDUP('採算表(VND)'!K62/$N$1,2)</f>
        <v>14.879999999999999</v>
      </c>
      <c r="L62" s="138">
        <f>ROUNDUP('採算表(VND)'!L62/$N$1,2)</f>
        <v>14.32</v>
      </c>
      <c r="M62" s="138">
        <f>ROUNDUP('採算表(VND)'!M62/$N$1,2)</f>
        <v>15.15</v>
      </c>
      <c r="N62" s="138">
        <f>ROUNDUP('採算表(VND)'!N62/$N$1,2)</f>
        <v>14.49</v>
      </c>
      <c r="O62" s="138">
        <f t="shared" si="4"/>
        <v>184.39000000000001</v>
      </c>
    </row>
    <row r="63" spans="1:15" ht="11.25" customHeight="1">
      <c r="A63" s="38"/>
      <c r="B63" s="37" t="s">
        <v>419</v>
      </c>
      <c r="C63" s="138">
        <f>ROUNDUP('採算表(VND)'!C63/$N$1,2)</f>
        <v>95.65</v>
      </c>
      <c r="D63" s="138">
        <f>ROUNDUP('採算表(VND)'!D63/$N$1,2)</f>
        <v>32.69</v>
      </c>
      <c r="E63" s="138">
        <f>ROUNDUP('採算表(VND)'!E63/$N$1,2)</f>
        <v>23.41</v>
      </c>
      <c r="F63" s="138">
        <f>ROUNDUP('採算表(VND)'!F63/$N$1,2)</f>
        <v>25.220000000000002</v>
      </c>
      <c r="G63" s="138">
        <f>ROUNDUP('採算表(VND)'!G63/$N$1,2)</f>
        <v>22.64</v>
      </c>
      <c r="H63" s="138">
        <f>ROUNDUP('採算表(VND)'!H63/$N$1,2)</f>
        <v>20.360000000000003</v>
      </c>
      <c r="I63" s="138">
        <f>ROUNDUP('採算表(VND)'!I63/$N$1,2)</f>
        <v>25.46</v>
      </c>
      <c r="J63" s="138">
        <f>ROUNDUP('採算表(VND)'!J63/$N$1,2)</f>
        <v>26.19</v>
      </c>
      <c r="K63" s="138">
        <f>ROUNDUP('採算表(VND)'!K63/$N$1,2)</f>
        <v>25.290000000000003</v>
      </c>
      <c r="L63" s="138">
        <f>ROUNDUP('採算表(VND)'!L63/$N$1,2)</f>
        <v>19.78</v>
      </c>
      <c r="M63" s="138">
        <f>ROUNDUP('採算表(VND)'!M63/$N$1,2)</f>
        <v>20.700000000000003</v>
      </c>
      <c r="N63" s="138">
        <f>ROUNDUP('採算表(VND)'!N63/$N$1,2)</f>
        <v>20.34</v>
      </c>
      <c r="O63" s="138">
        <f t="shared" si="4"/>
        <v>357.73</v>
      </c>
    </row>
    <row r="64" spans="1:15" ht="11.25" customHeight="1">
      <c r="A64" s="38"/>
      <c r="B64" s="37" t="s">
        <v>143</v>
      </c>
      <c r="C64" s="138">
        <f>ROUNDUP('採算表(VND)'!C64/$N$1,2)</f>
        <v>1137.04</v>
      </c>
      <c r="D64" s="138">
        <f>ROUNDUP('採算表(VND)'!D64/$N$1,2)</f>
        <v>1452.68</v>
      </c>
      <c r="E64" s="138">
        <f>ROUNDUP('採算表(VND)'!E64/$N$1,2)</f>
        <v>1075.5</v>
      </c>
      <c r="F64" s="138">
        <f>ROUNDUP('採算表(VND)'!F64/$N$1,2)</f>
        <v>1549.27</v>
      </c>
      <c r="G64" s="138">
        <f>ROUNDUP('採算表(VND)'!G64/$N$1,2)</f>
        <v>863.21</v>
      </c>
      <c r="H64" s="138">
        <f>ROUNDUP('採算表(VND)'!H64/$N$1,2)</f>
        <v>843.74</v>
      </c>
      <c r="I64" s="138">
        <f>ROUNDUP('採算表(VND)'!I64/$N$1,2)</f>
        <v>1071.6199999999999</v>
      </c>
      <c r="J64" s="138">
        <f>ROUNDUP('採算表(VND)'!J64/$N$1,2)</f>
        <v>902.81</v>
      </c>
      <c r="K64" s="138">
        <f>ROUNDUP('採算表(VND)'!K64/$N$1,2)</f>
        <v>892.89</v>
      </c>
      <c r="L64" s="138">
        <f>ROUNDUP('採算表(VND)'!L64/$N$1,2)</f>
        <v>993.98</v>
      </c>
      <c r="M64" s="138">
        <f>ROUNDUP('採算表(VND)'!M64/$N$1,2)</f>
        <v>686.4</v>
      </c>
      <c r="N64" s="138">
        <f>ROUNDUP('採算表(VND)'!N64/$N$1,2)</f>
        <v>708.36</v>
      </c>
      <c r="O64" s="138">
        <f t="shared" si="4"/>
        <v>12177.499999999998</v>
      </c>
    </row>
    <row r="65" spans="1:15" ht="11.25" customHeight="1">
      <c r="A65" s="38"/>
      <c r="B65" s="37" t="s">
        <v>111</v>
      </c>
      <c r="C65" s="135">
        <f>ROUNDUP('採算表(VND)'!C65/$N$1,2)</f>
        <v>0</v>
      </c>
      <c r="D65" s="135">
        <f>ROUNDUP('採算表(VND)'!D65/$N$1,2)</f>
        <v>0</v>
      </c>
      <c r="E65" s="135">
        <f>ROUNDUP('採算表(VND)'!E65/$N$1,2)</f>
        <v>0</v>
      </c>
      <c r="F65" s="135">
        <f>ROUNDUP('採算表(VND)'!F65/$N$1,2)</f>
        <v>0</v>
      </c>
      <c r="G65" s="135">
        <f>ROUNDUP('採算表(VND)'!G65/$N$1,2)</f>
        <v>0</v>
      </c>
      <c r="H65" s="135">
        <f>ROUNDUP('採算表(VND)'!H65/$N$1,2)</f>
        <v>0</v>
      </c>
      <c r="I65" s="135">
        <f>ROUNDUP('採算表(VND)'!I65/$N$1,2)</f>
        <v>0</v>
      </c>
      <c r="J65" s="135">
        <f>ROUNDUP('採算表(VND)'!J65/$N$1,2)</f>
        <v>0</v>
      </c>
      <c r="K65" s="135">
        <f>ROUNDUP('採算表(VND)'!K65/$N$1,2)</f>
        <v>0</v>
      </c>
      <c r="L65" s="135">
        <f>ROUNDUP('採算表(VND)'!L65/$N$1,2)</f>
        <v>0</v>
      </c>
      <c r="M65" s="135">
        <f>ROUNDUP('採算表(VND)'!M65/$N$1,2)</f>
        <v>0</v>
      </c>
      <c r="N65" s="135">
        <f>ROUNDUP('採算表(VND)'!N65/$N$1,2)</f>
        <v>0</v>
      </c>
      <c r="O65" s="135">
        <f t="shared" si="4"/>
        <v>0</v>
      </c>
    </row>
    <row r="66" spans="1:15" ht="11.25" customHeight="1">
      <c r="A66" s="26"/>
      <c r="B66" s="32" t="s">
        <v>77</v>
      </c>
      <c r="C66" s="133">
        <f>C12-C13</f>
        <v>64920.630000000019</v>
      </c>
      <c r="D66" s="133">
        <f t="shared" ref="D66:O66" si="5">IF(ISBLANK(D4),"",D12-D13)</f>
        <v>101570.1</v>
      </c>
      <c r="E66" s="133">
        <f t="shared" si="5"/>
        <v>10126.030000000002</v>
      </c>
      <c r="F66" s="133">
        <f t="shared" si="5"/>
        <v>13811.199999999999</v>
      </c>
      <c r="G66" s="133">
        <f t="shared" si="5"/>
        <v>-17857.479999999996</v>
      </c>
      <c r="H66" s="133">
        <f t="shared" si="5"/>
        <v>35809.33</v>
      </c>
      <c r="I66" s="133">
        <f t="shared" si="5"/>
        <v>18123.660000000003</v>
      </c>
      <c r="J66" s="133">
        <f t="shared" si="5"/>
        <v>14064.470000000001</v>
      </c>
      <c r="K66" s="133">
        <f t="shared" si="5"/>
        <v>5942.2399999999943</v>
      </c>
      <c r="L66" s="133">
        <f t="shared" si="5"/>
        <v>17952.560000000001</v>
      </c>
      <c r="M66" s="133">
        <f t="shared" si="5"/>
        <v>1466.1699999999946</v>
      </c>
      <c r="N66" s="133">
        <f t="shared" si="5"/>
        <v>32173.07</v>
      </c>
      <c r="O66" s="133">
        <f t="shared" si="5"/>
        <v>298101.98</v>
      </c>
    </row>
    <row r="67" spans="1:15" ht="11.25" customHeight="1">
      <c r="A67" s="26"/>
      <c r="B67" s="28" t="s">
        <v>78</v>
      </c>
      <c r="C67" s="132">
        <f>C73+C79</f>
        <v>1543.5</v>
      </c>
      <c r="D67" s="132">
        <f t="shared" ref="D67:O67" si="6">IF(ISBLANK(D4),"",D73+D79)</f>
        <v>1470.5</v>
      </c>
      <c r="E67" s="132">
        <f t="shared" si="6"/>
        <v>1620.25</v>
      </c>
      <c r="F67" s="132">
        <f t="shared" si="6"/>
        <v>1771.25</v>
      </c>
      <c r="G67" s="132">
        <f t="shared" si="6"/>
        <v>1545.5</v>
      </c>
      <c r="H67" s="132">
        <f t="shared" si="6"/>
        <v>1622.5</v>
      </c>
      <c r="I67" s="132">
        <f t="shared" si="6"/>
        <v>1959.25</v>
      </c>
      <c r="J67" s="132">
        <f t="shared" si="6"/>
        <v>1708.75</v>
      </c>
      <c r="K67" s="132">
        <f t="shared" si="6"/>
        <v>1876.5</v>
      </c>
      <c r="L67" s="132">
        <f t="shared" si="6"/>
        <v>1710.25</v>
      </c>
      <c r="M67" s="132">
        <f t="shared" si="6"/>
        <v>1287</v>
      </c>
      <c r="N67" s="132">
        <f t="shared" si="6"/>
        <v>1710.25</v>
      </c>
      <c r="O67" s="132">
        <f t="shared" si="6"/>
        <v>19825.5</v>
      </c>
    </row>
    <row r="68" spans="1:15" ht="11.25" customHeight="1">
      <c r="A68" s="38"/>
      <c r="B68" s="46" t="s">
        <v>144</v>
      </c>
      <c r="C68" s="134">
        <f>'採算表(VND)'!C68</f>
        <v>1292</v>
      </c>
      <c r="D68" s="134">
        <f>'採算表(VND)'!D68</f>
        <v>1224</v>
      </c>
      <c r="E68" s="134">
        <f>'採算表(VND)'!E68</f>
        <v>1360</v>
      </c>
      <c r="F68" s="134">
        <f>'採算表(VND)'!F68</f>
        <v>1496</v>
      </c>
      <c r="G68" s="134">
        <f>'採算表(VND)'!G68</f>
        <v>1292</v>
      </c>
      <c r="H68" s="134">
        <f>'採算表(VND)'!H68</f>
        <v>1377</v>
      </c>
      <c r="I68" s="134">
        <f>'採算表(VND)'!I68</f>
        <v>1683</v>
      </c>
      <c r="J68" s="134">
        <f>'採算表(VND)'!J68</f>
        <v>1453.5</v>
      </c>
      <c r="K68" s="134">
        <f>'採算表(VND)'!K68</f>
        <v>1606.5</v>
      </c>
      <c r="L68" s="134">
        <f>'採算表(VND)'!L68</f>
        <v>1453.5</v>
      </c>
      <c r="M68" s="134">
        <f>'採算表(VND)'!M68</f>
        <v>1071</v>
      </c>
      <c r="N68" s="134">
        <f>'採算表(VND)'!N68</f>
        <v>1453.5</v>
      </c>
      <c r="O68" s="134">
        <f>SUM(C68:N68)</f>
        <v>16762</v>
      </c>
    </row>
    <row r="69" spans="1:15" ht="11.25" customHeight="1">
      <c r="A69" s="38"/>
      <c r="B69" s="46" t="s">
        <v>88</v>
      </c>
      <c r="C69" s="135">
        <f>'採算表(VND)'!C69</f>
        <v>0</v>
      </c>
      <c r="D69" s="135">
        <f>'採算表(VND)'!D69</f>
        <v>0</v>
      </c>
      <c r="E69" s="135">
        <f>'採算表(VND)'!E69</f>
        <v>0</v>
      </c>
      <c r="F69" s="135">
        <f>'採算表(VND)'!F69</f>
        <v>0</v>
      </c>
      <c r="G69" s="135">
        <f>'採算表(VND)'!G69</f>
        <v>0</v>
      </c>
      <c r="H69" s="135">
        <f>'採算表(VND)'!H69</f>
        <v>0</v>
      </c>
      <c r="I69" s="135">
        <f>'採算表(VND)'!I69</f>
        <v>0</v>
      </c>
      <c r="J69" s="135">
        <f>'採算表(VND)'!J69</f>
        <v>0</v>
      </c>
      <c r="K69" s="135">
        <f>'採算表(VND)'!K69</f>
        <v>0</v>
      </c>
      <c r="L69" s="135">
        <f>'採算表(VND)'!L69</f>
        <v>0</v>
      </c>
      <c r="M69" s="135">
        <f>'採算表(VND)'!M69</f>
        <v>0</v>
      </c>
      <c r="N69" s="135">
        <f>'採算表(VND)'!N69</f>
        <v>0</v>
      </c>
      <c r="O69" s="135">
        <f>SUM(C69:N69)</f>
        <v>0</v>
      </c>
    </row>
    <row r="70" spans="1:15" ht="11.25" customHeight="1">
      <c r="A70" s="38"/>
      <c r="B70" s="47" t="s">
        <v>126</v>
      </c>
      <c r="C70" s="139">
        <f>'採算表(VND)'!C70</f>
        <v>6.75</v>
      </c>
      <c r="D70" s="139">
        <f>'採算表(VND)'!D70</f>
        <v>7</v>
      </c>
      <c r="E70" s="139">
        <f>'採算表(VND)'!E70</f>
        <v>7.75</v>
      </c>
      <c r="F70" s="139">
        <f>'採算表(VND)'!F70</f>
        <v>8.25</v>
      </c>
      <c r="G70" s="139">
        <f>'採算表(VND)'!G70</f>
        <v>7</v>
      </c>
      <c r="H70" s="139">
        <f>'採算表(VND)'!H70</f>
        <v>6.5</v>
      </c>
      <c r="I70" s="139">
        <f>'採算表(VND)'!I70</f>
        <v>8.25</v>
      </c>
      <c r="J70" s="139">
        <f>'採算表(VND)'!J70</f>
        <v>7.25</v>
      </c>
      <c r="K70" s="139">
        <f>'採算表(VND)'!K70</f>
        <v>8</v>
      </c>
      <c r="L70" s="139">
        <f>'採算表(VND)'!L70</f>
        <v>7.5</v>
      </c>
      <c r="M70" s="139">
        <f>'採算表(VND)'!M70</f>
        <v>5.5</v>
      </c>
      <c r="N70" s="139">
        <f>'採算表(VND)'!N70</f>
        <v>7.5</v>
      </c>
      <c r="O70" s="139">
        <f>SUM(C70:N70)</f>
        <v>87.25</v>
      </c>
    </row>
    <row r="71" spans="1:15" ht="11.25" customHeight="1">
      <c r="A71" s="38"/>
      <c r="B71" s="47" t="s">
        <v>127</v>
      </c>
      <c r="C71" s="139">
        <f>'採算表(VND)'!C71</f>
        <v>12.75</v>
      </c>
      <c r="D71" s="139">
        <f>'採算表(VND)'!D71</f>
        <v>12.25</v>
      </c>
      <c r="E71" s="139">
        <f>'採算表(VND)'!E71</f>
        <v>14</v>
      </c>
      <c r="F71" s="139">
        <f>'採算表(VND)'!F71</f>
        <v>15.5</v>
      </c>
      <c r="G71" s="139">
        <f>'採算表(VND)'!G71</f>
        <v>13</v>
      </c>
      <c r="H71" s="139">
        <f>'採算表(VND)'!H71</f>
        <v>13</v>
      </c>
      <c r="I71" s="139">
        <f>'採算表(VND)'!I71</f>
        <v>16.25</v>
      </c>
      <c r="J71" s="139">
        <f>'採算表(VND)'!J71</f>
        <v>14</v>
      </c>
      <c r="K71" s="139">
        <f>'採算表(VND)'!K71</f>
        <v>15.5</v>
      </c>
      <c r="L71" s="139">
        <f>'採算表(VND)'!L71</f>
        <v>14.25</v>
      </c>
      <c r="M71" s="139">
        <f>'採算表(VND)'!M71</f>
        <v>10.75</v>
      </c>
      <c r="N71" s="139">
        <f>'採算表(VND)'!N71</f>
        <v>14</v>
      </c>
      <c r="O71" s="139">
        <f>SUM(C71:N71)</f>
        <v>165.25</v>
      </c>
    </row>
    <row r="72" spans="1:15" ht="11.25" customHeight="1">
      <c r="A72" s="38"/>
      <c r="B72" s="40" t="s">
        <v>89</v>
      </c>
      <c r="C72" s="140">
        <f>'採算表(VND)'!C72</f>
        <v>57</v>
      </c>
      <c r="D72" s="140">
        <f>'採算表(VND)'!D72</f>
        <v>56.5</v>
      </c>
      <c r="E72" s="140">
        <f>'採算表(VND)'!E72</f>
        <v>60</v>
      </c>
      <c r="F72" s="140">
        <f>'採算表(VND)'!F72</f>
        <v>64.75</v>
      </c>
      <c r="G72" s="140">
        <f>'採算表(VND)'!G72</f>
        <v>59</v>
      </c>
      <c r="H72" s="140">
        <f>'採算表(VND)'!H72</f>
        <v>54.75</v>
      </c>
      <c r="I72" s="140">
        <f>'採算表(VND)'!I72</f>
        <v>65</v>
      </c>
      <c r="J72" s="140">
        <f>'採算表(VND)'!J72</f>
        <v>59.25</v>
      </c>
      <c r="K72" s="140">
        <f>'採算表(VND)'!K72</f>
        <v>63.75</v>
      </c>
      <c r="L72" s="140">
        <f>'採算表(VND)'!L72</f>
        <v>60.25</v>
      </c>
      <c r="M72" s="140">
        <f>'採算表(VND)'!M72</f>
        <v>45.25</v>
      </c>
      <c r="N72" s="140">
        <f>'採算表(VND)'!N72</f>
        <v>60.5</v>
      </c>
      <c r="O72" s="140">
        <f>SUM(C72:N72)</f>
        <v>706</v>
      </c>
    </row>
    <row r="73" spans="1:15" ht="11.25" customHeight="1">
      <c r="A73" s="38"/>
      <c r="B73" s="41" t="s">
        <v>145</v>
      </c>
      <c r="C73" s="141">
        <f>SUM(C68:C72)</f>
        <v>1368.5</v>
      </c>
      <c r="D73" s="141">
        <f t="shared" ref="D73:O73" si="7">IF(ISBLANK(D4),"",SUM(D68:D72))</f>
        <v>1299.75</v>
      </c>
      <c r="E73" s="141">
        <f t="shared" si="7"/>
        <v>1441.75</v>
      </c>
      <c r="F73" s="141">
        <f t="shared" si="7"/>
        <v>1584.5</v>
      </c>
      <c r="G73" s="141">
        <f t="shared" si="7"/>
        <v>1371</v>
      </c>
      <c r="H73" s="141">
        <f t="shared" si="7"/>
        <v>1451.25</v>
      </c>
      <c r="I73" s="141">
        <f t="shared" si="7"/>
        <v>1772.5</v>
      </c>
      <c r="J73" s="141">
        <f t="shared" si="7"/>
        <v>1534</v>
      </c>
      <c r="K73" s="141">
        <f t="shared" si="7"/>
        <v>1693.75</v>
      </c>
      <c r="L73" s="141">
        <f t="shared" si="7"/>
        <v>1535.5</v>
      </c>
      <c r="M73" s="141">
        <f t="shared" si="7"/>
        <v>1132.5</v>
      </c>
      <c r="N73" s="141">
        <f t="shared" si="7"/>
        <v>1535.5</v>
      </c>
      <c r="O73" s="141">
        <f t="shared" si="7"/>
        <v>17720.5</v>
      </c>
    </row>
    <row r="74" spans="1:15" ht="11.25" customHeight="1">
      <c r="A74" s="38"/>
      <c r="B74" s="39" t="s">
        <v>86</v>
      </c>
      <c r="C74" s="134">
        <f>'採算表(VND)'!C74</f>
        <v>170</v>
      </c>
      <c r="D74" s="134">
        <f>'採算表(VND)'!D74</f>
        <v>166</v>
      </c>
      <c r="E74" s="134">
        <f>'採算表(VND)'!E74</f>
        <v>174</v>
      </c>
      <c r="F74" s="134">
        <f>'採算表(VND)'!F74</f>
        <v>182</v>
      </c>
      <c r="G74" s="134">
        <f>'採算表(VND)'!G74</f>
        <v>170</v>
      </c>
      <c r="H74" s="134">
        <f>'採算表(VND)'!H74</f>
        <v>166</v>
      </c>
      <c r="I74" s="134">
        <f>'採算表(VND)'!I74</f>
        <v>182</v>
      </c>
      <c r="J74" s="134">
        <f>'採算表(VND)'!J74</f>
        <v>170</v>
      </c>
      <c r="K74" s="134">
        <f>'採算表(VND)'!K74</f>
        <v>178</v>
      </c>
      <c r="L74" s="134">
        <f>'採算表(VND)'!L74</f>
        <v>170</v>
      </c>
      <c r="M74" s="134">
        <f>'採算表(VND)'!M74</f>
        <v>150</v>
      </c>
      <c r="N74" s="134">
        <f>'採算表(VND)'!N74</f>
        <v>170</v>
      </c>
      <c r="O74" s="134">
        <f>SUM(C74:N74)</f>
        <v>2048</v>
      </c>
    </row>
    <row r="75" spans="1:15">
      <c r="A75" s="38"/>
      <c r="B75" s="37" t="s">
        <v>88</v>
      </c>
      <c r="C75" s="135">
        <f>'採算表(VND)'!C75</f>
        <v>0</v>
      </c>
      <c r="D75" s="135">
        <f>'採算表(VND)'!D75</f>
        <v>0</v>
      </c>
      <c r="E75" s="135">
        <f>'採算表(VND)'!E75</f>
        <v>0</v>
      </c>
      <c r="F75" s="135">
        <f>'採算表(VND)'!F75</f>
        <v>0</v>
      </c>
      <c r="G75" s="135">
        <f>'採算表(VND)'!G75</f>
        <v>0</v>
      </c>
      <c r="H75" s="135">
        <f>'採算表(VND)'!H75</f>
        <v>0</v>
      </c>
      <c r="I75" s="135">
        <f>'採算表(VND)'!I75</f>
        <v>0</v>
      </c>
      <c r="J75" s="135">
        <f>'採算表(VND)'!J75</f>
        <v>0</v>
      </c>
      <c r="K75" s="135">
        <f>'採算表(VND)'!K75</f>
        <v>0</v>
      </c>
      <c r="L75" s="135">
        <f>'採算表(VND)'!L75</f>
        <v>0</v>
      </c>
      <c r="M75" s="135">
        <f>'採算表(VND)'!M75</f>
        <v>0</v>
      </c>
      <c r="N75" s="135">
        <f>'採算表(VND)'!N75</f>
        <v>0</v>
      </c>
      <c r="O75" s="135">
        <f>SUM(C75:N75)</f>
        <v>0</v>
      </c>
    </row>
    <row r="76" spans="1:15">
      <c r="A76" s="38"/>
      <c r="B76" s="37" t="s">
        <v>126</v>
      </c>
      <c r="C76" s="139">
        <f>'採算表(VND)'!C76</f>
        <v>0.5</v>
      </c>
      <c r="D76" s="139">
        <f>'採算表(VND)'!D76</f>
        <v>0.5</v>
      </c>
      <c r="E76" s="139">
        <f>'採算表(VND)'!E76</f>
        <v>0.5</v>
      </c>
      <c r="F76" s="139">
        <f>'採算表(VND)'!F76</f>
        <v>0.5</v>
      </c>
      <c r="G76" s="139">
        <f>'採算表(VND)'!G76</f>
        <v>0.5</v>
      </c>
      <c r="H76" s="139">
        <f>'採算表(VND)'!H76</f>
        <v>0.5</v>
      </c>
      <c r="I76" s="139">
        <f>'採算表(VND)'!I76</f>
        <v>0.5</v>
      </c>
      <c r="J76" s="139">
        <f>'採算表(VND)'!J76</f>
        <v>0.5</v>
      </c>
      <c r="K76" s="139">
        <f>'採算表(VND)'!K76</f>
        <v>0.5</v>
      </c>
      <c r="L76" s="139">
        <f>'採算表(VND)'!L76</f>
        <v>0.5</v>
      </c>
      <c r="M76" s="139">
        <f>'採算表(VND)'!M76</f>
        <v>0.25</v>
      </c>
      <c r="N76" s="139">
        <f>'採算表(VND)'!N76</f>
        <v>0.5</v>
      </c>
      <c r="O76" s="139">
        <f>SUM(C76:N76)</f>
        <v>5.75</v>
      </c>
    </row>
    <row r="77" spans="1:15">
      <c r="A77" s="38"/>
      <c r="B77" s="37" t="s">
        <v>127</v>
      </c>
      <c r="C77" s="139">
        <f>'採算表(VND)'!C77</f>
        <v>1.25</v>
      </c>
      <c r="D77" s="139">
        <f>'採算表(VND)'!D77</f>
        <v>1</v>
      </c>
      <c r="E77" s="139">
        <f>'採算表(VND)'!E77</f>
        <v>1.25</v>
      </c>
      <c r="F77" s="139">
        <f>'採算表(VND)'!F77</f>
        <v>1.25</v>
      </c>
      <c r="G77" s="139">
        <f>'採算表(VND)'!G77</f>
        <v>1.25</v>
      </c>
      <c r="H77" s="139">
        <f>'採算表(VND)'!H77</f>
        <v>1</v>
      </c>
      <c r="I77" s="139">
        <f>'採算表(VND)'!I77</f>
        <v>1.25</v>
      </c>
      <c r="J77" s="139">
        <f>'採算表(VND)'!J77</f>
        <v>1.25</v>
      </c>
      <c r="K77" s="139">
        <f>'採算表(VND)'!K77</f>
        <v>1.25</v>
      </c>
      <c r="L77" s="139">
        <f>'採算表(VND)'!L77</f>
        <v>1.5</v>
      </c>
      <c r="M77" s="139">
        <f>'採算表(VND)'!M77</f>
        <v>0.5</v>
      </c>
      <c r="N77" s="139">
        <f>'採算表(VND)'!N77</f>
        <v>1.5</v>
      </c>
      <c r="O77" s="139">
        <f>SUM(C77:N77)</f>
        <v>14.25</v>
      </c>
    </row>
    <row r="78" spans="1:15">
      <c r="A78" s="38"/>
      <c r="B78" s="40" t="s">
        <v>89</v>
      </c>
      <c r="C78" s="140">
        <f>'採算表(VND)'!C78</f>
        <v>3.25</v>
      </c>
      <c r="D78" s="140">
        <f>'採算表(VND)'!D78</f>
        <v>3.25</v>
      </c>
      <c r="E78" s="140">
        <f>'採算表(VND)'!E78</f>
        <v>2.75</v>
      </c>
      <c r="F78" s="140">
        <f>'採算表(VND)'!F78</f>
        <v>3</v>
      </c>
      <c r="G78" s="140">
        <f>'採算表(VND)'!G78</f>
        <v>2.75</v>
      </c>
      <c r="H78" s="140">
        <f>'採算表(VND)'!H78</f>
        <v>3.75</v>
      </c>
      <c r="I78" s="140">
        <f>'採算表(VND)'!I78</f>
        <v>3</v>
      </c>
      <c r="J78" s="140">
        <f>'採算表(VND)'!J78</f>
        <v>3</v>
      </c>
      <c r="K78" s="140">
        <f>'採算表(VND)'!K78</f>
        <v>3</v>
      </c>
      <c r="L78" s="140">
        <f>'採算表(VND)'!L78</f>
        <v>2.75</v>
      </c>
      <c r="M78" s="140">
        <f>'採算表(VND)'!M78</f>
        <v>3.75</v>
      </c>
      <c r="N78" s="140">
        <f>'採算表(VND)'!N78</f>
        <v>2.75</v>
      </c>
      <c r="O78" s="140">
        <f>SUM(C78:N78)</f>
        <v>37</v>
      </c>
    </row>
    <row r="79" spans="1:15" ht="14.25" customHeight="1">
      <c r="A79" s="38"/>
      <c r="B79" s="41" t="s">
        <v>156</v>
      </c>
      <c r="C79" s="141">
        <f>SUM(C74:C78)</f>
        <v>175</v>
      </c>
      <c r="D79" s="141">
        <f t="shared" ref="D79:O79" si="8">IF(ISBLANK(D4),"",SUM(D74:D78))</f>
        <v>170.75</v>
      </c>
      <c r="E79" s="141">
        <f t="shared" si="8"/>
        <v>178.5</v>
      </c>
      <c r="F79" s="141">
        <f t="shared" si="8"/>
        <v>186.75</v>
      </c>
      <c r="G79" s="141">
        <f t="shared" si="8"/>
        <v>174.5</v>
      </c>
      <c r="H79" s="141">
        <f t="shared" si="8"/>
        <v>171.25</v>
      </c>
      <c r="I79" s="141">
        <f t="shared" si="8"/>
        <v>186.75</v>
      </c>
      <c r="J79" s="141">
        <f t="shared" si="8"/>
        <v>174.75</v>
      </c>
      <c r="K79" s="141">
        <f t="shared" si="8"/>
        <v>182.75</v>
      </c>
      <c r="L79" s="141">
        <f t="shared" si="8"/>
        <v>174.75</v>
      </c>
      <c r="M79" s="141">
        <f t="shared" si="8"/>
        <v>154.5</v>
      </c>
      <c r="N79" s="141">
        <f t="shared" si="8"/>
        <v>174.75</v>
      </c>
      <c r="O79" s="141">
        <f t="shared" si="8"/>
        <v>2105</v>
      </c>
    </row>
    <row r="80" spans="1:15" ht="14.25" customHeight="1">
      <c r="A80" s="26"/>
      <c r="B80" s="32" t="s">
        <v>79</v>
      </c>
      <c r="C80" s="142">
        <f>IFERROR(ROUNDDOWN(C66/C67,0),0)</f>
        <v>42</v>
      </c>
      <c r="D80" s="143">
        <f t="shared" ref="D80:O80" si="9">IFERROR(ROUNDDOWN(D66/D67,0),0)</f>
        <v>69</v>
      </c>
      <c r="E80" s="143">
        <f t="shared" si="9"/>
        <v>6</v>
      </c>
      <c r="F80" s="143">
        <f t="shared" si="9"/>
        <v>7</v>
      </c>
      <c r="G80" s="143">
        <f t="shared" si="9"/>
        <v>-11</v>
      </c>
      <c r="H80" s="143">
        <f t="shared" si="9"/>
        <v>22</v>
      </c>
      <c r="I80" s="143">
        <f t="shared" si="9"/>
        <v>9</v>
      </c>
      <c r="J80" s="143">
        <f t="shared" si="9"/>
        <v>8</v>
      </c>
      <c r="K80" s="143">
        <f t="shared" si="9"/>
        <v>3</v>
      </c>
      <c r="L80" s="143">
        <f t="shared" si="9"/>
        <v>10</v>
      </c>
      <c r="M80" s="143">
        <f t="shared" si="9"/>
        <v>1</v>
      </c>
      <c r="N80" s="143">
        <f t="shared" si="9"/>
        <v>18</v>
      </c>
      <c r="O80" s="143">
        <f t="shared" si="9"/>
        <v>15</v>
      </c>
    </row>
    <row r="81" spans="1:15" ht="14.25" customHeight="1">
      <c r="A81" s="26"/>
      <c r="B81" s="42" t="s">
        <v>80</v>
      </c>
      <c r="C81" s="144">
        <f>IFERROR(ROUNDDOWN(C12/C67,0),0)</f>
        <v>102</v>
      </c>
      <c r="D81" s="145">
        <f t="shared" ref="D81:O81" si="10">IFERROR(ROUNDDOWN(D12/D67,0),0)</f>
        <v>74</v>
      </c>
      <c r="E81" s="145">
        <f t="shared" si="10"/>
        <v>11</v>
      </c>
      <c r="F81" s="145">
        <f t="shared" si="10"/>
        <v>11</v>
      </c>
      <c r="G81" s="145">
        <f t="shared" si="10"/>
        <v>13</v>
      </c>
      <c r="H81" s="145">
        <f t="shared" si="10"/>
        <v>32</v>
      </c>
      <c r="I81" s="145">
        <f t="shared" si="10"/>
        <v>15</v>
      </c>
      <c r="J81" s="145">
        <f t="shared" si="10"/>
        <v>15</v>
      </c>
      <c r="K81" s="145">
        <f t="shared" si="10"/>
        <v>13</v>
      </c>
      <c r="L81" s="145">
        <f t="shared" si="10"/>
        <v>20</v>
      </c>
      <c r="M81" s="145">
        <f t="shared" si="10"/>
        <v>23</v>
      </c>
      <c r="N81" s="145">
        <f t="shared" si="10"/>
        <v>25</v>
      </c>
      <c r="O81" s="145">
        <f t="shared" si="10"/>
        <v>28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</row>
    <row r="87" spans="1:15">
      <c r="A87" s="43"/>
      <c r="B87" s="59" t="s">
        <v>343</v>
      </c>
      <c r="C87" s="149">
        <f>'採算表(VND)'!C87</f>
        <v>0</v>
      </c>
      <c r="D87" s="149">
        <f>'採算表(VND)'!D87</f>
        <v>0</v>
      </c>
      <c r="E87" s="149">
        <f>'採算表(VND)'!E87</f>
        <v>0</v>
      </c>
      <c r="F87" s="149">
        <f>'採算表(VND)'!F87</f>
        <v>0</v>
      </c>
      <c r="G87" s="149">
        <f>'採算表(VND)'!G87</f>
        <v>0</v>
      </c>
      <c r="H87" s="149">
        <f>'採算表(VND)'!H87</f>
        <v>0</v>
      </c>
      <c r="I87" s="149">
        <f>'採算表(VND)'!I87</f>
        <v>0</v>
      </c>
      <c r="J87" s="149">
        <f>'採算表(VND)'!J87</f>
        <v>0</v>
      </c>
      <c r="K87" s="149">
        <f>'採算表(VND)'!K87</f>
        <v>0</v>
      </c>
      <c r="L87" s="149">
        <f>'採算表(VND)'!L87</f>
        <v>0</v>
      </c>
      <c r="M87" s="149">
        <f>'採算表(VND)'!M87</f>
        <v>0</v>
      </c>
      <c r="N87" s="149">
        <f>'採算表(VND)'!N87</f>
        <v>0</v>
      </c>
      <c r="O87" s="149">
        <f>SUM(C87:N87)</f>
        <v>0</v>
      </c>
    </row>
    <row r="88" spans="1:15">
      <c r="A88" s="43"/>
      <c r="B88" s="59" t="s">
        <v>344</v>
      </c>
      <c r="C88" s="149">
        <f>'採算表(VND)'!C88</f>
        <v>8</v>
      </c>
      <c r="D88" s="149">
        <f>'採算表(VND)'!D88</f>
        <v>8</v>
      </c>
      <c r="E88" s="149">
        <f>'採算表(VND)'!E88</f>
        <v>8</v>
      </c>
      <c r="F88" s="149">
        <f>'採算表(VND)'!F88</f>
        <v>8</v>
      </c>
      <c r="G88" s="149">
        <f>'採算表(VND)'!G88</f>
        <v>8</v>
      </c>
      <c r="H88" s="149">
        <f>'採算表(VND)'!H88</f>
        <v>9</v>
      </c>
      <c r="I88" s="149">
        <f>'採算表(VND)'!I88</f>
        <v>9</v>
      </c>
      <c r="J88" s="149">
        <f>'採算表(VND)'!J88</f>
        <v>9</v>
      </c>
      <c r="K88" s="149">
        <f>'採算表(VND)'!K88</f>
        <v>9</v>
      </c>
      <c r="L88" s="149">
        <f>'採算表(VND)'!L88</f>
        <v>9</v>
      </c>
      <c r="M88" s="149">
        <f>'採算表(VND)'!M88</f>
        <v>9</v>
      </c>
      <c r="N88" s="149">
        <f>'採算表(VND)'!N88</f>
        <v>9</v>
      </c>
      <c r="O88" s="149">
        <f>SUM(C88:N88)</f>
        <v>103</v>
      </c>
    </row>
    <row r="89" spans="1:15">
      <c r="A89" s="44"/>
      <c r="B89" s="60" t="s">
        <v>18</v>
      </c>
      <c r="C89" s="150">
        <f t="shared" ref="C89:O89" si="11">C87+C88</f>
        <v>8</v>
      </c>
      <c r="D89" s="150">
        <f t="shared" si="11"/>
        <v>8</v>
      </c>
      <c r="E89" s="150">
        <f t="shared" si="11"/>
        <v>8</v>
      </c>
      <c r="F89" s="150">
        <f t="shared" si="11"/>
        <v>8</v>
      </c>
      <c r="G89" s="150">
        <f t="shared" si="11"/>
        <v>8</v>
      </c>
      <c r="H89" s="150">
        <f t="shared" si="11"/>
        <v>9</v>
      </c>
      <c r="I89" s="150">
        <f t="shared" si="11"/>
        <v>9</v>
      </c>
      <c r="J89" s="150">
        <f t="shared" si="11"/>
        <v>9</v>
      </c>
      <c r="K89" s="150">
        <f t="shared" si="11"/>
        <v>9</v>
      </c>
      <c r="L89" s="150">
        <f t="shared" si="11"/>
        <v>9</v>
      </c>
      <c r="M89" s="150">
        <f t="shared" si="11"/>
        <v>9</v>
      </c>
      <c r="N89" s="150">
        <f t="shared" si="11"/>
        <v>9</v>
      </c>
      <c r="O89" s="150">
        <f t="shared" si="11"/>
        <v>103</v>
      </c>
    </row>
    <row r="91" spans="1:15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</row>
    <row r="92" spans="1:15">
      <c r="B92" s="59" t="s">
        <v>324</v>
      </c>
      <c r="C92" s="132">
        <f>'採算表(VND)'!C92</f>
        <v>0</v>
      </c>
      <c r="D92" s="132">
        <f>'採算表(VND)'!D92</f>
        <v>0</v>
      </c>
      <c r="E92" s="132">
        <f>'採算表(VND)'!E92</f>
        <v>0</v>
      </c>
      <c r="F92" s="132">
        <f>'採算表(VND)'!F92</f>
        <v>0</v>
      </c>
      <c r="G92" s="132">
        <f>'採算表(VND)'!G92</f>
        <v>0</v>
      </c>
      <c r="H92" s="132">
        <f>'採算表(VND)'!H92</f>
        <v>0</v>
      </c>
      <c r="I92" s="132">
        <f>'採算表(VND)'!I92</f>
        <v>0</v>
      </c>
      <c r="J92" s="132">
        <f>'採算表(VND)'!J92</f>
        <v>0</v>
      </c>
      <c r="K92" s="132">
        <f>'採算表(VND)'!K92</f>
        <v>0</v>
      </c>
      <c r="L92" s="132">
        <f>'採算表(VND)'!L92</f>
        <v>0</v>
      </c>
      <c r="M92" s="132">
        <f>'採算表(VND)'!M92</f>
        <v>0</v>
      </c>
      <c r="N92" s="132">
        <f>'採算表(VND)'!N92</f>
        <v>0</v>
      </c>
      <c r="O92" s="132">
        <f>SUM(C92:N92)</f>
        <v>0</v>
      </c>
    </row>
    <row r="93" spans="1:15">
      <c r="B93" s="59" t="s">
        <v>325</v>
      </c>
      <c r="C93" s="132">
        <f>'採算表(VND)'!C93</f>
        <v>1292</v>
      </c>
      <c r="D93" s="132">
        <f>'採算表(VND)'!D93</f>
        <v>1224</v>
      </c>
      <c r="E93" s="132">
        <f>'採算表(VND)'!E93</f>
        <v>1360</v>
      </c>
      <c r="F93" s="132">
        <f>'採算表(VND)'!F93</f>
        <v>1496</v>
      </c>
      <c r="G93" s="132">
        <f>'採算表(VND)'!G93</f>
        <v>1292</v>
      </c>
      <c r="H93" s="132">
        <f>'採算表(VND)'!H93</f>
        <v>1377</v>
      </c>
      <c r="I93" s="132">
        <f>'採算表(VND)'!I93</f>
        <v>1683</v>
      </c>
      <c r="J93" s="132">
        <f>'採算表(VND)'!J93</f>
        <v>1453.5</v>
      </c>
      <c r="K93" s="132">
        <f>'採算表(VND)'!K93</f>
        <v>1606.5</v>
      </c>
      <c r="L93" s="132">
        <f>'採算表(VND)'!L93</f>
        <v>1453.5</v>
      </c>
      <c r="M93" s="132">
        <f>'採算表(VND)'!M93</f>
        <v>1071</v>
      </c>
      <c r="N93" s="132">
        <f>'採算表(VND)'!N93</f>
        <v>1453.5</v>
      </c>
      <c r="O93" s="132">
        <f>SUM(C93:N93)</f>
        <v>16762</v>
      </c>
    </row>
    <row r="94" spans="1:15">
      <c r="B94" s="61" t="s">
        <v>18</v>
      </c>
      <c r="C94" s="146">
        <f t="shared" ref="C94:O94" si="12">C92+C93</f>
        <v>1292</v>
      </c>
      <c r="D94" s="146">
        <f t="shared" si="12"/>
        <v>1224</v>
      </c>
      <c r="E94" s="146">
        <f t="shared" si="12"/>
        <v>1360</v>
      </c>
      <c r="F94" s="146">
        <f t="shared" si="12"/>
        <v>1496</v>
      </c>
      <c r="G94" s="146">
        <f t="shared" si="12"/>
        <v>1292</v>
      </c>
      <c r="H94" s="146">
        <f t="shared" si="12"/>
        <v>1377</v>
      </c>
      <c r="I94" s="146">
        <f t="shared" si="12"/>
        <v>1683</v>
      </c>
      <c r="J94" s="146">
        <f t="shared" si="12"/>
        <v>1453.5</v>
      </c>
      <c r="K94" s="146">
        <f t="shared" si="12"/>
        <v>1606.5</v>
      </c>
      <c r="L94" s="146">
        <f t="shared" si="12"/>
        <v>1453.5</v>
      </c>
      <c r="M94" s="146">
        <f t="shared" si="12"/>
        <v>1071</v>
      </c>
      <c r="N94" s="146">
        <f t="shared" si="12"/>
        <v>1453.5</v>
      </c>
      <c r="O94" s="146">
        <f t="shared" si="12"/>
        <v>16762</v>
      </c>
    </row>
    <row r="95" spans="1:15">
      <c r="C95" s="147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</row>
    <row r="96" spans="1:15">
      <c r="B96" s="58" t="s">
        <v>20</v>
      </c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</row>
    <row r="97" spans="2:15">
      <c r="B97" s="59" t="s">
        <v>326</v>
      </c>
      <c r="C97" s="132">
        <f>'採算表(VND)'!C97</f>
        <v>0</v>
      </c>
      <c r="D97" s="132">
        <f>'採算表(VND)'!D97</f>
        <v>0</v>
      </c>
      <c r="E97" s="132">
        <f>'採算表(VND)'!E97</f>
        <v>0</v>
      </c>
      <c r="F97" s="132">
        <f>'採算表(VND)'!F97</f>
        <v>0</v>
      </c>
      <c r="G97" s="132">
        <f>'採算表(VND)'!G97</f>
        <v>0</v>
      </c>
      <c r="H97" s="132">
        <f>'採算表(VND)'!H97</f>
        <v>0</v>
      </c>
      <c r="I97" s="132">
        <f>'採算表(VND)'!I97</f>
        <v>0</v>
      </c>
      <c r="J97" s="132">
        <f>'採算表(VND)'!J97</f>
        <v>0</v>
      </c>
      <c r="K97" s="132">
        <f>'採算表(VND)'!K97</f>
        <v>0</v>
      </c>
      <c r="L97" s="132">
        <f>'採算表(VND)'!L97</f>
        <v>0</v>
      </c>
      <c r="M97" s="132">
        <f>'採算表(VND)'!M97</f>
        <v>0</v>
      </c>
      <c r="N97" s="132">
        <f>'採算表(VND)'!N97</f>
        <v>0</v>
      </c>
      <c r="O97" s="132">
        <f>SUM(C97:N97)</f>
        <v>0</v>
      </c>
    </row>
    <row r="98" spans="2:15">
      <c r="B98" s="59" t="s">
        <v>327</v>
      </c>
      <c r="C98" s="132">
        <f>'採算表(VND)'!C98</f>
        <v>170</v>
      </c>
      <c r="D98" s="132">
        <f>'採算表(VND)'!D98</f>
        <v>166</v>
      </c>
      <c r="E98" s="132">
        <f>'採算表(VND)'!E98</f>
        <v>174</v>
      </c>
      <c r="F98" s="132">
        <f>'採算表(VND)'!F98</f>
        <v>182</v>
      </c>
      <c r="G98" s="132">
        <f>'採算表(VND)'!G98</f>
        <v>170</v>
      </c>
      <c r="H98" s="132">
        <f>'採算表(VND)'!H98</f>
        <v>166</v>
      </c>
      <c r="I98" s="132">
        <f>'採算表(VND)'!I98</f>
        <v>182</v>
      </c>
      <c r="J98" s="132">
        <f>'採算表(VND)'!J98</f>
        <v>170</v>
      </c>
      <c r="K98" s="132">
        <f>'採算表(VND)'!K98</f>
        <v>178</v>
      </c>
      <c r="L98" s="132">
        <f>'採算表(VND)'!L98</f>
        <v>170</v>
      </c>
      <c r="M98" s="132">
        <f>'採算表(VND)'!M98</f>
        <v>150</v>
      </c>
      <c r="N98" s="132">
        <f>'採算表(VND)'!N98</f>
        <v>170</v>
      </c>
      <c r="O98" s="132">
        <f>SUM(C98:N98)</f>
        <v>2048</v>
      </c>
    </row>
    <row r="99" spans="2:15">
      <c r="B99" s="61" t="s">
        <v>18</v>
      </c>
      <c r="C99" s="146">
        <f t="shared" ref="C99:O99" si="13">C97+C98</f>
        <v>170</v>
      </c>
      <c r="D99" s="146">
        <f t="shared" si="13"/>
        <v>166</v>
      </c>
      <c r="E99" s="146">
        <f t="shared" si="13"/>
        <v>174</v>
      </c>
      <c r="F99" s="146">
        <f t="shared" si="13"/>
        <v>182</v>
      </c>
      <c r="G99" s="146">
        <f t="shared" si="13"/>
        <v>170</v>
      </c>
      <c r="H99" s="146">
        <f t="shared" si="13"/>
        <v>166</v>
      </c>
      <c r="I99" s="146">
        <f t="shared" si="13"/>
        <v>182</v>
      </c>
      <c r="J99" s="146">
        <f t="shared" si="13"/>
        <v>170</v>
      </c>
      <c r="K99" s="146">
        <f t="shared" si="13"/>
        <v>178</v>
      </c>
      <c r="L99" s="146">
        <f t="shared" si="13"/>
        <v>170</v>
      </c>
      <c r="M99" s="146">
        <f t="shared" si="13"/>
        <v>150</v>
      </c>
      <c r="N99" s="146">
        <f t="shared" si="13"/>
        <v>170</v>
      </c>
      <c r="O99" s="146">
        <f t="shared" si="13"/>
        <v>2048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/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7" t="str">
        <f>'内訳ﾘｽﾄ(4～3月)'!A1</f>
        <v>MP FY2026_各予定</v>
      </c>
      <c r="D1" s="98"/>
      <c r="E1" s="98"/>
      <c r="F1" s="99"/>
      <c r="G1" s="99"/>
      <c r="H1" s="99"/>
      <c r="I1" s="98"/>
      <c r="J1" s="99"/>
      <c r="K1" s="98"/>
      <c r="L1" s="100"/>
      <c r="M1" s="98"/>
      <c r="N1" s="96"/>
      <c r="O1" s="95"/>
    </row>
    <row r="2" spans="1:61" ht="14.25" customHeight="1" thickBot="1">
      <c r="B2" s="21" t="str">
        <f>'内訳ﾘｽﾄ(4～3月)'!C5</f>
        <v>MD1課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4"/>
      <c r="O2" s="94"/>
    </row>
    <row r="3" spans="1:61" ht="11.25" customHeight="1">
      <c r="C3" s="201">
        <v>2</v>
      </c>
      <c r="D3" s="201">
        <v>3</v>
      </c>
      <c r="E3" s="201">
        <v>4</v>
      </c>
      <c r="F3" s="201">
        <v>5</v>
      </c>
      <c r="G3" s="201">
        <v>6</v>
      </c>
      <c r="H3" s="201">
        <v>7</v>
      </c>
      <c r="I3" s="201">
        <v>8</v>
      </c>
      <c r="J3" s="201">
        <v>9</v>
      </c>
      <c r="K3" s="201">
        <v>10</v>
      </c>
      <c r="L3" s="201">
        <v>11</v>
      </c>
      <c r="M3" s="201">
        <v>12</v>
      </c>
      <c r="N3" s="201">
        <v>13</v>
      </c>
      <c r="O3" s="70"/>
    </row>
    <row r="4" spans="1:61">
      <c r="A4" s="24"/>
      <c r="B4" s="25" t="s">
        <v>71</v>
      </c>
      <c r="C4" s="69">
        <f>'内訳ﾘｽﾄ(4～3月)'!F4</f>
        <v>4</v>
      </c>
      <c r="D4" s="69">
        <v>5</v>
      </c>
      <c r="E4" s="69">
        <v>6</v>
      </c>
      <c r="F4" s="69">
        <v>7</v>
      </c>
      <c r="G4" s="69">
        <v>8</v>
      </c>
      <c r="H4" s="69">
        <v>9</v>
      </c>
      <c r="I4" s="69">
        <v>10</v>
      </c>
      <c r="J4" s="69">
        <v>11</v>
      </c>
      <c r="K4" s="69">
        <v>12</v>
      </c>
      <c r="L4" s="69">
        <v>1</v>
      </c>
      <c r="M4" s="69">
        <v>2</v>
      </c>
      <c r="N4" s="69">
        <v>3</v>
      </c>
      <c r="O4" s="51" t="s">
        <v>155</v>
      </c>
      <c r="AV4" s="72"/>
    </row>
    <row r="5" spans="1:61" ht="11.25" customHeight="1">
      <c r="A5" s="26"/>
      <c r="B5" s="27" t="s">
        <v>72</v>
      </c>
      <c r="C5" s="151">
        <f>C8+C9</f>
        <v>4005381170</v>
      </c>
      <c r="D5" s="151">
        <f t="shared" ref="D5:N5" si="0">D8+D9</f>
        <v>2785507194</v>
      </c>
      <c r="E5" s="151">
        <f t="shared" si="0"/>
        <v>471756610</v>
      </c>
      <c r="F5" s="151">
        <f t="shared" si="0"/>
        <v>532455976</v>
      </c>
      <c r="G5" s="151">
        <f t="shared" si="0"/>
        <v>520661051</v>
      </c>
      <c r="H5" s="151">
        <f t="shared" si="0"/>
        <v>1329142126</v>
      </c>
      <c r="I5" s="151">
        <f t="shared" si="0"/>
        <v>762994129</v>
      </c>
      <c r="J5" s="151">
        <f t="shared" si="0"/>
        <v>663960434</v>
      </c>
      <c r="K5" s="151">
        <f t="shared" si="0"/>
        <v>651059013</v>
      </c>
      <c r="L5" s="151">
        <f t="shared" si="0"/>
        <v>877089680</v>
      </c>
      <c r="M5" s="151">
        <f t="shared" si="0"/>
        <v>765665918</v>
      </c>
      <c r="N5" s="151">
        <f t="shared" si="0"/>
        <v>1103361043</v>
      </c>
      <c r="O5" s="151">
        <f>O8+O9</f>
        <v>14469034344</v>
      </c>
      <c r="AD5" s="72"/>
      <c r="AE5" s="72"/>
      <c r="AQ5" s="74"/>
      <c r="AR5" s="74"/>
      <c r="AS5" s="74"/>
      <c r="AT5" s="74"/>
      <c r="AV5" s="73"/>
      <c r="AW5" s="73"/>
      <c r="AX5" s="73"/>
      <c r="AY5" s="73"/>
      <c r="BA5" s="75"/>
      <c r="BB5" s="75"/>
      <c r="BC5" s="75"/>
      <c r="BD5" s="75"/>
      <c r="BF5" s="72"/>
      <c r="BG5" s="72"/>
      <c r="BH5" s="72"/>
      <c r="BI5" s="72"/>
    </row>
    <row r="6" spans="1:61" ht="11.25" customHeight="1">
      <c r="A6" s="26"/>
      <c r="B6" s="29" t="s">
        <v>141</v>
      </c>
      <c r="C6" s="152">
        <f>SUMIF('内訳ﾘｽﾄ(4～3月)'!$D$26:$D$267,'採算表(VND)'!$B6,'内訳ﾘｽﾄ(4～3月)'!F$26:F$267)</f>
        <v>4005381170</v>
      </c>
      <c r="D6" s="152">
        <f>SUMIF('内訳ﾘｽﾄ(4～3月)'!$D$26:$D$267,'採算表(VND)'!$B6,'内訳ﾘｽﾄ(4～3月)'!G$26:G$267)</f>
        <v>2785507194</v>
      </c>
      <c r="E6" s="152">
        <f>SUMIF('内訳ﾘｽﾄ(4～3月)'!$D$26:$D$267,'採算表(VND)'!$B6,'内訳ﾘｽﾄ(4～3月)'!H$26:H$267)</f>
        <v>471756610</v>
      </c>
      <c r="F6" s="152">
        <f>SUMIF('内訳ﾘｽﾄ(4～3月)'!$D$26:$D$267,'採算表(VND)'!$B6,'内訳ﾘｽﾄ(4～3月)'!I$26:I$267)</f>
        <v>532455976</v>
      </c>
      <c r="G6" s="152">
        <f>SUMIF('内訳ﾘｽﾄ(4～3月)'!$D$26:$D$267,'採算表(VND)'!$B6,'内訳ﾘｽﾄ(4～3月)'!J$26:J$267)</f>
        <v>520661051</v>
      </c>
      <c r="H6" s="152">
        <f>SUMIF('内訳ﾘｽﾄ(4～3月)'!$D$26:$D$267,'採算表(VND)'!$B6,'内訳ﾘｽﾄ(4～3月)'!K$26:K$267)</f>
        <v>1329142126</v>
      </c>
      <c r="I6" s="152">
        <f>SUMIF('内訳ﾘｽﾄ(4～3月)'!$D$26:$D$267,'採算表(VND)'!$B6,'内訳ﾘｽﾄ(4～3月)'!L$26:L$267)</f>
        <v>762994129</v>
      </c>
      <c r="J6" s="152">
        <f>SUMIF('内訳ﾘｽﾄ(4～3月)'!$D$26:$D$267,'採算表(VND)'!$B6,'内訳ﾘｽﾄ(4～3月)'!M$26:M$267)</f>
        <v>663960434</v>
      </c>
      <c r="K6" s="152">
        <f>SUMIF('内訳ﾘｽﾄ(4～3月)'!$D$26:$D$267,'採算表(VND)'!$B6,'内訳ﾘｽﾄ(4～3月)'!N$26:N$267)</f>
        <v>651059013</v>
      </c>
      <c r="L6" s="152">
        <f>SUMIF('内訳ﾘｽﾄ(4～3月)'!$D$26:$D$267,'採算表(VND)'!$B6,'内訳ﾘｽﾄ(4～3月)'!O$26:O$267)</f>
        <v>877089680</v>
      </c>
      <c r="M6" s="152">
        <f>SUMIF('内訳ﾘｽﾄ(4～3月)'!$D$26:$D$267,'採算表(VND)'!$B6,'内訳ﾘｽﾄ(4～3月)'!P$26:P$267)</f>
        <v>765665918</v>
      </c>
      <c r="N6" s="152">
        <f>SUMIF('内訳ﾘｽﾄ(4～3月)'!$D$26:$D$267,'採算表(VND)'!$B6,'内訳ﾘｽﾄ(4～3月)'!Q$26:Q$267)</f>
        <v>1103361043</v>
      </c>
      <c r="O6" s="152">
        <f>SUMIF('内訳ﾘｽﾄ(4～3月)'!$D$26:$D$267,'採算表(VND)'!$B6,'内訳ﾘｽﾄ(4～3月)'!R$26:R$267)</f>
        <v>14469034344</v>
      </c>
      <c r="AQ6" s="74"/>
      <c r="AR6" s="74"/>
      <c r="AS6" s="74"/>
      <c r="AT6" s="74"/>
      <c r="AV6" s="73"/>
      <c r="AW6" s="73"/>
      <c r="AX6" s="73"/>
      <c r="AY6" s="73"/>
      <c r="BA6" s="75"/>
      <c r="BB6" s="75"/>
      <c r="BC6" s="75"/>
      <c r="BD6" s="75"/>
      <c r="BF6" s="72"/>
      <c r="BG6" s="72"/>
      <c r="BH6" s="72"/>
      <c r="BI6" s="72"/>
    </row>
    <row r="7" spans="1:61" ht="11.25" customHeight="1">
      <c r="A7" s="26"/>
      <c r="B7" s="30" t="s">
        <v>112</v>
      </c>
      <c r="C7" s="153">
        <f>SUMIF('内訳ﾘｽﾄ(4～3月)'!$D$26:$D$267,'採算表(VND)'!$B7,'内訳ﾘｽﾄ(4～3月)'!F$26:F$267)</f>
        <v>0</v>
      </c>
      <c r="D7" s="153">
        <f>SUMIF('内訳ﾘｽﾄ(4～3月)'!$D$26:$D$267,'採算表(VND)'!$B7,'内訳ﾘｽﾄ(4～3月)'!G$26:G$267)</f>
        <v>0</v>
      </c>
      <c r="E7" s="153">
        <f>SUMIF('内訳ﾘｽﾄ(4～3月)'!$D$26:$D$267,'採算表(VND)'!$B7,'内訳ﾘｽﾄ(4～3月)'!H$26:H$267)</f>
        <v>0</v>
      </c>
      <c r="F7" s="153">
        <f>SUMIF('内訳ﾘｽﾄ(4～3月)'!$D$26:$D$267,'採算表(VND)'!$B7,'内訳ﾘｽﾄ(4～3月)'!I$26:I$267)</f>
        <v>0</v>
      </c>
      <c r="G7" s="153">
        <f>SUMIF('内訳ﾘｽﾄ(4～3月)'!$D$26:$D$267,'採算表(VND)'!$B7,'内訳ﾘｽﾄ(4～3月)'!J$26:J$267)</f>
        <v>0</v>
      </c>
      <c r="H7" s="153">
        <f>SUMIF('内訳ﾘｽﾄ(4～3月)'!$D$26:$D$267,'採算表(VND)'!$B7,'内訳ﾘｽﾄ(4～3月)'!K$26:K$267)</f>
        <v>0</v>
      </c>
      <c r="I7" s="153">
        <f>SUMIF('内訳ﾘｽﾄ(4～3月)'!$D$26:$D$267,'採算表(VND)'!$B7,'内訳ﾘｽﾄ(4～3月)'!L$26:L$267)</f>
        <v>0</v>
      </c>
      <c r="J7" s="153">
        <f>SUMIF('内訳ﾘｽﾄ(4～3月)'!$D$26:$D$267,'採算表(VND)'!$B7,'内訳ﾘｽﾄ(4～3月)'!M$26:M$267)</f>
        <v>0</v>
      </c>
      <c r="K7" s="153">
        <f>SUMIF('内訳ﾘｽﾄ(4～3月)'!$D$26:$D$267,'採算表(VND)'!$B7,'内訳ﾘｽﾄ(4～3月)'!N$26:N$267)</f>
        <v>0</v>
      </c>
      <c r="L7" s="153">
        <f>SUMIF('内訳ﾘｽﾄ(4～3月)'!$D$26:$D$267,'採算表(VND)'!$B7,'内訳ﾘｽﾄ(4～3月)'!O$26:O$267)</f>
        <v>0</v>
      </c>
      <c r="M7" s="153">
        <f>SUMIF('内訳ﾘｽﾄ(4～3月)'!$D$26:$D$267,'採算表(VND)'!$B7,'内訳ﾘｽﾄ(4～3月)'!P$26:P$267)</f>
        <v>0</v>
      </c>
      <c r="N7" s="153">
        <f>SUMIF('内訳ﾘｽﾄ(4～3月)'!$D$26:$D$267,'採算表(VND)'!$B7,'内訳ﾘｽﾄ(4～3月)'!Q$26:Q$267)</f>
        <v>0</v>
      </c>
      <c r="O7" s="153">
        <f>SUMIF('内訳ﾘｽﾄ(4～3月)'!$D$26:$D$267,'採算表(VND)'!$B7,'内訳ﾘｽﾄ(4～3月)'!R$26:R$267)</f>
        <v>0</v>
      </c>
      <c r="AQ7" s="74"/>
      <c r="AR7" s="74"/>
      <c r="AS7" s="74"/>
      <c r="AT7" s="74"/>
      <c r="AV7" s="73"/>
      <c r="AW7" s="73"/>
      <c r="AX7" s="73"/>
      <c r="AY7" s="73"/>
      <c r="BA7" s="75"/>
      <c r="BB7" s="75"/>
      <c r="BC7" s="75"/>
      <c r="BD7" s="75"/>
      <c r="BF7" s="72"/>
      <c r="BG7" s="72"/>
      <c r="BH7" s="72"/>
      <c r="BI7" s="72"/>
    </row>
    <row r="8" spans="1:61" ht="11.25" customHeight="1">
      <c r="A8" s="26"/>
      <c r="B8" s="31" t="s">
        <v>85</v>
      </c>
      <c r="C8" s="154">
        <f t="shared" ref="C8:N8" si="1">C6+C7</f>
        <v>4005381170</v>
      </c>
      <c r="D8" s="154">
        <f t="shared" si="1"/>
        <v>2785507194</v>
      </c>
      <c r="E8" s="154">
        <f t="shared" si="1"/>
        <v>471756610</v>
      </c>
      <c r="F8" s="154">
        <f t="shared" si="1"/>
        <v>532455976</v>
      </c>
      <c r="G8" s="154">
        <f t="shared" si="1"/>
        <v>520661051</v>
      </c>
      <c r="H8" s="154">
        <f t="shared" si="1"/>
        <v>1329142126</v>
      </c>
      <c r="I8" s="154">
        <f t="shared" si="1"/>
        <v>762994129</v>
      </c>
      <c r="J8" s="154">
        <f t="shared" si="1"/>
        <v>663960434</v>
      </c>
      <c r="K8" s="154">
        <f t="shared" si="1"/>
        <v>651059013</v>
      </c>
      <c r="L8" s="154">
        <f t="shared" si="1"/>
        <v>877089680</v>
      </c>
      <c r="M8" s="154">
        <f t="shared" si="1"/>
        <v>765665918</v>
      </c>
      <c r="N8" s="154">
        <f t="shared" si="1"/>
        <v>1103361043</v>
      </c>
      <c r="O8" s="154">
        <f>O6+O7</f>
        <v>14469034344</v>
      </c>
      <c r="AQ8" s="74"/>
      <c r="AR8" s="74"/>
      <c r="AS8" s="74"/>
      <c r="AT8" s="74"/>
      <c r="AV8" s="73"/>
      <c r="AW8" s="73"/>
      <c r="AX8" s="73"/>
      <c r="AY8" s="73"/>
      <c r="BA8" s="75"/>
      <c r="BB8" s="75"/>
      <c r="BC8" s="75"/>
      <c r="BD8" s="75"/>
      <c r="BF8" s="72"/>
      <c r="BG8" s="72"/>
      <c r="BH8" s="72"/>
      <c r="BI8" s="72"/>
    </row>
    <row r="9" spans="1:61" ht="11.25" customHeight="1">
      <c r="A9" s="26"/>
      <c r="B9" s="28" t="s">
        <v>73</v>
      </c>
      <c r="C9" s="149">
        <f>SUMIF('内訳ﾘｽﾄ(4～3月)'!$D$26:$D$267,'採算表(VND)'!$B9,'内訳ﾘｽﾄ(4～3月)'!F$26:F$267)</f>
        <v>0</v>
      </c>
      <c r="D9" s="149">
        <f>SUMIF('内訳ﾘｽﾄ(4～3月)'!$D$26:$D$267,'採算表(VND)'!$B9,'内訳ﾘｽﾄ(4～3月)'!G$26:G$267)</f>
        <v>0</v>
      </c>
      <c r="E9" s="149">
        <f>SUMIF('内訳ﾘｽﾄ(4～3月)'!$D$26:$D$267,'採算表(VND)'!$B9,'内訳ﾘｽﾄ(4～3月)'!H$26:H$267)</f>
        <v>0</v>
      </c>
      <c r="F9" s="149">
        <f>SUMIF('内訳ﾘｽﾄ(4～3月)'!$D$26:$D$267,'採算表(VND)'!$B9,'内訳ﾘｽﾄ(4～3月)'!I$26:I$267)</f>
        <v>0</v>
      </c>
      <c r="G9" s="149">
        <f>SUMIF('内訳ﾘｽﾄ(4～3月)'!$D$26:$D$267,'採算表(VND)'!$B9,'内訳ﾘｽﾄ(4～3月)'!J$26:J$267)</f>
        <v>0</v>
      </c>
      <c r="H9" s="149">
        <f>SUMIF('内訳ﾘｽﾄ(4～3月)'!$D$26:$D$267,'採算表(VND)'!$B9,'内訳ﾘｽﾄ(4～3月)'!K$26:K$267)</f>
        <v>0</v>
      </c>
      <c r="I9" s="149">
        <f>SUMIF('内訳ﾘｽﾄ(4～3月)'!$D$26:$D$267,'採算表(VND)'!$B9,'内訳ﾘｽﾄ(4～3月)'!L$26:L$267)</f>
        <v>0</v>
      </c>
      <c r="J9" s="149">
        <f>SUMIF('内訳ﾘｽﾄ(4～3月)'!$D$26:$D$267,'採算表(VND)'!$B9,'内訳ﾘｽﾄ(4～3月)'!M$26:M$267)</f>
        <v>0</v>
      </c>
      <c r="K9" s="149">
        <f>SUMIF('内訳ﾘｽﾄ(4～3月)'!$D$26:$D$267,'採算表(VND)'!$B9,'内訳ﾘｽﾄ(4～3月)'!N$26:N$267)</f>
        <v>0</v>
      </c>
      <c r="L9" s="149">
        <f>SUMIF('内訳ﾘｽﾄ(4～3月)'!$D$26:$D$267,'採算表(VND)'!$B9,'内訳ﾘｽﾄ(4～3月)'!O$26:O$267)</f>
        <v>0</v>
      </c>
      <c r="M9" s="149">
        <f>SUMIF('内訳ﾘｽﾄ(4～3月)'!$D$26:$D$267,'採算表(VND)'!$B9,'内訳ﾘｽﾄ(4～3月)'!P$26:P$267)</f>
        <v>0</v>
      </c>
      <c r="N9" s="149">
        <f>SUMIF('内訳ﾘｽﾄ(4～3月)'!$D$26:$D$267,'採算表(VND)'!$B9,'内訳ﾘｽﾄ(4～3月)'!Q$26:Q$267)</f>
        <v>0</v>
      </c>
      <c r="O9" s="149">
        <f>SUMIF('内訳ﾘｽﾄ(4～3月)'!$D$26:$D$267,'採算表(VND)'!$B9,'内訳ﾘｽﾄ(4～3月)'!R$26:R$267)</f>
        <v>0</v>
      </c>
      <c r="AQ9" s="74"/>
      <c r="AR9" s="74"/>
      <c r="AS9" s="74"/>
      <c r="AT9" s="74"/>
      <c r="AV9" s="73"/>
      <c r="AW9" s="73"/>
      <c r="AX9" s="73"/>
      <c r="AY9" s="73"/>
      <c r="BA9" s="75"/>
      <c r="BB9" s="75"/>
      <c r="BC9" s="75"/>
      <c r="BD9" s="75"/>
      <c r="BF9" s="72"/>
      <c r="BG9" s="72"/>
      <c r="BH9" s="72"/>
      <c r="BI9" s="72"/>
    </row>
    <row r="10" spans="1:61" ht="11.25" customHeight="1">
      <c r="A10" s="26"/>
      <c r="B10" s="28" t="s">
        <v>74</v>
      </c>
      <c r="C10" s="149">
        <f>SUMIF('内訳ﾘｽﾄ(4～3月)'!$D$26:$D$267,'採算表(VND)'!$B10,'内訳ﾘｽﾄ(4～3月)'!F$26:F$267)</f>
        <v>0</v>
      </c>
      <c r="D10" s="149">
        <f>SUMIF('内訳ﾘｽﾄ(4～3月)'!$D$26:$D$267,'採算表(VND)'!$B10,'内訳ﾘｽﾄ(4～3月)'!G$26:G$267)</f>
        <v>0</v>
      </c>
      <c r="E10" s="149">
        <f>SUMIF('内訳ﾘｽﾄ(4～3月)'!$D$26:$D$267,'採算表(VND)'!$B10,'内訳ﾘｽﾄ(4～3月)'!H$26:H$267)</f>
        <v>0</v>
      </c>
      <c r="F10" s="149">
        <f>SUMIF('内訳ﾘｽﾄ(4～3月)'!$D$26:$D$267,'採算表(VND)'!$B10,'内訳ﾘｽﾄ(4～3月)'!I$26:I$267)</f>
        <v>0</v>
      </c>
      <c r="G10" s="149">
        <f>SUMIF('内訳ﾘｽﾄ(4～3月)'!$D$26:$D$267,'採算表(VND)'!$B10,'内訳ﾘｽﾄ(4～3月)'!J$26:J$267)</f>
        <v>0</v>
      </c>
      <c r="H10" s="149">
        <f>SUMIF('内訳ﾘｽﾄ(4～3月)'!$D$26:$D$267,'採算表(VND)'!$B10,'内訳ﾘｽﾄ(4～3月)'!K$26:K$267)</f>
        <v>0</v>
      </c>
      <c r="I10" s="149">
        <f>SUMIF('内訳ﾘｽﾄ(4～3月)'!$D$26:$D$267,'採算表(VND)'!$B10,'内訳ﾘｽﾄ(4～3月)'!L$26:L$267)</f>
        <v>0</v>
      </c>
      <c r="J10" s="149">
        <f>SUMIF('内訳ﾘｽﾄ(4～3月)'!$D$26:$D$267,'採算表(VND)'!$B10,'内訳ﾘｽﾄ(4～3月)'!M$26:M$267)</f>
        <v>0</v>
      </c>
      <c r="K10" s="149">
        <f>SUMIF('内訳ﾘｽﾄ(4～3月)'!$D$26:$D$267,'採算表(VND)'!$B10,'内訳ﾘｽﾄ(4～3月)'!N$26:N$267)</f>
        <v>0</v>
      </c>
      <c r="L10" s="149">
        <f>SUMIF('内訳ﾘｽﾄ(4～3月)'!$D$26:$D$267,'採算表(VND)'!$B10,'内訳ﾘｽﾄ(4～3月)'!O$26:O$267)</f>
        <v>0</v>
      </c>
      <c r="M10" s="149">
        <f>SUMIF('内訳ﾘｽﾄ(4～3月)'!$D$26:$D$267,'採算表(VND)'!$B10,'内訳ﾘｽﾄ(4～3月)'!P$26:P$267)</f>
        <v>0</v>
      </c>
      <c r="N10" s="149">
        <f>SUMIF('内訳ﾘｽﾄ(4～3月)'!$D$26:$D$267,'採算表(VND)'!$B10,'内訳ﾘｽﾄ(4～3月)'!Q$26:Q$267)</f>
        <v>0</v>
      </c>
      <c r="O10" s="149">
        <f>SUMIF('内訳ﾘｽﾄ(4～3月)'!$D$26:$D$267,'採算表(VND)'!$B10,'内訳ﾘｽﾄ(4～3月)'!R$26:R$267)</f>
        <v>0</v>
      </c>
      <c r="AQ10" s="74"/>
      <c r="AR10" s="74"/>
      <c r="AS10" s="74"/>
      <c r="AT10" s="74"/>
      <c r="AV10" s="73"/>
      <c r="AW10" s="73"/>
      <c r="AX10" s="73"/>
      <c r="AY10" s="73"/>
      <c r="BA10" s="75"/>
      <c r="BB10" s="75"/>
      <c r="BC10" s="75"/>
      <c r="BD10" s="75"/>
      <c r="BF10" s="72"/>
      <c r="BG10" s="72"/>
      <c r="BH10" s="72"/>
      <c r="BI10" s="72"/>
    </row>
    <row r="11" spans="1:61" ht="2.25" customHeight="1">
      <c r="A11" s="26"/>
      <c r="B11" s="28"/>
      <c r="C11" s="149"/>
      <c r="D11" s="149"/>
      <c r="E11" s="149"/>
      <c r="F11" s="149"/>
      <c r="G11" s="149"/>
      <c r="H11" s="149"/>
      <c r="I11" s="149"/>
      <c r="J11" s="149"/>
      <c r="K11" s="149"/>
      <c r="L11" s="149"/>
      <c r="M11" s="149"/>
      <c r="N11" s="149"/>
      <c r="O11" s="149"/>
      <c r="AQ11" s="74"/>
      <c r="AR11" s="74"/>
      <c r="AS11" s="74"/>
      <c r="AT11" s="74"/>
      <c r="AV11" s="73"/>
      <c r="AW11" s="73"/>
      <c r="AX11" s="73"/>
      <c r="AY11" s="73"/>
      <c r="BA11" s="75"/>
      <c r="BB11" s="75"/>
      <c r="BC11" s="75"/>
      <c r="BD11" s="75"/>
      <c r="BF11" s="72"/>
      <c r="BG11" s="72"/>
      <c r="BH11" s="72"/>
      <c r="BI11" s="72"/>
    </row>
    <row r="12" spans="1:61" ht="11.25" customHeight="1">
      <c r="A12" s="33"/>
      <c r="B12" s="32" t="s">
        <v>75</v>
      </c>
      <c r="C12" s="155">
        <f>C5-C10</f>
        <v>4005381170</v>
      </c>
      <c r="D12" s="155">
        <f t="shared" ref="D12:N12" si="2">D5-D10</f>
        <v>2785507194</v>
      </c>
      <c r="E12" s="155">
        <f t="shared" si="2"/>
        <v>471756610</v>
      </c>
      <c r="F12" s="155">
        <f t="shared" si="2"/>
        <v>532455976</v>
      </c>
      <c r="G12" s="155">
        <f t="shared" si="2"/>
        <v>520661051</v>
      </c>
      <c r="H12" s="155">
        <f t="shared" si="2"/>
        <v>1329142126</v>
      </c>
      <c r="I12" s="155">
        <f t="shared" si="2"/>
        <v>762994129</v>
      </c>
      <c r="J12" s="155">
        <f t="shared" si="2"/>
        <v>663960434</v>
      </c>
      <c r="K12" s="155">
        <f t="shared" si="2"/>
        <v>651059013</v>
      </c>
      <c r="L12" s="155">
        <f t="shared" si="2"/>
        <v>877089680</v>
      </c>
      <c r="M12" s="155">
        <f t="shared" si="2"/>
        <v>765665918</v>
      </c>
      <c r="N12" s="155">
        <f t="shared" si="2"/>
        <v>1103361043</v>
      </c>
      <c r="O12" s="155">
        <f>O5-O10</f>
        <v>14469034344</v>
      </c>
      <c r="AQ12" s="74"/>
      <c r="AR12" s="74"/>
      <c r="AS12" s="74"/>
      <c r="AT12" s="74"/>
      <c r="AV12" s="73"/>
      <c r="AW12" s="73"/>
      <c r="AX12" s="73"/>
      <c r="AY12" s="73"/>
      <c r="BA12" s="75"/>
      <c r="BB12" s="75"/>
      <c r="BC12" s="75"/>
      <c r="BD12" s="75"/>
      <c r="BF12" s="72"/>
      <c r="BG12" s="72"/>
      <c r="BH12" s="72"/>
      <c r="BI12" s="72"/>
    </row>
    <row r="13" spans="1:61" ht="11.25" customHeight="1">
      <c r="A13" s="26"/>
      <c r="B13" s="28" t="s">
        <v>76</v>
      </c>
      <c r="C13" s="149">
        <f>SUM(C14:C65)</f>
        <v>2357044869</v>
      </c>
      <c r="D13" s="149">
        <f t="shared" ref="D13:N13" si="3">SUM(D14:D65)</f>
        <v>206640512</v>
      </c>
      <c r="E13" s="149">
        <f t="shared" si="3"/>
        <v>214654640</v>
      </c>
      <c r="F13" s="149">
        <f t="shared" si="3"/>
        <v>181787687</v>
      </c>
      <c r="G13" s="149">
        <f t="shared" si="3"/>
        <v>974060672</v>
      </c>
      <c r="H13" s="149">
        <f t="shared" si="3"/>
        <v>419941653</v>
      </c>
      <c r="I13" s="149">
        <f t="shared" si="3"/>
        <v>302832630</v>
      </c>
      <c r="J13" s="149">
        <f t="shared" si="3"/>
        <v>306861649</v>
      </c>
      <c r="K13" s="149">
        <f t="shared" si="3"/>
        <v>500183681</v>
      </c>
      <c r="L13" s="149">
        <f t="shared" si="3"/>
        <v>421272308</v>
      </c>
      <c r="M13" s="149">
        <f t="shared" si="3"/>
        <v>728437843</v>
      </c>
      <c r="N13" s="149">
        <f t="shared" si="3"/>
        <v>286485028</v>
      </c>
      <c r="O13" s="149">
        <f>SUM(O14:O65)</f>
        <v>6900203172</v>
      </c>
      <c r="AQ13" s="74"/>
      <c r="AR13" s="74"/>
      <c r="AS13" s="74"/>
      <c r="AT13" s="74"/>
      <c r="AV13" s="73"/>
      <c r="AW13" s="73"/>
      <c r="AX13" s="73"/>
      <c r="AY13" s="73"/>
      <c r="BA13" s="75"/>
      <c r="BB13" s="75"/>
      <c r="BC13" s="75"/>
      <c r="BD13" s="75"/>
      <c r="BF13" s="72"/>
      <c r="BG13" s="72"/>
      <c r="BH13" s="72"/>
      <c r="BI13" s="72"/>
    </row>
    <row r="14" spans="1:61" ht="11.25" customHeight="1">
      <c r="A14" s="34"/>
      <c r="B14" s="35" t="s">
        <v>101</v>
      </c>
      <c r="C14" s="156">
        <f>SUMIF('内訳ﾘｽﾄ(4～3月)'!$D$26:$D$267,$B14,'内訳ﾘｽﾄ(4～3月)'!F$26:F$267)</f>
        <v>0</v>
      </c>
      <c r="D14" s="156">
        <f>SUMIF('内訳ﾘｽﾄ(4～3月)'!$D$26:$D$267,$B14,'内訳ﾘｽﾄ(4～3月)'!G$26:G$267)</f>
        <v>0</v>
      </c>
      <c r="E14" s="156">
        <f>SUMIF('内訳ﾘｽﾄ(4～3月)'!$D$26:$D$267,$B14,'内訳ﾘｽﾄ(4～3月)'!H$26:H$267)</f>
        <v>0</v>
      </c>
      <c r="F14" s="156">
        <f>SUMIF('内訳ﾘｽﾄ(4～3月)'!$D$26:$D$267,$B14,'内訳ﾘｽﾄ(4～3月)'!I$26:I$267)</f>
        <v>0</v>
      </c>
      <c r="G14" s="156">
        <f>SUMIF('内訳ﾘｽﾄ(4～3月)'!$D$26:$D$267,$B14,'内訳ﾘｽﾄ(4～3月)'!J$26:J$267)</f>
        <v>0</v>
      </c>
      <c r="H14" s="156">
        <f>SUMIF('内訳ﾘｽﾄ(4～3月)'!$D$26:$D$267,$B14,'内訳ﾘｽﾄ(4～3月)'!K$26:K$267)</f>
        <v>0</v>
      </c>
      <c r="I14" s="156">
        <f>SUMIF('内訳ﾘｽﾄ(4～3月)'!$D$26:$D$267,$B14,'内訳ﾘｽﾄ(4～3月)'!L$26:L$267)</f>
        <v>0</v>
      </c>
      <c r="J14" s="156">
        <f>SUMIF('内訳ﾘｽﾄ(4～3月)'!$D$26:$D$267,$B14,'内訳ﾘｽﾄ(4～3月)'!M$26:M$267)</f>
        <v>0</v>
      </c>
      <c r="K14" s="156">
        <f>SUMIF('内訳ﾘｽﾄ(4～3月)'!$D$26:$D$267,$B14,'内訳ﾘｽﾄ(4～3月)'!N$26:N$267)</f>
        <v>0</v>
      </c>
      <c r="L14" s="156">
        <f>SUMIF('内訳ﾘｽﾄ(4～3月)'!$D$26:$D$267,$B14,'内訳ﾘｽﾄ(4～3月)'!O$26:O$267)</f>
        <v>0</v>
      </c>
      <c r="M14" s="156">
        <f>SUMIF('内訳ﾘｽﾄ(4～3月)'!$D$26:$D$267,$B14,'内訳ﾘｽﾄ(4～3月)'!P$26:P$267)</f>
        <v>0</v>
      </c>
      <c r="N14" s="156">
        <f>SUMIF('内訳ﾘｽﾄ(4～3月)'!$D$26:$D$267,$B14,'内訳ﾘｽﾄ(4～3月)'!Q$26:Q$267)</f>
        <v>0</v>
      </c>
      <c r="O14" s="156">
        <f>SUMIF('内訳ﾘｽﾄ(4～3月)'!$D$26:$D$267,'採算表(VND)'!$B14,'内訳ﾘｽﾄ(4～3月)'!R$26:R$267)</f>
        <v>0</v>
      </c>
      <c r="AQ14" s="74"/>
      <c r="AR14" s="74"/>
      <c r="AS14" s="74"/>
      <c r="AT14" s="74"/>
      <c r="AU14" s="72"/>
      <c r="AV14" s="73"/>
      <c r="AW14" s="73"/>
      <c r="AX14" s="73"/>
      <c r="AY14" s="73"/>
      <c r="BA14" s="75"/>
      <c r="BB14" s="75"/>
      <c r="BC14" s="75"/>
      <c r="BD14" s="75"/>
      <c r="BF14" s="72"/>
      <c r="BG14" s="72"/>
      <c r="BH14" s="72"/>
      <c r="BI14" s="72"/>
    </row>
    <row r="15" spans="1:61" ht="11.25" customHeight="1">
      <c r="A15" s="34"/>
      <c r="B15" s="35" t="s">
        <v>124</v>
      </c>
      <c r="C15" s="156">
        <f>SUMIF('内訳ﾘｽﾄ(4～3月)'!$D$26:$D$267,$B15,'内訳ﾘｽﾄ(4～3月)'!F$26:F$267)</f>
        <v>0</v>
      </c>
      <c r="D15" s="156">
        <f>SUMIF('内訳ﾘｽﾄ(4～3月)'!$D$26:$D$267,$B15,'内訳ﾘｽﾄ(4～3月)'!G$26:G$267)</f>
        <v>0</v>
      </c>
      <c r="E15" s="156">
        <f>SUMIF('内訳ﾘｽﾄ(4～3月)'!$D$26:$D$267,$B15,'内訳ﾘｽﾄ(4～3月)'!H$26:H$267)</f>
        <v>0</v>
      </c>
      <c r="F15" s="156">
        <f>SUMIF('内訳ﾘｽﾄ(4～3月)'!$D$26:$D$267,$B15,'内訳ﾘｽﾄ(4～3月)'!I$26:I$267)</f>
        <v>0</v>
      </c>
      <c r="G15" s="156">
        <f>SUMIF('内訳ﾘｽﾄ(4～3月)'!$D$26:$D$267,$B15,'内訳ﾘｽﾄ(4～3月)'!J$26:J$267)</f>
        <v>0</v>
      </c>
      <c r="H15" s="156">
        <f>SUMIF('内訳ﾘｽﾄ(4～3月)'!$D$26:$D$267,$B15,'内訳ﾘｽﾄ(4～3月)'!K$26:K$267)</f>
        <v>0</v>
      </c>
      <c r="I15" s="156">
        <f>SUMIF('内訳ﾘｽﾄ(4～3月)'!$D$26:$D$267,$B15,'内訳ﾘｽﾄ(4～3月)'!L$26:L$267)</f>
        <v>0</v>
      </c>
      <c r="J15" s="156">
        <f>SUMIF('内訳ﾘｽﾄ(4～3月)'!$D$26:$D$267,$B15,'内訳ﾘｽﾄ(4～3月)'!M$26:M$267)</f>
        <v>0</v>
      </c>
      <c r="K15" s="156">
        <f>SUMIF('内訳ﾘｽﾄ(4～3月)'!$D$26:$D$267,$B15,'内訳ﾘｽﾄ(4～3月)'!N$26:N$267)</f>
        <v>0</v>
      </c>
      <c r="L15" s="156">
        <f>SUMIF('内訳ﾘｽﾄ(4～3月)'!$D$26:$D$267,$B15,'内訳ﾘｽﾄ(4～3月)'!O$26:O$267)</f>
        <v>0</v>
      </c>
      <c r="M15" s="156">
        <f>SUMIF('内訳ﾘｽﾄ(4～3月)'!$D$26:$D$267,$B15,'内訳ﾘｽﾄ(4～3月)'!P$26:P$267)</f>
        <v>0</v>
      </c>
      <c r="N15" s="156">
        <f>SUMIF('内訳ﾘｽﾄ(4～3月)'!$D$26:$D$267,$B15,'内訳ﾘｽﾄ(4～3月)'!Q$26:Q$267)</f>
        <v>0</v>
      </c>
      <c r="O15" s="156">
        <f>SUMIF('内訳ﾘｽﾄ(4～3月)'!$D$26:$D$267,'採算表(VND)'!$B15,'内訳ﾘｽﾄ(4～3月)'!R$26:R$267)</f>
        <v>0</v>
      </c>
      <c r="AQ15" s="74"/>
      <c r="AR15" s="74"/>
      <c r="AS15" s="74"/>
      <c r="AT15" s="74"/>
      <c r="AU15" s="72"/>
      <c r="AV15" s="73"/>
      <c r="AW15" s="73"/>
      <c r="AX15" s="73"/>
      <c r="AY15" s="73"/>
      <c r="BA15" s="75"/>
      <c r="BB15" s="75"/>
      <c r="BC15" s="75"/>
      <c r="BD15" s="75"/>
      <c r="BF15" s="72"/>
      <c r="BG15" s="72"/>
      <c r="BH15" s="72"/>
      <c r="BI15" s="72"/>
    </row>
    <row r="16" spans="1:61" ht="11.25" customHeight="1">
      <c r="A16" s="34"/>
      <c r="B16" s="35" t="s">
        <v>120</v>
      </c>
      <c r="C16" s="156">
        <f>SUMIF('内訳ﾘｽﾄ(4～3月)'!$D$26:$D$267,$B16,'内訳ﾘｽﾄ(4～3月)'!F$26:F$267)</f>
        <v>0</v>
      </c>
      <c r="D16" s="156">
        <f>SUMIF('内訳ﾘｽﾄ(4～3月)'!$D$26:$D$267,$B16,'内訳ﾘｽﾄ(4～3月)'!G$26:G$267)</f>
        <v>0</v>
      </c>
      <c r="E16" s="156">
        <f>SUMIF('内訳ﾘｽﾄ(4～3月)'!$D$26:$D$267,$B16,'内訳ﾘｽﾄ(4～3月)'!H$26:H$267)</f>
        <v>0</v>
      </c>
      <c r="F16" s="156">
        <f>SUMIF('内訳ﾘｽﾄ(4～3月)'!$D$26:$D$267,$B16,'内訳ﾘｽﾄ(4～3月)'!I$26:I$267)</f>
        <v>0</v>
      </c>
      <c r="G16" s="156">
        <f>SUMIF('内訳ﾘｽﾄ(4～3月)'!$D$26:$D$267,$B16,'内訳ﾘｽﾄ(4～3月)'!J$26:J$267)</f>
        <v>0</v>
      </c>
      <c r="H16" s="156">
        <f>SUMIF('内訳ﾘｽﾄ(4～3月)'!$D$26:$D$267,$B16,'内訳ﾘｽﾄ(4～3月)'!K$26:K$267)</f>
        <v>0</v>
      </c>
      <c r="I16" s="156">
        <f>SUMIF('内訳ﾘｽﾄ(4～3月)'!$D$26:$D$267,$B16,'内訳ﾘｽﾄ(4～3月)'!L$26:L$267)</f>
        <v>0</v>
      </c>
      <c r="J16" s="156">
        <f>SUMIF('内訳ﾘｽﾄ(4～3月)'!$D$26:$D$267,$B16,'内訳ﾘｽﾄ(4～3月)'!M$26:M$267)</f>
        <v>0</v>
      </c>
      <c r="K16" s="156">
        <f>SUMIF('内訳ﾘｽﾄ(4～3月)'!$D$26:$D$267,$B16,'内訳ﾘｽﾄ(4～3月)'!N$26:N$267)</f>
        <v>0</v>
      </c>
      <c r="L16" s="156">
        <f>SUMIF('内訳ﾘｽﾄ(4～3月)'!$D$26:$D$267,$B16,'内訳ﾘｽﾄ(4～3月)'!O$26:O$267)</f>
        <v>0</v>
      </c>
      <c r="M16" s="156">
        <f>SUMIF('内訳ﾘｽﾄ(4～3月)'!$D$26:$D$267,$B16,'内訳ﾘｽﾄ(4～3月)'!P$26:P$267)</f>
        <v>0</v>
      </c>
      <c r="N16" s="156">
        <f>SUMIF('内訳ﾘｽﾄ(4～3月)'!$D$26:$D$267,$B16,'内訳ﾘｽﾄ(4～3月)'!Q$26:Q$267)</f>
        <v>0</v>
      </c>
      <c r="O16" s="156">
        <f>SUMIF('内訳ﾘｽﾄ(4～3月)'!$D$26:$D$267,'採算表(VND)'!$B16,'内訳ﾘｽﾄ(4～3月)'!R$26:R$267)</f>
        <v>0</v>
      </c>
      <c r="AQ16" s="74"/>
      <c r="AR16" s="74"/>
      <c r="AS16" s="74"/>
      <c r="AT16" s="74"/>
      <c r="AU16" s="72"/>
      <c r="AV16" s="73"/>
      <c r="AW16" s="73"/>
      <c r="AX16" s="73"/>
      <c r="AY16" s="73"/>
      <c r="BA16" s="75"/>
      <c r="BB16" s="75"/>
      <c r="BC16" s="75"/>
      <c r="BD16" s="75"/>
      <c r="BF16" s="72"/>
      <c r="BG16" s="72"/>
      <c r="BH16" s="72"/>
      <c r="BI16" s="72"/>
    </row>
    <row r="17" spans="1:61" ht="11.25" customHeight="1">
      <c r="A17" s="34"/>
      <c r="B17" s="36" t="s">
        <v>102</v>
      </c>
      <c r="C17" s="157">
        <f>SUMIF('内訳ﾘｽﾄ(4～3月)'!$D$26:$D$267,$B17,'内訳ﾘｽﾄ(4～3月)'!F$26:F$267)</f>
        <v>0</v>
      </c>
      <c r="D17" s="157">
        <f>SUMIF('内訳ﾘｽﾄ(4～3月)'!$D$26:$D$267,$B17,'内訳ﾘｽﾄ(4～3月)'!G$26:G$267)</f>
        <v>0</v>
      </c>
      <c r="E17" s="157">
        <f>SUMIF('内訳ﾘｽﾄ(4～3月)'!$D$26:$D$267,$B17,'内訳ﾘｽﾄ(4～3月)'!H$26:H$267)</f>
        <v>0</v>
      </c>
      <c r="F17" s="157">
        <f>SUMIF('内訳ﾘｽﾄ(4～3月)'!$D$26:$D$267,$B17,'内訳ﾘｽﾄ(4～3月)'!I$26:I$267)</f>
        <v>0</v>
      </c>
      <c r="G17" s="157">
        <f>SUMIF('内訳ﾘｽﾄ(4～3月)'!$D$26:$D$267,$B17,'内訳ﾘｽﾄ(4～3月)'!J$26:J$267)</f>
        <v>0</v>
      </c>
      <c r="H17" s="157">
        <f>SUMIF('内訳ﾘｽﾄ(4～3月)'!$D$26:$D$267,$B17,'内訳ﾘｽﾄ(4～3月)'!K$26:K$267)</f>
        <v>0</v>
      </c>
      <c r="I17" s="157">
        <f>SUMIF('内訳ﾘｽﾄ(4～3月)'!$D$26:$D$267,$B17,'内訳ﾘｽﾄ(4～3月)'!L$26:L$267)</f>
        <v>0</v>
      </c>
      <c r="J17" s="157">
        <f>SUMIF('内訳ﾘｽﾄ(4～3月)'!$D$26:$D$267,$B17,'内訳ﾘｽﾄ(4～3月)'!M$26:M$267)</f>
        <v>0</v>
      </c>
      <c r="K17" s="157">
        <f>SUMIF('内訳ﾘｽﾄ(4～3月)'!$D$26:$D$267,$B17,'内訳ﾘｽﾄ(4～3月)'!N$26:N$267)</f>
        <v>0</v>
      </c>
      <c r="L17" s="157">
        <f>SUMIF('内訳ﾘｽﾄ(4～3月)'!$D$26:$D$267,$B17,'内訳ﾘｽﾄ(4～3月)'!O$26:O$267)</f>
        <v>0</v>
      </c>
      <c r="M17" s="157">
        <f>SUMIF('内訳ﾘｽﾄ(4～3月)'!$D$26:$D$267,$B17,'内訳ﾘｽﾄ(4～3月)'!P$26:P$267)</f>
        <v>0</v>
      </c>
      <c r="N17" s="157">
        <f>SUMIF('内訳ﾘｽﾄ(4～3月)'!$D$26:$D$267,$B17,'内訳ﾘｽﾄ(4～3月)'!Q$26:Q$267)</f>
        <v>0</v>
      </c>
      <c r="O17" s="157">
        <f>SUMIF('内訳ﾘｽﾄ(4～3月)'!$D$26:$D$267,'採算表(VND)'!$B17,'内訳ﾘｽﾄ(4～3月)'!R$26:R$267)</f>
        <v>0</v>
      </c>
      <c r="AQ17" s="74"/>
      <c r="AR17" s="74"/>
      <c r="AS17" s="74"/>
      <c r="AT17" s="74"/>
      <c r="AU17" s="72"/>
      <c r="AV17" s="73"/>
      <c r="AW17" s="73"/>
      <c r="AX17" s="73"/>
      <c r="AY17" s="73"/>
      <c r="BA17" s="75"/>
      <c r="BB17" s="75"/>
      <c r="BC17" s="75"/>
      <c r="BD17" s="75"/>
      <c r="BF17" s="72"/>
      <c r="BG17" s="72"/>
      <c r="BH17" s="72"/>
      <c r="BI17" s="72"/>
    </row>
    <row r="18" spans="1:61" ht="11.25" customHeight="1">
      <c r="A18" s="34"/>
      <c r="B18" s="36" t="s">
        <v>37</v>
      </c>
      <c r="C18" s="157">
        <f>SUMIF('内訳ﾘｽﾄ(4～3月)'!$D$26:$D$267,$B18,'内訳ﾘｽﾄ(4～3月)'!F$26:F$267)</f>
        <v>0</v>
      </c>
      <c r="D18" s="157">
        <f>SUMIF('内訳ﾘｽﾄ(4～3月)'!$D$26:$D$267,$B18,'内訳ﾘｽﾄ(4～3月)'!G$26:G$267)</f>
        <v>0</v>
      </c>
      <c r="E18" s="157">
        <f>SUMIF('内訳ﾘｽﾄ(4～3月)'!$D$26:$D$267,$B18,'内訳ﾘｽﾄ(4～3月)'!H$26:H$267)</f>
        <v>0</v>
      </c>
      <c r="F18" s="157">
        <f>SUMIF('内訳ﾘｽﾄ(4～3月)'!$D$26:$D$267,$B18,'内訳ﾘｽﾄ(4～3月)'!I$26:I$267)</f>
        <v>0</v>
      </c>
      <c r="G18" s="157">
        <f>SUMIF('内訳ﾘｽﾄ(4～3月)'!$D$26:$D$267,$B18,'内訳ﾘｽﾄ(4～3月)'!J$26:J$267)</f>
        <v>0</v>
      </c>
      <c r="H18" s="157">
        <f>SUMIF('内訳ﾘｽﾄ(4～3月)'!$D$26:$D$267,$B18,'内訳ﾘｽﾄ(4～3月)'!K$26:K$267)</f>
        <v>0</v>
      </c>
      <c r="I18" s="157">
        <f>SUMIF('内訳ﾘｽﾄ(4～3月)'!$D$26:$D$267,$B18,'内訳ﾘｽﾄ(4～3月)'!L$26:L$267)</f>
        <v>0</v>
      </c>
      <c r="J18" s="157">
        <f>SUMIF('内訳ﾘｽﾄ(4～3月)'!$D$26:$D$267,$B18,'内訳ﾘｽﾄ(4～3月)'!M$26:M$267)</f>
        <v>0</v>
      </c>
      <c r="K18" s="157">
        <f>SUMIF('内訳ﾘｽﾄ(4～3月)'!$D$26:$D$267,$B18,'内訳ﾘｽﾄ(4～3月)'!N$26:N$267)</f>
        <v>0</v>
      </c>
      <c r="L18" s="157">
        <f>SUMIF('内訳ﾘｽﾄ(4～3月)'!$D$26:$D$267,$B18,'内訳ﾘｽﾄ(4～3月)'!O$26:O$267)</f>
        <v>0</v>
      </c>
      <c r="M18" s="157">
        <f>SUMIF('内訳ﾘｽﾄ(4～3月)'!$D$26:$D$267,$B18,'内訳ﾘｽﾄ(4～3月)'!P$26:P$267)</f>
        <v>0</v>
      </c>
      <c r="N18" s="157">
        <f>SUMIF('内訳ﾘｽﾄ(4～3月)'!$D$26:$D$267,$B18,'内訳ﾘｽﾄ(4～3月)'!Q$26:Q$267)</f>
        <v>0</v>
      </c>
      <c r="O18" s="157">
        <f>SUMIF('内訳ﾘｽﾄ(4～3月)'!$D$26:$D$267,'採算表(VND)'!$B18,'内訳ﾘｽﾄ(4～3月)'!R$26:R$267)</f>
        <v>0</v>
      </c>
      <c r="AQ18" s="74"/>
      <c r="AR18" s="74"/>
      <c r="AS18" s="74"/>
      <c r="AT18" s="74"/>
      <c r="AU18" s="72"/>
      <c r="AV18" s="73"/>
      <c r="AW18" s="73"/>
      <c r="AX18" s="73"/>
      <c r="AY18" s="73"/>
      <c r="BA18" s="75"/>
      <c r="BB18" s="75"/>
      <c r="BC18" s="75"/>
      <c r="BD18" s="75"/>
      <c r="BF18" s="72"/>
      <c r="BG18" s="72"/>
      <c r="BH18" s="72"/>
      <c r="BI18" s="72"/>
    </row>
    <row r="19" spans="1:61" ht="11.25" customHeight="1">
      <c r="A19" s="34"/>
      <c r="B19" s="36" t="s">
        <v>43</v>
      </c>
      <c r="C19" s="157">
        <f>SUMIF('内訳ﾘｽﾄ(4～3月)'!$D$26:$D$267,$B19,'内訳ﾘｽﾄ(4～3月)'!F$26:F$267)</f>
        <v>0</v>
      </c>
      <c r="D19" s="157">
        <f>SUMIF('内訳ﾘｽﾄ(4～3月)'!$D$26:$D$267,$B19,'内訳ﾘｽﾄ(4～3月)'!G$26:G$267)</f>
        <v>0</v>
      </c>
      <c r="E19" s="157">
        <f>SUMIF('内訳ﾘｽﾄ(4～3月)'!$D$26:$D$267,$B19,'内訳ﾘｽﾄ(4～3月)'!H$26:H$267)</f>
        <v>0</v>
      </c>
      <c r="F19" s="157">
        <f>SUMIF('内訳ﾘｽﾄ(4～3月)'!$D$26:$D$267,$B19,'内訳ﾘｽﾄ(4～3月)'!I$26:I$267)</f>
        <v>0</v>
      </c>
      <c r="G19" s="157">
        <f>SUMIF('内訳ﾘｽﾄ(4～3月)'!$D$26:$D$267,$B19,'内訳ﾘｽﾄ(4～3月)'!J$26:J$267)</f>
        <v>0</v>
      </c>
      <c r="H19" s="157">
        <f>SUMIF('内訳ﾘｽﾄ(4～3月)'!$D$26:$D$267,$B19,'内訳ﾘｽﾄ(4～3月)'!K$26:K$267)</f>
        <v>0</v>
      </c>
      <c r="I19" s="157">
        <f>SUMIF('内訳ﾘｽﾄ(4～3月)'!$D$26:$D$267,$B19,'内訳ﾘｽﾄ(4～3月)'!L$26:L$267)</f>
        <v>0</v>
      </c>
      <c r="J19" s="157">
        <f>SUMIF('内訳ﾘｽﾄ(4～3月)'!$D$26:$D$267,$B19,'内訳ﾘｽﾄ(4～3月)'!M$26:M$267)</f>
        <v>0</v>
      </c>
      <c r="K19" s="157">
        <f>SUMIF('内訳ﾘｽﾄ(4～3月)'!$D$26:$D$267,$B19,'内訳ﾘｽﾄ(4～3月)'!N$26:N$267)</f>
        <v>0</v>
      </c>
      <c r="L19" s="157">
        <f>SUMIF('内訳ﾘｽﾄ(4～3月)'!$D$26:$D$267,$B19,'内訳ﾘｽﾄ(4～3月)'!O$26:O$267)</f>
        <v>0</v>
      </c>
      <c r="M19" s="157">
        <f>SUMIF('内訳ﾘｽﾄ(4～3月)'!$D$26:$D$267,$B19,'内訳ﾘｽﾄ(4～3月)'!P$26:P$267)</f>
        <v>0</v>
      </c>
      <c r="N19" s="157">
        <f>SUMIF('内訳ﾘｽﾄ(4～3月)'!$D$26:$D$267,$B19,'内訳ﾘｽﾄ(4～3月)'!Q$26:Q$267)</f>
        <v>0</v>
      </c>
      <c r="O19" s="157">
        <f>SUMIF('内訳ﾘｽﾄ(4～3月)'!$D$26:$D$267,'採算表(VND)'!$B19,'内訳ﾘｽﾄ(4～3月)'!R$26:R$267)</f>
        <v>0</v>
      </c>
      <c r="AQ19" s="74"/>
      <c r="AR19" s="74"/>
      <c r="AS19" s="74"/>
      <c r="AT19" s="74"/>
      <c r="AU19" s="72"/>
      <c r="AV19" s="73"/>
      <c r="AW19" s="73"/>
      <c r="AX19" s="73"/>
      <c r="AY19" s="73"/>
      <c r="BA19" s="75"/>
      <c r="BB19" s="75"/>
      <c r="BC19" s="75"/>
      <c r="BD19" s="75"/>
      <c r="BF19" s="72"/>
      <c r="BG19" s="72"/>
      <c r="BH19" s="72"/>
      <c r="BI19" s="72"/>
    </row>
    <row r="20" spans="1:61" ht="10.5" customHeight="1">
      <c r="A20" s="34"/>
      <c r="B20" s="36" t="s">
        <v>45</v>
      </c>
      <c r="C20" s="157">
        <f>SUMIF('内訳ﾘｽﾄ(4～3月)'!$D$26:$D$267,$B20,'内訳ﾘｽﾄ(4～3月)'!F$26:F$267)</f>
        <v>71165053</v>
      </c>
      <c r="D20" s="157">
        <f>SUMIF('内訳ﾘｽﾄ(4～3月)'!$D$26:$D$267,$B20,'内訳ﾘｽﾄ(4～3月)'!G$26:G$267)</f>
        <v>71164926</v>
      </c>
      <c r="E20" s="157">
        <f>SUMIF('内訳ﾘｽﾄ(4～3月)'!$D$26:$D$267,$B20,'内訳ﾘｽﾄ(4～3月)'!H$26:H$267)</f>
        <v>71307999</v>
      </c>
      <c r="F20" s="157">
        <f>SUMIF('内訳ﾘｽﾄ(4～3月)'!$D$26:$D$267,$B20,'内訳ﾘｽﾄ(4～3月)'!I$26:I$267)</f>
        <v>71318662</v>
      </c>
      <c r="G20" s="157">
        <f>SUMIF('内訳ﾘｽﾄ(4～3月)'!$D$26:$D$267,$B20,'内訳ﾘｽﾄ(4～3月)'!J$26:J$267)</f>
        <v>188741926</v>
      </c>
      <c r="H20" s="157">
        <f>SUMIF('内訳ﾘｽﾄ(4～3月)'!$D$26:$D$267,$B20,'内訳ﾘｽﾄ(4～3月)'!K$26:K$267)</f>
        <v>188711585</v>
      </c>
      <c r="I20" s="157">
        <f>SUMIF('内訳ﾘｽﾄ(4～3月)'!$D$26:$D$267,$B20,'内訳ﾘｽﾄ(4～3月)'!L$26:L$267)</f>
        <v>188711585</v>
      </c>
      <c r="J20" s="157">
        <f>SUMIF('内訳ﾘｽﾄ(4～3月)'!$D$26:$D$267,$B20,'内訳ﾘｽﾄ(4～3月)'!M$26:M$267)</f>
        <v>188711585</v>
      </c>
      <c r="K20" s="157">
        <f>SUMIF('内訳ﾘｽﾄ(4～3月)'!$D$26:$D$267,$B20,'内訳ﾘｽﾄ(4～3月)'!N$26:N$267)</f>
        <v>188703079</v>
      </c>
      <c r="L20" s="157">
        <f>SUMIF('内訳ﾘｽﾄ(4～3月)'!$D$26:$D$267,$B20,'内訳ﾘｽﾄ(4～3月)'!O$26:O$267)</f>
        <v>188701809</v>
      </c>
      <c r="M20" s="157">
        <f>SUMIF('内訳ﾘｽﾄ(4～3月)'!$D$26:$D$267,$B20,'内訳ﾘｽﾄ(4～3月)'!P$26:P$267)</f>
        <v>188701809</v>
      </c>
      <c r="N20" s="157">
        <f>SUMIF('内訳ﾘｽﾄ(4～3月)'!$D$26:$D$267,$B20,'内訳ﾘｽﾄ(4～3月)'!Q$26:Q$267)</f>
        <v>188720852</v>
      </c>
      <c r="O20" s="157">
        <f>SUMIF('内訳ﾘｽﾄ(4～3月)'!$D$26:$D$267,'採算表(VND)'!$B20,'内訳ﾘｽﾄ(4～3月)'!R$26:R$267)</f>
        <v>1794660870</v>
      </c>
      <c r="AQ20" s="74"/>
      <c r="AR20" s="74"/>
      <c r="AS20" s="74"/>
      <c r="AT20" s="74"/>
      <c r="AU20" s="72"/>
      <c r="AV20" s="73"/>
      <c r="AW20" s="73"/>
      <c r="AX20" s="73"/>
      <c r="AY20" s="73"/>
      <c r="BA20" s="75"/>
      <c r="BB20" s="75"/>
      <c r="BC20" s="75"/>
      <c r="BD20" s="75"/>
      <c r="BF20" s="72"/>
      <c r="BG20" s="72"/>
      <c r="BH20" s="72"/>
      <c r="BI20" s="72"/>
    </row>
    <row r="21" spans="1:61" ht="11.25" customHeight="1">
      <c r="A21" s="34"/>
      <c r="B21" s="36" t="s">
        <v>46</v>
      </c>
      <c r="C21" s="157">
        <f>SUMIF('内訳ﾘｽﾄ(4～3月)'!$D$26:$D$267,$B21,'内訳ﾘｽﾄ(4～3月)'!F$26:F$267)</f>
        <v>0</v>
      </c>
      <c r="D21" s="157">
        <f>SUMIF('内訳ﾘｽﾄ(4～3月)'!$D$26:$D$267,$B21,'内訳ﾘｽﾄ(4～3月)'!G$26:G$267)</f>
        <v>0</v>
      </c>
      <c r="E21" s="157">
        <f>SUMIF('内訳ﾘｽﾄ(4～3月)'!$D$26:$D$267,$B21,'内訳ﾘｽﾄ(4～3月)'!H$26:H$267)</f>
        <v>0</v>
      </c>
      <c r="F21" s="157">
        <f>SUMIF('内訳ﾘｽﾄ(4～3月)'!$D$26:$D$267,$B21,'内訳ﾘｽﾄ(4～3月)'!I$26:I$267)</f>
        <v>0</v>
      </c>
      <c r="G21" s="157">
        <f>SUMIF('内訳ﾘｽﾄ(4～3月)'!$D$26:$D$267,$B21,'内訳ﾘｽﾄ(4～3月)'!J$26:J$267)</f>
        <v>0</v>
      </c>
      <c r="H21" s="157">
        <f>SUMIF('内訳ﾘｽﾄ(4～3月)'!$D$26:$D$267,$B21,'内訳ﾘｽﾄ(4～3月)'!K$26:K$267)</f>
        <v>0</v>
      </c>
      <c r="I21" s="157">
        <f>SUMIF('内訳ﾘｽﾄ(4～3月)'!$D$26:$D$267,$B21,'内訳ﾘｽﾄ(4～3月)'!L$26:L$267)</f>
        <v>0</v>
      </c>
      <c r="J21" s="157">
        <f>SUMIF('内訳ﾘｽﾄ(4～3月)'!$D$26:$D$267,$B21,'内訳ﾘｽﾄ(4～3月)'!M$26:M$267)</f>
        <v>0</v>
      </c>
      <c r="K21" s="157">
        <f>SUMIF('内訳ﾘｽﾄ(4～3月)'!$D$26:$D$267,$B21,'内訳ﾘｽﾄ(4～3月)'!N$26:N$267)</f>
        <v>0</v>
      </c>
      <c r="L21" s="157">
        <f>SUMIF('内訳ﾘｽﾄ(4～3月)'!$D$26:$D$267,$B21,'内訳ﾘｽﾄ(4～3月)'!O$26:O$267)</f>
        <v>0</v>
      </c>
      <c r="M21" s="157">
        <f>SUMIF('内訳ﾘｽﾄ(4～3月)'!$D$26:$D$267,$B21,'内訳ﾘｽﾄ(4～3月)'!P$26:P$267)</f>
        <v>0</v>
      </c>
      <c r="N21" s="157">
        <f>SUMIF('内訳ﾘｽﾄ(4～3月)'!$D$26:$D$267,$B21,'内訳ﾘｽﾄ(4～3月)'!Q$26:Q$267)</f>
        <v>0</v>
      </c>
      <c r="O21" s="157">
        <f>SUMIF('内訳ﾘｽﾄ(4～3月)'!$D$26:$D$267,'採算表(VND)'!$B21,'内訳ﾘｽﾄ(4～3月)'!R$26:R$267)</f>
        <v>0</v>
      </c>
      <c r="AQ21" s="74"/>
      <c r="AR21" s="74"/>
      <c r="AS21" s="74"/>
      <c r="AT21" s="74"/>
      <c r="AU21" s="72"/>
      <c r="AV21" s="73"/>
      <c r="AW21" s="73"/>
      <c r="AX21" s="73"/>
      <c r="AY21" s="73"/>
      <c r="BA21" s="75"/>
      <c r="BB21" s="75"/>
      <c r="BC21" s="75"/>
      <c r="BD21" s="75"/>
      <c r="BF21" s="72"/>
      <c r="BG21" s="72"/>
      <c r="BH21" s="72"/>
      <c r="BI21" s="72"/>
    </row>
    <row r="22" spans="1:61" ht="11.25" customHeight="1">
      <c r="A22" s="34"/>
      <c r="B22" s="36" t="s">
        <v>47</v>
      </c>
      <c r="C22" s="157">
        <f>SUMIF('内訳ﾘｽﾄ(4～3月)'!$D$26:$D$267,$B22,'内訳ﾘｽﾄ(4～3月)'!F$26:F$267)</f>
        <v>0</v>
      </c>
      <c r="D22" s="157">
        <f>SUMIF('内訳ﾘｽﾄ(4～3月)'!$D$26:$D$267,$B22,'内訳ﾘｽﾄ(4～3月)'!G$26:G$267)</f>
        <v>0</v>
      </c>
      <c r="E22" s="157">
        <f>SUMIF('内訳ﾘｽﾄ(4～3月)'!$D$26:$D$267,$B22,'内訳ﾘｽﾄ(4～3月)'!H$26:H$267)</f>
        <v>0</v>
      </c>
      <c r="F22" s="157">
        <f>SUMIF('内訳ﾘｽﾄ(4～3月)'!$D$26:$D$267,$B22,'内訳ﾘｽﾄ(4～3月)'!I$26:I$267)</f>
        <v>0</v>
      </c>
      <c r="G22" s="157">
        <f>SUMIF('内訳ﾘｽﾄ(4～3月)'!$D$26:$D$267,$B22,'内訳ﾘｽﾄ(4～3月)'!J$26:J$267)</f>
        <v>0</v>
      </c>
      <c r="H22" s="157">
        <f>SUMIF('内訳ﾘｽﾄ(4～3月)'!$D$26:$D$267,$B22,'内訳ﾘｽﾄ(4～3月)'!K$26:K$267)</f>
        <v>0</v>
      </c>
      <c r="I22" s="157">
        <f>SUMIF('内訳ﾘｽﾄ(4～3月)'!$D$26:$D$267,$B22,'内訳ﾘｽﾄ(4～3月)'!L$26:L$267)</f>
        <v>0</v>
      </c>
      <c r="J22" s="157">
        <f>SUMIF('内訳ﾘｽﾄ(4～3月)'!$D$26:$D$267,$B22,'内訳ﾘｽﾄ(4～3月)'!M$26:M$267)</f>
        <v>0</v>
      </c>
      <c r="K22" s="157">
        <f>SUMIF('内訳ﾘｽﾄ(4～3月)'!$D$26:$D$267,$B22,'内訳ﾘｽﾄ(4～3月)'!N$26:N$267)</f>
        <v>0</v>
      </c>
      <c r="L22" s="157">
        <f>SUMIF('内訳ﾘｽﾄ(4～3月)'!$D$26:$D$267,$B22,'内訳ﾘｽﾄ(4～3月)'!O$26:O$267)</f>
        <v>0</v>
      </c>
      <c r="M22" s="157">
        <f>SUMIF('内訳ﾘｽﾄ(4～3月)'!$D$26:$D$267,$B22,'内訳ﾘｽﾄ(4～3月)'!P$26:P$267)</f>
        <v>0</v>
      </c>
      <c r="N22" s="157">
        <f>SUMIF('内訳ﾘｽﾄ(4～3月)'!$D$26:$D$267,$B22,'内訳ﾘｽﾄ(4～3月)'!Q$26:Q$267)</f>
        <v>0</v>
      </c>
      <c r="O22" s="157">
        <f>SUMIF('内訳ﾘｽﾄ(4～3月)'!$D$26:$D$267,'採算表(VND)'!$B22,'内訳ﾘｽﾄ(4～3月)'!R$26:R$267)</f>
        <v>0</v>
      </c>
      <c r="AQ22" s="74"/>
      <c r="AR22" s="74"/>
      <c r="AS22" s="74"/>
      <c r="AT22" s="74"/>
      <c r="AU22" s="72"/>
      <c r="AV22" s="73"/>
      <c r="AW22" s="73"/>
      <c r="AX22" s="73"/>
      <c r="AY22" s="73"/>
      <c r="BA22" s="75"/>
      <c r="BB22" s="75"/>
      <c r="BC22" s="75"/>
      <c r="BD22" s="75"/>
      <c r="BF22" s="72"/>
      <c r="BG22" s="72"/>
      <c r="BH22" s="72"/>
      <c r="BI22" s="72"/>
    </row>
    <row r="23" spans="1:61" ht="11.25" customHeight="1">
      <c r="A23" s="34"/>
      <c r="B23" s="36" t="s">
        <v>49</v>
      </c>
      <c r="C23" s="157">
        <f>SUMIF('内訳ﾘｽﾄ(4～3月)'!$D$26:$D$267,$B23,'内訳ﾘｽﾄ(4～3月)'!F$26:F$267)</f>
        <v>0</v>
      </c>
      <c r="D23" s="157">
        <f>SUMIF('内訳ﾘｽﾄ(4～3月)'!$D$26:$D$267,$B23,'内訳ﾘｽﾄ(4～3月)'!G$26:G$267)</f>
        <v>0</v>
      </c>
      <c r="E23" s="157">
        <f>SUMIF('内訳ﾘｽﾄ(4～3月)'!$D$26:$D$267,$B23,'内訳ﾘｽﾄ(4～3月)'!H$26:H$267)</f>
        <v>0</v>
      </c>
      <c r="F23" s="157">
        <f>SUMIF('内訳ﾘｽﾄ(4～3月)'!$D$26:$D$267,$B23,'内訳ﾘｽﾄ(4～3月)'!I$26:I$267)</f>
        <v>0</v>
      </c>
      <c r="G23" s="157">
        <f>SUMIF('内訳ﾘｽﾄ(4～3月)'!$D$26:$D$267,$B23,'内訳ﾘｽﾄ(4～3月)'!J$26:J$267)</f>
        <v>0</v>
      </c>
      <c r="H23" s="157">
        <f>SUMIF('内訳ﾘｽﾄ(4～3月)'!$D$26:$D$267,$B23,'内訳ﾘｽﾄ(4～3月)'!K$26:K$267)</f>
        <v>0</v>
      </c>
      <c r="I23" s="157">
        <f>SUMIF('内訳ﾘｽﾄ(4～3月)'!$D$26:$D$267,$B23,'内訳ﾘｽﾄ(4～3月)'!L$26:L$267)</f>
        <v>0</v>
      </c>
      <c r="J23" s="157">
        <f>SUMIF('内訳ﾘｽﾄ(4～3月)'!$D$26:$D$267,$B23,'内訳ﾘｽﾄ(4～3月)'!M$26:M$267)</f>
        <v>0</v>
      </c>
      <c r="K23" s="157">
        <f>SUMIF('内訳ﾘｽﾄ(4～3月)'!$D$26:$D$267,$B23,'内訳ﾘｽﾄ(4～3月)'!N$26:N$267)</f>
        <v>0</v>
      </c>
      <c r="L23" s="157">
        <f>SUMIF('内訳ﾘｽﾄ(4～3月)'!$D$26:$D$267,$B23,'内訳ﾘｽﾄ(4～3月)'!O$26:O$267)</f>
        <v>0</v>
      </c>
      <c r="M23" s="157">
        <f>SUMIF('内訳ﾘｽﾄ(4～3月)'!$D$26:$D$267,$B23,'内訳ﾘｽﾄ(4～3月)'!P$26:P$267)</f>
        <v>0</v>
      </c>
      <c r="N23" s="157">
        <f>SUMIF('内訳ﾘｽﾄ(4～3月)'!$D$26:$D$267,$B23,'内訳ﾘｽﾄ(4～3月)'!Q$26:Q$267)</f>
        <v>0</v>
      </c>
      <c r="O23" s="157">
        <f>SUMIF('内訳ﾘｽﾄ(4～3月)'!$D$26:$D$267,'採算表(VND)'!$B23,'内訳ﾘｽﾄ(4～3月)'!R$26:R$267)</f>
        <v>0</v>
      </c>
      <c r="AQ23" s="74"/>
      <c r="AR23" s="74"/>
      <c r="AS23" s="74"/>
      <c r="AT23" s="74"/>
      <c r="AU23" s="72"/>
      <c r="AV23" s="73"/>
      <c r="AW23" s="73"/>
      <c r="AX23" s="73"/>
      <c r="AY23" s="73"/>
      <c r="BA23" s="75"/>
      <c r="BB23" s="75"/>
      <c r="BC23" s="75"/>
      <c r="BD23" s="75"/>
      <c r="BF23" s="72"/>
      <c r="BG23" s="72"/>
      <c r="BH23" s="72"/>
      <c r="BI23" s="72"/>
    </row>
    <row r="24" spans="1:61" ht="11.25" customHeight="1">
      <c r="A24" s="34"/>
      <c r="B24" s="36" t="s">
        <v>52</v>
      </c>
      <c r="C24" s="157">
        <f>SUMIF('内訳ﾘｽﾄ(4～3月)'!$D$26:$D$267,$B24,'内訳ﾘｽﾄ(4～3月)'!F$26:F$267)</f>
        <v>0</v>
      </c>
      <c r="D24" s="157">
        <f>SUMIF('内訳ﾘｽﾄ(4～3月)'!$D$26:$D$267,$B24,'内訳ﾘｽﾄ(4～3月)'!G$26:G$267)</f>
        <v>0</v>
      </c>
      <c r="E24" s="157">
        <f>SUMIF('内訳ﾘｽﾄ(4～3月)'!$D$26:$D$267,$B24,'内訳ﾘｽﾄ(4～3月)'!H$26:H$267)</f>
        <v>0</v>
      </c>
      <c r="F24" s="157">
        <f>SUMIF('内訳ﾘｽﾄ(4～3月)'!$D$26:$D$267,$B24,'内訳ﾘｽﾄ(4～3月)'!I$26:I$267)</f>
        <v>0</v>
      </c>
      <c r="G24" s="157">
        <f>SUMIF('内訳ﾘｽﾄ(4～3月)'!$D$26:$D$267,$B24,'内訳ﾘｽﾄ(4～3月)'!J$26:J$267)</f>
        <v>0</v>
      </c>
      <c r="H24" s="157">
        <f>SUMIF('内訳ﾘｽﾄ(4～3月)'!$D$26:$D$267,$B24,'内訳ﾘｽﾄ(4～3月)'!K$26:K$267)</f>
        <v>0</v>
      </c>
      <c r="I24" s="157">
        <f>SUMIF('内訳ﾘｽﾄ(4～3月)'!$D$26:$D$267,$B24,'内訳ﾘｽﾄ(4～3月)'!L$26:L$267)</f>
        <v>0</v>
      </c>
      <c r="J24" s="157">
        <f>SUMIF('内訳ﾘｽﾄ(4～3月)'!$D$26:$D$267,$B24,'内訳ﾘｽﾄ(4～3月)'!M$26:M$267)</f>
        <v>0</v>
      </c>
      <c r="K24" s="157">
        <f>SUMIF('内訳ﾘｽﾄ(4～3月)'!$D$26:$D$267,$B24,'内訳ﾘｽﾄ(4～3月)'!N$26:N$267)</f>
        <v>0</v>
      </c>
      <c r="L24" s="157">
        <f>SUMIF('内訳ﾘｽﾄ(4～3月)'!$D$26:$D$267,$B24,'内訳ﾘｽﾄ(4～3月)'!O$26:O$267)</f>
        <v>0</v>
      </c>
      <c r="M24" s="157">
        <f>SUMIF('内訳ﾘｽﾄ(4～3月)'!$D$26:$D$267,$B24,'内訳ﾘｽﾄ(4～3月)'!P$26:P$267)</f>
        <v>0</v>
      </c>
      <c r="N24" s="157">
        <f>SUMIF('内訳ﾘｽﾄ(4～3月)'!$D$26:$D$267,$B24,'内訳ﾘｽﾄ(4～3月)'!Q$26:Q$267)</f>
        <v>0</v>
      </c>
      <c r="O24" s="157">
        <f>SUMIF('内訳ﾘｽﾄ(4～3月)'!$D$26:$D$267,'採算表(VND)'!$B24,'内訳ﾘｽﾄ(4～3月)'!R$26:R$267)</f>
        <v>0</v>
      </c>
      <c r="AQ24" s="74"/>
      <c r="AR24" s="74"/>
      <c r="AS24" s="74"/>
      <c r="AT24" s="74"/>
      <c r="AU24" s="72"/>
      <c r="AV24" s="73"/>
      <c r="AW24" s="73"/>
      <c r="AX24" s="73"/>
      <c r="AY24" s="73"/>
      <c r="BA24" s="75"/>
      <c r="BB24" s="75"/>
      <c r="BC24" s="75"/>
      <c r="BD24" s="75"/>
      <c r="BF24" s="72"/>
      <c r="BG24" s="72"/>
      <c r="BH24" s="72"/>
      <c r="BI24" s="72"/>
    </row>
    <row r="25" spans="1:61" ht="11.25" customHeight="1">
      <c r="A25" s="34"/>
      <c r="B25" s="36" t="s">
        <v>55</v>
      </c>
      <c r="C25" s="157">
        <f>SUMIF('内訳ﾘｽﾄ(4～3月)'!$D$26:$D$267,$B25,'内訳ﾘｽﾄ(4～3月)'!F$26:F$267)</f>
        <v>149224</v>
      </c>
      <c r="D25" s="157">
        <f>SUMIF('内訳ﾘｽﾄ(4～3月)'!$D$26:$D$267,$B25,'内訳ﾘｽﾄ(4～3月)'!G$26:G$267)</f>
        <v>164208</v>
      </c>
      <c r="E25" s="157">
        <f>SUMIF('内訳ﾘｽﾄ(4～3月)'!$D$26:$D$267,$B25,'内訳ﾘｽﾄ(4～3月)'!H$26:H$267)</f>
        <v>156696</v>
      </c>
      <c r="F25" s="157">
        <f>SUMIF('内訳ﾘｽﾄ(4～3月)'!$D$26:$D$267,$B25,'内訳ﾘｽﾄ(4～3月)'!I$26:I$267)</f>
        <v>179896</v>
      </c>
      <c r="G25" s="157">
        <f>SUMIF('内訳ﾘｽﾄ(4～3月)'!$D$26:$D$267,$B25,'内訳ﾘｽﾄ(4～3月)'!J$26:J$267)</f>
        <v>171984</v>
      </c>
      <c r="H25" s="157">
        <f>SUMIF('内訳ﾘｽﾄ(4～3月)'!$D$26:$D$267,$B25,'内訳ﾘｽﾄ(4～3月)'!K$26:K$267)</f>
        <v>158886</v>
      </c>
      <c r="I25" s="157">
        <f>SUMIF('内訳ﾘｽﾄ(4～3月)'!$D$26:$D$267,$B25,'内訳ﾘｽﾄ(4～3月)'!L$26:L$267)</f>
        <v>201825</v>
      </c>
      <c r="J25" s="157">
        <f>SUMIF('内訳ﾘｽﾄ(4～3月)'!$D$26:$D$267,$B25,'内訳ﾘｽﾄ(4～3月)'!M$26:M$267)</f>
        <v>184491</v>
      </c>
      <c r="K25" s="157">
        <f>SUMIF('内訳ﾘｽﾄ(4～3月)'!$D$26:$D$267,$B25,'内訳ﾘｽﾄ(4～3月)'!N$26:N$267)</f>
        <v>175995</v>
      </c>
      <c r="L25" s="157">
        <f>SUMIF('内訳ﾘｽﾄ(4～3月)'!$D$26:$D$267,$B25,'内訳ﾘｽﾄ(4～3月)'!O$26:O$267)</f>
        <v>149778</v>
      </c>
      <c r="M25" s="157">
        <f>SUMIF('内訳ﾘｽﾄ(4～3月)'!$D$26:$D$267,$B25,'内訳ﾘｽﾄ(4～3月)'!P$26:P$267)</f>
        <v>167076</v>
      </c>
      <c r="N25" s="157">
        <f>SUMIF('内訳ﾘｽﾄ(4～3月)'!$D$26:$D$267,$B25,'内訳ﾘｽﾄ(4～3月)'!Q$26:Q$267)</f>
        <v>176274</v>
      </c>
      <c r="O25" s="157">
        <f>SUMIF('内訳ﾘｽﾄ(4～3月)'!$D$26:$D$267,'採算表(VND)'!$B25,'内訳ﾘｽﾄ(4～3月)'!R$26:R$267)</f>
        <v>2036333</v>
      </c>
      <c r="AQ25" s="74"/>
      <c r="AR25" s="74"/>
      <c r="AS25" s="74"/>
      <c r="AT25" s="74"/>
      <c r="AU25" s="72"/>
      <c r="AV25" s="73"/>
      <c r="AW25" s="73"/>
      <c r="AX25" s="73"/>
      <c r="AY25" s="73"/>
      <c r="BA25" s="75"/>
      <c r="BB25" s="75"/>
      <c r="BC25" s="75"/>
      <c r="BD25" s="75"/>
      <c r="BF25" s="77"/>
      <c r="BG25" s="72"/>
      <c r="BH25" s="72"/>
      <c r="BI25" s="72"/>
    </row>
    <row r="26" spans="1:61" ht="11.25" customHeight="1">
      <c r="A26" s="34"/>
      <c r="B26" s="37" t="s">
        <v>104</v>
      </c>
      <c r="C26" s="157">
        <f>SUMIF('内訳ﾘｽﾄ(4～3月)'!$D$26:$D$267,$B26,'内訳ﾘｽﾄ(4～3月)'!F$26:F$267)</f>
        <v>0</v>
      </c>
      <c r="D26" s="157">
        <f>SUMIF('内訳ﾘｽﾄ(4～3月)'!$D$26:$D$267,$B26,'内訳ﾘｽﾄ(4～3月)'!G$26:G$267)</f>
        <v>0</v>
      </c>
      <c r="E26" s="157">
        <f>SUMIF('内訳ﾘｽﾄ(4～3月)'!$D$26:$D$267,$B26,'内訳ﾘｽﾄ(4～3月)'!H$26:H$267)</f>
        <v>50000000</v>
      </c>
      <c r="F26" s="157">
        <f>SUMIF('内訳ﾘｽﾄ(4～3月)'!$D$26:$D$267,$B26,'内訳ﾘｽﾄ(4～3月)'!I$26:I$267)</f>
        <v>6000000</v>
      </c>
      <c r="G26" s="157">
        <f>SUMIF('内訳ﾘｽﾄ(4～3月)'!$D$26:$D$267,$B26,'内訳ﾘｽﾄ(4～3月)'!J$26:J$267)</f>
        <v>34000000</v>
      </c>
      <c r="H26" s="157">
        <f>SUMIF('内訳ﾘｽﾄ(4～3月)'!$D$26:$D$267,$B26,'内訳ﾘｽﾄ(4～3月)'!K$26:K$267)</f>
        <v>0</v>
      </c>
      <c r="I26" s="157">
        <f>SUMIF('内訳ﾘｽﾄ(4～3月)'!$D$26:$D$267,$B26,'内訳ﾘｽﾄ(4～3月)'!L$26:L$267)</f>
        <v>0</v>
      </c>
      <c r="J26" s="157">
        <f>SUMIF('内訳ﾘｽﾄ(4～3月)'!$D$26:$D$267,$B26,'内訳ﾘｽﾄ(4～3月)'!M$26:M$267)</f>
        <v>0</v>
      </c>
      <c r="K26" s="157">
        <f>SUMIF('内訳ﾘｽﾄ(4～3月)'!$D$26:$D$267,$B26,'内訳ﾘｽﾄ(4～3月)'!N$26:N$267)</f>
        <v>0</v>
      </c>
      <c r="L26" s="157">
        <f>SUMIF('内訳ﾘｽﾄ(4～3月)'!$D$26:$D$267,$B26,'内訳ﾘｽﾄ(4～3月)'!O$26:O$267)</f>
        <v>0</v>
      </c>
      <c r="M26" s="157">
        <f>SUMIF('内訳ﾘｽﾄ(4～3月)'!$D$26:$D$267,$B26,'内訳ﾘｽﾄ(4～3月)'!P$26:P$267)</f>
        <v>0</v>
      </c>
      <c r="N26" s="157">
        <f>SUMIF('内訳ﾘｽﾄ(4～3月)'!$D$26:$D$267,$B26,'内訳ﾘｽﾄ(4～3月)'!Q$26:Q$267)</f>
        <v>0</v>
      </c>
      <c r="O26" s="157">
        <f>SUMIF('内訳ﾘｽﾄ(4～3月)'!$D$26:$D$267,'採算表(VND)'!$B26,'内訳ﾘｽﾄ(4～3月)'!R$26:R$267)</f>
        <v>90000000</v>
      </c>
      <c r="AQ26" s="74"/>
      <c r="AR26" s="74"/>
      <c r="AS26" s="74"/>
      <c r="AT26" s="74"/>
      <c r="AU26" s="72"/>
      <c r="AV26" s="73"/>
      <c r="AW26" s="73"/>
      <c r="AX26" s="73"/>
      <c r="AY26" s="73"/>
      <c r="BA26" s="75"/>
      <c r="BB26" s="75"/>
      <c r="BC26" s="75"/>
      <c r="BD26" s="75"/>
      <c r="BF26" s="72"/>
      <c r="BG26" s="72"/>
      <c r="BH26" s="72"/>
      <c r="BI26" s="72"/>
    </row>
    <row r="27" spans="1:61" ht="11.25" customHeight="1">
      <c r="A27" s="34"/>
      <c r="B27" s="37" t="s">
        <v>54</v>
      </c>
      <c r="C27" s="157">
        <f>SUMIF('内訳ﾘｽﾄ(4～3月)'!$D$26:$D$267,$B27,'内訳ﾘｽﾄ(4～3月)'!F$26:F$267)</f>
        <v>0</v>
      </c>
      <c r="D27" s="157">
        <f>SUMIF('内訳ﾘｽﾄ(4～3月)'!$D$26:$D$267,$B27,'内訳ﾘｽﾄ(4～3月)'!G$26:G$267)</f>
        <v>0</v>
      </c>
      <c r="E27" s="157">
        <f>SUMIF('内訳ﾘｽﾄ(4～3月)'!$D$26:$D$267,$B27,'内訳ﾘｽﾄ(4～3月)'!H$26:H$267)</f>
        <v>0</v>
      </c>
      <c r="F27" s="157">
        <f>SUMIF('内訳ﾘｽﾄ(4～3月)'!$D$26:$D$267,$B27,'内訳ﾘｽﾄ(4～3月)'!I$26:I$267)</f>
        <v>0</v>
      </c>
      <c r="G27" s="157">
        <f>SUMIF('内訳ﾘｽﾄ(4～3月)'!$D$26:$D$267,$B27,'内訳ﾘｽﾄ(4～3月)'!J$26:J$267)</f>
        <v>0</v>
      </c>
      <c r="H27" s="157">
        <f>SUMIF('内訳ﾘｽﾄ(4～3月)'!$D$26:$D$267,$B27,'内訳ﾘｽﾄ(4～3月)'!K$26:K$267)</f>
        <v>0</v>
      </c>
      <c r="I27" s="157">
        <f>SUMIF('内訳ﾘｽﾄ(4～3月)'!$D$26:$D$267,$B27,'内訳ﾘｽﾄ(4～3月)'!L$26:L$267)</f>
        <v>0</v>
      </c>
      <c r="J27" s="157">
        <f>SUMIF('内訳ﾘｽﾄ(4～3月)'!$D$26:$D$267,$B27,'内訳ﾘｽﾄ(4～3月)'!M$26:M$267)</f>
        <v>0</v>
      </c>
      <c r="K27" s="157">
        <f>SUMIF('内訳ﾘｽﾄ(4～3月)'!$D$26:$D$267,$B27,'内訳ﾘｽﾄ(4～3月)'!N$26:N$267)</f>
        <v>0</v>
      </c>
      <c r="L27" s="157">
        <f>SUMIF('内訳ﾘｽﾄ(4～3月)'!$D$26:$D$267,$B27,'内訳ﾘｽﾄ(4～3月)'!O$26:O$267)</f>
        <v>0</v>
      </c>
      <c r="M27" s="157">
        <f>SUMIF('内訳ﾘｽﾄ(4～3月)'!$D$26:$D$267,$B27,'内訳ﾘｽﾄ(4～3月)'!P$26:P$267)</f>
        <v>0</v>
      </c>
      <c r="N27" s="157">
        <f>SUMIF('内訳ﾘｽﾄ(4～3月)'!$D$26:$D$267,$B27,'内訳ﾘｽﾄ(4～3月)'!Q$26:Q$267)</f>
        <v>0</v>
      </c>
      <c r="O27" s="157">
        <f>SUMIF('内訳ﾘｽﾄ(4～3月)'!$D$26:$D$267,'採算表(VND)'!$B27,'内訳ﾘｽﾄ(4～3月)'!R$26:R$267)</f>
        <v>0</v>
      </c>
      <c r="AQ27" s="74"/>
      <c r="AR27" s="74"/>
      <c r="AS27" s="74"/>
      <c r="AT27" s="74"/>
      <c r="AU27" s="72"/>
      <c r="AV27" s="73"/>
      <c r="AW27" s="73"/>
      <c r="AX27" s="73"/>
      <c r="AY27" s="73"/>
      <c r="BA27" s="75"/>
      <c r="BB27" s="75"/>
      <c r="BC27" s="75"/>
      <c r="BD27" s="75"/>
      <c r="BF27" s="72"/>
      <c r="BG27" s="72"/>
      <c r="BH27" s="72"/>
      <c r="BI27" s="72"/>
    </row>
    <row r="28" spans="1:61" ht="11.25" customHeight="1">
      <c r="A28" s="34"/>
      <c r="B28" s="37" t="s">
        <v>56</v>
      </c>
      <c r="C28" s="157">
        <f>SUMIF('内訳ﾘｽﾄ(4～3月)'!$D$26:$D$267,$B28,'内訳ﾘｽﾄ(4～3月)'!F$26:F$267)</f>
        <v>0</v>
      </c>
      <c r="D28" s="157">
        <f>SUMIF('内訳ﾘｽﾄ(4～3月)'!$D$26:$D$267,$B28,'内訳ﾘｽﾄ(4～3月)'!G$26:G$267)</f>
        <v>0</v>
      </c>
      <c r="E28" s="157">
        <f>SUMIF('内訳ﾘｽﾄ(4～3月)'!$D$26:$D$267,$B28,'内訳ﾘｽﾄ(4～3月)'!H$26:H$267)</f>
        <v>0</v>
      </c>
      <c r="F28" s="157">
        <f>SUMIF('内訳ﾘｽﾄ(4～3月)'!$D$26:$D$267,$B28,'内訳ﾘｽﾄ(4～3月)'!I$26:I$267)</f>
        <v>1500000</v>
      </c>
      <c r="G28" s="157">
        <f>SUMIF('内訳ﾘｽﾄ(4～3月)'!$D$26:$D$267,$B28,'内訳ﾘｽﾄ(4～3月)'!J$26:J$267)</f>
        <v>0</v>
      </c>
      <c r="H28" s="157">
        <f>SUMIF('内訳ﾘｽﾄ(4～3月)'!$D$26:$D$267,$B28,'内訳ﾘｽﾄ(4～3月)'!K$26:K$267)</f>
        <v>0</v>
      </c>
      <c r="I28" s="157">
        <f>SUMIF('内訳ﾘｽﾄ(4～3月)'!$D$26:$D$267,$B28,'内訳ﾘｽﾄ(4～3月)'!L$26:L$267)</f>
        <v>600000</v>
      </c>
      <c r="J28" s="157">
        <f>SUMIF('内訳ﾘｽﾄ(4～3月)'!$D$26:$D$267,$B28,'内訳ﾘｽﾄ(4～3月)'!M$26:M$267)</f>
        <v>0</v>
      </c>
      <c r="K28" s="157">
        <f>SUMIF('内訳ﾘｽﾄ(4～3月)'!$D$26:$D$267,$B28,'内訳ﾘｽﾄ(4～3月)'!N$26:N$267)</f>
        <v>0</v>
      </c>
      <c r="L28" s="157">
        <f>SUMIF('内訳ﾘｽﾄ(4～3月)'!$D$26:$D$267,$B28,'内訳ﾘｽﾄ(4～3月)'!O$26:O$267)</f>
        <v>0</v>
      </c>
      <c r="M28" s="157">
        <f>SUMIF('内訳ﾘｽﾄ(4～3月)'!$D$26:$D$267,$B28,'内訳ﾘｽﾄ(4～3月)'!P$26:P$267)</f>
        <v>0</v>
      </c>
      <c r="N28" s="157">
        <f>SUMIF('内訳ﾘｽﾄ(4～3月)'!$D$26:$D$267,$B28,'内訳ﾘｽﾄ(4～3月)'!Q$26:Q$267)</f>
        <v>0</v>
      </c>
      <c r="O28" s="157">
        <f>SUMIF('内訳ﾘｽﾄ(4～3月)'!$D$26:$D$267,'採算表(VND)'!$B28,'内訳ﾘｽﾄ(4～3月)'!R$26:R$267)</f>
        <v>2100000</v>
      </c>
      <c r="AQ28" s="74"/>
      <c r="AR28" s="74"/>
      <c r="AS28" s="74"/>
      <c r="AT28" s="74"/>
      <c r="AU28" s="72"/>
      <c r="AV28" s="73"/>
      <c r="AW28" s="73"/>
      <c r="AX28" s="73"/>
      <c r="AY28" s="73"/>
      <c r="BA28" s="75"/>
      <c r="BB28" s="75"/>
      <c r="BC28" s="75"/>
      <c r="BD28" s="75"/>
      <c r="BF28" s="77"/>
      <c r="BG28" s="72"/>
      <c r="BH28" s="72"/>
      <c r="BI28" s="72"/>
    </row>
    <row r="29" spans="1:61" ht="11.25" customHeight="1">
      <c r="A29" s="34"/>
      <c r="B29" s="37" t="s">
        <v>57</v>
      </c>
      <c r="C29" s="157">
        <f>SUMIF('内訳ﾘｽﾄ(4～3月)'!$D$26:$D$267,$B29,'内訳ﾘｽﾄ(4～3月)'!F$26:F$267)</f>
        <v>0</v>
      </c>
      <c r="D29" s="157">
        <f>SUMIF('内訳ﾘｽﾄ(4～3月)'!$D$26:$D$267,$B29,'内訳ﾘｽﾄ(4～3月)'!G$26:G$267)</f>
        <v>0</v>
      </c>
      <c r="E29" s="157">
        <f>SUMIF('内訳ﾘｽﾄ(4～3月)'!$D$26:$D$267,$B29,'内訳ﾘｽﾄ(4～3月)'!H$26:H$267)</f>
        <v>0</v>
      </c>
      <c r="F29" s="157">
        <f>SUMIF('内訳ﾘｽﾄ(4～3月)'!$D$26:$D$267,$B29,'内訳ﾘｽﾄ(4～3月)'!I$26:I$267)</f>
        <v>0</v>
      </c>
      <c r="G29" s="157">
        <f>SUMIF('内訳ﾘｽﾄ(4～3月)'!$D$26:$D$267,$B29,'内訳ﾘｽﾄ(4～3月)'!J$26:J$267)</f>
        <v>0</v>
      </c>
      <c r="H29" s="157">
        <f>SUMIF('内訳ﾘｽﾄ(4～3月)'!$D$26:$D$267,$B29,'内訳ﾘｽﾄ(4～3月)'!K$26:K$267)</f>
        <v>0</v>
      </c>
      <c r="I29" s="157">
        <f>SUMIF('内訳ﾘｽﾄ(4～3月)'!$D$26:$D$267,$B29,'内訳ﾘｽﾄ(4～3月)'!L$26:L$267)</f>
        <v>0</v>
      </c>
      <c r="J29" s="157">
        <f>SUMIF('内訳ﾘｽﾄ(4～3月)'!$D$26:$D$267,$B29,'内訳ﾘｽﾄ(4～3月)'!M$26:M$267)</f>
        <v>14175460</v>
      </c>
      <c r="K29" s="157">
        <f>SUMIF('内訳ﾘｽﾄ(4～3月)'!$D$26:$D$267,$B29,'内訳ﾘｽﾄ(4～3月)'!N$26:N$267)</f>
        <v>196575600</v>
      </c>
      <c r="L29" s="157">
        <f>SUMIF('内訳ﾘｽﾄ(4～3月)'!$D$26:$D$267,$B29,'内訳ﾘｽﾄ(4～3月)'!O$26:O$267)</f>
        <v>0</v>
      </c>
      <c r="M29" s="157">
        <f>SUMIF('内訳ﾘｽﾄ(4～3月)'!$D$26:$D$267,$B29,'内訳ﾘｽﾄ(4～3月)'!P$26:P$267)</f>
        <v>1500000</v>
      </c>
      <c r="N29" s="157">
        <f>SUMIF('内訳ﾘｽﾄ(4～3月)'!$D$26:$D$267,$B29,'内訳ﾘｽﾄ(4～3月)'!Q$26:Q$267)</f>
        <v>0</v>
      </c>
      <c r="O29" s="157">
        <f>SUMIF('内訳ﾘｽﾄ(4～3月)'!$D$26:$D$267,'採算表(VND)'!$B29,'内訳ﾘｽﾄ(4～3月)'!R$26:R$267)</f>
        <v>212251060</v>
      </c>
      <c r="AQ29" s="74"/>
      <c r="AR29" s="74"/>
      <c r="AS29" s="74"/>
      <c r="AT29" s="74"/>
      <c r="AU29" s="72"/>
      <c r="AV29" s="73"/>
      <c r="AW29" s="73"/>
      <c r="AX29" s="73"/>
      <c r="AY29" s="73"/>
      <c r="BA29" s="75"/>
      <c r="BB29" s="75"/>
      <c r="BC29" s="75"/>
      <c r="BD29" s="75"/>
      <c r="BF29" s="72"/>
      <c r="BG29" s="72"/>
      <c r="BH29" s="72"/>
      <c r="BI29" s="72"/>
    </row>
    <row r="30" spans="1:61" ht="11.25" customHeight="1">
      <c r="A30" s="34"/>
      <c r="B30" s="37" t="s">
        <v>97</v>
      </c>
      <c r="C30" s="157">
        <f>SUMIF('内訳ﾘｽﾄ(4～3月)'!$D$26:$D$267,$B30,'内訳ﾘｽﾄ(4～3月)'!F$26:F$267)</f>
        <v>1521757</v>
      </c>
      <c r="D30" s="157">
        <f>SUMIF('内訳ﾘｽﾄ(4～3月)'!$D$26:$D$267,$B30,'内訳ﾘｽﾄ(4～3月)'!G$26:G$267)</f>
        <v>1505517</v>
      </c>
      <c r="E30" s="157">
        <f>SUMIF('内訳ﾘｽﾄ(4～3月)'!$D$26:$D$267,$B30,'内訳ﾘｽﾄ(4～3月)'!H$26:H$267)</f>
        <v>1520846</v>
      </c>
      <c r="F30" s="157">
        <f>SUMIF('内訳ﾘｽﾄ(4～3月)'!$D$26:$D$267,$B30,'内訳ﾘｽﾄ(4～3月)'!I$26:I$267)</f>
        <v>1526114</v>
      </c>
      <c r="G30" s="157">
        <f>SUMIF('内訳ﾘｽﾄ(4～3月)'!$D$26:$D$267,$B30,'内訳ﾘｽﾄ(4～3月)'!J$26:J$267)</f>
        <v>1566171</v>
      </c>
      <c r="H30" s="157">
        <f>SUMIF('内訳ﾘｽﾄ(4～3月)'!$D$26:$D$267,$B30,'内訳ﾘｽﾄ(4～3月)'!K$26:K$267)</f>
        <v>1634000</v>
      </c>
      <c r="I30" s="157">
        <f>SUMIF('内訳ﾘｽﾄ(4～3月)'!$D$26:$D$267,$B30,'内訳ﾘｽﾄ(4～3月)'!L$26:L$267)</f>
        <v>1519660</v>
      </c>
      <c r="J30" s="157">
        <f>SUMIF('内訳ﾘｽﾄ(4～3月)'!$D$26:$D$267,$B30,'内訳ﾘｽﾄ(4～3月)'!M$26:M$267)</f>
        <v>1492273</v>
      </c>
      <c r="K30" s="157">
        <f>SUMIF('内訳ﾘｽﾄ(4～3月)'!$D$26:$D$267,$B30,'内訳ﾘｽﾄ(4～3月)'!N$26:N$267)</f>
        <v>1579058</v>
      </c>
      <c r="L30" s="157">
        <f>SUMIF('内訳ﾘｽﾄ(4～3月)'!$D$26:$D$267,$B30,'内訳ﾘｽﾄ(4～3月)'!O$26:O$267)</f>
        <v>1106986</v>
      </c>
      <c r="M30" s="157">
        <f>SUMIF('内訳ﾘｽﾄ(4～3月)'!$D$26:$D$267,$B30,'内訳ﾘｽﾄ(4～3月)'!P$26:P$267)</f>
        <v>1116265</v>
      </c>
      <c r="N30" s="157">
        <f>SUMIF('内訳ﾘｽﾄ(4～3月)'!$D$26:$D$267,$B30,'内訳ﾘｽﾄ(4～3月)'!Q$26:Q$267)</f>
        <v>1153993</v>
      </c>
      <c r="O30" s="157">
        <f>SUMIF('内訳ﾘｽﾄ(4～3月)'!$D$26:$D$267,'採算表(VND)'!$B30,'内訳ﾘｽﾄ(4～3月)'!R$26:R$267)</f>
        <v>17242640</v>
      </c>
      <c r="AQ30" s="74"/>
      <c r="AR30" s="74"/>
      <c r="AS30" s="74"/>
      <c r="AT30" s="74"/>
      <c r="AU30" s="72"/>
      <c r="AV30" s="73"/>
      <c r="AW30" s="73"/>
      <c r="AX30" s="73"/>
      <c r="AY30" s="73"/>
      <c r="BA30" s="75"/>
      <c r="BB30" s="75"/>
      <c r="BC30" s="75"/>
      <c r="BD30" s="75"/>
      <c r="BF30" s="72"/>
      <c r="BG30" s="72"/>
      <c r="BH30" s="72"/>
      <c r="BI30" s="72"/>
    </row>
    <row r="31" spans="1:61" ht="11.25" customHeight="1">
      <c r="A31" s="34"/>
      <c r="B31" s="37" t="s">
        <v>59</v>
      </c>
      <c r="C31" s="157">
        <f>SUMIF('内訳ﾘｽﾄ(4～3月)'!$D$26:$D$267,$B31,'内訳ﾘｽﾄ(4～3月)'!F$26:F$267)</f>
        <v>1340000</v>
      </c>
      <c r="D31" s="157">
        <f>SUMIF('内訳ﾘｽﾄ(4～3月)'!$D$26:$D$267,$B31,'内訳ﾘｽﾄ(4～3月)'!G$26:G$267)</f>
        <v>19470000</v>
      </c>
      <c r="E31" s="157">
        <f>SUMIF('内訳ﾘｽﾄ(4～3月)'!$D$26:$D$267,$B31,'内訳ﾘｽﾄ(4～3月)'!H$26:H$267)</f>
        <v>3350000</v>
      </c>
      <c r="F31" s="157">
        <f>SUMIF('内訳ﾘｽﾄ(4～3月)'!$D$26:$D$267,$B31,'内訳ﾘｽﾄ(4～3月)'!I$26:I$267)</f>
        <v>0</v>
      </c>
      <c r="G31" s="157">
        <f>SUMIF('内訳ﾘｽﾄ(4～3月)'!$D$26:$D$267,$B31,'内訳ﾘｽﾄ(4～3月)'!J$26:J$267)</f>
        <v>16280000</v>
      </c>
      <c r="H31" s="157">
        <f>SUMIF('内訳ﾘｽﾄ(4～3月)'!$D$26:$D$267,$B31,'内訳ﾘｽﾄ(4～3月)'!K$26:K$267)</f>
        <v>2035000</v>
      </c>
      <c r="I31" s="157">
        <f>SUMIF('内訳ﾘｽﾄ(4～3月)'!$D$26:$D$267,$B31,'内訳ﾘｽﾄ(4～3月)'!L$26:L$267)</f>
        <v>2200000</v>
      </c>
      <c r="J31" s="157">
        <f>SUMIF('内訳ﾘｽﾄ(4～3月)'!$D$26:$D$267,$B31,'内訳ﾘｽﾄ(4～3月)'!M$26:M$267)</f>
        <v>1100000</v>
      </c>
      <c r="K31" s="157">
        <f>SUMIF('内訳ﾘｽﾄ(4～3月)'!$D$26:$D$267,$B31,'内訳ﾘｽﾄ(4～3月)'!N$26:N$267)</f>
        <v>10340000</v>
      </c>
      <c r="L31" s="157">
        <f>SUMIF('内訳ﾘｽﾄ(4～3月)'!$D$26:$D$267,$B31,'内訳ﾘｽﾄ(4～3月)'!O$26:O$267)</f>
        <v>0</v>
      </c>
      <c r="M31" s="157">
        <f>SUMIF('内訳ﾘｽﾄ(4～3月)'!$D$26:$D$267,$B31,'内訳ﾘｽﾄ(4～3月)'!P$26:P$267)</f>
        <v>0</v>
      </c>
      <c r="N31" s="157">
        <f>SUMIF('内訳ﾘｽﾄ(4～3月)'!$D$26:$D$267,$B31,'内訳ﾘｽﾄ(4～3月)'!Q$26:Q$267)</f>
        <v>0</v>
      </c>
      <c r="O31" s="157">
        <f>SUMIF('内訳ﾘｽﾄ(4～3月)'!$D$26:$D$267,'採算表(VND)'!$B31,'内訳ﾘｽﾄ(4～3月)'!R$26:R$267)</f>
        <v>56115000</v>
      </c>
      <c r="AQ31" s="74"/>
      <c r="AR31" s="74"/>
      <c r="AS31" s="74"/>
      <c r="AT31" s="74"/>
      <c r="AU31" s="72"/>
      <c r="AV31" s="73"/>
      <c r="AW31" s="73"/>
      <c r="AX31" s="73"/>
      <c r="AY31" s="73"/>
      <c r="BA31" s="75"/>
      <c r="BB31" s="75"/>
      <c r="BC31" s="75"/>
      <c r="BD31" s="75"/>
      <c r="BF31" s="76"/>
      <c r="BG31" s="72"/>
      <c r="BH31" s="72"/>
      <c r="BI31" s="72"/>
    </row>
    <row r="32" spans="1:61" ht="11.25" customHeight="1">
      <c r="A32" s="38"/>
      <c r="B32" s="37" t="s">
        <v>61</v>
      </c>
      <c r="C32" s="157">
        <f>SUMIF('内訳ﾘｽﾄ(4～3月)'!$D$26:$D$267,$B32,'内訳ﾘｽﾄ(4～3月)'!F$26:F$267)</f>
        <v>15000000</v>
      </c>
      <c r="D32" s="157">
        <f>SUMIF('内訳ﾘｽﾄ(4～3月)'!$D$26:$D$267,$B32,'内訳ﾘｽﾄ(4～3月)'!G$26:G$267)</f>
        <v>15000000</v>
      </c>
      <c r="E32" s="157">
        <f>SUMIF('内訳ﾘｽﾄ(4～3月)'!$D$26:$D$267,$B32,'内訳ﾘｽﾄ(4～3月)'!H$26:H$267)</f>
        <v>15000000</v>
      </c>
      <c r="F32" s="157">
        <f>SUMIF('内訳ﾘｽﾄ(4～3月)'!$D$26:$D$267,$B32,'内訳ﾘｽﾄ(4～3月)'!I$26:I$267)</f>
        <v>15000000</v>
      </c>
      <c r="G32" s="157">
        <f>SUMIF('内訳ﾘｽﾄ(4～3月)'!$D$26:$D$267,$B32,'内訳ﾘｽﾄ(4～3月)'!J$26:J$267)</f>
        <v>15000000</v>
      </c>
      <c r="H32" s="157">
        <f>SUMIF('内訳ﾘｽﾄ(4～3月)'!$D$26:$D$267,$B32,'内訳ﾘｽﾄ(4～3月)'!K$26:K$267)</f>
        <v>15000000</v>
      </c>
      <c r="I32" s="157">
        <f>SUMIF('内訳ﾘｽﾄ(4～3月)'!$D$26:$D$267,$B32,'内訳ﾘｽﾄ(4～3月)'!L$26:L$267)</f>
        <v>15000000</v>
      </c>
      <c r="J32" s="157">
        <f>SUMIF('内訳ﾘｽﾄ(4～3月)'!$D$26:$D$267,$B32,'内訳ﾘｽﾄ(4～3月)'!M$26:M$267)</f>
        <v>15000000</v>
      </c>
      <c r="K32" s="157">
        <f>SUMIF('内訳ﾘｽﾄ(4～3月)'!$D$26:$D$267,$B32,'内訳ﾘｽﾄ(4～3月)'!N$26:N$267)</f>
        <v>15000000</v>
      </c>
      <c r="L32" s="157">
        <f>SUMIF('内訳ﾘｽﾄ(4～3月)'!$D$26:$D$267,$B32,'内訳ﾘｽﾄ(4～3月)'!O$26:O$267)</f>
        <v>15000000</v>
      </c>
      <c r="M32" s="157">
        <f>SUMIF('内訳ﾘｽﾄ(4～3月)'!$D$26:$D$267,$B32,'内訳ﾘｽﾄ(4～3月)'!P$26:P$267)</f>
        <v>15000000</v>
      </c>
      <c r="N32" s="157">
        <f>SUMIF('内訳ﾘｽﾄ(4～3月)'!$D$26:$D$267,$B32,'内訳ﾘｽﾄ(4～3月)'!Q$26:Q$267)</f>
        <v>15000000</v>
      </c>
      <c r="O32" s="157">
        <f>SUMIF('内訳ﾘｽﾄ(4～3月)'!$D$26:$D$267,'採算表(VND)'!$B32,'内訳ﾘｽﾄ(4～3月)'!R$26:R$267)</f>
        <v>180000000</v>
      </c>
      <c r="AQ32" s="74"/>
      <c r="AR32" s="74"/>
      <c r="AS32" s="74"/>
      <c r="AT32" s="74"/>
      <c r="AU32" s="72"/>
      <c r="AV32" s="73"/>
      <c r="AW32" s="73"/>
      <c r="AX32" s="73"/>
      <c r="AY32" s="73"/>
      <c r="BA32" s="75"/>
      <c r="BB32" s="75"/>
      <c r="BC32" s="75"/>
      <c r="BD32" s="75"/>
      <c r="BF32" s="76"/>
      <c r="BG32" s="72"/>
      <c r="BH32" s="72"/>
      <c r="BI32" s="72"/>
    </row>
    <row r="33" spans="1:61" ht="11.25" customHeight="1">
      <c r="A33" s="38"/>
      <c r="B33" s="37" t="s">
        <v>60</v>
      </c>
      <c r="C33" s="157">
        <f>SUMIF('内訳ﾘｽﾄ(4～3月)'!$D$26:$D$267,$B33,'内訳ﾘｽﾄ(4～3月)'!F$26:F$267)</f>
        <v>0</v>
      </c>
      <c r="D33" s="157">
        <f>SUMIF('内訳ﾘｽﾄ(4～3月)'!$D$26:$D$267,$B33,'内訳ﾘｽﾄ(4～3月)'!G$26:G$267)</f>
        <v>0</v>
      </c>
      <c r="E33" s="157">
        <f>SUMIF('内訳ﾘｽﾄ(4～3月)'!$D$26:$D$267,$B33,'内訳ﾘｽﾄ(4～3月)'!H$26:H$267)</f>
        <v>0</v>
      </c>
      <c r="F33" s="157">
        <f>SUMIF('内訳ﾘｽﾄ(4～3月)'!$D$26:$D$267,$B33,'内訳ﾘｽﾄ(4～3月)'!I$26:I$267)</f>
        <v>0</v>
      </c>
      <c r="G33" s="157">
        <f>SUMIF('内訳ﾘｽﾄ(4～3月)'!$D$26:$D$267,$B33,'内訳ﾘｽﾄ(4～3月)'!J$26:J$267)</f>
        <v>0</v>
      </c>
      <c r="H33" s="157">
        <f>SUMIF('内訳ﾘｽﾄ(4～3月)'!$D$26:$D$267,$B33,'内訳ﾘｽﾄ(4～3月)'!K$26:K$267)</f>
        <v>0</v>
      </c>
      <c r="I33" s="157">
        <f>SUMIF('内訳ﾘｽﾄ(4～3月)'!$D$26:$D$267,$B33,'内訳ﾘｽﾄ(4～3月)'!L$26:L$267)</f>
        <v>0</v>
      </c>
      <c r="J33" s="157">
        <f>SUMIF('内訳ﾘｽﾄ(4～3月)'!$D$26:$D$267,$B33,'内訳ﾘｽﾄ(4～3月)'!M$26:M$267)</f>
        <v>0</v>
      </c>
      <c r="K33" s="157">
        <f>SUMIF('内訳ﾘｽﾄ(4～3月)'!$D$26:$D$267,$B33,'内訳ﾘｽﾄ(4～3月)'!N$26:N$267)</f>
        <v>0</v>
      </c>
      <c r="L33" s="157">
        <f>SUMIF('内訳ﾘｽﾄ(4～3月)'!$D$26:$D$267,$B33,'内訳ﾘｽﾄ(4～3月)'!O$26:O$267)</f>
        <v>0</v>
      </c>
      <c r="M33" s="157">
        <f>SUMIF('内訳ﾘｽﾄ(4～3月)'!$D$26:$D$267,$B33,'内訳ﾘｽﾄ(4～3月)'!P$26:P$267)</f>
        <v>0</v>
      </c>
      <c r="N33" s="157">
        <f>SUMIF('内訳ﾘｽﾄ(4～3月)'!$D$26:$D$267,$B33,'内訳ﾘｽﾄ(4～3月)'!Q$26:Q$267)</f>
        <v>0</v>
      </c>
      <c r="O33" s="157">
        <f>SUMIF('内訳ﾘｽﾄ(4～3月)'!$D$26:$D$267,'採算表(VND)'!$B33,'内訳ﾘｽﾄ(4～3月)'!R$26:R$267)</f>
        <v>0</v>
      </c>
      <c r="AQ33" s="74"/>
      <c r="AR33" s="74"/>
      <c r="AS33" s="74"/>
      <c r="AT33" s="74"/>
      <c r="AU33" s="72"/>
      <c r="AV33" s="73"/>
      <c r="AW33" s="73"/>
      <c r="AX33" s="73"/>
      <c r="AY33" s="73"/>
      <c r="BA33" s="75"/>
      <c r="BB33" s="75"/>
      <c r="BC33" s="75"/>
      <c r="BD33" s="75"/>
      <c r="BF33" s="72"/>
      <c r="BG33" s="72"/>
      <c r="BH33" s="72"/>
      <c r="BI33" s="72"/>
    </row>
    <row r="34" spans="1:61" ht="11.25" customHeight="1">
      <c r="A34" s="38"/>
      <c r="B34" s="37" t="s">
        <v>65</v>
      </c>
      <c r="C34" s="157">
        <f>SUMIF('内訳ﾘｽﾄ(4～3月)'!$D$26:$D$267,$B34,'内訳ﾘｽﾄ(4～3月)'!F$26:F$267)</f>
        <v>0</v>
      </c>
      <c r="D34" s="157">
        <f>SUMIF('内訳ﾘｽﾄ(4～3月)'!$D$26:$D$267,$B34,'内訳ﾘｽﾄ(4～3月)'!G$26:G$267)</f>
        <v>0</v>
      </c>
      <c r="E34" s="157">
        <f>SUMIF('内訳ﾘｽﾄ(4～3月)'!$D$26:$D$267,$B34,'内訳ﾘｽﾄ(4～3月)'!H$26:H$267)</f>
        <v>0</v>
      </c>
      <c r="F34" s="157">
        <f>SUMIF('内訳ﾘｽﾄ(4～3月)'!$D$26:$D$267,$B34,'内訳ﾘｽﾄ(4～3月)'!I$26:I$267)</f>
        <v>0</v>
      </c>
      <c r="G34" s="157">
        <f>SUMIF('内訳ﾘｽﾄ(4～3月)'!$D$26:$D$267,$B34,'内訳ﾘｽﾄ(4～3月)'!J$26:J$267)</f>
        <v>0</v>
      </c>
      <c r="H34" s="157">
        <f>SUMIF('内訳ﾘｽﾄ(4～3月)'!$D$26:$D$267,$B34,'内訳ﾘｽﾄ(4～3月)'!K$26:K$267)</f>
        <v>0</v>
      </c>
      <c r="I34" s="157">
        <f>SUMIF('内訳ﾘｽﾄ(4～3月)'!$D$26:$D$267,$B34,'内訳ﾘｽﾄ(4～3月)'!L$26:L$267)</f>
        <v>0</v>
      </c>
      <c r="J34" s="157">
        <f>SUMIF('内訳ﾘｽﾄ(4～3月)'!$D$26:$D$267,$B34,'内訳ﾘｽﾄ(4～3月)'!M$26:M$267)</f>
        <v>0</v>
      </c>
      <c r="K34" s="157">
        <f>SUMIF('内訳ﾘｽﾄ(4～3月)'!$D$26:$D$267,$B34,'内訳ﾘｽﾄ(4～3月)'!N$26:N$267)</f>
        <v>0</v>
      </c>
      <c r="L34" s="157">
        <f>SUMIF('内訳ﾘｽﾄ(4～3月)'!$D$26:$D$267,$B34,'内訳ﾘｽﾄ(4～3月)'!O$26:O$267)</f>
        <v>0</v>
      </c>
      <c r="M34" s="157">
        <f>SUMIF('内訳ﾘｽﾄ(4～3月)'!$D$26:$D$267,$B34,'内訳ﾘｽﾄ(4～3月)'!P$26:P$267)</f>
        <v>0</v>
      </c>
      <c r="N34" s="157">
        <f>SUMIF('内訳ﾘｽﾄ(4～3月)'!$D$26:$D$267,$B34,'内訳ﾘｽﾄ(4～3月)'!Q$26:Q$267)</f>
        <v>0</v>
      </c>
      <c r="O34" s="157">
        <f>SUMIF('内訳ﾘｽﾄ(4～3月)'!$D$26:$D$267,'採算表(VND)'!$B34,'内訳ﾘｽﾄ(4～3月)'!R$26:R$267)</f>
        <v>0</v>
      </c>
      <c r="AQ34" s="74"/>
      <c r="AR34" s="74"/>
      <c r="AS34" s="74"/>
      <c r="AT34" s="74"/>
      <c r="AU34" s="72"/>
      <c r="AV34" s="73"/>
      <c r="AW34" s="73"/>
      <c r="AX34" s="73"/>
      <c r="AY34" s="73"/>
      <c r="BA34" s="75"/>
      <c r="BB34" s="75"/>
      <c r="BC34" s="75"/>
      <c r="BD34" s="75"/>
      <c r="BF34" s="72"/>
      <c r="BG34" s="72"/>
      <c r="BH34" s="72"/>
      <c r="BI34" s="72"/>
    </row>
    <row r="35" spans="1:61" ht="11.25" customHeight="1">
      <c r="A35" s="38"/>
      <c r="B35" s="37" t="s">
        <v>44</v>
      </c>
      <c r="C35" s="157">
        <f>SUMIF('内訳ﾘｽﾄ(4～3月)'!$D$26:$D$267,$B35,'内訳ﾘｽﾄ(4～3月)'!F$26:F$267)</f>
        <v>0</v>
      </c>
      <c r="D35" s="157">
        <f>SUMIF('内訳ﾘｽﾄ(4～3月)'!$D$26:$D$267,$B35,'内訳ﾘｽﾄ(4～3月)'!G$26:G$267)</f>
        <v>0</v>
      </c>
      <c r="E35" s="157">
        <f>SUMIF('内訳ﾘｽﾄ(4～3月)'!$D$26:$D$267,$B35,'内訳ﾘｽﾄ(4～3月)'!H$26:H$267)</f>
        <v>0</v>
      </c>
      <c r="F35" s="157">
        <f>SUMIF('内訳ﾘｽﾄ(4～3月)'!$D$26:$D$267,$B35,'内訳ﾘｽﾄ(4～3月)'!I$26:I$267)</f>
        <v>0</v>
      </c>
      <c r="G35" s="157">
        <f>SUMIF('内訳ﾘｽﾄ(4～3月)'!$D$26:$D$267,$B35,'内訳ﾘｽﾄ(4～3月)'!J$26:J$267)</f>
        <v>0</v>
      </c>
      <c r="H35" s="157">
        <f>SUMIF('内訳ﾘｽﾄ(4～3月)'!$D$26:$D$267,$B35,'内訳ﾘｽﾄ(4～3月)'!K$26:K$267)</f>
        <v>0</v>
      </c>
      <c r="I35" s="157">
        <f>SUMIF('内訳ﾘｽﾄ(4～3月)'!$D$26:$D$267,$B35,'内訳ﾘｽﾄ(4～3月)'!L$26:L$267)</f>
        <v>0</v>
      </c>
      <c r="J35" s="157">
        <f>SUMIF('内訳ﾘｽﾄ(4～3月)'!$D$26:$D$267,$B35,'内訳ﾘｽﾄ(4～3月)'!M$26:M$267)</f>
        <v>0</v>
      </c>
      <c r="K35" s="157">
        <f>SUMIF('内訳ﾘｽﾄ(4～3月)'!$D$26:$D$267,$B35,'内訳ﾘｽﾄ(4～3月)'!N$26:N$267)</f>
        <v>0</v>
      </c>
      <c r="L35" s="157">
        <f>SUMIF('内訳ﾘｽﾄ(4～3月)'!$D$26:$D$267,$B35,'内訳ﾘｽﾄ(4～3月)'!O$26:O$267)</f>
        <v>0</v>
      </c>
      <c r="M35" s="157">
        <f>SUMIF('内訳ﾘｽﾄ(4～3月)'!$D$26:$D$267,$B35,'内訳ﾘｽﾄ(4～3月)'!P$26:P$267)</f>
        <v>0</v>
      </c>
      <c r="N35" s="157">
        <f>SUMIF('内訳ﾘｽﾄ(4～3月)'!$D$26:$D$267,$B35,'内訳ﾘｽﾄ(4～3月)'!Q$26:Q$267)</f>
        <v>0</v>
      </c>
      <c r="O35" s="157">
        <f>SUMIF('内訳ﾘｽﾄ(4～3月)'!$D$26:$D$267,'採算表(VND)'!$B35,'内訳ﾘｽﾄ(4～3月)'!R$26:R$267)</f>
        <v>0</v>
      </c>
      <c r="AQ35" s="74"/>
      <c r="AR35" s="74"/>
      <c r="AS35" s="74"/>
      <c r="AT35" s="74"/>
      <c r="AU35" s="72"/>
      <c r="AV35" s="73"/>
      <c r="AW35" s="73"/>
      <c r="AX35" s="73"/>
      <c r="AY35" s="73"/>
      <c r="BA35" s="75"/>
      <c r="BB35" s="75"/>
      <c r="BC35" s="75"/>
      <c r="BD35" s="75"/>
      <c r="BF35" s="72"/>
      <c r="BG35" s="72"/>
      <c r="BH35" s="72"/>
      <c r="BI35" s="72"/>
    </row>
    <row r="36" spans="1:61" ht="11.25" customHeight="1">
      <c r="A36" s="38"/>
      <c r="B36" s="37" t="s">
        <v>63</v>
      </c>
      <c r="C36" s="157">
        <f>SUMIF('内訳ﾘｽﾄ(4～3月)'!$D$26:$D$267,$B36,'内訳ﾘｽﾄ(4～3月)'!F$26:F$267)</f>
        <v>2204928000</v>
      </c>
      <c r="D36" s="157">
        <f>SUMIF('内訳ﾘｽﾄ(4～3月)'!$D$26:$D$267,$B36,'内訳ﾘｽﾄ(4～3月)'!G$26:G$267)</f>
        <v>16704000</v>
      </c>
      <c r="E36" s="157">
        <f>SUMIF('内訳ﾘｽﾄ(4～3月)'!$D$26:$D$267,$B36,'内訳ﾘｽﾄ(4～3月)'!H$26:H$267)</f>
        <v>16704000</v>
      </c>
      <c r="F36" s="157">
        <f>SUMIF('内訳ﾘｽﾄ(4～3月)'!$D$26:$D$267,$B36,'内訳ﾘｽﾄ(4～3月)'!I$26:I$267)</f>
        <v>16704000</v>
      </c>
      <c r="G36" s="157">
        <f>SUMIF('内訳ﾘｽﾄ(4～3月)'!$D$26:$D$267,$B36,'内訳ﾘｽﾄ(4～3月)'!J$26:J$267)</f>
        <v>668160000</v>
      </c>
      <c r="H36" s="157">
        <f>SUMIF('内訳ﾘｽﾄ(4～3月)'!$D$26:$D$267,$B36,'内訳ﾘｽﾄ(4～3月)'!K$26:K$267)</f>
        <v>143654000</v>
      </c>
      <c r="I36" s="157">
        <f>SUMIF('内訳ﾘｽﾄ(4～3月)'!$D$26:$D$267,$B36,'内訳ﾘｽﾄ(4～3月)'!L$26:L$267)</f>
        <v>16704000</v>
      </c>
      <c r="J36" s="157">
        <f>SUMIF('内訳ﾘｽﾄ(4～3月)'!$D$26:$D$267,$B36,'内訳ﾘｽﾄ(4～3月)'!M$26:M$267)</f>
        <v>16704000</v>
      </c>
      <c r="K36" s="157">
        <f>SUMIF('内訳ﾘｽﾄ(4～3月)'!$D$26:$D$267,$B36,'内訳ﾘｽﾄ(4～3月)'!N$26:N$267)</f>
        <v>16704000</v>
      </c>
      <c r="L36" s="157">
        <f>SUMIF('内訳ﾘｽﾄ(4～3月)'!$D$26:$D$267,$B36,'内訳ﾘｽﾄ(4～3月)'!O$26:O$267)</f>
        <v>143654000</v>
      </c>
      <c r="M36" s="157">
        <f>SUMIF('内訳ﾘｽﾄ(4～3月)'!$D$26:$D$267,$B36,'内訳ﾘｽﾄ(4～3月)'!P$26:P$267)</f>
        <v>458302000</v>
      </c>
      <c r="N36" s="157">
        <f>SUMIF('内訳ﾘｽﾄ(4～3月)'!$D$26:$D$267,$B36,'内訳ﾘｽﾄ(4～3月)'!Q$26:Q$267)</f>
        <v>16704000</v>
      </c>
      <c r="O36" s="157">
        <f>SUMIF('内訳ﾘｽﾄ(4～3月)'!$D$26:$D$267,'採算表(VND)'!$B36,'内訳ﾘｽﾄ(4～3月)'!R$26:R$267)</f>
        <v>3735626000</v>
      </c>
      <c r="AQ36" s="74"/>
      <c r="AR36" s="74"/>
      <c r="AS36" s="74"/>
      <c r="AT36" s="74"/>
      <c r="AU36" s="72"/>
      <c r="AV36" s="73"/>
      <c r="AW36" s="73"/>
      <c r="AX36" s="73"/>
      <c r="AY36" s="73"/>
      <c r="BA36" s="75"/>
      <c r="BB36" s="75"/>
      <c r="BC36" s="75"/>
      <c r="BD36" s="75"/>
      <c r="BF36" s="72"/>
      <c r="BG36" s="72"/>
      <c r="BH36" s="72"/>
      <c r="BI36" s="72"/>
    </row>
    <row r="37" spans="1:61" ht="11.25" customHeight="1">
      <c r="A37" s="38"/>
      <c r="B37" s="37" t="s">
        <v>41</v>
      </c>
      <c r="C37" s="157">
        <f>SUMIF('内訳ﾘｽﾄ(4～3月)'!$D$26:$D$267,$B37,'内訳ﾘｽﾄ(4～3月)'!F$26:F$267)</f>
        <v>0</v>
      </c>
      <c r="D37" s="157">
        <f>SUMIF('内訳ﾘｽﾄ(4～3月)'!$D$26:$D$267,$B37,'内訳ﾘｽﾄ(4～3月)'!G$26:G$267)</f>
        <v>0</v>
      </c>
      <c r="E37" s="157">
        <f>SUMIF('内訳ﾘｽﾄ(4～3月)'!$D$26:$D$267,$B37,'内訳ﾘｽﾄ(4～3月)'!H$26:H$267)</f>
        <v>0</v>
      </c>
      <c r="F37" s="157">
        <f>SUMIF('内訳ﾘｽﾄ(4～3月)'!$D$26:$D$267,$B37,'内訳ﾘｽﾄ(4～3月)'!I$26:I$267)</f>
        <v>0</v>
      </c>
      <c r="G37" s="157">
        <f>SUMIF('内訳ﾘｽﾄ(4～3月)'!$D$26:$D$267,$B37,'内訳ﾘｽﾄ(4～3月)'!J$26:J$267)</f>
        <v>0</v>
      </c>
      <c r="H37" s="157">
        <f>SUMIF('内訳ﾘｽﾄ(4～3月)'!$D$26:$D$267,$B37,'内訳ﾘｽﾄ(4～3月)'!K$26:K$267)</f>
        <v>0</v>
      </c>
      <c r="I37" s="157">
        <f>SUMIF('内訳ﾘｽﾄ(4～3月)'!$D$26:$D$267,$B37,'内訳ﾘｽﾄ(4～3月)'!L$26:L$267)</f>
        <v>0</v>
      </c>
      <c r="J37" s="157">
        <f>SUMIF('内訳ﾘｽﾄ(4～3月)'!$D$26:$D$267,$B37,'内訳ﾘｽﾄ(4～3月)'!M$26:M$267)</f>
        <v>0</v>
      </c>
      <c r="K37" s="157">
        <f>SUMIF('内訳ﾘｽﾄ(4～3月)'!$D$26:$D$267,$B37,'内訳ﾘｽﾄ(4～3月)'!N$26:N$267)</f>
        <v>0</v>
      </c>
      <c r="L37" s="157">
        <f>SUMIF('内訳ﾘｽﾄ(4～3月)'!$D$26:$D$267,$B37,'内訳ﾘｽﾄ(4～3月)'!O$26:O$267)</f>
        <v>0</v>
      </c>
      <c r="M37" s="157">
        <f>SUMIF('内訳ﾘｽﾄ(4～3月)'!$D$26:$D$267,$B37,'内訳ﾘｽﾄ(4～3月)'!P$26:P$267)</f>
        <v>0</v>
      </c>
      <c r="N37" s="157">
        <f>SUMIF('内訳ﾘｽﾄ(4～3月)'!$D$26:$D$267,$B37,'内訳ﾘｽﾄ(4～3月)'!Q$26:Q$267)</f>
        <v>0</v>
      </c>
      <c r="O37" s="157">
        <f>SUMIF('内訳ﾘｽﾄ(4～3月)'!$D$26:$D$267,'採算表(VND)'!$B37,'内訳ﾘｽﾄ(4～3月)'!R$26:R$267)</f>
        <v>0</v>
      </c>
      <c r="AQ37" s="74"/>
      <c r="AR37" s="74"/>
      <c r="AS37" s="74"/>
      <c r="AT37" s="74"/>
      <c r="AU37" s="72"/>
      <c r="AV37" s="73"/>
      <c r="AW37" s="73"/>
      <c r="AX37" s="73"/>
      <c r="AY37" s="73"/>
      <c r="BA37" s="75"/>
      <c r="BB37" s="75"/>
      <c r="BC37" s="75"/>
      <c r="BD37" s="75"/>
      <c r="BF37" s="72"/>
      <c r="BG37" s="72"/>
      <c r="BH37" s="72"/>
      <c r="BI37" s="72"/>
    </row>
    <row r="38" spans="1:61" ht="11.25" customHeight="1">
      <c r="A38" s="38"/>
      <c r="B38" s="37" t="s">
        <v>48</v>
      </c>
      <c r="C38" s="157">
        <f>SUMIF('内訳ﾘｽﾄ(4～3月)'!$D$26:$D$267,$B38,'内訳ﾘｽﾄ(4～3月)'!F$26:F$267)</f>
        <v>0</v>
      </c>
      <c r="D38" s="157">
        <f>SUMIF('内訳ﾘｽﾄ(4～3月)'!$D$26:$D$267,$B38,'内訳ﾘｽﾄ(4～3月)'!G$26:G$267)</f>
        <v>0</v>
      </c>
      <c r="E38" s="157">
        <f>SUMIF('内訳ﾘｽﾄ(4～3月)'!$D$26:$D$267,$B38,'内訳ﾘｽﾄ(4～3月)'!H$26:H$267)</f>
        <v>0</v>
      </c>
      <c r="F38" s="157">
        <f>SUMIF('内訳ﾘｽﾄ(4～3月)'!$D$26:$D$267,$B38,'内訳ﾘｽﾄ(4～3月)'!I$26:I$267)</f>
        <v>0</v>
      </c>
      <c r="G38" s="157">
        <f>SUMIF('内訳ﾘｽﾄ(4～3月)'!$D$26:$D$267,$B38,'内訳ﾘｽﾄ(4～3月)'!J$26:J$267)</f>
        <v>0</v>
      </c>
      <c r="H38" s="157">
        <f>SUMIF('内訳ﾘｽﾄ(4～3月)'!$D$26:$D$267,$B38,'内訳ﾘｽﾄ(4～3月)'!K$26:K$267)</f>
        <v>0</v>
      </c>
      <c r="I38" s="157">
        <f>SUMIF('内訳ﾘｽﾄ(4～3月)'!$D$26:$D$267,$B38,'内訳ﾘｽﾄ(4～3月)'!L$26:L$267)</f>
        <v>0</v>
      </c>
      <c r="J38" s="157">
        <f>SUMIF('内訳ﾘｽﾄ(4～3月)'!$D$26:$D$267,$B38,'内訳ﾘｽﾄ(4～3月)'!M$26:M$267)</f>
        <v>0</v>
      </c>
      <c r="K38" s="157">
        <f>SUMIF('内訳ﾘｽﾄ(4～3月)'!$D$26:$D$267,$B38,'内訳ﾘｽﾄ(4～3月)'!N$26:N$267)</f>
        <v>0</v>
      </c>
      <c r="L38" s="157">
        <f>SUMIF('内訳ﾘｽﾄ(4～3月)'!$D$26:$D$267,$B38,'内訳ﾘｽﾄ(4～3月)'!O$26:O$267)</f>
        <v>0</v>
      </c>
      <c r="M38" s="157">
        <f>SUMIF('内訳ﾘｽﾄ(4～3月)'!$D$26:$D$267,$B38,'内訳ﾘｽﾄ(4～3月)'!P$26:P$267)</f>
        <v>0</v>
      </c>
      <c r="N38" s="157">
        <f>SUMIF('内訳ﾘｽﾄ(4～3月)'!$D$26:$D$267,$B38,'内訳ﾘｽﾄ(4～3月)'!Q$26:Q$267)</f>
        <v>0</v>
      </c>
      <c r="O38" s="157">
        <f>SUMIF('内訳ﾘｽﾄ(4～3月)'!$D$26:$D$267,'採算表(VND)'!$B38,'内訳ﾘｽﾄ(4～3月)'!R$26:R$267)</f>
        <v>0</v>
      </c>
      <c r="AQ38" s="74"/>
      <c r="AR38" s="74"/>
      <c r="AS38" s="74"/>
      <c r="AT38" s="74"/>
      <c r="AU38" s="72"/>
      <c r="AV38" s="73"/>
      <c r="AW38" s="73"/>
      <c r="AX38" s="73"/>
      <c r="AY38" s="73"/>
      <c r="BA38" s="75"/>
      <c r="BB38" s="75"/>
      <c r="BC38" s="75"/>
      <c r="BD38" s="75"/>
      <c r="BF38" s="72"/>
      <c r="BG38" s="72"/>
      <c r="BH38" s="72"/>
      <c r="BI38" s="72"/>
    </row>
    <row r="39" spans="1:61" ht="11.25" customHeight="1">
      <c r="A39" s="38"/>
      <c r="B39" s="37" t="s">
        <v>50</v>
      </c>
      <c r="C39" s="157">
        <f>SUMIF('内訳ﾘｽﾄ(4～3月)'!$D$26:$D$267,$B39,'内訳ﾘｽﾄ(4～3月)'!F$26:F$267)</f>
        <v>449896</v>
      </c>
      <c r="D39" s="157">
        <f>SUMIF('内訳ﾘｽﾄ(4～3月)'!$D$26:$D$267,$B39,'内訳ﾘｽﾄ(4～3月)'!G$26:G$267)</f>
        <v>434376</v>
      </c>
      <c r="E39" s="157">
        <f>SUMIF('内訳ﾘｽﾄ(4～3月)'!$D$26:$D$267,$B39,'内訳ﾘｽﾄ(4～3月)'!H$26:H$267)</f>
        <v>460232</v>
      </c>
      <c r="F39" s="157">
        <f>SUMIF('内訳ﾘｽﾄ(4～3月)'!$D$26:$D$267,$B39,'内訳ﾘｽﾄ(4～3月)'!I$26:I$267)</f>
        <v>425664</v>
      </c>
      <c r="G39" s="157">
        <f>SUMIF('内訳ﾘｽﾄ(4～3月)'!$D$26:$D$267,$B39,'内訳ﾘｽﾄ(4～3月)'!J$26:J$267)</f>
        <v>435664</v>
      </c>
      <c r="H39" s="157">
        <f>SUMIF('内訳ﾘｽﾄ(4～3月)'!$D$26:$D$267,$B39,'内訳ﾘｽﾄ(4～3月)'!K$26:K$267)</f>
        <v>454464</v>
      </c>
      <c r="I39" s="157">
        <f>SUMIF('内訳ﾘｽﾄ(4～3月)'!$D$26:$D$267,$B39,'内訳ﾘｽﾄ(4～3月)'!L$26:L$267)</f>
        <v>445788</v>
      </c>
      <c r="J39" s="157">
        <f>SUMIF('内訳ﾘｽﾄ(4～3月)'!$D$26:$D$267,$B39,'内訳ﾘｽﾄ(4～3月)'!M$26:M$267)</f>
        <v>445248</v>
      </c>
      <c r="K39" s="157">
        <f>SUMIF('内訳ﾘｽﾄ(4～3月)'!$D$26:$D$267,$B39,'内訳ﾘｽﾄ(4～3月)'!N$26:N$267)</f>
        <v>446121</v>
      </c>
      <c r="L39" s="157">
        <f>SUMIF('内訳ﾘｽﾄ(4～3月)'!$D$26:$D$267,$B39,'内訳ﾘｽﾄ(4～3月)'!O$26:O$267)</f>
        <v>440622</v>
      </c>
      <c r="M39" s="157">
        <f>SUMIF('内訳ﾘｽﾄ(4～3月)'!$D$26:$D$267,$B39,'内訳ﾘｽﾄ(4～3月)'!P$26:P$267)</f>
        <v>422469</v>
      </c>
      <c r="N39" s="157">
        <f>SUMIF('内訳ﾘｽﾄ(4～3月)'!$D$26:$D$267,$B39,'内訳ﾘｽﾄ(4～3月)'!Q$26:Q$267)</f>
        <v>456228</v>
      </c>
      <c r="O39" s="157">
        <f>SUMIF('内訳ﾘｽﾄ(4～3月)'!$D$26:$D$267,'採算表(VND)'!$B39,'内訳ﾘｽﾄ(4～3月)'!R$26:R$267)</f>
        <v>5316772</v>
      </c>
      <c r="AQ39" s="74"/>
      <c r="AR39" s="74"/>
      <c r="AS39" s="74"/>
      <c r="AT39" s="74"/>
      <c r="AU39" s="72"/>
      <c r="AV39" s="73"/>
      <c r="AW39" s="73"/>
      <c r="AX39" s="73"/>
      <c r="AY39" s="73"/>
      <c r="BA39" s="75"/>
      <c r="BB39" s="75"/>
      <c r="BC39" s="75"/>
      <c r="BD39" s="75"/>
      <c r="BF39" s="72"/>
      <c r="BG39" s="72"/>
      <c r="BH39" s="72"/>
      <c r="BI39" s="72"/>
    </row>
    <row r="40" spans="1:61" ht="11.25" customHeight="1">
      <c r="A40" s="38"/>
      <c r="B40" s="37" t="s">
        <v>51</v>
      </c>
      <c r="C40" s="157">
        <f>SUMIF('内訳ﾘｽﾄ(4～3月)'!$D$26:$D$267,$B40,'内訳ﾘｽﾄ(4～3月)'!F$26:F$267)</f>
        <v>0</v>
      </c>
      <c r="D40" s="157">
        <f>SUMIF('内訳ﾘｽﾄ(4～3月)'!$D$26:$D$267,$B40,'内訳ﾘｽﾄ(4～3月)'!G$26:G$267)</f>
        <v>0</v>
      </c>
      <c r="E40" s="157">
        <f>SUMIF('内訳ﾘｽﾄ(4～3月)'!$D$26:$D$267,$B40,'内訳ﾘｽﾄ(4～3月)'!H$26:H$267)</f>
        <v>0</v>
      </c>
      <c r="F40" s="157">
        <f>SUMIF('内訳ﾘｽﾄ(4～3月)'!$D$26:$D$267,$B40,'内訳ﾘｽﾄ(4～3月)'!I$26:I$267)</f>
        <v>0</v>
      </c>
      <c r="G40" s="157">
        <f>SUMIF('内訳ﾘｽﾄ(4～3月)'!$D$26:$D$267,$B40,'内訳ﾘｽﾄ(4～3月)'!J$26:J$267)</f>
        <v>0</v>
      </c>
      <c r="H40" s="157">
        <f>SUMIF('内訳ﾘｽﾄ(4～3月)'!$D$26:$D$267,$B40,'内訳ﾘｽﾄ(4～3月)'!K$26:K$267)</f>
        <v>0</v>
      </c>
      <c r="I40" s="157">
        <f>SUMIF('内訳ﾘｽﾄ(4～3月)'!$D$26:$D$267,$B40,'内訳ﾘｽﾄ(4～3月)'!L$26:L$267)</f>
        <v>0</v>
      </c>
      <c r="J40" s="157">
        <f>SUMIF('内訳ﾘｽﾄ(4～3月)'!$D$26:$D$267,$B40,'内訳ﾘｽﾄ(4～3月)'!M$26:M$267)</f>
        <v>0</v>
      </c>
      <c r="K40" s="157">
        <f>SUMIF('内訳ﾘｽﾄ(4～3月)'!$D$26:$D$267,$B40,'内訳ﾘｽﾄ(4～3月)'!N$26:N$267)</f>
        <v>0</v>
      </c>
      <c r="L40" s="157">
        <f>SUMIF('内訳ﾘｽﾄ(4～3月)'!$D$26:$D$267,$B40,'内訳ﾘｽﾄ(4～3月)'!O$26:O$267)</f>
        <v>0</v>
      </c>
      <c r="M40" s="157">
        <f>SUMIF('内訳ﾘｽﾄ(4～3月)'!$D$26:$D$267,$B40,'内訳ﾘｽﾄ(4～3月)'!P$26:P$267)</f>
        <v>0</v>
      </c>
      <c r="N40" s="157">
        <f>SUMIF('内訳ﾘｽﾄ(4～3月)'!$D$26:$D$267,$B40,'内訳ﾘｽﾄ(4～3月)'!Q$26:Q$267)</f>
        <v>0</v>
      </c>
      <c r="O40" s="157">
        <f>SUMIF('内訳ﾘｽﾄ(4～3月)'!$D$26:$D$267,'採算表(VND)'!$B40,'内訳ﾘｽﾄ(4～3月)'!R$26:R$267)</f>
        <v>0</v>
      </c>
      <c r="AQ40" s="74"/>
      <c r="AR40" s="74"/>
      <c r="AS40" s="74"/>
      <c r="AT40" s="74"/>
      <c r="AU40" s="72"/>
      <c r="AV40" s="73"/>
      <c r="AW40" s="73"/>
      <c r="AX40" s="73"/>
      <c r="AY40" s="73"/>
      <c r="BA40" s="75"/>
      <c r="BB40" s="75"/>
      <c r="BC40" s="75"/>
      <c r="BD40" s="75"/>
      <c r="BF40" s="72"/>
      <c r="BG40" s="72"/>
      <c r="BH40" s="72"/>
      <c r="BI40" s="72"/>
    </row>
    <row r="41" spans="1:61" ht="11.25" customHeight="1">
      <c r="A41" s="38"/>
      <c r="B41" s="37" t="s">
        <v>58</v>
      </c>
      <c r="C41" s="157">
        <f>SUMIF('内訳ﾘｽﾄ(4～3月)'!$D$26:$D$267,$B41,'内訳ﾘｽﾄ(4～3月)'!F$26:F$267)</f>
        <v>100000</v>
      </c>
      <c r="D41" s="157">
        <f>SUMIF('内訳ﾘｽﾄ(4～3月)'!$D$26:$D$267,$B41,'内訳ﾘｽﾄ(4～3月)'!G$26:G$267)</f>
        <v>500000</v>
      </c>
      <c r="E41" s="157">
        <f>SUMIF('内訳ﾘｽﾄ(4～3月)'!$D$26:$D$267,$B41,'内訳ﾘｽﾄ(4～3月)'!H$26:H$267)</f>
        <v>500000</v>
      </c>
      <c r="F41" s="157">
        <f>SUMIF('内訳ﾘｽﾄ(4～3月)'!$D$26:$D$267,$B41,'内訳ﾘｽﾄ(4～3月)'!I$26:I$267)</f>
        <v>500000</v>
      </c>
      <c r="G41" s="157">
        <f>SUMIF('内訳ﾘｽﾄ(4～3月)'!$D$26:$D$267,$B41,'内訳ﾘｽﾄ(4～3月)'!J$26:J$267)</f>
        <v>100000</v>
      </c>
      <c r="H41" s="157">
        <f>SUMIF('内訳ﾘｽﾄ(4～3月)'!$D$26:$D$267,$B41,'内訳ﾘｽﾄ(4～3月)'!K$26:K$267)</f>
        <v>500000</v>
      </c>
      <c r="I41" s="157">
        <f>SUMIF('内訳ﾘｽﾄ(4～3月)'!$D$26:$D$267,$B41,'内訳ﾘｽﾄ(4～3月)'!L$26:L$267)</f>
        <v>500000</v>
      </c>
      <c r="J41" s="157">
        <f>SUMIF('内訳ﾘｽﾄ(4～3月)'!$D$26:$D$267,$B41,'内訳ﾘｽﾄ(4～3月)'!M$26:M$267)</f>
        <v>500000</v>
      </c>
      <c r="K41" s="157">
        <f>SUMIF('内訳ﾘｽﾄ(4～3月)'!$D$26:$D$267,$B41,'内訳ﾘｽﾄ(4～3月)'!N$26:N$267)</f>
        <v>100000</v>
      </c>
      <c r="L41" s="157">
        <f>SUMIF('内訳ﾘｽﾄ(4～3月)'!$D$26:$D$267,$B41,'内訳ﾘｽﾄ(4～3月)'!O$26:O$267)</f>
        <v>500000</v>
      </c>
      <c r="M41" s="157">
        <f>SUMIF('内訳ﾘｽﾄ(4～3月)'!$D$26:$D$267,$B41,'内訳ﾘｽﾄ(4～3月)'!P$26:P$267)</f>
        <v>500000</v>
      </c>
      <c r="N41" s="157">
        <f>SUMIF('内訳ﾘｽﾄ(4～3月)'!$D$26:$D$267,$B41,'内訳ﾘｽﾄ(4～3月)'!Q$26:Q$267)</f>
        <v>500000</v>
      </c>
      <c r="O41" s="157">
        <f>SUMIF('内訳ﾘｽﾄ(4～3月)'!$D$26:$D$267,'採算表(VND)'!$B41,'内訳ﾘｽﾄ(4～3月)'!R$26:R$267)</f>
        <v>4800000</v>
      </c>
      <c r="AQ41" s="74"/>
      <c r="AR41" s="74"/>
      <c r="AS41" s="74"/>
      <c r="AT41" s="74"/>
      <c r="AU41" s="72"/>
      <c r="AV41" s="73"/>
      <c r="AW41" s="73"/>
      <c r="AX41" s="73"/>
      <c r="AY41" s="73"/>
      <c r="BA41" s="75"/>
      <c r="BB41" s="75"/>
      <c r="BC41" s="75"/>
      <c r="BD41" s="75"/>
      <c r="BF41" s="72"/>
      <c r="BG41" s="72"/>
      <c r="BH41" s="72"/>
      <c r="BI41" s="72"/>
    </row>
    <row r="42" spans="1:61" ht="11.25" customHeight="1">
      <c r="A42" s="38"/>
      <c r="B42" s="37" t="s">
        <v>98</v>
      </c>
      <c r="C42" s="157">
        <f>SUMIF('内訳ﾘｽﾄ(4～3月)'!$D$26:$D$267,$B42,'内訳ﾘｽﾄ(4～3月)'!F$26:F$267)</f>
        <v>15449948</v>
      </c>
      <c r="D42" s="157">
        <f>SUMIF('内訳ﾘｽﾄ(4～3月)'!$D$26:$D$267,$B42,'内訳ﾘｽﾄ(4～3月)'!G$26:G$267)</f>
        <v>15449948</v>
      </c>
      <c r="E42" s="157">
        <f>SUMIF('内訳ﾘｽﾄ(4～3月)'!$D$26:$D$267,$B42,'内訳ﾘｽﾄ(4～3月)'!H$26:H$267)</f>
        <v>16249948</v>
      </c>
      <c r="F42" s="157">
        <f>SUMIF('内訳ﾘｽﾄ(4～3月)'!$D$26:$D$267,$B42,'内訳ﾘｽﾄ(4～3月)'!I$26:I$267)</f>
        <v>15849948</v>
      </c>
      <c r="G42" s="157">
        <f>SUMIF('内訳ﾘｽﾄ(4～3月)'!$D$26:$D$267,$B42,'内訳ﾘｽﾄ(4～3月)'!J$26:J$267)</f>
        <v>15545628</v>
      </c>
      <c r="H42" s="157">
        <f>SUMIF('内訳ﾘｽﾄ(4～3月)'!$D$26:$D$267,$B42,'内訳ﾘｽﾄ(4～3月)'!K$26:K$267)</f>
        <v>15628948</v>
      </c>
      <c r="I42" s="157">
        <f>SUMIF('内訳ﾘｽﾄ(4～3月)'!$D$26:$D$267,$B42,'内訳ﾘｽﾄ(4～3月)'!L$26:L$267)</f>
        <v>15628948</v>
      </c>
      <c r="J42" s="157">
        <f>SUMIF('内訳ﾘｽﾄ(4～3月)'!$D$26:$D$267,$B42,'内訳ﾘｽﾄ(4～3月)'!M$26:M$267)</f>
        <v>15628948</v>
      </c>
      <c r="K42" s="157">
        <f>SUMIF('内訳ﾘｽﾄ(4～3月)'!$D$26:$D$267,$B42,'内訳ﾘｽﾄ(4～3月)'!N$26:N$267)</f>
        <v>15642988</v>
      </c>
      <c r="L42" s="157">
        <f>SUMIF('内訳ﾘｽﾄ(4～3月)'!$D$26:$D$267,$B42,'内訳ﾘｽﾄ(4～3月)'!O$26:O$267)</f>
        <v>15628948</v>
      </c>
      <c r="M42" s="157">
        <f>SUMIF('内訳ﾘｽﾄ(4～3月)'!$D$26:$D$267,$B42,'内訳ﾘｽﾄ(4～3月)'!P$26:P$267)</f>
        <v>15628948</v>
      </c>
      <c r="N42" s="157">
        <f>SUMIF('内訳ﾘｽﾄ(4～3月)'!$D$26:$D$267,$B42,'内訳ﾘｽﾄ(4～3月)'!Q$26:Q$267)</f>
        <v>15628948</v>
      </c>
      <c r="O42" s="157">
        <f>SUMIF('内訳ﾘｽﾄ(4～3月)'!$D$26:$D$267,'採算表(VND)'!$B42,'内訳ﾘｽﾄ(4～3月)'!R$26:R$267)</f>
        <v>187962096</v>
      </c>
      <c r="AQ42" s="74"/>
      <c r="AR42" s="74"/>
      <c r="AS42" s="74"/>
      <c r="AT42" s="74"/>
      <c r="AU42" s="72"/>
      <c r="AV42" s="73"/>
      <c r="AW42" s="73"/>
      <c r="AX42" s="73"/>
      <c r="AY42" s="73"/>
      <c r="BA42" s="75"/>
      <c r="BB42" s="75"/>
      <c r="BC42" s="75"/>
      <c r="BD42" s="75"/>
      <c r="BF42" s="76"/>
      <c r="BG42" s="72"/>
      <c r="BH42" s="72"/>
      <c r="BI42" s="72"/>
    </row>
    <row r="43" spans="1:61" ht="11.25" customHeight="1">
      <c r="A43" s="38"/>
      <c r="B43" s="37" t="s">
        <v>99</v>
      </c>
      <c r="C43" s="157">
        <f>SUMIF('内訳ﾘｽﾄ(4～3月)'!$D$26:$D$267,$B43,'内訳ﾘｽﾄ(4～3月)'!F$26:F$267)</f>
        <v>0</v>
      </c>
      <c r="D43" s="157">
        <f>SUMIF('内訳ﾘｽﾄ(4～3月)'!$D$26:$D$267,$B43,'内訳ﾘｽﾄ(4～3月)'!G$26:G$267)</f>
        <v>0</v>
      </c>
      <c r="E43" s="157">
        <f>SUMIF('内訳ﾘｽﾄ(4～3月)'!$D$26:$D$267,$B43,'内訳ﾘｽﾄ(4～3月)'!H$26:H$267)</f>
        <v>0</v>
      </c>
      <c r="F43" s="157">
        <f>SUMIF('内訳ﾘｽﾄ(4～3月)'!$D$26:$D$267,$B43,'内訳ﾘｽﾄ(4～3月)'!I$26:I$267)</f>
        <v>0</v>
      </c>
      <c r="G43" s="157">
        <f>SUMIF('内訳ﾘｽﾄ(4～3月)'!$D$26:$D$267,$B43,'内訳ﾘｽﾄ(4～3月)'!J$26:J$267)</f>
        <v>0</v>
      </c>
      <c r="H43" s="157">
        <f>SUMIF('内訳ﾘｽﾄ(4～3月)'!$D$26:$D$267,$B43,'内訳ﾘｽﾄ(4～3月)'!K$26:K$267)</f>
        <v>0</v>
      </c>
      <c r="I43" s="157">
        <f>SUMIF('内訳ﾘｽﾄ(4～3月)'!$D$26:$D$267,$B43,'内訳ﾘｽﾄ(4～3月)'!L$26:L$267)</f>
        <v>0</v>
      </c>
      <c r="J43" s="157">
        <f>SUMIF('内訳ﾘｽﾄ(4～3月)'!$D$26:$D$267,$B43,'内訳ﾘｽﾄ(4～3月)'!M$26:M$267)</f>
        <v>0</v>
      </c>
      <c r="K43" s="157">
        <f>SUMIF('内訳ﾘｽﾄ(4～3月)'!$D$26:$D$267,$B43,'内訳ﾘｽﾄ(4～3月)'!N$26:N$267)</f>
        <v>0</v>
      </c>
      <c r="L43" s="157">
        <f>SUMIF('内訳ﾘｽﾄ(4～3月)'!$D$26:$D$267,$B43,'内訳ﾘｽﾄ(4～3月)'!O$26:O$267)</f>
        <v>0</v>
      </c>
      <c r="M43" s="157">
        <f>SUMIF('内訳ﾘｽﾄ(4～3月)'!$D$26:$D$267,$B43,'内訳ﾘｽﾄ(4～3月)'!P$26:P$267)</f>
        <v>0</v>
      </c>
      <c r="N43" s="157">
        <f>SUMIF('内訳ﾘｽﾄ(4～3月)'!$D$26:$D$267,$B43,'内訳ﾘｽﾄ(4～3月)'!Q$26:Q$267)</f>
        <v>0</v>
      </c>
      <c r="O43" s="157">
        <f>SUMIF('内訳ﾘｽﾄ(4～3月)'!$D$26:$D$267,'採算表(VND)'!$B43,'内訳ﾘｽﾄ(4～3月)'!R$26:R$267)</f>
        <v>0</v>
      </c>
      <c r="AQ43" s="74"/>
      <c r="AR43" s="74"/>
      <c r="AS43" s="74"/>
      <c r="AT43" s="74"/>
      <c r="AU43" s="72"/>
      <c r="AV43" s="73"/>
      <c r="AW43" s="73"/>
      <c r="AX43" s="73"/>
      <c r="AY43" s="73"/>
      <c r="BA43" s="75"/>
      <c r="BB43" s="75"/>
      <c r="BC43" s="75"/>
      <c r="BD43" s="75"/>
      <c r="BF43" s="72"/>
      <c r="BG43" s="72"/>
      <c r="BH43" s="72"/>
      <c r="BI43" s="72"/>
    </row>
    <row r="44" spans="1:61" ht="11.25" customHeight="1">
      <c r="A44" s="38"/>
      <c r="B44" s="37" t="s">
        <v>42</v>
      </c>
      <c r="C44" s="157">
        <f>SUMIF('内訳ﾘｽﾄ(4～3月)'!$D$26:$D$267,$B44,'内訳ﾘｽﾄ(4～3月)'!F$26:F$267)</f>
        <v>2640000</v>
      </c>
      <c r="D44" s="157">
        <f>SUMIF('内訳ﾘｽﾄ(4～3月)'!$D$26:$D$267,$B44,'内訳ﾘｽﾄ(4～3月)'!G$26:G$267)</f>
        <v>17568000</v>
      </c>
      <c r="E44" s="157">
        <f>SUMIF('内訳ﾘｽﾄ(4～3月)'!$D$26:$D$267,$B44,'内訳ﾘｽﾄ(4～3月)'!H$26:H$267)</f>
        <v>632000</v>
      </c>
      <c r="F44" s="157">
        <f>SUMIF('内訳ﾘｽﾄ(4～3月)'!$D$26:$D$267,$B44,'内訳ﾘｽﾄ(4～3月)'!I$26:I$267)</f>
        <v>389000</v>
      </c>
      <c r="G44" s="157">
        <f>SUMIF('内訳ﾘｽﾄ(4～3月)'!$D$26:$D$267,$B44,'内訳ﾘｽﾄ(4～3月)'!J$26:J$267)</f>
        <v>1174000</v>
      </c>
      <c r="H44" s="157">
        <f>SUMIF('内訳ﾘｽﾄ(4～3月)'!$D$26:$D$267,$B44,'内訳ﾘｽﾄ(4～3月)'!K$26:K$267)</f>
        <v>1945000</v>
      </c>
      <c r="I44" s="157">
        <f>SUMIF('内訳ﾘｽﾄ(4～3月)'!$D$26:$D$267,$B44,'内訳ﾘｽﾄ(4～3月)'!L$26:L$267)</f>
        <v>3826000</v>
      </c>
      <c r="J44" s="157">
        <f>SUMIF('内訳ﾘｽﾄ(4～3月)'!$D$26:$D$267,$B44,'内訳ﾘｽﾄ(4～3月)'!M$26:M$267)</f>
        <v>1090000</v>
      </c>
      <c r="K44" s="157">
        <f>SUMIF('内訳ﾘｽﾄ(4～3月)'!$D$26:$D$267,$B44,'内訳ﾘｽﾄ(4～3月)'!N$26:N$267)</f>
        <v>1864000</v>
      </c>
      <c r="L44" s="157">
        <f>SUMIF('内訳ﾘｽﾄ(4～3月)'!$D$26:$D$267,$B44,'内訳ﾘｽﾄ(4～3月)'!O$26:O$267)</f>
        <v>2126000</v>
      </c>
      <c r="M44" s="157">
        <f>SUMIF('内訳ﾘｽﾄ(4～3月)'!$D$26:$D$267,$B44,'内訳ﾘｽﾄ(4～3月)'!P$26:P$267)</f>
        <v>900000</v>
      </c>
      <c r="N44" s="157">
        <f>SUMIF('内訳ﾘｽﾄ(4～3月)'!$D$26:$D$267,$B44,'内訳ﾘｽﾄ(4～3月)'!Q$26:Q$267)</f>
        <v>0</v>
      </c>
      <c r="O44" s="157">
        <f>SUMIF('内訳ﾘｽﾄ(4～3月)'!$D$26:$D$267,'採算表(VND)'!$B44,'内訳ﾘｽﾄ(4～3月)'!R$26:R$267)</f>
        <v>34154000</v>
      </c>
      <c r="AQ44" s="74"/>
      <c r="AR44" s="74"/>
      <c r="AS44" s="74"/>
      <c r="AT44" s="74"/>
      <c r="AU44" s="72"/>
      <c r="AV44" s="73"/>
      <c r="AW44" s="73"/>
      <c r="AX44" s="73"/>
      <c r="AY44" s="73"/>
      <c r="BA44" s="75"/>
      <c r="BB44" s="75"/>
      <c r="BC44" s="75"/>
      <c r="BD44" s="75"/>
      <c r="BF44" s="72"/>
      <c r="BG44" s="72"/>
      <c r="BH44" s="72"/>
      <c r="BI44" s="72"/>
    </row>
    <row r="45" spans="1:61" ht="11.25" customHeight="1">
      <c r="A45" s="38"/>
      <c r="B45" s="37" t="s">
        <v>115</v>
      </c>
      <c r="C45" s="157">
        <f>SUMIF('内訳ﾘｽﾄ(4～3月)'!$D$26:$D$267,$B45,'内訳ﾘｽﾄ(4～3月)'!F$26:F$267)</f>
        <v>0</v>
      </c>
      <c r="D45" s="157">
        <f>SUMIF('内訳ﾘｽﾄ(4～3月)'!$D$26:$D$267,$B45,'内訳ﾘｽﾄ(4～3月)'!G$26:G$267)</f>
        <v>0</v>
      </c>
      <c r="E45" s="157">
        <f>SUMIF('内訳ﾘｽﾄ(4～3月)'!$D$26:$D$267,$B45,'内訳ﾘｽﾄ(4～3月)'!H$26:H$267)</f>
        <v>0</v>
      </c>
      <c r="F45" s="157">
        <f>SUMIF('内訳ﾘｽﾄ(4～3月)'!$D$26:$D$267,$B45,'内訳ﾘｽﾄ(4～3月)'!I$26:I$267)</f>
        <v>1500000</v>
      </c>
      <c r="G45" s="157">
        <f>SUMIF('内訳ﾘｽﾄ(4～3月)'!$D$26:$D$267,$B45,'内訳ﾘｽﾄ(4～3月)'!J$26:J$267)</f>
        <v>0</v>
      </c>
      <c r="H45" s="157">
        <f>SUMIF('内訳ﾘｽﾄ(4～3月)'!$D$26:$D$267,$B45,'内訳ﾘｽﾄ(4～3月)'!K$26:K$267)</f>
        <v>0</v>
      </c>
      <c r="I45" s="157">
        <f>SUMIF('内訳ﾘｽﾄ(4～3月)'!$D$26:$D$267,$B45,'内訳ﾘｽﾄ(4～3月)'!L$26:L$267)</f>
        <v>1400000</v>
      </c>
      <c r="J45" s="157">
        <f>SUMIF('内訳ﾘｽﾄ(4～3月)'!$D$26:$D$267,$B45,'内訳ﾘｽﾄ(4～3月)'!M$26:M$267)</f>
        <v>0</v>
      </c>
      <c r="K45" s="157">
        <f>SUMIF('内訳ﾘｽﾄ(4～3月)'!$D$26:$D$267,$B45,'内訳ﾘｽﾄ(4～3月)'!N$26:N$267)</f>
        <v>1500000</v>
      </c>
      <c r="L45" s="157">
        <f>SUMIF('内訳ﾘｽﾄ(4～3月)'!$D$26:$D$267,$B45,'内訳ﾘｽﾄ(4～3月)'!O$26:O$267)</f>
        <v>0</v>
      </c>
      <c r="M45" s="157">
        <f>SUMIF('内訳ﾘｽﾄ(4～3月)'!$D$26:$D$267,$B45,'内訳ﾘｽﾄ(4～3月)'!P$26:P$267)</f>
        <v>0</v>
      </c>
      <c r="N45" s="157">
        <f>SUMIF('内訳ﾘｽﾄ(4～3月)'!$D$26:$D$267,$B45,'内訳ﾘｽﾄ(4～3月)'!Q$26:Q$267)</f>
        <v>1400000</v>
      </c>
      <c r="O45" s="157">
        <f>SUMIF('内訳ﾘｽﾄ(4～3月)'!$D$26:$D$267,'採算表(VND)'!$B45,'内訳ﾘｽﾄ(4～3月)'!R$26:R$267)</f>
        <v>5800000</v>
      </c>
      <c r="AQ45" s="74"/>
      <c r="AR45" s="74"/>
      <c r="AS45" s="74"/>
      <c r="AT45" s="74"/>
      <c r="AU45" s="72"/>
      <c r="AV45" s="73"/>
      <c r="AW45" s="73"/>
      <c r="AX45" s="73"/>
      <c r="AY45" s="73"/>
      <c r="BA45" s="75"/>
      <c r="BB45" s="75"/>
      <c r="BC45" s="75"/>
      <c r="BD45" s="75"/>
      <c r="BF45" s="72"/>
      <c r="BG45" s="72"/>
      <c r="BH45" s="72"/>
      <c r="BI45" s="72"/>
    </row>
    <row r="46" spans="1:61" ht="11.25" customHeight="1">
      <c r="A46" s="38"/>
      <c r="B46" s="37" t="s">
        <v>116</v>
      </c>
      <c r="C46" s="157">
        <f>SUMIF('内訳ﾘｽﾄ(4～3月)'!$D$26:$D$267,$B46,'内訳ﾘｽﾄ(4～3月)'!F$26:F$267)</f>
        <v>0</v>
      </c>
      <c r="D46" s="157">
        <f>SUMIF('内訳ﾘｽﾄ(4～3月)'!$D$26:$D$267,$B46,'内訳ﾘｽﾄ(4～3月)'!G$26:G$267)</f>
        <v>0</v>
      </c>
      <c r="E46" s="157">
        <f>SUMIF('内訳ﾘｽﾄ(4～3月)'!$D$26:$D$267,$B46,'内訳ﾘｽﾄ(4～3月)'!H$26:H$267)</f>
        <v>0</v>
      </c>
      <c r="F46" s="157">
        <f>SUMIF('内訳ﾘｽﾄ(4～3月)'!$D$26:$D$267,$B46,'内訳ﾘｽﾄ(4～3月)'!I$26:I$267)</f>
        <v>0</v>
      </c>
      <c r="G46" s="157">
        <f>SUMIF('内訳ﾘｽﾄ(4～3月)'!$D$26:$D$267,$B46,'内訳ﾘｽﾄ(4～3月)'!J$26:J$267)</f>
        <v>0</v>
      </c>
      <c r="H46" s="157">
        <f>SUMIF('内訳ﾘｽﾄ(4～3月)'!$D$26:$D$267,$B46,'内訳ﾘｽﾄ(4～3月)'!K$26:K$267)</f>
        <v>0</v>
      </c>
      <c r="I46" s="157">
        <f>SUMIF('内訳ﾘｽﾄ(4～3月)'!$D$26:$D$267,$B46,'内訳ﾘｽﾄ(4～3月)'!L$26:L$267)</f>
        <v>0</v>
      </c>
      <c r="J46" s="157">
        <f>SUMIF('内訳ﾘｽﾄ(4～3月)'!$D$26:$D$267,$B46,'内訳ﾘｽﾄ(4～3月)'!M$26:M$267)</f>
        <v>0</v>
      </c>
      <c r="K46" s="157">
        <f>SUMIF('内訳ﾘｽﾄ(4～3月)'!$D$26:$D$267,$B46,'内訳ﾘｽﾄ(4～3月)'!N$26:N$267)</f>
        <v>0</v>
      </c>
      <c r="L46" s="157">
        <f>SUMIF('内訳ﾘｽﾄ(4～3月)'!$D$26:$D$267,$B46,'内訳ﾘｽﾄ(4～3月)'!O$26:O$267)</f>
        <v>0</v>
      </c>
      <c r="M46" s="157">
        <f>SUMIF('内訳ﾘｽﾄ(4～3月)'!$D$26:$D$267,$B46,'内訳ﾘｽﾄ(4～3月)'!P$26:P$267)</f>
        <v>0</v>
      </c>
      <c r="N46" s="157">
        <f>SUMIF('内訳ﾘｽﾄ(4～3月)'!$D$26:$D$267,$B46,'内訳ﾘｽﾄ(4～3月)'!Q$26:Q$267)</f>
        <v>0</v>
      </c>
      <c r="O46" s="157">
        <f>SUMIF('内訳ﾘｽﾄ(4～3月)'!$D$26:$D$267,'採算表(VND)'!$B46,'内訳ﾘｽﾄ(4～3月)'!R$26:R$267)</f>
        <v>0</v>
      </c>
      <c r="AQ46" s="74"/>
      <c r="AR46" s="74"/>
      <c r="AS46" s="74"/>
      <c r="AT46" s="74"/>
      <c r="AU46" s="72"/>
      <c r="AV46" s="73"/>
      <c r="AW46" s="73"/>
      <c r="AX46" s="73"/>
      <c r="AY46" s="73"/>
      <c r="BA46" s="75"/>
      <c r="BB46" s="75"/>
      <c r="BC46" s="75"/>
      <c r="BD46" s="75"/>
      <c r="BF46" s="72"/>
      <c r="BG46" s="72"/>
      <c r="BH46" s="72"/>
      <c r="BI46" s="72"/>
    </row>
    <row r="47" spans="1:61" ht="11.25" customHeight="1">
      <c r="A47" s="38"/>
      <c r="B47" s="37" t="s">
        <v>117</v>
      </c>
      <c r="C47" s="157">
        <f>SUMIF('内訳ﾘｽﾄ(4～3月)'!$D$26:$D$267,$B47,'内訳ﾘｽﾄ(4～3月)'!F$26:F$267)</f>
        <v>0</v>
      </c>
      <c r="D47" s="157">
        <f>SUMIF('内訳ﾘｽﾄ(4～3月)'!$D$26:$D$267,$B47,'内訳ﾘｽﾄ(4～3月)'!G$26:G$267)</f>
        <v>0</v>
      </c>
      <c r="E47" s="157">
        <f>SUMIF('内訳ﾘｽﾄ(4～3月)'!$D$26:$D$267,$B47,'内訳ﾘｽﾄ(4～3月)'!H$26:H$267)</f>
        <v>0</v>
      </c>
      <c r="F47" s="157">
        <f>SUMIF('内訳ﾘｽﾄ(4～3月)'!$D$26:$D$267,$B47,'内訳ﾘｽﾄ(4～3月)'!I$26:I$267)</f>
        <v>0</v>
      </c>
      <c r="G47" s="157">
        <f>SUMIF('内訳ﾘｽﾄ(4～3月)'!$D$26:$D$267,$B47,'内訳ﾘｽﾄ(4～3月)'!J$26:J$267)</f>
        <v>0</v>
      </c>
      <c r="H47" s="157">
        <f>SUMIF('内訳ﾘｽﾄ(4～3月)'!$D$26:$D$267,$B47,'内訳ﾘｽﾄ(4～3月)'!K$26:K$267)</f>
        <v>0</v>
      </c>
      <c r="I47" s="157">
        <f>SUMIF('内訳ﾘｽﾄ(4～3月)'!$D$26:$D$267,$B47,'内訳ﾘｽﾄ(4～3月)'!L$26:L$267)</f>
        <v>0</v>
      </c>
      <c r="J47" s="157">
        <f>SUMIF('内訳ﾘｽﾄ(4～3月)'!$D$26:$D$267,$B47,'内訳ﾘｽﾄ(4～3月)'!M$26:M$267)</f>
        <v>0</v>
      </c>
      <c r="K47" s="157">
        <f>SUMIF('内訳ﾘｽﾄ(4～3月)'!$D$26:$D$267,$B47,'内訳ﾘｽﾄ(4～3月)'!N$26:N$267)</f>
        <v>0</v>
      </c>
      <c r="L47" s="157">
        <f>SUMIF('内訳ﾘｽﾄ(4～3月)'!$D$26:$D$267,$B47,'内訳ﾘｽﾄ(4～3月)'!O$26:O$267)</f>
        <v>0</v>
      </c>
      <c r="M47" s="157">
        <f>SUMIF('内訳ﾘｽﾄ(4～3月)'!$D$26:$D$267,$B47,'内訳ﾘｽﾄ(4～3月)'!P$26:P$267)</f>
        <v>0</v>
      </c>
      <c r="N47" s="157">
        <f>SUMIF('内訳ﾘｽﾄ(4～3月)'!$D$26:$D$267,$B47,'内訳ﾘｽﾄ(4～3月)'!Q$26:Q$267)</f>
        <v>0</v>
      </c>
      <c r="O47" s="157">
        <f>SUMIF('内訳ﾘｽﾄ(4～3月)'!$D$26:$D$267,'採算表(VND)'!$B47,'内訳ﾘｽﾄ(4～3月)'!R$26:R$267)</f>
        <v>0</v>
      </c>
      <c r="AQ47" s="74"/>
      <c r="AR47" s="74"/>
      <c r="AS47" s="74"/>
      <c r="AT47" s="74"/>
      <c r="AU47" s="72"/>
      <c r="AV47" s="73"/>
      <c r="AW47" s="73"/>
      <c r="AX47" s="73"/>
      <c r="AY47" s="73"/>
      <c r="BA47" s="75"/>
      <c r="BB47" s="75"/>
      <c r="BC47" s="75"/>
      <c r="BD47" s="75"/>
      <c r="BF47" s="72"/>
      <c r="BG47" s="72"/>
      <c r="BH47" s="72"/>
      <c r="BI47" s="72"/>
    </row>
    <row r="48" spans="1:61" ht="11.25" customHeight="1">
      <c r="A48" s="38"/>
      <c r="B48" s="37" t="s">
        <v>53</v>
      </c>
      <c r="C48" s="157">
        <f>SUMIF('内訳ﾘｽﾄ(4～3月)'!$D$26:$D$267,$B48,'内訳ﾘｽﾄ(4～3月)'!F$26:F$267)</f>
        <v>0</v>
      </c>
      <c r="D48" s="157">
        <f>SUMIF('内訳ﾘｽﾄ(4～3月)'!$D$26:$D$267,$B48,'内訳ﾘｽﾄ(4～3月)'!G$26:G$267)</f>
        <v>0</v>
      </c>
      <c r="E48" s="157">
        <f>SUMIF('内訳ﾘｽﾄ(4～3月)'!$D$26:$D$267,$B48,'内訳ﾘｽﾄ(4～3月)'!H$26:H$267)</f>
        <v>0</v>
      </c>
      <c r="F48" s="157">
        <f>SUMIF('内訳ﾘｽﾄ(4～3月)'!$D$26:$D$267,$B48,'内訳ﾘｽﾄ(4～3月)'!I$26:I$267)</f>
        <v>0</v>
      </c>
      <c r="G48" s="157">
        <f>SUMIF('内訳ﾘｽﾄ(4～3月)'!$D$26:$D$267,$B48,'内訳ﾘｽﾄ(4～3月)'!J$26:J$267)</f>
        <v>0</v>
      </c>
      <c r="H48" s="157">
        <f>SUMIF('内訳ﾘｽﾄ(4～3月)'!$D$26:$D$267,$B48,'内訳ﾘｽﾄ(4～3月)'!K$26:K$267)</f>
        <v>0</v>
      </c>
      <c r="I48" s="157">
        <f>SUMIF('内訳ﾘｽﾄ(4～3月)'!$D$26:$D$267,$B48,'内訳ﾘｽﾄ(4～3月)'!L$26:L$267)</f>
        <v>0</v>
      </c>
      <c r="J48" s="157">
        <f>SUMIF('内訳ﾘｽﾄ(4～3月)'!$D$26:$D$267,$B48,'内訳ﾘｽﾄ(4～3月)'!M$26:M$267)</f>
        <v>0</v>
      </c>
      <c r="K48" s="157">
        <f>SUMIF('内訳ﾘｽﾄ(4～3月)'!$D$26:$D$267,$B48,'内訳ﾘｽﾄ(4～3月)'!N$26:N$267)</f>
        <v>0</v>
      </c>
      <c r="L48" s="157">
        <f>SUMIF('内訳ﾘｽﾄ(4～3月)'!$D$26:$D$267,$B48,'内訳ﾘｽﾄ(4～3月)'!O$26:O$267)</f>
        <v>0</v>
      </c>
      <c r="M48" s="157">
        <f>SUMIF('内訳ﾘｽﾄ(4～3月)'!$D$26:$D$267,$B48,'内訳ﾘｽﾄ(4～3月)'!P$26:P$267)</f>
        <v>0</v>
      </c>
      <c r="N48" s="157">
        <f>SUMIF('内訳ﾘｽﾄ(4～3月)'!$D$26:$D$267,$B48,'内訳ﾘｽﾄ(4～3月)'!Q$26:Q$267)</f>
        <v>0</v>
      </c>
      <c r="O48" s="157">
        <f>SUMIF('内訳ﾘｽﾄ(4～3月)'!$D$26:$D$267,'採算表(VND)'!$B48,'内訳ﾘｽﾄ(4～3月)'!R$26:R$267)</f>
        <v>0</v>
      </c>
      <c r="AQ48" s="74"/>
      <c r="AR48" s="74"/>
      <c r="AS48" s="74"/>
      <c r="AT48" s="74"/>
      <c r="AU48" s="72"/>
      <c r="AV48" s="73"/>
      <c r="AW48" s="73"/>
      <c r="AX48" s="73"/>
      <c r="AY48" s="73"/>
      <c r="BA48" s="75"/>
      <c r="BB48" s="75"/>
      <c r="BC48" s="75"/>
      <c r="BD48" s="75"/>
      <c r="BF48" s="72"/>
      <c r="BG48" s="72"/>
      <c r="BH48" s="72"/>
      <c r="BI48" s="72"/>
    </row>
    <row r="49" spans="1:61" ht="11.25" customHeight="1">
      <c r="A49" s="38"/>
      <c r="B49" s="37" t="s">
        <v>64</v>
      </c>
      <c r="C49" s="157">
        <f>SUMIF('内訳ﾘｽﾄ(4～3月)'!$D$26:$D$267,$B49,'内訳ﾘｽﾄ(4～3月)'!F$26:F$267)</f>
        <v>0</v>
      </c>
      <c r="D49" s="157">
        <f>SUMIF('内訳ﾘｽﾄ(4～3月)'!$D$26:$D$267,$B49,'内訳ﾘｽﾄ(4～3月)'!G$26:G$267)</f>
        <v>0</v>
      </c>
      <c r="E49" s="157">
        <f>SUMIF('内訳ﾘｽﾄ(4～3月)'!$D$26:$D$267,$B49,'内訳ﾘｽﾄ(4～3月)'!H$26:H$267)</f>
        <v>0</v>
      </c>
      <c r="F49" s="157">
        <f>SUMIF('内訳ﾘｽﾄ(4～3月)'!$D$26:$D$267,$B49,'内訳ﾘｽﾄ(4～3月)'!I$26:I$267)</f>
        <v>0</v>
      </c>
      <c r="G49" s="157">
        <f>SUMIF('内訳ﾘｽﾄ(4～3月)'!$D$26:$D$267,$B49,'内訳ﾘｽﾄ(4～3月)'!J$26:J$267)</f>
        <v>0</v>
      </c>
      <c r="H49" s="157">
        <f>SUMIF('内訳ﾘｽﾄ(4～3月)'!$D$26:$D$267,$B49,'内訳ﾘｽﾄ(4～3月)'!K$26:K$267)</f>
        <v>0</v>
      </c>
      <c r="I49" s="157">
        <f>SUMIF('内訳ﾘｽﾄ(4～3月)'!$D$26:$D$267,$B49,'内訳ﾘｽﾄ(4～3月)'!L$26:L$267)</f>
        <v>0</v>
      </c>
      <c r="J49" s="157">
        <f>SUMIF('内訳ﾘｽﾄ(4～3月)'!$D$26:$D$267,$B49,'内訳ﾘｽﾄ(4～3月)'!M$26:M$267)</f>
        <v>0</v>
      </c>
      <c r="K49" s="157">
        <f>SUMIF('内訳ﾘｽﾄ(4～3月)'!$D$26:$D$267,$B49,'内訳ﾘｽﾄ(4～3月)'!N$26:N$267)</f>
        <v>0</v>
      </c>
      <c r="L49" s="157">
        <f>SUMIF('内訳ﾘｽﾄ(4～3月)'!$D$26:$D$267,$B49,'内訳ﾘｽﾄ(4～3月)'!O$26:O$267)</f>
        <v>0</v>
      </c>
      <c r="M49" s="157">
        <f>SUMIF('内訳ﾘｽﾄ(4～3月)'!$D$26:$D$267,$B49,'内訳ﾘｽﾄ(4～3月)'!P$26:P$267)</f>
        <v>0</v>
      </c>
      <c r="N49" s="157">
        <f>SUMIF('内訳ﾘｽﾄ(4～3月)'!$D$26:$D$267,$B49,'内訳ﾘｽﾄ(4～3月)'!Q$26:Q$267)</f>
        <v>0</v>
      </c>
      <c r="O49" s="157">
        <f>SUMIF('内訳ﾘｽﾄ(4～3月)'!$D$26:$D$267,'採算表(VND)'!$B49,'内訳ﾘｽﾄ(4～3月)'!R$26:R$267)</f>
        <v>0</v>
      </c>
      <c r="AQ49" s="74"/>
      <c r="AR49" s="74"/>
      <c r="AS49" s="74"/>
      <c r="AT49" s="74"/>
      <c r="AU49" s="72"/>
      <c r="AV49" s="73"/>
      <c r="AW49" s="73"/>
      <c r="AX49" s="73"/>
      <c r="AY49" s="73"/>
      <c r="BA49" s="75"/>
      <c r="BB49" s="75"/>
      <c r="BC49" s="75"/>
      <c r="BD49" s="75"/>
      <c r="BF49" s="72"/>
      <c r="BG49" s="72"/>
      <c r="BH49" s="72"/>
      <c r="BI49" s="72"/>
    </row>
    <row r="50" spans="1:61" ht="11.25" customHeight="1">
      <c r="A50" s="38"/>
      <c r="B50" s="37" t="s">
        <v>62</v>
      </c>
      <c r="C50" s="157">
        <f>SUMIF('内訳ﾘｽﾄ(4～3月)'!$D$26:$D$267,$B50,'内訳ﾘｽﾄ(4～3月)'!F$26:F$267)</f>
        <v>0</v>
      </c>
      <c r="D50" s="157">
        <f>SUMIF('内訳ﾘｽﾄ(4～3月)'!$D$26:$D$267,$B50,'内訳ﾘｽﾄ(4～3月)'!G$26:G$267)</f>
        <v>0</v>
      </c>
      <c r="E50" s="157">
        <f>SUMIF('内訳ﾘｽﾄ(4～3月)'!$D$26:$D$267,$B50,'内訳ﾘｽﾄ(4～3月)'!H$26:H$267)</f>
        <v>0</v>
      </c>
      <c r="F50" s="157">
        <f>SUMIF('内訳ﾘｽﾄ(4～3月)'!$D$26:$D$267,$B50,'内訳ﾘｽﾄ(4～3月)'!I$26:I$267)</f>
        <v>0</v>
      </c>
      <c r="G50" s="157">
        <f>SUMIF('内訳ﾘｽﾄ(4～3月)'!$D$26:$D$267,$B50,'内訳ﾘｽﾄ(4～3月)'!J$26:J$267)</f>
        <v>0</v>
      </c>
      <c r="H50" s="157">
        <f>SUMIF('内訳ﾘｽﾄ(4～3月)'!$D$26:$D$267,$B50,'内訳ﾘｽﾄ(4～3月)'!K$26:K$267)</f>
        <v>0</v>
      </c>
      <c r="I50" s="157">
        <f>SUMIF('内訳ﾘｽﾄ(4～3月)'!$D$26:$D$267,$B50,'内訳ﾘｽﾄ(4～3月)'!L$26:L$267)</f>
        <v>0</v>
      </c>
      <c r="J50" s="157">
        <f>SUMIF('内訳ﾘｽﾄ(4～3月)'!$D$26:$D$267,$B50,'内訳ﾘｽﾄ(4～3月)'!M$26:M$267)</f>
        <v>0</v>
      </c>
      <c r="K50" s="157">
        <f>SUMIF('内訳ﾘｽﾄ(4～3月)'!$D$26:$D$267,$B50,'内訳ﾘｽﾄ(4～3月)'!N$26:N$267)</f>
        <v>0</v>
      </c>
      <c r="L50" s="157">
        <f>SUMIF('内訳ﾘｽﾄ(4～3月)'!$D$26:$D$267,$B50,'内訳ﾘｽﾄ(4～3月)'!O$26:O$267)</f>
        <v>0</v>
      </c>
      <c r="M50" s="157">
        <f>SUMIF('内訳ﾘｽﾄ(4～3月)'!$D$26:$D$267,$B50,'内訳ﾘｽﾄ(4～3月)'!P$26:P$267)</f>
        <v>0</v>
      </c>
      <c r="N50" s="157">
        <f>SUMIF('内訳ﾘｽﾄ(4～3月)'!$D$26:$D$267,$B50,'内訳ﾘｽﾄ(4～3月)'!Q$26:Q$267)</f>
        <v>0</v>
      </c>
      <c r="O50" s="157">
        <f>SUMIF('内訳ﾘｽﾄ(4～3月)'!$D$26:$D$267,'採算表(VND)'!$B50,'内訳ﾘｽﾄ(4～3月)'!R$26:R$267)</f>
        <v>0</v>
      </c>
      <c r="AQ50" s="74"/>
      <c r="AR50" s="74"/>
      <c r="AS50" s="74"/>
      <c r="AT50" s="74"/>
      <c r="AU50" s="72"/>
      <c r="AV50" s="73"/>
      <c r="AW50" s="73"/>
      <c r="AX50" s="73"/>
      <c r="AY50" s="73"/>
      <c r="BA50" s="75"/>
      <c r="BB50" s="75"/>
      <c r="BC50" s="75"/>
      <c r="BD50" s="75"/>
      <c r="BF50" s="72"/>
      <c r="BG50" s="72"/>
      <c r="BH50" s="72"/>
      <c r="BI50" s="72"/>
    </row>
    <row r="51" spans="1:61" ht="11.25" customHeight="1">
      <c r="A51" s="38"/>
      <c r="B51" s="39" t="s">
        <v>105</v>
      </c>
      <c r="C51" s="158">
        <f>SUMIF('内訳ﾘｽﾄ(4～3月)'!$D$26:$D$267,$B51,'内訳ﾘｽﾄ(4～3月)'!F$26:F$267)</f>
        <v>0</v>
      </c>
      <c r="D51" s="158">
        <f>SUMIF('内訳ﾘｽﾄ(4～3月)'!$D$26:$D$267,$B51,'内訳ﾘｽﾄ(4～3月)'!G$26:G$267)</f>
        <v>0</v>
      </c>
      <c r="E51" s="158">
        <f>SUMIF('内訳ﾘｽﾄ(4～3月)'!$D$26:$D$267,$B51,'内訳ﾘｽﾄ(4～3月)'!H$26:H$267)</f>
        <v>0</v>
      </c>
      <c r="F51" s="158">
        <f>SUMIF('内訳ﾘｽﾄ(4～3月)'!$D$26:$D$267,$B51,'内訳ﾘｽﾄ(4～3月)'!I$26:I$267)</f>
        <v>0</v>
      </c>
      <c r="G51" s="158">
        <f>SUMIF('内訳ﾘｽﾄ(4～3月)'!$D$26:$D$267,$B51,'内訳ﾘｽﾄ(4～3月)'!J$26:J$267)</f>
        <v>0</v>
      </c>
      <c r="H51" s="158">
        <f>SUMIF('内訳ﾘｽﾄ(4～3月)'!$D$26:$D$267,$B51,'内訳ﾘｽﾄ(4～3月)'!K$26:K$267)</f>
        <v>0</v>
      </c>
      <c r="I51" s="158">
        <f>SUMIF('内訳ﾘｽﾄ(4～3月)'!$D$26:$D$267,$B51,'内訳ﾘｽﾄ(4～3月)'!L$26:L$267)</f>
        <v>0</v>
      </c>
      <c r="J51" s="158">
        <f>SUMIF('内訳ﾘｽﾄ(4～3月)'!$D$26:$D$267,$B51,'内訳ﾘｽﾄ(4～3月)'!M$26:M$267)</f>
        <v>0</v>
      </c>
      <c r="K51" s="158">
        <f>SUMIF('内訳ﾘｽﾄ(4～3月)'!$D$26:$D$267,$B51,'内訳ﾘｽﾄ(4～3月)'!N$26:N$267)</f>
        <v>0</v>
      </c>
      <c r="L51" s="158">
        <f>SUMIF('内訳ﾘｽﾄ(4～3月)'!$D$26:$D$267,$B51,'内訳ﾘｽﾄ(4～3月)'!O$26:O$267)</f>
        <v>0</v>
      </c>
      <c r="M51" s="158">
        <f>SUMIF('内訳ﾘｽﾄ(4～3月)'!$D$26:$D$267,$B51,'内訳ﾘｽﾄ(4～3月)'!P$26:P$267)</f>
        <v>0</v>
      </c>
      <c r="N51" s="158">
        <f>SUMIF('内訳ﾘｽﾄ(4～3月)'!$D$26:$D$267,$B51,'内訳ﾘｽﾄ(4～3月)'!Q$26:Q$267)</f>
        <v>0</v>
      </c>
      <c r="O51" s="158">
        <f>SUMIF('内訳ﾘｽﾄ(4～3月)'!$D$26:$D$267,'採算表(VND)'!$B51,'内訳ﾘｽﾄ(4～3月)'!R$26:R$267)</f>
        <v>0</v>
      </c>
      <c r="AQ51" s="74"/>
      <c r="AR51" s="74"/>
      <c r="AS51" s="74"/>
      <c r="AT51" s="74"/>
      <c r="AU51" s="72"/>
      <c r="AV51" s="73"/>
      <c r="AW51" s="73"/>
      <c r="AX51" s="73"/>
      <c r="AY51" s="73"/>
      <c r="BA51" s="75"/>
      <c r="BB51" s="75"/>
      <c r="BC51" s="75"/>
      <c r="BD51" s="75"/>
      <c r="BF51" s="72"/>
      <c r="BG51" s="72"/>
      <c r="BH51" s="72"/>
      <c r="BI51" s="72"/>
    </row>
    <row r="52" spans="1:61" ht="11.25" customHeight="1">
      <c r="A52" s="38"/>
      <c r="B52" s="37" t="s">
        <v>118</v>
      </c>
      <c r="C52" s="159">
        <f>SUMIF('内訳ﾘｽﾄ(4～3月)'!$D$26:$D$267,$B52,'内訳ﾘｽﾄ(4～3月)'!F$26:F$267)</f>
        <v>0</v>
      </c>
      <c r="D52" s="159">
        <f>SUMIF('内訳ﾘｽﾄ(4～3月)'!$D$26:$D$267,$B52,'内訳ﾘｽﾄ(4～3月)'!G$26:G$267)</f>
        <v>0</v>
      </c>
      <c r="E52" s="159">
        <f>SUMIF('内訳ﾘｽﾄ(4～3月)'!$D$26:$D$267,$B52,'内訳ﾘｽﾄ(4～3月)'!H$26:H$267)</f>
        <v>0</v>
      </c>
      <c r="F52" s="159">
        <f>SUMIF('内訳ﾘｽﾄ(4～3月)'!$D$26:$D$267,$B52,'内訳ﾘｽﾄ(4～3月)'!I$26:I$267)</f>
        <v>0</v>
      </c>
      <c r="G52" s="159">
        <f>SUMIF('内訳ﾘｽﾄ(4～3月)'!$D$26:$D$267,$B52,'内訳ﾘｽﾄ(4～3月)'!J$26:J$267)</f>
        <v>0</v>
      </c>
      <c r="H52" s="159">
        <f>SUMIF('内訳ﾘｽﾄ(4～3月)'!$D$26:$D$267,$B52,'内訳ﾘｽﾄ(4～3月)'!K$26:K$267)</f>
        <v>0</v>
      </c>
      <c r="I52" s="159">
        <f>SUMIF('内訳ﾘｽﾄ(4～3月)'!$D$26:$D$267,$B52,'内訳ﾘｽﾄ(4～3月)'!L$26:L$267)</f>
        <v>0</v>
      </c>
      <c r="J52" s="159">
        <f>SUMIF('内訳ﾘｽﾄ(4～3月)'!$D$26:$D$267,$B52,'内訳ﾘｽﾄ(4～3月)'!M$26:M$267)</f>
        <v>0</v>
      </c>
      <c r="K52" s="159">
        <f>SUMIF('内訳ﾘｽﾄ(4～3月)'!$D$26:$D$267,$B52,'内訳ﾘｽﾄ(4～3月)'!N$26:N$267)</f>
        <v>0</v>
      </c>
      <c r="L52" s="159">
        <f>SUMIF('内訳ﾘｽﾄ(4～3月)'!$D$26:$D$267,$B52,'内訳ﾘｽﾄ(4～3月)'!O$26:O$267)</f>
        <v>0</v>
      </c>
      <c r="M52" s="159">
        <f>SUMIF('内訳ﾘｽﾄ(4～3月)'!$D$26:$D$267,$B52,'内訳ﾘｽﾄ(4～3月)'!P$26:P$267)</f>
        <v>0</v>
      </c>
      <c r="N52" s="159">
        <f>SUMIF('内訳ﾘｽﾄ(4～3月)'!$D$26:$D$267,$B52,'内訳ﾘｽﾄ(4～3月)'!Q$26:Q$267)</f>
        <v>0</v>
      </c>
      <c r="O52" s="159">
        <f>SUMIF('内訳ﾘｽﾄ(4～3月)'!$D$26:$D$267,'採算表(VND)'!$B52,'内訳ﾘｽﾄ(4～3月)'!R$26:R$267)</f>
        <v>0</v>
      </c>
      <c r="AQ52" s="74"/>
      <c r="AR52" s="74"/>
      <c r="AS52" s="74"/>
      <c r="AT52" s="74"/>
      <c r="AU52" s="72"/>
      <c r="AV52" s="73"/>
      <c r="AW52" s="73"/>
      <c r="AX52" s="73"/>
      <c r="AY52" s="73"/>
      <c r="BA52" s="75"/>
      <c r="BB52" s="75"/>
      <c r="BC52" s="75"/>
      <c r="BD52" s="75"/>
      <c r="BF52" s="72"/>
      <c r="BG52" s="72"/>
      <c r="BH52" s="72"/>
      <c r="BI52" s="72"/>
    </row>
    <row r="53" spans="1:61" ht="11.25" customHeight="1">
      <c r="A53" s="38"/>
      <c r="B53" s="37" t="s">
        <v>119</v>
      </c>
      <c r="C53" s="159">
        <f>SUMIF('内訳ﾘｽﾄ(4～3月)'!$D$26:$D$267,$B53,'内訳ﾘｽﾄ(4～3月)'!F$26:F$267)</f>
        <v>0</v>
      </c>
      <c r="D53" s="159">
        <f>SUMIF('内訳ﾘｽﾄ(4～3月)'!$D$26:$D$267,$B53,'内訳ﾘｽﾄ(4～3月)'!G$26:G$267)</f>
        <v>0</v>
      </c>
      <c r="E53" s="159">
        <f>SUMIF('内訳ﾘｽﾄ(4～3月)'!$D$26:$D$267,$B53,'内訳ﾘｽﾄ(4～3月)'!H$26:H$267)</f>
        <v>0</v>
      </c>
      <c r="F53" s="159">
        <f>SUMIF('内訳ﾘｽﾄ(4～3月)'!$D$26:$D$267,$B53,'内訳ﾘｽﾄ(4～3月)'!I$26:I$267)</f>
        <v>0</v>
      </c>
      <c r="G53" s="159">
        <f>SUMIF('内訳ﾘｽﾄ(4～3月)'!$D$26:$D$267,$B53,'内訳ﾘｽﾄ(4～3月)'!J$26:J$267)</f>
        <v>0</v>
      </c>
      <c r="H53" s="159">
        <f>SUMIF('内訳ﾘｽﾄ(4～3月)'!$D$26:$D$267,$B53,'内訳ﾘｽﾄ(4～3月)'!K$26:K$267)</f>
        <v>0</v>
      </c>
      <c r="I53" s="159">
        <f>SUMIF('内訳ﾘｽﾄ(4～3月)'!$D$26:$D$267,$B53,'内訳ﾘｽﾄ(4～3月)'!L$26:L$267)</f>
        <v>0</v>
      </c>
      <c r="J53" s="159">
        <f>SUMIF('内訳ﾘｽﾄ(4～3月)'!$D$26:$D$267,$B53,'内訳ﾘｽﾄ(4～3月)'!M$26:M$267)</f>
        <v>0</v>
      </c>
      <c r="K53" s="159">
        <f>SUMIF('内訳ﾘｽﾄ(4～3月)'!$D$26:$D$267,$B53,'内訳ﾘｽﾄ(4～3月)'!N$26:N$267)</f>
        <v>0</v>
      </c>
      <c r="L53" s="159">
        <f>SUMIF('内訳ﾘｽﾄ(4～3月)'!$D$26:$D$267,$B53,'内訳ﾘｽﾄ(4～3月)'!O$26:O$267)</f>
        <v>0</v>
      </c>
      <c r="M53" s="159">
        <f>SUMIF('内訳ﾘｽﾄ(4～3月)'!$D$26:$D$267,$B53,'内訳ﾘｽﾄ(4～3月)'!P$26:P$267)</f>
        <v>0</v>
      </c>
      <c r="N53" s="159">
        <f>SUMIF('内訳ﾘｽﾄ(4～3月)'!$D$26:$D$267,$B53,'内訳ﾘｽﾄ(4～3月)'!Q$26:Q$267)</f>
        <v>0</v>
      </c>
      <c r="O53" s="159">
        <f>SUMIF('内訳ﾘｽﾄ(4～3月)'!$D$26:$D$267,'採算表(VND)'!$B53,'内訳ﾘｽﾄ(4～3月)'!R$26:R$267)</f>
        <v>0</v>
      </c>
      <c r="AQ53" s="74"/>
      <c r="AR53" s="74"/>
      <c r="AS53" s="74"/>
      <c r="AT53" s="74"/>
      <c r="AU53" s="72"/>
      <c r="AV53" s="73"/>
      <c r="AW53" s="73"/>
      <c r="AX53" s="73"/>
      <c r="AY53" s="73"/>
      <c r="BA53" s="75"/>
      <c r="BB53" s="75"/>
      <c r="BC53" s="75"/>
      <c r="BD53" s="75"/>
      <c r="BF53" s="72"/>
      <c r="BG53" s="72"/>
      <c r="BH53" s="72"/>
      <c r="BI53" s="72"/>
    </row>
    <row r="54" spans="1:61" ht="11.25" customHeight="1">
      <c r="A54" s="38"/>
      <c r="B54" s="37" t="s">
        <v>100</v>
      </c>
      <c r="C54" s="159">
        <f>SUMIF('内訳ﾘｽﾄ(4～3月)'!$D$26:$D$267,$B54,'内訳ﾘｽﾄ(4～3月)'!F$26:F$267)</f>
        <v>0</v>
      </c>
      <c r="D54" s="159">
        <f>SUMIF('内訳ﾘｽﾄ(4～3月)'!$D$26:$D$267,$B54,'内訳ﾘｽﾄ(4～3月)'!G$26:G$267)</f>
        <v>0</v>
      </c>
      <c r="E54" s="159">
        <f>SUMIF('内訳ﾘｽﾄ(4～3月)'!$D$26:$D$267,$B54,'内訳ﾘｽﾄ(4～3月)'!H$26:H$267)</f>
        <v>0</v>
      </c>
      <c r="F54" s="159">
        <f>SUMIF('内訳ﾘｽﾄ(4～3月)'!$D$26:$D$267,$B54,'内訳ﾘｽﾄ(4～3月)'!I$26:I$267)</f>
        <v>0</v>
      </c>
      <c r="G54" s="159">
        <f>SUMIF('内訳ﾘｽﾄ(4～3月)'!$D$26:$D$267,$B54,'内訳ﾘｽﾄ(4～3月)'!J$26:J$267)</f>
        <v>0</v>
      </c>
      <c r="H54" s="159">
        <f>SUMIF('内訳ﾘｽﾄ(4～3月)'!$D$26:$D$267,$B54,'内訳ﾘｽﾄ(4～3月)'!K$26:K$267)</f>
        <v>0</v>
      </c>
      <c r="I54" s="159">
        <f>SUMIF('内訳ﾘｽﾄ(4～3月)'!$D$26:$D$267,$B54,'内訳ﾘｽﾄ(4～3月)'!L$26:L$267)</f>
        <v>0</v>
      </c>
      <c r="J54" s="159">
        <f>SUMIF('内訳ﾘｽﾄ(4～3月)'!$D$26:$D$267,$B54,'内訳ﾘｽﾄ(4～3月)'!M$26:M$267)</f>
        <v>0</v>
      </c>
      <c r="K54" s="159">
        <f>SUMIF('内訳ﾘｽﾄ(4～3月)'!$D$26:$D$267,$B54,'内訳ﾘｽﾄ(4～3月)'!N$26:N$267)</f>
        <v>0</v>
      </c>
      <c r="L54" s="159">
        <f>SUMIF('内訳ﾘｽﾄ(4～3月)'!$D$26:$D$267,$B54,'内訳ﾘｽﾄ(4～3月)'!O$26:O$267)</f>
        <v>0</v>
      </c>
      <c r="M54" s="159">
        <f>SUMIF('内訳ﾘｽﾄ(4～3月)'!$D$26:$D$267,$B54,'内訳ﾘｽﾄ(4～3月)'!P$26:P$267)</f>
        <v>0</v>
      </c>
      <c r="N54" s="159">
        <f>SUMIF('内訳ﾘｽﾄ(4～3月)'!$D$26:$D$267,$B54,'内訳ﾘｽﾄ(4～3月)'!Q$26:Q$267)</f>
        <v>0</v>
      </c>
      <c r="O54" s="159">
        <f>SUMIF('内訳ﾘｽﾄ(4～3月)'!$D$26:$D$267,'採算表(VND)'!$B54,'内訳ﾘｽﾄ(4～3月)'!R$26:R$267)</f>
        <v>0</v>
      </c>
      <c r="AQ54" s="74"/>
      <c r="AR54" s="74"/>
      <c r="AS54" s="74"/>
      <c r="AT54" s="74"/>
      <c r="AU54" s="72"/>
      <c r="AV54" s="73"/>
      <c r="AW54" s="73"/>
      <c r="AX54" s="73"/>
      <c r="AY54" s="73"/>
      <c r="BA54" s="75"/>
      <c r="BB54" s="75"/>
      <c r="BC54" s="75"/>
      <c r="BD54" s="75"/>
      <c r="BF54" s="72"/>
      <c r="BG54" s="72"/>
      <c r="BH54" s="72"/>
      <c r="BI54" s="72"/>
    </row>
    <row r="55" spans="1:61" ht="11.25" customHeight="1">
      <c r="A55" s="38"/>
      <c r="B55" s="37" t="s">
        <v>110</v>
      </c>
      <c r="C55" s="159">
        <f>SUMIF('内訳ﾘｽﾄ(4～3月)'!$D$26:$D$267,$B55,'内訳ﾘｽﾄ(4～3月)'!F$26:F$267)</f>
        <v>0</v>
      </c>
      <c r="D55" s="159">
        <f>SUMIF('内訳ﾘｽﾄ(4～3月)'!$D$26:$D$267,$B55,'内訳ﾘｽﾄ(4～3月)'!G$26:G$267)</f>
        <v>0</v>
      </c>
      <c r="E55" s="159">
        <f>SUMIF('内訳ﾘｽﾄ(4～3月)'!$D$26:$D$267,$B55,'内訳ﾘｽﾄ(4～3月)'!H$26:H$267)</f>
        <v>0</v>
      </c>
      <c r="F55" s="159">
        <f>SUMIF('内訳ﾘｽﾄ(4～3月)'!$D$26:$D$267,$B55,'内訳ﾘｽﾄ(4～3月)'!I$26:I$267)</f>
        <v>0</v>
      </c>
      <c r="G55" s="159">
        <f>SUMIF('内訳ﾘｽﾄ(4～3月)'!$D$26:$D$267,$B55,'内訳ﾘｽﾄ(4～3月)'!J$26:J$267)</f>
        <v>0</v>
      </c>
      <c r="H55" s="159">
        <f>SUMIF('内訳ﾘｽﾄ(4～3月)'!$D$26:$D$267,$B55,'内訳ﾘｽﾄ(4～3月)'!K$26:K$267)</f>
        <v>0</v>
      </c>
      <c r="I55" s="159">
        <f>SUMIF('内訳ﾘｽﾄ(4～3月)'!$D$26:$D$267,$B55,'内訳ﾘｽﾄ(4～3月)'!L$26:L$267)</f>
        <v>0</v>
      </c>
      <c r="J55" s="159">
        <f>SUMIF('内訳ﾘｽﾄ(4～3月)'!$D$26:$D$267,$B55,'内訳ﾘｽﾄ(4～3月)'!M$26:M$267)</f>
        <v>0</v>
      </c>
      <c r="K55" s="159">
        <f>SUMIF('内訳ﾘｽﾄ(4～3月)'!$D$26:$D$267,$B55,'内訳ﾘｽﾄ(4～3月)'!N$26:N$267)</f>
        <v>0</v>
      </c>
      <c r="L55" s="159">
        <f>SUMIF('内訳ﾘｽﾄ(4～3月)'!$D$26:$D$267,$B55,'内訳ﾘｽﾄ(4～3月)'!O$26:O$267)</f>
        <v>0</v>
      </c>
      <c r="M55" s="159">
        <f>SUMIF('内訳ﾘｽﾄ(4～3月)'!$D$26:$D$267,$B55,'内訳ﾘｽﾄ(4～3月)'!P$26:P$267)</f>
        <v>0</v>
      </c>
      <c r="N55" s="159">
        <f>SUMIF('内訳ﾘｽﾄ(4～3月)'!$D$26:$D$267,$B55,'内訳ﾘｽﾄ(4～3月)'!Q$26:Q$267)</f>
        <v>0</v>
      </c>
      <c r="O55" s="159">
        <f>SUMIF('内訳ﾘｽﾄ(4～3月)'!$D$26:$D$267,'採算表(VND)'!$B55,'内訳ﾘｽﾄ(4～3月)'!R$26:R$267)</f>
        <v>0</v>
      </c>
      <c r="AQ55" s="74"/>
      <c r="AR55" s="74"/>
      <c r="AS55" s="74"/>
      <c r="AT55" s="74"/>
      <c r="AU55" s="72"/>
      <c r="AV55" s="73"/>
      <c r="AW55" s="73"/>
      <c r="AX55" s="73"/>
      <c r="AY55" s="73"/>
      <c r="BA55" s="75"/>
      <c r="BB55" s="75"/>
      <c r="BC55" s="75"/>
      <c r="BD55" s="75"/>
      <c r="BF55" s="72"/>
      <c r="BG55" s="72"/>
      <c r="BH55" s="72"/>
      <c r="BI55" s="72"/>
    </row>
    <row r="56" spans="1:61" ht="11.25" customHeight="1">
      <c r="A56" s="38"/>
      <c r="B56" s="37" t="s">
        <v>113</v>
      </c>
      <c r="C56" s="159">
        <f>SUMIF('内訳ﾘｽﾄ(4～3月)'!$D$26:$D$267,$B56,'内訳ﾘｽﾄ(4～3月)'!F$26:F$267)</f>
        <v>0</v>
      </c>
      <c r="D56" s="159">
        <f>SUMIF('内訳ﾘｽﾄ(4～3月)'!$D$26:$D$267,$B56,'内訳ﾘｽﾄ(4～3月)'!G$26:G$267)</f>
        <v>0</v>
      </c>
      <c r="E56" s="159">
        <f>SUMIF('内訳ﾘｽﾄ(4～3月)'!$D$26:$D$267,$B56,'内訳ﾘｽﾄ(4～3月)'!H$26:H$267)</f>
        <v>0</v>
      </c>
      <c r="F56" s="159">
        <f>SUMIF('内訳ﾘｽﾄ(4～3月)'!$D$26:$D$267,$B56,'内訳ﾘｽﾄ(4～3月)'!I$26:I$267)</f>
        <v>0</v>
      </c>
      <c r="G56" s="159">
        <f>SUMIF('内訳ﾘｽﾄ(4～3月)'!$D$26:$D$267,$B56,'内訳ﾘｽﾄ(4～3月)'!J$26:J$267)</f>
        <v>0</v>
      </c>
      <c r="H56" s="159">
        <f>SUMIF('内訳ﾘｽﾄ(4～3月)'!$D$26:$D$267,$B56,'内訳ﾘｽﾄ(4～3月)'!K$26:K$267)</f>
        <v>0</v>
      </c>
      <c r="I56" s="159">
        <f>SUMIF('内訳ﾘｽﾄ(4～3月)'!$D$26:$D$267,$B56,'内訳ﾘｽﾄ(4～3月)'!L$26:L$267)</f>
        <v>0</v>
      </c>
      <c r="J56" s="159">
        <f>SUMIF('内訳ﾘｽﾄ(4～3月)'!$D$26:$D$267,$B56,'内訳ﾘｽﾄ(4～3月)'!M$26:M$267)</f>
        <v>0</v>
      </c>
      <c r="K56" s="159">
        <f>SUMIF('内訳ﾘｽﾄ(4～3月)'!$D$26:$D$267,$B56,'内訳ﾘｽﾄ(4～3月)'!N$26:N$267)</f>
        <v>0</v>
      </c>
      <c r="L56" s="159">
        <f>SUMIF('内訳ﾘｽﾄ(4～3月)'!$D$26:$D$267,$B56,'内訳ﾘｽﾄ(4～3月)'!O$26:O$267)</f>
        <v>0</v>
      </c>
      <c r="M56" s="159">
        <f>SUMIF('内訳ﾘｽﾄ(4～3月)'!$D$26:$D$267,$B56,'内訳ﾘｽﾄ(4～3月)'!P$26:P$267)</f>
        <v>0</v>
      </c>
      <c r="N56" s="159">
        <f>SUMIF('内訳ﾘｽﾄ(4～3月)'!$D$26:$D$267,$B56,'内訳ﾘｽﾄ(4～3月)'!Q$26:Q$267)</f>
        <v>0</v>
      </c>
      <c r="O56" s="159">
        <f>SUMIF('内訳ﾘｽﾄ(4～3月)'!$D$26:$D$267,'採算表(VND)'!$B56,'内訳ﾘｽﾄ(4～3月)'!R$26:R$267)</f>
        <v>0</v>
      </c>
      <c r="AQ56" s="74"/>
      <c r="AR56" s="74"/>
      <c r="AS56" s="74"/>
      <c r="AT56" s="74"/>
      <c r="AU56" s="72"/>
      <c r="AV56" s="73"/>
      <c r="AW56" s="73"/>
      <c r="AX56" s="73"/>
      <c r="AY56" s="73"/>
      <c r="BA56" s="75"/>
      <c r="BB56" s="75"/>
      <c r="BC56" s="75"/>
      <c r="BD56" s="75"/>
      <c r="BF56" s="72"/>
      <c r="BG56" s="72"/>
      <c r="BH56" s="72"/>
      <c r="BI56" s="72"/>
    </row>
    <row r="57" spans="1:61" ht="11.25" customHeight="1">
      <c r="A57" s="38"/>
      <c r="B57" s="37" t="s">
        <v>114</v>
      </c>
      <c r="C57" s="159">
        <f>SUMIF('内訳ﾘｽﾄ(4～3月)'!$D$26:$D$267,$B57,'内訳ﾘｽﾄ(4～3月)'!F$26:F$267)</f>
        <v>12405632</v>
      </c>
      <c r="D57" s="159">
        <f>SUMIF('内訳ﾘｽﾄ(4～3月)'!$D$26:$D$267,$B57,'内訳ﾘｽﾄ(4～3月)'!G$26:G$267)</f>
        <v>10309813</v>
      </c>
      <c r="E57" s="159">
        <f>SUMIF('内訳ﾘｽﾄ(4～3月)'!$D$26:$D$267,$B57,'内訳ﾘｽﾄ(4～3月)'!H$26:H$267)</f>
        <v>10292040</v>
      </c>
      <c r="F57" s="159">
        <f>SUMIF('内訳ﾘｽﾄ(4～3月)'!$D$26:$D$267,$B57,'内訳ﾘｽﾄ(4～3月)'!I$26:I$267)</f>
        <v>10299783</v>
      </c>
      <c r="G57" s="159">
        <f>SUMIF('内訳ﾘｽﾄ(4～3月)'!$D$26:$D$267,$B57,'内訳ﾘｽﾄ(4～3月)'!J$26:J$267)</f>
        <v>9817374</v>
      </c>
      <c r="H57" s="159">
        <f>SUMIF('内訳ﾘｽﾄ(4～3月)'!$D$26:$D$267,$B57,'内訳ﾘｽﾄ(4～3月)'!K$26:K$267)</f>
        <v>27668702</v>
      </c>
      <c r="I57" s="159">
        <f>SUMIF('内訳ﾘｽﾄ(4～3月)'!$D$26:$D$267,$B57,'内訳ﾘｽﾄ(4～3月)'!L$26:L$267)</f>
        <v>27668702</v>
      </c>
      <c r="J57" s="159">
        <f>SUMIF('内訳ﾘｽﾄ(4～3月)'!$D$26:$D$267,$B57,'内訳ﾘｽﾄ(4～3月)'!M$26:M$267)</f>
        <v>27668702</v>
      </c>
      <c r="K57" s="159">
        <f>SUMIF('内訳ﾘｽﾄ(4～3月)'!$D$26:$D$267,$B57,'内訳ﾘｽﾄ(4～3月)'!N$26:N$267)</f>
        <v>27662609</v>
      </c>
      <c r="L57" s="159">
        <f>SUMIF('内訳ﾘｽﾄ(4～3月)'!$D$26:$D$267,$B57,'内訳ﾘｽﾄ(4～3月)'!O$26:O$267)</f>
        <v>27661721</v>
      </c>
      <c r="M57" s="159">
        <f>SUMIF('内訳ﾘｽﾄ(4～3月)'!$D$26:$D$267,$B57,'内訳ﾘｽﾄ(4～3月)'!P$26:P$267)</f>
        <v>27661721</v>
      </c>
      <c r="N57" s="159">
        <f>SUMIF('内訳ﾘｽﾄ(4～3月)'!$D$26:$D$267,$B57,'内訳ﾘｽﾄ(4～3月)'!Q$26:Q$267)</f>
        <v>27675558</v>
      </c>
      <c r="O57" s="159">
        <f>SUMIF('内訳ﾘｽﾄ(4～3月)'!$D$26:$D$267,'採算表(VND)'!$B57,'内訳ﾘｽﾄ(4～3月)'!R$26:R$267)</f>
        <v>246792357</v>
      </c>
      <c r="AQ57" s="74"/>
      <c r="AR57" s="74"/>
      <c r="AS57" s="74"/>
      <c r="AT57" s="74"/>
      <c r="AU57" s="72"/>
      <c r="AV57" s="73"/>
      <c r="AW57" s="73"/>
      <c r="AX57" s="73"/>
      <c r="AY57" s="73"/>
      <c r="BA57" s="75"/>
      <c r="BB57" s="75"/>
      <c r="BC57" s="75"/>
      <c r="BD57" s="75"/>
      <c r="BF57" s="72"/>
      <c r="BG57" s="72"/>
      <c r="BH57" s="72"/>
      <c r="BI57" s="72"/>
    </row>
    <row r="58" spans="1:61" ht="11.25" customHeight="1">
      <c r="A58" s="38"/>
      <c r="B58" s="37" t="s">
        <v>122</v>
      </c>
      <c r="C58" s="159">
        <f>SUMIF('内訳ﾘｽﾄ(4～3月)'!$D$26:$D$267,$B58,'内訳ﾘｽﾄ(4～3月)'!F$26:F$267)</f>
        <v>200000</v>
      </c>
      <c r="D58" s="159">
        <f>SUMIF('内訳ﾘｽﾄ(4～3月)'!$D$26:$D$267,$B58,'内訳ﾘｽﾄ(4～3月)'!G$26:G$267)</f>
        <v>200000</v>
      </c>
      <c r="E58" s="159">
        <f>SUMIF('内訳ﾘｽﾄ(4～3月)'!$D$26:$D$267,$B58,'内訳ﾘｽﾄ(4～3月)'!H$26:H$267)</f>
        <v>200000</v>
      </c>
      <c r="F58" s="159">
        <f>SUMIF('内訳ﾘｽﾄ(4～3月)'!$D$26:$D$267,$B58,'内訳ﾘｽﾄ(4～3月)'!I$26:I$267)</f>
        <v>200000</v>
      </c>
      <c r="G58" s="159">
        <f>SUMIF('内訳ﾘｽﾄ(4～3月)'!$D$26:$D$267,$B58,'内訳ﾘｽﾄ(4～3月)'!J$26:J$267)</f>
        <v>200000</v>
      </c>
      <c r="H58" s="159">
        <f>SUMIF('内訳ﾘｽﾄ(4～3月)'!$D$26:$D$267,$B58,'内訳ﾘｽﾄ(4～3月)'!K$26:K$267)</f>
        <v>200000</v>
      </c>
      <c r="I58" s="159">
        <f>SUMIF('内訳ﾘｽﾄ(4～3月)'!$D$26:$D$267,$B58,'内訳ﾘｽﾄ(4～3月)'!L$26:L$267)</f>
        <v>200000</v>
      </c>
      <c r="J58" s="159">
        <f>SUMIF('内訳ﾘｽﾄ(4～3月)'!$D$26:$D$267,$B58,'内訳ﾘｽﾄ(4～3月)'!M$26:M$267)</f>
        <v>200000</v>
      </c>
      <c r="K58" s="159">
        <f>SUMIF('内訳ﾘｽﾄ(4～3月)'!$D$26:$D$267,$B58,'内訳ﾘｽﾄ(4～3月)'!N$26:N$267)</f>
        <v>200000</v>
      </c>
      <c r="L58" s="159">
        <f>SUMIF('内訳ﾘｽﾄ(4～3月)'!$D$26:$D$267,$B58,'内訳ﾘｽﾄ(4～3月)'!O$26:O$267)</f>
        <v>200000</v>
      </c>
      <c r="M58" s="159">
        <f>SUMIF('内訳ﾘｽﾄ(4～3月)'!$D$26:$D$267,$B58,'内訳ﾘｽﾄ(4～3月)'!P$26:P$267)</f>
        <v>200000</v>
      </c>
      <c r="N58" s="159">
        <f>SUMIF('内訳ﾘｽﾄ(4～3月)'!$D$26:$D$267,$B58,'内訳ﾘｽﾄ(4～3月)'!Q$26:Q$267)</f>
        <v>200000</v>
      </c>
      <c r="O58" s="159">
        <f>SUMIF('内訳ﾘｽﾄ(4～3月)'!$D$26:$D$267,'採算表(VND)'!$B58,'内訳ﾘｽﾄ(4～3月)'!R$26:R$267)</f>
        <v>2400000</v>
      </c>
      <c r="AQ58" s="74"/>
      <c r="AR58" s="74"/>
      <c r="AS58" s="74"/>
      <c r="AT58" s="74"/>
      <c r="AU58" s="72"/>
      <c r="AV58" s="73"/>
      <c r="AW58" s="73"/>
      <c r="AX58" s="73"/>
      <c r="AY58" s="73"/>
      <c r="BA58" s="75"/>
      <c r="BB58" s="75"/>
      <c r="BC58" s="75"/>
      <c r="BD58" s="75"/>
      <c r="BF58" s="72"/>
      <c r="BG58" s="72"/>
      <c r="BH58" s="72"/>
      <c r="BI58" s="72"/>
    </row>
    <row r="59" spans="1:61" ht="11.25" customHeight="1">
      <c r="A59" s="38"/>
      <c r="B59" s="37" t="s">
        <v>121</v>
      </c>
      <c r="C59" s="159">
        <f>SUMIF('内訳ﾘｽﾄ(4～3月)'!$D$26:$D$267,$B59,'内訳ﾘｽﾄ(4～3月)'!F$26:F$267)</f>
        <v>0</v>
      </c>
      <c r="D59" s="159">
        <f>SUMIF('内訳ﾘｽﾄ(4～3月)'!$D$26:$D$267,$B59,'内訳ﾘｽﾄ(4～3月)'!G$26:G$267)</f>
        <v>0</v>
      </c>
      <c r="E59" s="159">
        <f>SUMIF('内訳ﾘｽﾄ(4～3月)'!$D$26:$D$267,$B59,'内訳ﾘｽﾄ(4～3月)'!H$26:H$267)</f>
        <v>0</v>
      </c>
      <c r="F59" s="159">
        <f>SUMIF('内訳ﾘｽﾄ(4～3月)'!$D$26:$D$267,$B59,'内訳ﾘｽﾄ(4～3月)'!I$26:I$267)</f>
        <v>0</v>
      </c>
      <c r="G59" s="159">
        <f>SUMIF('内訳ﾘｽﾄ(4～3月)'!$D$26:$D$267,$B59,'内訳ﾘｽﾄ(4～3月)'!J$26:J$267)</f>
        <v>0</v>
      </c>
      <c r="H59" s="159">
        <f>SUMIF('内訳ﾘｽﾄ(4～3月)'!$D$26:$D$267,$B59,'内訳ﾘｽﾄ(4～3月)'!K$26:K$267)</f>
        <v>0</v>
      </c>
      <c r="I59" s="159">
        <f>SUMIF('内訳ﾘｽﾄ(4～3月)'!$D$26:$D$267,$B59,'内訳ﾘｽﾄ(4～3月)'!L$26:L$267)</f>
        <v>0</v>
      </c>
      <c r="J59" s="159">
        <f>SUMIF('内訳ﾘｽﾄ(4～3月)'!$D$26:$D$267,$B59,'内訳ﾘｽﾄ(4～3月)'!M$26:M$267)</f>
        <v>0</v>
      </c>
      <c r="K59" s="159">
        <f>SUMIF('内訳ﾘｽﾄ(4～3月)'!$D$26:$D$267,$B59,'内訳ﾘｽﾄ(4～3月)'!N$26:N$267)</f>
        <v>0</v>
      </c>
      <c r="L59" s="159">
        <f>SUMIF('内訳ﾘｽﾄ(4～3月)'!$D$26:$D$267,$B59,'内訳ﾘｽﾄ(4～3月)'!O$26:O$267)</f>
        <v>0</v>
      </c>
      <c r="M59" s="159">
        <f>SUMIF('内訳ﾘｽﾄ(4～3月)'!$D$26:$D$267,$B59,'内訳ﾘｽﾄ(4～3月)'!P$26:P$267)</f>
        <v>0</v>
      </c>
      <c r="N59" s="159">
        <f>SUMIF('内訳ﾘｽﾄ(4～3月)'!$D$26:$D$267,$B59,'内訳ﾘｽﾄ(4～3月)'!Q$26:Q$267)</f>
        <v>0</v>
      </c>
      <c r="O59" s="159">
        <f>SUMIF('内訳ﾘｽﾄ(4～3月)'!$D$26:$D$267,'採算表(VND)'!$B59,'内訳ﾘｽﾄ(4～3月)'!R$26:R$267)</f>
        <v>0</v>
      </c>
      <c r="AQ59" s="74"/>
      <c r="AR59" s="74"/>
      <c r="AS59" s="74"/>
      <c r="AT59" s="74"/>
      <c r="AU59" s="72"/>
      <c r="AV59" s="73"/>
      <c r="AW59" s="73"/>
      <c r="AX59" s="73"/>
      <c r="AY59" s="73"/>
      <c r="BA59" s="75"/>
      <c r="BB59" s="75"/>
      <c r="BC59" s="75"/>
      <c r="BD59" s="75"/>
      <c r="BF59" s="72"/>
      <c r="BG59" s="72"/>
      <c r="BH59" s="72"/>
      <c r="BI59" s="72"/>
    </row>
    <row r="60" spans="1:61" ht="11.25" customHeight="1">
      <c r="A60" s="38"/>
      <c r="B60" s="37" t="s">
        <v>123</v>
      </c>
      <c r="C60" s="159">
        <f>SUMIF('内訳ﾘｽﾄ(4～3月)'!$D$26:$D$267,$B60,'内訳ﾘｽﾄ(4～3月)'!F$26:F$267)</f>
        <v>0</v>
      </c>
      <c r="D60" s="159">
        <f>SUMIF('内訳ﾘｽﾄ(4～3月)'!$D$26:$D$267,$B60,'内訳ﾘｽﾄ(4～3月)'!G$26:G$267)</f>
        <v>0</v>
      </c>
      <c r="E60" s="159">
        <f>SUMIF('内訳ﾘｽﾄ(4～3月)'!$D$26:$D$267,$B60,'内訳ﾘｽﾄ(4～3月)'!H$26:H$267)</f>
        <v>0</v>
      </c>
      <c r="F60" s="159">
        <f>SUMIF('内訳ﾘｽﾄ(4～3月)'!$D$26:$D$267,$B60,'内訳ﾘｽﾄ(4～3月)'!I$26:I$267)</f>
        <v>0</v>
      </c>
      <c r="G60" s="159">
        <f>SUMIF('内訳ﾘｽﾄ(4～3月)'!$D$26:$D$267,$B60,'内訳ﾘｽﾄ(4～3月)'!J$26:J$267)</f>
        <v>0</v>
      </c>
      <c r="H60" s="159">
        <f>SUMIF('内訳ﾘｽﾄ(4～3月)'!$D$26:$D$267,$B60,'内訳ﾘｽﾄ(4～3月)'!K$26:K$267)</f>
        <v>0</v>
      </c>
      <c r="I60" s="159">
        <f>SUMIF('内訳ﾘｽﾄ(4～3月)'!$D$26:$D$267,$B60,'内訳ﾘｽﾄ(4～3月)'!L$26:L$267)</f>
        <v>0</v>
      </c>
      <c r="J60" s="159">
        <f>SUMIF('内訳ﾘｽﾄ(4～3月)'!$D$26:$D$267,$B60,'内訳ﾘｽﾄ(4～3月)'!M$26:M$267)</f>
        <v>0</v>
      </c>
      <c r="K60" s="159">
        <f>SUMIF('内訳ﾘｽﾄ(4～3月)'!$D$26:$D$267,$B60,'内訳ﾘｽﾄ(4～3月)'!N$26:N$267)</f>
        <v>0</v>
      </c>
      <c r="L60" s="159">
        <f>SUMIF('内訳ﾘｽﾄ(4～3月)'!$D$26:$D$267,$B60,'内訳ﾘｽﾄ(4～3月)'!O$26:O$267)</f>
        <v>0</v>
      </c>
      <c r="M60" s="159">
        <f>SUMIF('内訳ﾘｽﾄ(4～3月)'!$D$26:$D$267,$B60,'内訳ﾘｽﾄ(4～3月)'!P$26:P$267)</f>
        <v>0</v>
      </c>
      <c r="N60" s="159">
        <f>SUMIF('内訳ﾘｽﾄ(4～3月)'!$D$26:$D$267,$B60,'内訳ﾘｽﾄ(4～3月)'!Q$26:Q$267)</f>
        <v>0</v>
      </c>
      <c r="O60" s="159">
        <f>SUMIF('内訳ﾘｽﾄ(4～3月)'!$D$26:$D$267,'採算表(VND)'!$B60,'内訳ﾘｽﾄ(4～3月)'!R$26:R$267)</f>
        <v>0</v>
      </c>
      <c r="AQ60" s="74"/>
      <c r="AR60" s="74"/>
      <c r="AS60" s="74"/>
      <c r="AT60" s="74"/>
      <c r="AU60" s="72"/>
      <c r="AV60" s="73"/>
      <c r="AW60" s="73"/>
      <c r="AX60" s="73"/>
      <c r="AY60" s="73"/>
      <c r="BA60" s="75"/>
      <c r="BB60" s="75"/>
      <c r="BC60" s="75"/>
      <c r="BD60" s="75"/>
      <c r="BF60" s="72"/>
      <c r="BG60" s="72"/>
      <c r="BH60" s="72"/>
      <c r="BI60" s="72"/>
    </row>
    <row r="61" spans="1:61" ht="11.25" customHeight="1">
      <c r="A61" s="38"/>
      <c r="B61" s="37" t="s">
        <v>106</v>
      </c>
      <c r="C61" s="159">
        <f>SUMIF('内訳ﾘｽﾄ(4～3月)'!$D$26:$D$267,$B61,'内訳ﾘｽﾄ(4～3月)'!F$26:F$267)</f>
        <v>0</v>
      </c>
      <c r="D61" s="159">
        <f>SUMIF('内訳ﾘｽﾄ(4～3月)'!$D$26:$D$267,$B61,'内訳ﾘｽﾄ(4～3月)'!G$26:G$267)</f>
        <v>0</v>
      </c>
      <c r="E61" s="159">
        <f>SUMIF('内訳ﾘｽﾄ(4～3月)'!$D$26:$D$267,$B61,'内訳ﾘｽﾄ(4～3月)'!H$26:H$267)</f>
        <v>0</v>
      </c>
      <c r="F61" s="159">
        <f>SUMIF('内訳ﾘｽﾄ(4～3月)'!$D$26:$D$267,$B61,'内訳ﾘｽﾄ(4～3月)'!I$26:I$267)</f>
        <v>0</v>
      </c>
      <c r="G61" s="159">
        <f>SUMIF('内訳ﾘｽﾄ(4～3月)'!$D$26:$D$267,$B61,'内訳ﾘｽﾄ(4～3月)'!J$26:J$267)</f>
        <v>0</v>
      </c>
      <c r="H61" s="159">
        <f>SUMIF('内訳ﾘｽﾄ(4～3月)'!$D$26:$D$267,$B61,'内訳ﾘｽﾄ(4～3月)'!K$26:K$267)</f>
        <v>0</v>
      </c>
      <c r="I61" s="159">
        <f>SUMIF('内訳ﾘｽﾄ(4～3月)'!$D$26:$D$267,$B61,'内訳ﾘｽﾄ(4～3月)'!L$26:L$267)</f>
        <v>0</v>
      </c>
      <c r="J61" s="159">
        <f>SUMIF('内訳ﾘｽﾄ(4～3月)'!$D$26:$D$267,$B61,'内訳ﾘｽﾄ(4～3月)'!M$26:M$267)</f>
        <v>0</v>
      </c>
      <c r="K61" s="159">
        <f>SUMIF('内訳ﾘｽﾄ(4～3月)'!$D$26:$D$267,$B61,'内訳ﾘｽﾄ(4～3月)'!N$26:N$267)</f>
        <v>0</v>
      </c>
      <c r="L61" s="159">
        <f>SUMIF('内訳ﾘｽﾄ(4～3月)'!$D$26:$D$267,$B61,'内訳ﾘｽﾄ(4～3月)'!O$26:O$267)</f>
        <v>0</v>
      </c>
      <c r="M61" s="159">
        <f>SUMIF('内訳ﾘｽﾄ(4～3月)'!$D$26:$D$267,$B61,'内訳ﾘｽﾄ(4～3月)'!P$26:P$267)</f>
        <v>0</v>
      </c>
      <c r="N61" s="159">
        <f>SUMIF('内訳ﾘｽﾄ(4～3月)'!$D$26:$D$267,$B61,'内訳ﾘｽﾄ(4～3月)'!Q$26:Q$267)</f>
        <v>0</v>
      </c>
      <c r="O61" s="159">
        <f>SUMIF('内訳ﾘｽﾄ(4～3月)'!$D$26:$D$267,'採算表(VND)'!$B61,'内訳ﾘｽﾄ(4～3月)'!R$26:R$267)</f>
        <v>0</v>
      </c>
      <c r="AQ61" s="74"/>
      <c r="AR61" s="74"/>
      <c r="AS61" s="74"/>
      <c r="AT61" s="74"/>
      <c r="AU61" s="72"/>
      <c r="AV61" s="73"/>
      <c r="AW61" s="73"/>
      <c r="AX61" s="73"/>
      <c r="AY61" s="73"/>
      <c r="BA61" s="75"/>
      <c r="BB61" s="75"/>
      <c r="BC61" s="75"/>
      <c r="BD61" s="75"/>
      <c r="BF61" s="72"/>
      <c r="BG61" s="72"/>
      <c r="BH61" s="72"/>
      <c r="BI61" s="72"/>
    </row>
    <row r="62" spans="1:61" ht="11.25" customHeight="1">
      <c r="A62" s="38"/>
      <c r="B62" s="37" t="s">
        <v>678</v>
      </c>
      <c r="C62" s="159">
        <f>SUMIF('内訳ﾘｽﾄ(4～3月)'!$D$26:$D$267,$B62,'内訳ﾘｽﾄ(4～3月)'!F$26:F$267)</f>
        <v>397748</v>
      </c>
      <c r="D62" s="159">
        <f>SUMIF('内訳ﾘｽﾄ(4～3月)'!$D$26:$D$267,$B62,'内訳ﾘｽﾄ(4～3月)'!G$26:G$267)</f>
        <v>456535</v>
      </c>
      <c r="E62" s="159">
        <f>SUMIF('内訳ﾘｽﾄ(4～3月)'!$D$26:$D$267,$B62,'内訳ﾘｽﾄ(4～3月)'!H$26:H$267)</f>
        <v>380026</v>
      </c>
      <c r="F62" s="159">
        <f>SUMIF('内訳ﾘｽﾄ(4～3月)'!$D$26:$D$267,$B62,'内訳ﾘｽﾄ(4～3月)'!I$26:I$267)</f>
        <v>418679</v>
      </c>
      <c r="G62" s="159">
        <f>SUMIF('内訳ﾘｽﾄ(4～3月)'!$D$26:$D$267,$B62,'内訳ﾘｽﾄ(4～3月)'!J$26:J$267)</f>
        <v>376425</v>
      </c>
      <c r="H62" s="159">
        <f>SUMIF('内訳ﾘｽﾄ(4～3月)'!$D$26:$D$267,$B62,'内訳ﾘｽﾄ(4～3月)'!K$26:K$267)</f>
        <v>411957</v>
      </c>
      <c r="I62" s="159">
        <f>SUMIF('内訳ﾘｽﾄ(4～3月)'!$D$26:$D$267,$B62,'内訳ﾘｽﾄ(4～3月)'!L$26:L$267)</f>
        <v>371560</v>
      </c>
      <c r="J62" s="159">
        <f>SUMIF('内訳ﾘｽﾄ(4～3月)'!$D$26:$D$267,$B62,'内訳ﾘｽﾄ(4～3月)'!M$26:M$267)</f>
        <v>373979</v>
      </c>
      <c r="K62" s="159">
        <f>SUMIF('内訳ﾘｽﾄ(4～3月)'!$D$26:$D$267,$B62,'内訳ﾘｽﾄ(4～3月)'!N$26:N$267)</f>
        <v>377736</v>
      </c>
      <c r="L62" s="159">
        <f>SUMIF('内訳ﾘｽﾄ(4～3月)'!$D$26:$D$267,$B62,'内訳ﾘｽﾄ(4～3月)'!O$26:O$267)</f>
        <v>363367</v>
      </c>
      <c r="M62" s="159">
        <f>SUMIF('内訳ﾘｽﾄ(4～3月)'!$D$26:$D$267,$B62,'内訳ﾘｽﾄ(4～3月)'!P$26:P$267)</f>
        <v>384655</v>
      </c>
      <c r="N62" s="159">
        <f>SUMIF('内訳ﾘｽﾄ(4～3月)'!$D$26:$D$267,$B62,'内訳ﾘｽﾄ(4～3月)'!Q$26:Q$267)</f>
        <v>367742</v>
      </c>
      <c r="O62" s="159">
        <f>SUMIF('内訳ﾘｽﾄ(4～3月)'!$D$26:$D$267,'採算表(VND)'!$B62,'内訳ﾘｽﾄ(4～3月)'!R$26:R$267)</f>
        <v>4680409</v>
      </c>
      <c r="AQ62" s="74"/>
      <c r="AR62" s="74"/>
      <c r="AS62" s="74"/>
      <c r="AT62" s="74"/>
      <c r="AU62" s="72"/>
      <c r="AV62" s="73"/>
      <c r="AW62" s="73"/>
      <c r="AX62" s="73"/>
      <c r="AY62" s="73"/>
      <c r="BA62" s="75"/>
      <c r="BB62" s="75"/>
      <c r="BC62" s="75"/>
      <c r="BD62" s="75"/>
      <c r="BF62" s="72"/>
      <c r="BG62" s="72"/>
      <c r="BH62" s="72"/>
      <c r="BI62" s="72"/>
    </row>
    <row r="63" spans="1:61" ht="11.25" customHeight="1">
      <c r="A63" s="38"/>
      <c r="B63" s="37" t="s">
        <v>679</v>
      </c>
      <c r="C63" s="159">
        <f>SUMIF('内訳ﾘｽﾄ(4～3月)'!$D$26:$D$267,$B63,'内訳ﾘｽﾄ(4～3月)'!F$26:F$267)</f>
        <v>2428308</v>
      </c>
      <c r="D63" s="159">
        <f>SUMIF('内訳ﾘｽﾄ(4～3月)'!$D$26:$D$267,$B63,'内訳ﾘｽﾄ(4～3月)'!G$26:G$267)</f>
        <v>829829</v>
      </c>
      <c r="E63" s="159">
        <f>SUMIF('内訳ﾘｽﾄ(4～3月)'!$D$26:$D$267,$B63,'内訳ﾘｽﾄ(4～3月)'!H$26:H$267)</f>
        <v>594132</v>
      </c>
      <c r="F63" s="159">
        <f>SUMIF('内訳ﾘｽﾄ(4～3月)'!$D$26:$D$267,$B63,'内訳ﾘｽﾄ(4～3月)'!I$26:I$267)</f>
        <v>640119</v>
      </c>
      <c r="G63" s="159">
        <f>SUMIF('内訳ﾘｽﾄ(4～3月)'!$D$26:$D$267,$B63,'内訳ﾘｽﾄ(4～3月)'!J$26:J$267)</f>
        <v>574686</v>
      </c>
      <c r="H63" s="159">
        <f>SUMIF('内訳ﾘｽﾄ(4～3月)'!$D$26:$D$267,$B63,'内訳ﾘｽﾄ(4～3月)'!K$26:K$267)</f>
        <v>516776</v>
      </c>
      <c r="I63" s="159">
        <f>SUMIF('内訳ﾘｽﾄ(4～3月)'!$D$26:$D$267,$B63,'内訳ﾘｽﾄ(4～3月)'!L$26:L$267)</f>
        <v>646360</v>
      </c>
      <c r="J63" s="159">
        <f>SUMIF('内訳ﾘｽﾄ(4～3月)'!$D$26:$D$267,$B63,'内訳ﾘｽﾄ(4～3月)'!M$26:M$267)</f>
        <v>664785</v>
      </c>
      <c r="K63" s="159">
        <f>SUMIF('内訳ﾘｽﾄ(4～3月)'!$D$26:$D$267,$B63,'内訳ﾘｽﾄ(4～3月)'!N$26:N$267)</f>
        <v>642063</v>
      </c>
      <c r="L63" s="159">
        <f>SUMIF('内訳ﾘｽﾄ(4～3月)'!$D$26:$D$267,$B63,'内訳ﾘｽﾄ(4～3月)'!O$26:O$267)</f>
        <v>502068</v>
      </c>
      <c r="M63" s="159">
        <f>SUMIF('内訳ﾘｽﾄ(4～3月)'!$D$26:$D$267,$B63,'内訳ﾘｽﾄ(4～3月)'!P$26:P$267)</f>
        <v>525403</v>
      </c>
      <c r="N63" s="159">
        <f>SUMIF('内訳ﾘｽﾄ(4～3月)'!$D$26:$D$267,$B63,'内訳ﾘｽﾄ(4～3月)'!Q$26:Q$267)</f>
        <v>516391</v>
      </c>
      <c r="O63" s="159">
        <f>SUMIF('内訳ﾘｽﾄ(4～3月)'!$D$26:$D$267,'採算表(VND)'!$B63,'内訳ﾘｽﾄ(4～3月)'!R$26:R$267)</f>
        <v>9080920</v>
      </c>
      <c r="AQ63" s="74"/>
      <c r="AR63" s="74"/>
      <c r="AS63" s="74"/>
      <c r="AT63" s="74"/>
      <c r="AU63" s="72"/>
      <c r="AV63" s="73"/>
      <c r="AW63" s="73"/>
      <c r="AX63" s="73"/>
      <c r="AY63" s="73"/>
      <c r="BA63" s="75"/>
      <c r="BB63" s="75"/>
      <c r="BC63" s="75"/>
      <c r="BD63" s="75"/>
      <c r="BF63" s="72"/>
      <c r="BG63" s="72"/>
      <c r="BH63" s="72"/>
      <c r="BI63" s="72"/>
    </row>
    <row r="64" spans="1:61" ht="11.25" customHeight="1">
      <c r="A64" s="38"/>
      <c r="B64" s="37" t="s">
        <v>143</v>
      </c>
      <c r="C64" s="159">
        <f>SUMIF('内訳ﾘｽﾄ(4～3月)'!$D$26:$D$267,$B64,'内訳ﾘｽﾄ(4～3月)'!F$26:F$267)</f>
        <v>28869303</v>
      </c>
      <c r="D64" s="159">
        <f>SUMIF('内訳ﾘｽﾄ(4～3月)'!$D$26:$D$267,$B64,'内訳ﾘｽﾄ(4～3月)'!G$26:G$267)</f>
        <v>36883360</v>
      </c>
      <c r="E64" s="159">
        <f>SUMIF('内訳ﾘｽﾄ(4～3月)'!$D$26:$D$267,$B64,'内訳ﾘｽﾄ(4～3月)'!H$26:H$267)</f>
        <v>27306721</v>
      </c>
      <c r="F64" s="159">
        <f>SUMIF('内訳ﾘｽﾄ(4～3月)'!$D$26:$D$267,$B64,'内訳ﾘｽﾄ(4～3月)'!I$26:I$267)</f>
        <v>39335822</v>
      </c>
      <c r="G64" s="159">
        <f>SUMIF('内訳ﾘｽﾄ(4～3月)'!$D$26:$D$267,$B64,'内訳ﾘｽﾄ(4～3月)'!J$26:J$267)</f>
        <v>21916814</v>
      </c>
      <c r="H64" s="159">
        <f>SUMIF('内訳ﾘｽﾄ(4～3月)'!$D$26:$D$267,$B64,'内訳ﾘｽﾄ(4～3月)'!K$26:K$267)</f>
        <v>21422335</v>
      </c>
      <c r="I64" s="159">
        <f>SUMIF('内訳ﾘｽﾄ(4～3月)'!$D$26:$D$267,$B64,'内訳ﾘｽﾄ(4～3月)'!L$26:L$267)</f>
        <v>27208202</v>
      </c>
      <c r="J64" s="159">
        <f>SUMIF('内訳ﾘｽﾄ(4～3月)'!$D$26:$D$267,$B64,'内訳ﾘｽﾄ(4～3月)'!M$26:M$267)</f>
        <v>22922178</v>
      </c>
      <c r="K64" s="159">
        <f>SUMIF('内訳ﾘｽﾄ(4～3月)'!$D$26:$D$267,$B64,'内訳ﾘｽﾄ(4～3月)'!N$26:N$267)</f>
        <v>22670432</v>
      </c>
      <c r="L64" s="159">
        <f>SUMIF('内訳ﾘｽﾄ(4～3月)'!$D$26:$D$267,$B64,'内訳ﾘｽﾄ(4～3月)'!O$26:O$267)</f>
        <v>25237009</v>
      </c>
      <c r="M64" s="159">
        <f>SUMIF('内訳ﾘｽﾄ(4～3月)'!$D$26:$D$267,$B64,'内訳ﾘｽﾄ(4～3月)'!P$26:P$267)</f>
        <v>17427497</v>
      </c>
      <c r="N64" s="159">
        <f>SUMIF('内訳ﾘｽﾄ(4～3月)'!$D$26:$D$267,$B64,'内訳ﾘｽﾄ(4～3月)'!Q$26:Q$267)</f>
        <v>17985042</v>
      </c>
      <c r="O64" s="159">
        <f>SUMIF('内訳ﾘｽﾄ(4～3月)'!$D$26:$D$267,'採算表(VND)'!$B64,'内訳ﾘｽﾄ(4～3月)'!R$26:R$267)</f>
        <v>309184715</v>
      </c>
      <c r="AQ64" s="74"/>
      <c r="AR64" s="74"/>
      <c r="AS64" s="74"/>
      <c r="AT64" s="74"/>
      <c r="AU64" s="72"/>
      <c r="AV64" s="73"/>
      <c r="AW64" s="73"/>
      <c r="AX64" s="73"/>
      <c r="AY64" s="73"/>
      <c r="BA64" s="75"/>
      <c r="BB64" s="75"/>
      <c r="BC64" s="75"/>
      <c r="BD64" s="75"/>
      <c r="BF64" s="72"/>
      <c r="BG64" s="72"/>
      <c r="BH64" s="72"/>
      <c r="BI64" s="72"/>
    </row>
    <row r="65" spans="1:61" ht="11.25" customHeight="1">
      <c r="A65" s="38"/>
      <c r="B65" s="37" t="s">
        <v>111</v>
      </c>
      <c r="C65" s="157">
        <f>SUMIF('内訳ﾘｽﾄ(4～3月)'!$D$26:$D$267,$B65,'内訳ﾘｽﾄ(4～3月)'!F$26:F$267)</f>
        <v>0</v>
      </c>
      <c r="D65" s="157">
        <f>SUMIF('内訳ﾘｽﾄ(4～3月)'!$D$26:$D$267,$B65,'内訳ﾘｽﾄ(4～3月)'!G$26:G$267)</f>
        <v>0</v>
      </c>
      <c r="E65" s="157">
        <f>SUMIF('内訳ﾘｽﾄ(4～3月)'!$D$26:$D$267,$B65,'内訳ﾘｽﾄ(4～3月)'!H$26:H$267)</f>
        <v>0</v>
      </c>
      <c r="F65" s="157">
        <f>SUMIF('内訳ﾘｽﾄ(4～3月)'!$D$26:$D$267,$B65,'内訳ﾘｽﾄ(4～3月)'!I$26:I$267)</f>
        <v>0</v>
      </c>
      <c r="G65" s="157">
        <f>SUMIF('内訳ﾘｽﾄ(4～3月)'!$D$26:$D$267,$B65,'内訳ﾘｽﾄ(4～3月)'!J$26:J$267)</f>
        <v>0</v>
      </c>
      <c r="H65" s="157">
        <f>SUMIF('内訳ﾘｽﾄ(4～3月)'!$D$26:$D$267,$B65,'内訳ﾘｽﾄ(4～3月)'!K$26:K$267)</f>
        <v>0</v>
      </c>
      <c r="I65" s="157">
        <f>SUMIF('内訳ﾘｽﾄ(4～3月)'!$D$26:$D$267,$B65,'内訳ﾘｽﾄ(4～3月)'!L$26:L$267)</f>
        <v>0</v>
      </c>
      <c r="J65" s="157">
        <f>SUMIF('内訳ﾘｽﾄ(4～3月)'!$D$26:$D$267,$B65,'内訳ﾘｽﾄ(4～3月)'!M$26:M$267)</f>
        <v>0</v>
      </c>
      <c r="K65" s="157">
        <f>SUMIF('内訳ﾘｽﾄ(4～3月)'!$D$26:$D$267,$B65,'内訳ﾘｽﾄ(4～3月)'!N$26:N$267)</f>
        <v>0</v>
      </c>
      <c r="L65" s="157">
        <f>SUMIF('内訳ﾘｽﾄ(4～3月)'!$D$26:$D$267,$B65,'内訳ﾘｽﾄ(4～3月)'!O$26:O$267)</f>
        <v>0</v>
      </c>
      <c r="M65" s="157">
        <f>SUMIF('内訳ﾘｽﾄ(4～3月)'!$D$26:$D$267,$B65,'内訳ﾘｽﾄ(4～3月)'!P$26:P$267)</f>
        <v>0</v>
      </c>
      <c r="N65" s="157">
        <f>SUMIF('内訳ﾘｽﾄ(4～3月)'!$D$26:$D$267,$B65,'内訳ﾘｽﾄ(4～3月)'!Q$26:Q$267)</f>
        <v>0</v>
      </c>
      <c r="O65" s="157">
        <f>SUMIF('内訳ﾘｽﾄ(4～3月)'!$D$26:$D$267,'採算表(VND)'!$B65,'内訳ﾘｽﾄ(4～3月)'!R$26:R$267)</f>
        <v>0</v>
      </c>
      <c r="AQ65" s="74"/>
      <c r="AR65" s="74"/>
      <c r="AS65" s="74"/>
      <c r="AT65" s="74"/>
      <c r="AU65" s="72"/>
      <c r="AV65" s="73"/>
      <c r="AW65" s="73"/>
      <c r="AX65" s="73"/>
      <c r="AY65" s="73"/>
      <c r="BA65" s="75"/>
      <c r="BB65" s="75"/>
      <c r="BC65" s="75"/>
      <c r="BD65" s="75"/>
      <c r="BF65" s="72"/>
      <c r="BG65" s="72"/>
      <c r="BH65" s="72"/>
      <c r="BI65" s="72"/>
    </row>
    <row r="66" spans="1:61" ht="11.25" customHeight="1">
      <c r="A66" s="26"/>
      <c r="B66" s="32" t="s">
        <v>77</v>
      </c>
      <c r="C66" s="155">
        <f>C12-C13</f>
        <v>1648336301</v>
      </c>
      <c r="D66" s="155">
        <f t="shared" ref="D66:N66" si="4">D12-D13</f>
        <v>2578866682</v>
      </c>
      <c r="E66" s="155">
        <f t="shared" si="4"/>
        <v>257101970</v>
      </c>
      <c r="F66" s="155">
        <f t="shared" si="4"/>
        <v>350668289</v>
      </c>
      <c r="G66" s="155">
        <f t="shared" si="4"/>
        <v>-453399621</v>
      </c>
      <c r="H66" s="155">
        <f t="shared" si="4"/>
        <v>909200473</v>
      </c>
      <c r="I66" s="155">
        <f t="shared" si="4"/>
        <v>460161499</v>
      </c>
      <c r="J66" s="155">
        <f t="shared" si="4"/>
        <v>357098785</v>
      </c>
      <c r="K66" s="155">
        <f t="shared" si="4"/>
        <v>150875332</v>
      </c>
      <c r="L66" s="155">
        <f t="shared" si="4"/>
        <v>455817372</v>
      </c>
      <c r="M66" s="155">
        <f t="shared" si="4"/>
        <v>37228075</v>
      </c>
      <c r="N66" s="155">
        <f t="shared" si="4"/>
        <v>816876015</v>
      </c>
      <c r="O66" s="155">
        <f>IF(ISBLANK(O4),"",O12-O13)</f>
        <v>7568831172</v>
      </c>
      <c r="AQ66" s="74"/>
      <c r="AR66" s="74"/>
      <c r="AS66" s="74"/>
      <c r="AT66" s="74"/>
      <c r="AU66" s="72"/>
      <c r="AV66" s="73"/>
      <c r="AW66" s="73"/>
      <c r="AX66" s="73"/>
      <c r="AY66" s="73"/>
      <c r="BA66" s="75"/>
      <c r="BB66" s="75"/>
      <c r="BC66" s="75"/>
      <c r="BD66" s="75"/>
      <c r="BF66" s="72"/>
      <c r="BG66" s="72"/>
      <c r="BH66" s="72"/>
      <c r="BI66" s="72"/>
    </row>
    <row r="67" spans="1:61" ht="11.25" customHeight="1">
      <c r="A67" s="26"/>
      <c r="B67" s="28" t="s">
        <v>78</v>
      </c>
      <c r="C67" s="160">
        <f>C73+C79</f>
        <v>1543.5</v>
      </c>
      <c r="D67" s="160">
        <f t="shared" ref="D67:N67" si="5">D73+D79</f>
        <v>1470.5</v>
      </c>
      <c r="E67" s="160">
        <f t="shared" si="5"/>
        <v>1620.25</v>
      </c>
      <c r="F67" s="160">
        <f t="shared" si="5"/>
        <v>1771.25</v>
      </c>
      <c r="G67" s="160">
        <f t="shared" si="5"/>
        <v>1545.5</v>
      </c>
      <c r="H67" s="160">
        <f t="shared" si="5"/>
        <v>1622.5</v>
      </c>
      <c r="I67" s="160">
        <f t="shared" si="5"/>
        <v>1959.25</v>
      </c>
      <c r="J67" s="160">
        <f t="shared" si="5"/>
        <v>1708.75</v>
      </c>
      <c r="K67" s="160">
        <f t="shared" si="5"/>
        <v>1876.5</v>
      </c>
      <c r="L67" s="160">
        <f t="shared" si="5"/>
        <v>1710.25</v>
      </c>
      <c r="M67" s="160">
        <f t="shared" si="5"/>
        <v>1287</v>
      </c>
      <c r="N67" s="160">
        <f t="shared" si="5"/>
        <v>1710.25</v>
      </c>
      <c r="O67" s="160">
        <f>IF(ISBLANK(O4),"",O73+O79)</f>
        <v>19825.5</v>
      </c>
      <c r="AQ67" s="74"/>
      <c r="AR67" s="74"/>
      <c r="AS67" s="74"/>
      <c r="AT67" s="74"/>
      <c r="AU67" s="72"/>
      <c r="AV67" s="73"/>
      <c r="AW67" s="73"/>
      <c r="AX67" s="73"/>
      <c r="AY67" s="73"/>
      <c r="BA67" s="75"/>
      <c r="BB67" s="75"/>
      <c r="BC67" s="75"/>
      <c r="BD67" s="75"/>
      <c r="BF67" s="72"/>
      <c r="BG67" s="72"/>
      <c r="BH67" s="72"/>
      <c r="BI67" s="72"/>
    </row>
    <row r="68" spans="1:61" ht="11.25" customHeight="1">
      <c r="A68" s="38"/>
      <c r="B68" s="46" t="s">
        <v>87</v>
      </c>
      <c r="C68" s="161">
        <f>SUMIF('内訳ﾘｽﾄ(4～3月)'!$D$8:$D$15,'採算表(VND)'!$B68,'内訳ﾘｽﾄ(4～3月)'!F$8:F$15)</f>
        <v>1292</v>
      </c>
      <c r="D68" s="161">
        <f>SUMIF('内訳ﾘｽﾄ(4～3月)'!$D$8:$D$15,'採算表(VND)'!$B68,'内訳ﾘｽﾄ(4～3月)'!G$8:G$15)</f>
        <v>1224</v>
      </c>
      <c r="E68" s="161">
        <f>SUMIF('内訳ﾘｽﾄ(4～3月)'!$D$8:$D$15,'採算表(VND)'!$B68,'内訳ﾘｽﾄ(4～3月)'!H$8:H$15)</f>
        <v>1360</v>
      </c>
      <c r="F68" s="161">
        <f>SUMIF('内訳ﾘｽﾄ(4～3月)'!$D$8:$D$15,'採算表(VND)'!$B68,'内訳ﾘｽﾄ(4～3月)'!I$8:I$15)</f>
        <v>1496</v>
      </c>
      <c r="G68" s="161">
        <f>SUMIF('内訳ﾘｽﾄ(4～3月)'!$D$8:$D$15,'採算表(VND)'!$B68,'内訳ﾘｽﾄ(4～3月)'!J$8:J$15)</f>
        <v>1292</v>
      </c>
      <c r="H68" s="161">
        <f>SUMIF('内訳ﾘｽﾄ(4～3月)'!$D$8:$D$15,'採算表(VND)'!$B68,'内訳ﾘｽﾄ(4～3月)'!K$8:K$15)</f>
        <v>1377</v>
      </c>
      <c r="I68" s="161">
        <f>SUMIF('内訳ﾘｽﾄ(4～3月)'!$D$8:$D$15,'採算表(VND)'!$B68,'内訳ﾘｽﾄ(4～3月)'!L$8:L$15)</f>
        <v>1683</v>
      </c>
      <c r="J68" s="161">
        <f>SUMIF('内訳ﾘｽﾄ(4～3月)'!$D$8:$D$15,'採算表(VND)'!$B68,'内訳ﾘｽﾄ(4～3月)'!M$8:M$15)</f>
        <v>1453.5</v>
      </c>
      <c r="K68" s="161">
        <f>SUMIF('内訳ﾘｽﾄ(4～3月)'!$D$8:$D$15,'採算表(VND)'!$B68,'内訳ﾘｽﾄ(4～3月)'!N$8:N$15)</f>
        <v>1606.5</v>
      </c>
      <c r="L68" s="161">
        <f>SUMIF('内訳ﾘｽﾄ(4～3月)'!$D$8:$D$15,'採算表(VND)'!$B68,'内訳ﾘｽﾄ(4～3月)'!O$8:O$15)</f>
        <v>1453.5</v>
      </c>
      <c r="M68" s="161">
        <f>SUMIF('内訳ﾘｽﾄ(4～3月)'!$D$8:$D$15,'採算表(VND)'!$B68,'内訳ﾘｽﾄ(4～3月)'!P$8:P$15)</f>
        <v>1071</v>
      </c>
      <c r="N68" s="161">
        <f>SUMIF('内訳ﾘｽﾄ(4～3月)'!$D$8:$D$15,'採算表(VND)'!$B68,'内訳ﾘｽﾄ(4～3月)'!Q$8:Q$15)</f>
        <v>1453.5</v>
      </c>
      <c r="O68" s="161">
        <f>SUMIF('内訳ﾘｽﾄ(4～3月)'!$D$8:$D$15,'採算表(VND)'!$B68,'内訳ﾘｽﾄ(4～3月)'!$R$8:$R$15)</f>
        <v>16762</v>
      </c>
      <c r="AQ68" s="74"/>
      <c r="AR68" s="74"/>
      <c r="AS68" s="74"/>
      <c r="AT68" s="74"/>
      <c r="AU68" s="72"/>
      <c r="AV68" s="73"/>
      <c r="AW68" s="73"/>
      <c r="AX68" s="73"/>
      <c r="AY68" s="73"/>
      <c r="BA68" s="75"/>
      <c r="BB68" s="75"/>
      <c r="BC68" s="75"/>
      <c r="BD68" s="75"/>
      <c r="BF68" s="72"/>
      <c r="BG68" s="72"/>
      <c r="BH68" s="72"/>
      <c r="BI68" s="72"/>
    </row>
    <row r="69" spans="1:61" ht="11.25" customHeight="1">
      <c r="A69" s="38"/>
      <c r="B69" s="46" t="s">
        <v>88</v>
      </c>
      <c r="C69" s="162">
        <f>IF('内訳ﾘｽﾄ(4～3月)'!$D$5="製造",SUMIF('内訳ﾘｽﾄ(4～3月)'!$D$8:$D$15,$B69,'内訳ﾘｽﾄ(4～3月)'!F$8:F$15),IF('内訳ﾘｽﾄ(4～3月)'!$D$5="部内間接",-C$68,0))</f>
        <v>0</v>
      </c>
      <c r="D69" s="162">
        <f>IF('内訳ﾘｽﾄ(4～3月)'!$D$5="製造",SUMIF('内訳ﾘｽﾄ(4～3月)'!$D$8:$D$15,$B69,'内訳ﾘｽﾄ(4～3月)'!G$8:G$15),IF('内訳ﾘｽﾄ(4～3月)'!$D$5="部内間接",-D$68,0))</f>
        <v>0</v>
      </c>
      <c r="E69" s="162">
        <f>IF('内訳ﾘｽﾄ(4～3月)'!$D$5="製造",SUMIF('内訳ﾘｽﾄ(4～3月)'!$D$8:$D$15,$B69,'内訳ﾘｽﾄ(4～3月)'!H$8:H$15),IF('内訳ﾘｽﾄ(4～3月)'!$D$5="部内間接",-E$68,0))</f>
        <v>0</v>
      </c>
      <c r="F69" s="162">
        <f>IF('内訳ﾘｽﾄ(4～3月)'!$D$5="製造",SUMIF('内訳ﾘｽﾄ(4～3月)'!$D$8:$D$15,$B69,'内訳ﾘｽﾄ(4～3月)'!I$8:I$15),IF('内訳ﾘｽﾄ(4～3月)'!$D$5="部内間接",-F$68,0))</f>
        <v>0</v>
      </c>
      <c r="G69" s="162">
        <f>IF('内訳ﾘｽﾄ(4～3月)'!$D$5="製造",SUMIF('内訳ﾘｽﾄ(4～3月)'!$D$8:$D$15,$B69,'内訳ﾘｽﾄ(4～3月)'!J$8:J$15),IF('内訳ﾘｽﾄ(4～3月)'!$D$5="部内間接",-G$68,0))</f>
        <v>0</v>
      </c>
      <c r="H69" s="162">
        <f>IF('内訳ﾘｽﾄ(4～3月)'!$D$5="製造",SUMIF('内訳ﾘｽﾄ(4～3月)'!$D$8:$D$15,$B69,'内訳ﾘｽﾄ(4～3月)'!K$8:K$15),IF('内訳ﾘｽﾄ(4～3月)'!$D$5="部内間接",-H$68,0))</f>
        <v>0</v>
      </c>
      <c r="I69" s="162">
        <f>IF('内訳ﾘｽﾄ(4～3月)'!$D$5="製造",SUMIF('内訳ﾘｽﾄ(4～3月)'!$D$8:$D$15,$B69,'内訳ﾘｽﾄ(4～3月)'!L$8:L$15),IF('内訳ﾘｽﾄ(4～3月)'!$D$5="部内間接",-I$68,0))</f>
        <v>0</v>
      </c>
      <c r="J69" s="162">
        <f>IF('内訳ﾘｽﾄ(4～3月)'!$D$5="製造",SUMIF('内訳ﾘｽﾄ(4～3月)'!$D$8:$D$15,$B69,'内訳ﾘｽﾄ(4～3月)'!M$8:M$15),IF('内訳ﾘｽﾄ(4～3月)'!$D$5="部内間接",-J$68,0))</f>
        <v>0</v>
      </c>
      <c r="K69" s="162">
        <f>IF('内訳ﾘｽﾄ(4～3月)'!$D$5="製造",SUMIF('内訳ﾘｽﾄ(4～3月)'!$D$8:$D$15,$B69,'内訳ﾘｽﾄ(4～3月)'!N$8:N$15),IF('内訳ﾘｽﾄ(4～3月)'!$D$5="部内間接",-K$68,0))</f>
        <v>0</v>
      </c>
      <c r="L69" s="162">
        <f>IF('内訳ﾘｽﾄ(4～3月)'!$D$5="製造",SUMIF('内訳ﾘｽﾄ(4～3月)'!$D$8:$D$15,$B69,'内訳ﾘｽﾄ(4～3月)'!O$8:O$15),IF('内訳ﾘｽﾄ(4～3月)'!$D$5="部内間接",-L$68,0))</f>
        <v>0</v>
      </c>
      <c r="M69" s="162">
        <f>IF('内訳ﾘｽﾄ(4～3月)'!$D$5="製造",SUMIF('内訳ﾘｽﾄ(4～3月)'!$D$8:$D$15,$B69,'内訳ﾘｽﾄ(4～3月)'!P$8:P$15),IF('内訳ﾘｽﾄ(4～3月)'!$D$5="部内間接",-M$68,0))</f>
        <v>0</v>
      </c>
      <c r="N69" s="162">
        <f>IF('内訳ﾘｽﾄ(4～3月)'!$D$5="製造",SUMIF('内訳ﾘｽﾄ(4～3月)'!$D$8:$D$15,$B69,'内訳ﾘｽﾄ(4～3月)'!Q$8:Q$15),IF('内訳ﾘｽﾄ(4～3月)'!$D$5="部内間接",-N$68,0))</f>
        <v>0</v>
      </c>
      <c r="O69" s="162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4"/>
      <c r="AR69" s="74"/>
      <c r="AS69" s="74"/>
      <c r="AT69" s="74"/>
      <c r="AU69" s="72"/>
      <c r="AV69" s="73"/>
      <c r="AW69" s="73"/>
      <c r="AX69" s="73"/>
      <c r="AY69" s="73"/>
      <c r="BA69" s="75"/>
      <c r="BB69" s="75"/>
      <c r="BC69" s="75"/>
      <c r="BD69" s="75"/>
      <c r="BF69" s="72"/>
      <c r="BG69" s="72"/>
      <c r="BH69" s="72"/>
      <c r="BI69" s="72"/>
    </row>
    <row r="70" spans="1:61" ht="11.25" customHeight="1">
      <c r="A70" s="38"/>
      <c r="B70" s="47" t="s">
        <v>126</v>
      </c>
      <c r="C70" s="163">
        <f>IF('内訳ﾘｽﾄ(4～3月)'!$D$5="製造",SUMIF('内訳ﾘｽﾄ(4～3月)'!$D$8:$D$15,$B70,'内訳ﾘｽﾄ(4～3月)'!F$8:F$15),IF('内訳ﾘｽﾄ(4～3月)'!$D$5="部外間接1",-C$68,0))</f>
        <v>6.75</v>
      </c>
      <c r="D70" s="163">
        <f>IF('内訳ﾘｽﾄ(4～3月)'!$D$5="製造",SUMIF('内訳ﾘｽﾄ(4～3月)'!$D$8:$D$15,$B70,'内訳ﾘｽﾄ(4～3月)'!G$8:G$15),IF('内訳ﾘｽﾄ(4～3月)'!$D$5="部外間接1",-D$68,0))</f>
        <v>7</v>
      </c>
      <c r="E70" s="163">
        <f>IF('内訳ﾘｽﾄ(4～3月)'!$D$5="製造",SUMIF('内訳ﾘｽﾄ(4～3月)'!$D$8:$D$15,$B70,'内訳ﾘｽﾄ(4～3月)'!H$8:H$15),IF('内訳ﾘｽﾄ(4～3月)'!$D$5="部外間接1",-E$68,0))</f>
        <v>7.75</v>
      </c>
      <c r="F70" s="163">
        <f>IF('内訳ﾘｽﾄ(4～3月)'!$D$5="製造",SUMIF('内訳ﾘｽﾄ(4～3月)'!$D$8:$D$15,$B70,'内訳ﾘｽﾄ(4～3月)'!I$8:I$15),IF('内訳ﾘｽﾄ(4～3月)'!$D$5="部外間接1",-F$68,0))</f>
        <v>8.25</v>
      </c>
      <c r="G70" s="163">
        <f>IF('内訳ﾘｽﾄ(4～3月)'!$D$5="製造",SUMIF('内訳ﾘｽﾄ(4～3月)'!$D$8:$D$15,$B70,'内訳ﾘｽﾄ(4～3月)'!J$8:J$15),IF('内訳ﾘｽﾄ(4～3月)'!$D$5="部外間接1",-G$68,0))</f>
        <v>7</v>
      </c>
      <c r="H70" s="163">
        <f>IF('内訳ﾘｽﾄ(4～3月)'!$D$5="製造",SUMIF('内訳ﾘｽﾄ(4～3月)'!$D$8:$D$15,$B70,'内訳ﾘｽﾄ(4～3月)'!K$8:K$15),IF('内訳ﾘｽﾄ(4～3月)'!$D$5="部外間接1",-H$68,0))</f>
        <v>6.5</v>
      </c>
      <c r="I70" s="163">
        <f>IF('内訳ﾘｽﾄ(4～3月)'!$D$5="製造",SUMIF('内訳ﾘｽﾄ(4～3月)'!$D$8:$D$15,$B70,'内訳ﾘｽﾄ(4～3月)'!L$8:L$15),IF('内訳ﾘｽﾄ(4～3月)'!$D$5="部外間接1",-I$68,0))</f>
        <v>8.25</v>
      </c>
      <c r="J70" s="163">
        <f>IF('内訳ﾘｽﾄ(4～3月)'!$D$5="製造",SUMIF('内訳ﾘｽﾄ(4～3月)'!$D$8:$D$15,$B70,'内訳ﾘｽﾄ(4～3月)'!M$8:M$15),IF('内訳ﾘｽﾄ(4～3月)'!$D$5="部外間接1",-J$68,0))</f>
        <v>7.25</v>
      </c>
      <c r="K70" s="163">
        <f>IF('内訳ﾘｽﾄ(4～3月)'!$D$5="製造",SUMIF('内訳ﾘｽﾄ(4～3月)'!$D$8:$D$15,$B70,'内訳ﾘｽﾄ(4～3月)'!N$8:N$15),IF('内訳ﾘｽﾄ(4～3月)'!$D$5="部外間接1",-K$68,0))</f>
        <v>8</v>
      </c>
      <c r="L70" s="163">
        <f>IF('内訳ﾘｽﾄ(4～3月)'!$D$5="製造",SUMIF('内訳ﾘｽﾄ(4～3月)'!$D$8:$D$15,$B70,'内訳ﾘｽﾄ(4～3月)'!O$8:O$15),IF('内訳ﾘｽﾄ(4～3月)'!$D$5="部外間接1",-L$68,0))</f>
        <v>7.5</v>
      </c>
      <c r="M70" s="163">
        <f>IF('内訳ﾘｽﾄ(4～3月)'!$D$5="製造",SUMIF('内訳ﾘｽﾄ(4～3月)'!$D$8:$D$15,$B70,'内訳ﾘｽﾄ(4～3月)'!P$8:P$15),IF('内訳ﾘｽﾄ(4～3月)'!$D$5="部外間接1",-M$68,0))</f>
        <v>5.5</v>
      </c>
      <c r="N70" s="163">
        <f>IF('内訳ﾘｽﾄ(4～3月)'!$D$5="製造",SUMIF('内訳ﾘｽﾄ(4～3月)'!$D$8:$D$15,$B70,'内訳ﾘｽﾄ(4～3月)'!Q$8:Q$15),IF('内訳ﾘｽﾄ(4～3月)'!$D$5="部外間接1",-N$68,0))</f>
        <v>7.5</v>
      </c>
      <c r="O70" s="163">
        <f>IF('内訳ﾘｽﾄ(4～3月)'!$D$5="部外間接1",-SUM(O$68),IF('内訳ﾘｽﾄ(4～3月)'!$D$5="製造",SUMIF('内訳ﾘｽﾄ(4～3月)'!$D$8:$D$15,'採算表(VND)'!$B70,'内訳ﾘｽﾄ(4～3月)'!$R$8:$R$15),0))</f>
        <v>87.25</v>
      </c>
      <c r="AQ70" s="74"/>
      <c r="AR70" s="74"/>
      <c r="AS70" s="74"/>
      <c r="AT70" s="74"/>
      <c r="AU70" s="72"/>
      <c r="AV70" s="73"/>
      <c r="AW70" s="73"/>
      <c r="AX70" s="73"/>
      <c r="AY70" s="73"/>
      <c r="BA70" s="75"/>
      <c r="BB70" s="75"/>
      <c r="BC70" s="75"/>
      <c r="BD70" s="75"/>
      <c r="BF70" s="72"/>
      <c r="BG70" s="72"/>
      <c r="BH70" s="72"/>
      <c r="BI70" s="72"/>
    </row>
    <row r="71" spans="1:61" ht="11.25" customHeight="1">
      <c r="A71" s="38"/>
      <c r="B71" s="47" t="s">
        <v>127</v>
      </c>
      <c r="C71" s="163">
        <f>IF('内訳ﾘｽﾄ(4～3月)'!$D$5="製造",SUMIF('内訳ﾘｽﾄ(4～3月)'!$D$8:$D$15,$B71,'内訳ﾘｽﾄ(4～3月)'!F$8:F$15),IF('内訳ﾘｽﾄ(4～3月)'!$D$5="部外間接2",-C$68,0))</f>
        <v>12.75</v>
      </c>
      <c r="D71" s="163">
        <f>IF('内訳ﾘｽﾄ(4～3月)'!$D$5="製造",SUMIF('内訳ﾘｽﾄ(4～3月)'!$D$8:$D$15,$B71,'内訳ﾘｽﾄ(4～3月)'!G$8:G$15),IF('内訳ﾘｽﾄ(4～3月)'!$D$5="部外間接2",-D$68,0))</f>
        <v>12.25</v>
      </c>
      <c r="E71" s="163">
        <f>IF('内訳ﾘｽﾄ(4～3月)'!$D$5="製造",SUMIF('内訳ﾘｽﾄ(4～3月)'!$D$8:$D$15,$B71,'内訳ﾘｽﾄ(4～3月)'!H$8:H$15),IF('内訳ﾘｽﾄ(4～3月)'!$D$5="部外間接2",-E$68,0))</f>
        <v>14</v>
      </c>
      <c r="F71" s="163">
        <f>IF('内訳ﾘｽﾄ(4～3月)'!$D$5="製造",SUMIF('内訳ﾘｽﾄ(4～3月)'!$D$8:$D$15,$B71,'内訳ﾘｽﾄ(4～3月)'!I$8:I$15),IF('内訳ﾘｽﾄ(4～3月)'!$D$5="部外間接2",-F$68,0))</f>
        <v>15.5</v>
      </c>
      <c r="G71" s="163">
        <f>IF('内訳ﾘｽﾄ(4～3月)'!$D$5="製造",SUMIF('内訳ﾘｽﾄ(4～3月)'!$D$8:$D$15,$B71,'内訳ﾘｽﾄ(4～3月)'!J$8:J$15),IF('内訳ﾘｽﾄ(4～3月)'!$D$5="部外間接2",-G$68,0))</f>
        <v>13</v>
      </c>
      <c r="H71" s="163">
        <f>IF('内訳ﾘｽﾄ(4～3月)'!$D$5="製造",SUMIF('内訳ﾘｽﾄ(4～3月)'!$D$8:$D$15,$B71,'内訳ﾘｽﾄ(4～3月)'!K$8:K$15),IF('内訳ﾘｽﾄ(4～3月)'!$D$5="部外間接2",-H$68,0))</f>
        <v>13</v>
      </c>
      <c r="I71" s="163">
        <f>IF('内訳ﾘｽﾄ(4～3月)'!$D$5="製造",SUMIF('内訳ﾘｽﾄ(4～3月)'!$D$8:$D$15,$B71,'内訳ﾘｽﾄ(4～3月)'!L$8:L$15),IF('内訳ﾘｽﾄ(4～3月)'!$D$5="部外間接2",-I$68,0))</f>
        <v>16.25</v>
      </c>
      <c r="J71" s="163">
        <f>IF('内訳ﾘｽﾄ(4～3月)'!$D$5="製造",SUMIF('内訳ﾘｽﾄ(4～3月)'!$D$8:$D$15,$B71,'内訳ﾘｽﾄ(4～3月)'!M$8:M$15),IF('内訳ﾘｽﾄ(4～3月)'!$D$5="部外間接2",-J$68,0))</f>
        <v>14</v>
      </c>
      <c r="K71" s="163">
        <f>IF('内訳ﾘｽﾄ(4～3月)'!$D$5="製造",SUMIF('内訳ﾘｽﾄ(4～3月)'!$D$8:$D$15,$B71,'内訳ﾘｽﾄ(4～3月)'!N$8:N$15),IF('内訳ﾘｽﾄ(4～3月)'!$D$5="部外間接2",-K$68,0))</f>
        <v>15.5</v>
      </c>
      <c r="L71" s="163">
        <f>IF('内訳ﾘｽﾄ(4～3月)'!$D$5="製造",SUMIF('内訳ﾘｽﾄ(4～3月)'!$D$8:$D$15,$B71,'内訳ﾘｽﾄ(4～3月)'!O$8:O$15),IF('内訳ﾘｽﾄ(4～3月)'!$D$5="部外間接2",-L$68,0))</f>
        <v>14.25</v>
      </c>
      <c r="M71" s="163">
        <f>IF('内訳ﾘｽﾄ(4～3月)'!$D$5="製造",SUMIF('内訳ﾘｽﾄ(4～3月)'!$D$8:$D$15,$B71,'内訳ﾘｽﾄ(4～3月)'!P$8:P$15),IF('内訳ﾘｽﾄ(4～3月)'!$D$5="部外間接2",-M$68,0))</f>
        <v>10.75</v>
      </c>
      <c r="N71" s="163">
        <f>IF('内訳ﾘｽﾄ(4～3月)'!$D$5="製造",SUMIF('内訳ﾘｽﾄ(4～3月)'!$D$8:$D$15,$B71,'内訳ﾘｽﾄ(4～3月)'!Q$8:Q$15),IF('内訳ﾘｽﾄ(4～3月)'!$D$5="部外間接2",-N$68,0))</f>
        <v>14</v>
      </c>
      <c r="O71" s="163">
        <f>IF('内訳ﾘｽﾄ(4～3月)'!$D$5="部外間接2",-SUM(O$68),IF('内訳ﾘｽﾄ(4～3月)'!$D$5="製造",SUMIF('内訳ﾘｽﾄ(4～3月)'!$D$8:$D$15,'採算表(VND)'!$B71,'内訳ﾘｽﾄ(4～3月)'!$R$8:$R$15),0))</f>
        <v>165.25</v>
      </c>
      <c r="AQ71" s="74"/>
      <c r="AR71" s="74"/>
      <c r="AS71" s="74"/>
      <c r="AT71" s="74"/>
      <c r="AU71" s="72"/>
      <c r="AV71" s="73"/>
      <c r="AW71" s="73"/>
      <c r="AX71" s="73"/>
      <c r="AY71" s="73"/>
      <c r="BA71" s="75"/>
      <c r="BB71" s="75"/>
      <c r="BC71" s="75"/>
      <c r="BD71" s="75"/>
      <c r="BF71" s="72"/>
      <c r="BG71" s="72"/>
      <c r="BH71" s="72"/>
      <c r="BI71" s="72"/>
    </row>
    <row r="72" spans="1:61" ht="11.25" customHeight="1">
      <c r="A72" s="38"/>
      <c r="B72" s="40" t="s">
        <v>89</v>
      </c>
      <c r="C72" s="164">
        <f>IF('内訳ﾘｽﾄ(4～3月)'!$D$5="製造",SUMIF('内訳ﾘｽﾄ(4～3月)'!$D$8:$D$15,$B72,'内訳ﾘｽﾄ(4～3月)'!F$8:F$15),IF('内訳ﾘｽﾄ(4～3月)'!$D$5="工場間接",-C$68,0))</f>
        <v>57</v>
      </c>
      <c r="D72" s="164">
        <f>IF('内訳ﾘｽﾄ(4～3月)'!$D$5="製造",SUMIF('内訳ﾘｽﾄ(4～3月)'!$D$8:$D$15,$B72,'内訳ﾘｽﾄ(4～3月)'!G$8:G$15),IF('内訳ﾘｽﾄ(4～3月)'!$D$5="工場間接",-D$68,0))</f>
        <v>56.5</v>
      </c>
      <c r="E72" s="164">
        <f>IF('内訳ﾘｽﾄ(4～3月)'!$D$5="製造",SUMIF('内訳ﾘｽﾄ(4～3月)'!$D$8:$D$15,$B72,'内訳ﾘｽﾄ(4～3月)'!H$8:H$15),IF('内訳ﾘｽﾄ(4～3月)'!$D$5="工場間接",-E$68,0))</f>
        <v>60</v>
      </c>
      <c r="F72" s="164">
        <f>IF('内訳ﾘｽﾄ(4～3月)'!$D$5="製造",SUMIF('内訳ﾘｽﾄ(4～3月)'!$D$8:$D$15,$B72,'内訳ﾘｽﾄ(4～3月)'!I$8:I$15),IF('内訳ﾘｽﾄ(4～3月)'!$D$5="工場間接",-F$68,0))</f>
        <v>64.75</v>
      </c>
      <c r="G72" s="164">
        <f>IF('内訳ﾘｽﾄ(4～3月)'!$D$5="製造",SUMIF('内訳ﾘｽﾄ(4～3月)'!$D$8:$D$15,$B72,'内訳ﾘｽﾄ(4～3月)'!J$8:J$15),IF('内訳ﾘｽﾄ(4～3月)'!$D$5="工場間接",-G$68,0))</f>
        <v>59</v>
      </c>
      <c r="H72" s="164">
        <f>IF('内訳ﾘｽﾄ(4～3月)'!$D$5="製造",SUMIF('内訳ﾘｽﾄ(4～3月)'!$D$8:$D$15,$B72,'内訳ﾘｽﾄ(4～3月)'!K$8:K$15),IF('内訳ﾘｽﾄ(4～3月)'!$D$5="工場間接",-H$68,0))</f>
        <v>54.75</v>
      </c>
      <c r="I72" s="164">
        <f>IF('内訳ﾘｽﾄ(4～3月)'!$D$5="製造",SUMIF('内訳ﾘｽﾄ(4～3月)'!$D$8:$D$15,$B72,'内訳ﾘｽﾄ(4～3月)'!L$8:L$15),IF('内訳ﾘｽﾄ(4～3月)'!$D$5="工場間接",-I$68,0))</f>
        <v>65</v>
      </c>
      <c r="J72" s="164">
        <f>IF('内訳ﾘｽﾄ(4～3月)'!$D$5="製造",SUMIF('内訳ﾘｽﾄ(4～3月)'!$D$8:$D$15,$B72,'内訳ﾘｽﾄ(4～3月)'!M$8:M$15),IF('内訳ﾘｽﾄ(4～3月)'!$D$5="工場間接",-J$68,0))</f>
        <v>59.25</v>
      </c>
      <c r="K72" s="164">
        <f>IF('内訳ﾘｽﾄ(4～3月)'!$D$5="製造",SUMIF('内訳ﾘｽﾄ(4～3月)'!$D$8:$D$15,$B72,'内訳ﾘｽﾄ(4～3月)'!N$8:N$15),IF('内訳ﾘｽﾄ(4～3月)'!$D$5="工場間接",-K$68,0))</f>
        <v>63.75</v>
      </c>
      <c r="L72" s="164">
        <f>IF('内訳ﾘｽﾄ(4～3月)'!$D$5="製造",SUMIF('内訳ﾘｽﾄ(4～3月)'!$D$8:$D$15,$B72,'内訳ﾘｽﾄ(4～3月)'!O$8:O$15),IF('内訳ﾘｽﾄ(4～3月)'!$D$5="工場間接",-L$68,0))</f>
        <v>60.25</v>
      </c>
      <c r="M72" s="164">
        <f>IF('内訳ﾘｽﾄ(4～3月)'!$D$5="製造",SUMIF('内訳ﾘｽﾄ(4～3月)'!$D$8:$D$15,$B72,'内訳ﾘｽﾄ(4～3月)'!P$8:P$15),IF('内訳ﾘｽﾄ(4～3月)'!$D$5="工場間接",-M$68,0))</f>
        <v>45.25</v>
      </c>
      <c r="N72" s="164">
        <f>IF('内訳ﾘｽﾄ(4～3月)'!$D$5="製造",SUMIF('内訳ﾘｽﾄ(4～3月)'!$D$8:$D$15,$B72,'内訳ﾘｽﾄ(4～3月)'!Q$8:Q$15),IF('内訳ﾘｽﾄ(4～3月)'!$D$5="工場間接",-N$68,0))</f>
        <v>60.5</v>
      </c>
      <c r="O72" s="164">
        <f>IF('内訳ﾘｽﾄ(4～3月)'!$D$5="工場間接",-SUM(O$68),IF('内訳ﾘｽﾄ(4～3月)'!$D$5="製造",SUMIF('内訳ﾘｽﾄ(4～3月)'!$D$8:$D$15,'採算表(VND)'!$B72,'内訳ﾘｽﾄ(4～3月)'!$R$8:$R$15),0))</f>
        <v>706</v>
      </c>
      <c r="AQ72" s="74"/>
      <c r="AR72" s="74"/>
      <c r="AS72" s="74"/>
      <c r="AT72" s="74"/>
      <c r="AU72" s="72"/>
      <c r="AV72" s="73"/>
      <c r="AW72" s="73"/>
      <c r="AX72" s="73"/>
      <c r="AY72" s="73"/>
      <c r="BA72" s="75"/>
      <c r="BB72" s="75"/>
      <c r="BC72" s="75"/>
      <c r="BD72" s="75"/>
      <c r="BF72" s="72"/>
      <c r="BG72" s="72"/>
      <c r="BH72" s="72"/>
      <c r="BI72" s="72"/>
    </row>
    <row r="73" spans="1:61" ht="11.25" customHeight="1">
      <c r="A73" s="38"/>
      <c r="B73" s="41" t="s">
        <v>90</v>
      </c>
      <c r="C73" s="165">
        <f>SUM(C68:C72)</f>
        <v>1368.5</v>
      </c>
      <c r="D73" s="165">
        <f t="shared" ref="D73:N73" si="6">SUM(D68:D72)</f>
        <v>1299.75</v>
      </c>
      <c r="E73" s="165">
        <f t="shared" si="6"/>
        <v>1441.75</v>
      </c>
      <c r="F73" s="165">
        <f t="shared" si="6"/>
        <v>1584.5</v>
      </c>
      <c r="G73" s="165">
        <f t="shared" si="6"/>
        <v>1371</v>
      </c>
      <c r="H73" s="165">
        <f t="shared" si="6"/>
        <v>1451.25</v>
      </c>
      <c r="I73" s="165">
        <f t="shared" si="6"/>
        <v>1772.5</v>
      </c>
      <c r="J73" s="165">
        <f t="shared" si="6"/>
        <v>1534</v>
      </c>
      <c r="K73" s="165">
        <f t="shared" si="6"/>
        <v>1693.75</v>
      </c>
      <c r="L73" s="165">
        <f t="shared" si="6"/>
        <v>1535.5</v>
      </c>
      <c r="M73" s="165">
        <f t="shared" si="6"/>
        <v>1132.5</v>
      </c>
      <c r="N73" s="165">
        <f t="shared" si="6"/>
        <v>1535.5</v>
      </c>
      <c r="O73" s="165">
        <f>IF(ISBLANK(O4),"",SUM(O68:O72))</f>
        <v>17720.5</v>
      </c>
      <c r="AQ73" s="74"/>
      <c r="AR73" s="74"/>
      <c r="AS73" s="74"/>
      <c r="AT73" s="74"/>
      <c r="AU73" s="72"/>
      <c r="AV73" s="73"/>
      <c r="AW73" s="73"/>
      <c r="AX73" s="73"/>
      <c r="AY73" s="73"/>
      <c r="BA73" s="75"/>
      <c r="BB73" s="75"/>
      <c r="BC73" s="75"/>
      <c r="BD73" s="75"/>
      <c r="BF73" s="72"/>
      <c r="BG73" s="72"/>
      <c r="BH73" s="72"/>
      <c r="BI73" s="72"/>
    </row>
    <row r="74" spans="1:61" ht="11.25" customHeight="1">
      <c r="A74" s="38"/>
      <c r="B74" s="39" t="s">
        <v>86</v>
      </c>
      <c r="C74" s="161">
        <f>SUMIF('内訳ﾘｽﾄ(4～3月)'!$D$16:$D$23,'採算表(VND)'!$B74,'内訳ﾘｽﾄ(4～3月)'!F$16:F$23)</f>
        <v>170</v>
      </c>
      <c r="D74" s="161">
        <f>SUMIF('内訳ﾘｽﾄ(4～3月)'!$D$16:$D$23,'採算表(VND)'!$B74,'内訳ﾘｽﾄ(4～3月)'!G$16:G$23)</f>
        <v>166</v>
      </c>
      <c r="E74" s="161">
        <f>SUMIF('内訳ﾘｽﾄ(4～3月)'!$D$16:$D$23,'採算表(VND)'!$B74,'内訳ﾘｽﾄ(4～3月)'!H$16:H$23)</f>
        <v>174</v>
      </c>
      <c r="F74" s="161">
        <f>SUMIF('内訳ﾘｽﾄ(4～3月)'!$D$16:$D$23,'採算表(VND)'!$B74,'内訳ﾘｽﾄ(4～3月)'!I$16:I$23)</f>
        <v>182</v>
      </c>
      <c r="G74" s="161">
        <f>SUMIF('内訳ﾘｽﾄ(4～3月)'!$D$16:$D$23,'採算表(VND)'!$B74,'内訳ﾘｽﾄ(4～3月)'!J$16:J$23)</f>
        <v>170</v>
      </c>
      <c r="H74" s="161">
        <f>SUMIF('内訳ﾘｽﾄ(4～3月)'!$D$16:$D$23,'採算表(VND)'!$B74,'内訳ﾘｽﾄ(4～3月)'!K$16:K$23)</f>
        <v>166</v>
      </c>
      <c r="I74" s="161">
        <f>SUMIF('内訳ﾘｽﾄ(4～3月)'!$D$16:$D$23,'採算表(VND)'!$B74,'内訳ﾘｽﾄ(4～3月)'!L$16:L$23)</f>
        <v>182</v>
      </c>
      <c r="J74" s="161">
        <f>SUMIF('内訳ﾘｽﾄ(4～3月)'!$D$16:$D$23,'採算表(VND)'!$B74,'内訳ﾘｽﾄ(4～3月)'!M$16:M$23)</f>
        <v>170</v>
      </c>
      <c r="K74" s="161">
        <f>SUMIF('内訳ﾘｽﾄ(4～3月)'!$D$16:$D$23,'採算表(VND)'!$B74,'内訳ﾘｽﾄ(4～3月)'!N$16:N$23)</f>
        <v>178</v>
      </c>
      <c r="L74" s="161">
        <f>SUMIF('内訳ﾘｽﾄ(4～3月)'!$D$16:$D$23,'採算表(VND)'!$B74,'内訳ﾘｽﾄ(4～3月)'!O$16:O$23)</f>
        <v>170</v>
      </c>
      <c r="M74" s="161">
        <f>SUMIF('内訳ﾘｽﾄ(4～3月)'!$D$16:$D$23,'採算表(VND)'!$B74,'内訳ﾘｽﾄ(4～3月)'!P$16:P$23)</f>
        <v>150</v>
      </c>
      <c r="N74" s="161">
        <f>SUMIF('内訳ﾘｽﾄ(4～3月)'!$D$16:$D$23,'採算表(VND)'!$B74,'内訳ﾘｽﾄ(4～3月)'!Q$16:Q$23)</f>
        <v>170</v>
      </c>
      <c r="O74" s="161">
        <f>SUMIF('内訳ﾘｽﾄ(4～3月)'!$D$16:$D$23,'採算表(VND)'!$B74,'内訳ﾘｽﾄ(4～3月)'!$R$16:$R$23)</f>
        <v>2048</v>
      </c>
      <c r="AQ74" s="74"/>
      <c r="AR74" s="74"/>
      <c r="AS74" s="74"/>
      <c r="AT74" s="74"/>
      <c r="AU74" s="72"/>
      <c r="AV74" s="73"/>
      <c r="AW74" s="73"/>
      <c r="AX74" s="73"/>
      <c r="AY74" s="73"/>
      <c r="BA74" s="75"/>
      <c r="BB74" s="75"/>
      <c r="BC74" s="75"/>
      <c r="BD74" s="75"/>
      <c r="BF74" s="72"/>
      <c r="BG74" s="72"/>
      <c r="BH74" s="72"/>
      <c r="BI74" s="72"/>
    </row>
    <row r="75" spans="1:61">
      <c r="A75" s="38"/>
      <c r="B75" s="37" t="s">
        <v>88</v>
      </c>
      <c r="C75" s="162">
        <f>IF('内訳ﾘｽﾄ(4～3月)'!$D$5="製造",SUMIF('内訳ﾘｽﾄ(4～3月)'!$D$16:$D$23,$B75,'内訳ﾘｽﾄ(4～3月)'!F$16:F$23),IF('内訳ﾘｽﾄ(4～3月)'!$D$5="部内間接",-C$74,0))</f>
        <v>0</v>
      </c>
      <c r="D75" s="162">
        <f>IF('内訳ﾘｽﾄ(4～3月)'!$D$5="製造",SUMIF('内訳ﾘｽﾄ(4～3月)'!$D$16:$D$23,$B75,'内訳ﾘｽﾄ(4～3月)'!G$16:G$23),IF('内訳ﾘｽﾄ(4～3月)'!$D$5="部内間接",-D$74,0))</f>
        <v>0</v>
      </c>
      <c r="E75" s="162">
        <f>IF('内訳ﾘｽﾄ(4～3月)'!$D$5="製造",SUMIF('内訳ﾘｽﾄ(4～3月)'!$D$16:$D$23,$B75,'内訳ﾘｽﾄ(4～3月)'!H$16:H$23),IF('内訳ﾘｽﾄ(4～3月)'!$D$5="部内間接",-E$74,0))</f>
        <v>0</v>
      </c>
      <c r="F75" s="162">
        <f>IF('内訳ﾘｽﾄ(4～3月)'!$D$5="製造",SUMIF('内訳ﾘｽﾄ(4～3月)'!$D$16:$D$23,$B75,'内訳ﾘｽﾄ(4～3月)'!I$16:I$23),IF('内訳ﾘｽﾄ(4～3月)'!$D$5="部内間接",-F$74,0))</f>
        <v>0</v>
      </c>
      <c r="G75" s="162">
        <f>IF('内訳ﾘｽﾄ(4～3月)'!$D$5="製造",SUMIF('内訳ﾘｽﾄ(4～3月)'!$D$16:$D$23,$B75,'内訳ﾘｽﾄ(4～3月)'!J$16:J$23),IF('内訳ﾘｽﾄ(4～3月)'!$D$5="部内間接",-G$74,0))</f>
        <v>0</v>
      </c>
      <c r="H75" s="162">
        <f>IF('内訳ﾘｽﾄ(4～3月)'!$D$5="製造",SUMIF('内訳ﾘｽﾄ(4～3月)'!$D$16:$D$23,$B75,'内訳ﾘｽﾄ(4～3月)'!K$16:K$23),IF('内訳ﾘｽﾄ(4～3月)'!$D$5="部内間接",-H$74,0))</f>
        <v>0</v>
      </c>
      <c r="I75" s="162">
        <f>IF('内訳ﾘｽﾄ(4～3月)'!$D$5="製造",SUMIF('内訳ﾘｽﾄ(4～3月)'!$D$16:$D$23,$B75,'内訳ﾘｽﾄ(4～3月)'!L$16:L$23),IF('内訳ﾘｽﾄ(4～3月)'!$D$5="部内間接",-I$74,0))</f>
        <v>0</v>
      </c>
      <c r="J75" s="162">
        <f>IF('内訳ﾘｽﾄ(4～3月)'!$D$5="製造",SUMIF('内訳ﾘｽﾄ(4～3月)'!$D$16:$D$23,$B75,'内訳ﾘｽﾄ(4～3月)'!M$16:M$23),IF('内訳ﾘｽﾄ(4～3月)'!$D$5="部内間接",-J$74,0))</f>
        <v>0</v>
      </c>
      <c r="K75" s="162">
        <f>IF('内訳ﾘｽﾄ(4～3月)'!$D$5="製造",SUMIF('内訳ﾘｽﾄ(4～3月)'!$D$16:$D$23,$B75,'内訳ﾘｽﾄ(4～3月)'!N$16:N$23),IF('内訳ﾘｽﾄ(4～3月)'!$D$5="部内間接",-K$74,0))</f>
        <v>0</v>
      </c>
      <c r="L75" s="162">
        <f>IF('内訳ﾘｽﾄ(4～3月)'!$D$5="製造",SUMIF('内訳ﾘｽﾄ(4～3月)'!$D$16:$D$23,$B75,'内訳ﾘｽﾄ(4～3月)'!O$16:O$23),IF('内訳ﾘｽﾄ(4～3月)'!$D$5="部内間接",-L$74,0))</f>
        <v>0</v>
      </c>
      <c r="M75" s="162">
        <f>IF('内訳ﾘｽﾄ(4～3月)'!$D$5="製造",SUMIF('内訳ﾘｽﾄ(4～3月)'!$D$16:$D$23,$B75,'内訳ﾘｽﾄ(4～3月)'!P$16:P$23),IF('内訳ﾘｽﾄ(4～3月)'!$D$5="部内間接",-M$74,0))</f>
        <v>0</v>
      </c>
      <c r="N75" s="162">
        <f>IF('内訳ﾘｽﾄ(4～3月)'!$D$5="製造",SUMIF('内訳ﾘｽﾄ(4～3月)'!$D$16:$D$23,$B75,'内訳ﾘｽﾄ(4～3月)'!Q$16:Q$23),IF('内訳ﾘｽﾄ(4～3月)'!$D$5="部内間接",-N$74,0))</f>
        <v>0</v>
      </c>
      <c r="O75" s="162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4"/>
      <c r="AR75" s="74"/>
      <c r="AS75" s="74"/>
      <c r="AT75" s="74"/>
      <c r="AU75" s="72"/>
      <c r="AV75" s="73"/>
      <c r="AW75" s="73"/>
      <c r="AX75" s="73"/>
      <c r="AY75" s="73"/>
      <c r="BA75" s="75"/>
      <c r="BB75" s="75"/>
      <c r="BC75" s="75"/>
      <c r="BD75" s="75"/>
      <c r="BF75" s="72"/>
      <c r="BG75" s="72"/>
      <c r="BH75" s="72"/>
      <c r="BI75" s="72"/>
    </row>
    <row r="76" spans="1:61">
      <c r="A76" s="38"/>
      <c r="B76" s="37" t="s">
        <v>126</v>
      </c>
      <c r="C76" s="163">
        <f>IF('内訳ﾘｽﾄ(4～3月)'!$D$5="製造",SUMIF('内訳ﾘｽﾄ(4～3月)'!$D$16:$D$23,$B76,'内訳ﾘｽﾄ(4～3月)'!F$16:F$23),IF('内訳ﾘｽﾄ(4～3月)'!$D$5="部外間接1",-C$74,0))</f>
        <v>0.5</v>
      </c>
      <c r="D76" s="163">
        <f>IF('内訳ﾘｽﾄ(4～3月)'!$D$5="製造",SUMIF('内訳ﾘｽﾄ(4～3月)'!$D$16:$D$23,$B76,'内訳ﾘｽﾄ(4～3月)'!G$16:G$23),IF('内訳ﾘｽﾄ(4～3月)'!$D$5="部外間接1",-D$74,0))</f>
        <v>0.5</v>
      </c>
      <c r="E76" s="163">
        <f>IF('内訳ﾘｽﾄ(4～3月)'!$D$5="製造",SUMIF('内訳ﾘｽﾄ(4～3月)'!$D$16:$D$23,$B76,'内訳ﾘｽﾄ(4～3月)'!H$16:H$23),IF('内訳ﾘｽﾄ(4～3月)'!$D$5="部外間接1",-E$74,0))</f>
        <v>0.5</v>
      </c>
      <c r="F76" s="163">
        <f>IF('内訳ﾘｽﾄ(4～3月)'!$D$5="製造",SUMIF('内訳ﾘｽﾄ(4～3月)'!$D$16:$D$23,$B76,'内訳ﾘｽﾄ(4～3月)'!I$16:I$23),IF('内訳ﾘｽﾄ(4～3月)'!$D$5="部外間接1",-F$74,0))</f>
        <v>0.5</v>
      </c>
      <c r="G76" s="163">
        <f>IF('内訳ﾘｽﾄ(4～3月)'!$D$5="製造",SUMIF('内訳ﾘｽﾄ(4～3月)'!$D$16:$D$23,$B76,'内訳ﾘｽﾄ(4～3月)'!J$16:J$23),IF('内訳ﾘｽﾄ(4～3月)'!$D$5="部外間接1",-G$74,0))</f>
        <v>0.5</v>
      </c>
      <c r="H76" s="163">
        <f>IF('内訳ﾘｽﾄ(4～3月)'!$D$5="製造",SUMIF('内訳ﾘｽﾄ(4～3月)'!$D$16:$D$23,$B76,'内訳ﾘｽﾄ(4～3月)'!K$16:K$23),IF('内訳ﾘｽﾄ(4～3月)'!$D$5="部外間接1",-H$74,0))</f>
        <v>0.5</v>
      </c>
      <c r="I76" s="163">
        <f>IF('内訳ﾘｽﾄ(4～3月)'!$D$5="製造",SUMIF('内訳ﾘｽﾄ(4～3月)'!$D$16:$D$23,$B76,'内訳ﾘｽﾄ(4～3月)'!L$16:L$23),IF('内訳ﾘｽﾄ(4～3月)'!$D$5="部外間接1",-I$74,0))</f>
        <v>0.5</v>
      </c>
      <c r="J76" s="163">
        <f>IF('内訳ﾘｽﾄ(4～3月)'!$D$5="製造",SUMIF('内訳ﾘｽﾄ(4～3月)'!$D$16:$D$23,$B76,'内訳ﾘｽﾄ(4～3月)'!M$16:M$23),IF('内訳ﾘｽﾄ(4～3月)'!$D$5="部外間接1",-J$74,0))</f>
        <v>0.5</v>
      </c>
      <c r="K76" s="163">
        <f>IF('内訳ﾘｽﾄ(4～3月)'!$D$5="製造",SUMIF('内訳ﾘｽﾄ(4～3月)'!$D$16:$D$23,$B76,'内訳ﾘｽﾄ(4～3月)'!N$16:N$23),IF('内訳ﾘｽﾄ(4～3月)'!$D$5="部外間接1",-K$74,0))</f>
        <v>0.5</v>
      </c>
      <c r="L76" s="163">
        <f>IF('内訳ﾘｽﾄ(4～3月)'!$D$5="製造",SUMIF('内訳ﾘｽﾄ(4～3月)'!$D$16:$D$23,$B76,'内訳ﾘｽﾄ(4～3月)'!O$16:O$23),IF('内訳ﾘｽﾄ(4～3月)'!$D$5="部外間接1",-L$74,0))</f>
        <v>0.5</v>
      </c>
      <c r="M76" s="163">
        <f>IF('内訳ﾘｽﾄ(4～3月)'!$D$5="製造",SUMIF('内訳ﾘｽﾄ(4～3月)'!$D$16:$D$23,$B76,'内訳ﾘｽﾄ(4～3月)'!P$16:P$23),IF('内訳ﾘｽﾄ(4～3月)'!$D$5="部外間接1",-M$74,0))</f>
        <v>0.25</v>
      </c>
      <c r="N76" s="163">
        <f>IF('内訳ﾘｽﾄ(4～3月)'!$D$5="製造",SUMIF('内訳ﾘｽﾄ(4～3月)'!$D$16:$D$23,$B76,'内訳ﾘｽﾄ(4～3月)'!Q$16:Q$23),IF('内訳ﾘｽﾄ(4～3月)'!$D$5="部外間接1",-N$74,0))</f>
        <v>0.5</v>
      </c>
      <c r="O76" s="163">
        <f>IF('内訳ﾘｽﾄ(4～3月)'!$D$5="部外間接1",-SUM(O$74),IF('内訳ﾘｽﾄ(4～3月)'!$D$5="製造",SUMIF('内訳ﾘｽﾄ(4～3月)'!$D$16:$D$23,'採算表(VND)'!$B76,'内訳ﾘｽﾄ(4～3月)'!$R$16:$R$23),0))</f>
        <v>5.75</v>
      </c>
      <c r="AQ76" s="74"/>
      <c r="AR76" s="74"/>
      <c r="AS76" s="74"/>
      <c r="AT76" s="74"/>
      <c r="AU76" s="72"/>
      <c r="AV76" s="73"/>
      <c r="AW76" s="73"/>
      <c r="AX76" s="73"/>
      <c r="AY76" s="73"/>
      <c r="BA76" s="75"/>
      <c r="BB76" s="75"/>
      <c r="BC76" s="75"/>
      <c r="BD76" s="75"/>
      <c r="BF76" s="72"/>
      <c r="BG76" s="72"/>
      <c r="BH76" s="72"/>
      <c r="BI76" s="72"/>
    </row>
    <row r="77" spans="1:61">
      <c r="A77" s="38"/>
      <c r="B77" s="37" t="s">
        <v>127</v>
      </c>
      <c r="C77" s="163">
        <f>IF('内訳ﾘｽﾄ(4～3月)'!$D$5="製造",SUMIF('内訳ﾘｽﾄ(4～3月)'!$D$16:$D$23,$B77,'内訳ﾘｽﾄ(4～3月)'!F$16:F$23),IF('内訳ﾘｽﾄ(4～3月)'!$D$5="部外間接2",-C$74,0))</f>
        <v>1.25</v>
      </c>
      <c r="D77" s="163">
        <f>IF('内訳ﾘｽﾄ(4～3月)'!$D$5="製造",SUMIF('内訳ﾘｽﾄ(4～3月)'!$D$16:$D$23,$B77,'内訳ﾘｽﾄ(4～3月)'!G$16:G$23),IF('内訳ﾘｽﾄ(4～3月)'!$D$5="部外間接2",-D$74,0))</f>
        <v>1</v>
      </c>
      <c r="E77" s="163">
        <f>IF('内訳ﾘｽﾄ(4～3月)'!$D$5="製造",SUMIF('内訳ﾘｽﾄ(4～3月)'!$D$16:$D$23,$B77,'内訳ﾘｽﾄ(4～3月)'!H$16:H$23),IF('内訳ﾘｽﾄ(4～3月)'!$D$5="部外間接2",-E$74,0))</f>
        <v>1.25</v>
      </c>
      <c r="F77" s="163">
        <f>IF('内訳ﾘｽﾄ(4～3月)'!$D$5="製造",SUMIF('内訳ﾘｽﾄ(4～3月)'!$D$16:$D$23,$B77,'内訳ﾘｽﾄ(4～3月)'!I$16:I$23),IF('内訳ﾘｽﾄ(4～3月)'!$D$5="部外間接2",-F$74,0))</f>
        <v>1.25</v>
      </c>
      <c r="G77" s="163">
        <f>IF('内訳ﾘｽﾄ(4～3月)'!$D$5="製造",SUMIF('内訳ﾘｽﾄ(4～3月)'!$D$16:$D$23,$B77,'内訳ﾘｽﾄ(4～3月)'!J$16:J$23),IF('内訳ﾘｽﾄ(4～3月)'!$D$5="部外間接2",-G$74,0))</f>
        <v>1.25</v>
      </c>
      <c r="H77" s="163">
        <f>IF('内訳ﾘｽﾄ(4～3月)'!$D$5="製造",SUMIF('内訳ﾘｽﾄ(4～3月)'!$D$16:$D$23,$B77,'内訳ﾘｽﾄ(4～3月)'!K$16:K$23),IF('内訳ﾘｽﾄ(4～3月)'!$D$5="部外間接2",-H$74,0))</f>
        <v>1</v>
      </c>
      <c r="I77" s="163">
        <f>IF('内訳ﾘｽﾄ(4～3月)'!$D$5="製造",SUMIF('内訳ﾘｽﾄ(4～3月)'!$D$16:$D$23,$B77,'内訳ﾘｽﾄ(4～3月)'!L$16:L$23),IF('内訳ﾘｽﾄ(4～3月)'!$D$5="部外間接2",-I$74,0))</f>
        <v>1.25</v>
      </c>
      <c r="J77" s="163">
        <f>IF('内訳ﾘｽﾄ(4～3月)'!$D$5="製造",SUMIF('内訳ﾘｽﾄ(4～3月)'!$D$16:$D$23,$B77,'内訳ﾘｽﾄ(4～3月)'!M$16:M$23),IF('内訳ﾘｽﾄ(4～3月)'!$D$5="部外間接2",-J$74,0))</f>
        <v>1.25</v>
      </c>
      <c r="K77" s="163">
        <f>IF('内訳ﾘｽﾄ(4～3月)'!$D$5="製造",SUMIF('内訳ﾘｽﾄ(4～3月)'!$D$16:$D$23,$B77,'内訳ﾘｽﾄ(4～3月)'!N$16:N$23),IF('内訳ﾘｽﾄ(4～3月)'!$D$5="部外間接2",-K$74,0))</f>
        <v>1.25</v>
      </c>
      <c r="L77" s="163">
        <f>IF('内訳ﾘｽﾄ(4～3月)'!$D$5="製造",SUMIF('内訳ﾘｽﾄ(4～3月)'!$D$16:$D$23,$B77,'内訳ﾘｽﾄ(4～3月)'!O$16:O$23),IF('内訳ﾘｽﾄ(4～3月)'!$D$5="部外間接2",-L$74,0))</f>
        <v>1.5</v>
      </c>
      <c r="M77" s="163">
        <f>IF('内訳ﾘｽﾄ(4～3月)'!$D$5="製造",SUMIF('内訳ﾘｽﾄ(4～3月)'!$D$16:$D$23,$B77,'内訳ﾘｽﾄ(4～3月)'!P$16:P$23),IF('内訳ﾘｽﾄ(4～3月)'!$D$5="部外間接2",-M$74,0))</f>
        <v>0.5</v>
      </c>
      <c r="N77" s="163">
        <f>IF('内訳ﾘｽﾄ(4～3月)'!$D$5="製造",SUMIF('内訳ﾘｽﾄ(4～3月)'!$D$16:$D$23,$B77,'内訳ﾘｽﾄ(4～3月)'!Q$16:Q$23),IF('内訳ﾘｽﾄ(4～3月)'!$D$5="部外間接2",-N$74,0))</f>
        <v>1.5</v>
      </c>
      <c r="O77" s="163">
        <f>IF('内訳ﾘｽﾄ(4～3月)'!$D$5="部外間接2",-SUM(O$74),IF('内訳ﾘｽﾄ(4～3月)'!$D$5="製造",SUMIF('内訳ﾘｽﾄ(4～3月)'!$D$16:$D$23,'採算表(VND)'!$B77,'内訳ﾘｽﾄ(4～3月)'!$R$16:$R$23),0))</f>
        <v>14.25</v>
      </c>
      <c r="AQ77" s="74"/>
      <c r="AR77" s="74"/>
      <c r="AS77" s="74"/>
      <c r="AT77" s="74"/>
      <c r="AU77" s="72"/>
      <c r="AV77" s="73"/>
      <c r="AW77" s="73"/>
      <c r="AX77" s="73"/>
      <c r="AY77" s="73"/>
      <c r="BA77" s="75"/>
      <c r="BB77" s="75"/>
      <c r="BC77" s="75"/>
      <c r="BD77" s="75"/>
      <c r="BF77" s="72"/>
      <c r="BG77" s="72"/>
      <c r="BH77" s="72"/>
      <c r="BI77" s="72"/>
    </row>
    <row r="78" spans="1:61">
      <c r="A78" s="38"/>
      <c r="B78" s="40" t="s">
        <v>450</v>
      </c>
      <c r="C78" s="164">
        <f>IF('内訳ﾘｽﾄ(4～3月)'!$D$5="製造",SUMIF('内訳ﾘｽﾄ(4～3月)'!$D$16:$D$23,$B78,'内訳ﾘｽﾄ(4～3月)'!F$16:F$23),IF('内訳ﾘｽﾄ(4～3月)'!$D$5="工場間接",-C$74,0))</f>
        <v>3.25</v>
      </c>
      <c r="D78" s="164">
        <f>IF('内訳ﾘｽﾄ(4～3月)'!$D$5="製造",SUMIF('内訳ﾘｽﾄ(4～3月)'!$D$16:$D$23,$B78,'内訳ﾘｽﾄ(4～3月)'!G$16:G$23),IF('内訳ﾘｽﾄ(4～3月)'!$D$5="工場間接",-D$74,0))</f>
        <v>3.25</v>
      </c>
      <c r="E78" s="164">
        <f>IF('内訳ﾘｽﾄ(4～3月)'!$D$5="製造",SUMIF('内訳ﾘｽﾄ(4～3月)'!$D$16:$D$23,$B78,'内訳ﾘｽﾄ(4～3月)'!H$16:H$23),IF('内訳ﾘｽﾄ(4～3月)'!$D$5="工場間接",-E$74,0))</f>
        <v>2.75</v>
      </c>
      <c r="F78" s="164">
        <f>IF('内訳ﾘｽﾄ(4～3月)'!$D$5="製造",SUMIF('内訳ﾘｽﾄ(4～3月)'!$D$16:$D$23,$B78,'内訳ﾘｽﾄ(4～3月)'!I$16:I$23),IF('内訳ﾘｽﾄ(4～3月)'!$D$5="工場間接",-F$74,0))</f>
        <v>3</v>
      </c>
      <c r="G78" s="164">
        <f>IF('内訳ﾘｽﾄ(4～3月)'!$D$5="製造",SUMIF('内訳ﾘｽﾄ(4～3月)'!$D$16:$D$23,$B78,'内訳ﾘｽﾄ(4～3月)'!J$16:J$23),IF('内訳ﾘｽﾄ(4～3月)'!$D$5="工場間接",-G$74,0))</f>
        <v>2.75</v>
      </c>
      <c r="H78" s="164">
        <f>IF('内訳ﾘｽﾄ(4～3月)'!$D$5="製造",SUMIF('内訳ﾘｽﾄ(4～3月)'!$D$16:$D$23,$B78,'内訳ﾘｽﾄ(4～3月)'!K$16:K$23),IF('内訳ﾘｽﾄ(4～3月)'!$D$5="工場間接",-H$74,0))</f>
        <v>3.75</v>
      </c>
      <c r="I78" s="164">
        <f>IF('内訳ﾘｽﾄ(4～3月)'!$D$5="製造",SUMIF('内訳ﾘｽﾄ(4～3月)'!$D$16:$D$23,$B78,'内訳ﾘｽﾄ(4～3月)'!L$16:L$23),IF('内訳ﾘｽﾄ(4～3月)'!$D$5="工場間接",-I$74,0))</f>
        <v>3</v>
      </c>
      <c r="J78" s="164">
        <f>IF('内訳ﾘｽﾄ(4～3月)'!$D$5="製造",SUMIF('内訳ﾘｽﾄ(4～3月)'!$D$16:$D$23,$B78,'内訳ﾘｽﾄ(4～3月)'!M$16:M$23),IF('内訳ﾘｽﾄ(4～3月)'!$D$5="工場間接",-J$74,0))</f>
        <v>3</v>
      </c>
      <c r="K78" s="164">
        <f>IF('内訳ﾘｽﾄ(4～3月)'!$D$5="製造",SUMIF('内訳ﾘｽﾄ(4～3月)'!$D$16:$D$23,$B78,'内訳ﾘｽﾄ(4～3月)'!N$16:N$23),IF('内訳ﾘｽﾄ(4～3月)'!$D$5="工場間接",-K$74,0))</f>
        <v>3</v>
      </c>
      <c r="L78" s="164">
        <f>IF('内訳ﾘｽﾄ(4～3月)'!$D$5="製造",SUMIF('内訳ﾘｽﾄ(4～3月)'!$D$16:$D$23,$B78,'内訳ﾘｽﾄ(4～3月)'!O$16:O$23),IF('内訳ﾘｽﾄ(4～3月)'!$D$5="工場間接",-L$74,0))</f>
        <v>2.75</v>
      </c>
      <c r="M78" s="164">
        <f>IF('内訳ﾘｽﾄ(4～3月)'!$D$5="製造",SUMIF('内訳ﾘｽﾄ(4～3月)'!$D$16:$D$23,$B78,'内訳ﾘｽﾄ(4～3月)'!P$16:P$23),IF('内訳ﾘｽﾄ(4～3月)'!$D$5="工場間接",-M$74,0))</f>
        <v>3.75</v>
      </c>
      <c r="N78" s="164">
        <f>IF('内訳ﾘｽﾄ(4～3月)'!$D$5="製造",SUMIF('内訳ﾘｽﾄ(4～3月)'!$D$16:$D$23,$B78,'内訳ﾘｽﾄ(4～3月)'!Q$16:Q$23),IF('内訳ﾘｽﾄ(4～3月)'!$D$5="工場間接",-N$74,0))</f>
        <v>2.75</v>
      </c>
      <c r="O78" s="164">
        <f>IF('内訳ﾘｽﾄ(4～3月)'!$D$5="工場間接",-SUM(O$74),IF('内訳ﾘｽﾄ(4～3月)'!$D$5="製造",SUMIF('内訳ﾘｽﾄ(4～3月)'!$D$16:$D$23,'採算表(VND)'!$B78,'内訳ﾘｽﾄ(4～3月)'!$R$16:$R$23),0))</f>
        <v>37</v>
      </c>
      <c r="AQ78" s="74"/>
      <c r="AR78" s="74"/>
      <c r="AS78" s="74"/>
      <c r="AT78" s="74"/>
      <c r="AU78" s="72"/>
      <c r="AV78" s="73"/>
      <c r="AW78" s="73"/>
      <c r="AX78" s="73"/>
      <c r="AY78" s="73"/>
      <c r="BA78" s="75"/>
      <c r="BB78" s="75"/>
      <c r="BC78" s="75"/>
      <c r="BD78" s="75"/>
      <c r="BF78" s="72"/>
      <c r="BG78" s="72"/>
      <c r="BH78" s="72"/>
      <c r="BI78" s="72"/>
    </row>
    <row r="79" spans="1:61" ht="14.25" customHeight="1">
      <c r="A79" s="38"/>
      <c r="B79" s="41" t="s">
        <v>91</v>
      </c>
      <c r="C79" s="165">
        <f>SUM(C74:C78)</f>
        <v>175</v>
      </c>
      <c r="D79" s="165">
        <f t="shared" ref="D79:N79" si="7">SUM(D74:D78)</f>
        <v>170.75</v>
      </c>
      <c r="E79" s="165">
        <f t="shared" si="7"/>
        <v>178.5</v>
      </c>
      <c r="F79" s="165">
        <f t="shared" si="7"/>
        <v>186.75</v>
      </c>
      <c r="G79" s="165">
        <f t="shared" si="7"/>
        <v>174.5</v>
      </c>
      <c r="H79" s="165">
        <f t="shared" si="7"/>
        <v>171.25</v>
      </c>
      <c r="I79" s="165">
        <f t="shared" si="7"/>
        <v>186.75</v>
      </c>
      <c r="J79" s="165">
        <f t="shared" si="7"/>
        <v>174.75</v>
      </c>
      <c r="K79" s="165">
        <f t="shared" si="7"/>
        <v>182.75</v>
      </c>
      <c r="L79" s="165">
        <f t="shared" si="7"/>
        <v>174.75</v>
      </c>
      <c r="M79" s="165">
        <f t="shared" si="7"/>
        <v>154.5</v>
      </c>
      <c r="N79" s="165">
        <f t="shared" si="7"/>
        <v>174.75</v>
      </c>
      <c r="O79" s="165">
        <f>IF(ISBLANK(O10),"",SUM(O74:O78))</f>
        <v>2105</v>
      </c>
      <c r="AQ79" s="74"/>
      <c r="AR79" s="74"/>
      <c r="AS79" s="74"/>
      <c r="AT79" s="74"/>
      <c r="AU79" s="72"/>
      <c r="AV79" s="73"/>
      <c r="AW79" s="73"/>
      <c r="AX79" s="73"/>
      <c r="AY79" s="73"/>
      <c r="BA79" s="75"/>
      <c r="BB79" s="75"/>
      <c r="BC79" s="75"/>
      <c r="BD79" s="75"/>
      <c r="BF79" s="72"/>
      <c r="BG79" s="72"/>
      <c r="BH79" s="72"/>
      <c r="BI79" s="72"/>
    </row>
    <row r="80" spans="1:61" ht="14.25" customHeight="1">
      <c r="A80" s="26"/>
      <c r="B80" s="32" t="s">
        <v>79</v>
      </c>
      <c r="C80" s="166">
        <f>IFERROR(ROUNDDOWN(C66/C67,0),0)</f>
        <v>1067921</v>
      </c>
      <c r="D80" s="166">
        <f t="shared" ref="D80:N80" si="8">IFERROR(ROUNDDOWN(D66/D67,0),0)</f>
        <v>1753734</v>
      </c>
      <c r="E80" s="166">
        <f t="shared" si="8"/>
        <v>158680</v>
      </c>
      <c r="F80" s="166">
        <f t="shared" si="8"/>
        <v>197977</v>
      </c>
      <c r="G80" s="166">
        <f t="shared" si="8"/>
        <v>-293367</v>
      </c>
      <c r="H80" s="166">
        <f t="shared" si="8"/>
        <v>560370</v>
      </c>
      <c r="I80" s="166">
        <f t="shared" si="8"/>
        <v>234866</v>
      </c>
      <c r="J80" s="166">
        <f t="shared" si="8"/>
        <v>208982</v>
      </c>
      <c r="K80" s="166">
        <f t="shared" si="8"/>
        <v>80402</v>
      </c>
      <c r="L80" s="166">
        <f t="shared" si="8"/>
        <v>266520</v>
      </c>
      <c r="M80" s="166">
        <f t="shared" si="8"/>
        <v>28926</v>
      </c>
      <c r="N80" s="166">
        <f t="shared" si="8"/>
        <v>477635</v>
      </c>
      <c r="O80" s="166">
        <f>IFERROR(ROUNDDOWN(O66/O67,0),0)</f>
        <v>381772</v>
      </c>
      <c r="AQ80" s="74"/>
      <c r="AR80" s="74"/>
      <c r="AS80" s="74"/>
      <c r="AT80" s="74"/>
      <c r="AU80" s="72"/>
      <c r="AV80" s="73"/>
      <c r="AW80" s="73"/>
      <c r="AX80" s="73"/>
      <c r="AY80" s="73"/>
      <c r="BA80" s="75"/>
      <c r="BB80" s="75"/>
      <c r="BC80" s="75"/>
      <c r="BD80" s="75"/>
      <c r="BF80" s="72"/>
      <c r="BG80" s="72"/>
      <c r="BH80" s="72"/>
      <c r="BI80" s="72"/>
    </row>
    <row r="81" spans="1:61" ht="14.25" customHeight="1">
      <c r="A81" s="26"/>
      <c r="B81" s="42" t="s">
        <v>80</v>
      </c>
      <c r="C81" s="167">
        <f>IFERROR(ROUNDDOWN(C12/C67,0),0)</f>
        <v>2594999</v>
      </c>
      <c r="D81" s="167">
        <f t="shared" ref="D81:N81" si="9">IFERROR(ROUNDDOWN(D12/D67,0),0)</f>
        <v>1894258</v>
      </c>
      <c r="E81" s="167">
        <f t="shared" si="9"/>
        <v>291162</v>
      </c>
      <c r="F81" s="167">
        <f t="shared" si="9"/>
        <v>300610</v>
      </c>
      <c r="G81" s="167">
        <f t="shared" si="9"/>
        <v>336888</v>
      </c>
      <c r="H81" s="167">
        <f t="shared" si="9"/>
        <v>819193</v>
      </c>
      <c r="I81" s="167">
        <f t="shared" si="9"/>
        <v>389431</v>
      </c>
      <c r="J81" s="167">
        <f t="shared" si="9"/>
        <v>388564</v>
      </c>
      <c r="K81" s="167">
        <f t="shared" si="9"/>
        <v>346953</v>
      </c>
      <c r="L81" s="167">
        <f t="shared" si="9"/>
        <v>512842</v>
      </c>
      <c r="M81" s="167">
        <f t="shared" si="9"/>
        <v>594923</v>
      </c>
      <c r="N81" s="167">
        <f t="shared" si="9"/>
        <v>645146</v>
      </c>
      <c r="O81" s="167">
        <f>IFERROR(ROUNDDOWN(O12/O67,0),0)</f>
        <v>729819</v>
      </c>
      <c r="AQ81" s="74"/>
      <c r="AR81" s="74"/>
      <c r="AS81" s="74"/>
      <c r="AT81" s="74"/>
      <c r="AU81" s="72"/>
      <c r="AV81" s="73"/>
      <c r="AW81" s="73"/>
      <c r="AX81" s="73"/>
      <c r="AY81" s="73"/>
      <c r="BA81" s="75"/>
      <c r="BB81" s="75"/>
      <c r="BC81" s="75"/>
      <c r="BD81" s="75"/>
      <c r="BF81" s="72"/>
      <c r="BG81" s="72"/>
      <c r="BH81" s="72"/>
      <c r="BI81" s="72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AQ86" s="74"/>
      <c r="AR86" s="74"/>
      <c r="AS86" s="74"/>
      <c r="AT86" s="74"/>
      <c r="AU86" s="72"/>
      <c r="AV86" s="73"/>
      <c r="AW86" s="73"/>
      <c r="AX86" s="73"/>
      <c r="AY86" s="73"/>
      <c r="BA86" s="75"/>
      <c r="BB86" s="75"/>
      <c r="BC86" s="75"/>
      <c r="BD86" s="75"/>
      <c r="BF86" s="72"/>
      <c r="BG86" s="72"/>
      <c r="BH86" s="72"/>
      <c r="BI86" s="72"/>
    </row>
    <row r="87" spans="1:61">
      <c r="A87" s="43"/>
      <c r="B87" s="59" t="s">
        <v>343</v>
      </c>
      <c r="C87" s="149">
        <f>SUMIF('内訳ﾘｽﾄ(4～3月)'!$D$24:$D$25,'採算表(VND)'!$B87,'内訳ﾘｽﾄ(4～3月)'!F$24:F$25)</f>
        <v>0</v>
      </c>
      <c r="D87" s="149">
        <f>SUMIF('内訳ﾘｽﾄ(4～3月)'!$D$24:$D$25,'採算表(VND)'!$B87,'内訳ﾘｽﾄ(4～3月)'!G$24:G$25)</f>
        <v>0</v>
      </c>
      <c r="E87" s="149">
        <f>SUMIF('内訳ﾘｽﾄ(4～3月)'!$D$24:$D$25,'採算表(VND)'!$B87,'内訳ﾘｽﾄ(4～3月)'!H$24:H$25)</f>
        <v>0</v>
      </c>
      <c r="F87" s="149">
        <f>SUMIF('内訳ﾘｽﾄ(4～3月)'!$D$24:$D$25,'採算表(VND)'!$B87,'内訳ﾘｽﾄ(4～3月)'!I$24:I$25)</f>
        <v>0</v>
      </c>
      <c r="G87" s="149">
        <f>SUMIF('内訳ﾘｽﾄ(4～3月)'!$D$24:$D$25,'採算表(VND)'!$B87,'内訳ﾘｽﾄ(4～3月)'!J$24:J$25)</f>
        <v>0</v>
      </c>
      <c r="H87" s="149">
        <f>SUMIF('内訳ﾘｽﾄ(4～3月)'!$D$24:$D$25,'採算表(VND)'!$B87,'内訳ﾘｽﾄ(4～3月)'!K$24:K$25)</f>
        <v>0</v>
      </c>
      <c r="I87" s="149">
        <f>SUMIF('内訳ﾘｽﾄ(4～3月)'!$D$24:$D$25,'採算表(VND)'!$B87,'内訳ﾘｽﾄ(4～3月)'!L$24:L$25)</f>
        <v>0</v>
      </c>
      <c r="J87" s="149">
        <f>SUMIF('内訳ﾘｽﾄ(4～3月)'!$D$24:$D$25,'採算表(VND)'!$B87,'内訳ﾘｽﾄ(4～3月)'!M$24:M$25)</f>
        <v>0</v>
      </c>
      <c r="K87" s="149">
        <f>SUMIF('内訳ﾘｽﾄ(4～3月)'!$D$24:$D$25,'採算表(VND)'!$B87,'内訳ﾘｽﾄ(4～3月)'!N$24:N$25)</f>
        <v>0</v>
      </c>
      <c r="L87" s="149">
        <f>SUMIF('内訳ﾘｽﾄ(4～3月)'!$D$24:$D$25,'採算表(VND)'!$B87,'内訳ﾘｽﾄ(4～3月)'!O$24:O$25)</f>
        <v>0</v>
      </c>
      <c r="M87" s="149">
        <f>SUMIF('内訳ﾘｽﾄ(4～3月)'!$D$24:$D$25,'採算表(VND)'!$B87,'内訳ﾘｽﾄ(4～3月)'!P$24:P$25)</f>
        <v>0</v>
      </c>
      <c r="N87" s="149">
        <f>SUMIF('内訳ﾘｽﾄ(4～3月)'!$D$24:$D$25,'採算表(VND)'!$B87,'内訳ﾘｽﾄ(4～3月)'!Q$24:Q$25)</f>
        <v>0</v>
      </c>
      <c r="O87" s="149">
        <f>SUMIF('内訳ﾘｽﾄ(4～3月)'!$D$24:$D$25,'採算表(VND)'!$B87,'内訳ﾘｽﾄ(4～3月)'!R$24:R$25)</f>
        <v>0</v>
      </c>
      <c r="AQ87" s="74"/>
      <c r="AR87" s="74"/>
      <c r="AS87" s="74"/>
      <c r="AT87" s="74"/>
      <c r="AU87" s="72"/>
      <c r="AV87" s="73"/>
      <c r="AW87" s="73"/>
      <c r="AX87" s="73"/>
      <c r="AY87" s="73"/>
      <c r="BA87" s="75"/>
      <c r="BB87" s="75"/>
      <c r="BC87" s="75"/>
      <c r="BD87" s="75"/>
      <c r="BF87" s="72"/>
      <c r="BG87" s="72"/>
      <c r="BH87" s="72"/>
      <c r="BI87" s="72"/>
    </row>
    <row r="88" spans="1:61">
      <c r="A88" s="43"/>
      <c r="B88" s="59" t="s">
        <v>344</v>
      </c>
      <c r="C88" s="149">
        <f>SUMIF('内訳ﾘｽﾄ(4～3月)'!$D$24:$D$25,'採算表(VND)'!$B88,'内訳ﾘｽﾄ(4～3月)'!F$24:F$25)</f>
        <v>8</v>
      </c>
      <c r="D88" s="149">
        <f>SUMIF('内訳ﾘｽﾄ(4～3月)'!$D$24:$D$25,'採算表(VND)'!$B88,'内訳ﾘｽﾄ(4～3月)'!G$24:G$25)</f>
        <v>8</v>
      </c>
      <c r="E88" s="149">
        <f>SUMIF('内訳ﾘｽﾄ(4～3月)'!$D$24:$D$25,'採算表(VND)'!$B88,'内訳ﾘｽﾄ(4～3月)'!H$24:H$25)</f>
        <v>8</v>
      </c>
      <c r="F88" s="149">
        <f>SUMIF('内訳ﾘｽﾄ(4～3月)'!$D$24:$D$25,'採算表(VND)'!$B88,'内訳ﾘｽﾄ(4～3月)'!I$24:I$25)</f>
        <v>8</v>
      </c>
      <c r="G88" s="149">
        <f>SUMIF('内訳ﾘｽﾄ(4～3月)'!$D$24:$D$25,'採算表(VND)'!$B88,'内訳ﾘｽﾄ(4～3月)'!J$24:J$25)</f>
        <v>8</v>
      </c>
      <c r="H88" s="149">
        <f>SUMIF('内訳ﾘｽﾄ(4～3月)'!$D$24:$D$25,'採算表(VND)'!$B88,'内訳ﾘｽﾄ(4～3月)'!K$24:K$25)</f>
        <v>9</v>
      </c>
      <c r="I88" s="149">
        <f>SUMIF('内訳ﾘｽﾄ(4～3月)'!$D$24:$D$25,'採算表(VND)'!$B88,'内訳ﾘｽﾄ(4～3月)'!L$24:L$25)</f>
        <v>9</v>
      </c>
      <c r="J88" s="149">
        <f>SUMIF('内訳ﾘｽﾄ(4～3月)'!$D$24:$D$25,'採算表(VND)'!$B88,'内訳ﾘｽﾄ(4～3月)'!M$24:M$25)</f>
        <v>9</v>
      </c>
      <c r="K88" s="149">
        <f>SUMIF('内訳ﾘｽﾄ(4～3月)'!$D$24:$D$25,'採算表(VND)'!$B88,'内訳ﾘｽﾄ(4～3月)'!N$24:N$25)</f>
        <v>9</v>
      </c>
      <c r="L88" s="149">
        <f>SUMIF('内訳ﾘｽﾄ(4～3月)'!$D$24:$D$25,'採算表(VND)'!$B88,'内訳ﾘｽﾄ(4～3月)'!O$24:O$25)</f>
        <v>9</v>
      </c>
      <c r="M88" s="149">
        <f>SUMIF('内訳ﾘｽﾄ(4～3月)'!$D$24:$D$25,'採算表(VND)'!$B88,'内訳ﾘｽﾄ(4～3月)'!P$24:P$25)</f>
        <v>9</v>
      </c>
      <c r="N88" s="149">
        <f>SUMIF('内訳ﾘｽﾄ(4～3月)'!$D$24:$D$25,'採算表(VND)'!$B88,'内訳ﾘｽﾄ(4～3月)'!Q$24:Q$25)</f>
        <v>9</v>
      </c>
      <c r="O88" s="149">
        <f>SUMIF('内訳ﾘｽﾄ(4～3月)'!$D$24:$D$25,'採算表(VND)'!$B88,'内訳ﾘｽﾄ(4～3月)'!R$24:R$25)</f>
        <v>9</v>
      </c>
      <c r="AQ88" s="74"/>
      <c r="AR88" s="74"/>
      <c r="AS88" s="74"/>
      <c r="AT88" s="74"/>
      <c r="AU88" s="72"/>
      <c r="AV88" s="73"/>
      <c r="AW88" s="73"/>
      <c r="AX88" s="73"/>
      <c r="AY88" s="73"/>
      <c r="BA88" s="75"/>
      <c r="BB88" s="75"/>
      <c r="BC88" s="75"/>
      <c r="BD88" s="75"/>
      <c r="BF88" s="72"/>
      <c r="BG88" s="72"/>
      <c r="BH88" s="72"/>
      <c r="BI88" s="72"/>
    </row>
    <row r="89" spans="1:61">
      <c r="A89" s="44"/>
      <c r="B89" s="60" t="s">
        <v>18</v>
      </c>
      <c r="C89" s="150">
        <f t="shared" ref="C89:N89" si="10">C87+C88</f>
        <v>8</v>
      </c>
      <c r="D89" s="150">
        <f t="shared" si="10"/>
        <v>8</v>
      </c>
      <c r="E89" s="150">
        <f t="shared" si="10"/>
        <v>8</v>
      </c>
      <c r="F89" s="150">
        <f t="shared" si="10"/>
        <v>8</v>
      </c>
      <c r="G89" s="150">
        <f t="shared" si="10"/>
        <v>8</v>
      </c>
      <c r="H89" s="150">
        <f t="shared" si="10"/>
        <v>9</v>
      </c>
      <c r="I89" s="150">
        <f t="shared" si="10"/>
        <v>9</v>
      </c>
      <c r="J89" s="150">
        <f t="shared" si="10"/>
        <v>9</v>
      </c>
      <c r="K89" s="150">
        <f t="shared" si="10"/>
        <v>9</v>
      </c>
      <c r="L89" s="150">
        <f t="shared" si="10"/>
        <v>9</v>
      </c>
      <c r="M89" s="150">
        <f t="shared" si="10"/>
        <v>9</v>
      </c>
      <c r="N89" s="150">
        <f t="shared" si="10"/>
        <v>9</v>
      </c>
      <c r="O89" s="150">
        <f>O87+O88</f>
        <v>9</v>
      </c>
      <c r="AQ89" s="74"/>
      <c r="AR89" s="74"/>
      <c r="AS89" s="74"/>
      <c r="AT89" s="74"/>
      <c r="AU89" s="72"/>
      <c r="AV89" s="73"/>
      <c r="AW89" s="73"/>
      <c r="AX89" s="73"/>
      <c r="AY89" s="73"/>
      <c r="BA89" s="75"/>
      <c r="BB89" s="75"/>
      <c r="BC89" s="75"/>
      <c r="BD89" s="75"/>
      <c r="BF89" s="72"/>
      <c r="BG89" s="72"/>
      <c r="BH89" s="72"/>
      <c r="BI89" s="72"/>
    </row>
    <row r="90" spans="1:61">
      <c r="AQ90" s="74"/>
      <c r="AR90" s="74"/>
      <c r="AS90" s="74"/>
      <c r="AT90" s="74"/>
      <c r="AU90" s="72"/>
      <c r="AV90" s="73"/>
      <c r="AW90" s="73"/>
      <c r="AX90" s="73"/>
      <c r="AY90" s="73"/>
      <c r="BA90" s="75"/>
      <c r="BB90" s="75"/>
      <c r="BC90" s="75"/>
      <c r="BD90" s="75"/>
      <c r="BF90" s="72"/>
      <c r="BG90" s="72"/>
      <c r="BH90" s="72"/>
      <c r="BI90" s="72"/>
    </row>
    <row r="91" spans="1:61">
      <c r="B91" s="58" t="s">
        <v>19</v>
      </c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AQ91" s="74"/>
      <c r="AR91" s="74"/>
      <c r="AS91" s="74"/>
      <c r="AT91" s="74"/>
      <c r="AU91" s="72"/>
      <c r="AV91" s="73"/>
      <c r="AW91" s="73"/>
      <c r="AX91" s="73"/>
      <c r="AY91" s="73"/>
      <c r="BA91" s="75"/>
      <c r="BB91" s="75"/>
      <c r="BC91" s="75"/>
      <c r="BD91" s="75"/>
      <c r="BF91" s="72"/>
      <c r="BG91" s="72"/>
      <c r="BH91" s="72"/>
      <c r="BI91" s="72"/>
    </row>
    <row r="92" spans="1:61">
      <c r="B92" s="59" t="s">
        <v>324</v>
      </c>
      <c r="C92" s="160">
        <f>SUMIF('内訳ﾘｽﾄ(4～3月)'!$B$8:$B$15,$B92,'内訳ﾘｽﾄ(4～3月)'!F$8:F$15)</f>
        <v>0</v>
      </c>
      <c r="D92" s="160">
        <f>SUMIF('内訳ﾘｽﾄ(4～3月)'!$B$8:$B$15,$B92,'内訳ﾘｽﾄ(4～3月)'!G$8:G$15)</f>
        <v>0</v>
      </c>
      <c r="E92" s="160">
        <f>SUMIF('内訳ﾘｽﾄ(4～3月)'!$B$8:$B$15,$B92,'内訳ﾘｽﾄ(4～3月)'!H$8:H$15)</f>
        <v>0</v>
      </c>
      <c r="F92" s="160">
        <f>SUMIF('内訳ﾘｽﾄ(4～3月)'!$B$8:$B$15,$B92,'内訳ﾘｽﾄ(4～3月)'!I$8:I$15)</f>
        <v>0</v>
      </c>
      <c r="G92" s="160">
        <f>SUMIF('内訳ﾘｽﾄ(4～3月)'!$B$8:$B$15,$B92,'内訳ﾘｽﾄ(4～3月)'!J$8:J$15)</f>
        <v>0</v>
      </c>
      <c r="H92" s="160">
        <f>SUMIF('内訳ﾘｽﾄ(4～3月)'!$B$8:$B$15,$B92,'内訳ﾘｽﾄ(4～3月)'!K$8:K$15)</f>
        <v>0</v>
      </c>
      <c r="I92" s="160">
        <f>SUMIF('内訳ﾘｽﾄ(4～3月)'!$B$8:$B$15,$B92,'内訳ﾘｽﾄ(4～3月)'!L$8:L$15)</f>
        <v>0</v>
      </c>
      <c r="J92" s="160">
        <f>SUMIF('内訳ﾘｽﾄ(4～3月)'!$B$8:$B$15,$B92,'内訳ﾘｽﾄ(4～3月)'!M$8:M$15)</f>
        <v>0</v>
      </c>
      <c r="K92" s="160">
        <f>SUMIF('内訳ﾘｽﾄ(4～3月)'!$B$8:$B$15,$B92,'内訳ﾘｽﾄ(4～3月)'!N$8:N$15)</f>
        <v>0</v>
      </c>
      <c r="L92" s="160">
        <f>SUMIF('内訳ﾘｽﾄ(4～3月)'!$B$8:$B$15,$B92,'内訳ﾘｽﾄ(4～3月)'!O$8:O$15)</f>
        <v>0</v>
      </c>
      <c r="M92" s="160">
        <f>SUMIF('内訳ﾘｽﾄ(4～3月)'!$B$8:$B$15,$B92,'内訳ﾘｽﾄ(4～3月)'!P$8:P$15)</f>
        <v>0</v>
      </c>
      <c r="N92" s="160">
        <f>SUMIF('内訳ﾘｽﾄ(4～3月)'!$B$8:$B$15,$B92,'内訳ﾘｽﾄ(4～3月)'!Q$8:Q$15)</f>
        <v>0</v>
      </c>
      <c r="O92" s="160">
        <f>SUMIF('内訳ﾘｽﾄ(4～3月)'!$B$8:$B$15,$B92,'内訳ﾘｽﾄ(4～3月)'!R$8:R$15)</f>
        <v>0</v>
      </c>
      <c r="AQ92" s="74"/>
      <c r="AR92" s="74"/>
      <c r="AS92" s="74"/>
      <c r="AT92" s="74"/>
      <c r="AU92" s="72"/>
      <c r="AV92" s="73"/>
      <c r="AW92" s="73"/>
      <c r="AX92" s="73"/>
      <c r="AY92" s="73"/>
      <c r="BA92" s="75"/>
      <c r="BB92" s="75"/>
      <c r="BC92" s="75"/>
      <c r="BD92" s="75"/>
      <c r="BF92" s="72"/>
      <c r="BG92" s="72"/>
      <c r="BH92" s="72"/>
      <c r="BI92" s="72"/>
    </row>
    <row r="93" spans="1:61">
      <c r="B93" s="59" t="s">
        <v>325</v>
      </c>
      <c r="C93" s="160">
        <f>SUMIF('内訳ﾘｽﾄ(4～3月)'!$B$8:$B$15,$B93,'内訳ﾘｽﾄ(4～3月)'!F$8:F$15)</f>
        <v>1292</v>
      </c>
      <c r="D93" s="160">
        <f>SUMIF('内訳ﾘｽﾄ(4～3月)'!$B$8:$B$15,$B93,'内訳ﾘｽﾄ(4～3月)'!G$8:G$15)</f>
        <v>1224</v>
      </c>
      <c r="E93" s="160">
        <f>SUMIF('内訳ﾘｽﾄ(4～3月)'!$B$8:$B$15,$B93,'内訳ﾘｽﾄ(4～3月)'!H$8:H$15)</f>
        <v>1360</v>
      </c>
      <c r="F93" s="160">
        <f>SUMIF('内訳ﾘｽﾄ(4～3月)'!$B$8:$B$15,$B93,'内訳ﾘｽﾄ(4～3月)'!I$8:I$15)</f>
        <v>1496</v>
      </c>
      <c r="G93" s="160">
        <f>SUMIF('内訳ﾘｽﾄ(4～3月)'!$B$8:$B$15,$B93,'内訳ﾘｽﾄ(4～3月)'!J$8:J$15)</f>
        <v>1292</v>
      </c>
      <c r="H93" s="160">
        <f>SUMIF('内訳ﾘｽﾄ(4～3月)'!$B$8:$B$15,$B93,'内訳ﾘｽﾄ(4～3月)'!K$8:K$15)</f>
        <v>1377</v>
      </c>
      <c r="I93" s="160">
        <f>SUMIF('内訳ﾘｽﾄ(4～3月)'!$B$8:$B$15,$B93,'内訳ﾘｽﾄ(4～3月)'!L$8:L$15)</f>
        <v>1683</v>
      </c>
      <c r="J93" s="160">
        <f>SUMIF('内訳ﾘｽﾄ(4～3月)'!$B$8:$B$15,$B93,'内訳ﾘｽﾄ(4～3月)'!M$8:M$15)</f>
        <v>1453.5</v>
      </c>
      <c r="K93" s="160">
        <f>SUMIF('内訳ﾘｽﾄ(4～3月)'!$B$8:$B$15,$B93,'内訳ﾘｽﾄ(4～3月)'!N$8:N$15)</f>
        <v>1606.5</v>
      </c>
      <c r="L93" s="160">
        <f>SUMIF('内訳ﾘｽﾄ(4～3月)'!$B$8:$B$15,$B93,'内訳ﾘｽﾄ(4～3月)'!O$8:O$15)</f>
        <v>1453.5</v>
      </c>
      <c r="M93" s="160">
        <f>SUMIF('内訳ﾘｽﾄ(4～3月)'!$B$8:$B$15,$B93,'内訳ﾘｽﾄ(4～3月)'!P$8:P$15)</f>
        <v>1071</v>
      </c>
      <c r="N93" s="160">
        <f>SUMIF('内訳ﾘｽﾄ(4～3月)'!$B$8:$B$15,$B93,'内訳ﾘｽﾄ(4～3月)'!Q$8:Q$15)</f>
        <v>1453.5</v>
      </c>
      <c r="O93" s="160">
        <f>SUMIF('内訳ﾘｽﾄ(4～3月)'!$B$8:$B$15,$B93,'内訳ﾘｽﾄ(4～3月)'!R$8:R$15)</f>
        <v>16762</v>
      </c>
      <c r="AQ93" s="74"/>
      <c r="AR93" s="74"/>
      <c r="AS93" s="74"/>
      <c r="AT93" s="74"/>
      <c r="AU93" s="72"/>
      <c r="AV93" s="73"/>
      <c r="AW93" s="73"/>
      <c r="AX93" s="73"/>
      <c r="AY93" s="73"/>
      <c r="BA93" s="75"/>
      <c r="BB93" s="75"/>
      <c r="BC93" s="75"/>
      <c r="BD93" s="75"/>
      <c r="BF93" s="72"/>
      <c r="BG93" s="72"/>
      <c r="BH93" s="72"/>
      <c r="BI93" s="72"/>
    </row>
    <row r="94" spans="1:61">
      <c r="B94" s="61" t="s">
        <v>18</v>
      </c>
      <c r="C94" s="168">
        <f t="shared" ref="C94:N94" si="11">C92+C93</f>
        <v>1292</v>
      </c>
      <c r="D94" s="168">
        <f t="shared" si="11"/>
        <v>1224</v>
      </c>
      <c r="E94" s="168">
        <f t="shared" si="11"/>
        <v>1360</v>
      </c>
      <c r="F94" s="168">
        <f t="shared" si="11"/>
        <v>1496</v>
      </c>
      <c r="G94" s="168">
        <f t="shared" si="11"/>
        <v>1292</v>
      </c>
      <c r="H94" s="168">
        <f t="shared" si="11"/>
        <v>1377</v>
      </c>
      <c r="I94" s="168">
        <f t="shared" si="11"/>
        <v>1683</v>
      </c>
      <c r="J94" s="168">
        <f t="shared" si="11"/>
        <v>1453.5</v>
      </c>
      <c r="K94" s="168">
        <f t="shared" si="11"/>
        <v>1606.5</v>
      </c>
      <c r="L94" s="168">
        <f t="shared" si="11"/>
        <v>1453.5</v>
      </c>
      <c r="M94" s="168">
        <f t="shared" si="11"/>
        <v>1071</v>
      </c>
      <c r="N94" s="168">
        <f t="shared" si="11"/>
        <v>1453.5</v>
      </c>
      <c r="O94" s="168">
        <f>O92+O93</f>
        <v>16762</v>
      </c>
      <c r="AQ94" s="74"/>
      <c r="AR94" s="74"/>
      <c r="AS94" s="74"/>
      <c r="AT94" s="74"/>
      <c r="AU94" s="72"/>
      <c r="AV94" s="73"/>
      <c r="AW94" s="73"/>
      <c r="AX94" s="73"/>
      <c r="AY94" s="73"/>
      <c r="BA94" s="75"/>
      <c r="BB94" s="75"/>
      <c r="BC94" s="75"/>
      <c r="BD94" s="75"/>
      <c r="BF94" s="72"/>
      <c r="BG94" s="72"/>
      <c r="BH94" s="72"/>
      <c r="BI94" s="72"/>
    </row>
    <row r="95" spans="1:61">
      <c r="C95" s="169"/>
      <c r="D95" s="169"/>
      <c r="E95" s="169"/>
      <c r="F95" s="169"/>
      <c r="G95" s="169"/>
      <c r="H95" s="169"/>
      <c r="I95" s="169"/>
      <c r="J95" s="169"/>
      <c r="K95" s="169"/>
      <c r="L95" s="169"/>
      <c r="M95" s="169"/>
      <c r="N95" s="169"/>
      <c r="O95" s="169"/>
      <c r="AQ95" s="74"/>
      <c r="AR95" s="74"/>
      <c r="AS95" s="74"/>
      <c r="AT95" s="74"/>
      <c r="AU95" s="72"/>
      <c r="AV95" s="73"/>
      <c r="AW95" s="73"/>
      <c r="AX95" s="73"/>
      <c r="AY95" s="73"/>
      <c r="BA95" s="75"/>
      <c r="BB95" s="75"/>
      <c r="BC95" s="75"/>
      <c r="BD95" s="75"/>
      <c r="BF95" s="72"/>
      <c r="BG95" s="72"/>
      <c r="BH95" s="72"/>
      <c r="BI95" s="72"/>
    </row>
    <row r="96" spans="1:61">
      <c r="B96" s="58" t="s">
        <v>20</v>
      </c>
      <c r="C96" s="170"/>
      <c r="D96" s="170"/>
      <c r="E96" s="170"/>
      <c r="F96" s="170"/>
      <c r="G96" s="170"/>
      <c r="H96" s="170"/>
      <c r="I96" s="170"/>
      <c r="J96" s="170"/>
      <c r="K96" s="170"/>
      <c r="L96" s="170"/>
      <c r="M96" s="170"/>
      <c r="N96" s="170"/>
      <c r="O96" s="170"/>
      <c r="AQ96" s="74"/>
      <c r="AR96" s="74"/>
      <c r="AS96" s="74"/>
      <c r="AT96" s="74"/>
      <c r="AU96" s="72"/>
      <c r="AV96" s="73"/>
      <c r="AW96" s="73"/>
      <c r="AX96" s="73"/>
      <c r="AY96" s="73"/>
      <c r="BA96" s="75"/>
      <c r="BB96" s="75"/>
      <c r="BC96" s="75"/>
      <c r="BD96" s="75"/>
      <c r="BF96" s="72"/>
      <c r="BG96" s="72"/>
      <c r="BH96" s="72"/>
      <c r="BI96" s="72"/>
    </row>
    <row r="97" spans="2:61">
      <c r="B97" s="59" t="s">
        <v>326</v>
      </c>
      <c r="C97" s="160">
        <f>SUMIF('内訳ﾘｽﾄ(4～3月)'!$B$16:$B$23,$B97,'内訳ﾘｽﾄ(4～3月)'!F$16:F$23)</f>
        <v>0</v>
      </c>
      <c r="D97" s="160">
        <f>SUMIF('内訳ﾘｽﾄ(4～3月)'!$B$16:$B$23,$B97,'内訳ﾘｽﾄ(4～3月)'!G$16:G$23)</f>
        <v>0</v>
      </c>
      <c r="E97" s="160">
        <f>SUMIF('内訳ﾘｽﾄ(4～3月)'!$B$16:$B$23,$B97,'内訳ﾘｽﾄ(4～3月)'!H$16:H$23)</f>
        <v>0</v>
      </c>
      <c r="F97" s="160">
        <f>SUMIF('内訳ﾘｽﾄ(4～3月)'!$B$16:$B$23,$B97,'内訳ﾘｽﾄ(4～3月)'!I$16:I$23)</f>
        <v>0</v>
      </c>
      <c r="G97" s="160">
        <f>SUMIF('内訳ﾘｽﾄ(4～3月)'!$B$16:$B$23,$B97,'内訳ﾘｽﾄ(4～3月)'!J$16:J$23)</f>
        <v>0</v>
      </c>
      <c r="H97" s="160">
        <f>SUMIF('内訳ﾘｽﾄ(4～3月)'!$B$16:$B$23,$B97,'内訳ﾘｽﾄ(4～3月)'!K$16:K$23)</f>
        <v>0</v>
      </c>
      <c r="I97" s="160">
        <f>SUMIF('内訳ﾘｽﾄ(4～3月)'!$B$16:$B$23,$B97,'内訳ﾘｽﾄ(4～3月)'!L$16:L$23)</f>
        <v>0</v>
      </c>
      <c r="J97" s="160">
        <f>SUMIF('内訳ﾘｽﾄ(4～3月)'!$B$16:$B$23,$B97,'内訳ﾘｽﾄ(4～3月)'!M$16:M$23)</f>
        <v>0</v>
      </c>
      <c r="K97" s="160">
        <f>SUMIF('内訳ﾘｽﾄ(4～3月)'!$B$16:$B$23,$B97,'内訳ﾘｽﾄ(4～3月)'!N$16:N$23)</f>
        <v>0</v>
      </c>
      <c r="L97" s="160">
        <f>SUMIF('内訳ﾘｽﾄ(4～3月)'!$B$16:$B$23,$B97,'内訳ﾘｽﾄ(4～3月)'!O$16:O$23)</f>
        <v>0</v>
      </c>
      <c r="M97" s="160">
        <f>SUMIF('内訳ﾘｽﾄ(4～3月)'!$B$16:$B$23,$B97,'内訳ﾘｽﾄ(4～3月)'!P$16:P$23)</f>
        <v>0</v>
      </c>
      <c r="N97" s="160">
        <f>SUMIF('内訳ﾘｽﾄ(4～3月)'!$B$16:$B$23,$B97,'内訳ﾘｽﾄ(4～3月)'!Q$16:Q$23)</f>
        <v>0</v>
      </c>
      <c r="O97" s="160">
        <f>SUMIF('内訳ﾘｽﾄ(4～3月)'!$B$16:$B$23,$B97,'内訳ﾘｽﾄ(4～3月)'!R$16:R$23)</f>
        <v>0</v>
      </c>
      <c r="AQ97" s="74"/>
      <c r="AR97" s="74"/>
      <c r="AS97" s="74"/>
      <c r="AT97" s="74"/>
      <c r="AU97" s="72"/>
      <c r="AV97" s="73"/>
      <c r="AW97" s="73"/>
      <c r="AX97" s="73"/>
      <c r="AY97" s="73"/>
      <c r="BA97" s="75"/>
      <c r="BB97" s="75"/>
      <c r="BC97" s="75"/>
      <c r="BD97" s="75"/>
      <c r="BF97" s="72"/>
      <c r="BG97" s="72"/>
      <c r="BH97" s="72"/>
      <c r="BI97" s="72"/>
    </row>
    <row r="98" spans="2:61">
      <c r="B98" s="59" t="s">
        <v>327</v>
      </c>
      <c r="C98" s="160">
        <f>SUMIF('内訳ﾘｽﾄ(4～3月)'!$B$16:$B$23,$B98,'内訳ﾘｽﾄ(4～3月)'!F$16:F$23)</f>
        <v>170</v>
      </c>
      <c r="D98" s="160">
        <f>SUMIF('内訳ﾘｽﾄ(4～3月)'!$B$16:$B$23,$B98,'内訳ﾘｽﾄ(4～3月)'!G$16:G$23)</f>
        <v>166</v>
      </c>
      <c r="E98" s="160">
        <f>SUMIF('内訳ﾘｽﾄ(4～3月)'!$B$16:$B$23,$B98,'内訳ﾘｽﾄ(4～3月)'!H$16:H$23)</f>
        <v>174</v>
      </c>
      <c r="F98" s="160">
        <f>SUMIF('内訳ﾘｽﾄ(4～3月)'!$B$16:$B$23,$B98,'内訳ﾘｽﾄ(4～3月)'!I$16:I$23)</f>
        <v>182</v>
      </c>
      <c r="G98" s="160">
        <f>SUMIF('内訳ﾘｽﾄ(4～3月)'!$B$16:$B$23,$B98,'内訳ﾘｽﾄ(4～3月)'!J$16:J$23)</f>
        <v>170</v>
      </c>
      <c r="H98" s="160">
        <f>SUMIF('内訳ﾘｽﾄ(4～3月)'!$B$16:$B$23,$B98,'内訳ﾘｽﾄ(4～3月)'!K$16:K$23)</f>
        <v>166</v>
      </c>
      <c r="I98" s="160">
        <f>SUMIF('内訳ﾘｽﾄ(4～3月)'!$B$16:$B$23,$B98,'内訳ﾘｽﾄ(4～3月)'!L$16:L$23)</f>
        <v>182</v>
      </c>
      <c r="J98" s="160">
        <f>SUMIF('内訳ﾘｽﾄ(4～3月)'!$B$16:$B$23,$B98,'内訳ﾘｽﾄ(4～3月)'!M$16:M$23)</f>
        <v>170</v>
      </c>
      <c r="K98" s="160">
        <f>SUMIF('内訳ﾘｽﾄ(4～3月)'!$B$16:$B$23,$B98,'内訳ﾘｽﾄ(4～3月)'!N$16:N$23)</f>
        <v>178</v>
      </c>
      <c r="L98" s="160">
        <f>SUMIF('内訳ﾘｽﾄ(4～3月)'!$B$16:$B$23,$B98,'内訳ﾘｽﾄ(4～3月)'!O$16:O$23)</f>
        <v>170</v>
      </c>
      <c r="M98" s="160">
        <f>SUMIF('内訳ﾘｽﾄ(4～3月)'!$B$16:$B$23,$B98,'内訳ﾘｽﾄ(4～3月)'!P$16:P$23)</f>
        <v>150</v>
      </c>
      <c r="N98" s="160">
        <f>SUMIF('内訳ﾘｽﾄ(4～3月)'!$B$16:$B$23,$B98,'内訳ﾘｽﾄ(4～3月)'!Q$16:Q$23)</f>
        <v>170</v>
      </c>
      <c r="O98" s="160">
        <f>SUMIF('内訳ﾘｽﾄ(4～3月)'!$B$16:$B$23,$B98,'内訳ﾘｽﾄ(4～3月)'!R$16:R$23)</f>
        <v>2048</v>
      </c>
      <c r="AQ98" s="74"/>
      <c r="AR98" s="74"/>
      <c r="AS98" s="74"/>
      <c r="AT98" s="74"/>
      <c r="AU98" s="72"/>
      <c r="AV98" s="73"/>
      <c r="AW98" s="73"/>
      <c r="AX98" s="73"/>
      <c r="AY98" s="73"/>
      <c r="BA98" s="75"/>
      <c r="BB98" s="75"/>
      <c r="BC98" s="75"/>
      <c r="BD98" s="75"/>
      <c r="BF98" s="72"/>
      <c r="BG98" s="72"/>
      <c r="BH98" s="72"/>
      <c r="BI98" s="72"/>
    </row>
    <row r="99" spans="2:61">
      <c r="B99" s="61" t="s">
        <v>18</v>
      </c>
      <c r="C99" s="168">
        <f t="shared" ref="C99:N99" si="12">C97+C98</f>
        <v>170</v>
      </c>
      <c r="D99" s="168">
        <f t="shared" si="12"/>
        <v>166</v>
      </c>
      <c r="E99" s="168">
        <f t="shared" si="12"/>
        <v>174</v>
      </c>
      <c r="F99" s="168">
        <f t="shared" si="12"/>
        <v>182</v>
      </c>
      <c r="G99" s="168">
        <f t="shared" si="12"/>
        <v>170</v>
      </c>
      <c r="H99" s="168">
        <f t="shared" si="12"/>
        <v>166</v>
      </c>
      <c r="I99" s="168">
        <f t="shared" si="12"/>
        <v>182</v>
      </c>
      <c r="J99" s="168">
        <f t="shared" si="12"/>
        <v>170</v>
      </c>
      <c r="K99" s="168">
        <f t="shared" si="12"/>
        <v>178</v>
      </c>
      <c r="L99" s="168">
        <f t="shared" si="12"/>
        <v>170</v>
      </c>
      <c r="M99" s="168">
        <f t="shared" si="12"/>
        <v>150</v>
      </c>
      <c r="N99" s="168">
        <f t="shared" si="12"/>
        <v>170</v>
      </c>
      <c r="O99" s="168">
        <f>O97+O98</f>
        <v>2048</v>
      </c>
      <c r="AQ99" s="74"/>
      <c r="AR99" s="74"/>
      <c r="AS99" s="74"/>
      <c r="AT99" s="74"/>
      <c r="AU99" s="72"/>
      <c r="AV99" s="73"/>
      <c r="AW99" s="73"/>
      <c r="AX99" s="73"/>
      <c r="AY99" s="73"/>
      <c r="BA99" s="75"/>
      <c r="BB99" s="75"/>
      <c r="BC99" s="75"/>
      <c r="BD99" s="75"/>
      <c r="BF99" s="72"/>
      <c r="BG99" s="72"/>
      <c r="BH99" s="72"/>
      <c r="BI99" s="72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382"/>
  <sheetViews>
    <sheetView tabSelected="1" zoomScale="85" zoomScaleNormal="85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F20" sqref="F20:Q23"/>
    </sheetView>
  </sheetViews>
  <sheetFormatPr defaultColWidth="9" defaultRowHeight="11.25"/>
  <cols>
    <col min="1" max="1" width="2" style="1" customWidth="1"/>
    <col min="2" max="2" width="12.375" style="176" customWidth="1"/>
    <col min="3" max="3" width="24.375" style="4" customWidth="1"/>
    <col min="4" max="4" width="19.125" style="4" bestFit="1" customWidth="1"/>
    <col min="5" max="5" width="7.625" style="3" customWidth="1"/>
    <col min="6" max="6" width="13" style="123" bestFit="1" customWidth="1"/>
    <col min="7" max="17" width="11.625" style="124" customWidth="1"/>
    <col min="18" max="18" width="14.625" style="125" customWidth="1"/>
    <col min="19" max="19" width="53.75" style="4" customWidth="1"/>
    <col min="20" max="20" width="18.875" style="71" customWidth="1"/>
    <col min="21" max="23" width="9" style="4" customWidth="1"/>
    <col min="24" max="16384" width="9" style="4"/>
  </cols>
  <sheetData>
    <row r="1" spans="1:55" ht="25.5">
      <c r="A1" s="198" t="s">
        <v>673</v>
      </c>
      <c r="B1" s="199"/>
      <c r="C1" s="200"/>
      <c r="D1" s="2"/>
      <c r="E1" s="49"/>
      <c r="F1" s="84"/>
      <c r="G1" s="84"/>
      <c r="H1" s="84"/>
      <c r="I1" s="84"/>
      <c r="J1" s="84"/>
      <c r="K1" s="84"/>
      <c r="L1" s="84"/>
      <c r="M1" s="84"/>
      <c r="N1" s="84"/>
      <c r="O1" s="84"/>
      <c r="P1" s="93"/>
      <c r="Q1" s="84"/>
      <c r="R1" s="68"/>
      <c r="S1" s="11"/>
      <c r="T1" s="11"/>
    </row>
    <row r="2" spans="1:55" ht="17.25">
      <c r="A2" s="110"/>
      <c r="B2" s="126">
        <v>25390</v>
      </c>
      <c r="C2" s="2"/>
      <c r="D2" s="2"/>
      <c r="E2" s="194" t="s">
        <v>92</v>
      </c>
      <c r="F2" s="85">
        <f ca="1">OFFSET(稼働日!$B$2,MATCH('内訳ﾘｽﾄ(4～3月)'!F4,稼働日!$A$3:$A$14,0),0)</f>
        <v>20</v>
      </c>
      <c r="G2" s="85">
        <f ca="1">OFFSET(稼働日!$B$2,MATCH('内訳ﾘｽﾄ(4～3月)'!G4,稼働日!$A$3:$A$14,0),0)</f>
        <v>19</v>
      </c>
      <c r="H2" s="85">
        <f ca="1">OFFSET(稼働日!$B$2,MATCH('内訳ﾘｽﾄ(4～3月)'!H4,稼働日!$A$3:$A$14,0),0)</f>
        <v>21</v>
      </c>
      <c r="I2" s="85">
        <f ca="1">OFFSET(稼働日!$B$2,MATCH('内訳ﾘｽﾄ(4～3月)'!I4,稼働日!$A$3:$A$14,0),0)</f>
        <v>23</v>
      </c>
      <c r="J2" s="85">
        <f ca="1">OFFSET(稼働日!$B$2,MATCH('内訳ﾘｽﾄ(4～3月)'!J4,稼働日!$A$3:$A$14,0),0)</f>
        <v>20</v>
      </c>
      <c r="K2" s="85">
        <f ca="1">OFFSET(稼働日!$B$2,MATCH('内訳ﾘｽﾄ(4～3月)'!K4,稼働日!$A$3:$A$14,0),0)</f>
        <v>19</v>
      </c>
      <c r="L2" s="85">
        <f ca="1">OFFSET(稼働日!$B$2,MATCH('内訳ﾘｽﾄ(4～3月)'!L4,稼働日!$A$3:$A$14,0),0)</f>
        <v>23</v>
      </c>
      <c r="M2" s="85">
        <f ca="1">OFFSET(稼働日!$B$2,MATCH('内訳ﾘｽﾄ(4～3月)'!M4,稼働日!$A$3:$A$14,0),0)</f>
        <v>20</v>
      </c>
      <c r="N2" s="85">
        <f ca="1">OFFSET(稼働日!$B$2,MATCH('内訳ﾘｽﾄ(4～3月)'!N4,稼働日!$A$3:$A$14,0),0)</f>
        <v>22</v>
      </c>
      <c r="O2" s="90">
        <f ca="1">OFFSET(稼働日!$B$2,MATCH('内訳ﾘｽﾄ(4～3月)'!O4,稼働日!$A$3:$A$14,0),0)</f>
        <v>20</v>
      </c>
      <c r="P2" s="90">
        <f ca="1">OFFSET(稼働日!$B$2,MATCH('内訳ﾘｽﾄ(4～3月)'!P4,稼働日!$A$3:$A$14,0),0)</f>
        <v>15</v>
      </c>
      <c r="Q2" s="90">
        <f ca="1">OFFSET(稼働日!$B$2,MATCH('内訳ﾘｽﾄ(4～3月)'!Q4,稼働日!$A$3:$A$14,0),0)</f>
        <v>20</v>
      </c>
      <c r="R2" s="50"/>
      <c r="S2" s="11"/>
    </row>
    <row r="3" spans="1:55" s="111" customFormat="1" ht="12.75" thickBot="1">
      <c r="A3" s="110"/>
      <c r="B3" s="171"/>
      <c r="D3" s="112"/>
      <c r="E3" s="202" t="s">
        <v>579</v>
      </c>
      <c r="F3" s="205" t="str">
        <f t="array" ref="F3">IF(SUM((F8:F25)-ROUNDDOWN((F8:F25)*4,0)/4)&lt;&gt;0,"時間➝0.25の倍数では無い",IF(SUM(ROUND((F26:F267),0)-ROUND((F26:F267),4))&lt;&gt;0,"経費➝小数点",IF(F5&lt;&gt;IF($D$5="製造",'採算表(VND)'!C13,-VLOOKUP($D$5&amp;"経費",'採算表(VND)'!$B:$N,'採算表(VND)'!C3,0)),"経費➝NG","OK")))</f>
        <v>OK</v>
      </c>
      <c r="G3" s="205" t="str">
        <f t="array" ref="G3">IF(SUM((G8:G25)-ROUNDDOWN((G8:G25)*4,0)/4)&lt;&gt;0,"時間➝0.25の倍数では無い",IF(SUM(ROUND((G26:G267),0)-ROUND((G26:G267),4))&lt;&gt;0,"経費➝小数点",IF(G5&lt;&gt;IF($D$5="製造",'採算表(VND)'!D13,-VLOOKUP($D$5&amp;"経費",'採算表(VND)'!$B:$N,'採算表(VND)'!D3,0)),"経費➝NG","OK")))</f>
        <v>OK</v>
      </c>
      <c r="H3" s="205" t="str">
        <f t="array" ref="H3">IF(SUM((H8:H25)-ROUNDDOWN((H8:H25)*4,0)/4)&lt;&gt;0,"時間➝0.25の倍数では無い",IF(SUM(ROUND((H26:H267),0)-ROUND((H26:H267),4))&lt;&gt;0,"経費➝小数点",IF(H5&lt;&gt;IF($D$5="製造",'採算表(VND)'!E13,-VLOOKUP($D$5&amp;"経費",'採算表(VND)'!$B:$N,'採算表(VND)'!E3,0)),"経費➝NG","OK")))</f>
        <v>OK</v>
      </c>
      <c r="I3" s="205" t="str">
        <f t="array" ref="I3">IF(SUM((I8:I25)-ROUNDDOWN((I8:I25)*4,0)/4)&lt;&gt;0,"時間➝0.25の倍数では無い",IF(SUM(ROUND((I26:I267),0)-ROUND((I26:I267),4))&lt;&gt;0,"経費➝小数点",IF(I5&lt;&gt;IF($D$5="製造",'採算表(VND)'!F13,-VLOOKUP($D$5&amp;"経費",'採算表(VND)'!$B:$N,'採算表(VND)'!F3,0)),"経費➝NG","OK")))</f>
        <v>OK</v>
      </c>
      <c r="J3" s="205" t="str">
        <f t="array" ref="J3">IF(SUM((J8:J25)-ROUNDDOWN((J8:J25)*4,0)/4)&lt;&gt;0,"時間➝0.25の倍数では無い",IF(SUM(ROUND((J26:J267),0)-ROUND((J26:J267),4))&lt;&gt;0,"経費➝小数点",IF(J5&lt;&gt;IF($D$5="製造",'採算表(VND)'!G13,-VLOOKUP($D$5&amp;"経費",'採算表(VND)'!$B:$N,'採算表(VND)'!G3,0)),"経費➝NG","OK")))</f>
        <v>OK</v>
      </c>
      <c r="K3" s="205" t="str">
        <f t="array" ref="K3">IF(SUM((K8:K25)-ROUNDDOWN((K8:K25)*4,0)/4)&lt;&gt;0,"時間➝0.25の倍数では無い",IF(SUM(ROUND((K26:K267),0)-ROUND((K26:K267),4))&lt;&gt;0,"経費➝小数点",IF(K5&lt;&gt;IF($D$5="製造",'採算表(VND)'!H13,-VLOOKUP($D$5&amp;"経費",'採算表(VND)'!$B:$N,'採算表(VND)'!H3,0)),"経費➝NG","OK")))</f>
        <v>OK</v>
      </c>
      <c r="L3" s="205" t="str">
        <f t="array" ref="L3">IF(SUM((L8:L25)-ROUNDDOWN((L8:L25)*4,0)/4)&lt;&gt;0,"時間➝0.25の倍数では無い",IF(SUM(ROUND((L26:L267),0)-ROUND((L26:L267),4))&lt;&gt;0,"経費➝小数点",IF(L5&lt;&gt;IF($D$5="製造",'採算表(VND)'!I13,-VLOOKUP($D$5&amp;"経費",'採算表(VND)'!$B:$N,'採算表(VND)'!I3,0)),"経費➝NG","OK")))</f>
        <v>OK</v>
      </c>
      <c r="M3" s="205" t="str">
        <f t="array" ref="M3">IF(SUM((M8:M25)-ROUNDDOWN((M8:M25)*4,0)/4)&lt;&gt;0,"時間➝0.25の倍数では無い",IF(SUM(ROUND((M26:M267),0)-ROUND((M26:M267),4))&lt;&gt;0,"経費➝小数点",IF(M5&lt;&gt;IF($D$5="製造",'採算表(VND)'!J13,-VLOOKUP($D$5&amp;"経費",'採算表(VND)'!$B:$N,'採算表(VND)'!J3,0)),"経費➝NG","OK")))</f>
        <v>OK</v>
      </c>
      <c r="N3" s="205" t="str">
        <f t="array" ref="N3">IF(SUM((N8:N25)-ROUNDDOWN((N8:N25)*4,0)/4)&lt;&gt;0,"時間➝0.25の倍数では無い",IF(SUM(ROUND((N26:N267),0)-ROUND((N26:N267),4))&lt;&gt;0,"経費➝小数点",IF(N5&lt;&gt;IF($D$5="製造",'採算表(VND)'!K13,-VLOOKUP($D$5&amp;"経費",'採算表(VND)'!$B:$N,'採算表(VND)'!K3,0)),"経費➝NG","OK")))</f>
        <v>OK</v>
      </c>
      <c r="O3" s="205" t="str">
        <f t="array" ref="O3">IF(SUM((O8:O25)-ROUNDDOWN((O8:O25)*4,0)/4)&lt;&gt;0,"時間➝0.25の倍数では無い",IF(SUM(ROUND((O26:O267),0)-ROUND((O26:O267),4))&lt;&gt;0,"経費➝小数点",IF(O5&lt;&gt;IF($D$5="製造",'採算表(VND)'!L13,-VLOOKUP($D$5&amp;"経費",'採算表(VND)'!$B:$N,'採算表(VND)'!L3,0)),"経費➝NG","OK")))</f>
        <v>OK</v>
      </c>
      <c r="P3" s="205" t="str">
        <f t="array" ref="P3">IF(SUM((P8:P25)-ROUNDDOWN((P8:P25)*4,0)/4)&lt;&gt;0,"時間➝0.25の倍数では無い",IF(SUM(ROUND((P26:P267),0)-ROUND((P26:P267),4))&lt;&gt;0,"経費➝小数点",IF(P5&lt;&gt;IF($D$5="製造",'採算表(VND)'!M13,-VLOOKUP($D$5&amp;"経費",'採算表(VND)'!$B:$N,'採算表(VND)'!M3,0)),"経費➝NG","OK")))</f>
        <v>OK</v>
      </c>
      <c r="Q3" s="205" t="str">
        <f t="array" ref="Q3">IF(SUM((Q8:Q25)-ROUNDDOWN((Q8:Q25)*4,0)/4)&lt;&gt;0,"時間➝0.25の倍数では無い",IF(SUM(ROUND((Q26:Q267),0)-ROUND((Q26:Q267),4))&lt;&gt;0,"経費➝小数点",IF(Q5&lt;&gt;IF($D$5="製造",'採算表(VND)'!N13,-VLOOKUP($D$5&amp;"経費",'採算表(VND)'!$B:$N,'採算表(VND)'!N3,0)),"経費➝NG","OK")))</f>
        <v>OK</v>
      </c>
      <c r="R3" s="113"/>
      <c r="S3" s="114"/>
      <c r="T3" s="115"/>
    </row>
    <row r="4" spans="1:55" s="6" customFormat="1" ht="12.75" thickBot="1">
      <c r="A4" s="5"/>
      <c r="B4" s="172" t="s">
        <v>580</v>
      </c>
      <c r="C4" s="12" t="s">
        <v>38</v>
      </c>
      <c r="D4" s="12" t="s">
        <v>82</v>
      </c>
      <c r="E4" s="12" t="s">
        <v>83</v>
      </c>
      <c r="F4" s="86">
        <v>4</v>
      </c>
      <c r="G4" s="86">
        <v>5</v>
      </c>
      <c r="H4" s="86">
        <v>6</v>
      </c>
      <c r="I4" s="86">
        <v>7</v>
      </c>
      <c r="J4" s="86">
        <v>8</v>
      </c>
      <c r="K4" s="86">
        <v>9</v>
      </c>
      <c r="L4" s="86">
        <v>10</v>
      </c>
      <c r="M4" s="86">
        <v>11</v>
      </c>
      <c r="N4" s="86">
        <v>12</v>
      </c>
      <c r="O4" s="86">
        <v>1</v>
      </c>
      <c r="P4" s="86">
        <v>2</v>
      </c>
      <c r="Q4" s="86">
        <v>3</v>
      </c>
      <c r="R4" s="14" t="s">
        <v>581</v>
      </c>
      <c r="S4" s="195" t="s">
        <v>590</v>
      </c>
      <c r="T4" s="101"/>
    </row>
    <row r="5" spans="1:55" ht="14.25" thickBot="1">
      <c r="B5" s="173">
        <v>1412000050</v>
      </c>
      <c r="C5" s="7" t="str">
        <f>VLOOKUP($B$5,原価センタ!$A:$E,2,0)</f>
        <v>MD1課</v>
      </c>
      <c r="D5" s="62" t="str">
        <f>VLOOKUP($B$5,原価センタ!$A:$E,4,0)</f>
        <v>製造</v>
      </c>
      <c r="E5" s="62" t="str">
        <f>VLOOKUP($B$5,原価センタ!$A:$E,5,0)</f>
        <v>製造</v>
      </c>
      <c r="F5" s="196">
        <f t="shared" ref="F5:R5" si="0">SUM(F29:F267)</f>
        <v>2357044869</v>
      </c>
      <c r="G5" s="196">
        <f t="shared" si="0"/>
        <v>206640512</v>
      </c>
      <c r="H5" s="196">
        <f t="shared" si="0"/>
        <v>214654640</v>
      </c>
      <c r="I5" s="196">
        <f t="shared" si="0"/>
        <v>181787687</v>
      </c>
      <c r="J5" s="196">
        <f t="shared" si="0"/>
        <v>974060672</v>
      </c>
      <c r="K5" s="196">
        <f t="shared" si="0"/>
        <v>419941653</v>
      </c>
      <c r="L5" s="196">
        <f t="shared" si="0"/>
        <v>302832630</v>
      </c>
      <c r="M5" s="196">
        <f t="shared" si="0"/>
        <v>306861649</v>
      </c>
      <c r="N5" s="196">
        <f t="shared" si="0"/>
        <v>500183681</v>
      </c>
      <c r="O5" s="196">
        <f t="shared" si="0"/>
        <v>421272308</v>
      </c>
      <c r="P5" s="196">
        <f t="shared" si="0"/>
        <v>728437843</v>
      </c>
      <c r="Q5" s="196">
        <f t="shared" si="0"/>
        <v>286485028</v>
      </c>
      <c r="R5" s="197">
        <f t="shared" si="0"/>
        <v>6900203172</v>
      </c>
      <c r="S5" s="195"/>
      <c r="T5" s="102"/>
      <c r="BA5"/>
      <c r="BB5"/>
    </row>
    <row r="6" spans="1:55" s="117" customFormat="1" ht="3" customHeight="1" thickBot="1">
      <c r="A6" s="116"/>
      <c r="B6" s="174"/>
      <c r="E6" s="49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9"/>
      <c r="T6" s="120"/>
      <c r="BA6"/>
      <c r="BB6"/>
    </row>
    <row r="7" spans="1:55" s="10" customFormat="1" ht="14.25" thickBot="1">
      <c r="A7" s="8"/>
      <c r="B7" s="175"/>
      <c r="C7" s="9" t="s">
        <v>84</v>
      </c>
      <c r="D7" s="15" t="s">
        <v>125</v>
      </c>
      <c r="E7" s="13" t="s">
        <v>39</v>
      </c>
      <c r="F7" s="87" t="s">
        <v>154</v>
      </c>
      <c r="G7" s="88" t="s">
        <v>153</v>
      </c>
      <c r="H7" s="88" t="s">
        <v>153</v>
      </c>
      <c r="I7" s="88" t="s">
        <v>153</v>
      </c>
      <c r="J7" s="88" t="s">
        <v>153</v>
      </c>
      <c r="K7" s="88" t="s">
        <v>153</v>
      </c>
      <c r="L7" s="88" t="s">
        <v>153</v>
      </c>
      <c r="M7" s="88" t="s">
        <v>153</v>
      </c>
      <c r="N7" s="88" t="s">
        <v>153</v>
      </c>
      <c r="O7" s="88" t="s">
        <v>153</v>
      </c>
      <c r="P7" s="88" t="s">
        <v>153</v>
      </c>
      <c r="Q7" s="89" t="s">
        <v>153</v>
      </c>
      <c r="R7" s="14" t="s">
        <v>153</v>
      </c>
      <c r="S7" s="12" t="s">
        <v>642</v>
      </c>
      <c r="T7" s="12" t="s">
        <v>417</v>
      </c>
      <c r="U7" s="78"/>
      <c r="V7" s="78"/>
      <c r="W7" s="78"/>
      <c r="BA7"/>
      <c r="BB7"/>
      <c r="BC7" s="10" t="s">
        <v>417</v>
      </c>
    </row>
    <row r="8" spans="1:55" s="180" customFormat="1" ht="14.25">
      <c r="A8" s="177"/>
      <c r="B8" s="260" t="s">
        <v>324</v>
      </c>
      <c r="C8" s="261" t="s">
        <v>334</v>
      </c>
      <c r="D8" s="262" t="s">
        <v>81</v>
      </c>
      <c r="E8" s="263"/>
      <c r="F8" s="264">
        <v>0</v>
      </c>
      <c r="G8" s="264">
        <v>0</v>
      </c>
      <c r="H8" s="264">
        <v>0</v>
      </c>
      <c r="I8" s="264">
        <v>0</v>
      </c>
      <c r="J8" s="264">
        <v>0</v>
      </c>
      <c r="K8" s="264">
        <v>0</v>
      </c>
      <c r="L8" s="264">
        <v>0</v>
      </c>
      <c r="M8" s="264">
        <v>0</v>
      </c>
      <c r="N8" s="264">
        <v>0</v>
      </c>
      <c r="O8" s="264">
        <v>0</v>
      </c>
      <c r="P8" s="264">
        <v>0</v>
      </c>
      <c r="Q8" s="264">
        <v>0</v>
      </c>
      <c r="R8" s="248">
        <f>SUM(F8:Q8)</f>
        <v>0</v>
      </c>
      <c r="S8" s="230"/>
      <c r="T8" s="178"/>
      <c r="U8" s="179"/>
      <c r="V8" s="179"/>
      <c r="W8" s="179"/>
      <c r="BA8"/>
      <c r="BB8"/>
    </row>
    <row r="9" spans="1:55" s="180" customFormat="1" ht="14.25">
      <c r="A9" s="177"/>
      <c r="B9" s="265" t="s">
        <v>325</v>
      </c>
      <c r="C9" s="261" t="s">
        <v>335</v>
      </c>
      <c r="D9" s="266" t="s">
        <v>81</v>
      </c>
      <c r="E9" s="267"/>
      <c r="F9" s="268">
        <v>1292</v>
      </c>
      <c r="G9" s="268">
        <v>1224</v>
      </c>
      <c r="H9" s="268">
        <v>1360</v>
      </c>
      <c r="I9" s="268">
        <v>1496</v>
      </c>
      <c r="J9" s="268">
        <v>1292</v>
      </c>
      <c r="K9" s="268">
        <v>1377</v>
      </c>
      <c r="L9" s="268">
        <v>1683</v>
      </c>
      <c r="M9" s="268">
        <v>1453.5</v>
      </c>
      <c r="N9" s="268">
        <v>1606.5</v>
      </c>
      <c r="O9" s="268">
        <v>1453.5</v>
      </c>
      <c r="P9" s="268">
        <v>1071</v>
      </c>
      <c r="Q9" s="268">
        <v>1453.5</v>
      </c>
      <c r="R9" s="249">
        <f t="shared" ref="R9:R23" si="1">SUM(F9:Q9)</f>
        <v>16762</v>
      </c>
      <c r="S9" s="231"/>
      <c r="T9" s="181"/>
      <c r="U9" s="179"/>
      <c r="V9" s="179"/>
      <c r="W9" s="179"/>
      <c r="BA9"/>
      <c r="BB9"/>
    </row>
    <row r="10" spans="1:55" s="180" customFormat="1" ht="14.25">
      <c r="A10" s="177"/>
      <c r="B10" s="269" t="s">
        <v>324</v>
      </c>
      <c r="C10" s="261" t="s">
        <v>336</v>
      </c>
      <c r="D10" s="270" t="s">
        <v>86</v>
      </c>
      <c r="E10" s="271"/>
      <c r="F10" s="272"/>
      <c r="G10" s="272"/>
      <c r="H10" s="272"/>
      <c r="I10" s="272"/>
      <c r="J10" s="272"/>
      <c r="K10" s="272"/>
      <c r="L10" s="272"/>
      <c r="M10" s="272"/>
      <c r="N10" s="272"/>
      <c r="O10" s="272"/>
      <c r="P10" s="272"/>
      <c r="Q10" s="272"/>
      <c r="R10" s="250">
        <f t="shared" si="1"/>
        <v>0</v>
      </c>
      <c r="S10" s="232"/>
      <c r="T10" s="182"/>
      <c r="U10" s="179"/>
      <c r="V10" s="179"/>
      <c r="W10" s="179"/>
      <c r="BA10"/>
      <c r="BB10"/>
    </row>
    <row r="11" spans="1:55" s="185" customFormat="1" ht="14.25">
      <c r="A11" s="183"/>
      <c r="B11" s="273" t="s">
        <v>325</v>
      </c>
      <c r="C11" s="261" t="s">
        <v>337</v>
      </c>
      <c r="D11" s="270" t="s">
        <v>86</v>
      </c>
      <c r="E11" s="274"/>
      <c r="F11" s="272"/>
      <c r="G11" s="272"/>
      <c r="H11" s="272"/>
      <c r="I11" s="272"/>
      <c r="J11" s="272"/>
      <c r="K11" s="272"/>
      <c r="L11" s="272"/>
      <c r="M11" s="272"/>
      <c r="N11" s="272"/>
      <c r="O11" s="272"/>
      <c r="P11" s="272"/>
      <c r="Q11" s="272"/>
      <c r="R11" s="251">
        <f t="shared" si="1"/>
        <v>0</v>
      </c>
      <c r="S11" s="233"/>
      <c r="T11" s="184"/>
      <c r="U11" s="179"/>
      <c r="V11" s="179"/>
      <c r="W11" s="179"/>
      <c r="BA11"/>
      <c r="BB11"/>
    </row>
    <row r="12" spans="1:55" s="185" customFormat="1" ht="14.25">
      <c r="A12" s="183"/>
      <c r="B12" s="269"/>
      <c r="C12" s="275" t="s">
        <v>451</v>
      </c>
      <c r="D12" s="276" t="s">
        <v>452</v>
      </c>
      <c r="E12" s="277"/>
      <c r="F12" s="278">
        <v>0</v>
      </c>
      <c r="G12" s="278">
        <v>0</v>
      </c>
      <c r="H12" s="278">
        <v>0</v>
      </c>
      <c r="I12" s="278">
        <v>0</v>
      </c>
      <c r="J12" s="278">
        <v>0</v>
      </c>
      <c r="K12" s="278">
        <v>0</v>
      </c>
      <c r="L12" s="278">
        <v>0</v>
      </c>
      <c r="M12" s="278">
        <v>0</v>
      </c>
      <c r="N12" s="278">
        <v>0</v>
      </c>
      <c r="O12" s="278">
        <v>0</v>
      </c>
      <c r="P12" s="278">
        <v>0</v>
      </c>
      <c r="Q12" s="278">
        <v>0</v>
      </c>
      <c r="R12" s="252">
        <f t="shared" si="1"/>
        <v>0</v>
      </c>
      <c r="S12" s="234" t="s">
        <v>692</v>
      </c>
      <c r="T12" s="184"/>
      <c r="U12" s="179"/>
      <c r="V12" s="179"/>
      <c r="W12" s="179"/>
      <c r="BA12"/>
      <c r="BB12"/>
    </row>
    <row r="13" spans="1:55" s="185" customFormat="1" ht="14.25">
      <c r="A13" s="183"/>
      <c r="B13" s="269"/>
      <c r="C13" s="275" t="s">
        <v>453</v>
      </c>
      <c r="D13" s="276" t="s">
        <v>454</v>
      </c>
      <c r="E13" s="277"/>
      <c r="F13" s="278">
        <v>6.75</v>
      </c>
      <c r="G13" s="278">
        <v>7</v>
      </c>
      <c r="H13" s="278">
        <v>7.75</v>
      </c>
      <c r="I13" s="278">
        <v>8.25</v>
      </c>
      <c r="J13" s="278">
        <v>7</v>
      </c>
      <c r="K13" s="278">
        <v>6.5</v>
      </c>
      <c r="L13" s="278">
        <v>8.25</v>
      </c>
      <c r="M13" s="278">
        <v>7.25</v>
      </c>
      <c r="N13" s="278">
        <v>8</v>
      </c>
      <c r="O13" s="278">
        <v>7.5</v>
      </c>
      <c r="P13" s="278">
        <v>5.5</v>
      </c>
      <c r="Q13" s="278">
        <v>7.5</v>
      </c>
      <c r="R13" s="252">
        <f t="shared" si="1"/>
        <v>87.25</v>
      </c>
      <c r="S13" s="234" t="s">
        <v>692</v>
      </c>
      <c r="T13" s="184"/>
      <c r="U13" s="179"/>
      <c r="V13" s="179"/>
      <c r="W13" s="179"/>
      <c r="BA13"/>
      <c r="BB13"/>
    </row>
    <row r="14" spans="1:55" s="185" customFormat="1" ht="14.25">
      <c r="A14" s="183"/>
      <c r="B14" s="273"/>
      <c r="C14" s="275" t="s">
        <v>455</v>
      </c>
      <c r="D14" s="276" t="s">
        <v>456</v>
      </c>
      <c r="E14" s="277"/>
      <c r="F14" s="278">
        <v>12.75</v>
      </c>
      <c r="G14" s="278">
        <v>12.25</v>
      </c>
      <c r="H14" s="278">
        <v>14</v>
      </c>
      <c r="I14" s="278">
        <v>15.5</v>
      </c>
      <c r="J14" s="278">
        <v>13</v>
      </c>
      <c r="K14" s="278">
        <v>13</v>
      </c>
      <c r="L14" s="278">
        <v>16.25</v>
      </c>
      <c r="M14" s="278">
        <v>14</v>
      </c>
      <c r="N14" s="278">
        <v>15.5</v>
      </c>
      <c r="O14" s="278">
        <v>14.25</v>
      </c>
      <c r="P14" s="278">
        <v>10.75</v>
      </c>
      <c r="Q14" s="278">
        <v>14</v>
      </c>
      <c r="R14" s="252">
        <f t="shared" si="1"/>
        <v>165.25</v>
      </c>
      <c r="S14" s="234" t="s">
        <v>692</v>
      </c>
      <c r="T14" s="184"/>
      <c r="U14" s="179"/>
      <c r="V14" s="179"/>
      <c r="W14" s="179"/>
      <c r="BA14"/>
      <c r="BB14"/>
    </row>
    <row r="15" spans="1:55" s="185" customFormat="1" ht="14.25">
      <c r="A15" s="183"/>
      <c r="B15" s="273"/>
      <c r="C15" s="275" t="s">
        <v>457</v>
      </c>
      <c r="D15" s="276" t="s">
        <v>450</v>
      </c>
      <c r="E15" s="277"/>
      <c r="F15" s="278">
        <v>57</v>
      </c>
      <c r="G15" s="278">
        <v>56.5</v>
      </c>
      <c r="H15" s="278">
        <v>60</v>
      </c>
      <c r="I15" s="278">
        <v>64.75</v>
      </c>
      <c r="J15" s="278">
        <v>59</v>
      </c>
      <c r="K15" s="278">
        <v>54.75</v>
      </c>
      <c r="L15" s="278">
        <v>65</v>
      </c>
      <c r="M15" s="278">
        <v>59.25</v>
      </c>
      <c r="N15" s="278">
        <v>63.75</v>
      </c>
      <c r="O15" s="278">
        <v>60.25</v>
      </c>
      <c r="P15" s="278">
        <v>45.25</v>
      </c>
      <c r="Q15" s="278">
        <v>60.5</v>
      </c>
      <c r="R15" s="252">
        <f t="shared" si="1"/>
        <v>706</v>
      </c>
      <c r="S15" s="234" t="s">
        <v>692</v>
      </c>
      <c r="T15" s="184"/>
      <c r="U15" s="179"/>
      <c r="V15" s="179"/>
      <c r="W15" s="179"/>
      <c r="BA15"/>
      <c r="BB15"/>
    </row>
    <row r="16" spans="1:55" s="185" customFormat="1" ht="14.25">
      <c r="A16" s="183"/>
      <c r="B16" s="273" t="s">
        <v>326</v>
      </c>
      <c r="C16" s="261" t="s">
        <v>338</v>
      </c>
      <c r="D16" s="279" t="s">
        <v>86</v>
      </c>
      <c r="E16" s="274"/>
      <c r="F16" s="268">
        <v>0</v>
      </c>
      <c r="G16" s="268">
        <v>0</v>
      </c>
      <c r="H16" s="268">
        <v>0</v>
      </c>
      <c r="I16" s="268">
        <v>0</v>
      </c>
      <c r="J16" s="268">
        <v>0</v>
      </c>
      <c r="K16" s="268">
        <v>0</v>
      </c>
      <c r="L16" s="268">
        <v>0</v>
      </c>
      <c r="M16" s="268">
        <v>0</v>
      </c>
      <c r="N16" s="268">
        <v>0</v>
      </c>
      <c r="O16" s="268">
        <v>0</v>
      </c>
      <c r="P16" s="268">
        <v>0</v>
      </c>
      <c r="Q16" s="268">
        <v>0</v>
      </c>
      <c r="R16" s="251">
        <f t="shared" si="1"/>
        <v>0</v>
      </c>
      <c r="S16" s="233"/>
      <c r="T16" s="184"/>
      <c r="U16" s="179"/>
      <c r="V16" s="179"/>
      <c r="W16" s="179"/>
      <c r="BA16"/>
      <c r="BB16"/>
    </row>
    <row r="17" spans="1:54" s="180" customFormat="1" ht="14.25">
      <c r="A17" s="177"/>
      <c r="B17" s="273" t="s">
        <v>327</v>
      </c>
      <c r="C17" s="261" t="s">
        <v>339</v>
      </c>
      <c r="D17" s="279" t="s">
        <v>86</v>
      </c>
      <c r="E17" s="274"/>
      <c r="F17" s="268">
        <v>170</v>
      </c>
      <c r="G17" s="268">
        <v>166</v>
      </c>
      <c r="H17" s="268">
        <v>174</v>
      </c>
      <c r="I17" s="268">
        <v>182</v>
      </c>
      <c r="J17" s="268">
        <v>170</v>
      </c>
      <c r="K17" s="268">
        <v>166</v>
      </c>
      <c r="L17" s="268">
        <v>182</v>
      </c>
      <c r="M17" s="268">
        <v>170</v>
      </c>
      <c r="N17" s="268">
        <v>178</v>
      </c>
      <c r="O17" s="268">
        <v>170</v>
      </c>
      <c r="P17" s="268">
        <v>150</v>
      </c>
      <c r="Q17" s="268">
        <v>170</v>
      </c>
      <c r="R17" s="251">
        <f t="shared" si="1"/>
        <v>2048</v>
      </c>
      <c r="S17" s="235" t="s">
        <v>878</v>
      </c>
      <c r="T17" s="184"/>
      <c r="U17" s="179"/>
      <c r="V17" s="179"/>
      <c r="W17" s="179"/>
      <c r="BA17"/>
      <c r="BB17"/>
    </row>
    <row r="18" spans="1:54" s="180" customFormat="1" ht="14.25">
      <c r="A18" s="177"/>
      <c r="B18" s="269" t="s">
        <v>326</v>
      </c>
      <c r="C18" s="261" t="s">
        <v>340</v>
      </c>
      <c r="D18" s="270" t="s">
        <v>86</v>
      </c>
      <c r="E18" s="271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50">
        <f t="shared" si="1"/>
        <v>0</v>
      </c>
      <c r="S18" s="232"/>
      <c r="T18" s="182"/>
      <c r="U18" s="179"/>
      <c r="V18" s="179"/>
      <c r="W18" s="179"/>
      <c r="BA18"/>
      <c r="BB18"/>
    </row>
    <row r="19" spans="1:54" s="185" customFormat="1" ht="14.25">
      <c r="A19" s="183"/>
      <c r="B19" s="273" t="s">
        <v>327</v>
      </c>
      <c r="C19" s="261" t="s">
        <v>341</v>
      </c>
      <c r="D19" s="270" t="s">
        <v>86</v>
      </c>
      <c r="E19" s="274"/>
      <c r="F19" s="280"/>
      <c r="G19" s="280"/>
      <c r="H19" s="280"/>
      <c r="I19" s="280"/>
      <c r="J19" s="280"/>
      <c r="K19" s="280"/>
      <c r="L19" s="280"/>
      <c r="M19" s="280"/>
      <c r="N19" s="280"/>
      <c r="O19" s="280"/>
      <c r="P19" s="280"/>
      <c r="Q19" s="280"/>
      <c r="R19" s="253">
        <f t="shared" si="1"/>
        <v>0</v>
      </c>
      <c r="S19" s="233"/>
      <c r="T19" s="184"/>
      <c r="U19" s="179"/>
      <c r="V19" s="179"/>
      <c r="W19" s="179"/>
      <c r="BA19"/>
      <c r="BB19"/>
    </row>
    <row r="20" spans="1:54" s="185" customFormat="1" ht="14.25">
      <c r="A20" s="183"/>
      <c r="B20" s="273"/>
      <c r="C20" s="275" t="s">
        <v>458</v>
      </c>
      <c r="D20" s="276" t="s">
        <v>452</v>
      </c>
      <c r="E20" s="277"/>
      <c r="F20" s="278">
        <v>0</v>
      </c>
      <c r="G20" s="281">
        <v>0</v>
      </c>
      <c r="H20" s="281">
        <v>0</v>
      </c>
      <c r="I20" s="281">
        <v>0</v>
      </c>
      <c r="J20" s="281">
        <v>0</v>
      </c>
      <c r="K20" s="281">
        <v>0</v>
      </c>
      <c r="L20" s="281">
        <v>0</v>
      </c>
      <c r="M20" s="281">
        <v>0</v>
      </c>
      <c r="N20" s="281">
        <v>0</v>
      </c>
      <c r="O20" s="281">
        <v>0</v>
      </c>
      <c r="P20" s="281">
        <v>0</v>
      </c>
      <c r="Q20" s="278">
        <v>0</v>
      </c>
      <c r="R20" s="252">
        <f t="shared" si="1"/>
        <v>0</v>
      </c>
      <c r="S20" s="234" t="s">
        <v>692</v>
      </c>
      <c r="T20" s="184"/>
      <c r="U20" s="179"/>
      <c r="V20" s="179"/>
      <c r="W20" s="179"/>
      <c r="BA20"/>
      <c r="BB20"/>
    </row>
    <row r="21" spans="1:54" s="185" customFormat="1" ht="14.25">
      <c r="A21" s="183"/>
      <c r="B21" s="273"/>
      <c r="C21" s="275" t="s">
        <v>342</v>
      </c>
      <c r="D21" s="276" t="s">
        <v>454</v>
      </c>
      <c r="E21" s="277"/>
      <c r="F21" s="282">
        <v>0.5</v>
      </c>
      <c r="G21" s="283">
        <v>0.5</v>
      </c>
      <c r="H21" s="283">
        <v>0.5</v>
      </c>
      <c r="I21" s="283">
        <v>0.5</v>
      </c>
      <c r="J21" s="283">
        <v>0.5</v>
      </c>
      <c r="K21" s="283">
        <v>0.5</v>
      </c>
      <c r="L21" s="283">
        <v>0.5</v>
      </c>
      <c r="M21" s="283">
        <v>0.5</v>
      </c>
      <c r="N21" s="283">
        <v>0.5</v>
      </c>
      <c r="O21" s="283">
        <v>0.5</v>
      </c>
      <c r="P21" s="283">
        <v>0.25</v>
      </c>
      <c r="Q21" s="283">
        <v>0.5</v>
      </c>
      <c r="R21" s="252">
        <f t="shared" si="1"/>
        <v>5.75</v>
      </c>
      <c r="S21" s="234" t="s">
        <v>692</v>
      </c>
      <c r="T21" s="184"/>
      <c r="U21" s="179"/>
      <c r="V21" s="179"/>
      <c r="W21" s="179"/>
      <c r="BA21"/>
      <c r="BB21"/>
    </row>
    <row r="22" spans="1:54" s="185" customFormat="1" ht="14.25">
      <c r="A22" s="183"/>
      <c r="B22" s="273"/>
      <c r="C22" s="275" t="s">
        <v>459</v>
      </c>
      <c r="D22" s="276" t="s">
        <v>456</v>
      </c>
      <c r="E22" s="277"/>
      <c r="F22" s="282">
        <v>1.25</v>
      </c>
      <c r="G22" s="283">
        <v>1</v>
      </c>
      <c r="H22" s="283">
        <v>1.25</v>
      </c>
      <c r="I22" s="283">
        <v>1.25</v>
      </c>
      <c r="J22" s="283">
        <v>1.25</v>
      </c>
      <c r="K22" s="283">
        <v>1</v>
      </c>
      <c r="L22" s="283">
        <v>1.25</v>
      </c>
      <c r="M22" s="283">
        <v>1.25</v>
      </c>
      <c r="N22" s="283">
        <v>1.25</v>
      </c>
      <c r="O22" s="283">
        <v>1.5</v>
      </c>
      <c r="P22" s="283">
        <v>0.5</v>
      </c>
      <c r="Q22" s="283">
        <v>1.5</v>
      </c>
      <c r="R22" s="252">
        <f t="shared" si="1"/>
        <v>14.25</v>
      </c>
      <c r="S22" s="234" t="s">
        <v>692</v>
      </c>
      <c r="T22" s="184"/>
      <c r="U22" s="179"/>
      <c r="V22" s="179"/>
      <c r="W22" s="179"/>
      <c r="BA22"/>
      <c r="BB22"/>
    </row>
    <row r="23" spans="1:54" s="185" customFormat="1" ht="14.25">
      <c r="A23" s="183"/>
      <c r="B23" s="273"/>
      <c r="C23" s="275" t="s">
        <v>460</v>
      </c>
      <c r="D23" s="276" t="s">
        <v>450</v>
      </c>
      <c r="E23" s="277"/>
      <c r="F23" s="282">
        <v>3.25</v>
      </c>
      <c r="G23" s="283">
        <v>3.25</v>
      </c>
      <c r="H23" s="283">
        <v>2.75</v>
      </c>
      <c r="I23" s="283">
        <v>3</v>
      </c>
      <c r="J23" s="283">
        <v>2.75</v>
      </c>
      <c r="K23" s="283">
        <v>3.75</v>
      </c>
      <c r="L23" s="283">
        <v>3</v>
      </c>
      <c r="M23" s="283">
        <v>3</v>
      </c>
      <c r="N23" s="283">
        <v>3</v>
      </c>
      <c r="O23" s="283">
        <v>2.75</v>
      </c>
      <c r="P23" s="283">
        <v>3.75</v>
      </c>
      <c r="Q23" s="283">
        <v>2.75</v>
      </c>
      <c r="R23" s="252">
        <f t="shared" si="1"/>
        <v>37</v>
      </c>
      <c r="S23" s="234" t="s">
        <v>692</v>
      </c>
      <c r="T23" s="184"/>
      <c r="U23" s="179"/>
      <c r="V23" s="179"/>
      <c r="W23" s="179"/>
      <c r="BA23"/>
      <c r="BB23"/>
    </row>
    <row r="24" spans="1:54" s="185" customFormat="1" ht="14.25">
      <c r="A24" s="183"/>
      <c r="B24" s="269" t="s">
        <v>343</v>
      </c>
      <c r="C24" s="284" t="s">
        <v>343</v>
      </c>
      <c r="D24" s="285" t="s">
        <v>343</v>
      </c>
      <c r="E24" s="286"/>
      <c r="F24" s="287">
        <v>0</v>
      </c>
      <c r="G24" s="287">
        <v>0</v>
      </c>
      <c r="H24" s="287">
        <v>0</v>
      </c>
      <c r="I24" s="287">
        <v>0</v>
      </c>
      <c r="J24" s="287">
        <v>0</v>
      </c>
      <c r="K24" s="287">
        <v>0</v>
      </c>
      <c r="L24" s="287">
        <v>0</v>
      </c>
      <c r="M24" s="287">
        <v>0</v>
      </c>
      <c r="N24" s="287">
        <v>0</v>
      </c>
      <c r="O24" s="287">
        <v>0</v>
      </c>
      <c r="P24" s="287">
        <v>0</v>
      </c>
      <c r="Q24" s="287">
        <v>0</v>
      </c>
      <c r="R24" s="250">
        <f>Q24</f>
        <v>0</v>
      </c>
      <c r="S24" s="236"/>
      <c r="T24" s="182"/>
      <c r="U24" s="203"/>
      <c r="V24" s="179"/>
      <c r="W24" s="179"/>
      <c r="BA24"/>
      <c r="BB24"/>
    </row>
    <row r="25" spans="1:54" s="180" customFormat="1" ht="15.75" thickBot="1">
      <c r="A25" s="177"/>
      <c r="B25" s="273" t="s">
        <v>344</v>
      </c>
      <c r="C25" s="288" t="s">
        <v>344</v>
      </c>
      <c r="D25" s="289" t="s">
        <v>344</v>
      </c>
      <c r="E25" s="290"/>
      <c r="F25" s="291">
        <v>8</v>
      </c>
      <c r="G25" s="291">
        <v>8</v>
      </c>
      <c r="H25" s="291">
        <v>8</v>
      </c>
      <c r="I25" s="291">
        <v>8</v>
      </c>
      <c r="J25" s="291">
        <v>8</v>
      </c>
      <c r="K25" s="291">
        <v>9</v>
      </c>
      <c r="L25" s="291">
        <v>9</v>
      </c>
      <c r="M25" s="291">
        <v>9</v>
      </c>
      <c r="N25" s="291">
        <v>9</v>
      </c>
      <c r="O25" s="291">
        <v>9</v>
      </c>
      <c r="P25" s="291">
        <v>9</v>
      </c>
      <c r="Q25" s="291">
        <v>9</v>
      </c>
      <c r="R25" s="254">
        <f>Q25</f>
        <v>9</v>
      </c>
      <c r="S25" s="237"/>
      <c r="T25" s="190"/>
      <c r="U25" s="203"/>
      <c r="V25" s="204">
        <v>4</v>
      </c>
      <c r="W25" s="204">
        <v>5</v>
      </c>
      <c r="X25" s="204">
        <v>6</v>
      </c>
      <c r="Y25" s="204">
        <v>7</v>
      </c>
      <c r="Z25" s="204">
        <v>8</v>
      </c>
      <c r="AA25" s="204">
        <v>9</v>
      </c>
      <c r="AB25" s="204">
        <v>10</v>
      </c>
      <c r="AC25" s="204">
        <v>11</v>
      </c>
      <c r="AD25" s="204">
        <v>12</v>
      </c>
      <c r="AE25" s="204">
        <v>1</v>
      </c>
      <c r="AF25" s="204">
        <v>2</v>
      </c>
      <c r="AG25" s="204">
        <v>3</v>
      </c>
      <c r="BA25"/>
      <c r="BB25"/>
    </row>
    <row r="26" spans="1:54" s="180" customFormat="1" ht="14.25">
      <c r="A26" s="177"/>
      <c r="B26" s="292">
        <v>9114120002</v>
      </c>
      <c r="C26" s="293" t="s">
        <v>70</v>
      </c>
      <c r="D26" s="294" t="s">
        <v>70</v>
      </c>
      <c r="E26" s="295"/>
      <c r="F26" s="296">
        <f>ROUNDDOWN(V26*$B$2,0)+1</f>
        <v>4005381170</v>
      </c>
      <c r="G26" s="296">
        <f>ROUNDDOWN(W26*$B$2,0)+1</f>
        <v>2785507194</v>
      </c>
      <c r="H26" s="296">
        <f t="shared" ref="H26:Q26" si="2">ROUNDDOWN(X26*$B$2,0)+1</f>
        <v>471756610</v>
      </c>
      <c r="I26" s="296">
        <f t="shared" si="2"/>
        <v>532455976</v>
      </c>
      <c r="J26" s="296">
        <f t="shared" si="2"/>
        <v>520661051</v>
      </c>
      <c r="K26" s="296">
        <f t="shared" si="2"/>
        <v>1329142126</v>
      </c>
      <c r="L26" s="296">
        <f t="shared" si="2"/>
        <v>762994129</v>
      </c>
      <c r="M26" s="296">
        <f t="shared" si="2"/>
        <v>663960434</v>
      </c>
      <c r="N26" s="296">
        <f t="shared" si="2"/>
        <v>651059013</v>
      </c>
      <c r="O26" s="296">
        <f t="shared" si="2"/>
        <v>877089680</v>
      </c>
      <c r="P26" s="296">
        <f>ROUNDDOWN(AF26*$B$2,0)</f>
        <v>765665918</v>
      </c>
      <c r="Q26" s="296">
        <f t="shared" si="2"/>
        <v>1103361043</v>
      </c>
      <c r="R26" s="255">
        <f t="shared" ref="R26:R114" si="3">SUM(F26:Q26)</f>
        <v>14469034344</v>
      </c>
      <c r="S26" s="238" t="s">
        <v>695</v>
      </c>
      <c r="T26" s="186"/>
      <c r="U26" s="179"/>
      <c r="V26" s="187">
        <v>157754.28</v>
      </c>
      <c r="W26" s="187">
        <v>109708.83</v>
      </c>
      <c r="X26" s="188">
        <v>18580.41</v>
      </c>
      <c r="Y26" s="188">
        <v>20971.09</v>
      </c>
      <c r="Z26" s="188">
        <v>20506.54</v>
      </c>
      <c r="AA26" s="188">
        <v>52349.04</v>
      </c>
      <c r="AB26" s="188">
        <v>30050.97</v>
      </c>
      <c r="AC26" s="188">
        <v>26150.47</v>
      </c>
      <c r="AD26" s="188">
        <v>25642.34</v>
      </c>
      <c r="AE26" s="188">
        <v>34544.69</v>
      </c>
      <c r="AF26" s="188">
        <v>30156.2</v>
      </c>
      <c r="AG26" s="188">
        <v>43456.52</v>
      </c>
      <c r="BA26"/>
      <c r="BB26"/>
    </row>
    <row r="27" spans="1:54" s="180" customFormat="1" ht="14.25">
      <c r="A27" s="189"/>
      <c r="B27" s="297">
        <v>9114120004</v>
      </c>
      <c r="C27" s="298" t="s">
        <v>73</v>
      </c>
      <c r="D27" s="299" t="s">
        <v>73</v>
      </c>
      <c r="E27" s="300"/>
      <c r="F27" s="301">
        <v>0</v>
      </c>
      <c r="G27" s="301">
        <v>0</v>
      </c>
      <c r="H27" s="301">
        <v>0</v>
      </c>
      <c r="I27" s="301">
        <v>0</v>
      </c>
      <c r="J27" s="301"/>
      <c r="K27" s="301">
        <v>0</v>
      </c>
      <c r="L27" s="301">
        <v>0</v>
      </c>
      <c r="M27" s="301">
        <v>0</v>
      </c>
      <c r="N27" s="301">
        <v>0</v>
      </c>
      <c r="O27" s="301">
        <v>0</v>
      </c>
      <c r="P27" s="336"/>
      <c r="Q27" s="301">
        <v>0</v>
      </c>
      <c r="R27" s="255">
        <f t="shared" si="3"/>
        <v>0</v>
      </c>
      <c r="S27" s="239" t="s">
        <v>695</v>
      </c>
      <c r="T27" s="182"/>
      <c r="U27" s="179"/>
      <c r="V27" s="187"/>
      <c r="W27" s="187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BA27"/>
      <c r="BB27"/>
    </row>
    <row r="28" spans="1:54" s="180" customFormat="1" ht="14.25">
      <c r="A28" s="189"/>
      <c r="B28" s="297">
        <v>9114120014</v>
      </c>
      <c r="C28" s="298" t="s">
        <v>74</v>
      </c>
      <c r="D28" s="299" t="s">
        <v>74</v>
      </c>
      <c r="E28" s="300"/>
      <c r="F28" s="301">
        <v>0</v>
      </c>
      <c r="G28" s="301">
        <v>0</v>
      </c>
      <c r="H28" s="301">
        <v>0</v>
      </c>
      <c r="I28" s="301">
        <v>0</v>
      </c>
      <c r="J28" s="301">
        <v>0</v>
      </c>
      <c r="K28" s="301">
        <v>0</v>
      </c>
      <c r="L28" s="301">
        <v>0</v>
      </c>
      <c r="M28" s="301">
        <v>0</v>
      </c>
      <c r="N28" s="301">
        <v>0</v>
      </c>
      <c r="O28" s="301">
        <v>0</v>
      </c>
      <c r="P28" s="301">
        <v>0</v>
      </c>
      <c r="Q28" s="301">
        <v>0</v>
      </c>
      <c r="R28" s="255">
        <f t="shared" si="3"/>
        <v>0</v>
      </c>
      <c r="S28" s="239" t="s">
        <v>695</v>
      </c>
      <c r="T28" s="182"/>
      <c r="U28" s="179"/>
      <c r="V28" s="187"/>
      <c r="W28" s="187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BA28"/>
      <c r="BB28"/>
    </row>
    <row r="29" spans="1:54" s="180" customFormat="1" ht="15" thickBot="1">
      <c r="A29" s="189"/>
      <c r="B29" s="302">
        <v>9114120006</v>
      </c>
      <c r="C29" s="303" t="s">
        <v>142</v>
      </c>
      <c r="D29" s="304" t="s">
        <v>101</v>
      </c>
      <c r="E29" s="305"/>
      <c r="F29" s="306">
        <v>0</v>
      </c>
      <c r="G29" s="306">
        <v>0</v>
      </c>
      <c r="H29" s="306">
        <v>0</v>
      </c>
      <c r="I29" s="306">
        <v>0</v>
      </c>
      <c r="J29" s="306">
        <v>0</v>
      </c>
      <c r="K29" s="306">
        <v>0</v>
      </c>
      <c r="L29" s="306">
        <v>0</v>
      </c>
      <c r="M29" s="306">
        <v>0</v>
      </c>
      <c r="N29" s="306">
        <v>0</v>
      </c>
      <c r="O29" s="306">
        <v>0</v>
      </c>
      <c r="P29" s="306">
        <v>0</v>
      </c>
      <c r="Q29" s="306">
        <v>0</v>
      </c>
      <c r="R29" s="256">
        <f t="shared" si="3"/>
        <v>0</v>
      </c>
      <c r="S29" s="240" t="s">
        <v>695</v>
      </c>
      <c r="T29" s="190"/>
      <c r="U29" s="179"/>
      <c r="V29" s="187"/>
      <c r="W29" s="187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BA29"/>
      <c r="BB29"/>
    </row>
    <row r="30" spans="1:54" s="185" customFormat="1" ht="14.25">
      <c r="B30" s="265" t="s">
        <v>694</v>
      </c>
      <c r="C30" s="266" t="s">
        <v>694</v>
      </c>
      <c r="D30" s="266" t="s">
        <v>694</v>
      </c>
      <c r="E30" s="267"/>
      <c r="F30" s="307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250">
        <f t="shared" si="3"/>
        <v>0</v>
      </c>
      <c r="S30" s="241"/>
      <c r="T30" s="182"/>
      <c r="U30" s="179"/>
      <c r="V30" s="179"/>
      <c r="W30" s="179"/>
      <c r="BA30"/>
      <c r="BB30"/>
    </row>
    <row r="31" spans="1:54" s="185" customFormat="1" ht="14.25">
      <c r="B31" s="269">
        <v>9114120018</v>
      </c>
      <c r="C31" s="331" t="str">
        <f>IFERROR(IF(VLOOKUP($B31,[1]勘定科目!$A:$H,HLOOKUP($E$5,[1]勘定科目!$F$1:$H$2,2,0),0)="","",VLOOKUP($B31,[1]勘定科目!$A:$E,2,0)),"")</f>
        <v>部内間接経費</v>
      </c>
      <c r="D31" s="332" t="str">
        <f>IF(C31="","",VLOOKUP($B31,[1]勘定科目!$A:$E,4,0))</f>
        <v>部内間接経費</v>
      </c>
      <c r="E31" s="277"/>
      <c r="F31" s="309">
        <v>0</v>
      </c>
      <c r="G31" s="309">
        <v>0</v>
      </c>
      <c r="H31" s="309">
        <v>0</v>
      </c>
      <c r="I31" s="309">
        <v>0</v>
      </c>
      <c r="J31" s="309">
        <v>0</v>
      </c>
      <c r="K31" s="309">
        <v>0</v>
      </c>
      <c r="L31" s="309">
        <v>0</v>
      </c>
      <c r="M31" s="309">
        <v>0</v>
      </c>
      <c r="N31" s="309">
        <v>0</v>
      </c>
      <c r="O31" s="309">
        <v>0</v>
      </c>
      <c r="P31" s="309">
        <v>0</v>
      </c>
      <c r="Q31" s="309">
        <v>0</v>
      </c>
      <c r="R31" s="330">
        <f t="shared" si="3"/>
        <v>0</v>
      </c>
      <c r="S31" s="239" t="s">
        <v>692</v>
      </c>
      <c r="T31" s="182"/>
      <c r="U31" s="179"/>
      <c r="V31" s="179"/>
      <c r="W31" s="179"/>
      <c r="BA31"/>
      <c r="BB31"/>
    </row>
    <row r="32" spans="1:54" s="185" customFormat="1" ht="14.25">
      <c r="B32" s="269">
        <v>9114120029</v>
      </c>
      <c r="C32" s="331" t="str">
        <f>IFERROR(IF(VLOOKUP($B32,[1]勘定科目!$A:$H,HLOOKUP($E$5,[1]勘定科目!$F$1:$H$2,2,0),0)="","",VLOOKUP($B32,[1]勘定科目!$A:$E,2,0)),"")</f>
        <v>部外間接経費1</v>
      </c>
      <c r="D32" s="332" t="str">
        <f>IF(C32="","",VLOOKUP($B32,[1]勘定科目!$A:$E,4,0))</f>
        <v>部外間接経費1</v>
      </c>
      <c r="E32" s="277"/>
      <c r="F32" s="309">
        <v>397748</v>
      </c>
      <c r="G32" s="309">
        <v>456535</v>
      </c>
      <c r="H32" s="309">
        <v>380026</v>
      </c>
      <c r="I32" s="309">
        <v>418679</v>
      </c>
      <c r="J32" s="309">
        <v>376425</v>
      </c>
      <c r="K32" s="309">
        <v>411957</v>
      </c>
      <c r="L32" s="309">
        <v>371560</v>
      </c>
      <c r="M32" s="309">
        <v>373979</v>
      </c>
      <c r="N32" s="309">
        <v>377736</v>
      </c>
      <c r="O32" s="309">
        <v>363367</v>
      </c>
      <c r="P32" s="309">
        <v>384655</v>
      </c>
      <c r="Q32" s="309">
        <v>367742</v>
      </c>
      <c r="R32" s="330">
        <f t="shared" si="3"/>
        <v>4680409</v>
      </c>
      <c r="S32" s="239" t="s">
        <v>692</v>
      </c>
      <c r="T32" s="182"/>
      <c r="U32" s="179"/>
      <c r="V32" s="179"/>
      <c r="W32" s="179"/>
      <c r="BA32"/>
      <c r="BB32"/>
    </row>
    <row r="33" spans="1:54" s="185" customFormat="1" ht="14.25">
      <c r="B33" s="269">
        <v>9114120030</v>
      </c>
      <c r="C33" s="331" t="str">
        <f>IFERROR(IF(VLOOKUP($B33,[1]勘定科目!$A:$H,HLOOKUP($E$5,[1]勘定科目!$F$1:$H$2,2,0),0)="","",VLOOKUP($B33,[1]勘定科目!$A:$E,2,0)),"")</f>
        <v>部外間接経費2</v>
      </c>
      <c r="D33" s="332" t="str">
        <f>IF(C33="","",VLOOKUP($B33,[1]勘定科目!$A:$E,4,0))</f>
        <v>部外間接経費2</v>
      </c>
      <c r="E33" s="277"/>
      <c r="F33" s="309">
        <v>2428308</v>
      </c>
      <c r="G33" s="309">
        <v>829829</v>
      </c>
      <c r="H33" s="309">
        <v>594132</v>
      </c>
      <c r="I33" s="309">
        <v>640119</v>
      </c>
      <c r="J33" s="309">
        <v>574686</v>
      </c>
      <c r="K33" s="309">
        <v>516776</v>
      </c>
      <c r="L33" s="309">
        <v>646360</v>
      </c>
      <c r="M33" s="309">
        <v>664785</v>
      </c>
      <c r="N33" s="309">
        <v>642063</v>
      </c>
      <c r="O33" s="309">
        <v>502068</v>
      </c>
      <c r="P33" s="309">
        <v>525403</v>
      </c>
      <c r="Q33" s="309">
        <v>516391</v>
      </c>
      <c r="R33" s="330">
        <f t="shared" si="3"/>
        <v>9080920</v>
      </c>
      <c r="S33" s="239" t="s">
        <v>692</v>
      </c>
      <c r="T33" s="182"/>
      <c r="U33" s="179"/>
      <c r="V33" s="179"/>
      <c r="W33" s="179"/>
      <c r="BA33"/>
      <c r="BB33"/>
    </row>
    <row r="34" spans="1:54" s="185" customFormat="1" ht="14.25">
      <c r="B34" s="269">
        <v>9114120021</v>
      </c>
      <c r="C34" s="331" t="str">
        <f>IFERROR(IF(VLOOKUP($B34,[1]勘定科目!$A:$H,HLOOKUP($E$5,[1]勘定科目!$F$1:$H$2,2,0),0)="","",VLOOKUP($B34,[1]勘定科目!$A:$E,2,0)),"")</f>
        <v>工場間接経費</v>
      </c>
      <c r="D34" s="332" t="str">
        <f>IF(C34="","",VLOOKUP($B34,[1]勘定科目!$A:$E,4,0))</f>
        <v>工場間接経費</v>
      </c>
      <c r="E34" s="310"/>
      <c r="F34" s="309">
        <v>28869303</v>
      </c>
      <c r="G34" s="309">
        <v>36883360</v>
      </c>
      <c r="H34" s="309">
        <v>27306721</v>
      </c>
      <c r="I34" s="309">
        <v>39335822</v>
      </c>
      <c r="J34" s="309">
        <v>21916814</v>
      </c>
      <c r="K34" s="309">
        <v>21422335</v>
      </c>
      <c r="L34" s="309">
        <v>27208202</v>
      </c>
      <c r="M34" s="309">
        <v>22922178</v>
      </c>
      <c r="N34" s="309">
        <v>22670432</v>
      </c>
      <c r="O34" s="309">
        <v>25237009</v>
      </c>
      <c r="P34" s="309">
        <v>17427497</v>
      </c>
      <c r="Q34" s="309">
        <v>17985042</v>
      </c>
      <c r="R34" s="330">
        <f t="shared" si="3"/>
        <v>309184715</v>
      </c>
      <c r="S34" s="239" t="s">
        <v>692</v>
      </c>
      <c r="T34" s="182"/>
      <c r="U34" s="179"/>
      <c r="V34" s="179"/>
      <c r="W34" s="179"/>
      <c r="BA34"/>
      <c r="BB34"/>
    </row>
    <row r="35" spans="1:54" s="180" customFormat="1" ht="14.25">
      <c r="A35" s="189"/>
      <c r="B35" s="269" t="s">
        <v>694</v>
      </c>
      <c r="C35" s="331" t="str">
        <f>IFERROR(IF(VLOOKUP($B35,[1]勘定科目!$A:$H,HLOOKUP($E$5,[1]勘定科目!$F$1:$H$2,2,0),0)="","",VLOOKUP($B35,[1]勘定科目!$A:$E,2,0)),"")</f>
        <v/>
      </c>
      <c r="D35" s="332" t="str">
        <f>IF(C35="","",VLOOKUP($B35,[1]勘定科目!$A:$E,4,0))</f>
        <v/>
      </c>
      <c r="E35" s="311"/>
      <c r="F35" s="307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250">
        <f t="shared" si="3"/>
        <v>0</v>
      </c>
      <c r="S35" s="232"/>
      <c r="T35" s="182"/>
      <c r="U35" s="191"/>
      <c r="V35" s="191"/>
      <c r="W35" s="191"/>
      <c r="BA35"/>
      <c r="BB35"/>
    </row>
    <row r="36" spans="1:54" s="180" customFormat="1" ht="14.25">
      <c r="A36" s="189"/>
      <c r="B36" s="297"/>
      <c r="C36" s="333" t="str">
        <f>IFERROR(IF(VLOOKUP($B36,[1]勘定科目!$A:$H,HLOOKUP($E$5,[1]勘定科目!$F$1:$H$2,2,0),0)="","",VLOOKUP($B36,[1]勘定科目!$A:$E,2,0)),"")</f>
        <v/>
      </c>
      <c r="D36" s="334" t="str">
        <f>IF(C36="","",VLOOKUP($B36,[1]勘定科目!$A:$E,4,0))</f>
        <v/>
      </c>
      <c r="E36" s="312"/>
      <c r="F36" s="313"/>
      <c r="G36" s="314"/>
      <c r="H36" s="314"/>
      <c r="I36" s="314"/>
      <c r="J36" s="314"/>
      <c r="K36" s="314"/>
      <c r="L36" s="314"/>
      <c r="M36" s="314"/>
      <c r="N36" s="314"/>
      <c r="O36" s="314"/>
      <c r="P36" s="314"/>
      <c r="Q36" s="314"/>
      <c r="R36" s="250">
        <f t="shared" si="3"/>
        <v>0</v>
      </c>
      <c r="S36" s="232"/>
      <c r="T36" s="182"/>
      <c r="U36" s="191"/>
      <c r="V36" s="191"/>
      <c r="W36" s="191"/>
      <c r="BA36"/>
      <c r="BB36"/>
    </row>
    <row r="37" spans="1:54" s="180" customFormat="1" ht="14.25">
      <c r="A37" s="189"/>
      <c r="B37" s="297"/>
      <c r="C37" s="333" t="str">
        <f>IFERROR(IF(VLOOKUP($B37,[1]勘定科目!$A:$H,HLOOKUP($E$5,[1]勘定科目!$F$1:$H$2,2,0),0)="","",VLOOKUP($B37,[1]勘定科目!$A:$E,2,0)),"")</f>
        <v/>
      </c>
      <c r="D37" s="334" t="str">
        <f>IF(C37="","",VLOOKUP($B37,[1]勘定科目!$A:$E,4,0))</f>
        <v/>
      </c>
      <c r="E37" s="312"/>
      <c r="F37" s="307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250">
        <f t="shared" si="3"/>
        <v>0</v>
      </c>
      <c r="S37" s="232"/>
      <c r="T37" s="182"/>
      <c r="U37" s="191"/>
      <c r="V37" s="191"/>
      <c r="W37" s="191"/>
      <c r="BA37"/>
      <c r="BB37"/>
    </row>
    <row r="38" spans="1:54" s="180" customFormat="1" ht="14.25">
      <c r="A38" s="189"/>
      <c r="B38" s="297"/>
      <c r="C38" s="333" t="str">
        <f>IFERROR(IF(VLOOKUP($B38,[1]勘定科目!$A:$H,HLOOKUP($E$5,[1]勘定科目!$F$1:$H$2,2,0),0)="","",VLOOKUP($B38,[1]勘定科目!$A:$E,2,0)),"")</f>
        <v/>
      </c>
      <c r="D38" s="334" t="str">
        <f>IF(C38="","",VLOOKUP($B38,[1]勘定科目!$A:$E,4,0))</f>
        <v/>
      </c>
      <c r="E38" s="312"/>
      <c r="F38" s="307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250">
        <f t="shared" si="3"/>
        <v>0</v>
      </c>
      <c r="S38" s="232"/>
      <c r="T38" s="182"/>
      <c r="U38" s="191"/>
      <c r="V38" s="191"/>
      <c r="W38" s="191"/>
      <c r="BA38"/>
      <c r="BB38"/>
    </row>
    <row r="39" spans="1:54" s="180" customFormat="1" ht="16.5">
      <c r="A39" s="189"/>
      <c r="B39" s="269"/>
      <c r="C39" s="333" t="str">
        <f>IFERROR(IF(VLOOKUP($B39,[1]勘定科目!$A:$H,HLOOKUP($E$5,[1]勘定科目!$F$1:$H$2,2,0),0)="","",VLOOKUP($B39,[1]勘定科目!$A:$E,2,0)),"")</f>
        <v/>
      </c>
      <c r="D39" s="334" t="str">
        <f>IF(C39="","",VLOOKUP($B39,[1]勘定科目!$A:$E,4,0))</f>
        <v/>
      </c>
      <c r="E39" s="312"/>
      <c r="F39" s="315"/>
      <c r="G39" s="316"/>
      <c r="H39" s="316"/>
      <c r="I39" s="316"/>
      <c r="J39" s="316"/>
      <c r="K39" s="317"/>
      <c r="L39" s="317"/>
      <c r="M39" s="317"/>
      <c r="N39" s="317"/>
      <c r="O39" s="317"/>
      <c r="P39" s="317"/>
      <c r="Q39" s="317"/>
      <c r="R39" s="257">
        <f t="shared" si="3"/>
        <v>0</v>
      </c>
      <c r="S39" s="242" t="s">
        <v>696</v>
      </c>
      <c r="T39" s="182"/>
      <c r="U39" s="191"/>
      <c r="V39" s="191"/>
      <c r="W39" s="191"/>
      <c r="BA39"/>
      <c r="BB39"/>
    </row>
    <row r="40" spans="1:54" s="180" customFormat="1" ht="14.25">
      <c r="A40" s="189"/>
      <c r="B40" s="269">
        <v>5006016260</v>
      </c>
      <c r="C40" s="333" t="str">
        <f>IFERROR(IF(VLOOKUP($B40,[1]勘定科目!$A:$H,HLOOKUP($E$5,[1]勘定科目!$F$1:$H$2,2,0),0)="","",VLOOKUP($B40,[1]勘定科目!$A:$E,2,0)),"")</f>
        <v>減価償却費配賦（製）　建物</v>
      </c>
      <c r="D40" s="334" t="str">
        <f>IF(C40="","",VLOOKUP($B40,[1]勘定科目!$A:$E,4,0))</f>
        <v>減価償却費</v>
      </c>
      <c r="E40" s="312"/>
      <c r="F40" s="318">
        <v>3112560</v>
      </c>
      <c r="G40" s="318">
        <v>3112433</v>
      </c>
      <c r="H40" s="318">
        <v>3246492</v>
      </c>
      <c r="I40" s="318">
        <v>3256521</v>
      </c>
      <c r="J40" s="318">
        <v>2623676</v>
      </c>
      <c r="K40" s="318">
        <v>2595239</v>
      </c>
      <c r="L40" s="318">
        <v>2595239</v>
      </c>
      <c r="M40" s="318">
        <v>2595239</v>
      </c>
      <c r="N40" s="318">
        <v>2587241</v>
      </c>
      <c r="O40" s="318">
        <v>2586098</v>
      </c>
      <c r="P40" s="318">
        <v>2586098</v>
      </c>
      <c r="Q40" s="318">
        <v>2604125</v>
      </c>
      <c r="R40" s="250">
        <f t="shared" si="3"/>
        <v>33500961</v>
      </c>
      <c r="S40" s="243" t="s">
        <v>879</v>
      </c>
      <c r="T40" s="182"/>
      <c r="U40" s="191"/>
      <c r="V40" s="191"/>
      <c r="W40" s="191"/>
      <c r="BA40"/>
      <c r="BB40"/>
    </row>
    <row r="41" spans="1:54" s="180" customFormat="1" ht="14.25">
      <c r="A41" s="189"/>
      <c r="B41" s="269">
        <v>5006016261</v>
      </c>
      <c r="C41" s="333" t="str">
        <f>IFERROR(IF(VLOOKUP($B41,[1]勘定科目!$A:$H,HLOOKUP($E$5,[1]勘定科目!$F$1:$H$2,2,0),0)="","",VLOOKUP($B41,[1]勘定科目!$A:$E,2,0)),"")</f>
        <v>減価償却費配賦（製）　土地使用権</v>
      </c>
      <c r="D41" s="334" t="str">
        <f>IF(C41="","",VLOOKUP($B41,[1]勘定科目!$A:$E,4,0))</f>
        <v>減価償却費</v>
      </c>
      <c r="E41" s="312"/>
      <c r="F41" s="318">
        <v>210102</v>
      </c>
      <c r="G41" s="318">
        <v>210102</v>
      </c>
      <c r="H41" s="318">
        <v>219116</v>
      </c>
      <c r="I41" s="318">
        <v>219750</v>
      </c>
      <c r="J41" s="318">
        <v>177095</v>
      </c>
      <c r="K41" s="318">
        <v>175191</v>
      </c>
      <c r="L41" s="318">
        <v>175191</v>
      </c>
      <c r="M41" s="318">
        <v>175191</v>
      </c>
      <c r="N41" s="318">
        <v>174683</v>
      </c>
      <c r="O41" s="318">
        <v>174556</v>
      </c>
      <c r="P41" s="318">
        <v>174556</v>
      </c>
      <c r="Q41" s="318">
        <v>175826</v>
      </c>
      <c r="R41" s="250">
        <f t="shared" si="3"/>
        <v>2261359</v>
      </c>
      <c r="S41" s="243" t="s">
        <v>880</v>
      </c>
      <c r="T41" s="182"/>
      <c r="U41" s="191"/>
      <c r="V41" s="191"/>
      <c r="W41" s="191"/>
      <c r="BA41"/>
      <c r="BB41"/>
    </row>
    <row r="42" spans="1:54" s="180" customFormat="1" ht="14.25">
      <c r="A42" s="189"/>
      <c r="B42" s="269">
        <v>9114120007</v>
      </c>
      <c r="C42" s="333" t="str">
        <f>IFERROR(IF(VLOOKUP($B42,[1]勘定科目!$A:$H,HLOOKUP($E$5,[1]勘定科目!$F$1:$H$2,2,0),0)="","",VLOOKUP($B42,[1]勘定科目!$A:$E,2,0)),"")</f>
        <v>社内金利（固定資産）</v>
      </c>
      <c r="D42" s="334" t="str">
        <f>IF(C42="","",VLOOKUP($B42,[1]勘定科目!$A:$E,4,0))</f>
        <v>固定資産金利</v>
      </c>
      <c r="E42" s="312"/>
      <c r="F42" s="318">
        <v>2224799</v>
      </c>
      <c r="G42" s="318">
        <v>2224926</v>
      </c>
      <c r="H42" s="318">
        <v>2203598</v>
      </c>
      <c r="I42" s="318">
        <v>2210453</v>
      </c>
      <c r="J42" s="318">
        <v>1781109</v>
      </c>
      <c r="K42" s="318">
        <v>1761558</v>
      </c>
      <c r="L42" s="318">
        <v>1761558</v>
      </c>
      <c r="M42" s="318">
        <v>1761558</v>
      </c>
      <c r="N42" s="318">
        <v>1756226</v>
      </c>
      <c r="O42" s="318">
        <v>1755338</v>
      </c>
      <c r="P42" s="318">
        <v>1755338</v>
      </c>
      <c r="Q42" s="318">
        <v>1767652</v>
      </c>
      <c r="R42" s="250">
        <f t="shared" si="3"/>
        <v>22964113</v>
      </c>
      <c r="S42" s="243" t="s">
        <v>697</v>
      </c>
      <c r="T42" s="182"/>
      <c r="U42" s="191"/>
      <c r="V42" s="191"/>
      <c r="W42" s="191"/>
      <c r="BA42"/>
      <c r="BB42"/>
    </row>
    <row r="43" spans="1:54" s="180" customFormat="1" ht="14.25">
      <c r="A43" s="189"/>
      <c r="B43" s="269">
        <v>9114120007</v>
      </c>
      <c r="C43" s="333" t="str">
        <f>IFERROR(IF(VLOOKUP($B43,[1]勘定科目!$A:$H,HLOOKUP($E$5,[1]勘定科目!$F$1:$H$2,2,0),0)="","",VLOOKUP($B43,[1]勘定科目!$A:$E,2,0)),"")</f>
        <v>社内金利（固定資産）</v>
      </c>
      <c r="D43" s="334" t="str">
        <f>IF(C43="","",VLOOKUP($B43,[1]勘定科目!$A:$E,4,0))</f>
        <v>固定資産金利</v>
      </c>
      <c r="E43" s="312"/>
      <c r="F43" s="318">
        <v>268880</v>
      </c>
      <c r="G43" s="318">
        <v>268880</v>
      </c>
      <c r="H43" s="318">
        <v>272435</v>
      </c>
      <c r="I43" s="318">
        <v>273323</v>
      </c>
      <c r="J43" s="318">
        <v>220258</v>
      </c>
      <c r="K43" s="318">
        <v>217846</v>
      </c>
      <c r="L43" s="318">
        <v>217846</v>
      </c>
      <c r="M43" s="318">
        <v>217846</v>
      </c>
      <c r="N43" s="318">
        <v>217085</v>
      </c>
      <c r="O43" s="318">
        <v>217085</v>
      </c>
      <c r="P43" s="318">
        <v>217085</v>
      </c>
      <c r="Q43" s="318">
        <v>218608</v>
      </c>
      <c r="R43" s="250">
        <f t="shared" si="3"/>
        <v>2827177</v>
      </c>
      <c r="S43" s="243" t="s">
        <v>881</v>
      </c>
      <c r="T43" s="182"/>
      <c r="U43" s="191"/>
      <c r="V43" s="191"/>
      <c r="W43" s="191"/>
      <c r="BA43"/>
      <c r="BB43"/>
    </row>
    <row r="44" spans="1:54" s="180" customFormat="1" ht="14.25">
      <c r="A44" s="189"/>
      <c r="B44" s="269">
        <v>5005066281</v>
      </c>
      <c r="C44" s="333" t="str">
        <f>IFERROR(IF(VLOOKUP($B44,[1]勘定科目!$A:$H,HLOOKUP($E$5,[1]勘定科目!$F$1:$H$2,2,0),0)="","",VLOOKUP($B44,[1]勘定科目!$A:$E,2,0)),"")</f>
        <v>電気代（製）</v>
      </c>
      <c r="D44" s="334" t="str">
        <f>IF(C44="","",VLOOKUP($B44,[1]勘定科目!$A:$E,4,0))</f>
        <v>水道光熱費</v>
      </c>
      <c r="E44" s="312"/>
      <c r="F44" s="318">
        <v>877127</v>
      </c>
      <c r="G44" s="318">
        <v>877127</v>
      </c>
      <c r="H44" s="318">
        <v>820435</v>
      </c>
      <c r="I44" s="318">
        <v>828796</v>
      </c>
      <c r="J44" s="318">
        <v>851382</v>
      </c>
      <c r="K44" s="318">
        <v>958528</v>
      </c>
      <c r="L44" s="318">
        <v>806256</v>
      </c>
      <c r="M44" s="318">
        <v>806256</v>
      </c>
      <c r="N44" s="318">
        <v>903813</v>
      </c>
      <c r="O44" s="318">
        <v>521474</v>
      </c>
      <c r="P44" s="318">
        <v>521474</v>
      </c>
      <c r="Q44" s="318">
        <v>524118</v>
      </c>
      <c r="R44" s="250">
        <f t="shared" si="3"/>
        <v>9296786</v>
      </c>
      <c r="S44" s="243" t="s">
        <v>698</v>
      </c>
      <c r="T44" s="182"/>
      <c r="U44" s="191"/>
      <c r="V44" s="191"/>
      <c r="W44" s="191"/>
      <c r="BA44"/>
      <c r="BB44"/>
    </row>
    <row r="45" spans="1:54" s="180" customFormat="1" ht="14.25">
      <c r="A45" s="189"/>
      <c r="B45" s="269">
        <v>5005066282</v>
      </c>
      <c r="C45" s="333" t="str">
        <f>IFERROR(IF(VLOOKUP($B45,[1]勘定科目!$A:$H,HLOOKUP($E$5,[1]勘定科目!$F$1:$H$2,2,0),0)="","",VLOOKUP($B45,[1]勘定科目!$A:$E,2,0)),"")</f>
        <v>水道代（製）</v>
      </c>
      <c r="D45" s="334" t="str">
        <f>IF(C45="","",VLOOKUP($B45,[1]勘定科目!$A:$E,4,0))</f>
        <v>水道光熱費</v>
      </c>
      <c r="E45" s="312"/>
      <c r="F45" s="318">
        <v>214990</v>
      </c>
      <c r="G45" s="318">
        <v>214990</v>
      </c>
      <c r="H45" s="318">
        <v>235027</v>
      </c>
      <c r="I45" s="318">
        <v>214606</v>
      </c>
      <c r="J45" s="318">
        <v>222677</v>
      </c>
      <c r="K45" s="318">
        <v>241465</v>
      </c>
      <c r="L45" s="318">
        <v>183088</v>
      </c>
      <c r="M45" s="318">
        <v>183088</v>
      </c>
      <c r="N45" s="318">
        <v>194303</v>
      </c>
      <c r="O45" s="318">
        <v>167597</v>
      </c>
      <c r="P45" s="318">
        <v>167597</v>
      </c>
      <c r="Q45" s="318">
        <v>138043</v>
      </c>
      <c r="R45" s="250">
        <f t="shared" si="3"/>
        <v>2377471</v>
      </c>
      <c r="S45" s="243" t="s">
        <v>699</v>
      </c>
      <c r="T45" s="182"/>
      <c r="U45" s="191"/>
      <c r="V45" s="191"/>
      <c r="W45" s="191"/>
      <c r="BA45"/>
      <c r="BB45"/>
    </row>
    <row r="46" spans="1:54" s="180" customFormat="1" ht="14.25">
      <c r="A46" s="189"/>
      <c r="B46" s="319">
        <v>5005056281</v>
      </c>
      <c r="C46" s="333" t="str">
        <f>IFERROR(IF(VLOOKUP($B46,[1]勘定科目!$A:$H,HLOOKUP($E$5,[1]勘定科目!$F$1:$H$2,2,0),0)="","",VLOOKUP($B46,[1]勘定科目!$A:$E,2,0)),"")</f>
        <v>ガス代（製）</v>
      </c>
      <c r="D46" s="334" t="str">
        <f>IF(C46="","",VLOOKUP($B46,[1]勘定科目!$A:$E,4,0))</f>
        <v>水道光熱費</v>
      </c>
      <c r="E46" s="312"/>
      <c r="F46" s="318">
        <v>429640</v>
      </c>
      <c r="G46" s="318">
        <v>413400</v>
      </c>
      <c r="H46" s="318">
        <v>465384</v>
      </c>
      <c r="I46" s="318">
        <v>482712</v>
      </c>
      <c r="J46" s="318">
        <v>492112</v>
      </c>
      <c r="K46" s="318">
        <v>434007</v>
      </c>
      <c r="L46" s="318">
        <v>530316</v>
      </c>
      <c r="M46" s="318">
        <v>502929</v>
      </c>
      <c r="N46" s="318">
        <v>480942</v>
      </c>
      <c r="O46" s="318">
        <v>417915</v>
      </c>
      <c r="P46" s="318">
        <v>427194</v>
      </c>
      <c r="Q46" s="318">
        <v>491832</v>
      </c>
      <c r="R46" s="250">
        <f t="shared" si="3"/>
        <v>5568383</v>
      </c>
      <c r="S46" s="243" t="s">
        <v>700</v>
      </c>
      <c r="T46" s="182"/>
      <c r="U46" s="191"/>
      <c r="V46" s="191"/>
      <c r="W46" s="191"/>
      <c r="BA46"/>
      <c r="BB46"/>
    </row>
    <row r="47" spans="1:54" s="180" customFormat="1" ht="14.25">
      <c r="A47" s="189"/>
      <c r="B47" s="319">
        <v>5005016372</v>
      </c>
      <c r="C47" s="333" t="str">
        <f>IFERROR(IF(VLOOKUP($B47,[1]勘定科目!$A:$H,HLOOKUP($E$5,[1]勘定科目!$F$1:$H$2,2,0),0)="","",VLOOKUP($B47,[1]勘定科目!$A:$E,2,0)),"")</f>
        <v>その他消耗品（製）</v>
      </c>
      <c r="D47" s="334" t="str">
        <f>IF(C47="","",VLOOKUP($B47,[1]勘定科目!$A:$E,4,0))</f>
        <v>消耗品費</v>
      </c>
      <c r="E47" s="312"/>
      <c r="F47" s="318">
        <v>8952</v>
      </c>
      <c r="G47" s="318">
        <v>9576</v>
      </c>
      <c r="H47" s="318">
        <v>9128</v>
      </c>
      <c r="I47" s="318">
        <v>10824</v>
      </c>
      <c r="J47" s="318">
        <v>10080</v>
      </c>
      <c r="K47" s="318">
        <v>9549</v>
      </c>
      <c r="L47" s="318">
        <v>11790</v>
      </c>
      <c r="M47" s="318">
        <v>10791</v>
      </c>
      <c r="N47" s="318">
        <v>10395</v>
      </c>
      <c r="O47" s="318">
        <v>8712</v>
      </c>
      <c r="P47" s="318">
        <v>9774</v>
      </c>
      <c r="Q47" s="318">
        <v>10629</v>
      </c>
      <c r="R47" s="250">
        <f t="shared" si="3"/>
        <v>120200</v>
      </c>
      <c r="S47" s="243" t="s">
        <v>701</v>
      </c>
      <c r="T47" s="182"/>
      <c r="U47" s="191"/>
      <c r="V47" s="191"/>
      <c r="W47" s="191"/>
      <c r="BA47"/>
      <c r="BB47"/>
    </row>
    <row r="48" spans="1:54" s="180" customFormat="1" ht="14.25">
      <c r="A48" s="189"/>
      <c r="B48" s="319">
        <v>5005016372</v>
      </c>
      <c r="C48" s="333" t="str">
        <f>IFERROR(IF(VLOOKUP($B48,[1]勘定科目!$A:$H,HLOOKUP($E$5,[1]勘定科目!$F$1:$H$2,2,0),0)="","",VLOOKUP($B48,[1]勘定科目!$A:$E,2,0)),"")</f>
        <v>その他消耗品（製）</v>
      </c>
      <c r="D48" s="334" t="str">
        <f>IF(C48="","",VLOOKUP($B48,[1]勘定科目!$A:$E,4,0))</f>
        <v>消耗品費</v>
      </c>
      <c r="E48" s="312"/>
      <c r="F48" s="318">
        <v>140272</v>
      </c>
      <c r="G48" s="318">
        <v>154632</v>
      </c>
      <c r="H48" s="318">
        <v>147568</v>
      </c>
      <c r="I48" s="318">
        <v>169072</v>
      </c>
      <c r="J48" s="318">
        <v>161904</v>
      </c>
      <c r="K48" s="318">
        <v>149337</v>
      </c>
      <c r="L48" s="318">
        <v>190035</v>
      </c>
      <c r="M48" s="318">
        <v>173700</v>
      </c>
      <c r="N48" s="318">
        <v>165600</v>
      </c>
      <c r="O48" s="318">
        <v>141066</v>
      </c>
      <c r="P48" s="318">
        <v>157302</v>
      </c>
      <c r="Q48" s="318">
        <v>165645</v>
      </c>
      <c r="R48" s="250">
        <f t="shared" si="3"/>
        <v>1916133</v>
      </c>
      <c r="S48" s="243" t="s">
        <v>702</v>
      </c>
      <c r="T48" s="182"/>
      <c r="U48" s="191"/>
      <c r="V48" s="191"/>
      <c r="W48" s="191"/>
      <c r="BA48"/>
      <c r="BB48"/>
    </row>
    <row r="49" spans="1:54" s="180" customFormat="1" ht="14.25">
      <c r="A49" s="189"/>
      <c r="B49" s="319">
        <v>5005016372</v>
      </c>
      <c r="C49" s="333" t="str">
        <f>IFERROR(IF(VLOOKUP($B49,[1]勘定科目!$A:$H,HLOOKUP($E$5,[1]勘定科目!$F$1:$H$2,2,0),0)="","",VLOOKUP($B49,[1]勘定科目!$A:$E,2,0)),"")</f>
        <v>その他消耗品（製）</v>
      </c>
      <c r="D49" s="334" t="str">
        <f>IF(C49="","",VLOOKUP($B49,[1]勘定科目!$A:$E,4,0))</f>
        <v>消耗品費</v>
      </c>
      <c r="E49" s="312"/>
      <c r="F49" s="318">
        <v>0</v>
      </c>
      <c r="G49" s="318">
        <v>0</v>
      </c>
      <c r="H49" s="318">
        <v>0</v>
      </c>
      <c r="I49" s="318">
        <v>0</v>
      </c>
      <c r="J49" s="318">
        <v>0</v>
      </c>
      <c r="K49" s="318">
        <v>0</v>
      </c>
      <c r="L49" s="318">
        <v>0</v>
      </c>
      <c r="M49" s="318">
        <v>0</v>
      </c>
      <c r="N49" s="318">
        <v>0</v>
      </c>
      <c r="O49" s="318">
        <v>0</v>
      </c>
      <c r="P49" s="318">
        <v>0</v>
      </c>
      <c r="Q49" s="318">
        <v>0</v>
      </c>
      <c r="R49" s="250">
        <f t="shared" si="3"/>
        <v>0</v>
      </c>
      <c r="S49" s="243" t="s">
        <v>703</v>
      </c>
      <c r="T49" s="182"/>
      <c r="U49" s="191"/>
      <c r="V49" s="191"/>
      <c r="W49" s="191"/>
      <c r="BA49"/>
      <c r="BB49"/>
    </row>
    <row r="50" spans="1:54" s="180" customFormat="1" ht="14.25">
      <c r="A50" s="189"/>
      <c r="B50" s="319">
        <v>5005246286</v>
      </c>
      <c r="C50" s="333" t="str">
        <f>IFERROR(IF(VLOOKUP($B50,[1]勘定科目!$A:$H,HLOOKUP($E$5,[1]勘定科目!$F$1:$H$2,2,0),0)="","",VLOOKUP($B50,[1]勘定科目!$A:$E,2,0)),"")</f>
        <v>その他手数料（製）</v>
      </c>
      <c r="D50" s="334" t="str">
        <f>IF(C50="","",VLOOKUP($B50,[1]勘定科目!$A:$E,4,0))</f>
        <v>手数料</v>
      </c>
      <c r="E50" s="312"/>
      <c r="F50" s="318">
        <v>449896</v>
      </c>
      <c r="G50" s="318">
        <v>434376</v>
      </c>
      <c r="H50" s="318">
        <v>460232</v>
      </c>
      <c r="I50" s="318">
        <v>425664</v>
      </c>
      <c r="J50" s="318">
        <v>435664</v>
      </c>
      <c r="K50" s="318">
        <v>454464</v>
      </c>
      <c r="L50" s="318">
        <v>445788</v>
      </c>
      <c r="M50" s="318">
        <v>445248</v>
      </c>
      <c r="N50" s="318">
        <v>446121</v>
      </c>
      <c r="O50" s="318">
        <v>440622</v>
      </c>
      <c r="P50" s="318">
        <v>422469</v>
      </c>
      <c r="Q50" s="318">
        <v>456228</v>
      </c>
      <c r="R50" s="250">
        <f t="shared" si="3"/>
        <v>5316772</v>
      </c>
      <c r="S50" s="243" t="s">
        <v>704</v>
      </c>
      <c r="T50" s="182"/>
      <c r="U50" s="191"/>
      <c r="V50" s="191"/>
      <c r="W50" s="191"/>
      <c r="BA50"/>
      <c r="BB50"/>
    </row>
    <row r="51" spans="1:54" s="180" customFormat="1" ht="14.25">
      <c r="A51" s="189"/>
      <c r="B51" s="319">
        <v>5004086291</v>
      </c>
      <c r="C51" s="333" t="str">
        <f>IFERROR(IF(VLOOKUP($B51,[1]勘定科目!$A:$H,HLOOKUP($E$5,[1]勘定科目!$F$1:$H$2,2,0),0)="","",VLOOKUP($B51,[1]勘定科目!$A:$E,2,0)),"")</f>
        <v>福利厚生費（製）</v>
      </c>
      <c r="D51" s="334" t="str">
        <f>IF(C51="","",VLOOKUP($B51,[1]勘定科目!$A:$E,4,0))</f>
        <v>福利厚生費</v>
      </c>
      <c r="E51" s="312"/>
      <c r="F51" s="318">
        <v>0</v>
      </c>
      <c r="G51" s="318">
        <v>0</v>
      </c>
      <c r="H51" s="318">
        <v>0</v>
      </c>
      <c r="I51" s="318">
        <v>0</v>
      </c>
      <c r="J51" s="318">
        <v>0</v>
      </c>
      <c r="K51" s="318">
        <v>0</v>
      </c>
      <c r="L51" s="318">
        <v>0</v>
      </c>
      <c r="M51" s="318">
        <v>0</v>
      </c>
      <c r="N51" s="318">
        <v>0</v>
      </c>
      <c r="O51" s="318">
        <v>0</v>
      </c>
      <c r="P51" s="318">
        <v>0</v>
      </c>
      <c r="Q51" s="318">
        <v>0</v>
      </c>
      <c r="R51" s="250">
        <f t="shared" si="3"/>
        <v>0</v>
      </c>
      <c r="S51" s="243" t="s">
        <v>705</v>
      </c>
      <c r="T51" s="182"/>
      <c r="U51" s="191"/>
      <c r="V51" s="191"/>
      <c r="W51" s="191"/>
      <c r="BA51"/>
      <c r="BB51"/>
    </row>
    <row r="52" spans="1:54" s="180" customFormat="1" ht="14.25">
      <c r="A52" s="189"/>
      <c r="B52" s="319">
        <v>5004086291</v>
      </c>
      <c r="C52" s="333" t="str">
        <f>IFERROR(IF(VLOOKUP($B52,[1]勘定科目!$A:$H,HLOOKUP($E$5,[1]勘定科目!$F$1:$H$2,2,0),0)="","",VLOOKUP($B52,[1]勘定科目!$A:$E,2,0)),"")</f>
        <v>福利厚生費（製）</v>
      </c>
      <c r="D52" s="334" t="str">
        <f>IF(C52="","",VLOOKUP($B52,[1]勘定科目!$A:$E,4,0))</f>
        <v>福利厚生費</v>
      </c>
      <c r="E52" s="312"/>
      <c r="F52" s="318">
        <v>0</v>
      </c>
      <c r="G52" s="318">
        <v>0</v>
      </c>
      <c r="H52" s="318">
        <v>0</v>
      </c>
      <c r="I52" s="318">
        <v>0</v>
      </c>
      <c r="J52" s="318">
        <v>0</v>
      </c>
      <c r="K52" s="318">
        <v>0</v>
      </c>
      <c r="L52" s="318">
        <v>0</v>
      </c>
      <c r="M52" s="318">
        <v>0</v>
      </c>
      <c r="N52" s="318">
        <v>0</v>
      </c>
      <c r="O52" s="318">
        <v>0</v>
      </c>
      <c r="P52" s="318">
        <v>0</v>
      </c>
      <c r="Q52" s="318">
        <v>0</v>
      </c>
      <c r="R52" s="250">
        <f t="shared" si="3"/>
        <v>0</v>
      </c>
      <c r="S52" s="243" t="s">
        <v>882</v>
      </c>
      <c r="T52" s="182"/>
      <c r="U52" s="191"/>
      <c r="V52" s="191"/>
      <c r="W52" s="191"/>
      <c r="BA52"/>
      <c r="BB52"/>
    </row>
    <row r="53" spans="1:54" s="180" customFormat="1" ht="14.25">
      <c r="A53" s="189"/>
      <c r="B53" s="319">
        <v>5004086291</v>
      </c>
      <c r="C53" s="333" t="str">
        <f>IFERROR(IF(VLOOKUP($B53,[1]勘定科目!$A:$H,HLOOKUP($E$5,[1]勘定科目!$F$1:$H$2,2,0),0)="","",VLOOKUP($B53,[1]勘定科目!$A:$E,2,0)),"")</f>
        <v>福利厚生費（製）</v>
      </c>
      <c r="D53" s="334" t="str">
        <f>IF(C53="","",VLOOKUP($B53,[1]勘定科目!$A:$E,4,0))</f>
        <v>福利厚生費</v>
      </c>
      <c r="E53" s="312"/>
      <c r="F53" s="318">
        <v>0</v>
      </c>
      <c r="G53" s="318">
        <v>0</v>
      </c>
      <c r="H53" s="318">
        <v>0</v>
      </c>
      <c r="I53" s="318">
        <v>0</v>
      </c>
      <c r="J53" s="318">
        <v>0</v>
      </c>
      <c r="K53" s="318">
        <v>0</v>
      </c>
      <c r="L53" s="318">
        <v>0</v>
      </c>
      <c r="M53" s="318">
        <v>0</v>
      </c>
      <c r="N53" s="318">
        <v>0</v>
      </c>
      <c r="O53" s="318">
        <v>0</v>
      </c>
      <c r="P53" s="318">
        <v>0</v>
      </c>
      <c r="Q53" s="318">
        <v>0</v>
      </c>
      <c r="R53" s="250">
        <f t="shared" si="3"/>
        <v>0</v>
      </c>
      <c r="S53" s="243" t="s">
        <v>706</v>
      </c>
      <c r="T53" s="182"/>
      <c r="U53" s="191"/>
      <c r="V53" s="191"/>
      <c r="W53" s="191"/>
      <c r="BA53"/>
      <c r="BB53"/>
    </row>
    <row r="54" spans="1:54" s="180" customFormat="1" ht="14.25">
      <c r="A54" s="189"/>
      <c r="B54" s="319">
        <v>5004086291</v>
      </c>
      <c r="C54" s="333" t="str">
        <f>IFERROR(IF(VLOOKUP($B54,[1]勘定科目!$A:$H,HLOOKUP($E$5,[1]勘定科目!$F$1:$H$2,2,0),0)="","",VLOOKUP($B54,[1]勘定科目!$A:$E,2,0)),"")</f>
        <v>福利厚生費（製）</v>
      </c>
      <c r="D54" s="334" t="str">
        <f>IF(C54="","",VLOOKUP($B54,[1]勘定科目!$A:$E,4,0))</f>
        <v>福利厚生費</v>
      </c>
      <c r="E54" s="312"/>
      <c r="F54" s="318">
        <v>0</v>
      </c>
      <c r="G54" s="318">
        <v>0</v>
      </c>
      <c r="H54" s="318">
        <v>0</v>
      </c>
      <c r="I54" s="318">
        <v>0</v>
      </c>
      <c r="J54" s="318">
        <v>0</v>
      </c>
      <c r="K54" s="318">
        <v>0</v>
      </c>
      <c r="L54" s="318">
        <v>0</v>
      </c>
      <c r="M54" s="318">
        <v>0</v>
      </c>
      <c r="N54" s="318">
        <v>0</v>
      </c>
      <c r="O54" s="318">
        <v>0</v>
      </c>
      <c r="P54" s="318">
        <v>0</v>
      </c>
      <c r="Q54" s="318">
        <v>0</v>
      </c>
      <c r="R54" s="250">
        <f t="shared" si="3"/>
        <v>0</v>
      </c>
      <c r="S54" s="243" t="s">
        <v>707</v>
      </c>
      <c r="T54" s="182"/>
      <c r="U54" s="191"/>
      <c r="V54" s="191"/>
      <c r="W54" s="191"/>
      <c r="BA54"/>
      <c r="BB54"/>
    </row>
    <row r="55" spans="1:54" s="180" customFormat="1" ht="14.25">
      <c r="A55" s="189"/>
      <c r="B55" s="319">
        <v>5004086291</v>
      </c>
      <c r="C55" s="333" t="str">
        <f>IFERROR(IF(VLOOKUP($B55,[1]勘定科目!$A:$H,HLOOKUP($E$5,[1]勘定科目!$F$1:$H$2,2,0),0)="","",VLOOKUP($B55,[1]勘定科目!$A:$E,2,0)),"")</f>
        <v>福利厚生費（製）</v>
      </c>
      <c r="D55" s="334" t="str">
        <f>IF(C55="","",VLOOKUP($B55,[1]勘定科目!$A:$E,4,0))</f>
        <v>福利厚生費</v>
      </c>
      <c r="E55" s="312"/>
      <c r="F55" s="320">
        <v>0</v>
      </c>
      <c r="G55" s="320">
        <v>0</v>
      </c>
      <c r="H55" s="320">
        <v>0</v>
      </c>
      <c r="I55" s="320">
        <v>0</v>
      </c>
      <c r="J55" s="320">
        <v>0</v>
      </c>
      <c r="K55" s="320">
        <v>576000</v>
      </c>
      <c r="L55" s="320">
        <v>0</v>
      </c>
      <c r="M55" s="320">
        <v>0</v>
      </c>
      <c r="N55" s="320">
        <v>0</v>
      </c>
      <c r="O55" s="320">
        <v>0</v>
      </c>
      <c r="P55" s="320">
        <v>0</v>
      </c>
      <c r="Q55" s="320">
        <v>0</v>
      </c>
      <c r="R55" s="250">
        <f t="shared" si="3"/>
        <v>576000</v>
      </c>
      <c r="S55" s="243" t="s">
        <v>708</v>
      </c>
      <c r="T55" s="182"/>
      <c r="U55" s="191"/>
      <c r="V55" s="191"/>
      <c r="W55" s="191"/>
      <c r="BA55"/>
      <c r="BB55"/>
    </row>
    <row r="56" spans="1:54" s="180" customFormat="1" ht="14.25">
      <c r="A56" s="189"/>
      <c r="B56" s="319">
        <v>5004086291</v>
      </c>
      <c r="C56" s="333" t="str">
        <f>IFERROR(IF(VLOOKUP($B56,[1]勘定科目!$A:$H,HLOOKUP($E$5,[1]勘定科目!$F$1:$H$2,2,0),0)="","",VLOOKUP($B56,[1]勘定科目!$A:$E,2,0)),"")</f>
        <v>福利厚生費（製）</v>
      </c>
      <c r="D56" s="334" t="str">
        <f>IF(C56="","",VLOOKUP($B56,[1]勘定科目!$A:$E,4,0))</f>
        <v>福利厚生費</v>
      </c>
      <c r="E56" s="312"/>
      <c r="F56" s="318">
        <v>0</v>
      </c>
      <c r="G56" s="318">
        <v>0</v>
      </c>
      <c r="H56" s="318">
        <v>0</v>
      </c>
      <c r="I56" s="318">
        <v>0</v>
      </c>
      <c r="J56" s="318">
        <v>0</v>
      </c>
      <c r="K56" s="318">
        <v>0</v>
      </c>
      <c r="L56" s="318">
        <v>0</v>
      </c>
      <c r="M56" s="318">
        <v>0</v>
      </c>
      <c r="N56" s="318">
        <v>0</v>
      </c>
      <c r="O56" s="318">
        <v>0</v>
      </c>
      <c r="P56" s="318">
        <v>0</v>
      </c>
      <c r="Q56" s="318">
        <v>0</v>
      </c>
      <c r="R56" s="250">
        <f t="shared" si="3"/>
        <v>0</v>
      </c>
      <c r="S56" s="243" t="s">
        <v>709</v>
      </c>
      <c r="T56" s="182"/>
      <c r="U56" s="191"/>
      <c r="V56" s="191"/>
      <c r="W56" s="191"/>
      <c r="BA56"/>
      <c r="BB56"/>
    </row>
    <row r="57" spans="1:54" s="180" customFormat="1" ht="14.25">
      <c r="A57" s="189"/>
      <c r="B57" s="319">
        <v>5004086291</v>
      </c>
      <c r="C57" s="333" t="str">
        <f>IFERROR(IF(VLOOKUP($B57,[1]勘定科目!$A:$H,HLOOKUP($E$5,[1]勘定科目!$F$1:$H$2,2,0),0)="","",VLOOKUP($B57,[1]勘定科目!$A:$E,2,0)),"")</f>
        <v>福利厚生費（製）</v>
      </c>
      <c r="D57" s="334" t="str">
        <f>IF(C57="","",VLOOKUP($B57,[1]勘定科目!$A:$E,4,0))</f>
        <v>福利厚生費</v>
      </c>
      <c r="E57" s="312"/>
      <c r="F57" s="320">
        <v>0</v>
      </c>
      <c r="G57" s="320">
        <v>15968000</v>
      </c>
      <c r="H57" s="320">
        <v>0</v>
      </c>
      <c r="I57" s="320">
        <v>0</v>
      </c>
      <c r="J57" s="320">
        <v>0</v>
      </c>
      <c r="K57" s="320">
        <v>0</v>
      </c>
      <c r="L57" s="320">
        <v>0</v>
      </c>
      <c r="M57" s="320">
        <v>0</v>
      </c>
      <c r="N57" s="320">
        <v>0</v>
      </c>
      <c r="O57" s="320">
        <v>0</v>
      </c>
      <c r="P57" s="320">
        <v>0</v>
      </c>
      <c r="Q57" s="320">
        <v>0</v>
      </c>
      <c r="R57" s="250">
        <f t="shared" si="3"/>
        <v>15968000</v>
      </c>
      <c r="S57" s="243" t="s">
        <v>710</v>
      </c>
      <c r="T57" s="182"/>
      <c r="U57" s="191"/>
      <c r="V57" s="191"/>
      <c r="W57" s="191"/>
      <c r="BA57"/>
      <c r="BB57"/>
    </row>
    <row r="58" spans="1:54" s="180" customFormat="1" ht="14.25">
      <c r="A58" s="189"/>
      <c r="B58" s="319">
        <v>5004086291</v>
      </c>
      <c r="C58" s="333" t="str">
        <f>IFERROR(IF(VLOOKUP($B58,[1]勘定科目!$A:$H,HLOOKUP($E$5,[1]勘定科目!$F$1:$H$2,2,0),0)="","",VLOOKUP($B58,[1]勘定科目!$A:$E,2,0)),"")</f>
        <v>福利厚生費（製）</v>
      </c>
      <c r="D58" s="334" t="str">
        <f>IF(C58="","",VLOOKUP($B58,[1]勘定科目!$A:$E,4,0))</f>
        <v>福利厚生費</v>
      </c>
      <c r="E58" s="312"/>
      <c r="F58" s="320">
        <v>0</v>
      </c>
      <c r="G58" s="320">
        <v>0</v>
      </c>
      <c r="H58" s="320">
        <v>0</v>
      </c>
      <c r="I58" s="320">
        <v>0</v>
      </c>
      <c r="J58" s="320"/>
      <c r="K58" s="320">
        <v>1206000</v>
      </c>
      <c r="L58" s="320">
        <v>0</v>
      </c>
      <c r="M58" s="320">
        <v>0</v>
      </c>
      <c r="N58" s="320">
        <v>0</v>
      </c>
      <c r="O58" s="320">
        <v>0</v>
      </c>
      <c r="P58" s="320">
        <v>0</v>
      </c>
      <c r="Q58" s="320">
        <v>0</v>
      </c>
      <c r="R58" s="250">
        <f t="shared" si="3"/>
        <v>1206000</v>
      </c>
      <c r="S58" s="243" t="s">
        <v>711</v>
      </c>
      <c r="T58" s="182"/>
      <c r="U58" s="191"/>
      <c r="V58" s="191"/>
      <c r="W58" s="191"/>
      <c r="BA58"/>
      <c r="BB58"/>
    </row>
    <row r="59" spans="1:54" s="180" customFormat="1" ht="14.25">
      <c r="A59" s="189"/>
      <c r="B59" s="319">
        <v>5004086291</v>
      </c>
      <c r="C59" s="333" t="str">
        <f>IFERROR(IF(VLOOKUP($B59,[1]勘定科目!$A:$H,HLOOKUP($E$5,[1]勘定科目!$F$1:$H$2,2,0),0)="","",VLOOKUP($B59,[1]勘定科目!$A:$E,2,0)),"")</f>
        <v>福利厚生費（製）</v>
      </c>
      <c r="D59" s="334" t="str">
        <f>IF(C59="","",VLOOKUP($B59,[1]勘定科目!$A:$E,4,0))</f>
        <v>福利厚生費</v>
      </c>
      <c r="E59" s="312"/>
      <c r="F59" s="320">
        <v>0</v>
      </c>
      <c r="G59" s="320">
        <v>0</v>
      </c>
      <c r="H59" s="320">
        <v>0</v>
      </c>
      <c r="I59" s="320">
        <v>0</v>
      </c>
      <c r="J59" s="320">
        <v>0</v>
      </c>
      <c r="K59" s="320">
        <v>0</v>
      </c>
      <c r="L59" s="320">
        <v>0</v>
      </c>
      <c r="M59" s="320">
        <v>927000</v>
      </c>
      <c r="N59" s="320">
        <v>0</v>
      </c>
      <c r="O59" s="320">
        <v>0</v>
      </c>
      <c r="P59" s="320">
        <v>0</v>
      </c>
      <c r="Q59" s="320">
        <v>0</v>
      </c>
      <c r="R59" s="250">
        <f t="shared" si="3"/>
        <v>927000</v>
      </c>
      <c r="S59" s="243" t="s">
        <v>712</v>
      </c>
      <c r="T59" s="182"/>
      <c r="U59" s="191"/>
      <c r="V59" s="191"/>
      <c r="W59" s="191"/>
      <c r="BA59"/>
      <c r="BB59"/>
    </row>
    <row r="60" spans="1:54" s="180" customFormat="1" ht="14.25">
      <c r="A60" s="189"/>
      <c r="B60" s="319">
        <v>5004086291</v>
      </c>
      <c r="C60" s="333" t="str">
        <f>IFERROR(IF(VLOOKUP($B60,[1]勘定科目!$A:$H,HLOOKUP($E$5,[1]勘定科目!$F$1:$H$2,2,0),0)="","",VLOOKUP($B60,[1]勘定科目!$A:$E,2,0)),"")</f>
        <v>福利厚生費（製）</v>
      </c>
      <c r="D60" s="334" t="str">
        <f>IF(C60="","",VLOOKUP($B60,[1]勘定科目!$A:$E,4,0))</f>
        <v>福利厚生費</v>
      </c>
      <c r="E60" s="312"/>
      <c r="F60" s="320">
        <v>0</v>
      </c>
      <c r="G60" s="320">
        <v>0</v>
      </c>
      <c r="H60" s="320">
        <v>0</v>
      </c>
      <c r="I60" s="320">
        <v>0</v>
      </c>
      <c r="J60" s="320">
        <v>0</v>
      </c>
      <c r="K60" s="320">
        <v>0</v>
      </c>
      <c r="L60" s="320">
        <v>0</v>
      </c>
      <c r="M60" s="320">
        <v>0</v>
      </c>
      <c r="N60" s="320">
        <v>0</v>
      </c>
      <c r="O60" s="320">
        <v>1800000</v>
      </c>
      <c r="P60" s="320">
        <v>0</v>
      </c>
      <c r="Q60" s="320">
        <v>0</v>
      </c>
      <c r="R60" s="250">
        <f t="shared" si="3"/>
        <v>1800000</v>
      </c>
      <c r="S60" s="243" t="s">
        <v>713</v>
      </c>
      <c r="T60" s="182"/>
      <c r="U60" s="191"/>
      <c r="V60" s="191"/>
      <c r="W60" s="191"/>
      <c r="BA60"/>
      <c r="BB60"/>
    </row>
    <row r="61" spans="1:54" s="180" customFormat="1" ht="14.25">
      <c r="A61" s="189"/>
      <c r="B61" s="319">
        <v>5004086291</v>
      </c>
      <c r="C61" s="333" t="str">
        <f>IFERROR(IF(VLOOKUP($B61,[1]勘定科目!$A:$H,HLOOKUP($E$5,[1]勘定科目!$F$1:$H$2,2,0),0)="","",VLOOKUP($B61,[1]勘定科目!$A:$E,2,0)),"")</f>
        <v>福利厚生費（製）</v>
      </c>
      <c r="D61" s="334" t="str">
        <f>IF(C61="","",VLOOKUP($B61,[1]勘定科目!$A:$E,4,0))</f>
        <v>福利厚生費</v>
      </c>
      <c r="E61" s="312"/>
      <c r="F61" s="320">
        <v>0</v>
      </c>
      <c r="G61" s="320">
        <v>0</v>
      </c>
      <c r="H61" s="320">
        <v>0</v>
      </c>
      <c r="I61" s="320">
        <v>0</v>
      </c>
      <c r="J61" s="320">
        <v>0</v>
      </c>
      <c r="K61" s="320">
        <v>0</v>
      </c>
      <c r="L61" s="320">
        <v>0</v>
      </c>
      <c r="M61" s="320">
        <v>0</v>
      </c>
      <c r="N61" s="320">
        <v>0</v>
      </c>
      <c r="O61" s="320">
        <v>0</v>
      </c>
      <c r="P61" s="320">
        <v>900000</v>
      </c>
      <c r="Q61" s="320">
        <v>0</v>
      </c>
      <c r="R61" s="250">
        <f t="shared" si="3"/>
        <v>900000</v>
      </c>
      <c r="S61" s="243" t="s">
        <v>714</v>
      </c>
      <c r="T61" s="182"/>
      <c r="U61" s="191"/>
      <c r="V61" s="191"/>
      <c r="W61" s="191"/>
      <c r="BA61"/>
      <c r="BB61"/>
    </row>
    <row r="62" spans="1:54" s="180" customFormat="1" ht="14.25">
      <c r="A62" s="189"/>
      <c r="B62" s="319">
        <v>5004086291</v>
      </c>
      <c r="C62" s="333" t="str">
        <f>IFERROR(IF(VLOOKUP($B62,[1]勘定科目!$A:$H,HLOOKUP($E$5,[1]勘定科目!$F$1:$H$2,2,0),0)="","",VLOOKUP($B62,[1]勘定科目!$A:$E,2,0)),"")</f>
        <v>福利厚生費（製）</v>
      </c>
      <c r="D62" s="334" t="str">
        <f>IF(C62="","",VLOOKUP($B62,[1]勘定科目!$A:$E,4,0))</f>
        <v>福利厚生費</v>
      </c>
      <c r="E62" s="312"/>
      <c r="F62" s="320">
        <v>0</v>
      </c>
      <c r="G62" s="320">
        <v>0</v>
      </c>
      <c r="H62" s="320">
        <v>0</v>
      </c>
      <c r="I62" s="320">
        <v>0</v>
      </c>
      <c r="J62" s="320">
        <v>489000</v>
      </c>
      <c r="K62" s="320">
        <v>163000</v>
      </c>
      <c r="L62" s="320">
        <v>326000</v>
      </c>
      <c r="M62" s="320">
        <v>163000</v>
      </c>
      <c r="N62" s="320">
        <v>163000</v>
      </c>
      <c r="O62" s="320">
        <v>326000</v>
      </c>
      <c r="P62" s="320">
        <v>0</v>
      </c>
      <c r="Q62" s="320">
        <v>0</v>
      </c>
      <c r="R62" s="250">
        <f t="shared" si="3"/>
        <v>1630000</v>
      </c>
      <c r="S62" s="243" t="s">
        <v>715</v>
      </c>
      <c r="T62" s="182"/>
      <c r="U62" s="191"/>
      <c r="V62" s="191"/>
      <c r="W62" s="191"/>
      <c r="BA62"/>
      <c r="BB62"/>
    </row>
    <row r="63" spans="1:54" s="180" customFormat="1" ht="14.25">
      <c r="A63" s="189"/>
      <c r="B63" s="319">
        <v>5004086291</v>
      </c>
      <c r="C63" s="333" t="str">
        <f>IFERROR(IF(VLOOKUP($B63,[1]勘定科目!$A:$H,HLOOKUP($E$5,[1]勘定科目!$F$1:$H$2,2,0),0)="","",VLOOKUP($B63,[1]勘定科目!$A:$E,2,0)),"")</f>
        <v>福利厚生費（製）</v>
      </c>
      <c r="D63" s="334" t="str">
        <f>IF(C63="","",VLOOKUP($B63,[1]勘定科目!$A:$E,4,0))</f>
        <v>福利厚生費</v>
      </c>
      <c r="E63" s="312"/>
      <c r="F63" s="320"/>
      <c r="G63" s="320">
        <v>1600000</v>
      </c>
      <c r="H63" s="320"/>
      <c r="I63" s="320"/>
      <c r="J63" s="320"/>
      <c r="K63" s="320"/>
      <c r="L63" s="320"/>
      <c r="M63" s="320"/>
      <c r="N63" s="320"/>
      <c r="O63" s="320"/>
      <c r="P63" s="320"/>
      <c r="Q63" s="320"/>
      <c r="R63" s="250">
        <f t="shared" si="3"/>
        <v>1600000</v>
      </c>
      <c r="S63" s="243" t="s">
        <v>716</v>
      </c>
      <c r="T63" s="182"/>
      <c r="U63" s="191"/>
      <c r="V63" s="191"/>
      <c r="W63" s="191"/>
      <c r="BA63"/>
      <c r="BB63"/>
    </row>
    <row r="64" spans="1:54" s="180" customFormat="1" ht="14.25">
      <c r="A64" s="189"/>
      <c r="B64" s="319">
        <v>5005246281</v>
      </c>
      <c r="C64" s="333" t="str">
        <f>IFERROR(IF(VLOOKUP($B64,[1]勘定科目!$A:$H,HLOOKUP($E$5,[1]勘定科目!$F$1:$H$2,2,0),0)="","",VLOOKUP($B64,[1]勘定科目!$A:$E,2,0)),"")</f>
        <v>図書印刷費（製）</v>
      </c>
      <c r="D64" s="334" t="str">
        <f>IF(C64="","",VLOOKUP($B64,[1]勘定科目!$A:$E,4,0))</f>
        <v>図書及び事務費</v>
      </c>
      <c r="E64" s="312"/>
      <c r="F64" s="320">
        <v>0</v>
      </c>
      <c r="G64" s="320">
        <v>0</v>
      </c>
      <c r="H64" s="320">
        <v>0</v>
      </c>
      <c r="I64" s="320">
        <v>0</v>
      </c>
      <c r="J64" s="320">
        <v>0</v>
      </c>
      <c r="K64" s="320">
        <v>0</v>
      </c>
      <c r="L64" s="320">
        <v>0</v>
      </c>
      <c r="M64" s="320">
        <v>0</v>
      </c>
      <c r="N64" s="320">
        <v>7020</v>
      </c>
      <c r="O64" s="320">
        <v>0</v>
      </c>
      <c r="P64" s="320">
        <v>0</v>
      </c>
      <c r="Q64" s="320">
        <v>0</v>
      </c>
      <c r="R64" s="250">
        <f t="shared" si="3"/>
        <v>7020</v>
      </c>
      <c r="S64" s="243" t="s">
        <v>717</v>
      </c>
      <c r="T64" s="182"/>
      <c r="U64" s="191"/>
      <c r="V64" s="191"/>
      <c r="W64" s="191"/>
      <c r="BA64"/>
      <c r="BB64"/>
    </row>
    <row r="65" spans="1:54" s="180" customFormat="1" ht="14.25">
      <c r="A65" s="189"/>
      <c r="B65" s="319">
        <v>5004086291</v>
      </c>
      <c r="C65" s="333" t="str">
        <f>IFERROR(IF(VLOOKUP($B65,[1]勘定科目!$A:$H,HLOOKUP($E$5,[1]勘定科目!$F$1:$H$2,2,0),0)="","",VLOOKUP($B65,[1]勘定科目!$A:$E,2,0)),"")</f>
        <v>福利厚生費（製）</v>
      </c>
      <c r="D65" s="334" t="str">
        <f>IF(C65="","",VLOOKUP($B65,[1]勘定科目!$A:$E,4,0))</f>
        <v>福利厚生費</v>
      </c>
      <c r="E65" s="312"/>
      <c r="F65" s="320">
        <v>0</v>
      </c>
      <c r="G65" s="320">
        <v>0</v>
      </c>
      <c r="H65" s="320">
        <v>0</v>
      </c>
      <c r="I65" s="320">
        <v>200000</v>
      </c>
      <c r="J65" s="320">
        <v>0</v>
      </c>
      <c r="K65" s="320">
        <v>0</v>
      </c>
      <c r="L65" s="320">
        <v>0</v>
      </c>
      <c r="M65" s="320">
        <v>0</v>
      </c>
      <c r="N65" s="320">
        <v>0</v>
      </c>
      <c r="O65" s="320">
        <v>0</v>
      </c>
      <c r="P65" s="320">
        <v>0</v>
      </c>
      <c r="Q65" s="320">
        <v>0</v>
      </c>
      <c r="R65" s="250">
        <f t="shared" si="3"/>
        <v>200000</v>
      </c>
      <c r="S65" s="243" t="s">
        <v>718</v>
      </c>
      <c r="T65" s="182"/>
      <c r="U65" s="191"/>
      <c r="V65" s="191"/>
      <c r="W65" s="191"/>
      <c r="BA65"/>
      <c r="BB65"/>
    </row>
    <row r="66" spans="1:54" s="180" customFormat="1" ht="14.25">
      <c r="A66" s="189"/>
      <c r="B66" s="319">
        <v>5004086291</v>
      </c>
      <c r="C66" s="333" t="str">
        <f>IFERROR(IF(VLOOKUP($B66,[1]勘定科目!$A:$H,HLOOKUP($E$5,[1]勘定科目!$F$1:$H$2,2,0),0)="","",VLOOKUP($B66,[1]勘定科目!$A:$E,2,0)),"")</f>
        <v>福利厚生費（製）</v>
      </c>
      <c r="D66" s="334" t="str">
        <f>IF(C66="","",VLOOKUP($B66,[1]勘定科目!$A:$E,4,0))</f>
        <v>福利厚生費</v>
      </c>
      <c r="E66" s="312"/>
      <c r="F66" s="320">
        <v>0</v>
      </c>
      <c r="G66" s="320">
        <v>0</v>
      </c>
      <c r="H66" s="320">
        <v>0</v>
      </c>
      <c r="I66" s="320">
        <v>0</v>
      </c>
      <c r="J66" s="320">
        <v>0</v>
      </c>
      <c r="K66" s="320">
        <v>0</v>
      </c>
      <c r="L66" s="320">
        <v>0</v>
      </c>
      <c r="M66" s="320">
        <v>0</v>
      </c>
      <c r="N66" s="320">
        <v>1701000</v>
      </c>
      <c r="O66" s="320">
        <v>0</v>
      </c>
      <c r="P66" s="320">
        <v>0</v>
      </c>
      <c r="Q66" s="320">
        <v>0</v>
      </c>
      <c r="R66" s="250">
        <f t="shared" si="3"/>
        <v>1701000</v>
      </c>
      <c r="S66" s="243" t="s">
        <v>719</v>
      </c>
      <c r="T66" s="182"/>
      <c r="U66" s="191"/>
      <c r="V66" s="191"/>
      <c r="W66" s="191"/>
      <c r="BA66"/>
      <c r="BB66"/>
    </row>
    <row r="67" spans="1:54" s="180" customFormat="1" ht="14.25">
      <c r="A67" s="189"/>
      <c r="B67" s="319">
        <v>5004086291</v>
      </c>
      <c r="C67" s="333" t="str">
        <f>IFERROR(IF(VLOOKUP($B67,[1]勘定科目!$A:$H,HLOOKUP($E$5,[1]勘定科目!$F$1:$H$2,2,0),0)="","",VLOOKUP($B67,[1]勘定科目!$A:$E,2,0)),"")</f>
        <v>福利厚生費（製）</v>
      </c>
      <c r="D67" s="334" t="str">
        <f>IF(C67="","",VLOOKUP($B67,[1]勘定科目!$A:$E,4,0))</f>
        <v>福利厚生費</v>
      </c>
      <c r="E67" s="312"/>
      <c r="F67" s="320">
        <v>0</v>
      </c>
      <c r="G67" s="320">
        <v>0</v>
      </c>
      <c r="H67" s="320">
        <v>0</v>
      </c>
      <c r="I67" s="320">
        <v>0</v>
      </c>
      <c r="J67" s="320">
        <v>0</v>
      </c>
      <c r="K67" s="320">
        <v>0</v>
      </c>
      <c r="L67" s="320">
        <v>0</v>
      </c>
      <c r="M67" s="320">
        <v>0</v>
      </c>
      <c r="N67" s="320">
        <v>0</v>
      </c>
      <c r="O67" s="320">
        <v>0</v>
      </c>
      <c r="P67" s="320">
        <v>0</v>
      </c>
      <c r="Q67" s="320">
        <v>0</v>
      </c>
      <c r="R67" s="250">
        <f t="shared" si="3"/>
        <v>0</v>
      </c>
      <c r="S67" s="243" t="s">
        <v>720</v>
      </c>
      <c r="T67" s="182"/>
      <c r="U67" s="191"/>
      <c r="V67" s="191"/>
      <c r="W67" s="191"/>
      <c r="BA67"/>
      <c r="BB67"/>
    </row>
    <row r="68" spans="1:54" s="180" customFormat="1" ht="14.25">
      <c r="A68" s="189"/>
      <c r="B68" s="319"/>
      <c r="C68" s="333" t="str">
        <f>IFERROR(IF(VLOOKUP($B68,[1]勘定科目!$A:$H,HLOOKUP($E$5,[1]勘定科目!$F$1:$H$2,2,0),0)="","",VLOOKUP($B68,[1]勘定科目!$A:$E,2,0)),"")</f>
        <v/>
      </c>
      <c r="D68" s="334" t="str">
        <f>IF(C68="","",VLOOKUP($B68,[1]勘定科目!$A:$E,4,0))</f>
        <v/>
      </c>
      <c r="E68" s="312"/>
      <c r="F68" s="320"/>
      <c r="G68" s="320"/>
      <c r="H68" s="320"/>
      <c r="I68" s="320"/>
      <c r="J68" s="320"/>
      <c r="K68" s="320"/>
      <c r="L68" s="320"/>
      <c r="M68" s="320"/>
      <c r="N68" s="320"/>
      <c r="O68" s="320"/>
      <c r="P68" s="320"/>
      <c r="Q68" s="320"/>
      <c r="R68" s="250">
        <f t="shared" si="3"/>
        <v>0</v>
      </c>
      <c r="S68" s="243"/>
      <c r="T68" s="182"/>
      <c r="U68" s="191"/>
      <c r="V68" s="191"/>
      <c r="W68" s="191"/>
      <c r="BA68"/>
      <c r="BB68"/>
    </row>
    <row r="69" spans="1:54" s="180" customFormat="1" ht="16.5">
      <c r="A69" s="189"/>
      <c r="B69" s="319"/>
      <c r="C69" s="333" t="str">
        <f>IFERROR(IF(VLOOKUP($B69,[1]勘定科目!$A:$H,HLOOKUP($E$5,[1]勘定科目!$F$1:$H$2,2,0),0)="","",VLOOKUP($B69,[1]勘定科目!$A:$E,2,0)),"")</f>
        <v/>
      </c>
      <c r="D69" s="334" t="str">
        <f>IF(C69="","",VLOOKUP($B69,[1]勘定科目!$A:$E,4,0))</f>
        <v/>
      </c>
      <c r="E69" s="312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9">
        <f t="shared" si="3"/>
        <v>0</v>
      </c>
      <c r="S69" s="242" t="s">
        <v>721</v>
      </c>
      <c r="T69" s="182"/>
      <c r="U69" s="191"/>
      <c r="V69" s="191"/>
      <c r="W69" s="191"/>
      <c r="BA69"/>
      <c r="BB69"/>
    </row>
    <row r="70" spans="1:54" s="180" customFormat="1" ht="14.25">
      <c r="A70" s="189"/>
      <c r="B70" s="319">
        <v>5005246282</v>
      </c>
      <c r="C70" s="333" t="str">
        <f>IFERROR(IF(VLOOKUP($B70,[1]勘定科目!$A:$H,HLOOKUP($E$5,[1]勘定科目!$F$1:$H$2,2,0),0)="","",VLOOKUP($B70,[1]勘定科目!$A:$E,2,0)),"")</f>
        <v>ＫＤＣシステム使用料（製）</v>
      </c>
      <c r="D70" s="334" t="str">
        <f>IF(C70="","",VLOOKUP($B70,[1]勘定科目!$A:$E,4,0))</f>
        <v>図書及び事務費</v>
      </c>
      <c r="E70" s="312"/>
      <c r="F70" s="318">
        <v>1431996</v>
      </c>
      <c r="G70" s="318">
        <v>1431996</v>
      </c>
      <c r="H70" s="318">
        <v>1431996</v>
      </c>
      <c r="I70" s="318">
        <v>1431996</v>
      </c>
      <c r="J70" s="318">
        <v>1431996</v>
      </c>
      <c r="K70" s="318">
        <v>1610996</v>
      </c>
      <c r="L70" s="318">
        <v>1610996</v>
      </c>
      <c r="M70" s="318">
        <v>1610996</v>
      </c>
      <c r="N70" s="318">
        <v>1610996</v>
      </c>
      <c r="O70" s="318">
        <v>1610996</v>
      </c>
      <c r="P70" s="318">
        <v>1610996</v>
      </c>
      <c r="Q70" s="318">
        <v>1610996</v>
      </c>
      <c r="R70" s="250">
        <f t="shared" si="3"/>
        <v>18436952</v>
      </c>
      <c r="S70" s="243" t="s">
        <v>883</v>
      </c>
      <c r="T70" s="182"/>
      <c r="U70" s="191"/>
      <c r="V70" s="191"/>
      <c r="W70" s="191"/>
      <c r="BA70"/>
      <c r="BB70"/>
    </row>
    <row r="71" spans="1:54" s="180" customFormat="1" ht="14.25">
      <c r="A71" s="189"/>
      <c r="B71" s="319">
        <v>5005246282</v>
      </c>
      <c r="C71" s="333" t="str">
        <f>IFERROR(IF(VLOOKUP($B71,[1]勘定科目!$A:$H,HLOOKUP($E$5,[1]勘定科目!$F$1:$H$2,2,0),0)="","",VLOOKUP($B71,[1]勘定科目!$A:$E,2,0)),"")</f>
        <v>ＫＤＣシステム使用料（製）</v>
      </c>
      <c r="D71" s="334" t="str">
        <f>IF(C71="","",VLOOKUP($B71,[1]勘定科目!$A:$E,4,0))</f>
        <v>図書及び事務費</v>
      </c>
      <c r="E71" s="312"/>
      <c r="F71" s="318">
        <v>4734981</v>
      </c>
      <c r="G71" s="318">
        <v>4734981</v>
      </c>
      <c r="H71" s="318">
        <v>4734981</v>
      </c>
      <c r="I71" s="318">
        <v>4734981</v>
      </c>
      <c r="J71" s="318">
        <v>4734981</v>
      </c>
      <c r="K71" s="318">
        <v>4734981</v>
      </c>
      <c r="L71" s="318">
        <v>4734981</v>
      </c>
      <c r="M71" s="318">
        <v>4734981</v>
      </c>
      <c r="N71" s="318">
        <v>4734981</v>
      </c>
      <c r="O71" s="318">
        <v>4734981</v>
      </c>
      <c r="P71" s="318">
        <v>4734981</v>
      </c>
      <c r="Q71" s="318">
        <v>4734981</v>
      </c>
      <c r="R71" s="250">
        <f t="shared" si="3"/>
        <v>56819772</v>
      </c>
      <c r="S71" s="243" t="s">
        <v>884</v>
      </c>
      <c r="T71" s="182"/>
      <c r="U71" s="191"/>
      <c r="V71" s="191"/>
      <c r="W71" s="191"/>
      <c r="BA71"/>
      <c r="BB71"/>
    </row>
    <row r="72" spans="1:54" s="180" customFormat="1" ht="14.25">
      <c r="A72" s="189"/>
      <c r="B72" s="319">
        <v>5005246282</v>
      </c>
      <c r="C72" s="333" t="str">
        <f>IFERROR(IF(VLOOKUP($B72,[1]勘定科目!$A:$H,HLOOKUP($E$5,[1]勘定科目!$F$1:$H$2,2,0),0)="","",VLOOKUP($B72,[1]勘定科目!$A:$E,2,0)),"")</f>
        <v>ＫＤＣシステム使用料（製）</v>
      </c>
      <c r="D72" s="334" t="str">
        <f>IF(C72="","",VLOOKUP($B72,[1]勘定科目!$A:$E,4,0))</f>
        <v>図書及び事務費</v>
      </c>
      <c r="E72" s="312"/>
      <c r="F72" s="318">
        <v>0</v>
      </c>
      <c r="G72" s="318">
        <v>0</v>
      </c>
      <c r="H72" s="318">
        <v>0</v>
      </c>
      <c r="I72" s="318">
        <v>0</v>
      </c>
      <c r="J72" s="318">
        <v>0</v>
      </c>
      <c r="K72" s="318">
        <v>0</v>
      </c>
      <c r="L72" s="318">
        <v>0</v>
      </c>
      <c r="M72" s="318">
        <v>0</v>
      </c>
      <c r="N72" s="318">
        <v>0</v>
      </c>
      <c r="O72" s="318">
        <v>0</v>
      </c>
      <c r="P72" s="318">
        <v>0</v>
      </c>
      <c r="Q72" s="318">
        <v>0</v>
      </c>
      <c r="R72" s="250">
        <f t="shared" si="3"/>
        <v>0</v>
      </c>
      <c r="S72" s="243" t="s">
        <v>885</v>
      </c>
      <c r="T72" s="182"/>
      <c r="U72" s="191"/>
      <c r="V72" s="191"/>
      <c r="W72" s="191"/>
      <c r="BA72"/>
      <c r="BB72"/>
    </row>
    <row r="73" spans="1:54" s="180" customFormat="1" ht="14.25">
      <c r="A73" s="189"/>
      <c r="B73" s="319">
        <v>5005246282</v>
      </c>
      <c r="C73" s="333" t="str">
        <f>IFERROR(IF(VLOOKUP($B73,[1]勘定科目!$A:$H,HLOOKUP($E$5,[1]勘定科目!$F$1:$H$2,2,0),0)="","",VLOOKUP($B73,[1]勘定科目!$A:$E,2,0)),"")</f>
        <v>ＫＤＣシステム使用料（製）</v>
      </c>
      <c r="D73" s="334" t="str">
        <f>IF(C73="","",VLOOKUP($B73,[1]勘定科目!$A:$E,4,0))</f>
        <v>図書及び事務費</v>
      </c>
      <c r="E73" s="312"/>
      <c r="F73" s="318">
        <v>1191553</v>
      </c>
      <c r="G73" s="318">
        <v>1191553</v>
      </c>
      <c r="H73" s="318">
        <v>1191553</v>
      </c>
      <c r="I73" s="318">
        <v>1191553</v>
      </c>
      <c r="J73" s="318">
        <v>1191553</v>
      </c>
      <c r="K73" s="318">
        <v>1191553</v>
      </c>
      <c r="L73" s="318">
        <v>1191553</v>
      </c>
      <c r="M73" s="318">
        <v>1191553</v>
      </c>
      <c r="N73" s="318">
        <v>1191553</v>
      </c>
      <c r="O73" s="318">
        <v>1191553</v>
      </c>
      <c r="P73" s="318">
        <v>1191553</v>
      </c>
      <c r="Q73" s="318">
        <v>1191553</v>
      </c>
      <c r="R73" s="250">
        <f t="shared" si="3"/>
        <v>14298636</v>
      </c>
      <c r="S73" s="243" t="s">
        <v>886</v>
      </c>
      <c r="T73" s="182"/>
      <c r="U73" s="191"/>
      <c r="V73" s="191"/>
      <c r="W73" s="191"/>
      <c r="BA73"/>
      <c r="BB73"/>
    </row>
    <row r="74" spans="1:54" s="180" customFormat="1" ht="14.25">
      <c r="A74" s="189"/>
      <c r="B74" s="319">
        <v>5005246282</v>
      </c>
      <c r="C74" s="333" t="str">
        <f>IFERROR(IF(VLOOKUP($B74,[1]勘定科目!$A:$H,HLOOKUP($E$5,[1]勘定科目!$F$1:$H$2,2,0),0)="","",VLOOKUP($B74,[1]勘定科目!$A:$E,2,0)),"")</f>
        <v>ＫＤＣシステム使用料（製）</v>
      </c>
      <c r="D74" s="334" t="str">
        <f>IF(C74="","",VLOOKUP($B74,[1]勘定科目!$A:$E,4,0))</f>
        <v>図書及び事務費</v>
      </c>
      <c r="E74" s="312"/>
      <c r="F74" s="318">
        <v>8091418</v>
      </c>
      <c r="G74" s="318">
        <v>8091418</v>
      </c>
      <c r="H74" s="318">
        <v>8091418</v>
      </c>
      <c r="I74" s="318">
        <v>8091418</v>
      </c>
      <c r="J74" s="318">
        <v>8091418</v>
      </c>
      <c r="K74" s="318">
        <v>8091418</v>
      </c>
      <c r="L74" s="318">
        <v>8091418</v>
      </c>
      <c r="M74" s="318">
        <v>8091418</v>
      </c>
      <c r="N74" s="318">
        <v>8091418</v>
      </c>
      <c r="O74" s="318">
        <v>8091418</v>
      </c>
      <c r="P74" s="318">
        <v>8091418</v>
      </c>
      <c r="Q74" s="318">
        <v>8091418</v>
      </c>
      <c r="R74" s="250">
        <f t="shared" si="3"/>
        <v>97097016</v>
      </c>
      <c r="S74" s="243" t="s">
        <v>887</v>
      </c>
      <c r="T74" s="182"/>
      <c r="U74" s="191"/>
      <c r="V74" s="191"/>
      <c r="W74" s="191"/>
      <c r="BA74"/>
      <c r="BB74"/>
    </row>
    <row r="75" spans="1:54" s="180" customFormat="1" ht="14.25">
      <c r="A75" s="189"/>
      <c r="B75" s="319">
        <v>5005246282</v>
      </c>
      <c r="C75" s="333" t="str">
        <f>IFERROR(IF(VLOOKUP($B75,[1]勘定科目!$A:$H,HLOOKUP($E$5,[1]勘定科目!$F$1:$H$2,2,0),0)="","",VLOOKUP($B75,[1]勘定科目!$A:$E,2,0)),"")</f>
        <v>ＫＤＣシステム使用料（製）</v>
      </c>
      <c r="D75" s="334" t="str">
        <f>IF(C75="","",VLOOKUP($B75,[1]勘定科目!$A:$E,4,0))</f>
        <v>図書及び事務費</v>
      </c>
      <c r="E75" s="312"/>
      <c r="F75" s="322">
        <v>0</v>
      </c>
      <c r="G75" s="322">
        <v>0</v>
      </c>
      <c r="H75" s="322">
        <v>0</v>
      </c>
      <c r="I75" s="322">
        <v>0</v>
      </c>
      <c r="J75" s="322">
        <v>0</v>
      </c>
      <c r="K75" s="322">
        <v>0</v>
      </c>
      <c r="L75" s="322">
        <v>0</v>
      </c>
      <c r="M75" s="322">
        <v>0</v>
      </c>
      <c r="N75" s="322">
        <v>0</v>
      </c>
      <c r="O75" s="322">
        <v>0</v>
      </c>
      <c r="P75" s="322">
        <v>0</v>
      </c>
      <c r="Q75" s="322">
        <v>0</v>
      </c>
      <c r="R75" s="250">
        <f t="shared" si="3"/>
        <v>0</v>
      </c>
      <c r="S75" s="243" t="s">
        <v>888</v>
      </c>
      <c r="T75" s="182"/>
      <c r="U75" s="191"/>
      <c r="V75" s="191"/>
      <c r="W75" s="191"/>
      <c r="BA75"/>
      <c r="BB75"/>
    </row>
    <row r="76" spans="1:54" s="180" customFormat="1" ht="14.25">
      <c r="A76" s="189"/>
      <c r="B76" s="319">
        <v>5005246282</v>
      </c>
      <c r="C76" s="333" t="str">
        <f>IFERROR(IF(VLOOKUP($B76,[1]勘定科目!$A:$H,HLOOKUP($E$5,[1]勘定科目!$F$1:$H$2,2,0),0)="","",VLOOKUP($B76,[1]勘定科目!$A:$E,2,0)),"")</f>
        <v>ＫＤＣシステム使用料（製）</v>
      </c>
      <c r="D76" s="334" t="str">
        <f>IF(C76="","",VLOOKUP($B76,[1]勘定科目!$A:$E,4,0))</f>
        <v>図書及び事務費</v>
      </c>
      <c r="E76" s="312"/>
      <c r="F76" s="318">
        <v>0</v>
      </c>
      <c r="G76" s="318">
        <v>0</v>
      </c>
      <c r="H76" s="318">
        <v>0</v>
      </c>
      <c r="I76" s="318">
        <v>0</v>
      </c>
      <c r="J76" s="318">
        <v>0</v>
      </c>
      <c r="K76" s="318">
        <v>0</v>
      </c>
      <c r="L76" s="318">
        <v>0</v>
      </c>
      <c r="M76" s="318">
        <v>0</v>
      </c>
      <c r="N76" s="318">
        <v>0</v>
      </c>
      <c r="O76" s="318">
        <v>0</v>
      </c>
      <c r="P76" s="318">
        <v>0</v>
      </c>
      <c r="Q76" s="318">
        <v>0</v>
      </c>
      <c r="R76" s="250">
        <f t="shared" si="3"/>
        <v>0</v>
      </c>
      <c r="S76" s="243" t="s">
        <v>693</v>
      </c>
      <c r="T76" s="182"/>
      <c r="U76" s="191"/>
      <c r="V76" s="191"/>
      <c r="W76" s="191"/>
      <c r="BA76"/>
      <c r="BB76"/>
    </row>
    <row r="77" spans="1:54" s="180" customFormat="1" ht="16.5">
      <c r="A77" s="189"/>
      <c r="B77" s="319"/>
      <c r="C77" s="333" t="str">
        <f>IFERROR(IF(VLOOKUP($B77,[1]勘定科目!$A:$H,HLOOKUP($E$5,[1]勘定科目!$F$1:$H$2,2,0),0)="","",VLOOKUP($B77,[1]勘定科目!$A:$E,2,0)),"")</f>
        <v/>
      </c>
      <c r="D77" s="334" t="str">
        <f>IF(C77="","",VLOOKUP($B77,[1]勘定科目!$A:$E,4,0))</f>
        <v/>
      </c>
      <c r="E77" s="312"/>
      <c r="F77" s="323"/>
      <c r="G77" s="323"/>
      <c r="H77" s="323"/>
      <c r="I77" s="323"/>
      <c r="J77" s="323"/>
      <c r="K77" s="323"/>
      <c r="L77" s="323"/>
      <c r="M77" s="323"/>
      <c r="N77" s="323"/>
      <c r="O77" s="323"/>
      <c r="P77" s="323"/>
      <c r="Q77" s="323"/>
      <c r="R77" s="329">
        <f t="shared" si="3"/>
        <v>0</v>
      </c>
      <c r="S77" s="242" t="s">
        <v>722</v>
      </c>
      <c r="T77" s="182"/>
      <c r="U77" s="191"/>
      <c r="V77" s="191"/>
      <c r="W77" s="191"/>
      <c r="BA77"/>
      <c r="BB77"/>
    </row>
    <row r="78" spans="1:54" s="180" customFormat="1" ht="14.25">
      <c r="A78" s="189"/>
      <c r="B78" s="319">
        <v>5005246281</v>
      </c>
      <c r="C78" s="333" t="str">
        <f>IFERROR(IF(VLOOKUP($B78,[1]勘定科目!$A:$H,HLOOKUP($E$5,[1]勘定科目!$F$1:$H$2,2,0),0)="","",VLOOKUP($B78,[1]勘定科目!$A:$E,2,0)),"")</f>
        <v>図書印刷費（製）</v>
      </c>
      <c r="D78" s="334" t="str">
        <f>IF(C78="","",VLOOKUP($B78,[1]勘定科目!$A:$E,4,0))</f>
        <v>図書及び事務費</v>
      </c>
      <c r="E78" s="312"/>
      <c r="F78" s="324"/>
      <c r="G78" s="325"/>
      <c r="H78" s="325"/>
      <c r="I78" s="320">
        <v>0</v>
      </c>
      <c r="J78" s="320">
        <v>58000</v>
      </c>
      <c r="K78" s="320">
        <v>0</v>
      </c>
      <c r="L78" s="320">
        <v>0</v>
      </c>
      <c r="M78" s="325"/>
      <c r="N78" s="325"/>
      <c r="O78" s="320"/>
      <c r="P78" s="325"/>
      <c r="Q78" s="325"/>
      <c r="R78" s="250">
        <f t="shared" si="3"/>
        <v>58000</v>
      </c>
      <c r="S78" s="243" t="s">
        <v>723</v>
      </c>
      <c r="T78" s="182"/>
      <c r="U78" s="191"/>
      <c r="V78" s="191"/>
      <c r="W78" s="191"/>
      <c r="BA78"/>
      <c r="BB78"/>
    </row>
    <row r="79" spans="1:54" s="180" customFormat="1" ht="14.25">
      <c r="A79" s="189"/>
      <c r="B79" s="319">
        <v>5005246281</v>
      </c>
      <c r="C79" s="333" t="str">
        <f>IFERROR(IF(VLOOKUP($B79,[1]勘定科目!$A:$H,HLOOKUP($E$5,[1]勘定科目!$F$1:$H$2,2,0),0)="","",VLOOKUP($B79,[1]勘定科目!$A:$E,2,0)),"")</f>
        <v>図書印刷費（製）</v>
      </c>
      <c r="D79" s="334" t="str">
        <f>IF(C79="","",VLOOKUP($B79,[1]勘定科目!$A:$E,4,0))</f>
        <v>図書及び事務費</v>
      </c>
      <c r="E79" s="312"/>
      <c r="F79" s="324"/>
      <c r="G79" s="325"/>
      <c r="H79" s="325"/>
      <c r="I79" s="320">
        <v>0</v>
      </c>
      <c r="J79" s="320">
        <v>3600</v>
      </c>
      <c r="K79" s="320">
        <v>0</v>
      </c>
      <c r="L79" s="320">
        <v>0</v>
      </c>
      <c r="M79" s="325"/>
      <c r="N79" s="325"/>
      <c r="O79" s="320"/>
      <c r="P79" s="325"/>
      <c r="Q79" s="325"/>
      <c r="R79" s="250">
        <f t="shared" si="3"/>
        <v>3600</v>
      </c>
      <c r="S79" s="243" t="s">
        <v>724</v>
      </c>
      <c r="T79" s="182"/>
      <c r="U79" s="191"/>
      <c r="V79" s="191"/>
      <c r="W79" s="191"/>
      <c r="BA79"/>
      <c r="BB79"/>
    </row>
    <row r="80" spans="1:54" s="180" customFormat="1" ht="14.25">
      <c r="A80" s="189"/>
      <c r="B80" s="319">
        <v>5005246288</v>
      </c>
      <c r="C80" s="333" t="str">
        <f>IFERROR(IF(VLOOKUP($B80,[1]勘定科目!$A:$H,HLOOKUP($E$5,[1]勘定科目!$F$1:$H$2,2,0),0)="","",VLOOKUP($B80,[1]勘定科目!$A:$E,2,0)),"")</f>
        <v>事務用品費（製）</v>
      </c>
      <c r="D80" s="334" t="str">
        <f>IF(C80="","",VLOOKUP($B80,[1]勘定科目!$A:$E,4,0))</f>
        <v>図書及び事務費</v>
      </c>
      <c r="E80" s="312"/>
      <c r="F80" s="324"/>
      <c r="G80" s="325"/>
      <c r="H80" s="325"/>
      <c r="I80" s="320">
        <v>0</v>
      </c>
      <c r="J80" s="320">
        <v>3000</v>
      </c>
      <c r="K80" s="320">
        <v>0</v>
      </c>
      <c r="L80" s="320">
        <v>0</v>
      </c>
      <c r="M80" s="325"/>
      <c r="N80" s="325"/>
      <c r="O80" s="320"/>
      <c r="P80" s="325"/>
      <c r="Q80" s="325"/>
      <c r="R80" s="250">
        <f t="shared" si="3"/>
        <v>3000</v>
      </c>
      <c r="S80" s="243" t="s">
        <v>889</v>
      </c>
      <c r="T80" s="182"/>
      <c r="U80" s="191"/>
      <c r="V80" s="191"/>
      <c r="W80" s="191"/>
      <c r="BA80"/>
      <c r="BB80"/>
    </row>
    <row r="81" spans="1:54" s="180" customFormat="1" ht="14.25">
      <c r="A81" s="189"/>
      <c r="B81" s="319">
        <v>5005246288</v>
      </c>
      <c r="C81" s="333" t="str">
        <f>IFERROR(IF(VLOOKUP($B81,[1]勘定科目!$A:$H,HLOOKUP($E$5,[1]勘定科目!$F$1:$H$2,2,0),0)="","",VLOOKUP($B81,[1]勘定科目!$A:$E,2,0)),"")</f>
        <v>事務用品費（製）</v>
      </c>
      <c r="D81" s="334" t="str">
        <f>IF(C81="","",VLOOKUP($B81,[1]勘定科目!$A:$E,4,0))</f>
        <v>図書及び事務費</v>
      </c>
      <c r="E81" s="312"/>
      <c r="F81" s="324"/>
      <c r="G81" s="325"/>
      <c r="H81" s="325"/>
      <c r="I81" s="320">
        <v>0</v>
      </c>
      <c r="J81" s="320">
        <v>9100</v>
      </c>
      <c r="K81" s="320">
        <v>0</v>
      </c>
      <c r="L81" s="320">
        <v>0</v>
      </c>
      <c r="M81" s="325"/>
      <c r="N81" s="325"/>
      <c r="O81" s="320"/>
      <c r="P81" s="325"/>
      <c r="Q81" s="325"/>
      <c r="R81" s="250">
        <f t="shared" si="3"/>
        <v>9100</v>
      </c>
      <c r="S81" s="243" t="s">
        <v>890</v>
      </c>
      <c r="T81" s="182"/>
      <c r="U81" s="191"/>
      <c r="V81" s="191"/>
      <c r="W81" s="191"/>
      <c r="BA81"/>
      <c r="BB81"/>
    </row>
    <row r="82" spans="1:54" s="180" customFormat="1" ht="14.25">
      <c r="A82" s="189"/>
      <c r="B82" s="319">
        <v>5005246281</v>
      </c>
      <c r="C82" s="333" t="str">
        <f>IFERROR(IF(VLOOKUP($B82,[1]勘定科目!$A:$H,HLOOKUP($E$5,[1]勘定科目!$F$1:$H$2,2,0),0)="","",VLOOKUP($B82,[1]勘定科目!$A:$E,2,0)),"")</f>
        <v>図書印刷費（製）</v>
      </c>
      <c r="D82" s="334" t="str">
        <f>IF(C82="","",VLOOKUP($B82,[1]勘定科目!$A:$E,4,0))</f>
        <v>図書及び事務費</v>
      </c>
      <c r="E82" s="312"/>
      <c r="F82" s="324"/>
      <c r="G82" s="325"/>
      <c r="H82" s="325"/>
      <c r="I82" s="320">
        <v>0</v>
      </c>
      <c r="J82" s="320">
        <v>21200</v>
      </c>
      <c r="K82" s="320">
        <v>0</v>
      </c>
      <c r="L82" s="320">
        <v>0</v>
      </c>
      <c r="M82" s="325"/>
      <c r="N82" s="325"/>
      <c r="O82" s="320"/>
      <c r="P82" s="325"/>
      <c r="Q82" s="325"/>
      <c r="R82" s="250">
        <f t="shared" si="3"/>
        <v>21200</v>
      </c>
      <c r="S82" s="243" t="s">
        <v>891</v>
      </c>
      <c r="T82" s="182"/>
      <c r="U82" s="191"/>
      <c r="V82" s="191"/>
      <c r="W82" s="191"/>
      <c r="BA82"/>
      <c r="BB82"/>
    </row>
    <row r="83" spans="1:54" s="180" customFormat="1" ht="14.25">
      <c r="A83" s="189"/>
      <c r="B83" s="319">
        <v>5004086291</v>
      </c>
      <c r="C83" s="333" t="str">
        <f>IFERROR(IF(VLOOKUP($B83,[1]勘定科目!$A:$H,HLOOKUP($E$5,[1]勘定科目!$F$1:$H$2,2,0),0)="","",VLOOKUP($B83,[1]勘定科目!$A:$E,2,0)),"")</f>
        <v>福利厚生費（製）</v>
      </c>
      <c r="D83" s="334" t="str">
        <f>IF(C83="","",VLOOKUP($B83,[1]勘定科目!$A:$E,4,0))</f>
        <v>福利厚生費</v>
      </c>
      <c r="E83" s="312"/>
      <c r="F83" s="324"/>
      <c r="G83" s="325"/>
      <c r="H83" s="325"/>
      <c r="I83" s="320">
        <v>189000</v>
      </c>
      <c r="J83" s="320">
        <v>0</v>
      </c>
      <c r="K83" s="320">
        <v>0</v>
      </c>
      <c r="L83" s="320"/>
      <c r="M83" s="325"/>
      <c r="N83" s="325"/>
      <c r="O83" s="320"/>
      <c r="P83" s="325"/>
      <c r="Q83" s="325"/>
      <c r="R83" s="250">
        <f t="shared" si="3"/>
        <v>189000</v>
      </c>
      <c r="S83" s="243" t="s">
        <v>725</v>
      </c>
      <c r="T83" s="182"/>
      <c r="U83" s="191"/>
      <c r="V83" s="191"/>
      <c r="W83" s="191"/>
      <c r="BA83"/>
      <c r="BB83"/>
    </row>
    <row r="84" spans="1:54" s="180" customFormat="1" ht="14.25">
      <c r="A84" s="189"/>
      <c r="B84" s="319">
        <v>5004086291</v>
      </c>
      <c r="C84" s="333" t="str">
        <f>IFERROR(IF(VLOOKUP($B84,[1]勘定科目!$A:$H,HLOOKUP($E$5,[1]勘定科目!$F$1:$H$2,2,0),0)="","",VLOOKUP($B84,[1]勘定科目!$A:$E,2,0)),"")</f>
        <v>福利厚生費（製）</v>
      </c>
      <c r="D84" s="334" t="str">
        <f>IF(C84="","",VLOOKUP($B84,[1]勘定科目!$A:$E,4,0))</f>
        <v>福利厚生費</v>
      </c>
      <c r="E84" s="312"/>
      <c r="F84" s="324"/>
      <c r="G84" s="325"/>
      <c r="H84" s="325"/>
      <c r="I84" s="320">
        <v>0</v>
      </c>
      <c r="J84" s="320">
        <v>0</v>
      </c>
      <c r="K84" s="320">
        <v>0</v>
      </c>
      <c r="L84" s="320">
        <v>0</v>
      </c>
      <c r="M84" s="325"/>
      <c r="N84" s="325"/>
      <c r="O84" s="320"/>
      <c r="P84" s="325"/>
      <c r="Q84" s="325"/>
      <c r="R84" s="250">
        <f t="shared" si="3"/>
        <v>0</v>
      </c>
      <c r="S84" s="243" t="s">
        <v>726</v>
      </c>
      <c r="T84" s="182"/>
      <c r="U84" s="191"/>
      <c r="V84" s="191"/>
      <c r="W84" s="191"/>
      <c r="BA84"/>
      <c r="BB84"/>
    </row>
    <row r="85" spans="1:54" s="180" customFormat="1" ht="14.25">
      <c r="A85" s="189"/>
      <c r="B85" s="319">
        <v>5004086291</v>
      </c>
      <c r="C85" s="333" t="str">
        <f>IFERROR(IF(VLOOKUP($B85,[1]勘定科目!$A:$H,HLOOKUP($E$5,[1]勘定科目!$F$1:$H$2,2,0),0)="","",VLOOKUP($B85,[1]勘定科目!$A:$E,2,0)),"")</f>
        <v>福利厚生費（製）</v>
      </c>
      <c r="D85" s="334" t="str">
        <f>IF(C85="","",VLOOKUP($B85,[1]勘定科目!$A:$E,4,0))</f>
        <v>福利厚生費</v>
      </c>
      <c r="E85" s="312"/>
      <c r="F85" s="324"/>
      <c r="G85" s="325"/>
      <c r="H85" s="325"/>
      <c r="I85" s="320">
        <v>0</v>
      </c>
      <c r="J85" s="320">
        <v>39000</v>
      </c>
      <c r="K85" s="320">
        <v>0</v>
      </c>
      <c r="L85" s="320">
        <v>0</v>
      </c>
      <c r="M85" s="325"/>
      <c r="N85" s="325"/>
      <c r="O85" s="320"/>
      <c r="P85" s="325"/>
      <c r="Q85" s="325"/>
      <c r="R85" s="250">
        <f t="shared" si="3"/>
        <v>39000</v>
      </c>
      <c r="S85" s="243" t="s">
        <v>892</v>
      </c>
      <c r="T85" s="182"/>
      <c r="U85" s="191"/>
      <c r="V85" s="191"/>
      <c r="W85" s="191"/>
      <c r="BA85"/>
      <c r="BB85"/>
    </row>
    <row r="86" spans="1:54" s="180" customFormat="1" ht="14.25">
      <c r="A86" s="189"/>
      <c r="B86" s="319">
        <v>5004086291</v>
      </c>
      <c r="C86" s="333" t="str">
        <f>IFERROR(IF(VLOOKUP($B86,[1]勘定科目!$A:$H,HLOOKUP($E$5,[1]勘定科目!$F$1:$H$2,2,0),0)="","",VLOOKUP($B86,[1]勘定科目!$A:$E,2,0)),"")</f>
        <v>福利厚生費（製）</v>
      </c>
      <c r="D86" s="334" t="str">
        <f>IF(C86="","",VLOOKUP($B86,[1]勘定科目!$A:$E,4,0))</f>
        <v>福利厚生費</v>
      </c>
      <c r="E86" s="312"/>
      <c r="F86" s="324"/>
      <c r="G86" s="325"/>
      <c r="H86" s="325"/>
      <c r="I86" s="320">
        <v>0</v>
      </c>
      <c r="J86" s="320">
        <v>330000</v>
      </c>
      <c r="K86" s="320">
        <v>0</v>
      </c>
      <c r="L86" s="320">
        <v>0</v>
      </c>
      <c r="M86" s="325"/>
      <c r="N86" s="325"/>
      <c r="O86" s="320"/>
      <c r="P86" s="325"/>
      <c r="Q86" s="325"/>
      <c r="R86" s="250">
        <f t="shared" si="3"/>
        <v>330000</v>
      </c>
      <c r="S86" s="244" t="s">
        <v>727</v>
      </c>
      <c r="T86" s="182"/>
      <c r="U86" s="191"/>
      <c r="V86" s="191"/>
      <c r="W86" s="191"/>
      <c r="BA86"/>
      <c r="BB86"/>
    </row>
    <row r="87" spans="1:54" s="180" customFormat="1" ht="14.25">
      <c r="A87" s="189"/>
      <c r="B87" s="319">
        <v>5004086291</v>
      </c>
      <c r="C87" s="333" t="str">
        <f>IFERROR(IF(VLOOKUP($B87,[1]勘定科目!$A:$H,HLOOKUP($E$5,[1]勘定科目!$F$1:$H$2,2,0),0)="","",VLOOKUP($B87,[1]勘定科目!$A:$E,2,0)),"")</f>
        <v>福利厚生費（製）</v>
      </c>
      <c r="D87" s="334" t="str">
        <f>IF(C87="","",VLOOKUP($B87,[1]勘定科目!$A:$E,4,0))</f>
        <v>福利厚生費</v>
      </c>
      <c r="E87" s="312"/>
      <c r="F87" s="324"/>
      <c r="G87" s="325"/>
      <c r="H87" s="325"/>
      <c r="I87" s="320">
        <v>0</v>
      </c>
      <c r="J87" s="320"/>
      <c r="K87" s="320">
        <v>0</v>
      </c>
      <c r="L87" s="320">
        <v>350000</v>
      </c>
      <c r="M87" s="325"/>
      <c r="N87" s="325"/>
      <c r="O87" s="320"/>
      <c r="P87" s="325"/>
      <c r="Q87" s="325"/>
      <c r="R87" s="250">
        <f t="shared" si="3"/>
        <v>350000</v>
      </c>
      <c r="S87" s="244" t="s">
        <v>728</v>
      </c>
      <c r="T87" s="182"/>
      <c r="U87" s="191"/>
      <c r="V87" s="191"/>
      <c r="W87" s="191"/>
      <c r="BA87"/>
      <c r="BB87"/>
    </row>
    <row r="88" spans="1:54" s="180" customFormat="1" ht="14.25">
      <c r="A88" s="189"/>
      <c r="B88" s="319">
        <v>5004086291</v>
      </c>
      <c r="C88" s="333" t="str">
        <f>IFERROR(IF(VLOOKUP($B88,[1]勘定科目!$A:$H,HLOOKUP($E$5,[1]勘定科目!$F$1:$H$2,2,0),0)="","",VLOOKUP($B88,[1]勘定科目!$A:$E,2,0)),"")</f>
        <v>福利厚生費（製）</v>
      </c>
      <c r="D88" s="334" t="str">
        <f>IF(C88="","",VLOOKUP($B88,[1]勘定科目!$A:$E,4,0))</f>
        <v>福利厚生費</v>
      </c>
      <c r="E88" s="312"/>
      <c r="F88" s="324"/>
      <c r="G88" s="325"/>
      <c r="H88" s="325"/>
      <c r="I88" s="320">
        <v>0</v>
      </c>
      <c r="J88" s="320">
        <v>232000</v>
      </c>
      <c r="K88" s="320">
        <v>0</v>
      </c>
      <c r="L88" s="320">
        <v>0</v>
      </c>
      <c r="M88" s="325"/>
      <c r="N88" s="325"/>
      <c r="O88" s="320"/>
      <c r="P88" s="325"/>
      <c r="Q88" s="325"/>
      <c r="R88" s="250">
        <f t="shared" si="3"/>
        <v>232000</v>
      </c>
      <c r="S88" s="244" t="s">
        <v>893</v>
      </c>
      <c r="T88" s="182"/>
      <c r="U88" s="191"/>
      <c r="V88" s="191"/>
      <c r="W88" s="191"/>
      <c r="BA88"/>
      <c r="BB88"/>
    </row>
    <row r="89" spans="1:54" s="180" customFormat="1" ht="14.25">
      <c r="A89" s="189"/>
      <c r="B89" s="319">
        <v>5004086291</v>
      </c>
      <c r="C89" s="333" t="str">
        <f>IFERROR(IF(VLOOKUP($B89,[1]勘定科目!$A:$H,HLOOKUP($E$5,[1]勘定科目!$F$1:$H$2,2,0),0)="","",VLOOKUP($B89,[1]勘定科目!$A:$E,2,0)),"")</f>
        <v>福利厚生費（製）</v>
      </c>
      <c r="D89" s="334" t="str">
        <f>IF(C89="","",VLOOKUP($B89,[1]勘定科目!$A:$E,4,0))</f>
        <v>福利厚生費</v>
      </c>
      <c r="E89" s="312"/>
      <c r="F89" s="324"/>
      <c r="G89" s="325"/>
      <c r="H89" s="325"/>
      <c r="I89" s="320">
        <v>0</v>
      </c>
      <c r="J89" s="320">
        <v>84000</v>
      </c>
      <c r="K89" s="320">
        <v>0</v>
      </c>
      <c r="L89" s="320">
        <v>0</v>
      </c>
      <c r="M89" s="325"/>
      <c r="N89" s="325"/>
      <c r="O89" s="320"/>
      <c r="P89" s="325"/>
      <c r="Q89" s="325"/>
      <c r="R89" s="250">
        <f t="shared" si="3"/>
        <v>84000</v>
      </c>
      <c r="S89" s="243" t="s">
        <v>729</v>
      </c>
      <c r="T89" s="182"/>
      <c r="U89" s="191"/>
      <c r="V89" s="191"/>
      <c r="W89" s="191"/>
      <c r="BA89"/>
      <c r="BB89"/>
    </row>
    <row r="90" spans="1:54" s="180" customFormat="1" ht="14.25">
      <c r="A90" s="189"/>
      <c r="B90" s="319">
        <v>5004086291</v>
      </c>
      <c r="C90" s="333" t="str">
        <f>IFERROR(IF(VLOOKUP($B90,[1]勘定科目!$A:$H,HLOOKUP($E$5,[1]勘定科目!$F$1:$H$2,2,0),0)="","",VLOOKUP($B90,[1]勘定科目!$A:$E,2,0)),"")</f>
        <v>福利厚生費（製）</v>
      </c>
      <c r="D90" s="334" t="str">
        <f>IF(C90="","",VLOOKUP($B90,[1]勘定科目!$A:$E,4,0))</f>
        <v>福利厚生費</v>
      </c>
      <c r="E90" s="312"/>
      <c r="F90" s="324"/>
      <c r="G90" s="325"/>
      <c r="H90" s="325"/>
      <c r="I90" s="320">
        <v>0</v>
      </c>
      <c r="J90" s="320">
        <v>0</v>
      </c>
      <c r="K90" s="320">
        <v>0</v>
      </c>
      <c r="L90" s="320">
        <v>0</v>
      </c>
      <c r="M90" s="325"/>
      <c r="N90" s="325"/>
      <c r="O90" s="320"/>
      <c r="P90" s="325"/>
      <c r="Q90" s="325"/>
      <c r="R90" s="250">
        <f t="shared" si="3"/>
        <v>0</v>
      </c>
      <c r="S90" s="243" t="s">
        <v>730</v>
      </c>
      <c r="T90" s="182"/>
      <c r="U90" s="191"/>
      <c r="V90" s="191"/>
      <c r="W90" s="191"/>
      <c r="BA90"/>
      <c r="BB90"/>
    </row>
    <row r="91" spans="1:54" s="180" customFormat="1" ht="14.25">
      <c r="A91" s="189"/>
      <c r="B91" s="319">
        <v>5005246281</v>
      </c>
      <c r="C91" s="333" t="str">
        <f>IFERROR(IF(VLOOKUP($B91,[1]勘定科目!$A:$H,HLOOKUP($E$5,[1]勘定科目!$F$1:$H$2,2,0),0)="","",VLOOKUP($B91,[1]勘定科目!$A:$E,2,0)),"")</f>
        <v>図書印刷費（製）</v>
      </c>
      <c r="D91" s="334" t="str">
        <f>IF(C91="","",VLOOKUP($B91,[1]勘定科目!$A:$E,4,0))</f>
        <v>図書及び事務費</v>
      </c>
      <c r="E91" s="312"/>
      <c r="F91" s="324"/>
      <c r="G91" s="325"/>
      <c r="H91" s="325"/>
      <c r="I91" s="320">
        <v>0</v>
      </c>
      <c r="J91" s="320">
        <v>780</v>
      </c>
      <c r="K91" s="320">
        <v>0</v>
      </c>
      <c r="L91" s="320">
        <v>0</v>
      </c>
      <c r="M91" s="325"/>
      <c r="N91" s="320">
        <v>7020</v>
      </c>
      <c r="O91" s="320"/>
      <c r="P91" s="325"/>
      <c r="Q91" s="325"/>
      <c r="R91" s="250">
        <f t="shared" si="3"/>
        <v>7800</v>
      </c>
      <c r="S91" s="243" t="s">
        <v>894</v>
      </c>
      <c r="T91" s="182"/>
      <c r="U91" s="191"/>
      <c r="V91" s="191"/>
      <c r="W91" s="191"/>
      <c r="BA91"/>
      <c r="BB91"/>
    </row>
    <row r="92" spans="1:54" s="180" customFormat="1" ht="14.25">
      <c r="A92" s="189"/>
      <c r="B92" s="319">
        <v>5005246281</v>
      </c>
      <c r="C92" s="333" t="str">
        <f>IFERROR(IF(VLOOKUP($B92,[1]勘定科目!$A:$H,HLOOKUP($E$5,[1]勘定科目!$F$1:$H$2,2,0),0)="","",VLOOKUP($B92,[1]勘定科目!$A:$E,2,0)),"")</f>
        <v>図書印刷費（製）</v>
      </c>
      <c r="D92" s="334" t="str">
        <f>IF(C92="","",VLOOKUP($B92,[1]勘定科目!$A:$E,4,0))</f>
        <v>図書及び事務費</v>
      </c>
      <c r="E92" s="312"/>
      <c r="F92" s="324"/>
      <c r="G92" s="325"/>
      <c r="H92" s="325"/>
      <c r="I92" s="320">
        <v>400000</v>
      </c>
      <c r="J92" s="320"/>
      <c r="K92" s="320"/>
      <c r="L92" s="320"/>
      <c r="M92" s="325"/>
      <c r="N92" s="325"/>
      <c r="O92" s="325"/>
      <c r="P92" s="325"/>
      <c r="Q92" s="325"/>
      <c r="R92" s="250">
        <f t="shared" si="3"/>
        <v>400000</v>
      </c>
      <c r="S92" s="243" t="s">
        <v>895</v>
      </c>
      <c r="T92" s="182"/>
      <c r="U92" s="191"/>
      <c r="V92" s="191"/>
      <c r="W92" s="191"/>
      <c r="BA92"/>
      <c r="BB92"/>
    </row>
    <row r="93" spans="1:54" s="180" customFormat="1" ht="14.25">
      <c r="A93" s="189"/>
      <c r="B93" s="319">
        <v>5005026371</v>
      </c>
      <c r="C93" s="333" t="str">
        <f>IFERROR(IF(VLOOKUP($B93,[1]勘定科目!$A:$H,HLOOKUP($E$5,[1]勘定科目!$F$1:$H$2,2,0),0)="","",VLOOKUP($B93,[1]勘定科目!$A:$E,2,0)),"")</f>
        <v>消耗工具器具備品費（製）</v>
      </c>
      <c r="D93" s="334" t="str">
        <f>IF(C93="","",VLOOKUP($B93,[1]勘定科目!$A:$E,4,0))</f>
        <v>消耗工具器具備品費</v>
      </c>
      <c r="E93" s="312"/>
      <c r="F93" s="324"/>
      <c r="G93" s="325"/>
      <c r="H93" s="325"/>
      <c r="I93" s="325"/>
      <c r="J93" s="320">
        <v>15000000</v>
      </c>
      <c r="K93" s="325"/>
      <c r="L93" s="325"/>
      <c r="M93" s="325"/>
      <c r="N93" s="325"/>
      <c r="O93" s="325"/>
      <c r="P93" s="325"/>
      <c r="Q93" s="325"/>
      <c r="R93" s="250">
        <f t="shared" si="3"/>
        <v>15000000</v>
      </c>
      <c r="S93" s="243" t="s">
        <v>896</v>
      </c>
      <c r="T93" s="182"/>
      <c r="U93" s="191"/>
      <c r="V93" s="191"/>
      <c r="W93" s="191"/>
      <c r="BA93"/>
      <c r="BB93"/>
    </row>
    <row r="94" spans="1:54" s="180" customFormat="1" ht="14.25">
      <c r="A94" s="189"/>
      <c r="B94" s="319">
        <v>5005026371</v>
      </c>
      <c r="C94" s="333" t="str">
        <f>IFERROR(IF(VLOOKUP($B94,[1]勘定科目!$A:$H,HLOOKUP($E$5,[1]勘定科目!$F$1:$H$2,2,0),0)="","",VLOOKUP($B94,[1]勘定科目!$A:$E,2,0)),"")</f>
        <v>消耗工具器具備品費（製）</v>
      </c>
      <c r="D94" s="334" t="str">
        <f>IF(C94="","",VLOOKUP($B94,[1]勘定科目!$A:$E,4,0))</f>
        <v>消耗工具器具備品費</v>
      </c>
      <c r="E94" s="312"/>
      <c r="F94" s="324"/>
      <c r="G94" s="325"/>
      <c r="H94" s="325"/>
      <c r="I94" s="325"/>
      <c r="J94" s="320">
        <v>4000000</v>
      </c>
      <c r="K94" s="325"/>
      <c r="L94" s="325"/>
      <c r="M94" s="325"/>
      <c r="N94" s="325"/>
      <c r="O94" s="325"/>
      <c r="P94" s="325"/>
      <c r="Q94" s="325"/>
      <c r="R94" s="250">
        <f t="shared" si="3"/>
        <v>4000000</v>
      </c>
      <c r="S94" s="243" t="s">
        <v>897</v>
      </c>
      <c r="T94" s="182"/>
      <c r="U94" s="191"/>
      <c r="V94" s="191"/>
      <c r="W94" s="191"/>
      <c r="BA94"/>
      <c r="BB94"/>
    </row>
    <row r="95" spans="1:54" s="180" customFormat="1" ht="14.25">
      <c r="A95" s="189"/>
      <c r="B95" s="319">
        <v>5005026371</v>
      </c>
      <c r="C95" s="333" t="str">
        <f>IFERROR(IF(VLOOKUP($B95,[1]勘定科目!$A:$H,HLOOKUP($E$5,[1]勘定科目!$F$1:$H$2,2,0),0)="","",VLOOKUP($B95,[1]勘定科目!$A:$E,2,0)),"")</f>
        <v>消耗工具器具備品費（製）</v>
      </c>
      <c r="D95" s="334" t="str">
        <f>IF(C95="","",VLOOKUP($B95,[1]勘定科目!$A:$E,4,0))</f>
        <v>消耗工具器具備品費</v>
      </c>
      <c r="E95" s="312"/>
      <c r="F95" s="324"/>
      <c r="G95" s="325"/>
      <c r="H95" s="325"/>
      <c r="I95" s="325"/>
      <c r="J95" s="320">
        <v>600000</v>
      </c>
      <c r="K95" s="325"/>
      <c r="L95" s="325"/>
      <c r="M95" s="325"/>
      <c r="N95" s="325"/>
      <c r="O95" s="325"/>
      <c r="P95" s="325"/>
      <c r="Q95" s="325"/>
      <c r="R95" s="250">
        <f t="shared" si="3"/>
        <v>600000</v>
      </c>
      <c r="S95" s="243" t="s">
        <v>898</v>
      </c>
      <c r="T95" s="182"/>
      <c r="U95" s="191"/>
      <c r="V95" s="191"/>
      <c r="W95" s="191"/>
      <c r="BA95"/>
      <c r="BB95"/>
    </row>
    <row r="96" spans="1:54" s="180" customFormat="1" ht="16.5">
      <c r="A96" s="189"/>
      <c r="B96" s="319"/>
      <c r="C96" s="333" t="str">
        <f>IFERROR(IF(VLOOKUP($B96,[1]勘定科目!$A:$H,HLOOKUP($E$5,[1]勘定科目!$F$1:$H$2,2,0),0)="","",VLOOKUP($B96,[1]勘定科目!$A:$E,2,0)),"")</f>
        <v/>
      </c>
      <c r="D96" s="334" t="str">
        <f>IF(C96="","",VLOOKUP($B96,[1]勘定科目!$A:$E,4,0))</f>
        <v/>
      </c>
      <c r="E96" s="312"/>
      <c r="F96" s="323"/>
      <c r="G96" s="323"/>
      <c r="H96" s="323"/>
      <c r="I96" s="323"/>
      <c r="J96" s="323"/>
      <c r="K96" s="323"/>
      <c r="L96" s="323"/>
      <c r="M96" s="323"/>
      <c r="N96" s="323"/>
      <c r="O96" s="323"/>
      <c r="P96" s="323"/>
      <c r="Q96" s="323"/>
      <c r="R96" s="329">
        <f t="shared" si="3"/>
        <v>0</v>
      </c>
      <c r="S96" s="242" t="s">
        <v>731</v>
      </c>
      <c r="T96" s="182"/>
      <c r="U96" s="191"/>
      <c r="V96" s="191"/>
      <c r="W96" s="191"/>
      <c r="BA96"/>
      <c r="BB96"/>
    </row>
    <row r="97" spans="1:54" s="180" customFormat="1" ht="24">
      <c r="A97" s="189"/>
      <c r="B97" s="319">
        <v>5005246281</v>
      </c>
      <c r="C97" s="333" t="str">
        <f>IFERROR(IF(VLOOKUP($B97,[1]勘定科目!$A:$H,HLOOKUP($E$5,[1]勘定科目!$F$1:$H$2,2,0),0)="","",VLOOKUP($B97,[1]勘定科目!$A:$E,2,0)),"")</f>
        <v>図書印刷費（製）</v>
      </c>
      <c r="D97" s="334" t="str">
        <f>IF(C97="","",VLOOKUP($B97,[1]勘定科目!$A:$E,4,0))</f>
        <v>図書及び事務費</v>
      </c>
      <c r="E97" s="312"/>
      <c r="F97" s="318">
        <v>0</v>
      </c>
      <c r="G97" s="318"/>
      <c r="H97" s="318"/>
      <c r="I97" s="318"/>
      <c r="J97" s="318"/>
      <c r="K97" s="318">
        <v>0</v>
      </c>
      <c r="L97" s="318"/>
      <c r="M97" s="318"/>
      <c r="N97" s="318"/>
      <c r="O97" s="318"/>
      <c r="P97" s="318"/>
      <c r="Q97" s="318"/>
      <c r="R97" s="250">
        <f t="shared" si="3"/>
        <v>0</v>
      </c>
      <c r="S97" s="245" t="s">
        <v>732</v>
      </c>
      <c r="T97" s="182"/>
      <c r="U97" s="191"/>
      <c r="V97" s="191"/>
      <c r="W97" s="191"/>
      <c r="BA97"/>
      <c r="BB97"/>
    </row>
    <row r="98" spans="1:54" s="180" customFormat="1" ht="14.25">
      <c r="A98" s="189"/>
      <c r="B98" s="319">
        <v>5005246288</v>
      </c>
      <c r="C98" s="333" t="str">
        <f>IFERROR(IF(VLOOKUP($B98,[1]勘定科目!$A:$H,HLOOKUP($E$5,[1]勘定科目!$F$1:$H$2,2,0),0)="","",VLOOKUP($B98,[1]勘定科目!$A:$E,2,0)),"")</f>
        <v>事務用品費（製）</v>
      </c>
      <c r="D98" s="334" t="str">
        <f>IF(C98="","",VLOOKUP($B98,[1]勘定科目!$A:$E,4,0))</f>
        <v>図書及び事務費</v>
      </c>
      <c r="E98" s="312"/>
      <c r="F98" s="318">
        <v>0</v>
      </c>
      <c r="G98" s="318"/>
      <c r="H98" s="318"/>
      <c r="I98" s="318"/>
      <c r="J98" s="318"/>
      <c r="K98" s="318">
        <v>0</v>
      </c>
      <c r="L98" s="318"/>
      <c r="M98" s="318"/>
      <c r="N98" s="318"/>
      <c r="O98" s="318"/>
      <c r="P98" s="318"/>
      <c r="Q98" s="318"/>
      <c r="R98" s="250">
        <f t="shared" si="3"/>
        <v>0</v>
      </c>
      <c r="S98" s="243" t="s">
        <v>733</v>
      </c>
      <c r="T98" s="182"/>
      <c r="U98" s="191"/>
      <c r="V98" s="191"/>
      <c r="W98" s="191"/>
      <c r="BA98"/>
      <c r="BB98"/>
    </row>
    <row r="99" spans="1:54" s="180" customFormat="1" ht="14.25">
      <c r="A99" s="189"/>
      <c r="B99" s="319">
        <v>5005246288</v>
      </c>
      <c r="C99" s="333" t="str">
        <f>IFERROR(IF(VLOOKUP($B99,[1]勘定科目!$A:$H,HLOOKUP($E$5,[1]勘定科目!$F$1:$H$2,2,0),0)="","",VLOOKUP($B99,[1]勘定科目!$A:$E,2,0)),"")</f>
        <v>事務用品費（製）</v>
      </c>
      <c r="D99" s="334" t="str">
        <f>IF(C99="","",VLOOKUP($B99,[1]勘定科目!$A:$E,4,0))</f>
        <v>図書及び事務費</v>
      </c>
      <c r="E99" s="312"/>
      <c r="F99" s="318">
        <v>0</v>
      </c>
      <c r="G99" s="318"/>
      <c r="H99" s="318"/>
      <c r="I99" s="318"/>
      <c r="J99" s="318"/>
      <c r="K99" s="318">
        <v>0</v>
      </c>
      <c r="L99" s="318"/>
      <c r="M99" s="318"/>
      <c r="N99" s="318"/>
      <c r="O99" s="318"/>
      <c r="P99" s="318"/>
      <c r="Q99" s="318"/>
      <c r="R99" s="250">
        <f t="shared" si="3"/>
        <v>0</v>
      </c>
      <c r="S99" s="243" t="s">
        <v>734</v>
      </c>
      <c r="T99" s="182"/>
      <c r="U99" s="191"/>
      <c r="V99" s="191"/>
      <c r="W99" s="191"/>
      <c r="BA99"/>
      <c r="BB99"/>
    </row>
    <row r="100" spans="1:54" s="180" customFormat="1" ht="14.25">
      <c r="A100" s="189"/>
      <c r="B100" s="319">
        <v>5005246288</v>
      </c>
      <c r="C100" s="333" t="str">
        <f>IFERROR(IF(VLOOKUP($B100,[1]勘定科目!$A:$H,HLOOKUP($E$5,[1]勘定科目!$F$1:$H$2,2,0),0)="","",VLOOKUP($B100,[1]勘定科目!$A:$E,2,0)),"")</f>
        <v>事務用品費（製）</v>
      </c>
      <c r="D100" s="334" t="str">
        <f>IF(C100="","",VLOOKUP($B100,[1]勘定科目!$A:$E,4,0))</f>
        <v>図書及び事務費</v>
      </c>
      <c r="E100" s="312"/>
      <c r="F100" s="318">
        <v>0</v>
      </c>
      <c r="G100" s="318"/>
      <c r="H100" s="318"/>
      <c r="I100" s="318"/>
      <c r="J100" s="318"/>
      <c r="K100" s="318">
        <v>0</v>
      </c>
      <c r="L100" s="318"/>
      <c r="M100" s="318"/>
      <c r="N100" s="318"/>
      <c r="O100" s="318"/>
      <c r="P100" s="318"/>
      <c r="Q100" s="318"/>
      <c r="R100" s="250">
        <f t="shared" si="3"/>
        <v>0</v>
      </c>
      <c r="S100" s="243" t="s">
        <v>735</v>
      </c>
      <c r="T100" s="182"/>
      <c r="U100" s="191"/>
      <c r="V100" s="191"/>
      <c r="W100" s="191"/>
      <c r="BA100"/>
      <c r="BB100"/>
    </row>
    <row r="101" spans="1:54" s="180" customFormat="1" ht="14.25">
      <c r="A101" s="189"/>
      <c r="B101" s="319">
        <v>5005246281</v>
      </c>
      <c r="C101" s="333" t="str">
        <f>IFERROR(IF(VLOOKUP($B101,[1]勘定科目!$A:$H,HLOOKUP($E$5,[1]勘定科目!$F$1:$H$2,2,0),0)="","",VLOOKUP($B101,[1]勘定科目!$A:$E,2,0)),"")</f>
        <v>図書印刷費（製）</v>
      </c>
      <c r="D101" s="334" t="str">
        <f>IF(C101="","",VLOOKUP($B101,[1]勘定科目!$A:$E,4,0))</f>
        <v>図書及び事務費</v>
      </c>
      <c r="E101" s="312"/>
      <c r="F101" s="318">
        <v>0</v>
      </c>
      <c r="G101" s="318"/>
      <c r="H101" s="318"/>
      <c r="I101" s="318"/>
      <c r="J101" s="318"/>
      <c r="K101" s="318">
        <v>0</v>
      </c>
      <c r="L101" s="318"/>
      <c r="M101" s="318"/>
      <c r="N101" s="318"/>
      <c r="O101" s="318"/>
      <c r="P101" s="318"/>
      <c r="Q101" s="318"/>
      <c r="R101" s="250">
        <f t="shared" si="3"/>
        <v>0</v>
      </c>
      <c r="S101" s="243" t="s">
        <v>736</v>
      </c>
      <c r="T101" s="182"/>
      <c r="U101" s="191"/>
      <c r="V101" s="191"/>
      <c r="W101" s="191"/>
      <c r="BA101"/>
      <c r="BB101"/>
    </row>
    <row r="102" spans="1:54" s="180" customFormat="1" ht="14.25">
      <c r="A102" s="189"/>
      <c r="B102" s="319">
        <v>5004086291</v>
      </c>
      <c r="C102" s="333" t="str">
        <f>IFERROR(IF(VLOOKUP($B102,[1]勘定科目!$A:$H,HLOOKUP($E$5,[1]勘定科目!$F$1:$H$2,2,0),0)="","",VLOOKUP($B102,[1]勘定科目!$A:$E,2,0)),"")</f>
        <v>福利厚生費（製）</v>
      </c>
      <c r="D102" s="334" t="str">
        <f>IF(C102="","",VLOOKUP($B102,[1]勘定科目!$A:$E,4,0))</f>
        <v>福利厚生費</v>
      </c>
      <c r="E102" s="312"/>
      <c r="F102" s="318">
        <v>0</v>
      </c>
      <c r="G102" s="318"/>
      <c r="H102" s="318"/>
      <c r="I102" s="318"/>
      <c r="J102" s="318"/>
      <c r="K102" s="318">
        <v>0</v>
      </c>
      <c r="L102" s="318"/>
      <c r="M102" s="318"/>
      <c r="N102" s="318"/>
      <c r="O102" s="318"/>
      <c r="P102" s="318"/>
      <c r="Q102" s="318"/>
      <c r="R102" s="250">
        <f t="shared" si="3"/>
        <v>0</v>
      </c>
      <c r="S102" s="243" t="s">
        <v>737</v>
      </c>
      <c r="T102" s="182"/>
      <c r="U102" s="191"/>
      <c r="V102" s="191"/>
      <c r="W102" s="191"/>
      <c r="BA102"/>
      <c r="BB102"/>
    </row>
    <row r="103" spans="1:54" s="180" customFormat="1" ht="14.25">
      <c r="A103" s="189"/>
      <c r="B103" s="319">
        <v>5004086291</v>
      </c>
      <c r="C103" s="333" t="str">
        <f>IFERROR(IF(VLOOKUP($B103,[1]勘定科目!$A:$H,HLOOKUP($E$5,[1]勘定科目!$F$1:$H$2,2,0),0)="","",VLOOKUP($B103,[1]勘定科目!$A:$E,2,0)),"")</f>
        <v>福利厚生費（製）</v>
      </c>
      <c r="D103" s="334" t="str">
        <f>IF(C103="","",VLOOKUP($B103,[1]勘定科目!$A:$E,4,0))</f>
        <v>福利厚生費</v>
      </c>
      <c r="E103" s="312"/>
      <c r="F103" s="318">
        <v>0</v>
      </c>
      <c r="G103" s="318"/>
      <c r="H103" s="318"/>
      <c r="I103" s="318"/>
      <c r="J103" s="318"/>
      <c r="K103" s="318">
        <v>0</v>
      </c>
      <c r="L103" s="318"/>
      <c r="M103" s="318"/>
      <c r="N103" s="318"/>
      <c r="O103" s="318"/>
      <c r="P103" s="318"/>
      <c r="Q103" s="318"/>
      <c r="R103" s="250">
        <f t="shared" si="3"/>
        <v>0</v>
      </c>
      <c r="S103" s="245" t="s">
        <v>738</v>
      </c>
      <c r="T103" s="182"/>
      <c r="U103" s="191"/>
      <c r="V103" s="191"/>
      <c r="W103" s="191"/>
      <c r="BA103"/>
      <c r="BB103"/>
    </row>
    <row r="104" spans="1:54" s="180" customFormat="1" ht="14.25">
      <c r="A104" s="189"/>
      <c r="B104" s="319">
        <v>5004086291</v>
      </c>
      <c r="C104" s="333" t="str">
        <f>IFERROR(IF(VLOOKUP($B104,[1]勘定科目!$A:$H,HLOOKUP($E$5,[1]勘定科目!$F$1:$H$2,2,0),0)="","",VLOOKUP($B104,[1]勘定科目!$A:$E,2,0)),"")</f>
        <v>福利厚生費（製）</v>
      </c>
      <c r="D104" s="334" t="str">
        <f>IF(C104="","",VLOOKUP($B104,[1]勘定科目!$A:$E,4,0))</f>
        <v>福利厚生費</v>
      </c>
      <c r="E104" s="312"/>
      <c r="F104" s="318">
        <v>0</v>
      </c>
      <c r="G104" s="318"/>
      <c r="H104" s="318"/>
      <c r="I104" s="318"/>
      <c r="J104" s="318"/>
      <c r="K104" s="318">
        <v>0</v>
      </c>
      <c r="L104" s="318"/>
      <c r="M104" s="318"/>
      <c r="N104" s="318"/>
      <c r="O104" s="318"/>
      <c r="P104" s="318"/>
      <c r="Q104" s="318"/>
      <c r="R104" s="250">
        <f t="shared" si="3"/>
        <v>0</v>
      </c>
      <c r="S104" s="245" t="s">
        <v>739</v>
      </c>
      <c r="T104" s="182"/>
      <c r="U104" s="191"/>
      <c r="V104" s="191"/>
      <c r="W104" s="191"/>
      <c r="BA104"/>
      <c r="BB104"/>
    </row>
    <row r="105" spans="1:54" s="180" customFormat="1" ht="14.25">
      <c r="A105" s="189"/>
      <c r="B105" s="319">
        <v>5004086291</v>
      </c>
      <c r="C105" s="333" t="str">
        <f>IFERROR(IF(VLOOKUP($B105,[1]勘定科目!$A:$H,HLOOKUP($E$5,[1]勘定科目!$F$1:$H$2,2,0),0)="","",VLOOKUP($B105,[1]勘定科目!$A:$E,2,0)),"")</f>
        <v>福利厚生費（製）</v>
      </c>
      <c r="D105" s="334" t="str">
        <f>IF(C105="","",VLOOKUP($B105,[1]勘定科目!$A:$E,4,0))</f>
        <v>福利厚生費</v>
      </c>
      <c r="E105" s="312"/>
      <c r="F105" s="318">
        <v>0</v>
      </c>
      <c r="G105" s="318"/>
      <c r="H105" s="318"/>
      <c r="I105" s="318"/>
      <c r="J105" s="318"/>
      <c r="K105" s="318">
        <v>0</v>
      </c>
      <c r="L105" s="318"/>
      <c r="M105" s="318"/>
      <c r="N105" s="318"/>
      <c r="O105" s="318"/>
      <c r="P105" s="318"/>
      <c r="Q105" s="318"/>
      <c r="R105" s="250">
        <f t="shared" si="3"/>
        <v>0</v>
      </c>
      <c r="S105" s="243" t="s">
        <v>740</v>
      </c>
      <c r="T105" s="182"/>
      <c r="U105" s="191"/>
      <c r="V105" s="191"/>
      <c r="W105" s="191"/>
      <c r="BA105"/>
      <c r="BB105"/>
    </row>
    <row r="106" spans="1:54" s="180" customFormat="1" ht="14.25">
      <c r="A106" s="189"/>
      <c r="B106" s="319">
        <v>5004086291</v>
      </c>
      <c r="C106" s="333" t="str">
        <f>IFERROR(IF(VLOOKUP($B106,[1]勘定科目!$A:$H,HLOOKUP($E$5,[1]勘定科目!$F$1:$H$2,2,0),0)="","",VLOOKUP($B106,[1]勘定科目!$A:$E,2,0)),"")</f>
        <v>福利厚生費（製）</v>
      </c>
      <c r="D106" s="334" t="str">
        <f>IF(C106="","",VLOOKUP($B106,[1]勘定科目!$A:$E,4,0))</f>
        <v>福利厚生費</v>
      </c>
      <c r="E106" s="312"/>
      <c r="F106" s="318">
        <v>0</v>
      </c>
      <c r="G106" s="318"/>
      <c r="H106" s="318"/>
      <c r="I106" s="318"/>
      <c r="J106" s="318"/>
      <c r="K106" s="318">
        <v>0</v>
      </c>
      <c r="L106" s="318"/>
      <c r="M106" s="318"/>
      <c r="N106" s="318"/>
      <c r="O106" s="318"/>
      <c r="P106" s="318"/>
      <c r="Q106" s="318"/>
      <c r="R106" s="250">
        <f t="shared" si="3"/>
        <v>0</v>
      </c>
      <c r="S106" s="243" t="s">
        <v>741</v>
      </c>
      <c r="T106" s="182"/>
      <c r="U106" s="191"/>
      <c r="V106" s="191"/>
      <c r="W106" s="191"/>
      <c r="BA106"/>
      <c r="BB106"/>
    </row>
    <row r="107" spans="1:54" s="180" customFormat="1" ht="14.25">
      <c r="A107" s="189"/>
      <c r="B107" s="319">
        <v>5004086291</v>
      </c>
      <c r="C107" s="333" t="str">
        <f>IFERROR(IF(VLOOKUP($B107,[1]勘定科目!$A:$H,HLOOKUP($E$5,[1]勘定科目!$F$1:$H$2,2,0),0)="","",VLOOKUP($B107,[1]勘定科目!$A:$E,2,0)),"")</f>
        <v>福利厚生費（製）</v>
      </c>
      <c r="D107" s="334" t="str">
        <f>IF(C107="","",VLOOKUP($B107,[1]勘定科目!$A:$E,4,0))</f>
        <v>福利厚生費</v>
      </c>
      <c r="E107" s="312"/>
      <c r="F107" s="318">
        <v>0</v>
      </c>
      <c r="G107" s="318"/>
      <c r="H107" s="318"/>
      <c r="I107" s="318"/>
      <c r="J107" s="318"/>
      <c r="K107" s="318">
        <v>0</v>
      </c>
      <c r="L107" s="318"/>
      <c r="M107" s="318"/>
      <c r="N107" s="318"/>
      <c r="O107" s="318"/>
      <c r="P107" s="318"/>
      <c r="Q107" s="318"/>
      <c r="R107" s="250">
        <f t="shared" si="3"/>
        <v>0</v>
      </c>
      <c r="S107" s="243" t="s">
        <v>742</v>
      </c>
      <c r="T107" s="182"/>
      <c r="U107" s="191"/>
      <c r="V107" s="191"/>
      <c r="W107" s="191"/>
      <c r="BA107"/>
      <c r="BB107"/>
    </row>
    <row r="108" spans="1:54" s="180" customFormat="1" ht="14.25">
      <c r="A108" s="189"/>
      <c r="B108" s="319">
        <v>5004086291</v>
      </c>
      <c r="C108" s="333" t="str">
        <f>IFERROR(IF(VLOOKUP($B108,[1]勘定科目!$A:$H,HLOOKUP($E$5,[1]勘定科目!$F$1:$H$2,2,0),0)="","",VLOOKUP($B108,[1]勘定科目!$A:$E,2,0)),"")</f>
        <v>福利厚生費（製）</v>
      </c>
      <c r="D108" s="334" t="str">
        <f>IF(C108="","",VLOOKUP($B108,[1]勘定科目!$A:$E,4,0))</f>
        <v>福利厚生費</v>
      </c>
      <c r="E108" s="312"/>
      <c r="F108" s="318">
        <v>0</v>
      </c>
      <c r="G108" s="318"/>
      <c r="H108" s="318"/>
      <c r="I108" s="318"/>
      <c r="J108" s="318"/>
      <c r="K108" s="318">
        <v>0</v>
      </c>
      <c r="L108" s="318"/>
      <c r="M108" s="318"/>
      <c r="N108" s="318"/>
      <c r="O108" s="318"/>
      <c r="P108" s="318"/>
      <c r="Q108" s="318"/>
      <c r="R108" s="250">
        <f t="shared" si="3"/>
        <v>0</v>
      </c>
      <c r="S108" s="243" t="s">
        <v>743</v>
      </c>
      <c r="T108" s="182"/>
      <c r="U108" s="191"/>
      <c r="V108" s="191"/>
      <c r="W108" s="191"/>
      <c r="BA108"/>
      <c r="BB108"/>
    </row>
    <row r="109" spans="1:54" s="180" customFormat="1" ht="14.25">
      <c r="A109" s="189"/>
      <c r="B109" s="319">
        <v>5004096281</v>
      </c>
      <c r="C109" s="333" t="str">
        <f>IFERROR(IF(VLOOKUP($B109,[1]勘定科目!$A:$H,HLOOKUP($E$5,[1]勘定科目!$F$1:$H$2,2,0),0)="","",VLOOKUP($B109,[1]勘定科目!$A:$E,2,0)),"")</f>
        <v>求人費（製）</v>
      </c>
      <c r="D109" s="334" t="str">
        <f>IF(C109="","",VLOOKUP($B109,[1]勘定科目!$A:$E,4,0))</f>
        <v>募集教育費</v>
      </c>
      <c r="E109" s="312"/>
      <c r="F109" s="318">
        <v>0</v>
      </c>
      <c r="G109" s="318"/>
      <c r="H109" s="318"/>
      <c r="I109" s="318"/>
      <c r="J109" s="318"/>
      <c r="K109" s="318">
        <v>0</v>
      </c>
      <c r="L109" s="318"/>
      <c r="M109" s="318"/>
      <c r="N109" s="318"/>
      <c r="O109" s="318"/>
      <c r="P109" s="318"/>
      <c r="Q109" s="318"/>
      <c r="R109" s="250">
        <f t="shared" si="3"/>
        <v>0</v>
      </c>
      <c r="S109" s="243" t="s">
        <v>744</v>
      </c>
      <c r="T109" s="182"/>
      <c r="U109" s="191"/>
      <c r="V109" s="191"/>
      <c r="W109" s="191"/>
      <c r="BA109"/>
      <c r="BB109"/>
    </row>
    <row r="110" spans="1:54" s="180" customFormat="1" ht="14.25">
      <c r="A110" s="189"/>
      <c r="B110" s="319">
        <v>5004046221</v>
      </c>
      <c r="C110" s="333" t="str">
        <f>IFERROR(IF(VLOOKUP($B110,[1]勘定科目!$A:$H,HLOOKUP($E$5,[1]勘定科目!$F$1:$H$2,2,0),0)="","",VLOOKUP($B110,[1]勘定科目!$A:$E,2,0)),"")</f>
        <v>雑給（直製）</v>
      </c>
      <c r="D110" s="334" t="str">
        <f>IF(C110="","",VLOOKUP($B110,[1]勘定科目!$A:$E,4,0))</f>
        <v>雑給</v>
      </c>
      <c r="E110" s="312"/>
      <c r="F110" s="318">
        <v>0</v>
      </c>
      <c r="G110" s="318"/>
      <c r="H110" s="318"/>
      <c r="I110" s="318"/>
      <c r="J110" s="318"/>
      <c r="K110" s="318">
        <v>0</v>
      </c>
      <c r="L110" s="318"/>
      <c r="M110" s="318"/>
      <c r="N110" s="318"/>
      <c r="O110" s="318"/>
      <c r="P110" s="318"/>
      <c r="Q110" s="318"/>
      <c r="R110" s="250">
        <f t="shared" si="3"/>
        <v>0</v>
      </c>
      <c r="S110" s="243" t="s">
        <v>745</v>
      </c>
      <c r="T110" s="182"/>
      <c r="U110" s="191"/>
      <c r="V110" s="191"/>
      <c r="W110" s="191"/>
      <c r="BA110"/>
      <c r="BB110"/>
    </row>
    <row r="111" spans="1:54" s="180" customFormat="1" ht="14.25">
      <c r="A111" s="189"/>
      <c r="B111" s="319">
        <v>5005026371</v>
      </c>
      <c r="C111" s="333" t="str">
        <f>IFERROR(IF(VLOOKUP($B111,[1]勘定科目!$A:$H,HLOOKUP($E$5,[1]勘定科目!$F$1:$H$2,2,0),0)="","",VLOOKUP($B111,[1]勘定科目!$A:$E,2,0)),"")</f>
        <v>消耗工具器具備品費（製）</v>
      </c>
      <c r="D111" s="334" t="str">
        <f>IF(C111="","",VLOOKUP($B111,[1]勘定科目!$A:$E,4,0))</f>
        <v>消耗工具器具備品費</v>
      </c>
      <c r="E111" s="312"/>
      <c r="F111" s="318">
        <v>0</v>
      </c>
      <c r="G111" s="318"/>
      <c r="H111" s="318"/>
      <c r="I111" s="318"/>
      <c r="J111" s="318"/>
      <c r="K111" s="318">
        <v>0</v>
      </c>
      <c r="L111" s="318"/>
      <c r="M111" s="318"/>
      <c r="N111" s="318"/>
      <c r="O111" s="318"/>
      <c r="P111" s="318"/>
      <c r="Q111" s="318"/>
      <c r="R111" s="250">
        <f t="shared" si="3"/>
        <v>0</v>
      </c>
      <c r="S111" s="243" t="s">
        <v>746</v>
      </c>
      <c r="T111" s="182"/>
      <c r="U111" s="191"/>
      <c r="V111" s="191"/>
      <c r="W111" s="191"/>
      <c r="BA111"/>
      <c r="BB111"/>
    </row>
    <row r="112" spans="1:54" s="180" customFormat="1" ht="16.5">
      <c r="A112" s="189"/>
      <c r="B112" s="319"/>
      <c r="C112" s="333" t="str">
        <f>IFERROR(IF(VLOOKUP($B112,[1]勘定科目!$A:$H,HLOOKUP($E$5,[1]勘定科目!$F$1:$H$2,2,0),0)="","",VLOOKUP($B112,[1]勘定科目!$A:$E,2,0)),"")</f>
        <v/>
      </c>
      <c r="D112" s="334" t="str">
        <f>IF(C112="","",VLOOKUP($B112,[1]勘定科目!$A:$E,4,0))</f>
        <v/>
      </c>
      <c r="E112" s="312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9">
        <f t="shared" si="3"/>
        <v>0</v>
      </c>
      <c r="S112" s="242" t="s">
        <v>747</v>
      </c>
      <c r="T112" s="182"/>
      <c r="U112" s="191"/>
      <c r="V112" s="191"/>
      <c r="W112" s="191"/>
      <c r="BA112"/>
      <c r="BB112"/>
    </row>
    <row r="113" spans="1:54" s="180" customFormat="1" ht="14.25">
      <c r="A113" s="189"/>
      <c r="B113" s="319">
        <v>5005046282</v>
      </c>
      <c r="C113" s="333" t="str">
        <f>IFERROR(IF(VLOOKUP($B113,[1]勘定科目!$A:$H,HLOOKUP($E$5,[1]勘定科目!$F$1:$H$2,2,0),0)="","",VLOOKUP($B113,[1]勘定科目!$A:$E,2,0)),"")</f>
        <v>その他修繕費（製）</v>
      </c>
      <c r="D113" s="334" t="str">
        <f>IF(C113="","",VLOOKUP($B113,[1]勘定科目!$A:$E,4,0))</f>
        <v>修繕費</v>
      </c>
      <c r="E113" s="312"/>
      <c r="F113" s="320">
        <v>440000.00000000006</v>
      </c>
      <c r="G113" s="320"/>
      <c r="H113" s="320"/>
      <c r="I113" s="320"/>
      <c r="J113" s="320"/>
      <c r="K113" s="320"/>
      <c r="L113" s="320"/>
      <c r="M113" s="320"/>
      <c r="N113" s="320"/>
      <c r="O113" s="320"/>
      <c r="P113" s="320"/>
      <c r="Q113" s="320"/>
      <c r="R113" s="250">
        <f t="shared" si="3"/>
        <v>440000.00000000006</v>
      </c>
      <c r="S113" s="243" t="s">
        <v>748</v>
      </c>
      <c r="T113" s="182"/>
      <c r="U113" s="191"/>
      <c r="V113" s="191"/>
      <c r="W113" s="191"/>
      <c r="BA113"/>
      <c r="BB113"/>
    </row>
    <row r="114" spans="1:54" s="180" customFormat="1" ht="14.25">
      <c r="A114" s="189"/>
      <c r="B114" s="319">
        <v>5005046282</v>
      </c>
      <c r="C114" s="333" t="str">
        <f>IFERROR(IF(VLOOKUP($B114,[1]勘定科目!$A:$H,HLOOKUP($E$5,[1]勘定科目!$F$1:$H$2,2,0),0)="","",VLOOKUP($B114,[1]勘定科目!$A:$E,2,0)),"")</f>
        <v>その他修繕費（製）</v>
      </c>
      <c r="D114" s="334" t="str">
        <f>IF(C114="","",VLOOKUP($B114,[1]勘定科目!$A:$E,4,0))</f>
        <v>修繕費</v>
      </c>
      <c r="E114" s="312"/>
      <c r="F114" s="320">
        <v>0</v>
      </c>
      <c r="G114" s="320"/>
      <c r="H114" s="320"/>
      <c r="I114" s="320"/>
      <c r="J114" s="320"/>
      <c r="K114" s="320"/>
      <c r="L114" s="320"/>
      <c r="M114" s="320"/>
      <c r="N114" s="320"/>
      <c r="O114" s="320"/>
      <c r="P114" s="320"/>
      <c r="Q114" s="320"/>
      <c r="R114" s="250">
        <f t="shared" si="3"/>
        <v>0</v>
      </c>
      <c r="S114" s="243" t="s">
        <v>749</v>
      </c>
      <c r="T114" s="182"/>
      <c r="U114" s="191"/>
      <c r="V114" s="191"/>
      <c r="W114" s="191"/>
      <c r="BA114"/>
      <c r="BB114"/>
    </row>
    <row r="115" spans="1:54" s="180" customFormat="1" ht="14.25">
      <c r="A115" s="189"/>
      <c r="B115" s="319">
        <v>5005046282</v>
      </c>
      <c r="C115" s="333" t="str">
        <f>IFERROR(IF(VLOOKUP($B115,[1]勘定科目!$A:$H,HLOOKUP($E$5,[1]勘定科目!$F$1:$H$2,2,0),0)="","",VLOOKUP($B115,[1]勘定科目!$A:$E,2,0)),"")</f>
        <v>その他修繕費（製）</v>
      </c>
      <c r="D115" s="334" t="str">
        <f>IF(C115="","",VLOOKUP($B115,[1]勘定科目!$A:$E,4,0))</f>
        <v>修繕費</v>
      </c>
      <c r="E115" s="312"/>
      <c r="F115" s="320">
        <v>0</v>
      </c>
      <c r="G115" s="320"/>
      <c r="H115" s="320"/>
      <c r="I115" s="320"/>
      <c r="J115" s="320"/>
      <c r="K115" s="320"/>
      <c r="L115" s="320"/>
      <c r="M115" s="320"/>
      <c r="N115" s="320"/>
      <c r="O115" s="320"/>
      <c r="P115" s="320"/>
      <c r="Q115" s="320"/>
      <c r="R115" s="250">
        <f t="shared" ref="R115:R178" si="4">SUM(F115:Q115)</f>
        <v>0</v>
      </c>
      <c r="S115" s="243" t="s">
        <v>750</v>
      </c>
      <c r="T115" s="182"/>
      <c r="U115" s="191"/>
      <c r="V115" s="191"/>
      <c r="W115" s="191"/>
      <c r="BA115"/>
      <c r="BB115"/>
    </row>
    <row r="116" spans="1:54" s="180" customFormat="1" ht="14.25">
      <c r="A116" s="189"/>
      <c r="B116" s="319">
        <v>5005046282</v>
      </c>
      <c r="C116" s="333" t="str">
        <f>IFERROR(IF(VLOOKUP($B116,[1]勘定科目!$A:$H,HLOOKUP($E$5,[1]勘定科目!$F$1:$H$2,2,0),0)="","",VLOOKUP($B116,[1]勘定科目!$A:$E,2,0)),"")</f>
        <v>その他修繕費（製）</v>
      </c>
      <c r="D116" s="334" t="str">
        <f>IF(C116="","",VLOOKUP($B116,[1]勘定科目!$A:$E,4,0))</f>
        <v>修繕費</v>
      </c>
      <c r="E116" s="312"/>
      <c r="F116" s="320">
        <v>900000</v>
      </c>
      <c r="G116" s="320"/>
      <c r="H116" s="320"/>
      <c r="I116" s="320"/>
      <c r="J116" s="320"/>
      <c r="K116" s="320"/>
      <c r="L116" s="320"/>
      <c r="M116" s="320"/>
      <c r="N116" s="320"/>
      <c r="O116" s="320"/>
      <c r="P116" s="320"/>
      <c r="Q116" s="320"/>
      <c r="R116" s="250">
        <f t="shared" si="4"/>
        <v>900000</v>
      </c>
      <c r="S116" s="243" t="s">
        <v>751</v>
      </c>
      <c r="T116" s="182"/>
      <c r="U116" s="191"/>
      <c r="V116" s="191"/>
      <c r="W116" s="191"/>
      <c r="BA116"/>
      <c r="BB116"/>
    </row>
    <row r="117" spans="1:54" s="180" customFormat="1" ht="14.25">
      <c r="A117" s="189"/>
      <c r="B117" s="319">
        <v>5005046282</v>
      </c>
      <c r="C117" s="333" t="str">
        <f>IFERROR(IF(VLOOKUP($B117,[1]勘定科目!$A:$H,HLOOKUP($E$5,[1]勘定科目!$F$1:$H$2,2,0),0)="","",VLOOKUP($B117,[1]勘定科目!$A:$E,2,0)),"")</f>
        <v>その他修繕費（製）</v>
      </c>
      <c r="D117" s="334" t="str">
        <f>IF(C117="","",VLOOKUP($B117,[1]勘定科目!$A:$E,4,0))</f>
        <v>修繕費</v>
      </c>
      <c r="E117" s="312"/>
      <c r="F117" s="320"/>
      <c r="G117" s="320">
        <v>1100000</v>
      </c>
      <c r="H117" s="320"/>
      <c r="I117" s="320"/>
      <c r="J117" s="320"/>
      <c r="K117" s="320"/>
      <c r="L117" s="320"/>
      <c r="M117" s="320"/>
      <c r="N117" s="320"/>
      <c r="O117" s="320"/>
      <c r="P117" s="320"/>
      <c r="Q117" s="320"/>
      <c r="R117" s="250">
        <f t="shared" si="4"/>
        <v>1100000</v>
      </c>
      <c r="S117" s="243" t="s">
        <v>752</v>
      </c>
      <c r="T117" s="182"/>
      <c r="U117" s="191"/>
      <c r="V117" s="191"/>
      <c r="W117" s="191"/>
      <c r="BA117"/>
      <c r="BB117"/>
    </row>
    <row r="118" spans="1:54" s="180" customFormat="1" ht="14.25">
      <c r="A118" s="189"/>
      <c r="B118" s="319">
        <v>5005046282</v>
      </c>
      <c r="C118" s="333" t="str">
        <f>IFERROR(IF(VLOOKUP($B118,[1]勘定科目!$A:$H,HLOOKUP($E$5,[1]勘定科目!$F$1:$H$2,2,0),0)="","",VLOOKUP($B118,[1]勘定科目!$A:$E,2,0)),"")</f>
        <v>その他修繕費（製）</v>
      </c>
      <c r="D118" s="334" t="str">
        <f>IF(C118="","",VLOOKUP($B118,[1]勘定科目!$A:$E,4,0))</f>
        <v>修繕費</v>
      </c>
      <c r="E118" s="312"/>
      <c r="F118" s="320"/>
      <c r="G118" s="320">
        <v>1100000</v>
      </c>
      <c r="H118" s="320"/>
      <c r="I118" s="320"/>
      <c r="J118" s="320"/>
      <c r="K118" s="320"/>
      <c r="L118" s="320"/>
      <c r="M118" s="320"/>
      <c r="N118" s="320"/>
      <c r="O118" s="320"/>
      <c r="P118" s="320"/>
      <c r="Q118" s="320"/>
      <c r="R118" s="250">
        <f t="shared" si="4"/>
        <v>1100000</v>
      </c>
      <c r="S118" s="243" t="s">
        <v>753</v>
      </c>
      <c r="T118" s="182"/>
      <c r="U118" s="191"/>
      <c r="V118" s="191"/>
      <c r="W118" s="191"/>
      <c r="BA118"/>
      <c r="BB118"/>
    </row>
    <row r="119" spans="1:54" s="180" customFormat="1" ht="14.25">
      <c r="A119" s="189"/>
      <c r="B119" s="319">
        <v>5005046282</v>
      </c>
      <c r="C119" s="333" t="str">
        <f>IFERROR(IF(VLOOKUP($B119,[1]勘定科目!$A:$H,HLOOKUP($E$5,[1]勘定科目!$F$1:$H$2,2,0),0)="","",VLOOKUP($B119,[1]勘定科目!$A:$E,2,0)),"")</f>
        <v>その他修繕費（製）</v>
      </c>
      <c r="D119" s="334" t="str">
        <f>IF(C119="","",VLOOKUP($B119,[1]勘定科目!$A:$E,4,0))</f>
        <v>修繕費</v>
      </c>
      <c r="E119" s="312"/>
      <c r="F119" s="320"/>
      <c r="G119" s="320">
        <v>1100000</v>
      </c>
      <c r="H119" s="320"/>
      <c r="I119" s="320"/>
      <c r="J119" s="320"/>
      <c r="K119" s="320"/>
      <c r="L119" s="320"/>
      <c r="M119" s="320"/>
      <c r="N119" s="320"/>
      <c r="O119" s="320"/>
      <c r="P119" s="320"/>
      <c r="Q119" s="320"/>
      <c r="R119" s="250">
        <f t="shared" si="4"/>
        <v>1100000</v>
      </c>
      <c r="S119" s="243" t="s">
        <v>754</v>
      </c>
      <c r="T119" s="182"/>
      <c r="U119" s="191"/>
      <c r="V119" s="191"/>
      <c r="W119" s="191"/>
      <c r="BA119"/>
      <c r="BB119"/>
    </row>
    <row r="120" spans="1:54" s="180" customFormat="1" ht="14.25">
      <c r="A120" s="189"/>
      <c r="B120" s="319">
        <v>5005046282</v>
      </c>
      <c r="C120" s="333" t="str">
        <f>IFERROR(IF(VLOOKUP($B120,[1]勘定科目!$A:$H,HLOOKUP($E$5,[1]勘定科目!$F$1:$H$2,2,0),0)="","",VLOOKUP($B120,[1]勘定科目!$A:$E,2,0)),"")</f>
        <v>その他修繕費（製）</v>
      </c>
      <c r="D120" s="334" t="str">
        <f>IF(C120="","",VLOOKUP($B120,[1]勘定科目!$A:$E,4,0))</f>
        <v>修繕費</v>
      </c>
      <c r="E120" s="312"/>
      <c r="F120" s="320"/>
      <c r="G120" s="320">
        <v>1100000</v>
      </c>
      <c r="H120" s="320"/>
      <c r="I120" s="320"/>
      <c r="J120" s="320"/>
      <c r="K120" s="320"/>
      <c r="L120" s="320"/>
      <c r="M120" s="320"/>
      <c r="N120" s="320"/>
      <c r="O120" s="320"/>
      <c r="P120" s="320"/>
      <c r="Q120" s="320"/>
      <c r="R120" s="250">
        <f t="shared" si="4"/>
        <v>1100000</v>
      </c>
      <c r="S120" s="243" t="s">
        <v>755</v>
      </c>
      <c r="T120" s="182"/>
      <c r="U120" s="191"/>
      <c r="V120" s="191"/>
      <c r="W120" s="191"/>
      <c r="BA120"/>
      <c r="BB120"/>
    </row>
    <row r="121" spans="1:54" s="180" customFormat="1" ht="14.25">
      <c r="A121" s="189"/>
      <c r="B121" s="319">
        <v>5005046282</v>
      </c>
      <c r="C121" s="333" t="str">
        <f>IFERROR(IF(VLOOKUP($B121,[1]勘定科目!$A:$H,HLOOKUP($E$5,[1]勘定科目!$F$1:$H$2,2,0),0)="","",VLOOKUP($B121,[1]勘定科目!$A:$E,2,0)),"")</f>
        <v>その他修繕費（製）</v>
      </c>
      <c r="D121" s="334" t="str">
        <f>IF(C121="","",VLOOKUP($B121,[1]勘定科目!$A:$E,4,0))</f>
        <v>修繕費</v>
      </c>
      <c r="E121" s="312"/>
      <c r="F121" s="320"/>
      <c r="G121" s="320">
        <v>1650000.0000000002</v>
      </c>
      <c r="H121" s="320"/>
      <c r="I121" s="320"/>
      <c r="J121" s="320"/>
      <c r="K121" s="320"/>
      <c r="L121" s="320"/>
      <c r="M121" s="320"/>
      <c r="N121" s="320"/>
      <c r="O121" s="320"/>
      <c r="P121" s="320"/>
      <c r="Q121" s="320"/>
      <c r="R121" s="250">
        <f t="shared" si="4"/>
        <v>1650000.0000000002</v>
      </c>
      <c r="S121" s="243" t="s">
        <v>756</v>
      </c>
      <c r="T121" s="182"/>
      <c r="U121" s="191"/>
      <c r="V121" s="191"/>
      <c r="W121" s="191"/>
      <c r="BA121"/>
      <c r="BB121"/>
    </row>
    <row r="122" spans="1:54" s="180" customFormat="1" ht="14.25">
      <c r="A122" s="189"/>
      <c r="B122" s="319">
        <v>5005046282</v>
      </c>
      <c r="C122" s="333" t="str">
        <f>IFERROR(IF(VLOOKUP($B122,[1]勘定科目!$A:$H,HLOOKUP($E$5,[1]勘定科目!$F$1:$H$2,2,0),0)="","",VLOOKUP($B122,[1]勘定科目!$A:$E,2,0)),"")</f>
        <v>その他修繕費（製）</v>
      </c>
      <c r="D122" s="334" t="str">
        <f>IF(C122="","",VLOOKUP($B122,[1]勘定科目!$A:$E,4,0))</f>
        <v>修繕費</v>
      </c>
      <c r="E122" s="312"/>
      <c r="F122" s="320"/>
      <c r="G122" s="320">
        <v>1650000.0000000002</v>
      </c>
      <c r="H122" s="320"/>
      <c r="I122" s="320"/>
      <c r="J122" s="320"/>
      <c r="K122" s="320"/>
      <c r="L122" s="320"/>
      <c r="M122" s="320"/>
      <c r="N122" s="320"/>
      <c r="O122" s="320"/>
      <c r="P122" s="320"/>
      <c r="Q122" s="320"/>
      <c r="R122" s="250">
        <f t="shared" si="4"/>
        <v>1650000.0000000002</v>
      </c>
      <c r="S122" s="243" t="s">
        <v>757</v>
      </c>
      <c r="T122" s="182"/>
      <c r="U122" s="191"/>
      <c r="V122" s="191"/>
      <c r="W122" s="191"/>
      <c r="BA122"/>
      <c r="BB122"/>
    </row>
    <row r="123" spans="1:54" s="180" customFormat="1" ht="14.25">
      <c r="A123" s="189"/>
      <c r="B123" s="319">
        <v>5005046282</v>
      </c>
      <c r="C123" s="333" t="str">
        <f>IFERROR(IF(VLOOKUP($B123,[1]勘定科目!$A:$H,HLOOKUP($E$5,[1]勘定科目!$F$1:$H$2,2,0),0)="","",VLOOKUP($B123,[1]勘定科目!$A:$E,2,0)),"")</f>
        <v>その他修繕費（製）</v>
      </c>
      <c r="D123" s="334" t="str">
        <f>IF(C123="","",VLOOKUP($B123,[1]勘定科目!$A:$E,4,0))</f>
        <v>修繕費</v>
      </c>
      <c r="E123" s="312"/>
      <c r="F123" s="320"/>
      <c r="G123" s="320">
        <v>770000.00000000012</v>
      </c>
      <c r="H123" s="320"/>
      <c r="I123" s="320"/>
      <c r="J123" s="320"/>
      <c r="K123" s="320"/>
      <c r="L123" s="320"/>
      <c r="M123" s="320"/>
      <c r="N123" s="320"/>
      <c r="O123" s="320"/>
      <c r="P123" s="320"/>
      <c r="Q123" s="320"/>
      <c r="R123" s="250">
        <f t="shared" si="4"/>
        <v>770000.00000000012</v>
      </c>
      <c r="S123" s="243" t="s">
        <v>758</v>
      </c>
      <c r="T123" s="182"/>
      <c r="U123" s="191"/>
      <c r="V123" s="191"/>
      <c r="W123" s="191"/>
      <c r="BA123"/>
      <c r="BB123"/>
    </row>
    <row r="124" spans="1:54" s="180" customFormat="1" ht="14.25">
      <c r="A124" s="189"/>
      <c r="B124" s="319">
        <v>5005046282</v>
      </c>
      <c r="C124" s="333" t="str">
        <f>IFERROR(IF(VLOOKUP($B124,[1]勘定科目!$A:$H,HLOOKUP($E$5,[1]勘定科目!$F$1:$H$2,2,0),0)="","",VLOOKUP($B124,[1]勘定科目!$A:$E,2,0)),"")</f>
        <v>その他修繕費（製）</v>
      </c>
      <c r="D124" s="334" t="str">
        <f>IF(C124="","",VLOOKUP($B124,[1]勘定科目!$A:$E,4,0))</f>
        <v>修繕費</v>
      </c>
      <c r="E124" s="312"/>
      <c r="F124" s="320"/>
      <c r="G124" s="320">
        <v>11000000</v>
      </c>
      <c r="H124" s="320"/>
      <c r="I124" s="320"/>
      <c r="J124" s="320"/>
      <c r="K124" s="320"/>
      <c r="L124" s="320"/>
      <c r="M124" s="320"/>
      <c r="N124" s="320"/>
      <c r="O124" s="320"/>
      <c r="P124" s="320"/>
      <c r="Q124" s="320"/>
      <c r="R124" s="250">
        <f t="shared" si="4"/>
        <v>11000000</v>
      </c>
      <c r="S124" s="243" t="s">
        <v>759</v>
      </c>
      <c r="T124" s="182"/>
      <c r="U124" s="191"/>
      <c r="V124" s="191"/>
      <c r="W124" s="191"/>
      <c r="BA124"/>
      <c r="BB124"/>
    </row>
    <row r="125" spans="1:54" s="180" customFormat="1" ht="14.25">
      <c r="A125" s="189"/>
      <c r="B125" s="319">
        <v>5005046282</v>
      </c>
      <c r="C125" s="333" t="str">
        <f>IFERROR(IF(VLOOKUP($B125,[1]勘定科目!$A:$H,HLOOKUP($E$5,[1]勘定科目!$F$1:$H$2,2,0),0)="","",VLOOKUP($B125,[1]勘定科目!$A:$E,2,0)),"")</f>
        <v>その他修繕費（製）</v>
      </c>
      <c r="D125" s="334" t="str">
        <f>IF(C125="","",VLOOKUP($B125,[1]勘定科目!$A:$E,4,0))</f>
        <v>修繕費</v>
      </c>
      <c r="E125" s="312"/>
      <c r="F125" s="320"/>
      <c r="G125" s="320"/>
      <c r="H125" s="320">
        <v>2800000</v>
      </c>
      <c r="I125" s="320"/>
      <c r="J125" s="320"/>
      <c r="K125" s="320"/>
      <c r="L125" s="320"/>
      <c r="M125" s="320"/>
      <c r="N125" s="320"/>
      <c r="O125" s="320"/>
      <c r="P125" s="320"/>
      <c r="Q125" s="320"/>
      <c r="R125" s="250">
        <f t="shared" si="4"/>
        <v>2800000</v>
      </c>
      <c r="S125" s="243" t="s">
        <v>760</v>
      </c>
      <c r="T125" s="182"/>
      <c r="U125" s="191"/>
      <c r="V125" s="191"/>
      <c r="W125" s="191"/>
      <c r="BA125"/>
      <c r="BB125"/>
    </row>
    <row r="126" spans="1:54" s="180" customFormat="1" ht="14.25">
      <c r="A126" s="189"/>
      <c r="B126" s="319">
        <v>5005046282</v>
      </c>
      <c r="C126" s="333" t="str">
        <f>IFERROR(IF(VLOOKUP($B126,[1]勘定科目!$A:$H,HLOOKUP($E$5,[1]勘定科目!$F$1:$H$2,2,0),0)="","",VLOOKUP($B126,[1]勘定科目!$A:$E,2,0)),"")</f>
        <v>その他修繕費（製）</v>
      </c>
      <c r="D126" s="334" t="str">
        <f>IF(C126="","",VLOOKUP($B126,[1]勘定科目!$A:$E,4,0))</f>
        <v>修繕費</v>
      </c>
      <c r="E126" s="312"/>
      <c r="F126" s="320"/>
      <c r="G126" s="320"/>
      <c r="H126" s="320">
        <v>550000</v>
      </c>
      <c r="I126" s="320"/>
      <c r="J126" s="320"/>
      <c r="K126" s="320"/>
      <c r="L126" s="320"/>
      <c r="M126" s="320"/>
      <c r="N126" s="320"/>
      <c r="O126" s="320"/>
      <c r="P126" s="320"/>
      <c r="Q126" s="320"/>
      <c r="R126" s="250">
        <f t="shared" si="4"/>
        <v>550000</v>
      </c>
      <c r="S126" s="243" t="s">
        <v>761</v>
      </c>
      <c r="T126" s="182"/>
      <c r="U126" s="191"/>
      <c r="V126" s="191"/>
      <c r="W126" s="191"/>
      <c r="BA126"/>
      <c r="BB126"/>
    </row>
    <row r="127" spans="1:54" s="180" customFormat="1" ht="14.25">
      <c r="A127" s="189"/>
      <c r="B127" s="319">
        <v>5005046282</v>
      </c>
      <c r="C127" s="333" t="str">
        <f>IFERROR(IF(VLOOKUP($B127,[1]勘定科目!$A:$H,HLOOKUP($E$5,[1]勘定科目!$F$1:$H$2,2,0),0)="","",VLOOKUP($B127,[1]勘定科目!$A:$E,2,0)),"")</f>
        <v>その他修繕費（製）</v>
      </c>
      <c r="D127" s="334" t="str">
        <f>IF(C127="","",VLOOKUP($B127,[1]勘定科目!$A:$E,4,0))</f>
        <v>修繕費</v>
      </c>
      <c r="E127" s="312"/>
      <c r="F127" s="320"/>
      <c r="G127" s="320"/>
      <c r="H127" s="320"/>
      <c r="I127" s="320"/>
      <c r="J127" s="320">
        <v>1100000</v>
      </c>
      <c r="K127" s="320"/>
      <c r="L127" s="320"/>
      <c r="M127" s="320"/>
      <c r="N127" s="320"/>
      <c r="O127" s="320"/>
      <c r="P127" s="320"/>
      <c r="Q127" s="320"/>
      <c r="R127" s="250">
        <f t="shared" si="4"/>
        <v>1100000</v>
      </c>
      <c r="S127" s="243" t="s">
        <v>762</v>
      </c>
      <c r="T127" s="182"/>
      <c r="U127" s="191"/>
      <c r="V127" s="191"/>
      <c r="W127" s="191"/>
      <c r="BA127"/>
      <c r="BB127"/>
    </row>
    <row r="128" spans="1:54" s="180" customFormat="1" ht="14.25">
      <c r="A128" s="189"/>
      <c r="B128" s="319">
        <v>5005046282</v>
      </c>
      <c r="C128" s="333" t="str">
        <f>IFERROR(IF(VLOOKUP($B128,[1]勘定科目!$A:$H,HLOOKUP($E$5,[1]勘定科目!$F$1:$H$2,2,0),0)="","",VLOOKUP($B128,[1]勘定科目!$A:$E,2,0)),"")</f>
        <v>その他修繕費（製）</v>
      </c>
      <c r="D128" s="334" t="str">
        <f>IF(C128="","",VLOOKUP($B128,[1]勘定科目!$A:$E,4,0))</f>
        <v>修繕費</v>
      </c>
      <c r="E128" s="312"/>
      <c r="F128" s="320"/>
      <c r="G128" s="320"/>
      <c r="H128" s="320"/>
      <c r="I128" s="320"/>
      <c r="J128" s="320">
        <v>1100000</v>
      </c>
      <c r="K128" s="320"/>
      <c r="L128" s="320"/>
      <c r="M128" s="320"/>
      <c r="N128" s="320"/>
      <c r="O128" s="320"/>
      <c r="P128" s="320"/>
      <c r="Q128" s="320"/>
      <c r="R128" s="250">
        <f t="shared" si="4"/>
        <v>1100000</v>
      </c>
      <c r="S128" s="243" t="s">
        <v>763</v>
      </c>
      <c r="T128" s="182"/>
      <c r="U128" s="191"/>
      <c r="V128" s="191"/>
      <c r="W128" s="191"/>
      <c r="BA128"/>
      <c r="BB128"/>
    </row>
    <row r="129" spans="1:54" s="180" customFormat="1" ht="14.25">
      <c r="A129" s="189"/>
      <c r="B129" s="319">
        <v>5005046282</v>
      </c>
      <c r="C129" s="333" t="str">
        <f>IFERROR(IF(VLOOKUP($B129,[1]勘定科目!$A:$H,HLOOKUP($E$5,[1]勘定科目!$F$1:$H$2,2,0),0)="","",VLOOKUP($B129,[1]勘定科目!$A:$E,2,0)),"")</f>
        <v>その他修繕費（製）</v>
      </c>
      <c r="D129" s="334" t="str">
        <f>IF(C129="","",VLOOKUP($B129,[1]勘定科目!$A:$E,4,0))</f>
        <v>修繕費</v>
      </c>
      <c r="E129" s="312"/>
      <c r="F129" s="320"/>
      <c r="G129" s="320"/>
      <c r="H129" s="320"/>
      <c r="I129" s="320"/>
      <c r="J129" s="320">
        <v>1100000</v>
      </c>
      <c r="K129" s="320"/>
      <c r="L129" s="320"/>
      <c r="M129" s="320"/>
      <c r="N129" s="320"/>
      <c r="O129" s="320"/>
      <c r="P129" s="320"/>
      <c r="Q129" s="320"/>
      <c r="R129" s="250">
        <f t="shared" si="4"/>
        <v>1100000</v>
      </c>
      <c r="S129" s="243" t="s">
        <v>764</v>
      </c>
      <c r="T129" s="182"/>
      <c r="U129" s="191"/>
      <c r="V129" s="191"/>
      <c r="W129" s="191"/>
      <c r="BA129"/>
      <c r="BB129"/>
    </row>
    <row r="130" spans="1:54" s="180" customFormat="1" ht="14.25">
      <c r="A130" s="189"/>
      <c r="B130" s="319">
        <v>5005046282</v>
      </c>
      <c r="C130" s="333" t="str">
        <f>IFERROR(IF(VLOOKUP($B130,[1]勘定科目!$A:$H,HLOOKUP($E$5,[1]勘定科目!$F$1:$H$2,2,0),0)="","",VLOOKUP($B130,[1]勘定科目!$A:$E,2,0)),"")</f>
        <v>その他修繕費（製）</v>
      </c>
      <c r="D130" s="334" t="str">
        <f>IF(C130="","",VLOOKUP($B130,[1]勘定科目!$A:$E,4,0))</f>
        <v>修繕費</v>
      </c>
      <c r="E130" s="312"/>
      <c r="F130" s="320"/>
      <c r="G130" s="320"/>
      <c r="H130" s="320"/>
      <c r="I130" s="320"/>
      <c r="J130" s="320">
        <v>1100000</v>
      </c>
      <c r="K130" s="320"/>
      <c r="L130" s="320"/>
      <c r="M130" s="320"/>
      <c r="N130" s="320"/>
      <c r="O130" s="320"/>
      <c r="P130" s="320"/>
      <c r="Q130" s="320"/>
      <c r="R130" s="250">
        <f t="shared" si="4"/>
        <v>1100000</v>
      </c>
      <c r="S130" s="243" t="s">
        <v>765</v>
      </c>
      <c r="T130" s="182"/>
      <c r="U130" s="191"/>
      <c r="V130" s="191"/>
      <c r="W130" s="191"/>
      <c r="BA130"/>
      <c r="BB130"/>
    </row>
    <row r="131" spans="1:54" s="180" customFormat="1" ht="14.25">
      <c r="A131" s="189"/>
      <c r="B131" s="319">
        <v>5005046282</v>
      </c>
      <c r="C131" s="333" t="str">
        <f>IFERROR(IF(VLOOKUP($B131,[1]勘定科目!$A:$H,HLOOKUP($E$5,[1]勘定科目!$F$1:$H$2,2,0),0)="","",VLOOKUP($B131,[1]勘定科目!$A:$E,2,0)),"")</f>
        <v>その他修繕費（製）</v>
      </c>
      <c r="D131" s="334" t="str">
        <f>IF(C131="","",VLOOKUP($B131,[1]勘定科目!$A:$E,4,0))</f>
        <v>修繕費</v>
      </c>
      <c r="E131" s="312"/>
      <c r="F131" s="320"/>
      <c r="G131" s="320"/>
      <c r="H131" s="320"/>
      <c r="I131" s="320"/>
      <c r="J131" s="320">
        <v>1100000</v>
      </c>
      <c r="K131" s="320"/>
      <c r="L131" s="320"/>
      <c r="M131" s="320"/>
      <c r="N131" s="320"/>
      <c r="O131" s="320"/>
      <c r="P131" s="320"/>
      <c r="Q131" s="320"/>
      <c r="R131" s="250">
        <f t="shared" si="4"/>
        <v>1100000</v>
      </c>
      <c r="S131" s="243" t="s">
        <v>766</v>
      </c>
      <c r="T131" s="182"/>
      <c r="U131" s="191"/>
      <c r="V131" s="191"/>
      <c r="W131" s="191"/>
      <c r="BA131"/>
      <c r="BB131"/>
    </row>
    <row r="132" spans="1:54" s="180" customFormat="1" ht="14.25">
      <c r="A132" s="189"/>
      <c r="B132" s="319">
        <v>5005046282</v>
      </c>
      <c r="C132" s="333" t="str">
        <f>IFERROR(IF(VLOOKUP($B132,[1]勘定科目!$A:$H,HLOOKUP($E$5,[1]勘定科目!$F$1:$H$2,2,0),0)="","",VLOOKUP($B132,[1]勘定科目!$A:$E,2,0)),"")</f>
        <v>その他修繕費（製）</v>
      </c>
      <c r="D132" s="334" t="str">
        <f>IF(C132="","",VLOOKUP($B132,[1]勘定科目!$A:$E,4,0))</f>
        <v>修繕費</v>
      </c>
      <c r="E132" s="312"/>
      <c r="F132" s="320"/>
      <c r="G132" s="320"/>
      <c r="H132" s="320"/>
      <c r="I132" s="320"/>
      <c r="J132" s="320">
        <v>1650000.0000000002</v>
      </c>
      <c r="K132" s="320"/>
      <c r="L132" s="320"/>
      <c r="M132" s="320"/>
      <c r="N132" s="320"/>
      <c r="O132" s="320"/>
      <c r="P132" s="320"/>
      <c r="Q132" s="320"/>
      <c r="R132" s="250">
        <f t="shared" si="4"/>
        <v>1650000.0000000002</v>
      </c>
      <c r="S132" s="243" t="s">
        <v>767</v>
      </c>
      <c r="T132" s="182"/>
      <c r="U132" s="191"/>
      <c r="V132" s="191"/>
      <c r="W132" s="191"/>
      <c r="BA132"/>
      <c r="BB132"/>
    </row>
    <row r="133" spans="1:54" s="180" customFormat="1" ht="14.25">
      <c r="A133" s="189"/>
      <c r="B133" s="319">
        <v>5005046282</v>
      </c>
      <c r="C133" s="333" t="str">
        <f>IFERROR(IF(VLOOKUP($B133,[1]勘定科目!$A:$H,HLOOKUP($E$5,[1]勘定科目!$F$1:$H$2,2,0),0)="","",VLOOKUP($B133,[1]勘定科目!$A:$E,2,0)),"")</f>
        <v>その他修繕費（製）</v>
      </c>
      <c r="D133" s="334" t="str">
        <f>IF(C133="","",VLOOKUP($B133,[1]勘定科目!$A:$E,4,0))</f>
        <v>修繕費</v>
      </c>
      <c r="E133" s="312"/>
      <c r="F133" s="320"/>
      <c r="G133" s="320"/>
      <c r="H133" s="320"/>
      <c r="I133" s="320"/>
      <c r="J133" s="320">
        <v>1650000.0000000002</v>
      </c>
      <c r="K133" s="320"/>
      <c r="L133" s="320"/>
      <c r="M133" s="320"/>
      <c r="N133" s="320"/>
      <c r="O133" s="320"/>
      <c r="P133" s="320"/>
      <c r="Q133" s="320"/>
      <c r="R133" s="250">
        <f t="shared" si="4"/>
        <v>1650000.0000000002</v>
      </c>
      <c r="S133" s="243" t="s">
        <v>768</v>
      </c>
      <c r="T133" s="182"/>
      <c r="U133" s="191"/>
      <c r="V133" s="191"/>
      <c r="W133" s="191"/>
      <c r="BA133"/>
      <c r="BB133"/>
    </row>
    <row r="134" spans="1:54" s="180" customFormat="1" ht="14.25">
      <c r="A134" s="189"/>
      <c r="B134" s="319">
        <v>5005046282</v>
      </c>
      <c r="C134" s="333" t="str">
        <f>IFERROR(IF(VLOOKUP($B134,[1]勘定科目!$A:$H,HLOOKUP($E$5,[1]勘定科目!$F$1:$H$2,2,0),0)="","",VLOOKUP($B134,[1]勘定科目!$A:$E,2,0)),"")</f>
        <v>その他修繕費（製）</v>
      </c>
      <c r="D134" s="334" t="str">
        <f>IF(C134="","",VLOOKUP($B134,[1]勘定科目!$A:$E,4,0))</f>
        <v>修繕費</v>
      </c>
      <c r="E134" s="312"/>
      <c r="F134" s="320"/>
      <c r="G134" s="320"/>
      <c r="H134" s="320"/>
      <c r="I134" s="320"/>
      <c r="J134" s="320">
        <v>1650000.0000000002</v>
      </c>
      <c r="K134" s="320"/>
      <c r="L134" s="320"/>
      <c r="M134" s="320"/>
      <c r="N134" s="320"/>
      <c r="O134" s="320"/>
      <c r="P134" s="320"/>
      <c r="Q134" s="320"/>
      <c r="R134" s="250">
        <f t="shared" si="4"/>
        <v>1650000.0000000002</v>
      </c>
      <c r="S134" s="243" t="s">
        <v>769</v>
      </c>
      <c r="T134" s="182"/>
      <c r="U134" s="191"/>
      <c r="V134" s="191"/>
      <c r="W134" s="191"/>
      <c r="BA134"/>
      <c r="BB134"/>
    </row>
    <row r="135" spans="1:54" s="180" customFormat="1" ht="14.25">
      <c r="A135" s="189"/>
      <c r="B135" s="319">
        <v>5005046282</v>
      </c>
      <c r="C135" s="333" t="str">
        <f>IFERROR(IF(VLOOKUP($B135,[1]勘定科目!$A:$H,HLOOKUP($E$5,[1]勘定科目!$F$1:$H$2,2,0),0)="","",VLOOKUP($B135,[1]勘定科目!$A:$E,2,0)),"")</f>
        <v>その他修繕費（製）</v>
      </c>
      <c r="D135" s="334" t="str">
        <f>IF(C135="","",VLOOKUP($B135,[1]勘定科目!$A:$E,4,0))</f>
        <v>修繕費</v>
      </c>
      <c r="E135" s="312"/>
      <c r="F135" s="320"/>
      <c r="G135" s="320"/>
      <c r="H135" s="320"/>
      <c r="I135" s="320"/>
      <c r="J135" s="320">
        <v>1650000.0000000002</v>
      </c>
      <c r="K135" s="320"/>
      <c r="L135" s="320"/>
      <c r="M135" s="320"/>
      <c r="N135" s="320"/>
      <c r="O135" s="320"/>
      <c r="P135" s="320"/>
      <c r="Q135" s="320"/>
      <c r="R135" s="250">
        <f t="shared" si="4"/>
        <v>1650000.0000000002</v>
      </c>
      <c r="S135" s="243" t="s">
        <v>770</v>
      </c>
      <c r="T135" s="182"/>
      <c r="U135" s="191"/>
      <c r="V135" s="191"/>
      <c r="W135" s="191"/>
      <c r="BA135"/>
      <c r="BB135"/>
    </row>
    <row r="136" spans="1:54" s="180" customFormat="1" ht="14.25">
      <c r="A136" s="189"/>
      <c r="B136" s="319">
        <v>5005046282</v>
      </c>
      <c r="C136" s="333" t="str">
        <f>IFERROR(IF(VLOOKUP($B136,[1]勘定科目!$A:$H,HLOOKUP($E$5,[1]勘定科目!$F$1:$H$2,2,0),0)="","",VLOOKUP($B136,[1]勘定科目!$A:$E,2,0)),"")</f>
        <v>その他修繕費（製）</v>
      </c>
      <c r="D136" s="334" t="str">
        <f>IF(C136="","",VLOOKUP($B136,[1]勘定科目!$A:$E,4,0))</f>
        <v>修繕費</v>
      </c>
      <c r="E136" s="312"/>
      <c r="F136" s="320"/>
      <c r="G136" s="320"/>
      <c r="H136" s="320"/>
      <c r="I136" s="320"/>
      <c r="J136" s="320">
        <v>1100000</v>
      </c>
      <c r="K136" s="320"/>
      <c r="L136" s="320"/>
      <c r="M136" s="320"/>
      <c r="N136" s="320"/>
      <c r="O136" s="320"/>
      <c r="P136" s="320"/>
      <c r="Q136" s="320"/>
      <c r="R136" s="250">
        <f t="shared" si="4"/>
        <v>1100000</v>
      </c>
      <c r="S136" s="243" t="s">
        <v>771</v>
      </c>
      <c r="T136" s="182"/>
      <c r="U136" s="191"/>
      <c r="V136" s="191"/>
      <c r="W136" s="191"/>
      <c r="BA136"/>
      <c r="BB136"/>
    </row>
    <row r="137" spans="1:54" s="180" customFormat="1" ht="14.25">
      <c r="A137" s="189"/>
      <c r="B137" s="319">
        <v>5005046282</v>
      </c>
      <c r="C137" s="333" t="str">
        <f>IFERROR(IF(VLOOKUP($B137,[1]勘定科目!$A:$H,HLOOKUP($E$5,[1]勘定科目!$F$1:$H$2,2,0),0)="","",VLOOKUP($B137,[1]勘定科目!$A:$E,2,0)),"")</f>
        <v>その他修繕費（製）</v>
      </c>
      <c r="D137" s="334" t="str">
        <f>IF(C137="","",VLOOKUP($B137,[1]勘定科目!$A:$E,4,0))</f>
        <v>修繕費</v>
      </c>
      <c r="E137" s="312"/>
      <c r="F137" s="320"/>
      <c r="G137" s="320"/>
      <c r="H137" s="320"/>
      <c r="I137" s="320"/>
      <c r="J137" s="320">
        <v>3080000.0000000005</v>
      </c>
      <c r="K137" s="320"/>
      <c r="L137" s="320"/>
      <c r="M137" s="320"/>
      <c r="N137" s="320"/>
      <c r="O137" s="320"/>
      <c r="P137" s="320"/>
      <c r="Q137" s="320"/>
      <c r="R137" s="250">
        <f t="shared" si="4"/>
        <v>3080000.0000000005</v>
      </c>
      <c r="S137" s="243" t="s">
        <v>772</v>
      </c>
      <c r="T137" s="182"/>
      <c r="U137" s="191"/>
      <c r="V137" s="191"/>
      <c r="W137" s="191"/>
      <c r="BA137"/>
      <c r="BB137"/>
    </row>
    <row r="138" spans="1:54" s="180" customFormat="1" ht="14.25">
      <c r="A138" s="189"/>
      <c r="B138" s="319">
        <v>5005046282</v>
      </c>
      <c r="C138" s="333" t="str">
        <f>IFERROR(IF(VLOOKUP($B138,[1]勘定科目!$A:$H,HLOOKUP($E$5,[1]勘定科目!$F$1:$H$2,2,0),0)="","",VLOOKUP($B138,[1]勘定科目!$A:$E,2,0)),"")</f>
        <v>その他修繕費（製）</v>
      </c>
      <c r="D138" s="334" t="str">
        <f>IF(C138="","",VLOOKUP($B138,[1]勘定科目!$A:$E,4,0))</f>
        <v>修繕費</v>
      </c>
      <c r="E138" s="312"/>
      <c r="F138" s="320"/>
      <c r="G138" s="320"/>
      <c r="H138" s="320"/>
      <c r="I138" s="320"/>
      <c r="J138" s="320"/>
      <c r="K138" s="320"/>
      <c r="L138" s="320">
        <v>1650000.0000000002</v>
      </c>
      <c r="M138" s="320"/>
      <c r="N138" s="320"/>
      <c r="O138" s="320"/>
      <c r="P138" s="320"/>
      <c r="Q138" s="320"/>
      <c r="R138" s="250">
        <f t="shared" si="4"/>
        <v>1650000.0000000002</v>
      </c>
      <c r="S138" s="243" t="s">
        <v>773</v>
      </c>
      <c r="T138" s="182"/>
      <c r="U138" s="191"/>
      <c r="V138" s="191"/>
      <c r="W138" s="191"/>
      <c r="BA138"/>
      <c r="BB138"/>
    </row>
    <row r="139" spans="1:54" s="180" customFormat="1" ht="14.25">
      <c r="A139" s="189"/>
      <c r="B139" s="269">
        <v>5005046282</v>
      </c>
      <c r="C139" s="333" t="str">
        <f>IFERROR(IF(VLOOKUP($B139,[1]勘定科目!$A:$H,HLOOKUP($E$5,[1]勘定科目!$F$1:$H$2,2,0),0)="","",VLOOKUP($B139,[1]勘定科目!$A:$E,2,0)),"")</f>
        <v>その他修繕費（製）</v>
      </c>
      <c r="D139" s="334" t="str">
        <f>IF(C139="","",VLOOKUP($B139,[1]勘定科目!$A:$E,4,0))</f>
        <v>修繕費</v>
      </c>
      <c r="E139" s="312"/>
      <c r="F139" s="318"/>
      <c r="G139" s="320"/>
      <c r="H139" s="320"/>
      <c r="I139" s="320"/>
      <c r="J139" s="320"/>
      <c r="K139" s="320"/>
      <c r="L139" s="320">
        <v>550000</v>
      </c>
      <c r="M139" s="320"/>
      <c r="N139" s="320"/>
      <c r="O139" s="320"/>
      <c r="P139" s="320"/>
      <c r="Q139" s="320"/>
      <c r="R139" s="250">
        <f t="shared" si="4"/>
        <v>550000</v>
      </c>
      <c r="S139" s="243" t="s">
        <v>774</v>
      </c>
      <c r="T139" s="182"/>
      <c r="U139" s="191"/>
      <c r="V139" s="191"/>
      <c r="W139" s="191"/>
      <c r="BA139"/>
      <c r="BB139"/>
    </row>
    <row r="140" spans="1:54" s="180" customFormat="1" ht="14.25">
      <c r="A140" s="189"/>
      <c r="B140" s="269">
        <v>5005046282</v>
      </c>
      <c r="C140" s="333" t="str">
        <f>IFERROR(IF(VLOOKUP($B140,[1]勘定科目!$A:$H,HLOOKUP($E$5,[1]勘定科目!$F$1:$H$2,2,0),0)="","",VLOOKUP($B140,[1]勘定科目!$A:$E,2,0)),"")</f>
        <v>その他修繕費（製）</v>
      </c>
      <c r="D140" s="334" t="str">
        <f>IF(C140="","",VLOOKUP($B140,[1]勘定科目!$A:$E,4,0))</f>
        <v>修繕費</v>
      </c>
      <c r="E140" s="312"/>
      <c r="F140" s="318"/>
      <c r="G140" s="320"/>
      <c r="H140" s="320"/>
      <c r="I140" s="320"/>
      <c r="J140" s="320"/>
      <c r="K140" s="320"/>
      <c r="L140" s="320"/>
      <c r="M140" s="320">
        <v>1100000</v>
      </c>
      <c r="N140" s="320"/>
      <c r="O140" s="320"/>
      <c r="P140" s="320"/>
      <c r="Q140" s="320"/>
      <c r="R140" s="250">
        <f t="shared" si="4"/>
        <v>1100000</v>
      </c>
      <c r="S140" s="243" t="s">
        <v>775</v>
      </c>
      <c r="T140" s="182"/>
      <c r="U140" s="191"/>
      <c r="V140" s="191"/>
      <c r="W140" s="191"/>
      <c r="BA140"/>
      <c r="BB140"/>
    </row>
    <row r="141" spans="1:54" s="180" customFormat="1" ht="14.25">
      <c r="A141" s="189"/>
      <c r="B141" s="269">
        <v>5005046282</v>
      </c>
      <c r="C141" s="333" t="str">
        <f>IFERROR(IF(VLOOKUP($B141,[1]勘定科目!$A:$H,HLOOKUP($E$5,[1]勘定科目!$F$1:$H$2,2,0),0)="","",VLOOKUP($B141,[1]勘定科目!$A:$E,2,0)),"")</f>
        <v>その他修繕費（製）</v>
      </c>
      <c r="D141" s="334" t="str">
        <f>IF(C141="","",VLOOKUP($B141,[1]勘定科目!$A:$E,4,0))</f>
        <v>修繕費</v>
      </c>
      <c r="E141" s="312"/>
      <c r="F141" s="318"/>
      <c r="G141" s="320"/>
      <c r="H141" s="320"/>
      <c r="I141" s="320"/>
      <c r="J141" s="320"/>
      <c r="K141" s="320"/>
      <c r="L141" s="320"/>
      <c r="M141" s="320"/>
      <c r="N141" s="320">
        <v>1650000.0000000002</v>
      </c>
      <c r="O141" s="320"/>
      <c r="P141" s="320"/>
      <c r="Q141" s="320"/>
      <c r="R141" s="250">
        <f t="shared" si="4"/>
        <v>1650000.0000000002</v>
      </c>
      <c r="S141" s="243" t="s">
        <v>776</v>
      </c>
      <c r="T141" s="182"/>
      <c r="U141" s="191"/>
      <c r="V141" s="191"/>
      <c r="W141" s="191"/>
      <c r="BA141"/>
      <c r="BB141"/>
    </row>
    <row r="142" spans="1:54" s="180" customFormat="1" ht="14.25">
      <c r="A142" s="189"/>
      <c r="B142" s="269">
        <v>5005046282</v>
      </c>
      <c r="C142" s="333" t="str">
        <f>IFERROR(IF(VLOOKUP($B142,[1]勘定科目!$A:$H,HLOOKUP($E$5,[1]勘定科目!$F$1:$H$2,2,0),0)="","",VLOOKUP($B142,[1]勘定科目!$A:$E,2,0)),"")</f>
        <v>その他修繕費（製）</v>
      </c>
      <c r="D142" s="334" t="str">
        <f>IF(C142="","",VLOOKUP($B142,[1]勘定科目!$A:$E,4,0))</f>
        <v>修繕費</v>
      </c>
      <c r="E142" s="312"/>
      <c r="F142" s="318"/>
      <c r="G142" s="320"/>
      <c r="H142" s="320"/>
      <c r="I142" s="320"/>
      <c r="J142" s="320"/>
      <c r="K142" s="320"/>
      <c r="L142" s="320"/>
      <c r="M142" s="320"/>
      <c r="N142" s="320">
        <v>1100000</v>
      </c>
      <c r="O142" s="320"/>
      <c r="P142" s="320"/>
      <c r="Q142" s="320"/>
      <c r="R142" s="250">
        <f t="shared" si="4"/>
        <v>1100000</v>
      </c>
      <c r="S142" s="243" t="s">
        <v>777</v>
      </c>
      <c r="T142" s="182"/>
      <c r="U142" s="191"/>
      <c r="V142" s="191"/>
      <c r="W142" s="191"/>
      <c r="BA142"/>
      <c r="BB142"/>
    </row>
    <row r="143" spans="1:54" s="180" customFormat="1" ht="14.25">
      <c r="A143" s="189"/>
      <c r="B143" s="269">
        <v>5005046282</v>
      </c>
      <c r="C143" s="333" t="str">
        <f>IFERROR(IF(VLOOKUP($B143,[1]勘定科目!$A:$H,HLOOKUP($E$5,[1]勘定科目!$F$1:$H$2,2,0),0)="","",VLOOKUP($B143,[1]勘定科目!$A:$E,2,0)),"")</f>
        <v>その他修繕費（製）</v>
      </c>
      <c r="D143" s="334" t="str">
        <f>IF(C143="","",VLOOKUP($B143,[1]勘定科目!$A:$E,4,0))</f>
        <v>修繕費</v>
      </c>
      <c r="E143" s="312"/>
      <c r="F143" s="318"/>
      <c r="G143" s="320"/>
      <c r="H143" s="320"/>
      <c r="I143" s="320"/>
      <c r="J143" s="320"/>
      <c r="K143" s="320"/>
      <c r="L143" s="320"/>
      <c r="M143" s="320"/>
      <c r="N143" s="320">
        <v>1650000.0000000002</v>
      </c>
      <c r="O143" s="320"/>
      <c r="P143" s="320"/>
      <c r="Q143" s="320"/>
      <c r="R143" s="250">
        <f t="shared" si="4"/>
        <v>1650000.0000000002</v>
      </c>
      <c r="S143" s="243" t="s">
        <v>778</v>
      </c>
      <c r="T143" s="182"/>
      <c r="U143" s="191"/>
      <c r="V143" s="191"/>
      <c r="W143" s="191"/>
      <c r="BA143"/>
      <c r="BB143"/>
    </row>
    <row r="144" spans="1:54" s="180" customFormat="1" ht="14.25">
      <c r="A144" s="189"/>
      <c r="B144" s="269">
        <v>5005046282</v>
      </c>
      <c r="C144" s="333" t="str">
        <f>IFERROR(IF(VLOOKUP($B144,[1]勘定科目!$A:$H,HLOOKUP($E$5,[1]勘定科目!$F$1:$H$2,2,0),0)="","",VLOOKUP($B144,[1]勘定科目!$A:$E,2,0)),"")</f>
        <v>その他修繕費（製）</v>
      </c>
      <c r="D144" s="334" t="str">
        <f>IF(C144="","",VLOOKUP($B144,[1]勘定科目!$A:$E,4,0))</f>
        <v>修繕費</v>
      </c>
      <c r="E144" s="312"/>
      <c r="F144" s="318"/>
      <c r="G144" s="320"/>
      <c r="H144" s="320"/>
      <c r="I144" s="320"/>
      <c r="J144" s="320"/>
      <c r="K144" s="320"/>
      <c r="L144" s="320"/>
      <c r="M144" s="320"/>
      <c r="N144" s="320">
        <v>1650000.0000000002</v>
      </c>
      <c r="O144" s="320"/>
      <c r="P144" s="320"/>
      <c r="Q144" s="320"/>
      <c r="R144" s="250">
        <f t="shared" si="4"/>
        <v>1650000.0000000002</v>
      </c>
      <c r="S144" s="243" t="s">
        <v>779</v>
      </c>
      <c r="T144" s="182"/>
      <c r="U144" s="191"/>
      <c r="V144" s="191"/>
      <c r="W144" s="191"/>
      <c r="BA144"/>
      <c r="BB144"/>
    </row>
    <row r="145" spans="1:54" s="180" customFormat="1" ht="14.25">
      <c r="A145" s="189"/>
      <c r="B145" s="269">
        <v>5005046282</v>
      </c>
      <c r="C145" s="333" t="str">
        <f>IFERROR(IF(VLOOKUP($B145,[1]勘定科目!$A:$H,HLOOKUP($E$5,[1]勘定科目!$F$1:$H$2,2,0),0)="","",VLOOKUP($B145,[1]勘定科目!$A:$E,2,0)),"")</f>
        <v>その他修繕費（製）</v>
      </c>
      <c r="D145" s="334" t="str">
        <f>IF(C145="","",VLOOKUP($B145,[1]勘定科目!$A:$E,4,0))</f>
        <v>修繕費</v>
      </c>
      <c r="E145" s="312"/>
      <c r="F145" s="318"/>
      <c r="G145" s="320"/>
      <c r="H145" s="320"/>
      <c r="I145" s="320"/>
      <c r="J145" s="320"/>
      <c r="K145" s="320"/>
      <c r="L145" s="320"/>
      <c r="M145" s="320"/>
      <c r="N145" s="320">
        <v>2970000.0000000005</v>
      </c>
      <c r="O145" s="320"/>
      <c r="P145" s="320"/>
      <c r="Q145" s="320"/>
      <c r="R145" s="250">
        <f t="shared" si="4"/>
        <v>2970000.0000000005</v>
      </c>
      <c r="S145" s="243" t="s">
        <v>780</v>
      </c>
      <c r="T145" s="182"/>
      <c r="U145" s="191"/>
      <c r="V145" s="191"/>
      <c r="W145" s="191"/>
      <c r="BA145"/>
      <c r="BB145"/>
    </row>
    <row r="146" spans="1:54" s="180" customFormat="1" ht="14.25">
      <c r="A146" s="189"/>
      <c r="B146" s="269">
        <v>5005046282</v>
      </c>
      <c r="C146" s="333" t="str">
        <f>IFERROR(IF(VLOOKUP($B146,[1]勘定科目!$A:$H,HLOOKUP($E$5,[1]勘定科目!$F$1:$H$2,2,0),0)="","",VLOOKUP($B146,[1]勘定科目!$A:$E,2,0)),"")</f>
        <v>その他修繕費（製）</v>
      </c>
      <c r="D146" s="334" t="str">
        <f>IF(C146="","",VLOOKUP($B146,[1]勘定科目!$A:$E,4,0))</f>
        <v>修繕費</v>
      </c>
      <c r="E146" s="312"/>
      <c r="F146" s="318"/>
      <c r="G146" s="320"/>
      <c r="H146" s="320"/>
      <c r="I146" s="320"/>
      <c r="J146" s="320"/>
      <c r="K146" s="320"/>
      <c r="L146" s="320"/>
      <c r="M146" s="320"/>
      <c r="N146" s="320">
        <v>1320000</v>
      </c>
      <c r="O146" s="320"/>
      <c r="P146" s="320"/>
      <c r="Q146" s="320"/>
      <c r="R146" s="250">
        <f t="shared" si="4"/>
        <v>1320000</v>
      </c>
      <c r="S146" s="243" t="s">
        <v>781</v>
      </c>
      <c r="T146" s="182"/>
      <c r="U146" s="191"/>
      <c r="V146" s="191"/>
      <c r="W146" s="191"/>
      <c r="BA146"/>
      <c r="BB146"/>
    </row>
    <row r="147" spans="1:54" s="180" customFormat="1" ht="14.25">
      <c r="A147" s="189"/>
      <c r="B147" s="269">
        <v>5005046282</v>
      </c>
      <c r="C147" s="333" t="str">
        <f>IFERROR(IF(VLOOKUP($B147,[1]勘定科目!$A:$H,HLOOKUP($E$5,[1]勘定科目!$F$1:$H$2,2,0),0)="","",VLOOKUP($B147,[1]勘定科目!$A:$E,2,0)),"")</f>
        <v>その他修繕費（製）</v>
      </c>
      <c r="D147" s="334" t="str">
        <f>IF(C147="","",VLOOKUP($B147,[1]勘定科目!$A:$E,4,0))</f>
        <v>修繕費</v>
      </c>
      <c r="E147" s="312"/>
      <c r="F147" s="318"/>
      <c r="G147" s="320"/>
      <c r="H147" s="320"/>
      <c r="I147" s="320"/>
      <c r="J147" s="320"/>
      <c r="K147" s="320"/>
      <c r="L147" s="320"/>
      <c r="M147" s="320"/>
      <c r="N147" s="320"/>
      <c r="O147" s="320"/>
      <c r="P147" s="320">
        <v>0</v>
      </c>
      <c r="Q147" s="320"/>
      <c r="R147" s="250">
        <f t="shared" si="4"/>
        <v>0</v>
      </c>
      <c r="S147" s="243" t="s">
        <v>782</v>
      </c>
      <c r="T147" s="182"/>
      <c r="U147" s="191"/>
      <c r="V147" s="191"/>
      <c r="W147" s="191"/>
      <c r="BA147"/>
      <c r="BB147"/>
    </row>
    <row r="148" spans="1:54" s="180" customFormat="1" ht="14.25">
      <c r="A148" s="189"/>
      <c r="B148" s="269">
        <v>5005046282</v>
      </c>
      <c r="C148" s="333" t="str">
        <f>IFERROR(IF(VLOOKUP($B148,[1]勘定科目!$A:$H,HLOOKUP($E$5,[1]勘定科目!$F$1:$H$2,2,0),0)="","",VLOOKUP($B148,[1]勘定科目!$A:$E,2,0)),"")</f>
        <v>その他修繕費（製）</v>
      </c>
      <c r="D148" s="334" t="str">
        <f>IF(C148="","",VLOOKUP($B148,[1]勘定科目!$A:$E,4,0))</f>
        <v>修繕費</v>
      </c>
      <c r="E148" s="312"/>
      <c r="F148" s="318"/>
      <c r="G148" s="320"/>
      <c r="H148" s="320"/>
      <c r="I148" s="320"/>
      <c r="J148" s="320"/>
      <c r="K148" s="320">
        <v>935000.00000000012</v>
      </c>
      <c r="L148" s="320"/>
      <c r="M148" s="320"/>
      <c r="N148" s="320"/>
      <c r="O148" s="320"/>
      <c r="P148" s="320"/>
      <c r="Q148" s="320"/>
      <c r="R148" s="250">
        <f t="shared" si="4"/>
        <v>935000.00000000012</v>
      </c>
      <c r="S148" s="243" t="s">
        <v>783</v>
      </c>
      <c r="T148" s="182"/>
      <c r="U148" s="191"/>
      <c r="V148" s="191"/>
      <c r="W148" s="191"/>
      <c r="BA148"/>
      <c r="BB148"/>
    </row>
    <row r="149" spans="1:54" s="180" customFormat="1" ht="14.25">
      <c r="A149" s="189"/>
      <c r="B149" s="269">
        <v>5005046282</v>
      </c>
      <c r="C149" s="333" t="str">
        <f>IFERROR(IF(VLOOKUP($B149,[1]勘定科目!$A:$H,HLOOKUP($E$5,[1]勘定科目!$F$1:$H$2,2,0),0)="","",VLOOKUP($B149,[1]勘定科目!$A:$E,2,0)),"")</f>
        <v>その他修繕費（製）</v>
      </c>
      <c r="D149" s="334" t="str">
        <f>IF(C149="","",VLOOKUP($B149,[1]勘定科目!$A:$E,4,0))</f>
        <v>修繕費</v>
      </c>
      <c r="E149" s="312"/>
      <c r="F149" s="318"/>
      <c r="G149" s="320"/>
      <c r="H149" s="320"/>
      <c r="I149" s="320"/>
      <c r="J149" s="320"/>
      <c r="K149" s="320">
        <v>1100000</v>
      </c>
      <c r="L149" s="320"/>
      <c r="M149" s="320"/>
      <c r="N149" s="320"/>
      <c r="O149" s="320"/>
      <c r="P149" s="320"/>
      <c r="Q149" s="320"/>
      <c r="R149" s="250">
        <f t="shared" si="4"/>
        <v>1100000</v>
      </c>
      <c r="S149" s="243" t="s">
        <v>784</v>
      </c>
      <c r="T149" s="182"/>
      <c r="U149" s="191"/>
      <c r="V149" s="191"/>
      <c r="W149" s="191"/>
      <c r="BA149"/>
      <c r="BB149"/>
    </row>
    <row r="150" spans="1:54" s="180" customFormat="1" ht="14.25">
      <c r="A150" s="189"/>
      <c r="B150" s="269">
        <v>5005046282</v>
      </c>
      <c r="C150" s="333" t="str">
        <f>IFERROR(IF(VLOOKUP($B150,[1]勘定科目!$A:$H,HLOOKUP($E$5,[1]勘定科目!$F$1:$H$2,2,0),0)="","",VLOOKUP($B150,[1]勘定科目!$A:$E,2,0)),"")</f>
        <v>その他修繕費（製）</v>
      </c>
      <c r="D150" s="334" t="str">
        <f>IF(C150="","",VLOOKUP($B150,[1]勘定科目!$A:$E,4,0))</f>
        <v>修繕費</v>
      </c>
      <c r="E150" s="312"/>
      <c r="F150" s="318"/>
      <c r="G150" s="320"/>
      <c r="H150" s="320"/>
      <c r="I150" s="320"/>
      <c r="J150" s="320"/>
      <c r="K150" s="320"/>
      <c r="L150" s="320"/>
      <c r="M150" s="320"/>
      <c r="N150" s="320"/>
      <c r="O150" s="320"/>
      <c r="P150" s="320"/>
      <c r="Q150" s="320"/>
      <c r="R150" s="250">
        <f t="shared" si="4"/>
        <v>0</v>
      </c>
      <c r="S150" s="243"/>
      <c r="T150" s="182"/>
      <c r="U150" s="191"/>
      <c r="V150" s="191"/>
      <c r="W150" s="191"/>
      <c r="BA150"/>
      <c r="BB150"/>
    </row>
    <row r="151" spans="1:54" s="180" customFormat="1" ht="16.5">
      <c r="A151" s="189"/>
      <c r="B151" s="269"/>
      <c r="C151" s="333" t="str">
        <f>IFERROR(IF(VLOOKUP($B151,[1]勘定科目!$A:$H,HLOOKUP($E$5,[1]勘定科目!$F$1:$H$2,2,0),0)="","",VLOOKUP($B151,[1]勘定科目!$A:$E,2,0)),"")</f>
        <v/>
      </c>
      <c r="D151" s="334" t="str">
        <f>IF(C151="","",VLOOKUP($B151,[1]勘定科目!$A:$E,4,0))</f>
        <v/>
      </c>
      <c r="E151" s="312"/>
      <c r="F151" s="323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9">
        <f t="shared" si="4"/>
        <v>0</v>
      </c>
      <c r="S151" s="242" t="s">
        <v>785</v>
      </c>
      <c r="T151" s="182"/>
      <c r="U151" s="191"/>
      <c r="V151" s="191"/>
      <c r="W151" s="191"/>
      <c r="BA151"/>
      <c r="BB151"/>
    </row>
    <row r="152" spans="1:54" s="180" customFormat="1" ht="14.25">
      <c r="A152" s="189"/>
      <c r="B152" s="269">
        <v>5006016244</v>
      </c>
      <c r="C152" s="333" t="str">
        <f>IFERROR(IF(VLOOKUP($B152,[1]勘定科目!$A:$H,HLOOKUP($E$5,[1]勘定科目!$F$1:$H$2,2,0),0)="","",VLOOKUP($B152,[1]勘定科目!$A:$E,2,0)),"")</f>
        <v>減価償却費（製）　工具器具備品</v>
      </c>
      <c r="D152" s="334" t="str">
        <f>IF(C152="","",VLOOKUP($B152,[1]勘定科目!$A:$E,4,0))</f>
        <v>減価償却費</v>
      </c>
      <c r="E152" s="312"/>
      <c r="F152" s="320"/>
      <c r="G152" s="320"/>
      <c r="H152" s="320"/>
      <c r="I152" s="320"/>
      <c r="J152" s="320"/>
      <c r="K152" s="320"/>
      <c r="L152" s="320"/>
      <c r="M152" s="320"/>
      <c r="N152" s="320"/>
      <c r="O152" s="320"/>
      <c r="P152" s="320"/>
      <c r="Q152" s="320"/>
      <c r="R152" s="250">
        <f t="shared" si="4"/>
        <v>0</v>
      </c>
      <c r="S152" s="243" t="s">
        <v>786</v>
      </c>
      <c r="T152" s="182"/>
      <c r="U152" s="191"/>
      <c r="V152" s="191"/>
      <c r="W152" s="191"/>
      <c r="BA152"/>
      <c r="BB152"/>
    </row>
    <row r="153" spans="1:54" s="180" customFormat="1" ht="14.25">
      <c r="A153" s="189"/>
      <c r="B153" s="269">
        <v>5006016244</v>
      </c>
      <c r="C153" s="333" t="str">
        <f>IFERROR(IF(VLOOKUP($B153,[1]勘定科目!$A:$H,HLOOKUP($E$5,[1]勘定科目!$F$1:$H$2,2,0),0)="","",VLOOKUP($B153,[1]勘定科目!$A:$E,2,0)),"")</f>
        <v>減価償却費（製）　工具器具備品</v>
      </c>
      <c r="D153" s="334" t="str">
        <f>IF(C153="","",VLOOKUP($B153,[1]勘定科目!$A:$E,4,0))</f>
        <v>減価償却費</v>
      </c>
      <c r="E153" s="312"/>
      <c r="F153" s="320"/>
      <c r="G153" s="320"/>
      <c r="H153" s="320"/>
      <c r="I153" s="320"/>
      <c r="J153" s="320"/>
      <c r="K153" s="320"/>
      <c r="L153" s="320"/>
      <c r="M153" s="320"/>
      <c r="N153" s="320"/>
      <c r="O153" s="320"/>
      <c r="P153" s="320"/>
      <c r="Q153" s="320"/>
      <c r="R153" s="250">
        <f t="shared" si="4"/>
        <v>0</v>
      </c>
      <c r="S153" s="243" t="s">
        <v>787</v>
      </c>
      <c r="T153" s="182"/>
      <c r="U153" s="191"/>
      <c r="V153" s="191"/>
      <c r="W153" s="191"/>
      <c r="BA153"/>
      <c r="BB153"/>
    </row>
    <row r="154" spans="1:54" s="180" customFormat="1" ht="14.25">
      <c r="A154" s="189"/>
      <c r="B154" s="269">
        <v>5006016244</v>
      </c>
      <c r="C154" s="333" t="str">
        <f>IFERROR(IF(VLOOKUP($B154,[1]勘定科目!$A:$H,HLOOKUP($E$5,[1]勘定科目!$F$1:$H$2,2,0),0)="","",VLOOKUP($B154,[1]勘定科目!$A:$E,2,0)),"")</f>
        <v>減価償却費（製）　工具器具備品</v>
      </c>
      <c r="D154" s="334" t="str">
        <f>IF(C154="","",VLOOKUP($B154,[1]勘定科目!$A:$E,4,0))</f>
        <v>減価償却費</v>
      </c>
      <c r="E154" s="312"/>
      <c r="F154" s="320"/>
      <c r="G154" s="320"/>
      <c r="H154" s="320"/>
      <c r="I154" s="320"/>
      <c r="J154" s="320"/>
      <c r="K154" s="320"/>
      <c r="L154" s="320"/>
      <c r="M154" s="320"/>
      <c r="N154" s="320"/>
      <c r="O154" s="320"/>
      <c r="P154" s="320"/>
      <c r="Q154" s="320"/>
      <c r="R154" s="250">
        <f t="shared" si="4"/>
        <v>0</v>
      </c>
      <c r="S154" s="243" t="s">
        <v>788</v>
      </c>
      <c r="T154" s="182"/>
      <c r="U154" s="191"/>
      <c r="V154" s="191"/>
      <c r="W154" s="191"/>
      <c r="BA154"/>
      <c r="BB154"/>
    </row>
    <row r="155" spans="1:54" s="180" customFormat="1" ht="14.25">
      <c r="A155" s="189"/>
      <c r="B155" s="269">
        <v>5006016244</v>
      </c>
      <c r="C155" s="333" t="str">
        <f>IFERROR(IF(VLOOKUP($B155,[1]勘定科目!$A:$H,HLOOKUP($E$5,[1]勘定科目!$F$1:$H$2,2,0),0)="","",VLOOKUP($B155,[1]勘定科目!$A:$E,2,0)),"")</f>
        <v>減価償却費（製）　工具器具備品</v>
      </c>
      <c r="D155" s="334" t="str">
        <f>IF(C155="","",VLOOKUP($B155,[1]勘定科目!$A:$E,4,0))</f>
        <v>減価償却費</v>
      </c>
      <c r="E155" s="312"/>
      <c r="F155" s="320">
        <v>18875434</v>
      </c>
      <c r="G155" s="320">
        <v>18875434</v>
      </c>
      <c r="H155" s="320">
        <v>18875434</v>
      </c>
      <c r="I155" s="320">
        <v>18875434</v>
      </c>
      <c r="J155" s="320">
        <v>18875434</v>
      </c>
      <c r="K155" s="320">
        <v>18875434</v>
      </c>
      <c r="L155" s="320">
        <v>18875434</v>
      </c>
      <c r="M155" s="320">
        <v>18875434</v>
      </c>
      <c r="N155" s="320">
        <v>18875434</v>
      </c>
      <c r="O155" s="320">
        <v>18875434</v>
      </c>
      <c r="P155" s="320">
        <v>18875434</v>
      </c>
      <c r="Q155" s="320">
        <v>18875434</v>
      </c>
      <c r="R155" s="250">
        <f t="shared" si="4"/>
        <v>226505208</v>
      </c>
      <c r="S155" s="243" t="s">
        <v>789</v>
      </c>
      <c r="T155" s="182"/>
      <c r="U155" s="191"/>
      <c r="V155" s="191"/>
      <c r="W155" s="191"/>
      <c r="BA155"/>
      <c r="BB155"/>
    </row>
    <row r="156" spans="1:54" s="180" customFormat="1" ht="14.25">
      <c r="A156" s="189"/>
      <c r="B156" s="269">
        <v>5006016244</v>
      </c>
      <c r="C156" s="333" t="str">
        <f>IFERROR(IF(VLOOKUP($B156,[1]勘定科目!$A:$H,HLOOKUP($E$5,[1]勘定科目!$F$1:$H$2,2,0),0)="","",VLOOKUP($B156,[1]勘定科目!$A:$E,2,0)),"")</f>
        <v>減価償却費（製）　工具器具備品</v>
      </c>
      <c r="D156" s="334" t="str">
        <f>IF(C156="","",VLOOKUP($B156,[1]勘定科目!$A:$E,4,0))</f>
        <v>減価償却費</v>
      </c>
      <c r="E156" s="312"/>
      <c r="F156" s="320">
        <v>6484860</v>
      </c>
      <c r="G156" s="320">
        <v>6484860</v>
      </c>
      <c r="H156" s="320">
        <v>6484860</v>
      </c>
      <c r="I156" s="320">
        <v>6484860</v>
      </c>
      <c r="J156" s="320">
        <v>6484860</v>
      </c>
      <c r="K156" s="320">
        <v>6484860</v>
      </c>
      <c r="L156" s="320">
        <v>6484860</v>
      </c>
      <c r="M156" s="320">
        <v>6484860</v>
      </c>
      <c r="N156" s="320">
        <v>6484860</v>
      </c>
      <c r="O156" s="320">
        <v>6484860</v>
      </c>
      <c r="P156" s="320">
        <v>6484860</v>
      </c>
      <c r="Q156" s="320">
        <v>6484860</v>
      </c>
      <c r="R156" s="250">
        <f t="shared" si="4"/>
        <v>77818320</v>
      </c>
      <c r="S156" s="243" t="s">
        <v>790</v>
      </c>
      <c r="T156" s="182"/>
      <c r="U156" s="191"/>
      <c r="V156" s="191"/>
      <c r="W156" s="191"/>
      <c r="BA156"/>
      <c r="BB156"/>
    </row>
    <row r="157" spans="1:54" s="180" customFormat="1" ht="14.25">
      <c r="A157" s="189"/>
      <c r="B157" s="269">
        <v>5006016244</v>
      </c>
      <c r="C157" s="333" t="str">
        <f>IFERROR(IF(VLOOKUP($B157,[1]勘定科目!$A:$H,HLOOKUP($E$5,[1]勘定科目!$F$1:$H$2,2,0),0)="","",VLOOKUP($B157,[1]勘定科目!$A:$E,2,0)),"")</f>
        <v>減価償却費（製）　工具器具備品</v>
      </c>
      <c r="D157" s="334" t="str">
        <f>IF(C157="","",VLOOKUP($B157,[1]勘定科目!$A:$E,4,0))</f>
        <v>減価償却費</v>
      </c>
      <c r="E157" s="312"/>
      <c r="F157" s="320">
        <v>17970280</v>
      </c>
      <c r="G157" s="320">
        <v>17970280</v>
      </c>
      <c r="H157" s="320">
        <v>17970280</v>
      </c>
      <c r="I157" s="320">
        <v>17970280</v>
      </c>
      <c r="J157" s="320">
        <v>17970280</v>
      </c>
      <c r="K157" s="320">
        <v>17970280</v>
      </c>
      <c r="L157" s="320">
        <v>17970280</v>
      </c>
      <c r="M157" s="320">
        <v>17970280</v>
      </c>
      <c r="N157" s="320">
        <v>17970280</v>
      </c>
      <c r="O157" s="320">
        <v>17970280</v>
      </c>
      <c r="P157" s="320">
        <v>17970280</v>
      </c>
      <c r="Q157" s="320">
        <v>17970280</v>
      </c>
      <c r="R157" s="250">
        <f t="shared" si="4"/>
        <v>215643360</v>
      </c>
      <c r="S157" s="243" t="s">
        <v>791</v>
      </c>
      <c r="T157" s="182"/>
      <c r="U157" s="191"/>
      <c r="V157" s="191"/>
      <c r="W157" s="191"/>
      <c r="BA157"/>
      <c r="BB157"/>
    </row>
    <row r="158" spans="1:54" s="180" customFormat="1" ht="14.25">
      <c r="A158" s="189"/>
      <c r="B158" s="269">
        <v>5006016244</v>
      </c>
      <c r="C158" s="333" t="str">
        <f>IFERROR(IF(VLOOKUP($B158,[1]勘定科目!$A:$H,HLOOKUP($E$5,[1]勘定科目!$F$1:$H$2,2,0),0)="","",VLOOKUP($B158,[1]勘定科目!$A:$E,2,0)),"")</f>
        <v>減価償却費（製）　工具器具備品</v>
      </c>
      <c r="D158" s="334" t="str">
        <f>IF(C158="","",VLOOKUP($B158,[1]勘定科目!$A:$E,4,0))</f>
        <v>減価償却費</v>
      </c>
      <c r="E158" s="312"/>
      <c r="F158" s="320">
        <v>1018139</v>
      </c>
      <c r="G158" s="320">
        <v>1018139</v>
      </c>
      <c r="H158" s="320">
        <v>1018139</v>
      </c>
      <c r="I158" s="320">
        <v>1018139</v>
      </c>
      <c r="J158" s="320">
        <v>1018139</v>
      </c>
      <c r="K158" s="320">
        <v>1018139</v>
      </c>
      <c r="L158" s="320">
        <v>1018139</v>
      </c>
      <c r="M158" s="320">
        <v>1018139</v>
      </c>
      <c r="N158" s="320">
        <v>1018139</v>
      </c>
      <c r="O158" s="320">
        <v>1018139</v>
      </c>
      <c r="P158" s="320">
        <v>1018139</v>
      </c>
      <c r="Q158" s="320">
        <v>1018139</v>
      </c>
      <c r="R158" s="250">
        <f t="shared" si="4"/>
        <v>12217668</v>
      </c>
      <c r="S158" s="243" t="s">
        <v>792</v>
      </c>
      <c r="T158" s="182"/>
      <c r="U158" s="191"/>
      <c r="V158" s="191"/>
      <c r="W158" s="191"/>
      <c r="BA158"/>
      <c r="BB158"/>
    </row>
    <row r="159" spans="1:54" s="180" customFormat="1" ht="14.25">
      <c r="A159" s="189"/>
      <c r="B159" s="269">
        <v>5006016244</v>
      </c>
      <c r="C159" s="333" t="str">
        <f>IFERROR(IF(VLOOKUP($B159,[1]勘定科目!$A:$H,HLOOKUP($E$5,[1]勘定科目!$F$1:$H$2,2,0),0)="","",VLOOKUP($B159,[1]勘定科目!$A:$E,2,0)),"")</f>
        <v>減価償却費（製）　工具器具備品</v>
      </c>
      <c r="D159" s="334" t="str">
        <f>IF(C159="","",VLOOKUP($B159,[1]勘定科目!$A:$E,4,0))</f>
        <v>減価償却費</v>
      </c>
      <c r="E159" s="312"/>
      <c r="F159" s="320">
        <v>6447029</v>
      </c>
      <c r="G159" s="320">
        <v>6447029</v>
      </c>
      <c r="H159" s="320">
        <v>6447029</v>
      </c>
      <c r="I159" s="320">
        <v>6447029</v>
      </c>
      <c r="J159" s="320">
        <v>6447029</v>
      </c>
      <c r="K159" s="320">
        <v>6447029</v>
      </c>
      <c r="L159" s="320">
        <v>6447029</v>
      </c>
      <c r="M159" s="320">
        <v>6447029</v>
      </c>
      <c r="N159" s="320">
        <v>6447029</v>
      </c>
      <c r="O159" s="320">
        <v>6447029</v>
      </c>
      <c r="P159" s="320">
        <v>6447029</v>
      </c>
      <c r="Q159" s="320">
        <v>6447029</v>
      </c>
      <c r="R159" s="250">
        <f t="shared" si="4"/>
        <v>77364348</v>
      </c>
      <c r="S159" s="243" t="s">
        <v>793</v>
      </c>
      <c r="T159" s="182"/>
      <c r="U159" s="191"/>
      <c r="V159" s="191"/>
      <c r="W159" s="191"/>
      <c r="BA159"/>
      <c r="BB159"/>
    </row>
    <row r="160" spans="1:54" s="180" customFormat="1" ht="14.25">
      <c r="A160" s="189"/>
      <c r="B160" s="269">
        <v>5006016244</v>
      </c>
      <c r="C160" s="333" t="str">
        <f>IFERROR(IF(VLOOKUP($B160,[1]勘定科目!$A:$H,HLOOKUP($E$5,[1]勘定科目!$F$1:$H$2,2,0),0)="","",VLOOKUP($B160,[1]勘定科目!$A:$E,2,0)),"")</f>
        <v>減価償却費（製）　工具器具備品</v>
      </c>
      <c r="D160" s="334" t="str">
        <f>IF(C160="","",VLOOKUP($B160,[1]勘定科目!$A:$E,4,0))</f>
        <v>減価償却費</v>
      </c>
      <c r="E160" s="312"/>
      <c r="F160" s="320">
        <v>9526328</v>
      </c>
      <c r="G160" s="320">
        <v>9526328</v>
      </c>
      <c r="H160" s="320">
        <v>9526328</v>
      </c>
      <c r="I160" s="320">
        <v>9526328</v>
      </c>
      <c r="J160" s="320">
        <v>9526328</v>
      </c>
      <c r="K160" s="320">
        <v>9526328</v>
      </c>
      <c r="L160" s="320">
        <v>9526328</v>
      </c>
      <c r="M160" s="320">
        <v>9526328</v>
      </c>
      <c r="N160" s="320">
        <v>9526328</v>
      </c>
      <c r="O160" s="320">
        <v>9526328</v>
      </c>
      <c r="P160" s="320">
        <v>9526328</v>
      </c>
      <c r="Q160" s="320">
        <v>9526328</v>
      </c>
      <c r="R160" s="250">
        <f t="shared" si="4"/>
        <v>114315936</v>
      </c>
      <c r="S160" s="243" t="s">
        <v>794</v>
      </c>
      <c r="T160" s="182"/>
      <c r="U160" s="191"/>
      <c r="V160" s="191"/>
      <c r="W160" s="191"/>
      <c r="BA160"/>
      <c r="BB160"/>
    </row>
    <row r="161" spans="1:54" s="180" customFormat="1" ht="14.25">
      <c r="A161" s="189"/>
      <c r="B161" s="269">
        <v>5006016244</v>
      </c>
      <c r="C161" s="333" t="str">
        <f>IFERROR(IF(VLOOKUP($B161,[1]勘定科目!$A:$H,HLOOKUP($E$5,[1]勘定科目!$F$1:$H$2,2,0),0)="","",VLOOKUP($B161,[1]勘定科目!$A:$E,2,0)),"")</f>
        <v>減価償却費（製）　工具器具備品</v>
      </c>
      <c r="D161" s="334" t="str">
        <f>IF(C161="","",VLOOKUP($B161,[1]勘定科目!$A:$E,4,0))</f>
        <v>減価償却費</v>
      </c>
      <c r="E161" s="312"/>
      <c r="F161" s="320">
        <v>942985</v>
      </c>
      <c r="G161" s="320">
        <v>942985</v>
      </c>
      <c r="H161" s="320">
        <v>942985</v>
      </c>
      <c r="I161" s="320">
        <v>942985</v>
      </c>
      <c r="J161" s="320">
        <v>942985</v>
      </c>
      <c r="K161" s="320">
        <v>942985</v>
      </c>
      <c r="L161" s="320">
        <v>942985</v>
      </c>
      <c r="M161" s="320">
        <v>942985</v>
      </c>
      <c r="N161" s="320">
        <v>942985</v>
      </c>
      <c r="O161" s="320">
        <v>942985</v>
      </c>
      <c r="P161" s="320">
        <v>942985</v>
      </c>
      <c r="Q161" s="320">
        <v>942731</v>
      </c>
      <c r="R161" s="250">
        <f t="shared" si="4"/>
        <v>11315566</v>
      </c>
      <c r="S161" s="243" t="s">
        <v>795</v>
      </c>
      <c r="T161" s="182"/>
      <c r="U161" s="191"/>
      <c r="V161" s="191"/>
      <c r="W161" s="191"/>
      <c r="BA161"/>
      <c r="BB161"/>
    </row>
    <row r="162" spans="1:54" s="180" customFormat="1" ht="14.25">
      <c r="A162" s="189"/>
      <c r="B162" s="269">
        <v>5006016244</v>
      </c>
      <c r="C162" s="333" t="str">
        <f>IFERROR(IF(VLOOKUP($B162,[1]勘定科目!$A:$H,HLOOKUP($E$5,[1]勘定科目!$F$1:$H$2,2,0),0)="","",VLOOKUP($B162,[1]勘定科目!$A:$E,2,0)),"")</f>
        <v>減価償却費（製）　工具器具備品</v>
      </c>
      <c r="D162" s="334" t="str">
        <f>IF(C162="","",VLOOKUP($B162,[1]勘定科目!$A:$E,4,0))</f>
        <v>減価償却費</v>
      </c>
      <c r="E162" s="312"/>
      <c r="F162" s="320">
        <v>988941</v>
      </c>
      <c r="G162" s="320">
        <v>988941</v>
      </c>
      <c r="H162" s="320">
        <v>988941</v>
      </c>
      <c r="I162" s="320">
        <v>988941</v>
      </c>
      <c r="J162" s="320">
        <v>988941</v>
      </c>
      <c r="K162" s="320">
        <v>988941</v>
      </c>
      <c r="L162" s="320">
        <v>988941</v>
      </c>
      <c r="M162" s="320">
        <v>988941</v>
      </c>
      <c r="N162" s="320">
        <v>988941</v>
      </c>
      <c r="O162" s="320">
        <v>988941</v>
      </c>
      <c r="P162" s="320">
        <v>988941</v>
      </c>
      <c r="Q162" s="320">
        <v>988941</v>
      </c>
      <c r="R162" s="250">
        <f t="shared" si="4"/>
        <v>11867292</v>
      </c>
      <c r="S162" s="243" t="s">
        <v>796</v>
      </c>
      <c r="T162" s="182"/>
      <c r="U162" s="191"/>
      <c r="V162" s="191"/>
      <c r="W162" s="191"/>
      <c r="BA162"/>
      <c r="BB162"/>
    </row>
    <row r="163" spans="1:54" s="180" customFormat="1" ht="14.25">
      <c r="A163" s="189"/>
      <c r="B163" s="269">
        <v>5006016244</v>
      </c>
      <c r="C163" s="333" t="str">
        <f>IFERROR(IF(VLOOKUP($B163,[1]勘定科目!$A:$H,HLOOKUP($E$5,[1]勘定科目!$F$1:$H$2,2,0),0)="","",VLOOKUP($B163,[1]勘定科目!$A:$E,2,0)),"")</f>
        <v>減価償却費（製）　工具器具備品</v>
      </c>
      <c r="D163" s="334" t="str">
        <f>IF(C163="","",VLOOKUP($B163,[1]勘定科目!$A:$E,4,0))</f>
        <v>減価償却費</v>
      </c>
      <c r="E163" s="312"/>
      <c r="F163" s="320">
        <v>4364033</v>
      </c>
      <c r="G163" s="320">
        <v>4364033</v>
      </c>
      <c r="H163" s="320">
        <v>4364033</v>
      </c>
      <c r="I163" s="320">
        <v>4364033</v>
      </c>
      <c r="J163" s="320">
        <v>4364033</v>
      </c>
      <c r="K163" s="320">
        <v>4364033</v>
      </c>
      <c r="L163" s="320">
        <v>4364033</v>
      </c>
      <c r="M163" s="320">
        <v>4364033</v>
      </c>
      <c r="N163" s="320">
        <v>4364033</v>
      </c>
      <c r="O163" s="320">
        <v>4364033</v>
      </c>
      <c r="P163" s="320">
        <v>4364033</v>
      </c>
      <c r="Q163" s="320">
        <v>4364033</v>
      </c>
      <c r="R163" s="250">
        <f t="shared" si="4"/>
        <v>52368396</v>
      </c>
      <c r="S163" s="243" t="s">
        <v>797</v>
      </c>
      <c r="T163" s="182"/>
      <c r="U163" s="191"/>
      <c r="V163" s="191"/>
      <c r="W163" s="191"/>
      <c r="BA163"/>
      <c r="BB163"/>
    </row>
    <row r="164" spans="1:54" s="180" customFormat="1" ht="14.25">
      <c r="A164" s="189"/>
      <c r="B164" s="269">
        <v>5006016244</v>
      </c>
      <c r="C164" s="333" t="str">
        <f>IFERROR(IF(VLOOKUP($B164,[1]勘定科目!$A:$H,HLOOKUP($E$5,[1]勘定科目!$F$1:$H$2,2,0),0)="","",VLOOKUP($B164,[1]勘定科目!$A:$E,2,0)),"")</f>
        <v>減価償却費（製）　工具器具備品</v>
      </c>
      <c r="D164" s="334" t="str">
        <f>IF(C164="","",VLOOKUP($B164,[1]勘定科目!$A:$E,4,0))</f>
        <v>減価償却費</v>
      </c>
      <c r="E164" s="312"/>
      <c r="F164" s="320"/>
      <c r="G164" s="320"/>
      <c r="H164" s="320"/>
      <c r="I164" s="320"/>
      <c r="J164" s="320">
        <v>2715319</v>
      </c>
      <c r="K164" s="320">
        <v>2715319</v>
      </c>
      <c r="L164" s="320">
        <v>2715319</v>
      </c>
      <c r="M164" s="320">
        <v>2715319</v>
      </c>
      <c r="N164" s="320">
        <v>2715319</v>
      </c>
      <c r="O164" s="320">
        <v>2715319</v>
      </c>
      <c r="P164" s="320">
        <v>2715319</v>
      </c>
      <c r="Q164" s="320">
        <v>2715319</v>
      </c>
      <c r="R164" s="250">
        <f t="shared" si="4"/>
        <v>21722552</v>
      </c>
      <c r="S164" s="243" t="s">
        <v>798</v>
      </c>
      <c r="T164" s="182"/>
      <c r="U164" s="191"/>
      <c r="V164" s="191"/>
      <c r="W164" s="191"/>
      <c r="BA164"/>
      <c r="BB164"/>
    </row>
    <row r="165" spans="1:54" s="180" customFormat="1" ht="14.25">
      <c r="A165" s="189"/>
      <c r="B165" s="269">
        <v>5006016244</v>
      </c>
      <c r="C165" s="333" t="str">
        <f>IFERROR(IF(VLOOKUP($B165,[1]勘定科目!$A:$H,HLOOKUP($E$5,[1]勘定科目!$F$1:$H$2,2,0),0)="","",VLOOKUP($B165,[1]勘定科目!$A:$E,2,0)),"")</f>
        <v>減価償却費（製）　工具器具備品</v>
      </c>
      <c r="D165" s="334" t="str">
        <f>IF(C165="","",VLOOKUP($B165,[1]勘定科目!$A:$E,4,0))</f>
        <v>減価償却費</v>
      </c>
      <c r="E165" s="312"/>
      <c r="F165" s="320">
        <v>1224362</v>
      </c>
      <c r="G165" s="320">
        <v>1224362</v>
      </c>
      <c r="H165" s="320">
        <v>1224362</v>
      </c>
      <c r="I165" s="320">
        <v>1224362</v>
      </c>
      <c r="J165" s="320">
        <v>1224362</v>
      </c>
      <c r="K165" s="320">
        <v>1224362</v>
      </c>
      <c r="L165" s="320">
        <v>1224362</v>
      </c>
      <c r="M165" s="320">
        <v>1224362</v>
      </c>
      <c r="N165" s="320">
        <v>1224362</v>
      </c>
      <c r="O165" s="320">
        <v>1224362</v>
      </c>
      <c r="P165" s="320">
        <v>1224362</v>
      </c>
      <c r="Q165" s="320">
        <v>1224362</v>
      </c>
      <c r="R165" s="250">
        <f t="shared" si="4"/>
        <v>14692344</v>
      </c>
      <c r="S165" s="243" t="s">
        <v>799</v>
      </c>
      <c r="T165" s="182"/>
      <c r="U165" s="191"/>
      <c r="V165" s="191"/>
      <c r="W165" s="191"/>
      <c r="BA165"/>
      <c r="BB165"/>
    </row>
    <row r="166" spans="1:54" s="180" customFormat="1" ht="14.25">
      <c r="A166" s="189"/>
      <c r="B166" s="269">
        <v>5006016244</v>
      </c>
      <c r="C166" s="333" t="str">
        <f>IFERROR(IF(VLOOKUP($B166,[1]勘定科目!$A:$H,HLOOKUP($E$5,[1]勘定科目!$F$1:$H$2,2,0),0)="","",VLOOKUP($B166,[1]勘定科目!$A:$E,2,0)),"")</f>
        <v>減価償却費（製）　工具器具備品</v>
      </c>
      <c r="D166" s="334" t="str">
        <f>IF(C166="","",VLOOKUP($B166,[1]勘定科目!$A:$E,4,0))</f>
        <v>減価償却費</v>
      </c>
      <c r="E166" s="312"/>
      <c r="F166" s="320"/>
      <c r="G166" s="320"/>
      <c r="H166" s="320"/>
      <c r="I166" s="320"/>
      <c r="J166" s="320">
        <v>5642222</v>
      </c>
      <c r="K166" s="320">
        <v>5642222</v>
      </c>
      <c r="L166" s="320">
        <v>5642222</v>
      </c>
      <c r="M166" s="320">
        <v>5642222</v>
      </c>
      <c r="N166" s="320">
        <v>5642222</v>
      </c>
      <c r="O166" s="320">
        <v>5642222</v>
      </c>
      <c r="P166" s="320">
        <v>5642222</v>
      </c>
      <c r="Q166" s="320">
        <v>5642222</v>
      </c>
      <c r="R166" s="250">
        <f t="shared" si="4"/>
        <v>45137776</v>
      </c>
      <c r="S166" s="243" t="s">
        <v>800</v>
      </c>
      <c r="T166" s="182"/>
      <c r="U166" s="191"/>
      <c r="V166" s="191"/>
      <c r="W166" s="191"/>
      <c r="BA166"/>
      <c r="BB166"/>
    </row>
    <row r="167" spans="1:54" s="180" customFormat="1" ht="14.25">
      <c r="A167" s="189"/>
      <c r="B167" s="269">
        <v>5006016244</v>
      </c>
      <c r="C167" s="333" t="str">
        <f>IFERROR(IF(VLOOKUP($B167,[1]勘定科目!$A:$H,HLOOKUP($E$5,[1]勘定科目!$F$1:$H$2,2,0),0)="","",VLOOKUP($B167,[1]勘定科目!$A:$E,2,0)),"")</f>
        <v>減価償却費（製）　工具器具備品</v>
      </c>
      <c r="D167" s="334" t="str">
        <f>IF(C167="","",VLOOKUP($B167,[1]勘定科目!$A:$E,4,0))</f>
        <v>減価償却費</v>
      </c>
      <c r="E167" s="312"/>
      <c r="F167" s="320"/>
      <c r="G167" s="320"/>
      <c r="H167" s="320"/>
      <c r="I167" s="320"/>
      <c r="J167" s="320">
        <v>71092000</v>
      </c>
      <c r="K167" s="320">
        <v>71092000</v>
      </c>
      <c r="L167" s="320">
        <v>71092000</v>
      </c>
      <c r="M167" s="320">
        <v>71092000</v>
      </c>
      <c r="N167" s="320">
        <v>71092000</v>
      </c>
      <c r="O167" s="320">
        <v>71092000</v>
      </c>
      <c r="P167" s="320">
        <v>71092000</v>
      </c>
      <c r="Q167" s="320">
        <v>71092000</v>
      </c>
      <c r="R167" s="250">
        <f t="shared" si="4"/>
        <v>568736000</v>
      </c>
      <c r="S167" s="243" t="s">
        <v>801</v>
      </c>
      <c r="T167" s="182"/>
      <c r="U167" s="191"/>
      <c r="V167" s="191"/>
      <c r="W167" s="191"/>
      <c r="BA167"/>
      <c r="BB167"/>
    </row>
    <row r="168" spans="1:54" s="180" customFormat="1" ht="14.25">
      <c r="A168" s="189"/>
      <c r="B168" s="269">
        <v>5006016244</v>
      </c>
      <c r="C168" s="333" t="str">
        <f>IFERROR(IF(VLOOKUP($B168,[1]勘定科目!$A:$H,HLOOKUP($E$5,[1]勘定科目!$F$1:$H$2,2,0),0)="","",VLOOKUP($B168,[1]勘定科目!$A:$E,2,0)),"")</f>
        <v>減価償却費（製）　工具器具備品</v>
      </c>
      <c r="D168" s="334" t="str">
        <f>IF(C168="","",VLOOKUP($B168,[1]勘定科目!$A:$E,4,0))</f>
        <v>減価償却費</v>
      </c>
      <c r="E168" s="312"/>
      <c r="F168" s="320"/>
      <c r="G168" s="320"/>
      <c r="H168" s="320"/>
      <c r="I168" s="320"/>
      <c r="J168" s="320">
        <v>8745444</v>
      </c>
      <c r="K168" s="320">
        <v>8745444</v>
      </c>
      <c r="L168" s="320">
        <v>8745444</v>
      </c>
      <c r="M168" s="320">
        <v>8745444</v>
      </c>
      <c r="N168" s="320">
        <v>8745444</v>
      </c>
      <c r="O168" s="320">
        <v>8745444</v>
      </c>
      <c r="P168" s="320">
        <v>8745444</v>
      </c>
      <c r="Q168" s="320">
        <v>8745444</v>
      </c>
      <c r="R168" s="250">
        <f t="shared" si="4"/>
        <v>69963552</v>
      </c>
      <c r="S168" s="243" t="s">
        <v>802</v>
      </c>
      <c r="T168" s="182"/>
      <c r="U168" s="191"/>
      <c r="V168" s="191"/>
      <c r="W168" s="191"/>
      <c r="BA168"/>
      <c r="BB168"/>
    </row>
    <row r="169" spans="1:54" s="180" customFormat="1" ht="14.25">
      <c r="A169" s="189"/>
      <c r="B169" s="269">
        <v>5006016244</v>
      </c>
      <c r="C169" s="333" t="str">
        <f>IFERROR(IF(VLOOKUP($B169,[1]勘定科目!$A:$H,HLOOKUP($E$5,[1]勘定科目!$F$1:$H$2,2,0),0)="","",VLOOKUP($B169,[1]勘定科目!$A:$E,2,0)),"")</f>
        <v>減価償却費（製）　工具器具備品</v>
      </c>
      <c r="D169" s="334" t="str">
        <f>IF(C169="","",VLOOKUP($B169,[1]勘定科目!$A:$E,4,0))</f>
        <v>減価償却費</v>
      </c>
      <c r="E169" s="312"/>
      <c r="F169" s="320"/>
      <c r="G169" s="320"/>
      <c r="H169" s="320"/>
      <c r="I169" s="320"/>
      <c r="J169" s="320">
        <v>14105556</v>
      </c>
      <c r="K169" s="320">
        <v>14105556</v>
      </c>
      <c r="L169" s="320">
        <v>14105556</v>
      </c>
      <c r="M169" s="320">
        <v>14105556</v>
      </c>
      <c r="N169" s="320">
        <v>14105556</v>
      </c>
      <c r="O169" s="320">
        <v>14105556</v>
      </c>
      <c r="P169" s="320">
        <v>14105556</v>
      </c>
      <c r="Q169" s="320">
        <v>14105556</v>
      </c>
      <c r="R169" s="250">
        <f t="shared" si="4"/>
        <v>112844448</v>
      </c>
      <c r="S169" s="243" t="s">
        <v>803</v>
      </c>
      <c r="T169" s="182"/>
      <c r="U169" s="191"/>
      <c r="V169" s="191"/>
      <c r="W169" s="191"/>
      <c r="BA169"/>
      <c r="BB169"/>
    </row>
    <row r="170" spans="1:54" s="180" customFormat="1" ht="14.25">
      <c r="A170" s="189"/>
      <c r="B170" s="269">
        <v>5006016244</v>
      </c>
      <c r="C170" s="333" t="str">
        <f>IFERROR(IF(VLOOKUP($B170,[1]勘定科目!$A:$H,HLOOKUP($E$5,[1]勘定科目!$F$1:$H$2,2,0),0)="","",VLOOKUP($B170,[1]勘定科目!$A:$E,2,0)),"")</f>
        <v>減価償却費（製）　工具器具備品</v>
      </c>
      <c r="D170" s="334" t="str">
        <f>IF(C170="","",VLOOKUP($B170,[1]勘定科目!$A:$E,4,0))</f>
        <v>減価償却費</v>
      </c>
      <c r="E170" s="312"/>
      <c r="F170" s="320"/>
      <c r="G170" s="320"/>
      <c r="H170" s="320"/>
      <c r="I170" s="320"/>
      <c r="J170" s="320">
        <v>14105556</v>
      </c>
      <c r="K170" s="320">
        <v>14105556</v>
      </c>
      <c r="L170" s="320">
        <v>14105556</v>
      </c>
      <c r="M170" s="320">
        <v>14105556</v>
      </c>
      <c r="N170" s="320">
        <v>14105556</v>
      </c>
      <c r="O170" s="320">
        <v>14105556</v>
      </c>
      <c r="P170" s="320">
        <v>14105556</v>
      </c>
      <c r="Q170" s="320">
        <v>14105556</v>
      </c>
      <c r="R170" s="250">
        <f t="shared" si="4"/>
        <v>112844448</v>
      </c>
      <c r="S170" s="243" t="s">
        <v>804</v>
      </c>
      <c r="T170" s="182"/>
      <c r="U170" s="191"/>
      <c r="V170" s="191"/>
      <c r="W170" s="191"/>
      <c r="BA170"/>
      <c r="BB170"/>
    </row>
    <row r="171" spans="1:54" s="180" customFormat="1" ht="14.25">
      <c r="A171" s="189"/>
      <c r="B171" s="269">
        <v>5006016244</v>
      </c>
      <c r="C171" s="333" t="str">
        <f>IFERROR(IF(VLOOKUP($B171,[1]勘定科目!$A:$H,HLOOKUP($E$5,[1]勘定科目!$F$1:$H$2,2,0),0)="","",VLOOKUP($B171,[1]勘定科目!$A:$E,2,0)),"")</f>
        <v>減価償却費（製）　工具器具備品</v>
      </c>
      <c r="D171" s="334" t="str">
        <f>IF(C171="","",VLOOKUP($B171,[1]勘定科目!$A:$E,4,0))</f>
        <v>減価償却費</v>
      </c>
      <c r="E171" s="312"/>
      <c r="F171" s="320"/>
      <c r="G171" s="320"/>
      <c r="H171" s="320"/>
      <c r="I171" s="320"/>
      <c r="J171" s="320">
        <v>1692667</v>
      </c>
      <c r="K171" s="320">
        <v>1692667</v>
      </c>
      <c r="L171" s="320">
        <v>1692667</v>
      </c>
      <c r="M171" s="320">
        <v>1692667</v>
      </c>
      <c r="N171" s="320">
        <v>1692667</v>
      </c>
      <c r="O171" s="320">
        <v>1692667</v>
      </c>
      <c r="P171" s="320">
        <v>1692667</v>
      </c>
      <c r="Q171" s="320">
        <v>1692667</v>
      </c>
      <c r="R171" s="250">
        <f t="shared" si="4"/>
        <v>13541336</v>
      </c>
      <c r="S171" s="243" t="s">
        <v>805</v>
      </c>
      <c r="T171" s="182"/>
      <c r="U171" s="191"/>
      <c r="V171" s="191"/>
      <c r="W171" s="191"/>
      <c r="BA171"/>
      <c r="BB171"/>
    </row>
    <row r="172" spans="1:54" s="180" customFormat="1" ht="16.5">
      <c r="A172" s="189"/>
      <c r="B172" s="269"/>
      <c r="C172" s="333" t="str">
        <f>IFERROR(IF(VLOOKUP($B172,[1]勘定科目!$A:$H,HLOOKUP($E$5,[1]勘定科目!$F$1:$H$2,2,0),0)="","",VLOOKUP($B172,[1]勘定科目!$A:$E,2,0)),"")</f>
        <v/>
      </c>
      <c r="D172" s="334" t="str">
        <f>IF(C172="","",VLOOKUP($B172,[1]勘定科目!$A:$E,4,0))</f>
        <v/>
      </c>
      <c r="E172" s="312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9">
        <f t="shared" si="4"/>
        <v>0</v>
      </c>
      <c r="S172" s="242" t="s">
        <v>806</v>
      </c>
      <c r="T172" s="182"/>
      <c r="U172" s="191"/>
      <c r="V172" s="191"/>
      <c r="W172" s="191"/>
      <c r="BA172"/>
      <c r="BB172"/>
    </row>
    <row r="173" spans="1:54" s="180" customFormat="1" ht="14.25">
      <c r="A173" s="189"/>
      <c r="B173" s="269">
        <v>9114120007</v>
      </c>
      <c r="C173" s="333" t="str">
        <f>IFERROR(IF(VLOOKUP($B173,[1]勘定科目!$A:$H,HLOOKUP($E$5,[1]勘定科目!$F$1:$H$2,2,0),0)="","",VLOOKUP($B173,[1]勘定科目!$A:$E,2,0)),"")</f>
        <v>社内金利（固定資産）</v>
      </c>
      <c r="D173" s="334" t="str">
        <f>IF(C173="","",VLOOKUP($B173,[1]勘定科目!$A:$E,4,0))</f>
        <v>固定資産金利</v>
      </c>
      <c r="E173" s="312"/>
      <c r="F173" s="320"/>
      <c r="G173" s="320"/>
      <c r="H173" s="320"/>
      <c r="I173" s="320"/>
      <c r="J173" s="320"/>
      <c r="K173" s="320"/>
      <c r="L173" s="320"/>
      <c r="M173" s="320"/>
      <c r="N173" s="320"/>
      <c r="O173" s="320"/>
      <c r="P173" s="320"/>
      <c r="Q173" s="320"/>
      <c r="R173" s="250">
        <f t="shared" si="4"/>
        <v>0</v>
      </c>
      <c r="S173" s="243" t="s">
        <v>786</v>
      </c>
      <c r="T173" s="182"/>
      <c r="U173" s="191"/>
      <c r="V173" s="191"/>
      <c r="W173" s="191"/>
      <c r="BA173"/>
      <c r="BB173"/>
    </row>
    <row r="174" spans="1:54" s="180" customFormat="1" ht="14.25">
      <c r="A174" s="189"/>
      <c r="B174" s="269">
        <v>9114120007</v>
      </c>
      <c r="C174" s="333" t="str">
        <f>IFERROR(IF(VLOOKUP($B174,[1]勘定科目!$A:$H,HLOOKUP($E$5,[1]勘定科目!$F$1:$H$2,2,0),0)="","",VLOOKUP($B174,[1]勘定科目!$A:$E,2,0)),"")</f>
        <v>社内金利（固定資産）</v>
      </c>
      <c r="D174" s="334" t="str">
        <f>IF(C174="","",VLOOKUP($B174,[1]勘定科目!$A:$E,4,0))</f>
        <v>固定資産金利</v>
      </c>
      <c r="E174" s="312"/>
      <c r="F174" s="320"/>
      <c r="G174" s="320"/>
      <c r="H174" s="320"/>
      <c r="I174" s="320"/>
      <c r="J174" s="320"/>
      <c r="K174" s="320"/>
      <c r="L174" s="320"/>
      <c r="M174" s="320"/>
      <c r="N174" s="320"/>
      <c r="O174" s="320"/>
      <c r="P174" s="320"/>
      <c r="Q174" s="320"/>
      <c r="R174" s="250">
        <f t="shared" si="4"/>
        <v>0</v>
      </c>
      <c r="S174" s="243" t="s">
        <v>787</v>
      </c>
      <c r="T174" s="182"/>
      <c r="U174" s="191"/>
      <c r="V174" s="191"/>
      <c r="W174" s="191"/>
      <c r="BA174"/>
      <c r="BB174"/>
    </row>
    <row r="175" spans="1:54" s="180" customFormat="1" ht="14.25">
      <c r="A175" s="189"/>
      <c r="B175" s="269">
        <v>9114120007</v>
      </c>
      <c r="C175" s="333" t="str">
        <f>IFERROR(IF(VLOOKUP($B175,[1]勘定科目!$A:$H,HLOOKUP($E$5,[1]勘定科目!$F$1:$H$2,2,0),0)="","",VLOOKUP($B175,[1]勘定科目!$A:$E,2,0)),"")</f>
        <v>社内金利（固定資産）</v>
      </c>
      <c r="D175" s="334" t="str">
        <f>IF(C175="","",VLOOKUP($B175,[1]勘定科目!$A:$E,4,0))</f>
        <v>固定資産金利</v>
      </c>
      <c r="E175" s="312"/>
      <c r="F175" s="320"/>
      <c r="G175" s="320"/>
      <c r="H175" s="320"/>
      <c r="I175" s="320"/>
      <c r="J175" s="320"/>
      <c r="K175" s="320"/>
      <c r="L175" s="320"/>
      <c r="M175" s="320"/>
      <c r="N175" s="320"/>
      <c r="O175" s="320"/>
      <c r="P175" s="320"/>
      <c r="Q175" s="320"/>
      <c r="R175" s="250">
        <f t="shared" si="4"/>
        <v>0</v>
      </c>
      <c r="S175" s="243" t="s">
        <v>788</v>
      </c>
      <c r="T175" s="182"/>
      <c r="U175" s="191"/>
      <c r="V175" s="191"/>
      <c r="W175" s="191"/>
      <c r="BA175"/>
      <c r="BB175"/>
    </row>
    <row r="176" spans="1:54" s="180" customFormat="1" ht="14.25">
      <c r="A176" s="189"/>
      <c r="B176" s="269">
        <v>9114120007</v>
      </c>
      <c r="C176" s="333" t="str">
        <f>IFERROR(IF(VLOOKUP($B176,[1]勘定科目!$A:$H,HLOOKUP($E$5,[1]勘定科目!$F$1:$H$2,2,0),0)="","",VLOOKUP($B176,[1]勘定科目!$A:$E,2,0)),"")</f>
        <v>社内金利（固定資産）</v>
      </c>
      <c r="D176" s="334" t="str">
        <f>IF(C176="","",VLOOKUP($B176,[1]勘定科目!$A:$E,4,0))</f>
        <v>固定資産金利</v>
      </c>
      <c r="E176" s="312"/>
      <c r="F176" s="320">
        <v>3057718</v>
      </c>
      <c r="G176" s="320">
        <v>2378281</v>
      </c>
      <c r="H176" s="320">
        <v>2378281</v>
      </c>
      <c r="I176" s="320">
        <v>2378281</v>
      </c>
      <c r="J176" s="320">
        <v>2378281</v>
      </c>
      <c r="K176" s="320">
        <v>2378281</v>
      </c>
      <c r="L176" s="320">
        <v>2378281</v>
      </c>
      <c r="M176" s="320">
        <v>2378281</v>
      </c>
      <c r="N176" s="320">
        <v>2378281</v>
      </c>
      <c r="O176" s="320">
        <v>2378281</v>
      </c>
      <c r="P176" s="320">
        <v>2378281</v>
      </c>
      <c r="Q176" s="320">
        <v>2378281</v>
      </c>
      <c r="R176" s="250">
        <f t="shared" si="4"/>
        <v>29218809</v>
      </c>
      <c r="S176" s="243" t="s">
        <v>789</v>
      </c>
      <c r="T176" s="182"/>
      <c r="U176" s="191"/>
      <c r="V176" s="191"/>
      <c r="W176" s="191"/>
      <c r="BA176"/>
      <c r="BB176"/>
    </row>
    <row r="177" spans="1:54" s="180" customFormat="1" ht="14.25">
      <c r="A177" s="189"/>
      <c r="B177" s="269">
        <v>9114120007</v>
      </c>
      <c r="C177" s="333" t="str">
        <f>IFERROR(IF(VLOOKUP($B177,[1]勘定科目!$A:$H,HLOOKUP($E$5,[1]勘定科目!$F$1:$H$2,2,0),0)="","",VLOOKUP($B177,[1]勘定科目!$A:$E,2,0)),"")</f>
        <v>社内金利（固定資産）</v>
      </c>
      <c r="D177" s="334" t="str">
        <f>IF(C177="","",VLOOKUP($B177,[1]勘定科目!$A:$E,4,0))</f>
        <v>固定資産金利</v>
      </c>
      <c r="E177" s="312"/>
      <c r="F177" s="320">
        <v>662171</v>
      </c>
      <c r="G177" s="320">
        <v>428583</v>
      </c>
      <c r="H177" s="320">
        <v>428583</v>
      </c>
      <c r="I177" s="320">
        <v>428583</v>
      </c>
      <c r="J177" s="320">
        <v>428583</v>
      </c>
      <c r="K177" s="320">
        <v>428583</v>
      </c>
      <c r="L177" s="320">
        <v>428583</v>
      </c>
      <c r="M177" s="320">
        <v>428583</v>
      </c>
      <c r="N177" s="320">
        <v>428583</v>
      </c>
      <c r="O177" s="320">
        <v>428583</v>
      </c>
      <c r="P177" s="320">
        <v>428583</v>
      </c>
      <c r="Q177" s="320">
        <v>428583</v>
      </c>
      <c r="R177" s="250">
        <f t="shared" si="4"/>
        <v>5376584</v>
      </c>
      <c r="S177" s="243" t="s">
        <v>790</v>
      </c>
      <c r="T177" s="182"/>
      <c r="U177" s="191"/>
      <c r="V177" s="191"/>
      <c r="W177" s="191"/>
      <c r="BA177"/>
      <c r="BB177"/>
    </row>
    <row r="178" spans="1:54" s="180" customFormat="1" ht="14.25">
      <c r="A178" s="189"/>
      <c r="B178" s="269">
        <v>9114120007</v>
      </c>
      <c r="C178" s="333" t="str">
        <f>IFERROR(IF(VLOOKUP($B178,[1]勘定科目!$A:$H,HLOOKUP($E$5,[1]勘定科目!$F$1:$H$2,2,0),0)="","",VLOOKUP($B178,[1]勘定科目!$A:$E,2,0)),"")</f>
        <v>社内金利（固定資産）</v>
      </c>
      <c r="D178" s="334" t="str">
        <f>IF(C178="","",VLOOKUP($B178,[1]勘定科目!$A:$E,4,0))</f>
        <v>固定資産金利</v>
      </c>
      <c r="E178" s="312"/>
      <c r="F178" s="320">
        <v>2857137</v>
      </c>
      <c r="G178" s="320">
        <v>2210453</v>
      </c>
      <c r="H178" s="320">
        <v>2210453</v>
      </c>
      <c r="I178" s="320">
        <v>2210453</v>
      </c>
      <c r="J178" s="320">
        <v>2210453</v>
      </c>
      <c r="K178" s="320">
        <v>2210453</v>
      </c>
      <c r="L178" s="320">
        <v>2210453</v>
      </c>
      <c r="M178" s="320">
        <v>2210453</v>
      </c>
      <c r="N178" s="320">
        <v>2210453</v>
      </c>
      <c r="O178" s="320">
        <v>2210453</v>
      </c>
      <c r="P178" s="320">
        <v>2210453</v>
      </c>
      <c r="Q178" s="320">
        <v>2210453</v>
      </c>
      <c r="R178" s="250">
        <f t="shared" si="4"/>
        <v>27172120</v>
      </c>
      <c r="S178" s="243" t="s">
        <v>791</v>
      </c>
      <c r="T178" s="182"/>
      <c r="U178" s="191"/>
      <c r="V178" s="191"/>
      <c r="W178" s="191"/>
      <c r="BA178"/>
      <c r="BB178"/>
    </row>
    <row r="179" spans="1:54" s="180" customFormat="1" ht="14.25">
      <c r="A179" s="189"/>
      <c r="B179" s="269">
        <v>9114120007</v>
      </c>
      <c r="C179" s="333" t="str">
        <f>IFERROR(IF(VLOOKUP($B179,[1]勘定科目!$A:$H,HLOOKUP($E$5,[1]勘定科目!$F$1:$H$2,2,0),0)="","",VLOOKUP($B179,[1]勘定科目!$A:$E,2,0)),"")</f>
        <v>社内金利（固定資産）</v>
      </c>
      <c r="D179" s="334" t="str">
        <f>IF(C179="","",VLOOKUP($B179,[1]勘定科目!$A:$E,4,0))</f>
        <v>固定資産金利</v>
      </c>
      <c r="E179" s="312"/>
      <c r="F179" s="320">
        <v>110193</v>
      </c>
      <c r="G179" s="320">
        <v>82518</v>
      </c>
      <c r="H179" s="320">
        <v>82518</v>
      </c>
      <c r="I179" s="320">
        <v>82518</v>
      </c>
      <c r="J179" s="320">
        <v>82518</v>
      </c>
      <c r="K179" s="320">
        <v>82518</v>
      </c>
      <c r="L179" s="320">
        <v>82518</v>
      </c>
      <c r="M179" s="320">
        <v>82518</v>
      </c>
      <c r="N179" s="320">
        <v>82518</v>
      </c>
      <c r="O179" s="320">
        <v>82518</v>
      </c>
      <c r="P179" s="320">
        <v>82518</v>
      </c>
      <c r="Q179" s="320">
        <v>82518</v>
      </c>
      <c r="R179" s="250">
        <f t="shared" ref="R179:R242" si="5">SUM(F179:Q179)</f>
        <v>1017891</v>
      </c>
      <c r="S179" s="243" t="s">
        <v>792</v>
      </c>
      <c r="T179" s="182"/>
      <c r="U179" s="191"/>
      <c r="V179" s="191"/>
      <c r="W179" s="191"/>
      <c r="BA179"/>
      <c r="BB179"/>
    </row>
    <row r="180" spans="1:54" s="180" customFormat="1" ht="14.25">
      <c r="A180" s="189"/>
      <c r="B180" s="269">
        <v>9114120007</v>
      </c>
      <c r="C180" s="333" t="str">
        <f>IFERROR(IF(VLOOKUP($B180,[1]勘定科目!$A:$H,HLOOKUP($E$5,[1]勘定科目!$F$1:$H$2,2,0),0)="","",VLOOKUP($B180,[1]勘定科目!$A:$E,2,0)),"")</f>
        <v>社内金利（固定資産）</v>
      </c>
      <c r="D180" s="334" t="str">
        <f>IF(C180="","",VLOOKUP($B180,[1]勘定科目!$A:$E,4,0))</f>
        <v>固定資産金利</v>
      </c>
      <c r="E180" s="312"/>
      <c r="F180" s="320">
        <v>696956</v>
      </c>
      <c r="G180" s="320">
        <v>561627</v>
      </c>
      <c r="H180" s="320">
        <v>561627</v>
      </c>
      <c r="I180" s="320">
        <v>561627</v>
      </c>
      <c r="J180" s="320">
        <v>561627</v>
      </c>
      <c r="K180" s="320">
        <v>561627</v>
      </c>
      <c r="L180" s="320">
        <v>561627</v>
      </c>
      <c r="M180" s="320">
        <v>561627</v>
      </c>
      <c r="N180" s="320">
        <v>561627</v>
      </c>
      <c r="O180" s="320">
        <v>561627</v>
      </c>
      <c r="P180" s="320">
        <v>561627</v>
      </c>
      <c r="Q180" s="320">
        <v>561627</v>
      </c>
      <c r="R180" s="250">
        <f t="shared" si="5"/>
        <v>6874853</v>
      </c>
      <c r="S180" s="243" t="s">
        <v>793</v>
      </c>
      <c r="T180" s="182"/>
      <c r="U180" s="191"/>
      <c r="V180" s="191"/>
      <c r="W180" s="191"/>
      <c r="BA180"/>
      <c r="BB180"/>
    </row>
    <row r="181" spans="1:54" s="180" customFormat="1" ht="14.25">
      <c r="A181" s="189"/>
      <c r="B181" s="269">
        <v>9114120007</v>
      </c>
      <c r="C181" s="333" t="str">
        <f>IFERROR(IF(VLOOKUP($B181,[1]勘定科目!$A:$H,HLOOKUP($E$5,[1]勘定科目!$F$1:$H$2,2,0),0)="","",VLOOKUP($B181,[1]勘定科目!$A:$E,2,0)),"")</f>
        <v>社内金利（固定資産）</v>
      </c>
      <c r="D181" s="334" t="str">
        <f>IF(C181="","",VLOOKUP($B181,[1]勘定科目!$A:$E,4,0))</f>
        <v>固定資産金利</v>
      </c>
      <c r="E181" s="312"/>
      <c r="F181" s="320">
        <v>1714841</v>
      </c>
      <c r="G181" s="320">
        <v>1486077</v>
      </c>
      <c r="H181" s="320">
        <v>1486077</v>
      </c>
      <c r="I181" s="320">
        <v>1486077</v>
      </c>
      <c r="J181" s="320">
        <v>1486077</v>
      </c>
      <c r="K181" s="320">
        <v>1486077</v>
      </c>
      <c r="L181" s="320">
        <v>1486077</v>
      </c>
      <c r="M181" s="320">
        <v>1486077</v>
      </c>
      <c r="N181" s="320">
        <v>1486077</v>
      </c>
      <c r="O181" s="320">
        <v>1486077</v>
      </c>
      <c r="P181" s="320">
        <v>1486077</v>
      </c>
      <c r="Q181" s="320">
        <v>1486077</v>
      </c>
      <c r="R181" s="250">
        <f t="shared" si="5"/>
        <v>18061688</v>
      </c>
      <c r="S181" s="243" t="s">
        <v>794</v>
      </c>
      <c r="T181" s="182"/>
      <c r="U181" s="191"/>
      <c r="V181" s="191"/>
      <c r="W181" s="191"/>
      <c r="BA181"/>
      <c r="BB181"/>
    </row>
    <row r="182" spans="1:54" s="180" customFormat="1" ht="14.25">
      <c r="A182" s="189"/>
      <c r="B182" s="269">
        <v>9114120007</v>
      </c>
      <c r="C182" s="333" t="str">
        <f>IFERROR(IF(VLOOKUP($B182,[1]勘定科目!$A:$H,HLOOKUP($E$5,[1]勘定科目!$F$1:$H$2,2,0),0)="","",VLOOKUP($B182,[1]勘定科目!$A:$E,2,0)),"")</f>
        <v>社内金利（固定資産）</v>
      </c>
      <c r="D182" s="334" t="str">
        <f>IF(C182="","",VLOOKUP($B182,[1]勘定科目!$A:$E,4,0))</f>
        <v>固定資産金利</v>
      </c>
      <c r="E182" s="312"/>
      <c r="F182" s="320">
        <v>102068</v>
      </c>
      <c r="G182" s="320">
        <v>102068</v>
      </c>
      <c r="H182" s="320">
        <v>102068</v>
      </c>
      <c r="I182" s="320">
        <v>102068</v>
      </c>
      <c r="J182" s="320">
        <v>102068</v>
      </c>
      <c r="K182" s="320">
        <v>102068</v>
      </c>
      <c r="L182" s="320">
        <v>102068</v>
      </c>
      <c r="M182" s="320">
        <v>102068</v>
      </c>
      <c r="N182" s="320">
        <v>102068</v>
      </c>
      <c r="O182" s="320">
        <v>102068</v>
      </c>
      <c r="P182" s="320">
        <v>102068</v>
      </c>
      <c r="Q182" s="320">
        <v>102068</v>
      </c>
      <c r="R182" s="250">
        <f t="shared" si="5"/>
        <v>1224816</v>
      </c>
      <c r="S182" s="243" t="s">
        <v>795</v>
      </c>
      <c r="T182" s="182"/>
      <c r="U182" s="191"/>
      <c r="V182" s="191"/>
      <c r="W182" s="191"/>
      <c r="BA182"/>
      <c r="BB182"/>
    </row>
    <row r="183" spans="1:54" s="180" customFormat="1" ht="14.25">
      <c r="A183" s="189"/>
      <c r="B183" s="269">
        <v>9114120007</v>
      </c>
      <c r="C183" s="333" t="str">
        <f>IFERROR(IF(VLOOKUP($B183,[1]勘定科目!$A:$H,HLOOKUP($E$5,[1]勘定科目!$F$1:$H$2,2,0),0)="","",VLOOKUP($B183,[1]勘定科目!$A:$E,2,0)),"")</f>
        <v>社内金利（固定資産）</v>
      </c>
      <c r="D183" s="334" t="str">
        <f>IF(C183="","",VLOOKUP($B183,[1]勘定科目!$A:$E,4,0))</f>
        <v>固定資産金利</v>
      </c>
      <c r="E183" s="312"/>
      <c r="F183" s="320">
        <v>106892</v>
      </c>
      <c r="G183" s="320">
        <v>80232</v>
      </c>
      <c r="H183" s="320">
        <v>80232</v>
      </c>
      <c r="I183" s="320">
        <v>80232</v>
      </c>
      <c r="J183" s="320">
        <v>80232</v>
      </c>
      <c r="K183" s="320">
        <v>80232</v>
      </c>
      <c r="L183" s="320">
        <v>80232</v>
      </c>
      <c r="M183" s="320">
        <v>80232</v>
      </c>
      <c r="N183" s="320">
        <v>80232</v>
      </c>
      <c r="O183" s="320">
        <v>80232</v>
      </c>
      <c r="P183" s="320">
        <v>80232</v>
      </c>
      <c r="Q183" s="320">
        <v>80232</v>
      </c>
      <c r="R183" s="250">
        <f t="shared" si="5"/>
        <v>989444</v>
      </c>
      <c r="S183" s="243" t="s">
        <v>796</v>
      </c>
      <c r="T183" s="182"/>
      <c r="U183" s="191"/>
      <c r="V183" s="191"/>
      <c r="W183" s="191"/>
      <c r="BA183"/>
      <c r="BB183"/>
    </row>
    <row r="184" spans="1:54" s="180" customFormat="1" ht="14.25">
      <c r="A184" s="189"/>
      <c r="B184" s="269">
        <v>9114120007</v>
      </c>
      <c r="C184" s="333" t="str">
        <f>IFERROR(IF(VLOOKUP($B184,[1]勘定科目!$A:$H,HLOOKUP($E$5,[1]勘定科目!$F$1:$H$2,2,0),0)="","",VLOOKUP($B184,[1]勘定科目!$A:$E,2,0)),"")</f>
        <v>社内金利（固定資産）</v>
      </c>
      <c r="D184" s="334" t="str">
        <f>IF(C184="","",VLOOKUP($B184,[1]勘定科目!$A:$E,4,0))</f>
        <v>固定資産金利</v>
      </c>
      <c r="E184" s="312"/>
      <c r="F184" s="320">
        <v>471746</v>
      </c>
      <c r="G184" s="320">
        <v>353937</v>
      </c>
      <c r="H184" s="320">
        <v>353937</v>
      </c>
      <c r="I184" s="320">
        <v>353937</v>
      </c>
      <c r="J184" s="320">
        <v>353937</v>
      </c>
      <c r="K184" s="320">
        <v>353937</v>
      </c>
      <c r="L184" s="320">
        <v>353937</v>
      </c>
      <c r="M184" s="320">
        <v>353937</v>
      </c>
      <c r="N184" s="320">
        <v>353937</v>
      </c>
      <c r="O184" s="320">
        <v>353937</v>
      </c>
      <c r="P184" s="320">
        <v>353937</v>
      </c>
      <c r="Q184" s="320">
        <v>353937</v>
      </c>
      <c r="R184" s="250">
        <f t="shared" si="5"/>
        <v>4365053</v>
      </c>
      <c r="S184" s="243" t="s">
        <v>797</v>
      </c>
      <c r="T184" s="182"/>
      <c r="U184" s="191"/>
      <c r="V184" s="191"/>
      <c r="W184" s="191"/>
      <c r="BA184"/>
      <c r="BB184"/>
    </row>
    <row r="185" spans="1:54" s="180" customFormat="1" ht="14.25">
      <c r="A185" s="189"/>
      <c r="B185" s="269">
        <v>9114120007</v>
      </c>
      <c r="C185" s="333" t="str">
        <f>IFERROR(IF(VLOOKUP($B185,[1]勘定科目!$A:$H,HLOOKUP($E$5,[1]勘定科目!$F$1:$H$2,2,0),0)="","",VLOOKUP($B185,[1]勘定科目!$A:$E,2,0)),"")</f>
        <v>社内金利（固定資産）</v>
      </c>
      <c r="D185" s="334" t="str">
        <f>IF(C185="","",VLOOKUP($B185,[1]勘定科目!$A:$E,4,0))</f>
        <v>固定資産金利</v>
      </c>
      <c r="E185" s="312"/>
      <c r="F185" s="320"/>
      <c r="G185" s="320"/>
      <c r="H185" s="320"/>
      <c r="I185" s="320"/>
      <c r="J185" s="320"/>
      <c r="K185" s="320">
        <v>293255</v>
      </c>
      <c r="L185" s="320">
        <v>293255</v>
      </c>
      <c r="M185" s="320">
        <v>293255</v>
      </c>
      <c r="N185" s="320">
        <v>293255</v>
      </c>
      <c r="O185" s="320">
        <v>293255</v>
      </c>
      <c r="P185" s="320">
        <v>293255</v>
      </c>
      <c r="Q185" s="320">
        <v>293255</v>
      </c>
      <c r="R185" s="250">
        <f t="shared" si="5"/>
        <v>2052785</v>
      </c>
      <c r="S185" s="243" t="s">
        <v>798</v>
      </c>
      <c r="T185" s="182"/>
      <c r="U185" s="191"/>
      <c r="V185" s="191"/>
      <c r="W185" s="191"/>
      <c r="BA185"/>
      <c r="BB185"/>
    </row>
    <row r="186" spans="1:54" s="180" customFormat="1" ht="14.25">
      <c r="A186" s="189"/>
      <c r="B186" s="269">
        <v>9114120007</v>
      </c>
      <c r="C186" s="333" t="str">
        <f>IFERROR(IF(VLOOKUP($B186,[1]勘定科目!$A:$H,HLOOKUP($E$5,[1]勘定科目!$F$1:$H$2,2,0),0)="","",VLOOKUP($B186,[1]勘定科目!$A:$E,2,0)),"")</f>
        <v>社内金利（固定資産）</v>
      </c>
      <c r="D186" s="334" t="str">
        <f>IF(C186="","",VLOOKUP($B186,[1]勘定科目!$A:$E,4,0))</f>
        <v>固定資産金利</v>
      </c>
      <c r="E186" s="312"/>
      <c r="F186" s="320">
        <v>132231</v>
      </c>
      <c r="G186" s="320">
        <v>132231</v>
      </c>
      <c r="H186" s="320">
        <v>132231</v>
      </c>
      <c r="I186" s="320">
        <v>132231</v>
      </c>
      <c r="J186" s="320">
        <v>132231</v>
      </c>
      <c r="K186" s="320">
        <v>132231</v>
      </c>
      <c r="L186" s="320">
        <v>132231</v>
      </c>
      <c r="M186" s="320">
        <v>132231</v>
      </c>
      <c r="N186" s="320">
        <v>132231</v>
      </c>
      <c r="O186" s="320">
        <v>132231</v>
      </c>
      <c r="P186" s="320">
        <v>132231</v>
      </c>
      <c r="Q186" s="320">
        <v>132231</v>
      </c>
      <c r="R186" s="250">
        <f t="shared" si="5"/>
        <v>1586772</v>
      </c>
      <c r="S186" s="243" t="s">
        <v>799</v>
      </c>
      <c r="T186" s="182"/>
      <c r="U186" s="191"/>
      <c r="V186" s="191"/>
      <c r="W186" s="191"/>
      <c r="BA186"/>
      <c r="BB186"/>
    </row>
    <row r="187" spans="1:54" s="180" customFormat="1" ht="14.25">
      <c r="A187" s="189"/>
      <c r="B187" s="269">
        <v>9114120007</v>
      </c>
      <c r="C187" s="333" t="str">
        <f>IFERROR(IF(VLOOKUP($B187,[1]勘定科目!$A:$H,HLOOKUP($E$5,[1]勘定科目!$F$1:$H$2,2,0),0)="","",VLOOKUP($B187,[1]勘定科目!$A:$E,2,0)),"")</f>
        <v>社内金利（固定資産）</v>
      </c>
      <c r="D187" s="334" t="str">
        <f>IF(C187="","",VLOOKUP($B187,[1]勘定科目!$A:$E,4,0))</f>
        <v>固定資産金利</v>
      </c>
      <c r="E187" s="312"/>
      <c r="F187" s="320"/>
      <c r="G187" s="320"/>
      <c r="H187" s="320"/>
      <c r="I187" s="320"/>
      <c r="J187" s="320"/>
      <c r="K187" s="320">
        <v>609360</v>
      </c>
      <c r="L187" s="320">
        <v>609360</v>
      </c>
      <c r="M187" s="320">
        <v>609360</v>
      </c>
      <c r="N187" s="320">
        <v>609360</v>
      </c>
      <c r="O187" s="320">
        <v>609360</v>
      </c>
      <c r="P187" s="320">
        <v>609360</v>
      </c>
      <c r="Q187" s="320">
        <v>609360</v>
      </c>
      <c r="R187" s="250">
        <f t="shared" si="5"/>
        <v>4265520</v>
      </c>
      <c r="S187" s="243" t="s">
        <v>800</v>
      </c>
      <c r="T187" s="182"/>
      <c r="U187" s="191"/>
      <c r="V187" s="191"/>
      <c r="W187" s="191"/>
      <c r="BA187"/>
      <c r="BB187"/>
    </row>
    <row r="188" spans="1:54" s="180" customFormat="1" ht="14.25">
      <c r="A188" s="189"/>
      <c r="B188" s="269">
        <v>9114120007</v>
      </c>
      <c r="C188" s="333" t="str">
        <f>IFERROR(IF(VLOOKUP($B188,[1]勘定科目!$A:$H,HLOOKUP($E$5,[1]勘定科目!$F$1:$H$2,2,0),0)="","",VLOOKUP($B188,[1]勘定科目!$A:$E,2,0)),"")</f>
        <v>社内金利（固定資産）</v>
      </c>
      <c r="D188" s="334" t="str">
        <f>IF(C188="","",VLOOKUP($B188,[1]勘定科目!$A:$E,4,0))</f>
        <v>固定資産金利</v>
      </c>
      <c r="E188" s="312"/>
      <c r="F188" s="320"/>
      <c r="G188" s="320"/>
      <c r="H188" s="320"/>
      <c r="I188" s="320"/>
      <c r="J188" s="320"/>
      <c r="K188" s="320">
        <v>12796560</v>
      </c>
      <c r="L188" s="320">
        <v>12796560</v>
      </c>
      <c r="M188" s="320">
        <v>12796560</v>
      </c>
      <c r="N188" s="320">
        <v>12796560</v>
      </c>
      <c r="O188" s="320">
        <v>12796560</v>
      </c>
      <c r="P188" s="320">
        <v>12796560</v>
      </c>
      <c r="Q188" s="320">
        <v>12796560</v>
      </c>
      <c r="R188" s="250">
        <f t="shared" si="5"/>
        <v>89575920</v>
      </c>
      <c r="S188" s="243" t="s">
        <v>801</v>
      </c>
      <c r="T188" s="182"/>
      <c r="U188" s="191"/>
      <c r="V188" s="191"/>
      <c r="W188" s="191"/>
      <c r="BA188"/>
      <c r="BB188"/>
    </row>
    <row r="189" spans="1:54" s="180" customFormat="1" ht="14.25">
      <c r="A189" s="189"/>
      <c r="B189" s="269">
        <v>9114120007</v>
      </c>
      <c r="C189" s="333" t="str">
        <f>IFERROR(IF(VLOOKUP($B189,[1]勘定科目!$A:$H,HLOOKUP($E$5,[1]勘定科目!$F$1:$H$2,2,0),0)="","",VLOOKUP($B189,[1]勘定科目!$A:$E,2,0)),"")</f>
        <v>社内金利（固定資産）</v>
      </c>
      <c r="D189" s="334" t="str">
        <f>IF(C189="","",VLOOKUP($B189,[1]勘定科目!$A:$E,4,0))</f>
        <v>固定資産金利</v>
      </c>
      <c r="E189" s="312"/>
      <c r="F189" s="320"/>
      <c r="G189" s="320"/>
      <c r="H189" s="320"/>
      <c r="I189" s="320"/>
      <c r="J189" s="320"/>
      <c r="K189" s="320">
        <v>944508</v>
      </c>
      <c r="L189" s="320">
        <v>944508</v>
      </c>
      <c r="M189" s="320">
        <v>944508</v>
      </c>
      <c r="N189" s="320">
        <v>944508</v>
      </c>
      <c r="O189" s="320">
        <v>944508</v>
      </c>
      <c r="P189" s="320">
        <v>944508</v>
      </c>
      <c r="Q189" s="320">
        <v>944508</v>
      </c>
      <c r="R189" s="250">
        <f t="shared" si="5"/>
        <v>6611556</v>
      </c>
      <c r="S189" s="243" t="s">
        <v>802</v>
      </c>
      <c r="T189" s="182"/>
      <c r="U189" s="191"/>
      <c r="V189" s="191"/>
      <c r="W189" s="191"/>
      <c r="BA189"/>
      <c r="BB189"/>
    </row>
    <row r="190" spans="1:54" s="180" customFormat="1" ht="14.25">
      <c r="A190" s="189"/>
      <c r="B190" s="269">
        <v>9114120007</v>
      </c>
      <c r="C190" s="333" t="str">
        <f>IFERROR(IF(VLOOKUP($B190,[1]勘定科目!$A:$H,HLOOKUP($E$5,[1]勘定科目!$F$1:$H$2,2,0),0)="","",VLOOKUP($B190,[1]勘定科目!$A:$E,2,0)),"")</f>
        <v>社内金利（固定資産）</v>
      </c>
      <c r="D190" s="334" t="str">
        <f>IF(C190="","",VLOOKUP($B190,[1]勘定科目!$A:$E,4,0))</f>
        <v>固定資産金利</v>
      </c>
      <c r="E190" s="312"/>
      <c r="F190" s="320"/>
      <c r="G190" s="320"/>
      <c r="H190" s="320"/>
      <c r="I190" s="320"/>
      <c r="J190" s="320"/>
      <c r="K190" s="320">
        <v>1523400</v>
      </c>
      <c r="L190" s="320">
        <v>1523400</v>
      </c>
      <c r="M190" s="320">
        <v>1523400</v>
      </c>
      <c r="N190" s="320">
        <v>1523400</v>
      </c>
      <c r="O190" s="320">
        <v>1523400</v>
      </c>
      <c r="P190" s="320">
        <v>1523400</v>
      </c>
      <c r="Q190" s="320">
        <v>1523400</v>
      </c>
      <c r="R190" s="250">
        <f t="shared" si="5"/>
        <v>10663800</v>
      </c>
      <c r="S190" s="243" t="s">
        <v>803</v>
      </c>
      <c r="T190" s="182"/>
      <c r="U190" s="191"/>
      <c r="V190" s="191"/>
      <c r="W190" s="191"/>
      <c r="BA190"/>
      <c r="BB190"/>
    </row>
    <row r="191" spans="1:54" s="180" customFormat="1" ht="14.25">
      <c r="A191" s="189"/>
      <c r="B191" s="269">
        <v>9114120007</v>
      </c>
      <c r="C191" s="333" t="str">
        <f>IFERROR(IF(VLOOKUP($B191,[1]勘定科目!$A:$H,HLOOKUP($E$5,[1]勘定科目!$F$1:$H$2,2,0),0)="","",VLOOKUP($B191,[1]勘定科目!$A:$E,2,0)),"")</f>
        <v>社内金利（固定資産）</v>
      </c>
      <c r="D191" s="334" t="str">
        <f>IF(C191="","",VLOOKUP($B191,[1]勘定科目!$A:$E,4,0))</f>
        <v>固定資産金利</v>
      </c>
      <c r="E191" s="312"/>
      <c r="F191" s="320"/>
      <c r="G191" s="320"/>
      <c r="H191" s="320"/>
      <c r="I191" s="320"/>
      <c r="J191" s="320"/>
      <c r="K191" s="320">
        <v>1523400</v>
      </c>
      <c r="L191" s="320">
        <v>1523400</v>
      </c>
      <c r="M191" s="320">
        <v>1523400</v>
      </c>
      <c r="N191" s="320">
        <v>1523400</v>
      </c>
      <c r="O191" s="320">
        <v>1523400</v>
      </c>
      <c r="P191" s="320">
        <v>1523400</v>
      </c>
      <c r="Q191" s="320">
        <v>1523400</v>
      </c>
      <c r="R191" s="250">
        <f t="shared" si="5"/>
        <v>10663800</v>
      </c>
      <c r="S191" s="243" t="s">
        <v>804</v>
      </c>
      <c r="T191" s="182"/>
      <c r="U191" s="191"/>
      <c r="V191" s="191"/>
      <c r="W191" s="191"/>
      <c r="BA191"/>
      <c r="BB191"/>
    </row>
    <row r="192" spans="1:54" s="180" customFormat="1" ht="14.25">
      <c r="A192" s="189"/>
      <c r="B192" s="269">
        <v>9114120007</v>
      </c>
      <c r="C192" s="333" t="str">
        <f>IFERROR(IF(VLOOKUP($B192,[1]勘定科目!$A:$H,HLOOKUP($E$5,[1]勘定科目!$F$1:$H$2,2,0),0)="","",VLOOKUP($B192,[1]勘定科目!$A:$E,2,0)),"")</f>
        <v>社内金利（固定資産）</v>
      </c>
      <c r="D192" s="334" t="str">
        <f>IF(C192="","",VLOOKUP($B192,[1]勘定科目!$A:$E,4,0))</f>
        <v>固定資産金利</v>
      </c>
      <c r="E192" s="312"/>
      <c r="F192" s="320"/>
      <c r="G192" s="320"/>
      <c r="H192" s="320"/>
      <c r="I192" s="320"/>
      <c r="J192" s="320"/>
      <c r="K192" s="320">
        <v>182808</v>
      </c>
      <c r="L192" s="320">
        <v>182808</v>
      </c>
      <c r="M192" s="320">
        <v>182808</v>
      </c>
      <c r="N192" s="320">
        <v>182808</v>
      </c>
      <c r="O192" s="320">
        <v>182808</v>
      </c>
      <c r="P192" s="320">
        <v>182808</v>
      </c>
      <c r="Q192" s="320">
        <v>182808</v>
      </c>
      <c r="R192" s="250">
        <f t="shared" si="5"/>
        <v>1279656</v>
      </c>
      <c r="S192" s="243" t="s">
        <v>805</v>
      </c>
      <c r="T192" s="182"/>
      <c r="U192" s="191"/>
      <c r="V192" s="191"/>
      <c r="W192" s="191"/>
      <c r="BA192"/>
      <c r="BB192"/>
    </row>
    <row r="193" spans="1:54" s="180" customFormat="1" ht="16.5">
      <c r="A193" s="189"/>
      <c r="B193" s="269"/>
      <c r="C193" s="333" t="str">
        <f>IFERROR(IF(VLOOKUP($B193,[1]勘定科目!$A:$H,HLOOKUP($E$5,[1]勘定科目!$F$1:$H$2,2,0),0)="","",VLOOKUP($B193,[1]勘定科目!$A:$E,2,0)),"")</f>
        <v/>
      </c>
      <c r="D193" s="334" t="str">
        <f>IF(C193="","",VLOOKUP($B193,[1]勘定科目!$A:$E,4,0))</f>
        <v/>
      </c>
      <c r="E193" s="312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9">
        <f t="shared" si="5"/>
        <v>0</v>
      </c>
      <c r="S193" s="242" t="s">
        <v>807</v>
      </c>
      <c r="T193" s="182"/>
      <c r="U193" s="191"/>
      <c r="V193" s="191"/>
      <c r="W193" s="191"/>
      <c r="BA193"/>
      <c r="BB193"/>
    </row>
    <row r="194" spans="1:54" s="180" customFormat="1" ht="14.25">
      <c r="A194" s="189"/>
      <c r="B194" s="319">
        <v>5005026371</v>
      </c>
      <c r="C194" s="333" t="str">
        <f>IFERROR(IF(VLOOKUP($B194,[1]勘定科目!$A:$H,HLOOKUP($E$5,[1]勘定科目!$F$1:$H$2,2,0),0)="","",VLOOKUP($B194,[1]勘定科目!$A:$E,2,0)),"")</f>
        <v>消耗工具器具備品費（製）</v>
      </c>
      <c r="D194" s="334" t="str">
        <f>IF(C194="","",VLOOKUP($B194,[1]勘定科目!$A:$E,4,0))</f>
        <v>消耗工具器具備品費</v>
      </c>
      <c r="E194" s="312"/>
      <c r="F194" s="321"/>
      <c r="G194" s="321"/>
      <c r="H194" s="321">
        <v>50000000</v>
      </c>
      <c r="I194" s="321"/>
      <c r="J194" s="321"/>
      <c r="K194" s="321"/>
      <c r="L194" s="321"/>
      <c r="M194" s="321"/>
      <c r="N194" s="321"/>
      <c r="O194" s="321"/>
      <c r="P194" s="321"/>
      <c r="Q194" s="321"/>
      <c r="R194" s="250">
        <f t="shared" si="5"/>
        <v>50000000</v>
      </c>
      <c r="S194" s="243" t="s">
        <v>808</v>
      </c>
      <c r="T194" s="182"/>
      <c r="U194" s="191"/>
      <c r="V194" s="191"/>
      <c r="W194" s="191"/>
      <c r="BA194"/>
      <c r="BB194"/>
    </row>
    <row r="195" spans="1:54" s="180" customFormat="1" ht="14.25">
      <c r="A195" s="189"/>
      <c r="B195" s="319">
        <v>5005026371</v>
      </c>
      <c r="C195" s="333" t="str">
        <f>IFERROR(IF(VLOOKUP($B195,[1]勘定科目!$A:$H,HLOOKUP($E$5,[1]勘定科目!$F$1:$H$2,2,0),0)="","",VLOOKUP($B195,[1]勘定科目!$A:$E,2,0)),"")</f>
        <v>消耗工具器具備品費（製）</v>
      </c>
      <c r="D195" s="334" t="str">
        <f>IF(C195="","",VLOOKUP($B195,[1]勘定科目!$A:$E,4,0))</f>
        <v>消耗工具器具備品費</v>
      </c>
      <c r="E195" s="312"/>
      <c r="F195" s="324"/>
      <c r="G195" s="325"/>
      <c r="H195" s="325"/>
      <c r="I195" s="325"/>
      <c r="J195" s="320">
        <v>9200000</v>
      </c>
      <c r="K195" s="325"/>
      <c r="L195" s="325"/>
      <c r="M195" s="325"/>
      <c r="N195" s="325"/>
      <c r="O195" s="325"/>
      <c r="P195" s="325"/>
      <c r="Q195" s="325"/>
      <c r="R195" s="250">
        <f t="shared" si="5"/>
        <v>9200000</v>
      </c>
      <c r="S195" s="243" t="s">
        <v>809</v>
      </c>
      <c r="T195" s="182"/>
      <c r="U195" s="191"/>
      <c r="V195" s="191"/>
      <c r="W195" s="191"/>
      <c r="BA195"/>
      <c r="BB195"/>
    </row>
    <row r="196" spans="1:54" s="180" customFormat="1" ht="14.25">
      <c r="A196" s="189"/>
      <c r="B196" s="319">
        <v>5005026371</v>
      </c>
      <c r="C196" s="333" t="str">
        <f>IFERROR(IF(VLOOKUP($B196,[1]勘定科目!$A:$H,HLOOKUP($E$5,[1]勘定科目!$F$1:$H$2,2,0),0)="","",VLOOKUP($B196,[1]勘定科目!$A:$E,2,0)),"")</f>
        <v>消耗工具器具備品費（製）</v>
      </c>
      <c r="D196" s="334" t="str">
        <f>IF(C196="","",VLOOKUP($B196,[1]勘定科目!$A:$E,4,0))</f>
        <v>消耗工具器具備品費</v>
      </c>
      <c r="E196" s="312"/>
      <c r="F196" s="324"/>
      <c r="G196" s="325"/>
      <c r="H196" s="325"/>
      <c r="I196" s="325"/>
      <c r="J196" s="320">
        <v>4500000</v>
      </c>
      <c r="K196" s="325"/>
      <c r="L196" s="325"/>
      <c r="M196" s="325"/>
      <c r="N196" s="325"/>
      <c r="O196" s="325"/>
      <c r="P196" s="325"/>
      <c r="Q196" s="325"/>
      <c r="R196" s="250">
        <f t="shared" si="5"/>
        <v>4500000</v>
      </c>
      <c r="S196" s="243" t="s">
        <v>810</v>
      </c>
      <c r="T196" s="182"/>
      <c r="U196" s="191"/>
      <c r="V196" s="191"/>
      <c r="W196" s="191"/>
      <c r="BA196"/>
      <c r="BB196"/>
    </row>
    <row r="197" spans="1:54" s="180" customFormat="1" ht="14.25">
      <c r="A197" s="189"/>
      <c r="B197" s="319">
        <v>5005026371</v>
      </c>
      <c r="C197" s="333" t="str">
        <f>IFERROR(IF(VLOOKUP($B197,[1]勘定科目!$A:$H,HLOOKUP($E$5,[1]勘定科目!$F$1:$H$2,2,0),0)="","",VLOOKUP($B197,[1]勘定科目!$A:$E,2,0)),"")</f>
        <v>消耗工具器具備品費（製）</v>
      </c>
      <c r="D197" s="334" t="str">
        <f>IF(C197="","",VLOOKUP($B197,[1]勘定科目!$A:$E,4,0))</f>
        <v>消耗工具器具備品費</v>
      </c>
      <c r="E197" s="312"/>
      <c r="F197" s="324"/>
      <c r="G197" s="325"/>
      <c r="H197" s="325"/>
      <c r="I197" s="325"/>
      <c r="J197" s="320">
        <v>440000</v>
      </c>
      <c r="K197" s="325"/>
      <c r="L197" s="325"/>
      <c r="M197" s="325"/>
      <c r="N197" s="325"/>
      <c r="O197" s="325"/>
      <c r="P197" s="325"/>
      <c r="Q197" s="325"/>
      <c r="R197" s="250">
        <f t="shared" si="5"/>
        <v>440000</v>
      </c>
      <c r="S197" s="243" t="s">
        <v>811</v>
      </c>
      <c r="T197" s="182"/>
      <c r="U197" s="191"/>
      <c r="V197" s="191"/>
      <c r="W197" s="191"/>
      <c r="BA197"/>
      <c r="BB197"/>
    </row>
    <row r="198" spans="1:54" s="180" customFormat="1" ht="14.25">
      <c r="A198" s="189"/>
      <c r="B198" s="319">
        <v>5005026371</v>
      </c>
      <c r="C198" s="333" t="str">
        <f>IFERROR(IF(VLOOKUP($B198,[1]勘定科目!$A:$H,HLOOKUP($E$5,[1]勘定科目!$F$1:$H$2,2,0),0)="","",VLOOKUP($B198,[1]勘定科目!$A:$E,2,0)),"")</f>
        <v>消耗工具器具備品費（製）</v>
      </c>
      <c r="D198" s="334" t="str">
        <f>IF(C198="","",VLOOKUP($B198,[1]勘定科目!$A:$E,4,0))</f>
        <v>消耗工具器具備品費</v>
      </c>
      <c r="E198" s="312"/>
      <c r="F198" s="324"/>
      <c r="G198" s="325"/>
      <c r="H198" s="325"/>
      <c r="I198" s="325"/>
      <c r="J198" s="320">
        <v>260000</v>
      </c>
      <c r="K198" s="325"/>
      <c r="L198" s="325"/>
      <c r="M198" s="325"/>
      <c r="N198" s="325"/>
      <c r="O198" s="325"/>
      <c r="P198" s="325"/>
      <c r="Q198" s="325"/>
      <c r="R198" s="250">
        <f t="shared" si="5"/>
        <v>260000</v>
      </c>
      <c r="S198" s="243" t="s">
        <v>812</v>
      </c>
      <c r="T198" s="182"/>
      <c r="U198" s="191"/>
      <c r="V198" s="191"/>
      <c r="W198" s="191"/>
      <c r="BA198"/>
      <c r="BB198"/>
    </row>
    <row r="199" spans="1:54" s="180" customFormat="1" ht="14.25">
      <c r="A199" s="189"/>
      <c r="B199" s="269">
        <v>5005026371</v>
      </c>
      <c r="C199" s="333" t="str">
        <f>IFERROR(IF(VLOOKUP($B199,[1]勘定科目!$A:$H,HLOOKUP($E$5,[1]勘定科目!$F$1:$H$2,2,0),0)="","",VLOOKUP($B199,[1]勘定科目!$A:$E,2,0)),"")</f>
        <v>消耗工具器具備品費（製）</v>
      </c>
      <c r="D199" s="334" t="str">
        <f>IF(C199="","",VLOOKUP($B199,[1]勘定科目!$A:$E,4,0))</f>
        <v>消耗工具器具備品費</v>
      </c>
      <c r="E199" s="312"/>
      <c r="F199" s="320"/>
      <c r="G199" s="320"/>
      <c r="H199" s="320"/>
      <c r="I199" s="320">
        <v>6000000</v>
      </c>
      <c r="J199" s="320"/>
      <c r="K199" s="320"/>
      <c r="L199" s="320"/>
      <c r="M199" s="320"/>
      <c r="N199" s="320"/>
      <c r="O199" s="320"/>
      <c r="P199" s="320"/>
      <c r="Q199" s="320"/>
      <c r="R199" s="250">
        <f t="shared" si="5"/>
        <v>6000000</v>
      </c>
      <c r="S199" s="243" t="s">
        <v>813</v>
      </c>
      <c r="T199" s="182"/>
      <c r="U199" s="191"/>
      <c r="V199" s="191"/>
      <c r="W199" s="191"/>
      <c r="BA199"/>
      <c r="BB199"/>
    </row>
    <row r="200" spans="1:54" s="180" customFormat="1" ht="16.5">
      <c r="A200" s="189"/>
      <c r="B200" s="269"/>
      <c r="C200" s="333" t="str">
        <f>IFERROR(IF(VLOOKUP($B200,[1]勘定科目!$A:$H,HLOOKUP($E$5,[1]勘定科目!$F$1:$H$2,2,0),0)="","",VLOOKUP($B200,[1]勘定科目!$A:$E,2,0)),"")</f>
        <v/>
      </c>
      <c r="D200" s="334" t="str">
        <f>IF(C200="","",VLOOKUP($B200,[1]勘定科目!$A:$E,4,0))</f>
        <v/>
      </c>
      <c r="E200" s="312"/>
      <c r="F200" s="323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9">
        <f t="shared" si="5"/>
        <v>0</v>
      </c>
      <c r="S200" s="242" t="s">
        <v>814</v>
      </c>
      <c r="T200" s="182"/>
      <c r="U200" s="191"/>
      <c r="V200" s="191"/>
      <c r="W200" s="191"/>
      <c r="BA200"/>
      <c r="BB200"/>
    </row>
    <row r="201" spans="1:54" s="180" customFormat="1" ht="14.25">
      <c r="A201" s="189"/>
      <c r="B201" s="269">
        <v>5005246288</v>
      </c>
      <c r="C201" s="333" t="str">
        <f>IFERROR(IF(VLOOKUP($B201,[1]勘定科目!$A:$H,HLOOKUP($E$5,[1]勘定科目!$F$1:$H$2,2,0),0)="","",VLOOKUP($B201,[1]勘定科目!$A:$E,2,0)),"")</f>
        <v>事務用品費（製）</v>
      </c>
      <c r="D201" s="334" t="str">
        <f>IF(C201="","",VLOOKUP($B201,[1]勘定科目!$A:$E,4,0))</f>
        <v>図書及び事務費</v>
      </c>
      <c r="E201" s="312"/>
      <c r="F201" s="318"/>
      <c r="G201" s="320"/>
      <c r="H201" s="320">
        <v>800000</v>
      </c>
      <c r="I201" s="320"/>
      <c r="J201" s="320"/>
      <c r="K201" s="320"/>
      <c r="L201" s="320"/>
      <c r="M201" s="320"/>
      <c r="N201" s="320"/>
      <c r="O201" s="320"/>
      <c r="P201" s="320"/>
      <c r="Q201" s="320"/>
      <c r="R201" s="250">
        <f t="shared" si="5"/>
        <v>800000</v>
      </c>
      <c r="S201" s="243" t="s">
        <v>815</v>
      </c>
      <c r="T201" s="182"/>
      <c r="U201" s="191"/>
      <c r="V201" s="191"/>
      <c r="W201" s="191"/>
      <c r="BA201"/>
      <c r="BB201"/>
    </row>
    <row r="202" spans="1:54" s="180" customFormat="1" ht="14.25">
      <c r="A202" s="189"/>
      <c r="B202" s="269">
        <v>5004086291</v>
      </c>
      <c r="C202" s="333" t="str">
        <f>IFERROR(IF(VLOOKUP($B202,[1]勘定科目!$A:$H,HLOOKUP($E$5,[1]勘定科目!$F$1:$H$2,2,0),0)="","",VLOOKUP($B202,[1]勘定科目!$A:$E,2,0)),"")</f>
        <v>福利厚生費（製）</v>
      </c>
      <c r="D202" s="334" t="str">
        <f>IF(C202="","",VLOOKUP($B202,[1]勘定科目!$A:$E,4,0))</f>
        <v>福利厚生費</v>
      </c>
      <c r="E202" s="312"/>
      <c r="F202" s="320">
        <v>2640000</v>
      </c>
      <c r="G202" s="320"/>
      <c r="H202" s="320">
        <v>632000</v>
      </c>
      <c r="I202" s="320"/>
      <c r="J202" s="318"/>
      <c r="K202" s="320"/>
      <c r="L202" s="320">
        <v>3150000</v>
      </c>
      <c r="M202" s="320"/>
      <c r="N202" s="320"/>
      <c r="O202" s="320"/>
      <c r="P202" s="320"/>
      <c r="Q202" s="320"/>
      <c r="R202" s="250">
        <f t="shared" si="5"/>
        <v>6422000</v>
      </c>
      <c r="S202" s="243" t="s">
        <v>816</v>
      </c>
      <c r="T202" s="182"/>
      <c r="U202" s="191"/>
      <c r="V202" s="191"/>
      <c r="W202" s="191"/>
      <c r="BA202"/>
      <c r="BB202"/>
    </row>
    <row r="203" spans="1:54" s="180" customFormat="1" ht="14.25">
      <c r="A203" s="189"/>
      <c r="B203" s="269">
        <v>5005136281</v>
      </c>
      <c r="C203" s="333" t="str">
        <f>IFERROR(IF(VLOOKUP($B203,[1]勘定科目!$A:$H,HLOOKUP($E$5,[1]勘定科目!$F$1:$H$2,2,0),0)="","",VLOOKUP($B203,[1]勘定科目!$A:$E,2,0)),"")</f>
        <v>通信費（製）</v>
      </c>
      <c r="D203" s="334" t="str">
        <f>IF(C203="","",VLOOKUP($B203,[1]勘定科目!$A:$E,4,0))</f>
        <v>通信費</v>
      </c>
      <c r="E203" s="312"/>
      <c r="F203" s="320">
        <v>100000</v>
      </c>
      <c r="G203" s="320">
        <v>100000</v>
      </c>
      <c r="H203" s="320">
        <v>100000</v>
      </c>
      <c r="I203" s="320">
        <v>100000</v>
      </c>
      <c r="J203" s="318">
        <v>100000</v>
      </c>
      <c r="K203" s="320">
        <v>100000</v>
      </c>
      <c r="L203" s="320">
        <v>100000</v>
      </c>
      <c r="M203" s="320">
        <v>100000</v>
      </c>
      <c r="N203" s="320">
        <v>100000</v>
      </c>
      <c r="O203" s="320">
        <v>100000</v>
      </c>
      <c r="P203" s="320">
        <v>100000</v>
      </c>
      <c r="Q203" s="320">
        <v>100000</v>
      </c>
      <c r="R203" s="250">
        <f t="shared" si="5"/>
        <v>1200000</v>
      </c>
      <c r="S203" s="243" t="s">
        <v>817</v>
      </c>
      <c r="T203" s="182"/>
      <c r="U203" s="191"/>
      <c r="V203" s="191"/>
      <c r="W203" s="191"/>
      <c r="BA203"/>
      <c r="BB203"/>
    </row>
    <row r="204" spans="1:54" s="180" customFormat="1" ht="14.25">
      <c r="A204" s="189"/>
      <c r="B204" s="269">
        <v>5005136291</v>
      </c>
      <c r="C204" s="333" t="str">
        <f>IFERROR(IF(VLOOKUP($B204,[1]勘定科目!$A:$H,HLOOKUP($E$5,[1]勘定科目!$F$1:$H$2,2,0),0)="","",VLOOKUP($B204,[1]勘定科目!$A:$E,2,0)),"")</f>
        <v>郵送代（製）</v>
      </c>
      <c r="D204" s="334" t="str">
        <f>IF(C204="","",VLOOKUP($B204,[1]勘定科目!$A:$E,4,0))</f>
        <v>通信費</v>
      </c>
      <c r="E204" s="312"/>
      <c r="F204" s="320"/>
      <c r="G204" s="320">
        <v>400000</v>
      </c>
      <c r="H204" s="320">
        <v>400000</v>
      </c>
      <c r="I204" s="320">
        <v>400000</v>
      </c>
      <c r="J204" s="318"/>
      <c r="K204" s="320">
        <v>400000</v>
      </c>
      <c r="L204" s="320">
        <v>400000</v>
      </c>
      <c r="M204" s="320">
        <v>400000</v>
      </c>
      <c r="N204" s="320"/>
      <c r="O204" s="320">
        <v>400000</v>
      </c>
      <c r="P204" s="320">
        <v>400000</v>
      </c>
      <c r="Q204" s="320">
        <v>400000</v>
      </c>
      <c r="R204" s="250">
        <f t="shared" si="5"/>
        <v>3600000</v>
      </c>
      <c r="S204" s="243" t="s">
        <v>818</v>
      </c>
      <c r="T204" s="182"/>
      <c r="U204" s="191"/>
      <c r="V204" s="191"/>
      <c r="W204" s="191"/>
      <c r="BA204"/>
      <c r="BB204"/>
    </row>
    <row r="205" spans="1:54" s="180" customFormat="1" ht="14.25">
      <c r="A205" s="189"/>
      <c r="B205" s="269">
        <v>5005076289</v>
      </c>
      <c r="C205" s="333" t="str">
        <f>IFERROR(IF(VLOOKUP($B205,[1]勘定科目!$A:$H,HLOOKUP($E$5,[1]勘定科目!$F$1:$H$2,2,0),0)="","",VLOOKUP($B205,[1]勘定科目!$A:$E,2,0)),"")</f>
        <v>クーリエ費用（製）</v>
      </c>
      <c r="D205" s="334" t="str">
        <f>IF(C205="","",VLOOKUP($B205,[1]勘定科目!$A:$E,4,0))</f>
        <v>荷造運賃</v>
      </c>
      <c r="E205" s="312"/>
      <c r="F205" s="320">
        <v>9000000</v>
      </c>
      <c r="G205" s="320">
        <v>9000000</v>
      </c>
      <c r="H205" s="320">
        <v>9000000</v>
      </c>
      <c r="I205" s="320">
        <v>9000000</v>
      </c>
      <c r="J205" s="320">
        <v>9000000</v>
      </c>
      <c r="K205" s="320">
        <v>9000000</v>
      </c>
      <c r="L205" s="320">
        <v>9000000</v>
      </c>
      <c r="M205" s="320">
        <v>9000000</v>
      </c>
      <c r="N205" s="320">
        <v>9000000</v>
      </c>
      <c r="O205" s="320">
        <v>9000000</v>
      </c>
      <c r="P205" s="320">
        <v>9000000</v>
      </c>
      <c r="Q205" s="320">
        <v>9000000</v>
      </c>
      <c r="R205" s="250">
        <f t="shared" si="5"/>
        <v>108000000</v>
      </c>
      <c r="S205" s="243" t="s">
        <v>819</v>
      </c>
      <c r="T205" s="182"/>
      <c r="U205" s="191"/>
      <c r="V205" s="191"/>
      <c r="W205" s="191"/>
      <c r="BA205"/>
      <c r="BB205"/>
    </row>
    <row r="206" spans="1:54" s="180" customFormat="1" ht="14.25">
      <c r="A206" s="189"/>
      <c r="B206" s="269">
        <v>5005076283</v>
      </c>
      <c r="C206" s="333" t="str">
        <f>IFERROR(IF(VLOOKUP($B206,[1]勘定科目!$A:$H,HLOOKUP($E$5,[1]勘定科目!$F$1:$H$2,2,0),0)="","",VLOOKUP($B206,[1]勘定科目!$A:$E,2,0)),"")</f>
        <v>輸入航空運賃（製）</v>
      </c>
      <c r="D206" s="334" t="str">
        <f>IF(C206="","",VLOOKUP($B206,[1]勘定科目!$A:$E,4,0))</f>
        <v>荷造運賃</v>
      </c>
      <c r="E206" s="312"/>
      <c r="F206" s="320">
        <v>4500000</v>
      </c>
      <c r="G206" s="320">
        <v>4500000</v>
      </c>
      <c r="H206" s="320">
        <v>4500000</v>
      </c>
      <c r="I206" s="320">
        <v>4500000</v>
      </c>
      <c r="J206" s="318">
        <v>4500000</v>
      </c>
      <c r="K206" s="320">
        <v>4500000</v>
      </c>
      <c r="L206" s="320">
        <v>4500000</v>
      </c>
      <c r="M206" s="320">
        <v>4500000</v>
      </c>
      <c r="N206" s="320">
        <v>4500000</v>
      </c>
      <c r="O206" s="320">
        <v>4500000</v>
      </c>
      <c r="P206" s="320">
        <v>4500000</v>
      </c>
      <c r="Q206" s="320">
        <v>4500000</v>
      </c>
      <c r="R206" s="250">
        <f t="shared" si="5"/>
        <v>54000000</v>
      </c>
      <c r="S206" s="243" t="s">
        <v>820</v>
      </c>
      <c r="T206" s="182"/>
      <c r="U206" s="191"/>
      <c r="V206" s="191"/>
      <c r="W206" s="191"/>
      <c r="BA206"/>
      <c r="BB206"/>
    </row>
    <row r="207" spans="1:54" s="180" customFormat="1" ht="14.25">
      <c r="A207" s="189"/>
      <c r="B207" s="269">
        <v>5005076281</v>
      </c>
      <c r="C207" s="333" t="str">
        <f>IFERROR(IF(VLOOKUP($B207,[1]勘定科目!$A:$H,HLOOKUP($E$5,[1]勘定科目!$F$1:$H$2,2,0),0)="","",VLOOKUP($B207,[1]勘定科目!$A:$E,2,0)),"")</f>
        <v>通関申告費用（製）</v>
      </c>
      <c r="D207" s="334" t="str">
        <f>IF(C207="","",VLOOKUP($B207,[1]勘定科目!$A:$E,4,0))</f>
        <v>荷造運賃</v>
      </c>
      <c r="E207" s="312"/>
      <c r="F207" s="320">
        <v>1500000</v>
      </c>
      <c r="G207" s="320">
        <v>1500000</v>
      </c>
      <c r="H207" s="320">
        <v>1500000</v>
      </c>
      <c r="I207" s="320">
        <v>1500000</v>
      </c>
      <c r="J207" s="318">
        <v>1500000</v>
      </c>
      <c r="K207" s="320">
        <v>1500000</v>
      </c>
      <c r="L207" s="320">
        <v>1500000</v>
      </c>
      <c r="M207" s="320">
        <v>1500000</v>
      </c>
      <c r="N207" s="320">
        <v>1500000</v>
      </c>
      <c r="O207" s="320">
        <v>1500000</v>
      </c>
      <c r="P207" s="320">
        <v>1500000</v>
      </c>
      <c r="Q207" s="320">
        <v>1500000</v>
      </c>
      <c r="R207" s="250">
        <f t="shared" si="5"/>
        <v>18000000</v>
      </c>
      <c r="S207" s="243" t="s">
        <v>821</v>
      </c>
      <c r="T207" s="182"/>
      <c r="U207" s="191"/>
      <c r="V207" s="191"/>
      <c r="W207" s="191"/>
      <c r="BA207"/>
      <c r="BB207"/>
    </row>
    <row r="208" spans="1:54" s="180" customFormat="1" ht="14.25">
      <c r="A208" s="189"/>
      <c r="B208" s="269">
        <v>9114120009</v>
      </c>
      <c r="C208" s="333" t="str">
        <f>IFERROR(IF(VLOOKUP($B208,[1]勘定科目!$A:$H,HLOOKUP($E$5,[1]勘定科目!$F$1:$H$2,2,0),0)="","",VLOOKUP($B208,[1]勘定科目!$A:$E,2,0)),"")</f>
        <v>社内金利（在庫）</v>
      </c>
      <c r="D208" s="334" t="str">
        <f>IF(C208="","",VLOOKUP($B208,[1]勘定科目!$A:$E,4,0))</f>
        <v>在庫金利</v>
      </c>
      <c r="E208" s="312"/>
      <c r="F208" s="320">
        <v>200000</v>
      </c>
      <c r="G208" s="320">
        <v>200000</v>
      </c>
      <c r="H208" s="320">
        <v>200000</v>
      </c>
      <c r="I208" s="320">
        <v>200000</v>
      </c>
      <c r="J208" s="320">
        <v>200000</v>
      </c>
      <c r="K208" s="320">
        <v>200000</v>
      </c>
      <c r="L208" s="320">
        <v>200000</v>
      </c>
      <c r="M208" s="320">
        <v>200000</v>
      </c>
      <c r="N208" s="320">
        <v>200000</v>
      </c>
      <c r="O208" s="320">
        <v>200000</v>
      </c>
      <c r="P208" s="320">
        <v>200000</v>
      </c>
      <c r="Q208" s="320">
        <v>200000</v>
      </c>
      <c r="R208" s="250">
        <f t="shared" si="5"/>
        <v>2400000</v>
      </c>
      <c r="S208" s="243" t="s">
        <v>122</v>
      </c>
      <c r="T208" s="182"/>
      <c r="U208" s="191"/>
      <c r="V208" s="191"/>
      <c r="W208" s="191"/>
      <c r="BA208"/>
      <c r="BB208"/>
    </row>
    <row r="209" spans="1:54" s="180" customFormat="1" ht="16.5">
      <c r="A209" s="189"/>
      <c r="B209" s="319"/>
      <c r="C209" s="333" t="str">
        <f>IFERROR(IF(VLOOKUP($B209,[1]勘定科目!$A:$H,HLOOKUP($E$5,[1]勘定科目!$F$1:$H$2,2,0),0)="","",VLOOKUP($B209,[1]勘定科目!$A:$E,2,0)),"")</f>
        <v/>
      </c>
      <c r="D209" s="334" t="str">
        <f>IF(C209="","",VLOOKUP($B209,[1]勘定科目!$A:$E,4,0))</f>
        <v/>
      </c>
      <c r="E209" s="312"/>
      <c r="F209" s="323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9">
        <f t="shared" si="5"/>
        <v>0</v>
      </c>
      <c r="S209" s="242" t="s">
        <v>822</v>
      </c>
      <c r="T209" s="182"/>
      <c r="U209" s="191"/>
      <c r="V209" s="191"/>
      <c r="W209" s="191"/>
      <c r="BA209"/>
      <c r="BB209"/>
    </row>
    <row r="210" spans="1:54" s="180" customFormat="1" ht="14.25">
      <c r="A210" s="189"/>
      <c r="B210" s="319">
        <v>5005246286</v>
      </c>
      <c r="C210" s="333" t="str">
        <f>IFERROR(IF(VLOOKUP($B210,[1]勘定科目!$A:$H,HLOOKUP($E$5,[1]勘定科目!$F$1:$H$2,2,0),0)="","",VLOOKUP($B210,[1]勘定科目!$A:$E,2,0)),"")</f>
        <v>その他手数料（製）</v>
      </c>
      <c r="D210" s="334" t="str">
        <f>IF(C210="","",VLOOKUP($B210,[1]勘定科目!$A:$E,4,0))</f>
        <v>手数料</v>
      </c>
      <c r="E210" s="312"/>
      <c r="F210" s="320">
        <v>0</v>
      </c>
      <c r="G210" s="320">
        <v>0</v>
      </c>
      <c r="H210" s="320">
        <v>0</v>
      </c>
      <c r="I210" s="320">
        <v>0</v>
      </c>
      <c r="J210" s="320">
        <v>0</v>
      </c>
      <c r="K210" s="320">
        <v>0</v>
      </c>
      <c r="L210" s="320">
        <v>0</v>
      </c>
      <c r="M210" s="320">
        <v>0</v>
      </c>
      <c r="N210" s="320">
        <v>0</v>
      </c>
      <c r="O210" s="320">
        <v>0</v>
      </c>
      <c r="P210" s="320">
        <v>0</v>
      </c>
      <c r="Q210" s="320">
        <v>0</v>
      </c>
      <c r="R210" s="250">
        <f t="shared" si="5"/>
        <v>0</v>
      </c>
      <c r="S210" s="243" t="s">
        <v>823</v>
      </c>
      <c r="T210" s="182"/>
      <c r="U210" s="191"/>
      <c r="V210" s="191"/>
      <c r="W210" s="191"/>
      <c r="BA210"/>
      <c r="BB210"/>
    </row>
    <row r="211" spans="1:54" s="180" customFormat="1" ht="14.25">
      <c r="A211" s="189"/>
      <c r="B211" s="319">
        <v>5005246286</v>
      </c>
      <c r="C211" s="333" t="str">
        <f>IFERROR(IF(VLOOKUP($B211,[1]勘定科目!$A:$H,HLOOKUP($E$5,[1]勘定科目!$F$1:$H$2,2,0),0)="","",VLOOKUP($B211,[1]勘定科目!$A:$E,2,0)),"")</f>
        <v>その他手数料（製）</v>
      </c>
      <c r="D211" s="334" t="str">
        <f>IF(C211="","",VLOOKUP($B211,[1]勘定科目!$A:$E,4,0))</f>
        <v>手数料</v>
      </c>
      <c r="E211" s="312"/>
      <c r="F211" s="320">
        <v>0</v>
      </c>
      <c r="G211" s="320">
        <v>0</v>
      </c>
      <c r="H211" s="320">
        <v>0</v>
      </c>
      <c r="I211" s="320">
        <v>0</v>
      </c>
      <c r="J211" s="320">
        <v>0</v>
      </c>
      <c r="K211" s="320">
        <v>0</v>
      </c>
      <c r="L211" s="320">
        <v>0</v>
      </c>
      <c r="M211" s="320">
        <v>0</v>
      </c>
      <c r="N211" s="320">
        <v>0</v>
      </c>
      <c r="O211" s="320">
        <v>0</v>
      </c>
      <c r="P211" s="320">
        <v>0</v>
      </c>
      <c r="Q211" s="320">
        <v>0</v>
      </c>
      <c r="R211" s="250">
        <f t="shared" si="5"/>
        <v>0</v>
      </c>
      <c r="S211" s="243" t="s">
        <v>824</v>
      </c>
      <c r="T211" s="182"/>
      <c r="U211" s="191"/>
      <c r="V211" s="191"/>
      <c r="W211" s="191"/>
      <c r="BA211"/>
      <c r="BB211"/>
    </row>
    <row r="212" spans="1:54" s="180" customFormat="1" ht="14.25">
      <c r="A212" s="189"/>
      <c r="B212" s="319">
        <v>5005246286</v>
      </c>
      <c r="C212" s="333" t="str">
        <f>IFERROR(IF(VLOOKUP($B212,[1]勘定科目!$A:$H,HLOOKUP($E$5,[1]勘定科目!$F$1:$H$2,2,0),0)="","",VLOOKUP($B212,[1]勘定科目!$A:$E,2,0)),"")</f>
        <v>その他手数料（製）</v>
      </c>
      <c r="D212" s="334" t="str">
        <f>IF(C212="","",VLOOKUP($B212,[1]勘定科目!$A:$E,4,0))</f>
        <v>手数料</v>
      </c>
      <c r="E212" s="312"/>
      <c r="F212" s="320">
        <v>0</v>
      </c>
      <c r="G212" s="320">
        <v>0</v>
      </c>
      <c r="H212" s="320">
        <v>0</v>
      </c>
      <c r="I212" s="320">
        <v>0</v>
      </c>
      <c r="J212" s="320">
        <v>0</v>
      </c>
      <c r="K212" s="320">
        <v>0</v>
      </c>
      <c r="L212" s="320">
        <v>0</v>
      </c>
      <c r="M212" s="320">
        <v>0</v>
      </c>
      <c r="N212" s="320">
        <v>0</v>
      </c>
      <c r="O212" s="320">
        <v>0</v>
      </c>
      <c r="P212" s="320">
        <v>0</v>
      </c>
      <c r="Q212" s="320">
        <v>0</v>
      </c>
      <c r="R212" s="250">
        <f t="shared" si="5"/>
        <v>0</v>
      </c>
      <c r="S212" s="243" t="s">
        <v>825</v>
      </c>
      <c r="T212" s="182"/>
      <c r="U212" s="191"/>
      <c r="V212" s="191"/>
      <c r="W212" s="191"/>
      <c r="BA212"/>
      <c r="BB212"/>
    </row>
    <row r="213" spans="1:54" s="180" customFormat="1" ht="14.25">
      <c r="A213" s="189"/>
      <c r="B213" s="319">
        <v>5005246286</v>
      </c>
      <c r="C213" s="333" t="str">
        <f>IFERROR(IF(VLOOKUP($B213,[1]勘定科目!$A:$H,HLOOKUP($E$5,[1]勘定科目!$F$1:$H$2,2,0),0)="","",VLOOKUP($B213,[1]勘定科目!$A:$E,2,0)),"")</f>
        <v>その他手数料（製）</v>
      </c>
      <c r="D213" s="334" t="str">
        <f>IF(C213="","",VLOOKUP($B213,[1]勘定科目!$A:$E,4,0))</f>
        <v>手数料</v>
      </c>
      <c r="E213" s="312"/>
      <c r="F213" s="320">
        <v>0</v>
      </c>
      <c r="G213" s="320">
        <v>0</v>
      </c>
      <c r="H213" s="320">
        <v>0</v>
      </c>
      <c r="I213" s="320">
        <v>0</v>
      </c>
      <c r="J213" s="320">
        <v>0</v>
      </c>
      <c r="K213" s="320">
        <v>0</v>
      </c>
      <c r="L213" s="320">
        <v>0</v>
      </c>
      <c r="M213" s="320">
        <v>0</v>
      </c>
      <c r="N213" s="320">
        <v>0</v>
      </c>
      <c r="O213" s="320">
        <v>0</v>
      </c>
      <c r="P213" s="320">
        <v>0</v>
      </c>
      <c r="Q213" s="320">
        <v>0</v>
      </c>
      <c r="R213" s="250">
        <f t="shared" si="5"/>
        <v>0</v>
      </c>
      <c r="S213" s="243" t="s">
        <v>826</v>
      </c>
      <c r="T213" s="182"/>
      <c r="U213" s="191"/>
      <c r="V213" s="191"/>
      <c r="W213" s="191"/>
      <c r="BA213"/>
      <c r="BB213"/>
    </row>
    <row r="214" spans="1:54" s="180" customFormat="1" ht="14.25">
      <c r="A214" s="189"/>
      <c r="B214" s="319">
        <v>5005246286</v>
      </c>
      <c r="C214" s="333" t="str">
        <f>IFERROR(IF(VLOOKUP($B214,[1]勘定科目!$A:$H,HLOOKUP($E$5,[1]勘定科目!$F$1:$H$2,2,0),0)="","",VLOOKUP($B214,[1]勘定科目!$A:$E,2,0)),"")</f>
        <v>その他手数料（製）</v>
      </c>
      <c r="D214" s="334" t="str">
        <f>IF(C214="","",VLOOKUP($B214,[1]勘定科目!$A:$E,4,0))</f>
        <v>手数料</v>
      </c>
      <c r="E214" s="312"/>
      <c r="F214" s="320">
        <v>0</v>
      </c>
      <c r="G214" s="320">
        <v>0</v>
      </c>
      <c r="H214" s="320">
        <v>0</v>
      </c>
      <c r="I214" s="320">
        <v>0</v>
      </c>
      <c r="J214" s="320">
        <v>0</v>
      </c>
      <c r="K214" s="320">
        <v>0</v>
      </c>
      <c r="L214" s="320">
        <v>0</v>
      </c>
      <c r="M214" s="320">
        <v>0</v>
      </c>
      <c r="N214" s="320">
        <v>0</v>
      </c>
      <c r="O214" s="320">
        <v>0</v>
      </c>
      <c r="P214" s="320">
        <v>0</v>
      </c>
      <c r="Q214" s="320">
        <v>0</v>
      </c>
      <c r="R214" s="250">
        <f t="shared" si="5"/>
        <v>0</v>
      </c>
      <c r="S214" s="243" t="s">
        <v>827</v>
      </c>
      <c r="T214" s="182"/>
      <c r="U214" s="191"/>
      <c r="V214" s="191"/>
      <c r="W214" s="191"/>
      <c r="BA214"/>
      <c r="BB214"/>
    </row>
    <row r="215" spans="1:54" s="180" customFormat="1" ht="14.25">
      <c r="A215" s="189"/>
      <c r="B215" s="319">
        <v>5005246286</v>
      </c>
      <c r="C215" s="333" t="str">
        <f>IFERROR(IF(VLOOKUP($B215,[1]勘定科目!$A:$H,HLOOKUP($E$5,[1]勘定科目!$F$1:$H$2,2,0),0)="","",VLOOKUP($B215,[1]勘定科目!$A:$E,2,0)),"")</f>
        <v>その他手数料（製）</v>
      </c>
      <c r="D215" s="334" t="str">
        <f>IF(C215="","",VLOOKUP($B215,[1]勘定科目!$A:$E,4,0))</f>
        <v>手数料</v>
      </c>
      <c r="E215" s="312"/>
      <c r="F215" s="320">
        <v>0</v>
      </c>
      <c r="G215" s="320">
        <v>0</v>
      </c>
      <c r="H215" s="320">
        <v>0</v>
      </c>
      <c r="I215" s="320">
        <v>0</v>
      </c>
      <c r="J215" s="320">
        <v>0</v>
      </c>
      <c r="K215" s="320">
        <v>0</v>
      </c>
      <c r="L215" s="320">
        <v>0</v>
      </c>
      <c r="M215" s="320">
        <v>0</v>
      </c>
      <c r="N215" s="320">
        <v>0</v>
      </c>
      <c r="O215" s="320">
        <v>0</v>
      </c>
      <c r="P215" s="320">
        <v>0</v>
      </c>
      <c r="Q215" s="320">
        <v>0</v>
      </c>
      <c r="R215" s="250">
        <f t="shared" si="5"/>
        <v>0</v>
      </c>
      <c r="S215" s="243" t="s">
        <v>828</v>
      </c>
      <c r="T215" s="182"/>
      <c r="U215" s="191"/>
      <c r="V215" s="191"/>
      <c r="W215" s="191"/>
      <c r="BA215"/>
      <c r="BB215"/>
    </row>
    <row r="216" spans="1:54" s="180" customFormat="1" ht="14.25">
      <c r="A216" s="189"/>
      <c r="B216" s="319">
        <v>5005246286</v>
      </c>
      <c r="C216" s="333" t="str">
        <f>IFERROR(IF(VLOOKUP($B216,[1]勘定科目!$A:$H,HLOOKUP($E$5,[1]勘定科目!$F$1:$H$2,2,0),0)="","",VLOOKUP($B216,[1]勘定科目!$A:$E,2,0)),"")</f>
        <v>その他手数料（製）</v>
      </c>
      <c r="D216" s="334" t="str">
        <f>IF(C216="","",VLOOKUP($B216,[1]勘定科目!$A:$E,4,0))</f>
        <v>手数料</v>
      </c>
      <c r="E216" s="312"/>
      <c r="F216" s="320">
        <v>0</v>
      </c>
      <c r="G216" s="320">
        <v>0</v>
      </c>
      <c r="H216" s="320">
        <v>0</v>
      </c>
      <c r="I216" s="320">
        <v>0</v>
      </c>
      <c r="J216" s="320">
        <v>0</v>
      </c>
      <c r="K216" s="320">
        <v>0</v>
      </c>
      <c r="L216" s="320">
        <v>0</v>
      </c>
      <c r="M216" s="320">
        <v>0</v>
      </c>
      <c r="N216" s="320">
        <v>0</v>
      </c>
      <c r="O216" s="320">
        <v>0</v>
      </c>
      <c r="P216" s="320">
        <v>0</v>
      </c>
      <c r="Q216" s="320">
        <v>0</v>
      </c>
      <c r="R216" s="250">
        <f t="shared" si="5"/>
        <v>0</v>
      </c>
      <c r="S216" s="243" t="s">
        <v>829</v>
      </c>
      <c r="T216" s="182"/>
      <c r="U216" s="191"/>
      <c r="V216" s="191"/>
      <c r="W216" s="191"/>
      <c r="BA216"/>
      <c r="BB216"/>
    </row>
    <row r="217" spans="1:54" s="180" customFormat="1" ht="14.25">
      <c r="A217" s="189"/>
      <c r="B217" s="319">
        <v>5005246286</v>
      </c>
      <c r="C217" s="333" t="str">
        <f>IFERROR(IF(VLOOKUP($B217,[1]勘定科目!$A:$H,HLOOKUP($E$5,[1]勘定科目!$F$1:$H$2,2,0),0)="","",VLOOKUP($B217,[1]勘定科目!$A:$E,2,0)),"")</f>
        <v>その他手数料（製）</v>
      </c>
      <c r="D217" s="334" t="str">
        <f>IF(C217="","",VLOOKUP($B217,[1]勘定科目!$A:$E,4,0))</f>
        <v>手数料</v>
      </c>
      <c r="E217" s="312"/>
      <c r="F217" s="320">
        <v>0</v>
      </c>
      <c r="G217" s="320">
        <v>0</v>
      </c>
      <c r="H217" s="320">
        <v>0</v>
      </c>
      <c r="I217" s="320">
        <v>0</v>
      </c>
      <c r="J217" s="320">
        <v>0</v>
      </c>
      <c r="K217" s="320">
        <v>0</v>
      </c>
      <c r="L217" s="320">
        <v>0</v>
      </c>
      <c r="M217" s="320">
        <v>0</v>
      </c>
      <c r="N217" s="320">
        <v>0</v>
      </c>
      <c r="O217" s="320">
        <v>0</v>
      </c>
      <c r="P217" s="320">
        <v>0</v>
      </c>
      <c r="Q217" s="320">
        <v>0</v>
      </c>
      <c r="R217" s="250">
        <f t="shared" si="5"/>
        <v>0</v>
      </c>
      <c r="S217" s="243" t="s">
        <v>830</v>
      </c>
      <c r="T217" s="182"/>
      <c r="U217" s="191"/>
      <c r="V217" s="191"/>
      <c r="W217" s="191"/>
      <c r="BA217"/>
      <c r="BB217"/>
    </row>
    <row r="218" spans="1:54" s="180" customFormat="1" ht="14.25">
      <c r="A218" s="189"/>
      <c r="B218" s="319">
        <v>5005246286</v>
      </c>
      <c r="C218" s="333" t="str">
        <f>IFERROR(IF(VLOOKUP($B218,[1]勘定科目!$A:$H,HLOOKUP($E$5,[1]勘定科目!$F$1:$H$2,2,0),0)="","",VLOOKUP($B218,[1]勘定科目!$A:$E,2,0)),"")</f>
        <v>その他手数料（製）</v>
      </c>
      <c r="D218" s="334" t="str">
        <f>IF(C218="","",VLOOKUP($B218,[1]勘定科目!$A:$E,4,0))</f>
        <v>手数料</v>
      </c>
      <c r="E218" s="312"/>
      <c r="F218" s="320">
        <v>0</v>
      </c>
      <c r="G218" s="320">
        <v>0</v>
      </c>
      <c r="H218" s="320">
        <v>0</v>
      </c>
      <c r="I218" s="320">
        <v>0</v>
      </c>
      <c r="J218" s="320">
        <v>0</v>
      </c>
      <c r="K218" s="320">
        <v>0</v>
      </c>
      <c r="L218" s="320">
        <v>0</v>
      </c>
      <c r="M218" s="320">
        <v>0</v>
      </c>
      <c r="N218" s="320">
        <v>0</v>
      </c>
      <c r="O218" s="320">
        <v>0</v>
      </c>
      <c r="P218" s="320">
        <v>0</v>
      </c>
      <c r="Q218" s="320">
        <v>0</v>
      </c>
      <c r="R218" s="250">
        <f t="shared" si="5"/>
        <v>0</v>
      </c>
      <c r="S218" s="243" t="s">
        <v>831</v>
      </c>
      <c r="T218" s="182"/>
      <c r="U218" s="191"/>
      <c r="V218" s="191"/>
      <c r="W218" s="191"/>
      <c r="BA218"/>
      <c r="BB218"/>
    </row>
    <row r="219" spans="1:54" s="180" customFormat="1" ht="14.25">
      <c r="A219" s="189"/>
      <c r="B219" s="319">
        <v>5005116291</v>
      </c>
      <c r="C219" s="333" t="str">
        <f>IFERROR(IF(VLOOKUP($B219,[1]勘定科目!$A:$H,HLOOKUP($E$5,[1]勘定科目!$F$1:$H$2,2,0),0)="","",VLOOKUP($B219,[1]勘定科目!$A:$E,2,0)),"")</f>
        <v>ベトナム国内交通費（製）</v>
      </c>
      <c r="D219" s="334" t="str">
        <f>IF(C219="","",VLOOKUP($B219,[1]勘定科目!$A:$E,4,0))</f>
        <v>旅費交通費</v>
      </c>
      <c r="E219" s="312"/>
      <c r="F219" s="320">
        <v>0</v>
      </c>
      <c r="G219" s="320">
        <v>0</v>
      </c>
      <c r="H219" s="320">
        <v>0</v>
      </c>
      <c r="I219" s="320">
        <v>0</v>
      </c>
      <c r="J219" s="320">
        <v>0</v>
      </c>
      <c r="K219" s="320">
        <v>0</v>
      </c>
      <c r="L219" s="320">
        <v>0</v>
      </c>
      <c r="M219" s="320">
        <v>0</v>
      </c>
      <c r="N219" s="320">
        <v>0</v>
      </c>
      <c r="O219" s="320">
        <v>0</v>
      </c>
      <c r="P219" s="320">
        <v>0</v>
      </c>
      <c r="Q219" s="320">
        <v>0</v>
      </c>
      <c r="R219" s="250">
        <f t="shared" si="5"/>
        <v>0</v>
      </c>
      <c r="S219" s="243" t="s">
        <v>832</v>
      </c>
      <c r="T219" s="182"/>
      <c r="U219" s="191"/>
      <c r="V219" s="191"/>
      <c r="W219" s="191"/>
      <c r="BA219"/>
      <c r="BB219"/>
    </row>
    <row r="220" spans="1:54" s="180" customFormat="1" ht="14.25">
      <c r="A220" s="189"/>
      <c r="B220" s="319">
        <v>5005116291</v>
      </c>
      <c r="C220" s="333" t="str">
        <f>IFERROR(IF(VLOOKUP($B220,[1]勘定科目!$A:$H,HLOOKUP($E$5,[1]勘定科目!$F$1:$H$2,2,0),0)="","",VLOOKUP($B220,[1]勘定科目!$A:$E,2,0)),"")</f>
        <v>ベトナム国内交通費（製）</v>
      </c>
      <c r="D220" s="334" t="str">
        <f>IF(C220="","",VLOOKUP($B220,[1]勘定科目!$A:$E,4,0))</f>
        <v>旅費交通費</v>
      </c>
      <c r="E220" s="312"/>
      <c r="F220" s="320">
        <v>0</v>
      </c>
      <c r="G220" s="320">
        <v>0</v>
      </c>
      <c r="H220" s="320">
        <v>0</v>
      </c>
      <c r="I220" s="320">
        <v>0</v>
      </c>
      <c r="J220" s="320">
        <v>0</v>
      </c>
      <c r="K220" s="320">
        <v>0</v>
      </c>
      <c r="L220" s="320">
        <v>0</v>
      </c>
      <c r="M220" s="320">
        <v>0</v>
      </c>
      <c r="N220" s="320">
        <v>0</v>
      </c>
      <c r="O220" s="320">
        <v>0</v>
      </c>
      <c r="P220" s="320">
        <v>0</v>
      </c>
      <c r="Q220" s="320">
        <v>0</v>
      </c>
      <c r="R220" s="250">
        <f t="shared" si="5"/>
        <v>0</v>
      </c>
      <c r="S220" s="243" t="s">
        <v>833</v>
      </c>
      <c r="T220" s="182"/>
      <c r="U220" s="191"/>
      <c r="V220" s="191"/>
      <c r="W220" s="191"/>
      <c r="BA220"/>
      <c r="BB220"/>
    </row>
    <row r="221" spans="1:54" s="180" customFormat="1" ht="14.25">
      <c r="A221" s="189"/>
      <c r="B221" s="319">
        <v>5005116291</v>
      </c>
      <c r="C221" s="333" t="str">
        <f>IFERROR(IF(VLOOKUP($B221,[1]勘定科目!$A:$H,HLOOKUP($E$5,[1]勘定科目!$F$1:$H$2,2,0),0)="","",VLOOKUP($B221,[1]勘定科目!$A:$E,2,0)),"")</f>
        <v>ベトナム国内交通費（製）</v>
      </c>
      <c r="D221" s="334" t="str">
        <f>IF(C221="","",VLOOKUP($B221,[1]勘定科目!$A:$E,4,0))</f>
        <v>旅費交通費</v>
      </c>
      <c r="E221" s="312"/>
      <c r="F221" s="320">
        <v>0</v>
      </c>
      <c r="G221" s="320">
        <v>0</v>
      </c>
      <c r="H221" s="320">
        <v>0</v>
      </c>
      <c r="I221" s="320">
        <v>0</v>
      </c>
      <c r="J221" s="320">
        <v>0</v>
      </c>
      <c r="K221" s="320">
        <v>0</v>
      </c>
      <c r="L221" s="320">
        <v>0</v>
      </c>
      <c r="M221" s="320">
        <v>0</v>
      </c>
      <c r="N221" s="320">
        <v>0</v>
      </c>
      <c r="O221" s="320">
        <v>0</v>
      </c>
      <c r="P221" s="320">
        <v>0</v>
      </c>
      <c r="Q221" s="320">
        <v>0</v>
      </c>
      <c r="R221" s="250">
        <f t="shared" si="5"/>
        <v>0</v>
      </c>
      <c r="S221" s="243" t="s">
        <v>834</v>
      </c>
      <c r="T221" s="182"/>
      <c r="U221" s="191"/>
      <c r="V221" s="191"/>
      <c r="W221" s="191"/>
      <c r="BA221"/>
      <c r="BB221"/>
    </row>
    <row r="222" spans="1:54" s="180" customFormat="1" ht="14.25">
      <c r="A222" s="189"/>
      <c r="B222" s="319">
        <v>5005116291</v>
      </c>
      <c r="C222" s="333" t="str">
        <f>IFERROR(IF(VLOOKUP($B222,[1]勘定科目!$A:$H,HLOOKUP($E$5,[1]勘定科目!$F$1:$H$2,2,0),0)="","",VLOOKUP($B222,[1]勘定科目!$A:$E,2,0)),"")</f>
        <v>ベトナム国内交通費（製）</v>
      </c>
      <c r="D222" s="334" t="str">
        <f>IF(C222="","",VLOOKUP($B222,[1]勘定科目!$A:$E,4,0))</f>
        <v>旅費交通費</v>
      </c>
      <c r="E222" s="312"/>
      <c r="F222" s="320">
        <v>0</v>
      </c>
      <c r="G222" s="320">
        <v>0</v>
      </c>
      <c r="H222" s="320">
        <v>0</v>
      </c>
      <c r="I222" s="320">
        <v>0</v>
      </c>
      <c r="J222" s="320">
        <v>0</v>
      </c>
      <c r="K222" s="320">
        <v>0</v>
      </c>
      <c r="L222" s="320">
        <v>0</v>
      </c>
      <c r="M222" s="320">
        <v>0</v>
      </c>
      <c r="N222" s="320">
        <v>0</v>
      </c>
      <c r="O222" s="320">
        <v>0</v>
      </c>
      <c r="P222" s="320">
        <v>0</v>
      </c>
      <c r="Q222" s="320">
        <v>0</v>
      </c>
      <c r="R222" s="250">
        <f t="shared" si="5"/>
        <v>0</v>
      </c>
      <c r="S222" s="243" t="s">
        <v>835</v>
      </c>
      <c r="T222" s="182"/>
      <c r="U222" s="191"/>
      <c r="V222" s="191"/>
      <c r="W222" s="191"/>
      <c r="BA222"/>
      <c r="BB222"/>
    </row>
    <row r="223" spans="1:54" s="180" customFormat="1" ht="14.25">
      <c r="A223" s="189"/>
      <c r="B223" s="319">
        <v>5005116291</v>
      </c>
      <c r="C223" s="333" t="str">
        <f>IFERROR(IF(VLOOKUP($B223,[1]勘定科目!$A:$H,HLOOKUP($E$5,[1]勘定科目!$F$1:$H$2,2,0),0)="","",VLOOKUP($B223,[1]勘定科目!$A:$E,2,0)),"")</f>
        <v>ベトナム国内交通費（製）</v>
      </c>
      <c r="D223" s="334" t="str">
        <f>IF(C223="","",VLOOKUP($B223,[1]勘定科目!$A:$E,4,0))</f>
        <v>旅費交通費</v>
      </c>
      <c r="E223" s="312"/>
      <c r="F223" s="320">
        <v>0</v>
      </c>
      <c r="G223" s="320">
        <v>0</v>
      </c>
      <c r="H223" s="320">
        <v>0</v>
      </c>
      <c r="I223" s="320">
        <v>0</v>
      </c>
      <c r="J223" s="320">
        <v>0</v>
      </c>
      <c r="K223" s="320">
        <v>0</v>
      </c>
      <c r="L223" s="320">
        <v>0</v>
      </c>
      <c r="M223" s="320">
        <v>0</v>
      </c>
      <c r="N223" s="320">
        <v>0</v>
      </c>
      <c r="O223" s="320">
        <v>0</v>
      </c>
      <c r="P223" s="320">
        <v>0</v>
      </c>
      <c r="Q223" s="320">
        <v>0</v>
      </c>
      <c r="R223" s="250">
        <f t="shared" si="5"/>
        <v>0</v>
      </c>
      <c r="S223" s="243" t="s">
        <v>836</v>
      </c>
      <c r="T223" s="182"/>
      <c r="U223" s="191"/>
      <c r="V223" s="191"/>
      <c r="W223" s="191"/>
      <c r="BA223"/>
      <c r="BB223"/>
    </row>
    <row r="224" spans="1:54" s="180" customFormat="1" ht="14.25">
      <c r="A224" s="189"/>
      <c r="B224" s="319"/>
      <c r="C224" s="333" t="str">
        <f>IFERROR(IF(VLOOKUP($B224,[1]勘定科目!$A:$H,HLOOKUP($E$5,[1]勘定科目!$F$1:$H$2,2,0),0)="","",VLOOKUP($B224,[1]勘定科目!$A:$E,2,0)),"")</f>
        <v/>
      </c>
      <c r="D224" s="334" t="str">
        <f>IF(C224="","",VLOOKUP($B224,[1]勘定科目!$A:$E,4,0))</f>
        <v/>
      </c>
      <c r="E224" s="312"/>
      <c r="F224" s="318"/>
      <c r="G224" s="320"/>
      <c r="H224" s="320"/>
      <c r="I224" s="320"/>
      <c r="J224" s="320"/>
      <c r="K224" s="320"/>
      <c r="L224" s="320"/>
      <c r="M224" s="320"/>
      <c r="N224" s="320"/>
      <c r="O224" s="320"/>
      <c r="P224" s="320"/>
      <c r="Q224" s="320"/>
      <c r="R224" s="250">
        <f t="shared" si="5"/>
        <v>0</v>
      </c>
      <c r="S224" s="243"/>
      <c r="T224" s="182"/>
      <c r="U224" s="191"/>
      <c r="V224" s="191"/>
      <c r="W224" s="191"/>
      <c r="BA224"/>
      <c r="BB224"/>
    </row>
    <row r="225" spans="1:54" s="180" customFormat="1" ht="16.5">
      <c r="A225" s="189"/>
      <c r="B225" s="319"/>
      <c r="C225" s="333" t="str">
        <f>IFERROR(IF(VLOOKUP($B225,[1]勘定科目!$A:$H,HLOOKUP($E$5,[1]勘定科目!$F$1:$H$2,2,0),0)="","",VLOOKUP($B225,[1]勘定科目!$A:$E,2,0)),"")</f>
        <v/>
      </c>
      <c r="D225" s="334" t="str">
        <f>IF(C225="","",VLOOKUP($B225,[1]勘定科目!$A:$E,4,0))</f>
        <v/>
      </c>
      <c r="E225" s="312"/>
      <c r="F225" s="323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9">
        <f t="shared" si="5"/>
        <v>0</v>
      </c>
      <c r="S225" s="242" t="s">
        <v>837</v>
      </c>
      <c r="T225" s="182"/>
      <c r="U225" s="191"/>
      <c r="V225" s="191"/>
      <c r="W225" s="191"/>
      <c r="BA225"/>
      <c r="BB225"/>
    </row>
    <row r="226" spans="1:54" s="180" customFormat="1" ht="14.25">
      <c r="A226" s="189"/>
      <c r="B226" s="269">
        <v>5005196373</v>
      </c>
      <c r="C226" s="333" t="str">
        <f>IFERROR(IF(VLOOKUP($B226,[1]勘定科目!$A:$H,HLOOKUP($E$5,[1]勘定科目!$F$1:$H$2,2,0),0)="","",VLOOKUP($B226,[1]勘定科目!$A:$E,2,0)),"")</f>
        <v>試験研究用材料費</v>
      </c>
      <c r="D226" s="334" t="str">
        <f>IF(C226="","",VLOOKUP($B226,[1]勘定科目!$A:$E,4,0))</f>
        <v>試験研究費</v>
      </c>
      <c r="E226" s="312"/>
      <c r="F226" s="320"/>
      <c r="G226" s="320"/>
      <c r="H226" s="320"/>
      <c r="I226" s="320"/>
      <c r="J226" s="320"/>
      <c r="K226" s="320">
        <v>126950000</v>
      </c>
      <c r="L226" s="320"/>
      <c r="M226" s="318"/>
      <c r="N226" s="318"/>
      <c r="O226" s="318">
        <v>126950000</v>
      </c>
      <c r="P226" s="318"/>
      <c r="Q226" s="318"/>
      <c r="R226" s="250">
        <f t="shared" si="5"/>
        <v>253900000</v>
      </c>
      <c r="S226" s="243" t="s">
        <v>838</v>
      </c>
      <c r="T226" s="182"/>
      <c r="U226" s="191"/>
      <c r="V226" s="191"/>
      <c r="W226" s="191"/>
      <c r="BA226"/>
      <c r="BB226"/>
    </row>
    <row r="227" spans="1:54" s="180" customFormat="1" ht="14.25">
      <c r="A227" s="189"/>
      <c r="B227" s="319">
        <v>5005196373</v>
      </c>
      <c r="C227" s="333" t="str">
        <f>IFERROR(IF(VLOOKUP($B227,[1]勘定科目!$A:$H,HLOOKUP($E$5,[1]勘定科目!$F$1:$H$2,2,0),0)="","",VLOOKUP($B227,[1]勘定科目!$A:$E,2,0)),"")</f>
        <v>試験研究用材料費</v>
      </c>
      <c r="D227" s="334" t="str">
        <f>IF(C227="","",VLOOKUP($B227,[1]勘定科目!$A:$E,4,0))</f>
        <v>試験研究費</v>
      </c>
      <c r="E227" s="312"/>
      <c r="F227" s="320">
        <v>2188224000</v>
      </c>
      <c r="G227" s="320"/>
      <c r="H227" s="320"/>
      <c r="I227" s="318"/>
      <c r="J227" s="318">
        <v>618048000</v>
      </c>
      <c r="K227" s="318"/>
      <c r="L227" s="318"/>
      <c r="M227" s="320"/>
      <c r="N227" s="320"/>
      <c r="O227" s="320"/>
      <c r="P227" s="320"/>
      <c r="Q227" s="320"/>
      <c r="R227" s="250">
        <f t="shared" si="5"/>
        <v>2806272000</v>
      </c>
      <c r="S227" s="243" t="s">
        <v>839</v>
      </c>
      <c r="T227" s="182"/>
      <c r="U227" s="191"/>
      <c r="V227" s="191"/>
      <c r="W227" s="191"/>
      <c r="BA227"/>
      <c r="BB227"/>
    </row>
    <row r="228" spans="1:54" s="180" customFormat="1" ht="14.25">
      <c r="A228" s="189"/>
      <c r="B228" s="319">
        <v>5005196373</v>
      </c>
      <c r="C228" s="333" t="str">
        <f>IFERROR(IF(VLOOKUP($B228,[1]勘定科目!$A:$H,HLOOKUP($E$5,[1]勘定科目!$F$1:$H$2,2,0),0)="","",VLOOKUP($B228,[1]勘定科目!$A:$E,2,0)),"")</f>
        <v>試験研究用材料費</v>
      </c>
      <c r="D228" s="334" t="str">
        <f>IF(C228="","",VLOOKUP($B228,[1]勘定科目!$A:$E,4,0))</f>
        <v>試験研究費</v>
      </c>
      <c r="E228" s="312"/>
      <c r="F228" s="320"/>
      <c r="G228" s="320"/>
      <c r="H228" s="320"/>
      <c r="I228" s="318"/>
      <c r="J228" s="320"/>
      <c r="K228" s="320"/>
      <c r="L228" s="320">
        <v>0</v>
      </c>
      <c r="M228" s="320"/>
      <c r="N228" s="320"/>
      <c r="O228" s="320"/>
      <c r="P228" s="320">
        <v>365651000</v>
      </c>
      <c r="Q228" s="320"/>
      <c r="R228" s="250">
        <f t="shared" si="5"/>
        <v>365651000</v>
      </c>
      <c r="S228" s="243" t="s">
        <v>840</v>
      </c>
      <c r="T228" s="182"/>
      <c r="U228" s="191"/>
      <c r="V228" s="191"/>
      <c r="W228" s="191"/>
      <c r="BA228"/>
      <c r="BB228"/>
    </row>
    <row r="229" spans="1:54" s="180" customFormat="1" ht="14.25">
      <c r="A229" s="189"/>
      <c r="B229" s="319">
        <v>5005196373</v>
      </c>
      <c r="C229" s="333" t="str">
        <f>IFERROR(IF(VLOOKUP($B229,[1]勘定科目!$A:$H,HLOOKUP($E$5,[1]勘定科目!$F$1:$H$2,2,0),0)="","",VLOOKUP($B229,[1]勘定科目!$A:$E,2,0)),"")</f>
        <v>試験研究用材料費</v>
      </c>
      <c r="D229" s="334" t="str">
        <f>IF(C229="","",VLOOKUP($B229,[1]勘定科目!$A:$E,4,0))</f>
        <v>試験研究費</v>
      </c>
      <c r="E229" s="312"/>
      <c r="F229" s="320"/>
      <c r="G229" s="320"/>
      <c r="H229" s="320"/>
      <c r="I229" s="320"/>
      <c r="J229" s="320"/>
      <c r="K229" s="320"/>
      <c r="L229" s="320">
        <v>0</v>
      </c>
      <c r="M229" s="320"/>
      <c r="N229" s="320"/>
      <c r="O229" s="320"/>
      <c r="P229" s="320">
        <v>75947000</v>
      </c>
      <c r="Q229" s="320"/>
      <c r="R229" s="250">
        <f t="shared" si="5"/>
        <v>75947000</v>
      </c>
      <c r="S229" s="243" t="s">
        <v>841</v>
      </c>
      <c r="T229" s="182"/>
      <c r="U229" s="191"/>
      <c r="V229" s="191"/>
      <c r="W229" s="191"/>
      <c r="BA229"/>
      <c r="BB229"/>
    </row>
    <row r="230" spans="1:54" s="180" customFormat="1" ht="14.25">
      <c r="A230" s="189"/>
      <c r="B230" s="319">
        <v>5005196373</v>
      </c>
      <c r="C230" s="333" t="str">
        <f>IFERROR(IF(VLOOKUP($B230,[1]勘定科目!$A:$H,HLOOKUP($E$5,[1]勘定科目!$F$1:$H$2,2,0),0)="","",VLOOKUP($B230,[1]勘定科目!$A:$E,2,0)),"")</f>
        <v>試験研究用材料費</v>
      </c>
      <c r="D230" s="334" t="str">
        <f>IF(C230="","",VLOOKUP($B230,[1]勘定科目!$A:$E,4,0))</f>
        <v>試験研究費</v>
      </c>
      <c r="E230" s="312"/>
      <c r="F230" s="320"/>
      <c r="G230" s="320"/>
      <c r="H230" s="320"/>
      <c r="I230" s="320"/>
      <c r="J230" s="320"/>
      <c r="K230" s="320"/>
      <c r="L230" s="320"/>
      <c r="M230" s="320"/>
      <c r="N230" s="320"/>
      <c r="O230" s="320"/>
      <c r="P230" s="320"/>
      <c r="Q230" s="320"/>
      <c r="R230" s="250">
        <f t="shared" si="5"/>
        <v>0</v>
      </c>
      <c r="S230" s="243" t="s">
        <v>842</v>
      </c>
      <c r="T230" s="182"/>
      <c r="U230" s="191"/>
      <c r="V230" s="191"/>
      <c r="W230" s="191"/>
      <c r="BA230"/>
      <c r="BB230"/>
    </row>
    <row r="231" spans="1:54" s="180" customFormat="1" ht="14.25">
      <c r="A231" s="189"/>
      <c r="B231" s="319">
        <v>5005196373</v>
      </c>
      <c r="C231" s="333" t="str">
        <f>IFERROR(IF(VLOOKUP($B231,[1]勘定科目!$A:$H,HLOOKUP($E$5,[1]勘定科目!$F$1:$H$2,2,0),0)="","",VLOOKUP($B231,[1]勘定科目!$A:$E,2,0)),"")</f>
        <v>試験研究用材料費</v>
      </c>
      <c r="D231" s="334" t="str">
        <f>IF(C231="","",VLOOKUP($B231,[1]勘定科目!$A:$E,4,0))</f>
        <v>試験研究費</v>
      </c>
      <c r="E231" s="312"/>
      <c r="F231" s="320"/>
      <c r="G231" s="320"/>
      <c r="H231" s="320"/>
      <c r="I231" s="320"/>
      <c r="J231" s="320"/>
      <c r="K231" s="320"/>
      <c r="L231" s="320"/>
      <c r="M231" s="320"/>
      <c r="N231" s="320"/>
      <c r="O231" s="320"/>
      <c r="P231" s="320"/>
      <c r="Q231" s="320"/>
      <c r="R231" s="250">
        <f t="shared" si="5"/>
        <v>0</v>
      </c>
      <c r="S231" s="243" t="s">
        <v>843</v>
      </c>
      <c r="T231" s="182"/>
      <c r="U231" s="191"/>
      <c r="V231" s="191"/>
      <c r="W231" s="191"/>
      <c r="BA231"/>
      <c r="BB231"/>
    </row>
    <row r="232" spans="1:54" s="180" customFormat="1" ht="14.25">
      <c r="A232" s="189"/>
      <c r="B232" s="319">
        <v>5005196373</v>
      </c>
      <c r="C232" s="333" t="str">
        <f>IFERROR(IF(VLOOKUP($B232,[1]勘定科目!$A:$H,HLOOKUP($E$5,[1]勘定科目!$F$1:$H$2,2,0),0)="","",VLOOKUP($B232,[1]勘定科目!$A:$E,2,0)),"")</f>
        <v>試験研究用材料費</v>
      </c>
      <c r="D232" s="334" t="str">
        <f>IF(C232="","",VLOOKUP($B232,[1]勘定科目!$A:$E,4,0))</f>
        <v>試験研究費</v>
      </c>
      <c r="E232" s="312"/>
      <c r="F232" s="320">
        <v>16704000</v>
      </c>
      <c r="G232" s="320">
        <v>16704000</v>
      </c>
      <c r="H232" s="320">
        <v>16704000</v>
      </c>
      <c r="I232" s="320">
        <v>16704000</v>
      </c>
      <c r="J232" s="320">
        <v>16704000</v>
      </c>
      <c r="K232" s="320">
        <v>16704000</v>
      </c>
      <c r="L232" s="320">
        <v>16704000</v>
      </c>
      <c r="M232" s="320">
        <v>16704000</v>
      </c>
      <c r="N232" s="320">
        <v>16704000</v>
      </c>
      <c r="O232" s="320">
        <v>16704000</v>
      </c>
      <c r="P232" s="320">
        <v>16704000</v>
      </c>
      <c r="Q232" s="320">
        <v>16704000</v>
      </c>
      <c r="R232" s="250">
        <f t="shared" si="5"/>
        <v>200448000</v>
      </c>
      <c r="S232" s="243" t="s">
        <v>844</v>
      </c>
      <c r="T232" s="182"/>
      <c r="U232" s="191"/>
      <c r="V232" s="191"/>
      <c r="W232" s="191"/>
      <c r="BA232"/>
      <c r="BB232"/>
    </row>
    <row r="233" spans="1:54" s="180" customFormat="1" ht="14.25">
      <c r="A233" s="189"/>
      <c r="B233" s="319">
        <v>5005196373</v>
      </c>
      <c r="C233" s="333" t="str">
        <f>IFERROR(IF(VLOOKUP($B233,[1]勘定科目!$A:$H,HLOOKUP($E$5,[1]勘定科目!$F$1:$H$2,2,0),0)="","",VLOOKUP($B233,[1]勘定科目!$A:$E,2,0)),"")</f>
        <v>試験研究用材料費</v>
      </c>
      <c r="D233" s="334" t="str">
        <f>IF(C233="","",VLOOKUP($B233,[1]勘定科目!$A:$E,4,0))</f>
        <v>試験研究費</v>
      </c>
      <c r="E233" s="312"/>
      <c r="F233" s="320"/>
      <c r="G233" s="320"/>
      <c r="H233" s="320"/>
      <c r="I233" s="320"/>
      <c r="J233" s="320">
        <v>33408000</v>
      </c>
      <c r="K233" s="320"/>
      <c r="L233" s="320"/>
      <c r="M233" s="320"/>
      <c r="N233" s="320"/>
      <c r="O233" s="320"/>
      <c r="P233" s="320"/>
      <c r="Q233" s="320"/>
      <c r="R233" s="250">
        <f t="shared" si="5"/>
        <v>33408000</v>
      </c>
      <c r="S233" s="243" t="s">
        <v>845</v>
      </c>
      <c r="T233" s="182"/>
      <c r="U233" s="191"/>
      <c r="V233" s="191"/>
      <c r="W233" s="191"/>
      <c r="BA233"/>
      <c r="BB233"/>
    </row>
    <row r="234" spans="1:54" s="180" customFormat="1" ht="14.25">
      <c r="A234" s="189"/>
      <c r="B234" s="319"/>
      <c r="C234" s="333" t="str">
        <f>IFERROR(IF(VLOOKUP($B234,[1]勘定科目!$A:$H,HLOOKUP($E$5,[1]勘定科目!$F$1:$H$2,2,0),0)="","",VLOOKUP($B234,[1]勘定科目!$A:$E,2,0)),"")</f>
        <v/>
      </c>
      <c r="D234" s="334" t="str">
        <f>IF(C234="","",VLOOKUP($B234,[1]勘定科目!$A:$E,4,0))</f>
        <v/>
      </c>
      <c r="E234" s="312"/>
      <c r="F234" s="320"/>
      <c r="G234" s="320"/>
      <c r="H234" s="320"/>
      <c r="I234" s="320"/>
      <c r="J234" s="320"/>
      <c r="K234" s="320"/>
      <c r="L234" s="320"/>
      <c r="M234" s="320"/>
      <c r="N234" s="320"/>
      <c r="O234" s="320"/>
      <c r="P234" s="320"/>
      <c r="Q234" s="320"/>
      <c r="R234" s="250">
        <f t="shared" si="5"/>
        <v>0</v>
      </c>
      <c r="S234" s="243"/>
      <c r="T234" s="182"/>
      <c r="U234" s="191"/>
      <c r="V234" s="191"/>
      <c r="W234" s="191"/>
      <c r="BA234"/>
      <c r="BB234"/>
    </row>
    <row r="235" spans="1:54" s="180" customFormat="1" ht="16.5">
      <c r="A235" s="189"/>
      <c r="B235" s="319"/>
      <c r="C235" s="333" t="str">
        <f>IFERROR(IF(VLOOKUP($B235,[1]勘定科目!$A:$H,HLOOKUP($E$5,[1]勘定科目!$F$1:$H$2,2,0),0)="","",VLOOKUP($B235,[1]勘定科目!$A:$E,2,0)),"")</f>
        <v/>
      </c>
      <c r="D235" s="334" t="str">
        <f>IF(C235="","",VLOOKUP($B235,[1]勘定科目!$A:$E,4,0))</f>
        <v/>
      </c>
      <c r="E235" s="271"/>
      <c r="F235" s="326"/>
      <c r="G235" s="326"/>
      <c r="H235" s="326"/>
      <c r="I235" s="326"/>
      <c r="J235" s="326"/>
      <c r="K235" s="326"/>
      <c r="L235" s="326"/>
      <c r="M235" s="326"/>
      <c r="N235" s="326"/>
      <c r="O235" s="326"/>
      <c r="P235" s="326"/>
      <c r="Q235" s="326"/>
      <c r="R235" s="329">
        <f t="shared" si="5"/>
        <v>0</v>
      </c>
      <c r="S235" s="246" t="s">
        <v>899</v>
      </c>
      <c r="T235" s="182"/>
      <c r="U235" s="191"/>
      <c r="V235" s="191"/>
      <c r="W235" s="191"/>
      <c r="BA235"/>
      <c r="BB235"/>
    </row>
    <row r="236" spans="1:54" s="180" customFormat="1" ht="16.5">
      <c r="A236" s="189"/>
      <c r="B236" s="319"/>
      <c r="C236" s="333" t="str">
        <f>IFERROR(IF(VLOOKUP($B236,[1]勘定科目!$A:$H,HLOOKUP($E$5,[1]勘定科目!$F$1:$H$2,2,0),0)="","",VLOOKUP($B236,[1]勘定科目!$A:$E,2,0)),"")</f>
        <v/>
      </c>
      <c r="D236" s="334" t="str">
        <f>IF(C236="","",VLOOKUP($B236,[1]勘定科目!$A:$E,4,0))</f>
        <v/>
      </c>
      <c r="E236" s="312"/>
      <c r="F236" s="320"/>
      <c r="G236" s="320"/>
      <c r="H236" s="320"/>
      <c r="I236" s="320"/>
      <c r="J236" s="320"/>
      <c r="K236" s="320"/>
      <c r="L236" s="320"/>
      <c r="M236" s="320"/>
      <c r="N236" s="320"/>
      <c r="O236" s="320"/>
      <c r="P236" s="320"/>
      <c r="Q236" s="320"/>
      <c r="R236" s="250">
        <f t="shared" si="5"/>
        <v>0</v>
      </c>
      <c r="S236" s="246"/>
      <c r="T236" s="182"/>
      <c r="U236" s="191"/>
      <c r="V236" s="191"/>
      <c r="W236" s="191"/>
      <c r="BA236"/>
      <c r="BB236"/>
    </row>
    <row r="237" spans="1:54" s="180" customFormat="1" ht="16.5">
      <c r="A237" s="189"/>
      <c r="B237" s="319"/>
      <c r="C237" s="333" t="str">
        <f>IFERROR(IF(VLOOKUP($B237,[1]勘定科目!$A:$H,HLOOKUP($E$5,[1]勘定科目!$F$1:$H$2,2,0),0)="","",VLOOKUP($B237,[1]勘定科目!$A:$E,2,0)),"")</f>
        <v/>
      </c>
      <c r="D237" s="334" t="str">
        <f>IF(C237="","",VLOOKUP($B237,[1]勘定科目!$A:$E,4,0))</f>
        <v/>
      </c>
      <c r="E237" s="271"/>
      <c r="F237" s="326"/>
      <c r="G237" s="326"/>
      <c r="H237" s="326"/>
      <c r="I237" s="326"/>
      <c r="J237" s="326"/>
      <c r="K237" s="326"/>
      <c r="L237" s="326"/>
      <c r="M237" s="326"/>
      <c r="N237" s="326"/>
      <c r="O237" s="326"/>
      <c r="P237" s="326"/>
      <c r="Q237" s="326"/>
      <c r="R237" s="329">
        <f t="shared" si="5"/>
        <v>0</v>
      </c>
      <c r="S237" s="246" t="s">
        <v>846</v>
      </c>
      <c r="T237" s="182"/>
      <c r="U237" s="191"/>
      <c r="V237" s="191"/>
      <c r="W237" s="191"/>
      <c r="BA237"/>
      <c r="BB237"/>
    </row>
    <row r="238" spans="1:54" s="180" customFormat="1" ht="14.25">
      <c r="A238" s="189"/>
      <c r="B238" s="327">
        <v>5005116291</v>
      </c>
      <c r="C238" s="333" t="str">
        <f>IFERROR(IF(VLOOKUP($B238,[1]勘定科目!$A:$H,HLOOKUP($E$5,[1]勘定科目!$F$1:$H$2,2,0),0)="","",VLOOKUP($B238,[1]勘定科目!$A:$E,2,0)),"")</f>
        <v>ベトナム国内交通費（製）</v>
      </c>
      <c r="D238" s="334" t="str">
        <f>IF(C238="","",VLOOKUP($B238,[1]勘定科目!$A:$E,4,0))</f>
        <v>旅費交通費</v>
      </c>
      <c r="E238" s="312"/>
      <c r="F238" s="318"/>
      <c r="G238" s="320"/>
      <c r="H238" s="318"/>
      <c r="I238" s="320"/>
      <c r="J238" s="318"/>
      <c r="K238" s="320"/>
      <c r="L238" s="320">
        <v>600000</v>
      </c>
      <c r="M238" s="320"/>
      <c r="N238" s="320"/>
      <c r="O238" s="320"/>
      <c r="P238" s="320"/>
      <c r="Q238" s="320"/>
      <c r="R238" s="250">
        <f t="shared" si="5"/>
        <v>600000</v>
      </c>
      <c r="S238" s="243" t="s">
        <v>847</v>
      </c>
      <c r="T238" s="182"/>
      <c r="U238" s="191"/>
      <c r="V238" s="191"/>
      <c r="W238" s="191"/>
      <c r="BA238"/>
      <c r="BB238"/>
    </row>
    <row r="239" spans="1:54" s="180" customFormat="1" ht="14.25">
      <c r="A239" s="189"/>
      <c r="B239" s="269">
        <v>5004086293</v>
      </c>
      <c r="C239" s="333" t="str">
        <f>IFERROR(IF(VLOOKUP($B239,[1]勘定科目!$A:$H,HLOOKUP($E$5,[1]勘定科目!$F$1:$H$2,2,0),0)="","",VLOOKUP($B239,[1]勘定科目!$A:$E,2,0)),"")</f>
        <v>教育訓練費（製）</v>
      </c>
      <c r="D239" s="334" t="str">
        <f>IF(C239="","",VLOOKUP($B239,[1]勘定科目!$A:$E,4,0))</f>
        <v>募集教育費</v>
      </c>
      <c r="E239" s="312"/>
      <c r="F239" s="320"/>
      <c r="G239" s="320"/>
      <c r="H239" s="320"/>
      <c r="I239" s="320">
        <v>0</v>
      </c>
      <c r="J239" s="320"/>
      <c r="K239" s="320"/>
      <c r="L239" s="320">
        <v>1400000</v>
      </c>
      <c r="M239" s="320"/>
      <c r="N239" s="320">
        <v>0</v>
      </c>
      <c r="O239" s="320">
        <v>0</v>
      </c>
      <c r="P239" s="320">
        <v>0</v>
      </c>
      <c r="Q239" s="320">
        <v>1400000</v>
      </c>
      <c r="R239" s="250">
        <f t="shared" si="5"/>
        <v>2800000</v>
      </c>
      <c r="S239" s="243" t="s">
        <v>848</v>
      </c>
      <c r="T239" s="182"/>
      <c r="U239" s="191"/>
      <c r="V239" s="191"/>
      <c r="W239" s="191"/>
      <c r="BA239"/>
      <c r="BB239"/>
    </row>
    <row r="240" spans="1:54" s="180" customFormat="1" ht="14.25">
      <c r="A240" s="189"/>
      <c r="B240" s="327">
        <v>5005116291</v>
      </c>
      <c r="C240" s="333" t="str">
        <f>IFERROR(IF(VLOOKUP($B240,[1]勘定科目!$A:$H,HLOOKUP($E$5,[1]勘定科目!$F$1:$H$2,2,0),0)="","",VLOOKUP($B240,[1]勘定科目!$A:$E,2,0)),"")</f>
        <v>ベトナム国内交通費（製）</v>
      </c>
      <c r="D240" s="334" t="str">
        <f>IF(C240="","",VLOOKUP($B240,[1]勘定科目!$A:$E,4,0))</f>
        <v>旅費交通費</v>
      </c>
      <c r="E240" s="312"/>
      <c r="F240" s="320"/>
      <c r="G240" s="320"/>
      <c r="H240" s="320"/>
      <c r="I240" s="320"/>
      <c r="J240" s="320"/>
      <c r="K240" s="320"/>
      <c r="L240" s="320"/>
      <c r="M240" s="320"/>
      <c r="N240" s="320"/>
      <c r="O240" s="320"/>
      <c r="P240" s="320"/>
      <c r="Q240" s="320"/>
      <c r="R240" s="250">
        <f t="shared" si="5"/>
        <v>0</v>
      </c>
      <c r="S240" s="244" t="s">
        <v>900</v>
      </c>
      <c r="T240" s="182"/>
      <c r="U240" s="191"/>
      <c r="V240" s="191"/>
      <c r="W240" s="191"/>
      <c r="BA240"/>
      <c r="BB240"/>
    </row>
    <row r="241" spans="1:54" s="180" customFormat="1" ht="14.25">
      <c r="A241" s="189"/>
      <c r="B241" s="269">
        <v>5004086293</v>
      </c>
      <c r="C241" s="333" t="str">
        <f>IFERROR(IF(VLOOKUP($B241,[1]勘定科目!$A:$H,HLOOKUP($E$5,[1]勘定科目!$F$1:$H$2,2,0),0)="","",VLOOKUP($B241,[1]勘定科目!$A:$E,2,0)),"")</f>
        <v>教育訓練費（製）</v>
      </c>
      <c r="D241" s="334" t="str">
        <f>IF(C241="","",VLOOKUP($B241,[1]勘定科目!$A:$E,4,0))</f>
        <v>募集教育費</v>
      </c>
      <c r="E241" s="312"/>
      <c r="F241" s="320"/>
      <c r="G241" s="320"/>
      <c r="H241" s="320"/>
      <c r="I241" s="320">
        <v>1500000</v>
      </c>
      <c r="J241" s="320"/>
      <c r="K241" s="320"/>
      <c r="L241" s="320"/>
      <c r="M241" s="320"/>
      <c r="N241" s="320">
        <v>1500000</v>
      </c>
      <c r="O241" s="320">
        <v>0</v>
      </c>
      <c r="P241" s="320">
        <v>0</v>
      </c>
      <c r="Q241" s="320">
        <v>0</v>
      </c>
      <c r="R241" s="250">
        <f t="shared" si="5"/>
        <v>3000000</v>
      </c>
      <c r="S241" s="243" t="s">
        <v>849</v>
      </c>
      <c r="T241" s="182"/>
      <c r="U241" s="191"/>
      <c r="V241" s="191"/>
      <c r="W241" s="191"/>
      <c r="BA241"/>
      <c r="BB241"/>
    </row>
    <row r="242" spans="1:54" s="180" customFormat="1" ht="14.25">
      <c r="A242" s="189"/>
      <c r="B242" s="269"/>
      <c r="C242" s="333" t="str">
        <f>IFERROR(IF(VLOOKUP($B242,[1]勘定科目!$A:$H,HLOOKUP($E$5,[1]勘定科目!$F$1:$H$2,2,0),0)="","",VLOOKUP($B242,[1]勘定科目!$A:$E,2,0)),"")</f>
        <v/>
      </c>
      <c r="D242" s="334" t="str">
        <f>IF(C242="","",VLOOKUP($B242,[1]勘定科目!$A:$E,4,0))</f>
        <v/>
      </c>
      <c r="E242" s="312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250">
        <f t="shared" si="5"/>
        <v>0</v>
      </c>
      <c r="S242" s="243"/>
      <c r="T242" s="182"/>
      <c r="U242" s="191"/>
      <c r="V242" s="191"/>
      <c r="W242" s="191"/>
      <c r="BA242"/>
      <c r="BB242"/>
    </row>
    <row r="243" spans="1:54" s="180" customFormat="1" ht="16.5">
      <c r="A243" s="189"/>
      <c r="B243" s="327"/>
      <c r="C243" s="333" t="str">
        <f>IFERROR(IF(VLOOKUP($B243,[1]勘定科目!$A:$H,HLOOKUP($E$5,[1]勘定科目!$F$1:$H$2,2,0),0)="","",VLOOKUP($B243,[1]勘定科目!$A:$E,2,0)),"")</f>
        <v/>
      </c>
      <c r="D243" s="334" t="str">
        <f>IF(C243="","",VLOOKUP($B243,[1]勘定科目!$A:$E,4,0))</f>
        <v/>
      </c>
      <c r="E243" s="312"/>
      <c r="F243" s="320"/>
      <c r="G243" s="320"/>
      <c r="H243" s="320"/>
      <c r="I243" s="320"/>
      <c r="J243" s="320"/>
      <c r="K243" s="320"/>
      <c r="L243" s="320"/>
      <c r="M243" s="320"/>
      <c r="N243" s="320"/>
      <c r="O243" s="320"/>
      <c r="P243" s="320"/>
      <c r="Q243" s="320"/>
      <c r="R243" s="250">
        <f t="shared" ref="R243:R275" si="6">SUM(F243:Q243)</f>
        <v>0</v>
      </c>
      <c r="S243" s="242" t="s">
        <v>850</v>
      </c>
      <c r="T243" s="182"/>
      <c r="U243" s="191"/>
      <c r="V243" s="191"/>
      <c r="W243" s="191"/>
      <c r="BA243"/>
      <c r="BB243"/>
    </row>
    <row r="244" spans="1:54" s="180" customFormat="1" ht="14.25">
      <c r="A244" s="189"/>
      <c r="B244" s="269">
        <v>5005116291</v>
      </c>
      <c r="C244" s="333" t="str">
        <f>IFERROR(IF(VLOOKUP($B244,[1]勘定科目!$A:$H,HLOOKUP($E$5,[1]勘定科目!$F$1:$H$2,2,0),0)="","",VLOOKUP($B244,[1]勘定科目!$A:$E,2,0)),"")</f>
        <v>ベトナム国内交通費（製）</v>
      </c>
      <c r="D244" s="334" t="str">
        <f>IF(C244="","",VLOOKUP($B244,[1]勘定科目!$A:$E,4,0))</f>
        <v>旅費交通費</v>
      </c>
      <c r="E244" s="312"/>
      <c r="F244" s="320"/>
      <c r="G244" s="320"/>
      <c r="H244" s="320"/>
      <c r="I244" s="320">
        <v>1500000</v>
      </c>
      <c r="J244" s="318"/>
      <c r="K244" s="320"/>
      <c r="L244" s="320"/>
      <c r="M244" s="320"/>
      <c r="N244" s="320"/>
      <c r="O244" s="320"/>
      <c r="P244" s="320"/>
      <c r="Q244" s="320"/>
      <c r="R244" s="250">
        <f t="shared" si="6"/>
        <v>1500000</v>
      </c>
      <c r="S244" s="247" t="s">
        <v>851</v>
      </c>
      <c r="T244" s="182"/>
      <c r="U244" s="191"/>
      <c r="V244" s="191"/>
      <c r="W244" s="191"/>
      <c r="BA244"/>
      <c r="BB244"/>
    </row>
    <row r="245" spans="1:54" s="180" customFormat="1" ht="16.5">
      <c r="A245" s="189"/>
      <c r="B245" s="319"/>
      <c r="C245" s="333" t="str">
        <f>IFERROR(IF(VLOOKUP($B245,[1]勘定科目!$A:$H,HLOOKUP($E$5,[1]勘定科目!$F$1:$H$2,2,0),0)="","",VLOOKUP($B245,[1]勘定科目!$A:$E,2,0)),"")</f>
        <v/>
      </c>
      <c r="D245" s="334" t="str">
        <f>IF(C245="","",VLOOKUP($B245,[1]勘定科目!$A:$E,4,0))</f>
        <v/>
      </c>
      <c r="E245" s="312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9">
        <f t="shared" si="6"/>
        <v>0</v>
      </c>
      <c r="S245" s="242" t="s">
        <v>852</v>
      </c>
      <c r="T245" s="182"/>
      <c r="U245" s="191"/>
      <c r="V245" s="191"/>
      <c r="W245" s="191"/>
      <c r="BA245"/>
      <c r="BB245"/>
    </row>
    <row r="246" spans="1:54" s="180" customFormat="1" ht="14.25">
      <c r="A246" s="189"/>
      <c r="B246" s="319">
        <v>5005116292</v>
      </c>
      <c r="C246" s="333" t="str">
        <f>IFERROR(IF(VLOOKUP($B246,[1]勘定科目!$A:$H,HLOOKUP($E$5,[1]勘定科目!$F$1:$H$2,2,0),0)="","",VLOOKUP($B246,[1]勘定科目!$A:$E,2,0)),"")</f>
        <v>海外渡航費（製）</v>
      </c>
      <c r="D246" s="334" t="str">
        <f>IF(C246="","",VLOOKUP($B246,[1]勘定科目!$A:$E,4,0))</f>
        <v>渡航費</v>
      </c>
      <c r="E246" s="312"/>
      <c r="F246" s="320"/>
      <c r="G246" s="320">
        <v>0</v>
      </c>
      <c r="H246" s="318"/>
      <c r="I246" s="320"/>
      <c r="J246" s="320"/>
      <c r="K246" s="320"/>
      <c r="L246" s="320"/>
      <c r="M246" s="320"/>
      <c r="N246" s="320"/>
      <c r="O246" s="320"/>
      <c r="P246" s="320"/>
      <c r="Q246" s="320"/>
      <c r="R246" s="250">
        <f t="shared" si="6"/>
        <v>0</v>
      </c>
      <c r="S246" s="243" t="s">
        <v>901</v>
      </c>
      <c r="T246" s="182"/>
      <c r="U246" s="191"/>
      <c r="V246" s="191"/>
      <c r="W246" s="191"/>
      <c r="BA246"/>
      <c r="BB246"/>
    </row>
    <row r="247" spans="1:54" s="180" customFormat="1" ht="14.25">
      <c r="A247" s="189"/>
      <c r="B247" s="319">
        <v>5005116292</v>
      </c>
      <c r="C247" s="333" t="str">
        <f>IFERROR(IF(VLOOKUP($B247,[1]勘定科目!$A:$H,HLOOKUP($E$5,[1]勘定科目!$F$1:$H$2,2,0),0)="","",VLOOKUP($B247,[1]勘定科目!$A:$E,2,0)),"")</f>
        <v>海外渡航費（製）</v>
      </c>
      <c r="D247" s="334" t="str">
        <f>IF(C247="","",VLOOKUP($B247,[1]勘定科目!$A:$E,4,0))</f>
        <v>渡航費</v>
      </c>
      <c r="E247" s="312"/>
      <c r="F247" s="320"/>
      <c r="G247" s="320">
        <v>0</v>
      </c>
      <c r="H247" s="318"/>
      <c r="I247" s="320"/>
      <c r="J247" s="320"/>
      <c r="K247" s="320"/>
      <c r="L247" s="320"/>
      <c r="M247" s="320">
        <v>8440000</v>
      </c>
      <c r="N247" s="320"/>
      <c r="O247" s="320"/>
      <c r="P247" s="320"/>
      <c r="Q247" s="320"/>
      <c r="R247" s="250">
        <f t="shared" si="6"/>
        <v>8440000</v>
      </c>
      <c r="S247" s="243" t="s">
        <v>853</v>
      </c>
      <c r="T247" s="182"/>
      <c r="U247" s="191"/>
      <c r="V247" s="191"/>
      <c r="W247" s="191"/>
      <c r="BA247"/>
      <c r="BB247"/>
    </row>
    <row r="248" spans="1:54" s="180" customFormat="1" ht="14.25">
      <c r="A248" s="189"/>
      <c r="B248" s="319">
        <v>5005116292</v>
      </c>
      <c r="C248" s="333" t="str">
        <f>IFERROR(IF(VLOOKUP($B248,[1]勘定科目!$A:$H,HLOOKUP($E$5,[1]勘定科目!$F$1:$H$2,2,0),0)="","",VLOOKUP($B248,[1]勘定科目!$A:$E,2,0)),"")</f>
        <v>海外渡航費（製）</v>
      </c>
      <c r="D248" s="334" t="str">
        <f>IF(C248="","",VLOOKUP($B248,[1]勘定科目!$A:$E,4,0))</f>
        <v>渡航費</v>
      </c>
      <c r="E248" s="312"/>
      <c r="F248" s="320"/>
      <c r="G248" s="320"/>
      <c r="H248" s="318"/>
      <c r="I248" s="320"/>
      <c r="J248" s="320"/>
      <c r="K248" s="320"/>
      <c r="L248" s="320"/>
      <c r="M248" s="320"/>
      <c r="N248" s="320"/>
      <c r="O248" s="320"/>
      <c r="P248" s="320"/>
      <c r="Q248" s="320"/>
      <c r="R248" s="250">
        <f t="shared" si="6"/>
        <v>0</v>
      </c>
      <c r="S248" s="243" t="s">
        <v>902</v>
      </c>
      <c r="T248" s="182"/>
      <c r="U248" s="191"/>
      <c r="V248" s="191"/>
      <c r="W248" s="191"/>
      <c r="BA248"/>
      <c r="BB248"/>
    </row>
    <row r="249" spans="1:54" s="180" customFormat="1" ht="14.25">
      <c r="A249" s="189"/>
      <c r="B249" s="319">
        <v>5005116292</v>
      </c>
      <c r="C249" s="333" t="str">
        <f>IFERROR(IF(VLOOKUP($B249,[1]勘定科目!$A:$H,HLOOKUP($E$5,[1]勘定科目!$F$1:$H$2,2,0),0)="","",VLOOKUP($B249,[1]勘定科目!$A:$E,2,0)),"")</f>
        <v>海外渡航費（製）</v>
      </c>
      <c r="D249" s="334" t="str">
        <f>IF(C249="","",VLOOKUP($B249,[1]勘定科目!$A:$E,4,0))</f>
        <v>渡航費</v>
      </c>
      <c r="E249" s="312"/>
      <c r="F249" s="320"/>
      <c r="G249" s="320">
        <v>0</v>
      </c>
      <c r="H249" s="318"/>
      <c r="I249" s="320"/>
      <c r="J249" s="320"/>
      <c r="K249" s="320"/>
      <c r="L249" s="320"/>
      <c r="M249" s="320">
        <v>2894460</v>
      </c>
      <c r="N249" s="320"/>
      <c r="O249" s="320"/>
      <c r="P249" s="320"/>
      <c r="Q249" s="320"/>
      <c r="R249" s="250">
        <f t="shared" si="6"/>
        <v>2894460</v>
      </c>
      <c r="S249" s="243" t="s">
        <v>903</v>
      </c>
      <c r="T249" s="182"/>
      <c r="U249" s="191"/>
      <c r="V249" s="191"/>
      <c r="W249" s="191"/>
      <c r="BA249"/>
      <c r="BB249"/>
    </row>
    <row r="250" spans="1:54" s="180" customFormat="1" ht="14.25">
      <c r="A250" s="189"/>
      <c r="B250" s="319">
        <v>5005116292</v>
      </c>
      <c r="C250" s="333" t="str">
        <f>IFERROR(IF(VLOOKUP($B250,[1]勘定科目!$A:$H,HLOOKUP($E$5,[1]勘定科目!$F$1:$H$2,2,0),0)="","",VLOOKUP($B250,[1]勘定科目!$A:$E,2,0)),"")</f>
        <v>海外渡航費（製）</v>
      </c>
      <c r="D250" s="334" t="str">
        <f>IF(C250="","",VLOOKUP($B250,[1]勘定科目!$A:$E,4,0))</f>
        <v>渡航費</v>
      </c>
      <c r="E250" s="312"/>
      <c r="F250" s="320"/>
      <c r="G250" s="320">
        <v>0</v>
      </c>
      <c r="H250" s="318">
        <v>0</v>
      </c>
      <c r="I250" s="320"/>
      <c r="J250" s="320"/>
      <c r="K250" s="320"/>
      <c r="L250" s="320"/>
      <c r="M250" s="320">
        <v>0</v>
      </c>
      <c r="N250" s="320">
        <v>76170000</v>
      </c>
      <c r="O250" s="320"/>
      <c r="P250" s="320"/>
      <c r="Q250" s="320"/>
      <c r="R250" s="250">
        <f t="shared" si="6"/>
        <v>76170000</v>
      </c>
      <c r="S250" s="243" t="s">
        <v>854</v>
      </c>
      <c r="T250" s="182"/>
      <c r="U250" s="191"/>
      <c r="V250" s="191"/>
      <c r="W250" s="191"/>
      <c r="BA250"/>
      <c r="BB250"/>
    </row>
    <row r="251" spans="1:54" s="180" customFormat="1" ht="14.25">
      <c r="A251" s="189"/>
      <c r="B251" s="319">
        <v>5005116292</v>
      </c>
      <c r="C251" s="333" t="str">
        <f>IFERROR(IF(VLOOKUP($B251,[1]勘定科目!$A:$H,HLOOKUP($E$5,[1]勘定科目!$F$1:$H$2,2,0),0)="","",VLOOKUP($B251,[1]勘定科目!$A:$E,2,0)),"")</f>
        <v>海外渡航費（製）</v>
      </c>
      <c r="D251" s="334" t="str">
        <f>IF(C251="","",VLOOKUP($B251,[1]勘定科目!$A:$E,4,0))</f>
        <v>渡航費</v>
      </c>
      <c r="E251" s="312"/>
      <c r="F251" s="320"/>
      <c r="G251" s="320">
        <v>0</v>
      </c>
      <c r="H251" s="318">
        <v>0</v>
      </c>
      <c r="I251" s="320"/>
      <c r="J251" s="320"/>
      <c r="K251" s="320"/>
      <c r="L251" s="320"/>
      <c r="M251" s="320">
        <v>1671000</v>
      </c>
      <c r="N251" s="320">
        <v>0</v>
      </c>
      <c r="O251" s="320"/>
      <c r="P251" s="320"/>
      <c r="Q251" s="320"/>
      <c r="R251" s="250">
        <f t="shared" si="6"/>
        <v>1671000</v>
      </c>
      <c r="S251" s="243" t="s">
        <v>855</v>
      </c>
      <c r="T251" s="182"/>
      <c r="U251" s="191"/>
      <c r="V251" s="191"/>
      <c r="W251" s="191"/>
      <c r="BA251"/>
      <c r="BB251"/>
    </row>
    <row r="252" spans="1:54" s="180" customFormat="1" ht="14.25">
      <c r="A252" s="189"/>
      <c r="B252" s="319">
        <v>5005116292</v>
      </c>
      <c r="C252" s="333" t="str">
        <f>IFERROR(IF(VLOOKUP($B252,[1]勘定科目!$A:$H,HLOOKUP($E$5,[1]勘定科目!$F$1:$H$2,2,0),0)="","",VLOOKUP($B252,[1]勘定科目!$A:$E,2,0)),"")</f>
        <v>海外渡航費（製）</v>
      </c>
      <c r="D252" s="334" t="str">
        <f>IF(C252="","",VLOOKUP($B252,[1]勘定科目!$A:$E,4,0))</f>
        <v>渡航費</v>
      </c>
      <c r="E252" s="312"/>
      <c r="F252" s="320"/>
      <c r="G252" s="320">
        <v>0</v>
      </c>
      <c r="H252" s="318">
        <v>0</v>
      </c>
      <c r="I252" s="320"/>
      <c r="J252" s="320">
        <v>0</v>
      </c>
      <c r="K252" s="320"/>
      <c r="L252" s="320"/>
      <c r="M252" s="320">
        <v>0</v>
      </c>
      <c r="N252" s="320">
        <v>1500000</v>
      </c>
      <c r="O252" s="320"/>
      <c r="P252" s="320">
        <v>1500000</v>
      </c>
      <c r="Q252" s="320"/>
      <c r="R252" s="250">
        <f t="shared" si="6"/>
        <v>3000000</v>
      </c>
      <c r="S252" s="243" t="s">
        <v>856</v>
      </c>
      <c r="T252" s="182"/>
      <c r="U252" s="191"/>
      <c r="V252" s="191"/>
      <c r="W252" s="191"/>
      <c r="BA252"/>
      <c r="BB252"/>
    </row>
    <row r="253" spans="1:54" s="180" customFormat="1" ht="14.25">
      <c r="A253" s="189"/>
      <c r="B253" s="319">
        <v>5005116292</v>
      </c>
      <c r="C253" s="333" t="str">
        <f>IFERROR(IF(VLOOKUP($B253,[1]勘定科目!$A:$H,HLOOKUP($E$5,[1]勘定科目!$F$1:$H$2,2,0),0)="","",VLOOKUP($B253,[1]勘定科目!$A:$E,2,0)),"")</f>
        <v>海外渡航費（製）</v>
      </c>
      <c r="D253" s="334" t="str">
        <f>IF(C253="","",VLOOKUP($B253,[1]勘定科目!$A:$E,4,0))</f>
        <v>渡航費</v>
      </c>
      <c r="E253" s="312"/>
      <c r="F253" s="320"/>
      <c r="G253" s="320">
        <v>0</v>
      </c>
      <c r="H253" s="318">
        <v>0</v>
      </c>
      <c r="I253" s="320"/>
      <c r="J253" s="320"/>
      <c r="K253" s="320"/>
      <c r="L253" s="320"/>
      <c r="M253" s="320">
        <v>0</v>
      </c>
      <c r="N253" s="320">
        <v>48748800</v>
      </c>
      <c r="O253" s="320"/>
      <c r="P253" s="320"/>
      <c r="Q253" s="320"/>
      <c r="R253" s="250">
        <f t="shared" si="6"/>
        <v>48748800</v>
      </c>
      <c r="S253" s="243" t="s">
        <v>857</v>
      </c>
      <c r="T253" s="182"/>
      <c r="U253" s="191"/>
      <c r="V253" s="191"/>
      <c r="W253" s="191"/>
      <c r="BA253"/>
      <c r="BB253"/>
    </row>
    <row r="254" spans="1:54" s="180" customFormat="1" ht="14.25">
      <c r="A254" s="189"/>
      <c r="B254" s="319">
        <v>5005116292</v>
      </c>
      <c r="C254" s="333" t="str">
        <f>IFERROR(IF(VLOOKUP($B254,[1]勘定科目!$A:$H,HLOOKUP($E$5,[1]勘定科目!$F$1:$H$2,2,0),0)="","",VLOOKUP($B254,[1]勘定科目!$A:$E,2,0)),"")</f>
        <v>海外渡航費（製）</v>
      </c>
      <c r="D254" s="334" t="str">
        <f>IF(C254="","",VLOOKUP($B254,[1]勘定科目!$A:$E,4,0))</f>
        <v>渡航費</v>
      </c>
      <c r="E254" s="312"/>
      <c r="F254" s="320"/>
      <c r="G254" s="320"/>
      <c r="H254" s="318"/>
      <c r="I254" s="320"/>
      <c r="J254" s="320"/>
      <c r="K254" s="320"/>
      <c r="L254" s="320"/>
      <c r="M254" s="320"/>
      <c r="N254" s="320"/>
      <c r="O254" s="320"/>
      <c r="P254" s="320"/>
      <c r="Q254" s="320"/>
      <c r="R254" s="250">
        <f t="shared" si="6"/>
        <v>0</v>
      </c>
      <c r="S254" s="243" t="s">
        <v>904</v>
      </c>
      <c r="T254" s="182"/>
      <c r="U254" s="191"/>
      <c r="V254" s="191"/>
      <c r="W254" s="191"/>
      <c r="BA254"/>
      <c r="BB254"/>
    </row>
    <row r="255" spans="1:54" s="180" customFormat="1" ht="14.25">
      <c r="A255" s="189"/>
      <c r="B255" s="319">
        <v>5005116292</v>
      </c>
      <c r="C255" s="333" t="str">
        <f>IFERROR(IF(VLOOKUP($B255,[1]勘定科目!$A:$H,HLOOKUP($E$5,[1]勘定科目!$F$1:$H$2,2,0),0)="","",VLOOKUP($B255,[1]勘定科目!$A:$E,2,0)),"")</f>
        <v>海外渡航費（製）</v>
      </c>
      <c r="D255" s="334" t="str">
        <f>IF(C255="","",VLOOKUP($B255,[1]勘定科目!$A:$E,4,0))</f>
        <v>渡航費</v>
      </c>
      <c r="E255" s="312"/>
      <c r="F255" s="320"/>
      <c r="G255" s="320">
        <v>0</v>
      </c>
      <c r="H255" s="318">
        <v>0</v>
      </c>
      <c r="I255" s="320"/>
      <c r="J255" s="320"/>
      <c r="K255" s="320"/>
      <c r="L255" s="320"/>
      <c r="M255" s="320">
        <v>1170000</v>
      </c>
      <c r="N255" s="320">
        <v>0</v>
      </c>
      <c r="O255" s="320"/>
      <c r="P255" s="320"/>
      <c r="Q255" s="320"/>
      <c r="R255" s="250">
        <f t="shared" si="6"/>
        <v>1170000</v>
      </c>
      <c r="S255" s="243" t="s">
        <v>858</v>
      </c>
      <c r="T255" s="182"/>
      <c r="U255" s="191"/>
      <c r="V255" s="191"/>
      <c r="W255" s="191"/>
      <c r="BA255"/>
      <c r="BB255"/>
    </row>
    <row r="256" spans="1:54" s="180" customFormat="1" ht="14.25">
      <c r="A256" s="189"/>
      <c r="B256" s="319">
        <v>5005116292</v>
      </c>
      <c r="C256" s="333" t="str">
        <f>IFERROR(IF(VLOOKUP($B256,[1]勘定科目!$A:$H,HLOOKUP($E$5,[1]勘定科目!$F$1:$H$2,2,0),0)="","",VLOOKUP($B256,[1]勘定科目!$A:$E,2,0)),"")</f>
        <v>海外渡航費（製）</v>
      </c>
      <c r="D256" s="334" t="str">
        <f>IF(C256="","",VLOOKUP($B256,[1]勘定科目!$A:$E,4,0))</f>
        <v>渡航費</v>
      </c>
      <c r="E256" s="312"/>
      <c r="F256" s="320"/>
      <c r="G256" s="320">
        <v>0</v>
      </c>
      <c r="H256" s="318">
        <v>0</v>
      </c>
      <c r="I256" s="320"/>
      <c r="J256" s="320"/>
      <c r="K256" s="320"/>
      <c r="L256" s="320"/>
      <c r="M256" s="320">
        <v>0</v>
      </c>
      <c r="N256" s="320">
        <v>70156800</v>
      </c>
      <c r="O256" s="320"/>
      <c r="P256" s="320"/>
      <c r="Q256" s="320"/>
      <c r="R256" s="250">
        <f t="shared" si="6"/>
        <v>70156800</v>
      </c>
      <c r="S256" s="243" t="s">
        <v>859</v>
      </c>
      <c r="T256" s="182"/>
      <c r="U256" s="191"/>
      <c r="V256" s="191"/>
      <c r="W256" s="191"/>
      <c r="BA256"/>
      <c r="BB256"/>
    </row>
    <row r="257" spans="1:54" s="180" customFormat="1" ht="14.25">
      <c r="A257" s="189"/>
      <c r="B257" s="319"/>
      <c r="C257" s="333" t="str">
        <f>IFERROR(IF(VLOOKUP($B257,[1]勘定科目!$A:$H,HLOOKUP($E$5,[1]勘定科目!$F$1:$H$2,2,0),0)="","",VLOOKUP($B257,[1]勘定科目!$A:$E,2,0)),"")</f>
        <v/>
      </c>
      <c r="D257" s="334" t="str">
        <f>IF(C257="","",VLOOKUP($B257,[1]勘定科目!$A:$E,4,0))</f>
        <v/>
      </c>
      <c r="E257" s="312"/>
      <c r="F257" s="320"/>
      <c r="G257" s="320">
        <v>0</v>
      </c>
      <c r="H257" s="320">
        <v>0</v>
      </c>
      <c r="I257" s="320"/>
      <c r="J257" s="320"/>
      <c r="K257" s="320"/>
      <c r="L257" s="320"/>
      <c r="M257" s="320">
        <v>0</v>
      </c>
      <c r="N257" s="320">
        <v>0</v>
      </c>
      <c r="O257" s="320"/>
      <c r="P257" s="320"/>
      <c r="Q257" s="320"/>
      <c r="R257" s="250">
        <f t="shared" si="6"/>
        <v>0</v>
      </c>
      <c r="S257" s="243"/>
      <c r="T257" s="182"/>
      <c r="U257" s="191"/>
      <c r="V257" s="191"/>
      <c r="W257" s="191"/>
      <c r="BA257"/>
      <c r="BB257"/>
    </row>
    <row r="258" spans="1:54" s="180" customFormat="1" ht="16.5">
      <c r="A258" s="189"/>
      <c r="B258" s="319"/>
      <c r="C258" s="333" t="str">
        <f>IFERROR(IF(VLOOKUP($B258,[1]勘定科目!$A:$H,HLOOKUP($E$5,[1]勘定科目!$F$1:$H$2,2,0),0)="","",VLOOKUP($B258,[1]勘定科目!$A:$E,2,0)),"")</f>
        <v/>
      </c>
      <c r="D258" s="334" t="str">
        <f>IF(C258="","",VLOOKUP($B258,[1]勘定科目!$A:$E,4,0))</f>
        <v/>
      </c>
      <c r="E258" s="312"/>
      <c r="F258" s="323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9">
        <f t="shared" si="6"/>
        <v>0</v>
      </c>
      <c r="S258" s="242" t="s">
        <v>860</v>
      </c>
      <c r="T258" s="182"/>
      <c r="U258" s="191"/>
      <c r="V258" s="191"/>
      <c r="W258" s="191"/>
      <c r="BA258"/>
      <c r="BB258"/>
    </row>
    <row r="259" spans="1:54" s="180" customFormat="1" ht="14.25">
      <c r="A259" s="189"/>
      <c r="B259" s="319">
        <v>5005116292</v>
      </c>
      <c r="C259" s="333" t="str">
        <f>IFERROR(IF(VLOOKUP($B259,[1]勘定科目!$A:$H,HLOOKUP($E$5,[1]勘定科目!$F$1:$H$2,2,0),0)="","",VLOOKUP($B259,[1]勘定科目!$A:$E,2,0)),"")</f>
        <v>海外渡航費（製）</v>
      </c>
      <c r="D259" s="334" t="str">
        <f>IF(C259="","",VLOOKUP($B259,[1]勘定科目!$A:$E,4,0))</f>
        <v>渡航費</v>
      </c>
      <c r="E259" s="312"/>
      <c r="F259" s="318"/>
      <c r="G259" s="320"/>
      <c r="H259" s="328">
        <v>0</v>
      </c>
      <c r="I259" s="320"/>
      <c r="J259" s="320"/>
      <c r="K259" s="320"/>
      <c r="L259" s="320"/>
      <c r="M259" s="320"/>
      <c r="N259" s="320"/>
      <c r="O259" s="320"/>
      <c r="P259" s="320"/>
      <c r="Q259" s="320"/>
      <c r="R259" s="250">
        <f t="shared" si="6"/>
        <v>0</v>
      </c>
      <c r="S259" s="243" t="s">
        <v>861</v>
      </c>
      <c r="T259" s="182"/>
      <c r="U259" s="191"/>
      <c r="V259" s="191"/>
      <c r="W259" s="191"/>
      <c r="BA259"/>
      <c r="BB259"/>
    </row>
    <row r="260" spans="1:54" s="180" customFormat="1" ht="14.25">
      <c r="A260" s="189"/>
      <c r="B260" s="319"/>
      <c r="C260" s="333" t="str">
        <f>IFERROR(IF(VLOOKUP($B260,[1]勘定科目!$A:$H,HLOOKUP($E$5,[1]勘定科目!$F$1:$H$2,2,0),0)="","",VLOOKUP($B260,[1]勘定科目!$A:$E,2,0)),"")</f>
        <v/>
      </c>
      <c r="D260" s="334" t="str">
        <f>IF(C260="","",VLOOKUP($B260,[1]勘定科目!$A:$E,4,0))</f>
        <v/>
      </c>
      <c r="E260" s="312"/>
      <c r="F260" s="318"/>
      <c r="G260" s="320"/>
      <c r="H260" s="320"/>
      <c r="I260" s="320"/>
      <c r="J260" s="320"/>
      <c r="K260" s="320"/>
      <c r="L260" s="320"/>
      <c r="M260" s="320"/>
      <c r="N260" s="320"/>
      <c r="O260" s="320"/>
      <c r="P260" s="320"/>
      <c r="Q260" s="320"/>
      <c r="R260" s="250">
        <f t="shared" si="6"/>
        <v>0</v>
      </c>
      <c r="S260" s="243"/>
      <c r="T260" s="182"/>
      <c r="U260" s="191"/>
      <c r="V260" s="191"/>
      <c r="W260" s="191"/>
      <c r="BA260"/>
      <c r="BB260"/>
    </row>
    <row r="261" spans="1:54" s="180" customFormat="1" ht="16.5">
      <c r="A261" s="189"/>
      <c r="B261" s="319"/>
      <c r="C261" s="333" t="str">
        <f>IFERROR(IF(VLOOKUP($B261,[1]勘定科目!$A:$H,HLOOKUP($E$5,[1]勘定科目!$F$1:$H$2,2,0),0)="","",VLOOKUP($B261,[1]勘定科目!$A:$E,2,0)),"")</f>
        <v/>
      </c>
      <c r="D261" s="334" t="str">
        <f>IF(C261="","",VLOOKUP($B261,[1]勘定科目!$A:$E,4,0))</f>
        <v/>
      </c>
      <c r="E261" s="312"/>
      <c r="F261" s="323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9">
        <f t="shared" si="6"/>
        <v>0</v>
      </c>
      <c r="S261" s="242" t="s">
        <v>862</v>
      </c>
      <c r="T261" s="182"/>
      <c r="U261" s="191"/>
      <c r="V261" s="191"/>
      <c r="W261" s="191"/>
      <c r="BA261"/>
      <c r="BB261"/>
    </row>
    <row r="262" spans="1:54" s="180" customFormat="1" ht="14.25">
      <c r="A262" s="189"/>
      <c r="B262" s="319">
        <v>5005116292</v>
      </c>
      <c r="C262" s="333" t="str">
        <f>IFERROR(IF(VLOOKUP($B262,[1]勘定科目!$A:$H,HLOOKUP($E$5,[1]勘定科目!$F$1:$H$2,2,0),0)="","",VLOOKUP($B262,[1]勘定科目!$A:$E,2,0)),"")</f>
        <v>海外渡航費（製）</v>
      </c>
      <c r="D262" s="334" t="str">
        <f>IF(C262="","",VLOOKUP($B262,[1]勘定科目!$A:$E,4,0))</f>
        <v>渡航費</v>
      </c>
      <c r="E262" s="312"/>
      <c r="F262" s="318">
        <v>0</v>
      </c>
      <c r="G262" s="320"/>
      <c r="H262" s="320">
        <v>0</v>
      </c>
      <c r="I262" s="320"/>
      <c r="J262" s="320">
        <v>0</v>
      </c>
      <c r="K262" s="320"/>
      <c r="L262" s="320">
        <v>0</v>
      </c>
      <c r="M262" s="320"/>
      <c r="N262" s="320"/>
      <c r="O262" s="320">
        <v>0</v>
      </c>
      <c r="P262" s="320"/>
      <c r="Q262" s="320">
        <v>0</v>
      </c>
      <c r="R262" s="250">
        <f t="shared" si="6"/>
        <v>0</v>
      </c>
      <c r="S262" s="243" t="s">
        <v>863</v>
      </c>
      <c r="T262" s="182"/>
      <c r="U262" s="191"/>
      <c r="V262" s="191"/>
      <c r="W262" s="191"/>
      <c r="BA262"/>
      <c r="BB262"/>
    </row>
    <row r="263" spans="1:54" s="180" customFormat="1" ht="14.25">
      <c r="A263" s="189"/>
      <c r="B263" s="319">
        <v>5005116292</v>
      </c>
      <c r="C263" s="333" t="str">
        <f>IFERROR(IF(VLOOKUP($B263,[1]勘定科目!$A:$H,HLOOKUP($E$5,[1]勘定科目!$F$1:$H$2,2,0),0)="","",VLOOKUP($B263,[1]勘定科目!$A:$E,2,0)),"")</f>
        <v>海外渡航費（製）</v>
      </c>
      <c r="D263" s="334" t="str">
        <f>IF(C263="","",VLOOKUP($B263,[1]勘定科目!$A:$E,4,0))</f>
        <v>渡航費</v>
      </c>
      <c r="E263" s="312"/>
      <c r="F263" s="318"/>
      <c r="G263" s="320"/>
      <c r="H263" s="320">
        <v>0</v>
      </c>
      <c r="I263" s="318"/>
      <c r="J263" s="320"/>
      <c r="K263" s="320"/>
      <c r="L263" s="320">
        <v>0</v>
      </c>
      <c r="M263" s="320"/>
      <c r="N263" s="320"/>
      <c r="O263" s="320"/>
      <c r="P263" s="320"/>
      <c r="Q263" s="320">
        <v>0</v>
      </c>
      <c r="R263" s="250">
        <f t="shared" si="6"/>
        <v>0</v>
      </c>
      <c r="S263" s="243" t="s">
        <v>864</v>
      </c>
      <c r="T263" s="182"/>
      <c r="U263" s="191"/>
      <c r="V263" s="191"/>
      <c r="W263" s="191"/>
      <c r="BA263"/>
      <c r="BB263"/>
    </row>
    <row r="264" spans="1:54" s="180" customFormat="1" ht="14.25">
      <c r="A264" s="189"/>
      <c r="B264" s="319">
        <v>5005116292</v>
      </c>
      <c r="C264" s="333" t="str">
        <f>IFERROR(IF(VLOOKUP($B264,[1]勘定科目!$A:$H,HLOOKUP($E$5,[1]勘定科目!$F$1:$H$2,2,0),0)="","",VLOOKUP($B264,[1]勘定科目!$A:$E,2,0)),"")</f>
        <v>海外渡航費（製）</v>
      </c>
      <c r="D264" s="334" t="str">
        <f>IF(C264="","",VLOOKUP($B264,[1]勘定科目!$A:$E,4,0))</f>
        <v>渡航費</v>
      </c>
      <c r="E264" s="312"/>
      <c r="F264" s="318"/>
      <c r="G264" s="320"/>
      <c r="H264" s="320">
        <v>0</v>
      </c>
      <c r="I264" s="318"/>
      <c r="J264" s="320"/>
      <c r="K264" s="320"/>
      <c r="L264" s="320">
        <v>0</v>
      </c>
      <c r="M264" s="320"/>
      <c r="N264" s="320"/>
      <c r="O264" s="320"/>
      <c r="P264" s="320"/>
      <c r="Q264" s="320">
        <v>0</v>
      </c>
      <c r="R264" s="250">
        <f t="shared" si="6"/>
        <v>0</v>
      </c>
      <c r="S264" s="243" t="s">
        <v>865</v>
      </c>
      <c r="T264" s="182"/>
      <c r="U264" s="191"/>
      <c r="V264" s="191"/>
      <c r="W264" s="191"/>
      <c r="BA264"/>
      <c r="BB264"/>
    </row>
    <row r="265" spans="1:54" s="180" customFormat="1" ht="14.25">
      <c r="A265" s="189"/>
      <c r="B265" s="319">
        <v>5005116292</v>
      </c>
      <c r="C265" s="333" t="str">
        <f>IFERROR(IF(VLOOKUP($B265,[1]勘定科目!$A:$H,HLOOKUP($E$5,[1]勘定科目!$F$1:$H$2,2,0),0)="","",VLOOKUP($B265,[1]勘定科目!$A:$E,2,0)),"")</f>
        <v>海外渡航費（製）</v>
      </c>
      <c r="D265" s="334" t="str">
        <f>IF(C265="","",VLOOKUP($B265,[1]勘定科目!$A:$E,4,0))</f>
        <v>渡航費</v>
      </c>
      <c r="E265" s="312"/>
      <c r="F265" s="318"/>
      <c r="G265" s="320">
        <v>0</v>
      </c>
      <c r="H265" s="320"/>
      <c r="I265" s="320"/>
      <c r="J265" s="320"/>
      <c r="K265" s="320">
        <v>0</v>
      </c>
      <c r="L265" s="320"/>
      <c r="M265" s="320"/>
      <c r="N265" s="320"/>
      <c r="O265" s="320"/>
      <c r="P265" s="320">
        <v>0</v>
      </c>
      <c r="Q265" s="320"/>
      <c r="R265" s="250">
        <f t="shared" si="6"/>
        <v>0</v>
      </c>
      <c r="S265" s="243" t="s">
        <v>866</v>
      </c>
      <c r="T265" s="182"/>
      <c r="U265" s="191"/>
      <c r="V265" s="191"/>
      <c r="W265" s="191"/>
      <c r="BA265"/>
      <c r="BB265"/>
    </row>
    <row r="266" spans="1:54" s="180" customFormat="1" ht="14.25">
      <c r="A266" s="189"/>
      <c r="B266" s="319">
        <v>5005116292</v>
      </c>
      <c r="C266" s="333" t="str">
        <f>IFERROR(IF(VLOOKUP($B266,[1]勘定科目!$A:$H,HLOOKUP($E$5,[1]勘定科目!$F$1:$H$2,2,0),0)="","",VLOOKUP($B266,[1]勘定科目!$A:$E,2,0)),"")</f>
        <v>海外渡航費（製）</v>
      </c>
      <c r="D266" s="334" t="str">
        <f>IF(C266="","",VLOOKUP($B266,[1]勘定科目!$A:$E,4,0))</f>
        <v>渡航費</v>
      </c>
      <c r="E266" s="312"/>
      <c r="F266" s="318"/>
      <c r="G266" s="320">
        <v>0</v>
      </c>
      <c r="H266" s="320">
        <v>0</v>
      </c>
      <c r="I266" s="320"/>
      <c r="J266" s="320"/>
      <c r="K266" s="320">
        <v>0</v>
      </c>
      <c r="L266" s="320">
        <v>0</v>
      </c>
      <c r="M266" s="320"/>
      <c r="N266" s="320"/>
      <c r="O266" s="320"/>
      <c r="P266" s="320">
        <v>0</v>
      </c>
      <c r="Q266" s="320">
        <v>0</v>
      </c>
      <c r="R266" s="250">
        <f t="shared" si="6"/>
        <v>0</v>
      </c>
      <c r="S266" s="243" t="s">
        <v>867</v>
      </c>
      <c r="T266" s="182"/>
      <c r="U266" s="191"/>
      <c r="V266" s="191"/>
      <c r="W266" s="191"/>
      <c r="BA266"/>
      <c r="BB266"/>
    </row>
    <row r="267" spans="1:54" s="180" customFormat="1" ht="14.25">
      <c r="A267" s="189"/>
      <c r="B267" s="319">
        <v>5005116292</v>
      </c>
      <c r="C267" s="333" t="str">
        <f>IFERROR(IF(VLOOKUP($B267,[1]勘定科目!$A:$H,HLOOKUP($E$5,[1]勘定科目!$F$1:$H$2,2,0),0)="","",VLOOKUP($B267,[1]勘定科目!$A:$E,2,0)),"")</f>
        <v>海外渡航費（製）</v>
      </c>
      <c r="D267" s="334" t="str">
        <f>IF(C267="","",VLOOKUP($B267,[1]勘定科目!$A:$E,4,0))</f>
        <v>渡航費</v>
      </c>
      <c r="E267" s="312"/>
      <c r="F267" s="318"/>
      <c r="G267" s="320"/>
      <c r="H267" s="320">
        <v>0</v>
      </c>
      <c r="I267" s="320"/>
      <c r="J267" s="320"/>
      <c r="K267" s="320"/>
      <c r="L267" s="320">
        <v>0</v>
      </c>
      <c r="M267" s="320"/>
      <c r="N267" s="320"/>
      <c r="O267" s="320"/>
      <c r="P267" s="320"/>
      <c r="Q267" s="320">
        <v>0</v>
      </c>
      <c r="R267" s="250">
        <f t="shared" si="6"/>
        <v>0</v>
      </c>
      <c r="S267" s="243" t="s">
        <v>868</v>
      </c>
      <c r="T267" s="182"/>
      <c r="U267" s="191"/>
      <c r="V267" s="191"/>
      <c r="W267" s="191"/>
      <c r="BA267"/>
      <c r="BB267"/>
    </row>
    <row r="268" spans="1:54" ht="12">
      <c r="B268" s="319">
        <v>5005116292</v>
      </c>
      <c r="C268" s="333" t="str">
        <f>IFERROR(IF(VLOOKUP($B268,[1]勘定科目!$A:$H,HLOOKUP($E$5,[1]勘定科目!$F$1:$H$2,2,0),0)="","",VLOOKUP($B268,[1]勘定科目!$A:$E,2,0)),"")</f>
        <v>海外渡航費（製）</v>
      </c>
      <c r="D268" s="334" t="str">
        <f>IF(C268="","",VLOOKUP($B268,[1]勘定科目!$A:$E,4,0))</f>
        <v>渡航費</v>
      </c>
      <c r="E268" s="312"/>
      <c r="F268" s="318"/>
      <c r="G268" s="320">
        <v>0</v>
      </c>
      <c r="H268" s="320">
        <v>0</v>
      </c>
      <c r="I268" s="318">
        <v>0</v>
      </c>
      <c r="J268" s="320"/>
      <c r="K268" s="320">
        <v>0</v>
      </c>
      <c r="L268" s="320">
        <v>0</v>
      </c>
      <c r="M268" s="320">
        <v>0</v>
      </c>
      <c r="N268" s="320"/>
      <c r="O268" s="320"/>
      <c r="P268" s="320">
        <v>0</v>
      </c>
      <c r="Q268" s="320">
        <v>0</v>
      </c>
      <c r="R268" s="250">
        <f t="shared" si="6"/>
        <v>0</v>
      </c>
      <c r="S268" s="243" t="s">
        <v>869</v>
      </c>
    </row>
    <row r="269" spans="1:54" ht="12">
      <c r="B269" s="319">
        <v>5005116292</v>
      </c>
      <c r="C269" s="333" t="str">
        <f>IFERROR(IF(VLOOKUP($B269,[1]勘定科目!$A:$H,HLOOKUP($E$5,[1]勘定科目!$F$1:$H$2,2,0),0)="","",VLOOKUP($B269,[1]勘定科目!$A:$E,2,0)),"")</f>
        <v>海外渡航費（製）</v>
      </c>
      <c r="D269" s="334" t="str">
        <f>IF(C269="","",VLOOKUP($B269,[1]勘定科目!$A:$E,4,0))</f>
        <v>渡航費</v>
      </c>
      <c r="E269" s="312"/>
      <c r="F269" s="318"/>
      <c r="G269" s="320">
        <v>0</v>
      </c>
      <c r="H269" s="320">
        <v>0</v>
      </c>
      <c r="I269" s="318"/>
      <c r="J269" s="320"/>
      <c r="K269" s="318">
        <v>0</v>
      </c>
      <c r="L269" s="320">
        <v>0</v>
      </c>
      <c r="M269" s="320"/>
      <c r="N269" s="320"/>
      <c r="O269" s="320"/>
      <c r="P269" s="320">
        <v>0</v>
      </c>
      <c r="Q269" s="320">
        <v>0</v>
      </c>
      <c r="R269" s="250">
        <f t="shared" si="6"/>
        <v>0</v>
      </c>
      <c r="S269" s="243" t="s">
        <v>870</v>
      </c>
    </row>
    <row r="270" spans="1:54" ht="12">
      <c r="B270" s="319">
        <v>5005116292</v>
      </c>
      <c r="C270" s="333" t="str">
        <f>IFERROR(IF(VLOOKUP($B270,[1]勘定科目!$A:$H,HLOOKUP($E$5,[1]勘定科目!$F$1:$H$2,2,0),0)="","",VLOOKUP($B270,[1]勘定科目!$A:$E,2,0)),"")</f>
        <v>海外渡航費（製）</v>
      </c>
      <c r="D270" s="334" t="str">
        <f>IF(C270="","",VLOOKUP($B270,[1]勘定科目!$A:$E,4,0))</f>
        <v>渡航費</v>
      </c>
      <c r="E270" s="312"/>
      <c r="F270" s="318"/>
      <c r="G270" s="320"/>
      <c r="H270" s="320">
        <v>0</v>
      </c>
      <c r="I270" s="320"/>
      <c r="J270" s="320"/>
      <c r="K270" s="320"/>
      <c r="L270" s="320">
        <v>0</v>
      </c>
      <c r="M270" s="320"/>
      <c r="N270" s="320"/>
      <c r="O270" s="320"/>
      <c r="P270" s="320"/>
      <c r="Q270" s="320">
        <v>0</v>
      </c>
      <c r="R270" s="250">
        <f t="shared" si="6"/>
        <v>0</v>
      </c>
      <c r="S270" s="243" t="s">
        <v>871</v>
      </c>
    </row>
    <row r="271" spans="1:54" ht="12">
      <c r="B271" s="319">
        <v>5005116292</v>
      </c>
      <c r="C271" s="333" t="str">
        <f>IFERROR(IF(VLOOKUP($B271,[1]勘定科目!$A:$H,HLOOKUP($E$5,[1]勘定科目!$F$1:$H$2,2,0),0)="","",VLOOKUP($B271,[1]勘定科目!$A:$E,2,0)),"")</f>
        <v>海外渡航費（製）</v>
      </c>
      <c r="D271" s="334" t="str">
        <f>IF(C271="","",VLOOKUP($B271,[1]勘定科目!$A:$E,4,0))</f>
        <v>渡航費</v>
      </c>
      <c r="E271" s="312"/>
      <c r="F271" s="318"/>
      <c r="G271" s="320"/>
      <c r="H271" s="320">
        <v>0</v>
      </c>
      <c r="I271" s="318"/>
      <c r="J271" s="320"/>
      <c r="K271" s="320"/>
      <c r="L271" s="320">
        <v>0</v>
      </c>
      <c r="M271" s="320"/>
      <c r="N271" s="320"/>
      <c r="O271" s="320"/>
      <c r="P271" s="320"/>
      <c r="Q271" s="320">
        <v>0</v>
      </c>
      <c r="R271" s="250">
        <f t="shared" si="6"/>
        <v>0</v>
      </c>
      <c r="S271" s="243" t="s">
        <v>872</v>
      </c>
    </row>
    <row r="272" spans="1:54" ht="12">
      <c r="B272" s="319"/>
      <c r="C272" s="333" t="str">
        <f>IFERROR(IF(VLOOKUP($B272,[1]勘定科目!$A:$H,HLOOKUP($E$5,[1]勘定科目!$F$1:$H$2,2,0),0)="","",VLOOKUP($B272,[1]勘定科目!$A:$E,2,0)),"")</f>
        <v/>
      </c>
      <c r="D272" s="334" t="str">
        <f>IF(C272="","",VLOOKUP($B272,[1]勘定科目!$A:$E,4,0))</f>
        <v/>
      </c>
      <c r="E272" s="312"/>
      <c r="F272" s="318"/>
      <c r="G272" s="320"/>
      <c r="H272" s="320"/>
      <c r="I272" s="320"/>
      <c r="J272" s="320"/>
      <c r="K272" s="320"/>
      <c r="L272" s="320"/>
      <c r="M272" s="320"/>
      <c r="N272" s="320"/>
      <c r="O272" s="320"/>
      <c r="P272" s="320"/>
      <c r="Q272" s="320"/>
      <c r="R272" s="250">
        <f t="shared" si="6"/>
        <v>0</v>
      </c>
      <c r="S272" s="243"/>
    </row>
    <row r="273" spans="2:19" ht="12">
      <c r="B273" s="319"/>
      <c r="C273" s="333" t="str">
        <f>IFERROR(IF(VLOOKUP($B273,[1]勘定科目!$A:$H,HLOOKUP($E$5,[1]勘定科目!$F$1:$H$2,2,0),0)="","",VLOOKUP($B273,[1]勘定科目!$A:$E,2,0)),"")</f>
        <v/>
      </c>
      <c r="D273" s="334" t="str">
        <f>IF(C273="","",VLOOKUP($B273,[1]勘定科目!$A:$E,4,0))</f>
        <v/>
      </c>
      <c r="E273" s="312"/>
      <c r="F273" s="318"/>
      <c r="G273" s="320"/>
      <c r="H273" s="320"/>
      <c r="I273" s="320"/>
      <c r="J273" s="320"/>
      <c r="K273" s="320"/>
      <c r="L273" s="320"/>
      <c r="M273" s="320"/>
      <c r="N273" s="320"/>
      <c r="O273" s="320"/>
      <c r="P273" s="320"/>
      <c r="Q273" s="320"/>
      <c r="R273" s="250">
        <f t="shared" si="6"/>
        <v>0</v>
      </c>
      <c r="S273" s="243"/>
    </row>
    <row r="274" spans="2:19" ht="12">
      <c r="B274" s="319"/>
      <c r="C274" s="333" t="str">
        <f>IFERROR(IF(VLOOKUP($B274,[1]勘定科目!$A:$H,HLOOKUP($E$5,[1]勘定科目!$F$1:$H$2,2,0),0)="","",VLOOKUP($B274,[1]勘定科目!$A:$E,2,0)),"")</f>
        <v/>
      </c>
      <c r="D274" s="334" t="str">
        <f>IF(C274="","",VLOOKUP($B274,[1]勘定科目!$A:$E,4,0))</f>
        <v/>
      </c>
      <c r="E274" s="312"/>
      <c r="F274" s="318"/>
      <c r="G274" s="320"/>
      <c r="H274" s="320"/>
      <c r="I274" s="320"/>
      <c r="J274" s="320"/>
      <c r="K274" s="320"/>
      <c r="L274" s="320"/>
      <c r="M274" s="320"/>
      <c r="N274" s="320"/>
      <c r="O274" s="320"/>
      <c r="P274" s="320"/>
      <c r="Q274" s="320"/>
      <c r="R274" s="250">
        <f t="shared" si="6"/>
        <v>0</v>
      </c>
      <c r="S274" s="243"/>
    </row>
    <row r="275" spans="2:19" ht="12">
      <c r="B275" s="269"/>
      <c r="C275" s="333" t="str">
        <f>IFERROR(IF(VLOOKUP($B275,[1]勘定科目!$A:$H,HLOOKUP($E$5,[1]勘定科目!$F$1:$H$2,2,0),0)="","",VLOOKUP($B275,[1]勘定科目!$A:$E,2,0)),"")</f>
        <v/>
      </c>
      <c r="D275" s="334" t="str">
        <f>IF(C275="","",VLOOKUP($B275,[1]勘定科目!$A:$E,4,0))</f>
        <v/>
      </c>
      <c r="E275" s="312"/>
      <c r="F275" s="318"/>
      <c r="G275" s="320"/>
      <c r="H275" s="320"/>
      <c r="I275" s="320"/>
      <c r="J275" s="320"/>
      <c r="K275" s="320"/>
      <c r="L275" s="320"/>
      <c r="M275" s="320"/>
      <c r="N275" s="320"/>
      <c r="O275" s="320"/>
      <c r="P275" s="320"/>
      <c r="Q275" s="320"/>
      <c r="R275" s="250">
        <f t="shared" si="6"/>
        <v>0</v>
      </c>
      <c r="S275" s="243"/>
    </row>
    <row r="276" spans="2:19">
      <c r="C276" s="333" t="str">
        <f>IFERROR(IF(VLOOKUP($B276,[1]勘定科目!$A:$H,HLOOKUP($E$5,[1]勘定科目!$F$1:$H$2,2,0),0)="","",VLOOKUP($B276,[1]勘定科目!$A:$E,2,0)),"")</f>
        <v/>
      </c>
      <c r="D276" s="334" t="str">
        <f>IF(C276="","",VLOOKUP($B276,[1]勘定科目!$A:$E,4,0))</f>
        <v/>
      </c>
    </row>
    <row r="277" spans="2:19">
      <c r="C277" s="333" t="str">
        <f>IFERROR(IF(VLOOKUP($B277,[1]勘定科目!$A:$H,HLOOKUP($E$5,[1]勘定科目!$F$1:$H$2,2,0),0)="","",VLOOKUP($B277,[1]勘定科目!$A:$E,2,0)),"")</f>
        <v/>
      </c>
      <c r="D277" s="334" t="str">
        <f>IF(C277="","",VLOOKUP($B277,[1]勘定科目!$A:$E,4,0))</f>
        <v/>
      </c>
    </row>
    <row r="278" spans="2:19">
      <c r="C278" s="333" t="str">
        <f>IFERROR(IF(VLOOKUP($B278,[1]勘定科目!$A:$H,HLOOKUP($E$5,[1]勘定科目!$F$1:$H$2,2,0),0)="","",VLOOKUP($B278,[1]勘定科目!$A:$E,2,0)),"")</f>
        <v/>
      </c>
      <c r="D278" s="334" t="str">
        <f>IF(C278="","",VLOOKUP($B278,[1]勘定科目!$A:$E,4,0))</f>
        <v/>
      </c>
    </row>
    <row r="279" spans="2:19">
      <c r="C279" s="333" t="str">
        <f>IFERROR(IF(VLOOKUP($B279,[1]勘定科目!$A:$H,HLOOKUP($E$5,[1]勘定科目!$F$1:$H$2,2,0),0)="","",VLOOKUP($B279,[1]勘定科目!$A:$E,2,0)),"")</f>
        <v/>
      </c>
      <c r="D279" s="334" t="str">
        <f>IF(C279="","",VLOOKUP($B279,[1]勘定科目!$A:$E,4,0))</f>
        <v/>
      </c>
    </row>
    <row r="280" spans="2:19">
      <c r="C280" s="333" t="str">
        <f>IFERROR(IF(VLOOKUP($B280,[1]勘定科目!$A:$H,HLOOKUP($E$5,[1]勘定科目!$F$1:$H$2,2,0),0)="","",VLOOKUP($B280,[1]勘定科目!$A:$E,2,0)),"")</f>
        <v/>
      </c>
      <c r="D280" s="334" t="str">
        <f>IF(C280="","",VLOOKUP($B280,[1]勘定科目!$A:$E,4,0))</f>
        <v/>
      </c>
    </row>
    <row r="281" spans="2:19">
      <c r="C281" s="333" t="str">
        <f>IFERROR(IF(VLOOKUP($B281,[1]勘定科目!$A:$H,HLOOKUP($E$5,[1]勘定科目!$F$1:$H$2,2,0),0)="","",VLOOKUP($B281,[1]勘定科目!$A:$E,2,0)),"")</f>
        <v/>
      </c>
      <c r="D281" s="334" t="str">
        <f>IF(C281="","",VLOOKUP($B281,[1]勘定科目!$A:$E,4,0))</f>
        <v/>
      </c>
    </row>
    <row r="282" spans="2:19">
      <c r="C282" s="333" t="str">
        <f>IFERROR(IF(VLOOKUP($B282,[1]勘定科目!$A:$H,HLOOKUP($E$5,[1]勘定科目!$F$1:$H$2,2,0),0)="","",VLOOKUP($B282,[1]勘定科目!$A:$E,2,0)),"")</f>
        <v/>
      </c>
      <c r="D282" s="334" t="str">
        <f>IF(C282="","",VLOOKUP($B282,[1]勘定科目!$A:$E,4,0))</f>
        <v/>
      </c>
    </row>
    <row r="283" spans="2:19">
      <c r="C283" s="333" t="str">
        <f>IFERROR(IF(VLOOKUP($B283,[1]勘定科目!$A:$H,HLOOKUP($E$5,[1]勘定科目!$F$1:$H$2,2,0),0)="","",VLOOKUP($B283,[1]勘定科目!$A:$E,2,0)),"")</f>
        <v/>
      </c>
      <c r="D283" s="334" t="str">
        <f>IF(C283="","",VLOOKUP($B283,[1]勘定科目!$A:$E,4,0))</f>
        <v/>
      </c>
    </row>
    <row r="284" spans="2:19">
      <c r="C284" s="333" t="str">
        <f>IFERROR(IF(VLOOKUP($B284,[1]勘定科目!$A:$H,HLOOKUP($E$5,[1]勘定科目!$F$1:$H$2,2,0),0)="","",VLOOKUP($B284,[1]勘定科目!$A:$E,2,0)),"")</f>
        <v/>
      </c>
      <c r="D284" s="334" t="str">
        <f>IF(C284="","",VLOOKUP($B284,[1]勘定科目!$A:$E,4,0))</f>
        <v/>
      </c>
    </row>
    <row r="285" spans="2:19">
      <c r="C285" s="333" t="str">
        <f>IFERROR(IF(VLOOKUP($B285,[1]勘定科目!$A:$H,HLOOKUP($E$5,[1]勘定科目!$F$1:$H$2,2,0),0)="","",VLOOKUP($B285,[1]勘定科目!$A:$E,2,0)),"")</f>
        <v/>
      </c>
      <c r="D285" s="334" t="str">
        <f>IF(C285="","",VLOOKUP($B285,[1]勘定科目!$A:$E,4,0))</f>
        <v/>
      </c>
    </row>
    <row r="286" spans="2:19">
      <c r="C286" s="333" t="str">
        <f>IFERROR(IF(VLOOKUP($B286,[1]勘定科目!$A:$H,HLOOKUP($E$5,[1]勘定科目!$F$1:$H$2,2,0),0)="","",VLOOKUP($B286,[1]勘定科目!$A:$E,2,0)),"")</f>
        <v/>
      </c>
      <c r="D286" s="334" t="str">
        <f>IF(C286="","",VLOOKUP($B286,[1]勘定科目!$A:$E,4,0))</f>
        <v/>
      </c>
    </row>
    <row r="287" spans="2:19">
      <c r="C287" s="333" t="str">
        <f>IFERROR(IF(VLOOKUP($B287,[1]勘定科目!$A:$H,HLOOKUP($E$5,[1]勘定科目!$F$1:$H$2,2,0),0)="","",VLOOKUP($B287,[1]勘定科目!$A:$E,2,0)),"")</f>
        <v/>
      </c>
      <c r="D287" s="334" t="str">
        <f>IF(C287="","",VLOOKUP($B287,[1]勘定科目!$A:$E,4,0))</f>
        <v/>
      </c>
    </row>
    <row r="288" spans="2:19">
      <c r="C288" s="333" t="str">
        <f>IFERROR(IF(VLOOKUP($B288,[1]勘定科目!$A:$H,HLOOKUP($E$5,[1]勘定科目!$F$1:$H$2,2,0),0)="","",VLOOKUP($B288,[1]勘定科目!$A:$E,2,0)),"")</f>
        <v/>
      </c>
      <c r="D288" s="334" t="str">
        <f>IF(C288="","",VLOOKUP($B288,[1]勘定科目!$A:$E,4,0))</f>
        <v/>
      </c>
    </row>
    <row r="289" spans="3:4">
      <c r="C289" s="333" t="str">
        <f>IFERROR(IF(VLOOKUP($B289,[1]勘定科目!$A:$H,HLOOKUP($E$5,[1]勘定科目!$F$1:$H$2,2,0),0)="","",VLOOKUP($B289,[1]勘定科目!$A:$E,2,0)),"")</f>
        <v/>
      </c>
      <c r="D289" s="334" t="str">
        <f>IF(C289="","",VLOOKUP($B289,[1]勘定科目!$A:$E,4,0))</f>
        <v/>
      </c>
    </row>
    <row r="290" spans="3:4">
      <c r="C290" s="333" t="str">
        <f>IFERROR(IF(VLOOKUP($B290,[1]勘定科目!$A:$H,HLOOKUP($E$5,[1]勘定科目!$F$1:$H$2,2,0),0)="","",VLOOKUP($B290,[1]勘定科目!$A:$E,2,0)),"")</f>
        <v/>
      </c>
      <c r="D290" s="334" t="str">
        <f>IF(C290="","",VLOOKUP($B290,[1]勘定科目!$A:$E,4,0))</f>
        <v/>
      </c>
    </row>
    <row r="291" spans="3:4">
      <c r="C291" s="333" t="str">
        <f>IFERROR(IF(VLOOKUP($B291,[1]勘定科目!$A:$H,HLOOKUP($E$5,[1]勘定科目!$F$1:$H$2,2,0),0)="","",VLOOKUP($B291,[1]勘定科目!$A:$E,2,0)),"")</f>
        <v/>
      </c>
      <c r="D291" s="334" t="str">
        <f>IF(C291="","",VLOOKUP($B291,[1]勘定科目!$A:$E,4,0))</f>
        <v/>
      </c>
    </row>
    <row r="292" spans="3:4">
      <c r="C292" s="333" t="str">
        <f>IFERROR(IF(VLOOKUP($B292,[1]勘定科目!$A:$H,HLOOKUP($E$5,[1]勘定科目!$F$1:$H$2,2,0),0)="","",VLOOKUP($B292,[1]勘定科目!$A:$E,2,0)),"")</f>
        <v/>
      </c>
      <c r="D292" s="334" t="str">
        <f>IF(C292="","",VLOOKUP($B292,[1]勘定科目!$A:$E,4,0))</f>
        <v/>
      </c>
    </row>
    <row r="293" spans="3:4">
      <c r="C293" s="333" t="str">
        <f>IFERROR(IF(VLOOKUP($B293,[1]勘定科目!$A:$H,HLOOKUP($E$5,[1]勘定科目!$F$1:$H$2,2,0),0)="","",VLOOKUP($B293,[1]勘定科目!$A:$E,2,0)),"")</f>
        <v/>
      </c>
      <c r="D293" s="334" t="str">
        <f>IF(C293="","",VLOOKUP($B293,[1]勘定科目!$A:$E,4,0))</f>
        <v/>
      </c>
    </row>
    <row r="294" spans="3:4">
      <c r="C294" s="333" t="str">
        <f>IFERROR(IF(VLOOKUP($B294,[1]勘定科目!$A:$H,HLOOKUP($E$5,[1]勘定科目!$F$1:$H$2,2,0),0)="","",VLOOKUP($B294,[1]勘定科目!$A:$E,2,0)),"")</f>
        <v/>
      </c>
      <c r="D294" s="334" t="str">
        <f>IF(C294="","",VLOOKUP($B294,[1]勘定科目!$A:$E,4,0))</f>
        <v/>
      </c>
    </row>
    <row r="295" spans="3:4">
      <c r="C295" s="333" t="str">
        <f>IFERROR(IF(VLOOKUP($B295,[1]勘定科目!$A:$H,HLOOKUP($E$5,[1]勘定科目!$F$1:$H$2,2,0),0)="","",VLOOKUP($B295,[1]勘定科目!$A:$E,2,0)),"")</f>
        <v/>
      </c>
      <c r="D295" s="334" t="str">
        <f>IF(C295="","",VLOOKUP($B295,[1]勘定科目!$A:$E,4,0))</f>
        <v/>
      </c>
    </row>
    <row r="296" spans="3:4">
      <c r="C296" s="333" t="str">
        <f>IFERROR(IF(VLOOKUP($B296,[1]勘定科目!$A:$H,HLOOKUP($E$5,[1]勘定科目!$F$1:$H$2,2,0),0)="","",VLOOKUP($B296,[1]勘定科目!$A:$E,2,0)),"")</f>
        <v/>
      </c>
      <c r="D296" s="334" t="str">
        <f>IF(C296="","",VLOOKUP($B296,[1]勘定科目!$A:$E,4,0))</f>
        <v/>
      </c>
    </row>
    <row r="297" spans="3:4">
      <c r="C297" s="333" t="str">
        <f>IFERROR(IF(VLOOKUP($B297,[1]勘定科目!$A:$H,HLOOKUP($E$5,[1]勘定科目!$F$1:$H$2,2,0),0)="","",VLOOKUP($B297,[1]勘定科目!$A:$E,2,0)),"")</f>
        <v/>
      </c>
      <c r="D297" s="334" t="str">
        <f>IF(C297="","",VLOOKUP($B297,[1]勘定科目!$A:$E,4,0))</f>
        <v/>
      </c>
    </row>
    <row r="298" spans="3:4">
      <c r="C298" s="333" t="str">
        <f>IFERROR(IF(VLOOKUP($B298,[1]勘定科目!$A:$H,HLOOKUP($E$5,[1]勘定科目!$F$1:$H$2,2,0),0)="","",VLOOKUP($B298,[1]勘定科目!$A:$E,2,0)),"")</f>
        <v/>
      </c>
      <c r="D298" s="334" t="str">
        <f>IF(C298="","",VLOOKUP($B298,[1]勘定科目!$A:$E,4,0))</f>
        <v/>
      </c>
    </row>
    <row r="299" spans="3:4">
      <c r="C299" s="333" t="str">
        <f>IFERROR(IF(VLOOKUP($B299,[1]勘定科目!$A:$H,HLOOKUP($E$5,[1]勘定科目!$F$1:$H$2,2,0),0)="","",VLOOKUP($B299,[1]勘定科目!$A:$E,2,0)),"")</f>
        <v/>
      </c>
      <c r="D299" s="334" t="str">
        <f>IF(C299="","",VLOOKUP($B299,[1]勘定科目!$A:$E,4,0))</f>
        <v/>
      </c>
    </row>
    <row r="300" spans="3:4">
      <c r="C300" s="333" t="str">
        <f>IFERROR(IF(VLOOKUP($B300,[1]勘定科目!$A:$H,HLOOKUP($E$5,[1]勘定科目!$F$1:$H$2,2,0),0)="","",VLOOKUP($B300,[1]勘定科目!$A:$E,2,0)),"")</f>
        <v/>
      </c>
      <c r="D300" s="334" t="str">
        <f>IF(C300="","",VLOOKUP($B300,[1]勘定科目!$A:$E,4,0))</f>
        <v/>
      </c>
    </row>
    <row r="301" spans="3:4">
      <c r="C301" s="333" t="str">
        <f>IFERROR(IF(VLOOKUP($B301,[1]勘定科目!$A:$H,HLOOKUP($E$5,[1]勘定科目!$F$1:$H$2,2,0),0)="","",VLOOKUP($B301,[1]勘定科目!$A:$E,2,0)),"")</f>
        <v/>
      </c>
      <c r="D301" s="334" t="str">
        <f>IF(C301="","",VLOOKUP($B301,[1]勘定科目!$A:$E,4,0))</f>
        <v/>
      </c>
    </row>
    <row r="302" spans="3:4">
      <c r="C302" s="333" t="str">
        <f>IFERROR(IF(VLOOKUP($B302,[1]勘定科目!$A:$H,HLOOKUP($E$5,[1]勘定科目!$F$1:$H$2,2,0),0)="","",VLOOKUP($B302,[1]勘定科目!$A:$E,2,0)),"")</f>
        <v/>
      </c>
      <c r="D302" s="334" t="str">
        <f>IF(C302="","",VLOOKUP($B302,[1]勘定科目!$A:$E,4,0))</f>
        <v/>
      </c>
    </row>
    <row r="303" spans="3:4">
      <c r="C303" s="333" t="str">
        <f>IFERROR(IF(VLOOKUP($B303,[1]勘定科目!$A:$H,HLOOKUP($E$5,[1]勘定科目!$F$1:$H$2,2,0),0)="","",VLOOKUP($B303,[1]勘定科目!$A:$E,2,0)),"")</f>
        <v/>
      </c>
      <c r="D303" s="334" t="str">
        <f>IF(C303="","",VLOOKUP($B303,[1]勘定科目!$A:$E,4,0))</f>
        <v/>
      </c>
    </row>
    <row r="304" spans="3:4">
      <c r="C304" s="333" t="str">
        <f>IFERROR(IF(VLOOKUP($B304,[1]勘定科目!$A:$H,HLOOKUP($E$5,[1]勘定科目!$F$1:$H$2,2,0),0)="","",VLOOKUP($B304,[1]勘定科目!$A:$E,2,0)),"")</f>
        <v/>
      </c>
      <c r="D304" s="334" t="str">
        <f>IF(C304="","",VLOOKUP($B304,[1]勘定科目!$A:$E,4,0))</f>
        <v/>
      </c>
    </row>
    <row r="305" spans="3:4">
      <c r="C305" s="333" t="str">
        <f>IFERROR(IF(VLOOKUP($B305,[1]勘定科目!$A:$H,HLOOKUP($E$5,[1]勘定科目!$F$1:$H$2,2,0),0)="","",VLOOKUP($B305,[1]勘定科目!$A:$E,2,0)),"")</f>
        <v/>
      </c>
      <c r="D305" s="334" t="str">
        <f>IF(C305="","",VLOOKUP($B305,[1]勘定科目!$A:$E,4,0))</f>
        <v/>
      </c>
    </row>
    <row r="306" spans="3:4">
      <c r="C306" s="333" t="str">
        <f>IFERROR(IF(VLOOKUP($B306,[1]勘定科目!$A:$H,HLOOKUP($E$5,[1]勘定科目!$F$1:$H$2,2,0),0)="","",VLOOKUP($B306,[1]勘定科目!$A:$E,2,0)),"")</f>
        <v/>
      </c>
      <c r="D306" s="334" t="str">
        <f>IF(C306="","",VLOOKUP($B306,[1]勘定科目!$A:$E,4,0))</f>
        <v/>
      </c>
    </row>
    <row r="307" spans="3:4">
      <c r="C307" s="333" t="str">
        <f>IFERROR(IF(VLOOKUP($B307,[1]勘定科目!$A:$H,HLOOKUP($E$5,[1]勘定科目!$F$1:$H$2,2,0),0)="","",VLOOKUP($B307,[1]勘定科目!$A:$E,2,0)),"")</f>
        <v/>
      </c>
      <c r="D307" s="334" t="str">
        <f>IF(C307="","",VLOOKUP($B307,[1]勘定科目!$A:$E,4,0))</f>
        <v/>
      </c>
    </row>
    <row r="308" spans="3:4">
      <c r="C308" s="333" t="str">
        <f>IFERROR(IF(VLOOKUP($B308,[1]勘定科目!$A:$H,HLOOKUP($E$5,[1]勘定科目!$F$1:$H$2,2,0),0)="","",VLOOKUP($B308,[1]勘定科目!$A:$E,2,0)),"")</f>
        <v/>
      </c>
      <c r="D308" s="334" t="str">
        <f>IF(C308="","",VLOOKUP($B308,[1]勘定科目!$A:$E,4,0))</f>
        <v/>
      </c>
    </row>
    <row r="309" spans="3:4">
      <c r="C309" s="333" t="str">
        <f>IFERROR(IF(VLOOKUP($B309,[1]勘定科目!$A:$H,HLOOKUP($E$5,[1]勘定科目!$F$1:$H$2,2,0),0)="","",VLOOKUP($B309,[1]勘定科目!$A:$E,2,0)),"")</f>
        <v/>
      </c>
      <c r="D309" s="334" t="str">
        <f>IF(C309="","",VLOOKUP($B309,[1]勘定科目!$A:$E,4,0))</f>
        <v/>
      </c>
    </row>
    <row r="310" spans="3:4">
      <c r="C310" s="333" t="str">
        <f>IFERROR(IF(VLOOKUP($B310,[1]勘定科目!$A:$H,HLOOKUP($E$5,[1]勘定科目!$F$1:$H$2,2,0),0)="","",VLOOKUP($B310,[1]勘定科目!$A:$E,2,0)),"")</f>
        <v/>
      </c>
      <c r="D310" s="334" t="str">
        <f>IF(C310="","",VLOOKUP($B310,[1]勘定科目!$A:$E,4,0))</f>
        <v/>
      </c>
    </row>
    <row r="311" spans="3:4">
      <c r="C311" s="333" t="str">
        <f>IFERROR(IF(VLOOKUP($B311,[1]勘定科目!$A:$H,HLOOKUP($E$5,[1]勘定科目!$F$1:$H$2,2,0),0)="","",VLOOKUP($B311,[1]勘定科目!$A:$E,2,0)),"")</f>
        <v/>
      </c>
      <c r="D311" s="334" t="str">
        <f>IF(C311="","",VLOOKUP($B311,[1]勘定科目!$A:$E,4,0))</f>
        <v/>
      </c>
    </row>
    <row r="312" spans="3:4">
      <c r="C312" s="333" t="str">
        <f>IFERROR(IF(VLOOKUP($B312,[1]勘定科目!$A:$H,HLOOKUP($E$5,[1]勘定科目!$F$1:$H$2,2,0),0)="","",VLOOKUP($B312,[1]勘定科目!$A:$E,2,0)),"")</f>
        <v/>
      </c>
      <c r="D312" s="334" t="str">
        <f>IF(C312="","",VLOOKUP($B312,[1]勘定科目!$A:$E,4,0))</f>
        <v/>
      </c>
    </row>
    <row r="313" spans="3:4">
      <c r="C313" s="333" t="str">
        <f>IFERROR(IF(VLOOKUP($B313,[1]勘定科目!$A:$H,HLOOKUP($E$5,[1]勘定科目!$F$1:$H$2,2,0),0)="","",VLOOKUP($B313,[1]勘定科目!$A:$E,2,0)),"")</f>
        <v/>
      </c>
      <c r="D313" s="334" t="str">
        <f>IF(C313="","",VLOOKUP($B313,[1]勘定科目!$A:$E,4,0))</f>
        <v/>
      </c>
    </row>
    <row r="314" spans="3:4">
      <c r="C314" s="333" t="str">
        <f>IFERROR(IF(VLOOKUP($B314,[1]勘定科目!$A:$H,HLOOKUP($E$5,[1]勘定科目!$F$1:$H$2,2,0),0)="","",VLOOKUP($B314,[1]勘定科目!$A:$E,2,0)),"")</f>
        <v/>
      </c>
      <c r="D314" s="334" t="str">
        <f>IF(C314="","",VLOOKUP($B314,[1]勘定科目!$A:$E,4,0))</f>
        <v/>
      </c>
    </row>
    <row r="315" spans="3:4">
      <c r="C315" s="333" t="str">
        <f>IFERROR(IF(VLOOKUP($B315,[1]勘定科目!$A:$H,HLOOKUP($E$5,[1]勘定科目!$F$1:$H$2,2,0),0)="","",VLOOKUP($B315,[1]勘定科目!$A:$E,2,0)),"")</f>
        <v/>
      </c>
      <c r="D315" s="334" t="str">
        <f>IF(C315="","",VLOOKUP($B315,[1]勘定科目!$A:$E,4,0))</f>
        <v/>
      </c>
    </row>
    <row r="316" spans="3:4">
      <c r="C316" s="333" t="str">
        <f>IFERROR(IF(VLOOKUP($B316,[1]勘定科目!$A:$H,HLOOKUP($E$5,[1]勘定科目!$F$1:$H$2,2,0),0)="","",VLOOKUP($B316,[1]勘定科目!$A:$E,2,0)),"")</f>
        <v/>
      </c>
      <c r="D316" s="334" t="str">
        <f>IF(C316="","",VLOOKUP($B316,[1]勘定科目!$A:$E,4,0))</f>
        <v/>
      </c>
    </row>
    <row r="317" spans="3:4">
      <c r="C317" s="333" t="str">
        <f>IFERROR(IF(VLOOKUP($B317,[1]勘定科目!$A:$H,HLOOKUP($E$5,[1]勘定科目!$F$1:$H$2,2,0),0)="","",VLOOKUP($B317,[1]勘定科目!$A:$E,2,0)),"")</f>
        <v/>
      </c>
      <c r="D317" s="334" t="str">
        <f>IF(C317="","",VLOOKUP($B317,[1]勘定科目!$A:$E,4,0))</f>
        <v/>
      </c>
    </row>
    <row r="318" spans="3:4">
      <c r="C318" s="333" t="str">
        <f>IFERROR(IF(VLOOKUP($B318,[1]勘定科目!$A:$H,HLOOKUP($E$5,[1]勘定科目!$F$1:$H$2,2,0),0)="","",VLOOKUP($B318,[1]勘定科目!$A:$E,2,0)),"")</f>
        <v/>
      </c>
      <c r="D318" s="334" t="str">
        <f>IF(C318="","",VLOOKUP($B318,[1]勘定科目!$A:$E,4,0))</f>
        <v/>
      </c>
    </row>
    <row r="319" spans="3:4">
      <c r="C319" s="333" t="str">
        <f>IFERROR(IF(VLOOKUP($B319,[1]勘定科目!$A:$H,HLOOKUP($E$5,[1]勘定科目!$F$1:$H$2,2,0),0)="","",VLOOKUP($B319,[1]勘定科目!$A:$E,2,0)),"")</f>
        <v/>
      </c>
      <c r="D319" s="334" t="str">
        <f>IF(C319="","",VLOOKUP($B319,[1]勘定科目!$A:$E,4,0))</f>
        <v/>
      </c>
    </row>
    <row r="320" spans="3:4">
      <c r="C320" s="333" t="str">
        <f>IFERROR(IF(VLOOKUP($B320,[1]勘定科目!$A:$H,HLOOKUP($E$5,[1]勘定科目!$F$1:$H$2,2,0),0)="","",VLOOKUP($B320,[1]勘定科目!$A:$E,2,0)),"")</f>
        <v/>
      </c>
      <c r="D320" s="334" t="str">
        <f>IF(C320="","",VLOOKUP($B320,[1]勘定科目!$A:$E,4,0))</f>
        <v/>
      </c>
    </row>
    <row r="321" spans="3:4">
      <c r="C321" s="333" t="str">
        <f>IFERROR(IF(VLOOKUP($B321,[1]勘定科目!$A:$H,HLOOKUP($E$5,[1]勘定科目!$F$1:$H$2,2,0),0)="","",VLOOKUP($B321,[1]勘定科目!$A:$E,2,0)),"")</f>
        <v/>
      </c>
      <c r="D321" s="334" t="str">
        <f>IF(C321="","",VLOOKUP($B321,[1]勘定科目!$A:$E,4,0))</f>
        <v/>
      </c>
    </row>
    <row r="322" spans="3:4">
      <c r="C322" s="333" t="str">
        <f>IFERROR(IF(VLOOKUP($B322,[1]勘定科目!$A:$H,HLOOKUP($E$5,[1]勘定科目!$F$1:$H$2,2,0),0)="","",VLOOKUP($B322,[1]勘定科目!$A:$E,2,0)),"")</f>
        <v/>
      </c>
      <c r="D322" s="334" t="str">
        <f>IF(C322="","",VLOOKUP($B322,[1]勘定科目!$A:$E,4,0))</f>
        <v/>
      </c>
    </row>
    <row r="323" spans="3:4">
      <c r="C323" s="333" t="str">
        <f>IFERROR(IF(VLOOKUP($B323,[1]勘定科目!$A:$H,HLOOKUP($E$5,[1]勘定科目!$F$1:$H$2,2,0),0)="","",VLOOKUP($B323,[1]勘定科目!$A:$E,2,0)),"")</f>
        <v/>
      </c>
      <c r="D323" s="334" t="str">
        <f>IF(C323="","",VLOOKUP($B323,[1]勘定科目!$A:$E,4,0))</f>
        <v/>
      </c>
    </row>
    <row r="324" spans="3:4">
      <c r="C324" s="333" t="str">
        <f>IFERROR(IF(VLOOKUP($B324,[1]勘定科目!$A:$H,HLOOKUP($E$5,[1]勘定科目!$F$1:$H$2,2,0),0)="","",VLOOKUP($B324,[1]勘定科目!$A:$E,2,0)),"")</f>
        <v/>
      </c>
      <c r="D324" s="334" t="str">
        <f>IF(C324="","",VLOOKUP($B324,[1]勘定科目!$A:$E,4,0))</f>
        <v/>
      </c>
    </row>
    <row r="325" spans="3:4">
      <c r="C325" s="333" t="str">
        <f>IFERROR(IF(VLOOKUP($B325,[1]勘定科目!$A:$H,HLOOKUP($E$5,[1]勘定科目!$F$1:$H$2,2,0),0)="","",VLOOKUP($B325,[1]勘定科目!$A:$E,2,0)),"")</f>
        <v/>
      </c>
      <c r="D325" s="334" t="str">
        <f>IF(C325="","",VLOOKUP($B325,[1]勘定科目!$A:$E,4,0))</f>
        <v/>
      </c>
    </row>
    <row r="326" spans="3:4">
      <c r="C326" s="333" t="str">
        <f>IFERROR(IF(VLOOKUP($B326,[1]勘定科目!$A:$H,HLOOKUP($E$5,[1]勘定科目!$F$1:$H$2,2,0),0)="","",VLOOKUP($B326,[1]勘定科目!$A:$E,2,0)),"")</f>
        <v/>
      </c>
      <c r="D326" s="334" t="str">
        <f>IF(C326="","",VLOOKUP($B326,[1]勘定科目!$A:$E,4,0))</f>
        <v/>
      </c>
    </row>
    <row r="327" spans="3:4">
      <c r="C327" s="333" t="str">
        <f>IFERROR(IF(VLOOKUP($B327,[1]勘定科目!$A:$H,HLOOKUP($E$5,[1]勘定科目!$F$1:$H$2,2,0),0)="","",VLOOKUP($B327,[1]勘定科目!$A:$E,2,0)),"")</f>
        <v/>
      </c>
      <c r="D327" s="334" t="str">
        <f>IF(C327="","",VLOOKUP($B327,[1]勘定科目!$A:$E,4,0))</f>
        <v/>
      </c>
    </row>
    <row r="328" spans="3:4">
      <c r="C328" s="333" t="str">
        <f>IFERROR(IF(VLOOKUP($B328,[1]勘定科目!$A:$H,HLOOKUP($E$5,[1]勘定科目!$F$1:$H$2,2,0),0)="","",VLOOKUP($B328,[1]勘定科目!$A:$E,2,0)),"")</f>
        <v/>
      </c>
      <c r="D328" s="334" t="str">
        <f>IF(C328="","",VLOOKUP($B328,[1]勘定科目!$A:$E,4,0))</f>
        <v/>
      </c>
    </row>
    <row r="329" spans="3:4">
      <c r="C329" s="333" t="str">
        <f>IFERROR(IF(VLOOKUP($B329,[1]勘定科目!$A:$H,HLOOKUP($E$5,[1]勘定科目!$F$1:$H$2,2,0),0)="","",VLOOKUP($B329,[1]勘定科目!$A:$E,2,0)),"")</f>
        <v/>
      </c>
      <c r="D329" s="334" t="str">
        <f>IF(C329="","",VLOOKUP($B329,[1]勘定科目!$A:$E,4,0))</f>
        <v/>
      </c>
    </row>
    <row r="330" spans="3:4">
      <c r="C330" s="333" t="str">
        <f>IFERROR(IF(VLOOKUP($B330,[1]勘定科目!$A:$H,HLOOKUP($E$5,[1]勘定科目!$F$1:$H$2,2,0),0)="","",VLOOKUP($B330,[1]勘定科目!$A:$E,2,0)),"")</f>
        <v/>
      </c>
      <c r="D330" s="334" t="str">
        <f>IF(C330="","",VLOOKUP($B330,[1]勘定科目!$A:$E,4,0))</f>
        <v/>
      </c>
    </row>
    <row r="331" spans="3:4">
      <c r="C331" s="333" t="str">
        <f>IFERROR(IF(VLOOKUP($B331,[1]勘定科目!$A:$H,HLOOKUP($E$5,[1]勘定科目!$F$1:$H$2,2,0),0)="","",VLOOKUP($B331,[1]勘定科目!$A:$E,2,0)),"")</f>
        <v/>
      </c>
      <c r="D331" s="334" t="str">
        <f>IF(C331="","",VLOOKUP($B331,[1]勘定科目!$A:$E,4,0))</f>
        <v/>
      </c>
    </row>
    <row r="332" spans="3:4">
      <c r="C332" s="333" t="str">
        <f>IFERROR(IF(VLOOKUP($B332,[1]勘定科目!$A:$H,HLOOKUP($E$5,[1]勘定科目!$F$1:$H$2,2,0),0)="","",VLOOKUP($B332,[1]勘定科目!$A:$E,2,0)),"")</f>
        <v/>
      </c>
      <c r="D332" s="334" t="str">
        <f>IF(C332="","",VLOOKUP($B332,[1]勘定科目!$A:$E,4,0))</f>
        <v/>
      </c>
    </row>
    <row r="333" spans="3:4">
      <c r="C333" s="333" t="str">
        <f>IFERROR(IF(VLOOKUP($B333,[1]勘定科目!$A:$H,HLOOKUP($E$5,[1]勘定科目!$F$1:$H$2,2,0),0)="","",VLOOKUP($B333,[1]勘定科目!$A:$E,2,0)),"")</f>
        <v/>
      </c>
      <c r="D333" s="334" t="str">
        <f>IF(C333="","",VLOOKUP($B333,[1]勘定科目!$A:$E,4,0))</f>
        <v/>
      </c>
    </row>
    <row r="334" spans="3:4">
      <c r="C334" s="333" t="str">
        <f>IFERROR(IF(VLOOKUP($B334,[1]勘定科目!$A:$H,HLOOKUP($E$5,[1]勘定科目!$F$1:$H$2,2,0),0)="","",VLOOKUP($B334,[1]勘定科目!$A:$E,2,0)),"")</f>
        <v/>
      </c>
      <c r="D334" s="334" t="str">
        <f>IF(C334="","",VLOOKUP($B334,[1]勘定科目!$A:$E,4,0))</f>
        <v/>
      </c>
    </row>
    <row r="335" spans="3:4">
      <c r="C335" s="333" t="str">
        <f>IFERROR(IF(VLOOKUP($B335,[1]勘定科目!$A:$H,HLOOKUP($E$5,[1]勘定科目!$F$1:$H$2,2,0),0)="","",VLOOKUP($B335,[1]勘定科目!$A:$E,2,0)),"")</f>
        <v/>
      </c>
      <c r="D335" s="334" t="str">
        <f>IF(C335="","",VLOOKUP($B335,[1]勘定科目!$A:$E,4,0))</f>
        <v/>
      </c>
    </row>
    <row r="336" spans="3:4">
      <c r="C336" s="333" t="str">
        <f>IFERROR(IF(VLOOKUP($B336,[1]勘定科目!$A:$H,HLOOKUP($E$5,[1]勘定科目!$F$1:$H$2,2,0),0)="","",VLOOKUP($B336,[1]勘定科目!$A:$E,2,0)),"")</f>
        <v/>
      </c>
      <c r="D336" s="334" t="str">
        <f>IF(C336="","",VLOOKUP($B336,[1]勘定科目!$A:$E,4,0))</f>
        <v/>
      </c>
    </row>
    <row r="337" spans="3:4">
      <c r="C337" s="333" t="str">
        <f>IFERROR(IF(VLOOKUP($B337,[1]勘定科目!$A:$H,HLOOKUP($E$5,[1]勘定科目!$F$1:$H$2,2,0),0)="","",VLOOKUP($B337,[1]勘定科目!$A:$E,2,0)),"")</f>
        <v/>
      </c>
      <c r="D337" s="334" t="str">
        <f>IF(C337="","",VLOOKUP($B337,[1]勘定科目!$A:$E,4,0))</f>
        <v/>
      </c>
    </row>
    <row r="338" spans="3:4">
      <c r="C338" s="333" t="str">
        <f>IFERROR(IF(VLOOKUP($B338,[1]勘定科目!$A:$H,HLOOKUP($E$5,[1]勘定科目!$F$1:$H$2,2,0),0)="","",VLOOKUP($B338,[1]勘定科目!$A:$E,2,0)),"")</f>
        <v/>
      </c>
      <c r="D338" s="334" t="str">
        <f>IF(C338="","",VLOOKUP($B338,[1]勘定科目!$A:$E,4,0))</f>
        <v/>
      </c>
    </row>
    <row r="339" spans="3:4">
      <c r="C339" s="333" t="str">
        <f>IFERROR(IF(VLOOKUP($B339,[1]勘定科目!$A:$H,HLOOKUP($E$5,[1]勘定科目!$F$1:$H$2,2,0),0)="","",VLOOKUP($B339,[1]勘定科目!$A:$E,2,0)),"")</f>
        <v/>
      </c>
      <c r="D339" s="334" t="str">
        <f>IF(C339="","",VLOOKUP($B339,[1]勘定科目!$A:$E,4,0))</f>
        <v/>
      </c>
    </row>
    <row r="340" spans="3:4">
      <c r="C340" s="333" t="str">
        <f>IFERROR(IF(VLOOKUP($B340,[1]勘定科目!$A:$H,HLOOKUP($E$5,[1]勘定科目!$F$1:$H$2,2,0),0)="","",VLOOKUP($B340,[1]勘定科目!$A:$E,2,0)),"")</f>
        <v/>
      </c>
      <c r="D340" s="334" t="str">
        <f>IF(C340="","",VLOOKUP($B340,[1]勘定科目!$A:$E,4,0))</f>
        <v/>
      </c>
    </row>
    <row r="341" spans="3:4">
      <c r="C341" s="333" t="str">
        <f>IFERROR(IF(VLOOKUP($B341,[1]勘定科目!$A:$H,HLOOKUP($E$5,[1]勘定科目!$F$1:$H$2,2,0),0)="","",VLOOKUP($B341,[1]勘定科目!$A:$E,2,0)),"")</f>
        <v/>
      </c>
      <c r="D341" s="334" t="str">
        <f>IF(C341="","",VLOOKUP($B341,[1]勘定科目!$A:$E,4,0))</f>
        <v/>
      </c>
    </row>
    <row r="342" spans="3:4">
      <c r="C342" s="333" t="str">
        <f>IFERROR(IF(VLOOKUP($B342,[1]勘定科目!$A:$H,HLOOKUP($E$5,[1]勘定科目!$F$1:$H$2,2,0),0)="","",VLOOKUP($B342,[1]勘定科目!$A:$E,2,0)),"")</f>
        <v/>
      </c>
      <c r="D342" s="334" t="str">
        <f>IF(C342="","",VLOOKUP($B342,[1]勘定科目!$A:$E,4,0))</f>
        <v/>
      </c>
    </row>
    <row r="343" spans="3:4">
      <c r="C343" s="333" t="str">
        <f>IFERROR(IF(VLOOKUP($B343,[1]勘定科目!$A:$H,HLOOKUP($E$5,[1]勘定科目!$F$1:$H$2,2,0),0)="","",VLOOKUP($B343,[1]勘定科目!$A:$E,2,0)),"")</f>
        <v/>
      </c>
      <c r="D343" s="334" t="str">
        <f>IF(C343="","",VLOOKUP($B343,[1]勘定科目!$A:$E,4,0))</f>
        <v/>
      </c>
    </row>
    <row r="344" spans="3:4">
      <c r="C344" s="333" t="str">
        <f>IFERROR(IF(VLOOKUP($B344,[1]勘定科目!$A:$H,HLOOKUP($E$5,[1]勘定科目!$F$1:$H$2,2,0),0)="","",VLOOKUP($B344,[1]勘定科目!$A:$E,2,0)),"")</f>
        <v/>
      </c>
      <c r="D344" s="334" t="str">
        <f>IF(C344="","",VLOOKUP($B344,[1]勘定科目!$A:$E,4,0))</f>
        <v/>
      </c>
    </row>
    <row r="345" spans="3:4">
      <c r="C345" s="333" t="str">
        <f>IFERROR(IF(VLOOKUP($B345,[1]勘定科目!$A:$H,HLOOKUP($E$5,[1]勘定科目!$F$1:$H$2,2,0),0)="","",VLOOKUP($B345,[1]勘定科目!$A:$E,2,0)),"")</f>
        <v/>
      </c>
      <c r="D345" s="334" t="str">
        <f>IF(C345="","",VLOOKUP($B345,[1]勘定科目!$A:$E,4,0))</f>
        <v/>
      </c>
    </row>
    <row r="346" spans="3:4">
      <c r="C346" s="333" t="str">
        <f>IFERROR(IF(VLOOKUP($B346,[1]勘定科目!$A:$H,HLOOKUP($E$5,[1]勘定科目!$F$1:$H$2,2,0),0)="","",VLOOKUP($B346,[1]勘定科目!$A:$E,2,0)),"")</f>
        <v/>
      </c>
      <c r="D346" s="334" t="str">
        <f>IF(C346="","",VLOOKUP($B346,[1]勘定科目!$A:$E,4,0))</f>
        <v/>
      </c>
    </row>
    <row r="347" spans="3:4">
      <c r="C347" s="333" t="str">
        <f>IFERROR(IF(VLOOKUP($B347,[1]勘定科目!$A:$H,HLOOKUP($E$5,[1]勘定科目!$F$1:$H$2,2,0),0)="","",VLOOKUP($B347,[1]勘定科目!$A:$E,2,0)),"")</f>
        <v/>
      </c>
      <c r="D347" s="334" t="str">
        <f>IF(C347="","",VLOOKUP($B347,[1]勘定科目!$A:$E,4,0))</f>
        <v/>
      </c>
    </row>
    <row r="348" spans="3:4">
      <c r="C348" s="333" t="str">
        <f>IFERROR(IF(VLOOKUP($B348,[1]勘定科目!$A:$H,HLOOKUP($E$5,[1]勘定科目!$F$1:$H$2,2,0),0)="","",VLOOKUP($B348,[1]勘定科目!$A:$E,2,0)),"")</f>
        <v/>
      </c>
      <c r="D348" s="334" t="str">
        <f>IF(C348="","",VLOOKUP($B348,[1]勘定科目!$A:$E,4,0))</f>
        <v/>
      </c>
    </row>
    <row r="349" spans="3:4">
      <c r="C349" s="333" t="str">
        <f>IFERROR(IF(VLOOKUP($B349,[1]勘定科目!$A:$H,HLOOKUP($E$5,[1]勘定科目!$F$1:$H$2,2,0),0)="","",VLOOKUP($B349,[1]勘定科目!$A:$E,2,0)),"")</f>
        <v/>
      </c>
      <c r="D349" s="334" t="str">
        <f>IF(C349="","",VLOOKUP($B349,[1]勘定科目!$A:$E,4,0))</f>
        <v/>
      </c>
    </row>
    <row r="350" spans="3:4">
      <c r="C350" s="333" t="str">
        <f>IFERROR(IF(VLOOKUP($B350,[1]勘定科目!$A:$H,HLOOKUP($E$5,[1]勘定科目!$F$1:$H$2,2,0),0)="","",VLOOKUP($B350,[1]勘定科目!$A:$E,2,0)),"")</f>
        <v/>
      </c>
      <c r="D350" s="334" t="str">
        <f>IF(C350="","",VLOOKUP($B350,[1]勘定科目!$A:$E,4,0))</f>
        <v/>
      </c>
    </row>
    <row r="351" spans="3:4">
      <c r="C351" s="333" t="str">
        <f>IFERROR(IF(VLOOKUP($B351,[1]勘定科目!$A:$H,HLOOKUP($E$5,[1]勘定科目!$F$1:$H$2,2,0),0)="","",VLOOKUP($B351,[1]勘定科目!$A:$E,2,0)),"")</f>
        <v/>
      </c>
      <c r="D351" s="334" t="str">
        <f>IF(C351="","",VLOOKUP($B351,[1]勘定科目!$A:$E,4,0))</f>
        <v/>
      </c>
    </row>
    <row r="352" spans="3:4">
      <c r="C352" s="333" t="str">
        <f>IFERROR(IF(VLOOKUP($B352,[1]勘定科目!$A:$H,HLOOKUP($E$5,[1]勘定科目!$F$1:$H$2,2,0),0)="","",VLOOKUP($B352,[1]勘定科目!$A:$E,2,0)),"")</f>
        <v/>
      </c>
      <c r="D352" s="334" t="str">
        <f>IF(C352="","",VLOOKUP($B352,[1]勘定科目!$A:$E,4,0))</f>
        <v/>
      </c>
    </row>
    <row r="353" spans="3:4">
      <c r="C353" s="333" t="str">
        <f>IFERROR(IF(VLOOKUP($B353,[1]勘定科目!$A:$H,HLOOKUP($E$5,[1]勘定科目!$F$1:$H$2,2,0),0)="","",VLOOKUP($B353,[1]勘定科目!$A:$E,2,0)),"")</f>
        <v/>
      </c>
      <c r="D353" s="334" t="str">
        <f>IF(C353="","",VLOOKUP($B353,[1]勘定科目!$A:$E,4,0))</f>
        <v/>
      </c>
    </row>
    <row r="354" spans="3:4">
      <c r="C354" s="333" t="str">
        <f>IFERROR(IF(VLOOKUP($B354,[1]勘定科目!$A:$H,HLOOKUP($E$5,[1]勘定科目!$F$1:$H$2,2,0),0)="","",VLOOKUP($B354,[1]勘定科目!$A:$E,2,0)),"")</f>
        <v/>
      </c>
      <c r="D354" s="334" t="str">
        <f>IF(C354="","",VLOOKUP($B354,[1]勘定科目!$A:$E,4,0))</f>
        <v/>
      </c>
    </row>
    <row r="355" spans="3:4">
      <c r="C355" s="333" t="str">
        <f>IFERROR(IF(VLOOKUP($B355,[1]勘定科目!$A:$H,HLOOKUP($E$5,[1]勘定科目!$F$1:$H$2,2,0),0)="","",VLOOKUP($B355,[1]勘定科目!$A:$E,2,0)),"")</f>
        <v/>
      </c>
      <c r="D355" s="334" t="str">
        <f>IF(C355="","",VLOOKUP($B355,[1]勘定科目!$A:$E,4,0))</f>
        <v/>
      </c>
    </row>
    <row r="356" spans="3:4">
      <c r="C356" s="333" t="str">
        <f>IFERROR(IF(VLOOKUP($B356,[1]勘定科目!$A:$H,HLOOKUP($E$5,[1]勘定科目!$F$1:$H$2,2,0),0)="","",VLOOKUP($B356,[1]勘定科目!$A:$E,2,0)),"")</f>
        <v/>
      </c>
      <c r="D356" s="334" t="str">
        <f>IF(C356="","",VLOOKUP($B356,[1]勘定科目!$A:$E,4,0))</f>
        <v/>
      </c>
    </row>
    <row r="357" spans="3:4">
      <c r="C357" s="333" t="str">
        <f>IFERROR(IF(VLOOKUP($B357,[1]勘定科目!$A:$H,HLOOKUP($E$5,[1]勘定科目!$F$1:$H$2,2,0),0)="","",VLOOKUP($B357,[1]勘定科目!$A:$E,2,0)),"")</f>
        <v/>
      </c>
      <c r="D357" s="334" t="str">
        <f>IF(C357="","",VLOOKUP($B357,[1]勘定科目!$A:$E,4,0))</f>
        <v/>
      </c>
    </row>
    <row r="358" spans="3:4">
      <c r="C358" s="333" t="str">
        <f>IFERROR(IF(VLOOKUP($B358,[1]勘定科目!$A:$H,HLOOKUP($E$5,[1]勘定科目!$F$1:$H$2,2,0),0)="","",VLOOKUP($B358,[1]勘定科目!$A:$E,2,0)),"")</f>
        <v/>
      </c>
      <c r="D358" s="334" t="str">
        <f>IF(C358="","",VLOOKUP($B358,[1]勘定科目!$A:$E,4,0))</f>
        <v/>
      </c>
    </row>
    <row r="359" spans="3:4">
      <c r="C359" s="333" t="str">
        <f>IFERROR(IF(VLOOKUP($B359,[1]勘定科目!$A:$H,HLOOKUP($E$5,[1]勘定科目!$F$1:$H$2,2,0),0)="","",VLOOKUP($B359,[1]勘定科目!$A:$E,2,0)),"")</f>
        <v/>
      </c>
      <c r="D359" s="334" t="str">
        <f>IF(C359="","",VLOOKUP($B359,[1]勘定科目!$A:$E,4,0))</f>
        <v/>
      </c>
    </row>
    <row r="360" spans="3:4">
      <c r="C360" s="333" t="str">
        <f>IFERROR(IF(VLOOKUP($B360,[1]勘定科目!$A:$H,HLOOKUP($E$5,[1]勘定科目!$F$1:$H$2,2,0),0)="","",VLOOKUP($B360,[1]勘定科目!$A:$E,2,0)),"")</f>
        <v/>
      </c>
      <c r="D360" s="334" t="str">
        <f>IF(C360="","",VLOOKUP($B360,[1]勘定科目!$A:$E,4,0))</f>
        <v/>
      </c>
    </row>
    <row r="361" spans="3:4">
      <c r="C361" s="333" t="str">
        <f>IFERROR(IF(VLOOKUP($B361,[1]勘定科目!$A:$H,HLOOKUP($E$5,[1]勘定科目!$F$1:$H$2,2,0),0)="","",VLOOKUP($B361,[1]勘定科目!$A:$E,2,0)),"")</f>
        <v/>
      </c>
      <c r="D361" s="334" t="str">
        <f>IF(C361="","",VLOOKUP($B361,[1]勘定科目!$A:$E,4,0))</f>
        <v/>
      </c>
    </row>
    <row r="362" spans="3:4">
      <c r="C362" s="333" t="str">
        <f>IFERROR(IF(VLOOKUP($B362,[1]勘定科目!$A:$H,HLOOKUP($E$5,[1]勘定科目!$F$1:$H$2,2,0),0)="","",VLOOKUP($B362,[1]勘定科目!$A:$E,2,0)),"")</f>
        <v/>
      </c>
      <c r="D362" s="334" t="str">
        <f>IF(C362="","",VLOOKUP($B362,[1]勘定科目!$A:$E,4,0))</f>
        <v/>
      </c>
    </row>
    <row r="363" spans="3:4">
      <c r="C363" s="333" t="str">
        <f>IFERROR(IF(VLOOKUP($B363,[1]勘定科目!$A:$H,HLOOKUP($E$5,[1]勘定科目!$F$1:$H$2,2,0),0)="","",VLOOKUP($B363,[1]勘定科目!$A:$E,2,0)),"")</f>
        <v/>
      </c>
      <c r="D363" s="334" t="str">
        <f>IF(C363="","",VLOOKUP($B363,[1]勘定科目!$A:$E,4,0))</f>
        <v/>
      </c>
    </row>
    <row r="364" spans="3:4">
      <c r="C364" s="333" t="str">
        <f>IFERROR(IF(VLOOKUP($B364,[1]勘定科目!$A:$H,HLOOKUP($E$5,[1]勘定科目!$F$1:$H$2,2,0),0)="","",VLOOKUP($B364,[1]勘定科目!$A:$E,2,0)),"")</f>
        <v/>
      </c>
      <c r="D364" s="334" t="str">
        <f>IF(C364="","",VLOOKUP($B364,[1]勘定科目!$A:$E,4,0))</f>
        <v/>
      </c>
    </row>
    <row r="365" spans="3:4">
      <c r="C365" s="333" t="str">
        <f>IFERROR(IF(VLOOKUP($B365,[1]勘定科目!$A:$H,HLOOKUP($E$5,[1]勘定科目!$F$1:$H$2,2,0),0)="","",VLOOKUP($B365,[1]勘定科目!$A:$E,2,0)),"")</f>
        <v/>
      </c>
      <c r="D365" s="334" t="str">
        <f>IF(C365="","",VLOOKUP($B365,[1]勘定科目!$A:$E,4,0))</f>
        <v/>
      </c>
    </row>
    <row r="366" spans="3:4">
      <c r="C366" s="333" t="str">
        <f>IFERROR(IF(VLOOKUP($B366,[1]勘定科目!$A:$H,HLOOKUP($E$5,[1]勘定科目!$F$1:$H$2,2,0),0)="","",VLOOKUP($B366,[1]勘定科目!$A:$E,2,0)),"")</f>
        <v/>
      </c>
      <c r="D366" s="334" t="str">
        <f>IF(C366="","",VLOOKUP($B366,[1]勘定科目!$A:$E,4,0))</f>
        <v/>
      </c>
    </row>
    <row r="367" spans="3:4">
      <c r="C367" s="333" t="str">
        <f>IFERROR(IF(VLOOKUP($B367,[1]勘定科目!$A:$H,HLOOKUP($E$5,[1]勘定科目!$F$1:$H$2,2,0),0)="","",VLOOKUP($B367,[1]勘定科目!$A:$E,2,0)),"")</f>
        <v/>
      </c>
      <c r="D367" s="334" t="str">
        <f>IF(C367="","",VLOOKUP($B367,[1]勘定科目!$A:$E,4,0))</f>
        <v/>
      </c>
    </row>
    <row r="368" spans="3:4">
      <c r="C368" s="333" t="str">
        <f>IFERROR(IF(VLOOKUP($B368,[1]勘定科目!$A:$H,HLOOKUP($E$5,[1]勘定科目!$F$1:$H$2,2,0),0)="","",VLOOKUP($B368,[1]勘定科目!$A:$E,2,0)),"")</f>
        <v/>
      </c>
      <c r="D368" s="334" t="str">
        <f>IF(C368="","",VLOOKUP($B368,[1]勘定科目!$A:$E,4,0))</f>
        <v/>
      </c>
    </row>
    <row r="369" spans="3:4">
      <c r="C369" s="333" t="str">
        <f>IFERROR(IF(VLOOKUP($B369,[1]勘定科目!$A:$H,HLOOKUP($E$5,[1]勘定科目!$F$1:$H$2,2,0),0)="","",VLOOKUP($B369,[1]勘定科目!$A:$E,2,0)),"")</f>
        <v/>
      </c>
      <c r="D369" s="334" t="str">
        <f>IF(C369="","",VLOOKUP($B369,[1]勘定科目!$A:$E,4,0))</f>
        <v/>
      </c>
    </row>
    <row r="370" spans="3:4">
      <c r="C370" s="333" t="str">
        <f>IFERROR(IF(VLOOKUP($B370,[1]勘定科目!$A:$H,HLOOKUP($E$5,[1]勘定科目!$F$1:$H$2,2,0),0)="","",VLOOKUP($B370,[1]勘定科目!$A:$E,2,0)),"")</f>
        <v/>
      </c>
      <c r="D370" s="334" t="str">
        <f>IF(C370="","",VLOOKUP($B370,[1]勘定科目!$A:$E,4,0))</f>
        <v/>
      </c>
    </row>
    <row r="371" spans="3:4">
      <c r="C371" s="333" t="str">
        <f>IFERROR(IF(VLOOKUP($B371,[1]勘定科目!$A:$H,HLOOKUP($E$5,[1]勘定科目!$F$1:$H$2,2,0),0)="","",VLOOKUP($B371,[1]勘定科目!$A:$E,2,0)),"")</f>
        <v/>
      </c>
      <c r="D371" s="334" t="str">
        <f>IF(C371="","",VLOOKUP($B371,[1]勘定科目!$A:$E,4,0))</f>
        <v/>
      </c>
    </row>
    <row r="372" spans="3:4">
      <c r="C372" s="333" t="str">
        <f>IFERROR(IF(VLOOKUP($B372,[1]勘定科目!$A:$H,HLOOKUP($E$5,[1]勘定科目!$F$1:$H$2,2,0),0)="","",VLOOKUP($B372,[1]勘定科目!$A:$E,2,0)),"")</f>
        <v/>
      </c>
      <c r="D372" s="334" t="str">
        <f>IF(C372="","",VLOOKUP($B372,[1]勘定科目!$A:$E,4,0))</f>
        <v/>
      </c>
    </row>
    <row r="373" spans="3:4">
      <c r="C373" s="333" t="str">
        <f>IFERROR(IF(VLOOKUP($B373,[1]勘定科目!$A:$H,HLOOKUP($E$5,[1]勘定科目!$F$1:$H$2,2,0),0)="","",VLOOKUP($B373,[1]勘定科目!$A:$E,2,0)),"")</f>
        <v/>
      </c>
      <c r="D373" s="334" t="str">
        <f>IF(C373="","",VLOOKUP($B373,[1]勘定科目!$A:$E,4,0))</f>
        <v/>
      </c>
    </row>
    <row r="374" spans="3:4">
      <c r="C374" s="333" t="str">
        <f>IFERROR(IF(VLOOKUP($B374,[1]勘定科目!$A:$H,HLOOKUP($E$5,[1]勘定科目!$F$1:$H$2,2,0),0)="","",VLOOKUP($B374,[1]勘定科目!$A:$E,2,0)),"")</f>
        <v/>
      </c>
      <c r="D374" s="334" t="str">
        <f>IF(C374="","",VLOOKUP($B374,[1]勘定科目!$A:$E,4,0))</f>
        <v/>
      </c>
    </row>
    <row r="375" spans="3:4">
      <c r="C375" s="333" t="str">
        <f>IFERROR(IF(VLOOKUP($B375,[1]勘定科目!$A:$H,HLOOKUP($E$5,[1]勘定科目!$F$1:$H$2,2,0),0)="","",VLOOKUP($B375,[1]勘定科目!$A:$E,2,0)),"")</f>
        <v/>
      </c>
      <c r="D375" s="334" t="str">
        <f>IF(C375="","",VLOOKUP($B375,[1]勘定科目!$A:$E,4,0))</f>
        <v/>
      </c>
    </row>
    <row r="376" spans="3:4">
      <c r="C376" s="333" t="str">
        <f>IFERROR(IF(VLOOKUP($B376,[1]勘定科目!$A:$H,HLOOKUP($E$5,[1]勘定科目!$F$1:$H$2,2,0),0)="","",VLOOKUP($B376,[1]勘定科目!$A:$E,2,0)),"")</f>
        <v/>
      </c>
      <c r="D376" s="334" t="str">
        <f>IF(C376="","",VLOOKUP($B376,[1]勘定科目!$A:$E,4,0))</f>
        <v/>
      </c>
    </row>
    <row r="377" spans="3:4">
      <c r="C377" s="333" t="str">
        <f>IFERROR(IF(VLOOKUP($B377,[1]勘定科目!$A:$H,HLOOKUP($E$5,[1]勘定科目!$F$1:$H$2,2,0),0)="","",VLOOKUP($B377,[1]勘定科目!$A:$E,2,0)),"")</f>
        <v/>
      </c>
      <c r="D377" s="334" t="str">
        <f>IF(C377="","",VLOOKUP($B377,[1]勘定科目!$A:$E,4,0))</f>
        <v/>
      </c>
    </row>
    <row r="378" spans="3:4">
      <c r="C378" s="333" t="str">
        <f>IFERROR(IF(VLOOKUP($B378,[1]勘定科目!$A:$H,HLOOKUP($E$5,[1]勘定科目!$F$1:$H$2,2,0),0)="","",VLOOKUP($B378,[1]勘定科目!$A:$E,2,0)),"")</f>
        <v/>
      </c>
      <c r="D378" s="334" t="str">
        <f>IF(C378="","",VLOOKUP($B378,[1]勘定科目!$A:$E,4,0))</f>
        <v/>
      </c>
    </row>
    <row r="379" spans="3:4">
      <c r="C379" s="333" t="str">
        <f>IFERROR(IF(VLOOKUP($B379,[1]勘定科目!$A:$H,HLOOKUP($E$5,[1]勘定科目!$F$1:$H$2,2,0),0)="","",VLOOKUP($B379,[1]勘定科目!$A:$E,2,0)),"")</f>
        <v/>
      </c>
      <c r="D379" s="334" t="str">
        <f>IF(C379="","",VLOOKUP($B379,[1]勘定科目!$A:$E,4,0))</f>
        <v/>
      </c>
    </row>
    <row r="380" spans="3:4">
      <c r="C380" s="333" t="str">
        <f>IFERROR(IF(VLOOKUP($B380,[1]勘定科目!$A:$H,HLOOKUP($E$5,[1]勘定科目!$F$1:$H$2,2,0),0)="","",VLOOKUP($B380,[1]勘定科目!$A:$E,2,0)),"")</f>
        <v/>
      </c>
      <c r="D380" s="334" t="str">
        <f>IF(C380="","",VLOOKUP($B380,[1]勘定科目!$A:$E,4,0))</f>
        <v/>
      </c>
    </row>
    <row r="381" spans="3:4">
      <c r="C381" s="333" t="str">
        <f>IFERROR(IF(VLOOKUP($B381,[1]勘定科目!$A:$H,HLOOKUP($E$5,[1]勘定科目!$F$1:$H$2,2,0),0)="","",VLOOKUP($B381,[1]勘定科目!$A:$E,2,0)),"")</f>
        <v/>
      </c>
      <c r="D381" s="334" t="str">
        <f>IF(C381="","",VLOOKUP($B381,[1]勘定科目!$A:$E,4,0))</f>
        <v/>
      </c>
    </row>
    <row r="382" spans="3:4">
      <c r="C382" s="333" t="str">
        <f>IFERROR(IF(VLOOKUP($B382,[1]勘定科目!$A:$H,HLOOKUP($E$5,[1]勘定科目!$F$1:$H$2,2,0),0)="","",VLOOKUP($B382,[1]勘定科目!$A:$E,2,0)),"")</f>
        <v/>
      </c>
      <c r="D382" s="334" t="str">
        <f>IF(C382="","",VLOOKUP($B382,[1]勘定科目!$A:$E,4,0))</f>
        <v/>
      </c>
    </row>
  </sheetData>
  <autoFilter ref="A7:T382" xr:uid="{C4D9E433-32B9-4202-A8B8-84BC35B55859}"/>
  <phoneticPr fontId="3"/>
  <conditionalFormatting sqref="F3:Q3">
    <cfRule type="expression" dxfId="0" priority="1">
      <formula>F3&lt;&gt;"OK"</formula>
    </cfRule>
  </conditionalFormatting>
  <dataValidations disablePrompts="1" count="1">
    <dataValidation type="list" allowBlank="1" showInputMessage="1" showErrorMessage="1" sqref="T8:T267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="70" zoomScaleNormal="70" workbookViewId="0">
      <pane xSplit="3" ySplit="3" topLeftCell="F4" activePane="bottomRight" state="frozen"/>
      <selection pane="topRight" activeCell="D1" sqref="D1"/>
      <selection pane="bottomLeft" activeCell="A4" sqref="A4"/>
      <selection pane="bottomRight" activeCell="H4" sqref="H4:H10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7" width="14.125" style="48" customWidth="1"/>
    <col min="8" max="8" width="18.875" style="48" customWidth="1"/>
    <col min="9" max="17" width="14.125" style="48" customWidth="1"/>
    <col min="18" max="18" width="17.87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MD1課</v>
      </c>
      <c r="E1" s="209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19" customFormat="1" ht="27">
      <c r="B3" s="214" t="s">
        <v>330</v>
      </c>
      <c r="C3" s="214" t="s">
        <v>146</v>
      </c>
      <c r="D3" s="215" t="s">
        <v>147</v>
      </c>
      <c r="E3" s="216">
        <v>4</v>
      </c>
      <c r="F3" s="216">
        <v>5</v>
      </c>
      <c r="G3" s="216">
        <v>6</v>
      </c>
      <c r="H3" s="216">
        <v>7</v>
      </c>
      <c r="I3" s="216">
        <v>8</v>
      </c>
      <c r="J3" s="216">
        <v>9</v>
      </c>
      <c r="K3" s="216">
        <v>10</v>
      </c>
      <c r="L3" s="216">
        <v>11</v>
      </c>
      <c r="M3" s="216">
        <v>12</v>
      </c>
      <c r="N3" s="216">
        <v>1</v>
      </c>
      <c r="O3" s="216">
        <v>2</v>
      </c>
      <c r="P3" s="216">
        <v>3</v>
      </c>
      <c r="Q3" s="217" t="s">
        <v>643</v>
      </c>
      <c r="R3" s="220" t="s">
        <v>644</v>
      </c>
      <c r="S3" s="218" t="s">
        <v>417</v>
      </c>
    </row>
    <row r="4" spans="2:19">
      <c r="B4" s="208">
        <v>1412000050</v>
      </c>
      <c r="C4" s="208" t="s">
        <v>800</v>
      </c>
      <c r="D4" s="258" t="s">
        <v>873</v>
      </c>
      <c r="E4" s="210"/>
      <c r="F4" s="210"/>
      <c r="G4" s="210"/>
      <c r="H4" s="335"/>
      <c r="I4" s="335">
        <f>5642222*36</f>
        <v>203119992</v>
      </c>
      <c r="J4" s="259"/>
      <c r="K4" s="259"/>
      <c r="L4" s="259"/>
      <c r="M4" s="259"/>
      <c r="N4" s="259"/>
      <c r="O4" s="259"/>
      <c r="P4" s="259"/>
      <c r="Q4" s="213" t="s">
        <v>874</v>
      </c>
      <c r="R4" s="213">
        <f>SUM(E4:P4)</f>
        <v>203119992</v>
      </c>
      <c r="S4" s="206"/>
    </row>
    <row r="5" spans="2:19">
      <c r="B5" s="65">
        <v>1412000050</v>
      </c>
      <c r="C5" s="65" t="s">
        <v>801</v>
      </c>
      <c r="D5" s="258" t="s">
        <v>875</v>
      </c>
      <c r="E5" s="210"/>
      <c r="F5" s="210"/>
      <c r="G5" s="210"/>
      <c r="H5" s="335"/>
      <c r="I5" s="335">
        <f>71092000*60</f>
        <v>4265520000</v>
      </c>
      <c r="J5" s="259"/>
      <c r="K5" s="259"/>
      <c r="L5" s="259"/>
      <c r="M5" s="259"/>
      <c r="N5" s="259"/>
      <c r="O5" s="259"/>
      <c r="P5" s="259"/>
      <c r="Q5" s="213" t="s">
        <v>876</v>
      </c>
      <c r="R5" s="213">
        <f t="shared" ref="R5:R50" si="0">SUM(E5:P5)</f>
        <v>4265520000</v>
      </c>
      <c r="S5" s="206"/>
    </row>
    <row r="6" spans="2:19">
      <c r="B6" s="65">
        <v>1412000050</v>
      </c>
      <c r="C6" s="65" t="s">
        <v>802</v>
      </c>
      <c r="D6" s="258" t="s">
        <v>877</v>
      </c>
      <c r="E6" s="210"/>
      <c r="F6" s="210"/>
      <c r="G6" s="210"/>
      <c r="H6" s="335"/>
      <c r="I6" s="335">
        <f>8745444*36</f>
        <v>314835984</v>
      </c>
      <c r="J6" s="259"/>
      <c r="K6" s="259"/>
      <c r="L6" s="259"/>
      <c r="M6" s="259"/>
      <c r="N6" s="259"/>
      <c r="O6" s="259"/>
      <c r="P6" s="259"/>
      <c r="Q6" s="213" t="s">
        <v>874</v>
      </c>
      <c r="R6" s="213">
        <f t="shared" si="0"/>
        <v>314835984</v>
      </c>
      <c r="S6" s="206"/>
    </row>
    <row r="7" spans="2:19" ht="14.25">
      <c r="B7" s="65">
        <v>1412000050</v>
      </c>
      <c r="C7" s="66" t="s">
        <v>803</v>
      </c>
      <c r="D7" s="258" t="s">
        <v>877</v>
      </c>
      <c r="E7" s="210"/>
      <c r="F7" s="210"/>
      <c r="G7" s="210"/>
      <c r="H7" s="335"/>
      <c r="I7" s="335">
        <f>14105556*36</f>
        <v>507800016</v>
      </c>
      <c r="J7" s="259"/>
      <c r="K7" s="259"/>
      <c r="L7" s="259"/>
      <c r="M7" s="259"/>
      <c r="N7" s="259"/>
      <c r="O7" s="259"/>
      <c r="P7" s="259"/>
      <c r="Q7" s="213" t="s">
        <v>874</v>
      </c>
      <c r="R7" s="213">
        <f t="shared" si="0"/>
        <v>507800016</v>
      </c>
      <c r="S7" s="206"/>
    </row>
    <row r="8" spans="2:19">
      <c r="B8" s="65">
        <v>1412000050</v>
      </c>
      <c r="C8" s="67" t="s">
        <v>804</v>
      </c>
      <c r="D8" s="258" t="s">
        <v>877</v>
      </c>
      <c r="E8" s="211"/>
      <c r="F8" s="211"/>
      <c r="G8" s="211"/>
      <c r="H8" s="335"/>
      <c r="I8" s="335">
        <f>14105556*36</f>
        <v>507800016</v>
      </c>
      <c r="J8" s="259"/>
      <c r="K8" s="259"/>
      <c r="L8" s="259"/>
      <c r="M8" s="259"/>
      <c r="N8" s="259"/>
      <c r="O8" s="259"/>
      <c r="P8" s="259"/>
      <c r="Q8" s="213" t="s">
        <v>874</v>
      </c>
      <c r="R8" s="213">
        <f t="shared" si="0"/>
        <v>507800016</v>
      </c>
      <c r="S8" s="206"/>
    </row>
    <row r="9" spans="2:19">
      <c r="B9" s="65">
        <v>1412000050</v>
      </c>
      <c r="C9" s="65" t="s">
        <v>805</v>
      </c>
      <c r="D9" s="258" t="s">
        <v>877</v>
      </c>
      <c r="E9" s="211"/>
      <c r="F9" s="211"/>
      <c r="G9" s="211"/>
      <c r="H9" s="211"/>
      <c r="I9" s="211">
        <f>1692667*36</f>
        <v>60936012</v>
      </c>
      <c r="J9" s="259"/>
      <c r="K9" s="259"/>
      <c r="L9" s="259"/>
      <c r="M9" s="259"/>
      <c r="N9" s="259"/>
      <c r="O9" s="259"/>
      <c r="P9" s="259"/>
      <c r="Q9" s="213" t="s">
        <v>874</v>
      </c>
      <c r="R9" s="213">
        <f t="shared" si="0"/>
        <v>60936012</v>
      </c>
      <c r="S9" s="206"/>
    </row>
    <row r="10" spans="2:19">
      <c r="B10" s="65">
        <v>1412000050</v>
      </c>
      <c r="C10" s="65" t="s">
        <v>798</v>
      </c>
      <c r="D10" s="258" t="s">
        <v>877</v>
      </c>
      <c r="E10" s="211"/>
      <c r="F10" s="211"/>
      <c r="G10" s="211"/>
      <c r="H10" s="211"/>
      <c r="I10" s="211">
        <f>2715319*36</f>
        <v>97751484</v>
      </c>
      <c r="J10" s="259"/>
      <c r="K10" s="259"/>
      <c r="L10" s="259"/>
      <c r="M10" s="259"/>
      <c r="N10" s="259"/>
      <c r="O10" s="259"/>
      <c r="P10" s="259"/>
      <c r="Q10" s="213" t="s">
        <v>874</v>
      </c>
      <c r="R10" s="213">
        <f t="shared" si="0"/>
        <v>97751484</v>
      </c>
      <c r="S10" s="206"/>
    </row>
    <row r="11" spans="2:19">
      <c r="B11" s="65"/>
      <c r="C11" s="65"/>
      <c r="D11" s="65"/>
      <c r="E11" s="211"/>
      <c r="F11" s="211"/>
      <c r="G11" s="211"/>
      <c r="H11" s="211"/>
      <c r="I11" s="211"/>
      <c r="J11" s="211"/>
      <c r="K11" s="211"/>
      <c r="L11" s="211"/>
      <c r="M11" s="211"/>
      <c r="N11" s="211"/>
      <c r="O11" s="211"/>
      <c r="P11" s="211"/>
      <c r="Q11" s="213"/>
      <c r="R11" s="213">
        <f t="shared" si="0"/>
        <v>0</v>
      </c>
      <c r="S11" s="206"/>
    </row>
    <row r="12" spans="2:19">
      <c r="B12" s="65"/>
      <c r="C12" s="65"/>
      <c r="D12" s="65"/>
      <c r="E12" s="211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3"/>
      <c r="R12" s="213">
        <f t="shared" si="0"/>
        <v>0</v>
      </c>
      <c r="S12" s="206"/>
    </row>
    <row r="13" spans="2:19">
      <c r="B13" s="65"/>
      <c r="C13" s="65"/>
      <c r="D13" s="65"/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3"/>
      <c r="R13" s="213">
        <f t="shared" si="0"/>
        <v>0</v>
      </c>
      <c r="S13" s="206"/>
    </row>
    <row r="14" spans="2:19">
      <c r="B14" s="65"/>
      <c r="C14" s="65"/>
      <c r="D14" s="65"/>
      <c r="E14" s="211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3"/>
      <c r="R14" s="213">
        <f t="shared" si="0"/>
        <v>0</v>
      </c>
      <c r="S14" s="206"/>
    </row>
    <row r="15" spans="2:19">
      <c r="B15" s="65"/>
      <c r="C15" s="65"/>
      <c r="D15" s="65"/>
      <c r="E15" s="211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3"/>
      <c r="R15" s="213">
        <f t="shared" si="0"/>
        <v>0</v>
      </c>
      <c r="S15" s="206"/>
    </row>
    <row r="16" spans="2:19">
      <c r="B16" s="65"/>
      <c r="C16" s="65"/>
      <c r="D16" s="65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3"/>
      <c r="R16" s="213">
        <f t="shared" si="0"/>
        <v>0</v>
      </c>
      <c r="S16" s="206"/>
    </row>
    <row r="17" spans="2:19">
      <c r="B17" s="65"/>
      <c r="C17" s="65"/>
      <c r="D17" s="65"/>
      <c r="E17" s="211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213"/>
      <c r="R17" s="213">
        <f t="shared" si="0"/>
        <v>0</v>
      </c>
      <c r="S17" s="206"/>
    </row>
    <row r="18" spans="2:19">
      <c r="B18" s="65"/>
      <c r="C18" s="65"/>
      <c r="D18" s="65"/>
      <c r="E18" s="211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213"/>
      <c r="R18" s="213">
        <f t="shared" si="0"/>
        <v>0</v>
      </c>
      <c r="S18" s="206"/>
    </row>
    <row r="19" spans="2:19">
      <c r="B19" s="65"/>
      <c r="C19" s="65"/>
      <c r="D19" s="65"/>
      <c r="E19" s="211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213"/>
      <c r="R19" s="213">
        <f t="shared" si="0"/>
        <v>0</v>
      </c>
      <c r="S19" s="206"/>
    </row>
    <row r="20" spans="2:19">
      <c r="B20" s="65"/>
      <c r="C20" s="65"/>
      <c r="D20" s="65"/>
      <c r="E20" s="211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3"/>
      <c r="R20" s="213">
        <f t="shared" si="0"/>
        <v>0</v>
      </c>
      <c r="S20" s="206"/>
    </row>
    <row r="21" spans="2:19">
      <c r="B21" s="65"/>
      <c r="C21" s="65"/>
      <c r="D21" s="65"/>
      <c r="E21" s="211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3"/>
      <c r="R21" s="213">
        <f t="shared" si="0"/>
        <v>0</v>
      </c>
      <c r="S21" s="206"/>
    </row>
    <row r="22" spans="2:19">
      <c r="B22" s="65"/>
      <c r="C22" s="65"/>
      <c r="D22" s="65"/>
      <c r="E22" s="211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3"/>
      <c r="R22" s="213">
        <f t="shared" si="0"/>
        <v>0</v>
      </c>
      <c r="S22" s="206"/>
    </row>
    <row r="23" spans="2:19">
      <c r="B23" s="65"/>
      <c r="C23" s="65"/>
      <c r="D23" s="65"/>
      <c r="E23" s="211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3"/>
      <c r="R23" s="213">
        <f t="shared" si="0"/>
        <v>0</v>
      </c>
      <c r="S23" s="206"/>
    </row>
    <row r="24" spans="2:19">
      <c r="B24" s="65"/>
      <c r="C24" s="65"/>
      <c r="D24" s="65"/>
      <c r="E24" s="211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213"/>
      <c r="R24" s="213">
        <f t="shared" si="0"/>
        <v>0</v>
      </c>
      <c r="S24" s="206"/>
    </row>
    <row r="25" spans="2:19">
      <c r="B25" s="65"/>
      <c r="C25" s="65"/>
      <c r="D25" s="65"/>
      <c r="E25" s="211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213"/>
      <c r="R25" s="213">
        <f t="shared" si="0"/>
        <v>0</v>
      </c>
      <c r="S25" s="206"/>
    </row>
    <row r="26" spans="2:19">
      <c r="B26" s="65"/>
      <c r="C26" s="65"/>
      <c r="D26" s="65"/>
      <c r="E26" s="211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213"/>
      <c r="R26" s="213">
        <f t="shared" si="0"/>
        <v>0</v>
      </c>
      <c r="S26" s="206"/>
    </row>
    <row r="27" spans="2:19">
      <c r="B27" s="65"/>
      <c r="C27" s="65"/>
      <c r="D27" s="65"/>
      <c r="E27" s="211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213"/>
      <c r="R27" s="213">
        <f t="shared" si="0"/>
        <v>0</v>
      </c>
      <c r="S27" s="206"/>
    </row>
    <row r="28" spans="2:19">
      <c r="B28" s="65"/>
      <c r="C28" s="65"/>
      <c r="D28" s="65"/>
      <c r="E28" s="211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213"/>
      <c r="R28" s="213">
        <f t="shared" si="0"/>
        <v>0</v>
      </c>
      <c r="S28" s="206"/>
    </row>
    <row r="29" spans="2:19">
      <c r="B29" s="65"/>
      <c r="C29" s="65"/>
      <c r="D29" s="65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3"/>
      <c r="R29" s="213">
        <f t="shared" si="0"/>
        <v>0</v>
      </c>
      <c r="S29" s="206"/>
    </row>
    <row r="30" spans="2:19">
      <c r="B30" s="65"/>
      <c r="C30" s="65"/>
      <c r="D30" s="65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3"/>
      <c r="R30" s="213">
        <f t="shared" si="0"/>
        <v>0</v>
      </c>
      <c r="S30" s="206"/>
    </row>
    <row r="31" spans="2:19">
      <c r="B31" s="65"/>
      <c r="C31" s="65"/>
      <c r="D31" s="65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3"/>
      <c r="R31" s="213">
        <f t="shared" si="0"/>
        <v>0</v>
      </c>
      <c r="S31" s="206"/>
    </row>
    <row r="32" spans="2:19">
      <c r="B32" s="65"/>
      <c r="C32" s="65"/>
      <c r="D32" s="65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3"/>
      <c r="R32" s="213">
        <f t="shared" si="0"/>
        <v>0</v>
      </c>
      <c r="S32" s="206"/>
    </row>
    <row r="33" spans="2:19">
      <c r="B33" s="65"/>
      <c r="C33" s="65"/>
      <c r="D33" s="65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3"/>
      <c r="R33" s="213">
        <f t="shared" si="0"/>
        <v>0</v>
      </c>
      <c r="S33" s="206"/>
    </row>
    <row r="34" spans="2:19">
      <c r="B34" s="65"/>
      <c r="C34" s="65"/>
      <c r="D34" s="65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3"/>
      <c r="R34" s="213">
        <f t="shared" si="0"/>
        <v>0</v>
      </c>
      <c r="S34" s="206"/>
    </row>
    <row r="35" spans="2:19">
      <c r="B35" s="65"/>
      <c r="C35" s="65"/>
      <c r="D35" s="65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3"/>
      <c r="R35" s="213">
        <f t="shared" si="0"/>
        <v>0</v>
      </c>
      <c r="S35" s="206"/>
    </row>
    <row r="36" spans="2:19">
      <c r="B36" s="65"/>
      <c r="C36" s="65"/>
      <c r="D36" s="65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3"/>
      <c r="R36" s="213">
        <f t="shared" si="0"/>
        <v>0</v>
      </c>
      <c r="S36" s="206"/>
    </row>
    <row r="37" spans="2:19">
      <c r="B37" s="65"/>
      <c r="C37" s="65"/>
      <c r="D37" s="65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3"/>
      <c r="R37" s="213">
        <f t="shared" si="0"/>
        <v>0</v>
      </c>
      <c r="S37" s="206"/>
    </row>
    <row r="38" spans="2:19">
      <c r="B38" s="65"/>
      <c r="C38" s="65"/>
      <c r="D38" s="65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3"/>
      <c r="R38" s="213">
        <f t="shared" si="0"/>
        <v>0</v>
      </c>
      <c r="S38" s="206"/>
    </row>
    <row r="39" spans="2:19">
      <c r="B39" s="65"/>
      <c r="C39" s="65"/>
      <c r="D39" s="65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3"/>
      <c r="R39" s="213">
        <f t="shared" si="0"/>
        <v>0</v>
      </c>
      <c r="S39" s="206"/>
    </row>
    <row r="40" spans="2:19">
      <c r="B40" s="65"/>
      <c r="C40" s="65"/>
      <c r="D40" s="65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3"/>
      <c r="R40" s="213">
        <f t="shared" si="0"/>
        <v>0</v>
      </c>
      <c r="S40" s="206"/>
    </row>
    <row r="41" spans="2:19">
      <c r="B41" s="65"/>
      <c r="C41" s="65"/>
      <c r="D41" s="65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3"/>
      <c r="R41" s="213">
        <f t="shared" si="0"/>
        <v>0</v>
      </c>
      <c r="S41" s="206"/>
    </row>
    <row r="42" spans="2:19">
      <c r="B42" s="65"/>
      <c r="C42" s="65"/>
      <c r="D42" s="65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3"/>
      <c r="R42" s="213">
        <f t="shared" si="0"/>
        <v>0</v>
      </c>
      <c r="S42" s="206"/>
    </row>
    <row r="43" spans="2:19">
      <c r="B43" s="65"/>
      <c r="C43" s="65"/>
      <c r="D43" s="65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3"/>
      <c r="R43" s="213">
        <f t="shared" si="0"/>
        <v>0</v>
      </c>
      <c r="S43" s="206"/>
    </row>
    <row r="44" spans="2:19">
      <c r="B44" s="65"/>
      <c r="C44" s="65"/>
      <c r="D44" s="65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3"/>
      <c r="R44" s="213">
        <f t="shared" si="0"/>
        <v>0</v>
      </c>
      <c r="S44" s="206"/>
    </row>
    <row r="45" spans="2:19">
      <c r="B45" s="65"/>
      <c r="C45" s="65"/>
      <c r="D45" s="65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3"/>
      <c r="R45" s="213">
        <f t="shared" si="0"/>
        <v>0</v>
      </c>
      <c r="S45" s="206"/>
    </row>
    <row r="46" spans="2:19">
      <c r="B46" s="65"/>
      <c r="C46" s="65"/>
      <c r="D46" s="65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3"/>
      <c r="R46" s="213">
        <f t="shared" si="0"/>
        <v>0</v>
      </c>
      <c r="S46" s="206"/>
    </row>
    <row r="47" spans="2:19">
      <c r="B47" s="65"/>
      <c r="C47" s="65"/>
      <c r="D47" s="65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3"/>
      <c r="R47" s="213">
        <f t="shared" si="0"/>
        <v>0</v>
      </c>
      <c r="S47" s="206"/>
    </row>
    <row r="48" spans="2:19">
      <c r="B48" s="65"/>
      <c r="C48" s="65"/>
      <c r="D48" s="65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3"/>
      <c r="R48" s="213">
        <f t="shared" si="0"/>
        <v>0</v>
      </c>
      <c r="S48" s="206"/>
    </row>
    <row r="49" spans="2:19">
      <c r="B49" s="65"/>
      <c r="C49" s="65"/>
      <c r="D49" s="65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3"/>
      <c r="R49" s="213">
        <f t="shared" si="0"/>
        <v>0</v>
      </c>
      <c r="S49" s="206"/>
    </row>
    <row r="50" spans="2:19">
      <c r="B50" s="56"/>
      <c r="C50" s="56"/>
      <c r="D50" s="56" t="s">
        <v>148</v>
      </c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Q50" s="212"/>
      <c r="R50" s="212">
        <f t="shared" si="0"/>
        <v>0</v>
      </c>
      <c r="S50" s="207"/>
    </row>
    <row r="51" spans="2:19">
      <c r="S51" s="48"/>
    </row>
    <row r="52" spans="2:19">
      <c r="B52" s="92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disablePrompts="1"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5" bestFit="1" customWidth="1"/>
    <col min="2" max="2" width="34.75" style="106" bestFit="1" customWidth="1"/>
    <col min="3" max="3" width="32.625" style="106" bestFit="1" customWidth="1"/>
    <col min="4" max="4" width="18" style="106" bestFit="1" customWidth="1"/>
    <col min="5" max="5" width="32.625" style="106" bestFit="1" customWidth="1"/>
    <col min="6" max="7" width="8.375" style="106" bestFit="1" customWidth="1"/>
    <col min="8" max="8" width="9" style="105"/>
    <col min="9" max="9" width="41.25" style="106" bestFit="1" customWidth="1"/>
    <col min="10" max="16384" width="9" style="106"/>
  </cols>
  <sheetData>
    <row r="1" spans="1:9" s="83" customFormat="1" ht="12">
      <c r="A1" s="79" t="s">
        <v>345</v>
      </c>
      <c r="B1" s="80" t="s">
        <v>157</v>
      </c>
      <c r="C1" s="80" t="s">
        <v>346</v>
      </c>
      <c r="D1" s="81" t="s">
        <v>158</v>
      </c>
      <c r="E1" s="82" t="s">
        <v>347</v>
      </c>
      <c r="F1" s="82" t="s">
        <v>159</v>
      </c>
      <c r="G1" s="82" t="s">
        <v>160</v>
      </c>
      <c r="H1" s="82" t="s">
        <v>161</v>
      </c>
      <c r="I1" s="82" t="s">
        <v>348</v>
      </c>
    </row>
    <row r="2" spans="1:9" s="83" customFormat="1" ht="0.75" customHeight="1">
      <c r="A2" s="108"/>
      <c r="B2" s="109"/>
      <c r="C2" s="109"/>
      <c r="D2" s="109"/>
      <c r="E2" s="109"/>
      <c r="F2" s="121">
        <f>COLUMNS($A$2:F2)</f>
        <v>6</v>
      </c>
      <c r="G2" s="121">
        <f>COLUMNS($A$2:G2)</f>
        <v>7</v>
      </c>
      <c r="H2" s="121">
        <f>COLUMNS($A$2:H2)</f>
        <v>8</v>
      </c>
      <c r="I2" s="109"/>
    </row>
    <row r="3" spans="1:9" s="83" customFormat="1">
      <c r="A3" s="104">
        <v>7001065118</v>
      </c>
      <c r="B3" t="s">
        <v>116</v>
      </c>
      <c r="C3" t="s">
        <v>32</v>
      </c>
      <c r="D3" t="s">
        <v>116</v>
      </c>
      <c r="E3" t="s">
        <v>14</v>
      </c>
      <c r="F3" s="107" t="s">
        <v>461</v>
      </c>
      <c r="G3" s="107">
        <v>7001065118</v>
      </c>
      <c r="H3" s="107">
        <v>7001065118</v>
      </c>
      <c r="I3"/>
    </row>
    <row r="4" spans="1:9" s="83" customFormat="1">
      <c r="A4" s="104">
        <v>7001075118</v>
      </c>
      <c r="B4" t="s">
        <v>33</v>
      </c>
      <c r="C4" t="s">
        <v>32</v>
      </c>
      <c r="D4" t="s">
        <v>116</v>
      </c>
      <c r="E4" t="s">
        <v>14</v>
      </c>
      <c r="F4" s="107" t="s">
        <v>462</v>
      </c>
      <c r="G4" s="107">
        <v>7001075118</v>
      </c>
      <c r="H4" s="107">
        <v>7001075118</v>
      </c>
      <c r="I4"/>
    </row>
    <row r="5" spans="1:9" s="83" customFormat="1">
      <c r="A5" s="104">
        <v>7001065119</v>
      </c>
      <c r="B5" t="s">
        <v>40</v>
      </c>
      <c r="C5" t="s">
        <v>32</v>
      </c>
      <c r="D5" t="s">
        <v>116</v>
      </c>
      <c r="E5" t="s">
        <v>14</v>
      </c>
      <c r="F5" s="107" t="s">
        <v>463</v>
      </c>
      <c r="G5" s="107">
        <v>7001065119</v>
      </c>
      <c r="H5" s="107">
        <v>7001065119</v>
      </c>
      <c r="I5"/>
    </row>
    <row r="6" spans="1:9" s="83" customFormat="1">
      <c r="A6" s="104">
        <v>5001016131</v>
      </c>
      <c r="B6" t="s">
        <v>400</v>
      </c>
      <c r="C6" t="s">
        <v>35</v>
      </c>
      <c r="D6" t="s">
        <v>101</v>
      </c>
      <c r="E6" t="s">
        <v>349</v>
      </c>
      <c r="F6" s="107" t="s">
        <v>464</v>
      </c>
      <c r="G6" s="107"/>
      <c r="H6" s="107"/>
      <c r="I6" t="s">
        <v>446</v>
      </c>
    </row>
    <row r="7" spans="1:9" s="83" customFormat="1">
      <c r="A7" s="104">
        <v>5001016134</v>
      </c>
      <c r="B7" t="s">
        <v>416</v>
      </c>
      <c r="C7" t="s">
        <v>35</v>
      </c>
      <c r="D7" t="s">
        <v>101</v>
      </c>
      <c r="E7" t="s">
        <v>349</v>
      </c>
      <c r="F7" s="107" t="s">
        <v>465</v>
      </c>
      <c r="G7" s="107">
        <v>5001016134</v>
      </c>
      <c r="H7" s="107">
        <v>5001016134</v>
      </c>
      <c r="I7" t="s">
        <v>447</v>
      </c>
    </row>
    <row r="8" spans="1:9" s="83" customFormat="1">
      <c r="A8" s="104">
        <v>5001016135</v>
      </c>
      <c r="B8" t="s">
        <v>152</v>
      </c>
      <c r="C8" t="s">
        <v>35</v>
      </c>
      <c r="D8" t="s">
        <v>101</v>
      </c>
      <c r="E8" t="s">
        <v>349</v>
      </c>
      <c r="F8" s="107" t="s">
        <v>466</v>
      </c>
      <c r="G8" s="107">
        <v>5001016135</v>
      </c>
      <c r="H8" s="107">
        <v>5001016135</v>
      </c>
      <c r="I8"/>
    </row>
    <row r="9" spans="1:9" s="83" customFormat="1">
      <c r="A9" s="104">
        <v>5001016136</v>
      </c>
      <c r="B9" t="s">
        <v>103</v>
      </c>
      <c r="C9" t="s">
        <v>35</v>
      </c>
      <c r="D9" t="s">
        <v>101</v>
      </c>
      <c r="E9" t="s">
        <v>349</v>
      </c>
      <c r="F9" s="107" t="s">
        <v>467</v>
      </c>
      <c r="G9" s="107">
        <v>5001016136</v>
      </c>
      <c r="H9" s="107">
        <v>5001016136</v>
      </c>
      <c r="I9"/>
    </row>
    <row r="10" spans="1:9" s="83" customFormat="1">
      <c r="A10" s="104">
        <v>5001016142</v>
      </c>
      <c r="B10" t="s">
        <v>163</v>
      </c>
      <c r="C10" t="s">
        <v>35</v>
      </c>
      <c r="D10" t="s">
        <v>120</v>
      </c>
      <c r="E10" t="s">
        <v>350</v>
      </c>
      <c r="F10" s="107" t="s">
        <v>468</v>
      </c>
      <c r="G10" s="107">
        <v>5001016142</v>
      </c>
      <c r="H10" s="107">
        <v>5001016142</v>
      </c>
      <c r="I10"/>
    </row>
    <row r="11" spans="1:9" s="83" customFormat="1">
      <c r="A11" s="104">
        <v>5001016149</v>
      </c>
      <c r="B11" t="s">
        <v>351</v>
      </c>
      <c r="C11" t="s">
        <v>35</v>
      </c>
      <c r="D11" t="s">
        <v>101</v>
      </c>
      <c r="E11" t="s">
        <v>349</v>
      </c>
      <c r="F11" s="107" t="s">
        <v>686</v>
      </c>
      <c r="G11" s="107">
        <v>5001016149</v>
      </c>
      <c r="H11" s="107">
        <v>5001016149</v>
      </c>
      <c r="I11" t="s">
        <v>352</v>
      </c>
    </row>
    <row r="12" spans="1:9" s="83" customFormat="1">
      <c r="A12" s="104">
        <v>5001016151</v>
      </c>
      <c r="B12" t="s">
        <v>162</v>
      </c>
      <c r="C12" t="s">
        <v>35</v>
      </c>
      <c r="D12" t="s">
        <v>101</v>
      </c>
      <c r="E12" t="s">
        <v>349</v>
      </c>
      <c r="F12" s="107" t="s">
        <v>469</v>
      </c>
      <c r="G12" s="107"/>
      <c r="H12" s="107"/>
      <c r="I12" t="s">
        <v>448</v>
      </c>
    </row>
    <row r="13" spans="1:9" s="83" customFormat="1">
      <c r="A13" s="104">
        <v>5004046221</v>
      </c>
      <c r="B13" t="s">
        <v>164</v>
      </c>
      <c r="C13" t="s">
        <v>149</v>
      </c>
      <c r="D13" t="s">
        <v>41</v>
      </c>
      <c r="E13" t="s">
        <v>149</v>
      </c>
      <c r="F13" s="107" t="s">
        <v>470</v>
      </c>
      <c r="G13" s="107"/>
      <c r="H13" s="107"/>
      <c r="I13"/>
    </row>
    <row r="14" spans="1:9" s="83" customFormat="1">
      <c r="A14" s="104">
        <v>5004046371</v>
      </c>
      <c r="B14" t="s">
        <v>165</v>
      </c>
      <c r="C14" t="s">
        <v>150</v>
      </c>
      <c r="D14" t="s">
        <v>41</v>
      </c>
      <c r="E14" t="s">
        <v>149</v>
      </c>
      <c r="F14" s="107" t="s">
        <v>471</v>
      </c>
      <c r="G14" s="107"/>
      <c r="H14" s="107"/>
      <c r="I14"/>
    </row>
    <row r="15" spans="1:9" s="83" customFormat="1">
      <c r="A15" s="104">
        <v>5005016371</v>
      </c>
      <c r="B15" t="s">
        <v>166</v>
      </c>
      <c r="C15" t="s">
        <v>151</v>
      </c>
      <c r="D15" t="s">
        <v>55</v>
      </c>
      <c r="E15" t="s">
        <v>353</v>
      </c>
      <c r="F15" s="107" t="s">
        <v>472</v>
      </c>
      <c r="G15" s="107"/>
      <c r="H15" s="107"/>
      <c r="I15"/>
    </row>
    <row r="16" spans="1:9" s="83" customFormat="1">
      <c r="A16" s="104">
        <v>5005016372</v>
      </c>
      <c r="B16" t="s">
        <v>167</v>
      </c>
      <c r="C16" t="s">
        <v>151</v>
      </c>
      <c r="D16" t="s">
        <v>55</v>
      </c>
      <c r="E16" t="s">
        <v>353</v>
      </c>
      <c r="F16" s="107" t="s">
        <v>473</v>
      </c>
      <c r="G16" s="107"/>
      <c r="H16" s="107"/>
      <c r="I16"/>
    </row>
    <row r="17" spans="1:9" s="83" customFormat="1">
      <c r="A17" s="104">
        <v>5005016373</v>
      </c>
      <c r="B17" t="s">
        <v>413</v>
      </c>
      <c r="C17" t="s">
        <v>151</v>
      </c>
      <c r="D17" t="s">
        <v>55</v>
      </c>
      <c r="E17" t="s">
        <v>353</v>
      </c>
      <c r="F17" s="107" t="s">
        <v>474</v>
      </c>
      <c r="G17" s="107"/>
      <c r="H17" s="107"/>
      <c r="I17" t="s">
        <v>448</v>
      </c>
    </row>
    <row r="18" spans="1:9" s="83" customFormat="1">
      <c r="A18" s="104">
        <v>5005026371</v>
      </c>
      <c r="B18" t="s">
        <v>168</v>
      </c>
      <c r="C18" t="s">
        <v>151</v>
      </c>
      <c r="D18" t="s">
        <v>104</v>
      </c>
      <c r="E18" t="s">
        <v>354</v>
      </c>
      <c r="F18" s="107" t="s">
        <v>475</v>
      </c>
      <c r="G18" s="107"/>
      <c r="H18" s="107"/>
      <c r="I18"/>
    </row>
    <row r="19" spans="1:9" s="83" customFormat="1">
      <c r="A19" s="104">
        <v>5005026372</v>
      </c>
      <c r="B19" t="s">
        <v>169</v>
      </c>
      <c r="C19" t="s">
        <v>151</v>
      </c>
      <c r="D19" t="s">
        <v>54</v>
      </c>
      <c r="E19" t="s">
        <v>355</v>
      </c>
      <c r="F19" s="107" t="s">
        <v>476</v>
      </c>
      <c r="G19" s="107"/>
      <c r="H19" s="107"/>
      <c r="I19"/>
    </row>
    <row r="20" spans="1:9" s="83" customFormat="1">
      <c r="A20" s="104">
        <v>5006016241</v>
      </c>
      <c r="B20" t="s">
        <v>170</v>
      </c>
      <c r="C20" t="s">
        <v>21</v>
      </c>
      <c r="D20" t="s">
        <v>45</v>
      </c>
      <c r="E20" t="s">
        <v>356</v>
      </c>
      <c r="F20" s="107" t="s">
        <v>477</v>
      </c>
      <c r="G20" s="107"/>
      <c r="H20" s="107"/>
      <c r="I20"/>
    </row>
    <row r="21" spans="1:9" s="83" customFormat="1">
      <c r="A21" s="104">
        <v>5006016242</v>
      </c>
      <c r="B21" t="s">
        <v>22</v>
      </c>
      <c r="C21" t="s">
        <v>21</v>
      </c>
      <c r="D21" t="s">
        <v>45</v>
      </c>
      <c r="E21" t="s">
        <v>356</v>
      </c>
      <c r="F21" s="107" t="s">
        <v>478</v>
      </c>
      <c r="G21" s="107"/>
      <c r="H21" s="107"/>
      <c r="I21"/>
    </row>
    <row r="22" spans="1:9" s="83" customFormat="1">
      <c r="A22" s="104">
        <v>5006016243</v>
      </c>
      <c r="B22" t="s">
        <v>23</v>
      </c>
      <c r="C22" t="s">
        <v>21</v>
      </c>
      <c r="D22" t="s">
        <v>45</v>
      </c>
      <c r="E22" t="s">
        <v>356</v>
      </c>
      <c r="F22" s="107" t="s">
        <v>479</v>
      </c>
      <c r="G22" s="107"/>
      <c r="H22" s="107"/>
      <c r="I22"/>
    </row>
    <row r="23" spans="1:9" s="83" customFormat="1">
      <c r="A23" s="104">
        <v>5006016244</v>
      </c>
      <c r="B23" t="s">
        <v>24</v>
      </c>
      <c r="C23" t="s">
        <v>21</v>
      </c>
      <c r="D23" t="s">
        <v>45</v>
      </c>
      <c r="E23" t="s">
        <v>356</v>
      </c>
      <c r="F23" s="107" t="s">
        <v>480</v>
      </c>
      <c r="G23" s="107"/>
      <c r="H23" s="107"/>
      <c r="I23"/>
    </row>
    <row r="24" spans="1:9" s="83" customFormat="1">
      <c r="A24" s="104">
        <v>5006016245</v>
      </c>
      <c r="B24" t="s">
        <v>25</v>
      </c>
      <c r="C24" t="s">
        <v>21</v>
      </c>
      <c r="D24" t="s">
        <v>45</v>
      </c>
      <c r="E24" t="s">
        <v>356</v>
      </c>
      <c r="F24" s="107" t="s">
        <v>481</v>
      </c>
      <c r="G24" s="107"/>
      <c r="H24" s="107"/>
      <c r="I24"/>
    </row>
    <row r="25" spans="1:9" s="83" customFormat="1">
      <c r="A25" s="104">
        <v>5005036246</v>
      </c>
      <c r="B25" t="s">
        <v>171</v>
      </c>
      <c r="C25" t="s">
        <v>21</v>
      </c>
      <c r="D25" t="s">
        <v>46</v>
      </c>
      <c r="E25" t="s">
        <v>357</v>
      </c>
      <c r="F25" s="107" t="s">
        <v>482</v>
      </c>
      <c r="G25" s="107"/>
      <c r="H25" s="107"/>
      <c r="I25"/>
    </row>
    <row r="26" spans="1:9" s="83" customFormat="1">
      <c r="A26" s="104">
        <v>5006016247</v>
      </c>
      <c r="B26" t="s">
        <v>172</v>
      </c>
      <c r="C26" t="s">
        <v>21</v>
      </c>
      <c r="D26" t="s">
        <v>45</v>
      </c>
      <c r="E26" t="s">
        <v>356</v>
      </c>
      <c r="F26" s="107" t="s">
        <v>483</v>
      </c>
      <c r="G26" s="107"/>
      <c r="H26" s="107"/>
      <c r="I26"/>
    </row>
    <row r="27" spans="1:9" s="83" customFormat="1">
      <c r="A27" s="104">
        <v>5006016248</v>
      </c>
      <c r="B27" t="s">
        <v>173</v>
      </c>
      <c r="C27" t="s">
        <v>21</v>
      </c>
      <c r="D27" t="s">
        <v>45</v>
      </c>
      <c r="E27" t="s">
        <v>356</v>
      </c>
      <c r="F27" s="107" t="s">
        <v>484</v>
      </c>
      <c r="G27" s="107"/>
      <c r="H27" s="107"/>
      <c r="I27"/>
    </row>
    <row r="28" spans="1:9" s="83" customFormat="1">
      <c r="A28" s="104">
        <v>5006016249</v>
      </c>
      <c r="B28" t="s">
        <v>26</v>
      </c>
      <c r="C28" t="s">
        <v>21</v>
      </c>
      <c r="D28" t="s">
        <v>45</v>
      </c>
      <c r="E28" t="s">
        <v>356</v>
      </c>
      <c r="F28" s="107" t="s">
        <v>485</v>
      </c>
      <c r="G28" s="107"/>
      <c r="H28" s="107"/>
      <c r="I28"/>
    </row>
    <row r="29" spans="1:9" s="83" customFormat="1">
      <c r="A29" s="104">
        <v>5006016250</v>
      </c>
      <c r="B29" t="s">
        <v>27</v>
      </c>
      <c r="C29" t="s">
        <v>21</v>
      </c>
      <c r="D29" t="s">
        <v>45</v>
      </c>
      <c r="E29" t="s">
        <v>356</v>
      </c>
      <c r="F29" s="107" t="s">
        <v>486</v>
      </c>
      <c r="G29" s="107"/>
      <c r="H29" s="107"/>
      <c r="I29"/>
    </row>
    <row r="30" spans="1:9" s="83" customFormat="1">
      <c r="A30" s="104">
        <v>5006016251</v>
      </c>
      <c r="B30" t="s">
        <v>28</v>
      </c>
      <c r="C30" t="s">
        <v>21</v>
      </c>
      <c r="D30" t="s">
        <v>45</v>
      </c>
      <c r="E30" t="s">
        <v>356</v>
      </c>
      <c r="F30" s="107" t="s">
        <v>487</v>
      </c>
      <c r="G30" s="107"/>
      <c r="H30" s="107"/>
      <c r="I30"/>
    </row>
    <row r="31" spans="1:9" s="83" customFormat="1">
      <c r="A31" s="104">
        <v>5006016252</v>
      </c>
      <c r="B31" t="s">
        <v>29</v>
      </c>
      <c r="C31" t="s">
        <v>21</v>
      </c>
      <c r="D31" t="s">
        <v>45</v>
      </c>
      <c r="E31" t="s">
        <v>356</v>
      </c>
      <c r="F31" s="107" t="s">
        <v>488</v>
      </c>
      <c r="G31" s="107"/>
      <c r="H31" s="107"/>
      <c r="I31"/>
    </row>
    <row r="32" spans="1:9" s="83" customFormat="1">
      <c r="A32" s="104">
        <v>5006016253</v>
      </c>
      <c r="B32" t="s">
        <v>174</v>
      </c>
      <c r="C32" t="s">
        <v>21</v>
      </c>
      <c r="D32" t="s">
        <v>45</v>
      </c>
      <c r="E32" t="s">
        <v>356</v>
      </c>
      <c r="F32" s="107" t="s">
        <v>489</v>
      </c>
      <c r="G32" s="107"/>
      <c r="H32" s="107"/>
      <c r="I32"/>
    </row>
    <row r="33" spans="1:9" s="83" customFormat="1">
      <c r="A33" s="104">
        <v>5006016254</v>
      </c>
      <c r="B33" t="s">
        <v>175</v>
      </c>
      <c r="C33" t="s">
        <v>21</v>
      </c>
      <c r="D33" t="s">
        <v>45</v>
      </c>
      <c r="E33" t="s">
        <v>356</v>
      </c>
      <c r="F33" s="107" t="s">
        <v>490</v>
      </c>
      <c r="G33" s="107"/>
      <c r="H33" s="107"/>
      <c r="I33"/>
    </row>
    <row r="34" spans="1:9" s="83" customFormat="1">
      <c r="A34" s="104">
        <v>5006016255</v>
      </c>
      <c r="B34" t="s">
        <v>176</v>
      </c>
      <c r="C34" t="s">
        <v>21</v>
      </c>
      <c r="D34" t="s">
        <v>45</v>
      </c>
      <c r="E34" t="s">
        <v>356</v>
      </c>
      <c r="F34" s="107" t="s">
        <v>491</v>
      </c>
      <c r="G34" s="107"/>
      <c r="H34" s="107"/>
      <c r="I34"/>
    </row>
    <row r="35" spans="1:9" s="83" customFormat="1">
      <c r="A35" s="104">
        <v>5006016256</v>
      </c>
      <c r="B35" t="s">
        <v>177</v>
      </c>
      <c r="C35" t="s">
        <v>21</v>
      </c>
      <c r="D35" t="s">
        <v>45</v>
      </c>
      <c r="E35" t="s">
        <v>356</v>
      </c>
      <c r="F35" s="107" t="s">
        <v>492</v>
      </c>
      <c r="G35" s="107"/>
      <c r="H35" s="107"/>
      <c r="I35"/>
    </row>
    <row r="36" spans="1:9" s="83" customFormat="1">
      <c r="A36" s="104">
        <v>5006016257</v>
      </c>
      <c r="B36" t="s">
        <v>30</v>
      </c>
      <c r="C36" t="s">
        <v>21</v>
      </c>
      <c r="D36" t="s">
        <v>45</v>
      </c>
      <c r="E36" t="s">
        <v>356</v>
      </c>
      <c r="F36" s="107" t="s">
        <v>493</v>
      </c>
      <c r="G36" s="107"/>
      <c r="H36" s="107"/>
      <c r="I36"/>
    </row>
    <row r="37" spans="1:9" s="83" customFormat="1">
      <c r="A37" s="104">
        <v>5006016258</v>
      </c>
      <c r="B37" t="s">
        <v>178</v>
      </c>
      <c r="C37" t="s">
        <v>21</v>
      </c>
      <c r="D37" t="s">
        <v>45</v>
      </c>
      <c r="E37" t="s">
        <v>356</v>
      </c>
      <c r="F37" s="107" t="s">
        <v>494</v>
      </c>
      <c r="G37" s="107"/>
      <c r="H37" s="107"/>
      <c r="I37"/>
    </row>
    <row r="38" spans="1:9" s="83" customFormat="1">
      <c r="A38" s="104">
        <v>5006016259</v>
      </c>
      <c r="B38" t="s">
        <v>179</v>
      </c>
      <c r="C38" t="s">
        <v>21</v>
      </c>
      <c r="D38" t="s">
        <v>45</v>
      </c>
      <c r="E38" t="s">
        <v>356</v>
      </c>
      <c r="F38" s="107" t="s">
        <v>495</v>
      </c>
      <c r="G38" s="107"/>
      <c r="H38" s="107"/>
      <c r="I38"/>
    </row>
    <row r="39" spans="1:9" s="83" customFormat="1">
      <c r="A39" s="104">
        <v>5006016260</v>
      </c>
      <c r="B39" t="s">
        <v>180</v>
      </c>
      <c r="C39" t="s">
        <v>21</v>
      </c>
      <c r="D39" t="s">
        <v>45</v>
      </c>
      <c r="E39" t="s">
        <v>356</v>
      </c>
      <c r="F39" s="107" t="s">
        <v>496</v>
      </c>
      <c r="G39" s="107"/>
      <c r="H39" s="107"/>
      <c r="I39"/>
    </row>
    <row r="40" spans="1:9" s="83" customFormat="1">
      <c r="A40" s="104">
        <v>5006016261</v>
      </c>
      <c r="B40" t="s">
        <v>181</v>
      </c>
      <c r="C40" t="s">
        <v>21</v>
      </c>
      <c r="D40" t="s">
        <v>45</v>
      </c>
      <c r="E40" t="s">
        <v>356</v>
      </c>
      <c r="F40" s="107" t="s">
        <v>497</v>
      </c>
      <c r="G40" s="107"/>
      <c r="H40" s="107"/>
      <c r="I40"/>
    </row>
    <row r="41" spans="1:9" s="83" customFormat="1">
      <c r="A41" s="104">
        <v>5004096281</v>
      </c>
      <c r="B41" t="s">
        <v>182</v>
      </c>
      <c r="C41" t="s">
        <v>31</v>
      </c>
      <c r="D41" t="s">
        <v>115</v>
      </c>
      <c r="E41" t="s">
        <v>358</v>
      </c>
      <c r="F41" s="107" t="s">
        <v>498</v>
      </c>
      <c r="G41" s="107"/>
      <c r="H41" s="107"/>
      <c r="I41"/>
    </row>
    <row r="42" spans="1:9" s="83" customFormat="1">
      <c r="A42" s="104">
        <v>5005046281</v>
      </c>
      <c r="B42" t="s">
        <v>183</v>
      </c>
      <c r="C42" t="s">
        <v>31</v>
      </c>
      <c r="D42" t="s">
        <v>59</v>
      </c>
      <c r="E42" t="s">
        <v>359</v>
      </c>
      <c r="F42" s="107" t="s">
        <v>499</v>
      </c>
      <c r="G42" s="107"/>
      <c r="H42" s="107"/>
      <c r="I42"/>
    </row>
    <row r="43" spans="1:9" s="83" customFormat="1">
      <c r="A43" s="104">
        <v>5005046282</v>
      </c>
      <c r="B43" t="s">
        <v>184</v>
      </c>
      <c r="C43" t="s">
        <v>31</v>
      </c>
      <c r="D43" t="s">
        <v>59</v>
      </c>
      <c r="E43" t="s">
        <v>359</v>
      </c>
      <c r="F43" s="107" t="s">
        <v>500</v>
      </c>
      <c r="G43" s="107"/>
      <c r="H43" s="107"/>
      <c r="I43"/>
    </row>
    <row r="44" spans="1:9" s="83" customFormat="1">
      <c r="A44" s="104">
        <v>5005046283</v>
      </c>
      <c r="B44" t="s">
        <v>185</v>
      </c>
      <c r="C44" t="s">
        <v>31</v>
      </c>
      <c r="D44" t="s">
        <v>59</v>
      </c>
      <c r="E44" t="s">
        <v>359</v>
      </c>
      <c r="F44" s="107" t="s">
        <v>501</v>
      </c>
      <c r="G44" s="107"/>
      <c r="H44" s="107"/>
      <c r="I44"/>
    </row>
    <row r="45" spans="1:9" s="83" customFormat="1">
      <c r="A45" s="104">
        <v>5005046284</v>
      </c>
      <c r="B45" t="s">
        <v>412</v>
      </c>
      <c r="C45" t="s">
        <v>31</v>
      </c>
      <c r="D45" t="s">
        <v>59</v>
      </c>
      <c r="E45" t="s">
        <v>359</v>
      </c>
      <c r="F45" s="107" t="s">
        <v>502</v>
      </c>
      <c r="G45" s="107"/>
      <c r="H45" s="107"/>
      <c r="I45" t="s">
        <v>448</v>
      </c>
    </row>
    <row r="46" spans="1:9" s="83" customFormat="1">
      <c r="A46" s="104">
        <v>5005066281</v>
      </c>
      <c r="B46" t="s">
        <v>186</v>
      </c>
      <c r="C46" t="s">
        <v>31</v>
      </c>
      <c r="D46" t="s">
        <v>97</v>
      </c>
      <c r="E46" t="s">
        <v>360</v>
      </c>
      <c r="F46" s="107" t="s">
        <v>503</v>
      </c>
      <c r="G46" s="107"/>
      <c r="H46" s="107"/>
      <c r="I46"/>
    </row>
    <row r="47" spans="1:9" s="83" customFormat="1">
      <c r="A47" s="104">
        <v>5005066282</v>
      </c>
      <c r="B47" t="s">
        <v>187</v>
      </c>
      <c r="C47" t="s">
        <v>31</v>
      </c>
      <c r="D47" t="s">
        <v>97</v>
      </c>
      <c r="E47" t="s">
        <v>360</v>
      </c>
      <c r="F47" s="107" t="s">
        <v>504</v>
      </c>
      <c r="G47" s="107"/>
      <c r="H47" s="107"/>
      <c r="I47"/>
    </row>
    <row r="48" spans="1:9" s="83" customFormat="1">
      <c r="A48" s="104">
        <v>5005056281</v>
      </c>
      <c r="B48" t="s">
        <v>188</v>
      </c>
      <c r="C48" t="s">
        <v>31</v>
      </c>
      <c r="D48" t="s">
        <v>97</v>
      </c>
      <c r="E48" t="s">
        <v>360</v>
      </c>
      <c r="F48" s="107" t="s">
        <v>505</v>
      </c>
      <c r="G48" s="107"/>
      <c r="H48" s="107"/>
      <c r="I48"/>
    </row>
    <row r="49" spans="1:9" s="83" customFormat="1">
      <c r="A49" s="104">
        <v>5005076281</v>
      </c>
      <c r="B49" t="s">
        <v>189</v>
      </c>
      <c r="C49" t="s">
        <v>31</v>
      </c>
      <c r="D49" t="s">
        <v>61</v>
      </c>
      <c r="E49" t="s">
        <v>361</v>
      </c>
      <c r="F49" s="107" t="s">
        <v>506</v>
      </c>
      <c r="G49" s="107"/>
      <c r="H49" s="107"/>
      <c r="I49"/>
    </row>
    <row r="50" spans="1:9" s="83" customFormat="1">
      <c r="A50" s="104">
        <v>5005076282</v>
      </c>
      <c r="B50" t="s">
        <v>190</v>
      </c>
      <c r="C50" t="s">
        <v>31</v>
      </c>
      <c r="D50" t="s">
        <v>61</v>
      </c>
      <c r="E50" t="s">
        <v>361</v>
      </c>
      <c r="F50" s="107" t="s">
        <v>507</v>
      </c>
      <c r="G50" s="107"/>
      <c r="H50" s="107"/>
      <c r="I50"/>
    </row>
    <row r="51" spans="1:9" s="83" customFormat="1">
      <c r="A51" s="104">
        <v>5005076283</v>
      </c>
      <c r="B51" t="s">
        <v>191</v>
      </c>
      <c r="C51" t="s">
        <v>31</v>
      </c>
      <c r="D51" t="s">
        <v>61</v>
      </c>
      <c r="E51" t="s">
        <v>361</v>
      </c>
      <c r="F51" s="107" t="s">
        <v>508</v>
      </c>
      <c r="G51" s="107"/>
      <c r="H51" s="107"/>
      <c r="I51"/>
    </row>
    <row r="52" spans="1:9" s="83" customFormat="1">
      <c r="A52" s="104">
        <v>5005076284</v>
      </c>
      <c r="B52" t="s">
        <v>192</v>
      </c>
      <c r="C52" t="s">
        <v>31</v>
      </c>
      <c r="D52" t="s">
        <v>61</v>
      </c>
      <c r="E52" t="s">
        <v>361</v>
      </c>
      <c r="F52" s="107" t="s">
        <v>509</v>
      </c>
      <c r="G52" s="107"/>
      <c r="H52" s="107"/>
      <c r="I52"/>
    </row>
    <row r="53" spans="1:9" s="83" customFormat="1">
      <c r="A53" s="104">
        <v>5005076285</v>
      </c>
      <c r="B53" s="227" t="s">
        <v>591</v>
      </c>
      <c r="C53" t="s">
        <v>31</v>
      </c>
      <c r="D53" t="s">
        <v>61</v>
      </c>
      <c r="E53" t="s">
        <v>361</v>
      </c>
      <c r="F53" s="107" t="s">
        <v>510</v>
      </c>
      <c r="G53" s="107"/>
      <c r="H53" s="107"/>
      <c r="I53"/>
    </row>
    <row r="54" spans="1:9" s="83" customFormat="1">
      <c r="A54" s="104">
        <v>5005076286</v>
      </c>
      <c r="B54" s="227" t="s">
        <v>592</v>
      </c>
      <c r="C54" t="s">
        <v>31</v>
      </c>
      <c r="D54" t="s">
        <v>61</v>
      </c>
      <c r="E54" t="s">
        <v>361</v>
      </c>
      <c r="F54" s="107" t="s">
        <v>511</v>
      </c>
      <c r="G54" s="107"/>
      <c r="H54" s="107"/>
      <c r="I54"/>
    </row>
    <row r="55" spans="1:9" s="83" customFormat="1">
      <c r="A55" s="104">
        <v>5005076287</v>
      </c>
      <c r="B55" s="227" t="s">
        <v>677</v>
      </c>
      <c r="C55" t="s">
        <v>31</v>
      </c>
      <c r="D55" t="s">
        <v>61</v>
      </c>
      <c r="E55" t="s">
        <v>361</v>
      </c>
      <c r="F55" s="107" t="s">
        <v>512</v>
      </c>
      <c r="G55" s="107"/>
      <c r="H55" s="107"/>
      <c r="I55"/>
    </row>
    <row r="56" spans="1:9" s="83" customFormat="1">
      <c r="A56" s="104">
        <v>5005076288</v>
      </c>
      <c r="B56" t="s">
        <v>193</v>
      </c>
      <c r="C56" t="s">
        <v>31</v>
      </c>
      <c r="D56" t="s">
        <v>60</v>
      </c>
      <c r="E56" t="s">
        <v>362</v>
      </c>
      <c r="F56" s="107" t="s">
        <v>513</v>
      </c>
      <c r="G56" s="107"/>
      <c r="H56" s="107"/>
      <c r="I56"/>
    </row>
    <row r="57" spans="1:9" s="83" customFormat="1">
      <c r="A57" s="104">
        <v>5005076289</v>
      </c>
      <c r="B57" t="s">
        <v>194</v>
      </c>
      <c r="C57" t="s">
        <v>31</v>
      </c>
      <c r="D57" t="s">
        <v>61</v>
      </c>
      <c r="E57" t="s">
        <v>361</v>
      </c>
      <c r="F57" s="107" t="s">
        <v>514</v>
      </c>
      <c r="G57" s="107"/>
      <c r="H57" s="107"/>
      <c r="I57"/>
    </row>
    <row r="58" spans="1:9" s="83" customFormat="1">
      <c r="A58" s="104">
        <v>5005076291</v>
      </c>
      <c r="B58" t="s">
        <v>409</v>
      </c>
      <c r="C58" t="s">
        <v>31</v>
      </c>
      <c r="D58" t="s">
        <v>61</v>
      </c>
      <c r="E58" t="s">
        <v>361</v>
      </c>
      <c r="F58" s="107" t="s">
        <v>515</v>
      </c>
      <c r="G58" s="107"/>
      <c r="H58" s="107"/>
      <c r="I58" t="s">
        <v>448</v>
      </c>
    </row>
    <row r="59" spans="1:9" s="83" customFormat="1">
      <c r="A59" s="104">
        <v>5005076292</v>
      </c>
      <c r="B59" t="s">
        <v>410</v>
      </c>
      <c r="C59" t="s">
        <v>31</v>
      </c>
      <c r="D59" t="s">
        <v>61</v>
      </c>
      <c r="E59" t="s">
        <v>361</v>
      </c>
      <c r="F59" s="107" t="s">
        <v>516</v>
      </c>
      <c r="G59" s="107"/>
      <c r="H59" s="107"/>
      <c r="I59" t="s">
        <v>448</v>
      </c>
    </row>
    <row r="60" spans="1:9" s="83" customFormat="1">
      <c r="A60" s="104">
        <v>5005076293</v>
      </c>
      <c r="B60" t="s">
        <v>411</v>
      </c>
      <c r="C60" t="s">
        <v>31</v>
      </c>
      <c r="D60" t="s">
        <v>61</v>
      </c>
      <c r="E60" t="s">
        <v>361</v>
      </c>
      <c r="F60" s="107" t="s">
        <v>517</v>
      </c>
      <c r="G60" s="107"/>
      <c r="H60" s="107"/>
      <c r="I60" t="s">
        <v>448</v>
      </c>
    </row>
    <row r="61" spans="1:9" s="83" customFormat="1">
      <c r="A61" s="104">
        <v>5005076294</v>
      </c>
      <c r="B61" t="s">
        <v>414</v>
      </c>
      <c r="C61" t="s">
        <v>31</v>
      </c>
      <c r="D61" t="s">
        <v>61</v>
      </c>
      <c r="E61" t="s">
        <v>361</v>
      </c>
      <c r="F61" s="107" t="s">
        <v>518</v>
      </c>
      <c r="G61" s="107"/>
      <c r="H61" s="107"/>
      <c r="I61" t="s">
        <v>448</v>
      </c>
    </row>
    <row r="62" spans="1:9" s="83" customFormat="1">
      <c r="A62" s="104">
        <v>5005086281</v>
      </c>
      <c r="B62" t="s">
        <v>195</v>
      </c>
      <c r="C62" t="s">
        <v>31</v>
      </c>
      <c r="D62" t="s">
        <v>44</v>
      </c>
      <c r="E62" t="s">
        <v>363</v>
      </c>
      <c r="F62" s="107" t="s">
        <v>519</v>
      </c>
      <c r="G62" s="107"/>
      <c r="H62" s="107"/>
      <c r="I62"/>
    </row>
    <row r="63" spans="1:9" s="83" customFormat="1">
      <c r="A63" s="104">
        <v>5005136281</v>
      </c>
      <c r="B63" t="s">
        <v>196</v>
      </c>
      <c r="C63" t="s">
        <v>31</v>
      </c>
      <c r="D63" t="s">
        <v>58</v>
      </c>
      <c r="E63" t="s">
        <v>364</v>
      </c>
      <c r="F63" s="107" t="s">
        <v>520</v>
      </c>
      <c r="G63" s="107"/>
      <c r="H63" s="107"/>
      <c r="I63"/>
    </row>
    <row r="64" spans="1:9" s="83" customFormat="1">
      <c r="A64" s="104">
        <v>5005246281</v>
      </c>
      <c r="B64" t="s">
        <v>197</v>
      </c>
      <c r="C64" t="s">
        <v>31</v>
      </c>
      <c r="D64" t="s">
        <v>98</v>
      </c>
      <c r="E64" t="s">
        <v>365</v>
      </c>
      <c r="F64" s="107" t="s">
        <v>521</v>
      </c>
      <c r="G64" s="107"/>
      <c r="H64" s="107"/>
      <c r="I64"/>
    </row>
    <row r="65" spans="1:9" s="83" customFormat="1">
      <c r="A65" s="104">
        <v>5005246282</v>
      </c>
      <c r="B65" t="s">
        <v>198</v>
      </c>
      <c r="C65" t="s">
        <v>31</v>
      </c>
      <c r="D65" t="s">
        <v>98</v>
      </c>
      <c r="E65" t="s">
        <v>365</v>
      </c>
      <c r="F65" s="107" t="s">
        <v>522</v>
      </c>
      <c r="G65" s="107"/>
      <c r="H65" s="107"/>
      <c r="I65"/>
    </row>
    <row r="66" spans="1:9" s="83" customFormat="1">
      <c r="A66" s="104">
        <v>5005246283</v>
      </c>
      <c r="B66" t="s">
        <v>199</v>
      </c>
      <c r="C66" t="s">
        <v>31</v>
      </c>
      <c r="D66" t="s">
        <v>98</v>
      </c>
      <c r="E66" t="s">
        <v>365</v>
      </c>
      <c r="F66" s="107" t="s">
        <v>523</v>
      </c>
      <c r="G66" s="107"/>
      <c r="H66" s="107"/>
      <c r="I66"/>
    </row>
    <row r="67" spans="1:9" s="83" customFormat="1">
      <c r="A67" s="104">
        <v>5005246284</v>
      </c>
      <c r="B67" t="s">
        <v>200</v>
      </c>
      <c r="C67" t="s">
        <v>31</v>
      </c>
      <c r="D67" t="s">
        <v>99</v>
      </c>
      <c r="E67" t="s">
        <v>366</v>
      </c>
      <c r="F67" s="107" t="s">
        <v>524</v>
      </c>
      <c r="G67" s="107"/>
      <c r="H67" s="107"/>
      <c r="I67"/>
    </row>
    <row r="68" spans="1:9" s="83" customFormat="1">
      <c r="A68" s="104">
        <v>5005216281</v>
      </c>
      <c r="B68" t="s">
        <v>201</v>
      </c>
      <c r="C68" t="s">
        <v>31</v>
      </c>
      <c r="D68" t="s">
        <v>51</v>
      </c>
      <c r="E68" t="s">
        <v>367</v>
      </c>
      <c r="F68" s="107" t="s">
        <v>525</v>
      </c>
      <c r="G68" s="107"/>
      <c r="H68" s="107"/>
      <c r="I68"/>
    </row>
    <row r="69" spans="1:9" s="83" customFormat="1">
      <c r="A69" s="104">
        <v>5005226281</v>
      </c>
      <c r="B69" t="s">
        <v>202</v>
      </c>
      <c r="C69" t="s">
        <v>31</v>
      </c>
      <c r="D69" t="s">
        <v>49</v>
      </c>
      <c r="E69" t="s">
        <v>368</v>
      </c>
      <c r="F69" s="107" t="s">
        <v>526</v>
      </c>
      <c r="G69" s="107"/>
      <c r="H69" s="107"/>
      <c r="I69"/>
    </row>
    <row r="70" spans="1:9" s="83" customFormat="1">
      <c r="A70" s="104">
        <v>5005236281</v>
      </c>
      <c r="B70" t="s">
        <v>203</v>
      </c>
      <c r="C70" t="s">
        <v>31</v>
      </c>
      <c r="D70" t="s">
        <v>47</v>
      </c>
      <c r="E70" t="s">
        <v>369</v>
      </c>
      <c r="F70" s="107" t="s">
        <v>527</v>
      </c>
      <c r="G70" s="107"/>
      <c r="H70" s="107"/>
      <c r="I70"/>
    </row>
    <row r="71" spans="1:9" s="83" customFormat="1">
      <c r="A71" s="104">
        <v>5005236282</v>
      </c>
      <c r="B71" t="s">
        <v>204</v>
      </c>
      <c r="C71" t="s">
        <v>31</v>
      </c>
      <c r="D71" t="s">
        <v>47</v>
      </c>
      <c r="E71" t="s">
        <v>369</v>
      </c>
      <c r="F71" s="107" t="s">
        <v>528</v>
      </c>
      <c r="G71" s="107"/>
      <c r="H71" s="107"/>
      <c r="I71"/>
    </row>
    <row r="72" spans="1:9" s="83" customFormat="1">
      <c r="A72" s="104">
        <v>5005246285</v>
      </c>
      <c r="B72" t="s">
        <v>205</v>
      </c>
      <c r="C72" t="s">
        <v>31</v>
      </c>
      <c r="D72" t="s">
        <v>50</v>
      </c>
      <c r="E72" t="s">
        <v>370</v>
      </c>
      <c r="F72" s="107" t="s">
        <v>529</v>
      </c>
      <c r="G72" s="107"/>
      <c r="H72" s="107"/>
      <c r="I72"/>
    </row>
    <row r="73" spans="1:9" s="83" customFormat="1">
      <c r="A73" s="104">
        <v>5005246286</v>
      </c>
      <c r="B73" t="s">
        <v>206</v>
      </c>
      <c r="C73" t="s">
        <v>31</v>
      </c>
      <c r="D73" t="s">
        <v>50</v>
      </c>
      <c r="E73" t="s">
        <v>370</v>
      </c>
      <c r="F73" s="107" t="s">
        <v>530</v>
      </c>
      <c r="G73" s="107"/>
      <c r="H73" s="107"/>
      <c r="I73"/>
    </row>
    <row r="74" spans="1:9" s="83" customFormat="1">
      <c r="A74" s="104">
        <v>5005246287</v>
      </c>
      <c r="B74" t="s">
        <v>207</v>
      </c>
      <c r="C74" t="s">
        <v>31</v>
      </c>
      <c r="D74" t="s">
        <v>50</v>
      </c>
      <c r="E74" t="s">
        <v>370</v>
      </c>
      <c r="F74" s="107" t="s">
        <v>531</v>
      </c>
      <c r="G74" s="107"/>
      <c r="H74" s="107"/>
      <c r="I74"/>
    </row>
    <row r="75" spans="1:9" s="83" customFormat="1">
      <c r="A75" s="104">
        <v>5005246288</v>
      </c>
      <c r="B75" t="s">
        <v>208</v>
      </c>
      <c r="C75" t="s">
        <v>31</v>
      </c>
      <c r="D75" t="s">
        <v>98</v>
      </c>
      <c r="E75" t="s">
        <v>365</v>
      </c>
      <c r="F75" s="107" t="s">
        <v>532</v>
      </c>
      <c r="G75" s="107"/>
      <c r="H75" s="107"/>
      <c r="I75"/>
    </row>
    <row r="76" spans="1:9" s="83" customFormat="1">
      <c r="A76" s="104">
        <v>5004086291</v>
      </c>
      <c r="B76" t="s">
        <v>209</v>
      </c>
      <c r="C76" t="s">
        <v>36</v>
      </c>
      <c r="D76" t="s">
        <v>42</v>
      </c>
      <c r="E76" t="s">
        <v>371</v>
      </c>
      <c r="F76" s="107" t="s">
        <v>533</v>
      </c>
      <c r="G76" s="107"/>
      <c r="H76" s="107"/>
      <c r="I76"/>
    </row>
    <row r="77" spans="1:9" s="83" customFormat="1">
      <c r="A77" s="104">
        <v>5004086293</v>
      </c>
      <c r="B77" t="s">
        <v>210</v>
      </c>
      <c r="C77" t="s">
        <v>36</v>
      </c>
      <c r="D77" t="s">
        <v>115</v>
      </c>
      <c r="E77" t="s">
        <v>358</v>
      </c>
      <c r="F77" s="107" t="s">
        <v>534</v>
      </c>
      <c r="G77" s="107"/>
      <c r="H77" s="107"/>
      <c r="I77"/>
    </row>
    <row r="78" spans="1:9" s="83" customFormat="1">
      <c r="A78" s="104">
        <v>5005116291</v>
      </c>
      <c r="B78" t="s">
        <v>211</v>
      </c>
      <c r="C78" t="s">
        <v>36</v>
      </c>
      <c r="D78" t="s">
        <v>56</v>
      </c>
      <c r="E78" t="s">
        <v>372</v>
      </c>
      <c r="F78" s="107" t="s">
        <v>535</v>
      </c>
      <c r="G78" s="107"/>
      <c r="H78" s="107"/>
      <c r="I78"/>
    </row>
    <row r="79" spans="1:9" s="83" customFormat="1">
      <c r="A79" s="104">
        <v>5005116292</v>
      </c>
      <c r="B79" t="s">
        <v>212</v>
      </c>
      <c r="C79" t="s">
        <v>36</v>
      </c>
      <c r="D79" t="s">
        <v>57</v>
      </c>
      <c r="E79" t="s">
        <v>373</v>
      </c>
      <c r="F79" s="107" t="s">
        <v>536</v>
      </c>
      <c r="G79" s="107"/>
      <c r="H79" s="107"/>
      <c r="I79"/>
    </row>
    <row r="80" spans="1:9" s="83" customFormat="1">
      <c r="A80" s="104">
        <v>5005136291</v>
      </c>
      <c r="B80" t="s">
        <v>213</v>
      </c>
      <c r="C80" t="s">
        <v>36</v>
      </c>
      <c r="D80" t="s">
        <v>58</v>
      </c>
      <c r="E80" t="s">
        <v>364</v>
      </c>
      <c r="F80" s="107" t="s">
        <v>537</v>
      </c>
      <c r="G80" s="107"/>
      <c r="H80" s="107"/>
      <c r="I80"/>
    </row>
    <row r="81" spans="1:9" s="83" customFormat="1">
      <c r="A81" s="104">
        <v>5005166291</v>
      </c>
      <c r="B81" t="s">
        <v>214</v>
      </c>
      <c r="C81" t="s">
        <v>36</v>
      </c>
      <c r="D81" t="s">
        <v>53</v>
      </c>
      <c r="E81" t="s">
        <v>374</v>
      </c>
      <c r="F81" s="107" t="s">
        <v>687</v>
      </c>
      <c r="G81" s="107"/>
      <c r="H81" s="107"/>
      <c r="I81"/>
    </row>
    <row r="82" spans="1:9" s="83" customFormat="1">
      <c r="A82" s="104">
        <v>5005186292</v>
      </c>
      <c r="B82" t="s">
        <v>215</v>
      </c>
      <c r="C82" t="s">
        <v>36</v>
      </c>
      <c r="D82" t="s">
        <v>48</v>
      </c>
      <c r="E82" t="s">
        <v>375</v>
      </c>
      <c r="F82" s="107" t="s">
        <v>538</v>
      </c>
      <c r="G82" s="107"/>
      <c r="H82" s="107"/>
      <c r="I82"/>
    </row>
    <row r="83" spans="1:9" s="83" customFormat="1">
      <c r="A83" s="104">
        <v>5005196373</v>
      </c>
      <c r="B83" t="s">
        <v>376</v>
      </c>
      <c r="C83" t="s">
        <v>151</v>
      </c>
      <c r="D83" t="s">
        <v>63</v>
      </c>
      <c r="E83" t="s">
        <v>377</v>
      </c>
      <c r="F83" s="107" t="s">
        <v>688</v>
      </c>
      <c r="G83" s="107">
        <v>5005196373</v>
      </c>
      <c r="H83" s="107">
        <v>5005196373</v>
      </c>
      <c r="I83" t="s">
        <v>352</v>
      </c>
    </row>
    <row r="84" spans="1:9" s="83" customFormat="1">
      <c r="A84" s="104">
        <v>5005196277</v>
      </c>
      <c r="B84" t="s">
        <v>378</v>
      </c>
      <c r="C84" t="s">
        <v>31</v>
      </c>
      <c r="D84" t="s">
        <v>63</v>
      </c>
      <c r="E84" t="s">
        <v>377</v>
      </c>
      <c r="F84" s="107" t="s">
        <v>689</v>
      </c>
      <c r="G84" s="107">
        <v>5005196277</v>
      </c>
      <c r="H84" s="107">
        <v>5005196277</v>
      </c>
      <c r="I84" t="s">
        <v>352</v>
      </c>
    </row>
    <row r="85" spans="1:9" s="83" customFormat="1">
      <c r="A85" s="104">
        <v>5005246291</v>
      </c>
      <c r="B85" t="s">
        <v>216</v>
      </c>
      <c r="C85" t="s">
        <v>36</v>
      </c>
      <c r="D85" t="s">
        <v>99</v>
      </c>
      <c r="E85" t="s">
        <v>366</v>
      </c>
      <c r="F85" s="107" t="s">
        <v>539</v>
      </c>
      <c r="G85" s="107"/>
      <c r="H85" s="107"/>
      <c r="I85"/>
    </row>
    <row r="86" spans="1:9" s="83" customFormat="1">
      <c r="A86" s="104">
        <v>5005246292</v>
      </c>
      <c r="B86" t="s">
        <v>217</v>
      </c>
      <c r="C86" t="s">
        <v>36</v>
      </c>
      <c r="D86" t="s">
        <v>64</v>
      </c>
      <c r="E86" t="s">
        <v>379</v>
      </c>
      <c r="F86" s="107" t="s">
        <v>540</v>
      </c>
      <c r="G86" s="107"/>
      <c r="H86" s="107"/>
      <c r="I86"/>
    </row>
    <row r="87" spans="1:9" s="83" customFormat="1">
      <c r="A87" s="104">
        <v>5005246294</v>
      </c>
      <c r="B87" t="s">
        <v>399</v>
      </c>
      <c r="C87" t="s">
        <v>36</v>
      </c>
      <c r="D87" t="s">
        <v>64</v>
      </c>
      <c r="E87" t="s">
        <v>379</v>
      </c>
      <c r="F87" s="107" t="s">
        <v>690</v>
      </c>
      <c r="G87" s="107"/>
      <c r="H87" s="107"/>
      <c r="I87" t="s">
        <v>449</v>
      </c>
    </row>
    <row r="88" spans="1:9" s="83" customFormat="1">
      <c r="A88" s="104">
        <v>5005256291</v>
      </c>
      <c r="B88" t="s">
        <v>218</v>
      </c>
      <c r="C88" t="s">
        <v>36</v>
      </c>
      <c r="D88" t="s">
        <v>62</v>
      </c>
      <c r="E88" t="s">
        <v>380</v>
      </c>
      <c r="F88" s="107" t="s">
        <v>541</v>
      </c>
      <c r="G88" s="107"/>
      <c r="H88" s="107"/>
      <c r="I88"/>
    </row>
    <row r="89" spans="1:9" s="83" customFormat="1">
      <c r="A89" s="104">
        <v>5101016174</v>
      </c>
      <c r="B89" t="s">
        <v>219</v>
      </c>
      <c r="C89" t="s">
        <v>132</v>
      </c>
      <c r="D89" t="s">
        <v>102</v>
      </c>
      <c r="E89" t="s">
        <v>12</v>
      </c>
      <c r="F89" s="107" t="s">
        <v>542</v>
      </c>
      <c r="G89" s="107"/>
      <c r="H89" s="107"/>
      <c r="I89"/>
    </row>
    <row r="90" spans="1:9" s="83" customFormat="1">
      <c r="A90" s="104">
        <v>5101016179</v>
      </c>
      <c r="B90" t="s">
        <v>220</v>
      </c>
      <c r="C90" t="s">
        <v>132</v>
      </c>
      <c r="D90" t="s">
        <v>43</v>
      </c>
      <c r="E90" t="s">
        <v>381</v>
      </c>
      <c r="F90" s="107" t="s">
        <v>543</v>
      </c>
      <c r="G90" s="107"/>
      <c r="H90" s="107"/>
      <c r="I90"/>
    </row>
    <row r="91" spans="1:9" s="83" customFormat="1">
      <c r="A91" s="104">
        <v>5101016187</v>
      </c>
      <c r="B91" t="s">
        <v>221</v>
      </c>
      <c r="C91" t="s">
        <v>132</v>
      </c>
      <c r="D91" t="s">
        <v>117</v>
      </c>
      <c r="E91" t="s">
        <v>382</v>
      </c>
      <c r="F91" s="107" t="s">
        <v>544</v>
      </c>
      <c r="G91" s="107"/>
      <c r="H91" s="107"/>
      <c r="I91"/>
    </row>
    <row r="92" spans="1:9" s="83" customFormat="1">
      <c r="A92" s="104">
        <v>5101016189</v>
      </c>
      <c r="B92" t="s">
        <v>383</v>
      </c>
      <c r="C92" t="s">
        <v>34</v>
      </c>
      <c r="D92" t="s">
        <v>116</v>
      </c>
      <c r="E92" t="s">
        <v>14</v>
      </c>
      <c r="F92" s="107" t="s">
        <v>691</v>
      </c>
      <c r="G92" s="107"/>
      <c r="H92" s="107"/>
      <c r="I92" t="s">
        <v>352</v>
      </c>
    </row>
    <row r="93" spans="1:9" s="83" customFormat="1">
      <c r="A93" s="104">
        <v>6004046511</v>
      </c>
      <c r="B93" t="s">
        <v>222</v>
      </c>
      <c r="C93" t="s">
        <v>128</v>
      </c>
      <c r="D93" t="s">
        <v>41</v>
      </c>
      <c r="E93" t="s">
        <v>149</v>
      </c>
      <c r="F93" s="107"/>
      <c r="G93" s="107"/>
      <c r="H93" s="107">
        <v>6004046511</v>
      </c>
      <c r="I93"/>
    </row>
    <row r="94" spans="1:9" s="83" customFormat="1">
      <c r="A94" s="104">
        <v>6003036412</v>
      </c>
      <c r="B94" t="s">
        <v>223</v>
      </c>
      <c r="C94" t="s">
        <v>129</v>
      </c>
      <c r="D94" t="s">
        <v>60</v>
      </c>
      <c r="E94" t="s">
        <v>362</v>
      </c>
      <c r="F94" s="107"/>
      <c r="G94" s="107"/>
      <c r="H94" s="107">
        <v>6003036412</v>
      </c>
      <c r="I94"/>
    </row>
    <row r="95" spans="1:9" s="83" customFormat="1">
      <c r="A95" s="104">
        <v>6005016413</v>
      </c>
      <c r="B95" t="s">
        <v>224</v>
      </c>
      <c r="C95" t="s">
        <v>130</v>
      </c>
      <c r="D95" t="s">
        <v>55</v>
      </c>
      <c r="E95" t="s">
        <v>353</v>
      </c>
      <c r="F95" s="107"/>
      <c r="G95" s="107"/>
      <c r="H95" s="107">
        <v>6005016413</v>
      </c>
      <c r="I95"/>
    </row>
    <row r="96" spans="1:9" s="83" customFormat="1">
      <c r="A96" s="104">
        <v>6005016414</v>
      </c>
      <c r="B96" t="s">
        <v>403</v>
      </c>
      <c r="C96" t="s">
        <v>130</v>
      </c>
      <c r="D96" t="s">
        <v>104</v>
      </c>
      <c r="E96" t="s">
        <v>354</v>
      </c>
      <c r="F96" s="107"/>
      <c r="G96" s="107">
        <v>6005016414</v>
      </c>
      <c r="H96" s="107">
        <v>6005016414</v>
      </c>
      <c r="I96" t="s">
        <v>448</v>
      </c>
    </row>
    <row r="97" spans="1:9" s="83" customFormat="1">
      <c r="A97" s="104">
        <v>6006016521</v>
      </c>
      <c r="B97" t="s">
        <v>225</v>
      </c>
      <c r="C97" t="s">
        <v>21</v>
      </c>
      <c r="D97" t="s">
        <v>45</v>
      </c>
      <c r="E97" t="s">
        <v>356</v>
      </c>
      <c r="F97" s="107"/>
      <c r="G97" s="107"/>
      <c r="H97" s="107">
        <v>6006016521</v>
      </c>
      <c r="I97"/>
    </row>
    <row r="98" spans="1:9" s="83" customFormat="1">
      <c r="A98" s="104">
        <v>6006016522</v>
      </c>
      <c r="B98" t="s">
        <v>133</v>
      </c>
      <c r="C98" t="s">
        <v>21</v>
      </c>
      <c r="D98" t="s">
        <v>45</v>
      </c>
      <c r="E98" t="s">
        <v>356</v>
      </c>
      <c r="F98" s="107"/>
      <c r="G98" s="107"/>
      <c r="H98" s="107">
        <v>6006016522</v>
      </c>
      <c r="I98"/>
    </row>
    <row r="99" spans="1:9" s="83" customFormat="1">
      <c r="A99" s="104">
        <v>6006016523</v>
      </c>
      <c r="B99" t="s">
        <v>134</v>
      </c>
      <c r="C99" t="s">
        <v>21</v>
      </c>
      <c r="D99" t="s">
        <v>45</v>
      </c>
      <c r="E99" t="s">
        <v>356</v>
      </c>
      <c r="F99" s="107"/>
      <c r="G99" s="107"/>
      <c r="H99" s="107">
        <v>6006016523</v>
      </c>
      <c r="I99"/>
    </row>
    <row r="100" spans="1:9" s="83" customFormat="1">
      <c r="A100" s="104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7"/>
      <c r="G100" s="107"/>
      <c r="H100" s="107">
        <v>6006016524</v>
      </c>
      <c r="I100"/>
    </row>
    <row r="101" spans="1:9" s="83" customFormat="1">
      <c r="A101" s="104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7"/>
      <c r="G101" s="107"/>
      <c r="H101" s="107">
        <v>6006016525</v>
      </c>
      <c r="I101"/>
    </row>
    <row r="102" spans="1:9" s="83" customFormat="1">
      <c r="A102" s="104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7"/>
      <c r="G102" s="107"/>
      <c r="H102" s="107">
        <v>6006016526</v>
      </c>
      <c r="I102"/>
    </row>
    <row r="103" spans="1:9" s="83" customFormat="1">
      <c r="A103" s="104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7"/>
      <c r="G103" s="107"/>
      <c r="H103" s="107">
        <v>6006016527</v>
      </c>
      <c r="I103"/>
    </row>
    <row r="104" spans="1:9" s="83" customFormat="1">
      <c r="A104" s="104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7"/>
      <c r="G104" s="107"/>
      <c r="H104" s="107">
        <v>6006016528</v>
      </c>
      <c r="I104"/>
    </row>
    <row r="105" spans="1:9" s="83" customFormat="1">
      <c r="A105" s="104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7"/>
      <c r="G105" s="107"/>
      <c r="H105" s="107">
        <v>6006016529</v>
      </c>
      <c r="I105"/>
    </row>
    <row r="106" spans="1:9" s="83" customFormat="1">
      <c r="A106" s="104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7"/>
      <c r="G106" s="107"/>
      <c r="H106" s="107">
        <v>6006016530</v>
      </c>
      <c r="I106"/>
    </row>
    <row r="107" spans="1:9" s="83" customFormat="1">
      <c r="A107" s="104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7"/>
      <c r="G107" s="107"/>
      <c r="H107" s="107">
        <v>6006016531</v>
      </c>
      <c r="I107"/>
    </row>
    <row r="108" spans="1:9" s="83" customFormat="1">
      <c r="A108" s="104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7"/>
      <c r="G108" s="107"/>
      <c r="H108" s="107">
        <v>6006016532</v>
      </c>
      <c r="I108"/>
    </row>
    <row r="109" spans="1:9" s="83" customFormat="1">
      <c r="A109" s="104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7"/>
      <c r="G109" s="107"/>
      <c r="H109" s="107">
        <v>6006016533</v>
      </c>
      <c r="I109"/>
    </row>
    <row r="110" spans="1:9" s="83" customFormat="1">
      <c r="A110" s="104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7"/>
      <c r="G110" s="107"/>
      <c r="H110" s="107">
        <v>6006016534</v>
      </c>
      <c r="I110"/>
    </row>
    <row r="111" spans="1:9" s="83" customFormat="1">
      <c r="A111" s="104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7"/>
      <c r="G111" s="107"/>
      <c r="H111" s="107">
        <v>6006016535</v>
      </c>
      <c r="I111"/>
    </row>
    <row r="112" spans="1:9" s="83" customFormat="1">
      <c r="A112" s="104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7"/>
      <c r="G112" s="107"/>
      <c r="H112" s="107">
        <v>6006016536</v>
      </c>
      <c r="I112"/>
    </row>
    <row r="113" spans="1:9" s="83" customFormat="1">
      <c r="A113" s="104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7"/>
      <c r="G113" s="107"/>
      <c r="H113" s="107">
        <v>6006016537</v>
      </c>
      <c r="I113"/>
    </row>
    <row r="114" spans="1:9" s="83" customFormat="1">
      <c r="A114" s="104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7"/>
      <c r="G114" s="107"/>
      <c r="H114" s="107">
        <v>6006016538</v>
      </c>
      <c r="I114"/>
    </row>
    <row r="115" spans="1:9" s="83" customFormat="1">
      <c r="A115" s="104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7"/>
      <c r="G115" s="107"/>
      <c r="H115" s="107">
        <v>6006016539</v>
      </c>
      <c r="I115"/>
    </row>
    <row r="116" spans="1:9" s="83" customFormat="1">
      <c r="A116" s="104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7"/>
      <c r="G116" s="107"/>
      <c r="H116" s="107">
        <v>6006016540</v>
      </c>
      <c r="I116"/>
    </row>
    <row r="117" spans="1:9" s="83" customFormat="1">
      <c r="A117" s="104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7"/>
      <c r="G117" s="107"/>
      <c r="H117" s="107">
        <v>6005046541</v>
      </c>
      <c r="I117"/>
    </row>
    <row r="118" spans="1:9" s="83" customFormat="1">
      <c r="A118" s="104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7"/>
      <c r="G118" s="107"/>
      <c r="H118" s="107">
        <v>6005046542</v>
      </c>
      <c r="I118"/>
    </row>
    <row r="119" spans="1:9" s="83" customFormat="1">
      <c r="A119" s="104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7"/>
      <c r="G119" s="107"/>
      <c r="H119" s="107">
        <v>6003016541</v>
      </c>
      <c r="I119"/>
    </row>
    <row r="120" spans="1:9" s="83" customFormat="1">
      <c r="A120" s="104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7"/>
      <c r="G120" s="107"/>
      <c r="H120" s="107">
        <v>6003026541</v>
      </c>
      <c r="I120"/>
    </row>
    <row r="121" spans="1:9" s="83" customFormat="1">
      <c r="A121" s="104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7"/>
      <c r="G121" s="107"/>
      <c r="H121" s="107">
        <v>6003036541</v>
      </c>
      <c r="I121"/>
    </row>
    <row r="122" spans="1:9" s="83" customFormat="1">
      <c r="A122" s="104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7"/>
      <c r="G122" s="107"/>
      <c r="H122" s="107">
        <v>6003036542</v>
      </c>
      <c r="I122"/>
    </row>
    <row r="123" spans="1:9" s="83" customFormat="1">
      <c r="A123" s="104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7" t="s">
        <v>545</v>
      </c>
      <c r="G123" s="107"/>
      <c r="H123" s="107">
        <v>6003036543</v>
      </c>
      <c r="I123"/>
    </row>
    <row r="124" spans="1:9" s="83" customFormat="1">
      <c r="A124" s="104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7" t="s">
        <v>546</v>
      </c>
      <c r="G124" s="107">
        <v>6003036544</v>
      </c>
      <c r="H124" s="107">
        <v>6003036544</v>
      </c>
      <c r="I124"/>
    </row>
    <row r="125" spans="1:9" s="83" customFormat="1">
      <c r="A125" s="104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7"/>
      <c r="G125" s="107"/>
      <c r="H125" s="107">
        <v>6003036545</v>
      </c>
      <c r="I125"/>
    </row>
    <row r="126" spans="1:9" s="83" customFormat="1">
      <c r="A126" s="104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7"/>
      <c r="G126" s="107"/>
      <c r="H126" s="107">
        <v>6003036546</v>
      </c>
      <c r="I126"/>
    </row>
    <row r="127" spans="1:9" s="83" customFormat="1">
      <c r="A127" s="104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7"/>
      <c r="G127" s="107"/>
      <c r="H127" s="107">
        <v>6003036547</v>
      </c>
      <c r="I127"/>
    </row>
    <row r="128" spans="1:9" s="83" customFormat="1">
      <c r="A128" s="104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7"/>
      <c r="G128" s="107"/>
      <c r="H128" s="107">
        <v>6003036548</v>
      </c>
      <c r="I128"/>
    </row>
    <row r="129" spans="1:9" s="83" customFormat="1">
      <c r="A129" s="104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7"/>
      <c r="G129" s="107"/>
      <c r="H129" s="107">
        <v>6003036549</v>
      </c>
      <c r="I129"/>
    </row>
    <row r="130" spans="1:9" s="83" customFormat="1">
      <c r="A130" s="104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7"/>
      <c r="G130" s="107"/>
      <c r="H130" s="107">
        <v>6003036550</v>
      </c>
      <c r="I130"/>
    </row>
    <row r="131" spans="1:9" s="83" customFormat="1">
      <c r="A131" s="104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7"/>
      <c r="G131" s="107"/>
      <c r="H131" s="107">
        <v>6003036551</v>
      </c>
      <c r="I131"/>
    </row>
    <row r="132" spans="1:9" s="83" customFormat="1">
      <c r="A132" s="104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7" t="s">
        <v>547</v>
      </c>
      <c r="G132" s="107"/>
      <c r="H132" s="107">
        <v>6003036552</v>
      </c>
      <c r="I132"/>
    </row>
    <row r="133" spans="1:9" s="83" customFormat="1">
      <c r="A133" s="104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7" t="s">
        <v>548</v>
      </c>
      <c r="G133" s="107">
        <v>6003036554</v>
      </c>
      <c r="H133" s="107">
        <v>6003036554</v>
      </c>
      <c r="I133" t="s">
        <v>448</v>
      </c>
    </row>
    <row r="134" spans="1:9" s="83" customFormat="1">
      <c r="A134" s="104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7" t="s">
        <v>549</v>
      </c>
      <c r="G134" s="107">
        <v>6003036555</v>
      </c>
      <c r="H134" s="107">
        <v>6003036555</v>
      </c>
      <c r="I134" t="s">
        <v>448</v>
      </c>
    </row>
    <row r="135" spans="1:9" s="83" customFormat="1">
      <c r="A135" s="104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7" t="s">
        <v>550</v>
      </c>
      <c r="G135" s="107">
        <v>6003036556</v>
      </c>
      <c r="H135" s="107">
        <v>6003036556</v>
      </c>
      <c r="I135" t="s">
        <v>448</v>
      </c>
    </row>
    <row r="136" spans="1:9" s="83" customFormat="1">
      <c r="A136" s="104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7" t="s">
        <v>551</v>
      </c>
      <c r="G136" s="107">
        <v>6003036557</v>
      </c>
      <c r="H136" s="107">
        <v>6003036557</v>
      </c>
      <c r="I136" t="s">
        <v>448</v>
      </c>
    </row>
    <row r="137" spans="1:9" s="83" customFormat="1">
      <c r="A137" s="104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7"/>
      <c r="G137" s="107"/>
      <c r="H137" s="107">
        <v>6004096541</v>
      </c>
      <c r="I137"/>
    </row>
    <row r="138" spans="1:9" s="83" customFormat="1">
      <c r="A138" s="104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7"/>
      <c r="G138" s="107"/>
      <c r="H138" s="107">
        <v>6005056541</v>
      </c>
      <c r="I138"/>
    </row>
    <row r="139" spans="1:9" s="83" customFormat="1">
      <c r="A139" s="104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7"/>
      <c r="G139" s="107"/>
      <c r="H139" s="107">
        <v>6005056542</v>
      </c>
      <c r="I139"/>
    </row>
    <row r="140" spans="1:9" s="83" customFormat="1">
      <c r="A140" s="104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7"/>
      <c r="G140" s="107"/>
      <c r="H140" s="107">
        <v>6005056543</v>
      </c>
      <c r="I140"/>
    </row>
    <row r="141" spans="1:9" s="83" customFormat="1">
      <c r="A141" s="104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7"/>
      <c r="G141" s="107"/>
      <c r="H141" s="107">
        <v>6005136541</v>
      </c>
      <c r="I141"/>
    </row>
    <row r="142" spans="1:9" s="83" customFormat="1">
      <c r="A142" s="104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7"/>
      <c r="G142" s="107"/>
      <c r="H142" s="107">
        <v>6005146541</v>
      </c>
      <c r="I142"/>
    </row>
    <row r="143" spans="1:9" s="83" customFormat="1">
      <c r="A143" s="104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7"/>
      <c r="G143" s="107"/>
      <c r="H143" s="107">
        <v>6005146542</v>
      </c>
      <c r="I143"/>
    </row>
    <row r="144" spans="1:9" s="83" customFormat="1">
      <c r="A144" s="104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7"/>
      <c r="G144" s="107"/>
      <c r="H144" s="107">
        <v>6005146543</v>
      </c>
      <c r="I144"/>
    </row>
    <row r="145" spans="1:9" s="83" customFormat="1">
      <c r="A145" s="104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7"/>
      <c r="G145" s="107"/>
      <c r="H145" s="107">
        <v>6005156541</v>
      </c>
      <c r="I145"/>
    </row>
    <row r="146" spans="1:9" s="83" customFormat="1">
      <c r="A146" s="104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7"/>
      <c r="G146" s="107"/>
      <c r="H146" s="107">
        <v>6005206541</v>
      </c>
      <c r="I146"/>
    </row>
    <row r="147" spans="1:9" s="83" customFormat="1">
      <c r="A147" s="104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7"/>
      <c r="G147" s="107"/>
      <c r="H147" s="107">
        <v>6005216541</v>
      </c>
      <c r="I147"/>
    </row>
    <row r="148" spans="1:9" s="83" customFormat="1">
      <c r="A148" s="104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7"/>
      <c r="G148" s="107"/>
      <c r="H148" s="107">
        <v>6005226541</v>
      </c>
      <c r="I148"/>
    </row>
    <row r="149" spans="1:9" s="83" customFormat="1">
      <c r="A149" s="104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7"/>
      <c r="G149" s="107"/>
      <c r="H149" s="107">
        <v>6005236541</v>
      </c>
      <c r="I149"/>
    </row>
    <row r="150" spans="1:9" s="83" customFormat="1">
      <c r="A150" s="104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7"/>
      <c r="G150" s="107"/>
      <c r="H150" s="107">
        <v>6005246541</v>
      </c>
      <c r="I150"/>
    </row>
    <row r="151" spans="1:9" s="83" customFormat="1">
      <c r="A151" s="104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7" t="s">
        <v>552</v>
      </c>
      <c r="G151" s="107">
        <v>6005246542</v>
      </c>
      <c r="H151" s="107">
        <v>6005246542</v>
      </c>
      <c r="I151"/>
    </row>
    <row r="152" spans="1:9" s="83" customFormat="1">
      <c r="A152" s="104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7" t="s">
        <v>553</v>
      </c>
      <c r="G152" s="107">
        <v>6005246543</v>
      </c>
      <c r="H152" s="107">
        <v>6005246543</v>
      </c>
      <c r="I152"/>
    </row>
    <row r="153" spans="1:9" s="83" customFormat="1">
      <c r="A153" s="104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7"/>
      <c r="G153" s="107"/>
      <c r="H153" s="107">
        <v>6005246544</v>
      </c>
      <c r="I153"/>
    </row>
    <row r="154" spans="1:9" s="83" customFormat="1">
      <c r="A154" s="104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7"/>
      <c r="G154" s="107"/>
      <c r="H154" s="107">
        <v>6004086551</v>
      </c>
      <c r="I154"/>
    </row>
    <row r="155" spans="1:9" s="83" customFormat="1">
      <c r="A155" s="104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7"/>
      <c r="G155" s="107"/>
      <c r="H155" s="107">
        <v>6004086553</v>
      </c>
      <c r="I155"/>
    </row>
    <row r="156" spans="1:9" s="83" customFormat="1">
      <c r="A156" s="104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7"/>
      <c r="G156" s="107"/>
      <c r="H156" s="107">
        <v>6005116551</v>
      </c>
      <c r="I156"/>
    </row>
    <row r="157" spans="1:9" s="83" customFormat="1">
      <c r="A157" s="104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7"/>
      <c r="G157" s="107"/>
      <c r="H157" s="107">
        <v>6005116552</v>
      </c>
      <c r="I157"/>
    </row>
    <row r="158" spans="1:9" s="83" customFormat="1">
      <c r="A158" s="104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7"/>
      <c r="G158" s="107"/>
      <c r="H158" s="107">
        <v>6005136551</v>
      </c>
      <c r="I158"/>
    </row>
    <row r="159" spans="1:9" s="83" customFormat="1">
      <c r="A159" s="104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7"/>
      <c r="G159" s="107"/>
      <c r="H159" s="107">
        <v>6005166551</v>
      </c>
      <c r="I159"/>
    </row>
    <row r="160" spans="1:9" s="83" customFormat="1">
      <c r="A160" s="104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7"/>
      <c r="G160" s="107"/>
      <c r="H160" s="107">
        <v>6005186552</v>
      </c>
      <c r="I160"/>
    </row>
    <row r="161" spans="1:9" s="83" customFormat="1">
      <c r="A161" s="104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7"/>
      <c r="G161" s="107"/>
      <c r="H161" s="107">
        <v>6005246551</v>
      </c>
      <c r="I161"/>
    </row>
    <row r="162" spans="1:9" s="83" customFormat="1">
      <c r="A162" s="104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7"/>
      <c r="G162" s="107"/>
      <c r="H162" s="107">
        <v>6005246552</v>
      </c>
      <c r="I162"/>
    </row>
    <row r="163" spans="1:9" s="83" customFormat="1">
      <c r="A163" s="104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7"/>
      <c r="G163" s="107"/>
      <c r="H163" s="107">
        <v>6005246553</v>
      </c>
      <c r="I163"/>
    </row>
    <row r="164" spans="1:9" s="83" customFormat="1">
      <c r="A164" s="104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7"/>
      <c r="G164" s="107">
        <v>6004046421</v>
      </c>
      <c r="H164" s="107"/>
      <c r="I164"/>
    </row>
    <row r="165" spans="1:9" s="83" customFormat="1">
      <c r="A165" s="104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7"/>
      <c r="G165" s="107">
        <v>6005016422</v>
      </c>
      <c r="H165" s="107"/>
      <c r="I165" t="s">
        <v>447</v>
      </c>
    </row>
    <row r="166" spans="1:9" s="83" customFormat="1">
      <c r="A166" s="104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7"/>
      <c r="G166" s="107">
        <v>6005016423</v>
      </c>
      <c r="H166" s="107">
        <v>6005016423</v>
      </c>
      <c r="I166" t="s">
        <v>448</v>
      </c>
    </row>
    <row r="167" spans="1:9" s="83" customFormat="1">
      <c r="A167" s="104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7"/>
      <c r="G167" s="107">
        <v>6005126423</v>
      </c>
      <c r="H167" s="107"/>
      <c r="I167"/>
    </row>
    <row r="168" spans="1:9" s="83" customFormat="1">
      <c r="A168" s="104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7"/>
      <c r="G168" s="107">
        <v>6006016611</v>
      </c>
      <c r="H168" s="107"/>
      <c r="I168"/>
    </row>
    <row r="169" spans="1:9" s="83" customFormat="1">
      <c r="A169" s="104">
        <v>6006016612</v>
      </c>
      <c r="B169" t="s">
        <v>2</v>
      </c>
      <c r="C169" t="s">
        <v>21</v>
      </c>
      <c r="D169" t="s">
        <v>45</v>
      </c>
      <c r="E169" t="s">
        <v>356</v>
      </c>
      <c r="F169" s="107"/>
      <c r="G169" s="107">
        <v>6006016612</v>
      </c>
      <c r="H169" s="107"/>
      <c r="I169"/>
    </row>
    <row r="170" spans="1:9" s="83" customFormat="1">
      <c r="A170" s="104">
        <v>6006016613</v>
      </c>
      <c r="B170" t="s">
        <v>3</v>
      </c>
      <c r="C170" t="s">
        <v>21</v>
      </c>
      <c r="D170" t="s">
        <v>45</v>
      </c>
      <c r="E170" t="s">
        <v>356</v>
      </c>
      <c r="F170" s="107"/>
      <c r="G170" s="107">
        <v>6006016613</v>
      </c>
      <c r="H170" s="107"/>
      <c r="I170"/>
    </row>
    <row r="171" spans="1:9" s="83" customFormat="1">
      <c r="A171" s="104">
        <v>6006016614</v>
      </c>
      <c r="B171" t="s">
        <v>4</v>
      </c>
      <c r="C171" t="s">
        <v>21</v>
      </c>
      <c r="D171" t="s">
        <v>45</v>
      </c>
      <c r="E171" t="s">
        <v>356</v>
      </c>
      <c r="F171" s="107"/>
      <c r="G171" s="107">
        <v>6006016614</v>
      </c>
      <c r="H171" s="107"/>
      <c r="I171"/>
    </row>
    <row r="172" spans="1:9" s="83" customFormat="1">
      <c r="A172" s="104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7"/>
      <c r="G172" s="107">
        <v>6006016615</v>
      </c>
      <c r="H172" s="107"/>
      <c r="I172"/>
    </row>
    <row r="173" spans="1:9" s="83" customFormat="1">
      <c r="A173" s="104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7"/>
      <c r="G173" s="107">
        <v>6006016616</v>
      </c>
      <c r="H173" s="107"/>
      <c r="I173"/>
    </row>
    <row r="174" spans="1:9" s="83" customFormat="1">
      <c r="A174" s="104">
        <v>6006016617</v>
      </c>
      <c r="B174" t="s">
        <v>5</v>
      </c>
      <c r="C174" t="s">
        <v>21</v>
      </c>
      <c r="D174" t="s">
        <v>45</v>
      </c>
      <c r="E174" t="s">
        <v>356</v>
      </c>
      <c r="F174" s="107"/>
      <c r="G174" s="107">
        <v>6006016617</v>
      </c>
      <c r="H174" s="107"/>
      <c r="I174"/>
    </row>
    <row r="175" spans="1:9" s="83" customFormat="1">
      <c r="A175" s="104">
        <v>6006016618</v>
      </c>
      <c r="B175" t="s">
        <v>6</v>
      </c>
      <c r="C175" t="s">
        <v>21</v>
      </c>
      <c r="D175" t="s">
        <v>45</v>
      </c>
      <c r="E175" t="s">
        <v>356</v>
      </c>
      <c r="F175" s="107"/>
      <c r="G175" s="107">
        <v>6006016618</v>
      </c>
      <c r="H175" s="107"/>
      <c r="I175"/>
    </row>
    <row r="176" spans="1:9" s="83" customFormat="1">
      <c r="A176" s="104">
        <v>6006016619</v>
      </c>
      <c r="B176" t="s">
        <v>7</v>
      </c>
      <c r="C176" t="s">
        <v>21</v>
      </c>
      <c r="D176" t="s">
        <v>45</v>
      </c>
      <c r="E176" t="s">
        <v>356</v>
      </c>
      <c r="F176" s="107"/>
      <c r="G176" s="107">
        <v>6006016619</v>
      </c>
      <c r="H176" s="107"/>
      <c r="I176"/>
    </row>
    <row r="177" spans="1:9" s="83" customFormat="1">
      <c r="A177" s="104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7"/>
      <c r="G177" s="107">
        <v>6006016620</v>
      </c>
      <c r="H177" s="107"/>
      <c r="I177"/>
    </row>
    <row r="178" spans="1:9" s="83" customFormat="1">
      <c r="A178" s="104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7"/>
      <c r="G178" s="107">
        <v>6006016621</v>
      </c>
      <c r="H178" s="107"/>
      <c r="I178"/>
    </row>
    <row r="179" spans="1:9" s="83" customFormat="1">
      <c r="A179" s="104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7"/>
      <c r="G179" s="107">
        <v>6006016622</v>
      </c>
      <c r="H179" s="107"/>
      <c r="I179"/>
    </row>
    <row r="180" spans="1:9" s="83" customFormat="1">
      <c r="A180" s="104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7"/>
      <c r="G180" s="107">
        <v>6006016623</v>
      </c>
      <c r="H180" s="107"/>
      <c r="I180"/>
    </row>
    <row r="181" spans="1:9" s="83" customFormat="1">
      <c r="A181" s="104">
        <v>6006016624</v>
      </c>
      <c r="B181" t="s">
        <v>8</v>
      </c>
      <c r="C181" t="s">
        <v>21</v>
      </c>
      <c r="D181" t="s">
        <v>45</v>
      </c>
      <c r="E181" t="s">
        <v>356</v>
      </c>
      <c r="F181" s="107"/>
      <c r="G181" s="107">
        <v>6006016624</v>
      </c>
      <c r="H181" s="107"/>
      <c r="I181"/>
    </row>
    <row r="182" spans="1:9" s="83" customFormat="1">
      <c r="A182" s="104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7"/>
      <c r="G182" s="107">
        <v>6006016625</v>
      </c>
      <c r="H182" s="107"/>
      <c r="I182"/>
    </row>
    <row r="183" spans="1:9" s="83" customFormat="1">
      <c r="A183" s="104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7"/>
      <c r="G183" s="107">
        <v>6006016626</v>
      </c>
      <c r="H183" s="107"/>
      <c r="I183"/>
    </row>
    <row r="184" spans="1:9" s="83" customFormat="1">
      <c r="A184" s="104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7"/>
      <c r="G184" s="107">
        <v>6006016627</v>
      </c>
      <c r="H184" s="107"/>
      <c r="I184"/>
    </row>
    <row r="185" spans="1:9" s="83" customFormat="1">
      <c r="A185" s="104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7"/>
      <c r="G185" s="107">
        <v>6006016628</v>
      </c>
      <c r="H185" s="107"/>
      <c r="I185"/>
    </row>
    <row r="186" spans="1:9" s="83" customFormat="1">
      <c r="A186" s="104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7"/>
      <c r="G186" s="107">
        <v>6006016629</v>
      </c>
      <c r="H186" s="107"/>
      <c r="I186"/>
    </row>
    <row r="187" spans="1:9" s="83" customFormat="1">
      <c r="A187" s="104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7"/>
      <c r="G187" s="107">
        <v>6005186425</v>
      </c>
      <c r="H187" s="107"/>
      <c r="I187"/>
    </row>
    <row r="188" spans="1:9" s="83" customFormat="1">
      <c r="A188" s="104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7"/>
      <c r="G188" s="107">
        <v>6005186429</v>
      </c>
      <c r="H188" s="107"/>
      <c r="I188"/>
    </row>
    <row r="189" spans="1:9" s="83" customFormat="1">
      <c r="A189" s="104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7"/>
      <c r="G189" s="107">
        <v>6005266426</v>
      </c>
      <c r="H189" s="107"/>
      <c r="I189"/>
    </row>
    <row r="190" spans="1:9" s="83" customFormat="1">
      <c r="A190" s="104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7"/>
      <c r="G190" s="107">
        <v>6004096621</v>
      </c>
      <c r="H190" s="107"/>
      <c r="I190"/>
    </row>
    <row r="191" spans="1:9" s="83" customFormat="1">
      <c r="A191" s="104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7"/>
      <c r="G191" s="107">
        <v>6005046622</v>
      </c>
      <c r="H191" s="107"/>
      <c r="I191"/>
    </row>
    <row r="192" spans="1:9" s="83" customFormat="1">
      <c r="A192" s="104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7"/>
      <c r="G192" s="107">
        <v>6005046635</v>
      </c>
      <c r="H192" s="107"/>
      <c r="I192"/>
    </row>
    <row r="193" spans="1:9" s="83" customFormat="1">
      <c r="A193" s="104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7"/>
      <c r="G193" s="107">
        <v>6005056623</v>
      </c>
      <c r="H193" s="107"/>
      <c r="I193"/>
    </row>
    <row r="194" spans="1:9" s="83" customFormat="1">
      <c r="A194" s="104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7"/>
      <c r="G194" s="107">
        <v>6005056624</v>
      </c>
      <c r="H194" s="107"/>
      <c r="I194"/>
    </row>
    <row r="195" spans="1:9" s="83" customFormat="1">
      <c r="A195" s="104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7"/>
      <c r="G195" s="107">
        <v>6005056625</v>
      </c>
      <c r="H195" s="107"/>
      <c r="I195"/>
    </row>
    <row r="196" spans="1:9" s="83" customFormat="1">
      <c r="A196" s="104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7"/>
      <c r="G196" s="107">
        <v>6005136626</v>
      </c>
      <c r="H196" s="107"/>
      <c r="I196"/>
    </row>
    <row r="197" spans="1:9" s="83" customFormat="1">
      <c r="A197" s="104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7"/>
      <c r="G197" s="107">
        <v>6005146627</v>
      </c>
      <c r="H197" s="107"/>
      <c r="I197"/>
    </row>
    <row r="198" spans="1:9" s="83" customFormat="1">
      <c r="A198" s="104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7"/>
      <c r="G198" s="107">
        <v>6005146628</v>
      </c>
      <c r="H198" s="107"/>
      <c r="I198"/>
    </row>
    <row r="199" spans="1:9" s="83" customFormat="1">
      <c r="A199" s="104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7"/>
      <c r="G199" s="107">
        <v>6005146629</v>
      </c>
      <c r="H199" s="107"/>
      <c r="I199"/>
    </row>
    <row r="200" spans="1:9" s="83" customFormat="1">
      <c r="A200" s="104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7"/>
      <c r="G200" s="107">
        <v>6005156630</v>
      </c>
      <c r="H200" s="107"/>
      <c r="I200"/>
    </row>
    <row r="201" spans="1:9" s="83" customFormat="1">
      <c r="A201" s="104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7"/>
      <c r="G201" s="107">
        <v>6005206631</v>
      </c>
      <c r="H201" s="107"/>
      <c r="I201"/>
    </row>
    <row r="202" spans="1:9" s="83" customFormat="1">
      <c r="A202" s="104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7"/>
      <c r="G202" s="107">
        <v>6005216632</v>
      </c>
      <c r="H202" s="107"/>
      <c r="I202"/>
    </row>
    <row r="203" spans="1:9" s="83" customFormat="1">
      <c r="A203" s="104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7"/>
      <c r="G203" s="107">
        <v>6005226633</v>
      </c>
      <c r="H203" s="107"/>
      <c r="I203"/>
    </row>
    <row r="204" spans="1:9" s="83" customFormat="1">
      <c r="A204" s="104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7"/>
      <c r="G204" s="107">
        <v>6005236634</v>
      </c>
      <c r="H204" s="107"/>
      <c r="I204"/>
    </row>
    <row r="205" spans="1:9" s="83" customFormat="1">
      <c r="A205" s="104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7"/>
      <c r="G205" s="107">
        <v>6005246636</v>
      </c>
      <c r="H205" s="107"/>
      <c r="I205"/>
    </row>
    <row r="206" spans="1:9" s="83" customFormat="1">
      <c r="A206" s="104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7"/>
      <c r="G206" s="107">
        <v>6005246672</v>
      </c>
      <c r="H206" s="107"/>
      <c r="I206"/>
    </row>
    <row r="207" spans="1:9" s="83" customFormat="1">
      <c r="A207" s="104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7"/>
      <c r="G207" s="107">
        <v>6005246673</v>
      </c>
      <c r="H207" s="107"/>
      <c r="I207"/>
    </row>
    <row r="208" spans="1:9" s="83" customFormat="1">
      <c r="A208" s="104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7"/>
      <c r="G208" s="107">
        <v>6005246674</v>
      </c>
      <c r="H208" s="107"/>
      <c r="I208"/>
    </row>
    <row r="209" spans="1:9" s="83" customFormat="1">
      <c r="A209" s="104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7"/>
      <c r="G209" s="107">
        <v>6004086651</v>
      </c>
      <c r="H209" s="107"/>
      <c r="I209"/>
    </row>
    <row r="210" spans="1:9" s="83" customFormat="1">
      <c r="A210" s="104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7"/>
      <c r="G210" s="107">
        <v>6004086653</v>
      </c>
      <c r="H210" s="107"/>
      <c r="I210"/>
    </row>
    <row r="211" spans="1:9" s="83" customFormat="1">
      <c r="A211" s="104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7"/>
      <c r="G211" s="107">
        <v>6005116654</v>
      </c>
      <c r="H211" s="107"/>
      <c r="I211"/>
    </row>
    <row r="212" spans="1:9" s="83" customFormat="1">
      <c r="A212" s="104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7"/>
      <c r="G212" s="107">
        <v>6005116655</v>
      </c>
      <c r="H212" s="107"/>
      <c r="I212"/>
    </row>
    <row r="213" spans="1:9" s="83" customFormat="1">
      <c r="A213" s="104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7"/>
      <c r="G213" s="107">
        <v>6005136657</v>
      </c>
      <c r="H213" s="107"/>
      <c r="I213"/>
    </row>
    <row r="214" spans="1:9" s="83" customFormat="1">
      <c r="A214" s="104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7"/>
      <c r="G214" s="107">
        <v>6005166658</v>
      </c>
      <c r="H214" s="107"/>
      <c r="I214"/>
    </row>
    <row r="215" spans="1:9" s="83" customFormat="1">
      <c r="A215" s="104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7"/>
      <c r="G215" s="107">
        <v>6005176659</v>
      </c>
      <c r="H215" s="107"/>
      <c r="I215"/>
    </row>
    <row r="216" spans="1:9" s="83" customFormat="1">
      <c r="A216" s="104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7"/>
      <c r="G216" s="107">
        <v>6005246671</v>
      </c>
      <c r="H216" s="107"/>
      <c r="I216"/>
    </row>
    <row r="217" spans="1:9" s="83" customFormat="1">
      <c r="A217" s="104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7"/>
      <c r="G217" s="107">
        <v>6005246675</v>
      </c>
      <c r="H217" s="107"/>
      <c r="I217"/>
    </row>
    <row r="218" spans="1:9" s="83" customFormat="1">
      <c r="A218" s="104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7"/>
      <c r="G218" s="107">
        <v>6005246676</v>
      </c>
      <c r="H218" s="107"/>
      <c r="I218" t="s">
        <v>449</v>
      </c>
    </row>
    <row r="219" spans="1:9" s="83" customFormat="1">
      <c r="A219" s="104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7" t="s">
        <v>554</v>
      </c>
      <c r="G219" s="107">
        <v>8001017111</v>
      </c>
      <c r="H219" s="107">
        <v>8001017111</v>
      </c>
      <c r="I219"/>
    </row>
    <row r="220" spans="1:9" s="83" customFormat="1">
      <c r="A220" s="104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7" t="s">
        <v>555</v>
      </c>
      <c r="G220" s="107">
        <v>8001027111</v>
      </c>
      <c r="H220" s="107">
        <v>8001027111</v>
      </c>
      <c r="I220"/>
    </row>
    <row r="221" spans="1:9" s="83" customFormat="1">
      <c r="A221" s="104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7" t="s">
        <v>556</v>
      </c>
      <c r="G221" s="107">
        <v>8001037111</v>
      </c>
      <c r="H221" s="107">
        <v>8001037111</v>
      </c>
      <c r="I221"/>
    </row>
    <row r="222" spans="1:9" s="83" customFormat="1">
      <c r="A222" s="104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7" t="s">
        <v>557</v>
      </c>
      <c r="G222" s="107">
        <v>7002048111</v>
      </c>
      <c r="H222" s="107">
        <v>7002048111</v>
      </c>
      <c r="I222"/>
    </row>
    <row r="223" spans="1:9" s="83" customFormat="1">
      <c r="A223" s="104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7" t="s">
        <v>558</v>
      </c>
      <c r="G223" s="107">
        <v>7002048112</v>
      </c>
      <c r="H223" s="107">
        <v>7002048112</v>
      </c>
      <c r="I223"/>
    </row>
    <row r="224" spans="1:9" s="83" customFormat="1">
      <c r="A224" s="104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7" t="s">
        <v>559</v>
      </c>
      <c r="G224" s="107">
        <v>8002018111</v>
      </c>
      <c r="H224" s="107">
        <v>8002018111</v>
      </c>
      <c r="I224"/>
    </row>
    <row r="225" spans="1:9" s="83" customFormat="1">
      <c r="A225" s="104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7" t="s">
        <v>560</v>
      </c>
      <c r="G225" s="107">
        <v>8002028111</v>
      </c>
      <c r="H225" s="107">
        <v>8002028111</v>
      </c>
      <c r="I225"/>
    </row>
    <row r="226" spans="1:9" s="83" customFormat="1">
      <c r="A226" s="104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7" t="s">
        <v>561</v>
      </c>
      <c r="G226" s="107">
        <v>8002038111</v>
      </c>
      <c r="H226" s="107">
        <v>8002038111</v>
      </c>
      <c r="I226"/>
    </row>
    <row r="227" spans="1:9" s="83" customFormat="1">
      <c r="A227" s="104">
        <v>9114120002</v>
      </c>
      <c r="B227" t="s">
        <v>70</v>
      </c>
      <c r="C227"/>
      <c r="D227" t="s">
        <v>70</v>
      </c>
      <c r="E227" t="s">
        <v>387</v>
      </c>
      <c r="F227" s="107" t="s">
        <v>562</v>
      </c>
      <c r="G227" s="107">
        <v>9114120002</v>
      </c>
      <c r="H227" s="107">
        <v>9114120002</v>
      </c>
      <c r="I227"/>
    </row>
    <row r="228" spans="1:9" s="83" customFormat="1">
      <c r="A228" s="104">
        <v>9114120004</v>
      </c>
      <c r="B228" t="s">
        <v>73</v>
      </c>
      <c r="C228"/>
      <c r="D228" t="s">
        <v>73</v>
      </c>
      <c r="E228" t="s">
        <v>388</v>
      </c>
      <c r="F228" s="107" t="s">
        <v>563</v>
      </c>
      <c r="G228" s="107">
        <v>9114120004</v>
      </c>
      <c r="H228" s="107">
        <v>9114120004</v>
      </c>
      <c r="I228"/>
    </row>
    <row r="229" spans="1:9" s="83" customFormat="1">
      <c r="A229" s="104">
        <v>9114120005</v>
      </c>
      <c r="B229" t="s">
        <v>107</v>
      </c>
      <c r="C229"/>
      <c r="D229" t="s">
        <v>121</v>
      </c>
      <c r="E229" t="s">
        <v>389</v>
      </c>
      <c r="F229" s="107" t="s">
        <v>564</v>
      </c>
      <c r="G229" s="107">
        <v>9114120005</v>
      </c>
      <c r="H229" s="107">
        <v>9114120005</v>
      </c>
      <c r="I229"/>
    </row>
    <row r="230" spans="1:9" s="83" customFormat="1">
      <c r="A230" s="228">
        <v>9114120006</v>
      </c>
      <c r="B230" s="229" t="s">
        <v>142</v>
      </c>
      <c r="C230"/>
      <c r="D230" s="229" t="s">
        <v>101</v>
      </c>
      <c r="E230" t="s">
        <v>349</v>
      </c>
      <c r="F230" s="107" t="s">
        <v>565</v>
      </c>
      <c r="G230" s="107">
        <v>9114120006</v>
      </c>
      <c r="H230" s="107">
        <v>9114120006</v>
      </c>
      <c r="I230"/>
    </row>
    <row r="231" spans="1:9" s="83" customFormat="1">
      <c r="A231" s="104">
        <v>9114120007</v>
      </c>
      <c r="B231" t="s">
        <v>108</v>
      </c>
      <c r="C231"/>
      <c r="D231" t="s">
        <v>114</v>
      </c>
      <c r="E231" t="s">
        <v>390</v>
      </c>
      <c r="F231" s="107" t="s">
        <v>566</v>
      </c>
      <c r="G231" s="107">
        <v>9114120007</v>
      </c>
      <c r="H231" s="107">
        <v>9114120007</v>
      </c>
      <c r="I231"/>
    </row>
    <row r="232" spans="1:9" s="83" customFormat="1">
      <c r="A232" s="104">
        <v>9114120008</v>
      </c>
      <c r="B232" t="s">
        <v>102</v>
      </c>
      <c r="C232"/>
      <c r="D232" t="s">
        <v>102</v>
      </c>
      <c r="E232" t="s">
        <v>12</v>
      </c>
      <c r="F232" s="107" t="s">
        <v>567</v>
      </c>
      <c r="G232" s="107"/>
      <c r="H232" s="107"/>
      <c r="I232"/>
    </row>
    <row r="233" spans="1:9" s="83" customFormat="1">
      <c r="A233" s="104">
        <v>9114120009</v>
      </c>
      <c r="B233" t="s">
        <v>109</v>
      </c>
      <c r="C233"/>
      <c r="D233" t="s">
        <v>122</v>
      </c>
      <c r="E233" t="s">
        <v>391</v>
      </c>
      <c r="F233" s="107" t="s">
        <v>568</v>
      </c>
      <c r="G233" s="107">
        <v>9114120009</v>
      </c>
      <c r="H233" s="107">
        <v>9114120009</v>
      </c>
      <c r="I233"/>
    </row>
    <row r="234" spans="1:9" s="83" customFormat="1">
      <c r="A234" s="104">
        <v>9114120011</v>
      </c>
      <c r="B234" t="s">
        <v>100</v>
      </c>
      <c r="C234"/>
      <c r="D234" t="s">
        <v>100</v>
      </c>
      <c r="E234" t="s">
        <v>392</v>
      </c>
      <c r="F234" s="107" t="s">
        <v>569</v>
      </c>
      <c r="G234" s="107">
        <v>9114120011</v>
      </c>
      <c r="H234" s="107">
        <v>9114120011</v>
      </c>
      <c r="I234"/>
    </row>
    <row r="235" spans="1:9" s="83" customFormat="1">
      <c r="A235" s="104">
        <v>9114120014</v>
      </c>
      <c r="B235" t="s">
        <v>74</v>
      </c>
      <c r="C235"/>
      <c r="D235" t="s">
        <v>74</v>
      </c>
      <c r="E235" t="s">
        <v>393</v>
      </c>
      <c r="F235" s="107" t="s">
        <v>570</v>
      </c>
      <c r="G235" s="107">
        <v>9114120014</v>
      </c>
      <c r="H235" s="107">
        <v>9114120014</v>
      </c>
      <c r="I235"/>
    </row>
    <row r="236" spans="1:9" s="83" customFormat="1">
      <c r="A236" s="104">
        <v>9114120018</v>
      </c>
      <c r="B236" t="s">
        <v>106</v>
      </c>
      <c r="C236"/>
      <c r="D236" t="s">
        <v>106</v>
      </c>
      <c r="E236" t="s">
        <v>394</v>
      </c>
      <c r="F236" s="107" t="s">
        <v>571</v>
      </c>
      <c r="G236" s="107">
        <v>9114120018</v>
      </c>
      <c r="H236" s="107">
        <v>9114120018</v>
      </c>
      <c r="I236"/>
    </row>
    <row r="237" spans="1:9" s="83" customFormat="1">
      <c r="A237" s="104">
        <v>9114120021</v>
      </c>
      <c r="B237" t="s">
        <v>143</v>
      </c>
      <c r="C237"/>
      <c r="D237" t="s">
        <v>143</v>
      </c>
      <c r="E237" t="s">
        <v>395</v>
      </c>
      <c r="F237" s="107" t="s">
        <v>572</v>
      </c>
      <c r="G237" s="107">
        <v>9114120021</v>
      </c>
      <c r="H237" s="107">
        <v>9114120021</v>
      </c>
      <c r="I237"/>
    </row>
    <row r="238" spans="1:9" s="83" customFormat="1">
      <c r="A238" s="104">
        <v>9114120028</v>
      </c>
      <c r="B238" t="s">
        <v>113</v>
      </c>
      <c r="C238"/>
      <c r="D238" t="s">
        <v>113</v>
      </c>
      <c r="E238" t="s">
        <v>396</v>
      </c>
      <c r="F238" s="107" t="s">
        <v>573</v>
      </c>
      <c r="G238" s="107">
        <v>9114120028</v>
      </c>
      <c r="H238" s="107">
        <v>9114120028</v>
      </c>
      <c r="I238"/>
    </row>
    <row r="239" spans="1:9" s="83" customFormat="1">
      <c r="A239" s="104">
        <v>9114120029</v>
      </c>
      <c r="B239" t="s">
        <v>678</v>
      </c>
      <c r="C239"/>
      <c r="D239" t="s">
        <v>678</v>
      </c>
      <c r="E239" t="s">
        <v>397</v>
      </c>
      <c r="F239" s="107" t="s">
        <v>574</v>
      </c>
      <c r="G239" s="107">
        <v>9114120029</v>
      </c>
      <c r="H239" s="107">
        <v>9114120029</v>
      </c>
      <c r="I239"/>
    </row>
    <row r="240" spans="1:9" s="83" customFormat="1">
      <c r="A240" s="104">
        <v>9114120030</v>
      </c>
      <c r="B240" t="s">
        <v>679</v>
      </c>
      <c r="C240"/>
      <c r="D240" t="s">
        <v>679</v>
      </c>
      <c r="E240" t="s">
        <v>398</v>
      </c>
      <c r="F240" s="107" t="s">
        <v>575</v>
      </c>
      <c r="G240" s="107">
        <v>9114120030</v>
      </c>
      <c r="H240" s="107">
        <v>9114120030</v>
      </c>
      <c r="I240"/>
    </row>
    <row r="241" spans="1:9" s="83" customFormat="1">
      <c r="A241" s="104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7"/>
      <c r="H241"/>
      <c r="I241"/>
    </row>
    <row r="242" spans="1:9" s="83" customFormat="1">
      <c r="A242" s="105">
        <v>5005016373</v>
      </c>
      <c r="B242" s="106" t="s">
        <v>413</v>
      </c>
      <c r="C242" s="106" t="s">
        <v>151</v>
      </c>
      <c r="D242" s="106" t="s">
        <v>55</v>
      </c>
      <c r="E242" s="106" t="s">
        <v>151</v>
      </c>
      <c r="F242" s="106" t="s">
        <v>474</v>
      </c>
      <c r="G242" s="106"/>
      <c r="H242" s="107"/>
      <c r="I242" s="106"/>
    </row>
    <row r="243" spans="1:9" s="83" customFormat="1">
      <c r="A243" s="105">
        <v>6005016422</v>
      </c>
      <c r="B243" s="106" t="s">
        <v>415</v>
      </c>
      <c r="C243" s="106" t="s">
        <v>0</v>
      </c>
      <c r="D243" s="106" t="s">
        <v>55</v>
      </c>
      <c r="E243" s="106" t="s">
        <v>353</v>
      </c>
      <c r="F243" s="106"/>
      <c r="G243" s="106">
        <v>6005016422</v>
      </c>
      <c r="I243" s="106"/>
    </row>
    <row r="244" spans="1:9" s="83" customFormat="1">
      <c r="A244" s="105">
        <v>5001016151</v>
      </c>
      <c r="B244" s="106" t="s">
        <v>162</v>
      </c>
      <c r="C244" s="106" t="s">
        <v>35</v>
      </c>
      <c r="D244" s="106" t="s">
        <v>101</v>
      </c>
      <c r="E244" s="106" t="s">
        <v>35</v>
      </c>
      <c r="F244" s="106" t="s">
        <v>469</v>
      </c>
      <c r="G244" s="106"/>
      <c r="H244" s="107"/>
      <c r="I244" s="106"/>
    </row>
    <row r="245" spans="1:9">
      <c r="A245" s="105">
        <v>6006016630</v>
      </c>
      <c r="B245" s="106" t="s">
        <v>675</v>
      </c>
      <c r="C245" s="106" t="s">
        <v>676</v>
      </c>
      <c r="D245" s="106" t="s">
        <v>45</v>
      </c>
      <c r="E245" s="106" t="s">
        <v>356</v>
      </c>
      <c r="G245" s="106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24" bestFit="1" customWidth="1"/>
    <col min="2" max="2" width="19" style="221" bestFit="1" customWidth="1"/>
    <col min="3" max="3" width="3.875" style="222" bestFit="1" customWidth="1"/>
    <col min="4" max="4" width="10.25" style="221" bestFit="1" customWidth="1"/>
    <col min="5" max="5" width="9" style="221"/>
    <col min="6" max="6" width="10.875" style="221" bestFit="1" customWidth="1"/>
    <col min="7" max="7" width="19.5" style="221" bestFit="1" customWidth="1"/>
    <col min="8" max="8" width="9" style="221"/>
    <col min="9" max="9" width="13.5" style="221" customWidth="1"/>
    <col min="10" max="16384" width="9" style="221"/>
  </cols>
  <sheetData>
    <row r="1" spans="1:7">
      <c r="B1" s="221" t="s">
        <v>93</v>
      </c>
      <c r="D1" s="221" t="s">
        <v>82</v>
      </c>
      <c r="E1" s="221" t="s">
        <v>83</v>
      </c>
    </row>
    <row r="2" spans="1:7">
      <c r="A2" s="224">
        <v>1412000004</v>
      </c>
      <c r="B2" s="223" t="s">
        <v>665</v>
      </c>
      <c r="C2" s="222" t="s">
        <v>593</v>
      </c>
      <c r="D2" s="221" t="s">
        <v>159</v>
      </c>
      <c r="E2" s="221" t="s">
        <v>159</v>
      </c>
      <c r="G2" s="221" t="s">
        <v>640</v>
      </c>
    </row>
    <row r="3" spans="1:7">
      <c r="A3" s="225">
        <v>1412000005</v>
      </c>
      <c r="B3" s="223" t="s">
        <v>666</v>
      </c>
      <c r="C3" s="222" t="s">
        <v>594</v>
      </c>
      <c r="D3" s="221" t="s">
        <v>159</v>
      </c>
      <c r="E3" s="221" t="s">
        <v>159</v>
      </c>
    </row>
    <row r="4" spans="1:7">
      <c r="A4" s="225">
        <v>1412000062</v>
      </c>
      <c r="B4" s="223" t="s">
        <v>646</v>
      </c>
      <c r="C4" s="222" t="s">
        <v>596</v>
      </c>
      <c r="D4" s="221" t="s">
        <v>444</v>
      </c>
      <c r="E4" s="221" t="s">
        <v>159</v>
      </c>
    </row>
    <row r="5" spans="1:7">
      <c r="A5" s="225">
        <v>1412000034</v>
      </c>
      <c r="B5" s="223" t="s">
        <v>422</v>
      </c>
      <c r="C5" s="222" t="s">
        <v>599</v>
      </c>
      <c r="D5" s="221" t="s">
        <v>159</v>
      </c>
      <c r="E5" s="221" t="s">
        <v>159</v>
      </c>
    </row>
    <row r="6" spans="1:7">
      <c r="A6" s="225">
        <v>1412000048</v>
      </c>
      <c r="B6" s="223" t="s">
        <v>421</v>
      </c>
      <c r="C6" s="222" t="s">
        <v>600</v>
      </c>
      <c r="D6" s="221" t="s">
        <v>444</v>
      </c>
      <c r="E6" s="221" t="s">
        <v>159</v>
      </c>
    </row>
    <row r="7" spans="1:7">
      <c r="A7" s="224">
        <v>1412000055</v>
      </c>
      <c r="B7" s="221" t="s">
        <v>659</v>
      </c>
      <c r="C7" s="222" t="s">
        <v>601</v>
      </c>
      <c r="D7" s="221" t="s">
        <v>444</v>
      </c>
      <c r="E7" s="221" t="s">
        <v>159</v>
      </c>
    </row>
    <row r="8" spans="1:7">
      <c r="A8" s="225">
        <v>1412000050</v>
      </c>
      <c r="B8" s="223" t="s">
        <v>619</v>
      </c>
      <c r="C8" s="222" t="s">
        <v>620</v>
      </c>
      <c r="D8" s="221" t="s">
        <v>159</v>
      </c>
      <c r="E8" s="221" t="s">
        <v>159</v>
      </c>
    </row>
    <row r="9" spans="1:7">
      <c r="A9" s="224">
        <v>1412000077</v>
      </c>
      <c r="B9" s="223" t="s">
        <v>621</v>
      </c>
      <c r="C9" s="222" t="s">
        <v>622</v>
      </c>
      <c r="D9" s="221" t="s">
        <v>159</v>
      </c>
      <c r="E9" s="221" t="s">
        <v>159</v>
      </c>
    </row>
    <row r="10" spans="1:7">
      <c r="A10" s="225">
        <v>1412000053</v>
      </c>
      <c r="B10" s="223" t="s">
        <v>582</v>
      </c>
      <c r="C10" s="222" t="s">
        <v>597</v>
      </c>
      <c r="D10" s="221" t="s">
        <v>444</v>
      </c>
      <c r="E10" s="221" t="s">
        <v>159</v>
      </c>
    </row>
    <row r="11" spans="1:7">
      <c r="A11" s="225">
        <v>1412000008</v>
      </c>
      <c r="B11" s="223" t="s">
        <v>432</v>
      </c>
      <c r="C11" s="222" t="s">
        <v>606</v>
      </c>
      <c r="D11" s="221" t="s">
        <v>444</v>
      </c>
      <c r="E11" s="221" t="s">
        <v>159</v>
      </c>
    </row>
    <row r="12" spans="1:7">
      <c r="A12" s="225">
        <v>1412000010</v>
      </c>
      <c r="B12" s="223" t="s">
        <v>430</v>
      </c>
      <c r="C12" s="222" t="s">
        <v>607</v>
      </c>
      <c r="D12" s="221" t="s">
        <v>576</v>
      </c>
      <c r="E12" s="221" t="s">
        <v>159</v>
      </c>
    </row>
    <row r="13" spans="1:7">
      <c r="A13" s="225">
        <v>1412000054</v>
      </c>
      <c r="B13" s="223" t="s">
        <v>423</v>
      </c>
      <c r="C13" s="222" t="s">
        <v>608</v>
      </c>
      <c r="D13" s="221" t="s">
        <v>576</v>
      </c>
      <c r="E13" s="221" t="s">
        <v>159</v>
      </c>
    </row>
    <row r="14" spans="1:7">
      <c r="A14" s="225">
        <v>1412000036</v>
      </c>
      <c r="B14" s="223" t="s">
        <v>645</v>
      </c>
      <c r="C14" s="222" t="s">
        <v>611</v>
      </c>
      <c r="D14" s="221" t="s">
        <v>444</v>
      </c>
      <c r="E14" s="221" t="s">
        <v>159</v>
      </c>
    </row>
    <row r="15" spans="1:7">
      <c r="A15" s="225">
        <v>1412000006</v>
      </c>
      <c r="B15" s="223" t="s">
        <v>424</v>
      </c>
      <c r="C15" s="222" t="s">
        <v>614</v>
      </c>
      <c r="D15" s="221" t="s">
        <v>576</v>
      </c>
      <c r="E15" s="221" t="s">
        <v>159</v>
      </c>
    </row>
    <row r="16" spans="1:7">
      <c r="A16" s="225">
        <v>1412000039</v>
      </c>
      <c r="B16" s="223" t="s">
        <v>425</v>
      </c>
      <c r="C16" s="222" t="s">
        <v>615</v>
      </c>
      <c r="D16" s="221" t="s">
        <v>576</v>
      </c>
      <c r="E16" s="221" t="s">
        <v>159</v>
      </c>
    </row>
    <row r="17" spans="1:5">
      <c r="A17" s="225">
        <v>1412000040</v>
      </c>
      <c r="B17" s="223" t="s">
        <v>443</v>
      </c>
      <c r="C17" s="222" t="s">
        <v>616</v>
      </c>
      <c r="D17" s="221" t="s">
        <v>576</v>
      </c>
      <c r="E17" s="221" t="s">
        <v>159</v>
      </c>
    </row>
    <row r="18" spans="1:5">
      <c r="A18" s="224">
        <v>1412000013</v>
      </c>
      <c r="B18" s="223" t="s">
        <v>667</v>
      </c>
      <c r="C18" s="222" t="s">
        <v>609</v>
      </c>
      <c r="D18" s="221" t="s">
        <v>576</v>
      </c>
      <c r="E18" s="221" t="s">
        <v>159</v>
      </c>
    </row>
    <row r="19" spans="1:5">
      <c r="A19" s="224">
        <v>1412000080</v>
      </c>
      <c r="B19" s="223" t="s">
        <v>440</v>
      </c>
      <c r="C19" s="222" t="s">
        <v>605</v>
      </c>
      <c r="D19" s="221" t="s">
        <v>576</v>
      </c>
      <c r="E19" s="221" t="s">
        <v>159</v>
      </c>
    </row>
    <row r="20" spans="1:5">
      <c r="A20" s="224">
        <v>1412000044</v>
      </c>
      <c r="B20" s="223" t="s">
        <v>442</v>
      </c>
      <c r="C20" s="222" t="s">
        <v>604</v>
      </c>
      <c r="D20" s="221" t="s">
        <v>444</v>
      </c>
      <c r="E20" s="221" t="s">
        <v>159</v>
      </c>
    </row>
    <row r="21" spans="1:5">
      <c r="A21" s="225">
        <v>1412000056</v>
      </c>
      <c r="B21" s="223" t="s">
        <v>441</v>
      </c>
      <c r="C21" s="222" t="s">
        <v>603</v>
      </c>
      <c r="D21" s="221" t="s">
        <v>159</v>
      </c>
      <c r="E21" s="221" t="s">
        <v>159</v>
      </c>
    </row>
    <row r="22" spans="1:5">
      <c r="A22" s="225">
        <v>1412000018</v>
      </c>
      <c r="B22" s="223" t="s">
        <v>428</v>
      </c>
      <c r="C22" s="222" t="s">
        <v>626</v>
      </c>
      <c r="D22" s="221" t="s">
        <v>577</v>
      </c>
      <c r="E22" s="221" t="s">
        <v>159</v>
      </c>
    </row>
    <row r="23" spans="1:5">
      <c r="A23" s="225">
        <v>1412000019</v>
      </c>
      <c r="B23" s="223" t="s">
        <v>588</v>
      </c>
      <c r="C23" s="222" t="s">
        <v>627</v>
      </c>
      <c r="D23" s="221" t="s">
        <v>577</v>
      </c>
      <c r="E23" s="221" t="s">
        <v>159</v>
      </c>
    </row>
    <row r="24" spans="1:5">
      <c r="A24" s="225">
        <v>1412000058</v>
      </c>
      <c r="B24" s="223" t="s">
        <v>433</v>
      </c>
      <c r="C24" s="222" t="s">
        <v>628</v>
      </c>
      <c r="D24" s="221" t="s">
        <v>577</v>
      </c>
      <c r="E24" s="221" t="s">
        <v>159</v>
      </c>
    </row>
    <row r="25" spans="1:5">
      <c r="A25" s="225">
        <v>1412000042</v>
      </c>
      <c r="B25" s="223" t="s">
        <v>434</v>
      </c>
      <c r="C25" s="222" t="s">
        <v>629</v>
      </c>
      <c r="D25" s="221" t="s">
        <v>577</v>
      </c>
      <c r="E25" s="221" t="s">
        <v>159</v>
      </c>
    </row>
    <row r="26" spans="1:5">
      <c r="A26" s="225">
        <v>1412000021</v>
      </c>
      <c r="B26" s="223" t="s">
        <v>435</v>
      </c>
      <c r="C26" s="222" t="s">
        <v>630</v>
      </c>
      <c r="D26" s="221" t="s">
        <v>577</v>
      </c>
      <c r="E26" s="221" t="s">
        <v>159</v>
      </c>
    </row>
    <row r="27" spans="1:5">
      <c r="A27" s="225">
        <v>1412000022</v>
      </c>
      <c r="B27" s="223" t="s">
        <v>439</v>
      </c>
      <c r="C27" s="222" t="s">
        <v>632</v>
      </c>
      <c r="D27" s="221" t="s">
        <v>577</v>
      </c>
      <c r="E27" s="221" t="s">
        <v>159</v>
      </c>
    </row>
    <row r="28" spans="1:5">
      <c r="A28" s="225">
        <v>1412000024</v>
      </c>
      <c r="B28" s="223" t="s">
        <v>437</v>
      </c>
      <c r="C28" s="222" t="s">
        <v>633</v>
      </c>
      <c r="D28" s="221" t="s">
        <v>578</v>
      </c>
      <c r="E28" s="221" t="s">
        <v>160</v>
      </c>
    </row>
    <row r="29" spans="1:5">
      <c r="A29" s="225">
        <v>1412000025</v>
      </c>
      <c r="B29" s="223" t="s">
        <v>426</v>
      </c>
      <c r="C29" s="222" t="s">
        <v>634</v>
      </c>
      <c r="D29" s="221" t="s">
        <v>578</v>
      </c>
      <c r="E29" s="221" t="s">
        <v>160</v>
      </c>
    </row>
    <row r="30" spans="1:5">
      <c r="A30" s="225">
        <v>1412000026</v>
      </c>
      <c r="B30" s="223" t="s">
        <v>431</v>
      </c>
      <c r="C30" s="222" t="s">
        <v>635</v>
      </c>
      <c r="D30" s="221" t="s">
        <v>578</v>
      </c>
      <c r="E30" s="221" t="s">
        <v>160</v>
      </c>
    </row>
    <row r="31" spans="1:5">
      <c r="A31" s="225">
        <v>1412000028</v>
      </c>
      <c r="B31" s="223" t="s">
        <v>427</v>
      </c>
      <c r="C31" s="222" t="s">
        <v>636</v>
      </c>
      <c r="D31" s="221" t="s">
        <v>578</v>
      </c>
      <c r="E31" s="221" t="s">
        <v>160</v>
      </c>
    </row>
    <row r="32" spans="1:5">
      <c r="A32" s="225">
        <v>1412000029</v>
      </c>
      <c r="B32" s="223" t="s">
        <v>436</v>
      </c>
      <c r="C32" s="222" t="s">
        <v>637</v>
      </c>
      <c r="D32" s="221" t="s">
        <v>578</v>
      </c>
      <c r="E32" s="221" t="s">
        <v>160</v>
      </c>
    </row>
    <row r="33" spans="1:5">
      <c r="A33" s="225">
        <v>1412000030</v>
      </c>
      <c r="B33" s="223" t="s">
        <v>438</v>
      </c>
      <c r="C33" s="222" t="s">
        <v>638</v>
      </c>
      <c r="D33" s="221" t="s">
        <v>578</v>
      </c>
      <c r="E33" s="221" t="s">
        <v>161</v>
      </c>
    </row>
    <row r="34" spans="1:5">
      <c r="A34" s="225">
        <v>1412000086</v>
      </c>
      <c r="B34" s="223" t="s">
        <v>429</v>
      </c>
      <c r="C34" s="222" t="s">
        <v>639</v>
      </c>
      <c r="D34" s="221" t="s">
        <v>578</v>
      </c>
      <c r="E34" s="221" t="s">
        <v>160</v>
      </c>
    </row>
    <row r="35" spans="1:5">
      <c r="A35" s="225">
        <v>1412000063</v>
      </c>
      <c r="B35" s="223" t="s">
        <v>668</v>
      </c>
      <c r="C35" s="222" t="s">
        <v>602</v>
      </c>
      <c r="D35" s="221" t="s">
        <v>444</v>
      </c>
      <c r="E35" s="221" t="s">
        <v>159</v>
      </c>
    </row>
    <row r="36" spans="1:5">
      <c r="A36" s="225">
        <v>1412000066</v>
      </c>
      <c r="B36" s="223" t="s">
        <v>420</v>
      </c>
      <c r="C36" s="222" t="s">
        <v>595</v>
      </c>
      <c r="D36" s="221" t="s">
        <v>159</v>
      </c>
      <c r="E36" s="221" t="s">
        <v>159</v>
      </c>
    </row>
    <row r="37" spans="1:5">
      <c r="A37" s="225">
        <v>1412000035</v>
      </c>
      <c r="B37" s="223" t="s">
        <v>587</v>
      </c>
      <c r="C37" s="222" t="s">
        <v>610</v>
      </c>
      <c r="D37" s="221" t="s">
        <v>576</v>
      </c>
      <c r="E37" s="221" t="s">
        <v>159</v>
      </c>
    </row>
    <row r="38" spans="1:5">
      <c r="A38" s="225">
        <v>1412000016</v>
      </c>
      <c r="B38" s="223" t="s">
        <v>584</v>
      </c>
      <c r="C38" s="222" t="s">
        <v>617</v>
      </c>
      <c r="D38" s="221" t="s">
        <v>576</v>
      </c>
      <c r="E38" s="221" t="s">
        <v>159</v>
      </c>
    </row>
    <row r="39" spans="1:5">
      <c r="A39" s="225">
        <v>1412000069</v>
      </c>
      <c r="B39" s="223" t="s">
        <v>585</v>
      </c>
      <c r="C39" s="222" t="s">
        <v>618</v>
      </c>
      <c r="D39" s="221" t="s">
        <v>576</v>
      </c>
      <c r="E39" s="221" t="s">
        <v>159</v>
      </c>
    </row>
    <row r="40" spans="1:5">
      <c r="A40" s="225">
        <v>1412000070</v>
      </c>
      <c r="B40" s="223" t="s">
        <v>589</v>
      </c>
      <c r="C40" s="222" t="s">
        <v>631</v>
      </c>
      <c r="D40" s="221" t="s">
        <v>577</v>
      </c>
      <c r="E40" s="221" t="s">
        <v>159</v>
      </c>
    </row>
    <row r="41" spans="1:5">
      <c r="A41" s="225">
        <v>1412000072</v>
      </c>
      <c r="B41" s="223" t="s">
        <v>647</v>
      </c>
      <c r="C41" s="222" t="s">
        <v>612</v>
      </c>
      <c r="D41" s="221" t="s">
        <v>444</v>
      </c>
      <c r="E41" s="221" t="s">
        <v>161</v>
      </c>
    </row>
    <row r="42" spans="1:5">
      <c r="A42" s="225">
        <v>1412000073</v>
      </c>
      <c r="B42" s="223" t="s">
        <v>586</v>
      </c>
      <c r="C42" s="222" t="s">
        <v>613</v>
      </c>
      <c r="D42" s="221" t="s">
        <v>444</v>
      </c>
      <c r="E42" s="221" t="s">
        <v>159</v>
      </c>
    </row>
    <row r="43" spans="1:5">
      <c r="A43" s="224">
        <v>1412000075</v>
      </c>
      <c r="B43" s="223" t="s">
        <v>583</v>
      </c>
      <c r="C43" s="222" t="s">
        <v>598</v>
      </c>
      <c r="D43" s="221" t="s">
        <v>444</v>
      </c>
      <c r="E43" s="221" t="s">
        <v>159</v>
      </c>
    </row>
    <row r="44" spans="1:5">
      <c r="A44" s="224">
        <v>1412000057</v>
      </c>
      <c r="B44" s="223" t="s">
        <v>623</v>
      </c>
      <c r="C44" s="222" t="s">
        <v>624</v>
      </c>
      <c r="D44" s="221" t="s">
        <v>159</v>
      </c>
      <c r="E44" s="221" t="s">
        <v>159</v>
      </c>
    </row>
    <row r="45" spans="1:5">
      <c r="A45" s="225">
        <v>1412000078</v>
      </c>
      <c r="B45" s="223" t="s">
        <v>669</v>
      </c>
      <c r="C45" s="222" t="s">
        <v>625</v>
      </c>
      <c r="D45" s="221" t="s">
        <v>159</v>
      </c>
      <c r="E45" s="221" t="s">
        <v>159</v>
      </c>
    </row>
    <row r="46" spans="1:5">
      <c r="A46" s="224">
        <v>1412000081</v>
      </c>
      <c r="B46" s="223" t="s">
        <v>648</v>
      </c>
      <c r="C46" s="222" t="s">
        <v>641</v>
      </c>
      <c r="D46" s="221" t="s">
        <v>159</v>
      </c>
      <c r="E46" s="221" t="s">
        <v>159</v>
      </c>
    </row>
    <row r="47" spans="1:5">
      <c r="A47" s="224">
        <v>1412000083</v>
      </c>
      <c r="B47" s="223" t="s">
        <v>649</v>
      </c>
      <c r="C47" s="222" t="s">
        <v>651</v>
      </c>
      <c r="D47" s="221" t="s">
        <v>159</v>
      </c>
      <c r="E47" s="221" t="s">
        <v>159</v>
      </c>
    </row>
    <row r="48" spans="1:5">
      <c r="A48" s="224">
        <v>1412000084</v>
      </c>
      <c r="B48" s="221" t="s">
        <v>650</v>
      </c>
      <c r="C48" s="222" t="s">
        <v>655</v>
      </c>
      <c r="D48" s="221" t="s">
        <v>576</v>
      </c>
      <c r="E48" s="221" t="s">
        <v>159</v>
      </c>
    </row>
    <row r="49" spans="1:5">
      <c r="A49" s="224">
        <v>1412000087</v>
      </c>
      <c r="B49" s="223" t="s">
        <v>652</v>
      </c>
      <c r="C49" s="222" t="s">
        <v>656</v>
      </c>
      <c r="D49" s="221" t="s">
        <v>444</v>
      </c>
      <c r="E49" s="221" t="s">
        <v>159</v>
      </c>
    </row>
    <row r="50" spans="1:5">
      <c r="A50" s="224">
        <v>1412000088</v>
      </c>
      <c r="B50" s="221" t="s">
        <v>653</v>
      </c>
      <c r="C50" s="222" t="s">
        <v>657</v>
      </c>
      <c r="D50" s="221" t="s">
        <v>444</v>
      </c>
      <c r="E50" s="221" t="s">
        <v>159</v>
      </c>
    </row>
    <row r="51" spans="1:5">
      <c r="A51" s="224">
        <v>1412000089</v>
      </c>
      <c r="B51" s="221" t="s">
        <v>654</v>
      </c>
      <c r="C51" s="222" t="s">
        <v>658</v>
      </c>
      <c r="D51" s="221" t="s">
        <v>576</v>
      </c>
      <c r="E51" s="221" t="s">
        <v>159</v>
      </c>
    </row>
    <row r="52" spans="1:5">
      <c r="A52" s="224">
        <v>1412000091</v>
      </c>
      <c r="B52" s="221" t="s">
        <v>661</v>
      </c>
      <c r="C52" s="226" t="s">
        <v>660</v>
      </c>
      <c r="D52" s="221" t="s">
        <v>578</v>
      </c>
      <c r="E52" s="221" t="s">
        <v>160</v>
      </c>
    </row>
    <row r="53" spans="1:5">
      <c r="A53" s="224">
        <v>1412000092</v>
      </c>
      <c r="B53" s="221" t="s">
        <v>662</v>
      </c>
      <c r="C53" s="226" t="s">
        <v>663</v>
      </c>
      <c r="D53" s="221" t="s">
        <v>576</v>
      </c>
      <c r="E53" s="221" t="s">
        <v>159</v>
      </c>
    </row>
    <row r="54" spans="1:5">
      <c r="A54" s="224">
        <v>1412000093</v>
      </c>
      <c r="B54" s="221" t="s">
        <v>670</v>
      </c>
      <c r="C54" s="226" t="s">
        <v>664</v>
      </c>
      <c r="D54" s="221" t="s">
        <v>578</v>
      </c>
      <c r="E54" s="221" t="s">
        <v>160</v>
      </c>
    </row>
    <row r="55" spans="1:5">
      <c r="A55" s="224">
        <v>1412000094</v>
      </c>
      <c r="B55" s="221" t="s">
        <v>671</v>
      </c>
      <c r="C55" s="226" t="s">
        <v>682</v>
      </c>
      <c r="D55" s="221" t="s">
        <v>444</v>
      </c>
      <c r="E55" s="221" t="s">
        <v>159</v>
      </c>
    </row>
    <row r="56" spans="1:5">
      <c r="A56" s="224">
        <v>1412000096</v>
      </c>
      <c r="B56" s="223" t="s">
        <v>672</v>
      </c>
      <c r="C56" s="226" t="s">
        <v>683</v>
      </c>
      <c r="D56" s="221" t="s">
        <v>159</v>
      </c>
      <c r="E56" s="221" t="s">
        <v>159</v>
      </c>
    </row>
    <row r="57" spans="1:5">
      <c r="A57" s="224">
        <v>1412000098</v>
      </c>
      <c r="B57" s="221" t="s">
        <v>680</v>
      </c>
      <c r="C57" s="226" t="s">
        <v>684</v>
      </c>
      <c r="D57" s="221" t="s">
        <v>159</v>
      </c>
      <c r="E57" s="221" t="s">
        <v>159</v>
      </c>
    </row>
    <row r="58" spans="1:5">
      <c r="A58" s="224">
        <v>1412000099</v>
      </c>
      <c r="B58" s="221" t="s">
        <v>681</v>
      </c>
      <c r="C58" s="226" t="s">
        <v>685</v>
      </c>
      <c r="D58" s="221" t="s">
        <v>159</v>
      </c>
      <c r="E58" s="221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192"/>
  </cols>
  <sheetData>
    <row r="2" spans="1:2">
      <c r="A2" s="122" t="s">
        <v>674</v>
      </c>
      <c r="B2" s="192" t="s">
        <v>401</v>
      </c>
    </row>
    <row r="3" spans="1:2" ht="15">
      <c r="A3" s="91">
        <v>4</v>
      </c>
      <c r="B3" s="193">
        <v>20</v>
      </c>
    </row>
    <row r="4" spans="1:2" ht="15">
      <c r="A4" s="91">
        <v>5</v>
      </c>
      <c r="B4" s="193">
        <v>19</v>
      </c>
    </row>
    <row r="5" spans="1:2" ht="15">
      <c r="A5" s="91">
        <v>6</v>
      </c>
      <c r="B5" s="193">
        <v>21</v>
      </c>
    </row>
    <row r="6" spans="1:2" ht="15">
      <c r="A6" s="91">
        <v>7</v>
      </c>
      <c r="B6" s="193">
        <v>23</v>
      </c>
    </row>
    <row r="7" spans="1:2" ht="15">
      <c r="A7" s="91">
        <v>8</v>
      </c>
      <c r="B7" s="193">
        <v>20</v>
      </c>
    </row>
    <row r="8" spans="1:2" ht="15">
      <c r="A8" s="91">
        <v>9</v>
      </c>
      <c r="B8" s="193">
        <v>19</v>
      </c>
    </row>
    <row r="9" spans="1:2" ht="15">
      <c r="A9" s="91">
        <v>10</v>
      </c>
      <c r="B9" s="193">
        <v>23</v>
      </c>
    </row>
    <row r="10" spans="1:2" ht="15">
      <c r="A10" s="91">
        <v>11</v>
      </c>
      <c r="B10" s="193">
        <v>20</v>
      </c>
    </row>
    <row r="11" spans="1:2" ht="15">
      <c r="A11" s="91">
        <v>12</v>
      </c>
      <c r="B11" s="193">
        <v>22</v>
      </c>
    </row>
    <row r="12" spans="1:2" ht="15">
      <c r="A12" s="91">
        <v>1</v>
      </c>
      <c r="B12" s="193">
        <v>20</v>
      </c>
    </row>
    <row r="13" spans="1:2" ht="15">
      <c r="A13" s="91">
        <v>2</v>
      </c>
      <c r="B13" s="193">
        <v>15</v>
      </c>
    </row>
    <row r="14" spans="1:2" ht="15">
      <c r="A14" s="91">
        <v>3</v>
      </c>
      <c r="B14" s="193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Lâm Thị Phương Thúy(Lam Thi Phuong Thuy)</cp:lastModifiedBy>
  <cp:lastPrinted>2017-10-06T02:39:42Z</cp:lastPrinted>
  <dcterms:created xsi:type="dcterms:W3CDTF">2002-04-10T08:05:47Z</dcterms:created>
  <dcterms:modified xsi:type="dcterms:W3CDTF">2025-03-25T02:10:23Z</dcterms:modified>
</cp:coreProperties>
</file>