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Mold Engineering Dep(金型技術部)\PHONG QUAN LY CTLK- 部品製造管理課\1. QLLN BP.CTLK - 部品製造部 採算管理\FY2026\MP FY2026\経費\"/>
    </mc:Choice>
  </mc:AlternateContent>
  <xr:revisionPtr revIDLastSave="0" documentId="13_ncr:1_{E20C8107-BB4A-48B7-B9A0-1A5939BEFC61}" xr6:coauthVersionLast="47" xr6:coauthVersionMax="47" xr10:uidLastSave="{00000000-0000-0000-0000-000000000000}"/>
  <bookViews>
    <workbookView xWindow="-120" yWindow="-120" windowWidth="20730" windowHeight="11040" tabRatio="702" activeTab="2" xr2:uid="{0A2726CA-71E4-41F5-9F53-94BF612A4A03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10" l="1"/>
  <c r="P64" i="10"/>
  <c r="O64" i="10"/>
  <c r="N64" i="10"/>
  <c r="M64" i="10"/>
  <c r="L64" i="10"/>
  <c r="K64" i="10"/>
  <c r="J64" i="10"/>
  <c r="I64" i="10"/>
  <c r="H64" i="10"/>
  <c r="G64" i="10"/>
  <c r="F64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Q46" i="10" l="1"/>
  <c r="P46" i="10"/>
  <c r="O46" i="10"/>
  <c r="N46" i="10"/>
  <c r="M46" i="10"/>
  <c r="L46" i="10"/>
  <c r="K46" i="10"/>
  <c r="J46" i="10"/>
  <c r="I46" i="10"/>
  <c r="H46" i="10"/>
  <c r="G46" i="10"/>
  <c r="F46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G98" i="10" l="1"/>
  <c r="F86" i="10"/>
  <c r="N96" i="10"/>
  <c r="M95" i="10"/>
  <c r="K94" i="10"/>
  <c r="L93" i="10"/>
  <c r="G92" i="10"/>
  <c r="Q90" i="10"/>
  <c r="O65" i="10"/>
  <c r="P65" i="10"/>
  <c r="N65" i="10"/>
  <c r="Q65" i="10"/>
  <c r="M65" i="10"/>
  <c r="L65" i="10"/>
  <c r="K65" i="10"/>
  <c r="P66" i="10" l="1"/>
  <c r="N66" i="10"/>
  <c r="L66" i="10"/>
  <c r="J66" i="10"/>
  <c r="H66" i="10"/>
  <c r="I65" i="10"/>
  <c r="G65" i="10"/>
  <c r="F66" i="10"/>
  <c r="F65" i="10"/>
  <c r="J65" i="10" l="1"/>
  <c r="H65" i="10"/>
  <c r="P91" i="10"/>
  <c r="I88" i="10"/>
  <c r="F77" i="10" l="1"/>
  <c r="F75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98" i="5"/>
  <c r="M98" i="5"/>
  <c r="M98" i="32" s="1"/>
  <c r="L98" i="5"/>
  <c r="K98" i="5"/>
  <c r="K98" i="32" s="1"/>
  <c r="J98" i="5"/>
  <c r="J98" i="32" s="1"/>
  <c r="I98" i="5"/>
  <c r="I98" i="32" s="1"/>
  <c r="H98" i="5"/>
  <c r="G98" i="5"/>
  <c r="G98" i="32" s="1"/>
  <c r="F98" i="5"/>
  <c r="F98" i="32" s="1"/>
  <c r="F99" i="32" s="1"/>
  <c r="E98" i="5"/>
  <c r="E98" i="32" s="1"/>
  <c r="D98" i="5"/>
  <c r="D98" i="32" s="1"/>
  <c r="C98" i="5"/>
  <c r="C98" i="32" s="1"/>
  <c r="N97" i="5"/>
  <c r="M97" i="5"/>
  <c r="M97" i="32" s="1"/>
  <c r="L97" i="5"/>
  <c r="L97" i="32" s="1"/>
  <c r="K97" i="5"/>
  <c r="J97" i="5"/>
  <c r="J97" i="32" s="1"/>
  <c r="I97" i="5"/>
  <c r="I97" i="32" s="1"/>
  <c r="I99" i="32" s="1"/>
  <c r="H97" i="5"/>
  <c r="H97" i="32" s="1"/>
  <c r="G97" i="5"/>
  <c r="G97" i="32"/>
  <c r="F97" i="5"/>
  <c r="E97" i="5"/>
  <c r="E97" i="32" s="1"/>
  <c r="D97" i="5"/>
  <c r="C97" i="5"/>
  <c r="C99" i="5" s="1"/>
  <c r="N93" i="5"/>
  <c r="N93" i="32" s="1"/>
  <c r="M93" i="5"/>
  <c r="L93" i="5"/>
  <c r="L93" i="32" s="1"/>
  <c r="K93" i="5"/>
  <c r="J93" i="5"/>
  <c r="J93" i="32" s="1"/>
  <c r="I93" i="5"/>
  <c r="I93" i="32" s="1"/>
  <c r="H93" i="5"/>
  <c r="G93" i="5"/>
  <c r="F93" i="5"/>
  <c r="F93" i="32" s="1"/>
  <c r="E93" i="5"/>
  <c r="E93" i="32" s="1"/>
  <c r="D93" i="5"/>
  <c r="D93" i="32" s="1"/>
  <c r="C93" i="5"/>
  <c r="C93" i="32" s="1"/>
  <c r="N92" i="5"/>
  <c r="N94" i="5" s="1"/>
  <c r="M92" i="5"/>
  <c r="M92" i="32"/>
  <c r="L92" i="5"/>
  <c r="L92" i="32" s="1"/>
  <c r="L94" i="32" s="1"/>
  <c r="K92" i="5"/>
  <c r="K92" i="32" s="1"/>
  <c r="J92" i="5"/>
  <c r="J92" i="32" s="1"/>
  <c r="J94" i="32" s="1"/>
  <c r="I92" i="5"/>
  <c r="I92" i="32" s="1"/>
  <c r="H92" i="5"/>
  <c r="H92" i="32" s="1"/>
  <c r="G92" i="5"/>
  <c r="F92" i="5"/>
  <c r="F92" i="32" s="1"/>
  <c r="F94" i="32" s="1"/>
  <c r="E92" i="5"/>
  <c r="D92" i="5"/>
  <c r="D94" i="5"/>
  <c r="C92" i="5"/>
  <c r="N88" i="5"/>
  <c r="N88" i="32" s="1"/>
  <c r="M88" i="5"/>
  <c r="M88" i="32" s="1"/>
  <c r="L88" i="5"/>
  <c r="K88" i="5"/>
  <c r="K88" i="32" s="1"/>
  <c r="K89" i="32" s="1"/>
  <c r="J88" i="5"/>
  <c r="J89" i="5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C88" i="5"/>
  <c r="C88" i="32" s="1"/>
  <c r="N87" i="5"/>
  <c r="N87" i="32" s="1"/>
  <c r="N89" i="32" s="1"/>
  <c r="M87" i="5"/>
  <c r="M87" i="32" s="1"/>
  <c r="L87" i="5"/>
  <c r="L89" i="5" s="1"/>
  <c r="K87" i="5"/>
  <c r="J87" i="5"/>
  <c r="I87" i="5"/>
  <c r="H87" i="5"/>
  <c r="G87" i="5"/>
  <c r="G89" i="5" s="1"/>
  <c r="F87" i="5"/>
  <c r="E87" i="5"/>
  <c r="D87" i="5"/>
  <c r="C87" i="5"/>
  <c r="N74" i="5"/>
  <c r="M74" i="5"/>
  <c r="M74" i="32" s="1"/>
  <c r="L74" i="5"/>
  <c r="L74" i="32" s="1"/>
  <c r="K74" i="5"/>
  <c r="J74" i="5"/>
  <c r="I74" i="5"/>
  <c r="I74" i="32" s="1"/>
  <c r="H74" i="5"/>
  <c r="G74" i="5"/>
  <c r="F74" i="5"/>
  <c r="F74" i="32" s="1"/>
  <c r="E74" i="5"/>
  <c r="E74" i="32" s="1"/>
  <c r="D74" i="5"/>
  <c r="D74" i="32" s="1"/>
  <c r="C74" i="5"/>
  <c r="C74" i="32" s="1"/>
  <c r="N68" i="5"/>
  <c r="N68" i="32" s="1"/>
  <c r="M68" i="5"/>
  <c r="L68" i="5"/>
  <c r="L68" i="32" s="1"/>
  <c r="K68" i="5"/>
  <c r="K68" i="32" s="1"/>
  <c r="J68" i="5"/>
  <c r="I68" i="5"/>
  <c r="I68" i="32" s="1"/>
  <c r="H68" i="5"/>
  <c r="H68" i="32" s="1"/>
  <c r="G68" i="5"/>
  <c r="F68" i="5"/>
  <c r="F68" i="32" s="1"/>
  <c r="E68" i="5"/>
  <c r="D68" i="5"/>
  <c r="C68" i="5"/>
  <c r="C68" i="32" s="1"/>
  <c r="I99" i="5"/>
  <c r="F94" i="5"/>
  <c r="N89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/>
  <c r="O29" i="10"/>
  <c r="O5" i="10" s="1"/>
  <c r="N29" i="10"/>
  <c r="N5" i="10"/>
  <c r="M29" i="10"/>
  <c r="M5" i="10" s="1"/>
  <c r="L29" i="10"/>
  <c r="L5" i="10"/>
  <c r="K29" i="10"/>
  <c r="K5" i="10" s="1"/>
  <c r="J29" i="10"/>
  <c r="J5" i="10"/>
  <c r="I29" i="10"/>
  <c r="I5" i="10" s="1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R27" i="10" s="1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R28" i="10" s="1"/>
  <c r="F27" i="10"/>
  <c r="F26" i="10"/>
  <c r="C1" i="5"/>
  <c r="C1" i="32" s="1"/>
  <c r="R38" i="10"/>
  <c r="R37" i="10"/>
  <c r="R35" i="10"/>
  <c r="R25" i="10"/>
  <c r="O88" i="5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H74" i="32"/>
  <c r="J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H87" i="32"/>
  <c r="L87" i="32"/>
  <c r="H93" i="32"/>
  <c r="L98" i="32"/>
  <c r="D4" i="32"/>
  <c r="E4" i="32"/>
  <c r="F4" i="32"/>
  <c r="G4" i="32"/>
  <c r="H4" i="32"/>
  <c r="I4" i="32"/>
  <c r="J4" i="32"/>
  <c r="K4" i="32"/>
  <c r="L4" i="32"/>
  <c r="M4" i="32"/>
  <c r="N4" i="32"/>
  <c r="O4" i="32"/>
  <c r="N97" i="32"/>
  <c r="F97" i="32"/>
  <c r="L88" i="32"/>
  <c r="J87" i="32"/>
  <c r="N92" i="32"/>
  <c r="N94" i="32" s="1"/>
  <c r="D92" i="32"/>
  <c r="O98" i="5"/>
  <c r="O92" i="5"/>
  <c r="E68" i="32"/>
  <c r="G68" i="32"/>
  <c r="M68" i="32"/>
  <c r="G74" i="32"/>
  <c r="J74" i="32"/>
  <c r="G87" i="32"/>
  <c r="K87" i="32"/>
  <c r="K89" i="5"/>
  <c r="E92" i="32"/>
  <c r="E94" i="5"/>
  <c r="K93" i="32"/>
  <c r="L99" i="5"/>
  <c r="D68" i="32"/>
  <c r="K74" i="32"/>
  <c r="E87" i="32"/>
  <c r="E89" i="32" s="1"/>
  <c r="E89" i="5"/>
  <c r="I87" i="32"/>
  <c r="I89" i="5"/>
  <c r="C92" i="32"/>
  <c r="G93" i="32"/>
  <c r="C97" i="32"/>
  <c r="C99" i="32" s="1"/>
  <c r="L94" i="5"/>
  <c r="F5" i="10"/>
  <c r="H89" i="32"/>
  <c r="H5" i="10"/>
  <c r="C136" i="10"/>
  <c r="D136" i="10" s="1"/>
  <c r="C746" i="10"/>
  <c r="D746" i="10" s="1"/>
  <c r="C51" i="10"/>
  <c r="D51" i="10" s="1"/>
  <c r="C918" i="10"/>
  <c r="D918" i="10" s="1"/>
  <c r="C189" i="10"/>
  <c r="D189" i="10" s="1"/>
  <c r="C88" i="10"/>
  <c r="D88" i="10" s="1"/>
  <c r="C625" i="10"/>
  <c r="D625" i="10" s="1"/>
  <c r="C782" i="10"/>
  <c r="D782" i="10" s="1"/>
  <c r="C721" i="10"/>
  <c r="D721" i="10" s="1"/>
  <c r="C125" i="10"/>
  <c r="D125" i="10" s="1"/>
  <c r="C114" i="10"/>
  <c r="D114" i="10" s="1"/>
  <c r="C596" i="10"/>
  <c r="D596" i="10" s="1"/>
  <c r="C831" i="10"/>
  <c r="D831" i="10" s="1"/>
  <c r="C738" i="10"/>
  <c r="D738" i="10" s="1"/>
  <c r="C714" i="10"/>
  <c r="D714" i="10" s="1"/>
  <c r="C664" i="10"/>
  <c r="D664" i="10" s="1"/>
  <c r="C763" i="10"/>
  <c r="D763" i="10" s="1"/>
  <c r="C985" i="10"/>
  <c r="D985" i="10" s="1"/>
  <c r="C176" i="10"/>
  <c r="D176" i="10" s="1"/>
  <c r="C998" i="10"/>
  <c r="D998" i="10" s="1"/>
  <c r="C108" i="10"/>
  <c r="D108" i="10" s="1"/>
  <c r="C512" i="10"/>
  <c r="D512" i="10" s="1"/>
  <c r="C955" i="10"/>
  <c r="D955" i="10" s="1"/>
  <c r="C845" i="10"/>
  <c r="D845" i="10" s="1"/>
  <c r="C231" i="10"/>
  <c r="D231" i="10" s="1"/>
  <c r="C98" i="10"/>
  <c r="D98" i="10" s="1"/>
  <c r="C194" i="10"/>
  <c r="D194" i="10" s="1"/>
  <c r="C300" i="10"/>
  <c r="D300" i="10" s="1"/>
  <c r="C786" i="10"/>
  <c r="D786" i="10" s="1"/>
  <c r="C659" i="10"/>
  <c r="D659" i="10" s="1"/>
  <c r="C678" i="10"/>
  <c r="D678" i="10" s="1"/>
  <c r="C720" i="10"/>
  <c r="D720" i="10" s="1"/>
  <c r="C747" i="10"/>
  <c r="D747" i="10" s="1"/>
  <c r="C361" i="10"/>
  <c r="D361" i="10" s="1"/>
  <c r="C196" i="10"/>
  <c r="D196" i="10" s="1"/>
  <c r="C838" i="10"/>
  <c r="D838" i="10" s="1"/>
  <c r="C962" i="10"/>
  <c r="D962" i="10" s="1"/>
  <c r="C624" i="10"/>
  <c r="D624" i="10" s="1"/>
  <c r="C442" i="10"/>
  <c r="D442" i="10" s="1"/>
  <c r="C229" i="10"/>
  <c r="D229" i="10" s="1"/>
  <c r="C89" i="10"/>
  <c r="D89" i="10" s="1"/>
  <c r="C944" i="10"/>
  <c r="D944" i="10" s="1"/>
  <c r="C851" i="10"/>
  <c r="D851" i="10" s="1"/>
  <c r="C789" i="10"/>
  <c r="D789" i="10" s="1"/>
  <c r="C905" i="10"/>
  <c r="D905" i="10" s="1"/>
  <c r="C134" i="10"/>
  <c r="D134" i="10" s="1"/>
  <c r="C118" i="10"/>
  <c r="D118" i="10" s="1"/>
  <c r="C45" i="10"/>
  <c r="D45" i="10" s="1"/>
  <c r="C261" i="10"/>
  <c r="D261" i="10" s="1"/>
  <c r="C806" i="10"/>
  <c r="D806" i="10" s="1"/>
  <c r="C891" i="10"/>
  <c r="D891" i="10" s="1"/>
  <c r="C844" i="10"/>
  <c r="D844" i="10" s="1"/>
  <c r="C930" i="10"/>
  <c r="D930" i="10" s="1"/>
  <c r="C39" i="10"/>
  <c r="D39" i="10" s="1"/>
  <c r="C251" i="10"/>
  <c r="D251" i="10" s="1"/>
  <c r="C401" i="10"/>
  <c r="D401" i="10" s="1"/>
  <c r="C505" i="10"/>
  <c r="D505" i="10" s="1"/>
  <c r="C564" i="10"/>
  <c r="D564" i="10" s="1"/>
  <c r="C92" i="10"/>
  <c r="D92" i="10"/>
  <c r="C58" i="10"/>
  <c r="D58" i="10" s="1"/>
  <c r="C42" i="10"/>
  <c r="D42" i="10" s="1"/>
  <c r="C244" i="10"/>
  <c r="D244" i="10" s="1"/>
  <c r="C439" i="10"/>
  <c r="D439" i="10" s="1"/>
  <c r="C756" i="10"/>
  <c r="D756" i="10"/>
  <c r="C571" i="10"/>
  <c r="D571" i="10" s="1"/>
  <c r="C290" i="10"/>
  <c r="D290" i="10" s="1"/>
  <c r="C310" i="10"/>
  <c r="D310" i="10" s="1"/>
  <c r="C372" i="10"/>
  <c r="D372" i="10" s="1"/>
  <c r="C453" i="10"/>
  <c r="D453" i="10" s="1"/>
  <c r="C499" i="10"/>
  <c r="D499" i="10" s="1"/>
  <c r="C772" i="10"/>
  <c r="D772" i="10"/>
  <c r="C591" i="10"/>
  <c r="D591" i="10" s="1"/>
  <c r="C646" i="10"/>
  <c r="D646" i="10" s="1"/>
  <c r="C890" i="10"/>
  <c r="D890" i="10" s="1"/>
  <c r="C863" i="10"/>
  <c r="D863" i="10" s="1"/>
  <c r="C115" i="10"/>
  <c r="D115" i="10"/>
  <c r="C797" i="10"/>
  <c r="D797" i="10" s="1"/>
  <c r="C753" i="10"/>
  <c r="D753" i="10" s="1"/>
  <c r="C263" i="10"/>
  <c r="D263" i="10" s="1"/>
  <c r="C644" i="10"/>
  <c r="D644" i="10" s="1"/>
  <c r="C107" i="10"/>
  <c r="D107" i="10" s="1"/>
  <c r="C403" i="10"/>
  <c r="D403" i="10" s="1"/>
  <c r="C730" i="10"/>
  <c r="D730" i="10" s="1"/>
  <c r="C618" i="10"/>
  <c r="D618" i="10" s="1"/>
  <c r="C599" i="10"/>
  <c r="D599" i="10" s="1"/>
  <c r="C522" i="10"/>
  <c r="D522" i="10" s="1"/>
  <c r="C26" i="10"/>
  <c r="D26" i="10" s="1"/>
  <c r="C642" i="10"/>
  <c r="D642" i="10" s="1"/>
  <c r="C556" i="10"/>
  <c r="D556" i="10" s="1"/>
  <c r="C531" i="10"/>
  <c r="D531" i="10" s="1"/>
  <c r="C492" i="10"/>
  <c r="D492" i="10"/>
  <c r="C440" i="10"/>
  <c r="D440" i="10" s="1"/>
  <c r="C412" i="10"/>
  <c r="D412" i="10" s="1"/>
  <c r="C406" i="10"/>
  <c r="D406" i="10" s="1"/>
  <c r="C390" i="10"/>
  <c r="D390" i="10" s="1"/>
  <c r="C366" i="10"/>
  <c r="D366" i="10" s="1"/>
  <c r="C350" i="10"/>
  <c r="D350" i="10" s="1"/>
  <c r="C342" i="10"/>
  <c r="D342" i="10" s="1"/>
  <c r="C326" i="10"/>
  <c r="D326" i="10" s="1"/>
  <c r="C304" i="10"/>
  <c r="D304" i="10" s="1"/>
  <c r="C288" i="10"/>
  <c r="D288" i="10" s="1"/>
  <c r="C280" i="10"/>
  <c r="D280" i="10" s="1"/>
  <c r="C264" i="10"/>
  <c r="D264" i="10" s="1"/>
  <c r="C778" i="10"/>
  <c r="D778" i="10" s="1"/>
  <c r="C638" i="10"/>
  <c r="D638" i="10" s="1"/>
  <c r="C604" i="10"/>
  <c r="D604" i="10" s="1"/>
  <c r="C561" i="10"/>
  <c r="D561" i="10" s="1"/>
  <c r="C462" i="10"/>
  <c r="D462" i="10" s="1"/>
  <c r="C419" i="10"/>
  <c r="D419" i="10" s="1"/>
  <c r="C389" i="10"/>
  <c r="D389" i="10" s="1"/>
  <c r="C722" i="10"/>
  <c r="D722" i="10" s="1"/>
  <c r="C733" i="10"/>
  <c r="D733" i="10" s="1"/>
  <c r="C221" i="10"/>
  <c r="D221" i="10" s="1"/>
  <c r="C277" i="10"/>
  <c r="D277" i="10" s="1"/>
  <c r="C135" i="10"/>
  <c r="D135" i="10" s="1"/>
  <c r="C830" i="10"/>
  <c r="D830" i="10" s="1"/>
  <c r="C525" i="10"/>
  <c r="D525" i="10" s="1"/>
  <c r="C689" i="10"/>
  <c r="D689" i="10" s="1"/>
  <c r="C867" i="10"/>
  <c r="D867" i="10" s="1"/>
  <c r="C81" i="10"/>
  <c r="D81" i="10" s="1"/>
  <c r="C819" i="10"/>
  <c r="D819" i="10" s="1"/>
  <c r="C911" i="10"/>
  <c r="D911" i="10" s="1"/>
  <c r="C97" i="10"/>
  <c r="D97" i="10" s="1"/>
  <c r="C817" i="10"/>
  <c r="D817" i="10" s="1"/>
  <c r="C175" i="10"/>
  <c r="D175" i="10" s="1"/>
  <c r="C593" i="10"/>
  <c r="D593" i="10" s="1"/>
  <c r="C759" i="10"/>
  <c r="D759" i="10" s="1"/>
  <c r="C607" i="10"/>
  <c r="D607" i="10" s="1"/>
  <c r="C567" i="10"/>
  <c r="D567" i="10" s="1"/>
  <c r="C546" i="10"/>
  <c r="D546" i="10" s="1"/>
  <c r="C503" i="10"/>
  <c r="D503" i="10" s="1"/>
  <c r="C679" i="10"/>
  <c r="D679" i="10" s="1"/>
  <c r="C581" i="10"/>
  <c r="D581" i="10" s="1"/>
  <c r="C549" i="10"/>
  <c r="D549" i="10" s="1"/>
  <c r="C496" i="10"/>
  <c r="D496" i="10" s="1"/>
  <c r="C429" i="10"/>
  <c r="D429" i="10" s="1"/>
  <c r="C392" i="10"/>
  <c r="D392" i="10" s="1"/>
  <c r="C380" i="10"/>
  <c r="D380" i="10" s="1"/>
  <c r="C360" i="10"/>
  <c r="D360" i="10" s="1"/>
  <c r="C328" i="10"/>
  <c r="D328" i="10" s="1"/>
  <c r="C308" i="10"/>
  <c r="D308" i="10" s="1"/>
  <c r="C298" i="10"/>
  <c r="D298" i="10" s="1"/>
  <c r="C276" i="10"/>
  <c r="D276" i="10" s="1"/>
  <c r="C254" i="10"/>
  <c r="D254" i="10" s="1"/>
  <c r="C711" i="10"/>
  <c r="D711" i="10" s="1"/>
  <c r="C590" i="10"/>
  <c r="D590" i="10" s="1"/>
  <c r="C533" i="10"/>
  <c r="D533" i="10" s="1"/>
  <c r="C447" i="10"/>
  <c r="D447" i="10" s="1"/>
  <c r="C373" i="10"/>
  <c r="D373" i="10" s="1"/>
  <c r="C598" i="10"/>
  <c r="D598" i="10" s="1"/>
  <c r="C516" i="10"/>
  <c r="D516" i="10" s="1"/>
  <c r="C459" i="10"/>
  <c r="D459" i="10" s="1"/>
  <c r="C391" i="10"/>
  <c r="D391" i="10" s="1"/>
  <c r="C321" i="10"/>
  <c r="D321" i="10" s="1"/>
  <c r="C265" i="10"/>
  <c r="D265" i="10" s="1"/>
  <c r="C234" i="10"/>
  <c r="D234" i="10" s="1"/>
  <c r="C218" i="10"/>
  <c r="D218" i="10" s="1"/>
  <c r="C198" i="10"/>
  <c r="D198" i="10" s="1"/>
  <c r="C36" i="10"/>
  <c r="D36" i="10" s="1"/>
  <c r="C52" i="10"/>
  <c r="D52" i="10" s="1"/>
  <c r="C741" i="10"/>
  <c r="D741" i="10" s="1"/>
  <c r="C474" i="10"/>
  <c r="D474" i="10" s="1"/>
  <c r="C192" i="10"/>
  <c r="D192" i="10" s="1"/>
  <c r="C968" i="10"/>
  <c r="D968" i="10" s="1"/>
  <c r="C788" i="10"/>
  <c r="D788" i="10" s="1"/>
  <c r="C663" i="10"/>
  <c r="D663" i="10" s="1"/>
  <c r="C602" i="10"/>
  <c r="D602" i="10" s="1"/>
  <c r="C562" i="10"/>
  <c r="D562" i="10" s="1"/>
  <c r="C519" i="10"/>
  <c r="D519" i="10" s="1"/>
  <c r="C479" i="10"/>
  <c r="D479" i="10" s="1"/>
  <c r="C654" i="10"/>
  <c r="D654" i="10" s="1"/>
  <c r="C574" i="10"/>
  <c r="D574" i="10" s="1"/>
  <c r="C517" i="10"/>
  <c r="D517" i="10" s="1"/>
  <c r="C464" i="10"/>
  <c r="D464" i="10" s="1"/>
  <c r="C421" i="10"/>
  <c r="D421" i="10" s="1"/>
  <c r="C400" i="10"/>
  <c r="D400" i="10" s="1"/>
  <c r="C378" i="10"/>
  <c r="D378" i="10" s="1"/>
  <c r="C356" i="10"/>
  <c r="D356" i="10" s="1"/>
  <c r="C336" i="10"/>
  <c r="D336" i="10" s="1"/>
  <c r="C306" i="10"/>
  <c r="D306" i="10" s="1"/>
  <c r="C284" i="10"/>
  <c r="D284" i="10" s="1"/>
  <c r="C262" i="10"/>
  <c r="D262" i="10" s="1"/>
  <c r="C794" i="10"/>
  <c r="D794" i="10" s="1"/>
  <c r="C620" i="10"/>
  <c r="D620" i="10" s="1"/>
  <c r="C557" i="10"/>
  <c r="D557" i="10" s="1"/>
  <c r="C465" i="10"/>
  <c r="D465" i="10" s="1"/>
  <c r="C405" i="10"/>
  <c r="D405" i="10" s="1"/>
  <c r="C706" i="10"/>
  <c r="D706" i="10" s="1"/>
  <c r="C541" i="10"/>
  <c r="D541" i="10" s="1"/>
  <c r="C473" i="10"/>
  <c r="D473" i="10" s="1"/>
  <c r="C377" i="10"/>
  <c r="D377" i="10" s="1"/>
  <c r="C257" i="10"/>
  <c r="D257" i="10" s="1"/>
  <c r="C232" i="10"/>
  <c r="D232" i="10" s="1"/>
  <c r="C224" i="10"/>
  <c r="D224" i="10" s="1"/>
  <c r="C186" i="10"/>
  <c r="D186" i="10" s="1"/>
  <c r="C202" i="10"/>
  <c r="D202" i="10" s="1"/>
  <c r="C46" i="10"/>
  <c r="D46" i="10" s="1"/>
  <c r="C70" i="10"/>
  <c r="D70" i="10" s="1"/>
  <c r="C94" i="10"/>
  <c r="D94" i="10" s="1"/>
  <c r="C613" i="10"/>
  <c r="D613" i="10" s="1"/>
  <c r="C621" i="10"/>
  <c r="D621" i="10" s="1"/>
  <c r="C645" i="10"/>
  <c r="D645" i="10" s="1"/>
  <c r="C675" i="10"/>
  <c r="D675" i="10" s="1"/>
  <c r="C704" i="10"/>
  <c r="D704" i="10" s="1"/>
  <c r="C712" i="10"/>
  <c r="D712" i="10" s="1"/>
  <c r="C739" i="10"/>
  <c r="D739" i="10" s="1"/>
  <c r="C750" i="10"/>
  <c r="D750" i="10" s="1"/>
  <c r="C771" i="10"/>
  <c r="D771" i="10" s="1"/>
  <c r="C812" i="10"/>
  <c r="D812" i="10" s="1"/>
  <c r="C483" i="10"/>
  <c r="D483" i="10" s="1"/>
  <c r="C418" i="10"/>
  <c r="D418" i="10" s="1"/>
  <c r="C253" i="10"/>
  <c r="D253" i="10" s="1"/>
  <c r="C35" i="10"/>
  <c r="D35" i="10" s="1"/>
  <c r="C793" i="10"/>
  <c r="D793" i="10" s="1"/>
  <c r="C665" i="10"/>
  <c r="D665" i="10" s="1"/>
  <c r="C906" i="10"/>
  <c r="D906" i="10" s="1"/>
  <c r="C837" i="10"/>
  <c r="D837" i="10" s="1"/>
  <c r="C910" i="10"/>
  <c r="D910" i="10" s="1"/>
  <c r="C843" i="10"/>
  <c r="D843" i="10" s="1"/>
  <c r="C765" i="10"/>
  <c r="D765" i="10" s="1"/>
  <c r="C467" i="10"/>
  <c r="D467" i="10" s="1"/>
  <c r="C369" i="10"/>
  <c r="D369" i="10" s="1"/>
  <c r="C259" i="10"/>
  <c r="D259" i="10" s="1"/>
  <c r="C117" i="10"/>
  <c r="D117" i="10" s="1"/>
  <c r="C133" i="10"/>
  <c r="D133" i="10" s="1"/>
  <c r="C187" i="10"/>
  <c r="D187" i="10" s="1"/>
  <c r="C884" i="10"/>
  <c r="D884" i="10" s="1"/>
  <c r="C888" i="10"/>
  <c r="D888" i="10" s="1"/>
  <c r="C792" i="10"/>
  <c r="D792" i="10" s="1"/>
  <c r="C745" i="10"/>
  <c r="D745" i="10" s="1"/>
  <c r="C981" i="10"/>
  <c r="D981" i="10" s="1"/>
  <c r="C177" i="10"/>
  <c r="D177" i="10" s="1"/>
  <c r="C148" i="10"/>
  <c r="D148" i="10" s="1"/>
  <c r="C140" i="10"/>
  <c r="D140" i="10" s="1"/>
  <c r="C124" i="10"/>
  <c r="D124" i="10" s="1"/>
  <c r="C110" i="10"/>
  <c r="D110" i="10" s="1"/>
  <c r="C69" i="10"/>
  <c r="D69" i="10" s="1"/>
  <c r="C275" i="10"/>
  <c r="D275" i="10" s="1"/>
  <c r="C452" i="10"/>
  <c r="D452" i="10" s="1"/>
  <c r="C502" i="10"/>
  <c r="D502" i="10" s="1"/>
  <c r="C616" i="10"/>
  <c r="D616" i="10" s="1"/>
  <c r="C719" i="10"/>
  <c r="D719" i="10" s="1"/>
  <c r="C814" i="10"/>
  <c r="D814" i="10" s="1"/>
  <c r="C856" i="10"/>
  <c r="D856" i="10" s="1"/>
  <c r="C942" i="10"/>
  <c r="D942" i="10" s="1"/>
  <c r="C895" i="10"/>
  <c r="D895" i="10" s="1"/>
  <c r="C938" i="10"/>
  <c r="D938" i="10" s="1"/>
  <c r="C705" i="10"/>
  <c r="D705" i="10" s="1"/>
  <c r="C769" i="10"/>
  <c r="D769" i="10" s="1"/>
  <c r="C897" i="10"/>
  <c r="D897" i="10" s="1"/>
  <c r="C961" i="10"/>
  <c r="D961" i="10" s="1"/>
  <c r="C31" i="10"/>
  <c r="D31" i="10" s="1"/>
  <c r="C301" i="10"/>
  <c r="D301" i="10" s="1"/>
  <c r="C411" i="10"/>
  <c r="D411" i="10" s="1"/>
  <c r="C434" i="10"/>
  <c r="D434" i="10" s="1"/>
  <c r="C521" i="10"/>
  <c r="D521" i="10" s="1"/>
  <c r="C572" i="10"/>
  <c r="D572" i="10" s="1"/>
  <c r="C90" i="10"/>
  <c r="D90" i="10" s="1"/>
  <c r="C56" i="10"/>
  <c r="D56" i="10" s="1"/>
  <c r="C40" i="10"/>
  <c r="D40" i="10" s="1"/>
  <c r="C230" i="10"/>
  <c r="D230" i="10" s="1"/>
  <c r="C363" i="10"/>
  <c r="D363" i="10" s="1"/>
  <c r="C573" i="10"/>
  <c r="D573" i="10" s="1"/>
  <c r="C799" i="10"/>
  <c r="D799" i="10" s="1"/>
  <c r="C509" i="10"/>
  <c r="D509" i="10" s="1"/>
  <c r="C576" i="10"/>
  <c r="D576" i="10" s="1"/>
  <c r="C250" i="10"/>
  <c r="D250" i="10" s="1"/>
  <c r="C314" i="10"/>
  <c r="D314" i="10" s="1"/>
  <c r="C332" i="10"/>
  <c r="D332" i="10" s="1"/>
  <c r="C396" i="10"/>
  <c r="D396" i="10" s="1"/>
  <c r="C510" i="10"/>
  <c r="D510" i="10" s="1"/>
  <c r="C783" i="10"/>
  <c r="D783" i="10" s="1"/>
  <c r="C514" i="10"/>
  <c r="D514" i="10" s="1"/>
  <c r="C656" i="10"/>
  <c r="D656" i="10" s="1"/>
  <c r="C780" i="10"/>
  <c r="D780" i="10" s="1"/>
  <c r="C987" i="10"/>
  <c r="D987" i="10" s="1"/>
  <c r="C882" i="10"/>
  <c r="D882" i="10" s="1"/>
  <c r="O72" i="5"/>
  <c r="K72" i="5"/>
  <c r="K72" i="32" s="1"/>
  <c r="N72" i="5"/>
  <c r="N72" i="32" s="1"/>
  <c r="M63" i="5"/>
  <c r="M63" i="32" s="1"/>
  <c r="M72" i="5"/>
  <c r="M72" i="32" s="1"/>
  <c r="K77" i="5"/>
  <c r="K77" i="32" s="1"/>
  <c r="K63" i="5"/>
  <c r="K63" i="32" s="1"/>
  <c r="C64" i="5"/>
  <c r="C64" i="32" s="1"/>
  <c r="F71" i="5"/>
  <c r="F71" i="32" s="1"/>
  <c r="M78" i="5"/>
  <c r="M78" i="32" s="1"/>
  <c r="I75" i="5"/>
  <c r="D62" i="5"/>
  <c r="D62" i="32" s="1"/>
  <c r="I71" i="5"/>
  <c r="J75" i="5"/>
  <c r="J71" i="5"/>
  <c r="J71" i="32" s="1"/>
  <c r="G64" i="5"/>
  <c r="G64" i="32" s="1"/>
  <c r="M76" i="5"/>
  <c r="M76" i="32" s="1"/>
  <c r="H62" i="5"/>
  <c r="H62" i="32" s="1"/>
  <c r="O64" i="5"/>
  <c r="E77" i="5"/>
  <c r="E77" i="32" s="1"/>
  <c r="E71" i="5"/>
  <c r="E71" i="32" s="1"/>
  <c r="H70" i="5"/>
  <c r="H70" i="32" s="1"/>
  <c r="H76" i="5"/>
  <c r="H76" i="32" s="1"/>
  <c r="C62" i="5"/>
  <c r="C62" i="32" s="1"/>
  <c r="C71" i="5"/>
  <c r="C71" i="32" s="1"/>
  <c r="L63" i="5"/>
  <c r="L63" i="32" s="1"/>
  <c r="E62" i="5"/>
  <c r="E62" i="32" s="1"/>
  <c r="D70" i="5"/>
  <c r="D70" i="32" s="1"/>
  <c r="E69" i="5"/>
  <c r="E69" i="32" s="1"/>
  <c r="F64" i="5"/>
  <c r="F64" i="32" s="1"/>
  <c r="N71" i="5"/>
  <c r="N71" i="32" s="1"/>
  <c r="M69" i="5"/>
  <c r="D63" i="5"/>
  <c r="D63" i="32" s="1"/>
  <c r="D78" i="5"/>
  <c r="D78" i="32" s="1"/>
  <c r="C72" i="5"/>
  <c r="C72" i="32" s="1"/>
  <c r="O77" i="5"/>
  <c r="J69" i="5"/>
  <c r="L62" i="5"/>
  <c r="L62" i="32" s="1"/>
  <c r="I72" i="5"/>
  <c r="I72" i="32" s="1"/>
  <c r="L71" i="5"/>
  <c r="L71" i="32" s="1"/>
  <c r="I63" i="5"/>
  <c r="I63" i="32" s="1"/>
  <c r="N75" i="5"/>
  <c r="N75" i="32" s="1"/>
  <c r="J64" i="5"/>
  <c r="J64" i="32" s="1"/>
  <c r="C75" i="5"/>
  <c r="C75" i="32" s="1"/>
  <c r="E64" i="5"/>
  <c r="E64" i="32" s="1"/>
  <c r="I78" i="5"/>
  <c r="I78" i="32" s="1"/>
  <c r="F62" i="5"/>
  <c r="F62" i="32" s="1"/>
  <c r="K71" i="5"/>
  <c r="K71" i="32" s="1"/>
  <c r="D69" i="5"/>
  <c r="D69" i="32" s="1"/>
  <c r="G77" i="5"/>
  <c r="G77" i="32" s="1"/>
  <c r="O62" i="5"/>
  <c r="J78" i="5"/>
  <c r="J78" i="32" s="1"/>
  <c r="N63" i="5"/>
  <c r="N63" i="32" s="1"/>
  <c r="M70" i="5"/>
  <c r="M70" i="32" s="1"/>
  <c r="J76" i="5"/>
  <c r="J76" i="32" s="1"/>
  <c r="K75" i="5"/>
  <c r="M71" i="5"/>
  <c r="M71" i="32" s="1"/>
  <c r="E78" i="5"/>
  <c r="E78" i="32" s="1"/>
  <c r="J77" i="5"/>
  <c r="J77" i="32" s="1"/>
  <c r="G69" i="5"/>
  <c r="H64" i="5"/>
  <c r="H64" i="32" s="1"/>
  <c r="C76" i="5"/>
  <c r="C76" i="32" s="1"/>
  <c r="J62" i="5"/>
  <c r="J62" i="32" s="1"/>
  <c r="C69" i="5"/>
  <c r="H77" i="5"/>
  <c r="H77" i="32" s="1"/>
  <c r="F76" i="5"/>
  <c r="F76" i="32" s="1"/>
  <c r="K78" i="5"/>
  <c r="K78" i="32" s="1"/>
  <c r="J72" i="5"/>
  <c r="J72" i="32" s="1"/>
  <c r="H69" i="5"/>
  <c r="H63" i="5"/>
  <c r="H63" i="32" s="1"/>
  <c r="F78" i="5"/>
  <c r="F78" i="32" s="1"/>
  <c r="D1" i="21"/>
  <c r="B2" i="5"/>
  <c r="B2" i="32" s="1"/>
  <c r="C375" i="10"/>
  <c r="D375" i="10" s="1"/>
  <c r="C123" i="10"/>
  <c r="D123" i="10" s="1"/>
  <c r="C825" i="10"/>
  <c r="D825" i="10" s="1"/>
  <c r="C871" i="10"/>
  <c r="D871" i="10" s="1"/>
  <c r="C840" i="10"/>
  <c r="D840" i="10" s="1"/>
  <c r="C489" i="10"/>
  <c r="D489" i="10" s="1"/>
  <c r="C215" i="10"/>
  <c r="D215" i="10" s="1"/>
  <c r="C27" i="10"/>
  <c r="D27" i="10" s="1"/>
  <c r="C438" i="10"/>
  <c r="D438" i="10" s="1"/>
  <c r="C967" i="10"/>
  <c r="D967" i="10" s="1"/>
  <c r="C931" i="10"/>
  <c r="D931" i="10" s="1"/>
  <c r="C327" i="10"/>
  <c r="D327" i="10" s="1"/>
  <c r="C163" i="10"/>
  <c r="D163" i="10" s="1"/>
  <c r="C816" i="10"/>
  <c r="D816" i="10" s="1"/>
  <c r="C167" i="10"/>
  <c r="D167" i="10" s="1"/>
  <c r="C991" i="10"/>
  <c r="D991" i="10" s="1"/>
  <c r="C75" i="10"/>
  <c r="D75" i="10" s="1"/>
  <c r="C927" i="10"/>
  <c r="D927" i="10" s="1"/>
  <c r="C191" i="10"/>
  <c r="D191" i="10" s="1"/>
  <c r="C199" i="10"/>
  <c r="D199" i="10" s="1"/>
  <c r="C436" i="10"/>
  <c r="D436" i="10" s="1"/>
  <c r="C285" i="10"/>
  <c r="D285" i="10" s="1"/>
  <c r="C119" i="10"/>
  <c r="D119" i="10" s="1"/>
  <c r="C493" i="10"/>
  <c r="D493" i="10" s="1"/>
  <c r="C59" i="10"/>
  <c r="D59" i="10" s="1"/>
  <c r="C139" i="10"/>
  <c r="D139" i="10" s="1"/>
  <c r="C761" i="10"/>
  <c r="D761" i="10" s="1"/>
  <c r="C948" i="10"/>
  <c r="D948" i="10" s="1"/>
  <c r="C915" i="10"/>
  <c r="D915" i="10" s="1"/>
  <c r="C808" i="10"/>
  <c r="D808" i="10" s="1"/>
  <c r="C91" i="10"/>
  <c r="D91" i="10" s="1"/>
  <c r="C842" i="10"/>
  <c r="D842" i="10" s="1"/>
  <c r="C800" i="10"/>
  <c r="D800" i="10" s="1"/>
  <c r="C111" i="10"/>
  <c r="D111" i="10" s="1"/>
  <c r="C881" i="10"/>
  <c r="D881" i="10" s="1"/>
  <c r="C883" i="10"/>
  <c r="D883" i="10" s="1"/>
  <c r="C243" i="10"/>
  <c r="D243" i="10" s="1"/>
  <c r="C933" i="10"/>
  <c r="D933" i="10" s="1"/>
  <c r="C732" i="10"/>
  <c r="D732" i="10" s="1"/>
  <c r="C299" i="10"/>
  <c r="D299" i="10" s="1"/>
  <c r="C935" i="10"/>
  <c r="D935" i="10" s="1"/>
  <c r="C608" i="10"/>
  <c r="D608" i="10" s="1"/>
  <c r="C151" i="10"/>
  <c r="D151" i="10" s="1"/>
  <c r="C355" i="10"/>
  <c r="D355" i="10" s="1"/>
  <c r="C997" i="10"/>
  <c r="D997" i="10" s="1"/>
  <c r="C869" i="10"/>
  <c r="D869" i="10" s="1"/>
  <c r="C349" i="10"/>
  <c r="D349" i="10" s="1"/>
  <c r="C879" i="10"/>
  <c r="D879" i="10" s="1"/>
  <c r="G99" i="32"/>
  <c r="J79" i="5"/>
  <c r="J75" i="32"/>
  <c r="J69" i="32"/>
  <c r="R26" i="10"/>
  <c r="E99" i="32" l="1"/>
  <c r="F99" i="5"/>
  <c r="H99" i="5"/>
  <c r="O74" i="32"/>
  <c r="L75" i="5"/>
  <c r="E99" i="5"/>
  <c r="E75" i="5"/>
  <c r="E75" i="32" s="1"/>
  <c r="E94" i="32"/>
  <c r="H94" i="5"/>
  <c r="K94" i="5"/>
  <c r="M89" i="32"/>
  <c r="G89" i="32"/>
  <c r="L89" i="32"/>
  <c r="M89" i="5"/>
  <c r="J88" i="32"/>
  <c r="H89" i="5"/>
  <c r="I89" i="32"/>
  <c r="H69" i="32"/>
  <c r="G69" i="32"/>
  <c r="J73" i="32"/>
  <c r="I75" i="32"/>
  <c r="N98" i="32"/>
  <c r="N99" i="32" s="1"/>
  <c r="N99" i="5"/>
  <c r="I62" i="5"/>
  <c r="I62" i="32" s="1"/>
  <c r="C70" i="5"/>
  <c r="C70" i="32" s="1"/>
  <c r="K62" i="5"/>
  <c r="K62" i="32" s="1"/>
  <c r="L70" i="5"/>
  <c r="L70" i="32" s="1"/>
  <c r="D89" i="5"/>
  <c r="D88" i="32"/>
  <c r="D89" i="32" s="1"/>
  <c r="C988" i="10"/>
  <c r="D988" i="10" s="1"/>
  <c r="C846" i="10"/>
  <c r="D846" i="10" s="1"/>
  <c r="C908" i="10"/>
  <c r="D908" i="10" s="1"/>
  <c r="C744" i="10"/>
  <c r="D744" i="10" s="1"/>
  <c r="C404" i="10"/>
  <c r="D404" i="10" s="1"/>
  <c r="C982" i="10"/>
  <c r="D982" i="10" s="1"/>
  <c r="C74" i="10"/>
  <c r="D74" i="10" s="1"/>
  <c r="C947" i="10"/>
  <c r="D947" i="10" s="1"/>
  <c r="C169" i="10"/>
  <c r="D169" i="10" s="1"/>
  <c r="C737" i="10"/>
  <c r="D737" i="10" s="1"/>
  <c r="C690" i="10"/>
  <c r="D690" i="10" s="1"/>
  <c r="C633" i="10"/>
  <c r="D633" i="10" s="1"/>
  <c r="C162" i="10"/>
  <c r="D162" i="10" s="1"/>
  <c r="C781" i="10"/>
  <c r="D781" i="10" s="1"/>
  <c r="C923" i="10"/>
  <c r="D923" i="10" s="1"/>
  <c r="C802" i="10"/>
  <c r="D802" i="10" s="1"/>
  <c r="C832" i="10"/>
  <c r="D832" i="10" s="1"/>
  <c r="C152" i="10"/>
  <c r="D152" i="10" s="1"/>
  <c r="C520" i="10"/>
  <c r="D520" i="10" s="1"/>
  <c r="C865" i="10"/>
  <c r="D865" i="10" s="1"/>
  <c r="C319" i="10"/>
  <c r="D319" i="10" s="1"/>
  <c r="C238" i="10"/>
  <c r="D238" i="10" s="1"/>
  <c r="C672" i="10"/>
  <c r="D672" i="10" s="1"/>
  <c r="C766" i="10"/>
  <c r="D766" i="10" s="1"/>
  <c r="C868" i="10"/>
  <c r="D868" i="10" s="1"/>
  <c r="C179" i="10"/>
  <c r="D179" i="10" s="1"/>
  <c r="C325" i="10"/>
  <c r="D325" i="10" s="1"/>
  <c r="C994" i="10"/>
  <c r="D994" i="10" s="1"/>
  <c r="C539" i="10"/>
  <c r="D539" i="10" s="1"/>
  <c r="C529" i="10"/>
  <c r="D529" i="10" s="1"/>
  <c r="C278" i="10"/>
  <c r="D278" i="10" s="1"/>
  <c r="C700" i="10"/>
  <c r="D700" i="10" s="1"/>
  <c r="C609" i="10"/>
  <c r="D609" i="10" s="1"/>
  <c r="C699" i="10"/>
  <c r="D699" i="10" s="1"/>
  <c r="C755" i="10"/>
  <c r="D755" i="10" s="1"/>
  <c r="C235" i="10"/>
  <c r="D235" i="10" s="1"/>
  <c r="C828" i="10"/>
  <c r="D828" i="10" s="1"/>
  <c r="C245" i="10"/>
  <c r="D245" i="10" s="1"/>
  <c r="C157" i="10"/>
  <c r="D157" i="10" s="1"/>
  <c r="C903" i="10"/>
  <c r="D903" i="10" s="1"/>
  <c r="C680" i="10"/>
  <c r="D680" i="10" s="1"/>
  <c r="C185" i="10"/>
  <c r="D185" i="10" s="1"/>
  <c r="C144" i="10"/>
  <c r="D144" i="10" s="1"/>
  <c r="C85" i="10"/>
  <c r="D85" i="10" s="1"/>
  <c r="C874" i="10"/>
  <c r="D874" i="10" s="1"/>
  <c r="C217" i="10"/>
  <c r="D217" i="10" s="1"/>
  <c r="C168" i="10"/>
  <c r="D168" i="10" s="1"/>
  <c r="C241" i="10"/>
  <c r="D241" i="10" s="1"/>
  <c r="C601" i="10"/>
  <c r="D601" i="10" s="1"/>
  <c r="C87" i="10"/>
  <c r="D87" i="10" s="1"/>
  <c r="C696" i="10"/>
  <c r="D696" i="10" s="1"/>
  <c r="C878" i="10"/>
  <c r="D878" i="10" s="1"/>
  <c r="C302" i="10"/>
  <c r="D302" i="10" s="1"/>
  <c r="C757" i="10"/>
  <c r="D757" i="10" s="1"/>
  <c r="C320" i="10"/>
  <c r="D320" i="10" s="1"/>
  <c r="C708" i="10"/>
  <c r="D708" i="10" s="1"/>
  <c r="C821" i="10"/>
  <c r="D821" i="10" s="1"/>
  <c r="C53" i="10"/>
  <c r="D53" i="10" s="1"/>
  <c r="C344" i="10"/>
  <c r="D344" i="10" s="1"/>
  <c r="C617" i="10"/>
  <c r="D617" i="10" s="1"/>
  <c r="C317" i="10"/>
  <c r="D317" i="10" s="1"/>
  <c r="C660" i="10"/>
  <c r="D660" i="10" s="1"/>
  <c r="C146" i="10"/>
  <c r="D146" i="10" s="1"/>
  <c r="C587" i="10"/>
  <c r="D587" i="10" s="1"/>
  <c r="C478" i="10"/>
  <c r="D478" i="10" s="1"/>
  <c r="C657" i="10"/>
  <c r="D657" i="10" s="1"/>
  <c r="C718" i="10"/>
  <c r="D718" i="10" s="1"/>
  <c r="C818" i="10"/>
  <c r="D818" i="10" s="1"/>
  <c r="C773" i="10"/>
  <c r="D773" i="10" s="1"/>
  <c r="C407" i="10"/>
  <c r="D407" i="10" s="1"/>
  <c r="C974" i="10"/>
  <c r="D974" i="10" s="1"/>
  <c r="C213" i="10"/>
  <c r="D213" i="10" s="1"/>
  <c r="C128" i="10"/>
  <c r="D128" i="10" s="1"/>
  <c r="C247" i="10"/>
  <c r="D247" i="10" s="1"/>
  <c r="C477" i="10"/>
  <c r="D477" i="10" s="1"/>
  <c r="C835" i="10"/>
  <c r="D835" i="10" s="1"/>
  <c r="C917" i="10"/>
  <c r="D917" i="10" s="1"/>
  <c r="C801" i="10"/>
  <c r="D801" i="10" s="1"/>
  <c r="C283" i="10"/>
  <c r="D283" i="10" s="1"/>
  <c r="C222" i="10"/>
  <c r="D222" i="10" s="1"/>
  <c r="C536" i="10"/>
  <c r="D536" i="10" s="1"/>
  <c r="C552" i="10"/>
  <c r="D552" i="10" s="1"/>
  <c r="C322" i="10"/>
  <c r="D322" i="10" s="1"/>
  <c r="C481" i="10"/>
  <c r="D481" i="10" s="1"/>
  <c r="C495" i="10"/>
  <c r="D495" i="10" s="1"/>
  <c r="C904" i="10"/>
  <c r="D904" i="10" s="1"/>
  <c r="C631" i="10"/>
  <c r="D631" i="10" s="1"/>
  <c r="C686" i="10"/>
  <c r="D686" i="10" s="1"/>
  <c r="C742" i="10"/>
  <c r="D742" i="10" s="1"/>
  <c r="C371" i="10"/>
  <c r="D371" i="10" s="1"/>
  <c r="C922" i="10"/>
  <c r="D922" i="10" s="1"/>
  <c r="C872" i="10"/>
  <c r="D872" i="10" s="1"/>
  <c r="C105" i="10"/>
  <c r="D105" i="10" s="1"/>
  <c r="C154" i="10"/>
  <c r="D154" i="10" s="1"/>
  <c r="C279" i="10"/>
  <c r="D279" i="10" s="1"/>
  <c r="C422" i="10"/>
  <c r="D422" i="10" s="1"/>
  <c r="C655" i="10"/>
  <c r="D655" i="10" s="1"/>
  <c r="C670" i="10"/>
  <c r="D670" i="10" s="1"/>
  <c r="C829" i="10"/>
  <c r="D829" i="10" s="1"/>
  <c r="C570" i="10"/>
  <c r="D570" i="10" s="1"/>
  <c r="C455" i="10"/>
  <c r="D455" i="10" s="1"/>
  <c r="C309" i="10"/>
  <c r="D309" i="10" s="1"/>
  <c r="C269" i="10"/>
  <c r="D269" i="10" s="1"/>
  <c r="C681" i="10"/>
  <c r="D681" i="10" s="1"/>
  <c r="C67" i="10"/>
  <c r="D67" i="10" s="1"/>
  <c r="C96" i="10"/>
  <c r="D96" i="10" s="1"/>
  <c r="C724" i="10"/>
  <c r="D724" i="10" s="1"/>
  <c r="C688" i="10"/>
  <c r="D688" i="10" s="1"/>
  <c r="C824" i="10"/>
  <c r="D824" i="10" s="1"/>
  <c r="C909" i="10"/>
  <c r="D909" i="10" s="1"/>
  <c r="C34" i="10"/>
  <c r="D34" i="10" s="1"/>
  <c r="C487" i="10"/>
  <c r="D487" i="10" s="1"/>
  <c r="C534" i="10"/>
  <c r="D534" i="10" s="1"/>
  <c r="C943" i="10"/>
  <c r="D943" i="10" s="1"/>
  <c r="C857" i="10"/>
  <c r="D857" i="10" s="1"/>
  <c r="C395" i="10"/>
  <c r="D395" i="10" s="1"/>
  <c r="C610" i="10"/>
  <c r="D610" i="10" s="1"/>
  <c r="C907" i="10"/>
  <c r="D907" i="10" s="1"/>
  <c r="C623" i="10"/>
  <c r="D623" i="10" s="1"/>
  <c r="C725" i="10"/>
  <c r="D725" i="10" s="1"/>
  <c r="C239" i="10"/>
  <c r="D239" i="10" s="1"/>
  <c r="C710" i="10"/>
  <c r="D710" i="10" s="1"/>
  <c r="C220" i="10"/>
  <c r="D220" i="10" s="1"/>
  <c r="C715" i="10"/>
  <c r="D715" i="10" s="1"/>
  <c r="C208" i="10"/>
  <c r="D208" i="10" s="1"/>
  <c r="C963" i="10"/>
  <c r="D963" i="10" s="1"/>
  <c r="C48" i="10"/>
  <c r="D48" i="10" s="1"/>
  <c r="C622" i="10"/>
  <c r="D622" i="10" s="1"/>
  <c r="C666" i="10"/>
  <c r="D666" i="10" s="1"/>
  <c r="C847" i="10"/>
  <c r="D847" i="10" s="1"/>
  <c r="C116" i="10"/>
  <c r="D116" i="10" s="1"/>
  <c r="C204" i="10"/>
  <c r="D204" i="10" s="1"/>
  <c r="C547" i="10"/>
  <c r="D547" i="10" s="1"/>
  <c r="C641" i="10"/>
  <c r="D641" i="10" s="1"/>
  <c r="C736" i="10"/>
  <c r="D736" i="10" s="1"/>
  <c r="C880" i="10"/>
  <c r="D880" i="10" s="1"/>
  <c r="C73" i="10"/>
  <c r="D73" i="10" s="1"/>
  <c r="C885" i="10"/>
  <c r="D885" i="10" s="1"/>
  <c r="C339" i="10"/>
  <c r="D339" i="10" s="1"/>
  <c r="C770" i="10"/>
  <c r="D770" i="10" s="1"/>
  <c r="C79" i="10"/>
  <c r="D79" i="10" s="1"/>
  <c r="C460" i="10"/>
  <c r="D460" i="10" s="1"/>
  <c r="C84" i="10"/>
  <c r="D84" i="10" s="1"/>
  <c r="C409" i="10"/>
  <c r="D409" i="10" s="1"/>
  <c r="C364" i="10"/>
  <c r="D364" i="10" s="1"/>
  <c r="C592" i="10"/>
  <c r="D592" i="10" s="1"/>
  <c r="C723" i="10"/>
  <c r="D723" i="10" s="1"/>
  <c r="C784" i="10"/>
  <c r="D784" i="10" s="1"/>
  <c r="C219" i="10"/>
  <c r="D219" i="10" s="1"/>
  <c r="C995" i="10"/>
  <c r="D995" i="10" s="1"/>
  <c r="C701" i="10"/>
  <c r="D701" i="10" s="1"/>
  <c r="C855" i="10"/>
  <c r="D855" i="10" s="1"/>
  <c r="C809" i="10"/>
  <c r="D809" i="10" s="1"/>
  <c r="C138" i="10"/>
  <c r="D138" i="10" s="1"/>
  <c r="C184" i="10"/>
  <c r="D184" i="10" s="1"/>
  <c r="C870" i="10"/>
  <c r="D870" i="10" s="1"/>
  <c r="C973" i="10"/>
  <c r="D973" i="10" s="1"/>
  <c r="C315" i="10"/>
  <c r="D315" i="10" s="1"/>
  <c r="C582" i="10"/>
  <c r="D582" i="10" s="1"/>
  <c r="C50" i="10"/>
  <c r="D50" i="10" s="1"/>
  <c r="C329" i="10"/>
  <c r="D329" i="10" s="1"/>
  <c r="C668" i="10"/>
  <c r="D668" i="10" s="1"/>
  <c r="C258" i="10"/>
  <c r="D258" i="10" s="1"/>
  <c r="C384" i="10"/>
  <c r="D384" i="10" s="1"/>
  <c r="C703" i="10"/>
  <c r="D703" i="10" s="1"/>
  <c r="C141" i="10"/>
  <c r="D141" i="10" s="1"/>
  <c r="C535" i="10"/>
  <c r="D535" i="10" s="1"/>
  <c r="C303" i="10"/>
  <c r="D303" i="10" s="1"/>
  <c r="C190" i="10"/>
  <c r="D190" i="10" s="1"/>
  <c r="C93" i="10"/>
  <c r="D93" i="10" s="1"/>
  <c r="C443" i="10"/>
  <c r="D443" i="10" s="1"/>
  <c r="C120" i="10"/>
  <c r="D120" i="10" s="1"/>
  <c r="C458" i="10"/>
  <c r="D458" i="10" s="1"/>
  <c r="C399" i="10"/>
  <c r="D399" i="10" s="1"/>
  <c r="C550" i="10"/>
  <c r="D550" i="10" s="1"/>
  <c r="C160" i="10"/>
  <c r="D160" i="10" s="1"/>
  <c r="C387" i="10"/>
  <c r="D387" i="10" s="1"/>
  <c r="C64" i="10"/>
  <c r="D64" i="10" s="1"/>
  <c r="C282" i="10"/>
  <c r="D282" i="10" s="1"/>
  <c r="C615" i="10"/>
  <c r="D615" i="10" s="1"/>
  <c r="C707" i="10"/>
  <c r="D707" i="10" s="1"/>
  <c r="C823" i="10"/>
  <c r="D823" i="10" s="1"/>
  <c r="C729" i="10"/>
  <c r="D729" i="10" s="1"/>
  <c r="C957" i="10"/>
  <c r="D957" i="10" s="1"/>
  <c r="C137" i="10"/>
  <c r="D137" i="10" s="1"/>
  <c r="C822" i="10"/>
  <c r="D822" i="10" s="1"/>
  <c r="C173" i="10"/>
  <c r="D173" i="10" s="1"/>
  <c r="C652" i="10"/>
  <c r="D652" i="10" s="1"/>
  <c r="C951" i="10"/>
  <c r="D951" i="10" s="1"/>
  <c r="C76" i="10"/>
  <c r="D76" i="10" s="1"/>
  <c r="C451" i="10"/>
  <c r="D451" i="10" s="1"/>
  <c r="C340" i="10"/>
  <c r="D340" i="10" s="1"/>
  <c r="C530" i="10"/>
  <c r="D530" i="10" s="1"/>
  <c r="C619" i="10"/>
  <c r="D619" i="10" s="1"/>
  <c r="C643" i="10"/>
  <c r="D643" i="10" s="1"/>
  <c r="C691" i="10"/>
  <c r="D691" i="10" s="1"/>
  <c r="C728" i="10"/>
  <c r="D728" i="10" s="1"/>
  <c r="C787" i="10"/>
  <c r="D787" i="10" s="1"/>
  <c r="C501" i="10"/>
  <c r="D501" i="10" s="1"/>
  <c r="C83" i="10"/>
  <c r="D83" i="10" s="1"/>
  <c r="C709" i="10"/>
  <c r="D709" i="10" s="1"/>
  <c r="C921" i="10"/>
  <c r="D921" i="10" s="1"/>
  <c r="C785" i="10"/>
  <c r="D785" i="10" s="1"/>
  <c r="C379" i="10"/>
  <c r="D379" i="10" s="1"/>
  <c r="C41" i="10"/>
  <c r="D41" i="10" s="1"/>
  <c r="C161" i="10"/>
  <c r="D161" i="10" s="1"/>
  <c r="C892" i="10"/>
  <c r="D892" i="10" s="1"/>
  <c r="C803" i="10"/>
  <c r="D803" i="10" s="1"/>
  <c r="C841" i="10"/>
  <c r="D841" i="10" s="1"/>
  <c r="C181" i="10"/>
  <c r="D181" i="10" s="1"/>
  <c r="C150" i="10"/>
  <c r="D150" i="10" s="1"/>
  <c r="C112" i="10"/>
  <c r="D112" i="10" s="1"/>
  <c r="C225" i="10"/>
  <c r="D225" i="10" s="1"/>
  <c r="C494" i="10"/>
  <c r="D494" i="10" s="1"/>
  <c r="C695" i="10"/>
  <c r="D695" i="10" s="1"/>
  <c r="C934" i="10"/>
  <c r="D934" i="10" s="1"/>
  <c r="C887" i="10"/>
  <c r="D887" i="10" s="1"/>
  <c r="C813" i="10"/>
  <c r="D813" i="10" s="1"/>
  <c r="C103" i="10"/>
  <c r="D103" i="10" s="1"/>
  <c r="C287" i="10"/>
  <c r="D287" i="10" s="1"/>
  <c r="C428" i="10"/>
  <c r="D428" i="10" s="1"/>
  <c r="C104" i="10"/>
  <c r="D104" i="10" s="1"/>
  <c r="C72" i="10"/>
  <c r="D72" i="10" s="1"/>
  <c r="C228" i="10"/>
  <c r="D228" i="10" s="1"/>
  <c r="C359" i="10"/>
  <c r="D359" i="10" s="1"/>
  <c r="C426" i="10"/>
  <c r="D426" i="10" s="1"/>
  <c r="C650" i="10"/>
  <c r="D650" i="10" s="1"/>
  <c r="C330" i="10"/>
  <c r="D330" i="10" s="1"/>
  <c r="C394" i="10"/>
  <c r="D394" i="10" s="1"/>
  <c r="C632" i="10"/>
  <c r="D632" i="10" s="1"/>
  <c r="C551" i="10"/>
  <c r="D551" i="10" s="1"/>
  <c r="C558" i="10"/>
  <c r="D558" i="10" s="1"/>
  <c r="C682" i="10"/>
  <c r="D682" i="10" s="1"/>
  <c r="C861" i="10"/>
  <c r="D861" i="10" s="1"/>
  <c r="C540" i="10"/>
  <c r="D540" i="10" s="1"/>
  <c r="C960" i="10"/>
  <c r="D960" i="10" s="1"/>
  <c r="C990" i="10"/>
  <c r="D990" i="10" s="1"/>
  <c r="C775" i="10"/>
  <c r="D775" i="10" s="1"/>
  <c r="C640" i="10"/>
  <c r="D640" i="10" s="1"/>
  <c r="C538" i="10"/>
  <c r="D538" i="10" s="1"/>
  <c r="C490" i="10"/>
  <c r="D490" i="10" s="1"/>
  <c r="C595" i="10"/>
  <c r="D595" i="10" s="1"/>
  <c r="C337" i="10"/>
  <c r="D337" i="10" s="1"/>
  <c r="C470" i="10"/>
  <c r="D470" i="10" s="1"/>
  <c r="C697" i="10"/>
  <c r="D697" i="10" s="1"/>
  <c r="C912" i="10"/>
  <c r="D912" i="10" s="1"/>
  <c r="C29" i="10"/>
  <c r="D29" i="10" s="1"/>
  <c r="C260" i="10"/>
  <c r="D260" i="10" s="1"/>
  <c r="C827" i="10"/>
  <c r="D827" i="10" s="1"/>
  <c r="C674" i="10"/>
  <c r="D674" i="10" s="1"/>
  <c r="C859" i="10"/>
  <c r="D859" i="10" s="1"/>
  <c r="C925" i="10"/>
  <c r="D925" i="10" s="1"/>
  <c r="C929" i="10"/>
  <c r="D929" i="10" s="1"/>
  <c r="C555" i="10"/>
  <c r="D555" i="10" s="1"/>
  <c r="C32" i="10"/>
  <c r="D32" i="10" s="1"/>
  <c r="C397" i="10"/>
  <c r="D397" i="10" s="1"/>
  <c r="C408" i="10"/>
  <c r="D408" i="10" s="1"/>
  <c r="C575" i="10"/>
  <c r="D575" i="10" s="1"/>
  <c r="C532" i="10"/>
  <c r="D532" i="10" s="1"/>
  <c r="C171" i="10"/>
  <c r="D171" i="10" s="1"/>
  <c r="C713" i="10"/>
  <c r="D713" i="10" s="1"/>
  <c r="C122" i="10"/>
  <c r="D122" i="10" s="1"/>
  <c r="C1000" i="10"/>
  <c r="D1000" i="10" s="1"/>
  <c r="C717" i="10"/>
  <c r="D717" i="10" s="1"/>
  <c r="C55" i="10"/>
  <c r="D55" i="10" s="1"/>
  <c r="C480" i="10"/>
  <c r="D480" i="10" s="1"/>
  <c r="C463" i="10"/>
  <c r="D463" i="10" s="1"/>
  <c r="C600" i="10"/>
  <c r="D600" i="10" s="1"/>
  <c r="C432" i="10"/>
  <c r="D432" i="10" s="1"/>
  <c r="C612" i="10"/>
  <c r="D612" i="10" s="1"/>
  <c r="C627" i="10"/>
  <c r="D627" i="10" s="1"/>
  <c r="C671" i="10"/>
  <c r="D671" i="10" s="1"/>
  <c r="C702" i="10"/>
  <c r="D702" i="10" s="1"/>
  <c r="C768" i="10"/>
  <c r="D768" i="10" s="1"/>
  <c r="C807" i="10"/>
  <c r="D807" i="10" s="1"/>
  <c r="C267" i="10"/>
  <c r="D267" i="10" s="1"/>
  <c r="C965" i="10"/>
  <c r="D965" i="10" s="1"/>
  <c r="C858" i="10"/>
  <c r="D858" i="10" s="1"/>
  <c r="C862" i="10"/>
  <c r="D862" i="10" s="1"/>
  <c r="C515" i="10"/>
  <c r="D515" i="10" s="1"/>
  <c r="C295" i="10"/>
  <c r="D295" i="10" s="1"/>
  <c r="C129" i="10"/>
  <c r="D129" i="10" s="1"/>
  <c r="C211" i="10"/>
  <c r="D211" i="10" s="1"/>
  <c r="C896" i="10"/>
  <c r="D896" i="10" s="1"/>
  <c r="C693" i="10"/>
  <c r="D693" i="10" s="1"/>
  <c r="C209" i="10"/>
  <c r="D209" i="10" s="1"/>
  <c r="C166" i="10"/>
  <c r="D166" i="10" s="1"/>
  <c r="C126" i="10"/>
  <c r="D126" i="10" s="1"/>
  <c r="C77" i="10"/>
  <c r="D77" i="10" s="1"/>
  <c r="C343" i="10"/>
  <c r="D343" i="10" s="1"/>
  <c r="C553" i="10"/>
  <c r="D553" i="10" s="1"/>
  <c r="C848" i="10"/>
  <c r="D848" i="10" s="1"/>
  <c r="C976" i="10"/>
  <c r="D976" i="10" s="1"/>
  <c r="C685" i="10"/>
  <c r="D685" i="10" s="1"/>
  <c r="C877" i="10"/>
  <c r="D877" i="10" s="1"/>
  <c r="C172" i="10"/>
  <c r="D172" i="10" s="1"/>
  <c r="C989" i="10"/>
  <c r="D989" i="10" s="1"/>
  <c r="C826" i="10"/>
  <c r="D826" i="10" s="1"/>
  <c r="C900" i="10"/>
  <c r="D900" i="10" s="1"/>
  <c r="C291" i="10"/>
  <c r="D291" i="10" s="1"/>
  <c r="C850" i="10"/>
  <c r="D850" i="10" s="1"/>
  <c r="C28" i="10"/>
  <c r="D28" i="10" s="1"/>
  <c r="D36" i="5" s="1"/>
  <c r="D36" i="32" s="1"/>
  <c r="C920" i="10"/>
  <c r="D920" i="10" s="1"/>
  <c r="C952" i="10"/>
  <c r="D952" i="10" s="1"/>
  <c r="C735" i="10"/>
  <c r="D735" i="10" s="1"/>
  <c r="C43" i="10"/>
  <c r="D43" i="10" s="1"/>
  <c r="M75" i="5"/>
  <c r="O70" i="5"/>
  <c r="G78" i="5"/>
  <c r="G78" i="32" s="1"/>
  <c r="G62" i="5"/>
  <c r="G62" i="32" s="1"/>
  <c r="G70" i="5"/>
  <c r="G70" i="32" s="1"/>
  <c r="G73" i="32" s="1"/>
  <c r="N69" i="5"/>
  <c r="D75" i="5"/>
  <c r="L64" i="5"/>
  <c r="L64" i="32" s="1"/>
  <c r="D76" i="5"/>
  <c r="D76" i="32" s="1"/>
  <c r="N64" i="5"/>
  <c r="N64" i="32" s="1"/>
  <c r="H72" i="5"/>
  <c r="H72" i="32" s="1"/>
  <c r="E70" i="5"/>
  <c r="L69" i="5"/>
  <c r="K76" i="5"/>
  <c r="K76" i="32" s="1"/>
  <c r="N70" i="5"/>
  <c r="N70" i="32" s="1"/>
  <c r="F69" i="5"/>
  <c r="F69" i="32" s="1"/>
  <c r="N77" i="5"/>
  <c r="N77" i="32" s="1"/>
  <c r="O71" i="5"/>
  <c r="I69" i="5"/>
  <c r="I69" i="32" s="1"/>
  <c r="L77" i="5"/>
  <c r="L77" i="32" s="1"/>
  <c r="L72" i="5"/>
  <c r="L72" i="32" s="1"/>
  <c r="J70" i="5"/>
  <c r="J70" i="32" s="1"/>
  <c r="L78" i="5"/>
  <c r="L78" i="32" s="1"/>
  <c r="F70" i="5"/>
  <c r="F70" i="32" s="1"/>
  <c r="L76" i="5"/>
  <c r="L76" i="32" s="1"/>
  <c r="H75" i="5"/>
  <c r="G63" i="5"/>
  <c r="G63" i="32" s="1"/>
  <c r="N76" i="5"/>
  <c r="N76" i="32" s="1"/>
  <c r="C950" i="10"/>
  <c r="D950" i="10" s="1"/>
  <c r="C335" i="10"/>
  <c r="D335" i="10" s="1"/>
  <c r="C594" i="10"/>
  <c r="D594" i="10" s="1"/>
  <c r="C648" i="10"/>
  <c r="D648" i="10" s="1"/>
  <c r="C461" i="10"/>
  <c r="D461" i="10" s="1"/>
  <c r="C376" i="10"/>
  <c r="D376" i="10" s="1"/>
  <c r="C292" i="10"/>
  <c r="D292" i="10" s="1"/>
  <c r="C673" i="10"/>
  <c r="D673" i="10" s="1"/>
  <c r="C430" i="10"/>
  <c r="D430" i="10" s="1"/>
  <c r="C497" i="10"/>
  <c r="D497" i="10" s="1"/>
  <c r="C305" i="10"/>
  <c r="D305" i="10" s="1"/>
  <c r="C174" i="10"/>
  <c r="D174" i="10" s="1"/>
  <c r="C68" i="10"/>
  <c r="D68" i="10" s="1"/>
  <c r="C100" i="10"/>
  <c r="D100" i="10" s="1"/>
  <c r="C347" i="10"/>
  <c r="D347" i="10" s="1"/>
  <c r="C255" i="10"/>
  <c r="D255" i="10" s="1"/>
  <c r="C63" i="10"/>
  <c r="D63" i="10" s="1"/>
  <c r="C980" i="10"/>
  <c r="D980" i="10" s="1"/>
  <c r="C852" i="10"/>
  <c r="D852" i="10" s="1"/>
  <c r="C569" i="10"/>
  <c r="D569" i="10" s="1"/>
  <c r="C367" i="10"/>
  <c r="D367" i="10" s="1"/>
  <c r="C233" i="10"/>
  <c r="D233" i="10" s="1"/>
  <c r="C101" i="10"/>
  <c r="D101" i="10" s="1"/>
  <c r="C132" i="10"/>
  <c r="D132" i="10" s="1"/>
  <c r="C156" i="10"/>
  <c r="D156" i="10" s="1"/>
  <c r="C193" i="10"/>
  <c r="D193" i="10" s="1"/>
  <c r="C919" i="10"/>
  <c r="D919" i="10" s="1"/>
  <c r="C936" i="10"/>
  <c r="D936" i="10" s="1"/>
  <c r="C932" i="10"/>
  <c r="D932" i="10" s="1"/>
  <c r="C165" i="10"/>
  <c r="D165" i="10" s="1"/>
  <c r="C417" i="10"/>
  <c r="D417" i="10" s="1"/>
  <c r="C565" i="10"/>
  <c r="D565" i="10" s="1"/>
  <c r="C893" i="10"/>
  <c r="D893" i="10" s="1"/>
  <c r="C954" i="10"/>
  <c r="D954" i="10" s="1"/>
  <c r="C916" i="10"/>
  <c r="D916" i="10" s="1"/>
  <c r="C331" i="10"/>
  <c r="D331" i="10" s="1"/>
  <c r="C584" i="10"/>
  <c r="D584" i="10" s="1"/>
  <c r="C791" i="10"/>
  <c r="D791" i="10" s="1"/>
  <c r="C760" i="10"/>
  <c r="D760" i="10" s="1"/>
  <c r="C731" i="10"/>
  <c r="D731" i="10" s="1"/>
  <c r="C694" i="10"/>
  <c r="D694" i="10" s="1"/>
  <c r="C662" i="10"/>
  <c r="D662" i="10" s="1"/>
  <c r="C637" i="10"/>
  <c r="D637" i="10" s="1"/>
  <c r="C86" i="10"/>
  <c r="D86" i="10" s="1"/>
  <c r="C62" i="10"/>
  <c r="D62" i="10" s="1"/>
  <c r="C38" i="10"/>
  <c r="D38" i="10" s="1"/>
  <c r="C240" i="10"/>
  <c r="D240" i="10" s="1"/>
  <c r="C313" i="10"/>
  <c r="D313" i="10" s="1"/>
  <c r="C425" i="10"/>
  <c r="D425" i="10" s="1"/>
  <c r="C504" i="10"/>
  <c r="D504" i="10" s="1"/>
  <c r="C579" i="10"/>
  <c r="D579" i="10" s="1"/>
  <c r="C365" i="10"/>
  <c r="D365" i="10" s="1"/>
  <c r="C433" i="10"/>
  <c r="D433" i="10" s="1"/>
  <c r="C523" i="10"/>
  <c r="D523" i="10" s="1"/>
  <c r="C585" i="10"/>
  <c r="D585" i="10" s="1"/>
  <c r="C687" i="10"/>
  <c r="D687" i="10" s="1"/>
  <c r="C252" i="10"/>
  <c r="D252" i="10" s="1"/>
  <c r="C274" i="10"/>
  <c r="D274" i="10" s="1"/>
  <c r="C294" i="10"/>
  <c r="D294" i="10" s="1"/>
  <c r="C324" i="10"/>
  <c r="D324" i="10" s="1"/>
  <c r="C346" i="10"/>
  <c r="D346" i="10" s="1"/>
  <c r="C368" i="10"/>
  <c r="D368" i="10" s="1"/>
  <c r="C388" i="10"/>
  <c r="D388" i="10" s="1"/>
  <c r="C410" i="10"/>
  <c r="D410" i="10" s="1"/>
  <c r="C445" i="10"/>
  <c r="D445" i="10" s="1"/>
  <c r="C485" i="10"/>
  <c r="D485" i="10" s="1"/>
  <c r="C545" i="10"/>
  <c r="D545" i="10" s="1"/>
  <c r="C606" i="10"/>
  <c r="D606" i="10" s="1"/>
  <c r="C743" i="10"/>
  <c r="D743" i="10" s="1"/>
  <c r="C498" i="10"/>
  <c r="D498" i="10" s="1"/>
  <c r="C543" i="10"/>
  <c r="D543" i="10" s="1"/>
  <c r="C578" i="10"/>
  <c r="D578" i="10" s="1"/>
  <c r="C628" i="10"/>
  <c r="D628" i="10" s="1"/>
  <c r="C751" i="10"/>
  <c r="D751" i="10" s="1"/>
  <c r="C155" i="10"/>
  <c r="D155" i="10" s="1"/>
  <c r="C159" i="10"/>
  <c r="D159" i="10" s="1"/>
  <c r="C385" i="10"/>
  <c r="D385" i="10" s="1"/>
  <c r="C798" i="10"/>
  <c r="D798" i="10" s="1"/>
  <c r="C60" i="10"/>
  <c r="D60" i="10" s="1"/>
  <c r="C44" i="10"/>
  <c r="D44" i="10" s="1"/>
  <c r="C40" i="5" s="1"/>
  <c r="C40" i="32" s="1"/>
  <c r="C214" i="10"/>
  <c r="D214" i="10" s="1"/>
  <c r="C182" i="10"/>
  <c r="D182" i="10" s="1"/>
  <c r="C226" i="10"/>
  <c r="D226" i="10" s="1"/>
  <c r="C242" i="10"/>
  <c r="D242" i="10" s="1"/>
  <c r="C289" i="10"/>
  <c r="D289" i="10" s="1"/>
  <c r="C353" i="10"/>
  <c r="D353" i="10" s="1"/>
  <c r="C435" i="10"/>
  <c r="D435" i="10" s="1"/>
  <c r="C484" i="10"/>
  <c r="D484" i="10" s="1"/>
  <c r="C548" i="10"/>
  <c r="D548" i="10" s="1"/>
  <c r="C740" i="10"/>
  <c r="D740" i="10" s="1"/>
  <c r="C413" i="10"/>
  <c r="D413" i="10" s="1"/>
  <c r="C476" i="10"/>
  <c r="D476" i="10" s="1"/>
  <c r="C566" i="10"/>
  <c r="D566" i="10" s="1"/>
  <c r="C630" i="10"/>
  <c r="D630" i="10" s="1"/>
  <c r="C820" i="10"/>
  <c r="D820" i="10" s="1"/>
  <c r="C266" i="10"/>
  <c r="D266" i="10" s="1"/>
  <c r="C286" i="10"/>
  <c r="D286" i="10" s="1"/>
  <c r="C338" i="10"/>
  <c r="D338" i="10" s="1"/>
  <c r="C370" i="10"/>
  <c r="D370" i="10" s="1"/>
  <c r="C448" i="10"/>
  <c r="D448" i="10" s="1"/>
  <c r="C524" i="10"/>
  <c r="D524" i="10" s="1"/>
  <c r="C764" i="10"/>
  <c r="D764" i="10" s="1"/>
  <c r="C527" i="10"/>
  <c r="D527" i="10" s="1"/>
  <c r="C634" i="10"/>
  <c r="D634" i="10" s="1"/>
  <c r="C804" i="10"/>
  <c r="D804" i="10" s="1"/>
  <c r="C143" i="10"/>
  <c r="D143" i="10" s="1"/>
  <c r="C423" i="10"/>
  <c r="D423" i="10" s="1"/>
  <c r="C953" i="10"/>
  <c r="D953" i="10" s="1"/>
  <c r="C227" i="10"/>
  <c r="D227" i="10" s="1"/>
  <c r="C131" i="10"/>
  <c r="D131" i="10" s="1"/>
  <c r="C834" i="10"/>
  <c r="D834" i="10" s="1"/>
  <c r="C614" i="10"/>
  <c r="D614" i="10" s="1"/>
  <c r="C357" i="10"/>
  <c r="D357" i="10" s="1"/>
  <c r="C500" i="10"/>
  <c r="D500" i="10" s="1"/>
  <c r="C580" i="10"/>
  <c r="D580" i="10" s="1"/>
  <c r="C248" i="10"/>
  <c r="D248" i="10" s="1"/>
  <c r="C272" i="10"/>
  <c r="D272" i="10" s="1"/>
  <c r="C312" i="10"/>
  <c r="D312" i="10" s="1"/>
  <c r="C334" i="10"/>
  <c r="D334" i="10" s="1"/>
  <c r="C374" i="10"/>
  <c r="D374" i="10" s="1"/>
  <c r="C398" i="10"/>
  <c r="D398" i="10" s="1"/>
  <c r="C456" i="10"/>
  <c r="D456" i="10" s="1"/>
  <c r="C513" i="10"/>
  <c r="D513" i="10" s="1"/>
  <c r="C684" i="10"/>
  <c r="D684" i="10" s="1"/>
  <c r="C506" i="10"/>
  <c r="D506" i="10" s="1"/>
  <c r="C554" i="10"/>
  <c r="D554" i="10" s="1"/>
  <c r="C889" i="10"/>
  <c r="D889" i="10" s="1"/>
  <c r="C127" i="10"/>
  <c r="D127" i="10" s="1"/>
  <c r="C475" i="10"/>
  <c r="D475" i="10" s="1"/>
  <c r="C180" i="10"/>
  <c r="D180" i="10" s="1"/>
  <c r="C669" i="10"/>
  <c r="D669" i="10" s="1"/>
  <c r="C271" i="10"/>
  <c r="D271" i="10" s="1"/>
  <c r="C414" i="10"/>
  <c r="D414" i="10" s="1"/>
  <c r="C352" i="10"/>
  <c r="D352" i="10" s="1"/>
  <c r="C268" i="10"/>
  <c r="D268" i="10" s="1"/>
  <c r="C568" i="10"/>
  <c r="D568" i="10" s="1"/>
  <c r="C297" i="10"/>
  <c r="D297" i="10" s="1"/>
  <c r="C178" i="10"/>
  <c r="D178" i="10" s="1"/>
  <c r="C466" i="10"/>
  <c r="D466" i="10" s="1"/>
  <c r="C333" i="10"/>
  <c r="D333" i="10" s="1"/>
  <c r="C71" i="10"/>
  <c r="D71" i="10" s="1"/>
  <c r="C749" i="10"/>
  <c r="D749" i="10" s="1"/>
  <c r="C978" i="10"/>
  <c r="D978" i="10" s="1"/>
  <c r="C446" i="10"/>
  <c r="D446" i="10" s="1"/>
  <c r="C142" i="10"/>
  <c r="D142" i="10" s="1"/>
  <c r="C197" i="10"/>
  <c r="D197" i="10" s="1"/>
  <c r="C836" i="10"/>
  <c r="D836" i="10" s="1"/>
  <c r="C145" i="10"/>
  <c r="D145" i="10" s="1"/>
  <c r="C996" i="10"/>
  <c r="D996" i="10" s="1"/>
  <c r="C966" i="10"/>
  <c r="D966" i="10" s="1"/>
  <c r="C431" i="10"/>
  <c r="D431" i="10" s="1"/>
  <c r="C776" i="10"/>
  <c r="D776" i="10" s="1"/>
  <c r="C651" i="10"/>
  <c r="D651" i="10" s="1"/>
  <c r="C611" i="10"/>
  <c r="D611" i="10" s="1"/>
  <c r="C528" i="10"/>
  <c r="D528" i="10" s="1"/>
  <c r="C420" i="10"/>
  <c r="D420" i="10" s="1"/>
  <c r="C937" i="10"/>
  <c r="D937" i="10" s="1"/>
  <c r="C323" i="10"/>
  <c r="D323" i="10" s="1"/>
  <c r="C518" i="10"/>
  <c r="D518" i="10" s="1"/>
  <c r="C647" i="10"/>
  <c r="D647" i="10" s="1"/>
  <c r="C281" i="10"/>
  <c r="D281" i="10" s="1"/>
  <c r="C188" i="10"/>
  <c r="D188" i="10" s="1"/>
  <c r="C777" i="10"/>
  <c r="D777" i="10" s="1"/>
  <c r="C977" i="10"/>
  <c r="D977" i="10" s="1"/>
  <c r="K69" i="5"/>
  <c r="C661" i="10"/>
  <c r="D661" i="10" s="1"/>
  <c r="C47" i="10"/>
  <c r="D47" i="10" s="1"/>
  <c r="C381" i="10"/>
  <c r="D381" i="10" s="1"/>
  <c r="C106" i="10"/>
  <c r="D106" i="10" s="1"/>
  <c r="R29" i="10"/>
  <c r="R5" i="10" s="1"/>
  <c r="K75" i="32"/>
  <c r="C49" i="10"/>
  <c r="D49" i="10" s="1"/>
  <c r="C875" i="10"/>
  <c r="D875" i="10" s="1"/>
  <c r="C902" i="10"/>
  <c r="D902" i="10" s="1"/>
  <c r="C924" i="10"/>
  <c r="D924" i="10" s="1"/>
  <c r="C544" i="10"/>
  <c r="D544" i="10" s="1"/>
  <c r="C946" i="10"/>
  <c r="D946" i="10" s="1"/>
  <c r="C945" i="10"/>
  <c r="D945" i="10" s="1"/>
  <c r="C393" i="10"/>
  <c r="D393" i="10" s="1"/>
  <c r="C341" i="10"/>
  <c r="D341" i="10" s="1"/>
  <c r="C147" i="10"/>
  <c r="D147" i="10" s="1"/>
  <c r="C979" i="10"/>
  <c r="D979" i="10" s="1"/>
  <c r="C508" i="10"/>
  <c r="D508" i="10" s="1"/>
  <c r="C383" i="10"/>
  <c r="D383" i="10" s="1"/>
  <c r="C956" i="10"/>
  <c r="D956" i="10" s="1"/>
  <c r="C65" i="10"/>
  <c r="D65" i="10" s="1"/>
  <c r="C864" i="10"/>
  <c r="D864" i="10" s="1"/>
  <c r="C939" i="10"/>
  <c r="D939" i="10" s="1"/>
  <c r="C975" i="10"/>
  <c r="D975" i="10" s="1"/>
  <c r="C207" i="10"/>
  <c r="D207" i="10" s="1"/>
  <c r="C33" i="10"/>
  <c r="D33" i="10" s="1"/>
  <c r="C526" i="10"/>
  <c r="D526" i="10" s="1"/>
  <c r="O76" i="5"/>
  <c r="D77" i="5"/>
  <c r="D77" i="32" s="1"/>
  <c r="E76" i="5"/>
  <c r="C63" i="5"/>
  <c r="C63" i="32" s="1"/>
  <c r="C77" i="5"/>
  <c r="C77" i="32" s="1"/>
  <c r="C79" i="32" s="1"/>
  <c r="J63" i="5"/>
  <c r="J63" i="32" s="1"/>
  <c r="D71" i="5"/>
  <c r="D71" i="32" s="1"/>
  <c r="D73" i="32" s="1"/>
  <c r="D64" i="5"/>
  <c r="D64" i="32" s="1"/>
  <c r="N62" i="5"/>
  <c r="N62" i="32" s="1"/>
  <c r="G71" i="5"/>
  <c r="G71" i="32" s="1"/>
  <c r="M64" i="5"/>
  <c r="M64" i="32" s="1"/>
  <c r="O78" i="5"/>
  <c r="I64" i="5"/>
  <c r="I64" i="32" s="1"/>
  <c r="H71" i="5"/>
  <c r="H71" i="32" s="1"/>
  <c r="O63" i="5"/>
  <c r="G76" i="5"/>
  <c r="G76" i="32" s="1"/>
  <c r="C78" i="5"/>
  <c r="C78" i="32" s="1"/>
  <c r="O78" i="32" s="1"/>
  <c r="D72" i="5"/>
  <c r="D72" i="32" s="1"/>
  <c r="I70" i="5"/>
  <c r="I70" i="32" s="1"/>
  <c r="F72" i="5"/>
  <c r="F72" i="32" s="1"/>
  <c r="F63" i="5"/>
  <c r="F63" i="32" s="1"/>
  <c r="K64" i="5"/>
  <c r="K64" i="32" s="1"/>
  <c r="M62" i="5"/>
  <c r="M62" i="32" s="1"/>
  <c r="I77" i="5"/>
  <c r="I77" i="32" s="1"/>
  <c r="F75" i="5"/>
  <c r="G75" i="5"/>
  <c r="E63" i="5"/>
  <c r="E63" i="32" s="1"/>
  <c r="G72" i="5"/>
  <c r="G72" i="32" s="1"/>
  <c r="E72" i="5"/>
  <c r="E72" i="32" s="1"/>
  <c r="M77" i="5"/>
  <c r="M77" i="32" s="1"/>
  <c r="N78" i="5"/>
  <c r="N78" i="32" s="1"/>
  <c r="F77" i="5"/>
  <c r="F77" i="32" s="1"/>
  <c r="O77" i="32" s="1"/>
  <c r="H78" i="5"/>
  <c r="H78" i="32" s="1"/>
  <c r="I76" i="5"/>
  <c r="I76" i="32" s="1"/>
  <c r="C237" i="10"/>
  <c r="D237" i="10" s="1"/>
  <c r="C559" i="10"/>
  <c r="D559" i="10" s="1"/>
  <c r="C563" i="10"/>
  <c r="D563" i="10" s="1"/>
  <c r="C416" i="10"/>
  <c r="D416" i="10" s="1"/>
  <c r="C354" i="10"/>
  <c r="D354" i="10" s="1"/>
  <c r="C270" i="10"/>
  <c r="D270" i="10" s="1"/>
  <c r="C449" i="10"/>
  <c r="D449" i="10" s="1"/>
  <c r="C249" i="10"/>
  <c r="D249" i="10" s="1"/>
  <c r="C206" i="10"/>
  <c r="D206" i="10" s="1"/>
  <c r="C80" i="10"/>
  <c r="D80" i="10" s="1"/>
  <c r="C636" i="10"/>
  <c r="D636" i="10" s="1"/>
  <c r="C471" i="10"/>
  <c r="D471" i="10" s="1"/>
  <c r="C223" i="10"/>
  <c r="D223" i="10" s="1"/>
  <c r="C95" i="10"/>
  <c r="D95" i="10" s="1"/>
  <c r="C833" i="10"/>
  <c r="D833" i="10" s="1"/>
  <c r="C984" i="10"/>
  <c r="D984" i="10" s="1"/>
  <c r="C899" i="10"/>
  <c r="D899" i="10" s="1"/>
  <c r="C986" i="10"/>
  <c r="D986" i="10" s="1"/>
  <c r="C311" i="10"/>
  <c r="D311" i="10" s="1"/>
  <c r="C200" i="10"/>
  <c r="D200" i="10" s="1"/>
  <c r="C164" i="10"/>
  <c r="D164" i="10" s="1"/>
  <c r="C205" i="10"/>
  <c r="D205" i="10" s="1"/>
  <c r="C853" i="10"/>
  <c r="D853" i="10" s="1"/>
  <c r="C839" i="10"/>
  <c r="D839" i="10" s="1"/>
  <c r="C992" i="10"/>
  <c r="D992" i="10" s="1"/>
  <c r="K70" i="5"/>
  <c r="K70" i="32" s="1"/>
  <c r="C149" i="10"/>
  <c r="D149" i="10" s="1"/>
  <c r="C57" i="10"/>
  <c r="D57" i="10" s="1"/>
  <c r="C810" i="10"/>
  <c r="D810" i="10" s="1"/>
  <c r="C795" i="10"/>
  <c r="D795" i="10" s="1"/>
  <c r="C958" i="10"/>
  <c r="D958" i="10" s="1"/>
  <c r="C99" i="10"/>
  <c r="D99" i="10" s="1"/>
  <c r="C716" i="10"/>
  <c r="D716" i="10" s="1"/>
  <c r="C779" i="10"/>
  <c r="D779" i="10" s="1"/>
  <c r="C683" i="10"/>
  <c r="D683" i="10" s="1"/>
  <c r="C653" i="10"/>
  <c r="D653" i="10" s="1"/>
  <c r="C629" i="10"/>
  <c r="D629" i="10" s="1"/>
  <c r="C102" i="10"/>
  <c r="D102" i="10" s="1"/>
  <c r="C78" i="10"/>
  <c r="D78" i="10" s="1"/>
  <c r="C54" i="10"/>
  <c r="D54" i="10" s="1"/>
  <c r="C30" i="10"/>
  <c r="D30" i="10" s="1"/>
  <c r="C170" i="10"/>
  <c r="D170" i="10" s="1"/>
  <c r="C345" i="10"/>
  <c r="D345" i="10" s="1"/>
  <c r="C454" i="10"/>
  <c r="D454" i="10" s="1"/>
  <c r="C316" i="10"/>
  <c r="D316" i="10" s="1"/>
  <c r="C348" i="10"/>
  <c r="D348" i="10" s="1"/>
  <c r="C402" i="10"/>
  <c r="D402" i="10" s="1"/>
  <c r="C469" i="10"/>
  <c r="D469" i="10" s="1"/>
  <c r="C626" i="10"/>
  <c r="D626" i="10" s="1"/>
  <c r="C482" i="10"/>
  <c r="D482" i="10" s="1"/>
  <c r="C586" i="10"/>
  <c r="D586" i="10" s="1"/>
  <c r="C692" i="10"/>
  <c r="D692" i="10" s="1"/>
  <c r="C886" i="10"/>
  <c r="D886" i="10" s="1"/>
  <c r="C212" i="10"/>
  <c r="D212" i="10" s="1"/>
  <c r="C450" i="10"/>
  <c r="D450" i="10" s="1"/>
  <c r="C898" i="10"/>
  <c r="D898" i="10" s="1"/>
  <c r="C183" i="10"/>
  <c r="D183" i="10" s="1"/>
  <c r="C971" i="10"/>
  <c r="D971" i="10" s="1"/>
  <c r="C507" i="10"/>
  <c r="D507" i="10" s="1"/>
  <c r="C605" i="10"/>
  <c r="D605" i="10" s="1"/>
  <c r="C444" i="10"/>
  <c r="D444" i="10" s="1"/>
  <c r="C537" i="10"/>
  <c r="D537" i="10" s="1"/>
  <c r="C698" i="10"/>
  <c r="D698" i="10" s="1"/>
  <c r="C256" i="10"/>
  <c r="D256" i="10" s="1"/>
  <c r="C296" i="10"/>
  <c r="D296" i="10" s="1"/>
  <c r="C318" i="10"/>
  <c r="D318" i="10" s="1"/>
  <c r="C358" i="10"/>
  <c r="D358" i="10" s="1"/>
  <c r="C382" i="10"/>
  <c r="D382" i="10" s="1"/>
  <c r="C424" i="10"/>
  <c r="D424" i="10" s="1"/>
  <c r="C472" i="10"/>
  <c r="D472" i="10" s="1"/>
  <c r="C577" i="10"/>
  <c r="D577" i="10" s="1"/>
  <c r="C754" i="10"/>
  <c r="D754" i="10" s="1"/>
  <c r="C583" i="10"/>
  <c r="D583" i="10" s="1"/>
  <c r="C676" i="10"/>
  <c r="D676" i="10" s="1"/>
  <c r="C815" i="10"/>
  <c r="D815" i="10" s="1"/>
  <c r="C805" i="10"/>
  <c r="D805" i="10" s="1"/>
  <c r="C854" i="10"/>
  <c r="D854" i="10" s="1"/>
  <c r="C964" i="10"/>
  <c r="D964" i="10" s="1"/>
  <c r="C767" i="10"/>
  <c r="D767" i="10" s="1"/>
  <c r="C511" i="10"/>
  <c r="D511" i="10" s="1"/>
  <c r="C560" i="10"/>
  <c r="D560" i="10" s="1"/>
  <c r="C246" i="10"/>
  <c r="D246" i="10" s="1"/>
  <c r="C486" i="10"/>
  <c r="D486" i="10" s="1"/>
  <c r="C491" i="10"/>
  <c r="D491" i="10" s="1"/>
  <c r="C210" i="10"/>
  <c r="D210" i="10" s="1"/>
  <c r="C82" i="10"/>
  <c r="D82" i="10" s="1"/>
  <c r="C597" i="10"/>
  <c r="D597" i="10" s="1"/>
  <c r="C941" i="10"/>
  <c r="D941" i="10" s="1"/>
  <c r="C972" i="10"/>
  <c r="D972" i="10" s="1"/>
  <c r="C603" i="10"/>
  <c r="D603" i="10" s="1"/>
  <c r="C307" i="10"/>
  <c r="D307" i="10" s="1"/>
  <c r="C158" i="10"/>
  <c r="D158" i="10" s="1"/>
  <c r="C969" i="10"/>
  <c r="D969" i="10" s="1"/>
  <c r="C940" i="10"/>
  <c r="D940" i="10" s="1"/>
  <c r="C113" i="10"/>
  <c r="D113" i="10" s="1"/>
  <c r="C913" i="10"/>
  <c r="D913" i="10" s="1"/>
  <c r="C914" i="10"/>
  <c r="D914" i="10" s="1"/>
  <c r="C762" i="10"/>
  <c r="D762" i="10" s="1"/>
  <c r="C758" i="10"/>
  <c r="D758" i="10" s="1"/>
  <c r="C635" i="10"/>
  <c r="D635" i="10" s="1"/>
  <c r="C790" i="10"/>
  <c r="D790" i="10" s="1"/>
  <c r="C236" i="10"/>
  <c r="D236" i="10" s="1"/>
  <c r="C415" i="10"/>
  <c r="D415" i="10" s="1"/>
  <c r="C866" i="10"/>
  <c r="D866" i="10" s="1"/>
  <c r="C61" i="10"/>
  <c r="D61" i="10" s="1"/>
  <c r="C926" i="10"/>
  <c r="D926" i="10" s="1"/>
  <c r="C894" i="10"/>
  <c r="D894" i="10" s="1"/>
  <c r="C748" i="10"/>
  <c r="D748" i="10" s="1"/>
  <c r="C677" i="10"/>
  <c r="D677" i="10" s="1"/>
  <c r="C216" i="10"/>
  <c r="D216" i="10" s="1"/>
  <c r="C203" i="10"/>
  <c r="D203" i="10" s="1"/>
  <c r="C649" i="10"/>
  <c r="D649" i="10" s="1"/>
  <c r="C811" i="10"/>
  <c r="D811" i="10" s="1"/>
  <c r="C928" i="10"/>
  <c r="D928" i="10" s="1"/>
  <c r="C66" i="10"/>
  <c r="D66" i="10" s="1"/>
  <c r="C121" i="10"/>
  <c r="D121" i="10" s="1"/>
  <c r="O74" i="5"/>
  <c r="O75" i="5" s="1"/>
  <c r="O97" i="5"/>
  <c r="O99" i="5" s="1"/>
  <c r="J89" i="32"/>
  <c r="D94" i="32"/>
  <c r="L99" i="32"/>
  <c r="O93" i="5"/>
  <c r="O94" i="5" s="1"/>
  <c r="O68" i="5"/>
  <c r="O69" i="5" s="1"/>
  <c r="O89" i="5"/>
  <c r="G92" i="32"/>
  <c r="G94" i="32" s="1"/>
  <c r="G94" i="5"/>
  <c r="D99" i="5"/>
  <c r="D97" i="32"/>
  <c r="D99" i="32" s="1"/>
  <c r="G99" i="5"/>
  <c r="C87" i="32"/>
  <c r="C89" i="5"/>
  <c r="F89" i="5"/>
  <c r="F87" i="32"/>
  <c r="F89" i="32" s="1"/>
  <c r="M94" i="5"/>
  <c r="J99" i="32"/>
  <c r="O68" i="32"/>
  <c r="K94" i="32"/>
  <c r="I94" i="32"/>
  <c r="C94" i="32"/>
  <c r="H94" i="32"/>
  <c r="J79" i="32"/>
  <c r="L75" i="32"/>
  <c r="C69" i="32"/>
  <c r="M73" i="5"/>
  <c r="M69" i="32"/>
  <c r="M73" i="32" s="1"/>
  <c r="I71" i="32"/>
  <c r="H98" i="32"/>
  <c r="O98" i="32" s="1"/>
  <c r="M94" i="32"/>
  <c r="M99" i="5"/>
  <c r="M93" i="32"/>
  <c r="O93" i="32" s="1"/>
  <c r="C983" i="10"/>
  <c r="D983" i="10" s="1"/>
  <c r="C949" i="10"/>
  <c r="D949" i="10" s="1"/>
  <c r="C734" i="10"/>
  <c r="D734" i="10" s="1"/>
  <c r="C386" i="10"/>
  <c r="D386" i="10" s="1"/>
  <c r="C441" i="10"/>
  <c r="D441" i="10" s="1"/>
  <c r="C849" i="10"/>
  <c r="D849" i="10" s="1"/>
  <c r="C993" i="10"/>
  <c r="D993" i="10" s="1"/>
  <c r="C667" i="10"/>
  <c r="D667" i="10" s="1"/>
  <c r="C130" i="10"/>
  <c r="D130" i="10" s="1"/>
  <c r="C727" i="10"/>
  <c r="D727" i="10" s="1"/>
  <c r="C774" i="10"/>
  <c r="D774" i="10" s="1"/>
  <c r="C195" i="10"/>
  <c r="D195" i="10" s="1"/>
  <c r="C427" i="10"/>
  <c r="D427" i="10" s="1"/>
  <c r="C589" i="10"/>
  <c r="D589" i="10" s="1"/>
  <c r="C542" i="10"/>
  <c r="D542" i="10" s="1"/>
  <c r="C796" i="10"/>
  <c r="D796" i="10" s="1"/>
  <c r="C970" i="10"/>
  <c r="D970" i="10" s="1"/>
  <c r="C457" i="10"/>
  <c r="D457" i="10" s="1"/>
  <c r="C658" i="10"/>
  <c r="D658" i="10" s="1"/>
  <c r="C588" i="10"/>
  <c r="D588" i="10" s="1"/>
  <c r="C752" i="10"/>
  <c r="D752" i="10" s="1"/>
  <c r="C876" i="10"/>
  <c r="D876" i="10" s="1"/>
  <c r="C153" i="10"/>
  <c r="D153" i="10" s="1"/>
  <c r="C201" i="10"/>
  <c r="D201" i="10" s="1"/>
  <c r="C293" i="10"/>
  <c r="D293" i="10" s="1"/>
  <c r="C959" i="10"/>
  <c r="D959" i="10" s="1"/>
  <c r="C488" i="10"/>
  <c r="D488" i="10" s="1"/>
  <c r="C468" i="10"/>
  <c r="D468" i="10" s="1"/>
  <c r="C437" i="10"/>
  <c r="D437" i="10" s="1"/>
  <c r="C639" i="10"/>
  <c r="D639" i="10" s="1"/>
  <c r="C726" i="10"/>
  <c r="D726" i="10" s="1"/>
  <c r="C901" i="10"/>
  <c r="D901" i="10" s="1"/>
  <c r="C109" i="10"/>
  <c r="D109" i="10" s="1"/>
  <c r="C873" i="10"/>
  <c r="D873" i="10" s="1"/>
  <c r="C37" i="10"/>
  <c r="D37" i="10" s="1"/>
  <c r="C999" i="10"/>
  <c r="D999" i="10" s="1"/>
  <c r="C351" i="10"/>
  <c r="D351" i="10" s="1"/>
  <c r="C273" i="10"/>
  <c r="D273" i="10" s="1"/>
  <c r="K60" i="5" s="1"/>
  <c r="K60" i="32" s="1"/>
  <c r="C362" i="10"/>
  <c r="D362" i="10" s="1"/>
  <c r="C860" i="10"/>
  <c r="D860" i="10" s="1"/>
  <c r="J94" i="5"/>
  <c r="K97" i="32"/>
  <c r="K99" i="5"/>
  <c r="M99" i="32"/>
  <c r="C94" i="5"/>
  <c r="H99" i="32"/>
  <c r="I94" i="5"/>
  <c r="J99" i="5"/>
  <c r="O63" i="32" l="1"/>
  <c r="O64" i="32"/>
  <c r="O62" i="32"/>
  <c r="K79" i="5"/>
  <c r="N79" i="32"/>
  <c r="H73" i="5"/>
  <c r="O72" i="32"/>
  <c r="F73" i="32"/>
  <c r="I73" i="32"/>
  <c r="G53" i="5"/>
  <c r="G53" i="32" s="1"/>
  <c r="J50" i="5"/>
  <c r="J50" i="32" s="1"/>
  <c r="L79" i="5"/>
  <c r="I43" i="5"/>
  <c r="I43" i="32" s="1"/>
  <c r="O71" i="32"/>
  <c r="K32" i="5"/>
  <c r="K32" i="32" s="1"/>
  <c r="E42" i="5"/>
  <c r="E42" i="32" s="1"/>
  <c r="G73" i="5"/>
  <c r="O25" i="5"/>
  <c r="L33" i="5"/>
  <c r="L33" i="32" s="1"/>
  <c r="D75" i="32"/>
  <c r="D79" i="32" s="1"/>
  <c r="D67" i="32" s="1"/>
  <c r="D79" i="5"/>
  <c r="O88" i="32"/>
  <c r="H73" i="32"/>
  <c r="K57" i="5"/>
  <c r="K57" i="32" s="1"/>
  <c r="N35" i="5"/>
  <c r="N35" i="32" s="1"/>
  <c r="G79" i="5"/>
  <c r="G75" i="32"/>
  <c r="G79" i="32" s="1"/>
  <c r="G67" i="32" s="1"/>
  <c r="H79" i="5"/>
  <c r="H67" i="5" s="1"/>
  <c r="H75" i="32"/>
  <c r="H79" i="32" s="1"/>
  <c r="K79" i="32"/>
  <c r="N69" i="32"/>
  <c r="N73" i="32" s="1"/>
  <c r="N73" i="5"/>
  <c r="I79" i="32"/>
  <c r="C79" i="5"/>
  <c r="J73" i="5"/>
  <c r="J67" i="5" s="1"/>
  <c r="D9" i="5"/>
  <c r="D9" i="32" s="1"/>
  <c r="E73" i="5"/>
  <c r="E70" i="32"/>
  <c r="M79" i="5"/>
  <c r="M67" i="5" s="1"/>
  <c r="M75" i="32"/>
  <c r="M79" i="32" s="1"/>
  <c r="M67" i="32" s="1"/>
  <c r="O33" i="5"/>
  <c r="M50" i="5"/>
  <c r="M50" i="32" s="1"/>
  <c r="E76" i="32"/>
  <c r="E79" i="5"/>
  <c r="I79" i="5"/>
  <c r="I45" i="5"/>
  <c r="I45" i="32" s="1"/>
  <c r="F24" i="5"/>
  <c r="F24" i="32" s="1"/>
  <c r="I38" i="5"/>
  <c r="I38" i="32" s="1"/>
  <c r="C22" i="5"/>
  <c r="C22" i="32" s="1"/>
  <c r="O92" i="32"/>
  <c r="L25" i="5"/>
  <c r="L25" i="32" s="1"/>
  <c r="I73" i="5"/>
  <c r="C73" i="5"/>
  <c r="J67" i="32"/>
  <c r="M60" i="5"/>
  <c r="M60" i="32" s="1"/>
  <c r="H46" i="5"/>
  <c r="H46" i="32" s="1"/>
  <c r="O10" i="5"/>
  <c r="O79" i="5" s="1"/>
  <c r="O9" i="5"/>
  <c r="J35" i="5"/>
  <c r="J35" i="32" s="1"/>
  <c r="C89" i="32"/>
  <c r="O87" i="32"/>
  <c r="O89" i="32" s="1"/>
  <c r="F75" i="32"/>
  <c r="F79" i="32" s="1"/>
  <c r="F79" i="5"/>
  <c r="K73" i="5"/>
  <c r="K67" i="5" s="1"/>
  <c r="K69" i="32"/>
  <c r="K73" i="32" s="1"/>
  <c r="K67" i="32" s="1"/>
  <c r="L69" i="32"/>
  <c r="L73" i="32" s="1"/>
  <c r="L73" i="5"/>
  <c r="O73" i="5"/>
  <c r="D73" i="5"/>
  <c r="D67" i="5" s="1"/>
  <c r="N79" i="5"/>
  <c r="F73" i="5"/>
  <c r="O30" i="5"/>
  <c r="N57" i="5"/>
  <c r="N57" i="32" s="1"/>
  <c r="H39" i="5"/>
  <c r="H39" i="32" s="1"/>
  <c r="H60" i="5"/>
  <c r="H60" i="32" s="1"/>
  <c r="O44" i="5"/>
  <c r="H42" i="5"/>
  <c r="H42" i="32" s="1"/>
  <c r="O51" i="5"/>
  <c r="E18" i="5"/>
  <c r="E18" i="32" s="1"/>
  <c r="L50" i="5"/>
  <c r="L50" i="32" s="1"/>
  <c r="O19" i="5"/>
  <c r="C56" i="5"/>
  <c r="C56" i="32" s="1"/>
  <c r="F18" i="5"/>
  <c r="F18" i="32" s="1"/>
  <c r="J46" i="5"/>
  <c r="J46" i="32" s="1"/>
  <c r="D44" i="5"/>
  <c r="D44" i="32" s="1"/>
  <c r="L9" i="5"/>
  <c r="L9" i="32" s="1"/>
  <c r="J29" i="5"/>
  <c r="J29" i="32" s="1"/>
  <c r="N58" i="5"/>
  <c r="N58" i="32" s="1"/>
  <c r="E59" i="5"/>
  <c r="E59" i="32" s="1"/>
  <c r="I21" i="5"/>
  <c r="I21" i="32" s="1"/>
  <c r="D55" i="5"/>
  <c r="D55" i="32" s="1"/>
  <c r="J48" i="5"/>
  <c r="J48" i="32" s="1"/>
  <c r="L57" i="5"/>
  <c r="L57" i="32" s="1"/>
  <c r="C65" i="5"/>
  <c r="C65" i="32" s="1"/>
  <c r="C73" i="32"/>
  <c r="C67" i="32" s="1"/>
  <c r="C23" i="5"/>
  <c r="C23" i="32" s="1"/>
  <c r="I35" i="5"/>
  <c r="I35" i="32" s="1"/>
  <c r="C53" i="5"/>
  <c r="C53" i="32" s="1"/>
  <c r="D45" i="5"/>
  <c r="D45" i="32" s="1"/>
  <c r="C38" i="5"/>
  <c r="C38" i="32" s="1"/>
  <c r="I47" i="5"/>
  <c r="I47" i="32" s="1"/>
  <c r="C24" i="5"/>
  <c r="C24" i="32" s="1"/>
  <c r="M34" i="5"/>
  <c r="M34" i="32" s="1"/>
  <c r="G44" i="5"/>
  <c r="G44" i="32" s="1"/>
  <c r="O26" i="5"/>
  <c r="F36" i="5"/>
  <c r="F36" i="32" s="1"/>
  <c r="C29" i="5"/>
  <c r="C29" i="32" s="1"/>
  <c r="D40" i="5"/>
  <c r="D40" i="32" s="1"/>
  <c r="I37" i="5"/>
  <c r="I37" i="32" s="1"/>
  <c r="G15" i="5"/>
  <c r="G15" i="32" s="1"/>
  <c r="C14" i="5"/>
  <c r="C59" i="5"/>
  <c r="C59" i="32" s="1"/>
  <c r="N34" i="5"/>
  <c r="N34" i="32" s="1"/>
  <c r="O47" i="5"/>
  <c r="D57" i="5"/>
  <c r="D57" i="32" s="1"/>
  <c r="L48" i="5"/>
  <c r="L48" i="32" s="1"/>
  <c r="M57" i="5"/>
  <c r="M57" i="32" s="1"/>
  <c r="G55" i="5"/>
  <c r="G55" i="32" s="1"/>
  <c r="L58" i="5"/>
  <c r="L58" i="32" s="1"/>
  <c r="M29" i="5"/>
  <c r="M29" i="32" s="1"/>
  <c r="D47" i="5"/>
  <c r="D47" i="32" s="1"/>
  <c r="N28" i="5"/>
  <c r="N28" i="32" s="1"/>
  <c r="I59" i="5"/>
  <c r="I59" i="32" s="1"/>
  <c r="L47" i="5"/>
  <c r="L47" i="32" s="1"/>
  <c r="K49" i="5"/>
  <c r="K49" i="32" s="1"/>
  <c r="E20" i="5"/>
  <c r="E20" i="32" s="1"/>
  <c r="H6" i="5"/>
  <c r="N48" i="5"/>
  <c r="N48" i="32" s="1"/>
  <c r="N19" i="5"/>
  <c r="N19" i="32" s="1"/>
  <c r="K59" i="5"/>
  <c r="K59" i="32" s="1"/>
  <c r="E17" i="5"/>
  <c r="E17" i="32" s="1"/>
  <c r="D16" i="5"/>
  <c r="D16" i="32" s="1"/>
  <c r="O42" i="5"/>
  <c r="G58" i="5"/>
  <c r="G58" i="32" s="1"/>
  <c r="F23" i="5"/>
  <c r="F23" i="32" s="1"/>
  <c r="O55" i="5"/>
  <c r="F50" i="5"/>
  <c r="F50" i="32" s="1"/>
  <c r="D24" i="5"/>
  <c r="D24" i="32" s="1"/>
  <c r="F46" i="5"/>
  <c r="F46" i="32" s="1"/>
  <c r="H31" i="5"/>
  <c r="H31" i="32" s="1"/>
  <c r="N36" i="5"/>
  <c r="N36" i="32" s="1"/>
  <c r="I50" i="5"/>
  <c r="I50" i="32" s="1"/>
  <c r="C21" i="5"/>
  <c r="C21" i="32" s="1"/>
  <c r="L15" i="5"/>
  <c r="L15" i="32" s="1"/>
  <c r="D48" i="5"/>
  <c r="D48" i="32" s="1"/>
  <c r="G14" i="5"/>
  <c r="N32" i="5"/>
  <c r="N32" i="32" s="1"/>
  <c r="L55" i="5"/>
  <c r="L55" i="32" s="1"/>
  <c r="N49" i="5"/>
  <c r="N49" i="32" s="1"/>
  <c r="H16" i="5"/>
  <c r="H16" i="32" s="1"/>
  <c r="G6" i="5"/>
  <c r="I7" i="5"/>
  <c r="I7" i="32" s="1"/>
  <c r="N47" i="5"/>
  <c r="N47" i="32" s="1"/>
  <c r="K18" i="5"/>
  <c r="K18" i="32" s="1"/>
  <c r="O59" i="5"/>
  <c r="C19" i="5"/>
  <c r="C19" i="32" s="1"/>
  <c r="H54" i="5"/>
  <c r="H54" i="32" s="1"/>
  <c r="M20" i="5"/>
  <c r="M20" i="32" s="1"/>
  <c r="L32" i="5"/>
  <c r="L32" i="32" s="1"/>
  <c r="E31" i="5"/>
  <c r="E31" i="32" s="1"/>
  <c r="E28" i="5"/>
  <c r="E28" i="32" s="1"/>
  <c r="K31" i="5"/>
  <c r="K31" i="32" s="1"/>
  <c r="I25" i="5"/>
  <c r="I25" i="32" s="1"/>
  <c r="I14" i="5"/>
  <c r="O24" i="5"/>
  <c r="F7" i="5"/>
  <c r="F7" i="32" s="1"/>
  <c r="D42" i="5"/>
  <c r="D42" i="32" s="1"/>
  <c r="M21" i="5"/>
  <c r="M21" i="32" s="1"/>
  <c r="J32" i="5"/>
  <c r="J32" i="32" s="1"/>
  <c r="C60" i="5"/>
  <c r="C60" i="32" s="1"/>
  <c r="D54" i="5"/>
  <c r="D54" i="32" s="1"/>
  <c r="J31" i="5"/>
  <c r="J31" i="32" s="1"/>
  <c r="H7" i="5"/>
  <c r="H7" i="32" s="1"/>
  <c r="D26" i="5"/>
  <c r="D26" i="32" s="1"/>
  <c r="J15" i="5"/>
  <c r="J15" i="32" s="1"/>
  <c r="O41" i="5"/>
  <c r="O49" i="5"/>
  <c r="J20" i="5"/>
  <c r="J20" i="32" s="1"/>
  <c r="N54" i="5"/>
  <c r="N54" i="32" s="1"/>
  <c r="C26" i="5"/>
  <c r="C26" i="32" s="1"/>
  <c r="N41" i="5"/>
  <c r="N41" i="32" s="1"/>
  <c r="E16" i="5"/>
  <c r="E16" i="32" s="1"/>
  <c r="H38" i="5"/>
  <c r="H38" i="32" s="1"/>
  <c r="K7" i="5"/>
  <c r="K7" i="32" s="1"/>
  <c r="I51" i="5"/>
  <c r="I51" i="32" s="1"/>
  <c r="J24" i="5"/>
  <c r="J24" i="32" s="1"/>
  <c r="C49" i="5"/>
  <c r="C49" i="32" s="1"/>
  <c r="I57" i="5"/>
  <c r="I57" i="32" s="1"/>
  <c r="I17" i="5"/>
  <c r="I17" i="32" s="1"/>
  <c r="G26" i="5"/>
  <c r="G26" i="32" s="1"/>
  <c r="D58" i="5"/>
  <c r="D58" i="32" s="1"/>
  <c r="J56" i="5"/>
  <c r="J56" i="32" s="1"/>
  <c r="E60" i="5"/>
  <c r="E60" i="32" s="1"/>
  <c r="L39" i="5"/>
  <c r="L39" i="32" s="1"/>
  <c r="K17" i="5"/>
  <c r="K17" i="32" s="1"/>
  <c r="C7" i="5"/>
  <c r="C7" i="32" s="1"/>
  <c r="N25" i="5"/>
  <c r="N25" i="32" s="1"/>
  <c r="K33" i="5"/>
  <c r="K33" i="32" s="1"/>
  <c r="K14" i="5"/>
  <c r="M54" i="5"/>
  <c r="M54" i="32" s="1"/>
  <c r="N40" i="5"/>
  <c r="N40" i="32" s="1"/>
  <c r="C52" i="5"/>
  <c r="C52" i="32" s="1"/>
  <c r="F65" i="5"/>
  <c r="F65" i="32" s="1"/>
  <c r="J65" i="5"/>
  <c r="J65" i="32" s="1"/>
  <c r="F19" i="5"/>
  <c r="F19" i="32" s="1"/>
  <c r="C47" i="5"/>
  <c r="C47" i="32" s="1"/>
  <c r="K58" i="5"/>
  <c r="K58" i="32" s="1"/>
  <c r="N60" i="5"/>
  <c r="N60" i="32" s="1"/>
  <c r="H49" i="5"/>
  <c r="H49" i="32" s="1"/>
  <c r="G54" i="5"/>
  <c r="G54" i="32" s="1"/>
  <c r="G10" i="5"/>
  <c r="G10" i="32" s="1"/>
  <c r="K27" i="5"/>
  <c r="K27" i="32" s="1"/>
  <c r="D32" i="5"/>
  <c r="D32" i="32" s="1"/>
  <c r="D31" i="5"/>
  <c r="D31" i="32" s="1"/>
  <c r="H44" i="5"/>
  <c r="H44" i="32" s="1"/>
  <c r="F52" i="5"/>
  <c r="F52" i="32" s="1"/>
  <c r="I53" i="5"/>
  <c r="I53" i="32" s="1"/>
  <c r="J21" i="5"/>
  <c r="J21" i="32" s="1"/>
  <c r="K54" i="5"/>
  <c r="K54" i="32" s="1"/>
  <c r="K41" i="5"/>
  <c r="K41" i="32" s="1"/>
  <c r="L20" i="5"/>
  <c r="L20" i="32" s="1"/>
  <c r="L56" i="5"/>
  <c r="L56" i="32" s="1"/>
  <c r="L36" i="5"/>
  <c r="L36" i="32" s="1"/>
  <c r="F33" i="5"/>
  <c r="F33" i="32" s="1"/>
  <c r="F32" i="5"/>
  <c r="F32" i="32" s="1"/>
  <c r="C25" i="5"/>
  <c r="C25" i="32" s="1"/>
  <c r="E50" i="5"/>
  <c r="E50" i="32" s="1"/>
  <c r="D30" i="5"/>
  <c r="D30" i="32" s="1"/>
  <c r="G45" i="5"/>
  <c r="G45" i="32" s="1"/>
  <c r="O6" i="5"/>
  <c r="F22" i="5"/>
  <c r="F22" i="32" s="1"/>
  <c r="H29" i="5"/>
  <c r="H29" i="32" s="1"/>
  <c r="I19" i="5"/>
  <c r="I19" i="32" s="1"/>
  <c r="E15" i="5"/>
  <c r="E15" i="32" s="1"/>
  <c r="C48" i="5"/>
  <c r="C48" i="32" s="1"/>
  <c r="I36" i="5"/>
  <c r="I36" i="32" s="1"/>
  <c r="D21" i="5"/>
  <c r="D21" i="32" s="1"/>
  <c r="K28" i="5"/>
  <c r="K28" i="32" s="1"/>
  <c r="I55" i="5"/>
  <c r="I55" i="32" s="1"/>
  <c r="J27" i="5"/>
  <c r="J27" i="32" s="1"/>
  <c r="C35" i="5"/>
  <c r="C35" i="32" s="1"/>
  <c r="E46" i="5"/>
  <c r="E46" i="32" s="1"/>
  <c r="N42" i="5"/>
  <c r="N42" i="32" s="1"/>
  <c r="N50" i="5"/>
  <c r="N50" i="32" s="1"/>
  <c r="L7" i="5"/>
  <c r="L7" i="32" s="1"/>
  <c r="M27" i="5"/>
  <c r="M27" i="32" s="1"/>
  <c r="N16" i="5"/>
  <c r="N16" i="32" s="1"/>
  <c r="F45" i="5"/>
  <c r="F45" i="32" s="1"/>
  <c r="I34" i="5"/>
  <c r="I34" i="32" s="1"/>
  <c r="J43" i="5"/>
  <c r="J43" i="32" s="1"/>
  <c r="J19" i="5"/>
  <c r="J19" i="32" s="1"/>
  <c r="N65" i="5"/>
  <c r="N65" i="32" s="1"/>
  <c r="D41" i="5"/>
  <c r="D41" i="32" s="1"/>
  <c r="K19" i="5"/>
  <c r="K19" i="32" s="1"/>
  <c r="E22" i="5"/>
  <c r="E22" i="32" s="1"/>
  <c r="O23" i="5"/>
  <c r="O43" i="5"/>
  <c r="G56" i="5"/>
  <c r="G56" i="32" s="1"/>
  <c r="J52" i="5"/>
  <c r="J52" i="32" s="1"/>
  <c r="F44" i="5"/>
  <c r="F44" i="32" s="1"/>
  <c r="L18" i="5"/>
  <c r="L18" i="32" s="1"/>
  <c r="L28" i="5"/>
  <c r="L28" i="32" s="1"/>
  <c r="D27" i="5"/>
  <c r="D27" i="32" s="1"/>
  <c r="N21" i="5"/>
  <c r="N21" i="32" s="1"/>
  <c r="M48" i="5"/>
  <c r="M48" i="32" s="1"/>
  <c r="C34" i="5"/>
  <c r="C34" i="32" s="1"/>
  <c r="I49" i="5"/>
  <c r="I49" i="32" s="1"/>
  <c r="G29" i="5"/>
  <c r="G29" i="32" s="1"/>
  <c r="C6" i="5"/>
  <c r="G18" i="5"/>
  <c r="G18" i="32" s="1"/>
  <c r="H9" i="5"/>
  <c r="H9" i="32" s="1"/>
  <c r="M33" i="5"/>
  <c r="M33" i="32" s="1"/>
  <c r="N17" i="5"/>
  <c r="N17" i="32" s="1"/>
  <c r="J34" i="5"/>
  <c r="J34" i="32" s="1"/>
  <c r="K40" i="5"/>
  <c r="K40" i="32" s="1"/>
  <c r="K22" i="5"/>
  <c r="K22" i="32" s="1"/>
  <c r="M16" i="5"/>
  <c r="M16" i="32" s="1"/>
  <c r="I23" i="5"/>
  <c r="I23" i="32" s="1"/>
  <c r="H27" i="5"/>
  <c r="H27" i="32" s="1"/>
  <c r="D56" i="5"/>
  <c r="D56" i="32" s="1"/>
  <c r="H23" i="5"/>
  <c r="H23" i="32" s="1"/>
  <c r="K45" i="5"/>
  <c r="K45" i="32" s="1"/>
  <c r="F17" i="5"/>
  <c r="F17" i="32" s="1"/>
  <c r="J25" i="5"/>
  <c r="J25" i="32" s="1"/>
  <c r="H43" i="5"/>
  <c r="H43" i="32" s="1"/>
  <c r="K44" i="5"/>
  <c r="K44" i="32" s="1"/>
  <c r="J7" i="5"/>
  <c r="J7" i="32" s="1"/>
  <c r="L43" i="5"/>
  <c r="L43" i="32" s="1"/>
  <c r="H58" i="5"/>
  <c r="H58" i="32" s="1"/>
  <c r="J30" i="5"/>
  <c r="J30" i="32" s="1"/>
  <c r="J17" i="5"/>
  <c r="J17" i="32" s="1"/>
  <c r="N10" i="5"/>
  <c r="N10" i="32" s="1"/>
  <c r="J40" i="5"/>
  <c r="J40" i="32" s="1"/>
  <c r="M41" i="5"/>
  <c r="M41" i="32" s="1"/>
  <c r="C36" i="5"/>
  <c r="C36" i="32" s="1"/>
  <c r="I29" i="5"/>
  <c r="I29" i="32" s="1"/>
  <c r="F10" i="5"/>
  <c r="F10" i="32" s="1"/>
  <c r="G60" i="5"/>
  <c r="G60" i="32" s="1"/>
  <c r="D7" i="5"/>
  <c r="D7" i="32" s="1"/>
  <c r="K37" i="5"/>
  <c r="K37" i="32" s="1"/>
  <c r="J57" i="5"/>
  <c r="J57" i="32" s="1"/>
  <c r="F9" i="5"/>
  <c r="F9" i="32" s="1"/>
  <c r="G30" i="5"/>
  <c r="G30" i="32" s="1"/>
  <c r="O7" i="5"/>
  <c r="J14" i="5"/>
  <c r="M47" i="5"/>
  <c r="M47" i="32" s="1"/>
  <c r="E24" i="5"/>
  <c r="E24" i="32" s="1"/>
  <c r="L22" i="5"/>
  <c r="L22" i="32" s="1"/>
  <c r="L30" i="5"/>
  <c r="L30" i="32" s="1"/>
  <c r="H34" i="5"/>
  <c r="H34" i="32" s="1"/>
  <c r="N39" i="5"/>
  <c r="N39" i="32" s="1"/>
  <c r="I39" i="5"/>
  <c r="I39" i="32" s="1"/>
  <c r="M23" i="5"/>
  <c r="M23" i="32" s="1"/>
  <c r="M22" i="5"/>
  <c r="M22" i="32" s="1"/>
  <c r="O17" i="5"/>
  <c r="O58" i="5"/>
  <c r="M39" i="5"/>
  <c r="M39" i="32" s="1"/>
  <c r="J23" i="5"/>
  <c r="J23" i="32" s="1"/>
  <c r="J41" i="5"/>
  <c r="J41" i="32" s="1"/>
  <c r="J55" i="5"/>
  <c r="J55" i="32" s="1"/>
  <c r="H51" i="5"/>
  <c r="H51" i="32" s="1"/>
  <c r="M44" i="5"/>
  <c r="M44" i="32" s="1"/>
  <c r="H37" i="5"/>
  <c r="H37" i="32" s="1"/>
  <c r="O57" i="5"/>
  <c r="G22" i="5"/>
  <c r="G22" i="32" s="1"/>
  <c r="K42" i="5"/>
  <c r="K42" i="32" s="1"/>
  <c r="N7" i="5"/>
  <c r="N7" i="32" s="1"/>
  <c r="M49" i="5"/>
  <c r="M49" i="32" s="1"/>
  <c r="E47" i="5"/>
  <c r="E47" i="32" s="1"/>
  <c r="E9" i="5"/>
  <c r="E9" i="32" s="1"/>
  <c r="J53" i="5"/>
  <c r="J53" i="32" s="1"/>
  <c r="O32" i="5"/>
  <c r="O28" i="5"/>
  <c r="D29" i="5"/>
  <c r="D29" i="32" s="1"/>
  <c r="J37" i="5"/>
  <c r="J37" i="32" s="1"/>
  <c r="G35" i="5"/>
  <c r="G35" i="32" s="1"/>
  <c r="J54" i="5"/>
  <c r="J54" i="32" s="1"/>
  <c r="M43" i="5"/>
  <c r="M43" i="32" s="1"/>
  <c r="I6" i="5"/>
  <c r="H19" i="5"/>
  <c r="H19" i="32" s="1"/>
  <c r="G51" i="5"/>
  <c r="G51" i="32" s="1"/>
  <c r="G38" i="5"/>
  <c r="G38" i="32" s="1"/>
  <c r="H22" i="5"/>
  <c r="H22" i="32" s="1"/>
  <c r="K24" i="5"/>
  <c r="K24" i="32" s="1"/>
  <c r="M36" i="5"/>
  <c r="M36" i="32" s="1"/>
  <c r="J60" i="5"/>
  <c r="J60" i="32" s="1"/>
  <c r="E26" i="5"/>
  <c r="E26" i="32" s="1"/>
  <c r="G65" i="5"/>
  <c r="G65" i="32" s="1"/>
  <c r="F30" i="5"/>
  <c r="F30" i="32" s="1"/>
  <c r="C15" i="5"/>
  <c r="C15" i="32" s="1"/>
  <c r="J38" i="5"/>
  <c r="J38" i="32" s="1"/>
  <c r="G34" i="5"/>
  <c r="G34" i="32" s="1"/>
  <c r="E7" i="5"/>
  <c r="E7" i="32" s="1"/>
  <c r="G7" i="5"/>
  <c r="G7" i="32" s="1"/>
  <c r="D60" i="5"/>
  <c r="D60" i="32" s="1"/>
  <c r="N18" i="5"/>
  <c r="N18" i="32" s="1"/>
  <c r="O46" i="5"/>
  <c r="L14" i="5"/>
  <c r="D14" i="5"/>
  <c r="M31" i="5"/>
  <c r="M31" i="32" s="1"/>
  <c r="N29" i="5"/>
  <c r="N29" i="32" s="1"/>
  <c r="D17" i="5"/>
  <c r="D17" i="32" s="1"/>
  <c r="K50" i="5"/>
  <c r="K50" i="32" s="1"/>
  <c r="F28" i="5"/>
  <c r="F28" i="32" s="1"/>
  <c r="L6" i="5"/>
  <c r="H48" i="5"/>
  <c r="H48" i="32" s="1"/>
  <c r="M56" i="5"/>
  <c r="M56" i="32" s="1"/>
  <c r="O40" i="5"/>
  <c r="H20" i="5"/>
  <c r="H20" i="32" s="1"/>
  <c r="M19" i="5"/>
  <c r="M19" i="32" s="1"/>
  <c r="C28" i="5"/>
  <c r="C28" i="32" s="1"/>
  <c r="L34" i="5"/>
  <c r="L34" i="32" s="1"/>
  <c r="C43" i="5"/>
  <c r="C43" i="32" s="1"/>
  <c r="H47" i="5"/>
  <c r="H47" i="32" s="1"/>
  <c r="M51" i="5"/>
  <c r="M51" i="32" s="1"/>
  <c r="K6" i="5"/>
  <c r="E27" i="5"/>
  <c r="E27" i="32" s="1"/>
  <c r="I15" i="5"/>
  <c r="I15" i="32" s="1"/>
  <c r="G57" i="5"/>
  <c r="G57" i="32" s="1"/>
  <c r="F21" i="5"/>
  <c r="F21" i="32" s="1"/>
  <c r="G50" i="5"/>
  <c r="G50" i="32" s="1"/>
  <c r="F26" i="5"/>
  <c r="F26" i="32" s="1"/>
  <c r="H32" i="5"/>
  <c r="H32" i="32" s="1"/>
  <c r="K51" i="5"/>
  <c r="K51" i="32" s="1"/>
  <c r="E35" i="5"/>
  <c r="E35" i="32" s="1"/>
  <c r="H10" i="5"/>
  <c r="H10" i="32" s="1"/>
  <c r="N52" i="5"/>
  <c r="N52" i="32" s="1"/>
  <c r="O39" i="5"/>
  <c r="K20" i="5"/>
  <c r="K20" i="32" s="1"/>
  <c r="H24" i="5"/>
  <c r="H24" i="32" s="1"/>
  <c r="C50" i="5"/>
  <c r="C50" i="32" s="1"/>
  <c r="N55" i="5"/>
  <c r="N55" i="32" s="1"/>
  <c r="O38" i="5"/>
  <c r="O65" i="5"/>
  <c r="C37" i="5"/>
  <c r="C37" i="32" s="1"/>
  <c r="N30" i="5"/>
  <c r="N30" i="32" s="1"/>
  <c r="G20" i="5"/>
  <c r="G20" i="32" s="1"/>
  <c r="F38" i="5"/>
  <c r="F38" i="32" s="1"/>
  <c r="F34" i="5"/>
  <c r="F34" i="32" s="1"/>
  <c r="G9" i="5"/>
  <c r="G9" i="32" s="1"/>
  <c r="D65" i="5"/>
  <c r="D65" i="32" s="1"/>
  <c r="D37" i="5"/>
  <c r="D37" i="32" s="1"/>
  <c r="N14" i="5"/>
  <c r="D43" i="5"/>
  <c r="D43" i="32" s="1"/>
  <c r="D28" i="5"/>
  <c r="D28" i="32" s="1"/>
  <c r="M53" i="5"/>
  <c r="M53" i="32" s="1"/>
  <c r="L46" i="5"/>
  <c r="L46" i="32" s="1"/>
  <c r="M52" i="5"/>
  <c r="M52" i="32" s="1"/>
  <c r="L59" i="5"/>
  <c r="L59" i="32" s="1"/>
  <c r="F56" i="5"/>
  <c r="F56" i="32" s="1"/>
  <c r="H53" i="5"/>
  <c r="H53" i="32" s="1"/>
  <c r="O53" i="5"/>
  <c r="J10" i="5"/>
  <c r="J10" i="32" s="1"/>
  <c r="G25" i="5"/>
  <c r="G25" i="32" s="1"/>
  <c r="H30" i="5"/>
  <c r="H30" i="32" s="1"/>
  <c r="L35" i="5"/>
  <c r="L35" i="32" s="1"/>
  <c r="O18" i="5"/>
  <c r="E39" i="5"/>
  <c r="E39" i="32" s="1"/>
  <c r="D51" i="5"/>
  <c r="D51" i="32" s="1"/>
  <c r="F59" i="5"/>
  <c r="F59" i="32" s="1"/>
  <c r="I10" i="5"/>
  <c r="I10" i="32" s="1"/>
  <c r="I31" i="5"/>
  <c r="I31" i="32" s="1"/>
  <c r="I33" i="5"/>
  <c r="I33" i="32" s="1"/>
  <c r="N51" i="5"/>
  <c r="N51" i="32" s="1"/>
  <c r="G21" i="5"/>
  <c r="G21" i="32" s="1"/>
  <c r="D6" i="5"/>
  <c r="M9" i="5"/>
  <c r="M9" i="32" s="1"/>
  <c r="E23" i="5"/>
  <c r="E23" i="32" s="1"/>
  <c r="O16" i="5"/>
  <c r="F58" i="5"/>
  <c r="F58" i="32" s="1"/>
  <c r="L21" i="5"/>
  <c r="L21" i="32" s="1"/>
  <c r="L53" i="5"/>
  <c r="L53" i="32" s="1"/>
  <c r="F6" i="5"/>
  <c r="H45" i="5"/>
  <c r="H45" i="32" s="1"/>
  <c r="N37" i="5"/>
  <c r="N37" i="32" s="1"/>
  <c r="K52" i="5"/>
  <c r="K52" i="32" s="1"/>
  <c r="O50" i="5"/>
  <c r="L26" i="5"/>
  <c r="L26" i="32" s="1"/>
  <c r="K39" i="5"/>
  <c r="K39" i="32" s="1"/>
  <c r="I44" i="5"/>
  <c r="I44" i="32" s="1"/>
  <c r="C45" i="5"/>
  <c r="C45" i="32" s="1"/>
  <c r="F40" i="5"/>
  <c r="F40" i="32" s="1"/>
  <c r="I24" i="5"/>
  <c r="I24" i="32" s="1"/>
  <c r="N43" i="5"/>
  <c r="N43" i="32" s="1"/>
  <c r="O56" i="5"/>
  <c r="L41" i="5"/>
  <c r="L41" i="32" s="1"/>
  <c r="F15" i="5"/>
  <c r="F15" i="32" s="1"/>
  <c r="O48" i="5"/>
  <c r="E54" i="5"/>
  <c r="E54" i="32" s="1"/>
  <c r="G33" i="5"/>
  <c r="G33" i="32" s="1"/>
  <c r="J6" i="5"/>
  <c r="D50" i="5"/>
  <c r="D50" i="32" s="1"/>
  <c r="H17" i="5"/>
  <c r="H17" i="32" s="1"/>
  <c r="J44" i="5"/>
  <c r="J44" i="32" s="1"/>
  <c r="E53" i="5"/>
  <c r="E53" i="32" s="1"/>
  <c r="H65" i="5"/>
  <c r="H65" i="32" s="1"/>
  <c r="N31" i="5"/>
  <c r="N31" i="32" s="1"/>
  <c r="D19" i="5"/>
  <c r="D19" i="32" s="1"/>
  <c r="F57" i="5"/>
  <c r="F57" i="32" s="1"/>
  <c r="F35" i="5"/>
  <c r="F35" i="32" s="1"/>
  <c r="K65" i="5"/>
  <c r="K65" i="32" s="1"/>
  <c r="E10" i="5"/>
  <c r="E10" i="32" s="1"/>
  <c r="E44" i="5"/>
  <c r="E44" i="32" s="1"/>
  <c r="F41" i="5"/>
  <c r="F41" i="32" s="1"/>
  <c r="H18" i="5"/>
  <c r="H18" i="32" s="1"/>
  <c r="L37" i="5"/>
  <c r="L37" i="32" s="1"/>
  <c r="C31" i="5"/>
  <c r="C31" i="32" s="1"/>
  <c r="E43" i="5"/>
  <c r="E43" i="32" s="1"/>
  <c r="G31" i="5"/>
  <c r="G31" i="32" s="1"/>
  <c r="C44" i="5"/>
  <c r="C44" i="32" s="1"/>
  <c r="C30" i="5"/>
  <c r="C30" i="32" s="1"/>
  <c r="I9" i="5"/>
  <c r="I9" i="32" s="1"/>
  <c r="I26" i="5"/>
  <c r="I26" i="32" s="1"/>
  <c r="N33" i="5"/>
  <c r="N33" i="32" s="1"/>
  <c r="G36" i="5"/>
  <c r="G36" i="32" s="1"/>
  <c r="M25" i="5"/>
  <c r="M25" i="32" s="1"/>
  <c r="O31" i="5"/>
  <c r="G39" i="5"/>
  <c r="G39" i="32" s="1"/>
  <c r="I60" i="5"/>
  <c r="I60" i="32" s="1"/>
  <c r="E41" i="5"/>
  <c r="E41" i="32" s="1"/>
  <c r="J22" i="5"/>
  <c r="J22" i="32" s="1"/>
  <c r="N27" i="5"/>
  <c r="N27" i="32" s="1"/>
  <c r="D46" i="5"/>
  <c r="D46" i="32" s="1"/>
  <c r="F60" i="5"/>
  <c r="F60" i="32" s="1"/>
  <c r="G23" i="5"/>
  <c r="G23" i="32" s="1"/>
  <c r="E55" i="5"/>
  <c r="E55" i="32" s="1"/>
  <c r="D33" i="5"/>
  <c r="D33" i="32" s="1"/>
  <c r="F37" i="5"/>
  <c r="F37" i="32" s="1"/>
  <c r="C32" i="5"/>
  <c r="C32" i="32" s="1"/>
  <c r="H33" i="5"/>
  <c r="H33" i="32" s="1"/>
  <c r="E65" i="5"/>
  <c r="E65" i="32" s="1"/>
  <c r="L38" i="5"/>
  <c r="L38" i="32" s="1"/>
  <c r="C54" i="5"/>
  <c r="C54" i="32" s="1"/>
  <c r="K30" i="5"/>
  <c r="K30" i="32" s="1"/>
  <c r="D22" i="5"/>
  <c r="D22" i="32" s="1"/>
  <c r="G32" i="5"/>
  <c r="G32" i="32" s="1"/>
  <c r="I58" i="5"/>
  <c r="I58" i="32" s="1"/>
  <c r="C55" i="5"/>
  <c r="C55" i="32" s="1"/>
  <c r="L42" i="5"/>
  <c r="L42" i="32" s="1"/>
  <c r="I46" i="5"/>
  <c r="I46" i="32" s="1"/>
  <c r="K55" i="5"/>
  <c r="K55" i="32" s="1"/>
  <c r="C58" i="5"/>
  <c r="C58" i="32" s="1"/>
  <c r="L45" i="5"/>
  <c r="L45" i="32" s="1"/>
  <c r="N44" i="5"/>
  <c r="N44" i="32" s="1"/>
  <c r="E58" i="5"/>
  <c r="E58" i="32" s="1"/>
  <c r="E14" i="5"/>
  <c r="G28" i="5"/>
  <c r="G28" i="32" s="1"/>
  <c r="O15" i="5"/>
  <c r="J51" i="5"/>
  <c r="J51" i="32" s="1"/>
  <c r="F49" i="5"/>
  <c r="F49" i="32" s="1"/>
  <c r="J59" i="5"/>
  <c r="J59" i="32" s="1"/>
  <c r="M42" i="5"/>
  <c r="M42" i="32" s="1"/>
  <c r="G43" i="5"/>
  <c r="G43" i="32" s="1"/>
  <c r="J28" i="5"/>
  <c r="J28" i="32" s="1"/>
  <c r="N6" i="5"/>
  <c r="C39" i="5"/>
  <c r="C39" i="32" s="1"/>
  <c r="J18" i="5"/>
  <c r="J18" i="32" s="1"/>
  <c r="E40" i="5"/>
  <c r="E40" i="32" s="1"/>
  <c r="G17" i="5"/>
  <c r="G17" i="32" s="1"/>
  <c r="K23" i="5"/>
  <c r="K23" i="32" s="1"/>
  <c r="M32" i="5"/>
  <c r="M32" i="32" s="1"/>
  <c r="M10" i="5"/>
  <c r="M10" i="32" s="1"/>
  <c r="G49" i="5"/>
  <c r="G49" i="32" s="1"/>
  <c r="I52" i="5"/>
  <c r="I52" i="32" s="1"/>
  <c r="K10" i="5"/>
  <c r="K10" i="32" s="1"/>
  <c r="N23" i="5"/>
  <c r="N23" i="32" s="1"/>
  <c r="J42" i="5"/>
  <c r="J42" i="32" s="1"/>
  <c r="E51" i="5"/>
  <c r="E51" i="32" s="1"/>
  <c r="O21" i="5"/>
  <c r="K26" i="5"/>
  <c r="K26" i="32" s="1"/>
  <c r="H50" i="5"/>
  <c r="H50" i="32" s="1"/>
  <c r="C27" i="5"/>
  <c r="C27" i="32" s="1"/>
  <c r="C57" i="5"/>
  <c r="C57" i="32" s="1"/>
  <c r="K46" i="5"/>
  <c r="K46" i="32" s="1"/>
  <c r="F47" i="5"/>
  <c r="F47" i="32" s="1"/>
  <c r="I30" i="5"/>
  <c r="I30" i="32" s="1"/>
  <c r="J26" i="5"/>
  <c r="J26" i="32" s="1"/>
  <c r="H35" i="5"/>
  <c r="H35" i="32" s="1"/>
  <c r="K15" i="5"/>
  <c r="K15" i="32" s="1"/>
  <c r="C41" i="5"/>
  <c r="C41" i="32" s="1"/>
  <c r="F39" i="5"/>
  <c r="F39" i="32" s="1"/>
  <c r="I40" i="5"/>
  <c r="I40" i="32" s="1"/>
  <c r="M65" i="5"/>
  <c r="M65" i="32" s="1"/>
  <c r="F31" i="5"/>
  <c r="F31" i="32" s="1"/>
  <c r="L27" i="5"/>
  <c r="L27" i="32" s="1"/>
  <c r="J47" i="5"/>
  <c r="J47" i="32" s="1"/>
  <c r="C18" i="5"/>
  <c r="C18" i="32" s="1"/>
  <c r="E6" i="5"/>
  <c r="M6" i="5"/>
  <c r="C10" i="5"/>
  <c r="C10" i="32" s="1"/>
  <c r="M38" i="5"/>
  <c r="M38" i="32" s="1"/>
  <c r="M30" i="5"/>
  <c r="M30" i="32" s="1"/>
  <c r="I48" i="5"/>
  <c r="I48" i="32" s="1"/>
  <c r="O34" i="5"/>
  <c r="F20" i="5"/>
  <c r="F20" i="32" s="1"/>
  <c r="H55" i="5"/>
  <c r="H55" i="32" s="1"/>
  <c r="K21" i="5"/>
  <c r="K21" i="32" s="1"/>
  <c r="C33" i="5"/>
  <c r="C33" i="32" s="1"/>
  <c r="G37" i="5"/>
  <c r="G37" i="32" s="1"/>
  <c r="C42" i="5"/>
  <c r="C42" i="32" s="1"/>
  <c r="H25" i="5"/>
  <c r="H25" i="32" s="1"/>
  <c r="M46" i="5"/>
  <c r="M46" i="32" s="1"/>
  <c r="G27" i="5"/>
  <c r="G27" i="32" s="1"/>
  <c r="C51" i="5"/>
  <c r="C51" i="32" s="1"/>
  <c r="O20" i="5"/>
  <c r="K48" i="5"/>
  <c r="K48" i="32" s="1"/>
  <c r="L54" i="5"/>
  <c r="L54" i="32" s="1"/>
  <c r="K35" i="5"/>
  <c r="K35" i="32" s="1"/>
  <c r="D53" i="5"/>
  <c r="D53" i="32" s="1"/>
  <c r="I18" i="5"/>
  <c r="I18" i="32" s="1"/>
  <c r="L17" i="5"/>
  <c r="L17" i="32" s="1"/>
  <c r="H41" i="5"/>
  <c r="H41" i="32" s="1"/>
  <c r="G40" i="5"/>
  <c r="G40" i="32" s="1"/>
  <c r="F16" i="5"/>
  <c r="F16" i="32" s="1"/>
  <c r="L52" i="5"/>
  <c r="L52" i="32" s="1"/>
  <c r="F43" i="5"/>
  <c r="F43" i="32" s="1"/>
  <c r="M40" i="5"/>
  <c r="M40" i="32" s="1"/>
  <c r="O52" i="5"/>
  <c r="E33" i="5"/>
  <c r="E33" i="32" s="1"/>
  <c r="I54" i="5"/>
  <c r="I54" i="32" s="1"/>
  <c r="E32" i="5"/>
  <c r="E32" i="32" s="1"/>
  <c r="M58" i="5"/>
  <c r="M58" i="32" s="1"/>
  <c r="E48" i="5"/>
  <c r="E48" i="32" s="1"/>
  <c r="D59" i="5"/>
  <c r="D59" i="32" s="1"/>
  <c r="F27" i="5"/>
  <c r="F27" i="32" s="1"/>
  <c r="J45" i="5"/>
  <c r="J45" i="32" s="1"/>
  <c r="I28" i="5"/>
  <c r="I28" i="32" s="1"/>
  <c r="G48" i="5"/>
  <c r="G48" i="32" s="1"/>
  <c r="N46" i="5"/>
  <c r="N46" i="32" s="1"/>
  <c r="K25" i="5"/>
  <c r="K25" i="32" s="1"/>
  <c r="O54" i="5"/>
  <c r="H40" i="5"/>
  <c r="H40" i="32" s="1"/>
  <c r="D18" i="5"/>
  <c r="D18" i="32" s="1"/>
  <c r="L49" i="5"/>
  <c r="L49" i="32" s="1"/>
  <c r="C17" i="5"/>
  <c r="C17" i="32" s="1"/>
  <c r="K53" i="5"/>
  <c r="K53" i="32" s="1"/>
  <c r="K43" i="5"/>
  <c r="K43" i="32" s="1"/>
  <c r="K34" i="5"/>
  <c r="K34" i="32" s="1"/>
  <c r="N24" i="5"/>
  <c r="N24" i="32" s="1"/>
  <c r="E34" i="5"/>
  <c r="E34" i="32" s="1"/>
  <c r="N9" i="5"/>
  <c r="N9" i="32" s="1"/>
  <c r="K29" i="5"/>
  <c r="K29" i="32" s="1"/>
  <c r="I56" i="5"/>
  <c r="I56" i="32" s="1"/>
  <c r="M59" i="5"/>
  <c r="M59" i="32" s="1"/>
  <c r="K56" i="5"/>
  <c r="K56" i="32" s="1"/>
  <c r="N26" i="5"/>
  <c r="N26" i="32" s="1"/>
  <c r="E19" i="5"/>
  <c r="E19" i="32" s="1"/>
  <c r="G24" i="5"/>
  <c r="G24" i="32" s="1"/>
  <c r="O60" i="5"/>
  <c r="H59" i="5"/>
  <c r="H59" i="32" s="1"/>
  <c r="H56" i="5"/>
  <c r="H56" i="32" s="1"/>
  <c r="F14" i="5"/>
  <c r="H36" i="5"/>
  <c r="H36" i="32" s="1"/>
  <c r="H26" i="5"/>
  <c r="H26" i="32" s="1"/>
  <c r="E45" i="5"/>
  <c r="E45" i="32" s="1"/>
  <c r="L29" i="5"/>
  <c r="L29" i="32" s="1"/>
  <c r="L23" i="5"/>
  <c r="L23" i="32" s="1"/>
  <c r="L16" i="5"/>
  <c r="L16" i="32" s="1"/>
  <c r="I41" i="5"/>
  <c r="I41" i="32" s="1"/>
  <c r="H57" i="5"/>
  <c r="H57" i="32" s="1"/>
  <c r="K16" i="5"/>
  <c r="K16" i="32" s="1"/>
  <c r="G19" i="5"/>
  <c r="G19" i="32" s="1"/>
  <c r="F29" i="5"/>
  <c r="F29" i="32" s="1"/>
  <c r="J16" i="5"/>
  <c r="J16" i="32" s="1"/>
  <c r="H52" i="5"/>
  <c r="H52" i="32" s="1"/>
  <c r="D35" i="5"/>
  <c r="D35" i="32" s="1"/>
  <c r="D15" i="5"/>
  <c r="D15" i="32" s="1"/>
  <c r="F55" i="5"/>
  <c r="F55" i="32" s="1"/>
  <c r="L24" i="5"/>
  <c r="L24" i="32" s="1"/>
  <c r="H21" i="5"/>
  <c r="H21" i="32" s="1"/>
  <c r="G47" i="5"/>
  <c r="G47" i="32" s="1"/>
  <c r="F42" i="5"/>
  <c r="F42" i="32" s="1"/>
  <c r="G59" i="5"/>
  <c r="G59" i="32" s="1"/>
  <c r="O36" i="5"/>
  <c r="E57" i="5"/>
  <c r="E57" i="32" s="1"/>
  <c r="L60" i="5"/>
  <c r="L60" i="32" s="1"/>
  <c r="K36" i="5"/>
  <c r="K36" i="32" s="1"/>
  <c r="E52" i="5"/>
  <c r="E52" i="32" s="1"/>
  <c r="N45" i="5"/>
  <c r="N45" i="32" s="1"/>
  <c r="K9" i="5"/>
  <c r="K9" i="32" s="1"/>
  <c r="M26" i="5"/>
  <c r="M26" i="32" s="1"/>
  <c r="O35" i="5"/>
  <c r="E49" i="5"/>
  <c r="E49" i="32" s="1"/>
  <c r="H14" i="5"/>
  <c r="E37" i="5"/>
  <c r="E37" i="32" s="1"/>
  <c r="H15" i="5"/>
  <c r="H15" i="32" s="1"/>
  <c r="G16" i="5"/>
  <c r="G16" i="32" s="1"/>
  <c r="G41" i="5"/>
  <c r="G41" i="32" s="1"/>
  <c r="M15" i="5"/>
  <c r="M15" i="32" s="1"/>
  <c r="I32" i="5"/>
  <c r="I32" i="32" s="1"/>
  <c r="M55" i="5"/>
  <c r="M55" i="32" s="1"/>
  <c r="D25" i="5"/>
  <c r="D25" i="32" s="1"/>
  <c r="G42" i="5"/>
  <c r="G42" i="32" s="1"/>
  <c r="D49" i="5"/>
  <c r="D49" i="32" s="1"/>
  <c r="F54" i="5"/>
  <c r="F54" i="32" s="1"/>
  <c r="K47" i="5"/>
  <c r="K47" i="32" s="1"/>
  <c r="H28" i="5"/>
  <c r="H28" i="32" s="1"/>
  <c r="O14" i="5"/>
  <c r="J58" i="5"/>
  <c r="J58" i="32" s="1"/>
  <c r="M37" i="5"/>
  <c r="M37" i="32" s="1"/>
  <c r="F25" i="5"/>
  <c r="F25" i="32" s="1"/>
  <c r="I27" i="5"/>
  <c r="I27" i="32" s="1"/>
  <c r="J39" i="5"/>
  <c r="J39" i="32" s="1"/>
  <c r="G52" i="5"/>
  <c r="G52" i="32" s="1"/>
  <c r="I42" i="5"/>
  <c r="I42" i="32" s="1"/>
  <c r="F53" i="5"/>
  <c r="F53" i="32" s="1"/>
  <c r="N53" i="5"/>
  <c r="N53" i="32" s="1"/>
  <c r="C16" i="5"/>
  <c r="C16" i="32" s="1"/>
  <c r="F51" i="5"/>
  <c r="F51" i="32" s="1"/>
  <c r="D20" i="5"/>
  <c r="D20" i="32" s="1"/>
  <c r="D39" i="5"/>
  <c r="D39" i="32" s="1"/>
  <c r="I20" i="5"/>
  <c r="I20" i="32" s="1"/>
  <c r="L31" i="5"/>
  <c r="L31" i="32" s="1"/>
  <c r="D34" i="5"/>
  <c r="D34" i="32" s="1"/>
  <c r="J36" i="5"/>
  <c r="J36" i="32" s="1"/>
  <c r="L19" i="5"/>
  <c r="L19" i="32" s="1"/>
  <c r="I16" i="5"/>
  <c r="I16" i="32" s="1"/>
  <c r="L51" i="5"/>
  <c r="L51" i="32" s="1"/>
  <c r="I22" i="5"/>
  <c r="I22" i="32" s="1"/>
  <c r="N20" i="5"/>
  <c r="N20" i="32" s="1"/>
  <c r="N22" i="5"/>
  <c r="N22" i="32" s="1"/>
  <c r="K38" i="5"/>
  <c r="K38" i="32" s="1"/>
  <c r="J9" i="5"/>
  <c r="J9" i="32" s="1"/>
  <c r="M24" i="5"/>
  <c r="M24" i="32" s="1"/>
  <c r="G46" i="5"/>
  <c r="G46" i="32" s="1"/>
  <c r="J49" i="5"/>
  <c r="J49" i="32" s="1"/>
  <c r="J33" i="5"/>
  <c r="J33" i="32" s="1"/>
  <c r="L10" i="5"/>
  <c r="L10" i="32" s="1"/>
  <c r="O27" i="5"/>
  <c r="E25" i="5"/>
  <c r="E25" i="32" s="1"/>
  <c r="O29" i="5"/>
  <c r="N59" i="5"/>
  <c r="N59" i="32" s="1"/>
  <c r="O22" i="5"/>
  <c r="E36" i="5"/>
  <c r="E36" i="32" s="1"/>
  <c r="M17" i="5"/>
  <c r="M17" i="32" s="1"/>
  <c r="D10" i="5"/>
  <c r="D10" i="32" s="1"/>
  <c r="F48" i="5"/>
  <c r="F48" i="32" s="1"/>
  <c r="L40" i="5"/>
  <c r="L40" i="32" s="1"/>
  <c r="E29" i="5"/>
  <c r="E29" i="32" s="1"/>
  <c r="D52" i="5"/>
  <c r="D52" i="32" s="1"/>
  <c r="E38" i="5"/>
  <c r="E38" i="32" s="1"/>
  <c r="N56" i="5"/>
  <c r="N56" i="32" s="1"/>
  <c r="L65" i="5"/>
  <c r="L65" i="32" s="1"/>
  <c r="O37" i="5"/>
  <c r="D23" i="5"/>
  <c r="D23" i="32" s="1"/>
  <c r="E21" i="5"/>
  <c r="E21" i="32" s="1"/>
  <c r="C9" i="5"/>
  <c r="C9" i="32" s="1"/>
  <c r="E30" i="5"/>
  <c r="E30" i="32" s="1"/>
  <c r="M28" i="5"/>
  <c r="M28" i="32" s="1"/>
  <c r="E56" i="5"/>
  <c r="E56" i="32" s="1"/>
  <c r="I65" i="5"/>
  <c r="I65" i="32" s="1"/>
  <c r="O45" i="5"/>
  <c r="M14" i="5"/>
  <c r="N38" i="5"/>
  <c r="N38" i="32" s="1"/>
  <c r="M7" i="5"/>
  <c r="M7" i="32" s="1"/>
  <c r="C46" i="5"/>
  <c r="C46" i="32" s="1"/>
  <c r="M18" i="5"/>
  <c r="M18" i="32" s="1"/>
  <c r="M35" i="5"/>
  <c r="M35" i="32" s="1"/>
  <c r="N15" i="5"/>
  <c r="N15" i="32" s="1"/>
  <c r="C20" i="5"/>
  <c r="C20" i="32" s="1"/>
  <c r="L44" i="5"/>
  <c r="L44" i="32" s="1"/>
  <c r="D38" i="5"/>
  <c r="D38" i="32" s="1"/>
  <c r="M45" i="5"/>
  <c r="M45" i="32" s="1"/>
  <c r="O94" i="32"/>
  <c r="L79" i="32"/>
  <c r="L67" i="32" s="1"/>
  <c r="K99" i="32"/>
  <c r="O97" i="32"/>
  <c r="O99" i="32" s="1"/>
  <c r="O57" i="32" l="1"/>
  <c r="O54" i="32"/>
  <c r="I67" i="32"/>
  <c r="N67" i="32"/>
  <c r="H67" i="32"/>
  <c r="F67" i="32"/>
  <c r="O40" i="32"/>
  <c r="E79" i="32"/>
  <c r="O76" i="32"/>
  <c r="N67" i="5"/>
  <c r="O46" i="32"/>
  <c r="O67" i="5"/>
  <c r="C67" i="5"/>
  <c r="O22" i="32"/>
  <c r="O69" i="32"/>
  <c r="E73" i="32"/>
  <c r="E67" i="32" s="1"/>
  <c r="O70" i="32"/>
  <c r="L67" i="5"/>
  <c r="O9" i="32"/>
  <c r="O75" i="32"/>
  <c r="F67" i="5"/>
  <c r="I67" i="5"/>
  <c r="E67" i="5"/>
  <c r="G67" i="5"/>
  <c r="M6" i="32"/>
  <c r="M8" i="32" s="1"/>
  <c r="M5" i="32" s="1"/>
  <c r="M12" i="32" s="1"/>
  <c r="M8" i="5"/>
  <c r="M5" i="5" s="1"/>
  <c r="M12" i="5" s="1"/>
  <c r="O65" i="32"/>
  <c r="O16" i="32"/>
  <c r="H61" i="5"/>
  <c r="H13" i="5" s="1"/>
  <c r="H14" i="32"/>
  <c r="F61" i="5"/>
  <c r="F13" i="5" s="1"/>
  <c r="F14" i="32"/>
  <c r="O51" i="32"/>
  <c r="E6" i="32"/>
  <c r="E8" i="32" s="1"/>
  <c r="E5" i="32" s="1"/>
  <c r="E12" i="32" s="1"/>
  <c r="E8" i="5"/>
  <c r="E5" i="5" s="1"/>
  <c r="E12" i="5" s="1"/>
  <c r="O41" i="32"/>
  <c r="O27" i="32"/>
  <c r="O39" i="32"/>
  <c r="O7" i="32"/>
  <c r="O26" i="32"/>
  <c r="I61" i="5"/>
  <c r="I13" i="5" s="1"/>
  <c r="I14" i="32"/>
  <c r="O19" i="32"/>
  <c r="O38" i="32"/>
  <c r="O43" i="32"/>
  <c r="C6" i="32"/>
  <c r="C8" i="5"/>
  <c r="C5" i="5" s="1"/>
  <c r="C12" i="5" s="1"/>
  <c r="O17" i="32"/>
  <c r="O18" i="32"/>
  <c r="N6" i="32"/>
  <c r="N8" i="32" s="1"/>
  <c r="N5" i="32" s="1"/>
  <c r="N12" i="32" s="1"/>
  <c r="N8" i="5"/>
  <c r="N5" i="5" s="1"/>
  <c r="N12" i="5" s="1"/>
  <c r="O31" i="32"/>
  <c r="J6" i="32"/>
  <c r="J8" i="32" s="1"/>
  <c r="J5" i="32" s="1"/>
  <c r="J12" i="32" s="1"/>
  <c r="J8" i="5"/>
  <c r="J5" i="5" s="1"/>
  <c r="J12" i="5" s="1"/>
  <c r="N61" i="5"/>
  <c r="N14" i="32"/>
  <c r="O37" i="32"/>
  <c r="O28" i="32"/>
  <c r="I6" i="32"/>
  <c r="I8" i="32" s="1"/>
  <c r="I5" i="32" s="1"/>
  <c r="I12" i="32" s="1"/>
  <c r="I8" i="5"/>
  <c r="I5" i="5" s="1"/>
  <c r="I12" i="5" s="1"/>
  <c r="O48" i="32"/>
  <c r="O49" i="32"/>
  <c r="O29" i="32"/>
  <c r="E61" i="5"/>
  <c r="E13" i="5" s="1"/>
  <c r="E14" i="32"/>
  <c r="O55" i="32"/>
  <c r="D8" i="5"/>
  <c r="D5" i="5" s="1"/>
  <c r="D12" i="5" s="1"/>
  <c r="D6" i="32"/>
  <c r="D8" i="32" s="1"/>
  <c r="D5" i="32" s="1"/>
  <c r="D12" i="32" s="1"/>
  <c r="O61" i="5"/>
  <c r="O13" i="5" s="1"/>
  <c r="O34" i="32"/>
  <c r="O25" i="32"/>
  <c r="O52" i="32"/>
  <c r="O60" i="32"/>
  <c r="G61" i="5"/>
  <c r="G13" i="5" s="1"/>
  <c r="G14" i="32"/>
  <c r="O53" i="32"/>
  <c r="L8" i="5"/>
  <c r="L5" i="5" s="1"/>
  <c r="L12" i="5" s="1"/>
  <c r="L6" i="32"/>
  <c r="L8" i="32" s="1"/>
  <c r="L5" i="32" s="1"/>
  <c r="L12" i="32" s="1"/>
  <c r="M61" i="5"/>
  <c r="M13" i="5" s="1"/>
  <c r="M14" i="32"/>
  <c r="O20" i="32"/>
  <c r="O32" i="32"/>
  <c r="O45" i="32"/>
  <c r="F6" i="32"/>
  <c r="F8" i="32" s="1"/>
  <c r="F5" i="32" s="1"/>
  <c r="F12" i="32" s="1"/>
  <c r="F8" i="5"/>
  <c r="F5" i="5" s="1"/>
  <c r="F12" i="5" s="1"/>
  <c r="J61" i="5"/>
  <c r="J13" i="5" s="1"/>
  <c r="J14" i="32"/>
  <c r="O35" i="32"/>
  <c r="O42" i="32"/>
  <c r="K6" i="32"/>
  <c r="K8" i="32" s="1"/>
  <c r="K5" i="32" s="1"/>
  <c r="K12" i="32" s="1"/>
  <c r="K8" i="5"/>
  <c r="K5" i="5" s="1"/>
  <c r="K12" i="5" s="1"/>
  <c r="O59" i="32"/>
  <c r="O23" i="32"/>
  <c r="O56" i="32"/>
  <c r="O30" i="32"/>
  <c r="O50" i="32"/>
  <c r="D61" i="5"/>
  <c r="D14" i="32"/>
  <c r="O36" i="32"/>
  <c r="K61" i="5"/>
  <c r="K13" i="5" s="1"/>
  <c r="K14" i="32"/>
  <c r="G6" i="32"/>
  <c r="G8" i="32" s="1"/>
  <c r="G5" i="32" s="1"/>
  <c r="G12" i="32" s="1"/>
  <c r="G8" i="5"/>
  <c r="G5" i="5" s="1"/>
  <c r="G12" i="5" s="1"/>
  <c r="O21" i="32"/>
  <c r="H6" i="32"/>
  <c r="H8" i="32" s="1"/>
  <c r="H5" i="32" s="1"/>
  <c r="H12" i="32" s="1"/>
  <c r="H8" i="5"/>
  <c r="H5" i="5" s="1"/>
  <c r="H12" i="5" s="1"/>
  <c r="C61" i="5"/>
  <c r="C14" i="32"/>
  <c r="O33" i="32"/>
  <c r="O10" i="32"/>
  <c r="O58" i="32"/>
  <c r="O44" i="32"/>
  <c r="L61" i="5"/>
  <c r="L13" i="5" s="1"/>
  <c r="L14" i="32"/>
  <c r="O15" i="32"/>
  <c r="O8" i="5"/>
  <c r="O5" i="5" s="1"/>
  <c r="O12" i="5" s="1"/>
  <c r="O47" i="32"/>
  <c r="O24" i="32"/>
  <c r="O79" i="32" l="1"/>
  <c r="O73" i="32"/>
  <c r="C61" i="32"/>
  <c r="C13" i="32" s="1"/>
  <c r="F3" i="10" a="1"/>
  <c r="F3" i="10" s="1"/>
  <c r="O66" i="5"/>
  <c r="O80" i="5" s="1"/>
  <c r="O81" i="5"/>
  <c r="G81" i="5"/>
  <c r="G66" i="5"/>
  <c r="G80" i="5" s="1"/>
  <c r="D81" i="32"/>
  <c r="C81" i="5"/>
  <c r="G81" i="32"/>
  <c r="J66" i="5"/>
  <c r="J80" i="5" s="1"/>
  <c r="J81" i="5"/>
  <c r="C8" i="32"/>
  <c r="C5" i="32" s="1"/>
  <c r="C12" i="32" s="1"/>
  <c r="O6" i="32"/>
  <c r="O8" i="32" s="1"/>
  <c r="O5" i="32" s="1"/>
  <c r="O12" i="32" s="1"/>
  <c r="G61" i="32"/>
  <c r="G13" i="32" s="1"/>
  <c r="G66" i="32" s="1"/>
  <c r="G80" i="32" s="1"/>
  <c r="J3" i="10" a="1"/>
  <c r="J3" i="10" s="1"/>
  <c r="I66" i="5"/>
  <c r="I80" i="5" s="1"/>
  <c r="I81" i="5"/>
  <c r="J81" i="32"/>
  <c r="F61" i="32"/>
  <c r="F13" i="32" s="1"/>
  <c r="F66" i="32" s="1"/>
  <c r="F80" i="32" s="1"/>
  <c r="I3" i="10" a="1"/>
  <c r="I3" i="10" s="1"/>
  <c r="K61" i="32"/>
  <c r="K13" i="32" s="1"/>
  <c r="K66" i="32" s="1"/>
  <c r="K80" i="32" s="1"/>
  <c r="N3" i="10" a="1"/>
  <c r="N3" i="10" s="1"/>
  <c r="D61" i="32"/>
  <c r="D13" i="32" s="1"/>
  <c r="D66" i="32" s="1"/>
  <c r="D80" i="32" s="1"/>
  <c r="G3" i="10" a="1"/>
  <c r="G3" i="10" s="1"/>
  <c r="N61" i="32"/>
  <c r="Q3" i="10" a="1"/>
  <c r="Q3" i="10" s="1"/>
  <c r="M81" i="5"/>
  <c r="M66" i="5"/>
  <c r="M80" i="5" s="1"/>
  <c r="D81" i="5"/>
  <c r="M81" i="32"/>
  <c r="C13" i="5"/>
  <c r="C66" i="5" s="1"/>
  <c r="C80" i="5" s="1"/>
  <c r="O14" i="32"/>
  <c r="I81" i="32"/>
  <c r="L61" i="32"/>
  <c r="L13" i="32" s="1"/>
  <c r="L66" i="32" s="1"/>
  <c r="L80" i="32" s="1"/>
  <c r="O3" i="10" a="1"/>
  <c r="O3" i="10" s="1"/>
  <c r="M61" i="32"/>
  <c r="M13" i="32" s="1"/>
  <c r="M66" i="32" s="1"/>
  <c r="M80" i="32" s="1"/>
  <c r="P3" i="10" a="1"/>
  <c r="P3" i="10" s="1"/>
  <c r="N81" i="5"/>
  <c r="H81" i="5"/>
  <c r="H66" i="5"/>
  <c r="H80" i="5" s="1"/>
  <c r="E61" i="32"/>
  <c r="H3" i="10" a="1"/>
  <c r="H3" i="10" s="1"/>
  <c r="N66" i="32"/>
  <c r="N80" i="32" s="1"/>
  <c r="N81" i="32"/>
  <c r="E66" i="5"/>
  <c r="E80" i="5" s="1"/>
  <c r="E81" i="5"/>
  <c r="H81" i="32"/>
  <c r="K66" i="5"/>
  <c r="K80" i="5" s="1"/>
  <c r="K81" i="5"/>
  <c r="F81" i="32"/>
  <c r="L81" i="5"/>
  <c r="L66" i="5"/>
  <c r="L80" i="5" s="1"/>
  <c r="N13" i="5"/>
  <c r="N66" i="5" s="1"/>
  <c r="N80" i="5" s="1"/>
  <c r="E81" i="32"/>
  <c r="J61" i="32"/>
  <c r="J13" i="32" s="1"/>
  <c r="J66" i="32" s="1"/>
  <c r="J80" i="32" s="1"/>
  <c r="M3" i="10" a="1"/>
  <c r="M3" i="10" s="1"/>
  <c r="E13" i="32"/>
  <c r="E66" i="32" s="1"/>
  <c r="E80" i="32" s="1"/>
  <c r="F66" i="5"/>
  <c r="F80" i="5" s="1"/>
  <c r="F81" i="5"/>
  <c r="L81" i="32"/>
  <c r="H61" i="32"/>
  <c r="H13" i="32" s="1"/>
  <c r="H66" i="32" s="1"/>
  <c r="H80" i="32" s="1"/>
  <c r="K3" i="10" a="1"/>
  <c r="K3" i="10" s="1"/>
  <c r="D13" i="5"/>
  <c r="D66" i="5" s="1"/>
  <c r="D80" i="5" s="1"/>
  <c r="K81" i="32"/>
  <c r="N13" i="32"/>
  <c r="I61" i="32"/>
  <c r="I13" i="32" s="1"/>
  <c r="I66" i="32" s="1"/>
  <c r="I80" i="32" s="1"/>
  <c r="L3" i="10" a="1"/>
  <c r="L3" i="10" s="1"/>
  <c r="O67" i="32" l="1"/>
  <c r="O61" i="32"/>
  <c r="O13" i="32" s="1"/>
  <c r="O66" i="32" s="1"/>
  <c r="O81" i="32"/>
  <c r="C81" i="32"/>
  <c r="C66" i="32"/>
  <c r="C80" i="32" s="1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Administrator</author>
  </authors>
  <commentList>
    <comment ref="E3" authorId="0" shapeId="0" xr:uid="{1A092F9B-B888-4D1C-A081-369F1D6B3867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65" authorId="1" shapeId="0" xr:uid="{EA93B436-1E3B-4E0C-9B5D-9B30213664F2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
ruột ghim bấm</t>
        </r>
      </text>
    </comment>
    <comment ref="G65" authorId="1" shapeId="0" xr:uid="{610BCA3B-08F8-49E2-A99F-8EE300E4D76D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ngòi chì kim</t>
        </r>
      </text>
    </comment>
    <comment ref="H65" authorId="1" shapeId="0" xr:uid="{74F4717A-DB8A-41B3-9E8C-A999041F4ED2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</t>
        </r>
      </text>
    </comment>
    <comment ref="I65" authorId="1" shapeId="0" xr:uid="{9A50A7BD-1F9B-4FD5-8816-56592D0C4F23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ruột ghim bấm
ngòi chì kim</t>
        </r>
      </text>
    </comment>
    <comment ref="J65" authorId="1" shapeId="0" xr:uid="{FFC90313-7C16-4FC0-87C9-8ACF53C37907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</t>
        </r>
      </text>
    </comment>
    <comment ref="K65" authorId="1" shapeId="0" xr:uid="{DA523DB6-B7A5-4FCE-BC11-3DD9CC9E0B15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ngòi chì kim</t>
        </r>
      </text>
    </comment>
    <comment ref="L65" authorId="1" shapeId="0" xr:uid="{1513C6B2-6AC0-4813-A1D0-A54AC17A48C7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
ruột ghim bấm</t>
        </r>
      </text>
    </comment>
    <comment ref="M65" authorId="1" shapeId="0" xr:uid="{F335280F-F389-4D97-96D7-648681FAB73E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ngòi chì kim</t>
        </r>
      </text>
    </comment>
    <comment ref="N65" authorId="1" shapeId="0" xr:uid="{45195D5B-1A3F-479A-A328-5F347D3C2D70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</t>
        </r>
      </text>
    </comment>
    <comment ref="O65" authorId="1" shapeId="0" xr:uid="{2122BF90-D879-46A3-A2B9-9295BBC13A7B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ruột ghim bấm
ngòi chì kim</t>
        </r>
      </text>
    </comment>
    <comment ref="P65" authorId="1" shapeId="0" xr:uid="{8B7575AC-DE4D-46F1-9AFA-A04D68459E5E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bút bi</t>
        </r>
      </text>
    </comment>
    <comment ref="Q65" authorId="1" shapeId="0" xr:uid="{0F10256F-10FE-406C-9AA6-5C9037DF2C18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ngòi chì kim</t>
        </r>
      </text>
    </comment>
    <comment ref="F66" authorId="1" shapeId="0" xr:uid="{C3D45C53-5606-412A-BA6B-A8ECCBF3FAF8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H66" authorId="1" shapeId="0" xr:uid="{A5DBC28E-AEA8-45DC-9AFE-C8D70702B6D5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J66" authorId="1" shapeId="0" xr:uid="{4D5D1D28-96DC-4FF2-8FD5-9141C474007A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L66" authorId="1" shapeId="0" xr:uid="{43288DC2-CC74-434D-A10A-D4F841B58DCE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N66" authorId="1" shapeId="0" xr:uid="{C8137E9F-2F9C-41F7-9A34-28E5E069CDC0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P66" authorId="1" shapeId="0" xr:uid="{1F3DE906-0213-44C5-B18D-BB276583E2EE}">
      <text>
        <r>
          <rPr>
            <b/>
            <sz val="9"/>
            <color indexed="81"/>
            <rFont val="Tahoma"/>
          </rPr>
          <t>Administrator:</t>
        </r>
        <r>
          <rPr>
            <sz val="9"/>
            <color indexed="81"/>
            <rFont val="Tahoma"/>
          </rPr>
          <t xml:space="preserve">
giấy a5</t>
        </r>
      </text>
    </comment>
    <comment ref="F75" authorId="1" shapeId="0" xr:uid="{C5449179-943D-4F77-A79C-FE9614CE85FD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áo đồng phục ngắn tay mới</t>
        </r>
      </text>
    </comment>
    <comment ref="F77" authorId="1" shapeId="0" xr:uid="{F3F8EF53-5728-4D1F-B3E7-4553698836F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áo đồng phục dài tay mới</t>
        </r>
      </text>
    </comment>
    <comment ref="F86" authorId="1" shapeId="0" xr:uid="{0C2D235F-6762-45FB-96BA-43EABF3D69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Nga</t>
        </r>
      </text>
    </comment>
    <comment ref="G86" authorId="1" shapeId="0" xr:uid="{5F7E1F4C-4252-427F-8490-1ECF51F1479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Hoài</t>
        </r>
      </text>
    </comment>
    <comment ref="H86" authorId="1" shapeId="0" xr:uid="{63525DC9-BC48-4CB7-BD0C-D0477D5A10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Phương</t>
        </r>
      </text>
    </comment>
    <comment ref="J86" authorId="1" shapeId="0" xr:uid="{FAC9CC8D-75B3-482B-8351-FA41DD65870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Linh</t>
        </r>
      </text>
    </comment>
    <comment ref="K86" authorId="1" shapeId="0" xr:uid="{B59E0E08-EEDA-41A0-B45A-DBE5B27A333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Loan</t>
        </r>
      </text>
    </comment>
    <comment ref="L86" authorId="1" shapeId="0" xr:uid="{1F8BB9E9-BF59-49C0-BE01-A05B8B61278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Mường</t>
        </r>
      </text>
    </comment>
    <comment ref="M86" authorId="1" shapeId="0" xr:uid="{993B9413-F09E-4AB1-B5B0-519739B3A66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Hương</t>
        </r>
      </text>
    </comment>
    <comment ref="N86" authorId="1" shapeId="0" xr:uid="{1B340226-ABCD-4607-A5DE-75D8C5A60C1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Ngọc</t>
        </r>
      </text>
    </comment>
    <comment ref="O86" authorId="1" shapeId="0" xr:uid="{18C00FD8-ABA8-478F-8CB8-5051EAAD67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 Lý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5A6080A2-FA0C-4BC6-AE6A-74DEFC547C45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<sst xmlns="http://schemas.openxmlformats.org/spreadsheetml/2006/main" count="1683" uniqueCount="745">
  <si>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</si>
  <si>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</si>
  <si>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</si>
  <si>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</si>
  <si>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</si>
  <si>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</si>
  <si>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</si>
  <si>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</si>
  <si>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</si>
  <si>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</si>
  <si>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</si>
  <si>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</si>
  <si>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</si>
  <si>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</si>
  <si>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</si>
  <si>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</si>
  <si>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</si>
  <si>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</si>
  <si>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</si>
  <si>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</si>
  <si>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</si>
  <si>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</si>
  <si>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</si>
  <si>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</si>
  <si>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</si>
  <si>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</si>
  <si>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</si>
  <si>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</si>
  <si>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</si>
  <si>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</si>
  <si>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</si>
  <si>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</si>
  <si>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</si>
  <si>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</si>
  <si>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</si>
  <si>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</si>
  <si>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</si>
  <si>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</si>
  <si>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</si>
  <si>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</si>
  <si>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</si>
  <si>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</si>
  <si>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</si>
  <si>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</si>
  <si>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</si>
  <si>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</si>
  <si>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</si>
  <si>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</si>
  <si>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</si>
  <si>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</si>
  <si>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</si>
  <si>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</si>
  <si>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</si>
  <si>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</si>
  <si>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</si>
  <si>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</si>
  <si>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</si>
  <si>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</si>
  <si>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</si>
  <si>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</si>
  <si>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</si>
  <si>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</si>
  <si>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</si>
  <si>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</si>
  <si>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</si>
  <si>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</si>
  <si>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</si>
  <si>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</si>
  <si>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</si>
  <si>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</si>
  <si>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</si>
  <si>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</si>
  <si>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</si>
  <si>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</si>
  <si>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</si>
  <si>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</si>
  <si>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</si>
  <si>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</si>
  <si>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</si>
  <si>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</si>
  <si>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</si>
  <si>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</si>
  <si>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</si>
  <si>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</si>
  <si>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</si>
  <si>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</si>
  <si>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</si>
  <si>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</si>
  <si>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</si>
  <si>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</si>
  <si>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</si>
  <si>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</si>
  <si>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</si>
  <si>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</si>
  <si>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</si>
  <si>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</si>
  <si>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</si>
  <si>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</si>
  <si>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</si>
  <si>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</si>
  <si>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</si>
  <si>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</si>
  <si>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</si>
  <si>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</si>
  <si>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</si>
  <si>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</si>
  <si>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</si>
  <si>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</si>
  <si>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</si>
  <si>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</si>
  <si>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</si>
  <si>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</si>
  <si>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</si>
  <si>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</si>
  <si>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</si>
  <si>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</si>
  <si>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</si>
  <si>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</si>
  <si>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</si>
  <si>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</si>
  <si>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</si>
  <si>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</si>
  <si>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</si>
  <si>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</si>
  <si>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</si>
  <si>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</si>
  <si>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</si>
  <si>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</si>
  <si>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</si>
  <si>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</si>
  <si>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</si>
  <si>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</si>
  <si>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</si>
  <si>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</si>
  <si>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</si>
  <si>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</si>
  <si>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</si>
  <si>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</si>
  <si>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</si>
  <si>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</si>
  <si>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</si>
  <si>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</si>
  <si>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</si>
  <si>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</si>
  <si>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</si>
  <si>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</si>
  <si>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</si>
  <si>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</si>
  <si>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</si>
  <si>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</si>
  <si>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</si>
  <si>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</si>
  <si>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</si>
  <si>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</si>
  <si>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</si>
  <si>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</si>
  <si>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</si>
  <si>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</si>
  <si>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</si>
  <si>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</si>
  <si>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</si>
  <si>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</si>
  <si>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</si>
  <si>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</si>
  <si>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</si>
  <si>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</si>
  <si>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</si>
  <si>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</si>
  <si>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</si>
  <si>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</si>
  <si>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</si>
  <si>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</si>
  <si>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</si>
  <si>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</si>
  <si>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</si>
  <si>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</si>
  <si>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</si>
  <si>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</si>
  <si>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</si>
  <si>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</si>
  <si>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</si>
  <si>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</si>
  <si>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</si>
  <si>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</si>
  <si>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</si>
  <si>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</si>
  <si>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</si>
  <si>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</si>
  <si>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</si>
  <si>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</si>
  <si>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</si>
  <si>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</si>
  <si>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</si>
  <si>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</si>
  <si>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</si>
  <si>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</si>
  <si>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</si>
  <si>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</si>
  <si>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</si>
  <si>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</si>
  <si>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</si>
  <si>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</si>
  <si>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</si>
  <si>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</si>
  <si>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</si>
  <si>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</si>
  <si>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</si>
  <si>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</si>
  <si>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</si>
  <si>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</si>
  <si>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</si>
  <si>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</si>
  <si>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</si>
  <si>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</si>
  <si>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</si>
  <si>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</si>
  <si>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</si>
  <si>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</si>
  <si>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</si>
  <si>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</si>
  <si>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</si>
  <si>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</si>
  <si>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</si>
  <si>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</si>
  <si>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</si>
  <si>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</si>
  <si>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</si>
  <si>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</si>
  <si>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</si>
  <si>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</si>
  <si>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</si>
  <si>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</si>
  <si>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</si>
  <si>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</si>
  <si>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</si>
  <si>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</si>
  <si>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</si>
  <si>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</si>
  <si>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</si>
  <si>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</si>
  <si>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</si>
  <si>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</si>
  <si>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</si>
  <si>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</si>
  <si>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</si>
  <si>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</si>
  <si>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</si>
  <si>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</si>
  <si>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</si>
  <si>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</si>
  <si>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</si>
  <si>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</si>
  <si>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</si>
  <si>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</si>
  <si>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</si>
  <si>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</si>
  <si>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</si>
  <si>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</si>
  <si>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</si>
  <si>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</si>
  <si>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</si>
  <si>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</si>
  <si>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</si>
  <si>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</si>
  <si>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</si>
  <si>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</si>
  <si>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</si>
  <si>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</si>
  <si>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</si>
  <si>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</si>
  <si>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</si>
  <si>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</si>
  <si>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</si>
  <si>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</si>
  <si>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</si>
  <si>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</si>
  <si>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</si>
  <si>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</si>
  <si>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</si>
  <si>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</si>
  <si>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</si>
  <si>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</si>
  <si>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</si>
  <si>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</si>
  <si>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</si>
  <si>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</si>
  <si>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</si>
  <si>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</si>
  <si>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</si>
  <si>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</si>
  <si>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</si>
  <si>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</si>
  <si>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</si>
  <si>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</si>
  <si>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</si>
  <si>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</si>
  <si>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</si>
  <si>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</si>
  <si>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</si>
  <si>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</si>
  <si>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</si>
  <si>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</si>
  <si>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</si>
  <si>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</si>
  <si>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</si>
  <si>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</si>
  <si>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</si>
  <si>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</si>
  <si>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</si>
  <si>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</si>
  <si>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</si>
  <si>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</si>
  <si>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</si>
  <si>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</si>
  <si>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</si>
  <si>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</si>
  <si>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</si>
  <si>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</si>
  <si>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</si>
  <si>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</si>
  <si>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</si>
  <si>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</si>
  <si>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</si>
  <si>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</si>
  <si>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</si>
  <si>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</si>
  <si>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</si>
  <si>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</si>
  <si>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</si>
  <si>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</si>
  <si>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</si>
  <si>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</si>
  <si>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</si>
  <si>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</si>
  <si>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</si>
  <si>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</si>
  <si>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</si>
  <si>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</si>
  <si>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</si>
  <si>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</si>
  <si>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</si>
  <si>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</si>
  <si>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</si>
  <si>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</si>
  <si>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</si>
  <si>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</si>
  <si>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</si>
  <si>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</si>
  <si>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</si>
  <si>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</si>
  <si>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</si>
  <si>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</si>
  <si>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</si>
  <si>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</si>
  <si>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</si>
  <si>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</si>
  <si>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</si>
  <si>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</si>
  <si>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</si>
  <si>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</si>
  <si>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</si>
  <si>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</si>
  <si>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</si>
  <si>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</si>
  <si>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</si>
  <si>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</si>
  <si>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</si>
  <si>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</si>
  <si>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</si>
  <si>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</si>
  <si>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</si>
  <si>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</si>
  <si>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</si>
  <si>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</si>
  <si>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</si>
  <si>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</si>
  <si>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</si>
  <si>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</si>
  <si>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</si>
  <si>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</si>
  <si>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</si>
  <si>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</si>
  <si>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</si>
  <si>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</si>
  <si>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</si>
  <si>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</si>
  <si>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</si>
  <si>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</si>
  <si>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</si>
  <si>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</si>
  <si>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</si>
  <si>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</si>
  <si>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</si>
  <si>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</si>
  <si>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</si>
  <si>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</si>
  <si>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</si>
  <si>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</si>
  <si>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</si>
  <si>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</si>
  <si>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</si>
  <si>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</si>
  <si>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</si>
  <si>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</si>
  <si>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</si>
  <si>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</si>
  <si>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</si>
  <si>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</si>
  <si>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</si>
  <si>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</si>
  <si>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</si>
  <si>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</si>
  <si>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</si>
  <si>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</si>
  <si>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</si>
  <si>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</si>
  <si>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</si>
  <si>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</si>
  <si>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</si>
  <si>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</si>
  <si>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</si>
  <si>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</si>
  <si>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</si>
  <si>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</si>
  <si>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</si>
  <si>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</si>
  <si>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</si>
  <si>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</si>
  <si>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</si>
  <si>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</si>
  <si>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</si>
  <si>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</si>
  <si>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</si>
  <si>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</si>
  <si>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</si>
  <si>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</si>
  <si>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</si>
  <si>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</si>
  <si>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</si>
  <si>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</si>
  <si>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</si>
  <si>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</si>
  <si>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</si>
  <si>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</si>
  <si>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</si>
  <si>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</si>
  <si>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</si>
  <si>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</si>
  <si>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</si>
  <si>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</si>
  <si>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</si>
  <si>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</si>
  <si>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</si>
  <si>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</si>
  <si>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</si>
  <si>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</si>
  <si>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</si>
  <si>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</si>
  <si>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</si>
  <si>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</si>
  <si>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</si>
  <si>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</si>
  <si>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</si>
  <si>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</si>
  <si>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</si>
  <si>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</si>
  <si>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</si>
  <si>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</si>
  <si>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</si>
  <si>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</si>
  <si>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</si>
  <si>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</si>
  <si>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</si>
  <si>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</si>
  <si>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</si>
  <si>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</si>
  <si>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</si>
  <si>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</si>
  <si>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</si>
  <si>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</si>
  <si>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</si>
  <si>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</si>
  <si>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</si>
  <si>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</si>
  <si>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</si>
  <si>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</si>
  <si>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</si>
  <si>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</si>
  <si>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</si>
  <si>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</si>
  <si>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</si>
  <si>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</si>
  <si>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</si>
  <si>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</si>
  <si>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</si>
  <si>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</si>
  <si>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</si>
  <si>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</si>
  <si>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</si>
  <si>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</si>
  <si>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</si>
  <si>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</si>
  <si>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</si>
  <si>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</si>
  <si>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</si>
  <si>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</si>
  <si>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</si>
  <si>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</si>
  <si>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</si>
  <si>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</si>
  <si>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</si>
  <si>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</si>
  <si>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</si>
  <si>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</si>
  <si>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</si>
  <si>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</si>
  <si>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</si>
  <si>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</si>
  <si>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</si>
  <si>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</si>
  <si>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</si>
  <si>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</si>
  <si>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</si>
  <si>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</si>
  <si>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</si>
  <si>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</si>
  <si>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</si>
  <si>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</si>
  <si>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</si>
  <si>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</si>
  <si>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</si>
  <si>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</si>
  <si>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</si>
  <si>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</si>
  <si>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</si>
  <si>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</si>
  <si>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</si>
  <si>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</si>
  <si>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</si>
  <si>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</si>
  <si>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</si>
  <si>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</si>
  <si>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</si>
  <si>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</si>
  <si>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</si>
  <si>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</si>
  <si>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</si>
  <si>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</si>
  <si>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</si>
  <si>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</si>
  <si>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</si>
  <si>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</si>
  <si>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</si>
  <si>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</si>
  <si>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</si>
  <si>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</si>
  <si>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</si>
  <si>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</si>
  <si>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</si>
  <si>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</si>
  <si>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</si>
  <si>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</si>
  <si>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</si>
  <si>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</si>
  <si>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</si>
  <si>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</si>
  <si>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</si>
  <si>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</si>
  <si>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</si>
  <si>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</si>
  <si>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</si>
  <si>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</si>
  <si>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</si>
  <si>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</si>
  <si>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</si>
  <si>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</si>
  <si>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</si>
  <si>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</si>
  <si>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</si>
  <si>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</si>
  <si>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</si>
  <si>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</si>
  <si>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</si>
  <si>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</si>
  <si>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</si>
  <si>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</si>
  <si>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</si>
  <si>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</si>
  <si>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</si>
  <si>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</si>
  <si>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</si>
  <si>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</si>
  <si>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</si>
  <si>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</si>
  <si>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</si>
  <si>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</si>
  <si>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</si>
  <si>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</si>
  <si>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</si>
  <si>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</si>
  <si>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</si>
  <si>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</si>
  <si>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</si>
  <si>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</si>
  <si>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</si>
  <si>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</si>
  <si>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</si>
  <si>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</si>
  <si>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</si>
  <si>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</si>
  <si>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</si>
  <si>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</si>
  <si>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</si>
  <si>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</si>
  <si>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</si>
  <si>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</si>
  <si>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</si>
  <si>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</si>
  <si>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</si>
  <si>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</si>
  <si>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</si>
  <si>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</si>
  <si>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</si>
  <si>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</si>
  <si>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</si>
  <si>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</si>
  <si>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</si>
  <si>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</si>
  <si>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</si>
  <si>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</si>
  <si>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</si>
  <si>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</si>
  <si>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</si>
  <si>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</si>
  <si>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</si>
  <si>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</si>
  <si>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</si>
  <si>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</si>
  <si>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</si>
  <si>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</si>
  <si>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</si>
  <si>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</si>
  <si>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</si>
  <si>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</si>
  <si>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</si>
  <si>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</si>
  <si>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</si>
  <si>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</si>
  <si>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</si>
  <si>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</si>
  <si>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</si>
  <si>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</si>
  <si>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</si>
  <si>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</si>
  <si>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</si>
  <si>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</si>
  <si>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</si>
  <si>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</si>
  <si>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</si>
  <si>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</si>
  <si>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</si>
  <si>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</si>
  <si>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</si>
  <si>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</si>
  <si>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</si>
  <si>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</si>
  <si>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</si>
  <si>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</si>
  <si>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</si>
  <si>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</si>
  <si>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</si>
  <si>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</si>
  <si>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</si>
  <si>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</si>
  <si>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</si>
  <si>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</si>
  <si>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</si>
  <si>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</si>
  <si>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</si>
  <si>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</si>
  <si>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</si>
  <si>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</si>
  <si>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</si>
  <si>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</si>
  <si>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</si>
  <si>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</si>
  <si>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</si>
  <si>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</si>
  <si>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</si>
  <si>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</si>
  <si>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</si>
  <si>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</si>
  <si>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ベトナム人の定時間 Thời gian cố định người Việt</t>
  </si>
  <si>
    <t>この分には間接部門から直接部門に配賦された数字</t>
  </si>
  <si>
    <t>ベトナム人残業時間 Thời gian làm thêm người Việt</t>
  </si>
  <si>
    <t xml:space="preserve">ベトナム人数 Số người Việt </t>
  </si>
  <si>
    <t>減価償却費　建物 Depreciation of Building</t>
  </si>
  <si>
    <t>減価償却費　土地使用権 Depreciation of Land</t>
  </si>
  <si>
    <t>固定資産金利 Land &amp; Building</t>
  </si>
  <si>
    <t>電話代 Chi phí điện thoại</t>
  </si>
  <si>
    <t>郵送代（製） Phí gửi thư</t>
  </si>
  <si>
    <t>電気代 Tiền điện</t>
  </si>
  <si>
    <t>水道代 Tiền nước</t>
  </si>
  <si>
    <t>食堂燃料費 Gas</t>
  </si>
  <si>
    <t>清掃費 Phí làm sạch</t>
  </si>
  <si>
    <t>ローカル通勤送迎費　Xe đưa đón cho người Việt (Bus＋Taxi)</t>
  </si>
  <si>
    <t>手洗い洗剤　Nước rửa tay</t>
  </si>
  <si>
    <t>アルコール消毒　Cồn khử trùng</t>
  </si>
  <si>
    <t>トイレットペーパーGiấy vệ sinh</t>
  </si>
  <si>
    <t>生産用文房具 Stationery</t>
  </si>
  <si>
    <t>紙　A5　</t>
  </si>
  <si>
    <t>その他</t>
  </si>
  <si>
    <t>カシオ計算機, ノートパソコンマウス</t>
  </si>
  <si>
    <t>ノートパソコンバッテリー</t>
  </si>
  <si>
    <t>安全靴 Giày an toàn 　472,500</t>
  </si>
  <si>
    <t>ポケットカレンダー Lịch bỏ túi　800 (11月)</t>
  </si>
  <si>
    <t>ノート Số 9,100</t>
  </si>
  <si>
    <t>IRISプリンターのトナー Mực máy in Iris</t>
  </si>
  <si>
    <t>昼食代 Tiền ăn trưa 24,700 (16-15)</t>
  </si>
  <si>
    <t>採用時健診 Khám sức khỏe khi tuyển dụng  213,000</t>
  </si>
  <si>
    <t>お年玉 Tiền lì xì (1月) 100,000</t>
  </si>
  <si>
    <t>健康診断（ローカル) Khám sức khỏe (cho CNV) 189,000/人男性、204,000/人女性</t>
  </si>
  <si>
    <t>慶弔見舞金 Tiền hiếu hỉ, thăm ốm đau 300,000</t>
  </si>
  <si>
    <t>その他修繕費 Chi phí sửa chữa khác</t>
  </si>
  <si>
    <t>出張費予定 Phí công tác</t>
  </si>
  <si>
    <t>システム課金金額 Mail (10) + R3 (4) + QLIK SENSE (1)</t>
  </si>
  <si>
    <t>フィロソフィ論文参加賞 Tham gia luận văn philosophy (7月) 100,000</t>
  </si>
  <si>
    <t>制服ズボン Quần 116,000 (妊婦ズボン Quần bầu 124,500)</t>
  </si>
  <si>
    <t>帽子（白）Mũ trắng 33,500</t>
  </si>
  <si>
    <t>制服（夏） Đồng phục ngắn tay 165,000</t>
  </si>
  <si>
    <t>制服（冬） Đồng phục dài tay 175,000 (10月)</t>
  </si>
  <si>
    <t>シューズ (女性 82,000、男性 84,000) Giày vải</t>
  </si>
  <si>
    <t>社員証（新入社員用・再発行時、写真含む） Thẻ từ chấm công + ảnh　58,000</t>
  </si>
  <si>
    <t>社員証用ケース Vỏ thẻ + móc thẻ　3,600</t>
  </si>
  <si>
    <t>ペン Bút 3,000</t>
  </si>
  <si>
    <t>フィロソフィ手帳 Sổ tay philosophy  27,200</t>
  </si>
  <si>
    <t xml:space="preserve">フィロソフィー Sổ sách liên quan đến Cty </t>
  </si>
  <si>
    <t>忘年会補助金 Hỗ trợ tiệc tất niên (3月) 300,000</t>
  </si>
  <si>
    <t>社員旅行 Du lịch công ty  (5月) 1,890,000</t>
  </si>
  <si>
    <t>月餅 Bánh Trung Thu （10月） 56,000</t>
  </si>
  <si>
    <t>京セラフェスティバルLễ hội Kyocera　（9月） 126,000</t>
  </si>
  <si>
    <t>運動会 Đại hội thể thao　（11月） 107,000</t>
  </si>
  <si>
    <t>誕生日会 Tiệc sinh nhật　163,000</t>
  </si>
  <si>
    <t>FY2025決起コンパ（対象：全部門） Tiệc khuấy động năm tài chính 200,000 (5月)</t>
  </si>
  <si>
    <t>10年勤続記念コンパTiệc kỷ niệm 10 năm gắn bó  (10月) (549,000+382,000)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</si>
</sst>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Arial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Arial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34" borderId="39" xfId="0" applyNumberFormat="1" applyFont="1" applyFill="1" applyBorder="1" applyAlignment="1" applyProtection="1">
      <alignment wrapText="1"/>
      <protection locked="0"/>
    </xf>
  </cellXfs>
  <cellStyles count="175">
    <cellStyle name="_FY2014 MP作成依頼（KDTCN).1207(3)" xfId="1" xr:uid="{5F224E61-2F99-465E-9CB7-8E234C3EC4A5}"/>
    <cellStyle name="20% - Accent1" xfId="2" xr:uid="{14746E83-81BD-44E2-AE50-1DAE18E7B953}"/>
    <cellStyle name="20% - Accent2" xfId="3" xr:uid="{867C054D-E1DD-49ED-B7D6-DD979A6F1A6A}"/>
    <cellStyle name="20% - Accent3" xfId="4" xr:uid="{244712DB-2647-4EE4-9F8A-8CCC7155082F}"/>
    <cellStyle name="20% - Accent4" xfId="5" xr:uid="{5D03D107-BBD2-43BB-A829-71785344C74F}"/>
    <cellStyle name="20% - Accent5" xfId="6" xr:uid="{737D5396-1C1E-4C01-9411-5AA4B4FA4BAC}"/>
    <cellStyle name="20% - Accent6" xfId="7" xr:uid="{9C2061D9-F81C-4ED4-B49D-DFD51E648468}"/>
    <cellStyle name="20% - アクセント 1" xfId="8" xr:uid="{3800478E-ACF5-4E4D-B46C-3E271782A6DF}"/>
    <cellStyle name="20% - アクセント 1 2" xfId="9" xr:uid="{C7AF6B6B-D1A8-438E-9DC4-D289B3F50004}"/>
    <cellStyle name="20% - アクセント 2" xfId="10" xr:uid="{97BF670D-8DC8-464B-A851-62F0A0DF2E37}"/>
    <cellStyle name="20% - アクセント 2 2" xfId="11" xr:uid="{4F1751E9-804A-4902-8241-19686E08DB7B}"/>
    <cellStyle name="20% - アクセント 3" xfId="12" xr:uid="{13E66C39-B33E-4DAD-BC05-9C7260A7F5F2}"/>
    <cellStyle name="20% - アクセント 3 2" xfId="13" xr:uid="{246ACF68-F0B2-462B-9175-4582E5B58A09}"/>
    <cellStyle name="20% - アクセント 4" xfId="14" xr:uid="{05F01073-7437-4586-89ED-A7D46A4DAF8D}"/>
    <cellStyle name="20% - アクセント 4 2" xfId="15" xr:uid="{2706C347-DD9B-47DD-A6AB-3C07B7F81DD7}"/>
    <cellStyle name="20% - アクセント 5" xfId="16" xr:uid="{65954979-A273-4635-8810-F9D61CA9B176}"/>
    <cellStyle name="20% - アクセント 5 2" xfId="17" xr:uid="{A93E6091-5D31-4F4B-8A2C-E22DF95CBA93}"/>
    <cellStyle name="20% - アクセント 6" xfId="18" xr:uid="{3C121CA5-283C-408E-9C0D-92729B2766B8}"/>
    <cellStyle name="20% - アクセント 6 2" xfId="19" xr:uid="{F2399A69-3F03-4AA7-B610-2968F8AB450F}"/>
    <cellStyle name="3232" xfId="20" xr:uid="{24BF82B8-A72F-4503-8377-D652D8FE58C5}"/>
    <cellStyle name="40% - Accent1" xfId="21" xr:uid="{13A4A268-4406-4DBC-A717-4830FFDDAB3E}"/>
    <cellStyle name="40% - Accent2" xfId="22" xr:uid="{7D93D043-1515-4BA3-8E34-DE93438C54FA}"/>
    <cellStyle name="40% - Accent3" xfId="23" xr:uid="{32A6B71F-27E9-4FC3-9560-D1AB188FD3D3}"/>
    <cellStyle name="40% - Accent4" xfId="24" xr:uid="{0E23B766-7DB6-45D4-B5DC-FCEFB15F4D03}"/>
    <cellStyle name="40% - Accent5" xfId="25" xr:uid="{FCADD810-9700-4E00-924F-1C78B0DA5FB8}"/>
    <cellStyle name="40% - Accent6" xfId="26" xr:uid="{3D6642D5-8B30-4664-A863-5B33160FC088}"/>
    <cellStyle name="40% - アクセント 1" xfId="27" xr:uid="{1E8F4670-7561-48E5-B5C4-E7D33C48DA6E}"/>
    <cellStyle name="40% - アクセント 1 2" xfId="28" xr:uid="{E28588B7-A9A5-422E-903C-CFB020B79EE2}"/>
    <cellStyle name="40% - アクセント 2" xfId="29" xr:uid="{CEC126AE-EEA5-4F24-8AA6-1DBEB47A9A09}"/>
    <cellStyle name="40% - アクセント 2 2" xfId="30" xr:uid="{B5B4A490-B437-4979-A610-C10579BBF22D}"/>
    <cellStyle name="40% - アクセント 3" xfId="31" xr:uid="{D11ED155-87D4-4034-AC35-A50DBD0B92F5}"/>
    <cellStyle name="40% - アクセント 3 2" xfId="32" xr:uid="{1E5B8AD0-3480-449D-8FD1-037E38E23F66}"/>
    <cellStyle name="40% - アクセント 4" xfId="33" xr:uid="{EF996A8B-37A1-4FFA-BACD-022D08AAB894}"/>
    <cellStyle name="40% - アクセント 4 2" xfId="34" xr:uid="{16F6F31D-801C-4E0F-BD62-9DEE56BD74BC}"/>
    <cellStyle name="40% - アクセント 5" xfId="35" xr:uid="{EF0F6006-18A9-4D39-A6E8-2D33161C3775}"/>
    <cellStyle name="40% - アクセント 5 2" xfId="36" xr:uid="{12CF1FC7-E0AE-44BF-A2CC-A843FAAAB78A}"/>
    <cellStyle name="40% - アクセント 6" xfId="37" xr:uid="{2800172A-865B-43BF-98FE-E6CA787B8E89}"/>
    <cellStyle name="40% - アクセント 6 2" xfId="38" xr:uid="{F02BF709-B253-4341-A3ED-13F0A3DA2A1B}"/>
    <cellStyle name="60% - Accent1" xfId="39" xr:uid="{153BEBAC-9862-43A3-A410-A01DE00723D8}"/>
    <cellStyle name="60% - Accent2" xfId="40" xr:uid="{EC5B3797-E6E5-4298-89E0-9F3F92F00E88}"/>
    <cellStyle name="60% - Accent3" xfId="41" xr:uid="{73E8D3A8-E9EA-460D-A26C-EBA21C88169C}"/>
    <cellStyle name="60% - Accent4" xfId="42" xr:uid="{3454E1A6-AC30-487C-97B2-041F572DDE1B}"/>
    <cellStyle name="60% - Accent5" xfId="43" xr:uid="{0313F71D-12EC-415B-B5DB-43CBAA58CA91}"/>
    <cellStyle name="60% - Accent6" xfId="44" xr:uid="{E370FCC7-58DD-4902-A574-CEE50B51DADF}"/>
    <cellStyle name="60% - アクセント 1" xfId="45" xr:uid="{09F50AC3-3E33-4A72-BE17-FD1E3B34FA5A}"/>
    <cellStyle name="60% - アクセント 1 2" xfId="46" xr:uid="{6C7E5279-C880-4957-8D66-F0D5FB4A671B}"/>
    <cellStyle name="60% - アクセント 2" xfId="47" xr:uid="{B5902027-4A87-4DD5-AA94-D09A6D015A08}"/>
    <cellStyle name="60% - アクセント 2 2" xfId="48" xr:uid="{4E63E2B4-C934-441D-ABBA-6EBDD5AED248}"/>
    <cellStyle name="60% - アクセント 3" xfId="49" xr:uid="{41D90473-7CF5-45B3-BFC2-A01ACE42F15B}"/>
    <cellStyle name="60% - アクセント 3 2" xfId="50" xr:uid="{378E37FB-72EF-425B-8A4E-6BE2EC855521}"/>
    <cellStyle name="60% - アクセント 4" xfId="51" xr:uid="{D94FFF25-489E-4F70-A293-597F12A95062}"/>
    <cellStyle name="60% - アクセント 4 2" xfId="52" xr:uid="{1A0F70C3-DB7E-4EB6-AE18-D3849114D4EC}"/>
    <cellStyle name="60% - アクセント 5" xfId="53" xr:uid="{7EB5CB86-71A5-4C76-A9B6-9076D00550B1}"/>
    <cellStyle name="60% - アクセント 5 2" xfId="54" xr:uid="{54F54999-E83D-4534-80BC-3BE55FC4803A}"/>
    <cellStyle name="60% - アクセント 6" xfId="55" xr:uid="{E013DD61-80F5-416E-8E81-B0522CAEA285}"/>
    <cellStyle name="60% - アクセント 6 2" xfId="56" xr:uid="{D88A425D-1513-41A1-B152-480A62C830B6}"/>
    <cellStyle name="Accent1" xfId="57" xr:uid="{8A6F82BA-5C07-4C41-B5B7-379826F7B3AF}"/>
    <cellStyle name="Accent2" xfId="58" xr:uid="{CED876BC-E724-4F49-B99C-3367BD955415}"/>
    <cellStyle name="Accent3" xfId="59" xr:uid="{8AA6FD4A-D5EA-4B63-9DE3-F4DFA301D24D}"/>
    <cellStyle name="Accent4" xfId="60" xr:uid="{FC9C0EA5-50D5-49F5-8A7F-A1962A511BF1}"/>
    <cellStyle name="Accent5" xfId="61" xr:uid="{FE2E6930-5374-4928-B567-4A8764A0059C}"/>
    <cellStyle name="Accent6" xfId="62" xr:uid="{253E6F4B-DF61-403D-86CB-814E242EF458}"/>
    <cellStyle name="Bad" xfId="63" xr:uid="{39531229-0A47-4DF8-AFCA-A2EF2BF669E2}"/>
    <cellStyle name="Calculation" xfId="64" xr:uid="{F1889B8E-2A24-4AD0-A6AE-B5F7D96C14EB}"/>
    <cellStyle name="Check Cell" xfId="65" xr:uid="{5FC180B5-33BF-45CC-871B-915D0C1FD8A3}"/>
    <cellStyle name="Comma" xfId="66" builtinId="3"/>
    <cellStyle name="Comma [0]" xfId="67" builtinId="6"/>
    <cellStyle name="Comma [0] 2" xfId="68" xr:uid="{485EBD4A-2DA8-4225-AA5A-849B7ABD80B7}"/>
    <cellStyle name="Comma [0] 2 2" xfId="69" xr:uid="{7AA24F0A-6DF2-4581-88A4-5310CFA08D04}"/>
    <cellStyle name="Comma [0] 3" xfId="70" xr:uid="{F338B488-DFB7-404D-B657-EF623055EF2C}"/>
    <cellStyle name="Comma [0] 4" xfId="71" xr:uid="{9CBC7918-3300-411A-B6EA-231E87866DED}"/>
    <cellStyle name="Comma 2" xfId="72" xr:uid="{2E0FB994-E469-41C3-B7EF-D64E59B0AD8E}"/>
    <cellStyle name="Comma 2 3" xfId="73" xr:uid="{5F823CFF-601D-4672-A786-48A6CFE7BDE9}"/>
    <cellStyle name="Comma 3" xfId="74" xr:uid="{5EA8DAB2-AF15-4DF4-97B3-FCB75EAC3C58}"/>
    <cellStyle name="Comma 3 2 2" xfId="75" xr:uid="{B5AF99E2-4443-43B6-954F-FB1E11D228ED}"/>
    <cellStyle name="Comma 4" xfId="76" xr:uid="{45EA557C-C04C-48D8-8E26-D3FDC9402D25}"/>
    <cellStyle name="Comma 5" xfId="77" xr:uid="{5D10144D-7A6A-4C04-8CEE-14F542F5C309}"/>
    <cellStyle name="Comma 6" xfId="78" xr:uid="{2B66DA5D-F048-4C3D-B0D1-8DD9D9E05198}"/>
    <cellStyle name="Currency [0] 2" xfId="79" xr:uid="{27DCC034-C123-4058-8C01-8E00D305CC9F}"/>
    <cellStyle name="Explanatory Text" xfId="80" xr:uid="{A81CB991-4AF5-4157-B37D-A6C6E70C531B}"/>
    <cellStyle name="Good" xfId="81" xr:uid="{8DB07180-9A4B-4E95-8FEC-5F3B0D17A10D}"/>
    <cellStyle name="Heading 1" xfId="82" xr:uid="{9E23C7E7-E59D-4211-91D5-20FAE72C4EF9}"/>
    <cellStyle name="Heading 2" xfId="83" xr:uid="{BA6BE111-C1D6-4A1B-8FB2-DF33530E6ECB}"/>
    <cellStyle name="Heading 3" xfId="84" xr:uid="{813EEAFE-0D20-4A18-8F00-F2866A494604}"/>
    <cellStyle name="Heading 4" xfId="85" xr:uid="{0942E712-82FD-43DF-92AC-057E56037ECD}"/>
    <cellStyle name="Input" xfId="86" xr:uid="{4C0ABF33-2E88-41CE-9DB9-1DFBF80E5BF6}"/>
    <cellStyle name="Linked Cell" xfId="87" xr:uid="{B58A0F39-8D87-4BB9-AD75-698015B4BE6E}"/>
    <cellStyle name="Neutral" xfId="88" xr:uid="{830A85DB-6D71-4D8A-9D7F-04A52AD7105B}"/>
    <cellStyle name="Normal" xfId="0" builtinId="0"/>
    <cellStyle name="Normal 2" xfId="89" xr:uid="{8F4525EA-4DCC-4F08-9B72-25BAE7C6B70C}"/>
    <cellStyle name="Normal 2 2" xfId="90" xr:uid="{C6819D98-8B6C-4707-B7CB-D4378DB83185}"/>
    <cellStyle name="Normal 3" xfId="91" xr:uid="{E0263667-096D-4231-987B-47324A9082A1}"/>
    <cellStyle name="Normal 4" xfId="92" xr:uid="{889E6134-8B03-4BB4-959D-A3177E25E435}"/>
    <cellStyle name="Normal 5" xfId="93" xr:uid="{19EB29ED-D417-40F5-984E-24EE36ED8B9E}"/>
    <cellStyle name="Note" xfId="94" xr:uid="{4A5D5EE6-8BA2-4FA7-A683-796D28CE0884}"/>
    <cellStyle name="Output" xfId="95" xr:uid="{9BD1C740-BB34-40FF-8BAE-0D4ABB886A83}"/>
    <cellStyle name="Percent 2" xfId="96" xr:uid="{2EF8CA73-39F7-4564-B68D-76F742D4CF3A}"/>
    <cellStyle name="Percent 3" xfId="97" xr:uid="{B5352795-FC2F-454A-AE19-0D69A492C00C}"/>
    <cellStyle name="Title" xfId="98" xr:uid="{ADA4A9AE-CDD1-42C4-B467-77CEB6555E95}"/>
    <cellStyle name="Total" xfId="99" xr:uid="{D9C0A891-C65C-434A-8CA2-E58842267BB0}"/>
    <cellStyle name="Warning Text" xfId="100" xr:uid="{4B7B4DE3-AF58-4905-8A8D-ED02E80F64F1}"/>
    <cellStyle name="アクセント 1" xfId="101" xr:uid="{E00D160E-AC17-49F7-994E-0989FD0277DA}"/>
    <cellStyle name="アクセント 1 2" xfId="102" xr:uid="{8689FBFC-F112-4FDB-BD98-8F7CA10B38EC}"/>
    <cellStyle name="アクセント 2" xfId="103" xr:uid="{DD090534-282B-4763-8435-5905EE26FFC6}"/>
    <cellStyle name="アクセント 2 2" xfId="104" xr:uid="{8035CCD1-078E-41A9-8DBE-583369020EBC}"/>
    <cellStyle name="アクセント 3" xfId="105" xr:uid="{C719E0CA-3AF1-4F52-82AC-58577733B9D5}"/>
    <cellStyle name="アクセント 3 2" xfId="106" xr:uid="{ECEBAF7C-82A3-42B0-BFDA-267FCFB0DE3E}"/>
    <cellStyle name="アクセント 4" xfId="107" xr:uid="{DC3C4D80-FC2A-4567-9E3D-5AA3B6D0C887}"/>
    <cellStyle name="アクセント 4 2" xfId="108" xr:uid="{5028C71C-59A2-41DA-884A-47E138283214}"/>
    <cellStyle name="アクセント 5" xfId="109" xr:uid="{4D2158B6-B519-477C-8B8D-05F82EAFCD3D}"/>
    <cellStyle name="アクセント 5 2" xfId="110" xr:uid="{DE981503-CB96-466D-BA86-584E2104E526}"/>
    <cellStyle name="アクセント 6" xfId="111" xr:uid="{B113435D-D957-40C2-BAF7-5B56E9AF6AC9}"/>
    <cellStyle name="アクセント 6 2" xfId="112" xr:uid="{2532B949-C57F-4167-AF1C-F60CFA85B59C}"/>
    <cellStyle name="タイトル" xfId="113" xr:uid="{DF51641C-B7D7-44BB-8DAE-EEDD1606E3C4}"/>
    <cellStyle name="タイトル 2" xfId="114" xr:uid="{060CD776-F598-49B8-BB10-D15594B6D80A}"/>
    <cellStyle name="チェック セル" xfId="115" xr:uid="{C1CCC58A-4D03-4ACB-A0C1-52383F5523FD}"/>
    <cellStyle name="チェック セル 2" xfId="116" xr:uid="{2C0EAE04-473A-4DA4-9A00-15A1E82346CF}"/>
    <cellStyle name="どちらでもない" xfId="117" xr:uid="{2B6C6F8B-9BE6-4C10-A844-8ECAB59CE608}"/>
    <cellStyle name="どちらでもない 2" xfId="118" xr:uid="{0FDF46E3-0836-4856-85AB-150597C128F5}"/>
    <cellStyle name="パーセント 2" xfId="119" xr:uid="{80ED7962-B0EE-4FC1-BAEA-F29C58E48A11}"/>
    <cellStyle name="パーセント 3" xfId="120" xr:uid="{971A98B6-CCF5-4EB2-971F-21EAD1ECCB01}"/>
    <cellStyle name="パーセント 3 2" xfId="121" xr:uid="{DDB8E030-9A87-456E-BF6E-E389BE422E4E}"/>
    <cellStyle name="メモ" xfId="122" xr:uid="{1C514216-1B80-4722-A11C-6BA302DC2881}"/>
    <cellStyle name="メモ 2" xfId="123" xr:uid="{46F41C33-B10A-4DDB-BF74-1994B17E02BC}"/>
    <cellStyle name="リンク セル" xfId="124" xr:uid="{59C55C91-EA70-4A93-A41C-29A5DE5D3B81}"/>
    <cellStyle name="リンク セル 2" xfId="125" xr:uid="{CB0E20CB-29F9-4888-8A55-898D3FFE77D3}"/>
    <cellStyle name="一般_KMHK FY2008 時間当り採算 2007年4月 ( Month Plan )" xfId="128" xr:uid="{05543246-9727-4849-8317-9E4751AB0FC8}"/>
    <cellStyle name="一般_設備投資金額一覽表" xfId="129" xr:uid="{957696CE-48F4-420C-956C-FE6E08FC89AD}"/>
    <cellStyle name="入力" xfId="161" xr:uid="{F463D681-4C73-4270-94B0-57120633DBF7}"/>
    <cellStyle name="入力 2" xfId="162" xr:uid="{1C016A02-4A0B-4B67-9F83-3C18D0D07FE6}"/>
    <cellStyle name="出力" xfId="154" xr:uid="{45604C39-46DD-4ED4-A059-BB41320C8C3C}"/>
    <cellStyle name="出力 2" xfId="155" xr:uid="{6065A288-78BA-461B-A050-DEDC4CC5FF81}"/>
    <cellStyle name="常规_総生産分析(0605-0606)" xfId="156" xr:uid="{3AF089C3-1E7A-4104-AD3D-4D3EC8F03A87}"/>
    <cellStyle name="悪い" xfId="126" xr:uid="{89ACFD3B-F0BB-45A7-817D-12C8979691C8}"/>
    <cellStyle name="悪い 2" xfId="127" xr:uid="{9F91F14F-16D8-4DAA-8352-3E2175761327}"/>
    <cellStyle name="未定義" xfId="172" xr:uid="{3B2694EE-BDB6-4118-87EC-706F1599F1BC}"/>
    <cellStyle name="桁区切り [0.00] 2" xfId="134" xr:uid="{7DB8588E-DC55-4A72-822F-94693D21FD71}"/>
    <cellStyle name="桁区切り [0.00] 2 2" xfId="135" xr:uid="{29CCD8DE-3ACF-4B44-84F0-6B538760FF14}"/>
    <cellStyle name="桁区切り [0.00] 2 3" xfId="136" xr:uid="{189795C6-4148-4D51-8773-FF70D5C92862}"/>
    <cellStyle name="桁区切り 2" xfId="137" xr:uid="{852C4BD9-E515-4DF1-9F41-C06D7A9E8AA8}"/>
    <cellStyle name="桁区切り 2 2" xfId="138" xr:uid="{0244D2CC-F593-44FC-8AE6-3051D4901858}"/>
    <cellStyle name="桁区切り 2 3" xfId="139" xr:uid="{DCE2E438-51B9-4C3C-92BD-9828DBC43065}"/>
    <cellStyle name="桁区切り 3" xfId="140" xr:uid="{6C76F5C7-D13C-4096-BD3C-38907BA588EE}"/>
    <cellStyle name="桁区切り 4" xfId="141" xr:uid="{40790BA1-E9CB-4861-A33A-E5B9ECB7032E}"/>
    <cellStyle name="桁区切り 5" xfId="142" xr:uid="{3F34C730-CB0C-4BD5-8B03-169179AD1F72}"/>
    <cellStyle name="桁区切り 6" xfId="143" xr:uid="{B1026DB0-856E-488E-AE80-9397A7B38654}"/>
    <cellStyle name="標準 2" xfId="163" xr:uid="{52F10BD5-C2AC-4C43-824F-13FE5A9F912D}"/>
    <cellStyle name="標準 2 2" xfId="164" xr:uid="{FE81754E-96C6-42A2-A967-C3ED0E569724}"/>
    <cellStyle name="標準 3" xfId="165" xr:uid="{6C33A858-DBC6-444B-9690-094F06A6275F}"/>
    <cellStyle name="標準 3 2" xfId="166" xr:uid="{BE01477B-1FD1-430C-B856-03A7F4CB60CE}"/>
    <cellStyle name="標準 4" xfId="167" xr:uid="{A7D791DC-DD55-4339-856F-BBA3C2EADDDE}"/>
    <cellStyle name="標準 4 2" xfId="168" xr:uid="{E0018DF8-2B2A-485D-B59C-83B42F26B2A1}"/>
    <cellStyle name="標準_★予定用採算表フォーム（製造課用）" xfId="169" xr:uid="{27E40E3F-B6DF-40B2-8840-858CC5238C56}"/>
    <cellStyle name="標準_03.2012 08 31 KDTVN採算表及集計表 FY2013_09（製技用）" xfId="170" xr:uid="{B8346807-AAF1-4610-A98A-E584278FEF80}"/>
    <cellStyle name="標準_KDTVN 2012年9月1日付原価センタ" xfId="171" xr:uid="{5465E08E-1C7A-4C93-821E-BC2D5ED3712A}"/>
    <cellStyle name="良い" xfId="173" xr:uid="{C8452B0B-F261-41DB-B818-60204F55B9F1}"/>
    <cellStyle name="良い 2" xfId="174" xr:uid="{CF2AD974-CAC3-4AC1-BDDF-E15E938FD2C3}"/>
    <cellStyle name="見出し 1" xfId="144" xr:uid="{07B7FCA5-4C8E-4D1B-8038-09E046439509}"/>
    <cellStyle name="見出し 1 2" xfId="145" xr:uid="{341E8D68-2F67-4CFA-8494-B94288EF71D7}"/>
    <cellStyle name="見出し 2" xfId="146" xr:uid="{1A7C1141-E0BE-4EA5-AB5B-24B63337B05B}"/>
    <cellStyle name="見出し 2 2" xfId="147" xr:uid="{073527A3-5C8E-49A5-9360-1003FED4963C}"/>
    <cellStyle name="見出し 3" xfId="148" xr:uid="{7630AA32-FE5B-463F-A7D4-24597D029898}"/>
    <cellStyle name="見出し 3 2" xfId="149" xr:uid="{412EF045-28DE-4F69-9D2D-8285BE2B1CC6}"/>
    <cellStyle name="見出し 4" xfId="150" xr:uid="{E46A5A1C-97A2-43C6-907A-5757A04C5B02}"/>
    <cellStyle name="見出し 4 2" xfId="151" xr:uid="{AF171AA4-7AD1-47AF-9120-A5C2B92DDE75}"/>
    <cellStyle name="計算" xfId="130" xr:uid="{849440F9-A322-4789-AA06-A69520C24EE0}"/>
    <cellStyle name="計算 2" xfId="131" xr:uid="{2D3AE34B-8820-4837-AF3B-44B1C0B761FC}"/>
    <cellStyle name="説明文" xfId="157" xr:uid="{FDCBBF61-22D0-434F-8137-33088965EB8D}"/>
    <cellStyle name="説明文 2" xfId="158" xr:uid="{2456C379-8A10-414E-B12E-FF0EAFC30F64}"/>
    <cellStyle name="警告文" xfId="132" xr:uid="{7C81A327-A0BD-466D-9B7F-B2DF65661D54}"/>
    <cellStyle name="警告文 2" xfId="133" xr:uid="{C9E31301-D0A3-4DEB-82B5-92F1BA934F14}"/>
    <cellStyle name="通貨 2" xfId="159" xr:uid="{5DF8088C-B323-4EE4-AE3D-62B40A0183A7}"/>
    <cellStyle name="通貨 3" xfId="160" xr:uid="{BE3FFC93-402C-46B6-BF09-1357D79AA042}"/>
    <cellStyle name="集計" xfId="152" xr:uid="{1ABF3479-DAB4-4421-8EFB-3CD336E8E40C}"/>
    <cellStyle name="集計 2" xfId="153" xr:uid="{2A394921-7C93-4F66-8B32-CEE3031F0BB3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7365-BF1E-4320-ABF0-054A34E039C8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部品製造管理課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3.999999999996362E-2</v>
      </c>
      <c r="E13" s="133">
        <f t="shared" si="3"/>
        <v>5.0000000000181899E-2</v>
      </c>
      <c r="F13" s="133">
        <f t="shared" si="3"/>
        <v>5.0000000000181899E-2</v>
      </c>
      <c r="G13" s="133">
        <f t="shared" si="3"/>
        <v>4.9999999999954525E-2</v>
      </c>
      <c r="H13" s="133">
        <f t="shared" si="3"/>
        <v>2.9999999999745341E-2</v>
      </c>
      <c r="I13" s="133">
        <f t="shared" si="3"/>
        <v>2.9999999999972715E-2</v>
      </c>
      <c r="J13" s="133">
        <f t="shared" si="3"/>
        <v>3.999999999996362E-2</v>
      </c>
      <c r="K13" s="133">
        <f t="shared" si="3"/>
        <v>3.999999999996362E-2</v>
      </c>
      <c r="L13" s="133">
        <f t="shared" si="3"/>
        <v>1.999999999998181E-2</v>
      </c>
      <c r="M13" s="133">
        <f t="shared" si="3"/>
        <v>2.0000000000095497E-2</v>
      </c>
      <c r="N13" s="133">
        <f t="shared" si="3"/>
        <v>2.9999999999859028E-2</v>
      </c>
      <c r="O13" s="133">
        <f t="shared" si="3"/>
        <v>0.44000000000050932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121.12</v>
      </c>
      <c r="D20" s="136">
        <f>ROUNDUP('採算表(VND)'!D20/$N$1,2)</f>
        <v>120.55000000000001</v>
      </c>
      <c r="E20" s="136">
        <f>ROUNDUP('採算表(VND)'!E20/$N$1,2)</f>
        <v>120.69000000000001</v>
      </c>
      <c r="F20" s="136">
        <f>ROUNDUP('採算表(VND)'!F20/$N$1,2)</f>
        <v>117.85000000000001</v>
      </c>
      <c r="G20" s="136">
        <f>ROUNDUP('採算表(VND)'!G20/$N$1,2)</f>
        <v>116.62</v>
      </c>
      <c r="H20" s="136">
        <f>ROUNDUP('採算表(VND)'!H20/$N$1,2)</f>
        <v>113.26</v>
      </c>
      <c r="I20" s="136">
        <f>ROUNDUP('採算表(VND)'!I20/$N$1,2)</f>
        <v>110.09</v>
      </c>
      <c r="J20" s="136">
        <f>ROUNDUP('採算表(VND)'!J20/$N$1,2)</f>
        <v>110.03</v>
      </c>
      <c r="K20" s="136">
        <f>ROUNDUP('採算表(VND)'!K20/$N$1,2)</f>
        <v>110.11</v>
      </c>
      <c r="L20" s="136">
        <f>ROUNDUP('採算表(VND)'!L20/$N$1,2)</f>
        <v>109.52000000000001</v>
      </c>
      <c r="M20" s="136">
        <f>ROUNDUP('採算表(VND)'!M20/$N$1,2)</f>
        <v>107.6</v>
      </c>
      <c r="N20" s="136">
        <f>ROUNDUP('採算表(VND)'!N20/$N$1,2)</f>
        <v>109.12</v>
      </c>
      <c r="O20" s="136">
        <f t="shared" si="4"/>
        <v>1366.56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20.09</v>
      </c>
      <c r="D25" s="136">
        <f>ROUNDUP('採算表(VND)'!D25/$N$1,2)</f>
        <v>7.26</v>
      </c>
      <c r="E25" s="136">
        <f>ROUNDUP('採算表(VND)'!E25/$N$1,2)</f>
        <v>19.880000000000003</v>
      </c>
      <c r="F25" s="136">
        <f>ROUNDUP('採算表(VND)'!F25/$N$1,2)</f>
        <v>9.0299999999999994</v>
      </c>
      <c r="G25" s="136">
        <f>ROUNDUP('採算表(VND)'!G25/$N$1,2)</f>
        <v>19.5</v>
      </c>
      <c r="H25" s="136">
        <f>ROUNDUP('採算表(VND)'!H25/$N$1,2)</f>
        <v>7.16</v>
      </c>
      <c r="I25" s="136">
        <f>ROUNDUP('採算表(VND)'!I25/$N$1,2)</f>
        <v>21.040000000000003</v>
      </c>
      <c r="J25" s="136">
        <f>ROUNDUP('採算表(VND)'!J25/$N$1,2)</f>
        <v>7.5</v>
      </c>
      <c r="K25" s="136">
        <f>ROUNDUP('採算表(VND)'!K25/$N$1,2)</f>
        <v>20.170000000000002</v>
      </c>
      <c r="L25" s="136">
        <f>ROUNDUP('採算表(VND)'!L25/$N$1,2)</f>
        <v>8.06</v>
      </c>
      <c r="M25" s="136">
        <f>ROUNDUP('採算表(VND)'!M25/$N$1,2)</f>
        <v>17.91</v>
      </c>
      <c r="N25" s="136">
        <f>ROUNDUP('採算表(VND)'!N25/$N$1,2)</f>
        <v>7.49</v>
      </c>
      <c r="O25" s="136">
        <f t="shared" si="4"/>
        <v>165.09</v>
      </c>
    </row>
    <row r="26" spans="1:15" ht="11.25" customHeight="1">
      <c r="A26" s="34"/>
      <c r="B26" s="37" t="s">
        <v>104</v>
      </c>
      <c r="C26" s="136">
        <f>ROUNDUP('採算表(VND)'!C26/$N$1,2)</f>
        <v>508.08</v>
      </c>
      <c r="D26" s="136">
        <f>ROUNDUP('採算表(VND)'!D26/$N$1,2)</f>
        <v>570.30999999999995</v>
      </c>
      <c r="E26" s="136">
        <f>ROUNDUP('採算表(VND)'!E26/$N$1,2)</f>
        <v>570.30999999999995</v>
      </c>
      <c r="F26" s="136">
        <f>ROUNDUP('採算表(VND)'!F26/$N$1,2)</f>
        <v>570.30999999999995</v>
      </c>
      <c r="G26" s="136">
        <f>ROUNDUP('採算表(VND)'!G26/$N$1,2)</f>
        <v>570.30999999999995</v>
      </c>
      <c r="H26" s="136">
        <f>ROUNDUP('採算表(VND)'!H26/$N$1,2)</f>
        <v>570.30999999999995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3359.6299999999997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119.88000000000001</v>
      </c>
      <c r="D30" s="136">
        <f>ROUNDUP('採算表(VND)'!D30/$N$1,2)</f>
        <v>123.83</v>
      </c>
      <c r="E30" s="136">
        <f>ROUNDUP('採算表(VND)'!E30/$N$1,2)</f>
        <v>152.60999999999999</v>
      </c>
      <c r="F30" s="136">
        <f>ROUNDUP('採算表(VND)'!F30/$N$1,2)</f>
        <v>168.38</v>
      </c>
      <c r="G30" s="136">
        <f>ROUNDUP('採算表(VND)'!G30/$N$1,2)</f>
        <v>169.72</v>
      </c>
      <c r="H30" s="136">
        <f>ROUNDUP('採算表(VND)'!H30/$N$1,2)</f>
        <v>154.62</v>
      </c>
      <c r="I30" s="136">
        <f>ROUNDUP('採算表(VND)'!I30/$N$1,2)</f>
        <v>150.28</v>
      </c>
      <c r="J30" s="136">
        <f>ROUNDUP('採算表(VND)'!J30/$N$1,2)</f>
        <v>142.51999999999998</v>
      </c>
      <c r="K30" s="136">
        <f>ROUNDUP('採算表(VND)'!K30/$N$1,2)</f>
        <v>138.79</v>
      </c>
      <c r="L30" s="136">
        <f>ROUNDUP('採算表(VND)'!L30/$N$1,2)</f>
        <v>124.31</v>
      </c>
      <c r="M30" s="136">
        <f>ROUNDUP('採算表(VND)'!M30/$N$1,2)</f>
        <v>118.03</v>
      </c>
      <c r="N30" s="136">
        <f>ROUNDUP('採算表(VND)'!N30/$N$1,2)</f>
        <v>99.33</v>
      </c>
      <c r="O30" s="136">
        <f t="shared" si="4"/>
        <v>1662.3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19.940000000000001</v>
      </c>
      <c r="D39" s="136">
        <f>ROUNDUP('採算表(VND)'!D39/$N$1,2)</f>
        <v>20.020000000000003</v>
      </c>
      <c r="E39" s="136">
        <f>ROUNDUP('採算表(VND)'!E39/$N$1,2)</f>
        <v>20.64</v>
      </c>
      <c r="F39" s="136">
        <f>ROUNDUP('採算表(VND)'!F39/$N$1,2)</f>
        <v>18.900000000000002</v>
      </c>
      <c r="G39" s="136">
        <f>ROUNDUP('採算表(VND)'!G39/$N$1,2)</f>
        <v>18.400000000000002</v>
      </c>
      <c r="H39" s="136">
        <f>ROUNDUP('採算表(VND)'!H39/$N$1,2)</f>
        <v>17.580000000000002</v>
      </c>
      <c r="I39" s="136">
        <f>ROUNDUP('採算表(VND)'!I39/$N$1,2)</f>
        <v>16.82</v>
      </c>
      <c r="J39" s="136">
        <f>ROUNDUP('採算表(VND)'!J39/$N$1,2)</f>
        <v>16.610000000000003</v>
      </c>
      <c r="K39" s="136">
        <f>ROUNDUP('採算表(VND)'!K39/$N$1,2)</f>
        <v>16.66</v>
      </c>
      <c r="L39" s="136">
        <f>ROUNDUP('採算表(VND)'!L39/$N$1,2)</f>
        <v>15.94</v>
      </c>
      <c r="M39" s="136">
        <f>ROUNDUP('採算表(VND)'!M39/$N$1,2)</f>
        <v>15.09</v>
      </c>
      <c r="N39" s="136">
        <f>ROUNDUP('採算表(VND)'!N39/$N$1,2)</f>
        <v>15.79</v>
      </c>
      <c r="O39" s="136">
        <f t="shared" si="4"/>
        <v>212.39000000000001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3.9</v>
      </c>
      <c r="D41" s="136">
        <f>ROUNDUP('採算表(VND)'!D41/$N$1,2)</f>
        <v>3.9</v>
      </c>
      <c r="E41" s="136">
        <f>ROUNDUP('採算表(VND)'!E41/$N$1,2)</f>
        <v>3.9</v>
      </c>
      <c r="F41" s="136">
        <f>ROUNDUP('採算表(VND)'!F41/$N$1,2)</f>
        <v>3.9</v>
      </c>
      <c r="G41" s="136">
        <f>ROUNDUP('採算表(VND)'!G41/$N$1,2)</f>
        <v>3.9</v>
      </c>
      <c r="H41" s="136">
        <f>ROUNDUP('採算表(VND)'!H41/$N$1,2)</f>
        <v>3.9</v>
      </c>
      <c r="I41" s="136">
        <f>ROUNDUP('採算表(VND)'!I41/$N$1,2)</f>
        <v>3.9</v>
      </c>
      <c r="J41" s="136">
        <f>ROUNDUP('採算表(VND)'!J41/$N$1,2)</f>
        <v>3.9</v>
      </c>
      <c r="K41" s="136">
        <f>ROUNDUP('採算表(VND)'!K41/$N$1,2)</f>
        <v>3.9</v>
      </c>
      <c r="L41" s="136">
        <f>ROUNDUP('採算表(VND)'!L41/$N$1,2)</f>
        <v>3.9</v>
      </c>
      <c r="M41" s="136">
        <f>ROUNDUP('採算表(VND)'!M41/$N$1,2)</f>
        <v>3.9</v>
      </c>
      <c r="N41" s="136">
        <f>ROUNDUP('採算表(VND)'!N41/$N$1,2)</f>
        <v>3.9</v>
      </c>
      <c r="O41" s="136">
        <f t="shared" si="4"/>
        <v>46.79999999999999</v>
      </c>
    </row>
    <row r="42" spans="1:15" ht="11.25" customHeight="1">
      <c r="A42" s="38"/>
      <c r="B42" s="37" t="s">
        <v>98</v>
      </c>
      <c r="C42" s="136">
        <f>ROUNDUP('採算表(VND)'!C42/$N$1,2)</f>
        <v>437.68</v>
      </c>
      <c r="D42" s="136">
        <f>ROUNDUP('採算表(VND)'!D42/$N$1,2)</f>
        <v>437.68</v>
      </c>
      <c r="E42" s="136">
        <f>ROUNDUP('採算表(VND)'!E42/$N$1,2)</f>
        <v>437.68</v>
      </c>
      <c r="F42" s="136">
        <f>ROUNDUP('採算表(VND)'!F42/$N$1,2)</f>
        <v>437.68</v>
      </c>
      <c r="G42" s="136">
        <f>ROUNDUP('採算表(VND)'!G42/$N$1,2)</f>
        <v>437.68</v>
      </c>
      <c r="H42" s="136">
        <f>ROUNDUP('採算表(VND)'!H42/$N$1,2)</f>
        <v>437.68</v>
      </c>
      <c r="I42" s="136">
        <f>ROUNDUP('採算表(VND)'!I42/$N$1,2)</f>
        <v>437.68</v>
      </c>
      <c r="J42" s="136">
        <f>ROUNDUP('採算表(VND)'!J42/$N$1,2)</f>
        <v>437.68</v>
      </c>
      <c r="K42" s="136">
        <f>ROUNDUP('採算表(VND)'!K42/$N$1,2)</f>
        <v>437.68</v>
      </c>
      <c r="L42" s="136">
        <f>ROUNDUP('採算表(VND)'!L42/$N$1,2)</f>
        <v>437.68</v>
      </c>
      <c r="M42" s="136">
        <f>ROUNDUP('採算表(VND)'!M42/$N$1,2)</f>
        <v>437.68</v>
      </c>
      <c r="N42" s="136">
        <f>ROUNDUP('採算表(VND)'!N42/$N$1,2)</f>
        <v>437.68</v>
      </c>
      <c r="O42" s="136">
        <f t="shared" si="4"/>
        <v>5252.16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355.75</v>
      </c>
      <c r="D44" s="136">
        <f>ROUNDUP('採算表(VND)'!D44/$N$1,2)</f>
        <v>723.38</v>
      </c>
      <c r="E44" s="136">
        <f>ROUNDUP('採算表(VND)'!E44/$N$1,2)</f>
        <v>118.16000000000001</v>
      </c>
      <c r="F44" s="136">
        <f>ROUNDUP('採算表(VND)'!F44/$N$1,2)</f>
        <v>152.62</v>
      </c>
      <c r="G44" s="136">
        <f>ROUNDUP('採算表(VND)'!G44/$N$1,2)</f>
        <v>131.54</v>
      </c>
      <c r="H44" s="136">
        <f>ROUNDUP('採算表(VND)'!H44/$N$1,2)</f>
        <v>176.60999999999999</v>
      </c>
      <c r="I44" s="136">
        <f>ROUNDUP('採算表(VND)'!I44/$N$1,2)</f>
        <v>157.04999999999998</v>
      </c>
      <c r="J44" s="136">
        <f>ROUNDUP('採算表(VND)'!J44/$N$1,2)</f>
        <v>158.78</v>
      </c>
      <c r="K44" s="136">
        <f>ROUNDUP('採算表(VND)'!K44/$N$1,2)</f>
        <v>194.17999999999998</v>
      </c>
      <c r="L44" s="136">
        <f>ROUNDUP('採算表(VND)'!L44/$N$1,2)</f>
        <v>115.04</v>
      </c>
      <c r="M44" s="136">
        <f>ROUNDUP('採算表(VND)'!M44/$N$1,2)</f>
        <v>146</v>
      </c>
      <c r="N44" s="136">
        <f>ROUNDUP('採算表(VND)'!N44/$N$1,2)</f>
        <v>220.26999999999998</v>
      </c>
      <c r="O44" s="136">
        <f t="shared" si="4"/>
        <v>2649.38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86.54</v>
      </c>
      <c r="D57" s="139">
        <f>ROUNDUP('採算表(VND)'!D57/$N$1,2)</f>
        <v>81.800000000000011</v>
      </c>
      <c r="E57" s="139">
        <f>ROUNDUP('採算表(VND)'!E57/$N$1,2)</f>
        <v>81.89</v>
      </c>
      <c r="F57" s="139">
        <f>ROUNDUP('採算表(VND)'!F57/$N$1,2)</f>
        <v>79.960000000000008</v>
      </c>
      <c r="G57" s="139">
        <f>ROUNDUP('採算表(VND)'!G57/$N$1,2)</f>
        <v>79.12</v>
      </c>
      <c r="H57" s="139">
        <f>ROUNDUP('採算表(VND)'!H57/$N$1,2)</f>
        <v>76.850000000000009</v>
      </c>
      <c r="I57" s="139">
        <f>ROUNDUP('採算表(VND)'!I57/$N$1,2)</f>
        <v>74.690000000000012</v>
      </c>
      <c r="J57" s="139">
        <f>ROUNDUP('採算表(VND)'!J57/$N$1,2)</f>
        <v>74.650000000000006</v>
      </c>
      <c r="K57" s="139">
        <f>ROUNDUP('採算表(VND)'!K57/$N$1,2)</f>
        <v>74.72</v>
      </c>
      <c r="L57" s="139">
        <f>ROUNDUP('採算表(VND)'!L57/$N$1,2)</f>
        <v>74.3</v>
      </c>
      <c r="M57" s="139">
        <f>ROUNDUP('採算表(VND)'!M57/$N$1,2)</f>
        <v>73</v>
      </c>
      <c r="N57" s="139">
        <f>ROUNDUP('採算表(VND)'!N57/$N$1,2)</f>
        <v>74.040000000000006</v>
      </c>
      <c r="O57" s="139">
        <f t="shared" si="4"/>
        <v>931.56000000000006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-1672.94</v>
      </c>
      <c r="D61" s="139">
        <f>ROUNDUP('採算表(VND)'!D61/$N$1,2)</f>
        <v>-2088.69</v>
      </c>
      <c r="E61" s="139">
        <f>ROUNDUP('採算表(VND)'!E61/$N$1,2)</f>
        <v>-1525.71</v>
      </c>
      <c r="F61" s="139">
        <f>ROUNDUP('採算表(VND)'!F61/$N$1,2)</f>
        <v>-1558.58</v>
      </c>
      <c r="G61" s="139">
        <f>ROUNDUP('採算表(VND)'!G61/$N$1,2)</f>
        <v>-1546.74</v>
      </c>
      <c r="H61" s="139">
        <f>ROUNDUP('採算表(VND)'!H61/$N$1,2)</f>
        <v>-1557.94</v>
      </c>
      <c r="I61" s="139">
        <f>ROUNDUP('採算表(VND)'!I61/$N$1,2)</f>
        <v>-971.52</v>
      </c>
      <c r="J61" s="139">
        <f>ROUNDUP('採算表(VND)'!J61/$N$1,2)</f>
        <v>-951.63</v>
      </c>
      <c r="K61" s="139">
        <f>ROUNDUP('採算表(VND)'!K61/$N$1,2)</f>
        <v>-996.17</v>
      </c>
      <c r="L61" s="139">
        <f>ROUNDUP('採算表(VND)'!L61/$N$1,2)</f>
        <v>-888.73</v>
      </c>
      <c r="M61" s="139">
        <f>ROUNDUP('採算表(VND)'!M61/$N$1,2)</f>
        <v>-919.18999999999994</v>
      </c>
      <c r="N61" s="139">
        <f>ROUNDUP('採算表(VND)'!N61/$N$1,2)</f>
        <v>-967.59</v>
      </c>
      <c r="O61" s="139">
        <f t="shared" si="4"/>
        <v>-15645.43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-3.999999999996362E-2</v>
      </c>
      <c r="E66" s="134">
        <f t="shared" si="5"/>
        <v>-5.0000000000181899E-2</v>
      </c>
      <c r="F66" s="134">
        <f t="shared" si="5"/>
        <v>-5.0000000000181899E-2</v>
      </c>
      <c r="G66" s="134">
        <f t="shared" si="5"/>
        <v>-4.9999999999954525E-2</v>
      </c>
      <c r="H66" s="134">
        <f t="shared" si="5"/>
        <v>-2.9999999999745341E-2</v>
      </c>
      <c r="I66" s="134">
        <f t="shared" si="5"/>
        <v>-2.9999999999972715E-2</v>
      </c>
      <c r="J66" s="134">
        <f t="shared" si="5"/>
        <v>-3.999999999996362E-2</v>
      </c>
      <c r="K66" s="134">
        <f t="shared" si="5"/>
        <v>-3.999999999996362E-2</v>
      </c>
      <c r="L66" s="134">
        <f t="shared" si="5"/>
        <v>-1.999999999998181E-2</v>
      </c>
      <c r="M66" s="134">
        <f t="shared" si="5"/>
        <v>-2.0000000000095497E-2</v>
      </c>
      <c r="N66" s="134">
        <f t="shared" si="5"/>
        <v>-2.9999999999859028E-2</v>
      </c>
      <c r="O66" s="134">
        <f t="shared" si="5"/>
        <v>-0.44000000000050932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1453.5</v>
      </c>
      <c r="D68" s="135">
        <f>'採算表(VND)'!D68</f>
        <v>1377</v>
      </c>
      <c r="E68" s="135">
        <f>'採算表(VND)'!E68</f>
        <v>1530</v>
      </c>
      <c r="F68" s="135">
        <f>'採算表(VND)'!F68</f>
        <v>1683</v>
      </c>
      <c r="G68" s="135">
        <f>'採算表(VND)'!G68</f>
        <v>1453.5</v>
      </c>
      <c r="H68" s="135">
        <f>'採算表(VND)'!H68</f>
        <v>1377</v>
      </c>
      <c r="I68" s="135">
        <f>'採算表(VND)'!I68</f>
        <v>1683</v>
      </c>
      <c r="J68" s="135">
        <f>'採算表(VND)'!J68</f>
        <v>1292</v>
      </c>
      <c r="K68" s="135">
        <f>'採算表(VND)'!K68</f>
        <v>1428</v>
      </c>
      <c r="L68" s="135">
        <f>'採算表(VND)'!L68</f>
        <v>1130.5</v>
      </c>
      <c r="M68" s="135">
        <f>'採算表(VND)'!M68</f>
        <v>833</v>
      </c>
      <c r="N68" s="135">
        <f>'採算表(VND)'!N68</f>
        <v>1130.5</v>
      </c>
      <c r="O68" s="135">
        <f>SUM(C68:N68)</f>
        <v>16371</v>
      </c>
    </row>
    <row r="69" spans="1:15" ht="11.25" customHeight="1">
      <c r="A69" s="38"/>
      <c r="B69" s="46" t="s">
        <v>88</v>
      </c>
      <c r="C69" s="136">
        <f>'採算表(VND)'!C69</f>
        <v>-1453.5</v>
      </c>
      <c r="D69" s="136">
        <f>'採算表(VND)'!D69</f>
        <v>-1377</v>
      </c>
      <c r="E69" s="136">
        <f>'採算表(VND)'!E69</f>
        <v>-1530</v>
      </c>
      <c r="F69" s="136">
        <f>'採算表(VND)'!F69</f>
        <v>-1683</v>
      </c>
      <c r="G69" s="136">
        <f>'採算表(VND)'!G69</f>
        <v>-1453.5</v>
      </c>
      <c r="H69" s="136">
        <f>'採算表(VND)'!H69</f>
        <v>-1377</v>
      </c>
      <c r="I69" s="136">
        <f>'採算表(VND)'!I69</f>
        <v>-1683</v>
      </c>
      <c r="J69" s="136">
        <f>'採算表(VND)'!J69</f>
        <v>-1292</v>
      </c>
      <c r="K69" s="136">
        <f>'採算表(VND)'!K69</f>
        <v>-1428</v>
      </c>
      <c r="L69" s="136">
        <f>'採算表(VND)'!L69</f>
        <v>-1130.5</v>
      </c>
      <c r="M69" s="136">
        <f>'採算表(VND)'!M69</f>
        <v>-833</v>
      </c>
      <c r="N69" s="136">
        <f>'採算表(VND)'!N69</f>
        <v>-1130.5</v>
      </c>
      <c r="O69" s="136">
        <f>SUM(C69:N69)</f>
        <v>-16371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0</v>
      </c>
      <c r="G74" s="135">
        <f>'採算表(VND)'!G74</f>
        <v>0</v>
      </c>
      <c r="H74" s="135">
        <f>'採算表(VND)'!H74</f>
        <v>0</v>
      </c>
      <c r="I74" s="135">
        <f>'採算表(VND)'!I74</f>
        <v>0</v>
      </c>
      <c r="J74" s="135">
        <f>'採算表(VND)'!J74</f>
        <v>0</v>
      </c>
      <c r="K74" s="135">
        <f>'採算表(VND)'!K74</f>
        <v>0</v>
      </c>
      <c r="L74" s="135">
        <f>'採算表(VND)'!L74</f>
        <v>0</v>
      </c>
      <c r="M74" s="135">
        <f>'採算表(VND)'!M74</f>
        <v>0</v>
      </c>
      <c r="N74" s="135">
        <f>'採算表(VND)'!N74</f>
        <v>0</v>
      </c>
      <c r="O74" s="135">
        <f>SUM(C74:N74)</f>
        <v>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9</v>
      </c>
      <c r="D88" s="150">
        <f>'採算表(VND)'!D88</f>
        <v>9</v>
      </c>
      <c r="E88" s="150">
        <f>'採算表(VND)'!E88</f>
        <v>9</v>
      </c>
      <c r="F88" s="150">
        <f>'採算表(VND)'!F88</f>
        <v>9</v>
      </c>
      <c r="G88" s="150">
        <f>'採算表(VND)'!G88</f>
        <v>9</v>
      </c>
      <c r="H88" s="150">
        <f>'採算表(VND)'!H88</f>
        <v>9</v>
      </c>
      <c r="I88" s="150">
        <f>'採算表(VND)'!I88</f>
        <v>9</v>
      </c>
      <c r="J88" s="150">
        <f>'採算表(VND)'!J88</f>
        <v>9</v>
      </c>
      <c r="K88" s="150">
        <f>'採算表(VND)'!K88</f>
        <v>9</v>
      </c>
      <c r="L88" s="150">
        <f>'採算表(VND)'!L88</f>
        <v>9</v>
      </c>
      <c r="M88" s="150">
        <f>'採算表(VND)'!M88</f>
        <v>9</v>
      </c>
      <c r="N88" s="150">
        <f>'採算表(VND)'!N88</f>
        <v>9</v>
      </c>
      <c r="O88" s="150">
        <f>SUM(C88:N88)</f>
        <v>108</v>
      </c>
    </row>
    <row r="89" spans="1:15">
      <c r="A89" s="44"/>
      <c r="B89" s="60" t="s">
        <v>18</v>
      </c>
      <c r="C89" s="151">
        <f t="shared" ref="C89:O89" si="11">C87+C88</f>
        <v>9</v>
      </c>
      <c r="D89" s="151">
        <f t="shared" si="11"/>
        <v>9</v>
      </c>
      <c r="E89" s="151">
        <f t="shared" si="11"/>
        <v>9</v>
      </c>
      <c r="F89" s="151">
        <f t="shared" si="11"/>
        <v>9</v>
      </c>
      <c r="G89" s="151">
        <f t="shared" si="11"/>
        <v>9</v>
      </c>
      <c r="H89" s="151">
        <f t="shared" si="11"/>
        <v>9</v>
      </c>
      <c r="I89" s="151">
        <f t="shared" si="11"/>
        <v>9</v>
      </c>
      <c r="J89" s="151">
        <f t="shared" si="11"/>
        <v>9</v>
      </c>
      <c r="K89" s="151">
        <f t="shared" si="11"/>
        <v>9</v>
      </c>
      <c r="L89" s="151">
        <f t="shared" si="11"/>
        <v>9</v>
      </c>
      <c r="M89" s="151">
        <f t="shared" si="11"/>
        <v>9</v>
      </c>
      <c r="N89" s="151">
        <f t="shared" si="11"/>
        <v>9</v>
      </c>
      <c r="O89" s="151">
        <f t="shared" si="11"/>
        <v>108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1453.5</v>
      </c>
      <c r="D93" s="133">
        <f>'採算表(VND)'!D93</f>
        <v>1377</v>
      </c>
      <c r="E93" s="133">
        <f>'採算表(VND)'!E93</f>
        <v>1530</v>
      </c>
      <c r="F93" s="133">
        <f>'採算表(VND)'!F93</f>
        <v>1683</v>
      </c>
      <c r="G93" s="133">
        <f>'採算表(VND)'!G93</f>
        <v>1453.5</v>
      </c>
      <c r="H93" s="133">
        <f>'採算表(VND)'!H93</f>
        <v>1377</v>
      </c>
      <c r="I93" s="133">
        <f>'採算表(VND)'!I93</f>
        <v>1683</v>
      </c>
      <c r="J93" s="133">
        <f>'採算表(VND)'!J93</f>
        <v>1292</v>
      </c>
      <c r="K93" s="133">
        <f>'採算表(VND)'!K93</f>
        <v>1428</v>
      </c>
      <c r="L93" s="133">
        <f>'採算表(VND)'!L93</f>
        <v>1130.5</v>
      </c>
      <c r="M93" s="133">
        <f>'採算表(VND)'!M93</f>
        <v>833</v>
      </c>
      <c r="N93" s="133">
        <f>'採算表(VND)'!N93</f>
        <v>1130.5</v>
      </c>
      <c r="O93" s="133">
        <f>SUM(C93:N93)</f>
        <v>16371</v>
      </c>
    </row>
    <row r="94" spans="1:15">
      <c r="B94" s="61" t="s">
        <v>18</v>
      </c>
      <c r="C94" s="147">
        <f t="shared" ref="C94:O94" si="12">C92+C93</f>
        <v>1453.5</v>
      </c>
      <c r="D94" s="147">
        <f t="shared" si="12"/>
        <v>1377</v>
      </c>
      <c r="E94" s="147">
        <f t="shared" si="12"/>
        <v>1530</v>
      </c>
      <c r="F94" s="147">
        <f t="shared" si="12"/>
        <v>1683</v>
      </c>
      <c r="G94" s="147">
        <f t="shared" si="12"/>
        <v>1453.5</v>
      </c>
      <c r="H94" s="147">
        <f t="shared" si="12"/>
        <v>1377</v>
      </c>
      <c r="I94" s="147">
        <f t="shared" si="12"/>
        <v>1683</v>
      </c>
      <c r="J94" s="147">
        <f t="shared" si="12"/>
        <v>1292</v>
      </c>
      <c r="K94" s="147">
        <f t="shared" si="12"/>
        <v>1428</v>
      </c>
      <c r="L94" s="147">
        <f t="shared" si="12"/>
        <v>1130.5</v>
      </c>
      <c r="M94" s="147">
        <f t="shared" si="12"/>
        <v>833</v>
      </c>
      <c r="N94" s="147">
        <f t="shared" si="12"/>
        <v>1130.5</v>
      </c>
      <c r="O94" s="147">
        <f t="shared" si="12"/>
        <v>16371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0</v>
      </c>
      <c r="G98" s="133">
        <f>'採算表(VND)'!G98</f>
        <v>0</v>
      </c>
      <c r="H98" s="133">
        <f>'採算表(VND)'!H98</f>
        <v>0</v>
      </c>
      <c r="I98" s="133">
        <f>'採算表(VND)'!I98</f>
        <v>0</v>
      </c>
      <c r="J98" s="133">
        <f>'採算表(VND)'!J98</f>
        <v>0</v>
      </c>
      <c r="K98" s="133">
        <f>'採算表(VND)'!K98</f>
        <v>0</v>
      </c>
      <c r="L98" s="133">
        <f>'採算表(VND)'!L98</f>
        <v>0</v>
      </c>
      <c r="M98" s="133">
        <f>'採算表(VND)'!M98</f>
        <v>0</v>
      </c>
      <c r="N98" s="133">
        <f>'採算表(VND)'!N98</f>
        <v>0</v>
      </c>
      <c r="O98" s="133">
        <f>SUM(C98:N98)</f>
        <v>0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0</v>
      </c>
      <c r="G99" s="147">
        <f t="shared" si="13"/>
        <v>0</v>
      </c>
      <c r="H99" s="147">
        <f t="shared" si="13"/>
        <v>0</v>
      </c>
      <c r="I99" s="147">
        <f t="shared" si="13"/>
        <v>0</v>
      </c>
      <c r="J99" s="147">
        <f t="shared" si="13"/>
        <v>0</v>
      </c>
      <c r="K99" s="147">
        <f t="shared" si="13"/>
        <v>0</v>
      </c>
      <c r="L99" s="147">
        <f t="shared" si="13"/>
        <v>0</v>
      </c>
      <c r="M99" s="147">
        <f t="shared" si="13"/>
        <v>0</v>
      </c>
      <c r="N99" s="147">
        <f t="shared" si="13"/>
        <v>0</v>
      </c>
      <c r="O99" s="147">
        <f t="shared" si="13"/>
        <v>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91DF-FD0A-494F-BA17-0CE8DEA52125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部品製造管理課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3074984</v>
      </c>
      <c r="D20" s="158">
        <f>SUMIF('内訳ﾘｽﾄ(4～3月)'!$D$26:$D$1000,$B20,'内訳ﾘｽﾄ(4～3月)'!G$26:G$1000)</f>
        <v>3060511</v>
      </c>
      <c r="E20" s="158">
        <f>SUMIF('内訳ﾘｽﾄ(4～3月)'!$D$26:$D$1000,$B20,'内訳ﾘｽﾄ(4～3月)'!H$26:H$1000)</f>
        <v>3064066</v>
      </c>
      <c r="F20" s="158">
        <f>SUMIF('内訳ﾘｽﾄ(4～3月)'!$D$26:$D$1000,$B20,'内訳ﾘｽﾄ(4～3月)'!I$26:I$1000)</f>
        <v>2991959</v>
      </c>
      <c r="G20" s="158">
        <f>SUMIF('内訳ﾘｽﾄ(4～3月)'!$D$26:$D$1000,$B20,'内訳ﾘｽﾄ(4～3月)'!J$26:J$1000)</f>
        <v>2960729</v>
      </c>
      <c r="H20" s="158">
        <f>SUMIF('内訳ﾘｽﾄ(4～3月)'!$D$26:$D$1000,$B20,'内訳ﾘｽﾄ(4～3月)'!K$26:K$1000)</f>
        <v>2875419</v>
      </c>
      <c r="I20" s="158">
        <f>SUMIF('内訳ﾘｽﾄ(4～3月)'!$D$26:$D$1000,$B20,'内訳ﾘｽﾄ(4～3月)'!L$26:L$1000)</f>
        <v>2794932</v>
      </c>
      <c r="J20" s="158">
        <f>SUMIF('内訳ﾘｽﾄ(4～3月)'!$D$26:$D$1000,$B20,'内訳ﾘｽﾄ(4～3月)'!M$26:M$1000)</f>
        <v>2793409</v>
      </c>
      <c r="K20" s="158">
        <f>SUMIF('内訳ﾘｽﾄ(4～3月)'!$D$26:$D$1000,$B20,'内訳ﾘｽﾄ(4～3月)'!N$26:N$1000)</f>
        <v>2795440</v>
      </c>
      <c r="L20" s="158">
        <f>SUMIF('内訳ﾘｽﾄ(4～3月)'!$D$26:$D$1000,$B20,'内訳ﾘｽﾄ(4～3月)'!O$26:O$1000)</f>
        <v>2780460</v>
      </c>
      <c r="M20" s="158">
        <f>SUMIF('内訳ﾘｽﾄ(4～3月)'!$D$26:$D$1000,$B20,'内訳ﾘｽﾄ(4～3月)'!P$26:P$1000)</f>
        <v>2731964</v>
      </c>
      <c r="N20" s="158">
        <f>SUMIF('内訳ﾘｽﾄ(4～3月)'!$D$26:$D$1000,$B20,'内訳ﾘｽﾄ(4～3月)'!Q$26:Q$1000)</f>
        <v>2770303</v>
      </c>
      <c r="O20" s="158">
        <f>SUMIF('内訳ﾘｽﾄ(4～3月)'!$D$26:$D$799,'採算表(VND)'!$B20,'内訳ﾘｽﾄ(4～3月)'!R$26:R$799)</f>
        <v>34694176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509914</v>
      </c>
      <c r="D25" s="158">
        <f>SUMIF('内訳ﾘｽﾄ(4～3月)'!$D$26:$D$1000,$B25,'内訳ﾘｽﾄ(4～3月)'!G$26:G$1000)</f>
        <v>184194</v>
      </c>
      <c r="E25" s="158">
        <f>SUMIF('内訳ﾘｽﾄ(4～3月)'!$D$26:$D$1000,$B25,'内訳ﾘｽﾄ(4～3月)'!H$26:H$1000)</f>
        <v>504522</v>
      </c>
      <c r="F25" s="158">
        <f>SUMIF('内訳ﾘｽﾄ(4～3月)'!$D$26:$D$1000,$B25,'内訳ﾘｽﾄ(4～3月)'!I$26:I$1000)</f>
        <v>229159</v>
      </c>
      <c r="G25" s="158">
        <f>SUMIF('内訳ﾘｽﾄ(4～3月)'!$D$26:$D$1000,$B25,'内訳ﾘｽﾄ(4～3月)'!J$26:J$1000)</f>
        <v>494856</v>
      </c>
      <c r="H25" s="158">
        <f>SUMIF('内訳ﾘｽﾄ(4～3月)'!$D$26:$D$1000,$B25,'内訳ﾘｽﾄ(4～3月)'!K$26:K$1000)</f>
        <v>181737</v>
      </c>
      <c r="I25" s="158">
        <f>SUMIF('内訳ﾘｽﾄ(4～3月)'!$D$26:$D$1000,$B25,'内訳ﾘｽﾄ(4～3月)'!L$26:L$1000)</f>
        <v>534169</v>
      </c>
      <c r="J25" s="158">
        <f>SUMIF('内訳ﾘｽﾄ(4～3月)'!$D$26:$D$1000,$B25,'内訳ﾘｽﾄ(4～3月)'!M$26:M$1000)</f>
        <v>190215</v>
      </c>
      <c r="K25" s="158">
        <f>SUMIF('内訳ﾘｽﾄ(4～3月)'!$D$26:$D$1000,$B25,'内訳ﾘｽﾄ(4～3月)'!N$26:N$1000)</f>
        <v>511902</v>
      </c>
      <c r="L25" s="158">
        <f>SUMIF('内訳ﾘｽﾄ(4～3月)'!$D$26:$D$1000,$B25,'内訳ﾘｽﾄ(4～3月)'!O$26:O$1000)</f>
        <v>204643</v>
      </c>
      <c r="M25" s="158">
        <f>SUMIF('内訳ﾘｽﾄ(4～3月)'!$D$26:$D$1000,$B25,'内訳ﾘｽﾄ(4～3月)'!P$26:P$1000)</f>
        <v>454581</v>
      </c>
      <c r="N25" s="158">
        <f>SUMIF('内訳ﾘｽﾄ(4～3月)'!$D$26:$D$1000,$B25,'内訳ﾘｽﾄ(4～3月)'!Q$26:Q$1000)</f>
        <v>190080</v>
      </c>
      <c r="O25" s="158">
        <f>SUMIF('内訳ﾘｽﾄ(4～3月)'!$D$26:$D$799,'採算表(VND)'!$B25,'内訳ﾘｽﾄ(4～3月)'!R$26:R$799)</f>
        <v>4189972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12900000</v>
      </c>
      <c r="D26" s="158">
        <f>SUMIF('内訳ﾘｽﾄ(4～3月)'!$D$26:$D$1000,$B26,'内訳ﾘｽﾄ(4～3月)'!G$26:G$1000)</f>
        <v>14480000</v>
      </c>
      <c r="E26" s="158">
        <f>SUMIF('内訳ﾘｽﾄ(4～3月)'!$D$26:$D$1000,$B26,'内訳ﾘｽﾄ(4～3月)'!H$26:H$1000)</f>
        <v>14480000</v>
      </c>
      <c r="F26" s="158">
        <f>SUMIF('内訳ﾘｽﾄ(4～3月)'!$D$26:$D$1000,$B26,'内訳ﾘｽﾄ(4～3月)'!I$26:I$1000)</f>
        <v>14480000</v>
      </c>
      <c r="G26" s="158">
        <f>SUMIF('内訳ﾘｽﾄ(4～3月)'!$D$26:$D$1000,$B26,'内訳ﾘｽﾄ(4～3月)'!J$26:J$1000)</f>
        <v>14480000</v>
      </c>
      <c r="H26" s="158">
        <f>SUMIF('内訳ﾘｽﾄ(4～3月)'!$D$26:$D$1000,$B26,'内訳ﾘｽﾄ(4～3月)'!K$26:K$1000)</f>
        <v>14480000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85300000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3043647</v>
      </c>
      <c r="D30" s="158">
        <f>SUMIF('内訳ﾘｽﾄ(4～3月)'!$D$26:$D$1000,$B30,'内訳ﾘｽﾄ(4～3月)'!G$26:G$1000)</f>
        <v>3144029</v>
      </c>
      <c r="E30" s="158">
        <f>SUMIF('内訳ﾘｽﾄ(4～3月)'!$D$26:$D$1000,$B30,'内訳ﾘｽﾄ(4～3月)'!H$26:H$1000)</f>
        <v>3874618</v>
      </c>
      <c r="F30" s="158">
        <f>SUMIF('内訳ﾘｽﾄ(4～3月)'!$D$26:$D$1000,$B30,'内訳ﾘｽﾄ(4～3月)'!I$26:I$1000)</f>
        <v>4274916</v>
      </c>
      <c r="G30" s="158">
        <f>SUMIF('内訳ﾘｽﾄ(4～3月)'!$D$26:$D$1000,$B30,'内訳ﾘｽﾄ(4～3月)'!J$26:J$1000)</f>
        <v>4309029</v>
      </c>
      <c r="H30" s="158">
        <f>SUMIF('内訳ﾘｽﾄ(4～3月)'!$D$26:$D$1000,$B30,'内訳ﾘｽﾄ(4～3月)'!K$26:K$1000)</f>
        <v>3925750</v>
      </c>
      <c r="I30" s="158">
        <f>SUMIF('内訳ﾘｽﾄ(4～3月)'!$D$26:$D$1000,$B30,'内訳ﾘｽﾄ(4～3月)'!L$26:L$1000)</f>
        <v>3815431</v>
      </c>
      <c r="J30" s="158">
        <f>SUMIF('内訳ﾘｽﾄ(4～3月)'!$D$26:$D$1000,$B30,'内訳ﾘｽﾄ(4～3月)'!M$26:M$1000)</f>
        <v>3618413</v>
      </c>
      <c r="K30" s="158">
        <f>SUMIF('内訳ﾘｽﾄ(4～3月)'!$D$26:$D$1000,$B30,'内訳ﾘｽﾄ(4～3月)'!N$26:N$1000)</f>
        <v>3523679</v>
      </c>
      <c r="L30" s="158">
        <f>SUMIF('内訳ﾘｽﾄ(4～3月)'!$D$26:$D$1000,$B30,'内訳ﾘｽﾄ(4～3月)'!O$26:O$1000)</f>
        <v>3156003</v>
      </c>
      <c r="M30" s="158">
        <f>SUMIF('内訳ﾘｽﾄ(4～3月)'!$D$26:$D$1000,$B30,'内訳ﾘｽﾄ(4～3月)'!P$26:P$1000)</f>
        <v>2996736</v>
      </c>
      <c r="N30" s="158">
        <f>SUMIF('内訳ﾘｽﾄ(4～3月)'!$D$26:$D$1000,$B30,'内訳ﾘｽﾄ(4～3月)'!Q$26:Q$1000)</f>
        <v>2521909</v>
      </c>
      <c r="O30" s="158">
        <f>SUMIF('内訳ﾘｽﾄ(4～3月)'!$D$26:$D$799,'採算表(VND)'!$B30,'内訳ﾘｽﾄ(4～3月)'!R$26:R$799)</f>
        <v>42204160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506223</v>
      </c>
      <c r="D39" s="158">
        <f>SUMIF('内訳ﾘｽﾄ(4～3月)'!$D$26:$D$1000,$B39,'内訳ﾘｽﾄ(4～3月)'!G$26:G$1000)</f>
        <v>508158</v>
      </c>
      <c r="E39" s="158">
        <f>SUMIF('内訳ﾘｽﾄ(4～3月)'!$D$26:$D$1000,$B39,'内訳ﾘｽﾄ(4～3月)'!H$26:H$1000)</f>
        <v>523809</v>
      </c>
      <c r="F39" s="158">
        <f>SUMIF('内訳ﾘｽﾄ(4～3月)'!$D$26:$D$1000,$B39,'内訳ﾘｽﾄ(4～3月)'!I$26:I$1000)</f>
        <v>479754</v>
      </c>
      <c r="G39" s="158">
        <f>SUMIF('内訳ﾘｽﾄ(4～3月)'!$D$26:$D$1000,$B39,'内訳ﾘｽﾄ(4～3月)'!J$26:J$1000)</f>
        <v>467019</v>
      </c>
      <c r="H39" s="158">
        <f>SUMIF('内訳ﾘｽﾄ(4～3月)'!$D$26:$D$1000,$B39,'内訳ﾘｽﾄ(4～3月)'!K$26:K$1000)</f>
        <v>446310</v>
      </c>
      <c r="I39" s="158">
        <f>SUMIF('内訳ﾘｽﾄ(4～3月)'!$D$26:$D$1000,$B39,'内訳ﾘｽﾄ(4～3月)'!L$26:L$1000)</f>
        <v>426888</v>
      </c>
      <c r="J39" s="158">
        <f>SUMIF('内訳ﾘｽﾄ(4～3月)'!$D$26:$D$1000,$B39,'内訳ﾘｽﾄ(4～3月)'!M$26:M$1000)</f>
        <v>421596</v>
      </c>
      <c r="K39" s="158">
        <f>SUMIF('内訳ﾘｽﾄ(4～3月)'!$D$26:$D$1000,$B39,'内訳ﾘｽﾄ(4～3月)'!N$26:N$1000)</f>
        <v>422793</v>
      </c>
      <c r="L39" s="158">
        <f>SUMIF('内訳ﾘｽﾄ(4～3月)'!$D$26:$D$1000,$B39,'内訳ﾘｽﾄ(4～3月)'!O$26:O$1000)</f>
        <v>404712</v>
      </c>
      <c r="M39" s="158">
        <f>SUMIF('内訳ﾘｽﾄ(4～3月)'!$D$26:$D$1000,$B39,'内訳ﾘｽﾄ(4～3月)'!P$26:P$1000)</f>
        <v>383058</v>
      </c>
      <c r="N39" s="158">
        <f>SUMIF('内訳ﾘｽﾄ(4～3月)'!$D$26:$D$1000,$B39,'内訳ﾘｽﾄ(4～3月)'!Q$26:Q$1000)</f>
        <v>400860</v>
      </c>
      <c r="O39" s="158">
        <f>SUMIF('内訳ﾘｽﾄ(4～3月)'!$D$26:$D$799,'採算表(VND)'!$B39,'内訳ﾘｽﾄ(4～3月)'!R$26:R$799)</f>
        <v>5391180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99000</v>
      </c>
      <c r="D41" s="158">
        <f>SUMIF('内訳ﾘｽﾄ(4～3月)'!$D$26:$D$1000,$B41,'内訳ﾘｽﾄ(4～3月)'!G$26:G$1000)</f>
        <v>99000</v>
      </c>
      <c r="E41" s="158">
        <f>SUMIF('内訳ﾘｽﾄ(4～3月)'!$D$26:$D$1000,$B41,'内訳ﾘｽﾄ(4～3月)'!H$26:H$1000)</f>
        <v>99000</v>
      </c>
      <c r="F41" s="158">
        <f>SUMIF('内訳ﾘｽﾄ(4～3月)'!$D$26:$D$1000,$B41,'内訳ﾘｽﾄ(4～3月)'!I$26:I$1000)</f>
        <v>99000</v>
      </c>
      <c r="G41" s="158">
        <f>SUMIF('内訳ﾘｽﾄ(4～3月)'!$D$26:$D$1000,$B41,'内訳ﾘｽﾄ(4～3月)'!J$26:J$1000)</f>
        <v>99000</v>
      </c>
      <c r="H41" s="158">
        <f>SUMIF('内訳ﾘｽﾄ(4～3月)'!$D$26:$D$1000,$B41,'内訳ﾘｽﾄ(4～3月)'!K$26:K$1000)</f>
        <v>99000</v>
      </c>
      <c r="I41" s="158">
        <f>SUMIF('内訳ﾘｽﾄ(4～3月)'!$D$26:$D$1000,$B41,'内訳ﾘｽﾄ(4～3月)'!L$26:L$1000)</f>
        <v>99000</v>
      </c>
      <c r="J41" s="158">
        <f>SUMIF('内訳ﾘｽﾄ(4～3月)'!$D$26:$D$1000,$B41,'内訳ﾘｽﾄ(4～3月)'!M$26:M$1000)</f>
        <v>99000</v>
      </c>
      <c r="K41" s="158">
        <f>SUMIF('内訳ﾘｽﾄ(4～3月)'!$D$26:$D$1000,$B41,'内訳ﾘｽﾄ(4～3月)'!N$26:N$1000)</f>
        <v>99000</v>
      </c>
      <c r="L41" s="158">
        <f>SUMIF('内訳ﾘｽﾄ(4～3月)'!$D$26:$D$1000,$B41,'内訳ﾘｽﾄ(4～3月)'!O$26:O$1000)</f>
        <v>99000</v>
      </c>
      <c r="M41" s="158">
        <f>SUMIF('内訳ﾘｽﾄ(4～3月)'!$D$26:$D$1000,$B41,'内訳ﾘｽﾄ(4～3月)'!P$26:P$1000)</f>
        <v>99000</v>
      </c>
      <c r="N41" s="158">
        <f>SUMIF('内訳ﾘｽﾄ(4～3月)'!$D$26:$D$1000,$B41,'内訳ﾘｽﾄ(4～3月)'!Q$26:Q$1000)</f>
        <v>99000</v>
      </c>
      <c r="O41" s="158">
        <f>SUMIF('内訳ﾘｽﾄ(4～3月)'!$D$26:$D$799,'採算表(VND)'!$B41,'内訳ﾘｽﾄ(4～3月)'!R$26:R$799)</f>
        <v>1188000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11112695</v>
      </c>
      <c r="D42" s="158">
        <f>SUMIF('内訳ﾘｽﾄ(4～3月)'!$D$26:$D$1000,$B42,'内訳ﾘｽﾄ(4～3月)'!G$26:G$1000)</f>
        <v>11112695</v>
      </c>
      <c r="E42" s="158">
        <f>SUMIF('内訳ﾘｽﾄ(4～3月)'!$D$26:$D$1000,$B42,'内訳ﾘｽﾄ(4～3月)'!H$26:H$1000)</f>
        <v>11112695</v>
      </c>
      <c r="F42" s="158">
        <f>SUMIF('内訳ﾘｽﾄ(4～3月)'!$D$26:$D$1000,$B42,'内訳ﾘｽﾄ(4～3月)'!I$26:I$1000)</f>
        <v>11112695</v>
      </c>
      <c r="G42" s="158">
        <f>SUMIF('内訳ﾘｽﾄ(4～3月)'!$D$26:$D$1000,$B42,'内訳ﾘｽﾄ(4～3月)'!J$26:J$1000)</f>
        <v>11112695</v>
      </c>
      <c r="H42" s="158">
        <f>SUMIF('内訳ﾘｽﾄ(4～3月)'!$D$26:$D$1000,$B42,'内訳ﾘｽﾄ(4～3月)'!K$26:K$1000)</f>
        <v>11112695</v>
      </c>
      <c r="I42" s="158">
        <f>SUMIF('内訳ﾘｽﾄ(4～3月)'!$D$26:$D$1000,$B42,'内訳ﾘｽﾄ(4～3月)'!L$26:L$1000)</f>
        <v>11112695</v>
      </c>
      <c r="J42" s="158">
        <f>SUMIF('内訳ﾘｽﾄ(4～3月)'!$D$26:$D$1000,$B42,'内訳ﾘｽﾄ(4～3月)'!M$26:M$1000)</f>
        <v>11112695</v>
      </c>
      <c r="K42" s="158">
        <f>SUMIF('内訳ﾘｽﾄ(4～3月)'!$D$26:$D$1000,$B42,'内訳ﾘｽﾄ(4～3月)'!N$26:N$1000)</f>
        <v>11112695</v>
      </c>
      <c r="L42" s="158">
        <f>SUMIF('内訳ﾘｽﾄ(4～3月)'!$D$26:$D$1000,$B42,'内訳ﾘｽﾄ(4～3月)'!O$26:O$1000)</f>
        <v>11112695</v>
      </c>
      <c r="M42" s="158">
        <f>SUMIF('内訳ﾘｽﾄ(4～3月)'!$D$26:$D$1000,$B42,'内訳ﾘｽﾄ(4～3月)'!P$26:P$1000)</f>
        <v>11112695</v>
      </c>
      <c r="N42" s="158">
        <f>SUMIF('内訳ﾘｽﾄ(4～3月)'!$D$26:$D$1000,$B42,'内訳ﾘｽﾄ(4～3月)'!Q$26:Q$1000)</f>
        <v>11112695</v>
      </c>
      <c r="O42" s="158">
        <f>SUMIF('内訳ﾘｽﾄ(4～3月)'!$D$26:$D$799,'採算表(VND)'!$B42,'内訳ﾘｽﾄ(4～3月)'!R$26:R$799)</f>
        <v>133352340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9032356</v>
      </c>
      <c r="D44" s="158">
        <f>SUMIF('内訳ﾘｽﾄ(4～3月)'!$D$26:$D$1000,$B44,'内訳ﾘｽﾄ(4～3月)'!G$26:G$1000)</f>
        <v>18366494</v>
      </c>
      <c r="E44" s="158">
        <f>SUMIF('内訳ﾘｽﾄ(4～3月)'!$D$26:$D$1000,$B44,'内訳ﾘｽﾄ(4～3月)'!H$26:H$1000)</f>
        <v>2999954</v>
      </c>
      <c r="F44" s="158">
        <f>SUMIF('内訳ﾘｽﾄ(4～3月)'!$D$26:$D$1000,$B44,'内訳ﾘｽﾄ(4～3月)'!I$26:I$1000)</f>
        <v>3874926</v>
      </c>
      <c r="G44" s="158">
        <f>SUMIF('内訳ﾘｽﾄ(4～3月)'!$D$26:$D$1000,$B44,'内訳ﾘｽﾄ(4～3月)'!J$26:J$1000)</f>
        <v>3339668</v>
      </c>
      <c r="H44" s="158">
        <f>SUMIF('内訳ﾘｽﾄ(4～3月)'!$D$26:$D$1000,$B44,'内訳ﾘｽﾄ(4～3月)'!K$26:K$1000)</f>
        <v>4484026</v>
      </c>
      <c r="I44" s="158">
        <f>SUMIF('内訳ﾘｽﾄ(4～3月)'!$D$26:$D$1000,$B44,'内訳ﾘｽﾄ(4～3月)'!L$26:L$1000)</f>
        <v>3987470</v>
      </c>
      <c r="J44" s="158">
        <f>SUMIF('内訳ﾘｽﾄ(4～3月)'!$D$26:$D$1000,$B44,'内訳ﾘｽﾄ(4～3月)'!M$26:M$1000)</f>
        <v>4031234</v>
      </c>
      <c r="K44" s="158">
        <f>SUMIF('内訳ﾘｽﾄ(4～3月)'!$D$26:$D$1000,$B44,'内訳ﾘｽﾄ(4～3月)'!N$26:N$1000)</f>
        <v>4930184</v>
      </c>
      <c r="L44" s="158">
        <f>SUMIF('内訳ﾘｽﾄ(4～3月)'!$D$26:$D$1000,$B44,'内訳ﾘｽﾄ(4～3月)'!O$26:O$1000)</f>
        <v>2920850</v>
      </c>
      <c r="M44" s="158">
        <f>SUMIF('内訳ﾘｽﾄ(4～3月)'!$D$26:$D$1000,$B44,'内訳ﾘｽﾄ(4～3月)'!P$26:P$1000)</f>
        <v>3706718</v>
      </c>
      <c r="N44" s="158">
        <f>SUMIF('内訳ﾘｽﾄ(4～3月)'!$D$26:$D$1000,$B44,'内訳ﾘｽﾄ(4～3月)'!Q$26:Q$1000)</f>
        <v>5592456</v>
      </c>
      <c r="O44" s="158">
        <f>SUMIF('内訳ﾘｽﾄ(4～3月)'!$D$26:$D$799,'採算表(VND)'!$B44,'内訳ﾘｽﾄ(4～3月)'!R$26:R$799)</f>
        <v>67266336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2196997</v>
      </c>
      <c r="D57" s="160">
        <f>SUMIF('内訳ﾘｽﾄ(4～3月)'!$D$26:$D$1000,$B57,'内訳ﾘｽﾄ(4～3月)'!G$26:G$1000)</f>
        <v>2076649</v>
      </c>
      <c r="E57" s="160">
        <f>SUMIF('内訳ﾘｽﾄ(4～3月)'!$D$26:$D$1000,$B57,'内訳ﾘｽﾄ(4～3月)'!H$26:H$1000)</f>
        <v>2078934</v>
      </c>
      <c r="F57" s="160">
        <f>SUMIF('内訳ﾘｽﾄ(4～3月)'!$D$26:$D$1000,$B57,'内訳ﾘｽﾄ(4～3月)'!I$26:I$1000)</f>
        <v>2029931</v>
      </c>
      <c r="G57" s="160">
        <f>SUMIF('内訳ﾘｽﾄ(4～3月)'!$D$26:$D$1000,$B57,'内訳ﾘｽﾄ(4～3月)'!J$26:J$1000)</f>
        <v>2008603</v>
      </c>
      <c r="H57" s="160">
        <f>SUMIF('内訳ﾘｽﾄ(4～3月)'!$D$26:$D$1000,$B57,'内訳ﾘｽﾄ(4～3月)'!K$26:K$1000)</f>
        <v>1950968</v>
      </c>
      <c r="I57" s="160">
        <f>SUMIF('内訳ﾘｽﾄ(4～3月)'!$D$26:$D$1000,$B57,'内訳ﾘｽﾄ(4～3月)'!L$26:L$1000)</f>
        <v>1896126</v>
      </c>
      <c r="J57" s="160">
        <f>SUMIF('内訳ﾘｽﾄ(4～3月)'!$D$26:$D$1000,$B57,'内訳ﾘｽﾄ(4～3月)'!M$26:M$1000)</f>
        <v>1895110</v>
      </c>
      <c r="K57" s="160">
        <f>SUMIF('内訳ﾘｽﾄ(4～3月)'!$D$26:$D$1000,$B57,'内訳ﾘｽﾄ(4～3月)'!N$26:N$1000)</f>
        <v>1896887</v>
      </c>
      <c r="L57" s="160">
        <f>SUMIF('内訳ﾘｽﾄ(4～3月)'!$D$26:$D$1000,$B57,'内訳ﾘｽﾄ(4～3月)'!O$26:O$1000)</f>
        <v>1886477</v>
      </c>
      <c r="M57" s="160">
        <f>SUMIF('内訳ﾘｽﾄ(4～3月)'!$D$26:$D$1000,$B57,'内訳ﾘｽﾄ(4～3月)'!P$26:P$1000)</f>
        <v>1853470</v>
      </c>
      <c r="N57" s="160">
        <f>SUMIF('内訳ﾘｽﾄ(4～3月)'!$D$26:$D$1000,$B57,'内訳ﾘｽﾄ(4～3月)'!Q$26:Q$1000)</f>
        <v>1879622</v>
      </c>
      <c r="O57" s="160">
        <f>SUMIF('内訳ﾘｽﾄ(4～3月)'!$D$26:$D$799,'採算表(VND)'!$B57,'内訳ﾘｽﾄ(4～3月)'!R$26:R$799)</f>
        <v>23649774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-42475816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-53031730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-38737598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-39572340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-39271599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-39555905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-24666711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-24161672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-25292580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-22564840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-23338222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-24566925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-397235938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1453.5</v>
      </c>
      <c r="D68" s="162">
        <f>SUMIF('内訳ﾘｽﾄ(4～3月)'!$D$8:$D$15,'採算表(VND)'!$B68,'内訳ﾘｽﾄ(4～3月)'!G$8:G$15)</f>
        <v>1377</v>
      </c>
      <c r="E68" s="162">
        <f>SUMIF('内訳ﾘｽﾄ(4～3月)'!$D$8:$D$15,'採算表(VND)'!$B68,'内訳ﾘｽﾄ(4～3月)'!H$8:H$15)</f>
        <v>1530</v>
      </c>
      <c r="F68" s="162">
        <f>SUMIF('内訳ﾘｽﾄ(4～3月)'!$D$8:$D$15,'採算表(VND)'!$B68,'内訳ﾘｽﾄ(4～3月)'!I$8:I$15)</f>
        <v>1683</v>
      </c>
      <c r="G68" s="162">
        <f>SUMIF('内訳ﾘｽﾄ(4～3月)'!$D$8:$D$15,'採算表(VND)'!$B68,'内訳ﾘｽﾄ(4～3月)'!J$8:J$15)</f>
        <v>1453.5</v>
      </c>
      <c r="H68" s="162">
        <f>SUMIF('内訳ﾘｽﾄ(4～3月)'!$D$8:$D$15,'採算表(VND)'!$B68,'内訳ﾘｽﾄ(4～3月)'!K$8:K$15)</f>
        <v>1377</v>
      </c>
      <c r="I68" s="162">
        <f>SUMIF('内訳ﾘｽﾄ(4～3月)'!$D$8:$D$15,'採算表(VND)'!$B68,'内訳ﾘｽﾄ(4～3月)'!L$8:L$15)</f>
        <v>1683</v>
      </c>
      <c r="J68" s="162">
        <f>SUMIF('内訳ﾘｽﾄ(4～3月)'!$D$8:$D$15,'採算表(VND)'!$B68,'内訳ﾘｽﾄ(4～3月)'!M$8:M$15)</f>
        <v>1292</v>
      </c>
      <c r="K68" s="162">
        <f>SUMIF('内訳ﾘｽﾄ(4～3月)'!$D$8:$D$15,'採算表(VND)'!$B68,'内訳ﾘｽﾄ(4～3月)'!N$8:N$15)</f>
        <v>1428</v>
      </c>
      <c r="L68" s="162">
        <f>SUMIF('内訳ﾘｽﾄ(4～3月)'!$D$8:$D$15,'採算表(VND)'!$B68,'内訳ﾘｽﾄ(4～3月)'!O$8:O$15)</f>
        <v>1130.5</v>
      </c>
      <c r="M68" s="162">
        <f>SUMIF('内訳ﾘｽﾄ(4～3月)'!$D$8:$D$15,'採算表(VND)'!$B68,'内訳ﾘｽﾄ(4～3月)'!P$8:P$15)</f>
        <v>833</v>
      </c>
      <c r="N68" s="162">
        <f>SUMIF('内訳ﾘｽﾄ(4～3月)'!$D$8:$D$15,'採算表(VND)'!$B68,'内訳ﾘｽﾄ(4～3月)'!Q$8:Q$15)</f>
        <v>1130.5</v>
      </c>
      <c r="O68" s="162">
        <f>SUMIF('内訳ﾘｽﾄ(4～3月)'!$D$8:$D$15,'採算表(VND)'!$B68,'内訳ﾘｽﾄ(4～3月)'!$R$8:$R$15)</f>
        <v>16371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-1453.5</v>
      </c>
      <c r="D69" s="163">
        <f>IF('内訳ﾘｽﾄ(4～3月)'!$D$5="製造",SUMIF('内訳ﾘｽﾄ(4～3月)'!$D$8:$D$15,$B69,'内訳ﾘｽﾄ(4～3月)'!G$8:G$15),IF('内訳ﾘｽﾄ(4～3月)'!$D$5="部内間接",-D$68,0))</f>
        <v>-1377</v>
      </c>
      <c r="E69" s="163">
        <f>IF('内訳ﾘｽﾄ(4～3月)'!$D$5="製造",SUMIF('内訳ﾘｽﾄ(4～3月)'!$D$8:$D$15,$B69,'内訳ﾘｽﾄ(4～3月)'!H$8:H$15),IF('内訳ﾘｽﾄ(4～3月)'!$D$5="部内間接",-E$68,0))</f>
        <v>-1530</v>
      </c>
      <c r="F69" s="163">
        <f>IF('内訳ﾘｽﾄ(4～3月)'!$D$5="製造",SUMIF('内訳ﾘｽﾄ(4～3月)'!$D$8:$D$15,$B69,'内訳ﾘｽﾄ(4～3月)'!I$8:I$15),IF('内訳ﾘｽﾄ(4～3月)'!$D$5="部内間接",-F$68,0))</f>
        <v>-1683</v>
      </c>
      <c r="G69" s="163">
        <f>IF('内訳ﾘｽﾄ(4～3月)'!$D$5="製造",SUMIF('内訳ﾘｽﾄ(4～3月)'!$D$8:$D$15,$B69,'内訳ﾘｽﾄ(4～3月)'!J$8:J$15),IF('内訳ﾘｽﾄ(4～3月)'!$D$5="部内間接",-G$68,0))</f>
        <v>-1453.5</v>
      </c>
      <c r="H69" s="163">
        <f>IF('内訳ﾘｽﾄ(4～3月)'!$D$5="製造",SUMIF('内訳ﾘｽﾄ(4～3月)'!$D$8:$D$15,$B69,'内訳ﾘｽﾄ(4～3月)'!K$8:K$15),IF('内訳ﾘｽﾄ(4～3月)'!$D$5="部内間接",-H$68,0))</f>
        <v>-1377</v>
      </c>
      <c r="I69" s="163">
        <f>IF('内訳ﾘｽﾄ(4～3月)'!$D$5="製造",SUMIF('内訳ﾘｽﾄ(4～3月)'!$D$8:$D$15,$B69,'内訳ﾘｽﾄ(4～3月)'!L$8:L$15),IF('内訳ﾘｽﾄ(4～3月)'!$D$5="部内間接",-I$68,0))</f>
        <v>-1683</v>
      </c>
      <c r="J69" s="163">
        <f>IF('内訳ﾘｽﾄ(4～3月)'!$D$5="製造",SUMIF('内訳ﾘｽﾄ(4～3月)'!$D$8:$D$15,$B69,'内訳ﾘｽﾄ(4～3月)'!M$8:M$15),IF('内訳ﾘｽﾄ(4～3月)'!$D$5="部内間接",-J$68,0))</f>
        <v>-1292</v>
      </c>
      <c r="K69" s="163">
        <f>IF('内訳ﾘｽﾄ(4～3月)'!$D$5="製造",SUMIF('内訳ﾘｽﾄ(4～3月)'!$D$8:$D$15,$B69,'内訳ﾘｽﾄ(4～3月)'!N$8:N$15),IF('内訳ﾘｽﾄ(4～3月)'!$D$5="部内間接",-K$68,0))</f>
        <v>-1428</v>
      </c>
      <c r="L69" s="163">
        <f>IF('内訳ﾘｽﾄ(4～3月)'!$D$5="製造",SUMIF('内訳ﾘｽﾄ(4～3月)'!$D$8:$D$15,$B69,'内訳ﾘｽﾄ(4～3月)'!O$8:O$15),IF('内訳ﾘｽﾄ(4～3月)'!$D$5="部内間接",-L$68,0))</f>
        <v>-1130.5</v>
      </c>
      <c r="M69" s="163">
        <f>IF('内訳ﾘｽﾄ(4～3月)'!$D$5="製造",SUMIF('内訳ﾘｽﾄ(4～3月)'!$D$8:$D$15,$B69,'内訳ﾘｽﾄ(4～3月)'!P$8:P$15),IF('内訳ﾘｽﾄ(4～3月)'!$D$5="部内間接",-M$68,0))</f>
        <v>-833</v>
      </c>
      <c r="N69" s="163">
        <f>IF('内訳ﾘｽﾄ(4～3月)'!$D$5="製造",SUMIF('内訳ﾘｽﾄ(4～3月)'!$D$8:$D$15,$B69,'内訳ﾘｽﾄ(4～3月)'!Q$8:Q$15),IF('内訳ﾘｽﾄ(4～3月)'!$D$5="部内間接",-N$68,0))</f>
        <v>-1130.5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-16371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0</v>
      </c>
      <c r="G74" s="162">
        <f>SUMIF('内訳ﾘｽﾄ(4～3月)'!$D$16:$D$23,'採算表(VND)'!$B74,'内訳ﾘｽﾄ(4～3月)'!J$16:J$23)</f>
        <v>0</v>
      </c>
      <c r="H74" s="162">
        <f>SUMIF('内訳ﾘｽﾄ(4～3月)'!$D$16:$D$23,'採算表(VND)'!$B74,'内訳ﾘｽﾄ(4～3月)'!K$16:K$23)</f>
        <v>0</v>
      </c>
      <c r="I74" s="162">
        <f>SUMIF('内訳ﾘｽﾄ(4～3月)'!$D$16:$D$23,'採算表(VND)'!$B74,'内訳ﾘｽﾄ(4～3月)'!L$16:L$23)</f>
        <v>0</v>
      </c>
      <c r="J74" s="162">
        <f>SUMIF('内訳ﾘｽﾄ(4～3月)'!$D$16:$D$23,'採算表(VND)'!$B74,'内訳ﾘｽﾄ(4～3月)'!M$16:M$23)</f>
        <v>0</v>
      </c>
      <c r="K74" s="162">
        <f>SUMIF('内訳ﾘｽﾄ(4～3月)'!$D$16:$D$23,'採算表(VND)'!$B74,'内訳ﾘｽﾄ(4～3月)'!N$16:N$23)</f>
        <v>0</v>
      </c>
      <c r="L74" s="162">
        <f>SUMIF('内訳ﾘｽﾄ(4～3月)'!$D$16:$D$23,'採算表(VND)'!$B74,'内訳ﾘｽﾄ(4～3月)'!O$16:O$23)</f>
        <v>0</v>
      </c>
      <c r="M74" s="162">
        <f>SUMIF('内訳ﾘｽﾄ(4～3月)'!$D$16:$D$23,'採算表(VND)'!$B74,'内訳ﾘｽﾄ(4～3月)'!P$16:P$23)</f>
        <v>0</v>
      </c>
      <c r="N74" s="162">
        <f>SUMIF('内訳ﾘｽﾄ(4～3月)'!$D$16:$D$23,'採算表(VND)'!$B74,'内訳ﾘｽﾄ(4～3月)'!Q$16:Q$23)</f>
        <v>0</v>
      </c>
      <c r="O74" s="162">
        <f>SUMIF('内訳ﾘｽﾄ(4～3月)'!$D$16:$D$23,'採算表(VND)'!$B74,'内訳ﾘｽﾄ(4～3月)'!$R$16:$R$23)</f>
        <v>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9</v>
      </c>
      <c r="D88" s="150">
        <f>SUMIF('内訳ﾘｽﾄ(4～3月)'!$D$24:$D$25,'採算表(VND)'!$B88,'内訳ﾘｽﾄ(4～3月)'!G$24:G$25)</f>
        <v>9</v>
      </c>
      <c r="E88" s="150">
        <f>SUMIF('内訳ﾘｽﾄ(4～3月)'!$D$24:$D$25,'採算表(VND)'!$B88,'内訳ﾘｽﾄ(4～3月)'!H$24:H$25)</f>
        <v>9</v>
      </c>
      <c r="F88" s="150">
        <f>SUMIF('内訳ﾘｽﾄ(4～3月)'!$D$24:$D$25,'採算表(VND)'!$B88,'内訳ﾘｽﾄ(4～3月)'!I$24:I$25)</f>
        <v>9</v>
      </c>
      <c r="G88" s="150">
        <f>SUMIF('内訳ﾘｽﾄ(4～3月)'!$D$24:$D$25,'採算表(VND)'!$B88,'内訳ﾘｽﾄ(4～3月)'!J$24:J$25)</f>
        <v>9</v>
      </c>
      <c r="H88" s="150">
        <f>SUMIF('内訳ﾘｽﾄ(4～3月)'!$D$24:$D$25,'採算表(VND)'!$B88,'内訳ﾘｽﾄ(4～3月)'!K$24:K$25)</f>
        <v>9</v>
      </c>
      <c r="I88" s="150">
        <f>SUMIF('内訳ﾘｽﾄ(4～3月)'!$D$24:$D$25,'採算表(VND)'!$B88,'内訳ﾘｽﾄ(4～3月)'!L$24:L$25)</f>
        <v>9</v>
      </c>
      <c r="J88" s="150">
        <f>SUMIF('内訳ﾘｽﾄ(4～3月)'!$D$24:$D$25,'採算表(VND)'!$B88,'内訳ﾘｽﾄ(4～3月)'!M$24:M$25)</f>
        <v>9</v>
      </c>
      <c r="K88" s="150">
        <f>SUMIF('内訳ﾘｽﾄ(4～3月)'!$D$24:$D$25,'採算表(VND)'!$B88,'内訳ﾘｽﾄ(4～3月)'!N$24:N$25)</f>
        <v>9</v>
      </c>
      <c r="L88" s="150">
        <f>SUMIF('内訳ﾘｽﾄ(4～3月)'!$D$24:$D$25,'採算表(VND)'!$B88,'内訳ﾘｽﾄ(4～3月)'!O$24:O$25)</f>
        <v>9</v>
      </c>
      <c r="M88" s="150">
        <f>SUMIF('内訳ﾘｽﾄ(4～3月)'!$D$24:$D$25,'採算表(VND)'!$B88,'内訳ﾘｽﾄ(4～3月)'!P$24:P$25)</f>
        <v>9</v>
      </c>
      <c r="N88" s="150">
        <f>SUMIF('内訳ﾘｽﾄ(4～3月)'!$D$24:$D$25,'採算表(VND)'!$B88,'内訳ﾘｽﾄ(4～3月)'!Q$24:Q$25)</f>
        <v>9</v>
      </c>
      <c r="O88" s="150">
        <f>SUMIF('内訳ﾘｽﾄ(4～3月)'!$D$24:$D$25,'採算表(VND)'!$B88,'内訳ﾘｽﾄ(4～3月)'!R$24:R$25)</f>
        <v>9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9</v>
      </c>
      <c r="D89" s="151">
        <f t="shared" si="10"/>
        <v>9</v>
      </c>
      <c r="E89" s="151">
        <f t="shared" si="10"/>
        <v>9</v>
      </c>
      <c r="F89" s="151">
        <f t="shared" si="10"/>
        <v>9</v>
      </c>
      <c r="G89" s="151">
        <f t="shared" si="10"/>
        <v>9</v>
      </c>
      <c r="H89" s="151">
        <f t="shared" si="10"/>
        <v>9</v>
      </c>
      <c r="I89" s="151">
        <f t="shared" si="10"/>
        <v>9</v>
      </c>
      <c r="J89" s="151">
        <f t="shared" si="10"/>
        <v>9</v>
      </c>
      <c r="K89" s="151">
        <f t="shared" si="10"/>
        <v>9</v>
      </c>
      <c r="L89" s="151">
        <f t="shared" si="10"/>
        <v>9</v>
      </c>
      <c r="M89" s="151">
        <f t="shared" si="10"/>
        <v>9</v>
      </c>
      <c r="N89" s="151">
        <f t="shared" si="10"/>
        <v>9</v>
      </c>
      <c r="O89" s="151">
        <f>O87+O88</f>
        <v>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1453.5</v>
      </c>
      <c r="D93" s="161">
        <f>SUMIF('内訳ﾘｽﾄ(4～3月)'!$B$8:$B$15,$B93,'内訳ﾘｽﾄ(4～3月)'!G$8:G$15)</f>
        <v>1377</v>
      </c>
      <c r="E93" s="161">
        <f>SUMIF('内訳ﾘｽﾄ(4～3月)'!$B$8:$B$15,$B93,'内訳ﾘｽﾄ(4～3月)'!H$8:H$15)</f>
        <v>1530</v>
      </c>
      <c r="F93" s="161">
        <f>SUMIF('内訳ﾘｽﾄ(4～3月)'!$B$8:$B$15,$B93,'内訳ﾘｽﾄ(4～3月)'!I$8:I$15)</f>
        <v>1683</v>
      </c>
      <c r="G93" s="161">
        <f>SUMIF('内訳ﾘｽﾄ(4～3月)'!$B$8:$B$15,$B93,'内訳ﾘｽﾄ(4～3月)'!J$8:J$15)</f>
        <v>1453.5</v>
      </c>
      <c r="H93" s="161">
        <f>SUMIF('内訳ﾘｽﾄ(4～3月)'!$B$8:$B$15,$B93,'内訳ﾘｽﾄ(4～3月)'!K$8:K$15)</f>
        <v>1377</v>
      </c>
      <c r="I93" s="161">
        <f>SUMIF('内訳ﾘｽﾄ(4～3月)'!$B$8:$B$15,$B93,'内訳ﾘｽﾄ(4～3月)'!L$8:L$15)</f>
        <v>1683</v>
      </c>
      <c r="J93" s="161">
        <f>SUMIF('内訳ﾘｽﾄ(4～3月)'!$B$8:$B$15,$B93,'内訳ﾘｽﾄ(4～3月)'!M$8:M$15)</f>
        <v>1292</v>
      </c>
      <c r="K93" s="161">
        <f>SUMIF('内訳ﾘｽﾄ(4～3月)'!$B$8:$B$15,$B93,'内訳ﾘｽﾄ(4～3月)'!N$8:N$15)</f>
        <v>1428</v>
      </c>
      <c r="L93" s="161">
        <f>SUMIF('内訳ﾘｽﾄ(4～3月)'!$B$8:$B$15,$B93,'内訳ﾘｽﾄ(4～3月)'!O$8:O$15)</f>
        <v>1130.5</v>
      </c>
      <c r="M93" s="161">
        <f>SUMIF('内訳ﾘｽﾄ(4～3月)'!$B$8:$B$15,$B93,'内訳ﾘｽﾄ(4～3月)'!P$8:P$15)</f>
        <v>833</v>
      </c>
      <c r="N93" s="161">
        <f>SUMIF('内訳ﾘｽﾄ(4～3月)'!$B$8:$B$15,$B93,'内訳ﾘｽﾄ(4～3月)'!Q$8:Q$15)</f>
        <v>1130.5</v>
      </c>
      <c r="O93" s="161">
        <f>SUMIF('内訳ﾘｽﾄ(4～3月)'!$B$8:$B$15,$B93,'内訳ﾘｽﾄ(4～3月)'!R$8:R$15)</f>
        <v>16371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1453.5</v>
      </c>
      <c r="D94" s="169">
        <f t="shared" si="11"/>
        <v>1377</v>
      </c>
      <c r="E94" s="169">
        <f t="shared" si="11"/>
        <v>1530</v>
      </c>
      <c r="F94" s="169">
        <f t="shared" si="11"/>
        <v>1683</v>
      </c>
      <c r="G94" s="169">
        <f t="shared" si="11"/>
        <v>1453.5</v>
      </c>
      <c r="H94" s="169">
        <f t="shared" si="11"/>
        <v>1377</v>
      </c>
      <c r="I94" s="169">
        <f t="shared" si="11"/>
        <v>1683</v>
      </c>
      <c r="J94" s="169">
        <f t="shared" si="11"/>
        <v>1292</v>
      </c>
      <c r="K94" s="169">
        <f t="shared" si="11"/>
        <v>1428</v>
      </c>
      <c r="L94" s="169">
        <f t="shared" si="11"/>
        <v>1130.5</v>
      </c>
      <c r="M94" s="169">
        <f t="shared" si="11"/>
        <v>833</v>
      </c>
      <c r="N94" s="169">
        <f t="shared" si="11"/>
        <v>1130.5</v>
      </c>
      <c r="O94" s="169">
        <f>O92+O93</f>
        <v>16371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0</v>
      </c>
      <c r="G98" s="161">
        <f>SUMIF('内訳ﾘｽﾄ(4～3月)'!$B$16:$B$23,$B98,'内訳ﾘｽﾄ(4～3月)'!J$16:J$23)</f>
        <v>0</v>
      </c>
      <c r="H98" s="161">
        <f>SUMIF('内訳ﾘｽﾄ(4～3月)'!$B$16:$B$23,$B98,'内訳ﾘｽﾄ(4～3月)'!K$16:K$23)</f>
        <v>0</v>
      </c>
      <c r="I98" s="161">
        <f>SUMIF('内訳ﾘｽﾄ(4～3月)'!$B$16:$B$23,$B98,'内訳ﾘｽﾄ(4～3月)'!L$16:L$23)</f>
        <v>0</v>
      </c>
      <c r="J98" s="161">
        <f>SUMIF('内訳ﾘｽﾄ(4～3月)'!$B$16:$B$23,$B98,'内訳ﾘｽﾄ(4～3月)'!M$16:M$23)</f>
        <v>0</v>
      </c>
      <c r="K98" s="161">
        <f>SUMIF('内訳ﾘｽﾄ(4～3月)'!$B$16:$B$23,$B98,'内訳ﾘｽﾄ(4～3月)'!N$16:N$23)</f>
        <v>0</v>
      </c>
      <c r="L98" s="161">
        <f>SUMIF('内訳ﾘｽﾄ(4～3月)'!$B$16:$B$23,$B98,'内訳ﾘｽﾄ(4～3月)'!O$16:O$23)</f>
        <v>0</v>
      </c>
      <c r="M98" s="161">
        <f>SUMIF('内訳ﾘｽﾄ(4～3月)'!$B$16:$B$23,$B98,'内訳ﾘｽﾄ(4～3月)'!P$16:P$23)</f>
        <v>0</v>
      </c>
      <c r="N98" s="161">
        <f>SUMIF('内訳ﾘｽﾄ(4～3月)'!$B$16:$B$23,$B98,'内訳ﾘｽﾄ(4～3月)'!Q$16:Q$23)</f>
        <v>0</v>
      </c>
      <c r="O98" s="161">
        <f>SUMIF('内訳ﾘｽﾄ(4～3月)'!$B$16:$B$23,$B98,'内訳ﾘｽﾄ(4～3月)'!R$16:R$23)</f>
        <v>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0</v>
      </c>
      <c r="G99" s="169">
        <f t="shared" si="12"/>
        <v>0</v>
      </c>
      <c r="H99" s="169">
        <f t="shared" si="12"/>
        <v>0</v>
      </c>
      <c r="I99" s="169">
        <f t="shared" si="12"/>
        <v>0</v>
      </c>
      <c r="J99" s="169">
        <f t="shared" si="12"/>
        <v>0</v>
      </c>
      <c r="K99" s="169">
        <f t="shared" si="12"/>
        <v>0</v>
      </c>
      <c r="L99" s="169">
        <f t="shared" si="12"/>
        <v>0</v>
      </c>
      <c r="M99" s="169">
        <f t="shared" si="12"/>
        <v>0</v>
      </c>
      <c r="N99" s="169">
        <f t="shared" si="12"/>
        <v>0</v>
      </c>
      <c r="O99" s="169">
        <f>O97+O98</f>
        <v>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5FB4FECE-D966-4BCA-AC22-982E797F7A67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8968-A440-4799-97E1-CB9EBC723554}">
  <sheetPr codeName="Sheet3">
    <tabColor indexed="13"/>
  </sheetPr>
  <dimension ref="A1:BC1000"/>
  <sheetViews>
    <sheetView tabSelected="1" zoomScaleNormal="100" workbookViewId="0">
      <pane xSplit="4" ySplit="7" topLeftCell="N97" activePane="bottomRight" state="frozen"/>
      <selection pane="topRight" activeCell="E1" sqref="E1"/>
      <selection pane="bottomLeft" activeCell="A8" sqref="A8"/>
      <selection pane="bottomRight" activeCell="R110" sqref="R110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1412000087</v>
      </c>
      <c r="C5" s="7" t="str">
        <f>VLOOKUP($B$5,原価センタ!$A:$E,2,0)</f>
        <v>部品製造管理課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SUM(F29:F1000)</f>
        <v>42475816</v>
      </c>
      <c r="G5" s="252">
        <f t="shared" si="0"/>
        <v>53031730</v>
      </c>
      <c r="H5" s="252">
        <f t="shared" si="0"/>
        <v>38737598</v>
      </c>
      <c r="I5" s="252">
        <f t="shared" si="0"/>
        <v>39572340</v>
      </c>
      <c r="J5" s="252">
        <f t="shared" si="0"/>
        <v>39271599</v>
      </c>
      <c r="K5" s="252">
        <f t="shared" si="0"/>
        <v>39555905</v>
      </c>
      <c r="L5" s="252">
        <f t="shared" si="0"/>
        <v>24666711</v>
      </c>
      <c r="M5" s="252">
        <f t="shared" si="0"/>
        <v>24161672</v>
      </c>
      <c r="N5" s="252">
        <f t="shared" si="0"/>
        <v>25292580</v>
      </c>
      <c r="O5" s="252">
        <f t="shared" si="0"/>
        <v>22564840</v>
      </c>
      <c r="P5" s="252">
        <f t="shared" si="0"/>
        <v>23338222</v>
      </c>
      <c r="Q5" s="252">
        <f t="shared" si="0"/>
        <v>24566925</v>
      </c>
      <c r="R5" s="253">
        <f t="shared" si="0"/>
        <v>397235938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5">
        <f t="shared" ref="R9:R23" si="1">SUM(F9:Q9)</f>
        <v>0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>
        <v>1453.5</v>
      </c>
      <c r="G11" s="194">
        <v>1377</v>
      </c>
      <c r="H11" s="194">
        <v>1530</v>
      </c>
      <c r="I11" s="194">
        <v>1683</v>
      </c>
      <c r="J11" s="194">
        <v>1453.5</v>
      </c>
      <c r="K11" s="194">
        <v>1377</v>
      </c>
      <c r="L11" s="194">
        <v>1683</v>
      </c>
      <c r="M11" s="194">
        <v>1292</v>
      </c>
      <c r="N11" s="194">
        <v>1428</v>
      </c>
      <c r="O11" s="194">
        <v>1130.5</v>
      </c>
      <c r="P11" s="194">
        <v>833</v>
      </c>
      <c r="Q11" s="194">
        <v>1130.5</v>
      </c>
      <c r="R11" s="205">
        <f t="shared" si="1"/>
        <v>16371</v>
      </c>
      <c r="S11" s="206" t="s">
        <v>692</v>
      </c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693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693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693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693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205">
        <f t="shared" si="1"/>
        <v>0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>
        <v>0</v>
      </c>
      <c r="G19" s="216">
        <v>0</v>
      </c>
      <c r="H19" s="216">
        <v>0</v>
      </c>
      <c r="I19" s="216">
        <v>0</v>
      </c>
      <c r="J19" s="216">
        <v>0</v>
      </c>
      <c r="K19" s="216">
        <v>0</v>
      </c>
      <c r="L19" s="216">
        <v>0</v>
      </c>
      <c r="M19" s="216">
        <v>0</v>
      </c>
      <c r="N19" s="216">
        <v>0</v>
      </c>
      <c r="O19" s="216">
        <v>0</v>
      </c>
      <c r="P19" s="216">
        <v>0</v>
      </c>
      <c r="Q19" s="216">
        <v>0</v>
      </c>
      <c r="R19" s="216">
        <f t="shared" si="1"/>
        <v>0</v>
      </c>
      <c r="S19" s="206" t="s">
        <v>694</v>
      </c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693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693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693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693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9</v>
      </c>
      <c r="G25" s="271">
        <v>9</v>
      </c>
      <c r="H25" s="271">
        <v>9</v>
      </c>
      <c r="I25" s="271">
        <v>9</v>
      </c>
      <c r="J25" s="271">
        <v>9</v>
      </c>
      <c r="K25" s="271">
        <v>9</v>
      </c>
      <c r="L25" s="271">
        <v>9</v>
      </c>
      <c r="M25" s="271">
        <v>9</v>
      </c>
      <c r="N25" s="271">
        <v>9</v>
      </c>
      <c r="O25" s="271">
        <v>9</v>
      </c>
      <c r="P25" s="271">
        <v>9</v>
      </c>
      <c r="Q25" s="271">
        <v>9</v>
      </c>
      <c r="R25" s="272">
        <f>Q25</f>
        <v>9</v>
      </c>
      <c r="S25" s="273" t="s">
        <v>695</v>
      </c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693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693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693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693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9114120006</v>
      </c>
      <c r="C38" s="183" t="str">
        <f>IFERROR(IF(VLOOKUP($B38,勘定科目!$A:$H,HLOOKUP($E$5,勘定科目!$F$1:$H$2,2,0),0)="","",VLOOKUP($B38,勘定科目!$A:$E,2,0)),"")</f>
        <v>材料費(指図出庫）</v>
      </c>
      <c r="D38" s="239" t="str">
        <f>IF(C38="","",VLOOKUP($B38,勘定科目!$A:$E,4,0))</f>
        <v>材料費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3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/>
      <c r="C39" s="183" t="str">
        <f>IFERROR(IF(VLOOKUP($B39,勘定科目!$A:$H,HLOOKUP($E$5,勘定科目!$F$1:$H$2,2,0),0)="","",VLOOKUP($B39,勘定科目!$A:$E,2,0)),"")</f>
        <v/>
      </c>
      <c r="D39" s="239" t="str">
        <f>IF(C39="","",VLOOKUP($B39,勘定科目!$A:$E,4,0))</f>
        <v/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/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5006016244</v>
      </c>
      <c r="C40" s="183" t="str">
        <f>IFERROR(IF(VLOOKUP($B40,勘定科目!$A:$H,HLOOKUP($E$5,勘定科目!$F$1:$H$2,2,0),0)="","",VLOOKUP($B40,勘定科目!$A:$E,2,0)),"")</f>
        <v>減価償却費（製）　工具器具備品</v>
      </c>
      <c r="D40" s="239" t="str">
        <f>IF(C40="","",VLOOKUP($B40,勘定科目!$A:$E,4,0))</f>
        <v>減価償却費</v>
      </c>
      <c r="E40" s="245"/>
      <c r="F40" s="194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00">
        <f t="shared" si="3"/>
        <v>0</v>
      </c>
      <c r="S40" s="201"/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5006016242</v>
      </c>
      <c r="C41" s="183" t="str">
        <f>IFERROR(IF(VLOOKUP($B41,勘定科目!$A:$H,HLOOKUP($E$5,勘定科目!$F$1:$H$2,2,0),0)="","",VLOOKUP($B41,勘定科目!$A:$E,2,0)),"")</f>
        <v>減価償却費（製）　機械装置</v>
      </c>
      <c r="D41" s="239" t="str">
        <f>IF(C41="","",VLOOKUP($B41,勘定科目!$A:$E,4,0))</f>
        <v>減価償却費</v>
      </c>
      <c r="E41" s="245"/>
      <c r="F41" s="194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00">
        <f t="shared" si="3"/>
        <v>0</v>
      </c>
      <c r="S41" s="201"/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5006016260</v>
      </c>
      <c r="C42" s="183" t="str">
        <f>IFERROR(IF(VLOOKUP($B42,勘定科目!$A:$H,HLOOKUP($E$5,勘定科目!$F$1:$H$2,2,0),0)="","",VLOOKUP($B42,勘定科目!$A:$E,2,0)),"")</f>
        <v>減価償却費配賦（製）　建物</v>
      </c>
      <c r="D42" s="239" t="str">
        <f>IF(C42="","",VLOOKUP($B42,勘定科目!$A:$E,4,0))</f>
        <v>減価償却費</v>
      </c>
      <c r="E42" s="245"/>
      <c r="F42" s="194">
        <f>ROUNDUP(113.45*$B$2,0)</f>
        <v>2880496</v>
      </c>
      <c r="G42" s="194">
        <f>ROUNDUP(112.92*$B$2,0)</f>
        <v>2867039</v>
      </c>
      <c r="H42" s="194">
        <f>ROUNDUP(113.05*$B$2,0)</f>
        <v>2870340</v>
      </c>
      <c r="I42" s="194">
        <f>ROUNDUP(110.39*$B$2,0)</f>
        <v>2802803</v>
      </c>
      <c r="J42" s="194">
        <f>ROUNDUP(109.24*$B$2,0)</f>
        <v>2773604</v>
      </c>
      <c r="K42" s="194">
        <f>ROUNDUP(106.09*$B$2,0)</f>
        <v>2693626</v>
      </c>
      <c r="L42" s="194">
        <f>ROUNDUP(103.12*$B$2,0)</f>
        <v>2618217</v>
      </c>
      <c r="M42" s="194">
        <f>ROUNDUP(103.06*$B$2,0)</f>
        <v>2616694</v>
      </c>
      <c r="N42" s="194">
        <f>ROUNDUP(103.14*$B$2,0)</f>
        <v>2618725</v>
      </c>
      <c r="O42" s="194">
        <f>ROUNDUP(102.59*$B$2,0)</f>
        <v>2604761</v>
      </c>
      <c r="P42" s="194">
        <f>ROUNDUP(100.8*$B$2,0)</f>
        <v>2559312</v>
      </c>
      <c r="Q42" s="194">
        <f>ROUNDUP(102.21*$B$2,0)</f>
        <v>2595112</v>
      </c>
      <c r="R42" s="200">
        <f t="shared" si="3"/>
        <v>32500729</v>
      </c>
      <c r="S42" s="201" t="s">
        <v>696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5006016261</v>
      </c>
      <c r="C43" s="183" t="str">
        <f>IFERROR(IF(VLOOKUP($B43,勘定科目!$A:$H,HLOOKUP($E$5,勘定科目!$F$1:$H$2,2,0),0)="","",VLOOKUP($B43,勘定科目!$A:$E,2,0)),"")</f>
        <v>減価償却費配賦（製）　土地使用権</v>
      </c>
      <c r="D43" s="239" t="str">
        <f>IF(C43="","",VLOOKUP($B43,勘定科目!$A:$E,4,0))</f>
        <v>減価償却費</v>
      </c>
      <c r="E43" s="245"/>
      <c r="F43" s="194">
        <f>ROUNDUP(7.66*$B$2,0)</f>
        <v>194488</v>
      </c>
      <c r="G43" s="194">
        <f>ROUNDUP(7.62*$B$2,0)</f>
        <v>193472</v>
      </c>
      <c r="H43" s="194">
        <f>ROUNDUP(7.63*$B$2,0)</f>
        <v>193726</v>
      </c>
      <c r="I43" s="194">
        <f>ROUNDUP(7.45*$B$2,0)</f>
        <v>189156</v>
      </c>
      <c r="J43" s="194">
        <f>ROUNDUP(7.37*$B$2,0)</f>
        <v>187125</v>
      </c>
      <c r="K43" s="194">
        <f>ROUNDUP(7.16*$B$2,0)</f>
        <v>181793</v>
      </c>
      <c r="L43" s="194">
        <f>ROUNDUP(6.96*$B$2,0)</f>
        <v>176715</v>
      </c>
      <c r="M43" s="194">
        <f>ROUNDUP(6.96*$B$2,0)</f>
        <v>176715</v>
      </c>
      <c r="N43" s="194">
        <f>ROUNDUP(6.96*$B$2,0)</f>
        <v>176715</v>
      </c>
      <c r="O43" s="194">
        <f>ROUNDUP(6.92*$B$2,0)</f>
        <v>175699</v>
      </c>
      <c r="P43" s="194">
        <f>ROUNDUP(6.8*$B$2,0)</f>
        <v>172652</v>
      </c>
      <c r="Q43" s="194">
        <f>ROUNDUP(6.9*$B$2,0)</f>
        <v>175191</v>
      </c>
      <c r="R43" s="200">
        <f t="shared" si="3"/>
        <v>2193447</v>
      </c>
      <c r="S43" s="201" t="s">
        <v>697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5006016257</v>
      </c>
      <c r="C44" s="183" t="str">
        <f>IFERROR(IF(VLOOKUP($B44,勘定科目!$A:$H,HLOOKUP($E$5,勘定科目!$F$1:$H$2,2,0),0)="","",VLOOKUP($B44,勘定科目!$A:$E,2,0)),"")</f>
        <v>減価償却費（製）　ソフトウェア</v>
      </c>
      <c r="D44" s="239" t="str">
        <f>IF(C44="","",VLOOKUP($B44,勘定科目!$A:$E,4,0))</f>
        <v>減価償却費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3"/>
        <v>0</v>
      </c>
      <c r="S44" s="201"/>
      <c r="T44" s="202"/>
      <c r="U44" s="246"/>
      <c r="V44" s="246"/>
      <c r="W44" s="246"/>
      <c r="BA44"/>
      <c r="BB44"/>
    </row>
    <row r="45" spans="1:54" s="191" customFormat="1" ht="13.5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201"/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9114120007</v>
      </c>
      <c r="C46" s="183" t="str">
        <f>IFERROR(IF(VLOOKUP($B46,勘定科目!$A:$H,HLOOKUP($E$5,勘定科目!$F$1:$H$2,2,0),0)="","",VLOOKUP($B46,勘定科目!$A:$E,2,0)),"")</f>
        <v>社内金利（固定資産）</v>
      </c>
      <c r="D46" s="239" t="str">
        <f>IF(C46="","",VLOOKUP($B46,勘定科目!$A:$E,4,0))</f>
        <v>固定資産金利</v>
      </c>
      <c r="E46" s="245"/>
      <c r="F46" s="194">
        <f>ROUNDUP(86.53*$B$2,0)</f>
        <v>2196997</v>
      </c>
      <c r="G46" s="194">
        <f>ROUNDUP(81.79*$B$2,0)</f>
        <v>2076649</v>
      </c>
      <c r="H46" s="194">
        <f>ROUNDUP(81.88*$B$2,0)</f>
        <v>2078934</v>
      </c>
      <c r="I46" s="194">
        <f>ROUNDUP(79.95*$B$2,0)</f>
        <v>2029931</v>
      </c>
      <c r="J46" s="194">
        <f>ROUNDUP(79.11*$B$2,0)</f>
        <v>2008603</v>
      </c>
      <c r="K46" s="194">
        <f>ROUNDUP(76.84*$B$2,0)</f>
        <v>1950968</v>
      </c>
      <c r="L46" s="194">
        <f>ROUNDUP(74.68*$B$2,0)</f>
        <v>1896126</v>
      </c>
      <c r="M46" s="194">
        <f>ROUNDUP(74.64*$B$2,0)</f>
        <v>1895110</v>
      </c>
      <c r="N46" s="194">
        <f>ROUNDUP(74.71*$B$2,0)</f>
        <v>1896887</v>
      </c>
      <c r="O46" s="194">
        <f>ROUNDUP(74.3*$B$2,0)</f>
        <v>1886477</v>
      </c>
      <c r="P46" s="194">
        <f>ROUNDUP(73*$B$2,0)</f>
        <v>1853470</v>
      </c>
      <c r="Q46" s="194">
        <f>ROUNDUP(74.03*$B$2,0)</f>
        <v>1879622</v>
      </c>
      <c r="R46" s="200">
        <f t="shared" si="3"/>
        <v>23649774</v>
      </c>
      <c r="S46" s="201" t="s">
        <v>698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9114120007</v>
      </c>
      <c r="C47" s="183" t="str">
        <f>IFERROR(IF(VLOOKUP($B47,勘定科目!$A:$H,HLOOKUP($E$5,勘定科目!$F$1:$H$2,2,0),0)="","",VLOOKUP($B47,勘定科目!$A:$E,2,0)),"")</f>
        <v>社内金利（固定資産）</v>
      </c>
      <c r="D47" s="239" t="str">
        <f>IF(C47="","",VLOOKUP($B47,勘定科目!$A:$E,4,0))</f>
        <v>固定資産金利</v>
      </c>
      <c r="E47" s="245"/>
      <c r="F47" s="194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00">
        <f t="shared" si="3"/>
        <v>0</v>
      </c>
      <c r="S47" s="201"/>
      <c r="T47" s="202"/>
      <c r="U47" s="246"/>
      <c r="V47" s="246"/>
      <c r="W47" s="246"/>
      <c r="BA47"/>
      <c r="BB47"/>
    </row>
    <row r="48" spans="1:54" s="191" customFormat="1" ht="13.5">
      <c r="A48" s="226"/>
      <c r="B48" s="180"/>
      <c r="C48" s="183" t="str">
        <f>IFERROR(IF(VLOOKUP($B48,勘定科目!$A:$H,HLOOKUP($E$5,勘定科目!$F$1:$H$2,2,0),0)="","",VLOOKUP($B48,勘定科目!$A:$E,2,0)),"")</f>
        <v/>
      </c>
      <c r="D48" s="239" t="str">
        <f>IF(C48="","",VLOOKUP($B48,勘定科目!$A:$E,4,0))</f>
        <v/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3"/>
        <v>0</v>
      </c>
      <c r="S48" s="201"/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5005136281</v>
      </c>
      <c r="C49" s="183" t="str">
        <f>IFERROR(IF(VLOOKUP($B49,勘定科目!$A:$H,HLOOKUP($E$5,勘定科目!$F$1:$H$2,2,0),0)="","",VLOOKUP($B49,勘定科目!$A:$E,2,0)),"")</f>
        <v>通信費（製）</v>
      </c>
      <c r="D49" s="239" t="str">
        <f>IF(C49="","",VLOOKUP($B49,勘定科目!$A:$E,4,0))</f>
        <v>通信費</v>
      </c>
      <c r="E49" s="245"/>
      <c r="F49" s="194">
        <v>99000</v>
      </c>
      <c r="G49" s="247">
        <v>99000</v>
      </c>
      <c r="H49" s="247">
        <v>99000</v>
      </c>
      <c r="I49" s="247">
        <v>99000</v>
      </c>
      <c r="J49" s="247">
        <v>99000</v>
      </c>
      <c r="K49" s="247">
        <v>99000</v>
      </c>
      <c r="L49" s="247">
        <v>99000</v>
      </c>
      <c r="M49" s="247">
        <v>99000</v>
      </c>
      <c r="N49" s="247">
        <v>99000</v>
      </c>
      <c r="O49" s="247">
        <v>99000</v>
      </c>
      <c r="P49" s="247">
        <v>99000</v>
      </c>
      <c r="Q49" s="247">
        <v>99000</v>
      </c>
      <c r="R49" s="200">
        <f t="shared" si="3"/>
        <v>1188000</v>
      </c>
      <c r="S49" s="201" t="s">
        <v>699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5005136291</v>
      </c>
      <c r="C50" s="183" t="str">
        <f>IFERROR(IF(VLOOKUP($B50,勘定科目!$A:$H,HLOOKUP($E$5,勘定科目!$F$1:$H$2,2,0),0)="","",VLOOKUP($B50,勘定科目!$A:$E,2,0)),"")</f>
        <v>郵送代（製）</v>
      </c>
      <c r="D50" s="239" t="str">
        <f>IF(C50="","",VLOOKUP($B50,勘定科目!$A:$E,4,0))</f>
        <v>通信費</v>
      </c>
      <c r="E50" s="245"/>
      <c r="F50" s="194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00">
        <f t="shared" si="3"/>
        <v>0</v>
      </c>
      <c r="S50" s="201" t="s">
        <v>700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/>
      <c r="C51" s="183" t="str">
        <f>IFERROR(IF(VLOOKUP($B51,勘定科目!$A:$H,HLOOKUP($E$5,勘定科目!$F$1:$H$2,2,0),0)="","",VLOOKUP($B51,勘定科目!$A:$E,2,0)),"")</f>
        <v/>
      </c>
      <c r="D51" s="239" t="str">
        <f>IF(C51="","",VLOOKUP($B51,勘定科目!$A:$E,4,0))</f>
        <v/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3"/>
        <v>0</v>
      </c>
      <c r="S51" s="201"/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5005066281</v>
      </c>
      <c r="C52" s="183" t="str">
        <f>IFERROR(IF(VLOOKUP($B52,勘定科目!$A:$H,HLOOKUP($E$5,勘定科目!$F$1:$H$2,2,0),0)="","",VLOOKUP($B52,勘定科目!$A:$E,2,0)),"")</f>
        <v>電気代（製）</v>
      </c>
      <c r="D52" s="239" t="str">
        <f>IF(C52="","",VLOOKUP($B52,勘定科目!$A:$E,4,0))</f>
        <v>水道光熱費</v>
      </c>
      <c r="E52" s="245"/>
      <c r="F52" s="194">
        <v>2418785</v>
      </c>
      <c r="G52" s="247">
        <v>2502955</v>
      </c>
      <c r="H52" s="247">
        <v>3144420</v>
      </c>
      <c r="I52" s="247">
        <v>3386298</v>
      </c>
      <c r="J52" s="247">
        <v>3507238</v>
      </c>
      <c r="K52" s="247">
        <v>3216983</v>
      </c>
      <c r="L52" s="247">
        <v>3144420</v>
      </c>
      <c r="M52" s="247">
        <v>2902541</v>
      </c>
      <c r="N52" s="247">
        <v>2781602</v>
      </c>
      <c r="O52" s="247">
        <v>2539724</v>
      </c>
      <c r="P52" s="247">
        <v>2525111</v>
      </c>
      <c r="Q52" s="247">
        <v>1935028</v>
      </c>
      <c r="R52" s="200">
        <f t="shared" si="3"/>
        <v>34005105</v>
      </c>
      <c r="S52" s="201" t="s">
        <v>701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5005066282</v>
      </c>
      <c r="C53" s="183" t="str">
        <f>IFERROR(IF(VLOOKUP($B53,勘定科目!$A:$H,HLOOKUP($E$5,勘定科目!$F$1:$H$2,2,0),0)="","",VLOOKUP($B53,勘定科目!$A:$E,2,0)),"")</f>
        <v>水道代（製）</v>
      </c>
      <c r="D53" s="239" t="str">
        <f>IF(C53="","",VLOOKUP($B53,勘定科目!$A:$E,4,0))</f>
        <v>水道光熱費</v>
      </c>
      <c r="E53" s="245"/>
      <c r="F53" s="194">
        <v>261568</v>
      </c>
      <c r="G53" s="247">
        <v>289075</v>
      </c>
      <c r="H53" s="247">
        <v>326494</v>
      </c>
      <c r="I53" s="247">
        <v>466257</v>
      </c>
      <c r="J53" s="247">
        <v>417599</v>
      </c>
      <c r="K53" s="247">
        <v>362348</v>
      </c>
      <c r="L53" s="247">
        <v>248218</v>
      </c>
      <c r="M53" s="247">
        <v>345738</v>
      </c>
      <c r="N53" s="247">
        <v>345303</v>
      </c>
      <c r="O53" s="247">
        <v>234148</v>
      </c>
      <c r="P53" s="247">
        <v>175579</v>
      </c>
      <c r="Q53" s="247">
        <v>204003</v>
      </c>
      <c r="R53" s="200">
        <f t="shared" si="3"/>
        <v>3676330</v>
      </c>
      <c r="S53" s="201" t="s">
        <v>702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5005056281</v>
      </c>
      <c r="C54" s="183" t="str">
        <f>IFERROR(IF(VLOOKUP($B54,勘定科目!$A:$H,HLOOKUP($E$5,勘定科目!$F$1:$H$2,2,0),0)="","",VLOOKUP($B54,勘定科目!$A:$E,2,0)),"")</f>
        <v>ガス代（製）</v>
      </c>
      <c r="D54" s="239" t="str">
        <f>IF(C54="","",VLOOKUP($B54,勘定科目!$A:$E,4,0))</f>
        <v>水道光熱費</v>
      </c>
      <c r="E54" s="245"/>
      <c r="F54" s="194">
        <f>9*40366</f>
        <v>363294</v>
      </c>
      <c r="G54" s="247">
        <f>9*39111</f>
        <v>351999</v>
      </c>
      <c r="H54" s="247">
        <f>9*44856</f>
        <v>403704</v>
      </c>
      <c r="I54" s="247">
        <f>9*46929</f>
        <v>422361</v>
      </c>
      <c r="J54" s="247">
        <f>9*42688</f>
        <v>384192</v>
      </c>
      <c r="K54" s="247">
        <f>9*38491</f>
        <v>346419</v>
      </c>
      <c r="L54" s="247">
        <f>9*46977</f>
        <v>422793</v>
      </c>
      <c r="M54" s="247">
        <f>9*41126</f>
        <v>370134</v>
      </c>
      <c r="N54" s="247">
        <f>9*44086</f>
        <v>396774</v>
      </c>
      <c r="O54" s="247">
        <f>9*42459</f>
        <v>382131</v>
      </c>
      <c r="P54" s="247">
        <f>9*32894</f>
        <v>296046</v>
      </c>
      <c r="Q54" s="247">
        <f>9*42542</f>
        <v>382878</v>
      </c>
      <c r="R54" s="200">
        <f t="shared" si="3"/>
        <v>4522725</v>
      </c>
      <c r="S54" s="201" t="s">
        <v>703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/>
      <c r="C55" s="183" t="str">
        <f>IFERROR(IF(VLOOKUP($B55,勘定科目!$A:$H,HLOOKUP($E$5,勘定科目!$F$1:$H$2,2,0),0)="","",VLOOKUP($B55,勘定科目!$A:$E,2,0)),"")</f>
        <v/>
      </c>
      <c r="D55" s="239" t="str">
        <f>IF(C55="","",VLOOKUP($B55,勘定科目!$A:$E,4,0))</f>
        <v/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3"/>
        <v>0</v>
      </c>
      <c r="S55" s="201"/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5005246286</v>
      </c>
      <c r="C56" s="183" t="str">
        <f>IFERROR(IF(VLOOKUP($B56,勘定科目!$A:$H,HLOOKUP($E$5,勘定科目!$F$1:$H$2,2,0),0)="","",VLOOKUP($B56,勘定科目!$A:$E,2,0)),"")</f>
        <v>その他手数料（製）</v>
      </c>
      <c r="D56" s="239" t="str">
        <f>IF(C56="","",VLOOKUP($B56,勘定科目!$A:$E,4,0))</f>
        <v>手数料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3"/>
        <v>0</v>
      </c>
      <c r="S56" s="201"/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5005246286</v>
      </c>
      <c r="C57" s="183" t="str">
        <f>IFERROR(IF(VLOOKUP($B57,勘定科目!$A:$H,HLOOKUP($E$5,勘定科目!$F$1:$H$2,2,0),0)="","",VLOOKUP($B57,勘定科目!$A:$E,2,0)),"")</f>
        <v>その他手数料（製）</v>
      </c>
      <c r="D57" s="239" t="str">
        <f>IF(C57="","",VLOOKUP($B57,勘定科目!$A:$E,4,0))</f>
        <v>手数料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3"/>
        <v>0</v>
      </c>
      <c r="S57" s="201"/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5005246286</v>
      </c>
      <c r="C58" s="183" t="str">
        <f>IFERROR(IF(VLOOKUP($B58,勘定科目!$A:$H,HLOOKUP($E$5,勘定科目!$F$1:$H$2,2,0),0)="","",VLOOKUP($B58,勘定科目!$A:$E,2,0)),"")</f>
        <v>その他手数料（製）</v>
      </c>
      <c r="D58" s="239" t="str">
        <f>IF(C58="","",VLOOKUP($B58,勘定科目!$A:$E,4,0))</f>
        <v>手数料</v>
      </c>
      <c r="E58" s="245"/>
      <c r="F58" s="194">
        <f>56247*9</f>
        <v>506223</v>
      </c>
      <c r="G58" s="247">
        <f>56462*9</f>
        <v>508158</v>
      </c>
      <c r="H58" s="247">
        <f>58201*9</f>
        <v>523809</v>
      </c>
      <c r="I58" s="247">
        <f>53306*9</f>
        <v>479754</v>
      </c>
      <c r="J58" s="247">
        <f>51891*9</f>
        <v>467019</v>
      </c>
      <c r="K58" s="247">
        <f>49590*9</f>
        <v>446310</v>
      </c>
      <c r="L58" s="247">
        <f>47432*9</f>
        <v>426888</v>
      </c>
      <c r="M58" s="247">
        <f>46844*9</f>
        <v>421596</v>
      </c>
      <c r="N58" s="247">
        <f>46977*9</f>
        <v>422793</v>
      </c>
      <c r="O58" s="247">
        <f>44968*9</f>
        <v>404712</v>
      </c>
      <c r="P58" s="247">
        <f>42562*9</f>
        <v>383058</v>
      </c>
      <c r="Q58" s="247">
        <f>44540*9</f>
        <v>400860</v>
      </c>
      <c r="R58" s="200">
        <f t="shared" si="3"/>
        <v>5391180</v>
      </c>
      <c r="S58" s="201" t="s">
        <v>704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>
        <f>2*1374678</f>
        <v>2749356</v>
      </c>
      <c r="G59" s="247">
        <f>2*1586747</f>
        <v>3173494</v>
      </c>
      <c r="H59" s="247">
        <f>2*1418477</f>
        <v>2836954</v>
      </c>
      <c r="I59" s="247">
        <f>2*1487463</f>
        <v>2974926</v>
      </c>
      <c r="J59" s="247">
        <f>2*1588334</f>
        <v>3176668</v>
      </c>
      <c r="K59" s="247">
        <f>2*1593513</f>
        <v>3187026</v>
      </c>
      <c r="L59" s="247">
        <f>2*1194735</f>
        <v>2389470</v>
      </c>
      <c r="M59" s="247">
        <f>2*1452617</f>
        <v>2905234</v>
      </c>
      <c r="N59" s="247">
        <f>2*1465592</f>
        <v>2931184</v>
      </c>
      <c r="O59" s="247">
        <f>2*1378925</f>
        <v>2757850</v>
      </c>
      <c r="P59" s="247">
        <f>2*1253359</f>
        <v>2506718</v>
      </c>
      <c r="Q59" s="247">
        <f>2*1296228</f>
        <v>2592456</v>
      </c>
      <c r="R59" s="200">
        <f t="shared" si="3"/>
        <v>34181336</v>
      </c>
      <c r="S59" s="201" t="s">
        <v>705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/>
      <c r="C60" s="183" t="str">
        <f>IFERROR(IF(VLOOKUP($B60,勘定科目!$A:$H,HLOOKUP($E$5,勘定科目!$F$1:$H$2,2,0),0)="","",VLOOKUP($B60,勘定科目!$A:$E,2,0)),"")</f>
        <v/>
      </c>
      <c r="D60" s="239" t="str">
        <f>IF(C60="","",VLOOKUP($B60,勘定科目!$A:$E,4,0))</f>
        <v/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3"/>
        <v>0</v>
      </c>
      <c r="S60" s="201"/>
      <c r="T60" s="202"/>
      <c r="U60" s="246"/>
      <c r="V60" s="246"/>
      <c r="W60" s="246"/>
      <c r="BA60"/>
      <c r="BB60"/>
    </row>
    <row r="61" spans="1:54" s="191" customFormat="1" ht="13.5">
      <c r="A61" s="226"/>
      <c r="B61" s="180"/>
      <c r="C61" s="183" t="str">
        <f>IFERROR(IF(VLOOKUP($B61,勘定科目!$A:$H,HLOOKUP($E$5,勘定科目!$F$1:$H$2,2,0),0)="","",VLOOKUP($B61,勘定科目!$A:$E,2,0)),"")</f>
        <v/>
      </c>
      <c r="D61" s="239" t="str">
        <f>IF(C61="","",VLOOKUP($B61,勘定科目!$A:$E,4,0))</f>
        <v/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3"/>
        <v>0</v>
      </c>
      <c r="S61" s="201"/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5005016372</v>
      </c>
      <c r="C62" s="183" t="str">
        <f>IFERROR(IF(VLOOKUP($B62,勘定科目!$A:$H,HLOOKUP($E$5,勘定科目!$F$1:$H$2,2,0),0)="","",VLOOKUP($B62,勘定科目!$A:$E,2,0)),"")</f>
        <v>その他消耗品（製）</v>
      </c>
      <c r="D62" s="239" t="str">
        <f>IF(C62="","",VLOOKUP($B62,勘定科目!$A:$E,4,0))</f>
        <v>消耗品費</v>
      </c>
      <c r="E62" s="245"/>
      <c r="F62" s="194">
        <f>9*1122</f>
        <v>10098</v>
      </c>
      <c r="G62" s="247">
        <f>9*1130</f>
        <v>10170</v>
      </c>
      <c r="H62" s="247">
        <f>9*1157</f>
        <v>10413</v>
      </c>
      <c r="I62" s="247">
        <f>9*1113</f>
        <v>10017</v>
      </c>
      <c r="J62" s="247">
        <f>9*1080</f>
        <v>9720</v>
      </c>
      <c r="K62" s="247">
        <f>9*1093</f>
        <v>9837</v>
      </c>
      <c r="L62" s="247">
        <f>9*1131</f>
        <v>10179</v>
      </c>
      <c r="M62" s="247">
        <f>9*1114</f>
        <v>10026</v>
      </c>
      <c r="N62" s="247">
        <f>9*1124</f>
        <v>10116</v>
      </c>
      <c r="O62" s="247">
        <f>9*1128</f>
        <v>10152</v>
      </c>
      <c r="P62" s="247">
        <f>9*1146</f>
        <v>10314</v>
      </c>
      <c r="Q62" s="247">
        <f>9*1085</f>
        <v>9765</v>
      </c>
      <c r="R62" s="200">
        <f t="shared" si="3"/>
        <v>120807</v>
      </c>
      <c r="S62" s="201" t="s">
        <v>706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5005016372</v>
      </c>
      <c r="C63" s="183" t="str">
        <f>IFERROR(IF(VLOOKUP($B63,勘定科目!$A:$H,HLOOKUP($E$5,勘定科目!$F$1:$H$2,2,0),0)="","",VLOOKUP($B63,勘定科目!$A:$E,2,0)),"")</f>
        <v>その他消耗品（製）</v>
      </c>
      <c r="D63" s="239" t="str">
        <f>IF(C63="","",VLOOKUP($B63,勘定科目!$A:$E,4,0))</f>
        <v>消耗品費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3"/>
        <v>0</v>
      </c>
      <c r="S63" s="201" t="s">
        <v>707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5005016372</v>
      </c>
      <c r="C64" s="183" t="str">
        <f>IFERROR(IF(VLOOKUP($B64,勘定科目!$A:$H,HLOOKUP($E$5,勘定科目!$F$1:$H$2,2,0),0)="","",VLOOKUP($B64,勘定科目!$A:$E,2,0)),"")</f>
        <v>その他消耗品（製）</v>
      </c>
      <c r="D64" s="239" t="str">
        <f>IF(C64="","",VLOOKUP($B64,勘定科目!$A:$E,4,0))</f>
        <v>消耗品費</v>
      </c>
      <c r="E64" s="245"/>
      <c r="F64" s="194">
        <f>9*18424</f>
        <v>165816</v>
      </c>
      <c r="G64" s="247">
        <f>9*17736</f>
        <v>159624</v>
      </c>
      <c r="H64" s="247">
        <f>9*19401</f>
        <v>174609</v>
      </c>
      <c r="I64" s="247">
        <f>9*21138</f>
        <v>190242</v>
      </c>
      <c r="J64" s="247">
        <f>9*18404</f>
        <v>165636</v>
      </c>
      <c r="K64" s="247">
        <f>9*17500</f>
        <v>157500</v>
      </c>
      <c r="L64" s="247">
        <f>9*21110</f>
        <v>189990</v>
      </c>
      <c r="M64" s="247">
        <f>9*18421</f>
        <v>165789</v>
      </c>
      <c r="N64" s="247">
        <f>9*20254</f>
        <v>182286</v>
      </c>
      <c r="O64" s="247">
        <f>9*18399</f>
        <v>165591</v>
      </c>
      <c r="P64" s="247">
        <f>9*13863</f>
        <v>124767</v>
      </c>
      <c r="Q64" s="247">
        <f>9*18435</f>
        <v>165915</v>
      </c>
      <c r="R64" s="200">
        <f t="shared" si="3"/>
        <v>2007765</v>
      </c>
      <c r="S64" s="201" t="s">
        <v>708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5005016373</v>
      </c>
      <c r="C65" s="183" t="str">
        <f>IFERROR(IF(VLOOKUP($B65,勘定科目!$A:$H,HLOOKUP($E$5,勘定科目!$F$1:$H$2,2,0),0)="","",VLOOKUP($B65,勘定科目!$A:$E,2,0)),"")</f>
        <v>生産用文房具（製造）</v>
      </c>
      <c r="D65" s="239" t="str">
        <f>IF(C65="","",VLOOKUP($B65,勘定科目!$A:$E,4,0))</f>
        <v>消耗品費</v>
      </c>
      <c r="E65" s="245"/>
      <c r="F65" s="194">
        <f>5500*9+2900*5</f>
        <v>64000</v>
      </c>
      <c r="G65" s="247">
        <f>7200*2</f>
        <v>14400</v>
      </c>
      <c r="H65" s="194">
        <f>5500*9</f>
        <v>49500</v>
      </c>
      <c r="I65" s="247">
        <f>2900*5+7200*2</f>
        <v>28900</v>
      </c>
      <c r="J65" s="194">
        <f>5500*9</f>
        <v>49500</v>
      </c>
      <c r="K65" s="247">
        <f>7200*2</f>
        <v>14400</v>
      </c>
      <c r="L65" s="194">
        <f>5500*9+2900*5</f>
        <v>64000</v>
      </c>
      <c r="M65" s="247">
        <f>7200*2</f>
        <v>14400</v>
      </c>
      <c r="N65" s="194">
        <f>5500*9</f>
        <v>49500</v>
      </c>
      <c r="O65" s="247">
        <f>2900*5+7200*2</f>
        <v>28900</v>
      </c>
      <c r="P65" s="194">
        <f>5500*9</f>
        <v>49500</v>
      </c>
      <c r="Q65" s="247">
        <f>7200*2</f>
        <v>14400</v>
      </c>
      <c r="R65" s="200">
        <f t="shared" si="3"/>
        <v>441400</v>
      </c>
      <c r="S65" s="201" t="s">
        <v>709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5005016371</v>
      </c>
      <c r="C66" s="183" t="str">
        <f>IFERROR(IF(VLOOKUP($B66,勘定科目!$A:$H,HLOOKUP($E$5,勘定科目!$F$1:$H$2,2,0),0)="","",VLOOKUP($B66,勘定科目!$A:$E,2,0)),"")</f>
        <v>生産用消耗品費（製）</v>
      </c>
      <c r="D66" s="239" t="str">
        <f>IF(C66="","",VLOOKUP($B66,勘定科目!$A:$E,4,0))</f>
        <v>消耗品費</v>
      </c>
      <c r="E66" s="245"/>
      <c r="F66" s="194">
        <f>27000*10</f>
        <v>270000</v>
      </c>
      <c r="G66" s="247"/>
      <c r="H66" s="194">
        <f>27000*10</f>
        <v>270000</v>
      </c>
      <c r="I66" s="247"/>
      <c r="J66" s="194">
        <f>27000*10</f>
        <v>270000</v>
      </c>
      <c r="K66" s="247"/>
      <c r="L66" s="194">
        <f>27000*10</f>
        <v>270000</v>
      </c>
      <c r="M66" s="247"/>
      <c r="N66" s="194">
        <f>27000*10</f>
        <v>270000</v>
      </c>
      <c r="O66" s="247"/>
      <c r="P66" s="194">
        <f>27000*10</f>
        <v>270000</v>
      </c>
      <c r="Q66" s="247"/>
      <c r="R66" s="200">
        <f t="shared" si="3"/>
        <v>1620000</v>
      </c>
      <c r="S66" s="201" t="s">
        <v>710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5005016372</v>
      </c>
      <c r="C67" s="183" t="str">
        <f>IFERROR(IF(VLOOKUP($B67,勘定科目!$A:$H,HLOOKUP($E$5,勘定科目!$F$1:$H$2,2,0),0)="","",VLOOKUP($B67,勘定科目!$A:$E,2,0)),"")</f>
        <v>その他消耗品（製）</v>
      </c>
      <c r="D67" s="239" t="str">
        <f>IF(C67="","",VLOOKUP($B67,勘定科目!$A:$E,4,0))</f>
        <v>消耗品費</v>
      </c>
      <c r="E67" s="245"/>
      <c r="F67" s="194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00">
        <f t="shared" si="3"/>
        <v>0</v>
      </c>
      <c r="S67" s="201" t="s">
        <v>711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/>
      <c r="C68" s="183" t="str">
        <f>IFERROR(IF(VLOOKUP($B68,勘定科目!$A:$H,HLOOKUP($E$5,勘定科目!$F$1:$H$2,2,0),0)="","",VLOOKUP($B68,勘定科目!$A:$E,2,0)),"")</f>
        <v/>
      </c>
      <c r="D68" s="239" t="str">
        <f>IF(C68="","",VLOOKUP($B68,勘定科目!$A:$E,4,0))</f>
        <v/>
      </c>
      <c r="E68" s="245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3"/>
        <v>0</v>
      </c>
      <c r="S68" s="201"/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9" t="str">
        <f>IF(C69="","",VLOOKUP($B69,勘定科目!$A:$E,4,0))</f>
        <v>消耗工具器具備品費</v>
      </c>
      <c r="E69" s="245"/>
      <c r="F69" s="194">
        <v>12900000</v>
      </c>
      <c r="G69" s="194">
        <v>14480000</v>
      </c>
      <c r="H69" s="194">
        <v>14480000</v>
      </c>
      <c r="I69" s="194">
        <v>14480000</v>
      </c>
      <c r="J69" s="194">
        <v>14480000</v>
      </c>
      <c r="K69" s="194">
        <v>14480000</v>
      </c>
      <c r="L69" s="247"/>
      <c r="M69" s="247"/>
      <c r="N69" s="247"/>
      <c r="O69" s="247"/>
      <c r="P69" s="247"/>
      <c r="Q69" s="247"/>
      <c r="R69" s="200">
        <f t="shared" si="3"/>
        <v>85300000</v>
      </c>
      <c r="S69" s="201" t="s">
        <v>712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9" t="str">
        <f>IF(C70="","",VLOOKUP($B70,勘定科目!$A:$E,4,0))</f>
        <v>消耗工具器具備品費</v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3"/>
        <v>0</v>
      </c>
      <c r="S70" s="201" t="s">
        <v>713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/>
      <c r="C71" s="183" t="str">
        <f>IFERROR(IF(VLOOKUP($B71,勘定科目!$A:$H,HLOOKUP($E$5,勘定科目!$F$1:$H$2,2,0),0)="","",VLOOKUP($B71,勘定科目!$A:$E,2,0)),"")</f>
        <v/>
      </c>
      <c r="D71" s="239" t="str">
        <f>IF(C71="","",VLOOKUP($B71,勘定科目!$A:$E,4,0))</f>
        <v/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3"/>
        <v>0</v>
      </c>
      <c r="S71" s="201"/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3"/>
        <v>0</v>
      </c>
      <c r="S72" s="201" t="s">
        <v>714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3"/>
        <v>0</v>
      </c>
      <c r="S73" s="201" t="s">
        <v>731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1" t="s">
        <v>728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194">
        <f>165000*2*9</f>
        <v>2970000</v>
      </c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2970000</v>
      </c>
      <c r="S75" s="201" t="s">
        <v>729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1" t="s">
        <v>727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5004086291</v>
      </c>
      <c r="C77" s="183" t="str">
        <f>IFERROR(IF(VLOOKUP($B77,勘定科目!$A:$H,HLOOKUP($E$5,勘定科目!$F$1:$H$2,2,0),0)="","",VLOOKUP($B77,勘定科目!$A:$E,2,0)),"")</f>
        <v>福利厚生費（製）</v>
      </c>
      <c r="D77" s="239" t="str">
        <f>IF(C77="","",VLOOKUP($B77,勘定科目!$A:$E,4,0))</f>
        <v>福利厚生費</v>
      </c>
      <c r="E77" s="245"/>
      <c r="F77" s="194">
        <f>175000*2*9</f>
        <v>3150000</v>
      </c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3"/>
        <v>3150000</v>
      </c>
      <c r="S77" s="201" t="s">
        <v>730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300" t="s">
        <v>732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3"/>
        <v>0</v>
      </c>
      <c r="S79" s="201" t="s">
        <v>736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3"/>
        <v>0</v>
      </c>
      <c r="S80" s="201" t="s">
        <v>715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5005246281</v>
      </c>
      <c r="C81" s="183" t="str">
        <f>IFERROR(IF(VLOOKUP($B81,勘定科目!$A:$H,HLOOKUP($E$5,勘定科目!$F$1:$H$2,2,0),0)="","",VLOOKUP($B81,勘定科目!$A:$E,2,0)),"")</f>
        <v>図書印刷費（製）</v>
      </c>
      <c r="D81" s="239" t="str">
        <f>IF(C81="","",VLOOKUP($B81,勘定科目!$A:$E,4,0))</f>
        <v>図書及び事務費</v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0</v>
      </c>
      <c r="S81" s="201" t="s">
        <v>735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5005246281</v>
      </c>
      <c r="C82" s="183" t="str">
        <f>IFERROR(IF(VLOOKUP($B82,勘定科目!$A:$H,HLOOKUP($E$5,勘定科目!$F$1:$H$2,2,0),0)="","",VLOOKUP($B82,勘定科目!$A:$E,2,0)),"")</f>
        <v>図書印刷費（製）</v>
      </c>
      <c r="D82" s="239" t="str">
        <f>IF(C82="","",VLOOKUP($B82,勘定科目!$A:$E,4,0))</f>
        <v>図書及び事務費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 t="s">
        <v>734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5005246281</v>
      </c>
      <c r="C83" s="183" t="str">
        <f>IFERROR(IF(VLOOKUP($B83,勘定科目!$A:$H,HLOOKUP($E$5,勘定科目!$F$1:$H$2,2,0),0)="","",VLOOKUP($B83,勘定科目!$A:$E,2,0)),"")</f>
        <v>図書印刷費（製）</v>
      </c>
      <c r="D83" s="239" t="str">
        <f>IF(C83="","",VLOOKUP($B83,勘定科目!$A:$E,4,0))</f>
        <v>図書及び事務費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 t="s">
        <v>716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5005246281</v>
      </c>
      <c r="C84" s="183" t="str">
        <f>IFERROR(IF(VLOOKUP($B84,勘定科目!$A:$H,HLOOKUP($E$5,勘定科目!$F$1:$H$2,2,0),0)="","",VLOOKUP($B84,勘定科目!$A:$E,2,0)),"")</f>
        <v>図書印刷費（製）</v>
      </c>
      <c r="D84" s="239" t="str">
        <f>IF(C84="","",VLOOKUP($B84,勘定科目!$A:$E,4,0))</f>
        <v>図書及び事務費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0</v>
      </c>
      <c r="S84" s="201" t="s">
        <v>733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5005246288</v>
      </c>
      <c r="C85" s="183" t="str">
        <f>IFERROR(IF(VLOOKUP($B85,勘定科目!$A:$H,HLOOKUP($E$5,勘定科目!$F$1:$H$2,2,0),0)="","",VLOOKUP($B85,勘定科目!$A:$E,2,0)),"")</f>
        <v>事務用品費（製）</v>
      </c>
      <c r="D85" s="239" t="str">
        <f>IF(C85="","",VLOOKUP($B85,勘定科目!$A:$E,4,0))</f>
        <v>図書及び事務費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0</v>
      </c>
      <c r="S85" s="201" t="s">
        <v>717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>
        <f>163000</f>
        <v>163000</v>
      </c>
      <c r="G86" s="247">
        <v>163000</v>
      </c>
      <c r="H86" s="247">
        <v>163000</v>
      </c>
      <c r="I86" s="247"/>
      <c r="J86" s="247">
        <v>163000</v>
      </c>
      <c r="K86" s="247">
        <v>163000</v>
      </c>
      <c r="L86" s="247">
        <v>163000</v>
      </c>
      <c r="M86" s="247">
        <v>163000</v>
      </c>
      <c r="N86" s="247">
        <v>163000</v>
      </c>
      <c r="O86" s="247">
        <v>163000</v>
      </c>
      <c r="P86" s="247"/>
      <c r="Q86" s="247"/>
      <c r="R86" s="200">
        <f t="shared" si="3"/>
        <v>1467000</v>
      </c>
      <c r="S86" s="201" t="s">
        <v>742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3"/>
        <v>0</v>
      </c>
      <c r="S87" s="201" t="s">
        <v>718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>
        <f>100000*9</f>
        <v>900000</v>
      </c>
      <c r="J88" s="247"/>
      <c r="K88" s="247"/>
      <c r="L88" s="247"/>
      <c r="M88" s="247"/>
      <c r="N88" s="247"/>
      <c r="O88" s="247"/>
      <c r="P88" s="247"/>
      <c r="Q88" s="247"/>
      <c r="R88" s="200">
        <f t="shared" si="3"/>
        <v>900000</v>
      </c>
      <c r="S88" s="201" t="s">
        <v>726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5004086291</v>
      </c>
      <c r="C89" s="183" t="str">
        <f>IFERROR(IF(VLOOKUP($B89,勘定科目!$A:$H,HLOOKUP($E$5,勘定科目!$F$1:$H$2,2,0),0)="","",VLOOKUP($B89,勘定科目!$A:$E,2,0)),"")</f>
        <v>福利厚生費（製）</v>
      </c>
      <c r="D89" s="239" t="str">
        <f>IF(C89="","",VLOOKUP($B89,勘定科目!$A:$E,4,0))</f>
        <v>福利厚生費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1" t="s">
        <v>719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5004086291</v>
      </c>
      <c r="C90" s="183" t="str">
        <f>IFERROR(IF(VLOOKUP($B90,勘定科目!$A:$H,HLOOKUP($E$5,勘定科目!$F$1:$H$2,2,0),0)="","",VLOOKUP($B90,勘定科目!$A:$E,2,0)),"")</f>
        <v>福利厚生費（製）</v>
      </c>
      <c r="D90" s="239" t="str">
        <f>IF(C90="","",VLOOKUP($B90,勘定科目!$A:$E,4,0))</f>
        <v>福利厚生費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>
        <f>300000*9</f>
        <v>2700000</v>
      </c>
      <c r="R90" s="200">
        <f t="shared" si="3"/>
        <v>2700000</v>
      </c>
      <c r="S90" s="201" t="s">
        <v>737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5004086291</v>
      </c>
      <c r="C91" s="183" t="str">
        <f>IFERROR(IF(VLOOKUP($B91,勘定科目!$A:$H,HLOOKUP($E$5,勘定科目!$F$1:$H$2,2,0),0)="","",VLOOKUP($B91,勘定科目!$A:$E,2,0)),"")</f>
        <v>福利厚生費（製）</v>
      </c>
      <c r="D91" s="239" t="str">
        <f>IF(C91="","",VLOOKUP($B91,勘定科目!$A:$E,4,0))</f>
        <v>福利厚生費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>
        <f>100000*9</f>
        <v>900000</v>
      </c>
      <c r="Q91" s="247"/>
      <c r="R91" s="200">
        <f t="shared" si="3"/>
        <v>900000</v>
      </c>
      <c r="S91" s="201" t="s">
        <v>720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5004086291</v>
      </c>
      <c r="C92" s="183" t="str">
        <f>IFERROR(IF(VLOOKUP($B92,勘定科目!$A:$H,HLOOKUP($E$5,勘定科目!$F$1:$H$2,2,0),0)="","",VLOOKUP($B92,勘定科目!$A:$E,2,0)),"")</f>
        <v>福利厚生費（製）</v>
      </c>
      <c r="D92" s="239" t="str">
        <f>IF(C92="","",VLOOKUP($B92,勘定科目!$A:$E,4,0))</f>
        <v>福利厚生費</v>
      </c>
      <c r="E92" s="245"/>
      <c r="F92" s="194"/>
      <c r="G92" s="247">
        <f>1890000*7</f>
        <v>13230000</v>
      </c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3"/>
        <v>13230000</v>
      </c>
      <c r="S92" s="201" t="s">
        <v>738</v>
      </c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5004086291</v>
      </c>
      <c r="C93" s="183" t="str">
        <f>IFERROR(IF(VLOOKUP($B93,勘定科目!$A:$H,HLOOKUP($E$5,勘定科目!$F$1:$H$2,2,0),0)="","",VLOOKUP($B93,勘定科目!$A:$E,2,0)),"")</f>
        <v>福利厚生費（製）</v>
      </c>
      <c r="D93" s="239" t="str">
        <f>IF(C93="","",VLOOKUP($B93,勘定科目!$A:$E,4,0))</f>
        <v>福利厚生費</v>
      </c>
      <c r="E93" s="245"/>
      <c r="F93" s="194"/>
      <c r="G93" s="247"/>
      <c r="H93" s="247"/>
      <c r="I93" s="247"/>
      <c r="J93" s="247"/>
      <c r="K93" s="247"/>
      <c r="L93" s="247">
        <f>56000*9</f>
        <v>504000</v>
      </c>
      <c r="M93" s="247"/>
      <c r="N93" s="247"/>
      <c r="O93" s="247"/>
      <c r="P93" s="247"/>
      <c r="Q93" s="247"/>
      <c r="R93" s="200">
        <f t="shared" si="3"/>
        <v>504000</v>
      </c>
      <c r="S93" s="201" t="s">
        <v>739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/>
      <c r="G94" s="247"/>
      <c r="H94" s="247"/>
      <c r="I94" s="247"/>
      <c r="J94" s="247"/>
      <c r="K94" s="247">
        <f>126000*9</f>
        <v>1134000</v>
      </c>
      <c r="L94" s="247"/>
      <c r="M94" s="247"/>
      <c r="N94" s="247"/>
      <c r="O94" s="247"/>
      <c r="P94" s="247"/>
      <c r="Q94" s="247"/>
      <c r="R94" s="200">
        <f t="shared" si="3"/>
        <v>1134000</v>
      </c>
      <c r="S94" s="201" t="s">
        <v>740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5004086291</v>
      </c>
      <c r="C95" s="183" t="str">
        <f>IFERROR(IF(VLOOKUP($B95,勘定科目!$A:$H,HLOOKUP($E$5,勘定科目!$F$1:$H$2,2,0),0)="","",VLOOKUP($B95,勘定科目!$A:$E,2,0)),"")</f>
        <v>福利厚生費（製）</v>
      </c>
      <c r="D95" s="239" t="str">
        <f>IF(C95="","",VLOOKUP($B95,勘定科目!$A:$E,4,0))</f>
        <v>福利厚生費</v>
      </c>
      <c r="E95" s="245"/>
      <c r="F95" s="194"/>
      <c r="G95" s="247"/>
      <c r="H95" s="247"/>
      <c r="I95" s="247"/>
      <c r="J95" s="247"/>
      <c r="K95" s="247"/>
      <c r="L95" s="247"/>
      <c r="M95" s="247">
        <f>107000*9</f>
        <v>963000</v>
      </c>
      <c r="N95" s="247"/>
      <c r="O95" s="247"/>
      <c r="P95" s="247"/>
      <c r="Q95" s="247"/>
      <c r="R95" s="200">
        <f t="shared" si="3"/>
        <v>963000</v>
      </c>
      <c r="S95" s="201" t="s">
        <v>741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5004086291</v>
      </c>
      <c r="C96" s="183" t="str">
        <f>IFERROR(IF(VLOOKUP($B96,勘定科目!$A:$H,HLOOKUP($E$5,勘定科目!$F$1:$H$2,2,0),0)="","",VLOOKUP($B96,勘定科目!$A:$E,2,0)),"")</f>
        <v>福利厚生費（製）</v>
      </c>
      <c r="D96" s="239" t="str">
        <f>IF(C96="","",VLOOKUP($B96,勘定科目!$A:$E,4,0))</f>
        <v>福利厚生費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>
        <f>204000*9</f>
        <v>1836000</v>
      </c>
      <c r="O96" s="247"/>
      <c r="P96" s="247"/>
      <c r="Q96" s="247"/>
      <c r="R96" s="200">
        <f t="shared" si="3"/>
        <v>1836000</v>
      </c>
      <c r="S96" s="201" t="s">
        <v>721</v>
      </c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5004086291</v>
      </c>
      <c r="C97" s="183" t="str">
        <f>IFERROR(IF(VLOOKUP($B97,勘定科目!$A:$H,HLOOKUP($E$5,勘定科目!$F$1:$H$2,2,0),0)="","",VLOOKUP($B97,勘定科目!$A:$E,2,0)),"")</f>
        <v>福利厚生費（製）</v>
      </c>
      <c r="D97" s="239" t="str">
        <f>IF(C97="","",VLOOKUP($B97,勘定科目!$A:$E,4,0))</f>
        <v>福利厚生費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>
        <v>300000</v>
      </c>
      <c r="Q97" s="247">
        <v>300000</v>
      </c>
      <c r="R97" s="200">
        <f t="shared" si="3"/>
        <v>600000</v>
      </c>
      <c r="S97" s="201" t="s">
        <v>722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5004086291</v>
      </c>
      <c r="C98" s="183" t="str">
        <f>IFERROR(IF(VLOOKUP($B98,勘定科目!$A:$H,HLOOKUP($E$5,勘定科目!$F$1:$H$2,2,0),0)="","",VLOOKUP($B98,勘定科目!$A:$E,2,0)),"")</f>
        <v>福利厚生費（製）</v>
      </c>
      <c r="D98" s="239" t="str">
        <f>IF(C98="","",VLOOKUP($B98,勘定科目!$A:$E,4,0))</f>
        <v>福利厚生費</v>
      </c>
      <c r="E98" s="245"/>
      <c r="F98" s="194"/>
      <c r="G98" s="247">
        <f>200000*9</f>
        <v>1800000</v>
      </c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3"/>
        <v>1800000</v>
      </c>
      <c r="S98" s="201" t="s">
        <v>743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5004086291</v>
      </c>
      <c r="C99" s="183" t="str">
        <f>IFERROR(IF(VLOOKUP($B99,勘定科目!$A:$H,HLOOKUP($E$5,勘定科目!$F$1:$H$2,2,0),0)="","",VLOOKUP($B99,勘定科目!$A:$E,2,0)),"")</f>
        <v>福利厚生費（製）</v>
      </c>
      <c r="D99" s="239" t="str">
        <f>IF(C99="","",VLOOKUP($B99,勘定科目!$A:$E,4,0))</f>
        <v>福利厚生費</v>
      </c>
      <c r="E99" s="245"/>
      <c r="F99" s="194"/>
      <c r="G99" s="247"/>
      <c r="H99" s="247"/>
      <c r="I99" s="247"/>
      <c r="J99" s="247"/>
      <c r="K99" s="247"/>
      <c r="L99" s="247">
        <v>931000</v>
      </c>
      <c r="M99" s="247"/>
      <c r="N99" s="247"/>
      <c r="O99" s="247"/>
      <c r="P99" s="247"/>
      <c r="Q99" s="247"/>
      <c r="R99" s="200">
        <f t="shared" si="3"/>
        <v>931000</v>
      </c>
      <c r="S99" s="201" t="s">
        <v>744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5005046283</v>
      </c>
      <c r="C100" s="183" t="str">
        <f>IFERROR(IF(VLOOKUP($B100,勘定科目!$A:$H,HLOOKUP($E$5,勘定科目!$F$1:$H$2,2,0),0)="","",VLOOKUP($B100,勘定科目!$A:$E,2,0)),"")</f>
        <v>年間保守料（製）</v>
      </c>
      <c r="D100" s="239" t="str">
        <f>IF(C100="","",VLOOKUP($B100,勘定科目!$A:$E,4,0))</f>
        <v>修繕費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5005046282</v>
      </c>
      <c r="C101" s="183" t="str">
        <f>IFERROR(IF(VLOOKUP($B101,勘定科目!$A:$H,HLOOKUP($E$5,勘定科目!$F$1:$H$2,2,0),0)="","",VLOOKUP($B101,勘定科目!$A:$E,2,0)),"")</f>
        <v>その他修繕費（製）</v>
      </c>
      <c r="D101" s="239" t="str">
        <f>IF(C101="","",VLOOKUP($B101,勘定科目!$A:$E,4,0))</f>
        <v>修繕費</v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 t="s">
        <v>723</v>
      </c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5005046281</v>
      </c>
      <c r="C102" s="183" t="str">
        <f>IFERROR(IF(VLOOKUP($B102,勘定科目!$A:$H,HLOOKUP($E$5,勘定科目!$F$1:$H$2,2,0),0)="","",VLOOKUP($B102,勘定科目!$A:$E,2,0)),"")</f>
        <v>機械設備修繕費（製）</v>
      </c>
      <c r="D102" s="239" t="str">
        <f>IF(C102="","",VLOOKUP($B102,勘定科目!$A:$E,4,0))</f>
        <v>修繕費</v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3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5005046284</v>
      </c>
      <c r="C104" s="183" t="str">
        <f>IFERROR(IF(VLOOKUP($B104,勘定科目!$A:$H,HLOOKUP($E$5,勘定科目!$F$1:$H$2,2,0),0)="","",VLOOKUP($B104,勘定科目!$A:$E,2,0)),"")</f>
        <v>金型修繕費（製造）</v>
      </c>
      <c r="D104" s="239" t="str">
        <f>IF(C104="","",VLOOKUP($B104,勘定科目!$A:$E,4,0))</f>
        <v>修繕費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5005076281</v>
      </c>
      <c r="C106" s="183" t="str">
        <f>IFERROR(IF(VLOOKUP($B106,勘定科目!$A:$H,HLOOKUP($E$5,勘定科目!$F$1:$H$2,2,0),0)="","",VLOOKUP($B106,勘定科目!$A:$E,2,0)),"")</f>
        <v>通関申告費用（製）</v>
      </c>
      <c r="D106" s="239" t="str">
        <f>IF(C106="","",VLOOKUP($B106,勘定科目!$A:$E,4,0))</f>
        <v>荷造運賃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5005076283</v>
      </c>
      <c r="C108" s="183" t="str">
        <f>IFERROR(IF(VLOOKUP($B108,勘定科目!$A:$H,HLOOKUP($E$5,勘定科目!$F$1:$H$2,2,0),0)="","",VLOOKUP($B108,勘定科目!$A:$E,2,0)),"")</f>
        <v>輸入航空運賃（製）</v>
      </c>
      <c r="D108" s="239" t="str">
        <f>IF(C108="","",VLOOKUP($B108,勘定科目!$A:$E,4,0))</f>
        <v>荷造運賃</v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5005076289</v>
      </c>
      <c r="C110" s="183" t="str">
        <f>IFERROR(IF(VLOOKUP($B110,勘定科目!$A:$H,HLOOKUP($E$5,勘定科目!$F$1:$H$2,2,0),0)="","",VLOOKUP($B110,勘定科目!$A:$E,2,0)),"")</f>
        <v>クーリエ費用（製）</v>
      </c>
      <c r="D110" s="239" t="str">
        <f>IF(C110="","",VLOOKUP($B110,勘定科目!$A:$E,4,0))</f>
        <v>荷造運賃</v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5005116291</v>
      </c>
      <c r="C112" s="183" t="str">
        <f>IFERROR(IF(VLOOKUP($B112,勘定科目!$A:$H,HLOOKUP($E$5,勘定科目!$F$1:$H$2,2,0),0)="","",VLOOKUP($B112,勘定科目!$A:$E,2,0)),"")</f>
        <v>ベトナム国内交通費（製）</v>
      </c>
      <c r="D112" s="239" t="str">
        <f>IF(C112="","",VLOOKUP($B112,勘定科目!$A:$E,4,0))</f>
        <v>旅費交通費</v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 t="s">
        <v>724</v>
      </c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>
        <v>5005246282</v>
      </c>
      <c r="C114" s="183" t="str">
        <f>IFERROR(IF(VLOOKUP($B114,勘定科目!$A:$H,HLOOKUP($E$5,勘定科目!$F$1:$H$2,2,0),0)="","",VLOOKUP($B114,勘定科目!$A:$E,2,0)),"")</f>
        <v>ＫＤＣシステム使用料（製）</v>
      </c>
      <c r="D114" s="239" t="str">
        <f>IF(C114="","",VLOOKUP($B114,勘定科目!$A:$E,4,0))</f>
        <v>図書及び事務費</v>
      </c>
      <c r="E114" s="245"/>
      <c r="F114" s="194">
        <v>11112695</v>
      </c>
      <c r="G114" s="194">
        <v>11112695</v>
      </c>
      <c r="H114" s="194">
        <v>11112695</v>
      </c>
      <c r="I114" s="194">
        <v>11112695</v>
      </c>
      <c r="J114" s="194">
        <v>11112695</v>
      </c>
      <c r="K114" s="194">
        <v>11112695</v>
      </c>
      <c r="L114" s="194">
        <v>11112695</v>
      </c>
      <c r="M114" s="194">
        <v>11112695</v>
      </c>
      <c r="N114" s="194">
        <v>11112695</v>
      </c>
      <c r="O114" s="194">
        <v>11112695</v>
      </c>
      <c r="P114" s="194">
        <v>11112695</v>
      </c>
      <c r="Q114" s="194">
        <v>11112695</v>
      </c>
      <c r="R114" s="200">
        <f t="shared" si="3"/>
        <v>133352340</v>
      </c>
      <c r="S114" s="201" t="s">
        <v>725</v>
      </c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>
        <v>5005246283</v>
      </c>
      <c r="C116" s="183" t="str">
        <f>IFERROR(IF(VLOOKUP($B116,勘定科目!$A:$H,HLOOKUP($E$5,勘定科目!$F$1:$H$2,2,0),0)="","",VLOOKUP($B116,勘定科目!$A:$E,2,0)),"")</f>
        <v>ライセンス料（製）</v>
      </c>
      <c r="D116" s="239" t="str">
        <f>IF(C116="","",VLOOKUP($B116,勘定科目!$A:$E,4,0))</f>
        <v>図書及び事務費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>
        <v>5004086293</v>
      </c>
      <c r="C118" s="183" t="str">
        <f>IFERROR(IF(VLOOKUP($B118,勘定科目!$A:$H,HLOOKUP($E$5,勘定科目!$F$1:$H$2,2,0),0)="","",VLOOKUP($B118,勘定科目!$A:$E,2,0)),"")</f>
        <v>教育訓練費（製）</v>
      </c>
      <c r="D118" s="239" t="str">
        <f>IF(C118="","",VLOOKUP($B118,勘定科目!$A:$E,4,0))</f>
        <v>募集教育費</v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5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5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5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5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5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5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5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5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5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5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5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5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5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5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5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5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5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5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5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5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5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5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5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5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5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6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6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6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6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6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6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6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6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6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6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6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6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6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6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6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6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6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6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6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6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6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6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6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6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6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6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6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6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6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6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6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6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6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6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6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6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6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6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6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6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6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6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6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6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6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6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6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6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6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6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6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6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6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6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6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6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6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6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6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6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6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6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6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6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7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7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7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7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7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7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7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7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7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7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7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7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7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7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7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7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7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7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7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7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7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7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7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7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7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7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7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7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7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7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7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7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7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7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7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7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7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7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7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7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7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7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7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7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7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7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7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7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7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7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7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7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7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7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7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7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7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7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7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7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7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7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7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7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8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8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8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8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8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8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8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8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8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8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8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8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8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8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8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8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8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8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8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8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8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8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8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8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8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8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8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8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8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8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8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8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8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8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8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8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8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8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8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8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8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8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8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8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8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8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8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8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8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8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8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8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8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8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8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8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8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8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8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8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8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8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8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8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9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9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9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9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9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9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9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9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9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9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9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9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9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9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9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9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9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9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9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9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9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9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9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9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9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9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9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9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9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9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9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9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9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9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9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9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9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9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9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9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9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9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9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9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9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9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9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9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9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9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9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9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9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9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9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9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9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9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9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9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9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9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9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9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0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0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0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0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0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0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0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0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0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0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0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0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0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0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0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0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0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0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0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0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0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0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0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0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0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0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0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0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0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0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0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0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0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0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0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0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0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0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0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0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0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0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0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0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0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0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0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0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0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0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0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0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0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0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0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0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0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0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0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0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0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0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0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0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1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1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1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1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1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1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1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1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1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1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1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1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1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1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1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1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1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1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1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1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1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1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1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1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1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1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1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1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1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1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1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1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1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1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1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1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1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1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1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1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1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1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1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1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1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1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1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1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1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1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1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1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1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1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1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1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1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1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1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1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1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1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1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1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2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2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2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2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2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2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2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2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2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2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2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2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2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2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2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2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2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2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2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2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2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2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2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2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2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2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2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2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2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2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2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2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2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2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2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2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2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2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2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2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2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2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2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2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2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2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2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2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2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2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2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2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2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2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2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2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2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2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2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2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2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2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2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2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3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3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3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3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3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3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3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3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3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3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3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3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3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3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3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3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3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3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3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3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3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3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3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3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3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3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3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3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3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3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3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3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3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3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3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3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3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3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3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3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3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3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3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3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3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3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3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3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3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3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3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3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3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3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3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3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3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3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3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3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3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3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3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3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4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4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4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4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4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4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4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4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4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4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4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4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4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4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4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4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4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4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4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4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4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4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4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4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4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4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4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4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4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4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4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4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4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4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4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4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4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4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4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4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4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4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4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4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4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4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4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4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4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4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4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4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4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4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4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4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4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4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4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4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4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4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4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4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5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5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5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5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5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5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5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5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5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5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5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5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5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5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5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5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5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5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5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5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5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5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5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5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5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5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5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5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5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5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5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5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5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5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5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5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5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5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5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5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5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2B834266-CA74-46DB-A4C6-1EA1CC4B45A1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23CDD1F-750C-4C48-91DA-8A04AFCBB66D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CAA3-63C5-4140-9C2A-3DF600E253C1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部品製造管理課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86D84073-5594-4D40-8501-8E8497DA57D6}"/>
  <phoneticPr fontId="3"/>
  <dataValidations count="1">
    <dataValidation type="list" allowBlank="1" showInputMessage="1" showErrorMessage="1" sqref="S4:S49" xr:uid="{6C843EA1-CF8C-4C0C-8BD5-991DAAC61E1E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1355-8A61-452B-A383-4CE8662EA009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72EF2340-66DC-443A-AE09-C121064A8C9B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BEFF-3BBB-4A0E-B070-7BBFD1500A1C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55F23E67-29A7-4BB8-A495-1AB7BFC5C771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E9D4-933A-4360-B0FA-F1ED597D0151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4.25">
      <c r="A3" s="92">
        <v>4</v>
      </c>
      <c r="B3" s="249">
        <v>20</v>
      </c>
    </row>
    <row r="4" spans="1:2" ht="14.25">
      <c r="A4" s="92">
        <v>5</v>
      </c>
      <c r="B4" s="249">
        <v>19</v>
      </c>
    </row>
    <row r="5" spans="1:2" ht="14.25">
      <c r="A5" s="92">
        <v>6</v>
      </c>
      <c r="B5" s="249">
        <v>21</v>
      </c>
    </row>
    <row r="6" spans="1:2" ht="14.25">
      <c r="A6" s="92">
        <v>7</v>
      </c>
      <c r="B6" s="249">
        <v>23</v>
      </c>
    </row>
    <row r="7" spans="1:2" ht="14.25">
      <c r="A7" s="92">
        <v>8</v>
      </c>
      <c r="B7" s="249">
        <v>20</v>
      </c>
    </row>
    <row r="8" spans="1:2" ht="14.25">
      <c r="A8" s="92">
        <v>9</v>
      </c>
      <c r="B8" s="249">
        <v>19</v>
      </c>
    </row>
    <row r="9" spans="1:2" ht="14.25">
      <c r="A9" s="92">
        <v>10</v>
      </c>
      <c r="B9" s="249">
        <v>23</v>
      </c>
    </row>
    <row r="10" spans="1:2" ht="14.25">
      <c r="A10" s="92">
        <v>11</v>
      </c>
      <c r="B10" s="249">
        <v>20</v>
      </c>
    </row>
    <row r="11" spans="1:2" ht="14.25">
      <c r="A11" s="92">
        <v>12</v>
      </c>
      <c r="B11" s="249">
        <v>22</v>
      </c>
    </row>
    <row r="12" spans="1:2" ht="14.25">
      <c r="A12" s="92">
        <v>1</v>
      </c>
      <c r="B12" s="249">
        <v>20</v>
      </c>
    </row>
    <row r="13" spans="1:2" ht="14.25">
      <c r="A13" s="92">
        <v>2</v>
      </c>
      <c r="B13" s="249">
        <v>15</v>
      </c>
    </row>
    <row r="14" spans="1:2" ht="14.2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Hồng Ngọc(Nguyen Hong Ngoc)</cp:lastModifiedBy>
  <cp:lastPrinted>2017-10-06T02:39:42Z</cp:lastPrinted>
  <dcterms:created xsi:type="dcterms:W3CDTF">2002-04-10T08:05:47Z</dcterms:created>
  <dcterms:modified xsi:type="dcterms:W3CDTF">2025-01-04T02:56:26Z</dcterms:modified>
</cp:coreProperties>
</file>