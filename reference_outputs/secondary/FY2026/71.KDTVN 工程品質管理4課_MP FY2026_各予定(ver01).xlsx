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7月1日付け組織変更\機器工程管理部\提出\"/>
    </mc:Choice>
  </mc:AlternateContent>
  <xr:revisionPtr revIDLastSave="0" documentId="13_ncr:1_{DFD9AE08-22F2-4C4D-9B42-9E320579BCE7}" xr6:coauthVersionLast="47" xr6:coauthVersionMax="47" xr10:uidLastSave="{00000000-0000-0000-0000-000000000000}"/>
  <bookViews>
    <workbookView xWindow="-120" yWindow="-120" windowWidth="20730" windowHeight="1104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'内訳ﾘｽﾄ(4～3月)'!$A$7:$T$800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" i="10" l="1"/>
  <c r="N89" i="10"/>
  <c r="L89" i="10"/>
  <c r="Q47" i="10" l="1"/>
  <c r="P47" i="10"/>
  <c r="O47" i="10"/>
  <c r="N47" i="10"/>
  <c r="M47" i="10"/>
  <c r="L47" i="10"/>
  <c r="K47" i="10"/>
  <c r="J47" i="10"/>
  <c r="I47" i="10"/>
  <c r="H47" i="10"/>
  <c r="G47" i="10"/>
  <c r="F47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Q42" i="10"/>
  <c r="P42" i="10"/>
  <c r="O42" i="10"/>
  <c r="N42" i="10"/>
  <c r="M42" i="10"/>
  <c r="M55" i="10"/>
  <c r="G40" i="10"/>
  <c r="H40" i="10"/>
  <c r="I40" i="10"/>
  <c r="J40" i="10"/>
  <c r="K40" i="10"/>
  <c r="L40" i="10"/>
  <c r="M40" i="10"/>
  <c r="N40" i="10"/>
  <c r="O40" i="10"/>
  <c r="P40" i="10"/>
  <c r="Q40" i="10"/>
  <c r="F4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N76" i="10"/>
  <c r="M75" i="10"/>
  <c r="L73" i="10"/>
  <c r="L72" i="10" l="1"/>
  <c r="K71" i="10"/>
  <c r="I70" i="10"/>
  <c r="G68" i="10"/>
  <c r="H69" i="10"/>
  <c r="P67" i="10" l="1"/>
  <c r="Q66" i="10"/>
  <c r="F65" i="10"/>
  <c r="O63" i="10"/>
  <c r="N63" i="10"/>
  <c r="K63" i="10"/>
  <c r="R17" i="10" l="1"/>
  <c r="R41" i="10"/>
  <c r="R42" i="10"/>
  <c r="R43" i="10"/>
  <c r="R44" i="10"/>
  <c r="R45" i="10"/>
  <c r="R46" i="10"/>
  <c r="R47" i="10"/>
  <c r="R48" i="10"/>
  <c r="R49" i="10"/>
  <c r="R50" i="10"/>
  <c r="R51" i="10"/>
  <c r="R52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337" i="10" s="1"/>
  <c r="D337" i="10" s="1"/>
  <c r="D5" i="10"/>
  <c r="K70" i="5" s="1"/>
  <c r="K70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D98" i="5"/>
  <c r="D98" i="32" s="1"/>
  <c r="C98" i="5"/>
  <c r="C98" i="32" s="1"/>
  <c r="N97" i="5"/>
  <c r="N97" i="32" s="1"/>
  <c r="M97" i="5"/>
  <c r="L97" i="5"/>
  <c r="L97" i="32" s="1"/>
  <c r="K97" i="5"/>
  <c r="J97" i="5"/>
  <c r="J97" i="32" s="1"/>
  <c r="I97" i="5"/>
  <c r="I97" i="32" s="1"/>
  <c r="H97" i="5"/>
  <c r="H97" i="32" s="1"/>
  <c r="G97" i="5"/>
  <c r="F97" i="5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N92" i="32" s="1"/>
  <c r="M92" i="5"/>
  <c r="M92" i="32" s="1"/>
  <c r="L92" i="5"/>
  <c r="L92" i="32" s="1"/>
  <c r="K92" i="5"/>
  <c r="K92" i="32" s="1"/>
  <c r="J92" i="5"/>
  <c r="I92" i="5"/>
  <c r="I92" i="32" s="1"/>
  <c r="H92" i="5"/>
  <c r="G92" i="5"/>
  <c r="F92" i="5"/>
  <c r="F92" i="32" s="1"/>
  <c r="E92" i="5"/>
  <c r="E92" i="32" s="1"/>
  <c r="D92" i="5"/>
  <c r="D92" i="32" s="1"/>
  <c r="C92" i="5"/>
  <c r="N88" i="5"/>
  <c r="N88" i="32" s="1"/>
  <c r="M88" i="5"/>
  <c r="M88" i="32" s="1"/>
  <c r="L88" i="5"/>
  <c r="L88" i="32" s="1"/>
  <c r="K88" i="5"/>
  <c r="K88" i="32" s="1"/>
  <c r="J88" i="5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L87" i="5"/>
  <c r="L87" i="32" s="1"/>
  <c r="K87" i="5"/>
  <c r="K87" i="32" s="1"/>
  <c r="J87" i="5"/>
  <c r="J87" i="32" s="1"/>
  <c r="I87" i="5"/>
  <c r="H87" i="5"/>
  <c r="H87" i="32" s="1"/>
  <c r="G87" i="5"/>
  <c r="G87" i="32" s="1"/>
  <c r="F87" i="5"/>
  <c r="E87" i="5"/>
  <c r="E87" i="32" s="1"/>
  <c r="D87" i="5"/>
  <c r="D87" i="32" s="1"/>
  <c r="C87" i="5"/>
  <c r="N74" i="5"/>
  <c r="N74" i="32" s="1"/>
  <c r="M74" i="5"/>
  <c r="M74" i="32" s="1"/>
  <c r="L74" i="5"/>
  <c r="K74" i="5"/>
  <c r="K74" i="32" s="1"/>
  <c r="J74" i="5"/>
  <c r="I74" i="5"/>
  <c r="I74" i="32" s="1"/>
  <c r="H74" i="5"/>
  <c r="H74" i="32" s="1"/>
  <c r="G74" i="5"/>
  <c r="F74" i="5"/>
  <c r="E74" i="5"/>
  <c r="D74" i="5"/>
  <c r="D74" i="32" s="1"/>
  <c r="C74" i="5"/>
  <c r="N68" i="5"/>
  <c r="M68" i="5"/>
  <c r="M68" i="32" s="1"/>
  <c r="L68" i="5"/>
  <c r="L68" i="32" s="1"/>
  <c r="K68" i="5"/>
  <c r="J68" i="5"/>
  <c r="J68" i="32" s="1"/>
  <c r="I68" i="5"/>
  <c r="I68" i="32" s="1"/>
  <c r="H68" i="5"/>
  <c r="G68" i="5"/>
  <c r="F68" i="5"/>
  <c r="F68" i="32" s="1"/>
  <c r="E68" i="5"/>
  <c r="D68" i="5"/>
  <c r="D68" i="32" s="1"/>
  <c r="C68" i="5"/>
  <c r="C68" i="32" s="1"/>
  <c r="R40" i="10"/>
  <c r="R39" i="10"/>
  <c r="Q5" i="10"/>
  <c r="P5" i="10"/>
  <c r="O5" i="10"/>
  <c r="N5" i="10"/>
  <c r="M5" i="10"/>
  <c r="L5" i="10"/>
  <c r="K5" i="10"/>
  <c r="J5" i="10"/>
  <c r="I5" i="10"/>
  <c r="H5" i="10"/>
  <c r="G5" i="10"/>
  <c r="R36" i="10"/>
  <c r="F5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6" i="10"/>
  <c r="R15" i="10"/>
  <c r="R14" i="10"/>
  <c r="R13" i="10"/>
  <c r="R12" i="10"/>
  <c r="R11" i="10"/>
  <c r="R10" i="10"/>
  <c r="R9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C876" i="10" l="1"/>
  <c r="D876" i="10" s="1"/>
  <c r="D1" i="21"/>
  <c r="O78" i="5"/>
  <c r="I70" i="5"/>
  <c r="I70" i="32" s="1"/>
  <c r="F71" i="5"/>
  <c r="F71" i="32" s="1"/>
  <c r="E71" i="5"/>
  <c r="E71" i="32" s="1"/>
  <c r="C112" i="10"/>
  <c r="D112" i="10" s="1"/>
  <c r="O70" i="5"/>
  <c r="K76" i="5"/>
  <c r="K76" i="32" s="1"/>
  <c r="M77" i="5"/>
  <c r="M77" i="32" s="1"/>
  <c r="O72" i="5"/>
  <c r="D77" i="5"/>
  <c r="D77" i="32" s="1"/>
  <c r="D71" i="5"/>
  <c r="D71" i="32" s="1"/>
  <c r="G76" i="5"/>
  <c r="G76" i="32" s="1"/>
  <c r="N77" i="5"/>
  <c r="N77" i="32" s="1"/>
  <c r="J71" i="5"/>
  <c r="J71" i="32" s="1"/>
  <c r="C156" i="10"/>
  <c r="D156" i="10" s="1"/>
  <c r="N69" i="5"/>
  <c r="N69" i="32" s="1"/>
  <c r="E78" i="5"/>
  <c r="E78" i="32" s="1"/>
  <c r="G69" i="5"/>
  <c r="G69" i="32" s="1"/>
  <c r="K78" i="5"/>
  <c r="K78" i="32" s="1"/>
  <c r="M71" i="5"/>
  <c r="M71" i="32" s="1"/>
  <c r="C78" i="5"/>
  <c r="C78" i="32" s="1"/>
  <c r="O71" i="5"/>
  <c r="I71" i="5"/>
  <c r="C374" i="10"/>
  <c r="D374" i="10" s="1"/>
  <c r="F70" i="5"/>
  <c r="F70" i="32" s="1"/>
  <c r="J77" i="5"/>
  <c r="J77" i="32" s="1"/>
  <c r="K71" i="5"/>
  <c r="K71" i="32" s="1"/>
  <c r="D78" i="5"/>
  <c r="D78" i="32" s="1"/>
  <c r="E72" i="5"/>
  <c r="E72" i="32" s="1"/>
  <c r="N72" i="5"/>
  <c r="N72" i="32" s="1"/>
  <c r="J75" i="5"/>
  <c r="J75" i="32" s="1"/>
  <c r="H71" i="5"/>
  <c r="E76" i="5"/>
  <c r="E76" i="32" s="1"/>
  <c r="M70" i="5"/>
  <c r="E70" i="5"/>
  <c r="E70" i="32" s="1"/>
  <c r="C71" i="5"/>
  <c r="C71" i="32" s="1"/>
  <c r="F76" i="5"/>
  <c r="F76" i="32" s="1"/>
  <c r="J78" i="5"/>
  <c r="J78" i="32" s="1"/>
  <c r="L71" i="5"/>
  <c r="L71" i="32" s="1"/>
  <c r="H76" i="5"/>
  <c r="H76" i="32" s="1"/>
  <c r="F77" i="5"/>
  <c r="F77" i="32" s="1"/>
  <c r="C76" i="5"/>
  <c r="C76" i="32" s="1"/>
  <c r="G77" i="5"/>
  <c r="G77" i="32" s="1"/>
  <c r="C72" i="5"/>
  <c r="C72" i="32" s="1"/>
  <c r="E77" i="5"/>
  <c r="E77" i="32" s="1"/>
  <c r="I76" i="5"/>
  <c r="I76" i="32" s="1"/>
  <c r="O76" i="5"/>
  <c r="H77" i="5"/>
  <c r="H77" i="32" s="1"/>
  <c r="G70" i="5"/>
  <c r="G70" i="32" s="1"/>
  <c r="I78" i="5"/>
  <c r="I78" i="32" s="1"/>
  <c r="D72" i="5"/>
  <c r="D72" i="32" s="1"/>
  <c r="N70" i="5"/>
  <c r="N70" i="32" s="1"/>
  <c r="H70" i="5"/>
  <c r="H70" i="32" s="1"/>
  <c r="M76" i="5"/>
  <c r="M76" i="32" s="1"/>
  <c r="M78" i="5"/>
  <c r="M78" i="32" s="1"/>
  <c r="N76" i="5"/>
  <c r="N76" i="32" s="1"/>
  <c r="C70" i="5"/>
  <c r="C70" i="32" s="1"/>
  <c r="L75" i="5"/>
  <c r="L75" i="32" s="1"/>
  <c r="F78" i="5"/>
  <c r="F78" i="32" s="1"/>
  <c r="C77" i="5"/>
  <c r="C77" i="32" s="1"/>
  <c r="J76" i="5"/>
  <c r="J76" i="32" s="1"/>
  <c r="D76" i="5"/>
  <c r="D76" i="32" s="1"/>
  <c r="I72" i="5"/>
  <c r="I72" i="32" s="1"/>
  <c r="N71" i="5"/>
  <c r="N71" i="32" s="1"/>
  <c r="L77" i="5"/>
  <c r="L77" i="32" s="1"/>
  <c r="J70" i="5"/>
  <c r="J70" i="32" s="1"/>
  <c r="L76" i="5"/>
  <c r="L76" i="32" s="1"/>
  <c r="K72" i="5"/>
  <c r="K72" i="32" s="1"/>
  <c r="L70" i="5"/>
  <c r="L70" i="32" s="1"/>
  <c r="F75" i="5"/>
  <c r="F75" i="32" s="1"/>
  <c r="J72" i="5"/>
  <c r="J72" i="32" s="1"/>
  <c r="G78" i="5"/>
  <c r="G78" i="32" s="1"/>
  <c r="G71" i="5"/>
  <c r="H72" i="5"/>
  <c r="H72" i="32" s="1"/>
  <c r="O77" i="5"/>
  <c r="D70" i="5"/>
  <c r="D70" i="32" s="1"/>
  <c r="L72" i="5"/>
  <c r="L72" i="32" s="1"/>
  <c r="L78" i="5"/>
  <c r="L78" i="32" s="1"/>
  <c r="K77" i="5"/>
  <c r="K77" i="32" s="1"/>
  <c r="C364" i="10"/>
  <c r="D364" i="10" s="1"/>
  <c r="K69" i="5"/>
  <c r="K69" i="32" s="1"/>
  <c r="G75" i="5"/>
  <c r="G75" i="32" s="1"/>
  <c r="F72" i="5"/>
  <c r="F72" i="32" s="1"/>
  <c r="I77" i="5"/>
  <c r="I77" i="32" s="1"/>
  <c r="G72" i="5"/>
  <c r="G72" i="32" s="1"/>
  <c r="N78" i="5"/>
  <c r="N78" i="32" s="1"/>
  <c r="M72" i="5"/>
  <c r="M72" i="32" s="1"/>
  <c r="C896" i="10"/>
  <c r="D896" i="10" s="1"/>
  <c r="H78" i="5"/>
  <c r="H78" i="32" s="1"/>
  <c r="E69" i="5"/>
  <c r="E69" i="32" s="1"/>
  <c r="C989" i="10"/>
  <c r="D989" i="10" s="1"/>
  <c r="C982" i="10"/>
  <c r="D982" i="10" s="1"/>
  <c r="C645" i="10"/>
  <c r="D645" i="10" s="1"/>
  <c r="C447" i="10"/>
  <c r="D447" i="10" s="1"/>
  <c r="C118" i="10"/>
  <c r="D118" i="10" s="1"/>
  <c r="C772" i="10"/>
  <c r="D772" i="10" s="1"/>
  <c r="C216" i="10"/>
  <c r="D216" i="10" s="1"/>
  <c r="C225" i="10"/>
  <c r="D225" i="10" s="1"/>
  <c r="C986" i="10"/>
  <c r="D986" i="10" s="1"/>
  <c r="C988" i="10"/>
  <c r="D988" i="10" s="1"/>
  <c r="C92" i="10"/>
  <c r="D92" i="10" s="1"/>
  <c r="C90" i="10"/>
  <c r="D90" i="10" s="1"/>
  <c r="C427" i="10"/>
  <c r="D427" i="10" s="1"/>
  <c r="J94" i="5"/>
  <c r="J99" i="32"/>
  <c r="O92" i="5"/>
  <c r="O97" i="5"/>
  <c r="K89" i="32"/>
  <c r="C94" i="5"/>
  <c r="K94" i="32"/>
  <c r="C99" i="32"/>
  <c r="D99" i="32"/>
  <c r="M75" i="5"/>
  <c r="M75" i="32" s="1"/>
  <c r="L69" i="5"/>
  <c r="L69" i="32" s="1"/>
  <c r="H75" i="5"/>
  <c r="H75" i="32" s="1"/>
  <c r="D69" i="5"/>
  <c r="D69" i="32" s="1"/>
  <c r="J69" i="5"/>
  <c r="J69" i="32" s="1"/>
  <c r="N75" i="5"/>
  <c r="N75" i="32" s="1"/>
  <c r="M89" i="5"/>
  <c r="F74" i="32"/>
  <c r="D89" i="5"/>
  <c r="H89" i="32"/>
  <c r="G74" i="32"/>
  <c r="K68" i="32"/>
  <c r="C69" i="5"/>
  <c r="C69" i="32" s="1"/>
  <c r="G89" i="32"/>
  <c r="J74" i="32"/>
  <c r="R28" i="10"/>
  <c r="M69" i="5"/>
  <c r="M69" i="32" s="1"/>
  <c r="L89" i="32"/>
  <c r="D89" i="32"/>
  <c r="L89" i="5"/>
  <c r="N89" i="5"/>
  <c r="F69" i="5"/>
  <c r="F69" i="32" s="1"/>
  <c r="E68" i="32"/>
  <c r="I69" i="5"/>
  <c r="I69" i="32" s="1"/>
  <c r="G68" i="32"/>
  <c r="N89" i="32"/>
  <c r="O98" i="5"/>
  <c r="J99" i="5"/>
  <c r="D75" i="5"/>
  <c r="D75" i="32" s="1"/>
  <c r="M87" i="32"/>
  <c r="M89" i="32" s="1"/>
  <c r="K89" i="5"/>
  <c r="O93" i="5"/>
  <c r="G89" i="5"/>
  <c r="L94" i="32"/>
  <c r="D99" i="5"/>
  <c r="E89" i="5"/>
  <c r="H89" i="5"/>
  <c r="E94" i="32"/>
  <c r="M99" i="5"/>
  <c r="R29" i="10"/>
  <c r="R5" i="10" s="1"/>
  <c r="K75" i="5"/>
  <c r="K75" i="32" s="1"/>
  <c r="N68" i="32"/>
  <c r="E89" i="32"/>
  <c r="N94" i="5"/>
  <c r="F99" i="5"/>
  <c r="N99" i="5"/>
  <c r="I75" i="5"/>
  <c r="I75" i="32" s="1"/>
  <c r="J92" i="32"/>
  <c r="J94" i="32" s="1"/>
  <c r="N94" i="32"/>
  <c r="O68" i="5"/>
  <c r="O69" i="5" s="1"/>
  <c r="C89" i="5"/>
  <c r="C87" i="32"/>
  <c r="C509" i="10"/>
  <c r="D509" i="10" s="1"/>
  <c r="C306" i="10"/>
  <c r="D306" i="10" s="1"/>
  <c r="C937" i="10"/>
  <c r="D937" i="10" s="1"/>
  <c r="C630" i="10"/>
  <c r="D630" i="10" s="1"/>
  <c r="C219" i="10"/>
  <c r="D219" i="10" s="1"/>
  <c r="C230" i="10"/>
  <c r="D230" i="10" s="1"/>
  <c r="J88" i="32"/>
  <c r="J89" i="32" s="1"/>
  <c r="J89" i="5"/>
  <c r="C191" i="10"/>
  <c r="D191" i="10" s="1"/>
  <c r="C925" i="10"/>
  <c r="D925" i="10" s="1"/>
  <c r="C762" i="10"/>
  <c r="D762" i="10" s="1"/>
  <c r="C957" i="10"/>
  <c r="D957" i="10" s="1"/>
  <c r="C377" i="10"/>
  <c r="D377" i="10" s="1"/>
  <c r="C435" i="10"/>
  <c r="D435" i="10" s="1"/>
  <c r="C276" i="10"/>
  <c r="D276" i="10" s="1"/>
  <c r="C907" i="10"/>
  <c r="D907" i="10" s="1"/>
  <c r="C622" i="10"/>
  <c r="D622" i="10" s="1"/>
  <c r="C434" i="10"/>
  <c r="D434" i="10" s="1"/>
  <c r="C607" i="10"/>
  <c r="D607" i="10" s="1"/>
  <c r="C227" i="10"/>
  <c r="D227" i="10" s="1"/>
  <c r="C550" i="10"/>
  <c r="D550" i="10" s="1"/>
  <c r="C351" i="10"/>
  <c r="D351" i="10" s="1"/>
  <c r="R26" i="10"/>
  <c r="H68" i="32"/>
  <c r="H69" i="5"/>
  <c r="H69" i="32" s="1"/>
  <c r="C75" i="5"/>
  <c r="C75" i="32" s="1"/>
  <c r="C74" i="32"/>
  <c r="E75" i="5"/>
  <c r="E75" i="32" s="1"/>
  <c r="E74" i="32"/>
  <c r="F89" i="5"/>
  <c r="F87" i="32"/>
  <c r="F89" i="32" s="1"/>
  <c r="C326" i="10"/>
  <c r="D326" i="10" s="1"/>
  <c r="C214" i="10"/>
  <c r="D214" i="10" s="1"/>
  <c r="C601" i="10"/>
  <c r="D601" i="10" s="1"/>
  <c r="C268" i="10"/>
  <c r="D268" i="10" s="1"/>
  <c r="C750" i="10"/>
  <c r="D750" i="10" s="1"/>
  <c r="C552" i="10"/>
  <c r="D552" i="10" s="1"/>
  <c r="C755" i="10"/>
  <c r="D755" i="10" s="1"/>
  <c r="C538" i="10"/>
  <c r="D538" i="10" s="1"/>
  <c r="C594" i="10"/>
  <c r="D594" i="10" s="1"/>
  <c r="C309" i="10"/>
  <c r="D309" i="10" s="1"/>
  <c r="C519" i="10"/>
  <c r="D519" i="10" s="1"/>
  <c r="C182" i="10"/>
  <c r="D182" i="10" s="1"/>
  <c r="C757" i="10"/>
  <c r="D757" i="10" s="1"/>
  <c r="C961" i="10"/>
  <c r="D961" i="10" s="1"/>
  <c r="C359" i="10"/>
  <c r="D359" i="10" s="1"/>
  <c r="C690" i="10"/>
  <c r="D690" i="10" s="1"/>
  <c r="C582" i="10"/>
  <c r="D582" i="10" s="1"/>
  <c r="C998" i="10"/>
  <c r="D998" i="10" s="1"/>
  <c r="C801" i="10"/>
  <c r="D801" i="10" s="1"/>
  <c r="C336" i="10"/>
  <c r="D336" i="10" s="1"/>
  <c r="C815" i="10"/>
  <c r="D815" i="10" s="1"/>
  <c r="C838" i="10"/>
  <c r="D838" i="10" s="1"/>
  <c r="C406" i="10"/>
  <c r="D406" i="10" s="1"/>
  <c r="C575" i="10"/>
  <c r="D575" i="10" s="1"/>
  <c r="C299" i="10"/>
  <c r="D299" i="10" s="1"/>
  <c r="C463" i="10"/>
  <c r="D463" i="10" s="1"/>
  <c r="C592" i="10"/>
  <c r="D592" i="10" s="1"/>
  <c r="C161" i="10"/>
  <c r="D161" i="10" s="1"/>
  <c r="L74" i="32"/>
  <c r="C300" i="10"/>
  <c r="D300" i="10" s="1"/>
  <c r="C328" i="10"/>
  <c r="D328" i="10" s="1"/>
  <c r="C355" i="10"/>
  <c r="D355" i="10" s="1"/>
  <c r="C63" i="10"/>
  <c r="D63" i="10" s="1"/>
  <c r="C133" i="10"/>
  <c r="D133" i="10" s="1"/>
  <c r="C134" i="10"/>
  <c r="D134" i="10" s="1"/>
  <c r="C780" i="10"/>
  <c r="D780" i="10" s="1"/>
  <c r="C171" i="10"/>
  <c r="D171" i="10" s="1"/>
  <c r="C325" i="10"/>
  <c r="D325" i="10" s="1"/>
  <c r="C789" i="10"/>
  <c r="D789" i="10" s="1"/>
  <c r="C741" i="10"/>
  <c r="D741" i="10" s="1"/>
  <c r="C685" i="10"/>
  <c r="D685" i="10" s="1"/>
  <c r="C402" i="10"/>
  <c r="D402" i="10" s="1"/>
  <c r="C983" i="10"/>
  <c r="D983" i="10" s="1"/>
  <c r="O74" i="5"/>
  <c r="O75" i="5" s="1"/>
  <c r="O89" i="5"/>
  <c r="R27" i="10"/>
  <c r="I87" i="32"/>
  <c r="I89" i="32" s="1"/>
  <c r="I89" i="5"/>
  <c r="C880" i="10"/>
  <c r="D880" i="10" s="1"/>
  <c r="C152" i="10"/>
  <c r="D152" i="10" s="1"/>
  <c r="C244" i="10"/>
  <c r="D244" i="10" s="1"/>
  <c r="C394" i="10"/>
  <c r="D394" i="10" s="1"/>
  <c r="C148" i="10"/>
  <c r="D148" i="10" s="1"/>
  <c r="C78" i="10"/>
  <c r="D78" i="10" s="1"/>
  <c r="C976" i="10"/>
  <c r="D976" i="10" s="1"/>
  <c r="C674" i="10"/>
  <c r="D674" i="10" s="1"/>
  <c r="C68" i="10"/>
  <c r="D68" i="10" s="1"/>
  <c r="C96" i="10"/>
  <c r="D96" i="10" s="1"/>
  <c r="C987" i="10"/>
  <c r="D987" i="10" s="1"/>
  <c r="C141" i="10"/>
  <c r="D141" i="10" s="1"/>
  <c r="C993" i="10"/>
  <c r="D993" i="10" s="1"/>
  <c r="C566" i="10"/>
  <c r="D566" i="10" s="1"/>
  <c r="C254" i="10"/>
  <c r="D254" i="10" s="1"/>
  <c r="C62" i="10"/>
  <c r="D62" i="10" s="1"/>
  <c r="C426" i="10"/>
  <c r="D426" i="10" s="1"/>
  <c r="C688" i="10"/>
  <c r="D688" i="10" s="1"/>
  <c r="C411" i="10"/>
  <c r="D411" i="10" s="1"/>
  <c r="C544" i="10"/>
  <c r="D544" i="10" s="1"/>
  <c r="C742" i="10"/>
  <c r="D742" i="10" s="1"/>
  <c r="C354" i="10"/>
  <c r="D354" i="10" s="1"/>
  <c r="C631" i="10"/>
  <c r="D631" i="10" s="1"/>
  <c r="C381" i="10"/>
  <c r="D381" i="10" s="1"/>
  <c r="C547" i="10"/>
  <c r="D547" i="10" s="1"/>
  <c r="C424" i="10"/>
  <c r="D424" i="10" s="1"/>
  <c r="C508" i="10"/>
  <c r="D508" i="10" s="1"/>
  <c r="C265" i="10"/>
  <c r="D265" i="10" s="1"/>
  <c r="C425" i="10"/>
  <c r="D425" i="10" s="1"/>
  <c r="C641" i="10"/>
  <c r="D641" i="10" s="1"/>
  <c r="C116" i="10"/>
  <c r="D116" i="10" s="1"/>
  <c r="C395" i="10"/>
  <c r="D395" i="10" s="1"/>
  <c r="C42" i="10"/>
  <c r="D42" i="10" s="1"/>
  <c r="C686" i="10"/>
  <c r="D686" i="10" s="1"/>
  <c r="C906" i="10"/>
  <c r="D906" i="10" s="1"/>
  <c r="C362" i="10"/>
  <c r="D362" i="10" s="1"/>
  <c r="C464" i="10"/>
  <c r="D464" i="10" s="1"/>
  <c r="C410" i="10"/>
  <c r="D410" i="10" s="1"/>
  <c r="C719" i="10"/>
  <c r="D719" i="10" s="1"/>
  <c r="C97" i="10"/>
  <c r="D97" i="10" s="1"/>
  <c r="C350" i="10"/>
  <c r="D350" i="10" s="1"/>
  <c r="C609" i="10"/>
  <c r="D609" i="10" s="1"/>
  <c r="C545" i="10"/>
  <c r="D545" i="10" s="1"/>
  <c r="C809" i="10"/>
  <c r="D809" i="10" s="1"/>
  <c r="C286" i="10"/>
  <c r="D286" i="10" s="1"/>
  <c r="C865" i="10"/>
  <c r="D865" i="10" s="1"/>
  <c r="C208" i="10"/>
  <c r="D208" i="10" s="1"/>
  <c r="C784" i="10"/>
  <c r="D784" i="10" s="1"/>
  <c r="C577" i="10"/>
  <c r="D577" i="10" s="1"/>
  <c r="C76" i="10"/>
  <c r="D76" i="10" s="1"/>
  <c r="C939" i="10"/>
  <c r="D939" i="10" s="1"/>
  <c r="C312" i="10"/>
  <c r="D312" i="10" s="1"/>
  <c r="C206" i="10"/>
  <c r="D206" i="10" s="1"/>
  <c r="C811" i="10"/>
  <c r="D811" i="10" s="1"/>
  <c r="C332" i="10"/>
  <c r="D332" i="10" s="1"/>
  <c r="C695" i="10"/>
  <c r="D695" i="10" s="1"/>
  <c r="C54" i="10"/>
  <c r="D54" i="10" s="1"/>
  <c r="C455" i="10"/>
  <c r="D455" i="10" s="1"/>
  <c r="C795" i="10"/>
  <c r="D795" i="10" s="1"/>
  <c r="C422" i="10"/>
  <c r="D422" i="10" s="1"/>
  <c r="C563" i="10"/>
  <c r="D563" i="10" s="1"/>
  <c r="C60" i="10"/>
  <c r="D60" i="10" s="1"/>
  <c r="C392" i="10"/>
  <c r="D392" i="10" s="1"/>
  <c r="C712" i="10"/>
  <c r="D712" i="10" s="1"/>
  <c r="C393" i="10"/>
  <c r="D393" i="10" s="1"/>
  <c r="C568" i="10"/>
  <c r="D568" i="10" s="1"/>
  <c r="C912" i="10"/>
  <c r="D912" i="10" s="1"/>
  <c r="C734" i="10"/>
  <c r="D734" i="10" s="1"/>
  <c r="C273" i="10"/>
  <c r="D273" i="10" s="1"/>
  <c r="C457" i="10"/>
  <c r="D457" i="10" s="1"/>
  <c r="C677" i="10"/>
  <c r="D677" i="10" s="1"/>
  <c r="C181" i="10"/>
  <c r="D181" i="10" s="1"/>
  <c r="C353" i="10"/>
  <c r="D353" i="10" s="1"/>
  <c r="C58" i="10"/>
  <c r="D58" i="10" s="1"/>
  <c r="C495" i="10"/>
  <c r="D495" i="10" s="1"/>
  <c r="C89" i="10"/>
  <c r="D89" i="10" s="1"/>
  <c r="C421" i="10"/>
  <c r="D421" i="10" s="1"/>
  <c r="C32" i="10"/>
  <c r="D32" i="10" s="1"/>
  <c r="C658" i="10"/>
  <c r="D658" i="10" s="1"/>
  <c r="G92" i="32"/>
  <c r="G94" i="32" s="1"/>
  <c r="G94" i="5"/>
  <c r="G97" i="32"/>
  <c r="G99" i="32" s="1"/>
  <c r="G99" i="5"/>
  <c r="C338" i="10"/>
  <c r="D338" i="10" s="1"/>
  <c r="C405" i="10"/>
  <c r="D405" i="10" s="1"/>
  <c r="C73" i="10"/>
  <c r="D73" i="10" s="1"/>
  <c r="C66" i="10"/>
  <c r="D66" i="10" s="1"/>
  <c r="C726" i="10"/>
  <c r="D726" i="10" s="1"/>
  <c r="C698" i="10"/>
  <c r="D698" i="10" s="1"/>
  <c r="C94" i="10"/>
  <c r="D94" i="10" s="1"/>
  <c r="C924" i="10"/>
  <c r="D924" i="10" s="1"/>
  <c r="C919" i="10"/>
  <c r="D919" i="10" s="1"/>
  <c r="C964" i="10"/>
  <c r="D964" i="10" s="1"/>
  <c r="C459" i="10"/>
  <c r="D459" i="10" s="1"/>
  <c r="C767" i="10"/>
  <c r="D767" i="10" s="1"/>
  <c r="C662" i="10"/>
  <c r="D662" i="10" s="1"/>
  <c r="C828" i="10"/>
  <c r="D828" i="10" s="1"/>
  <c r="C34" i="10"/>
  <c r="D34" i="10" s="1"/>
  <c r="C701" i="10"/>
  <c r="D701" i="10" s="1"/>
  <c r="C626" i="10"/>
  <c r="D626" i="10" s="1"/>
  <c r="C675" i="10"/>
  <c r="D675" i="10" s="1"/>
  <c r="C756" i="10"/>
  <c r="D756" i="10" s="1"/>
  <c r="C944" i="10"/>
  <c r="D944" i="10" s="1"/>
  <c r="C722" i="10"/>
  <c r="D722" i="10" s="1"/>
  <c r="C246" i="10"/>
  <c r="D246" i="10" s="1"/>
  <c r="C204" i="10"/>
  <c r="D204" i="10" s="1"/>
  <c r="C681" i="10"/>
  <c r="D681" i="10" s="1"/>
  <c r="C129" i="10"/>
  <c r="D129" i="10" s="1"/>
  <c r="C248" i="10"/>
  <c r="D248" i="10" s="1"/>
  <c r="C597" i="10"/>
  <c r="D597" i="10" s="1"/>
  <c r="C832" i="10"/>
  <c r="D832" i="10" s="1"/>
  <c r="C930" i="10"/>
  <c r="D930" i="10" s="1"/>
  <c r="C284" i="10"/>
  <c r="D284" i="10" s="1"/>
  <c r="C749" i="10"/>
  <c r="D749" i="10" s="1"/>
  <c r="C223" i="10"/>
  <c r="D223" i="10" s="1"/>
  <c r="C398" i="10"/>
  <c r="D398" i="10" s="1"/>
  <c r="C283" i="10"/>
  <c r="D283" i="10" s="1"/>
  <c r="C482" i="10"/>
  <c r="D482" i="10" s="1"/>
  <c r="C715" i="10"/>
  <c r="D715" i="10" s="1"/>
  <c r="C632" i="10"/>
  <c r="D632" i="10" s="1"/>
  <c r="C764" i="10"/>
  <c r="D764" i="10" s="1"/>
  <c r="C372" i="10"/>
  <c r="D372" i="10" s="1"/>
  <c r="C923" i="10"/>
  <c r="D923" i="10" s="1"/>
  <c r="C702" i="10"/>
  <c r="D702" i="10" s="1"/>
  <c r="C106" i="10"/>
  <c r="D106" i="10" s="1"/>
  <c r="C856" i="10"/>
  <c r="D856" i="10" s="1"/>
  <c r="C714" i="10"/>
  <c r="D714" i="10" s="1"/>
  <c r="C155" i="10"/>
  <c r="D155" i="10" s="1"/>
  <c r="C61" i="10"/>
  <c r="D61" i="10" s="1"/>
  <c r="C513" i="10"/>
  <c r="D513" i="10" s="1"/>
  <c r="C871" i="10"/>
  <c r="D871" i="10" s="1"/>
  <c r="C718" i="10"/>
  <c r="D718" i="10" s="1"/>
  <c r="C232" i="10"/>
  <c r="D232" i="10" s="1"/>
  <c r="C583" i="10"/>
  <c r="D583" i="10" s="1"/>
  <c r="C195" i="10"/>
  <c r="D195" i="10" s="1"/>
  <c r="C669" i="10"/>
  <c r="D669" i="10" s="1"/>
  <c r="C259" i="10"/>
  <c r="D259" i="10" s="1"/>
  <c r="C433" i="10"/>
  <c r="D433" i="10" s="1"/>
  <c r="C613" i="10"/>
  <c r="D613" i="10" s="1"/>
  <c r="C672" i="10"/>
  <c r="D672" i="10" s="1"/>
  <c r="C769" i="10"/>
  <c r="D769" i="10" s="1"/>
  <c r="C502" i="10"/>
  <c r="D502" i="10" s="1"/>
  <c r="C197" i="10"/>
  <c r="D197" i="10" s="1"/>
  <c r="C710" i="10"/>
  <c r="D710" i="10" s="1"/>
  <c r="C967" i="10"/>
  <c r="D967" i="10" s="1"/>
  <c r="C786" i="10"/>
  <c r="D786" i="10" s="1"/>
  <c r="C443" i="10"/>
  <c r="D443" i="10" s="1"/>
  <c r="C41" i="10"/>
  <c r="D41" i="10" s="1"/>
  <c r="C130" i="10"/>
  <c r="D130" i="10" s="1"/>
  <c r="C941" i="10"/>
  <c r="D941" i="10" s="1"/>
  <c r="C897" i="10"/>
  <c r="D897" i="10" s="1"/>
  <c r="C790" i="10"/>
  <c r="D790" i="10" s="1"/>
  <c r="C970" i="10"/>
  <c r="D970" i="10" s="1"/>
  <c r="C167" i="10"/>
  <c r="D167" i="10" s="1"/>
  <c r="C135" i="10"/>
  <c r="D135" i="10" s="1"/>
  <c r="C80" i="10"/>
  <c r="D80" i="10" s="1"/>
  <c r="C122" i="10"/>
  <c r="D122" i="10" s="1"/>
  <c r="C602" i="10"/>
  <c r="D602" i="10" s="1"/>
  <c r="C536" i="10"/>
  <c r="D536" i="10" s="1"/>
  <c r="C571" i="10"/>
  <c r="D571" i="10" s="1"/>
  <c r="C879" i="10"/>
  <c r="D879" i="10" s="1"/>
  <c r="C711" i="10"/>
  <c r="D711" i="10" s="1"/>
  <c r="C913" i="10"/>
  <c r="D913" i="10" s="1"/>
  <c r="C803" i="10"/>
  <c r="D803" i="10" s="1"/>
  <c r="C822" i="10"/>
  <c r="D822" i="10" s="1"/>
  <c r="C866" i="10"/>
  <c r="D866" i="10" s="1"/>
  <c r="C725" i="10"/>
  <c r="D725" i="10" s="1"/>
  <c r="C318" i="10"/>
  <c r="D318" i="10" s="1"/>
  <c r="C190" i="10"/>
  <c r="D190" i="10" s="1"/>
  <c r="C995" i="10"/>
  <c r="D995" i="10" s="1"/>
  <c r="C530" i="10"/>
  <c r="D530" i="10" s="1"/>
  <c r="C700" i="10"/>
  <c r="D700" i="10" s="1"/>
  <c r="C783" i="10"/>
  <c r="D783" i="10" s="1"/>
  <c r="C400" i="10"/>
  <c r="D400" i="10" s="1"/>
  <c r="C829" i="10"/>
  <c r="D829" i="10" s="1"/>
  <c r="C551" i="10"/>
  <c r="D551" i="10" s="1"/>
  <c r="C74" i="10"/>
  <c r="D74" i="10" s="1"/>
  <c r="C904" i="10"/>
  <c r="D904" i="10" s="1"/>
  <c r="C778" i="10"/>
  <c r="D778" i="10" s="1"/>
  <c r="C186" i="10"/>
  <c r="D186" i="10" s="1"/>
  <c r="C115" i="10"/>
  <c r="D115" i="10" s="1"/>
  <c r="C340" i="10"/>
  <c r="D340" i="10" s="1"/>
  <c r="C771" i="10"/>
  <c r="D771" i="10" s="1"/>
  <c r="C918" i="10"/>
  <c r="D918" i="10" s="1"/>
  <c r="C75" i="10"/>
  <c r="D75" i="10" s="1"/>
  <c r="C388" i="10"/>
  <c r="D388" i="10" s="1"/>
  <c r="C84" i="10"/>
  <c r="D84" i="10" s="1"/>
  <c r="C282" i="10"/>
  <c r="D282" i="10" s="1"/>
  <c r="C323" i="10"/>
  <c r="D323" i="10" s="1"/>
  <c r="C593" i="10"/>
  <c r="D593" i="10" s="1"/>
  <c r="C905" i="10"/>
  <c r="D905" i="10" s="1"/>
  <c r="C648" i="10"/>
  <c r="D648" i="10" s="1"/>
  <c r="C708" i="10"/>
  <c r="D708" i="10" s="1"/>
  <c r="C785" i="10"/>
  <c r="D785" i="10" s="1"/>
  <c r="C220" i="10"/>
  <c r="D220" i="10" s="1"/>
  <c r="C996" i="10"/>
  <c r="D996" i="10" s="1"/>
  <c r="C533" i="10"/>
  <c r="D533" i="10" s="1"/>
  <c r="C138" i="10"/>
  <c r="D138" i="10" s="1"/>
  <c r="C810" i="10"/>
  <c r="D810" i="10" s="1"/>
  <c r="C139" i="10"/>
  <c r="D139" i="10" s="1"/>
  <c r="C185" i="10"/>
  <c r="D185" i="10" s="1"/>
  <c r="C653" i="10"/>
  <c r="D653" i="10" s="1"/>
  <c r="C956" i="10"/>
  <c r="D956" i="10" s="1"/>
  <c r="C846" i="10"/>
  <c r="D846" i="10" s="1"/>
  <c r="C316" i="10"/>
  <c r="D316" i="10" s="1"/>
  <c r="C99" i="10"/>
  <c r="D99" i="10" s="1"/>
  <c r="C237" i="10"/>
  <c r="D237" i="10" s="1"/>
  <c r="C452" i="10"/>
  <c r="D452" i="10" s="1"/>
  <c r="C301" i="10"/>
  <c r="D301" i="10" s="1"/>
  <c r="C529" i="10"/>
  <c r="D529" i="10" s="1"/>
  <c r="C787" i="10"/>
  <c r="D787" i="10" s="1"/>
  <c r="C620" i="10"/>
  <c r="D620" i="10" s="1"/>
  <c r="C692" i="10"/>
  <c r="D692" i="10" s="1"/>
  <c r="C788" i="10"/>
  <c r="D788" i="10" s="1"/>
  <c r="C432" i="10"/>
  <c r="D432" i="10" s="1"/>
  <c r="C83" i="10"/>
  <c r="D83" i="10" s="1"/>
  <c r="C963" i="10"/>
  <c r="D963" i="10" s="1"/>
  <c r="C922" i="10"/>
  <c r="D922" i="10" s="1"/>
  <c r="C997" i="10"/>
  <c r="D997" i="10" s="1"/>
  <c r="C380" i="10"/>
  <c r="D380" i="10" s="1"/>
  <c r="C146" i="10"/>
  <c r="D146" i="10" s="1"/>
  <c r="C893" i="10"/>
  <c r="D893" i="10" s="1"/>
  <c r="C852" i="10"/>
  <c r="D852" i="10" s="1"/>
  <c r="C842" i="10"/>
  <c r="D842" i="10" s="1"/>
  <c r="C210" i="10"/>
  <c r="D210" i="10" s="1"/>
  <c r="C159" i="10"/>
  <c r="D159" i="10" s="1"/>
  <c r="C127" i="10"/>
  <c r="D127" i="10" s="1"/>
  <c r="C45" i="10"/>
  <c r="D45" i="10" s="1"/>
  <c r="C308" i="10"/>
  <c r="D308" i="10" s="1"/>
  <c r="C554" i="10"/>
  <c r="D554" i="10" s="1"/>
  <c r="C807" i="10"/>
  <c r="D807" i="10" s="1"/>
  <c r="C977" i="10"/>
  <c r="D977" i="10" s="1"/>
  <c r="C973" i="10"/>
  <c r="D973" i="10" s="1"/>
  <c r="C878" i="10"/>
  <c r="D878" i="10" s="1"/>
  <c r="C39" i="10"/>
  <c r="D39" i="10" s="1"/>
  <c r="C909" i="10"/>
  <c r="D909" i="10" s="1"/>
  <c r="C456" i="10"/>
  <c r="D456" i="10" s="1"/>
  <c r="C758" i="10"/>
  <c r="D758" i="10" s="1"/>
  <c r="C833" i="10"/>
  <c r="D833" i="10" s="1"/>
  <c r="C239" i="10"/>
  <c r="D239" i="10" s="1"/>
  <c r="C180" i="10"/>
  <c r="D180" i="10" s="1"/>
  <c r="C540" i="10"/>
  <c r="D540" i="10" s="1"/>
  <c r="C610" i="10"/>
  <c r="D610" i="10" s="1"/>
  <c r="C737" i="10"/>
  <c r="D737" i="10" s="1"/>
  <c r="C774" i="10"/>
  <c r="D774" i="10" s="1"/>
  <c r="C860" i="10"/>
  <c r="D860" i="10" s="1"/>
  <c r="C145" i="10"/>
  <c r="D145" i="10" s="1"/>
  <c r="C802" i="10"/>
  <c r="D802" i="10" s="1"/>
  <c r="C556" i="10"/>
  <c r="D556" i="10" s="1"/>
  <c r="C537" i="10"/>
  <c r="D537" i="10" s="1"/>
  <c r="C409" i="10"/>
  <c r="D409" i="10" s="1"/>
  <c r="C616" i="10"/>
  <c r="D616" i="10" s="1"/>
  <c r="C743" i="10"/>
  <c r="D743" i="10" s="1"/>
  <c r="C730" i="10"/>
  <c r="D730" i="10" s="1"/>
  <c r="C177" i="10"/>
  <c r="D177" i="10" s="1"/>
  <c r="C823" i="10"/>
  <c r="D823" i="10" s="1"/>
  <c r="C109" i="10"/>
  <c r="D109" i="10" s="1"/>
  <c r="C1001" i="10"/>
  <c r="D1001" i="10" s="1"/>
  <c r="C55" i="10"/>
  <c r="D55" i="10" s="1"/>
  <c r="C50" i="10"/>
  <c r="D50" i="10" s="1"/>
  <c r="C531" i="10"/>
  <c r="D531" i="10" s="1"/>
  <c r="C636" i="10"/>
  <c r="D636" i="10" s="1"/>
  <c r="C966" i="10"/>
  <c r="D966" i="10" s="1"/>
  <c r="C863" i="10"/>
  <c r="D863" i="10" s="1"/>
  <c r="C296" i="10"/>
  <c r="D296" i="10" s="1"/>
  <c r="C162" i="10"/>
  <c r="D162" i="10" s="1"/>
  <c r="C804" i="10"/>
  <c r="D804" i="10" s="1"/>
  <c r="C198" i="10"/>
  <c r="D198" i="10" s="1"/>
  <c r="C119" i="10"/>
  <c r="D119" i="10" s="1"/>
  <c r="C262" i="10"/>
  <c r="D262" i="10" s="1"/>
  <c r="C604" i="10"/>
  <c r="D604" i="10" s="1"/>
  <c r="C892" i="10"/>
  <c r="D892" i="10" s="1"/>
  <c r="C931" i="10"/>
  <c r="D931" i="10" s="1"/>
  <c r="C942" i="10"/>
  <c r="D942" i="10" s="1"/>
  <c r="C252" i="10"/>
  <c r="D252" i="10" s="1"/>
  <c r="C429" i="10"/>
  <c r="D429" i="10" s="1"/>
  <c r="C565" i="10"/>
  <c r="D565" i="10" s="1"/>
  <c r="C82" i="10"/>
  <c r="D82" i="10" s="1"/>
  <c r="C211" i="10"/>
  <c r="D211" i="10" s="1"/>
  <c r="C298" i="10"/>
  <c r="D298" i="10" s="1"/>
  <c r="C569" i="10"/>
  <c r="D569" i="10" s="1"/>
  <c r="C572" i="10"/>
  <c r="D572" i="10" s="1"/>
  <c r="C291" i="10"/>
  <c r="D291" i="10" s="1"/>
  <c r="C373" i="10"/>
  <c r="D373" i="10" s="1"/>
  <c r="C454" i="10"/>
  <c r="D454" i="10" s="1"/>
  <c r="C773" i="10"/>
  <c r="D773" i="10" s="1"/>
  <c r="C647" i="10"/>
  <c r="D647" i="10" s="1"/>
  <c r="C891" i="10"/>
  <c r="D891" i="10" s="1"/>
  <c r="C965" i="10"/>
  <c r="D965" i="10" s="1"/>
  <c r="C855" i="10"/>
  <c r="D855" i="10" s="1"/>
  <c r="C476" i="10"/>
  <c r="D476" i="10" s="1"/>
  <c r="C128" i="10"/>
  <c r="D128" i="10" s="1"/>
  <c r="C890" i="10"/>
  <c r="D890" i="10" s="1"/>
  <c r="C776" i="10"/>
  <c r="D776" i="10" s="1"/>
  <c r="C619" i="10"/>
  <c r="D619" i="10" s="1"/>
  <c r="C539" i="10"/>
  <c r="D539" i="10" s="1"/>
  <c r="C26" i="10"/>
  <c r="D26" i="10" s="1"/>
  <c r="C596" i="10"/>
  <c r="D596" i="10" s="1"/>
  <c r="C514" i="10"/>
  <c r="D514" i="10" s="1"/>
  <c r="C441" i="10"/>
  <c r="D441" i="10" s="1"/>
  <c r="C375" i="10"/>
  <c r="D375" i="10" s="1"/>
  <c r="C343" i="10"/>
  <c r="D343" i="10" s="1"/>
  <c r="C313" i="10"/>
  <c r="D313" i="10" s="1"/>
  <c r="C281" i="10"/>
  <c r="D281" i="10" s="1"/>
  <c r="C249" i="10"/>
  <c r="D249" i="10" s="1"/>
  <c r="C605" i="10"/>
  <c r="D605" i="10" s="1"/>
  <c r="C501" i="10"/>
  <c r="D501" i="10" s="1"/>
  <c r="C390" i="10"/>
  <c r="D390" i="10" s="1"/>
  <c r="C606" i="10"/>
  <c r="D606" i="10" s="1"/>
  <c r="C222" i="10"/>
  <c r="D222" i="10" s="1"/>
  <c r="C972" i="10"/>
  <c r="D972" i="10" s="1"/>
  <c r="C526" i="10"/>
  <c r="D526" i="10" s="1"/>
  <c r="C868" i="10"/>
  <c r="D868" i="10" s="1"/>
  <c r="C423" i="10"/>
  <c r="D423" i="10" s="1"/>
  <c r="C471" i="10"/>
  <c r="D471" i="10" s="1"/>
  <c r="C240" i="10"/>
  <c r="D240" i="10" s="1"/>
  <c r="C221" i="10"/>
  <c r="D221" i="10" s="1"/>
  <c r="C153" i="10"/>
  <c r="D153" i="10" s="1"/>
  <c r="C673" i="10"/>
  <c r="D673" i="10" s="1"/>
  <c r="C117" i="10"/>
  <c r="D117" i="10" s="1"/>
  <c r="C279" i="10"/>
  <c r="D279" i="10" s="1"/>
  <c r="C642" i="10"/>
  <c r="D642" i="10" s="1"/>
  <c r="C819" i="10"/>
  <c r="D819" i="10" s="1"/>
  <c r="C881" i="10"/>
  <c r="D881" i="10" s="1"/>
  <c r="C126" i="10"/>
  <c r="D126" i="10" s="1"/>
  <c r="C886" i="10"/>
  <c r="D886" i="10" s="1"/>
  <c r="C85" i="10"/>
  <c r="D85" i="10" s="1"/>
  <c r="C836" i="10"/>
  <c r="D836" i="10" s="1"/>
  <c r="C64" i="10"/>
  <c r="D64" i="10" s="1"/>
  <c r="C553" i="10"/>
  <c r="D553" i="10" s="1"/>
  <c r="C496" i="10"/>
  <c r="D496" i="10" s="1"/>
  <c r="C665" i="10"/>
  <c r="D665" i="10" s="1"/>
  <c r="C824" i="10"/>
  <c r="D824" i="10" s="1"/>
  <c r="C873" i="10"/>
  <c r="D873" i="10" s="1"/>
  <c r="C172" i="10"/>
  <c r="D172" i="10" s="1"/>
  <c r="C938" i="10"/>
  <c r="D938" i="10" s="1"/>
  <c r="C280" i="10"/>
  <c r="D280" i="10" s="1"/>
  <c r="C867" i="10"/>
  <c r="D867" i="10" s="1"/>
  <c r="C747" i="10"/>
  <c r="D747" i="10" s="1"/>
  <c r="C321" i="10"/>
  <c r="D321" i="10" s="1"/>
  <c r="C618" i="10"/>
  <c r="D618" i="10" s="1"/>
  <c r="C479" i="10"/>
  <c r="D479" i="10" s="1"/>
  <c r="C535" i="10"/>
  <c r="D535" i="10" s="1"/>
  <c r="C158" i="10"/>
  <c r="D158" i="10" s="1"/>
  <c r="C217" i="10"/>
  <c r="D217" i="10" s="1"/>
  <c r="C189" i="10"/>
  <c r="D189" i="10" s="1"/>
  <c r="C739" i="10"/>
  <c r="D739" i="10" s="1"/>
  <c r="C687" i="10"/>
  <c r="D687" i="10" s="1"/>
  <c r="C958" i="10"/>
  <c r="D958" i="10" s="1"/>
  <c r="C174" i="10"/>
  <c r="D174" i="10" s="1"/>
  <c r="C952" i="10"/>
  <c r="D952" i="10" s="1"/>
  <c r="C79" i="10"/>
  <c r="D79" i="10" s="1"/>
  <c r="C341" i="10"/>
  <c r="D341" i="10" s="1"/>
  <c r="C748" i="10"/>
  <c r="D748" i="10" s="1"/>
  <c r="C839" i="10"/>
  <c r="D839" i="10" s="1"/>
  <c r="C625" i="10"/>
  <c r="D625" i="10" s="1"/>
  <c r="C114" i="10"/>
  <c r="D114" i="10" s="1"/>
  <c r="C694" i="10"/>
  <c r="D694" i="10" s="1"/>
  <c r="C151" i="10"/>
  <c r="D151" i="10" s="1"/>
  <c r="C696" i="10"/>
  <c r="D696" i="10" s="1"/>
  <c r="C845" i="10"/>
  <c r="D845" i="10" s="1"/>
  <c r="C814" i="10"/>
  <c r="D814" i="10" s="1"/>
  <c r="C288" i="10"/>
  <c r="D288" i="10" s="1"/>
  <c r="C467" i="10"/>
  <c r="D467" i="10" s="1"/>
  <c r="C93" i="10"/>
  <c r="D93" i="10" s="1"/>
  <c r="C179" i="10"/>
  <c r="D179" i="10" s="1"/>
  <c r="C440" i="10"/>
  <c r="D440" i="10" s="1"/>
  <c r="C487" i="10"/>
  <c r="D487" i="10" s="1"/>
  <c r="C311" i="10"/>
  <c r="D311" i="10" s="1"/>
  <c r="C633" i="10"/>
  <c r="D633" i="10" s="1"/>
  <c r="C768" i="10"/>
  <c r="D768" i="10" s="1"/>
  <c r="C683" i="10"/>
  <c r="D683" i="10" s="1"/>
  <c r="C862" i="10"/>
  <c r="D862" i="10" s="1"/>
  <c r="C754" i="10"/>
  <c r="D754" i="10" s="1"/>
  <c r="C991" i="10"/>
  <c r="D991" i="10" s="1"/>
  <c r="C816" i="10"/>
  <c r="D816" i="10" s="1"/>
  <c r="C600" i="10"/>
  <c r="D600" i="10" s="1"/>
  <c r="C507" i="10"/>
  <c r="D507" i="10" s="1"/>
  <c r="C643" i="10"/>
  <c r="D643" i="10" s="1"/>
  <c r="C493" i="10"/>
  <c r="D493" i="10" s="1"/>
  <c r="C413" i="10"/>
  <c r="D413" i="10" s="1"/>
  <c r="C383" i="10"/>
  <c r="D383" i="10" s="1"/>
  <c r="C335" i="10"/>
  <c r="D335" i="10" s="1"/>
  <c r="C297" i="10"/>
  <c r="D297" i="10" s="1"/>
  <c r="C257" i="10"/>
  <c r="D257" i="10" s="1"/>
  <c r="C581" i="10"/>
  <c r="D581" i="10" s="1"/>
  <c r="C445" i="10"/>
  <c r="D445" i="10" s="1"/>
  <c r="C723" i="10"/>
  <c r="D723" i="10" s="1"/>
  <c r="C278" i="10"/>
  <c r="D278" i="10" s="1"/>
  <c r="C831" i="10"/>
  <c r="D831" i="10" s="1"/>
  <c r="C228" i="10"/>
  <c r="D228" i="10" s="1"/>
  <c r="C451" i="10"/>
  <c r="D451" i="10" s="1"/>
  <c r="C98" i="10"/>
  <c r="D98" i="10" s="1"/>
  <c r="C887" i="10"/>
  <c r="D887" i="10" s="1"/>
  <c r="C805" i="10"/>
  <c r="D805" i="10" s="1"/>
  <c r="C608" i="10"/>
  <c r="D608" i="10" s="1"/>
  <c r="C528" i="10"/>
  <c r="D528" i="10" s="1"/>
  <c r="C680" i="10"/>
  <c r="D680" i="10" s="1"/>
  <c r="C525" i="10"/>
  <c r="D525" i="10" s="1"/>
  <c r="C430" i="10"/>
  <c r="D430" i="10" s="1"/>
  <c r="C371" i="10"/>
  <c r="D371" i="10" s="1"/>
  <c r="C329" i="10"/>
  <c r="D329" i="10" s="1"/>
  <c r="C255" i="10"/>
  <c r="D255" i="10" s="1"/>
  <c r="C591" i="10"/>
  <c r="D591" i="10" s="1"/>
  <c r="C448" i="10"/>
  <c r="D448" i="10" s="1"/>
  <c r="C599" i="10"/>
  <c r="D599" i="10" s="1"/>
  <c r="C460" i="10"/>
  <c r="D460" i="10" s="1"/>
  <c r="C322" i="10"/>
  <c r="D322" i="10" s="1"/>
  <c r="C243" i="10"/>
  <c r="D243" i="10" s="1"/>
  <c r="C183" i="10"/>
  <c r="D183" i="10" s="1"/>
  <c r="C44" i="10"/>
  <c r="D44" i="10" s="1"/>
  <c r="C799" i="10"/>
  <c r="D799" i="10" s="1"/>
  <c r="C160" i="10"/>
  <c r="D160" i="10" s="1"/>
  <c r="C603" i="10"/>
  <c r="D603" i="10" s="1"/>
  <c r="C520" i="10"/>
  <c r="D520" i="10" s="1"/>
  <c r="C744" i="10"/>
  <c r="D744" i="10" s="1"/>
  <c r="C546" i="10"/>
  <c r="D546" i="10" s="1"/>
  <c r="C401" i="10"/>
  <c r="D401" i="10" s="1"/>
  <c r="C357" i="10"/>
  <c r="D357" i="10" s="1"/>
  <c r="C307" i="10"/>
  <c r="D307" i="10" s="1"/>
  <c r="C263" i="10"/>
  <c r="D263" i="10" s="1"/>
  <c r="C621" i="10"/>
  <c r="D621" i="10" s="1"/>
  <c r="C466" i="10"/>
  <c r="D466" i="10" s="1"/>
  <c r="C366" i="10"/>
  <c r="D366" i="10" s="1"/>
  <c r="C505" i="10"/>
  <c r="D505" i="10" s="1"/>
  <c r="C378" i="10"/>
  <c r="D378" i="10" s="1"/>
  <c r="C241" i="10"/>
  <c r="D241" i="10" s="1"/>
  <c r="C187" i="10"/>
  <c r="D187" i="10" s="1"/>
  <c r="C70" i="10"/>
  <c r="D70" i="10" s="1"/>
  <c r="C103" i="10"/>
  <c r="D103" i="10" s="1"/>
  <c r="C638" i="10"/>
  <c r="D638" i="10" s="1"/>
  <c r="C676" i="10"/>
  <c r="D676" i="10" s="1"/>
  <c r="C705" i="10"/>
  <c r="D705" i="10" s="1"/>
  <c r="C751" i="10"/>
  <c r="D751" i="10" s="1"/>
  <c r="C792" i="10"/>
  <c r="D792" i="10" s="1"/>
  <c r="C484" i="10"/>
  <c r="D484" i="10" s="1"/>
  <c r="C35" i="10"/>
  <c r="D35" i="10" s="1"/>
  <c r="C666" i="10"/>
  <c r="D666" i="10" s="1"/>
  <c r="C959" i="10"/>
  <c r="D959" i="10" s="1"/>
  <c r="C894" i="10"/>
  <c r="D894" i="10" s="1"/>
  <c r="C468" i="10"/>
  <c r="D468" i="10" s="1"/>
  <c r="C57" i="10"/>
  <c r="D57" i="10" s="1"/>
  <c r="C150" i="10"/>
  <c r="D150" i="10" s="1"/>
  <c r="C933" i="10"/>
  <c r="D933" i="10" s="1"/>
  <c r="C889" i="10"/>
  <c r="D889" i="10" s="1"/>
  <c r="C854" i="10"/>
  <c r="D854" i="10" s="1"/>
  <c r="C157" i="10"/>
  <c r="D157" i="10" s="1"/>
  <c r="C125" i="10"/>
  <c r="D125" i="10" s="1"/>
  <c r="C201" i="10"/>
  <c r="D201" i="10" s="1"/>
  <c r="C368" i="10"/>
  <c r="D368" i="10" s="1"/>
  <c r="C617" i="10"/>
  <c r="D617" i="10" s="1"/>
  <c r="C857" i="10"/>
  <c r="D857" i="10" s="1"/>
  <c r="C985" i="10"/>
  <c r="D985" i="10" s="1"/>
  <c r="C981" i="10"/>
  <c r="D981" i="10" s="1"/>
  <c r="C898" i="10"/>
  <c r="D898" i="10" s="1"/>
  <c r="C31" i="10"/>
  <c r="D31" i="10" s="1"/>
  <c r="C348" i="10"/>
  <c r="D348" i="10" s="1"/>
  <c r="C472" i="10"/>
  <c r="D472" i="10" s="1"/>
  <c r="C101" i="10"/>
  <c r="D101" i="10" s="1"/>
  <c r="C56" i="10"/>
  <c r="D56" i="10" s="1"/>
  <c r="C231" i="10"/>
  <c r="D231" i="10" s="1"/>
  <c r="C450" i="10"/>
  <c r="D450" i="10" s="1"/>
  <c r="C431" i="10"/>
  <c r="D431" i="10" s="1"/>
  <c r="C251" i="10"/>
  <c r="D251" i="10" s="1"/>
  <c r="C315" i="10"/>
  <c r="D315" i="10" s="1"/>
  <c r="C397" i="10"/>
  <c r="D397" i="10" s="1"/>
  <c r="C564" i="10"/>
  <c r="D564" i="10" s="1"/>
  <c r="C515" i="10"/>
  <c r="D515" i="10" s="1"/>
  <c r="C781" i="10"/>
  <c r="D781" i="10" s="1"/>
  <c r="C883" i="10"/>
  <c r="D883" i="10" s="1"/>
  <c r="C376" i="10"/>
  <c r="D376" i="10" s="1"/>
  <c r="C124" i="10"/>
  <c r="D124" i="10" s="1"/>
  <c r="C826" i="10"/>
  <c r="D826" i="10" s="1"/>
  <c r="C872" i="10"/>
  <c r="D872" i="10" s="1"/>
  <c r="C841" i="10"/>
  <c r="D841" i="10" s="1"/>
  <c r="C43" i="10"/>
  <c r="D43" i="10" s="1"/>
  <c r="C27" i="10"/>
  <c r="D27" i="10" s="1"/>
  <c r="C439" i="10"/>
  <c r="D439" i="10" s="1"/>
  <c r="C968" i="10"/>
  <c r="D968" i="10" s="1"/>
  <c r="C736" i="10"/>
  <c r="D736" i="10" s="1"/>
  <c r="C164" i="10"/>
  <c r="D164" i="10" s="1"/>
  <c r="C817" i="10"/>
  <c r="D817" i="10" s="1"/>
  <c r="C168" i="10"/>
  <c r="D168" i="10" s="1"/>
  <c r="C953" i="10"/>
  <c r="D953" i="10" s="1"/>
  <c r="C928" i="10"/>
  <c r="D928" i="10" s="1"/>
  <c r="C192" i="10"/>
  <c r="D192" i="10" s="1"/>
  <c r="C200" i="10"/>
  <c r="D200" i="10" s="1"/>
  <c r="C921" i="10"/>
  <c r="D921" i="10" s="1"/>
  <c r="C120" i="10"/>
  <c r="D120" i="10" s="1"/>
  <c r="C494" i="10"/>
  <c r="D494" i="10" s="1"/>
  <c r="C59" i="10"/>
  <c r="D59" i="10" s="1"/>
  <c r="C28" i="10"/>
  <c r="D28" i="10" s="1"/>
  <c r="C851" i="10"/>
  <c r="D851" i="10" s="1"/>
  <c r="C292" i="10"/>
  <c r="D292" i="10" s="1"/>
  <c r="C884" i="10"/>
  <c r="D884" i="10" s="1"/>
  <c r="C901" i="10"/>
  <c r="D901" i="10" s="1"/>
  <c r="C858" i="10"/>
  <c r="D858" i="10" s="1"/>
  <c r="C304" i="10"/>
  <c r="D304" i="10" s="1"/>
  <c r="C67" i="10"/>
  <c r="D67" i="10" s="1"/>
  <c r="C869" i="10"/>
  <c r="D869" i="10" s="1"/>
  <c r="C236" i="10"/>
  <c r="D236" i="10" s="1"/>
  <c r="C975" i="10"/>
  <c r="D975" i="10" s="1"/>
  <c r="C478" i="10"/>
  <c r="D478" i="10" s="1"/>
  <c r="C461" i="10"/>
  <c r="D461" i="10" s="1"/>
  <c r="C365" i="10"/>
  <c r="D365" i="10" s="1"/>
  <c r="C724" i="10"/>
  <c r="D724" i="10" s="1"/>
  <c r="C324" i="10"/>
  <c r="D324" i="10" s="1"/>
  <c r="C123" i="10"/>
  <c r="D123" i="10" s="1"/>
  <c r="C974" i="10"/>
  <c r="D974" i="10" s="1"/>
  <c r="C330" i="10"/>
  <c r="D330" i="10" s="1"/>
  <c r="C385" i="10"/>
  <c r="D385" i="10" s="1"/>
  <c r="C763" i="10"/>
  <c r="D763" i="10" s="1"/>
  <c r="C915" i="10"/>
  <c r="D915" i="10" s="1"/>
  <c r="C516" i="10"/>
  <c r="D516" i="10" s="1"/>
  <c r="C212" i="10"/>
  <c r="D212" i="10" s="1"/>
  <c r="C143" i="10"/>
  <c r="D143" i="10" s="1"/>
  <c r="C344" i="10"/>
  <c r="D344" i="10" s="1"/>
  <c r="C979" i="10"/>
  <c r="D979" i="10" s="1"/>
  <c r="C888" i="10"/>
  <c r="D888" i="10" s="1"/>
  <c r="C104" i="10"/>
  <c r="D104" i="10" s="1"/>
  <c r="C334" i="10"/>
  <c r="D334" i="10" s="1"/>
  <c r="C506" i="10"/>
  <c r="D506" i="10" s="1"/>
  <c r="C72" i="10"/>
  <c r="D72" i="10" s="1"/>
  <c r="C229" i="10"/>
  <c r="D229" i="10" s="1"/>
  <c r="C492" i="10"/>
  <c r="D492" i="10" s="1"/>
  <c r="C651" i="10"/>
  <c r="D651" i="10" s="1"/>
  <c r="C331" i="10"/>
  <c r="D331" i="10" s="1"/>
  <c r="C415" i="10"/>
  <c r="D415" i="10" s="1"/>
  <c r="C512" i="10"/>
  <c r="D512" i="10" s="1"/>
  <c r="C272" i="10"/>
  <c r="D272" i="10" s="1"/>
  <c r="C864" i="10"/>
  <c r="D864" i="10" s="1"/>
  <c r="C798" i="10"/>
  <c r="D798" i="10" s="1"/>
  <c r="C264" i="10"/>
  <c r="D264" i="10" s="1"/>
  <c r="C731" i="10"/>
  <c r="D731" i="10" s="1"/>
  <c r="C584" i="10"/>
  <c r="D584" i="10" s="1"/>
  <c r="C491" i="10"/>
  <c r="D491" i="10" s="1"/>
  <c r="C578" i="10"/>
  <c r="D578" i="10" s="1"/>
  <c r="C473" i="10"/>
  <c r="D473" i="10" s="1"/>
  <c r="C407" i="10"/>
  <c r="D407" i="10" s="1"/>
  <c r="C367" i="10"/>
  <c r="D367" i="10" s="1"/>
  <c r="C327" i="10"/>
  <c r="D327" i="10" s="1"/>
  <c r="C289" i="10"/>
  <c r="D289" i="10" s="1"/>
  <c r="C779" i="10"/>
  <c r="D779" i="10" s="1"/>
  <c r="C562" i="10"/>
  <c r="D562" i="10" s="1"/>
  <c r="C420" i="10"/>
  <c r="D420" i="10" s="1"/>
  <c r="C615" i="10"/>
  <c r="D615" i="10" s="1"/>
  <c r="C835" i="10"/>
  <c r="D835" i="10" s="1"/>
  <c r="C184" i="10"/>
  <c r="D184" i="10" s="1"/>
  <c r="C899" i="10"/>
  <c r="D899" i="10" s="1"/>
  <c r="C820" i="10"/>
  <c r="D820" i="10" s="1"/>
  <c r="C213" i="10"/>
  <c r="D213" i="10" s="1"/>
  <c r="C176" i="10"/>
  <c r="D176" i="10" s="1"/>
  <c r="C760" i="10"/>
  <c r="D760" i="10" s="1"/>
  <c r="C587" i="10"/>
  <c r="D587" i="10" s="1"/>
  <c r="C504" i="10"/>
  <c r="D504" i="10" s="1"/>
  <c r="C627" i="10"/>
  <c r="D627" i="10" s="1"/>
  <c r="C497" i="10"/>
  <c r="D497" i="10" s="1"/>
  <c r="C403" i="10"/>
  <c r="D403" i="10" s="1"/>
  <c r="C361" i="10"/>
  <c r="D361" i="10" s="1"/>
  <c r="C317" i="10"/>
  <c r="D317" i="10" s="1"/>
  <c r="C287" i="10"/>
  <c r="D287" i="10" s="1"/>
  <c r="C821" i="10"/>
  <c r="D821" i="10" s="1"/>
  <c r="C567" i="10"/>
  <c r="D567" i="10" s="1"/>
  <c r="C414" i="10"/>
  <c r="D414" i="10" s="1"/>
  <c r="C549" i="10"/>
  <c r="D549" i="10" s="1"/>
  <c r="C436" i="10"/>
  <c r="D436" i="10" s="1"/>
  <c r="C235" i="10"/>
  <c r="D235" i="10" s="1"/>
  <c r="C199" i="10"/>
  <c r="D199" i="10" s="1"/>
  <c r="C52" i="10"/>
  <c r="D52" i="10" s="1"/>
  <c r="C475" i="10"/>
  <c r="D475" i="10" s="1"/>
  <c r="C969" i="10"/>
  <c r="D969" i="10" s="1"/>
  <c r="C752" i="10"/>
  <c r="D752" i="10" s="1"/>
  <c r="C579" i="10"/>
  <c r="D579" i="10" s="1"/>
  <c r="C499" i="10"/>
  <c r="D499" i="10" s="1"/>
  <c r="C655" i="10"/>
  <c r="D655" i="10" s="1"/>
  <c r="C518" i="10"/>
  <c r="D518" i="10" s="1"/>
  <c r="C446" i="10"/>
  <c r="D446" i="10" s="1"/>
  <c r="C389" i="10"/>
  <c r="D389" i="10" s="1"/>
  <c r="C347" i="10"/>
  <c r="D347" i="10" s="1"/>
  <c r="C295" i="10"/>
  <c r="D295" i="10" s="1"/>
  <c r="C253" i="10"/>
  <c r="D253" i="10" s="1"/>
  <c r="C586" i="10"/>
  <c r="D586" i="10" s="1"/>
  <c r="C707" i="10"/>
  <c r="D707" i="10" s="1"/>
  <c r="C474" i="10"/>
  <c r="D474" i="10" s="1"/>
  <c r="C346" i="10"/>
  <c r="D346" i="10" s="1"/>
  <c r="C233" i="10"/>
  <c r="D233" i="10" s="1"/>
  <c r="C203" i="10"/>
  <c r="D203" i="10" s="1"/>
  <c r="C46" i="10"/>
  <c r="D46" i="10" s="1"/>
  <c r="C77" i="10"/>
  <c r="D77" i="10" s="1"/>
  <c r="C614" i="10"/>
  <c r="D614" i="10" s="1"/>
  <c r="C646" i="10"/>
  <c r="D646" i="10" s="1"/>
  <c r="C684" i="10"/>
  <c r="D684" i="10" s="1"/>
  <c r="C713" i="10"/>
  <c r="D713" i="10" s="1"/>
  <c r="C761" i="10"/>
  <c r="D761" i="10" s="1"/>
  <c r="C813" i="10"/>
  <c r="D813" i="10" s="1"/>
  <c r="C419" i="10"/>
  <c r="D419" i="10" s="1"/>
  <c r="C100" i="10"/>
  <c r="D100" i="10" s="1"/>
  <c r="C955" i="10"/>
  <c r="D955" i="10" s="1"/>
  <c r="C911" i="10"/>
  <c r="D911" i="10" s="1"/>
  <c r="C766" i="10"/>
  <c r="D766" i="10" s="1"/>
  <c r="C418" i="10"/>
  <c r="D418" i="10" s="1"/>
  <c r="C166" i="10"/>
  <c r="D166" i="10" s="1"/>
  <c r="C885" i="10"/>
  <c r="D885" i="10" s="1"/>
  <c r="C840" i="10"/>
  <c r="D840" i="10" s="1"/>
  <c r="C920" i="10"/>
  <c r="D920" i="10" s="1"/>
  <c r="C194" i="10"/>
  <c r="D194" i="10" s="1"/>
  <c r="C149" i="10"/>
  <c r="D149" i="10" s="1"/>
  <c r="C111" i="10"/>
  <c r="D111" i="10" s="1"/>
  <c r="C234" i="10"/>
  <c r="D234" i="10" s="1"/>
  <c r="C453" i="10"/>
  <c r="D453" i="10" s="1"/>
  <c r="C720" i="10"/>
  <c r="D720" i="10" s="1"/>
  <c r="C853" i="10"/>
  <c r="D853" i="10" s="1"/>
  <c r="C706" i="10"/>
  <c r="D706" i="10" s="1"/>
  <c r="C962" i="10"/>
  <c r="D962" i="10" s="1"/>
  <c r="C224" i="10"/>
  <c r="D224" i="10" s="1"/>
  <c r="C412" i="10"/>
  <c r="D412" i="10" s="1"/>
  <c r="C522" i="10"/>
  <c r="D522" i="10" s="1"/>
  <c r="C91" i="10"/>
  <c r="D91" i="10" s="1"/>
  <c r="C40" i="10"/>
  <c r="D40" i="10" s="1"/>
  <c r="C250" i="10"/>
  <c r="D250" i="10" s="1"/>
  <c r="C498" i="10"/>
  <c r="D498" i="10" s="1"/>
  <c r="C510" i="10"/>
  <c r="D510" i="10" s="1"/>
  <c r="C271" i="10"/>
  <c r="D271" i="10" s="1"/>
  <c r="C333" i="10"/>
  <c r="D333" i="10" s="1"/>
  <c r="C417" i="10"/>
  <c r="D417" i="10" s="1"/>
  <c r="C649" i="10"/>
  <c r="D649" i="10" s="1"/>
  <c r="C560" i="10"/>
  <c r="D560" i="10" s="1"/>
  <c r="C238" i="10"/>
  <c r="D238" i="10" s="1"/>
  <c r="C951" i="10"/>
  <c r="D951" i="10" s="1"/>
  <c r="C49" i="10"/>
  <c r="D49" i="10" s="1"/>
  <c r="C903" i="10"/>
  <c r="D903" i="10" s="1"/>
  <c r="C843" i="10"/>
  <c r="D843" i="10" s="1"/>
  <c r="C342" i="10"/>
  <c r="D342" i="10" s="1"/>
  <c r="C980" i="10"/>
  <c r="D980" i="10" s="1"/>
  <c r="C384" i="10"/>
  <c r="D384" i="10" s="1"/>
  <c r="C527" i="10"/>
  <c r="D527" i="10" s="1"/>
  <c r="C657" i="10"/>
  <c r="D657" i="10" s="1"/>
  <c r="C511" i="10"/>
  <c r="D511" i="10" s="1"/>
  <c r="C293" i="10"/>
  <c r="D293" i="10" s="1"/>
  <c r="C800" i="10"/>
  <c r="D800" i="10" s="1"/>
  <c r="C175" i="10"/>
  <c r="D175" i="10" s="1"/>
  <c r="C637" i="10"/>
  <c r="D637" i="10" s="1"/>
  <c r="C302" i="10"/>
  <c r="D302" i="10" s="1"/>
  <c r="C834" i="10"/>
  <c r="D834" i="10" s="1"/>
  <c r="C943" i="10"/>
  <c r="D943" i="10" s="1"/>
  <c r="C570" i="10"/>
  <c r="D570" i="10" s="1"/>
  <c r="C69" i="10"/>
  <c r="D69" i="10" s="1"/>
  <c r="C165" i="10"/>
  <c r="D165" i="10" s="1"/>
  <c r="C746" i="10"/>
  <c r="D746" i="10" s="1"/>
  <c r="C260" i="10"/>
  <c r="D260" i="10" s="1"/>
  <c r="C796" i="10"/>
  <c r="D796" i="10" s="1"/>
  <c r="C794" i="10"/>
  <c r="D794" i="10" s="1"/>
  <c r="C585" i="10"/>
  <c r="D585" i="10" s="1"/>
  <c r="C740" i="10"/>
  <c r="D740" i="10" s="1"/>
  <c r="C663" i="10"/>
  <c r="D663" i="10" s="1"/>
  <c r="C95" i="10"/>
  <c r="D95" i="10" s="1"/>
  <c r="C38" i="10"/>
  <c r="D38" i="10" s="1"/>
  <c r="C258" i="10"/>
  <c r="D258" i="10" s="1"/>
  <c r="C542" i="10"/>
  <c r="D542" i="10" s="1"/>
  <c r="C524" i="10"/>
  <c r="D524" i="10" s="1"/>
  <c r="C275" i="10"/>
  <c r="D275" i="10" s="1"/>
  <c r="C369" i="10"/>
  <c r="D369" i="10" s="1"/>
  <c r="C465" i="10"/>
  <c r="D465" i="10" s="1"/>
  <c r="C629" i="10"/>
  <c r="D629" i="10" s="1"/>
  <c r="C193" i="10"/>
  <c r="D193" i="10" s="1"/>
  <c r="C36" i="10"/>
  <c r="D36" i="10" s="1"/>
  <c r="C266" i="10"/>
  <c r="D266" i="10" s="1"/>
  <c r="C485" i="10"/>
  <c r="D485" i="10" s="1"/>
  <c r="C477" i="10"/>
  <c r="D477" i="10" s="1"/>
  <c r="C267" i="10"/>
  <c r="D267" i="10" s="1"/>
  <c r="C339" i="10"/>
  <c r="D339" i="10" s="1"/>
  <c r="C449" i="10"/>
  <c r="D449" i="10" s="1"/>
  <c r="C765" i="10"/>
  <c r="D765" i="10" s="1"/>
  <c r="C635" i="10"/>
  <c r="D635" i="10" s="1"/>
  <c r="C818" i="10"/>
  <c r="D818" i="10" s="1"/>
  <c r="C81" i="10"/>
  <c r="D81" i="10" s="1"/>
  <c r="C132" i="10"/>
  <c r="D132" i="10" s="1"/>
  <c r="C358" i="10"/>
  <c r="D358" i="10" s="1"/>
  <c r="C639" i="10"/>
  <c r="D639" i="10" s="1"/>
  <c r="C305" i="10"/>
  <c r="D305" i="10" s="1"/>
  <c r="C391" i="10"/>
  <c r="D391" i="10" s="1"/>
  <c r="C532" i="10"/>
  <c r="D532" i="10" s="1"/>
  <c r="C523" i="10"/>
  <c r="D523" i="10" s="1"/>
  <c r="C404" i="10"/>
  <c r="D404" i="10" s="1"/>
  <c r="C806" i="10"/>
  <c r="D806" i="10" s="1"/>
  <c r="C670" i="10"/>
  <c r="D670" i="10" s="1"/>
  <c r="C561" i="10"/>
  <c r="D561" i="10" s="1"/>
  <c r="C269" i="10"/>
  <c r="D269" i="10" s="1"/>
  <c r="C360" i="10"/>
  <c r="D360" i="10" s="1"/>
  <c r="C105" i="10"/>
  <c r="D105" i="10" s="1"/>
  <c r="C173" i="10"/>
  <c r="D173" i="10" s="1"/>
  <c r="C935" i="10"/>
  <c r="D935" i="10" s="1"/>
  <c r="C226" i="10"/>
  <c r="D226" i="10" s="1"/>
  <c r="C945" i="10"/>
  <c r="D945" i="10" s="1"/>
  <c r="C914" i="10"/>
  <c r="D914" i="10" s="1"/>
  <c r="C721" i="10"/>
  <c r="D721" i="10" s="1"/>
  <c r="C791" i="10"/>
  <c r="D791" i="10" s="1"/>
  <c r="C481" i="10"/>
  <c r="D481" i="10" s="1"/>
  <c r="C927" i="10"/>
  <c r="D927" i="10" s="1"/>
  <c r="C895" i="10"/>
  <c r="D895" i="10" s="1"/>
  <c r="C678" i="10"/>
  <c r="D678" i="10" s="1"/>
  <c r="C408" i="10"/>
  <c r="D408" i="10" s="1"/>
  <c r="C521" i="10"/>
  <c r="D521" i="10" s="1"/>
  <c r="C745" i="10"/>
  <c r="D745" i="10" s="1"/>
  <c r="C356" i="10"/>
  <c r="D356" i="10" s="1"/>
  <c r="C733" i="10"/>
  <c r="D733" i="10" s="1"/>
  <c r="C947" i="10"/>
  <c r="D947" i="10" s="1"/>
  <c r="C916" i="10"/>
  <c r="D916" i="10" s="1"/>
  <c r="C65" i="10"/>
  <c r="D65" i="10" s="1"/>
  <c r="C940" i="10"/>
  <c r="D940" i="10" s="1"/>
  <c r="C990" i="10"/>
  <c r="D990" i="10" s="1"/>
  <c r="C870" i="10"/>
  <c r="D870" i="10" s="1"/>
  <c r="C827" i="10"/>
  <c r="D827" i="10" s="1"/>
  <c r="C936" i="10"/>
  <c r="D936" i="10" s="1"/>
  <c r="C934" i="10"/>
  <c r="D934" i="10" s="1"/>
  <c r="C882" i="10"/>
  <c r="D882" i="10" s="1"/>
  <c r="C946" i="10"/>
  <c r="D946" i="10" s="1"/>
  <c r="C949" i="10"/>
  <c r="D949" i="10" s="1"/>
  <c r="C140" i="10"/>
  <c r="D140" i="10" s="1"/>
  <c r="C437" i="10"/>
  <c r="D437" i="10" s="1"/>
  <c r="C992" i="10"/>
  <c r="D992" i="10" s="1"/>
  <c r="C932" i="10"/>
  <c r="D932" i="10" s="1"/>
  <c r="C490" i="10"/>
  <c r="D490" i="10" s="1"/>
  <c r="C33" i="10"/>
  <c r="D33" i="10" s="1"/>
  <c r="C595" i="10"/>
  <c r="D595" i="10" s="1"/>
  <c r="C462" i="10"/>
  <c r="D462" i="10" s="1"/>
  <c r="C574" i="10"/>
  <c r="D574" i="10" s="1"/>
  <c r="C207" i="10"/>
  <c r="D207" i="10" s="1"/>
  <c r="C573" i="10"/>
  <c r="D573" i="10" s="1"/>
  <c r="C256" i="10"/>
  <c r="D256" i="10" s="1"/>
  <c r="C770" i="10"/>
  <c r="D770" i="10" s="1"/>
  <c r="C900" i="10"/>
  <c r="D900" i="10" s="1"/>
  <c r="C503" i="10"/>
  <c r="D503" i="10" s="1"/>
  <c r="C102" i="10"/>
  <c r="D102" i="10" s="1"/>
  <c r="C178" i="10"/>
  <c r="D178" i="10" s="1"/>
  <c r="C793" i="10"/>
  <c r="D793" i="10" s="1"/>
  <c r="C188" i="10"/>
  <c r="D188" i="10" s="1"/>
  <c r="C370" i="10"/>
  <c r="D370" i="10" s="1"/>
  <c r="C844" i="10"/>
  <c r="D844" i="10" s="1"/>
  <c r="C917" i="10"/>
  <c r="D917" i="10" s="1"/>
  <c r="C717" i="10"/>
  <c r="D717" i="10" s="1"/>
  <c r="C732" i="10"/>
  <c r="D732" i="10" s="1"/>
  <c r="C654" i="10"/>
  <c r="D654" i="10" s="1"/>
  <c r="C86" i="10"/>
  <c r="D86" i="10" s="1"/>
  <c r="C30" i="10"/>
  <c r="D30" i="10" s="1"/>
  <c r="C314" i="10"/>
  <c r="D314" i="10" s="1"/>
  <c r="C580" i="10"/>
  <c r="D580" i="10" s="1"/>
  <c r="C558" i="10"/>
  <c r="D558" i="10" s="1"/>
  <c r="C285" i="10"/>
  <c r="D285" i="10" s="1"/>
  <c r="C379" i="10"/>
  <c r="D379" i="10" s="1"/>
  <c r="C486" i="10"/>
  <c r="D486" i="10" s="1"/>
  <c r="C480" i="10"/>
  <c r="D480" i="10" s="1"/>
  <c r="C664" i="10"/>
  <c r="D664" i="10" s="1"/>
  <c r="C386" i="10"/>
  <c r="D386" i="10" s="1"/>
  <c r="C215" i="10"/>
  <c r="D215" i="10" s="1"/>
  <c r="C290" i="10"/>
  <c r="D290" i="10" s="1"/>
  <c r="C517" i="10"/>
  <c r="D517" i="10" s="1"/>
  <c r="C534" i="10"/>
  <c r="D534" i="10" s="1"/>
  <c r="C277" i="10"/>
  <c r="D277" i="10" s="1"/>
  <c r="C349" i="10"/>
  <c r="D349" i="10" s="1"/>
  <c r="C470" i="10"/>
  <c r="D470" i="10" s="1"/>
  <c r="C483" i="10"/>
  <c r="D483" i="10" s="1"/>
  <c r="C693" i="10"/>
  <c r="D693" i="10" s="1"/>
  <c r="C144" i="10"/>
  <c r="D144" i="10" s="1"/>
  <c r="C954" i="10"/>
  <c r="D954" i="10" s="1"/>
  <c r="C136" i="10"/>
  <c r="D136" i="10" s="1"/>
  <c r="C699" i="10"/>
  <c r="D699" i="10" s="1"/>
  <c r="C319" i="10"/>
  <c r="D319" i="10" s="1"/>
  <c r="C399" i="10"/>
  <c r="D399" i="10" s="1"/>
  <c r="C557" i="10"/>
  <c r="D557" i="10" s="1"/>
  <c r="C555" i="10"/>
  <c r="D555" i="10" s="1"/>
  <c r="C108" i="10"/>
  <c r="D108" i="10" s="1"/>
  <c r="C541" i="10"/>
  <c r="D541" i="10" s="1"/>
  <c r="C559" i="10"/>
  <c r="D559" i="10" s="1"/>
  <c r="C500" i="10"/>
  <c r="D500" i="10" s="1"/>
  <c r="C247" i="10"/>
  <c r="D247" i="10" s="1"/>
  <c r="C245" i="10"/>
  <c r="D245" i="10" s="1"/>
  <c r="C598" i="10"/>
  <c r="D598" i="10" s="1"/>
  <c r="C71" i="10"/>
  <c r="D71" i="10" s="1"/>
  <c r="C849" i="10"/>
  <c r="D849" i="10" s="1"/>
  <c r="C113" i="10"/>
  <c r="D113" i="10" s="1"/>
  <c r="C837" i="10"/>
  <c r="D837" i="10" s="1"/>
  <c r="C859" i="10"/>
  <c r="D859" i="10" s="1"/>
  <c r="C652" i="10"/>
  <c r="D652" i="10" s="1"/>
  <c r="C704" i="10"/>
  <c r="D704" i="10" s="1"/>
  <c r="C416" i="10"/>
  <c r="D416" i="10" s="1"/>
  <c r="C999" i="10"/>
  <c r="D999" i="10" s="1"/>
  <c r="C576" i="10"/>
  <c r="D576" i="10" s="1"/>
  <c r="C926" i="10"/>
  <c r="D926" i="10" s="1"/>
  <c r="C978" i="10"/>
  <c r="D978" i="10" s="1"/>
  <c r="C205" i="10"/>
  <c r="D205" i="10" s="1"/>
  <c r="C51" i="10"/>
  <c r="D51" i="10" s="1"/>
  <c r="N99" i="32"/>
  <c r="M97" i="32"/>
  <c r="M99" i="32" s="1"/>
  <c r="E94" i="5"/>
  <c r="F97" i="32"/>
  <c r="F99" i="32" s="1"/>
  <c r="L99" i="32"/>
  <c r="C99" i="5"/>
  <c r="I99" i="5"/>
  <c r="L94" i="5"/>
  <c r="D94" i="32"/>
  <c r="D94" i="5"/>
  <c r="H94" i="5"/>
  <c r="C92" i="32"/>
  <c r="L99" i="5"/>
  <c r="M94" i="5"/>
  <c r="K94" i="5"/>
  <c r="H99" i="5"/>
  <c r="H99" i="32"/>
  <c r="H92" i="32"/>
  <c r="H94" i="32" s="1"/>
  <c r="G71" i="32"/>
  <c r="H71" i="32"/>
  <c r="I71" i="32"/>
  <c r="M70" i="32"/>
  <c r="I93" i="32"/>
  <c r="I94" i="32" s="1"/>
  <c r="I94" i="5"/>
  <c r="E98" i="32"/>
  <c r="O98" i="32" s="1"/>
  <c r="E99" i="5"/>
  <c r="E63" i="5"/>
  <c r="E63" i="32" s="1"/>
  <c r="F93" i="32"/>
  <c r="F94" i="5"/>
  <c r="K97" i="32"/>
  <c r="K99" i="5"/>
  <c r="C984" i="10"/>
  <c r="D984" i="10" s="1"/>
  <c r="C875" i="10"/>
  <c r="D875" i="10" s="1"/>
  <c r="C950" i="10"/>
  <c r="D950" i="10" s="1"/>
  <c r="C218" i="10"/>
  <c r="D218" i="10" s="1"/>
  <c r="C735" i="10"/>
  <c r="D735" i="10" s="1"/>
  <c r="C169" i="10"/>
  <c r="D169" i="10" s="1"/>
  <c r="C387" i="10"/>
  <c r="D387" i="10" s="1"/>
  <c r="C142" i="10"/>
  <c r="D142" i="10" s="1"/>
  <c r="C442" i="10"/>
  <c r="D442" i="10" s="1"/>
  <c r="C656" i="10"/>
  <c r="D656" i="10" s="1"/>
  <c r="C850" i="10"/>
  <c r="D850" i="10" s="1"/>
  <c r="C137" i="10"/>
  <c r="D137" i="10" s="1"/>
  <c r="C994" i="10"/>
  <c r="D994" i="10" s="1"/>
  <c r="C611" i="10"/>
  <c r="D611" i="10" s="1"/>
  <c r="C668" i="10"/>
  <c r="D668" i="10" s="1"/>
  <c r="C830" i="10"/>
  <c r="D830" i="10" s="1"/>
  <c r="C131" i="10"/>
  <c r="D131" i="10" s="1"/>
  <c r="C87" i="10"/>
  <c r="D87" i="10" s="1"/>
  <c r="C728" i="10"/>
  <c r="D728" i="10" s="1"/>
  <c r="C624" i="10"/>
  <c r="D624" i="10" s="1"/>
  <c r="C775" i="10"/>
  <c r="D775" i="10" s="1"/>
  <c r="C948" i="10"/>
  <c r="D948" i="10" s="1"/>
  <c r="C196" i="10"/>
  <c r="D196" i="10" s="1"/>
  <c r="C170" i="10"/>
  <c r="D170" i="10" s="1"/>
  <c r="C428" i="10"/>
  <c r="D428" i="10" s="1"/>
  <c r="C738" i="10"/>
  <c r="D738" i="10" s="1"/>
  <c r="C590" i="10"/>
  <c r="D590" i="10" s="1"/>
  <c r="C691" i="10"/>
  <c r="D691" i="10" s="1"/>
  <c r="C543" i="10"/>
  <c r="D543" i="10" s="1"/>
  <c r="C634" i="10"/>
  <c r="D634" i="10" s="1"/>
  <c r="C797" i="10"/>
  <c r="D797" i="10" s="1"/>
  <c r="C929" i="10"/>
  <c r="D929" i="10" s="1"/>
  <c r="C971" i="10"/>
  <c r="D971" i="10" s="1"/>
  <c r="C163" i="10"/>
  <c r="D163" i="10" s="1"/>
  <c r="C458" i="10"/>
  <c r="D458" i="10" s="1"/>
  <c r="C782" i="10"/>
  <c r="D782" i="10" s="1"/>
  <c r="C659" i="10"/>
  <c r="D659" i="10" s="1"/>
  <c r="C382" i="10"/>
  <c r="D382" i="10" s="1"/>
  <c r="C589" i="10"/>
  <c r="D589" i="10" s="1"/>
  <c r="C682" i="10"/>
  <c r="D682" i="10" s="1"/>
  <c r="C753" i="10"/>
  <c r="D753" i="10" s="1"/>
  <c r="C444" i="10"/>
  <c r="D444" i="10" s="1"/>
  <c r="C877" i="10"/>
  <c r="D877" i="10" s="1"/>
  <c r="C709" i="10"/>
  <c r="D709" i="10" s="1"/>
  <c r="C154" i="10"/>
  <c r="D154" i="10" s="1"/>
  <c r="C812" i="10"/>
  <c r="D812" i="10" s="1"/>
  <c r="C202" i="10"/>
  <c r="D202" i="10" s="1"/>
  <c r="C121" i="10"/>
  <c r="D121" i="10" s="1"/>
  <c r="C294" i="10"/>
  <c r="D294" i="10" s="1"/>
  <c r="C29" i="10"/>
  <c r="D29" i="10" s="1"/>
  <c r="C960" i="10"/>
  <c r="D960" i="10" s="1"/>
  <c r="C47" i="10"/>
  <c r="D47" i="10" s="1"/>
  <c r="C489" i="10"/>
  <c r="D489" i="10" s="1"/>
  <c r="C48" i="10"/>
  <c r="D48" i="10" s="1"/>
  <c r="C469" i="10"/>
  <c r="D469" i="10" s="1"/>
  <c r="C261" i="10"/>
  <c r="D261" i="10" s="1"/>
  <c r="C438" i="10"/>
  <c r="D438" i="10" s="1"/>
  <c r="C623" i="10"/>
  <c r="D623" i="10" s="1"/>
  <c r="C640" i="10"/>
  <c r="D640" i="10" s="1"/>
  <c r="C650" i="10"/>
  <c r="D650" i="10" s="1"/>
  <c r="C727" i="10"/>
  <c r="D727" i="10" s="1"/>
  <c r="C667" i="10"/>
  <c r="D667" i="10" s="1"/>
  <c r="C902" i="10"/>
  <c r="D902" i="10" s="1"/>
  <c r="C825" i="10"/>
  <c r="D825" i="10" s="1"/>
  <c r="C110" i="10"/>
  <c r="D110" i="10" s="1"/>
  <c r="C848" i="10"/>
  <c r="D848" i="10" s="1"/>
  <c r="C847" i="10"/>
  <c r="D847" i="10" s="1"/>
  <c r="C396" i="10"/>
  <c r="D396" i="10" s="1"/>
  <c r="C242" i="10"/>
  <c r="D242" i="10" s="1"/>
  <c r="C671" i="10"/>
  <c r="D671" i="10" s="1"/>
  <c r="C908" i="10"/>
  <c r="D908" i="10" s="1"/>
  <c r="C697" i="10"/>
  <c r="D697" i="10" s="1"/>
  <c r="C107" i="10"/>
  <c r="D107" i="10" s="1"/>
  <c r="C303" i="10"/>
  <c r="D303" i="10" s="1"/>
  <c r="C310" i="10"/>
  <c r="D310" i="10" s="1"/>
  <c r="C270" i="10"/>
  <c r="D270" i="10" s="1"/>
  <c r="C716" i="10"/>
  <c r="D716" i="10" s="1"/>
  <c r="C209" i="10"/>
  <c r="D209" i="10" s="1"/>
  <c r="C53" i="10"/>
  <c r="D53" i="10" s="1"/>
  <c r="C320" i="10"/>
  <c r="D320" i="10" s="1"/>
  <c r="C345" i="10"/>
  <c r="D345" i="10" s="1"/>
  <c r="C689" i="10"/>
  <c r="D689" i="10" s="1"/>
  <c r="C661" i="10"/>
  <c r="D661" i="10" s="1"/>
  <c r="C874" i="10"/>
  <c r="D874" i="10" s="1"/>
  <c r="C147" i="10"/>
  <c r="D147" i="10" s="1"/>
  <c r="C37" i="10"/>
  <c r="D37" i="10" s="1"/>
  <c r="C588" i="10"/>
  <c r="D588" i="10" s="1"/>
  <c r="C1000" i="10"/>
  <c r="D1000" i="10" s="1"/>
  <c r="C910" i="10"/>
  <c r="D910" i="10" s="1"/>
  <c r="C352" i="10"/>
  <c r="D352" i="10" s="1"/>
  <c r="C88" i="10"/>
  <c r="D88" i="10" s="1"/>
  <c r="C274" i="10"/>
  <c r="D274" i="10" s="1"/>
  <c r="C548" i="10"/>
  <c r="D548" i="10" s="1"/>
  <c r="C363" i="10"/>
  <c r="D363" i="10" s="1"/>
  <c r="C488" i="10"/>
  <c r="D488" i="10" s="1"/>
  <c r="C861" i="10"/>
  <c r="D861" i="10" s="1"/>
  <c r="C612" i="10"/>
  <c r="D612" i="10" s="1"/>
  <c r="C628" i="10"/>
  <c r="D628" i="10" s="1"/>
  <c r="C644" i="10"/>
  <c r="D644" i="10" s="1"/>
  <c r="C660" i="10"/>
  <c r="D660" i="10" s="1"/>
  <c r="C679" i="10"/>
  <c r="D679" i="10" s="1"/>
  <c r="C703" i="10"/>
  <c r="D703" i="10" s="1"/>
  <c r="C729" i="10"/>
  <c r="D729" i="10" s="1"/>
  <c r="C759" i="10"/>
  <c r="D759" i="10" s="1"/>
  <c r="C777" i="10"/>
  <c r="D777" i="10" s="1"/>
  <c r="C808" i="10"/>
  <c r="D808" i="10" s="1"/>
  <c r="I99" i="32"/>
  <c r="M94" i="32"/>
  <c r="F73" i="32" l="1"/>
  <c r="E73" i="5"/>
  <c r="J73" i="32"/>
  <c r="O76" i="32"/>
  <c r="O77" i="32"/>
  <c r="O72" i="32"/>
  <c r="J79" i="5"/>
  <c r="K73" i="5"/>
  <c r="D79" i="32"/>
  <c r="O78" i="32"/>
  <c r="K73" i="32"/>
  <c r="D73" i="32"/>
  <c r="J73" i="5"/>
  <c r="L73" i="32"/>
  <c r="N73" i="5"/>
  <c r="G73" i="5"/>
  <c r="E73" i="32"/>
  <c r="N79" i="32"/>
  <c r="G79" i="5"/>
  <c r="G79" i="32"/>
  <c r="H79" i="32"/>
  <c r="L79" i="5"/>
  <c r="F79" i="5"/>
  <c r="N73" i="32"/>
  <c r="M79" i="32"/>
  <c r="I79" i="32"/>
  <c r="J79" i="32"/>
  <c r="J67" i="32" s="1"/>
  <c r="F79" i="32"/>
  <c r="M73" i="5"/>
  <c r="L73" i="5"/>
  <c r="M73" i="32"/>
  <c r="O99" i="5"/>
  <c r="C73" i="32"/>
  <c r="D73" i="5"/>
  <c r="N79" i="5"/>
  <c r="D79" i="5"/>
  <c r="O94" i="5"/>
  <c r="I79" i="5"/>
  <c r="C79" i="5"/>
  <c r="H79" i="5"/>
  <c r="M79" i="5"/>
  <c r="C79" i="32"/>
  <c r="O88" i="32"/>
  <c r="I73" i="5"/>
  <c r="I73" i="32"/>
  <c r="O68" i="32"/>
  <c r="K79" i="5"/>
  <c r="O69" i="32"/>
  <c r="C73" i="5"/>
  <c r="F73" i="5"/>
  <c r="O70" i="32"/>
  <c r="E79" i="5"/>
  <c r="E79" i="32"/>
  <c r="O73" i="5"/>
  <c r="C89" i="32"/>
  <c r="O87" i="32"/>
  <c r="H73" i="5"/>
  <c r="O74" i="32"/>
  <c r="L79" i="32"/>
  <c r="H73" i="32"/>
  <c r="O75" i="32"/>
  <c r="E99" i="32"/>
  <c r="M27" i="5"/>
  <c r="M27" i="32" s="1"/>
  <c r="O92" i="32"/>
  <c r="C94" i="32"/>
  <c r="J64" i="5"/>
  <c r="J64" i="32" s="1"/>
  <c r="J63" i="5"/>
  <c r="J63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N64" i="5"/>
  <c r="N64" i="32" s="1"/>
  <c r="D59" i="5"/>
  <c r="D59" i="32" s="1"/>
  <c r="D63" i="5"/>
  <c r="D63" i="32" s="1"/>
  <c r="L64" i="5"/>
  <c r="L64" i="32" s="1"/>
  <c r="K34" i="5"/>
  <c r="K34" i="32" s="1"/>
  <c r="O54" i="5"/>
  <c r="J43" i="5"/>
  <c r="J43" i="32" s="1"/>
  <c r="C6" i="5"/>
  <c r="F94" i="32"/>
  <c r="O93" i="32"/>
  <c r="I27" i="5"/>
  <c r="I27" i="32" s="1"/>
  <c r="L63" i="5"/>
  <c r="L63" i="32" s="1"/>
  <c r="E64" i="5"/>
  <c r="E64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J59" i="5"/>
  <c r="J59" i="32" s="1"/>
  <c r="J46" i="5"/>
  <c r="J46" i="32" s="1"/>
  <c r="I42" i="5"/>
  <c r="I42" i="32" s="1"/>
  <c r="F64" i="5"/>
  <c r="F64" i="32" s="1"/>
  <c r="M64" i="5"/>
  <c r="M64" i="32" s="1"/>
  <c r="M22" i="5"/>
  <c r="M22" i="32" s="1"/>
  <c r="N56" i="5"/>
  <c r="N56" i="32" s="1"/>
  <c r="O43" i="5"/>
  <c r="G22" i="5"/>
  <c r="G22" i="32" s="1"/>
  <c r="K79" i="32"/>
  <c r="K67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I64" i="5"/>
  <c r="I64" i="32" s="1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5"/>
  <c r="C64" i="32" s="1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5"/>
  <c r="D64" i="32" s="1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O62" i="5" s="1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K63" i="5"/>
  <c r="K63" i="32" s="1"/>
  <c r="F63" i="5"/>
  <c r="F63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5"/>
  <c r="G64" i="32" s="1"/>
  <c r="K64" i="5"/>
  <c r="K64" i="32" s="1"/>
  <c r="N63" i="5"/>
  <c r="N63" i="32" s="1"/>
  <c r="M63" i="5"/>
  <c r="M63" i="32" s="1"/>
  <c r="H64" i="5"/>
  <c r="H64" i="32" s="1"/>
  <c r="H42" i="5"/>
  <c r="H42" i="32" s="1"/>
  <c r="E21" i="5"/>
  <c r="E21" i="32" s="1"/>
  <c r="F51" i="5"/>
  <c r="F51" i="32" s="1"/>
  <c r="L9" i="5"/>
  <c r="L9" i="32" s="1"/>
  <c r="K99" i="32"/>
  <c r="O97" i="32"/>
  <c r="O99" i="32" s="1"/>
  <c r="I63" i="5"/>
  <c r="I63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O64" i="5"/>
  <c r="H63" i="5"/>
  <c r="H63" i="32" s="1"/>
  <c r="G63" i="5"/>
  <c r="G63" i="32" s="1"/>
  <c r="O63" i="5"/>
  <c r="C63" i="5"/>
  <c r="C63" i="32" s="1"/>
  <c r="N6" i="5"/>
  <c r="D10" i="5"/>
  <c r="D10" i="32" s="1"/>
  <c r="G65" i="5"/>
  <c r="G65" i="32" s="1"/>
  <c r="I31" i="5"/>
  <c r="I31" i="32" s="1"/>
  <c r="G73" i="32"/>
  <c r="G67" i="32" s="1"/>
  <c r="O71" i="32"/>
  <c r="F67" i="32" l="1"/>
  <c r="D67" i="32"/>
  <c r="E67" i="5"/>
  <c r="E67" i="32"/>
  <c r="K67" i="5"/>
  <c r="J67" i="5"/>
  <c r="I67" i="32"/>
  <c r="L67" i="5"/>
  <c r="N67" i="32"/>
  <c r="N67" i="5"/>
  <c r="L67" i="32"/>
  <c r="G67" i="5"/>
  <c r="M67" i="32"/>
  <c r="H67" i="32"/>
  <c r="F67" i="5"/>
  <c r="M67" i="5"/>
  <c r="C67" i="32"/>
  <c r="D67" i="5"/>
  <c r="I67" i="5"/>
  <c r="H67" i="5"/>
  <c r="C67" i="5"/>
  <c r="O79" i="32"/>
  <c r="O89" i="32"/>
  <c r="O73" i="32"/>
  <c r="O67" i="5"/>
  <c r="O61" i="5"/>
  <c r="O13" i="5" s="1"/>
  <c r="L61" i="5"/>
  <c r="L61" i="32" s="1"/>
  <c r="D61" i="5"/>
  <c r="D61" i="32" s="1"/>
  <c r="I61" i="5"/>
  <c r="I61" i="32" s="1"/>
  <c r="M61" i="5"/>
  <c r="M61" i="32" s="1"/>
  <c r="N61" i="5"/>
  <c r="N61" i="32" s="1"/>
  <c r="C61" i="5"/>
  <c r="C61" i="32" s="1"/>
  <c r="J61" i="5"/>
  <c r="J61" i="32" s="1"/>
  <c r="H61" i="5"/>
  <c r="H61" i="32" s="1"/>
  <c r="E61" i="5"/>
  <c r="E61" i="32" s="1"/>
  <c r="K61" i="5"/>
  <c r="K61" i="32" s="1"/>
  <c r="F61" i="5"/>
  <c r="F61" i="32" s="1"/>
  <c r="G61" i="5"/>
  <c r="G61" i="32" s="1"/>
  <c r="J62" i="5"/>
  <c r="J62" i="32" s="1"/>
  <c r="L62" i="5"/>
  <c r="L62" i="32" s="1"/>
  <c r="O32" i="32"/>
  <c r="O26" i="32"/>
  <c r="O40" i="32"/>
  <c r="O51" i="32"/>
  <c r="D62" i="5"/>
  <c r="D62" i="32" s="1"/>
  <c r="H62" i="5"/>
  <c r="H62" i="32" s="1"/>
  <c r="I62" i="5"/>
  <c r="I62" i="32" s="1"/>
  <c r="G62" i="5"/>
  <c r="G62" i="32" s="1"/>
  <c r="N62" i="5"/>
  <c r="N62" i="32" s="1"/>
  <c r="K62" i="5"/>
  <c r="K62" i="32" s="1"/>
  <c r="O37" i="32"/>
  <c r="M62" i="5"/>
  <c r="M62" i="32" s="1"/>
  <c r="E62" i="5"/>
  <c r="E62" i="32" s="1"/>
  <c r="F62" i="5"/>
  <c r="F62" i="32" s="1"/>
  <c r="C62" i="5"/>
  <c r="C62" i="32" s="1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O67" i="32" l="1"/>
  <c r="L13" i="32"/>
  <c r="E13" i="32"/>
  <c r="J13" i="5"/>
  <c r="M3" i="10" s="1" a="1"/>
  <c r="M3" i="10" s="1"/>
  <c r="J13" i="32"/>
  <c r="K13" i="32"/>
  <c r="K66" i="32" s="1"/>
  <c r="K80" i="32" s="1"/>
  <c r="D13" i="5"/>
  <c r="G3" i="10" s="1" a="1"/>
  <c r="G3" i="10" s="1"/>
  <c r="I13" i="5"/>
  <c r="L3" i="10" s="1" a="1"/>
  <c r="L3" i="10" s="1"/>
  <c r="L13" i="5"/>
  <c r="O3" i="10" s="1" a="1"/>
  <c r="O3" i="10" s="1"/>
  <c r="I13" i="32"/>
  <c r="I66" i="32" s="1"/>
  <c r="I80" i="32" s="1"/>
  <c r="O61" i="32"/>
  <c r="O62" i="32"/>
  <c r="H13" i="5"/>
  <c r="K3" i="10" s="1" a="1"/>
  <c r="K3" i="10" s="1"/>
  <c r="F13" i="5"/>
  <c r="I3" i="10" s="1" a="1"/>
  <c r="I3" i="10" s="1"/>
  <c r="E13" i="5"/>
  <c r="H3" i="10" s="1" a="1"/>
  <c r="H3" i="10" s="1"/>
  <c r="K13" i="5"/>
  <c r="N3" i="10" s="1" a="1"/>
  <c r="N3" i="10" s="1"/>
  <c r="F13" i="32"/>
  <c r="F66" i="32" s="1"/>
  <c r="F80" i="32" s="1"/>
  <c r="G13" i="32"/>
  <c r="G66" i="32" s="1"/>
  <c r="G80" i="32" s="1"/>
  <c r="D13" i="32"/>
  <c r="D66" i="32" s="1"/>
  <c r="D80" i="32" s="1"/>
  <c r="G13" i="5"/>
  <c r="J3" i="10" s="1" a="1"/>
  <c r="J3" i="10" s="1"/>
  <c r="M13" i="5"/>
  <c r="P3" i="10" s="1" a="1"/>
  <c r="P3" i="10" s="1"/>
  <c r="H13" i="32"/>
  <c r="H66" i="32" s="1"/>
  <c r="H80" i="32" s="1"/>
  <c r="N13" i="32"/>
  <c r="N66" i="32" s="1"/>
  <c r="N80" i="32" s="1"/>
  <c r="N13" i="5"/>
  <c r="Q3" i="10" s="1" a="1"/>
  <c r="Q3" i="10" s="1"/>
  <c r="C13" i="5"/>
  <c r="F3" i="10" s="1" a="1"/>
  <c r="F3" i="10" s="1"/>
  <c r="M13" i="32"/>
  <c r="M66" i="32" s="1"/>
  <c r="M80" i="32" s="1"/>
  <c r="H81" i="5"/>
  <c r="N81" i="5"/>
  <c r="I81" i="5"/>
  <c r="L66" i="32"/>
  <c r="L80" i="32" s="1"/>
  <c r="L81" i="32"/>
  <c r="G81" i="32"/>
  <c r="K81" i="32"/>
  <c r="M81" i="32"/>
  <c r="N81" i="32"/>
  <c r="F81" i="5"/>
  <c r="I81" i="32"/>
  <c r="E81" i="5"/>
  <c r="L81" i="5"/>
  <c r="C13" i="32"/>
  <c r="O14" i="32"/>
  <c r="O66" i="5"/>
  <c r="O80" i="5" s="1"/>
  <c r="O81" i="5"/>
  <c r="F81" i="32"/>
  <c r="D81" i="5"/>
  <c r="E81" i="32"/>
  <c r="E66" i="32"/>
  <c r="E80" i="32" s="1"/>
  <c r="G81" i="5"/>
  <c r="K81" i="5"/>
  <c r="M81" i="5"/>
  <c r="J81" i="5"/>
  <c r="C81" i="5"/>
  <c r="J81" i="32"/>
  <c r="J66" i="32"/>
  <c r="J80" i="32" s="1"/>
  <c r="O6" i="32"/>
  <c r="O8" i="32" s="1"/>
  <c r="O5" i="32" s="1"/>
  <c r="O12" i="32" s="1"/>
  <c r="C8" i="32"/>
  <c r="C5" i="32" s="1"/>
  <c r="C12" i="32" s="1"/>
  <c r="H81" i="32"/>
  <c r="D81" i="32"/>
  <c r="J66" i="5" l="1"/>
  <c r="J80" i="5" s="1"/>
  <c r="D66" i="5"/>
  <c r="D80" i="5" s="1"/>
  <c r="G66" i="5"/>
  <c r="G80" i="5" s="1"/>
  <c r="O13" i="32"/>
  <c r="O66" i="32" s="1"/>
  <c r="O80" i="32" s="1"/>
  <c r="I66" i="5"/>
  <c r="I80" i="5" s="1"/>
  <c r="L66" i="5"/>
  <c r="L80" i="5" s="1"/>
  <c r="M66" i="5"/>
  <c r="M80" i="5" s="1"/>
  <c r="E66" i="5"/>
  <c r="E80" i="5" s="1"/>
  <c r="N66" i="5"/>
  <c r="N80" i="5" s="1"/>
  <c r="F66" i="5"/>
  <c r="F80" i="5" s="1"/>
  <c r="H66" i="5"/>
  <c r="H80" i="5" s="1"/>
  <c r="K66" i="5"/>
  <c r="K80" i="5" s="1"/>
  <c r="C66" i="5"/>
  <c r="C80" i="5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Bùi Thị Nga(Bui Thi Nga)</author>
    <author>Trịnh Thị Quyên(Trinh Thi Quyen)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L25" authorId="1" shapeId="0" xr:uid="{6879E43A-1A94-426A-913A-EA02D0C6E4BD}">
      <text>
        <r>
          <rPr>
            <b/>
            <sz val="9"/>
            <color indexed="81"/>
            <rFont val="Tahoma"/>
            <family val="2"/>
          </rPr>
          <t>+1 người đối ứng Spica</t>
        </r>
      </text>
    </comment>
    <comment ref="F42" authorId="2" shapeId="0" xr:uid="{19BAB62C-3C5E-4D79-9EF5-F3479852C327}">
      <text>
        <r>
          <rPr>
            <sz val="9"/>
            <color indexed="81"/>
            <rFont val="Tahoma"/>
            <family val="2"/>
          </rPr>
          <t>R3: 80.77$ (1ng)
Mail: 11.46$ (8ng)</t>
        </r>
      </text>
    </comment>
    <comment ref="G42" authorId="2" shapeId="0" xr:uid="{A336AB86-4543-443E-A4C4-F00D362ACC13}">
      <text>
        <r>
          <rPr>
            <sz val="9"/>
            <color indexed="81"/>
            <rFont val="Tahoma"/>
            <family val="2"/>
          </rPr>
          <t>R3: 80.77$ (1ng)
Mail: 11.46$ (8ng)</t>
        </r>
      </text>
    </comment>
    <comment ref="H42" authorId="2" shapeId="0" xr:uid="{6952F542-7359-4CE9-8DD8-EDEE4881BD7E}">
      <text>
        <r>
          <rPr>
            <sz val="9"/>
            <color indexed="81"/>
            <rFont val="Tahoma"/>
            <family val="2"/>
          </rPr>
          <t>R3: 80.77$ (1ng)
Mail: 11.46$ (8ng)</t>
        </r>
      </text>
    </comment>
    <comment ref="I42" authorId="2" shapeId="0" xr:uid="{979C00DA-B011-4041-8DAC-107D8A4A7C2C}">
      <text>
        <r>
          <rPr>
            <sz val="9"/>
            <color indexed="81"/>
            <rFont val="Tahoma"/>
            <family val="2"/>
          </rPr>
          <t>R3: 80.77$ (1ng)
Mail: 11.46$ (8ng)</t>
        </r>
      </text>
    </comment>
    <comment ref="J42" authorId="2" shapeId="0" xr:uid="{D48A70F1-A122-4F34-BC97-FD88ABD277BD}">
      <text>
        <r>
          <rPr>
            <sz val="9"/>
            <color indexed="81"/>
            <rFont val="Tahoma"/>
            <family val="2"/>
          </rPr>
          <t>R3: 80.77$ (1ng)
Mail: 11.46$ (8ng)</t>
        </r>
      </text>
    </comment>
    <comment ref="K42" authorId="2" shapeId="0" xr:uid="{6B465520-9D21-48F2-AD2E-354794078106}">
      <text>
        <r>
          <rPr>
            <sz val="9"/>
            <color indexed="81"/>
            <rFont val="Tahoma"/>
            <family val="2"/>
          </rPr>
          <t>R3: 80.77$ (1ng)
Mail: 11.46$ (8ng)</t>
        </r>
      </text>
    </comment>
    <comment ref="L42" authorId="2" shapeId="0" xr:uid="{84A31D0A-0ED8-4ABE-AEBB-85836802A5A4}">
      <text>
        <r>
          <rPr>
            <sz val="9"/>
            <color indexed="81"/>
            <rFont val="Tahoma"/>
            <family val="2"/>
          </rPr>
          <t>R3: 80.77$ (1ng)
Mail: 11.46$ (8ng)</t>
        </r>
      </text>
    </comment>
    <comment ref="M42" authorId="2" shapeId="0" xr:uid="{6F7ED4CE-EDF8-4327-AB6B-B7C2DF5848AC}">
      <text>
        <r>
          <rPr>
            <sz val="9"/>
            <color indexed="81"/>
            <rFont val="Tahoma"/>
            <family val="2"/>
          </rPr>
          <t>R3: 80.77$ (1ng)
Mail: 11.46$ (8+1 ng mới Spica)</t>
        </r>
      </text>
    </comment>
    <comment ref="N42" authorId="2" shapeId="0" xr:uid="{BB909A60-BAA0-429A-B388-C5839F8F6F14}">
      <text>
        <r>
          <rPr>
            <sz val="9"/>
            <color indexed="81"/>
            <rFont val="Tahoma"/>
            <family val="2"/>
          </rPr>
          <t>R3: 80.77$ (1ng)
Mail: 11.46$ (8+1 ng mới Spica)</t>
        </r>
      </text>
    </comment>
    <comment ref="O42" authorId="2" shapeId="0" xr:uid="{6400B2E5-D3F5-4B7B-B89D-6A8C0224DF91}">
      <text>
        <r>
          <rPr>
            <sz val="9"/>
            <color indexed="81"/>
            <rFont val="Tahoma"/>
            <family val="2"/>
          </rPr>
          <t>R3: 80.77$ (1ng)
Mail: 11.46$ (8+1 ng mới Spica)</t>
        </r>
      </text>
    </comment>
    <comment ref="P42" authorId="2" shapeId="0" xr:uid="{7446F109-D8FB-4EAC-A45A-B1117F9FFAA4}">
      <text>
        <r>
          <rPr>
            <sz val="9"/>
            <color indexed="81"/>
            <rFont val="Tahoma"/>
            <family val="2"/>
          </rPr>
          <t>R3: 80.77$ (1ng)
Mail: 11.46$ (8+1 ng mới Spica)</t>
        </r>
      </text>
    </comment>
    <comment ref="Q42" authorId="2" shapeId="0" xr:uid="{7ADA3A72-3B98-4660-8F87-CDB6FEEB8D7C}">
      <text>
        <r>
          <rPr>
            <sz val="9"/>
            <color indexed="81"/>
            <rFont val="Tahoma"/>
            <family val="2"/>
          </rPr>
          <t>R3: 80.77$ (1ng)
Mail: 11.46$ (8+1 ng mới Spica)</t>
        </r>
      </text>
    </comment>
    <comment ref="F44" authorId="1" shapeId="0" xr:uid="{D3C61AFF-B113-454F-A454-4F831233E694}">
      <text>
        <r>
          <rPr>
            <b/>
            <sz val="9"/>
            <color indexed="81"/>
            <rFont val="Tahoma"/>
            <family val="2"/>
          </rPr>
          <t>đơn giá*tỷ giá</t>
        </r>
      </text>
    </comment>
    <comment ref="F45" authorId="1" shapeId="0" xr:uid="{7C4476C0-8933-4AE6-B545-1DBEC13D0ED8}">
      <text>
        <r>
          <rPr>
            <b/>
            <sz val="9"/>
            <color indexed="81"/>
            <rFont val="Tahoma"/>
            <family val="2"/>
          </rPr>
          <t>đơn giá*tỷ giá</t>
        </r>
      </text>
    </comment>
    <comment ref="F46" authorId="1" shapeId="0" xr:uid="{7593C486-D74B-4980-89A6-403C72F73421}">
      <text>
        <r>
          <rPr>
            <b/>
            <sz val="9"/>
            <color indexed="81"/>
            <rFont val="Tahoma"/>
            <family val="2"/>
          </rPr>
          <t>đơn giá*tỷ giá</t>
        </r>
      </text>
    </comment>
    <comment ref="F47" authorId="1" shapeId="0" xr:uid="{E4CF529F-B91C-4CEF-B099-63676C975175}">
      <text>
        <r>
          <rPr>
            <b/>
            <sz val="9"/>
            <color indexed="81"/>
            <rFont val="Tahoma"/>
            <family val="2"/>
          </rPr>
          <t>đơn giá*tỷ giá</t>
        </r>
      </text>
    </comment>
    <comment ref="F50" authorId="1" shapeId="0" xr:uid="{1AAABEC3-0567-44CD-8F97-06323E9DB2DA}">
      <text>
        <r>
          <rPr>
            <b/>
            <sz val="9"/>
            <color indexed="81"/>
            <rFont val="Tahoma"/>
            <family val="2"/>
          </rPr>
          <t>số người cuối tháng trước*đơn giá pb</t>
        </r>
      </text>
    </comment>
    <comment ref="M50" authorId="1" shapeId="0" xr:uid="{277857F5-6F44-49FC-A381-4D7406A3AF45}">
      <text>
        <r>
          <rPr>
            <b/>
            <sz val="9"/>
            <color indexed="81"/>
            <rFont val="Tahoma"/>
            <family val="2"/>
          </rPr>
          <t>số người cuối tháng trước*đơn giá pb tháng</t>
        </r>
      </text>
    </comment>
    <comment ref="F51" authorId="1" shapeId="0" xr:uid="{F2DEA313-781B-468B-B5A8-E6711C846BFD}">
      <text>
        <r>
          <rPr>
            <b/>
            <sz val="9"/>
            <color indexed="81"/>
            <rFont val="Tahoma"/>
            <family val="2"/>
          </rPr>
          <t>số người cuối tháng trước*đơn giá pb</t>
        </r>
      </text>
    </comment>
    <comment ref="F52" authorId="1" shapeId="0" xr:uid="{FCF53A35-F91F-4D88-A833-4FAE7FFBD75E}">
      <text>
        <r>
          <rPr>
            <b/>
            <sz val="9"/>
            <color indexed="81"/>
            <rFont val="Tahoma"/>
            <family val="2"/>
          </rPr>
          <t>số người cuối tháng trước*đơn giá pb</t>
        </r>
      </text>
    </comment>
    <comment ref="M52" authorId="1" shapeId="0" xr:uid="{23E3AE48-5C62-442C-815D-A1FA70A90085}">
      <text>
        <r>
          <rPr>
            <b/>
            <sz val="9"/>
            <color indexed="81"/>
            <rFont val="Tahoma"/>
            <family val="2"/>
          </rPr>
          <t>số người phòng ban cuối tháng trước*đơn giá</t>
        </r>
      </text>
    </comment>
    <comment ref="F54" authorId="1" shapeId="0" xr:uid="{CB71F244-8136-473E-AD3D-1D8C5177E7F2}">
      <text>
        <r>
          <rPr>
            <b/>
            <sz val="9"/>
            <color indexed="81"/>
            <rFont val="Tahoma"/>
            <family val="2"/>
          </rPr>
          <t>số người cuối tháng trước*đơn giá pb</t>
        </r>
      </text>
    </comment>
    <comment ref="Q62" authorId="1" shapeId="0" xr:uid="{5FC08F59-A69B-4153-9A78-AEEB4B6F907C}">
      <text>
        <r>
          <rPr>
            <b/>
            <sz val="9"/>
            <color indexed="81"/>
            <rFont val="Tahoma"/>
            <family val="2"/>
          </rPr>
          <t>dự là sinh con hoặc kết hôn</t>
        </r>
      </text>
    </comment>
    <comment ref="P67" authorId="1" shapeId="0" xr:uid="{B253DD05-035A-4AF4-BA70-3490CBFE666F}">
      <text>
        <r>
          <rPr>
            <b/>
            <sz val="9"/>
            <color indexed="81"/>
            <rFont val="Tahoma"/>
            <family val="2"/>
          </rPr>
          <t>thêm 1 ng mới đ/ư Spica vào tháng 10</t>
        </r>
      </text>
    </comment>
    <comment ref="L72" authorId="1" shapeId="0" xr:uid="{B051134F-B55B-491C-AC94-9092F45B3ECF}">
      <text>
        <r>
          <rPr>
            <b/>
            <sz val="9"/>
            <color indexed="81"/>
            <rFont val="Tahoma"/>
            <family val="2"/>
          </rPr>
          <t>đã bao gồm 1 ng mới</t>
        </r>
      </text>
    </comment>
    <comment ref="L89" authorId="1" shapeId="0" xr:uid="{011296D0-F8FE-4088-B256-191FAB4D90CD}">
      <text>
        <r>
          <rPr>
            <b/>
            <sz val="9"/>
            <color indexed="81"/>
            <rFont val="Tahoma"/>
            <family val="2"/>
          </rPr>
          <t>cho ng mới đối ứng sx Spica (chỉ mua máy tính-lấy License Windows của máy PC0194)</t>
        </r>
      </text>
    </comment>
    <comment ref="N89" authorId="1" shapeId="0" xr:uid="{E79E9209-12A4-4DBB-89F4-C75A6EEA9359}">
      <text>
        <r>
          <rPr>
            <b/>
            <sz val="9"/>
            <color indexed="81"/>
            <rFont val="Tahoma"/>
            <family val="2"/>
          </rPr>
          <t xml:space="preserve">máy dự trù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<sst xmlns="http://schemas.openxmlformats.org/spreadsheetml/2006/main" count="1666" uniqueCount="728">
  <si>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</si>
  <si>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</si>
  <si>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</si>
  <si>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</si>
  <si>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</si>
  <si>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</si>
  <si>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</si>
  <si>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</si>
  <si>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</si>
  <si>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</si>
  <si>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</si>
  <si>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</si>
  <si>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</si>
  <si>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</si>
  <si>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</si>
  <si>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</si>
  <si>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</si>
  <si>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</si>
  <si>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</si>
  <si>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</si>
  <si>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</si>
  <si>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</si>
  <si>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</si>
  <si>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</si>
  <si>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</si>
  <si>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</si>
  <si>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</si>
  <si>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</si>
  <si>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</si>
  <si>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</si>
  <si>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</si>
  <si>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</si>
  <si>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</si>
  <si>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</si>
  <si>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</si>
  <si>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</si>
  <si>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</si>
  <si>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</si>
  <si>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</si>
  <si>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</si>
  <si>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</si>
  <si>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</si>
  <si>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</si>
  <si>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</si>
  <si>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</si>
  <si>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</si>
  <si>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</si>
  <si>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</si>
  <si>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</si>
  <si>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</si>
  <si>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</si>
  <si>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</si>
  <si>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</si>
  <si>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</si>
  <si>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</si>
  <si>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</si>
  <si>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</si>
  <si>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</si>
  <si>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</si>
  <si>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</si>
  <si>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</si>
  <si>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</si>
  <si>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</si>
  <si>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</si>
  <si>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</si>
  <si>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</si>
  <si>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</si>
  <si>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</si>
  <si>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</si>
  <si>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</si>
  <si>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</si>
  <si>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</si>
  <si>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</si>
  <si>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</si>
  <si>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</si>
  <si>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</si>
  <si>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</si>
  <si>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</si>
  <si>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</si>
  <si>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</si>
  <si>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</si>
  <si>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</si>
  <si>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</si>
  <si>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</si>
  <si>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</si>
  <si>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</si>
  <si>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</si>
  <si>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</si>
  <si>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</si>
  <si>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</si>
  <si>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</si>
  <si>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</si>
  <si>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</si>
  <si>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</si>
  <si>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</si>
  <si>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</si>
  <si>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</si>
  <si>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</si>
  <si>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</si>
  <si>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</si>
  <si>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</si>
  <si>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</si>
  <si>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</si>
  <si>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</si>
  <si>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</si>
  <si>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</si>
  <si>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</si>
  <si>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</si>
  <si>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</si>
  <si>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</si>
  <si>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</si>
  <si>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</si>
  <si>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</si>
  <si>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</si>
  <si>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</si>
  <si>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</si>
  <si>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</si>
  <si>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</si>
  <si>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</si>
  <si>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</si>
  <si>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</si>
  <si>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</si>
  <si>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</si>
  <si>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</si>
  <si>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</si>
  <si>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</si>
  <si>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</si>
  <si>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</si>
  <si>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</si>
  <si>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</si>
  <si>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</si>
  <si>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</si>
  <si>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</si>
  <si>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</si>
  <si>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</si>
  <si>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</si>
  <si>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</si>
  <si>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</si>
  <si>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</si>
  <si>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</si>
  <si>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</si>
  <si>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</si>
  <si>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</si>
  <si>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</si>
  <si>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</si>
  <si>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</si>
  <si>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</si>
  <si>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</si>
  <si>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</si>
  <si>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</si>
  <si>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</si>
  <si>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</si>
  <si>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</si>
  <si>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</si>
  <si>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</si>
  <si>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</si>
  <si>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</si>
  <si>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</si>
  <si>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</si>
  <si>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</si>
  <si>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</si>
  <si>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</si>
  <si>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</si>
  <si>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</si>
  <si>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</si>
  <si>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</si>
  <si>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</si>
  <si>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</si>
  <si>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</si>
  <si>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</si>
  <si>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</si>
  <si>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</si>
  <si>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</si>
  <si>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</si>
  <si>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</si>
  <si>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</si>
  <si>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</si>
  <si>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</si>
  <si>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</si>
  <si>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</si>
  <si>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</si>
  <si>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</si>
  <si>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</si>
  <si>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</si>
  <si>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</si>
  <si>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</si>
  <si>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</si>
  <si>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</si>
  <si>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</si>
  <si>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</si>
  <si>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</si>
  <si>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</si>
  <si>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</si>
  <si>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</si>
  <si>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</si>
  <si>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</si>
  <si>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</si>
  <si>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</si>
  <si>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</si>
  <si>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</si>
  <si>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</si>
  <si>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</si>
  <si>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</si>
  <si>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</si>
  <si>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</si>
  <si>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</si>
  <si>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</si>
  <si>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</si>
  <si>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</si>
  <si>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</si>
  <si>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</si>
  <si>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</si>
  <si>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</si>
  <si>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</si>
  <si>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</si>
  <si>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</si>
  <si>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</si>
  <si>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</si>
  <si>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</si>
  <si>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</si>
  <si>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</si>
  <si>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</si>
  <si>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</si>
  <si>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</si>
  <si>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</si>
  <si>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</si>
  <si>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</si>
  <si>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</si>
  <si>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</si>
  <si>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</si>
  <si>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</si>
  <si>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</si>
  <si>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</si>
  <si>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</si>
  <si>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</si>
  <si>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</si>
  <si>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</si>
  <si>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</si>
  <si>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</si>
  <si>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</si>
  <si>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</si>
  <si>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</si>
  <si>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</si>
  <si>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</si>
  <si>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</si>
  <si>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</si>
  <si>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</si>
  <si>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</si>
  <si>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</si>
  <si>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</si>
  <si>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</si>
  <si>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</si>
  <si>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</si>
  <si>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</si>
  <si>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</si>
  <si>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</si>
  <si>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</si>
  <si>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</si>
  <si>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</si>
  <si>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</si>
  <si>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</si>
  <si>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</si>
  <si>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</si>
  <si>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</si>
  <si>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</si>
  <si>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</si>
  <si>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</si>
  <si>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</si>
  <si>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</si>
  <si>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</si>
  <si>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</si>
  <si>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</si>
  <si>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</si>
  <si>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</si>
  <si>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</si>
  <si>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</si>
  <si>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</si>
  <si>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</si>
  <si>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</si>
  <si>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</si>
  <si>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</si>
  <si>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</si>
  <si>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</si>
  <si>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</si>
  <si>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</si>
  <si>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</si>
  <si>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</si>
  <si>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</si>
  <si>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</si>
  <si>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</si>
  <si>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</si>
  <si>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</si>
  <si>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</si>
  <si>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</si>
  <si>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</si>
  <si>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</si>
  <si>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</si>
  <si>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</si>
  <si>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</si>
  <si>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</si>
  <si>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</si>
  <si>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</si>
  <si>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</si>
  <si>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</si>
  <si>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</si>
  <si>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</si>
  <si>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</si>
  <si>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</si>
  <si>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</si>
  <si>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</si>
  <si>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</si>
  <si>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</si>
  <si>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</si>
  <si>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</si>
  <si>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</si>
  <si>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</si>
  <si>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</si>
  <si>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</si>
  <si>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</si>
  <si>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</si>
  <si>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</si>
  <si>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</si>
  <si>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</si>
  <si>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</si>
  <si>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</si>
  <si>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</si>
  <si>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</si>
  <si>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</si>
  <si>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</si>
  <si>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</si>
  <si>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</si>
  <si>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</si>
  <si>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</si>
  <si>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</si>
  <si>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</si>
  <si>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</si>
  <si>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</si>
  <si>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</si>
  <si>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</si>
  <si>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</si>
  <si>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</si>
  <si>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</si>
  <si>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</si>
  <si>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</si>
  <si>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</si>
  <si>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</si>
  <si>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</si>
  <si>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</si>
  <si>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</si>
  <si>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</si>
  <si>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</si>
  <si>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</si>
  <si>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</si>
  <si>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</si>
  <si>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</si>
  <si>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</si>
  <si>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</si>
  <si>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</si>
  <si>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</si>
  <si>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</si>
  <si>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</si>
  <si>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</si>
  <si>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</si>
  <si>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</si>
  <si>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</si>
  <si>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</si>
  <si>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</si>
  <si>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</si>
  <si>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</si>
  <si>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</si>
  <si>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</si>
  <si>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</si>
  <si>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</si>
  <si>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</si>
  <si>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</si>
  <si>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</si>
  <si>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</si>
  <si>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</si>
  <si>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</si>
  <si>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</si>
  <si>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</si>
  <si>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</si>
  <si>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</si>
  <si>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</si>
  <si>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</si>
  <si>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</si>
  <si>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</si>
  <si>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</si>
  <si>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</si>
  <si>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</si>
  <si>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</si>
  <si>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</si>
  <si>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</si>
  <si>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</si>
  <si>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</si>
  <si>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</si>
  <si>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</si>
  <si>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</si>
  <si>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</si>
  <si>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</si>
  <si>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</si>
  <si>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</si>
  <si>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</si>
  <si>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</si>
  <si>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</si>
  <si>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</si>
  <si>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</si>
  <si>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</si>
  <si>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</si>
  <si>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</si>
  <si>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</si>
  <si>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</si>
  <si>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</si>
  <si>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</si>
  <si>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</si>
  <si>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</si>
  <si>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</si>
  <si>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</si>
  <si>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</si>
  <si>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</si>
  <si>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</si>
  <si>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</si>
  <si>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</si>
  <si>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</si>
  <si>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</si>
  <si>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</si>
  <si>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</si>
  <si>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</si>
  <si>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</si>
  <si>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</si>
  <si>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</si>
  <si>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</si>
  <si>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</si>
  <si>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</si>
  <si>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</si>
  <si>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</si>
  <si>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</si>
  <si>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</si>
  <si>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</si>
  <si>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</si>
  <si>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</si>
  <si>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</si>
  <si>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</si>
  <si>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</si>
  <si>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</si>
  <si>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</si>
  <si>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</si>
  <si>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</si>
  <si>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</si>
  <si>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</si>
  <si>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</si>
  <si>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</si>
  <si>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</si>
  <si>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</si>
  <si>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</si>
  <si>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</si>
  <si>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</si>
  <si>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</si>
  <si>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</si>
  <si>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</si>
  <si>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</si>
  <si>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</si>
  <si>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</si>
  <si>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</si>
  <si>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</si>
  <si>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</si>
  <si>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</si>
  <si>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</si>
  <si>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</si>
  <si>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</si>
  <si>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</si>
  <si>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</si>
  <si>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</si>
  <si>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</si>
  <si>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</si>
  <si>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</si>
  <si>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</si>
  <si>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</si>
  <si>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</si>
  <si>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</si>
  <si>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</si>
  <si>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</si>
  <si>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</si>
  <si>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</si>
  <si>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</si>
  <si>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</si>
  <si>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</si>
  <si>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</si>
  <si>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</si>
  <si>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</si>
  <si>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</si>
  <si>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</si>
  <si>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</si>
  <si>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</si>
  <si>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</si>
  <si>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</si>
  <si>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</si>
  <si>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</si>
  <si>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</si>
  <si>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</si>
  <si>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</si>
  <si>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</si>
  <si>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</si>
  <si>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</si>
  <si>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</si>
  <si>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</si>
  <si>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</si>
  <si>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</si>
  <si>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</si>
  <si>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</si>
  <si>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</si>
  <si>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</si>
  <si>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</si>
  <si>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</si>
  <si>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</si>
  <si>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</si>
  <si>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</si>
  <si>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</si>
  <si>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</si>
  <si>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</si>
  <si>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</si>
  <si>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</si>
  <si>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</si>
  <si>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</si>
  <si>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</si>
  <si>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</si>
  <si>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</si>
  <si>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</si>
  <si>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</si>
  <si>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</si>
  <si>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</si>
  <si>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</si>
  <si>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</si>
  <si>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</si>
  <si>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</si>
  <si>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</si>
  <si>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</si>
  <si>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</si>
  <si>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</si>
  <si>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</si>
  <si>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</si>
  <si>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</si>
  <si>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</si>
  <si>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</si>
  <si>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</si>
  <si>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</si>
  <si>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</si>
  <si>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</si>
  <si>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</si>
  <si>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</si>
  <si>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</si>
  <si>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</si>
  <si>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</si>
  <si>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</si>
  <si>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</si>
  <si>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</si>
  <si>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</si>
  <si>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</si>
  <si>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</si>
  <si>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</si>
  <si>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</si>
  <si>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</si>
  <si>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</si>
  <si>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</si>
  <si>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</si>
  <si>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</si>
  <si>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</si>
  <si>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</si>
  <si>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</si>
  <si>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</si>
  <si>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</si>
  <si>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</si>
  <si>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</si>
  <si>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</si>
  <si>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</si>
  <si>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</si>
  <si>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</si>
  <si>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</si>
  <si>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</si>
  <si>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</si>
  <si>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</si>
  <si>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</si>
  <si>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</si>
  <si>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</si>
  <si>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</si>
  <si>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</si>
  <si>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</si>
  <si>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</si>
  <si>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</si>
  <si>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</si>
  <si>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</si>
  <si>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</si>
  <si>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</si>
  <si>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</si>
  <si>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</si>
  <si>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</si>
  <si>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</si>
  <si>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</si>
  <si>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</si>
  <si>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</si>
  <si>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</si>
  <si>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</si>
  <si>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</si>
  <si>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</si>
  <si>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</si>
  <si>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</si>
  <si>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</si>
  <si>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</si>
  <si>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</si>
  <si>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</si>
  <si>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</si>
  <si>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</si>
  <si>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</si>
  <si>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</si>
  <si>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</si>
  <si>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</si>
  <si>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</si>
  <si>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</si>
  <si>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</si>
  <si>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</si>
  <si>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</si>
  <si>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</si>
  <si>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</si>
  <si>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</si>
  <si>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</si>
  <si>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</si>
  <si>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</si>
  <si>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</si>
  <si>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</si>
  <si>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</si>
  <si>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</si>
  <si>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</si>
  <si>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</si>
  <si>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</si>
  <si>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</si>
  <si>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</si>
  <si>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</si>
  <si>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</si>
  <si>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</si>
  <si>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</si>
  <si>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</si>
  <si>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</si>
  <si>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</si>
  <si>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</si>
  <si>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</si>
  <si>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</si>
  <si>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</si>
  <si>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</si>
  <si>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</si>
  <si>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</si>
  <si>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</si>
  <si>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</si>
  <si>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</si>
  <si>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</si>
  <si>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</si>
  <si>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</si>
  <si>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</si>
  <si>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</si>
  <si>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</si>
  <si>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</si>
  <si>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</si>
  <si>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</si>
  <si>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</si>
  <si>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</si>
  <si>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</si>
  <si>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</si>
  <si>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</si>
  <si>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</si>
  <si>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</si>
  <si>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</si>
  <si>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</si>
  <si>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</si>
  <si>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</si>
  <si>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</si>
  <si>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</si>
  <si>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</si>
  <si>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</si>
  <si>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</si>
  <si>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</si>
  <si>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</si>
  <si>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</si>
  <si>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</si>
  <si>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</si>
  <si>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</si>
  <si>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</si>
  <si>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</si>
  <si>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</si>
  <si>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</si>
  <si>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</si>
  <si>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</si>
  <si>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</si>
  <si>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工程品質管理4課</t>
  </si>
  <si>
    <t>結婚費 、 出産祝い金、 慶弔見舞金　（Mừng sinh con, kết hôn, hiếu hỉ)</t>
  </si>
  <si>
    <t>誕生日会Chi phí sinh nhật　(163.000VND/名)</t>
  </si>
  <si>
    <t>毎月：制服の交換 Chi phí đổi đồng phục</t>
  </si>
  <si>
    <t xml:space="preserve">4月/2025 ĐP mới 165,000 VND/áo ngắn tay, 175,000 VND/áo dài tay新入社員の 制服 ,靴, 帽子(T5~T10: chưa có áo dài tay) </t>
  </si>
  <si>
    <t>01,02,03月: 忘年会補助金 Chi phí hỗ trợ tiệc tất niên (300.000VND/名)</t>
  </si>
  <si>
    <t>02月: お年玉Lì xì năm mới (100,000VND/名)</t>
  </si>
  <si>
    <t xml:space="preserve">06月：FY2026決起コンパ Khuấy động kỳ FY2026: 200.000 VND/ 名 </t>
  </si>
  <si>
    <t xml:space="preserve">05月: 社員旅行 Du lịch công ty 1.890.000 VND/名 </t>
  </si>
  <si>
    <t>07月: フィロソフィ論文で応募頂いた方100000/名  Giải tham gia viết luận văn"cảm nghĩ về triết lý kinh doanh"</t>
  </si>
  <si>
    <t>09月: 京セラフェスティバルLễ hội Kyocera (126.000VND/名)</t>
  </si>
  <si>
    <t>10月: 月餅 Bánh Trung Thu (56.000VND/名)</t>
  </si>
  <si>
    <t>10月：10周年記念式典の記念品　382.000VND／名 Quà lưu niệm</t>
  </si>
  <si>
    <t>10月：10年勤続記念品 549.000 VND／名 Tiệc kỉ niệm</t>
  </si>
  <si>
    <t>11月: 運動会スポーツ大会 Đại hội thể thao (107.000VND/名)</t>
  </si>
  <si>
    <t xml:space="preserve">12月:健康診断Chi phí khám sức khỏe cho nv địa phương（ローカル）男性nam: 189.000VND, 女性: 204.000VND </t>
  </si>
  <si>
    <t>毎月：ローカル社員通勤送迎費 CP xe đưa đoán người Việt</t>
  </si>
  <si>
    <t>手洗い洗剤費  Nước rửa tay</t>
  </si>
  <si>
    <t>トイレットペーパ Giấy vệ sinh</t>
  </si>
  <si>
    <t>khẩu trang</t>
  </si>
  <si>
    <t>10月, 12月：：Laptop</t>
  </si>
  <si>
    <t>10月：パソコンのマウス (cho người mới Spica)</t>
  </si>
  <si>
    <t>食堂燃料費 Gas</t>
  </si>
  <si>
    <t>電気代 tiền điện</t>
  </si>
  <si>
    <t>水道代 tiền nước</t>
  </si>
  <si>
    <t>携帯電話代- Telephone cost</t>
  </si>
  <si>
    <t>11月： ポケットカレンダー Lịch bỏ túi (800 VND/名)</t>
  </si>
  <si>
    <t>システム使用費, Mail 使用費</t>
  </si>
  <si>
    <t>清掃費用 Chi phí làm sạch</t>
  </si>
  <si>
    <t>建物 Building (Depreciation）chi phí khấu hao</t>
  </si>
  <si>
    <t xml:space="preserve">土地(償却費) Land fee (Depreciation）    </t>
  </si>
  <si>
    <t>固定資産金利 (建物) Interest Lãi xây dựng Tháng 5 hàng năm tính lại</t>
  </si>
  <si>
    <t>固定資産金利 (土地) Interest Lãi đất</t>
  </si>
  <si>
    <t>文房具 Văn phòng phẩm</t>
  </si>
  <si>
    <t>PCのモニターの修正 （Sửa chữa màn hình máy tính　）</t>
  </si>
  <si>
    <t>日本語試験のBUS代 (Chi phí xe đi thi tiếng Nhật)</t>
  </si>
  <si>
    <t>日本語の試験費（Chi phí thi tiếng Nhật)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</si>
</sst>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2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73" fillId="34" borderId="39" xfId="0" applyNumberFormat="1" applyFont="1" applyFill="1" applyBorder="1" applyProtection="1">
      <protection locked="0"/>
    </xf>
    <xf numFmtId="40" fontId="73" fillId="32" borderId="39" xfId="0" applyNumberFormat="1" applyFont="1" applyFill="1" applyBorder="1" applyProtection="1">
      <protection locked="0"/>
    </xf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入力" xfId="161" xr:uid="{54BD8E0E-A305-4583-94C9-2A5E478AB915}"/>
    <cellStyle name="入力 2" xfId="162" xr:uid="{4BC2C04B-EF16-4C4A-92BD-69D48C885B0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悪い" xfId="126" xr:uid="{7F0DD31F-081F-45F7-80E4-325977A162DD}"/>
    <cellStyle name="悪い 2" xfId="127" xr:uid="{84ACAFC9-A2BD-4C73-A026-9D73B06B69DC}"/>
    <cellStyle name="未定義" xfId="172" xr:uid="{E56D1474-D329-4D7D-B3F6-4CF33F7526A6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良い" xfId="173" xr:uid="{5D4A99A9-34AA-4AAD-92F6-9CED1E9D50A6}"/>
    <cellStyle name="良い 2" xfId="174" xr:uid="{6C3AFC09-C406-454F-B3A0-7B564CFED170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計算" xfId="130" xr:uid="{93B970C6-E80C-46BE-B35E-FBBD5F8DA30E}"/>
    <cellStyle name="計算 2" xfId="131" xr:uid="{EA501B05-AFF2-4240-89AD-AFDDF9AB3280}"/>
    <cellStyle name="説明文" xfId="157" xr:uid="{A60B89CA-0D5B-404B-9C21-38A395A5C5FA}"/>
    <cellStyle name="説明文 2" xfId="158" xr:uid="{36510BC6-54C2-4A7F-A17F-54641E946666}"/>
    <cellStyle name="警告文" xfId="132" xr:uid="{0A4A8F0A-68CB-4E27-AB9A-1D30379B12B6}"/>
    <cellStyle name="警告文 2" xfId="133" xr:uid="{A6F01428-8F2A-4274-8949-2BCBE79CCEF8}"/>
    <cellStyle name="通貨 2" xfId="159" xr:uid="{75781059-F56D-4F95-A39B-E33DF7438B9F}"/>
    <cellStyle name="通貨 3" xfId="160" xr:uid="{0E2CEFBA-A57A-48C5-9F4B-A7400477F6E2}"/>
    <cellStyle name="集計" xfId="152" xr:uid="{F4A1ADB5-BAB1-404F-A23B-ABF411AC4C62}"/>
    <cellStyle name="集計 2" xfId="153" xr:uid="{81390C70-78F7-4E5A-A3EE-76770211ABDA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工程品質管理4課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1.999999999998181E-2</v>
      </c>
      <c r="D13" s="133">
        <f t="shared" ref="D13:O13" si="3">SUM(D14:D65)</f>
        <v>1.999999999998181E-2</v>
      </c>
      <c r="E13" s="133">
        <f t="shared" si="3"/>
        <v>1.0000000000104592E-2</v>
      </c>
      <c r="F13" s="133">
        <f t="shared" si="3"/>
        <v>2.9999999999972715E-2</v>
      </c>
      <c r="G13" s="133">
        <f t="shared" si="3"/>
        <v>2.9999999999972715E-2</v>
      </c>
      <c r="H13" s="133">
        <f t="shared" si="3"/>
        <v>3.0000000000086402E-2</v>
      </c>
      <c r="I13" s="133">
        <f t="shared" si="3"/>
        <v>4.0000000000190994E-2</v>
      </c>
      <c r="J13" s="133">
        <f t="shared" si="3"/>
        <v>2.9999999999972715E-2</v>
      </c>
      <c r="K13" s="133">
        <f t="shared" si="3"/>
        <v>5.0000000000181899E-2</v>
      </c>
      <c r="L13" s="133">
        <f t="shared" si="3"/>
        <v>3.999999999996362E-2</v>
      </c>
      <c r="M13" s="133">
        <f t="shared" si="3"/>
        <v>3.999999999996362E-2</v>
      </c>
      <c r="N13" s="133">
        <f t="shared" si="3"/>
        <v>2.9999999999859028E-2</v>
      </c>
      <c r="O13" s="133">
        <f t="shared" si="3"/>
        <v>0.37000000000080036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72.240000000000009</v>
      </c>
      <c r="D20" s="136">
        <f>ROUNDUP('採算表(VND)'!D20/$N$1,2)</f>
        <v>72.8</v>
      </c>
      <c r="E20" s="136">
        <f>ROUNDUP('採算表(VND)'!E20/$N$1,2)</f>
        <v>74.28</v>
      </c>
      <c r="F20" s="136">
        <f>ROUNDUP('採算表(VND)'!F20/$N$1,2)</f>
        <v>70.550000000000011</v>
      </c>
      <c r="G20" s="136">
        <f>ROUNDUP('採算表(VND)'!G20/$N$1,2)</f>
        <v>69.599999999999994</v>
      </c>
      <c r="H20" s="136">
        <f>ROUNDUP('採算表(VND)'!H20/$N$1,2)</f>
        <v>69.95</v>
      </c>
      <c r="I20" s="136">
        <f>ROUNDUP('採算表(VND)'!I20/$N$1,2)</f>
        <v>77.88000000000001</v>
      </c>
      <c r="J20" s="136">
        <f>ROUNDUP('採算表(VND)'!J20/$N$1,2)</f>
        <v>76.95</v>
      </c>
      <c r="K20" s="136">
        <f>ROUNDUP('採算表(VND)'!K20/$N$1,2)</f>
        <v>77.45</v>
      </c>
      <c r="L20" s="136">
        <f>ROUNDUP('採算表(VND)'!L20/$N$1,2)</f>
        <v>75.650000000000006</v>
      </c>
      <c r="M20" s="136">
        <f>ROUNDUP('採算表(VND)'!M20/$N$1,2)</f>
        <v>73.89</v>
      </c>
      <c r="N20" s="136">
        <f>ROUNDUP('採算表(VND)'!N20/$N$1,2)</f>
        <v>76.14</v>
      </c>
      <c r="O20" s="136">
        <f t="shared" si="4"/>
        <v>887.38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6.16</v>
      </c>
      <c r="D25" s="136">
        <f>ROUNDUP('採算表(VND)'!D25/$N$1,2)</f>
        <v>5.95</v>
      </c>
      <c r="E25" s="136">
        <f>ROUNDUP('採算表(VND)'!E25/$N$1,2)</f>
        <v>6.4799999999999995</v>
      </c>
      <c r="F25" s="136">
        <f>ROUNDUP('採算表(VND)'!F25/$N$1,2)</f>
        <v>7.02</v>
      </c>
      <c r="G25" s="136">
        <f>ROUNDUP('採算表(VND)'!G25/$N$1,2)</f>
        <v>6.14</v>
      </c>
      <c r="H25" s="136">
        <f>ROUNDUP('採算表(VND)'!H25/$N$1,2)</f>
        <v>5.8599999999999994</v>
      </c>
      <c r="I25" s="136">
        <f>ROUNDUP('採算表(VND)'!I25/$N$1,2)</f>
        <v>7.01</v>
      </c>
      <c r="J25" s="136">
        <f>ROUNDUP('採算表(VND)'!J25/$N$1,2)</f>
        <v>6.93</v>
      </c>
      <c r="K25" s="136">
        <f>ROUNDUP('採算表(VND)'!K25/$N$1,2)</f>
        <v>7.58</v>
      </c>
      <c r="L25" s="136">
        <f>ROUNDUP('採算表(VND)'!L25/$N$1,2)</f>
        <v>6.93</v>
      </c>
      <c r="M25" s="136">
        <f>ROUNDUP('採算表(VND)'!M25/$N$1,2)</f>
        <v>5.33</v>
      </c>
      <c r="N25" s="136">
        <f>ROUNDUP('採算表(VND)'!N25/$N$1,2)</f>
        <v>6.92</v>
      </c>
      <c r="O25" s="136">
        <f t="shared" si="4"/>
        <v>78.31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670.35</v>
      </c>
      <c r="J26" s="136">
        <f>ROUNDUP('採算表(VND)'!J26/$N$1,2)</f>
        <v>0</v>
      </c>
      <c r="K26" s="136">
        <f>ROUNDUP('採算表(VND)'!K26/$N$1,2)</f>
        <v>659.71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1330.06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94.14</v>
      </c>
      <c r="D30" s="136">
        <f>ROUNDUP('採算表(VND)'!D30/$N$1,2)</f>
        <v>96.47</v>
      </c>
      <c r="E30" s="136">
        <f>ROUNDUP('採算表(VND)'!E30/$N$1,2)</f>
        <v>118.36</v>
      </c>
      <c r="F30" s="136">
        <f>ROUNDUP('採算表(VND)'!F30/$N$1,2)</f>
        <v>131.04999999999998</v>
      </c>
      <c r="G30" s="136">
        <f>ROUNDUP('採算表(VND)'!G30/$N$1,2)</f>
        <v>131.57999999999998</v>
      </c>
      <c r="H30" s="136">
        <f>ROUNDUP('採算表(VND)'!H30/$N$1,2)</f>
        <v>119.75</v>
      </c>
      <c r="I30" s="136">
        <f>ROUNDUP('採算表(VND)'!I30/$N$1,2)</f>
        <v>120.95</v>
      </c>
      <c r="J30" s="136">
        <f>ROUNDUP('採算表(VND)'!J30/$N$1,2)</f>
        <v>113.86</v>
      </c>
      <c r="K30" s="136">
        <f>ROUNDUP('採算表(VND)'!K30/$N$1,2)</f>
        <v>111.32000000000001</v>
      </c>
      <c r="L30" s="136">
        <f>ROUNDUP('採算表(VND)'!L30/$N$1,2)</f>
        <v>95.660000000000011</v>
      </c>
      <c r="M30" s="136">
        <f>ROUNDUP('採算表(VND)'!M30/$N$1,2)</f>
        <v>89.960000000000008</v>
      </c>
      <c r="N30" s="136">
        <f>ROUNDUP('採算表(VND)'!N30/$N$1,2)</f>
        <v>80.22</v>
      </c>
      <c r="O30" s="136">
        <f t="shared" si="4"/>
        <v>1303.3200000000002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17.73</v>
      </c>
      <c r="D39" s="136">
        <f>ROUNDUP('採算表(VND)'!D39/$N$1,2)</f>
        <v>17.8</v>
      </c>
      <c r="E39" s="136">
        <f>ROUNDUP('採算表(VND)'!E39/$N$1,2)</f>
        <v>18.34</v>
      </c>
      <c r="F39" s="136">
        <f>ROUNDUP('採算表(VND)'!F39/$N$1,2)</f>
        <v>16.8</v>
      </c>
      <c r="G39" s="136">
        <f>ROUNDUP('採算表(VND)'!G39/$N$1,2)</f>
        <v>16.360000000000003</v>
      </c>
      <c r="H39" s="136">
        <f>ROUNDUP('採算表(VND)'!H39/$N$1,2)</f>
        <v>15.629999999999999</v>
      </c>
      <c r="I39" s="136">
        <f>ROUNDUP('採算表(VND)'!I39/$N$1,2)</f>
        <v>14.95</v>
      </c>
      <c r="J39" s="136">
        <f>ROUNDUP('採算表(VND)'!J39/$N$1,2)</f>
        <v>16.610000000000003</v>
      </c>
      <c r="K39" s="136">
        <f>ROUNDUP('採算表(VND)'!K39/$N$1,2)</f>
        <v>16.66</v>
      </c>
      <c r="L39" s="136">
        <f>ROUNDUP('採算表(VND)'!L39/$N$1,2)</f>
        <v>15.94</v>
      </c>
      <c r="M39" s="136">
        <f>ROUNDUP('採算表(VND)'!M39/$N$1,2)</f>
        <v>15.09</v>
      </c>
      <c r="N39" s="136">
        <f>ROUNDUP('採算表(VND)'!N39/$N$1,2)</f>
        <v>15.79</v>
      </c>
      <c r="O39" s="136">
        <f t="shared" si="4"/>
        <v>197.7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11.7</v>
      </c>
      <c r="D41" s="136">
        <f>ROUNDUP('採算表(VND)'!D41/$N$1,2)</f>
        <v>11.7</v>
      </c>
      <c r="E41" s="136">
        <f>ROUNDUP('採算表(VND)'!E41/$N$1,2)</f>
        <v>11.7</v>
      </c>
      <c r="F41" s="136">
        <f>ROUNDUP('採算表(VND)'!F41/$N$1,2)</f>
        <v>11.7</v>
      </c>
      <c r="G41" s="136">
        <f>ROUNDUP('採算表(VND)'!G41/$N$1,2)</f>
        <v>11.7</v>
      </c>
      <c r="H41" s="136">
        <f>ROUNDUP('採算表(VND)'!H41/$N$1,2)</f>
        <v>11.7</v>
      </c>
      <c r="I41" s="136">
        <f>ROUNDUP('採算表(VND)'!I41/$N$1,2)</f>
        <v>11.7</v>
      </c>
      <c r="J41" s="136">
        <f>ROUNDUP('採算表(VND)'!J41/$N$1,2)</f>
        <v>11.7</v>
      </c>
      <c r="K41" s="136">
        <f>ROUNDUP('採算表(VND)'!K41/$N$1,2)</f>
        <v>11.7</v>
      </c>
      <c r="L41" s="136">
        <f>ROUNDUP('採算表(VND)'!L41/$N$1,2)</f>
        <v>11.7</v>
      </c>
      <c r="M41" s="136">
        <f>ROUNDUP('採算表(VND)'!M41/$N$1,2)</f>
        <v>11.7</v>
      </c>
      <c r="N41" s="136">
        <f>ROUNDUP('採算表(VND)'!N41/$N$1,2)</f>
        <v>11.7</v>
      </c>
      <c r="O41" s="136">
        <f t="shared" si="4"/>
        <v>140.4</v>
      </c>
    </row>
    <row r="42" spans="1:15" ht="11.25" customHeight="1">
      <c r="A42" s="38"/>
      <c r="B42" s="37" t="s">
        <v>98</v>
      </c>
      <c r="C42" s="136">
        <f>ROUNDUP('採算表(VND)'!C42/$N$1,2)</f>
        <v>172.45</v>
      </c>
      <c r="D42" s="136">
        <f>ROUNDUP('採算表(VND)'!D42/$N$1,2)</f>
        <v>172.45</v>
      </c>
      <c r="E42" s="136">
        <f>ROUNDUP('採算表(VND)'!E42/$N$1,2)</f>
        <v>172.45</v>
      </c>
      <c r="F42" s="136">
        <f>ROUNDUP('採算表(VND)'!F42/$N$1,2)</f>
        <v>172.45</v>
      </c>
      <c r="G42" s="136">
        <f>ROUNDUP('採算表(VND)'!G42/$N$1,2)</f>
        <v>172.45</v>
      </c>
      <c r="H42" s="136">
        <f>ROUNDUP('採算表(VND)'!H42/$N$1,2)</f>
        <v>172.45</v>
      </c>
      <c r="I42" s="136">
        <f>ROUNDUP('採算表(VND)'!I42/$N$1,2)</f>
        <v>172.45</v>
      </c>
      <c r="J42" s="136">
        <f>ROUNDUP('採算表(VND)'!J42/$N$1,2)</f>
        <v>184.2</v>
      </c>
      <c r="K42" s="136">
        <f>ROUNDUP('採算表(VND)'!K42/$N$1,2)</f>
        <v>183.92</v>
      </c>
      <c r="L42" s="136">
        <f>ROUNDUP('採算表(VND)'!L42/$N$1,2)</f>
        <v>183.92</v>
      </c>
      <c r="M42" s="136">
        <f>ROUNDUP('採算表(VND)'!M42/$N$1,2)</f>
        <v>183.92</v>
      </c>
      <c r="N42" s="136">
        <f>ROUNDUP('採算表(VND)'!N42/$N$1,2)</f>
        <v>183.92</v>
      </c>
      <c r="O42" s="136">
        <f t="shared" si="4"/>
        <v>2127.0300000000002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274.31</v>
      </c>
      <c r="D44" s="136">
        <f>ROUNDUP('採算表(VND)'!D44/$N$1,2)</f>
        <v>663.92</v>
      </c>
      <c r="E44" s="136">
        <f>ROUNDUP('採算表(VND)'!E44/$N$1,2)</f>
        <v>124.80000000000001</v>
      </c>
      <c r="F44" s="136">
        <f>ROUNDUP('採算表(VND)'!F44/$N$1,2)</f>
        <v>96.01</v>
      </c>
      <c r="G44" s="136">
        <f>ROUNDUP('採算表(VND)'!G44/$N$1,2)</f>
        <v>68.47</v>
      </c>
      <c r="H44" s="136">
        <f>ROUNDUP('採算表(VND)'!H44/$N$1,2)</f>
        <v>127.63000000000001</v>
      </c>
      <c r="I44" s="136">
        <f>ROUNDUP('採算表(VND)'!I44/$N$1,2)</f>
        <v>109.49000000000001</v>
      </c>
      <c r="J44" s="136">
        <f>ROUNDUP('採算表(VND)'!J44/$N$1,2)</f>
        <v>101.05000000000001</v>
      </c>
      <c r="K44" s="136">
        <f>ROUNDUP('採算表(VND)'!K44/$N$1,2)</f>
        <v>154.03</v>
      </c>
      <c r="L44" s="136">
        <f>ROUNDUP('採算表(VND)'!L44/$N$1,2)</f>
        <v>73.06</v>
      </c>
      <c r="M44" s="136">
        <f>ROUNDUP('採算表(VND)'!M44/$N$1,2)</f>
        <v>90.72</v>
      </c>
      <c r="N44" s="136">
        <f>ROUNDUP('採算表(VND)'!N44/$N$1,2)</f>
        <v>175.12</v>
      </c>
      <c r="O44" s="136">
        <f t="shared" si="4"/>
        <v>2058.61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51.62</v>
      </c>
      <c r="D57" s="139">
        <f>ROUNDUP('採算表(VND)'!D57/$N$1,2)</f>
        <v>49.4</v>
      </c>
      <c r="E57" s="139">
        <f>ROUNDUP('採算表(VND)'!E57/$N$1,2)</f>
        <v>50.4</v>
      </c>
      <c r="F57" s="139">
        <f>ROUNDUP('採算表(VND)'!F57/$N$1,2)</f>
        <v>47.87</v>
      </c>
      <c r="G57" s="139">
        <f>ROUNDUP('採算表(VND)'!G57/$N$1,2)</f>
        <v>47.23</v>
      </c>
      <c r="H57" s="139">
        <f>ROUNDUP('採算表(VND)'!H57/$N$1,2)</f>
        <v>47.47</v>
      </c>
      <c r="I57" s="139">
        <f>ROUNDUP('採算表(VND)'!I57/$N$1,2)</f>
        <v>52.86</v>
      </c>
      <c r="J57" s="139">
        <f>ROUNDUP('採算表(VND)'!J57/$N$1,2)</f>
        <v>52.2</v>
      </c>
      <c r="K57" s="139">
        <f>ROUNDUP('採算表(VND)'!K57/$N$1,2)</f>
        <v>52.55</v>
      </c>
      <c r="L57" s="139">
        <f>ROUNDUP('採算表(VND)'!L57/$N$1,2)</f>
        <v>51.339999999999996</v>
      </c>
      <c r="M57" s="139">
        <f>ROUNDUP('採算表(VND)'!M57/$N$1,2)</f>
        <v>50.14</v>
      </c>
      <c r="N57" s="139">
        <f>ROUNDUP('採算表(VND)'!N57/$N$1,2)</f>
        <v>51.669999999999995</v>
      </c>
      <c r="O57" s="139">
        <f t="shared" si="4"/>
        <v>604.75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-700.33</v>
      </c>
      <c r="D61" s="139">
        <f>ROUNDUP('採算表(VND)'!D61/$N$1,2)</f>
        <v>-1090.47</v>
      </c>
      <c r="E61" s="139">
        <f>ROUNDUP('採算表(VND)'!E61/$N$1,2)</f>
        <v>-576.79999999999995</v>
      </c>
      <c r="F61" s="139">
        <f>ROUNDUP('採算表(VND)'!F61/$N$1,2)</f>
        <v>-553.41999999999996</v>
      </c>
      <c r="G61" s="139">
        <f>ROUNDUP('採算表(VND)'!G61/$N$1,2)</f>
        <v>-523.5</v>
      </c>
      <c r="H61" s="139">
        <f>ROUNDUP('採算表(VND)'!H61/$N$1,2)</f>
        <v>-570.41</v>
      </c>
      <c r="I61" s="139">
        <f>ROUNDUP('採算表(VND)'!I61/$N$1,2)</f>
        <v>-1237.5999999999999</v>
      </c>
      <c r="J61" s="139">
        <f>ROUNDUP('採算表(VND)'!J61/$N$1,2)</f>
        <v>-563.47</v>
      </c>
      <c r="K61" s="139">
        <f>ROUNDUP('採算表(VND)'!K61/$N$1,2)</f>
        <v>-1274.8699999999999</v>
      </c>
      <c r="L61" s="139">
        <f>ROUNDUP('採算表(VND)'!L61/$N$1,2)</f>
        <v>-514.16</v>
      </c>
      <c r="M61" s="139">
        <f>ROUNDUP('採算表(VND)'!M61/$N$1,2)</f>
        <v>-520.71</v>
      </c>
      <c r="N61" s="139">
        <f>ROUNDUP('採算表(VND)'!N61/$N$1,2)</f>
        <v>-601.45000000000005</v>
      </c>
      <c r="O61" s="139">
        <f t="shared" si="4"/>
        <v>-8727.19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-1.999999999998181E-2</v>
      </c>
      <c r="D66" s="134">
        <f t="shared" ref="D66:O66" si="5">IF(ISBLANK(D4),"",D12-D13)</f>
        <v>-1.999999999998181E-2</v>
      </c>
      <c r="E66" s="134">
        <f t="shared" si="5"/>
        <v>-1.0000000000104592E-2</v>
      </c>
      <c r="F66" s="134">
        <f t="shared" si="5"/>
        <v>-2.9999999999972715E-2</v>
      </c>
      <c r="G66" s="134">
        <f t="shared" si="5"/>
        <v>-2.9999999999972715E-2</v>
      </c>
      <c r="H66" s="134">
        <f t="shared" si="5"/>
        <v>-3.0000000000086402E-2</v>
      </c>
      <c r="I66" s="134">
        <f t="shared" si="5"/>
        <v>-4.0000000000190994E-2</v>
      </c>
      <c r="J66" s="134">
        <f t="shared" si="5"/>
        <v>-2.9999999999972715E-2</v>
      </c>
      <c r="K66" s="134">
        <f t="shared" si="5"/>
        <v>-5.0000000000181899E-2</v>
      </c>
      <c r="L66" s="134">
        <f t="shared" si="5"/>
        <v>-3.999999999996362E-2</v>
      </c>
      <c r="M66" s="134">
        <f t="shared" si="5"/>
        <v>-3.999999999996362E-2</v>
      </c>
      <c r="N66" s="134">
        <f t="shared" si="5"/>
        <v>-2.9999999999859028E-2</v>
      </c>
      <c r="O66" s="134">
        <f t="shared" si="5"/>
        <v>-0.37000000000080036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1293</v>
      </c>
      <c r="D68" s="135">
        <f>'採算表(VND)'!D68</f>
        <v>1227</v>
      </c>
      <c r="E68" s="135">
        <f>'採算表(VND)'!E68</f>
        <v>1357</v>
      </c>
      <c r="F68" s="135">
        <f>'採算表(VND)'!F68</f>
        <v>1486</v>
      </c>
      <c r="G68" s="135">
        <f>'採算表(VND)'!G68</f>
        <v>1293</v>
      </c>
      <c r="H68" s="135">
        <f>'採算表(VND)'!H68</f>
        <v>1227</v>
      </c>
      <c r="I68" s="135">
        <f>'採算表(VND)'!I68</f>
        <v>1671</v>
      </c>
      <c r="J68" s="135">
        <f>'採算表(VND)'!J68</f>
        <v>1454</v>
      </c>
      <c r="K68" s="135">
        <f>'採算表(VND)'!K68</f>
        <v>1599</v>
      </c>
      <c r="L68" s="135">
        <f>'採算表(VND)'!L68</f>
        <v>1454</v>
      </c>
      <c r="M68" s="135">
        <f>'採算表(VND)'!M68</f>
        <v>1090</v>
      </c>
      <c r="N68" s="135">
        <f>'採算表(VND)'!N68</f>
        <v>1454</v>
      </c>
      <c r="O68" s="135">
        <f>SUM(C68:N68)</f>
        <v>16605</v>
      </c>
    </row>
    <row r="69" spans="1:15" ht="11.25" customHeight="1">
      <c r="A69" s="38"/>
      <c r="B69" s="46" t="s">
        <v>88</v>
      </c>
      <c r="C69" s="136">
        <f>'採算表(VND)'!C69</f>
        <v>-1293</v>
      </c>
      <c r="D69" s="136">
        <f>'採算表(VND)'!D69</f>
        <v>-1227</v>
      </c>
      <c r="E69" s="136">
        <f>'採算表(VND)'!E69</f>
        <v>-1357</v>
      </c>
      <c r="F69" s="136">
        <f>'採算表(VND)'!F69</f>
        <v>-1486</v>
      </c>
      <c r="G69" s="136">
        <f>'採算表(VND)'!G69</f>
        <v>-1293</v>
      </c>
      <c r="H69" s="136">
        <f>'採算表(VND)'!H69</f>
        <v>-1227</v>
      </c>
      <c r="I69" s="136">
        <f>'採算表(VND)'!I69</f>
        <v>-1671</v>
      </c>
      <c r="J69" s="136">
        <f>'採算表(VND)'!J69</f>
        <v>-1454</v>
      </c>
      <c r="K69" s="136">
        <f>'採算表(VND)'!K69</f>
        <v>-1599</v>
      </c>
      <c r="L69" s="136">
        <f>'採算表(VND)'!L69</f>
        <v>-1454</v>
      </c>
      <c r="M69" s="136">
        <f>'採算表(VND)'!M69</f>
        <v>-1090</v>
      </c>
      <c r="N69" s="136">
        <f>'採算表(VND)'!N69</f>
        <v>-1454</v>
      </c>
      <c r="O69" s="136">
        <f>SUM(C69:N69)</f>
        <v>-16605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48</v>
      </c>
      <c r="D74" s="135">
        <f>'採算表(VND)'!D74</f>
        <v>46</v>
      </c>
      <c r="E74" s="135">
        <f>'採算表(VND)'!E74</f>
        <v>50</v>
      </c>
      <c r="F74" s="135">
        <f>'採算表(VND)'!F74</f>
        <v>54</v>
      </c>
      <c r="G74" s="135">
        <f>'採算表(VND)'!G74</f>
        <v>48</v>
      </c>
      <c r="H74" s="135">
        <f>'採算表(VND)'!H74</f>
        <v>46</v>
      </c>
      <c r="I74" s="135">
        <f>'採算表(VND)'!I74</f>
        <v>54</v>
      </c>
      <c r="J74" s="135">
        <f>'採算表(VND)'!J74</f>
        <v>48</v>
      </c>
      <c r="K74" s="135">
        <f>'採算表(VND)'!K74</f>
        <v>52</v>
      </c>
      <c r="L74" s="135">
        <f>'採算表(VND)'!L74</f>
        <v>48</v>
      </c>
      <c r="M74" s="135">
        <f>'採算表(VND)'!M74</f>
        <v>38</v>
      </c>
      <c r="N74" s="135">
        <f>'採算表(VND)'!N74</f>
        <v>48</v>
      </c>
      <c r="O74" s="135">
        <f>SUM(C74:N74)</f>
        <v>580</v>
      </c>
    </row>
    <row r="75" spans="1:15">
      <c r="A75" s="38"/>
      <c r="B75" s="37" t="s">
        <v>88</v>
      </c>
      <c r="C75" s="136">
        <f>'採算表(VND)'!C75</f>
        <v>-48</v>
      </c>
      <c r="D75" s="136">
        <f>'採算表(VND)'!D75</f>
        <v>-46</v>
      </c>
      <c r="E75" s="136">
        <f>'採算表(VND)'!E75</f>
        <v>-50</v>
      </c>
      <c r="F75" s="136">
        <f>'採算表(VND)'!F75</f>
        <v>-54</v>
      </c>
      <c r="G75" s="136">
        <f>'採算表(VND)'!G75</f>
        <v>-48</v>
      </c>
      <c r="H75" s="136">
        <f>'採算表(VND)'!H75</f>
        <v>-46</v>
      </c>
      <c r="I75" s="136">
        <f>'採算表(VND)'!I75</f>
        <v>-54</v>
      </c>
      <c r="J75" s="136">
        <f>'採算表(VND)'!J75</f>
        <v>-48</v>
      </c>
      <c r="K75" s="136">
        <f>'採算表(VND)'!K75</f>
        <v>-52</v>
      </c>
      <c r="L75" s="136">
        <f>'採算表(VND)'!L75</f>
        <v>-48</v>
      </c>
      <c r="M75" s="136">
        <f>'採算表(VND)'!M75</f>
        <v>-38</v>
      </c>
      <c r="N75" s="136">
        <f>'採算表(VND)'!N75</f>
        <v>-48</v>
      </c>
      <c r="O75" s="136">
        <f>SUM(C75:N75)</f>
        <v>-580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8</v>
      </c>
      <c r="D88" s="150">
        <f>'採算表(VND)'!D88</f>
        <v>8</v>
      </c>
      <c r="E88" s="150">
        <f>'採算表(VND)'!E88</f>
        <v>8</v>
      </c>
      <c r="F88" s="150">
        <f>'採算表(VND)'!F88</f>
        <v>8</v>
      </c>
      <c r="G88" s="150">
        <f>'採算表(VND)'!G88</f>
        <v>8</v>
      </c>
      <c r="H88" s="150">
        <f>'採算表(VND)'!H88</f>
        <v>8</v>
      </c>
      <c r="I88" s="150">
        <f>'採算表(VND)'!I88</f>
        <v>9</v>
      </c>
      <c r="J88" s="150">
        <f>'採算表(VND)'!J88</f>
        <v>9</v>
      </c>
      <c r="K88" s="150">
        <f>'採算表(VND)'!K88</f>
        <v>9</v>
      </c>
      <c r="L88" s="150">
        <f>'採算表(VND)'!L88</f>
        <v>9</v>
      </c>
      <c r="M88" s="150">
        <f>'採算表(VND)'!M88</f>
        <v>9</v>
      </c>
      <c r="N88" s="150">
        <f>'採算表(VND)'!N88</f>
        <v>9</v>
      </c>
      <c r="O88" s="150">
        <f>SUM(C88:N88)</f>
        <v>102</v>
      </c>
    </row>
    <row r="89" spans="1:15">
      <c r="A89" s="44"/>
      <c r="B89" s="60" t="s">
        <v>18</v>
      </c>
      <c r="C89" s="151">
        <f t="shared" ref="C89:O89" si="11">C87+C88</f>
        <v>8</v>
      </c>
      <c r="D89" s="151">
        <f t="shared" si="11"/>
        <v>8</v>
      </c>
      <c r="E89" s="151">
        <f t="shared" si="11"/>
        <v>8</v>
      </c>
      <c r="F89" s="151">
        <f t="shared" si="11"/>
        <v>8</v>
      </c>
      <c r="G89" s="151">
        <f t="shared" si="11"/>
        <v>8</v>
      </c>
      <c r="H89" s="151">
        <f t="shared" si="11"/>
        <v>8</v>
      </c>
      <c r="I89" s="151">
        <f t="shared" si="11"/>
        <v>9</v>
      </c>
      <c r="J89" s="151">
        <f t="shared" si="11"/>
        <v>9</v>
      </c>
      <c r="K89" s="151">
        <f t="shared" si="11"/>
        <v>9</v>
      </c>
      <c r="L89" s="151">
        <f t="shared" si="11"/>
        <v>9</v>
      </c>
      <c r="M89" s="151">
        <f t="shared" si="11"/>
        <v>9</v>
      </c>
      <c r="N89" s="151">
        <f t="shared" si="11"/>
        <v>9</v>
      </c>
      <c r="O89" s="151">
        <f t="shared" si="11"/>
        <v>102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1293</v>
      </c>
      <c r="D93" s="133">
        <f>'採算表(VND)'!D93</f>
        <v>1227</v>
      </c>
      <c r="E93" s="133">
        <f>'採算表(VND)'!E93</f>
        <v>1357</v>
      </c>
      <c r="F93" s="133">
        <f>'採算表(VND)'!F93</f>
        <v>1486</v>
      </c>
      <c r="G93" s="133">
        <f>'採算表(VND)'!G93</f>
        <v>1293</v>
      </c>
      <c r="H93" s="133">
        <f>'採算表(VND)'!H93</f>
        <v>1227</v>
      </c>
      <c r="I93" s="133">
        <f>'採算表(VND)'!I93</f>
        <v>1671</v>
      </c>
      <c r="J93" s="133">
        <f>'採算表(VND)'!J93</f>
        <v>1454</v>
      </c>
      <c r="K93" s="133">
        <f>'採算表(VND)'!K93</f>
        <v>1599</v>
      </c>
      <c r="L93" s="133">
        <f>'採算表(VND)'!L93</f>
        <v>1454</v>
      </c>
      <c r="M93" s="133">
        <f>'採算表(VND)'!M93</f>
        <v>1090</v>
      </c>
      <c r="N93" s="133">
        <f>'採算表(VND)'!N93</f>
        <v>1454</v>
      </c>
      <c r="O93" s="133">
        <f>SUM(C93:N93)</f>
        <v>16605</v>
      </c>
    </row>
    <row r="94" spans="1:15">
      <c r="B94" s="61" t="s">
        <v>18</v>
      </c>
      <c r="C94" s="147">
        <f t="shared" ref="C94:O94" si="12">C92+C93</f>
        <v>1293</v>
      </c>
      <c r="D94" s="147">
        <f t="shared" si="12"/>
        <v>1227</v>
      </c>
      <c r="E94" s="147">
        <f t="shared" si="12"/>
        <v>1357</v>
      </c>
      <c r="F94" s="147">
        <f t="shared" si="12"/>
        <v>1486</v>
      </c>
      <c r="G94" s="147">
        <f t="shared" si="12"/>
        <v>1293</v>
      </c>
      <c r="H94" s="147">
        <f t="shared" si="12"/>
        <v>1227</v>
      </c>
      <c r="I94" s="147">
        <f t="shared" si="12"/>
        <v>1671</v>
      </c>
      <c r="J94" s="147">
        <f t="shared" si="12"/>
        <v>1454</v>
      </c>
      <c r="K94" s="147">
        <f t="shared" si="12"/>
        <v>1599</v>
      </c>
      <c r="L94" s="147">
        <f t="shared" si="12"/>
        <v>1454</v>
      </c>
      <c r="M94" s="147">
        <f t="shared" si="12"/>
        <v>1090</v>
      </c>
      <c r="N94" s="147">
        <f t="shared" si="12"/>
        <v>1454</v>
      </c>
      <c r="O94" s="147">
        <f t="shared" si="12"/>
        <v>16605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48</v>
      </c>
      <c r="D98" s="133">
        <f>'採算表(VND)'!D98</f>
        <v>46</v>
      </c>
      <c r="E98" s="133">
        <f>'採算表(VND)'!E98</f>
        <v>50</v>
      </c>
      <c r="F98" s="133">
        <f>'採算表(VND)'!F98</f>
        <v>54</v>
      </c>
      <c r="G98" s="133">
        <f>'採算表(VND)'!G98</f>
        <v>48</v>
      </c>
      <c r="H98" s="133">
        <f>'採算表(VND)'!H98</f>
        <v>46</v>
      </c>
      <c r="I98" s="133">
        <f>'採算表(VND)'!I98</f>
        <v>54</v>
      </c>
      <c r="J98" s="133">
        <f>'採算表(VND)'!J98</f>
        <v>48</v>
      </c>
      <c r="K98" s="133">
        <f>'採算表(VND)'!K98</f>
        <v>52</v>
      </c>
      <c r="L98" s="133">
        <f>'採算表(VND)'!L98</f>
        <v>48</v>
      </c>
      <c r="M98" s="133">
        <f>'採算表(VND)'!M98</f>
        <v>38</v>
      </c>
      <c r="N98" s="133">
        <f>'採算表(VND)'!N98</f>
        <v>48</v>
      </c>
      <c r="O98" s="133">
        <f>SUM(C98:N98)</f>
        <v>580</v>
      </c>
    </row>
    <row r="99" spans="2:15">
      <c r="B99" s="61" t="s">
        <v>18</v>
      </c>
      <c r="C99" s="147">
        <f t="shared" ref="C99:O99" si="13">C97+C98</f>
        <v>48</v>
      </c>
      <c r="D99" s="147">
        <f t="shared" si="13"/>
        <v>46</v>
      </c>
      <c r="E99" s="147">
        <f t="shared" si="13"/>
        <v>50</v>
      </c>
      <c r="F99" s="147">
        <f t="shared" si="13"/>
        <v>54</v>
      </c>
      <c r="G99" s="147">
        <f t="shared" si="13"/>
        <v>48</v>
      </c>
      <c r="H99" s="147">
        <f t="shared" si="13"/>
        <v>46</v>
      </c>
      <c r="I99" s="147">
        <f t="shared" si="13"/>
        <v>54</v>
      </c>
      <c r="J99" s="147">
        <f t="shared" si="13"/>
        <v>48</v>
      </c>
      <c r="K99" s="147">
        <f t="shared" si="13"/>
        <v>52</v>
      </c>
      <c r="L99" s="147">
        <f t="shared" si="13"/>
        <v>48</v>
      </c>
      <c r="M99" s="147">
        <f t="shared" si="13"/>
        <v>38</v>
      </c>
      <c r="N99" s="147">
        <f t="shared" si="13"/>
        <v>48</v>
      </c>
      <c r="O99" s="147">
        <f t="shared" si="13"/>
        <v>580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工程品質管理4課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SUMIF('内訳ﾘｽﾄ(4～3月)'!$D$26:$D$1001,'採算表(VND)'!$B6,'内訳ﾘｽﾄ(4～3月)'!F$26:F$1001)</f>
        <v>0</v>
      </c>
      <c r="D6" s="153">
        <f>SUMIF('内訳ﾘｽﾄ(4～3月)'!$D$26:$D$1001,'採算表(VND)'!$B6,'内訳ﾘｽﾄ(4～3月)'!G$26:G$1001)</f>
        <v>0</v>
      </c>
      <c r="E6" s="153">
        <f>SUMIF('内訳ﾘｽﾄ(4～3月)'!$D$26:$D$1001,'採算表(VND)'!$B6,'内訳ﾘｽﾄ(4～3月)'!H$26:H$1001)</f>
        <v>0</v>
      </c>
      <c r="F6" s="153">
        <f>SUMIF('内訳ﾘｽﾄ(4～3月)'!$D$26:$D$1001,'採算表(VND)'!$B6,'内訳ﾘｽﾄ(4～3月)'!I$26:I$1001)</f>
        <v>0</v>
      </c>
      <c r="G6" s="153">
        <f>SUMIF('内訳ﾘｽﾄ(4～3月)'!$D$26:$D$1001,'採算表(VND)'!$B6,'内訳ﾘｽﾄ(4～3月)'!J$26:J$1001)</f>
        <v>0</v>
      </c>
      <c r="H6" s="153">
        <f>SUMIF('内訳ﾘｽﾄ(4～3月)'!$D$26:$D$1001,'採算表(VND)'!$B6,'内訳ﾘｽﾄ(4～3月)'!K$26:K$1001)</f>
        <v>0</v>
      </c>
      <c r="I6" s="153">
        <f>SUMIF('内訳ﾘｽﾄ(4～3月)'!$D$26:$D$1001,'採算表(VND)'!$B6,'内訳ﾘｽﾄ(4～3月)'!L$26:L$1001)</f>
        <v>0</v>
      </c>
      <c r="J6" s="153">
        <f>SUMIF('内訳ﾘｽﾄ(4～3月)'!$D$26:$D$1001,'採算表(VND)'!$B6,'内訳ﾘｽﾄ(4～3月)'!M$26:M$1001)</f>
        <v>0</v>
      </c>
      <c r="K6" s="153">
        <f>SUMIF('内訳ﾘｽﾄ(4～3月)'!$D$26:$D$1001,'採算表(VND)'!$B6,'内訳ﾘｽﾄ(4～3月)'!N$26:N$1001)</f>
        <v>0</v>
      </c>
      <c r="L6" s="153">
        <f>SUMIF('内訳ﾘｽﾄ(4～3月)'!$D$26:$D$1001,'採算表(VND)'!$B6,'内訳ﾘｽﾄ(4～3月)'!O$26:O$1001)</f>
        <v>0</v>
      </c>
      <c r="M6" s="153">
        <f>SUMIF('内訳ﾘｽﾄ(4～3月)'!$D$26:$D$1001,'採算表(VND)'!$B6,'内訳ﾘｽﾄ(4～3月)'!P$26:P$1001)</f>
        <v>0</v>
      </c>
      <c r="N6" s="153">
        <f>SUMIF('内訳ﾘｽﾄ(4～3月)'!$D$26:$D$1001,'採算表(VND)'!$B6,'内訳ﾘｽﾄ(4～3月)'!Q$26:Q$1001)</f>
        <v>0</v>
      </c>
      <c r="O6" s="153">
        <f>SUMIF('内訳ﾘｽﾄ(4～3月)'!$D$26:$D$800,'採算表(VND)'!$B6,'内訳ﾘｽﾄ(4～3月)'!R$26:R$800)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SUMIF('内訳ﾘｽﾄ(4～3月)'!$D$26:$D$1001,'採算表(VND)'!$B7,'内訳ﾘｽﾄ(4～3月)'!F$26:F$1001)</f>
        <v>0</v>
      </c>
      <c r="D7" s="154">
        <f>SUMIF('内訳ﾘｽﾄ(4～3月)'!$D$26:$D$1001,'採算表(VND)'!$B7,'内訳ﾘｽﾄ(4～3月)'!G$26:G$1001)</f>
        <v>0</v>
      </c>
      <c r="E7" s="154">
        <f>SUMIF('内訳ﾘｽﾄ(4～3月)'!$D$26:$D$1001,'採算表(VND)'!$B7,'内訳ﾘｽﾄ(4～3月)'!H$26:H$1001)</f>
        <v>0</v>
      </c>
      <c r="F7" s="154">
        <f>SUMIF('内訳ﾘｽﾄ(4～3月)'!$D$26:$D$1001,'採算表(VND)'!$B7,'内訳ﾘｽﾄ(4～3月)'!I$26:I$1001)</f>
        <v>0</v>
      </c>
      <c r="G7" s="154">
        <f>SUMIF('内訳ﾘｽﾄ(4～3月)'!$D$26:$D$1001,'採算表(VND)'!$B7,'内訳ﾘｽﾄ(4～3月)'!J$26:J$1001)</f>
        <v>0</v>
      </c>
      <c r="H7" s="154">
        <f>SUMIF('内訳ﾘｽﾄ(4～3月)'!$D$26:$D$1001,'採算表(VND)'!$B7,'内訳ﾘｽﾄ(4～3月)'!K$26:K$1001)</f>
        <v>0</v>
      </c>
      <c r="I7" s="154">
        <f>SUMIF('内訳ﾘｽﾄ(4～3月)'!$D$26:$D$1001,'採算表(VND)'!$B7,'内訳ﾘｽﾄ(4～3月)'!L$26:L$1001)</f>
        <v>0</v>
      </c>
      <c r="J7" s="154">
        <f>SUMIF('内訳ﾘｽﾄ(4～3月)'!$D$26:$D$1001,'採算表(VND)'!$B7,'内訳ﾘｽﾄ(4～3月)'!M$26:M$1001)</f>
        <v>0</v>
      </c>
      <c r="K7" s="154">
        <f>SUMIF('内訳ﾘｽﾄ(4～3月)'!$D$26:$D$1001,'採算表(VND)'!$B7,'内訳ﾘｽﾄ(4～3月)'!N$26:N$1001)</f>
        <v>0</v>
      </c>
      <c r="L7" s="154">
        <f>SUMIF('内訳ﾘｽﾄ(4～3月)'!$D$26:$D$1001,'採算表(VND)'!$B7,'内訳ﾘｽﾄ(4～3月)'!O$26:O$1001)</f>
        <v>0</v>
      </c>
      <c r="M7" s="154">
        <f>SUMIF('内訳ﾘｽﾄ(4～3月)'!$D$26:$D$1001,'採算表(VND)'!$B7,'内訳ﾘｽﾄ(4～3月)'!P$26:P$1001)</f>
        <v>0</v>
      </c>
      <c r="N7" s="154">
        <f>SUMIF('内訳ﾘｽﾄ(4～3月)'!$D$26:$D$1001,'採算表(VND)'!$B7,'内訳ﾘｽﾄ(4～3月)'!Q$26:Q$1001)</f>
        <v>0</v>
      </c>
      <c r="O7" s="154">
        <f>SUMIF('内訳ﾘｽﾄ(4～3月)'!$D$26:$D$800,'採算表(VND)'!$B7,'内訳ﾘｽﾄ(4～3月)'!R$26:R$800)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SUMIF('内訳ﾘｽﾄ(4～3月)'!$D$26:$D$1001,'採算表(VND)'!$B9,'内訳ﾘｽﾄ(4～3月)'!F$26:F$1001)</f>
        <v>0</v>
      </c>
      <c r="D9" s="150">
        <f>SUMIF('内訳ﾘｽﾄ(4～3月)'!$D$26:$D$1001,'採算表(VND)'!$B9,'内訳ﾘｽﾄ(4～3月)'!G$26:G$1001)</f>
        <v>0</v>
      </c>
      <c r="E9" s="150">
        <f>SUMIF('内訳ﾘｽﾄ(4～3月)'!$D$26:$D$1001,'採算表(VND)'!$B9,'内訳ﾘｽﾄ(4～3月)'!H$26:H$1001)</f>
        <v>0</v>
      </c>
      <c r="F9" s="150">
        <f>SUMIF('内訳ﾘｽﾄ(4～3月)'!$D$26:$D$1001,'採算表(VND)'!$B9,'内訳ﾘｽﾄ(4～3月)'!I$26:I$1001)</f>
        <v>0</v>
      </c>
      <c r="G9" s="150">
        <f>SUMIF('内訳ﾘｽﾄ(4～3月)'!$D$26:$D$1001,'採算表(VND)'!$B9,'内訳ﾘｽﾄ(4～3月)'!J$26:J$1001)</f>
        <v>0</v>
      </c>
      <c r="H9" s="150">
        <f>SUMIF('内訳ﾘｽﾄ(4～3月)'!$D$26:$D$1001,'採算表(VND)'!$B9,'内訳ﾘｽﾄ(4～3月)'!K$26:K$1001)</f>
        <v>0</v>
      </c>
      <c r="I9" s="150">
        <f>SUMIF('内訳ﾘｽﾄ(4～3月)'!$D$26:$D$1001,'採算表(VND)'!$B9,'内訳ﾘｽﾄ(4～3月)'!L$26:L$1001)</f>
        <v>0</v>
      </c>
      <c r="J9" s="150">
        <f>SUMIF('内訳ﾘｽﾄ(4～3月)'!$D$26:$D$1001,'採算表(VND)'!$B9,'内訳ﾘｽﾄ(4～3月)'!M$26:M$1001)</f>
        <v>0</v>
      </c>
      <c r="K9" s="150">
        <f>SUMIF('内訳ﾘｽﾄ(4～3月)'!$D$26:$D$1001,'採算表(VND)'!$B9,'内訳ﾘｽﾄ(4～3月)'!N$26:N$1001)</f>
        <v>0</v>
      </c>
      <c r="L9" s="150">
        <f>SUMIF('内訳ﾘｽﾄ(4～3月)'!$D$26:$D$1001,'採算表(VND)'!$B9,'内訳ﾘｽﾄ(4～3月)'!O$26:O$1001)</f>
        <v>0</v>
      </c>
      <c r="M9" s="150">
        <f>SUMIF('内訳ﾘｽﾄ(4～3月)'!$D$26:$D$1001,'採算表(VND)'!$B9,'内訳ﾘｽﾄ(4～3月)'!P$26:P$1001)</f>
        <v>0</v>
      </c>
      <c r="N9" s="150">
        <f>SUMIF('内訳ﾘｽﾄ(4～3月)'!$D$26:$D$1001,'採算表(VND)'!$B9,'内訳ﾘｽﾄ(4～3月)'!Q$26:Q$1001)</f>
        <v>0</v>
      </c>
      <c r="O9" s="150">
        <f>SUMIF('内訳ﾘｽﾄ(4～3月)'!$D$26:$D$800,'採算表(VND)'!$B9,'内訳ﾘｽﾄ(4～3月)'!R$26:R$800)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SUMIF('内訳ﾘｽﾄ(4～3月)'!$D$26:$D$1001,'採算表(VND)'!$B10,'内訳ﾘｽﾄ(4～3月)'!F$26:F$1001)</f>
        <v>0</v>
      </c>
      <c r="D10" s="150">
        <f>SUMIF('内訳ﾘｽﾄ(4～3月)'!$D$26:$D$1001,'採算表(VND)'!$B10,'内訳ﾘｽﾄ(4～3月)'!G$26:G$1001)</f>
        <v>0</v>
      </c>
      <c r="E10" s="150">
        <f>SUMIF('内訳ﾘｽﾄ(4～3月)'!$D$26:$D$1001,'採算表(VND)'!$B10,'内訳ﾘｽﾄ(4～3月)'!H$26:H$1001)</f>
        <v>0</v>
      </c>
      <c r="F10" s="150">
        <f>SUMIF('内訳ﾘｽﾄ(4～3月)'!$D$26:$D$1001,'採算表(VND)'!$B10,'内訳ﾘｽﾄ(4～3月)'!I$26:I$1001)</f>
        <v>0</v>
      </c>
      <c r="G10" s="150">
        <f>SUMIF('内訳ﾘｽﾄ(4～3月)'!$D$26:$D$1001,'採算表(VND)'!$B10,'内訳ﾘｽﾄ(4～3月)'!J$26:J$1001)</f>
        <v>0</v>
      </c>
      <c r="H10" s="150">
        <f>SUMIF('内訳ﾘｽﾄ(4～3月)'!$D$26:$D$1001,'採算表(VND)'!$B10,'内訳ﾘｽﾄ(4～3月)'!K$26:K$1001)</f>
        <v>0</v>
      </c>
      <c r="I10" s="150">
        <f>SUMIF('内訳ﾘｽﾄ(4～3月)'!$D$26:$D$1001,'採算表(VND)'!$B10,'内訳ﾘｽﾄ(4～3月)'!L$26:L$1001)</f>
        <v>0</v>
      </c>
      <c r="J10" s="150">
        <f>SUMIF('内訳ﾘｽﾄ(4～3月)'!$D$26:$D$1001,'採算表(VND)'!$B10,'内訳ﾘｽﾄ(4～3月)'!M$26:M$1001)</f>
        <v>0</v>
      </c>
      <c r="K10" s="150">
        <f>SUMIF('内訳ﾘｽﾄ(4～3月)'!$D$26:$D$1001,'採算表(VND)'!$B10,'内訳ﾘｽﾄ(4～3月)'!N$26:N$1001)</f>
        <v>0</v>
      </c>
      <c r="L10" s="150">
        <f>SUMIF('内訳ﾘｽﾄ(4～3月)'!$D$26:$D$1001,'採算表(VND)'!$B10,'内訳ﾘｽﾄ(4～3月)'!O$26:O$1001)</f>
        <v>0</v>
      </c>
      <c r="M10" s="150">
        <f>SUMIF('内訳ﾘｽﾄ(4～3月)'!$D$26:$D$1001,'採算表(VND)'!$B10,'内訳ﾘｽﾄ(4～3月)'!P$26:P$1001)</f>
        <v>0</v>
      </c>
      <c r="N10" s="150">
        <f>SUMIF('内訳ﾘｽﾄ(4～3月)'!$D$26:$D$1001,'採算表(VND)'!$B10,'内訳ﾘｽﾄ(4～3月)'!Q$26:Q$1001)</f>
        <v>0</v>
      </c>
      <c r="O10" s="150">
        <f>SUMIF('内訳ﾘｽﾄ(4～3月)'!$D$26:$D$800,'採算表(VND)'!$B10,'内訳ﾘｽﾄ(4～3月)'!R$26:R$800)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SUMIF('内訳ﾘｽﾄ(4～3月)'!$D$26:$D$1001,$B14,'内訳ﾘｽﾄ(4～3月)'!F$26:F$1001)</f>
        <v>0</v>
      </c>
      <c r="D14" s="157">
        <f>SUMIF('内訳ﾘｽﾄ(4～3月)'!$D$26:$D$1001,$B14,'内訳ﾘｽﾄ(4～3月)'!G$26:G$1001)</f>
        <v>0</v>
      </c>
      <c r="E14" s="157">
        <f>SUMIF('内訳ﾘｽﾄ(4～3月)'!$D$26:$D$1001,$B14,'内訳ﾘｽﾄ(4～3月)'!H$26:H$1001)</f>
        <v>0</v>
      </c>
      <c r="F14" s="157">
        <f>SUMIF('内訳ﾘｽﾄ(4～3月)'!$D$26:$D$1001,$B14,'内訳ﾘｽﾄ(4～3月)'!I$26:I$1001)</f>
        <v>0</v>
      </c>
      <c r="G14" s="157">
        <f>SUMIF('内訳ﾘｽﾄ(4～3月)'!$D$26:$D$1001,$B14,'内訳ﾘｽﾄ(4～3月)'!J$26:J$1001)</f>
        <v>0</v>
      </c>
      <c r="H14" s="157">
        <f>SUMIF('内訳ﾘｽﾄ(4～3月)'!$D$26:$D$1001,$B14,'内訳ﾘｽﾄ(4～3月)'!K$26:K$1001)</f>
        <v>0</v>
      </c>
      <c r="I14" s="157">
        <f>SUMIF('内訳ﾘｽﾄ(4～3月)'!$D$26:$D$1001,$B14,'内訳ﾘｽﾄ(4～3月)'!L$26:L$1001)</f>
        <v>0</v>
      </c>
      <c r="J14" s="157">
        <f>SUMIF('内訳ﾘｽﾄ(4～3月)'!$D$26:$D$1001,$B14,'内訳ﾘｽﾄ(4～3月)'!M$26:M$1001)</f>
        <v>0</v>
      </c>
      <c r="K14" s="157">
        <f>SUMIF('内訳ﾘｽﾄ(4～3月)'!$D$26:$D$1001,$B14,'内訳ﾘｽﾄ(4～3月)'!N$26:N$1001)</f>
        <v>0</v>
      </c>
      <c r="L14" s="157">
        <f>SUMIF('内訳ﾘｽﾄ(4～3月)'!$D$26:$D$1001,$B14,'内訳ﾘｽﾄ(4～3月)'!O$26:O$1001)</f>
        <v>0</v>
      </c>
      <c r="M14" s="157">
        <f>SUMIF('内訳ﾘｽﾄ(4～3月)'!$D$26:$D$1001,$B14,'内訳ﾘｽﾄ(4～3月)'!P$26:P$1001)</f>
        <v>0</v>
      </c>
      <c r="N14" s="157">
        <f>SUMIF('内訳ﾘｽﾄ(4～3月)'!$D$26:$D$1001,$B14,'内訳ﾘｽﾄ(4～3月)'!Q$26:Q$1001)</f>
        <v>0</v>
      </c>
      <c r="O14" s="157">
        <f>SUMIF('内訳ﾘｽﾄ(4～3月)'!$D$26:$D$800,'採算表(VND)'!$B14,'内訳ﾘｽﾄ(4～3月)'!R$26:R$800)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SUMIF('内訳ﾘｽﾄ(4～3月)'!$D$26:$D$1001,$B15,'内訳ﾘｽﾄ(4～3月)'!F$26:F$1001)</f>
        <v>0</v>
      </c>
      <c r="D15" s="157">
        <f>SUMIF('内訳ﾘｽﾄ(4～3月)'!$D$26:$D$1001,$B15,'内訳ﾘｽﾄ(4～3月)'!G$26:G$1001)</f>
        <v>0</v>
      </c>
      <c r="E15" s="157">
        <f>SUMIF('内訳ﾘｽﾄ(4～3月)'!$D$26:$D$1001,$B15,'内訳ﾘｽﾄ(4～3月)'!H$26:H$1001)</f>
        <v>0</v>
      </c>
      <c r="F15" s="157">
        <f>SUMIF('内訳ﾘｽﾄ(4～3月)'!$D$26:$D$1001,$B15,'内訳ﾘｽﾄ(4～3月)'!I$26:I$1001)</f>
        <v>0</v>
      </c>
      <c r="G15" s="157">
        <f>SUMIF('内訳ﾘｽﾄ(4～3月)'!$D$26:$D$1001,$B15,'内訳ﾘｽﾄ(4～3月)'!J$26:J$1001)</f>
        <v>0</v>
      </c>
      <c r="H15" s="157">
        <f>SUMIF('内訳ﾘｽﾄ(4～3月)'!$D$26:$D$1001,$B15,'内訳ﾘｽﾄ(4～3月)'!K$26:K$1001)</f>
        <v>0</v>
      </c>
      <c r="I15" s="157">
        <f>SUMIF('内訳ﾘｽﾄ(4～3月)'!$D$26:$D$1001,$B15,'内訳ﾘｽﾄ(4～3月)'!L$26:L$1001)</f>
        <v>0</v>
      </c>
      <c r="J15" s="157">
        <f>SUMIF('内訳ﾘｽﾄ(4～3月)'!$D$26:$D$1001,$B15,'内訳ﾘｽﾄ(4～3月)'!M$26:M$1001)</f>
        <v>0</v>
      </c>
      <c r="K15" s="157">
        <f>SUMIF('内訳ﾘｽﾄ(4～3月)'!$D$26:$D$1001,$B15,'内訳ﾘｽﾄ(4～3月)'!N$26:N$1001)</f>
        <v>0</v>
      </c>
      <c r="L15" s="157">
        <f>SUMIF('内訳ﾘｽﾄ(4～3月)'!$D$26:$D$1001,$B15,'内訳ﾘｽﾄ(4～3月)'!O$26:O$1001)</f>
        <v>0</v>
      </c>
      <c r="M15" s="157">
        <f>SUMIF('内訳ﾘｽﾄ(4～3月)'!$D$26:$D$1001,$B15,'内訳ﾘｽﾄ(4～3月)'!P$26:P$1001)</f>
        <v>0</v>
      </c>
      <c r="N15" s="157">
        <f>SUMIF('内訳ﾘｽﾄ(4～3月)'!$D$26:$D$1001,$B15,'内訳ﾘｽﾄ(4～3月)'!Q$26:Q$1001)</f>
        <v>0</v>
      </c>
      <c r="O15" s="157">
        <f>SUMIF('内訳ﾘｽﾄ(4～3月)'!$D$26:$D$800,'採算表(VND)'!$B15,'内訳ﾘｽﾄ(4～3月)'!R$26:R$800)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SUMIF('内訳ﾘｽﾄ(4～3月)'!$D$26:$D$1001,$B16,'内訳ﾘｽﾄ(4～3月)'!F$26:F$1001)</f>
        <v>0</v>
      </c>
      <c r="D16" s="157">
        <f>SUMIF('内訳ﾘｽﾄ(4～3月)'!$D$26:$D$1001,$B16,'内訳ﾘｽﾄ(4～3月)'!G$26:G$1001)</f>
        <v>0</v>
      </c>
      <c r="E16" s="157">
        <f>SUMIF('内訳ﾘｽﾄ(4～3月)'!$D$26:$D$1001,$B16,'内訳ﾘｽﾄ(4～3月)'!H$26:H$1001)</f>
        <v>0</v>
      </c>
      <c r="F16" s="157">
        <f>SUMIF('内訳ﾘｽﾄ(4～3月)'!$D$26:$D$1001,$B16,'内訳ﾘｽﾄ(4～3月)'!I$26:I$1001)</f>
        <v>0</v>
      </c>
      <c r="G16" s="157">
        <f>SUMIF('内訳ﾘｽﾄ(4～3月)'!$D$26:$D$1001,$B16,'内訳ﾘｽﾄ(4～3月)'!J$26:J$1001)</f>
        <v>0</v>
      </c>
      <c r="H16" s="157">
        <f>SUMIF('内訳ﾘｽﾄ(4～3月)'!$D$26:$D$1001,$B16,'内訳ﾘｽﾄ(4～3月)'!K$26:K$1001)</f>
        <v>0</v>
      </c>
      <c r="I16" s="157">
        <f>SUMIF('内訳ﾘｽﾄ(4～3月)'!$D$26:$D$1001,$B16,'内訳ﾘｽﾄ(4～3月)'!L$26:L$1001)</f>
        <v>0</v>
      </c>
      <c r="J16" s="157">
        <f>SUMIF('内訳ﾘｽﾄ(4～3月)'!$D$26:$D$1001,$B16,'内訳ﾘｽﾄ(4～3月)'!M$26:M$1001)</f>
        <v>0</v>
      </c>
      <c r="K16" s="157">
        <f>SUMIF('内訳ﾘｽﾄ(4～3月)'!$D$26:$D$1001,$B16,'内訳ﾘｽﾄ(4～3月)'!N$26:N$1001)</f>
        <v>0</v>
      </c>
      <c r="L16" s="157">
        <f>SUMIF('内訳ﾘｽﾄ(4～3月)'!$D$26:$D$1001,$B16,'内訳ﾘｽﾄ(4～3月)'!O$26:O$1001)</f>
        <v>0</v>
      </c>
      <c r="M16" s="157">
        <f>SUMIF('内訳ﾘｽﾄ(4～3月)'!$D$26:$D$1001,$B16,'内訳ﾘｽﾄ(4～3月)'!P$26:P$1001)</f>
        <v>0</v>
      </c>
      <c r="N16" s="157">
        <f>SUMIF('内訳ﾘｽﾄ(4～3月)'!$D$26:$D$1001,$B16,'内訳ﾘｽﾄ(4～3月)'!Q$26:Q$1001)</f>
        <v>0</v>
      </c>
      <c r="O16" s="157">
        <f>SUMIF('内訳ﾘｽﾄ(4～3月)'!$D$26:$D$800,'採算表(VND)'!$B16,'内訳ﾘｽﾄ(4～3月)'!R$26:R$800)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SUMIF('内訳ﾘｽﾄ(4～3月)'!$D$26:$D$1001,$B17,'内訳ﾘｽﾄ(4～3月)'!F$26:F$1001)</f>
        <v>0</v>
      </c>
      <c r="D17" s="158">
        <f>SUMIF('内訳ﾘｽﾄ(4～3月)'!$D$26:$D$1001,$B17,'内訳ﾘｽﾄ(4～3月)'!G$26:G$1001)</f>
        <v>0</v>
      </c>
      <c r="E17" s="158">
        <f>SUMIF('内訳ﾘｽﾄ(4～3月)'!$D$26:$D$1001,$B17,'内訳ﾘｽﾄ(4～3月)'!H$26:H$1001)</f>
        <v>0</v>
      </c>
      <c r="F17" s="158">
        <f>SUMIF('内訳ﾘｽﾄ(4～3月)'!$D$26:$D$1001,$B17,'内訳ﾘｽﾄ(4～3月)'!I$26:I$1001)</f>
        <v>0</v>
      </c>
      <c r="G17" s="158">
        <f>SUMIF('内訳ﾘｽﾄ(4～3月)'!$D$26:$D$1001,$B17,'内訳ﾘｽﾄ(4～3月)'!J$26:J$1001)</f>
        <v>0</v>
      </c>
      <c r="H17" s="158">
        <f>SUMIF('内訳ﾘｽﾄ(4～3月)'!$D$26:$D$1001,$B17,'内訳ﾘｽﾄ(4～3月)'!K$26:K$1001)</f>
        <v>0</v>
      </c>
      <c r="I17" s="158">
        <f>SUMIF('内訳ﾘｽﾄ(4～3月)'!$D$26:$D$1001,$B17,'内訳ﾘｽﾄ(4～3月)'!L$26:L$1001)</f>
        <v>0</v>
      </c>
      <c r="J17" s="158">
        <f>SUMIF('内訳ﾘｽﾄ(4～3月)'!$D$26:$D$1001,$B17,'内訳ﾘｽﾄ(4～3月)'!M$26:M$1001)</f>
        <v>0</v>
      </c>
      <c r="K17" s="158">
        <f>SUMIF('内訳ﾘｽﾄ(4～3月)'!$D$26:$D$1001,$B17,'内訳ﾘｽﾄ(4～3月)'!N$26:N$1001)</f>
        <v>0</v>
      </c>
      <c r="L17" s="158">
        <f>SUMIF('内訳ﾘｽﾄ(4～3月)'!$D$26:$D$1001,$B17,'内訳ﾘｽﾄ(4～3月)'!O$26:O$1001)</f>
        <v>0</v>
      </c>
      <c r="M17" s="158">
        <f>SUMIF('内訳ﾘｽﾄ(4～3月)'!$D$26:$D$1001,$B17,'内訳ﾘｽﾄ(4～3月)'!P$26:P$1001)</f>
        <v>0</v>
      </c>
      <c r="N17" s="158">
        <f>SUMIF('内訳ﾘｽﾄ(4～3月)'!$D$26:$D$1001,$B17,'内訳ﾘｽﾄ(4～3月)'!Q$26:Q$1001)</f>
        <v>0</v>
      </c>
      <c r="O17" s="158">
        <f>SUMIF('内訳ﾘｽﾄ(4～3月)'!$D$26:$D$800,'採算表(VND)'!$B17,'内訳ﾘｽﾄ(4～3月)'!R$26:R$800)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SUMIF('内訳ﾘｽﾄ(4～3月)'!$D$26:$D$1001,$B18,'内訳ﾘｽﾄ(4～3月)'!F$26:F$1001)</f>
        <v>0</v>
      </c>
      <c r="D18" s="158">
        <f>SUMIF('内訳ﾘｽﾄ(4～3月)'!$D$26:$D$1001,$B18,'内訳ﾘｽﾄ(4～3月)'!G$26:G$1001)</f>
        <v>0</v>
      </c>
      <c r="E18" s="158">
        <f>SUMIF('内訳ﾘｽﾄ(4～3月)'!$D$26:$D$1001,$B18,'内訳ﾘｽﾄ(4～3月)'!H$26:H$1001)</f>
        <v>0</v>
      </c>
      <c r="F18" s="158">
        <f>SUMIF('内訳ﾘｽﾄ(4～3月)'!$D$26:$D$1001,$B18,'内訳ﾘｽﾄ(4～3月)'!I$26:I$1001)</f>
        <v>0</v>
      </c>
      <c r="G18" s="158">
        <f>SUMIF('内訳ﾘｽﾄ(4～3月)'!$D$26:$D$1001,$B18,'内訳ﾘｽﾄ(4～3月)'!J$26:J$1001)</f>
        <v>0</v>
      </c>
      <c r="H18" s="158">
        <f>SUMIF('内訳ﾘｽﾄ(4～3月)'!$D$26:$D$1001,$B18,'内訳ﾘｽﾄ(4～3月)'!K$26:K$1001)</f>
        <v>0</v>
      </c>
      <c r="I18" s="158">
        <f>SUMIF('内訳ﾘｽﾄ(4～3月)'!$D$26:$D$1001,$B18,'内訳ﾘｽﾄ(4～3月)'!L$26:L$1001)</f>
        <v>0</v>
      </c>
      <c r="J18" s="158">
        <f>SUMIF('内訳ﾘｽﾄ(4～3月)'!$D$26:$D$1001,$B18,'内訳ﾘｽﾄ(4～3月)'!M$26:M$1001)</f>
        <v>0</v>
      </c>
      <c r="K18" s="158">
        <f>SUMIF('内訳ﾘｽﾄ(4～3月)'!$D$26:$D$1001,$B18,'内訳ﾘｽﾄ(4～3月)'!N$26:N$1001)</f>
        <v>0</v>
      </c>
      <c r="L18" s="158">
        <f>SUMIF('内訳ﾘｽﾄ(4～3月)'!$D$26:$D$1001,$B18,'内訳ﾘｽﾄ(4～3月)'!O$26:O$1001)</f>
        <v>0</v>
      </c>
      <c r="M18" s="158">
        <f>SUMIF('内訳ﾘｽﾄ(4～3月)'!$D$26:$D$1001,$B18,'内訳ﾘｽﾄ(4～3月)'!P$26:P$1001)</f>
        <v>0</v>
      </c>
      <c r="N18" s="158">
        <f>SUMIF('内訳ﾘｽﾄ(4～3月)'!$D$26:$D$1001,$B18,'内訳ﾘｽﾄ(4～3月)'!Q$26:Q$1001)</f>
        <v>0</v>
      </c>
      <c r="O18" s="158">
        <f>SUMIF('内訳ﾘｽﾄ(4～3月)'!$D$26:$D$800,'採算表(VND)'!$B18,'内訳ﾘｽﾄ(4～3月)'!R$26:R$800)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SUMIF('内訳ﾘｽﾄ(4～3月)'!$D$26:$D$1001,$B19,'内訳ﾘｽﾄ(4～3月)'!F$26:F$1001)</f>
        <v>0</v>
      </c>
      <c r="D19" s="158">
        <f>SUMIF('内訳ﾘｽﾄ(4～3月)'!$D$26:$D$1001,$B19,'内訳ﾘｽﾄ(4～3月)'!G$26:G$1001)</f>
        <v>0</v>
      </c>
      <c r="E19" s="158">
        <f>SUMIF('内訳ﾘｽﾄ(4～3月)'!$D$26:$D$1001,$B19,'内訳ﾘｽﾄ(4～3月)'!H$26:H$1001)</f>
        <v>0</v>
      </c>
      <c r="F19" s="158">
        <f>SUMIF('内訳ﾘｽﾄ(4～3月)'!$D$26:$D$1001,$B19,'内訳ﾘｽﾄ(4～3月)'!I$26:I$1001)</f>
        <v>0</v>
      </c>
      <c r="G19" s="158">
        <f>SUMIF('内訳ﾘｽﾄ(4～3月)'!$D$26:$D$1001,$B19,'内訳ﾘｽﾄ(4～3月)'!J$26:J$1001)</f>
        <v>0</v>
      </c>
      <c r="H19" s="158">
        <f>SUMIF('内訳ﾘｽﾄ(4～3月)'!$D$26:$D$1001,$B19,'内訳ﾘｽﾄ(4～3月)'!K$26:K$1001)</f>
        <v>0</v>
      </c>
      <c r="I19" s="158">
        <f>SUMIF('内訳ﾘｽﾄ(4～3月)'!$D$26:$D$1001,$B19,'内訳ﾘｽﾄ(4～3月)'!L$26:L$1001)</f>
        <v>0</v>
      </c>
      <c r="J19" s="158">
        <f>SUMIF('内訳ﾘｽﾄ(4～3月)'!$D$26:$D$1001,$B19,'内訳ﾘｽﾄ(4～3月)'!M$26:M$1001)</f>
        <v>0</v>
      </c>
      <c r="K19" s="158">
        <f>SUMIF('内訳ﾘｽﾄ(4～3月)'!$D$26:$D$1001,$B19,'内訳ﾘｽﾄ(4～3月)'!N$26:N$1001)</f>
        <v>0</v>
      </c>
      <c r="L19" s="158">
        <f>SUMIF('内訳ﾘｽﾄ(4～3月)'!$D$26:$D$1001,$B19,'内訳ﾘｽﾄ(4～3月)'!O$26:O$1001)</f>
        <v>0</v>
      </c>
      <c r="M19" s="158">
        <f>SUMIF('内訳ﾘｽﾄ(4～3月)'!$D$26:$D$1001,$B19,'内訳ﾘｽﾄ(4～3月)'!P$26:P$1001)</f>
        <v>0</v>
      </c>
      <c r="N19" s="158">
        <f>SUMIF('内訳ﾘｽﾄ(4～3月)'!$D$26:$D$1001,$B19,'内訳ﾘｽﾄ(4～3月)'!Q$26:Q$1001)</f>
        <v>0</v>
      </c>
      <c r="O19" s="158">
        <f>SUMIF('内訳ﾘｽﾄ(4～3月)'!$D$26:$D$800,'採算表(VND)'!$B19,'内訳ﾘｽﾄ(4～3月)'!R$26:R$800)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SUMIF('内訳ﾘｽﾄ(4～3月)'!$D$26:$D$1001,$B20,'内訳ﾘｽﾄ(4～3月)'!F$26:F$1001)</f>
        <v>1834173</v>
      </c>
      <c r="D20" s="158">
        <f>SUMIF('内訳ﾘｽﾄ(4～3月)'!$D$26:$D$1001,$B20,'内訳ﾘｽﾄ(4～3月)'!G$26:G$1001)</f>
        <v>1848392</v>
      </c>
      <c r="E20" s="158">
        <f>SUMIF('内訳ﾘｽﾄ(4～3月)'!$D$26:$D$1001,$B20,'内訳ﾘｽﾄ(4～3月)'!H$26:H$1001)</f>
        <v>1885969</v>
      </c>
      <c r="F20" s="158">
        <f>SUMIF('内訳ﾘｽﾄ(4～3月)'!$D$26:$D$1001,$B20,'内訳ﾘｽﾄ(4～3月)'!I$26:I$1001)</f>
        <v>1791264</v>
      </c>
      <c r="G20" s="158">
        <f>SUMIF('内訳ﾘｽﾄ(4～3月)'!$D$26:$D$1001,$B20,'内訳ﾘｽﾄ(4～3月)'!J$26:J$1001)</f>
        <v>1767144</v>
      </c>
      <c r="H20" s="158">
        <f>SUMIF('内訳ﾘｽﾄ(4～3月)'!$D$26:$D$1001,$B20,'内訳ﾘｽﾄ(4～3月)'!K$26:K$1001)</f>
        <v>1775777</v>
      </c>
      <c r="I20" s="158">
        <f>SUMIF('内訳ﾘｽﾄ(4～3月)'!$D$26:$D$1001,$B20,'内訳ﾘｽﾄ(4～3月)'!L$26:L$1001)</f>
        <v>1977373</v>
      </c>
      <c r="J20" s="158">
        <f>SUMIF('内訳ﾘｽﾄ(4～3月)'!$D$26:$D$1001,$B20,'内訳ﾘｽﾄ(4～3月)'!M$26:M$1001)</f>
        <v>1953760</v>
      </c>
      <c r="K20" s="158">
        <f>SUMIF('内訳ﾘｽﾄ(4～3月)'!$D$26:$D$1001,$B20,'内訳ﾘｽﾄ(4～3月)'!N$26:N$1001)</f>
        <v>1966202</v>
      </c>
      <c r="L20" s="158">
        <f>SUMIF('内訳ﾘｽﾄ(4～3月)'!$D$26:$D$1001,$B20,'内訳ﾘｽﾄ(4～3月)'!O$26:O$1001)</f>
        <v>1920753</v>
      </c>
      <c r="M20" s="158">
        <f>SUMIF('内訳ﾘｽﾄ(4～3月)'!$D$26:$D$1001,$B20,'内訳ﾘｽﾄ(4～3月)'!P$26:P$1001)</f>
        <v>1876067</v>
      </c>
      <c r="N20" s="158">
        <f>SUMIF('内訳ﾘｽﾄ(4～3月)'!$D$26:$D$1001,$B20,'内訳ﾘｽﾄ(4～3月)'!Q$26:Q$1001)</f>
        <v>1932941</v>
      </c>
      <c r="O20" s="158">
        <f>SUMIF('内訳ﾘｽﾄ(4～3月)'!$D$26:$D$800,'採算表(VND)'!$B20,'内訳ﾘｽﾄ(4～3月)'!R$26:R$800)</f>
        <v>22529815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SUMIF('内訳ﾘｽﾄ(4～3月)'!$D$26:$D$1001,$B21,'内訳ﾘｽﾄ(4～3月)'!F$26:F$1001)</f>
        <v>0</v>
      </c>
      <c r="D21" s="158">
        <f>SUMIF('内訳ﾘｽﾄ(4～3月)'!$D$26:$D$1001,$B21,'内訳ﾘｽﾄ(4～3月)'!G$26:G$1001)</f>
        <v>0</v>
      </c>
      <c r="E21" s="158">
        <f>SUMIF('内訳ﾘｽﾄ(4～3月)'!$D$26:$D$1001,$B21,'内訳ﾘｽﾄ(4～3月)'!H$26:H$1001)</f>
        <v>0</v>
      </c>
      <c r="F21" s="158">
        <f>SUMIF('内訳ﾘｽﾄ(4～3月)'!$D$26:$D$1001,$B21,'内訳ﾘｽﾄ(4～3月)'!I$26:I$1001)</f>
        <v>0</v>
      </c>
      <c r="G21" s="158">
        <f>SUMIF('内訳ﾘｽﾄ(4～3月)'!$D$26:$D$1001,$B21,'内訳ﾘｽﾄ(4～3月)'!J$26:J$1001)</f>
        <v>0</v>
      </c>
      <c r="H21" s="158">
        <f>SUMIF('内訳ﾘｽﾄ(4～3月)'!$D$26:$D$1001,$B21,'内訳ﾘｽﾄ(4～3月)'!K$26:K$1001)</f>
        <v>0</v>
      </c>
      <c r="I21" s="158">
        <f>SUMIF('内訳ﾘｽﾄ(4～3月)'!$D$26:$D$1001,$B21,'内訳ﾘｽﾄ(4～3月)'!L$26:L$1001)</f>
        <v>0</v>
      </c>
      <c r="J21" s="158">
        <f>SUMIF('内訳ﾘｽﾄ(4～3月)'!$D$26:$D$1001,$B21,'内訳ﾘｽﾄ(4～3月)'!M$26:M$1001)</f>
        <v>0</v>
      </c>
      <c r="K21" s="158">
        <f>SUMIF('内訳ﾘｽﾄ(4～3月)'!$D$26:$D$1001,$B21,'内訳ﾘｽﾄ(4～3月)'!N$26:N$1001)</f>
        <v>0</v>
      </c>
      <c r="L21" s="158">
        <f>SUMIF('内訳ﾘｽﾄ(4～3月)'!$D$26:$D$1001,$B21,'内訳ﾘｽﾄ(4～3月)'!O$26:O$1001)</f>
        <v>0</v>
      </c>
      <c r="M21" s="158">
        <f>SUMIF('内訳ﾘｽﾄ(4～3月)'!$D$26:$D$1001,$B21,'内訳ﾘｽﾄ(4～3月)'!P$26:P$1001)</f>
        <v>0</v>
      </c>
      <c r="N21" s="158">
        <f>SUMIF('内訳ﾘｽﾄ(4～3月)'!$D$26:$D$1001,$B21,'内訳ﾘｽﾄ(4～3月)'!Q$26:Q$1001)</f>
        <v>0</v>
      </c>
      <c r="O21" s="158">
        <f>SUMIF('内訳ﾘｽﾄ(4～3月)'!$D$26:$D$800,'採算表(VND)'!$B21,'内訳ﾘｽﾄ(4～3月)'!R$26:R$800)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SUMIF('内訳ﾘｽﾄ(4～3月)'!$D$26:$D$1001,$B22,'内訳ﾘｽﾄ(4～3月)'!F$26:F$1001)</f>
        <v>0</v>
      </c>
      <c r="D22" s="158">
        <f>SUMIF('内訳ﾘｽﾄ(4～3月)'!$D$26:$D$1001,$B22,'内訳ﾘｽﾄ(4～3月)'!G$26:G$1001)</f>
        <v>0</v>
      </c>
      <c r="E22" s="158">
        <f>SUMIF('内訳ﾘｽﾄ(4～3月)'!$D$26:$D$1001,$B22,'内訳ﾘｽﾄ(4～3月)'!H$26:H$1001)</f>
        <v>0</v>
      </c>
      <c r="F22" s="158">
        <f>SUMIF('内訳ﾘｽﾄ(4～3月)'!$D$26:$D$1001,$B22,'内訳ﾘｽﾄ(4～3月)'!I$26:I$1001)</f>
        <v>0</v>
      </c>
      <c r="G22" s="158">
        <f>SUMIF('内訳ﾘｽﾄ(4～3月)'!$D$26:$D$1001,$B22,'内訳ﾘｽﾄ(4～3月)'!J$26:J$1001)</f>
        <v>0</v>
      </c>
      <c r="H22" s="158">
        <f>SUMIF('内訳ﾘｽﾄ(4～3月)'!$D$26:$D$1001,$B22,'内訳ﾘｽﾄ(4～3月)'!K$26:K$1001)</f>
        <v>0</v>
      </c>
      <c r="I22" s="158">
        <f>SUMIF('内訳ﾘｽﾄ(4～3月)'!$D$26:$D$1001,$B22,'内訳ﾘｽﾄ(4～3月)'!L$26:L$1001)</f>
        <v>0</v>
      </c>
      <c r="J22" s="158">
        <f>SUMIF('内訳ﾘｽﾄ(4～3月)'!$D$26:$D$1001,$B22,'内訳ﾘｽﾄ(4～3月)'!M$26:M$1001)</f>
        <v>0</v>
      </c>
      <c r="K22" s="158">
        <f>SUMIF('内訳ﾘｽﾄ(4～3月)'!$D$26:$D$1001,$B22,'内訳ﾘｽﾄ(4～3月)'!N$26:N$1001)</f>
        <v>0</v>
      </c>
      <c r="L22" s="158">
        <f>SUMIF('内訳ﾘｽﾄ(4～3月)'!$D$26:$D$1001,$B22,'内訳ﾘｽﾄ(4～3月)'!O$26:O$1001)</f>
        <v>0</v>
      </c>
      <c r="M22" s="158">
        <f>SUMIF('内訳ﾘｽﾄ(4～3月)'!$D$26:$D$1001,$B22,'内訳ﾘｽﾄ(4～3月)'!P$26:P$1001)</f>
        <v>0</v>
      </c>
      <c r="N22" s="158">
        <f>SUMIF('内訳ﾘｽﾄ(4～3月)'!$D$26:$D$1001,$B22,'内訳ﾘｽﾄ(4～3月)'!Q$26:Q$1001)</f>
        <v>0</v>
      </c>
      <c r="O22" s="158">
        <f>SUMIF('内訳ﾘｽﾄ(4～3月)'!$D$26:$D$800,'採算表(VND)'!$B22,'内訳ﾘｽﾄ(4～3月)'!R$26:R$800)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SUMIF('内訳ﾘｽﾄ(4～3月)'!$D$26:$D$1001,$B23,'内訳ﾘｽﾄ(4～3月)'!F$26:F$1001)</f>
        <v>0</v>
      </c>
      <c r="D23" s="158">
        <f>SUMIF('内訳ﾘｽﾄ(4～3月)'!$D$26:$D$1001,$B23,'内訳ﾘｽﾄ(4～3月)'!G$26:G$1001)</f>
        <v>0</v>
      </c>
      <c r="E23" s="158">
        <f>SUMIF('内訳ﾘｽﾄ(4～3月)'!$D$26:$D$1001,$B23,'内訳ﾘｽﾄ(4～3月)'!H$26:H$1001)</f>
        <v>0</v>
      </c>
      <c r="F23" s="158">
        <f>SUMIF('内訳ﾘｽﾄ(4～3月)'!$D$26:$D$1001,$B23,'内訳ﾘｽﾄ(4～3月)'!I$26:I$1001)</f>
        <v>0</v>
      </c>
      <c r="G23" s="158">
        <f>SUMIF('内訳ﾘｽﾄ(4～3月)'!$D$26:$D$1001,$B23,'内訳ﾘｽﾄ(4～3月)'!J$26:J$1001)</f>
        <v>0</v>
      </c>
      <c r="H23" s="158">
        <f>SUMIF('内訳ﾘｽﾄ(4～3月)'!$D$26:$D$1001,$B23,'内訳ﾘｽﾄ(4～3月)'!K$26:K$1001)</f>
        <v>0</v>
      </c>
      <c r="I23" s="158">
        <f>SUMIF('内訳ﾘｽﾄ(4～3月)'!$D$26:$D$1001,$B23,'内訳ﾘｽﾄ(4～3月)'!L$26:L$1001)</f>
        <v>0</v>
      </c>
      <c r="J23" s="158">
        <f>SUMIF('内訳ﾘｽﾄ(4～3月)'!$D$26:$D$1001,$B23,'内訳ﾘｽﾄ(4～3月)'!M$26:M$1001)</f>
        <v>0</v>
      </c>
      <c r="K23" s="158">
        <f>SUMIF('内訳ﾘｽﾄ(4～3月)'!$D$26:$D$1001,$B23,'内訳ﾘｽﾄ(4～3月)'!N$26:N$1001)</f>
        <v>0</v>
      </c>
      <c r="L23" s="158">
        <f>SUMIF('内訳ﾘｽﾄ(4～3月)'!$D$26:$D$1001,$B23,'内訳ﾘｽﾄ(4～3月)'!O$26:O$1001)</f>
        <v>0</v>
      </c>
      <c r="M23" s="158">
        <f>SUMIF('内訳ﾘｽﾄ(4～3月)'!$D$26:$D$1001,$B23,'内訳ﾘｽﾄ(4～3月)'!P$26:P$1001)</f>
        <v>0</v>
      </c>
      <c r="N23" s="158">
        <f>SUMIF('内訳ﾘｽﾄ(4～3月)'!$D$26:$D$1001,$B23,'内訳ﾘｽﾄ(4～3月)'!Q$26:Q$1001)</f>
        <v>0</v>
      </c>
      <c r="O23" s="158">
        <f>SUMIF('内訳ﾘｽﾄ(4～3月)'!$D$26:$D$800,'採算表(VND)'!$B23,'内訳ﾘｽﾄ(4～3月)'!R$26:R$800)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SUMIF('内訳ﾘｽﾄ(4～3月)'!$D$26:$D$1001,$B24,'内訳ﾘｽﾄ(4～3月)'!F$26:F$1001)</f>
        <v>0</v>
      </c>
      <c r="D24" s="158">
        <f>SUMIF('内訳ﾘｽﾄ(4～3月)'!$D$26:$D$1001,$B24,'内訳ﾘｽﾄ(4～3月)'!G$26:G$1001)</f>
        <v>0</v>
      </c>
      <c r="E24" s="158">
        <f>SUMIF('内訳ﾘｽﾄ(4～3月)'!$D$26:$D$1001,$B24,'内訳ﾘｽﾄ(4～3月)'!H$26:H$1001)</f>
        <v>0</v>
      </c>
      <c r="F24" s="158">
        <f>SUMIF('内訳ﾘｽﾄ(4～3月)'!$D$26:$D$1001,$B24,'内訳ﾘｽﾄ(4～3月)'!I$26:I$1001)</f>
        <v>0</v>
      </c>
      <c r="G24" s="158">
        <f>SUMIF('内訳ﾘｽﾄ(4～3月)'!$D$26:$D$1001,$B24,'内訳ﾘｽﾄ(4～3月)'!J$26:J$1001)</f>
        <v>0</v>
      </c>
      <c r="H24" s="158">
        <f>SUMIF('内訳ﾘｽﾄ(4～3月)'!$D$26:$D$1001,$B24,'内訳ﾘｽﾄ(4～3月)'!K$26:K$1001)</f>
        <v>0</v>
      </c>
      <c r="I24" s="158">
        <f>SUMIF('内訳ﾘｽﾄ(4～3月)'!$D$26:$D$1001,$B24,'内訳ﾘｽﾄ(4～3月)'!L$26:L$1001)</f>
        <v>0</v>
      </c>
      <c r="J24" s="158">
        <f>SUMIF('内訳ﾘｽﾄ(4～3月)'!$D$26:$D$1001,$B24,'内訳ﾘｽﾄ(4～3月)'!M$26:M$1001)</f>
        <v>0</v>
      </c>
      <c r="K24" s="158">
        <f>SUMIF('内訳ﾘｽﾄ(4～3月)'!$D$26:$D$1001,$B24,'内訳ﾘｽﾄ(4～3月)'!N$26:N$1001)</f>
        <v>0</v>
      </c>
      <c r="L24" s="158">
        <f>SUMIF('内訳ﾘｽﾄ(4～3月)'!$D$26:$D$1001,$B24,'内訳ﾘｽﾄ(4～3月)'!O$26:O$1001)</f>
        <v>0</v>
      </c>
      <c r="M24" s="158">
        <f>SUMIF('内訳ﾘｽﾄ(4～3月)'!$D$26:$D$1001,$B24,'内訳ﾘｽﾄ(4～3月)'!P$26:P$1001)</f>
        <v>0</v>
      </c>
      <c r="N24" s="158">
        <f>SUMIF('内訳ﾘｽﾄ(4～3月)'!$D$26:$D$1001,$B24,'内訳ﾘｽﾄ(4～3月)'!Q$26:Q$1001)</f>
        <v>0</v>
      </c>
      <c r="O24" s="158">
        <f>SUMIF('内訳ﾘｽﾄ(4～3月)'!$D$26:$D$800,'採算表(VND)'!$B24,'内訳ﾘｽﾄ(4～3月)'!R$26:R$800)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SUMIF('内訳ﾘｽﾄ(4～3月)'!$D$26:$D$1001,$B25,'内訳ﾘｽﾄ(4～3月)'!F$26:F$1001)</f>
        <v>156368</v>
      </c>
      <c r="D25" s="158">
        <f>SUMIF('内訳ﾘｽﾄ(4～3月)'!$D$26:$D$1001,$B25,'内訳ﾘｽﾄ(4～3月)'!G$26:G$1001)</f>
        <v>150928</v>
      </c>
      <c r="E25" s="158">
        <f>SUMIF('内訳ﾘｽﾄ(4～3月)'!$D$26:$D$1001,$B25,'内訳ﾘｽﾄ(4～3月)'!H$26:H$1001)</f>
        <v>164464</v>
      </c>
      <c r="F25" s="158">
        <f>SUMIF('内訳ﾘｽﾄ(4～3月)'!$D$26:$D$1001,$B25,'内訳ﾘｽﾄ(4～3月)'!I$26:I$1001)</f>
        <v>178008</v>
      </c>
      <c r="G25" s="158">
        <f>SUMIF('内訳ﾘｽﾄ(4～3月)'!$D$26:$D$1001,$B25,'内訳ﾘｽﾄ(4～3月)'!J$26:J$1001)</f>
        <v>155872</v>
      </c>
      <c r="H25" s="158">
        <f>SUMIF('内訳ﾘｽﾄ(4～3月)'!$D$26:$D$1001,$B25,'内訳ﾘｽﾄ(4～3月)'!K$26:K$1001)</f>
        <v>148744</v>
      </c>
      <c r="I25" s="158">
        <f>SUMIF('内訳ﾘｽﾄ(4～3月)'!$D$26:$D$1001,$B25,'内訳ﾘｽﾄ(4～3月)'!L$26:L$1001)</f>
        <v>177928</v>
      </c>
      <c r="J25" s="158">
        <f>SUMIF('内訳ﾘｽﾄ(4～3月)'!$D$26:$D$1001,$B25,'内訳ﾘｽﾄ(4～3月)'!M$26:M$1001)</f>
        <v>175815</v>
      </c>
      <c r="K25" s="158">
        <f>SUMIF('内訳ﾘｽﾄ(4～3月)'!$D$26:$D$1001,$B25,'内訳ﾘｽﾄ(4～3月)'!N$26:N$1001)</f>
        <v>192402</v>
      </c>
      <c r="L25" s="158">
        <f>SUMIF('内訳ﾘｽﾄ(4～3月)'!$D$26:$D$1001,$B25,'内訳ﾘｽﾄ(4～3月)'!O$26:O$1001)</f>
        <v>175743</v>
      </c>
      <c r="M25" s="158">
        <f>SUMIF('内訳ﾘｽﾄ(4～3月)'!$D$26:$D$1001,$B25,'内訳ﾘｽﾄ(4～3月)'!P$26:P$1001)</f>
        <v>135081</v>
      </c>
      <c r="N25" s="158">
        <f>SUMIF('内訳ﾘｽﾄ(4～3月)'!$D$26:$D$1001,$B25,'内訳ﾘｽﾄ(4～3月)'!Q$26:Q$1001)</f>
        <v>175680</v>
      </c>
      <c r="O25" s="158">
        <f>SUMIF('内訳ﾘｽﾄ(4～3月)'!$D$26:$D$800,'採算表(VND)'!$B25,'内訳ﾘｽﾄ(4～3月)'!R$26:R$800)</f>
        <v>1987033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SUMIF('内訳ﾘｽﾄ(4～3月)'!$D$26:$D$1001,$B26,'内訳ﾘｽﾄ(4～3月)'!F$26:F$1001)</f>
        <v>0</v>
      </c>
      <c r="D26" s="158">
        <f>SUMIF('内訳ﾘｽﾄ(4～3月)'!$D$26:$D$1001,$B26,'内訳ﾘｽﾄ(4～3月)'!G$26:G$1001)</f>
        <v>0</v>
      </c>
      <c r="E26" s="158">
        <f>SUMIF('内訳ﾘｽﾄ(4～3月)'!$D$26:$D$1001,$B26,'内訳ﾘｽﾄ(4～3月)'!H$26:H$1001)</f>
        <v>0</v>
      </c>
      <c r="F26" s="158">
        <f>SUMIF('内訳ﾘｽﾄ(4～3月)'!$D$26:$D$1001,$B26,'内訳ﾘｽﾄ(4～3月)'!I$26:I$1001)</f>
        <v>0</v>
      </c>
      <c r="G26" s="158">
        <f>SUMIF('内訳ﾘｽﾄ(4～3月)'!$D$26:$D$1001,$B26,'内訳ﾘｽﾄ(4～3月)'!J$26:J$1001)</f>
        <v>0</v>
      </c>
      <c r="H26" s="158">
        <f>SUMIF('内訳ﾘｽﾄ(4～3月)'!$D$26:$D$1001,$B26,'内訳ﾘｽﾄ(4～3月)'!K$26:K$1001)</f>
        <v>0</v>
      </c>
      <c r="I26" s="158">
        <f>SUMIF('内訳ﾘｽﾄ(4～3月)'!$D$26:$D$1001,$B26,'内訳ﾘｽﾄ(4～3月)'!L$26:L$1001)</f>
        <v>17020000</v>
      </c>
      <c r="J26" s="158">
        <f>SUMIF('内訳ﾘｽﾄ(4～3月)'!$D$26:$D$1001,$B26,'内訳ﾘｽﾄ(4～3月)'!M$26:M$1001)</f>
        <v>0</v>
      </c>
      <c r="K26" s="158">
        <f>SUMIF('内訳ﾘｽﾄ(4～3月)'!$D$26:$D$1001,$B26,'内訳ﾘｽﾄ(4～3月)'!N$26:N$1001)</f>
        <v>16750000</v>
      </c>
      <c r="L26" s="158">
        <f>SUMIF('内訳ﾘｽﾄ(4～3月)'!$D$26:$D$1001,$B26,'内訳ﾘｽﾄ(4～3月)'!O$26:O$1001)</f>
        <v>0</v>
      </c>
      <c r="M26" s="158">
        <f>SUMIF('内訳ﾘｽﾄ(4～3月)'!$D$26:$D$1001,$B26,'内訳ﾘｽﾄ(4～3月)'!P$26:P$1001)</f>
        <v>0</v>
      </c>
      <c r="N26" s="158">
        <f>SUMIF('内訳ﾘｽﾄ(4～3月)'!$D$26:$D$1001,$B26,'内訳ﾘｽﾄ(4～3月)'!Q$26:Q$1001)</f>
        <v>0</v>
      </c>
      <c r="O26" s="158">
        <f>SUMIF('内訳ﾘｽﾄ(4～3月)'!$D$26:$D$800,'採算表(VND)'!$B26,'内訳ﾘｽﾄ(4～3月)'!R$26:R$800)</f>
        <v>33770000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SUMIF('内訳ﾘｽﾄ(4～3月)'!$D$26:$D$1001,$B27,'内訳ﾘｽﾄ(4～3月)'!F$26:F$1001)</f>
        <v>0</v>
      </c>
      <c r="D27" s="158">
        <f>SUMIF('内訳ﾘｽﾄ(4～3月)'!$D$26:$D$1001,$B27,'内訳ﾘｽﾄ(4～3月)'!G$26:G$1001)</f>
        <v>0</v>
      </c>
      <c r="E27" s="158">
        <f>SUMIF('内訳ﾘｽﾄ(4～3月)'!$D$26:$D$1001,$B27,'内訳ﾘｽﾄ(4～3月)'!H$26:H$1001)</f>
        <v>0</v>
      </c>
      <c r="F27" s="158">
        <f>SUMIF('内訳ﾘｽﾄ(4～3月)'!$D$26:$D$1001,$B27,'内訳ﾘｽﾄ(4～3月)'!I$26:I$1001)</f>
        <v>0</v>
      </c>
      <c r="G27" s="158">
        <f>SUMIF('内訳ﾘｽﾄ(4～3月)'!$D$26:$D$1001,$B27,'内訳ﾘｽﾄ(4～3月)'!J$26:J$1001)</f>
        <v>0</v>
      </c>
      <c r="H27" s="158">
        <f>SUMIF('内訳ﾘｽﾄ(4～3月)'!$D$26:$D$1001,$B27,'内訳ﾘｽﾄ(4～3月)'!K$26:K$1001)</f>
        <v>0</v>
      </c>
      <c r="I27" s="158">
        <f>SUMIF('内訳ﾘｽﾄ(4～3月)'!$D$26:$D$1001,$B27,'内訳ﾘｽﾄ(4～3月)'!L$26:L$1001)</f>
        <v>0</v>
      </c>
      <c r="J27" s="158">
        <f>SUMIF('内訳ﾘｽﾄ(4～3月)'!$D$26:$D$1001,$B27,'内訳ﾘｽﾄ(4～3月)'!M$26:M$1001)</f>
        <v>0</v>
      </c>
      <c r="K27" s="158">
        <f>SUMIF('内訳ﾘｽﾄ(4～3月)'!$D$26:$D$1001,$B27,'内訳ﾘｽﾄ(4～3月)'!N$26:N$1001)</f>
        <v>0</v>
      </c>
      <c r="L27" s="158">
        <f>SUMIF('内訳ﾘｽﾄ(4～3月)'!$D$26:$D$1001,$B27,'内訳ﾘｽﾄ(4～3月)'!O$26:O$1001)</f>
        <v>0</v>
      </c>
      <c r="M27" s="158">
        <f>SUMIF('内訳ﾘｽﾄ(4～3月)'!$D$26:$D$1001,$B27,'内訳ﾘｽﾄ(4～3月)'!P$26:P$1001)</f>
        <v>0</v>
      </c>
      <c r="N27" s="158">
        <f>SUMIF('内訳ﾘｽﾄ(4～3月)'!$D$26:$D$1001,$B27,'内訳ﾘｽﾄ(4～3月)'!Q$26:Q$1001)</f>
        <v>0</v>
      </c>
      <c r="O27" s="158">
        <f>SUMIF('内訳ﾘｽﾄ(4～3月)'!$D$26:$D$800,'採算表(VND)'!$B27,'内訳ﾘｽﾄ(4～3月)'!R$26:R$800)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SUMIF('内訳ﾘｽﾄ(4～3月)'!$D$26:$D$1001,$B28,'内訳ﾘｽﾄ(4～3月)'!F$26:F$1001)</f>
        <v>0</v>
      </c>
      <c r="D28" s="158">
        <f>SUMIF('内訳ﾘｽﾄ(4～3月)'!$D$26:$D$1001,$B28,'内訳ﾘｽﾄ(4～3月)'!G$26:G$1001)</f>
        <v>0</v>
      </c>
      <c r="E28" s="158">
        <f>SUMIF('内訳ﾘｽﾄ(4～3月)'!$D$26:$D$1001,$B28,'内訳ﾘｽﾄ(4～3月)'!H$26:H$1001)</f>
        <v>0</v>
      </c>
      <c r="F28" s="158">
        <f>SUMIF('内訳ﾘｽﾄ(4～3月)'!$D$26:$D$1001,$B28,'内訳ﾘｽﾄ(4～3月)'!I$26:I$1001)</f>
        <v>0</v>
      </c>
      <c r="G28" s="158">
        <f>SUMIF('内訳ﾘｽﾄ(4～3月)'!$D$26:$D$1001,$B28,'内訳ﾘｽﾄ(4～3月)'!J$26:J$1001)</f>
        <v>0</v>
      </c>
      <c r="H28" s="158">
        <f>SUMIF('内訳ﾘｽﾄ(4～3月)'!$D$26:$D$1001,$B28,'内訳ﾘｽﾄ(4～3月)'!K$26:K$1001)</f>
        <v>0</v>
      </c>
      <c r="I28" s="158">
        <f>SUMIF('内訳ﾘｽﾄ(4～3月)'!$D$26:$D$1001,$B28,'内訳ﾘｽﾄ(4～3月)'!L$26:L$1001)</f>
        <v>0</v>
      </c>
      <c r="J28" s="158">
        <f>SUMIF('内訳ﾘｽﾄ(4～3月)'!$D$26:$D$1001,$B28,'内訳ﾘｽﾄ(4～3月)'!M$26:M$1001)</f>
        <v>0</v>
      </c>
      <c r="K28" s="158">
        <f>SUMIF('内訳ﾘｽﾄ(4～3月)'!$D$26:$D$1001,$B28,'内訳ﾘｽﾄ(4～3月)'!N$26:N$1001)</f>
        <v>0</v>
      </c>
      <c r="L28" s="158">
        <f>SUMIF('内訳ﾘｽﾄ(4～3月)'!$D$26:$D$1001,$B28,'内訳ﾘｽﾄ(4～3月)'!O$26:O$1001)</f>
        <v>0</v>
      </c>
      <c r="M28" s="158">
        <f>SUMIF('内訳ﾘｽﾄ(4～3月)'!$D$26:$D$1001,$B28,'内訳ﾘｽﾄ(4～3月)'!P$26:P$1001)</f>
        <v>0</v>
      </c>
      <c r="N28" s="158">
        <f>SUMIF('内訳ﾘｽﾄ(4～3月)'!$D$26:$D$1001,$B28,'内訳ﾘｽﾄ(4～3月)'!Q$26:Q$1001)</f>
        <v>0</v>
      </c>
      <c r="O28" s="158">
        <f>SUMIF('内訳ﾘｽﾄ(4～3月)'!$D$26:$D$800,'採算表(VND)'!$B28,'内訳ﾘｽﾄ(4～3月)'!R$26:R$800)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SUMIF('内訳ﾘｽﾄ(4～3月)'!$D$26:$D$1001,$B29,'内訳ﾘｽﾄ(4～3月)'!F$26:F$1001)</f>
        <v>0</v>
      </c>
      <c r="D29" s="158">
        <f>SUMIF('内訳ﾘｽﾄ(4～3月)'!$D$26:$D$1001,$B29,'内訳ﾘｽﾄ(4～3月)'!G$26:G$1001)</f>
        <v>0</v>
      </c>
      <c r="E29" s="158">
        <f>SUMIF('内訳ﾘｽﾄ(4～3月)'!$D$26:$D$1001,$B29,'内訳ﾘｽﾄ(4～3月)'!H$26:H$1001)</f>
        <v>0</v>
      </c>
      <c r="F29" s="158">
        <f>SUMIF('内訳ﾘｽﾄ(4～3月)'!$D$26:$D$1001,$B29,'内訳ﾘｽﾄ(4～3月)'!I$26:I$1001)</f>
        <v>0</v>
      </c>
      <c r="G29" s="158">
        <f>SUMIF('内訳ﾘｽﾄ(4～3月)'!$D$26:$D$1001,$B29,'内訳ﾘｽﾄ(4～3月)'!J$26:J$1001)</f>
        <v>0</v>
      </c>
      <c r="H29" s="158">
        <f>SUMIF('内訳ﾘｽﾄ(4～3月)'!$D$26:$D$1001,$B29,'内訳ﾘｽﾄ(4～3月)'!K$26:K$1001)</f>
        <v>0</v>
      </c>
      <c r="I29" s="158">
        <f>SUMIF('内訳ﾘｽﾄ(4～3月)'!$D$26:$D$1001,$B29,'内訳ﾘｽﾄ(4～3月)'!L$26:L$1001)</f>
        <v>0</v>
      </c>
      <c r="J29" s="158">
        <f>SUMIF('内訳ﾘｽﾄ(4～3月)'!$D$26:$D$1001,$B29,'内訳ﾘｽﾄ(4～3月)'!M$26:M$1001)</f>
        <v>0</v>
      </c>
      <c r="K29" s="158">
        <f>SUMIF('内訳ﾘｽﾄ(4～3月)'!$D$26:$D$1001,$B29,'内訳ﾘｽﾄ(4～3月)'!N$26:N$1001)</f>
        <v>0</v>
      </c>
      <c r="L29" s="158">
        <f>SUMIF('内訳ﾘｽﾄ(4～3月)'!$D$26:$D$1001,$B29,'内訳ﾘｽﾄ(4～3月)'!O$26:O$1001)</f>
        <v>0</v>
      </c>
      <c r="M29" s="158">
        <f>SUMIF('内訳ﾘｽﾄ(4～3月)'!$D$26:$D$1001,$B29,'内訳ﾘｽﾄ(4～3月)'!P$26:P$1001)</f>
        <v>0</v>
      </c>
      <c r="N29" s="158">
        <f>SUMIF('内訳ﾘｽﾄ(4～3月)'!$D$26:$D$1001,$B29,'内訳ﾘｽﾄ(4～3月)'!Q$26:Q$1001)</f>
        <v>0</v>
      </c>
      <c r="O29" s="158">
        <f>SUMIF('内訳ﾘｽﾄ(4～3月)'!$D$26:$D$800,'採算表(VND)'!$B29,'内訳ﾘｽﾄ(4～3月)'!R$26:R$800)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SUMIF('内訳ﾘｽﾄ(4～3月)'!$D$26:$D$1001,$B30,'内訳ﾘｽﾄ(4～3月)'!F$26:F$1001)</f>
        <v>2390149</v>
      </c>
      <c r="D30" s="158">
        <f>SUMIF('内訳ﾘｽﾄ(4～3月)'!$D$26:$D$1001,$B30,'内訳ﾘｽﾄ(4～3月)'!G$26:G$1001)</f>
        <v>2449317</v>
      </c>
      <c r="E30" s="158">
        <f>SUMIF('内訳ﾘｽﾄ(4～3月)'!$D$26:$D$1001,$B30,'内訳ﾘｽﾄ(4～3月)'!H$26:H$1001)</f>
        <v>3005104</v>
      </c>
      <c r="F30" s="158">
        <f>SUMIF('内訳ﾘｽﾄ(4～3月)'!$D$26:$D$1001,$B30,'内訳ﾘｽﾄ(4～3月)'!I$26:I$1001)</f>
        <v>3327156</v>
      </c>
      <c r="G30" s="158">
        <f>SUMIF('内訳ﾘｽﾄ(4～3月)'!$D$26:$D$1001,$B30,'内訳ﾘｽﾄ(4～3月)'!J$26:J$1001)</f>
        <v>3340593</v>
      </c>
      <c r="H30" s="158">
        <f>SUMIF('内訳ﾘｽﾄ(4～3月)'!$D$26:$D$1001,$B30,'内訳ﾘｽﾄ(4～3月)'!K$26:K$1001)</f>
        <v>3040424</v>
      </c>
      <c r="I30" s="158">
        <f>SUMIF('内訳ﾘｽﾄ(4～3月)'!$D$26:$D$1001,$B30,'内訳ﾘｽﾄ(4～3月)'!L$26:L$1001)</f>
        <v>3070690</v>
      </c>
      <c r="J30" s="158">
        <f>SUMIF('内訳ﾘｽﾄ(4～3月)'!$D$26:$D$1001,$B30,'内訳ﾘｽﾄ(4～3月)'!M$26:M$1001)</f>
        <v>2890677</v>
      </c>
      <c r="K30" s="158">
        <f>SUMIF('内訳ﾘｽﾄ(4～3月)'!$D$26:$D$1001,$B30,'内訳ﾘｽﾄ(4～3月)'!N$26:N$1001)</f>
        <v>2826266</v>
      </c>
      <c r="L30" s="158">
        <f>SUMIF('内訳ﾘｽﾄ(4～3月)'!$D$26:$D$1001,$B30,'内訳ﾘｽﾄ(4～3月)'!O$26:O$1001)</f>
        <v>2428617</v>
      </c>
      <c r="M30" s="158">
        <f>SUMIF('内訳ﾘｽﾄ(4～3月)'!$D$26:$D$1001,$B30,'内訳ﾘｽﾄ(4～3月)'!P$26:P$1001)</f>
        <v>2283963</v>
      </c>
      <c r="N30" s="158">
        <f>SUMIF('内訳ﾘｽﾄ(4～3月)'!$D$26:$D$1001,$B30,'内訳ﾘｽﾄ(4～3月)'!Q$26:Q$1001)</f>
        <v>2036751</v>
      </c>
      <c r="O30" s="158">
        <f>SUMIF('内訳ﾘｽﾄ(4～3月)'!$D$26:$D$800,'採算表(VND)'!$B30,'内訳ﾘｽﾄ(4～3月)'!R$26:R$800)</f>
        <v>33089707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SUMIF('内訳ﾘｽﾄ(4～3月)'!$D$26:$D$1001,$B31,'内訳ﾘｽﾄ(4～3月)'!F$26:F$1001)</f>
        <v>0</v>
      </c>
      <c r="D31" s="158">
        <f>SUMIF('内訳ﾘｽﾄ(4～3月)'!$D$26:$D$1001,$B31,'内訳ﾘｽﾄ(4～3月)'!G$26:G$1001)</f>
        <v>0</v>
      </c>
      <c r="E31" s="158">
        <f>SUMIF('内訳ﾘｽﾄ(4～3月)'!$D$26:$D$1001,$B31,'内訳ﾘｽﾄ(4～3月)'!H$26:H$1001)</f>
        <v>0</v>
      </c>
      <c r="F31" s="158">
        <f>SUMIF('内訳ﾘｽﾄ(4～3月)'!$D$26:$D$1001,$B31,'内訳ﾘｽﾄ(4～3月)'!I$26:I$1001)</f>
        <v>0</v>
      </c>
      <c r="G31" s="158">
        <f>SUMIF('内訳ﾘｽﾄ(4～3月)'!$D$26:$D$1001,$B31,'内訳ﾘｽﾄ(4～3月)'!J$26:J$1001)</f>
        <v>0</v>
      </c>
      <c r="H31" s="158">
        <f>SUMIF('内訳ﾘｽﾄ(4～3月)'!$D$26:$D$1001,$B31,'内訳ﾘｽﾄ(4～3月)'!K$26:K$1001)</f>
        <v>0</v>
      </c>
      <c r="I31" s="158">
        <f>SUMIF('内訳ﾘｽﾄ(4～3月)'!$D$26:$D$1001,$B31,'内訳ﾘｽﾄ(4～3月)'!L$26:L$1001)</f>
        <v>0</v>
      </c>
      <c r="J31" s="158">
        <f>SUMIF('内訳ﾘｽﾄ(4～3月)'!$D$26:$D$1001,$B31,'内訳ﾘｽﾄ(4～3月)'!M$26:M$1001)</f>
        <v>0</v>
      </c>
      <c r="K31" s="158">
        <f>SUMIF('内訳ﾘｽﾄ(4～3月)'!$D$26:$D$1001,$B31,'内訳ﾘｽﾄ(4～3月)'!N$26:N$1001)</f>
        <v>0</v>
      </c>
      <c r="L31" s="158">
        <f>SUMIF('内訳ﾘｽﾄ(4～3月)'!$D$26:$D$1001,$B31,'内訳ﾘｽﾄ(4～3月)'!O$26:O$1001)</f>
        <v>0</v>
      </c>
      <c r="M31" s="158">
        <f>SUMIF('内訳ﾘｽﾄ(4～3月)'!$D$26:$D$1001,$B31,'内訳ﾘｽﾄ(4～3月)'!P$26:P$1001)</f>
        <v>0</v>
      </c>
      <c r="N31" s="158">
        <f>SUMIF('内訳ﾘｽﾄ(4～3月)'!$D$26:$D$1001,$B31,'内訳ﾘｽﾄ(4～3月)'!Q$26:Q$1001)</f>
        <v>0</v>
      </c>
      <c r="O31" s="158">
        <f>SUMIF('内訳ﾘｽﾄ(4～3月)'!$D$26:$D$800,'採算表(VND)'!$B31,'内訳ﾘｽﾄ(4～3月)'!R$26:R$800)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SUMIF('内訳ﾘｽﾄ(4～3月)'!$D$26:$D$1001,$B32,'内訳ﾘｽﾄ(4～3月)'!F$26:F$1001)</f>
        <v>0</v>
      </c>
      <c r="D32" s="158">
        <f>SUMIF('内訳ﾘｽﾄ(4～3月)'!$D$26:$D$1001,$B32,'内訳ﾘｽﾄ(4～3月)'!G$26:G$1001)</f>
        <v>0</v>
      </c>
      <c r="E32" s="158">
        <f>SUMIF('内訳ﾘｽﾄ(4～3月)'!$D$26:$D$1001,$B32,'内訳ﾘｽﾄ(4～3月)'!H$26:H$1001)</f>
        <v>0</v>
      </c>
      <c r="F32" s="158">
        <f>SUMIF('内訳ﾘｽﾄ(4～3月)'!$D$26:$D$1001,$B32,'内訳ﾘｽﾄ(4～3月)'!I$26:I$1001)</f>
        <v>0</v>
      </c>
      <c r="G32" s="158">
        <f>SUMIF('内訳ﾘｽﾄ(4～3月)'!$D$26:$D$1001,$B32,'内訳ﾘｽﾄ(4～3月)'!J$26:J$1001)</f>
        <v>0</v>
      </c>
      <c r="H32" s="158">
        <f>SUMIF('内訳ﾘｽﾄ(4～3月)'!$D$26:$D$1001,$B32,'内訳ﾘｽﾄ(4～3月)'!K$26:K$1001)</f>
        <v>0</v>
      </c>
      <c r="I32" s="158">
        <f>SUMIF('内訳ﾘｽﾄ(4～3月)'!$D$26:$D$1001,$B32,'内訳ﾘｽﾄ(4～3月)'!L$26:L$1001)</f>
        <v>0</v>
      </c>
      <c r="J32" s="158">
        <f>SUMIF('内訳ﾘｽﾄ(4～3月)'!$D$26:$D$1001,$B32,'内訳ﾘｽﾄ(4～3月)'!M$26:M$1001)</f>
        <v>0</v>
      </c>
      <c r="K32" s="158">
        <f>SUMIF('内訳ﾘｽﾄ(4～3月)'!$D$26:$D$1001,$B32,'内訳ﾘｽﾄ(4～3月)'!N$26:N$1001)</f>
        <v>0</v>
      </c>
      <c r="L32" s="158">
        <f>SUMIF('内訳ﾘｽﾄ(4～3月)'!$D$26:$D$1001,$B32,'内訳ﾘｽﾄ(4～3月)'!O$26:O$1001)</f>
        <v>0</v>
      </c>
      <c r="M32" s="158">
        <f>SUMIF('内訳ﾘｽﾄ(4～3月)'!$D$26:$D$1001,$B32,'内訳ﾘｽﾄ(4～3月)'!P$26:P$1001)</f>
        <v>0</v>
      </c>
      <c r="N32" s="158">
        <f>SUMIF('内訳ﾘｽﾄ(4～3月)'!$D$26:$D$1001,$B32,'内訳ﾘｽﾄ(4～3月)'!Q$26:Q$1001)</f>
        <v>0</v>
      </c>
      <c r="O32" s="158">
        <f>SUMIF('内訳ﾘｽﾄ(4～3月)'!$D$26:$D$800,'採算表(VND)'!$B32,'内訳ﾘｽﾄ(4～3月)'!R$26:R$800)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SUMIF('内訳ﾘｽﾄ(4～3月)'!$D$26:$D$1001,$B33,'内訳ﾘｽﾄ(4～3月)'!F$26:F$1001)</f>
        <v>0</v>
      </c>
      <c r="D33" s="158">
        <f>SUMIF('内訳ﾘｽﾄ(4～3月)'!$D$26:$D$1001,$B33,'内訳ﾘｽﾄ(4～3月)'!G$26:G$1001)</f>
        <v>0</v>
      </c>
      <c r="E33" s="158">
        <f>SUMIF('内訳ﾘｽﾄ(4～3月)'!$D$26:$D$1001,$B33,'内訳ﾘｽﾄ(4～3月)'!H$26:H$1001)</f>
        <v>0</v>
      </c>
      <c r="F33" s="158">
        <f>SUMIF('内訳ﾘｽﾄ(4～3月)'!$D$26:$D$1001,$B33,'内訳ﾘｽﾄ(4～3月)'!I$26:I$1001)</f>
        <v>0</v>
      </c>
      <c r="G33" s="158">
        <f>SUMIF('内訳ﾘｽﾄ(4～3月)'!$D$26:$D$1001,$B33,'内訳ﾘｽﾄ(4～3月)'!J$26:J$1001)</f>
        <v>0</v>
      </c>
      <c r="H33" s="158">
        <f>SUMIF('内訳ﾘｽﾄ(4～3月)'!$D$26:$D$1001,$B33,'内訳ﾘｽﾄ(4～3月)'!K$26:K$1001)</f>
        <v>0</v>
      </c>
      <c r="I33" s="158">
        <f>SUMIF('内訳ﾘｽﾄ(4～3月)'!$D$26:$D$1001,$B33,'内訳ﾘｽﾄ(4～3月)'!L$26:L$1001)</f>
        <v>0</v>
      </c>
      <c r="J33" s="158">
        <f>SUMIF('内訳ﾘｽﾄ(4～3月)'!$D$26:$D$1001,$B33,'内訳ﾘｽﾄ(4～3月)'!M$26:M$1001)</f>
        <v>0</v>
      </c>
      <c r="K33" s="158">
        <f>SUMIF('内訳ﾘｽﾄ(4～3月)'!$D$26:$D$1001,$B33,'内訳ﾘｽﾄ(4～3月)'!N$26:N$1001)</f>
        <v>0</v>
      </c>
      <c r="L33" s="158">
        <f>SUMIF('内訳ﾘｽﾄ(4～3月)'!$D$26:$D$1001,$B33,'内訳ﾘｽﾄ(4～3月)'!O$26:O$1001)</f>
        <v>0</v>
      </c>
      <c r="M33" s="158">
        <f>SUMIF('内訳ﾘｽﾄ(4～3月)'!$D$26:$D$1001,$B33,'内訳ﾘｽﾄ(4～3月)'!P$26:P$1001)</f>
        <v>0</v>
      </c>
      <c r="N33" s="158">
        <f>SUMIF('内訳ﾘｽﾄ(4～3月)'!$D$26:$D$1001,$B33,'内訳ﾘｽﾄ(4～3月)'!Q$26:Q$1001)</f>
        <v>0</v>
      </c>
      <c r="O33" s="158">
        <f>SUMIF('内訳ﾘｽﾄ(4～3月)'!$D$26:$D$800,'採算表(VND)'!$B33,'内訳ﾘｽﾄ(4～3月)'!R$26:R$800)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SUMIF('内訳ﾘｽﾄ(4～3月)'!$D$26:$D$1001,$B34,'内訳ﾘｽﾄ(4～3月)'!F$26:F$1001)</f>
        <v>0</v>
      </c>
      <c r="D34" s="158">
        <f>SUMIF('内訳ﾘｽﾄ(4～3月)'!$D$26:$D$1001,$B34,'内訳ﾘｽﾄ(4～3月)'!G$26:G$1001)</f>
        <v>0</v>
      </c>
      <c r="E34" s="158">
        <f>SUMIF('内訳ﾘｽﾄ(4～3月)'!$D$26:$D$1001,$B34,'内訳ﾘｽﾄ(4～3月)'!H$26:H$1001)</f>
        <v>0</v>
      </c>
      <c r="F34" s="158">
        <f>SUMIF('内訳ﾘｽﾄ(4～3月)'!$D$26:$D$1001,$B34,'内訳ﾘｽﾄ(4～3月)'!I$26:I$1001)</f>
        <v>0</v>
      </c>
      <c r="G34" s="158">
        <f>SUMIF('内訳ﾘｽﾄ(4～3月)'!$D$26:$D$1001,$B34,'内訳ﾘｽﾄ(4～3月)'!J$26:J$1001)</f>
        <v>0</v>
      </c>
      <c r="H34" s="158">
        <f>SUMIF('内訳ﾘｽﾄ(4～3月)'!$D$26:$D$1001,$B34,'内訳ﾘｽﾄ(4～3月)'!K$26:K$1001)</f>
        <v>0</v>
      </c>
      <c r="I34" s="158">
        <f>SUMIF('内訳ﾘｽﾄ(4～3月)'!$D$26:$D$1001,$B34,'内訳ﾘｽﾄ(4～3月)'!L$26:L$1001)</f>
        <v>0</v>
      </c>
      <c r="J34" s="158">
        <f>SUMIF('内訳ﾘｽﾄ(4～3月)'!$D$26:$D$1001,$B34,'内訳ﾘｽﾄ(4～3月)'!M$26:M$1001)</f>
        <v>0</v>
      </c>
      <c r="K34" s="158">
        <f>SUMIF('内訳ﾘｽﾄ(4～3月)'!$D$26:$D$1001,$B34,'内訳ﾘｽﾄ(4～3月)'!N$26:N$1001)</f>
        <v>0</v>
      </c>
      <c r="L34" s="158">
        <f>SUMIF('内訳ﾘｽﾄ(4～3月)'!$D$26:$D$1001,$B34,'内訳ﾘｽﾄ(4～3月)'!O$26:O$1001)</f>
        <v>0</v>
      </c>
      <c r="M34" s="158">
        <f>SUMIF('内訳ﾘｽﾄ(4～3月)'!$D$26:$D$1001,$B34,'内訳ﾘｽﾄ(4～3月)'!P$26:P$1001)</f>
        <v>0</v>
      </c>
      <c r="N34" s="158">
        <f>SUMIF('内訳ﾘｽﾄ(4～3月)'!$D$26:$D$1001,$B34,'内訳ﾘｽﾄ(4～3月)'!Q$26:Q$1001)</f>
        <v>0</v>
      </c>
      <c r="O34" s="158">
        <f>SUMIF('内訳ﾘｽﾄ(4～3月)'!$D$26:$D$800,'採算表(VND)'!$B34,'内訳ﾘｽﾄ(4～3月)'!R$26:R$800)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SUMIF('内訳ﾘｽﾄ(4～3月)'!$D$26:$D$1001,$B35,'内訳ﾘｽﾄ(4～3月)'!F$26:F$1001)</f>
        <v>0</v>
      </c>
      <c r="D35" s="158">
        <f>SUMIF('内訳ﾘｽﾄ(4～3月)'!$D$26:$D$1001,$B35,'内訳ﾘｽﾄ(4～3月)'!G$26:G$1001)</f>
        <v>0</v>
      </c>
      <c r="E35" s="158">
        <f>SUMIF('内訳ﾘｽﾄ(4～3月)'!$D$26:$D$1001,$B35,'内訳ﾘｽﾄ(4～3月)'!H$26:H$1001)</f>
        <v>0</v>
      </c>
      <c r="F35" s="158">
        <f>SUMIF('内訳ﾘｽﾄ(4～3月)'!$D$26:$D$1001,$B35,'内訳ﾘｽﾄ(4～3月)'!I$26:I$1001)</f>
        <v>0</v>
      </c>
      <c r="G35" s="158">
        <f>SUMIF('内訳ﾘｽﾄ(4～3月)'!$D$26:$D$1001,$B35,'内訳ﾘｽﾄ(4～3月)'!J$26:J$1001)</f>
        <v>0</v>
      </c>
      <c r="H35" s="158">
        <f>SUMIF('内訳ﾘｽﾄ(4～3月)'!$D$26:$D$1001,$B35,'内訳ﾘｽﾄ(4～3月)'!K$26:K$1001)</f>
        <v>0</v>
      </c>
      <c r="I35" s="158">
        <f>SUMIF('内訳ﾘｽﾄ(4～3月)'!$D$26:$D$1001,$B35,'内訳ﾘｽﾄ(4～3月)'!L$26:L$1001)</f>
        <v>0</v>
      </c>
      <c r="J35" s="158">
        <f>SUMIF('内訳ﾘｽﾄ(4～3月)'!$D$26:$D$1001,$B35,'内訳ﾘｽﾄ(4～3月)'!M$26:M$1001)</f>
        <v>0</v>
      </c>
      <c r="K35" s="158">
        <f>SUMIF('内訳ﾘｽﾄ(4～3月)'!$D$26:$D$1001,$B35,'内訳ﾘｽﾄ(4～3月)'!N$26:N$1001)</f>
        <v>0</v>
      </c>
      <c r="L35" s="158">
        <f>SUMIF('内訳ﾘｽﾄ(4～3月)'!$D$26:$D$1001,$B35,'内訳ﾘｽﾄ(4～3月)'!O$26:O$1001)</f>
        <v>0</v>
      </c>
      <c r="M35" s="158">
        <f>SUMIF('内訳ﾘｽﾄ(4～3月)'!$D$26:$D$1001,$B35,'内訳ﾘｽﾄ(4～3月)'!P$26:P$1001)</f>
        <v>0</v>
      </c>
      <c r="N35" s="158">
        <f>SUMIF('内訳ﾘｽﾄ(4～3月)'!$D$26:$D$1001,$B35,'内訳ﾘｽﾄ(4～3月)'!Q$26:Q$1001)</f>
        <v>0</v>
      </c>
      <c r="O35" s="158">
        <f>SUMIF('内訳ﾘｽﾄ(4～3月)'!$D$26:$D$800,'採算表(VND)'!$B35,'内訳ﾘｽﾄ(4～3月)'!R$26:R$800)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SUMIF('内訳ﾘｽﾄ(4～3月)'!$D$26:$D$1001,$B36,'内訳ﾘｽﾄ(4～3月)'!F$26:F$1001)</f>
        <v>0</v>
      </c>
      <c r="D36" s="158">
        <f>SUMIF('内訳ﾘｽﾄ(4～3月)'!$D$26:$D$1001,$B36,'内訳ﾘｽﾄ(4～3月)'!G$26:G$1001)</f>
        <v>0</v>
      </c>
      <c r="E36" s="158">
        <f>SUMIF('内訳ﾘｽﾄ(4～3月)'!$D$26:$D$1001,$B36,'内訳ﾘｽﾄ(4～3月)'!H$26:H$1001)</f>
        <v>0</v>
      </c>
      <c r="F36" s="158">
        <f>SUMIF('内訳ﾘｽﾄ(4～3月)'!$D$26:$D$1001,$B36,'内訳ﾘｽﾄ(4～3月)'!I$26:I$1001)</f>
        <v>0</v>
      </c>
      <c r="G36" s="158">
        <f>SUMIF('内訳ﾘｽﾄ(4～3月)'!$D$26:$D$1001,$B36,'内訳ﾘｽﾄ(4～3月)'!J$26:J$1001)</f>
        <v>0</v>
      </c>
      <c r="H36" s="158">
        <f>SUMIF('内訳ﾘｽﾄ(4～3月)'!$D$26:$D$1001,$B36,'内訳ﾘｽﾄ(4～3月)'!K$26:K$1001)</f>
        <v>0</v>
      </c>
      <c r="I36" s="158">
        <f>SUMIF('内訳ﾘｽﾄ(4～3月)'!$D$26:$D$1001,$B36,'内訳ﾘｽﾄ(4～3月)'!L$26:L$1001)</f>
        <v>0</v>
      </c>
      <c r="J36" s="158">
        <f>SUMIF('内訳ﾘｽﾄ(4～3月)'!$D$26:$D$1001,$B36,'内訳ﾘｽﾄ(4～3月)'!M$26:M$1001)</f>
        <v>0</v>
      </c>
      <c r="K36" s="158">
        <f>SUMIF('内訳ﾘｽﾄ(4～3月)'!$D$26:$D$1001,$B36,'内訳ﾘｽﾄ(4～3月)'!N$26:N$1001)</f>
        <v>0</v>
      </c>
      <c r="L36" s="158">
        <f>SUMIF('内訳ﾘｽﾄ(4～3月)'!$D$26:$D$1001,$B36,'内訳ﾘｽﾄ(4～3月)'!O$26:O$1001)</f>
        <v>0</v>
      </c>
      <c r="M36" s="158">
        <f>SUMIF('内訳ﾘｽﾄ(4～3月)'!$D$26:$D$1001,$B36,'内訳ﾘｽﾄ(4～3月)'!P$26:P$1001)</f>
        <v>0</v>
      </c>
      <c r="N36" s="158">
        <f>SUMIF('内訳ﾘｽﾄ(4～3月)'!$D$26:$D$1001,$B36,'内訳ﾘｽﾄ(4～3月)'!Q$26:Q$1001)</f>
        <v>0</v>
      </c>
      <c r="O36" s="158">
        <f>SUMIF('内訳ﾘｽﾄ(4～3月)'!$D$26:$D$800,'採算表(VND)'!$B36,'内訳ﾘｽﾄ(4～3月)'!R$26:R$800)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SUMIF('内訳ﾘｽﾄ(4～3月)'!$D$26:$D$1001,$B37,'内訳ﾘｽﾄ(4～3月)'!F$26:F$1001)</f>
        <v>0</v>
      </c>
      <c r="D37" s="158">
        <f>SUMIF('内訳ﾘｽﾄ(4～3月)'!$D$26:$D$1001,$B37,'内訳ﾘｽﾄ(4～3月)'!G$26:G$1001)</f>
        <v>0</v>
      </c>
      <c r="E37" s="158">
        <f>SUMIF('内訳ﾘｽﾄ(4～3月)'!$D$26:$D$1001,$B37,'内訳ﾘｽﾄ(4～3月)'!H$26:H$1001)</f>
        <v>0</v>
      </c>
      <c r="F37" s="158">
        <f>SUMIF('内訳ﾘｽﾄ(4～3月)'!$D$26:$D$1001,$B37,'内訳ﾘｽﾄ(4～3月)'!I$26:I$1001)</f>
        <v>0</v>
      </c>
      <c r="G37" s="158">
        <f>SUMIF('内訳ﾘｽﾄ(4～3月)'!$D$26:$D$1001,$B37,'内訳ﾘｽﾄ(4～3月)'!J$26:J$1001)</f>
        <v>0</v>
      </c>
      <c r="H37" s="158">
        <f>SUMIF('内訳ﾘｽﾄ(4～3月)'!$D$26:$D$1001,$B37,'内訳ﾘｽﾄ(4～3月)'!K$26:K$1001)</f>
        <v>0</v>
      </c>
      <c r="I37" s="158">
        <f>SUMIF('内訳ﾘｽﾄ(4～3月)'!$D$26:$D$1001,$B37,'内訳ﾘｽﾄ(4～3月)'!L$26:L$1001)</f>
        <v>0</v>
      </c>
      <c r="J37" s="158">
        <f>SUMIF('内訳ﾘｽﾄ(4～3月)'!$D$26:$D$1001,$B37,'内訳ﾘｽﾄ(4～3月)'!M$26:M$1001)</f>
        <v>0</v>
      </c>
      <c r="K37" s="158">
        <f>SUMIF('内訳ﾘｽﾄ(4～3月)'!$D$26:$D$1001,$B37,'内訳ﾘｽﾄ(4～3月)'!N$26:N$1001)</f>
        <v>0</v>
      </c>
      <c r="L37" s="158">
        <f>SUMIF('内訳ﾘｽﾄ(4～3月)'!$D$26:$D$1001,$B37,'内訳ﾘｽﾄ(4～3月)'!O$26:O$1001)</f>
        <v>0</v>
      </c>
      <c r="M37" s="158">
        <f>SUMIF('内訳ﾘｽﾄ(4～3月)'!$D$26:$D$1001,$B37,'内訳ﾘｽﾄ(4～3月)'!P$26:P$1001)</f>
        <v>0</v>
      </c>
      <c r="N37" s="158">
        <f>SUMIF('内訳ﾘｽﾄ(4～3月)'!$D$26:$D$1001,$B37,'内訳ﾘｽﾄ(4～3月)'!Q$26:Q$1001)</f>
        <v>0</v>
      </c>
      <c r="O37" s="158">
        <f>SUMIF('内訳ﾘｽﾄ(4～3月)'!$D$26:$D$800,'採算表(VND)'!$B37,'内訳ﾘｽﾄ(4～3月)'!R$26:R$800)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SUMIF('内訳ﾘｽﾄ(4～3月)'!$D$26:$D$1001,$B38,'内訳ﾘｽﾄ(4～3月)'!F$26:F$1001)</f>
        <v>0</v>
      </c>
      <c r="D38" s="158">
        <f>SUMIF('内訳ﾘｽﾄ(4～3月)'!$D$26:$D$1001,$B38,'内訳ﾘｽﾄ(4～3月)'!G$26:G$1001)</f>
        <v>0</v>
      </c>
      <c r="E38" s="158">
        <f>SUMIF('内訳ﾘｽﾄ(4～3月)'!$D$26:$D$1001,$B38,'内訳ﾘｽﾄ(4～3月)'!H$26:H$1001)</f>
        <v>0</v>
      </c>
      <c r="F38" s="158">
        <f>SUMIF('内訳ﾘｽﾄ(4～3月)'!$D$26:$D$1001,$B38,'内訳ﾘｽﾄ(4～3月)'!I$26:I$1001)</f>
        <v>0</v>
      </c>
      <c r="G38" s="158">
        <f>SUMIF('内訳ﾘｽﾄ(4～3月)'!$D$26:$D$1001,$B38,'内訳ﾘｽﾄ(4～3月)'!J$26:J$1001)</f>
        <v>0</v>
      </c>
      <c r="H38" s="158">
        <f>SUMIF('内訳ﾘｽﾄ(4～3月)'!$D$26:$D$1001,$B38,'内訳ﾘｽﾄ(4～3月)'!K$26:K$1001)</f>
        <v>0</v>
      </c>
      <c r="I38" s="158">
        <f>SUMIF('内訳ﾘｽﾄ(4～3月)'!$D$26:$D$1001,$B38,'内訳ﾘｽﾄ(4～3月)'!L$26:L$1001)</f>
        <v>0</v>
      </c>
      <c r="J38" s="158">
        <f>SUMIF('内訳ﾘｽﾄ(4～3月)'!$D$26:$D$1001,$B38,'内訳ﾘｽﾄ(4～3月)'!M$26:M$1001)</f>
        <v>0</v>
      </c>
      <c r="K38" s="158">
        <f>SUMIF('内訳ﾘｽﾄ(4～3月)'!$D$26:$D$1001,$B38,'内訳ﾘｽﾄ(4～3月)'!N$26:N$1001)</f>
        <v>0</v>
      </c>
      <c r="L38" s="158">
        <f>SUMIF('内訳ﾘｽﾄ(4～3月)'!$D$26:$D$1001,$B38,'内訳ﾘｽﾄ(4～3月)'!O$26:O$1001)</f>
        <v>0</v>
      </c>
      <c r="M38" s="158">
        <f>SUMIF('内訳ﾘｽﾄ(4～3月)'!$D$26:$D$1001,$B38,'内訳ﾘｽﾄ(4～3月)'!P$26:P$1001)</f>
        <v>0</v>
      </c>
      <c r="N38" s="158">
        <f>SUMIF('内訳ﾘｽﾄ(4～3月)'!$D$26:$D$1001,$B38,'内訳ﾘｽﾄ(4～3月)'!Q$26:Q$1001)</f>
        <v>0</v>
      </c>
      <c r="O38" s="158">
        <f>SUMIF('内訳ﾘｽﾄ(4～3月)'!$D$26:$D$800,'採算表(VND)'!$B38,'内訳ﾘｽﾄ(4～3月)'!R$26:R$800)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SUMIF('内訳ﾘｽﾄ(4～3月)'!$D$26:$D$1001,$B39,'内訳ﾘｽﾄ(4～3月)'!F$26:F$1001)</f>
        <v>449976</v>
      </c>
      <c r="D39" s="158">
        <f>SUMIF('内訳ﾘｽﾄ(4～3月)'!$D$26:$D$1001,$B39,'内訳ﾘｽﾄ(4～3月)'!G$26:G$1001)</f>
        <v>451696</v>
      </c>
      <c r="E39" s="158">
        <f>SUMIF('内訳ﾘｽﾄ(4～3月)'!$D$26:$D$1001,$B39,'内訳ﾘｽﾄ(4～3月)'!H$26:H$1001)</f>
        <v>465608</v>
      </c>
      <c r="F39" s="158">
        <f>SUMIF('内訳ﾘｽﾄ(4～3月)'!$D$26:$D$1001,$B39,'内訳ﾘｽﾄ(4～3月)'!I$26:I$1001)</f>
        <v>426448</v>
      </c>
      <c r="G39" s="158">
        <f>SUMIF('内訳ﾘｽﾄ(4～3月)'!$D$26:$D$1001,$B39,'内訳ﾘｽﾄ(4～3月)'!J$26:J$1001)</f>
        <v>415128</v>
      </c>
      <c r="H39" s="158">
        <f>SUMIF('内訳ﾘｽﾄ(4～3月)'!$D$26:$D$1001,$B39,'内訳ﾘｽﾄ(4～3月)'!K$26:K$1001)</f>
        <v>396720</v>
      </c>
      <c r="I39" s="158">
        <f>SUMIF('内訳ﾘｽﾄ(4～3月)'!$D$26:$D$1001,$B39,'内訳ﾘｽﾄ(4～3月)'!L$26:L$1001)</f>
        <v>379456</v>
      </c>
      <c r="J39" s="158">
        <f>SUMIF('内訳ﾘｽﾄ(4～3月)'!$D$26:$D$1001,$B39,'内訳ﾘｽﾄ(4～3月)'!M$26:M$1001)</f>
        <v>421596</v>
      </c>
      <c r="K39" s="158">
        <f>SUMIF('内訳ﾘｽﾄ(4～3月)'!$D$26:$D$1001,$B39,'内訳ﾘｽﾄ(4～3月)'!N$26:N$1001)</f>
        <v>422793</v>
      </c>
      <c r="L39" s="158">
        <f>SUMIF('内訳ﾘｽﾄ(4～3月)'!$D$26:$D$1001,$B39,'内訳ﾘｽﾄ(4～3月)'!O$26:O$1001)</f>
        <v>404712</v>
      </c>
      <c r="M39" s="158">
        <f>SUMIF('内訳ﾘｽﾄ(4～3月)'!$D$26:$D$1001,$B39,'内訳ﾘｽﾄ(4～3月)'!P$26:P$1001)</f>
        <v>383058</v>
      </c>
      <c r="N39" s="158">
        <f>SUMIF('内訳ﾘｽﾄ(4～3月)'!$D$26:$D$1001,$B39,'内訳ﾘｽﾄ(4～3月)'!Q$26:Q$1001)</f>
        <v>400860</v>
      </c>
      <c r="O39" s="158">
        <f>SUMIF('内訳ﾘｽﾄ(4～3月)'!$D$26:$D$800,'採算表(VND)'!$B39,'内訳ﾘｽﾄ(4～3月)'!R$26:R$800)</f>
        <v>5018051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SUMIF('内訳ﾘｽﾄ(4～3月)'!$D$26:$D$1001,$B40,'内訳ﾘｽﾄ(4～3月)'!F$26:F$1001)</f>
        <v>0</v>
      </c>
      <c r="D40" s="158">
        <f>SUMIF('内訳ﾘｽﾄ(4～3月)'!$D$26:$D$1001,$B40,'内訳ﾘｽﾄ(4～3月)'!G$26:G$1001)</f>
        <v>0</v>
      </c>
      <c r="E40" s="158">
        <f>SUMIF('内訳ﾘｽﾄ(4～3月)'!$D$26:$D$1001,$B40,'内訳ﾘｽﾄ(4～3月)'!H$26:H$1001)</f>
        <v>0</v>
      </c>
      <c r="F40" s="158">
        <f>SUMIF('内訳ﾘｽﾄ(4～3月)'!$D$26:$D$1001,$B40,'内訳ﾘｽﾄ(4～3月)'!I$26:I$1001)</f>
        <v>0</v>
      </c>
      <c r="G40" s="158">
        <f>SUMIF('内訳ﾘｽﾄ(4～3月)'!$D$26:$D$1001,$B40,'内訳ﾘｽﾄ(4～3月)'!J$26:J$1001)</f>
        <v>0</v>
      </c>
      <c r="H40" s="158">
        <f>SUMIF('内訳ﾘｽﾄ(4～3月)'!$D$26:$D$1001,$B40,'内訳ﾘｽﾄ(4～3月)'!K$26:K$1001)</f>
        <v>0</v>
      </c>
      <c r="I40" s="158">
        <f>SUMIF('内訳ﾘｽﾄ(4～3月)'!$D$26:$D$1001,$B40,'内訳ﾘｽﾄ(4～3月)'!L$26:L$1001)</f>
        <v>0</v>
      </c>
      <c r="J40" s="158">
        <f>SUMIF('内訳ﾘｽﾄ(4～3月)'!$D$26:$D$1001,$B40,'内訳ﾘｽﾄ(4～3月)'!M$26:M$1001)</f>
        <v>0</v>
      </c>
      <c r="K40" s="158">
        <f>SUMIF('内訳ﾘｽﾄ(4～3月)'!$D$26:$D$1001,$B40,'内訳ﾘｽﾄ(4～3月)'!N$26:N$1001)</f>
        <v>0</v>
      </c>
      <c r="L40" s="158">
        <f>SUMIF('内訳ﾘｽﾄ(4～3月)'!$D$26:$D$1001,$B40,'内訳ﾘｽﾄ(4～3月)'!O$26:O$1001)</f>
        <v>0</v>
      </c>
      <c r="M40" s="158">
        <f>SUMIF('内訳ﾘｽﾄ(4～3月)'!$D$26:$D$1001,$B40,'内訳ﾘｽﾄ(4～3月)'!P$26:P$1001)</f>
        <v>0</v>
      </c>
      <c r="N40" s="158">
        <f>SUMIF('内訳ﾘｽﾄ(4～3月)'!$D$26:$D$1001,$B40,'内訳ﾘｽﾄ(4～3月)'!Q$26:Q$1001)</f>
        <v>0</v>
      </c>
      <c r="O40" s="158">
        <f>SUMIF('内訳ﾘｽﾄ(4～3月)'!$D$26:$D$800,'採算表(VND)'!$B40,'内訳ﾘｽﾄ(4～3月)'!R$26:R$800)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SUMIF('内訳ﾘｽﾄ(4～3月)'!$D$26:$D$1001,$B41,'内訳ﾘｽﾄ(4～3月)'!F$26:F$1001)</f>
        <v>297000</v>
      </c>
      <c r="D41" s="158">
        <f>SUMIF('内訳ﾘｽﾄ(4～3月)'!$D$26:$D$1001,$B41,'内訳ﾘｽﾄ(4～3月)'!G$26:G$1001)</f>
        <v>297000</v>
      </c>
      <c r="E41" s="158">
        <f>SUMIF('内訳ﾘｽﾄ(4～3月)'!$D$26:$D$1001,$B41,'内訳ﾘｽﾄ(4～3月)'!H$26:H$1001)</f>
        <v>297000</v>
      </c>
      <c r="F41" s="158">
        <f>SUMIF('内訳ﾘｽﾄ(4～3月)'!$D$26:$D$1001,$B41,'内訳ﾘｽﾄ(4～3月)'!I$26:I$1001)</f>
        <v>297000</v>
      </c>
      <c r="G41" s="158">
        <f>SUMIF('内訳ﾘｽﾄ(4～3月)'!$D$26:$D$1001,$B41,'内訳ﾘｽﾄ(4～3月)'!J$26:J$1001)</f>
        <v>297000</v>
      </c>
      <c r="H41" s="158">
        <f>SUMIF('内訳ﾘｽﾄ(4～3月)'!$D$26:$D$1001,$B41,'内訳ﾘｽﾄ(4～3月)'!K$26:K$1001)</f>
        <v>297000</v>
      </c>
      <c r="I41" s="158">
        <f>SUMIF('内訳ﾘｽﾄ(4～3月)'!$D$26:$D$1001,$B41,'内訳ﾘｽﾄ(4～3月)'!L$26:L$1001)</f>
        <v>297000</v>
      </c>
      <c r="J41" s="158">
        <f>SUMIF('内訳ﾘｽﾄ(4～3月)'!$D$26:$D$1001,$B41,'内訳ﾘｽﾄ(4～3月)'!M$26:M$1001)</f>
        <v>297000</v>
      </c>
      <c r="K41" s="158">
        <f>SUMIF('内訳ﾘｽﾄ(4～3月)'!$D$26:$D$1001,$B41,'内訳ﾘｽﾄ(4～3月)'!N$26:N$1001)</f>
        <v>297000</v>
      </c>
      <c r="L41" s="158">
        <f>SUMIF('内訳ﾘｽﾄ(4～3月)'!$D$26:$D$1001,$B41,'内訳ﾘｽﾄ(4～3月)'!O$26:O$1001)</f>
        <v>297000</v>
      </c>
      <c r="M41" s="158">
        <f>SUMIF('内訳ﾘｽﾄ(4～3月)'!$D$26:$D$1001,$B41,'内訳ﾘｽﾄ(4～3月)'!P$26:P$1001)</f>
        <v>297000</v>
      </c>
      <c r="N41" s="158">
        <f>SUMIF('内訳ﾘｽﾄ(4～3月)'!$D$26:$D$1001,$B41,'内訳ﾘｽﾄ(4～3月)'!Q$26:Q$1001)</f>
        <v>297000</v>
      </c>
      <c r="O41" s="158">
        <f>SUMIF('内訳ﾘｽﾄ(4～3月)'!$D$26:$D$800,'採算表(VND)'!$B41,'内訳ﾘｽﾄ(4～3月)'!R$26:R$800)</f>
        <v>3564000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SUMIF('内訳ﾘｽﾄ(4～3月)'!$D$26:$D$1001,$B42,'内訳ﾘｽﾄ(4～3月)'!F$26:F$1001)</f>
        <v>4378505</v>
      </c>
      <c r="D42" s="158">
        <f>SUMIF('内訳ﾘｽﾄ(4～3月)'!$D$26:$D$1001,$B42,'内訳ﾘｽﾄ(4～3月)'!G$26:G$1001)</f>
        <v>4378505</v>
      </c>
      <c r="E42" s="158">
        <f>SUMIF('内訳ﾘｽﾄ(4～3月)'!$D$26:$D$1001,$B42,'内訳ﾘｽﾄ(4～3月)'!H$26:H$1001)</f>
        <v>4378505</v>
      </c>
      <c r="F42" s="158">
        <f>SUMIF('内訳ﾘｽﾄ(4～3月)'!$D$26:$D$1001,$B42,'内訳ﾘｽﾄ(4～3月)'!I$26:I$1001)</f>
        <v>4378505</v>
      </c>
      <c r="G42" s="158">
        <f>SUMIF('内訳ﾘｽﾄ(4～3月)'!$D$26:$D$1001,$B42,'内訳ﾘｽﾄ(4～3月)'!J$26:J$1001)</f>
        <v>4378505</v>
      </c>
      <c r="H42" s="158">
        <f>SUMIF('内訳ﾘｽﾄ(4～3月)'!$D$26:$D$1001,$B42,'内訳ﾘｽﾄ(4～3月)'!K$26:K$1001)</f>
        <v>4378505</v>
      </c>
      <c r="I42" s="158">
        <f>SUMIF('内訳ﾘｽﾄ(4～3月)'!$D$26:$D$1001,$B42,'内訳ﾘｽﾄ(4～3月)'!L$26:L$1001)</f>
        <v>4378505</v>
      </c>
      <c r="J42" s="158">
        <f>SUMIF('内訳ﾘｽﾄ(4～3月)'!$D$26:$D$1001,$B42,'内訳ﾘｽﾄ(4～3月)'!M$26:M$1001)</f>
        <v>4676675</v>
      </c>
      <c r="K42" s="158">
        <f>SUMIF('内訳ﾘｽﾄ(4～3月)'!$D$26:$D$1001,$B42,'内訳ﾘｽﾄ(4～3月)'!N$26:N$1001)</f>
        <v>4669475</v>
      </c>
      <c r="L42" s="158">
        <f>SUMIF('内訳ﾘｽﾄ(4～3月)'!$D$26:$D$1001,$B42,'内訳ﾘｽﾄ(4～3月)'!O$26:O$1001)</f>
        <v>4669475</v>
      </c>
      <c r="M42" s="158">
        <f>SUMIF('内訳ﾘｽﾄ(4～3月)'!$D$26:$D$1001,$B42,'内訳ﾘｽﾄ(4～3月)'!P$26:P$1001)</f>
        <v>4669475</v>
      </c>
      <c r="N42" s="158">
        <f>SUMIF('内訳ﾘｽﾄ(4～3月)'!$D$26:$D$1001,$B42,'内訳ﾘｽﾄ(4～3月)'!Q$26:Q$1001)</f>
        <v>4669475</v>
      </c>
      <c r="O42" s="158">
        <f>SUMIF('内訳ﾘｽﾄ(4～3月)'!$D$26:$D$800,'採算表(VND)'!$B42,'内訳ﾘｽﾄ(4～3月)'!R$26:R$800)</f>
        <v>54004110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SUMIF('内訳ﾘｽﾄ(4～3月)'!$D$26:$D$1001,$B43,'内訳ﾘｽﾄ(4～3月)'!F$26:F$1001)</f>
        <v>0</v>
      </c>
      <c r="D43" s="158">
        <f>SUMIF('内訳ﾘｽﾄ(4～3月)'!$D$26:$D$1001,$B43,'内訳ﾘｽﾄ(4～3月)'!G$26:G$1001)</f>
        <v>0</v>
      </c>
      <c r="E43" s="158">
        <f>SUMIF('内訳ﾘｽﾄ(4～3月)'!$D$26:$D$1001,$B43,'内訳ﾘｽﾄ(4～3月)'!H$26:H$1001)</f>
        <v>0</v>
      </c>
      <c r="F43" s="158">
        <f>SUMIF('内訳ﾘｽﾄ(4～3月)'!$D$26:$D$1001,$B43,'内訳ﾘｽﾄ(4～3月)'!I$26:I$1001)</f>
        <v>0</v>
      </c>
      <c r="G43" s="158">
        <f>SUMIF('内訳ﾘｽﾄ(4～3月)'!$D$26:$D$1001,$B43,'内訳ﾘｽﾄ(4～3月)'!J$26:J$1001)</f>
        <v>0</v>
      </c>
      <c r="H43" s="158">
        <f>SUMIF('内訳ﾘｽﾄ(4～3月)'!$D$26:$D$1001,$B43,'内訳ﾘｽﾄ(4～3月)'!K$26:K$1001)</f>
        <v>0</v>
      </c>
      <c r="I43" s="158">
        <f>SUMIF('内訳ﾘｽﾄ(4～3月)'!$D$26:$D$1001,$B43,'内訳ﾘｽﾄ(4～3月)'!L$26:L$1001)</f>
        <v>0</v>
      </c>
      <c r="J43" s="158">
        <f>SUMIF('内訳ﾘｽﾄ(4～3月)'!$D$26:$D$1001,$B43,'内訳ﾘｽﾄ(4～3月)'!M$26:M$1001)</f>
        <v>0</v>
      </c>
      <c r="K43" s="158">
        <f>SUMIF('内訳ﾘｽﾄ(4～3月)'!$D$26:$D$1001,$B43,'内訳ﾘｽﾄ(4～3月)'!N$26:N$1001)</f>
        <v>0</v>
      </c>
      <c r="L43" s="158">
        <f>SUMIF('内訳ﾘｽﾄ(4～3月)'!$D$26:$D$1001,$B43,'内訳ﾘｽﾄ(4～3月)'!O$26:O$1001)</f>
        <v>0</v>
      </c>
      <c r="M43" s="158">
        <f>SUMIF('内訳ﾘｽﾄ(4～3月)'!$D$26:$D$1001,$B43,'内訳ﾘｽﾄ(4～3月)'!P$26:P$1001)</f>
        <v>0</v>
      </c>
      <c r="N43" s="158">
        <f>SUMIF('内訳ﾘｽﾄ(4～3月)'!$D$26:$D$1001,$B43,'内訳ﾘｽﾄ(4～3月)'!Q$26:Q$1001)</f>
        <v>0</v>
      </c>
      <c r="O43" s="158">
        <f>SUMIF('内訳ﾘｽﾄ(4～3月)'!$D$26:$D$800,'採算表(VND)'!$B43,'内訳ﾘｽﾄ(4～3月)'!R$26:R$800)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SUMIF('内訳ﾘｽﾄ(4～3月)'!$D$26:$D$1001,$B44,'内訳ﾘｽﾄ(4～3月)'!F$26:F$1001)</f>
        <v>6964678</v>
      </c>
      <c r="D44" s="158">
        <f>SUMIF('内訳ﾘｽﾄ(4～3月)'!$D$26:$D$1001,$B44,'内訳ﾘｽﾄ(4～3月)'!G$26:G$1001)</f>
        <v>16856747</v>
      </c>
      <c r="E44" s="158">
        <f>SUMIF('内訳ﾘｽﾄ(4～3月)'!$D$26:$D$1001,$B44,'内訳ﾘｽﾄ(4～3月)'!H$26:H$1001)</f>
        <v>3168477</v>
      </c>
      <c r="F44" s="158">
        <f>SUMIF('内訳ﾘｽﾄ(4～3月)'!$D$26:$D$1001,$B44,'内訳ﾘｽﾄ(4～3月)'!I$26:I$1001)</f>
        <v>2437463</v>
      </c>
      <c r="G44" s="158">
        <f>SUMIF('内訳ﾘｽﾄ(4～3月)'!$D$26:$D$1001,$B44,'内訳ﾘｽﾄ(4～3月)'!J$26:J$1001)</f>
        <v>1738334</v>
      </c>
      <c r="H44" s="158">
        <f>SUMIF('内訳ﾘｽﾄ(4～3月)'!$D$26:$D$1001,$B44,'内訳ﾘｽﾄ(4～3月)'!K$26:K$1001)</f>
        <v>3240513</v>
      </c>
      <c r="I44" s="158">
        <f>SUMIF('内訳ﾘｽﾄ(4～3月)'!$D$26:$D$1001,$B44,'内訳ﾘｽﾄ(4～3月)'!L$26:L$1001)</f>
        <v>2779735</v>
      </c>
      <c r="J44" s="158">
        <f>SUMIF('内訳ﾘｽﾄ(4～3月)'!$D$26:$D$1001,$B44,'内訳ﾘｽﾄ(4～3月)'!M$26:M$1001)</f>
        <v>2565617</v>
      </c>
      <c r="K44" s="158">
        <f>SUMIF('内訳ﾘｽﾄ(4～3月)'!$D$26:$D$1001,$B44,'内訳ﾘｽﾄ(4～3月)'!N$26:N$1001)</f>
        <v>3910592</v>
      </c>
      <c r="L44" s="158">
        <f>SUMIF('内訳ﾘｽﾄ(4～3月)'!$D$26:$D$1001,$B44,'内訳ﾘｽﾄ(4～3月)'!O$26:O$1001)</f>
        <v>1854925</v>
      </c>
      <c r="M44" s="158">
        <f>SUMIF('内訳ﾘｽﾄ(4～3月)'!$D$26:$D$1001,$B44,'内訳ﾘｽﾄ(4～3月)'!P$26:P$1001)</f>
        <v>2303359</v>
      </c>
      <c r="N44" s="158">
        <f>SUMIF('内訳ﾘｽﾄ(4～3月)'!$D$26:$D$1001,$B44,'内訳ﾘｽﾄ(4～3月)'!Q$26:Q$1001)</f>
        <v>4446228</v>
      </c>
      <c r="O44" s="158">
        <f>SUMIF('内訳ﾘｽﾄ(4～3月)'!$D$26:$D$800,'採算表(VND)'!$B44,'内訳ﾘｽﾄ(4～3月)'!R$26:R$800)</f>
        <v>52266668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SUMIF('内訳ﾘｽﾄ(4～3月)'!$D$26:$D$1001,$B45,'内訳ﾘｽﾄ(4～3月)'!F$26:F$1001)</f>
        <v>0</v>
      </c>
      <c r="D45" s="158">
        <f>SUMIF('内訳ﾘｽﾄ(4～3月)'!$D$26:$D$1001,$B45,'内訳ﾘｽﾄ(4～3月)'!G$26:G$1001)</f>
        <v>0</v>
      </c>
      <c r="E45" s="158">
        <f>SUMIF('内訳ﾘｽﾄ(4～3月)'!$D$26:$D$1001,$B45,'内訳ﾘｽﾄ(4～3月)'!H$26:H$1001)</f>
        <v>0</v>
      </c>
      <c r="F45" s="158">
        <f>SUMIF('内訳ﾘｽﾄ(4～3月)'!$D$26:$D$1001,$B45,'内訳ﾘｽﾄ(4～3月)'!I$26:I$1001)</f>
        <v>0</v>
      </c>
      <c r="G45" s="158">
        <f>SUMIF('内訳ﾘｽﾄ(4～3月)'!$D$26:$D$1001,$B45,'内訳ﾘｽﾄ(4～3月)'!J$26:J$1001)</f>
        <v>0</v>
      </c>
      <c r="H45" s="158">
        <f>SUMIF('内訳ﾘｽﾄ(4～3月)'!$D$26:$D$1001,$B45,'内訳ﾘｽﾄ(4～3月)'!K$26:K$1001)</f>
        <v>0</v>
      </c>
      <c r="I45" s="158">
        <f>SUMIF('内訳ﾘｽﾄ(4～3月)'!$D$26:$D$1001,$B45,'内訳ﾘｽﾄ(4～3月)'!L$26:L$1001)</f>
        <v>0</v>
      </c>
      <c r="J45" s="158">
        <f>SUMIF('内訳ﾘｽﾄ(4～3月)'!$D$26:$D$1001,$B45,'内訳ﾘｽﾄ(4～3月)'!M$26:M$1001)</f>
        <v>0</v>
      </c>
      <c r="K45" s="158">
        <f>SUMIF('内訳ﾘｽﾄ(4～3月)'!$D$26:$D$1001,$B45,'内訳ﾘｽﾄ(4～3月)'!N$26:N$1001)</f>
        <v>0</v>
      </c>
      <c r="L45" s="158">
        <f>SUMIF('内訳ﾘｽﾄ(4～3月)'!$D$26:$D$1001,$B45,'内訳ﾘｽﾄ(4～3月)'!O$26:O$1001)</f>
        <v>0</v>
      </c>
      <c r="M45" s="158">
        <f>SUMIF('内訳ﾘｽﾄ(4～3月)'!$D$26:$D$1001,$B45,'内訳ﾘｽﾄ(4～3月)'!P$26:P$1001)</f>
        <v>0</v>
      </c>
      <c r="N45" s="158">
        <f>SUMIF('内訳ﾘｽﾄ(4～3月)'!$D$26:$D$1001,$B45,'内訳ﾘｽﾄ(4～3月)'!Q$26:Q$1001)</f>
        <v>0</v>
      </c>
      <c r="O45" s="158">
        <f>SUMIF('内訳ﾘｽﾄ(4～3月)'!$D$26:$D$800,'採算表(VND)'!$B45,'内訳ﾘｽﾄ(4～3月)'!R$26:R$800)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SUMIF('内訳ﾘｽﾄ(4～3月)'!$D$26:$D$1001,$B46,'内訳ﾘｽﾄ(4～3月)'!F$26:F$1001)</f>
        <v>0</v>
      </c>
      <c r="D46" s="158">
        <f>SUMIF('内訳ﾘｽﾄ(4～3月)'!$D$26:$D$1001,$B46,'内訳ﾘｽﾄ(4～3月)'!G$26:G$1001)</f>
        <v>0</v>
      </c>
      <c r="E46" s="158">
        <f>SUMIF('内訳ﾘｽﾄ(4～3月)'!$D$26:$D$1001,$B46,'内訳ﾘｽﾄ(4～3月)'!H$26:H$1001)</f>
        <v>0</v>
      </c>
      <c r="F46" s="158">
        <f>SUMIF('内訳ﾘｽﾄ(4～3月)'!$D$26:$D$1001,$B46,'内訳ﾘｽﾄ(4～3月)'!I$26:I$1001)</f>
        <v>0</v>
      </c>
      <c r="G46" s="158">
        <f>SUMIF('内訳ﾘｽﾄ(4～3月)'!$D$26:$D$1001,$B46,'内訳ﾘｽﾄ(4～3月)'!J$26:J$1001)</f>
        <v>0</v>
      </c>
      <c r="H46" s="158">
        <f>SUMIF('内訳ﾘｽﾄ(4～3月)'!$D$26:$D$1001,$B46,'内訳ﾘｽﾄ(4～3月)'!K$26:K$1001)</f>
        <v>0</v>
      </c>
      <c r="I46" s="158">
        <f>SUMIF('内訳ﾘｽﾄ(4～3月)'!$D$26:$D$1001,$B46,'内訳ﾘｽﾄ(4～3月)'!L$26:L$1001)</f>
        <v>0</v>
      </c>
      <c r="J46" s="158">
        <f>SUMIF('内訳ﾘｽﾄ(4～3月)'!$D$26:$D$1001,$B46,'内訳ﾘｽﾄ(4～3月)'!M$26:M$1001)</f>
        <v>0</v>
      </c>
      <c r="K46" s="158">
        <f>SUMIF('内訳ﾘｽﾄ(4～3月)'!$D$26:$D$1001,$B46,'内訳ﾘｽﾄ(4～3月)'!N$26:N$1001)</f>
        <v>0</v>
      </c>
      <c r="L46" s="158">
        <f>SUMIF('内訳ﾘｽﾄ(4～3月)'!$D$26:$D$1001,$B46,'内訳ﾘｽﾄ(4～3月)'!O$26:O$1001)</f>
        <v>0</v>
      </c>
      <c r="M46" s="158">
        <f>SUMIF('内訳ﾘｽﾄ(4～3月)'!$D$26:$D$1001,$B46,'内訳ﾘｽﾄ(4～3月)'!P$26:P$1001)</f>
        <v>0</v>
      </c>
      <c r="N46" s="158">
        <f>SUMIF('内訳ﾘｽﾄ(4～3月)'!$D$26:$D$1001,$B46,'内訳ﾘｽﾄ(4～3月)'!Q$26:Q$1001)</f>
        <v>0</v>
      </c>
      <c r="O46" s="158">
        <f>SUMIF('内訳ﾘｽﾄ(4～3月)'!$D$26:$D$800,'採算表(VND)'!$B46,'内訳ﾘｽﾄ(4～3月)'!R$26:R$800)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SUMIF('内訳ﾘｽﾄ(4～3月)'!$D$26:$D$1001,$B47,'内訳ﾘｽﾄ(4～3月)'!F$26:F$1001)</f>
        <v>0</v>
      </c>
      <c r="D47" s="158">
        <f>SUMIF('内訳ﾘｽﾄ(4～3月)'!$D$26:$D$1001,$B47,'内訳ﾘｽﾄ(4～3月)'!G$26:G$1001)</f>
        <v>0</v>
      </c>
      <c r="E47" s="158">
        <f>SUMIF('内訳ﾘｽﾄ(4～3月)'!$D$26:$D$1001,$B47,'内訳ﾘｽﾄ(4～3月)'!H$26:H$1001)</f>
        <v>0</v>
      </c>
      <c r="F47" s="158">
        <f>SUMIF('内訳ﾘｽﾄ(4～3月)'!$D$26:$D$1001,$B47,'内訳ﾘｽﾄ(4～3月)'!I$26:I$1001)</f>
        <v>0</v>
      </c>
      <c r="G47" s="158">
        <f>SUMIF('内訳ﾘｽﾄ(4～3月)'!$D$26:$D$1001,$B47,'内訳ﾘｽﾄ(4～3月)'!J$26:J$1001)</f>
        <v>0</v>
      </c>
      <c r="H47" s="158">
        <f>SUMIF('内訳ﾘｽﾄ(4～3月)'!$D$26:$D$1001,$B47,'内訳ﾘｽﾄ(4～3月)'!K$26:K$1001)</f>
        <v>0</v>
      </c>
      <c r="I47" s="158">
        <f>SUMIF('内訳ﾘｽﾄ(4～3月)'!$D$26:$D$1001,$B47,'内訳ﾘｽﾄ(4～3月)'!L$26:L$1001)</f>
        <v>0</v>
      </c>
      <c r="J47" s="158">
        <f>SUMIF('内訳ﾘｽﾄ(4～3月)'!$D$26:$D$1001,$B47,'内訳ﾘｽﾄ(4～3月)'!M$26:M$1001)</f>
        <v>0</v>
      </c>
      <c r="K47" s="158">
        <f>SUMIF('内訳ﾘｽﾄ(4～3月)'!$D$26:$D$1001,$B47,'内訳ﾘｽﾄ(4～3月)'!N$26:N$1001)</f>
        <v>0</v>
      </c>
      <c r="L47" s="158">
        <f>SUMIF('内訳ﾘｽﾄ(4～3月)'!$D$26:$D$1001,$B47,'内訳ﾘｽﾄ(4～3月)'!O$26:O$1001)</f>
        <v>0</v>
      </c>
      <c r="M47" s="158">
        <f>SUMIF('内訳ﾘｽﾄ(4～3月)'!$D$26:$D$1001,$B47,'内訳ﾘｽﾄ(4～3月)'!P$26:P$1001)</f>
        <v>0</v>
      </c>
      <c r="N47" s="158">
        <f>SUMIF('内訳ﾘｽﾄ(4～3月)'!$D$26:$D$1001,$B47,'内訳ﾘｽﾄ(4～3月)'!Q$26:Q$1001)</f>
        <v>0</v>
      </c>
      <c r="O47" s="158">
        <f>SUMIF('内訳ﾘｽﾄ(4～3月)'!$D$26:$D$800,'採算表(VND)'!$B47,'内訳ﾘｽﾄ(4～3月)'!R$26:R$800)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SUMIF('内訳ﾘｽﾄ(4～3月)'!$D$26:$D$1001,$B48,'内訳ﾘｽﾄ(4～3月)'!F$26:F$1001)</f>
        <v>0</v>
      </c>
      <c r="D48" s="158">
        <f>SUMIF('内訳ﾘｽﾄ(4～3月)'!$D$26:$D$1001,$B48,'内訳ﾘｽﾄ(4～3月)'!G$26:G$1001)</f>
        <v>0</v>
      </c>
      <c r="E48" s="158">
        <f>SUMIF('内訳ﾘｽﾄ(4～3月)'!$D$26:$D$1001,$B48,'内訳ﾘｽﾄ(4～3月)'!H$26:H$1001)</f>
        <v>0</v>
      </c>
      <c r="F48" s="158">
        <f>SUMIF('内訳ﾘｽﾄ(4～3月)'!$D$26:$D$1001,$B48,'内訳ﾘｽﾄ(4～3月)'!I$26:I$1001)</f>
        <v>0</v>
      </c>
      <c r="G48" s="158">
        <f>SUMIF('内訳ﾘｽﾄ(4～3月)'!$D$26:$D$1001,$B48,'内訳ﾘｽﾄ(4～3月)'!J$26:J$1001)</f>
        <v>0</v>
      </c>
      <c r="H48" s="158">
        <f>SUMIF('内訳ﾘｽﾄ(4～3月)'!$D$26:$D$1001,$B48,'内訳ﾘｽﾄ(4～3月)'!K$26:K$1001)</f>
        <v>0</v>
      </c>
      <c r="I48" s="158">
        <f>SUMIF('内訳ﾘｽﾄ(4～3月)'!$D$26:$D$1001,$B48,'内訳ﾘｽﾄ(4～3月)'!L$26:L$1001)</f>
        <v>0</v>
      </c>
      <c r="J48" s="158">
        <f>SUMIF('内訳ﾘｽﾄ(4～3月)'!$D$26:$D$1001,$B48,'内訳ﾘｽﾄ(4～3月)'!M$26:M$1001)</f>
        <v>0</v>
      </c>
      <c r="K48" s="158">
        <f>SUMIF('内訳ﾘｽﾄ(4～3月)'!$D$26:$D$1001,$B48,'内訳ﾘｽﾄ(4～3月)'!N$26:N$1001)</f>
        <v>0</v>
      </c>
      <c r="L48" s="158">
        <f>SUMIF('内訳ﾘｽﾄ(4～3月)'!$D$26:$D$1001,$B48,'内訳ﾘｽﾄ(4～3月)'!O$26:O$1001)</f>
        <v>0</v>
      </c>
      <c r="M48" s="158">
        <f>SUMIF('内訳ﾘｽﾄ(4～3月)'!$D$26:$D$1001,$B48,'内訳ﾘｽﾄ(4～3月)'!P$26:P$1001)</f>
        <v>0</v>
      </c>
      <c r="N48" s="158">
        <f>SUMIF('内訳ﾘｽﾄ(4～3月)'!$D$26:$D$1001,$B48,'内訳ﾘｽﾄ(4～3月)'!Q$26:Q$1001)</f>
        <v>0</v>
      </c>
      <c r="O48" s="158">
        <f>SUMIF('内訳ﾘｽﾄ(4～3月)'!$D$26:$D$800,'採算表(VND)'!$B48,'内訳ﾘｽﾄ(4～3月)'!R$26:R$800)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SUMIF('内訳ﾘｽﾄ(4～3月)'!$D$26:$D$1001,$B49,'内訳ﾘｽﾄ(4～3月)'!F$26:F$1001)</f>
        <v>0</v>
      </c>
      <c r="D49" s="158">
        <f>SUMIF('内訳ﾘｽﾄ(4～3月)'!$D$26:$D$1001,$B49,'内訳ﾘｽﾄ(4～3月)'!G$26:G$1001)</f>
        <v>0</v>
      </c>
      <c r="E49" s="158">
        <f>SUMIF('内訳ﾘｽﾄ(4～3月)'!$D$26:$D$1001,$B49,'内訳ﾘｽﾄ(4～3月)'!H$26:H$1001)</f>
        <v>0</v>
      </c>
      <c r="F49" s="158">
        <f>SUMIF('内訳ﾘｽﾄ(4～3月)'!$D$26:$D$1001,$B49,'内訳ﾘｽﾄ(4～3月)'!I$26:I$1001)</f>
        <v>0</v>
      </c>
      <c r="G49" s="158">
        <f>SUMIF('内訳ﾘｽﾄ(4～3月)'!$D$26:$D$1001,$B49,'内訳ﾘｽﾄ(4～3月)'!J$26:J$1001)</f>
        <v>0</v>
      </c>
      <c r="H49" s="158">
        <f>SUMIF('内訳ﾘｽﾄ(4～3月)'!$D$26:$D$1001,$B49,'内訳ﾘｽﾄ(4～3月)'!K$26:K$1001)</f>
        <v>0</v>
      </c>
      <c r="I49" s="158">
        <f>SUMIF('内訳ﾘｽﾄ(4～3月)'!$D$26:$D$1001,$B49,'内訳ﾘｽﾄ(4～3月)'!L$26:L$1001)</f>
        <v>0</v>
      </c>
      <c r="J49" s="158">
        <f>SUMIF('内訳ﾘｽﾄ(4～3月)'!$D$26:$D$1001,$B49,'内訳ﾘｽﾄ(4～3月)'!M$26:M$1001)</f>
        <v>0</v>
      </c>
      <c r="K49" s="158">
        <f>SUMIF('内訳ﾘｽﾄ(4～3月)'!$D$26:$D$1001,$B49,'内訳ﾘｽﾄ(4～3月)'!N$26:N$1001)</f>
        <v>0</v>
      </c>
      <c r="L49" s="158">
        <f>SUMIF('内訳ﾘｽﾄ(4～3月)'!$D$26:$D$1001,$B49,'内訳ﾘｽﾄ(4～3月)'!O$26:O$1001)</f>
        <v>0</v>
      </c>
      <c r="M49" s="158">
        <f>SUMIF('内訳ﾘｽﾄ(4～3月)'!$D$26:$D$1001,$B49,'内訳ﾘｽﾄ(4～3月)'!P$26:P$1001)</f>
        <v>0</v>
      </c>
      <c r="N49" s="158">
        <f>SUMIF('内訳ﾘｽﾄ(4～3月)'!$D$26:$D$1001,$B49,'内訳ﾘｽﾄ(4～3月)'!Q$26:Q$1001)</f>
        <v>0</v>
      </c>
      <c r="O49" s="158">
        <f>SUMIF('内訳ﾘｽﾄ(4～3月)'!$D$26:$D$800,'採算表(VND)'!$B49,'内訳ﾘｽﾄ(4～3月)'!R$26:R$800)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SUMIF('内訳ﾘｽﾄ(4～3月)'!$D$26:$D$1001,$B50,'内訳ﾘｽﾄ(4～3月)'!F$26:F$1001)</f>
        <v>0</v>
      </c>
      <c r="D50" s="158">
        <f>SUMIF('内訳ﾘｽﾄ(4～3月)'!$D$26:$D$1001,$B50,'内訳ﾘｽﾄ(4～3月)'!G$26:G$1001)</f>
        <v>0</v>
      </c>
      <c r="E50" s="158">
        <f>SUMIF('内訳ﾘｽﾄ(4～3月)'!$D$26:$D$1001,$B50,'内訳ﾘｽﾄ(4～3月)'!H$26:H$1001)</f>
        <v>0</v>
      </c>
      <c r="F50" s="158">
        <f>SUMIF('内訳ﾘｽﾄ(4～3月)'!$D$26:$D$1001,$B50,'内訳ﾘｽﾄ(4～3月)'!I$26:I$1001)</f>
        <v>0</v>
      </c>
      <c r="G50" s="158">
        <f>SUMIF('内訳ﾘｽﾄ(4～3月)'!$D$26:$D$1001,$B50,'内訳ﾘｽﾄ(4～3月)'!J$26:J$1001)</f>
        <v>0</v>
      </c>
      <c r="H50" s="158">
        <f>SUMIF('内訳ﾘｽﾄ(4～3月)'!$D$26:$D$1001,$B50,'内訳ﾘｽﾄ(4～3月)'!K$26:K$1001)</f>
        <v>0</v>
      </c>
      <c r="I50" s="158">
        <f>SUMIF('内訳ﾘｽﾄ(4～3月)'!$D$26:$D$1001,$B50,'内訳ﾘｽﾄ(4～3月)'!L$26:L$1001)</f>
        <v>0</v>
      </c>
      <c r="J50" s="158">
        <f>SUMIF('内訳ﾘｽﾄ(4～3月)'!$D$26:$D$1001,$B50,'内訳ﾘｽﾄ(4～3月)'!M$26:M$1001)</f>
        <v>0</v>
      </c>
      <c r="K50" s="158">
        <f>SUMIF('内訳ﾘｽﾄ(4～3月)'!$D$26:$D$1001,$B50,'内訳ﾘｽﾄ(4～3月)'!N$26:N$1001)</f>
        <v>0</v>
      </c>
      <c r="L50" s="158">
        <f>SUMIF('内訳ﾘｽﾄ(4～3月)'!$D$26:$D$1001,$B50,'内訳ﾘｽﾄ(4～3月)'!O$26:O$1001)</f>
        <v>0</v>
      </c>
      <c r="M50" s="158">
        <f>SUMIF('内訳ﾘｽﾄ(4～3月)'!$D$26:$D$1001,$B50,'内訳ﾘｽﾄ(4～3月)'!P$26:P$1001)</f>
        <v>0</v>
      </c>
      <c r="N50" s="158">
        <f>SUMIF('内訳ﾘｽﾄ(4～3月)'!$D$26:$D$1001,$B50,'内訳ﾘｽﾄ(4～3月)'!Q$26:Q$1001)</f>
        <v>0</v>
      </c>
      <c r="O50" s="158">
        <f>SUMIF('内訳ﾘｽﾄ(4～3月)'!$D$26:$D$800,'採算表(VND)'!$B50,'内訳ﾘｽﾄ(4～3月)'!R$26:R$800)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SUMIF('内訳ﾘｽﾄ(4～3月)'!$D$26:$D$1001,$B51,'内訳ﾘｽﾄ(4～3月)'!F$26:F$1001)</f>
        <v>0</v>
      </c>
      <c r="D51" s="159">
        <f>SUMIF('内訳ﾘｽﾄ(4～3月)'!$D$26:$D$1001,$B51,'内訳ﾘｽﾄ(4～3月)'!G$26:G$1001)</f>
        <v>0</v>
      </c>
      <c r="E51" s="159">
        <f>SUMIF('内訳ﾘｽﾄ(4～3月)'!$D$26:$D$1001,$B51,'内訳ﾘｽﾄ(4～3月)'!H$26:H$1001)</f>
        <v>0</v>
      </c>
      <c r="F51" s="159">
        <f>SUMIF('内訳ﾘｽﾄ(4～3月)'!$D$26:$D$1001,$B51,'内訳ﾘｽﾄ(4～3月)'!I$26:I$1001)</f>
        <v>0</v>
      </c>
      <c r="G51" s="159">
        <f>SUMIF('内訳ﾘｽﾄ(4～3月)'!$D$26:$D$1001,$B51,'内訳ﾘｽﾄ(4～3月)'!J$26:J$1001)</f>
        <v>0</v>
      </c>
      <c r="H51" s="159">
        <f>SUMIF('内訳ﾘｽﾄ(4～3月)'!$D$26:$D$1001,$B51,'内訳ﾘｽﾄ(4～3月)'!K$26:K$1001)</f>
        <v>0</v>
      </c>
      <c r="I51" s="159">
        <f>SUMIF('内訳ﾘｽﾄ(4～3月)'!$D$26:$D$1001,$B51,'内訳ﾘｽﾄ(4～3月)'!L$26:L$1001)</f>
        <v>0</v>
      </c>
      <c r="J51" s="159">
        <f>SUMIF('内訳ﾘｽﾄ(4～3月)'!$D$26:$D$1001,$B51,'内訳ﾘｽﾄ(4～3月)'!M$26:M$1001)</f>
        <v>0</v>
      </c>
      <c r="K51" s="159">
        <f>SUMIF('内訳ﾘｽﾄ(4～3月)'!$D$26:$D$1001,$B51,'内訳ﾘｽﾄ(4～3月)'!N$26:N$1001)</f>
        <v>0</v>
      </c>
      <c r="L51" s="159">
        <f>SUMIF('内訳ﾘｽﾄ(4～3月)'!$D$26:$D$1001,$B51,'内訳ﾘｽﾄ(4～3月)'!O$26:O$1001)</f>
        <v>0</v>
      </c>
      <c r="M51" s="159">
        <f>SUMIF('内訳ﾘｽﾄ(4～3月)'!$D$26:$D$1001,$B51,'内訳ﾘｽﾄ(4～3月)'!P$26:P$1001)</f>
        <v>0</v>
      </c>
      <c r="N51" s="159">
        <f>SUMIF('内訳ﾘｽﾄ(4～3月)'!$D$26:$D$1001,$B51,'内訳ﾘｽﾄ(4～3月)'!Q$26:Q$1001)</f>
        <v>0</v>
      </c>
      <c r="O51" s="159">
        <f>SUMIF('内訳ﾘｽﾄ(4～3月)'!$D$26:$D$800,'採算表(VND)'!$B51,'内訳ﾘｽﾄ(4～3月)'!R$26:R$800)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SUMIF('内訳ﾘｽﾄ(4～3月)'!$D$26:$D$1001,$B52,'内訳ﾘｽﾄ(4～3月)'!F$26:F$1001)</f>
        <v>0</v>
      </c>
      <c r="D52" s="160">
        <f>SUMIF('内訳ﾘｽﾄ(4～3月)'!$D$26:$D$1001,$B52,'内訳ﾘｽﾄ(4～3月)'!G$26:G$1001)</f>
        <v>0</v>
      </c>
      <c r="E52" s="160">
        <f>SUMIF('内訳ﾘｽﾄ(4～3月)'!$D$26:$D$1001,$B52,'内訳ﾘｽﾄ(4～3月)'!H$26:H$1001)</f>
        <v>0</v>
      </c>
      <c r="F52" s="160">
        <f>SUMIF('内訳ﾘｽﾄ(4～3月)'!$D$26:$D$1001,$B52,'内訳ﾘｽﾄ(4～3月)'!I$26:I$1001)</f>
        <v>0</v>
      </c>
      <c r="G52" s="160">
        <f>SUMIF('内訳ﾘｽﾄ(4～3月)'!$D$26:$D$1001,$B52,'内訳ﾘｽﾄ(4～3月)'!J$26:J$1001)</f>
        <v>0</v>
      </c>
      <c r="H52" s="160">
        <f>SUMIF('内訳ﾘｽﾄ(4～3月)'!$D$26:$D$1001,$B52,'内訳ﾘｽﾄ(4～3月)'!K$26:K$1001)</f>
        <v>0</v>
      </c>
      <c r="I52" s="160">
        <f>SUMIF('内訳ﾘｽﾄ(4～3月)'!$D$26:$D$1001,$B52,'内訳ﾘｽﾄ(4～3月)'!L$26:L$1001)</f>
        <v>0</v>
      </c>
      <c r="J52" s="160">
        <f>SUMIF('内訳ﾘｽﾄ(4～3月)'!$D$26:$D$1001,$B52,'内訳ﾘｽﾄ(4～3月)'!M$26:M$1001)</f>
        <v>0</v>
      </c>
      <c r="K52" s="160">
        <f>SUMIF('内訳ﾘｽﾄ(4～3月)'!$D$26:$D$1001,$B52,'内訳ﾘｽﾄ(4～3月)'!N$26:N$1001)</f>
        <v>0</v>
      </c>
      <c r="L52" s="160">
        <f>SUMIF('内訳ﾘｽﾄ(4～3月)'!$D$26:$D$1001,$B52,'内訳ﾘｽﾄ(4～3月)'!O$26:O$1001)</f>
        <v>0</v>
      </c>
      <c r="M52" s="160">
        <f>SUMIF('内訳ﾘｽﾄ(4～3月)'!$D$26:$D$1001,$B52,'内訳ﾘｽﾄ(4～3月)'!P$26:P$1001)</f>
        <v>0</v>
      </c>
      <c r="N52" s="160">
        <f>SUMIF('内訳ﾘｽﾄ(4～3月)'!$D$26:$D$1001,$B52,'内訳ﾘｽﾄ(4～3月)'!Q$26:Q$1001)</f>
        <v>0</v>
      </c>
      <c r="O52" s="160">
        <f>SUMIF('内訳ﾘｽﾄ(4～3月)'!$D$26:$D$800,'採算表(VND)'!$B52,'内訳ﾘｽﾄ(4～3月)'!R$26:R$800)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SUMIF('内訳ﾘｽﾄ(4～3月)'!$D$26:$D$1001,$B53,'内訳ﾘｽﾄ(4～3月)'!F$26:F$1001)</f>
        <v>0</v>
      </c>
      <c r="D53" s="160">
        <f>SUMIF('内訳ﾘｽﾄ(4～3月)'!$D$26:$D$1001,$B53,'内訳ﾘｽﾄ(4～3月)'!G$26:G$1001)</f>
        <v>0</v>
      </c>
      <c r="E53" s="160">
        <f>SUMIF('内訳ﾘｽﾄ(4～3月)'!$D$26:$D$1001,$B53,'内訳ﾘｽﾄ(4～3月)'!H$26:H$1001)</f>
        <v>0</v>
      </c>
      <c r="F53" s="160">
        <f>SUMIF('内訳ﾘｽﾄ(4～3月)'!$D$26:$D$1001,$B53,'内訳ﾘｽﾄ(4～3月)'!I$26:I$1001)</f>
        <v>0</v>
      </c>
      <c r="G53" s="160">
        <f>SUMIF('内訳ﾘｽﾄ(4～3月)'!$D$26:$D$1001,$B53,'内訳ﾘｽﾄ(4～3月)'!J$26:J$1001)</f>
        <v>0</v>
      </c>
      <c r="H53" s="160">
        <f>SUMIF('内訳ﾘｽﾄ(4～3月)'!$D$26:$D$1001,$B53,'内訳ﾘｽﾄ(4～3月)'!K$26:K$1001)</f>
        <v>0</v>
      </c>
      <c r="I53" s="160">
        <f>SUMIF('内訳ﾘｽﾄ(4～3月)'!$D$26:$D$1001,$B53,'内訳ﾘｽﾄ(4～3月)'!L$26:L$1001)</f>
        <v>0</v>
      </c>
      <c r="J53" s="160">
        <f>SUMIF('内訳ﾘｽﾄ(4～3月)'!$D$26:$D$1001,$B53,'内訳ﾘｽﾄ(4～3月)'!M$26:M$1001)</f>
        <v>0</v>
      </c>
      <c r="K53" s="160">
        <f>SUMIF('内訳ﾘｽﾄ(4～3月)'!$D$26:$D$1001,$B53,'内訳ﾘｽﾄ(4～3月)'!N$26:N$1001)</f>
        <v>0</v>
      </c>
      <c r="L53" s="160">
        <f>SUMIF('内訳ﾘｽﾄ(4～3月)'!$D$26:$D$1001,$B53,'内訳ﾘｽﾄ(4～3月)'!O$26:O$1001)</f>
        <v>0</v>
      </c>
      <c r="M53" s="160">
        <f>SUMIF('内訳ﾘｽﾄ(4～3月)'!$D$26:$D$1001,$B53,'内訳ﾘｽﾄ(4～3月)'!P$26:P$1001)</f>
        <v>0</v>
      </c>
      <c r="N53" s="160">
        <f>SUMIF('内訳ﾘｽﾄ(4～3月)'!$D$26:$D$1001,$B53,'内訳ﾘｽﾄ(4～3月)'!Q$26:Q$1001)</f>
        <v>0</v>
      </c>
      <c r="O53" s="160">
        <f>SUMIF('内訳ﾘｽﾄ(4～3月)'!$D$26:$D$800,'採算表(VND)'!$B53,'内訳ﾘｽﾄ(4～3月)'!R$26:R$800)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SUMIF('内訳ﾘｽﾄ(4～3月)'!$D$26:$D$1001,$B54,'内訳ﾘｽﾄ(4～3月)'!F$26:F$1001)</f>
        <v>0</v>
      </c>
      <c r="D54" s="160">
        <f>SUMIF('内訳ﾘｽﾄ(4～3月)'!$D$26:$D$1001,$B54,'内訳ﾘｽﾄ(4～3月)'!G$26:G$1001)</f>
        <v>0</v>
      </c>
      <c r="E54" s="160">
        <f>SUMIF('内訳ﾘｽﾄ(4～3月)'!$D$26:$D$1001,$B54,'内訳ﾘｽﾄ(4～3月)'!H$26:H$1001)</f>
        <v>0</v>
      </c>
      <c r="F54" s="160">
        <f>SUMIF('内訳ﾘｽﾄ(4～3月)'!$D$26:$D$1001,$B54,'内訳ﾘｽﾄ(4～3月)'!I$26:I$1001)</f>
        <v>0</v>
      </c>
      <c r="G54" s="160">
        <f>SUMIF('内訳ﾘｽﾄ(4～3月)'!$D$26:$D$1001,$B54,'内訳ﾘｽﾄ(4～3月)'!J$26:J$1001)</f>
        <v>0</v>
      </c>
      <c r="H54" s="160">
        <f>SUMIF('内訳ﾘｽﾄ(4～3月)'!$D$26:$D$1001,$B54,'内訳ﾘｽﾄ(4～3月)'!K$26:K$1001)</f>
        <v>0</v>
      </c>
      <c r="I54" s="160">
        <f>SUMIF('内訳ﾘｽﾄ(4～3月)'!$D$26:$D$1001,$B54,'内訳ﾘｽﾄ(4～3月)'!L$26:L$1001)</f>
        <v>0</v>
      </c>
      <c r="J54" s="160">
        <f>SUMIF('内訳ﾘｽﾄ(4～3月)'!$D$26:$D$1001,$B54,'内訳ﾘｽﾄ(4～3月)'!M$26:M$1001)</f>
        <v>0</v>
      </c>
      <c r="K54" s="160">
        <f>SUMIF('内訳ﾘｽﾄ(4～3月)'!$D$26:$D$1001,$B54,'内訳ﾘｽﾄ(4～3月)'!N$26:N$1001)</f>
        <v>0</v>
      </c>
      <c r="L54" s="160">
        <f>SUMIF('内訳ﾘｽﾄ(4～3月)'!$D$26:$D$1001,$B54,'内訳ﾘｽﾄ(4～3月)'!O$26:O$1001)</f>
        <v>0</v>
      </c>
      <c r="M54" s="160">
        <f>SUMIF('内訳ﾘｽﾄ(4～3月)'!$D$26:$D$1001,$B54,'内訳ﾘｽﾄ(4～3月)'!P$26:P$1001)</f>
        <v>0</v>
      </c>
      <c r="N54" s="160">
        <f>SUMIF('内訳ﾘｽﾄ(4～3月)'!$D$26:$D$1001,$B54,'内訳ﾘｽﾄ(4～3月)'!Q$26:Q$1001)</f>
        <v>0</v>
      </c>
      <c r="O54" s="160">
        <f>SUMIF('内訳ﾘｽﾄ(4～3月)'!$D$26:$D$800,'採算表(VND)'!$B54,'内訳ﾘｽﾄ(4～3月)'!R$26:R$800)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SUMIF('内訳ﾘｽﾄ(4～3月)'!$D$26:$D$1001,$B55,'内訳ﾘｽﾄ(4～3月)'!F$26:F$1001)</f>
        <v>0</v>
      </c>
      <c r="D55" s="160">
        <f>SUMIF('内訳ﾘｽﾄ(4～3月)'!$D$26:$D$1001,$B55,'内訳ﾘｽﾄ(4～3月)'!G$26:G$1001)</f>
        <v>0</v>
      </c>
      <c r="E55" s="160">
        <f>SUMIF('内訳ﾘｽﾄ(4～3月)'!$D$26:$D$1001,$B55,'内訳ﾘｽﾄ(4～3月)'!H$26:H$1001)</f>
        <v>0</v>
      </c>
      <c r="F55" s="160">
        <f>SUMIF('内訳ﾘｽﾄ(4～3月)'!$D$26:$D$1001,$B55,'内訳ﾘｽﾄ(4～3月)'!I$26:I$1001)</f>
        <v>0</v>
      </c>
      <c r="G55" s="160">
        <f>SUMIF('内訳ﾘｽﾄ(4～3月)'!$D$26:$D$1001,$B55,'内訳ﾘｽﾄ(4～3月)'!J$26:J$1001)</f>
        <v>0</v>
      </c>
      <c r="H55" s="160">
        <f>SUMIF('内訳ﾘｽﾄ(4～3月)'!$D$26:$D$1001,$B55,'内訳ﾘｽﾄ(4～3月)'!K$26:K$1001)</f>
        <v>0</v>
      </c>
      <c r="I55" s="160">
        <f>SUMIF('内訳ﾘｽﾄ(4～3月)'!$D$26:$D$1001,$B55,'内訳ﾘｽﾄ(4～3月)'!L$26:L$1001)</f>
        <v>0</v>
      </c>
      <c r="J55" s="160">
        <f>SUMIF('内訳ﾘｽﾄ(4～3月)'!$D$26:$D$1001,$B55,'内訳ﾘｽﾄ(4～3月)'!M$26:M$1001)</f>
        <v>0</v>
      </c>
      <c r="K55" s="160">
        <f>SUMIF('内訳ﾘｽﾄ(4～3月)'!$D$26:$D$1001,$B55,'内訳ﾘｽﾄ(4～3月)'!N$26:N$1001)</f>
        <v>0</v>
      </c>
      <c r="L55" s="160">
        <f>SUMIF('内訳ﾘｽﾄ(4～3月)'!$D$26:$D$1001,$B55,'内訳ﾘｽﾄ(4～3月)'!O$26:O$1001)</f>
        <v>0</v>
      </c>
      <c r="M55" s="160">
        <f>SUMIF('内訳ﾘｽﾄ(4～3月)'!$D$26:$D$1001,$B55,'内訳ﾘｽﾄ(4～3月)'!P$26:P$1001)</f>
        <v>0</v>
      </c>
      <c r="N55" s="160">
        <f>SUMIF('内訳ﾘｽﾄ(4～3月)'!$D$26:$D$1001,$B55,'内訳ﾘｽﾄ(4～3月)'!Q$26:Q$1001)</f>
        <v>0</v>
      </c>
      <c r="O55" s="160">
        <f>SUMIF('内訳ﾘｽﾄ(4～3月)'!$D$26:$D$800,'採算表(VND)'!$B55,'内訳ﾘｽﾄ(4～3月)'!R$26:R$800)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SUMIF('内訳ﾘｽﾄ(4～3月)'!$D$26:$D$1001,$B56,'内訳ﾘｽﾄ(4～3月)'!F$26:F$1001)</f>
        <v>0</v>
      </c>
      <c r="D56" s="160">
        <f>SUMIF('内訳ﾘｽﾄ(4～3月)'!$D$26:$D$1001,$B56,'内訳ﾘｽﾄ(4～3月)'!G$26:G$1001)</f>
        <v>0</v>
      </c>
      <c r="E56" s="160">
        <f>SUMIF('内訳ﾘｽﾄ(4～3月)'!$D$26:$D$1001,$B56,'内訳ﾘｽﾄ(4～3月)'!H$26:H$1001)</f>
        <v>0</v>
      </c>
      <c r="F56" s="160">
        <f>SUMIF('内訳ﾘｽﾄ(4～3月)'!$D$26:$D$1001,$B56,'内訳ﾘｽﾄ(4～3月)'!I$26:I$1001)</f>
        <v>0</v>
      </c>
      <c r="G56" s="160">
        <f>SUMIF('内訳ﾘｽﾄ(4～3月)'!$D$26:$D$1001,$B56,'内訳ﾘｽﾄ(4～3月)'!J$26:J$1001)</f>
        <v>0</v>
      </c>
      <c r="H56" s="160">
        <f>SUMIF('内訳ﾘｽﾄ(4～3月)'!$D$26:$D$1001,$B56,'内訳ﾘｽﾄ(4～3月)'!K$26:K$1001)</f>
        <v>0</v>
      </c>
      <c r="I56" s="160">
        <f>SUMIF('内訳ﾘｽﾄ(4～3月)'!$D$26:$D$1001,$B56,'内訳ﾘｽﾄ(4～3月)'!L$26:L$1001)</f>
        <v>0</v>
      </c>
      <c r="J56" s="160">
        <f>SUMIF('内訳ﾘｽﾄ(4～3月)'!$D$26:$D$1001,$B56,'内訳ﾘｽﾄ(4～3月)'!M$26:M$1001)</f>
        <v>0</v>
      </c>
      <c r="K56" s="160">
        <f>SUMIF('内訳ﾘｽﾄ(4～3月)'!$D$26:$D$1001,$B56,'内訳ﾘｽﾄ(4～3月)'!N$26:N$1001)</f>
        <v>0</v>
      </c>
      <c r="L56" s="160">
        <f>SUMIF('内訳ﾘｽﾄ(4～3月)'!$D$26:$D$1001,$B56,'内訳ﾘｽﾄ(4～3月)'!O$26:O$1001)</f>
        <v>0</v>
      </c>
      <c r="M56" s="160">
        <f>SUMIF('内訳ﾘｽﾄ(4～3月)'!$D$26:$D$1001,$B56,'内訳ﾘｽﾄ(4～3月)'!P$26:P$1001)</f>
        <v>0</v>
      </c>
      <c r="N56" s="160">
        <f>SUMIF('内訳ﾘｽﾄ(4～3月)'!$D$26:$D$1001,$B56,'内訳ﾘｽﾄ(4～3月)'!Q$26:Q$1001)</f>
        <v>0</v>
      </c>
      <c r="O56" s="160">
        <f>SUMIF('内訳ﾘｽﾄ(4～3月)'!$D$26:$D$800,'採算表(VND)'!$B56,'内訳ﾘｽﾄ(4～3月)'!R$26:R$800)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SUMIF('内訳ﾘｽﾄ(4～3月)'!$D$26:$D$1001,$B57,'内訳ﾘｽﾄ(4～3月)'!F$26:F$1001)</f>
        <v>1310378</v>
      </c>
      <c r="D57" s="160">
        <f>SUMIF('内訳ﾘｽﾄ(4～3月)'!$D$26:$D$1001,$B57,'内訳ﾘｽﾄ(4～3月)'!G$26:G$1001)</f>
        <v>1254266</v>
      </c>
      <c r="E57" s="160">
        <f>SUMIF('内訳ﾘｽﾄ(4～3月)'!$D$26:$D$1001,$B57,'内訳ﾘｽﾄ(4～3月)'!H$26:H$1001)</f>
        <v>1279656</v>
      </c>
      <c r="F57" s="160">
        <f>SUMIF('内訳ﾘｽﾄ(4～3月)'!$D$26:$D$1001,$B57,'内訳ﾘｽﾄ(4～3月)'!I$26:I$1001)</f>
        <v>1215419</v>
      </c>
      <c r="G57" s="160">
        <f>SUMIF('内訳ﾘｽﾄ(4～3月)'!$D$26:$D$1001,$B57,'内訳ﾘｽﾄ(4～3月)'!J$26:J$1001)</f>
        <v>1198916</v>
      </c>
      <c r="H57" s="160">
        <f>SUMIF('内訳ﾘｽﾄ(4～3月)'!$D$26:$D$1001,$B57,'内訳ﾘｽﾄ(4～3月)'!K$26:K$1001)</f>
        <v>1205010</v>
      </c>
      <c r="I57" s="160">
        <f>SUMIF('内訳ﾘｽﾄ(4～3月)'!$D$26:$D$1001,$B57,'内訳ﾘｽﾄ(4～3月)'!L$26:L$1001)</f>
        <v>1341862</v>
      </c>
      <c r="J57" s="160">
        <f>SUMIF('内訳ﾘｽﾄ(4～3月)'!$D$26:$D$1001,$B57,'内訳ﾘｽﾄ(4～3月)'!M$26:M$1001)</f>
        <v>1325358</v>
      </c>
      <c r="K57" s="160">
        <f>SUMIF('内訳ﾘｽﾄ(4～3月)'!$D$26:$D$1001,$B57,'内訳ﾘｽﾄ(4～3月)'!N$26:N$1001)</f>
        <v>1333991</v>
      </c>
      <c r="L57" s="160">
        <f>SUMIF('内訳ﾘｽﾄ(4～3月)'!$D$26:$D$1001,$B57,'内訳ﾘｽﾄ(4～3月)'!O$26:O$1001)</f>
        <v>1303269</v>
      </c>
      <c r="M57" s="160">
        <f>SUMIF('内訳ﾘｽﾄ(4～3月)'!$D$26:$D$1001,$B57,'内訳ﾘｽﾄ(4～3月)'!P$26:P$1001)</f>
        <v>1272801</v>
      </c>
      <c r="N57" s="160">
        <f>SUMIF('内訳ﾘｽﾄ(4～3月)'!$D$26:$D$1001,$B57,'内訳ﾘｽﾄ(4～3月)'!Q$26:Q$1001)</f>
        <v>1311648</v>
      </c>
      <c r="O57" s="160">
        <f>SUMIF('内訳ﾘｽﾄ(4～3月)'!$D$26:$D$800,'採算表(VND)'!$B57,'内訳ﾘｽﾄ(4～3月)'!R$26:R$800)</f>
        <v>15352574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SUMIF('内訳ﾘｽﾄ(4～3月)'!$D$26:$D$1001,$B58,'内訳ﾘｽﾄ(4～3月)'!F$26:F$1001)</f>
        <v>0</v>
      </c>
      <c r="D58" s="160">
        <f>SUMIF('内訳ﾘｽﾄ(4～3月)'!$D$26:$D$1001,$B58,'内訳ﾘｽﾄ(4～3月)'!G$26:G$1001)</f>
        <v>0</v>
      </c>
      <c r="E58" s="160">
        <f>SUMIF('内訳ﾘｽﾄ(4～3月)'!$D$26:$D$1001,$B58,'内訳ﾘｽﾄ(4～3月)'!H$26:H$1001)</f>
        <v>0</v>
      </c>
      <c r="F58" s="160">
        <f>SUMIF('内訳ﾘｽﾄ(4～3月)'!$D$26:$D$1001,$B58,'内訳ﾘｽﾄ(4～3月)'!I$26:I$1001)</f>
        <v>0</v>
      </c>
      <c r="G58" s="160">
        <f>SUMIF('内訳ﾘｽﾄ(4～3月)'!$D$26:$D$1001,$B58,'内訳ﾘｽﾄ(4～3月)'!J$26:J$1001)</f>
        <v>0</v>
      </c>
      <c r="H58" s="160">
        <f>SUMIF('内訳ﾘｽﾄ(4～3月)'!$D$26:$D$1001,$B58,'内訳ﾘｽﾄ(4～3月)'!K$26:K$1001)</f>
        <v>0</v>
      </c>
      <c r="I58" s="160">
        <f>SUMIF('内訳ﾘｽﾄ(4～3月)'!$D$26:$D$1001,$B58,'内訳ﾘｽﾄ(4～3月)'!L$26:L$1001)</f>
        <v>0</v>
      </c>
      <c r="J58" s="160">
        <f>SUMIF('内訳ﾘｽﾄ(4～3月)'!$D$26:$D$1001,$B58,'内訳ﾘｽﾄ(4～3月)'!M$26:M$1001)</f>
        <v>0</v>
      </c>
      <c r="K58" s="160">
        <f>SUMIF('内訳ﾘｽﾄ(4～3月)'!$D$26:$D$1001,$B58,'内訳ﾘｽﾄ(4～3月)'!N$26:N$1001)</f>
        <v>0</v>
      </c>
      <c r="L58" s="160">
        <f>SUMIF('内訳ﾘｽﾄ(4～3月)'!$D$26:$D$1001,$B58,'内訳ﾘｽﾄ(4～3月)'!O$26:O$1001)</f>
        <v>0</v>
      </c>
      <c r="M58" s="160">
        <f>SUMIF('内訳ﾘｽﾄ(4～3月)'!$D$26:$D$1001,$B58,'内訳ﾘｽﾄ(4～3月)'!P$26:P$1001)</f>
        <v>0</v>
      </c>
      <c r="N58" s="160">
        <f>SUMIF('内訳ﾘｽﾄ(4～3月)'!$D$26:$D$1001,$B58,'内訳ﾘｽﾄ(4～3月)'!Q$26:Q$1001)</f>
        <v>0</v>
      </c>
      <c r="O58" s="160">
        <f>SUMIF('内訳ﾘｽﾄ(4～3月)'!$D$26:$D$800,'採算表(VND)'!$B58,'内訳ﾘｽﾄ(4～3月)'!R$26:R$800)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SUMIF('内訳ﾘｽﾄ(4～3月)'!$D$26:$D$1001,$B59,'内訳ﾘｽﾄ(4～3月)'!F$26:F$1001)</f>
        <v>0</v>
      </c>
      <c r="D59" s="160">
        <f>SUMIF('内訳ﾘｽﾄ(4～3月)'!$D$26:$D$1001,$B59,'内訳ﾘｽﾄ(4～3月)'!G$26:G$1001)</f>
        <v>0</v>
      </c>
      <c r="E59" s="160">
        <f>SUMIF('内訳ﾘｽﾄ(4～3月)'!$D$26:$D$1001,$B59,'内訳ﾘｽﾄ(4～3月)'!H$26:H$1001)</f>
        <v>0</v>
      </c>
      <c r="F59" s="160">
        <f>SUMIF('内訳ﾘｽﾄ(4～3月)'!$D$26:$D$1001,$B59,'内訳ﾘｽﾄ(4～3月)'!I$26:I$1001)</f>
        <v>0</v>
      </c>
      <c r="G59" s="160">
        <f>SUMIF('内訳ﾘｽﾄ(4～3月)'!$D$26:$D$1001,$B59,'内訳ﾘｽﾄ(4～3月)'!J$26:J$1001)</f>
        <v>0</v>
      </c>
      <c r="H59" s="160">
        <f>SUMIF('内訳ﾘｽﾄ(4～3月)'!$D$26:$D$1001,$B59,'内訳ﾘｽﾄ(4～3月)'!K$26:K$1001)</f>
        <v>0</v>
      </c>
      <c r="I59" s="160">
        <f>SUMIF('内訳ﾘｽﾄ(4～3月)'!$D$26:$D$1001,$B59,'内訳ﾘｽﾄ(4～3月)'!L$26:L$1001)</f>
        <v>0</v>
      </c>
      <c r="J59" s="160">
        <f>SUMIF('内訳ﾘｽﾄ(4～3月)'!$D$26:$D$1001,$B59,'内訳ﾘｽﾄ(4～3月)'!M$26:M$1001)</f>
        <v>0</v>
      </c>
      <c r="K59" s="160">
        <f>SUMIF('内訳ﾘｽﾄ(4～3月)'!$D$26:$D$1001,$B59,'内訳ﾘｽﾄ(4～3月)'!N$26:N$1001)</f>
        <v>0</v>
      </c>
      <c r="L59" s="160">
        <f>SUMIF('内訳ﾘｽﾄ(4～3月)'!$D$26:$D$1001,$B59,'内訳ﾘｽﾄ(4～3月)'!O$26:O$1001)</f>
        <v>0</v>
      </c>
      <c r="M59" s="160">
        <f>SUMIF('内訳ﾘｽﾄ(4～3月)'!$D$26:$D$1001,$B59,'内訳ﾘｽﾄ(4～3月)'!P$26:P$1001)</f>
        <v>0</v>
      </c>
      <c r="N59" s="160">
        <f>SUMIF('内訳ﾘｽﾄ(4～3月)'!$D$26:$D$1001,$B59,'内訳ﾘｽﾄ(4～3月)'!Q$26:Q$1001)</f>
        <v>0</v>
      </c>
      <c r="O59" s="160">
        <f>SUMIF('内訳ﾘｽﾄ(4～3月)'!$D$26:$D$800,'採算表(VND)'!$B59,'内訳ﾘｽﾄ(4～3月)'!R$26:R$800)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SUMIF('内訳ﾘｽﾄ(4～3月)'!$D$26:$D$1001,$B60,'内訳ﾘｽﾄ(4～3月)'!F$26:F$1001)</f>
        <v>0</v>
      </c>
      <c r="D60" s="160">
        <f>SUMIF('内訳ﾘｽﾄ(4～3月)'!$D$26:$D$1001,$B60,'内訳ﾘｽﾄ(4～3月)'!G$26:G$1001)</f>
        <v>0</v>
      </c>
      <c r="E60" s="160">
        <f>SUMIF('内訳ﾘｽﾄ(4～3月)'!$D$26:$D$1001,$B60,'内訳ﾘｽﾄ(4～3月)'!H$26:H$1001)</f>
        <v>0</v>
      </c>
      <c r="F60" s="160">
        <f>SUMIF('内訳ﾘｽﾄ(4～3月)'!$D$26:$D$1001,$B60,'内訳ﾘｽﾄ(4～3月)'!I$26:I$1001)</f>
        <v>0</v>
      </c>
      <c r="G60" s="160">
        <f>SUMIF('内訳ﾘｽﾄ(4～3月)'!$D$26:$D$1001,$B60,'内訳ﾘｽﾄ(4～3月)'!J$26:J$1001)</f>
        <v>0</v>
      </c>
      <c r="H60" s="160">
        <f>SUMIF('内訳ﾘｽﾄ(4～3月)'!$D$26:$D$1001,$B60,'内訳ﾘｽﾄ(4～3月)'!K$26:K$1001)</f>
        <v>0</v>
      </c>
      <c r="I60" s="160">
        <f>SUMIF('内訳ﾘｽﾄ(4～3月)'!$D$26:$D$1001,$B60,'内訳ﾘｽﾄ(4～3月)'!L$26:L$1001)</f>
        <v>0</v>
      </c>
      <c r="J60" s="160">
        <f>SUMIF('内訳ﾘｽﾄ(4～3月)'!$D$26:$D$1001,$B60,'内訳ﾘｽﾄ(4～3月)'!M$26:M$1001)</f>
        <v>0</v>
      </c>
      <c r="K60" s="160">
        <f>SUMIF('内訳ﾘｽﾄ(4～3月)'!$D$26:$D$1001,$B60,'内訳ﾘｽﾄ(4～3月)'!N$26:N$1001)</f>
        <v>0</v>
      </c>
      <c r="L60" s="160">
        <f>SUMIF('内訳ﾘｽﾄ(4～3月)'!$D$26:$D$1001,$B60,'内訳ﾘｽﾄ(4～3月)'!O$26:O$1001)</f>
        <v>0</v>
      </c>
      <c r="M60" s="160">
        <f>SUMIF('内訳ﾘｽﾄ(4～3月)'!$D$26:$D$1001,$B60,'内訳ﾘｽﾄ(4～3月)'!P$26:P$1001)</f>
        <v>0</v>
      </c>
      <c r="N60" s="160">
        <f>SUMIF('内訳ﾘｽﾄ(4～3月)'!$D$26:$D$1001,$B60,'内訳ﾘｽﾄ(4～3月)'!Q$26:Q$1001)</f>
        <v>0</v>
      </c>
      <c r="O60" s="160">
        <f>SUMIF('内訳ﾘｽﾄ(4～3月)'!$D$26:$D$800,'採算表(VND)'!$B60,'内訳ﾘｽﾄ(4～3月)'!R$26:R$800)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IF('内訳ﾘｽﾄ(4～3月)'!$D$5="製造",SUMIF('内訳ﾘｽﾄ(4～3月)'!$D$26:$D$1001,$B61,'内訳ﾘｽﾄ(4～3月)'!F$26:F$1001),IF('内訳ﾘｽﾄ(4～3月)'!$D$5="部内間接",-SUM(C$14:C$60,C$65),0))</f>
        <v>-17781227</v>
      </c>
      <c r="D61" s="160">
        <f>IF('内訳ﾘｽﾄ(4～3月)'!$D$5="製造",SUMIF('内訳ﾘｽﾄ(4～3月)'!$D$26:$D$1001,$B61,'内訳ﾘｽﾄ(4～3月)'!G$26:G$1001),IF('内訳ﾘｽﾄ(4～3月)'!$D$5="部内間接",-SUM(D$14:D$60,D$65),0))</f>
        <v>-27686851</v>
      </c>
      <c r="E61" s="160">
        <f>IF('内訳ﾘｽﾄ(4～3月)'!$D$5="製造",SUMIF('内訳ﾘｽﾄ(4～3月)'!$D$26:$D$1001,$B61,'内訳ﾘｽﾄ(4～3月)'!H$26:H$1001),IF('内訳ﾘｽﾄ(4～3月)'!$D$5="部内間接",-SUM(E$14:E$60,E$65),0))</f>
        <v>-14644783</v>
      </c>
      <c r="F61" s="160">
        <f>IF('内訳ﾘｽﾄ(4～3月)'!$D$5="製造",SUMIF('内訳ﾘｽﾄ(4～3月)'!$D$26:$D$1001,$B61,'内訳ﾘｽﾄ(4～3月)'!I$26:I$1001),IF('内訳ﾘｽﾄ(4～3月)'!$D$5="部内間接",-SUM(F$14:F$60,F$65),0))</f>
        <v>-14051263</v>
      </c>
      <c r="G61" s="160">
        <f>IF('内訳ﾘｽﾄ(4～3月)'!$D$5="製造",SUMIF('内訳ﾘｽﾄ(4～3月)'!$D$26:$D$1001,$B61,'内訳ﾘｽﾄ(4～3月)'!J$26:J$1001),IF('内訳ﾘｽﾄ(4～3月)'!$D$5="部内間接",-SUM(G$14:G$60,G$65),0))</f>
        <v>-13291492</v>
      </c>
      <c r="H61" s="160">
        <f>IF('内訳ﾘｽﾄ(4～3月)'!$D$5="製造",SUMIF('内訳ﾘｽﾄ(4～3月)'!$D$26:$D$1001,$B61,'内訳ﾘｽﾄ(4～3月)'!K$26:K$1001),IF('内訳ﾘｽﾄ(4～3月)'!$D$5="部内間接",-SUM(H$14:H$60,H$65),0))</f>
        <v>-14482693</v>
      </c>
      <c r="I61" s="160">
        <f>IF('内訳ﾘｽﾄ(4～3月)'!$D$5="製造",SUMIF('内訳ﾘｽﾄ(4～3月)'!$D$26:$D$1001,$B61,'内訳ﾘｽﾄ(4～3月)'!L$26:L$1001),IF('内訳ﾘｽﾄ(4～3月)'!$D$5="部内間接",-SUM(I$14:I$60,I$65),0))</f>
        <v>-31422549</v>
      </c>
      <c r="J61" s="160">
        <f>IF('内訳ﾘｽﾄ(4～3月)'!$D$5="製造",SUMIF('内訳ﾘｽﾄ(4～3月)'!$D$26:$D$1001,$B61,'内訳ﾘｽﾄ(4～3月)'!M$26:M$1001),IF('内訳ﾘｽﾄ(4～3月)'!$D$5="部内間接",-SUM(J$14:J$60,J$65),0))</f>
        <v>-14306498</v>
      </c>
      <c r="K61" s="160">
        <f>IF('内訳ﾘｽﾄ(4～3月)'!$D$5="製造",SUMIF('内訳ﾘｽﾄ(4～3月)'!$D$26:$D$1001,$B61,'内訳ﾘｽﾄ(4～3月)'!N$26:N$1001),IF('内訳ﾘｽﾄ(4～3月)'!$D$5="部内間接",-SUM(K$14:K$60,K$65),0))</f>
        <v>-32368721</v>
      </c>
      <c r="L61" s="160">
        <f>IF('内訳ﾘｽﾄ(4～3月)'!$D$5="製造",SUMIF('内訳ﾘｽﾄ(4～3月)'!$D$26:$D$1001,$B61,'内訳ﾘｽﾄ(4～3月)'!O$26:O$1001),IF('内訳ﾘｽﾄ(4～3月)'!$D$5="部内間接",-SUM(L$14:L$60,L$65),0))</f>
        <v>-13054494</v>
      </c>
      <c r="M61" s="160">
        <f>IF('内訳ﾘｽﾄ(4～3月)'!$D$5="製造",SUMIF('内訳ﾘｽﾄ(4～3月)'!$D$26:$D$1001,$B61,'内訳ﾘｽﾄ(4～3月)'!P$26:P$1001),IF('内訳ﾘｽﾄ(4～3月)'!$D$5="部内間接",-SUM(M$14:M$60,M$65),0))</f>
        <v>-13220804</v>
      </c>
      <c r="N61" s="160">
        <f>IF('内訳ﾘｽﾄ(4～3月)'!$D$5="製造",SUMIF('内訳ﾘｽﾄ(4～3月)'!$D$26:$D$1001,$B61,'内訳ﾘｽﾄ(4～3月)'!Q$26:Q$1001),IF('内訳ﾘｽﾄ(4～3月)'!$D$5="部内間接",-SUM(N$14:N$60,N$65),0))</f>
        <v>-15270583</v>
      </c>
      <c r="O61" s="160">
        <f>IF('内訳ﾘｽﾄ(4～3月)'!$D$5="部内間接",-SUM(O$65,O$14:O$60),IF('内訳ﾘｽﾄ(4～3月)'!$D$5="製造",SUMIF('内訳ﾘｽﾄ(4～3月)'!$D$26:$D$800,'採算表(VND)'!$B61,'内訳ﾘｽﾄ(4～3月)'!R$26:R$800),0))</f>
        <v>-221581958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IF('内訳ﾘｽﾄ(4～3月)'!$D$5="製造",SUMIF('内訳ﾘｽﾄ(4～3月)'!$D$26:$D$1001,$B62,'内訳ﾘｽﾄ(4～3月)'!F$26:F$1001),IF('内訳ﾘｽﾄ(4～3月)'!$D$5="部外間接1",-SUM(C$14:C$60,C$65),0))</f>
        <v>0</v>
      </c>
      <c r="D62" s="160">
        <f>IF('内訳ﾘｽﾄ(4～3月)'!$D$5="製造",SUMIF('内訳ﾘｽﾄ(4～3月)'!$D$26:$D$1001,$B62,'内訳ﾘｽﾄ(4～3月)'!G$26:G$1001),IF('内訳ﾘｽﾄ(4～3月)'!$D$5="部外間接1",-SUM(D$14:D$60,D$65),0))</f>
        <v>0</v>
      </c>
      <c r="E62" s="160">
        <f>IF('内訳ﾘｽﾄ(4～3月)'!$D$5="製造",SUMIF('内訳ﾘｽﾄ(4～3月)'!$D$26:$D$1001,$B62,'内訳ﾘｽﾄ(4～3月)'!H$26:H$1001),IF('内訳ﾘｽﾄ(4～3月)'!$D$5="部外間接1",-SUM(E$14:E$60,E$65),0))</f>
        <v>0</v>
      </c>
      <c r="F62" s="160">
        <f>IF('内訳ﾘｽﾄ(4～3月)'!$D$5="製造",SUMIF('内訳ﾘｽﾄ(4～3月)'!$D$26:$D$1001,$B62,'内訳ﾘｽﾄ(4～3月)'!I$26:I$1001),IF('内訳ﾘｽﾄ(4～3月)'!$D$5="部外間接1",-SUM(F$14:F$60,F$65),0))</f>
        <v>0</v>
      </c>
      <c r="G62" s="160">
        <f>IF('内訳ﾘｽﾄ(4～3月)'!$D$5="製造",SUMIF('内訳ﾘｽﾄ(4～3月)'!$D$26:$D$1001,$B62,'内訳ﾘｽﾄ(4～3月)'!J$26:J$1001),IF('内訳ﾘｽﾄ(4～3月)'!$D$5="部外間接1",-SUM(G$14:G$60,G$65),0))</f>
        <v>0</v>
      </c>
      <c r="H62" s="160">
        <f>IF('内訳ﾘｽﾄ(4～3月)'!$D$5="製造",SUMIF('内訳ﾘｽﾄ(4～3月)'!$D$26:$D$1001,$B62,'内訳ﾘｽﾄ(4～3月)'!K$26:K$1001),IF('内訳ﾘｽﾄ(4～3月)'!$D$5="部外間接1",-SUM(H$14:H$60,H$65),0))</f>
        <v>0</v>
      </c>
      <c r="I62" s="160">
        <f>IF('内訳ﾘｽﾄ(4～3月)'!$D$5="製造",SUMIF('内訳ﾘｽﾄ(4～3月)'!$D$26:$D$1001,$B62,'内訳ﾘｽﾄ(4～3月)'!L$26:L$1001),IF('内訳ﾘｽﾄ(4～3月)'!$D$5="部外間接1",-SUM(I$14:I$60,I$65),0))</f>
        <v>0</v>
      </c>
      <c r="J62" s="160">
        <f>IF('内訳ﾘｽﾄ(4～3月)'!$D$5="製造",SUMIF('内訳ﾘｽﾄ(4～3月)'!$D$26:$D$1001,$B62,'内訳ﾘｽﾄ(4～3月)'!M$26:M$1001),IF('内訳ﾘｽﾄ(4～3月)'!$D$5="部外間接1",-SUM(J$14:J$60,J$65),0))</f>
        <v>0</v>
      </c>
      <c r="K62" s="160">
        <f>IF('内訳ﾘｽﾄ(4～3月)'!$D$5="製造",SUMIF('内訳ﾘｽﾄ(4～3月)'!$D$26:$D$1001,$B62,'内訳ﾘｽﾄ(4～3月)'!N$26:N$1001),IF('内訳ﾘｽﾄ(4～3月)'!$D$5="部外間接1",-SUM(K$14:K$60,K$65),0))</f>
        <v>0</v>
      </c>
      <c r="L62" s="160">
        <f>IF('内訳ﾘｽﾄ(4～3月)'!$D$5="製造",SUMIF('内訳ﾘｽﾄ(4～3月)'!$D$26:$D$1001,$B62,'内訳ﾘｽﾄ(4～3月)'!O$26:O$1001),IF('内訳ﾘｽﾄ(4～3月)'!$D$5="部外間接1",-SUM(L$14:L$60,L$65),0))</f>
        <v>0</v>
      </c>
      <c r="M62" s="160">
        <f>IF('内訳ﾘｽﾄ(4～3月)'!$D$5="製造",SUMIF('内訳ﾘｽﾄ(4～3月)'!$D$26:$D$1001,$B62,'内訳ﾘｽﾄ(4～3月)'!P$26:P$1001),IF('内訳ﾘｽﾄ(4～3月)'!$D$5="部外間接1",-SUM(M$14:M$60,M$65),0))</f>
        <v>0</v>
      </c>
      <c r="N62" s="160">
        <f>IF('内訳ﾘｽﾄ(4～3月)'!$D$5="製造",SUMIF('内訳ﾘｽﾄ(4～3月)'!$D$26:$D$1001,$B62,'内訳ﾘｽﾄ(4～3月)'!Q$26:Q$1001),IF('内訳ﾘｽﾄ(4～3月)'!$D$5="部外間接1",-SUM(N$14:N$60,N$65),0))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IF('内訳ﾘｽﾄ(4～3月)'!$D$5="部外間接1",-SUM(O$65,O$14:O$60),IF('内訳ﾘｽﾄ(4～3月)'!$D$5="製造",SUMIF('内訳ﾘｽﾄ(4～3月)'!$D$26:$D$800,'採算表(VND)'!$B62,'内訳ﾘｽﾄ(4～3月)'!R$26:R$800),0))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IF('内訳ﾘｽﾄ(4～3月)'!$D$5="製造",SUMIF('内訳ﾘｽﾄ(4～3月)'!$D$26:$D$1001,$B63,'内訳ﾘｽﾄ(4～3月)'!F$26:F$1001),IF('内訳ﾘｽﾄ(4～3月)'!$D$5="部外間接2",-SUM(C$14:C$60,C$65),0))</f>
        <v>0</v>
      </c>
      <c r="D63" s="160">
        <f>IF('内訳ﾘｽﾄ(4～3月)'!$D$5="製造",SUMIF('内訳ﾘｽﾄ(4～3月)'!$D$26:$D$1001,$B63,'内訳ﾘｽﾄ(4～3月)'!G$26:G$1001),IF('内訳ﾘｽﾄ(4～3月)'!$D$5="部外間接2",-SUM(D$14:D$60,D$65),0))</f>
        <v>0</v>
      </c>
      <c r="E63" s="160">
        <f>IF('内訳ﾘｽﾄ(4～3月)'!$D$5="製造",SUMIF('内訳ﾘｽﾄ(4～3月)'!$D$26:$D$1001,$B63,'内訳ﾘｽﾄ(4～3月)'!H$26:H$1001),IF('内訳ﾘｽﾄ(4～3月)'!$D$5="部外間接2",-SUM(E$14:E$60,E$65),0))</f>
        <v>0</v>
      </c>
      <c r="F63" s="160">
        <f>IF('内訳ﾘｽﾄ(4～3月)'!$D$5="製造",SUMIF('内訳ﾘｽﾄ(4～3月)'!$D$26:$D$1001,$B63,'内訳ﾘｽﾄ(4～3月)'!I$26:I$1001),IF('内訳ﾘｽﾄ(4～3月)'!$D$5="部外間接2",-SUM(F$14:F$60,F$65),0))</f>
        <v>0</v>
      </c>
      <c r="G63" s="160">
        <f>IF('内訳ﾘｽﾄ(4～3月)'!$D$5="製造",SUMIF('内訳ﾘｽﾄ(4～3月)'!$D$26:$D$1001,$B63,'内訳ﾘｽﾄ(4～3月)'!J$26:J$1001),IF('内訳ﾘｽﾄ(4～3月)'!$D$5="部外間接2",-SUM(G$14:G$60,G$65),0))</f>
        <v>0</v>
      </c>
      <c r="H63" s="160">
        <f>IF('内訳ﾘｽﾄ(4～3月)'!$D$5="製造",SUMIF('内訳ﾘｽﾄ(4～3月)'!$D$26:$D$1001,$B63,'内訳ﾘｽﾄ(4～3月)'!K$26:K$1001),IF('内訳ﾘｽﾄ(4～3月)'!$D$5="部外間接2",-SUM(H$14:H$60,H$65),0))</f>
        <v>0</v>
      </c>
      <c r="I63" s="160">
        <f>IF('内訳ﾘｽﾄ(4～3月)'!$D$5="製造",SUMIF('内訳ﾘｽﾄ(4～3月)'!$D$26:$D$1001,$B63,'内訳ﾘｽﾄ(4～3月)'!L$26:L$1001),IF('内訳ﾘｽﾄ(4～3月)'!$D$5="部外間接2",-SUM(I$14:I$60,I$65),0))</f>
        <v>0</v>
      </c>
      <c r="J63" s="160">
        <f>IF('内訳ﾘｽﾄ(4～3月)'!$D$5="製造",SUMIF('内訳ﾘｽﾄ(4～3月)'!$D$26:$D$1001,$B63,'内訳ﾘｽﾄ(4～3月)'!M$26:M$1001),IF('内訳ﾘｽﾄ(4～3月)'!$D$5="部外間接2",-SUM(J$14:J$60,J$65),0))</f>
        <v>0</v>
      </c>
      <c r="K63" s="160">
        <f>IF('内訳ﾘｽﾄ(4～3月)'!$D$5="製造",SUMIF('内訳ﾘｽﾄ(4～3月)'!$D$26:$D$1001,$B63,'内訳ﾘｽﾄ(4～3月)'!N$26:N$1001),IF('内訳ﾘｽﾄ(4～3月)'!$D$5="部外間接2",-SUM(K$14:K$60,K$65),0))</f>
        <v>0</v>
      </c>
      <c r="L63" s="160">
        <f>IF('内訳ﾘｽﾄ(4～3月)'!$D$5="製造",SUMIF('内訳ﾘｽﾄ(4～3月)'!$D$26:$D$1001,$B63,'内訳ﾘｽﾄ(4～3月)'!O$26:O$1001),IF('内訳ﾘｽﾄ(4～3月)'!$D$5="部外間接2",-SUM(L$14:L$60,L$65),0))</f>
        <v>0</v>
      </c>
      <c r="M63" s="160">
        <f>IF('内訳ﾘｽﾄ(4～3月)'!$D$5="製造",SUMIF('内訳ﾘｽﾄ(4～3月)'!$D$26:$D$1001,$B63,'内訳ﾘｽﾄ(4～3月)'!P$26:P$1001),IF('内訳ﾘｽﾄ(4～3月)'!$D$5="部外間接2",-SUM(M$14:M$60,M$65),0))</f>
        <v>0</v>
      </c>
      <c r="N63" s="160">
        <f>IF('内訳ﾘｽﾄ(4～3月)'!$D$5="製造",SUMIF('内訳ﾘｽﾄ(4～3月)'!$D$26:$D$1001,$B63,'内訳ﾘｽﾄ(4～3月)'!Q$26:Q$1001),IF('内訳ﾘｽﾄ(4～3月)'!$D$5="部外間接2",-SUM(N$14:N$60,N$65),0))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IF('内訳ﾘｽﾄ(4～3月)'!$D$5="部外間接2",-SUM(O$65,O$14:O$60),IF('内訳ﾘｽﾄ(4～3月)'!$D$5="製造",SUMIF('内訳ﾘｽﾄ(4～3月)'!$D$26:$D$800,'採算表(VND)'!$B63,'内訳ﾘｽﾄ(4～3月)'!R$26:R$800),0))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IF('内訳ﾘｽﾄ(4～3月)'!$D$5="製造",SUMIF('内訳ﾘｽﾄ(4～3月)'!$D$26:$D$1001,$B64,'内訳ﾘｽﾄ(4～3月)'!F$26:F$1001),IF('内訳ﾘｽﾄ(4～3月)'!$D$5="工場間接",-SUM(C$14:C$60,C$65),0))</f>
        <v>0</v>
      </c>
      <c r="D64" s="160">
        <f>IF('内訳ﾘｽﾄ(4～3月)'!$D$5="製造",SUMIF('内訳ﾘｽﾄ(4～3月)'!$D$26:$D$1001,$B64,'内訳ﾘｽﾄ(4～3月)'!G$26:G$1001),IF('内訳ﾘｽﾄ(4～3月)'!$D$5="工場間接",-SUM(D$14:D$60,D$65),0))</f>
        <v>0</v>
      </c>
      <c r="E64" s="160">
        <f>IF('内訳ﾘｽﾄ(4～3月)'!$D$5="製造",SUMIF('内訳ﾘｽﾄ(4～3月)'!$D$26:$D$1001,$B64,'内訳ﾘｽﾄ(4～3月)'!H$26:H$1001),IF('内訳ﾘｽﾄ(4～3月)'!$D$5="工場間接",-SUM(E$14:E$60,E$65),0))</f>
        <v>0</v>
      </c>
      <c r="F64" s="160">
        <f>IF('内訳ﾘｽﾄ(4～3月)'!$D$5="製造",SUMIF('内訳ﾘｽﾄ(4～3月)'!$D$26:$D$1001,$B64,'内訳ﾘｽﾄ(4～3月)'!I$26:I$1001),IF('内訳ﾘｽﾄ(4～3月)'!$D$5="工場間接",-SUM(F$14:F$60,F$65),0))</f>
        <v>0</v>
      </c>
      <c r="G64" s="160">
        <f>IF('内訳ﾘｽﾄ(4～3月)'!$D$5="製造",SUMIF('内訳ﾘｽﾄ(4～3月)'!$D$26:$D$1001,$B64,'内訳ﾘｽﾄ(4～3月)'!J$26:J$1001),IF('内訳ﾘｽﾄ(4～3月)'!$D$5="工場間接",-SUM(G$14:G$60,G$65),0))</f>
        <v>0</v>
      </c>
      <c r="H64" s="160">
        <f>IF('内訳ﾘｽﾄ(4～3月)'!$D$5="製造",SUMIF('内訳ﾘｽﾄ(4～3月)'!$D$26:$D$1001,$B64,'内訳ﾘｽﾄ(4～3月)'!K$26:K$1001),IF('内訳ﾘｽﾄ(4～3月)'!$D$5="工場間接",-SUM(H$14:H$60,H$65),0))</f>
        <v>0</v>
      </c>
      <c r="I64" s="160">
        <f>IF('内訳ﾘｽﾄ(4～3月)'!$D$5="製造",SUMIF('内訳ﾘｽﾄ(4～3月)'!$D$26:$D$1001,$B64,'内訳ﾘｽﾄ(4～3月)'!L$26:L$1001),IF('内訳ﾘｽﾄ(4～3月)'!$D$5="工場間接",-SUM(I$14:I$60,I$65),0))</f>
        <v>0</v>
      </c>
      <c r="J64" s="160">
        <f>IF('内訳ﾘｽﾄ(4～3月)'!$D$5="製造",SUMIF('内訳ﾘｽﾄ(4～3月)'!$D$26:$D$1001,$B64,'内訳ﾘｽﾄ(4～3月)'!M$26:M$1001),IF('内訳ﾘｽﾄ(4～3月)'!$D$5="工場間接",-SUM(J$14:J$60,J$65),0))</f>
        <v>0</v>
      </c>
      <c r="K64" s="160">
        <f>IF('内訳ﾘｽﾄ(4～3月)'!$D$5="製造",SUMIF('内訳ﾘｽﾄ(4～3月)'!$D$26:$D$1001,$B64,'内訳ﾘｽﾄ(4～3月)'!N$26:N$1001),IF('内訳ﾘｽﾄ(4～3月)'!$D$5="工場間接",-SUM(K$14:K$60,K$65),0))</f>
        <v>0</v>
      </c>
      <c r="L64" s="160">
        <f>IF('内訳ﾘｽﾄ(4～3月)'!$D$5="製造",SUMIF('内訳ﾘｽﾄ(4～3月)'!$D$26:$D$1001,$B64,'内訳ﾘｽﾄ(4～3月)'!O$26:O$1001),IF('内訳ﾘｽﾄ(4～3月)'!$D$5="工場間接",-SUM(L$14:L$60,L$65),0))</f>
        <v>0</v>
      </c>
      <c r="M64" s="160">
        <f>IF('内訳ﾘｽﾄ(4～3月)'!$D$5="製造",SUMIF('内訳ﾘｽﾄ(4～3月)'!$D$26:$D$1001,$B64,'内訳ﾘｽﾄ(4～3月)'!P$26:P$1001),IF('内訳ﾘｽﾄ(4～3月)'!$D$5="工場間接",-SUM(M$14:M$60,M$65),0))</f>
        <v>0</v>
      </c>
      <c r="N64" s="160">
        <f>IF('内訳ﾘｽﾄ(4～3月)'!$D$5="製造",SUMIF('内訳ﾘｽﾄ(4～3月)'!$D$26:$D$1001,$B64,'内訳ﾘｽﾄ(4～3月)'!Q$26:Q$1001),IF('内訳ﾘｽﾄ(4～3月)'!$D$5="工場間接",-SUM(N$14:N$60,N$65),0))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IF('内訳ﾘｽﾄ(4～3月)'!$D$5="工場間接",-SUM(O$65,O$14:O$60),IF('内訳ﾘｽﾄ(4～3月)'!$D$5="製造",SUMIF('内訳ﾘｽﾄ(4～3月)'!$D$26:$D$800,'採算表(VND)'!$B64,'内訳ﾘｽﾄ(4～3月)'!R$26:R$800),0))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SUMIF('内訳ﾘｽﾄ(4～3月)'!$D$26:$D$1001,$B65,'内訳ﾘｽﾄ(4～3月)'!F$26:F$1001)</f>
        <v>0</v>
      </c>
      <c r="D65" s="158">
        <f>SUMIF('内訳ﾘｽﾄ(4～3月)'!$D$26:$D$1001,$B65,'内訳ﾘｽﾄ(4～3月)'!G$26:G$1001)</f>
        <v>0</v>
      </c>
      <c r="E65" s="158">
        <f>SUMIF('内訳ﾘｽﾄ(4～3月)'!$D$26:$D$1001,$B65,'内訳ﾘｽﾄ(4～3月)'!H$26:H$1001)</f>
        <v>0</v>
      </c>
      <c r="F65" s="158">
        <f>SUMIF('内訳ﾘｽﾄ(4～3月)'!$D$26:$D$1001,$B65,'内訳ﾘｽﾄ(4～3月)'!I$26:I$1001)</f>
        <v>0</v>
      </c>
      <c r="G65" s="158">
        <f>SUMIF('内訳ﾘｽﾄ(4～3月)'!$D$26:$D$1001,$B65,'内訳ﾘｽﾄ(4～3月)'!J$26:J$1001)</f>
        <v>0</v>
      </c>
      <c r="H65" s="158">
        <f>SUMIF('内訳ﾘｽﾄ(4～3月)'!$D$26:$D$1001,$B65,'内訳ﾘｽﾄ(4～3月)'!K$26:K$1001)</f>
        <v>0</v>
      </c>
      <c r="I65" s="158">
        <f>SUMIF('内訳ﾘｽﾄ(4～3月)'!$D$26:$D$1001,$B65,'内訳ﾘｽﾄ(4～3月)'!L$26:L$1001)</f>
        <v>0</v>
      </c>
      <c r="J65" s="158">
        <f>SUMIF('内訳ﾘｽﾄ(4～3月)'!$D$26:$D$1001,$B65,'内訳ﾘｽﾄ(4～3月)'!M$26:M$1001)</f>
        <v>0</v>
      </c>
      <c r="K65" s="158">
        <f>SUMIF('内訳ﾘｽﾄ(4～3月)'!$D$26:$D$1001,$B65,'内訳ﾘｽﾄ(4～3月)'!N$26:N$1001)</f>
        <v>0</v>
      </c>
      <c r="L65" s="158">
        <f>SUMIF('内訳ﾘｽﾄ(4～3月)'!$D$26:$D$1001,$B65,'内訳ﾘｽﾄ(4～3月)'!O$26:O$1001)</f>
        <v>0</v>
      </c>
      <c r="M65" s="158">
        <f>SUMIF('内訳ﾘｽﾄ(4～3月)'!$D$26:$D$1001,$B65,'内訳ﾘｽﾄ(4～3月)'!P$26:P$1001)</f>
        <v>0</v>
      </c>
      <c r="N65" s="158">
        <f>SUMIF('内訳ﾘｽﾄ(4～3月)'!$D$26:$D$1001,$B65,'内訳ﾘｽﾄ(4～3月)'!Q$26:Q$1001)</f>
        <v>0</v>
      </c>
      <c r="O65" s="158">
        <f>SUMIF('内訳ﾘｽﾄ(4～3月)'!$D$26:$D$800,'採算表(VND)'!$B65,'内訳ﾘｽﾄ(4～3月)'!R$26:R$800)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1293</v>
      </c>
      <c r="D68" s="162">
        <f>SUMIF('内訳ﾘｽﾄ(4～3月)'!$D$8:$D$15,'採算表(VND)'!$B68,'内訳ﾘｽﾄ(4～3月)'!G$8:G$15)</f>
        <v>1227</v>
      </c>
      <c r="E68" s="162">
        <f>SUMIF('内訳ﾘｽﾄ(4～3月)'!$D$8:$D$15,'採算表(VND)'!$B68,'内訳ﾘｽﾄ(4～3月)'!H$8:H$15)</f>
        <v>1357</v>
      </c>
      <c r="F68" s="162">
        <f>SUMIF('内訳ﾘｽﾄ(4～3月)'!$D$8:$D$15,'採算表(VND)'!$B68,'内訳ﾘｽﾄ(4～3月)'!I$8:I$15)</f>
        <v>1486</v>
      </c>
      <c r="G68" s="162">
        <f>SUMIF('内訳ﾘｽﾄ(4～3月)'!$D$8:$D$15,'採算表(VND)'!$B68,'内訳ﾘｽﾄ(4～3月)'!J$8:J$15)</f>
        <v>1293</v>
      </c>
      <c r="H68" s="162">
        <f>SUMIF('内訳ﾘｽﾄ(4～3月)'!$D$8:$D$15,'採算表(VND)'!$B68,'内訳ﾘｽﾄ(4～3月)'!K$8:K$15)</f>
        <v>1227</v>
      </c>
      <c r="I68" s="162">
        <f>SUMIF('内訳ﾘｽﾄ(4～3月)'!$D$8:$D$15,'採算表(VND)'!$B68,'内訳ﾘｽﾄ(4～3月)'!L$8:L$15)</f>
        <v>1671</v>
      </c>
      <c r="J68" s="162">
        <f>SUMIF('内訳ﾘｽﾄ(4～3月)'!$D$8:$D$15,'採算表(VND)'!$B68,'内訳ﾘｽﾄ(4～3月)'!M$8:M$15)</f>
        <v>1454</v>
      </c>
      <c r="K68" s="162">
        <f>SUMIF('内訳ﾘｽﾄ(4～3月)'!$D$8:$D$15,'採算表(VND)'!$B68,'内訳ﾘｽﾄ(4～3月)'!N$8:N$15)</f>
        <v>1599</v>
      </c>
      <c r="L68" s="162">
        <f>SUMIF('内訳ﾘｽﾄ(4～3月)'!$D$8:$D$15,'採算表(VND)'!$B68,'内訳ﾘｽﾄ(4～3月)'!O$8:O$15)</f>
        <v>1454</v>
      </c>
      <c r="M68" s="162">
        <f>SUMIF('内訳ﾘｽﾄ(4～3月)'!$D$8:$D$15,'採算表(VND)'!$B68,'内訳ﾘｽﾄ(4～3月)'!P$8:P$15)</f>
        <v>1090</v>
      </c>
      <c r="N68" s="162">
        <f>SUMIF('内訳ﾘｽﾄ(4～3月)'!$D$8:$D$15,'採算表(VND)'!$B68,'内訳ﾘｽﾄ(4～3月)'!Q$8:Q$15)</f>
        <v>1454</v>
      </c>
      <c r="O68" s="162">
        <f>SUMIF('内訳ﾘｽﾄ(4～3月)'!$D$8:$D$15,'採算表(VND)'!$B68,'内訳ﾘｽﾄ(4～3月)'!$R$8:$R$15)</f>
        <v>16605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-1293</v>
      </c>
      <c r="D69" s="163">
        <f>IF('内訳ﾘｽﾄ(4～3月)'!$D$5="製造",SUMIF('内訳ﾘｽﾄ(4～3月)'!$D$8:$D$15,$B69,'内訳ﾘｽﾄ(4～3月)'!G$8:G$15),IF('内訳ﾘｽﾄ(4～3月)'!$D$5="部内間接",-D$68,0))</f>
        <v>-1227</v>
      </c>
      <c r="E69" s="163">
        <f>IF('内訳ﾘｽﾄ(4～3月)'!$D$5="製造",SUMIF('内訳ﾘｽﾄ(4～3月)'!$D$8:$D$15,$B69,'内訳ﾘｽﾄ(4～3月)'!H$8:H$15),IF('内訳ﾘｽﾄ(4～3月)'!$D$5="部内間接",-E$68,0))</f>
        <v>-1357</v>
      </c>
      <c r="F69" s="163">
        <f>IF('内訳ﾘｽﾄ(4～3月)'!$D$5="製造",SUMIF('内訳ﾘｽﾄ(4～3月)'!$D$8:$D$15,$B69,'内訳ﾘｽﾄ(4～3月)'!I$8:I$15),IF('内訳ﾘｽﾄ(4～3月)'!$D$5="部内間接",-F$68,0))</f>
        <v>-1486</v>
      </c>
      <c r="G69" s="163">
        <f>IF('内訳ﾘｽﾄ(4～3月)'!$D$5="製造",SUMIF('内訳ﾘｽﾄ(4～3月)'!$D$8:$D$15,$B69,'内訳ﾘｽﾄ(4～3月)'!J$8:J$15),IF('内訳ﾘｽﾄ(4～3月)'!$D$5="部内間接",-G$68,0))</f>
        <v>-1293</v>
      </c>
      <c r="H69" s="163">
        <f>IF('内訳ﾘｽﾄ(4～3月)'!$D$5="製造",SUMIF('内訳ﾘｽﾄ(4～3月)'!$D$8:$D$15,$B69,'内訳ﾘｽﾄ(4～3月)'!K$8:K$15),IF('内訳ﾘｽﾄ(4～3月)'!$D$5="部内間接",-H$68,0))</f>
        <v>-1227</v>
      </c>
      <c r="I69" s="163">
        <f>IF('内訳ﾘｽﾄ(4～3月)'!$D$5="製造",SUMIF('内訳ﾘｽﾄ(4～3月)'!$D$8:$D$15,$B69,'内訳ﾘｽﾄ(4～3月)'!L$8:L$15),IF('内訳ﾘｽﾄ(4～3月)'!$D$5="部内間接",-I$68,0))</f>
        <v>-1671</v>
      </c>
      <c r="J69" s="163">
        <f>IF('内訳ﾘｽﾄ(4～3月)'!$D$5="製造",SUMIF('内訳ﾘｽﾄ(4～3月)'!$D$8:$D$15,$B69,'内訳ﾘｽﾄ(4～3月)'!M$8:M$15),IF('内訳ﾘｽﾄ(4～3月)'!$D$5="部内間接",-J$68,0))</f>
        <v>-1454</v>
      </c>
      <c r="K69" s="163">
        <f>IF('内訳ﾘｽﾄ(4～3月)'!$D$5="製造",SUMIF('内訳ﾘｽﾄ(4～3月)'!$D$8:$D$15,$B69,'内訳ﾘｽﾄ(4～3月)'!N$8:N$15),IF('内訳ﾘｽﾄ(4～3月)'!$D$5="部内間接",-K$68,0))</f>
        <v>-1599</v>
      </c>
      <c r="L69" s="163">
        <f>IF('内訳ﾘｽﾄ(4～3月)'!$D$5="製造",SUMIF('内訳ﾘｽﾄ(4～3月)'!$D$8:$D$15,$B69,'内訳ﾘｽﾄ(4～3月)'!O$8:O$15),IF('内訳ﾘｽﾄ(4～3月)'!$D$5="部内間接",-L$68,0))</f>
        <v>-1454</v>
      </c>
      <c r="M69" s="163">
        <f>IF('内訳ﾘｽﾄ(4～3月)'!$D$5="製造",SUMIF('内訳ﾘｽﾄ(4～3月)'!$D$8:$D$15,$B69,'内訳ﾘｽﾄ(4～3月)'!P$8:P$15),IF('内訳ﾘｽﾄ(4～3月)'!$D$5="部内間接",-M$68,0))</f>
        <v>-1090</v>
      </c>
      <c r="N69" s="163">
        <f>IF('内訳ﾘｽﾄ(4～3月)'!$D$5="製造",SUMIF('内訳ﾘｽﾄ(4～3月)'!$D$8:$D$15,$B69,'内訳ﾘｽﾄ(4～3月)'!Q$8:Q$15),IF('内訳ﾘｽﾄ(4～3月)'!$D$5="部内間接",-N$68,0))</f>
        <v>-1454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-16605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48</v>
      </c>
      <c r="D74" s="162">
        <f>SUMIF('内訳ﾘｽﾄ(4～3月)'!$D$16:$D$23,'採算表(VND)'!$B74,'内訳ﾘｽﾄ(4～3月)'!G$16:G$23)</f>
        <v>46</v>
      </c>
      <c r="E74" s="162">
        <f>SUMIF('内訳ﾘｽﾄ(4～3月)'!$D$16:$D$23,'採算表(VND)'!$B74,'内訳ﾘｽﾄ(4～3月)'!H$16:H$23)</f>
        <v>50</v>
      </c>
      <c r="F74" s="162">
        <f>SUMIF('内訳ﾘｽﾄ(4～3月)'!$D$16:$D$23,'採算表(VND)'!$B74,'内訳ﾘｽﾄ(4～3月)'!I$16:I$23)</f>
        <v>54</v>
      </c>
      <c r="G74" s="162">
        <f>SUMIF('内訳ﾘｽﾄ(4～3月)'!$D$16:$D$23,'採算表(VND)'!$B74,'内訳ﾘｽﾄ(4～3月)'!J$16:J$23)</f>
        <v>48</v>
      </c>
      <c r="H74" s="162">
        <f>SUMIF('内訳ﾘｽﾄ(4～3月)'!$D$16:$D$23,'採算表(VND)'!$B74,'内訳ﾘｽﾄ(4～3月)'!K$16:K$23)</f>
        <v>46</v>
      </c>
      <c r="I74" s="162">
        <f>SUMIF('内訳ﾘｽﾄ(4～3月)'!$D$16:$D$23,'採算表(VND)'!$B74,'内訳ﾘｽﾄ(4～3月)'!L$16:L$23)</f>
        <v>54</v>
      </c>
      <c r="J74" s="162">
        <f>SUMIF('内訳ﾘｽﾄ(4～3月)'!$D$16:$D$23,'採算表(VND)'!$B74,'内訳ﾘｽﾄ(4～3月)'!M$16:M$23)</f>
        <v>48</v>
      </c>
      <c r="K74" s="162">
        <f>SUMIF('内訳ﾘｽﾄ(4～3月)'!$D$16:$D$23,'採算表(VND)'!$B74,'内訳ﾘｽﾄ(4～3月)'!N$16:N$23)</f>
        <v>52</v>
      </c>
      <c r="L74" s="162">
        <f>SUMIF('内訳ﾘｽﾄ(4～3月)'!$D$16:$D$23,'採算表(VND)'!$B74,'内訳ﾘｽﾄ(4～3月)'!O$16:O$23)</f>
        <v>48</v>
      </c>
      <c r="M74" s="162">
        <f>SUMIF('内訳ﾘｽﾄ(4～3月)'!$D$16:$D$23,'採算表(VND)'!$B74,'内訳ﾘｽﾄ(4～3月)'!P$16:P$23)</f>
        <v>38</v>
      </c>
      <c r="N74" s="162">
        <f>SUMIF('内訳ﾘｽﾄ(4～3月)'!$D$16:$D$23,'採算表(VND)'!$B74,'内訳ﾘｽﾄ(4～3月)'!Q$16:Q$23)</f>
        <v>48</v>
      </c>
      <c r="O74" s="162">
        <f>SUMIF('内訳ﾘｽﾄ(4～3月)'!$D$16:$D$23,'採算表(VND)'!$B74,'内訳ﾘｽﾄ(4～3月)'!$R$16:$R$23)</f>
        <v>580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-48</v>
      </c>
      <c r="D75" s="163">
        <f>IF('内訳ﾘｽﾄ(4～3月)'!$D$5="製造",SUMIF('内訳ﾘｽﾄ(4～3月)'!$D$16:$D$23,$B75,'内訳ﾘｽﾄ(4～3月)'!G$16:G$23),IF('内訳ﾘｽﾄ(4～3月)'!$D$5="部内間接",-D$74,0))</f>
        <v>-46</v>
      </c>
      <c r="E75" s="163">
        <f>IF('内訳ﾘｽﾄ(4～3月)'!$D$5="製造",SUMIF('内訳ﾘｽﾄ(4～3月)'!$D$16:$D$23,$B75,'内訳ﾘｽﾄ(4～3月)'!H$16:H$23),IF('内訳ﾘｽﾄ(4～3月)'!$D$5="部内間接",-E$74,0))</f>
        <v>-50</v>
      </c>
      <c r="F75" s="163">
        <f>IF('内訳ﾘｽﾄ(4～3月)'!$D$5="製造",SUMIF('内訳ﾘｽﾄ(4～3月)'!$D$16:$D$23,$B75,'内訳ﾘｽﾄ(4～3月)'!I$16:I$23),IF('内訳ﾘｽﾄ(4～3月)'!$D$5="部内間接",-F$74,0))</f>
        <v>-54</v>
      </c>
      <c r="G75" s="163">
        <f>IF('内訳ﾘｽﾄ(4～3月)'!$D$5="製造",SUMIF('内訳ﾘｽﾄ(4～3月)'!$D$16:$D$23,$B75,'内訳ﾘｽﾄ(4～3月)'!J$16:J$23),IF('内訳ﾘｽﾄ(4～3月)'!$D$5="部内間接",-G$74,0))</f>
        <v>-48</v>
      </c>
      <c r="H75" s="163">
        <f>IF('内訳ﾘｽﾄ(4～3月)'!$D$5="製造",SUMIF('内訳ﾘｽﾄ(4～3月)'!$D$16:$D$23,$B75,'内訳ﾘｽﾄ(4～3月)'!K$16:K$23),IF('内訳ﾘｽﾄ(4～3月)'!$D$5="部内間接",-H$74,0))</f>
        <v>-46</v>
      </c>
      <c r="I75" s="163">
        <f>IF('内訳ﾘｽﾄ(4～3月)'!$D$5="製造",SUMIF('内訳ﾘｽﾄ(4～3月)'!$D$16:$D$23,$B75,'内訳ﾘｽﾄ(4～3月)'!L$16:L$23),IF('内訳ﾘｽﾄ(4～3月)'!$D$5="部内間接",-I$74,0))</f>
        <v>-54</v>
      </c>
      <c r="J75" s="163">
        <f>IF('内訳ﾘｽﾄ(4～3月)'!$D$5="製造",SUMIF('内訳ﾘｽﾄ(4～3月)'!$D$16:$D$23,$B75,'内訳ﾘｽﾄ(4～3月)'!M$16:M$23),IF('内訳ﾘｽﾄ(4～3月)'!$D$5="部内間接",-J$74,0))</f>
        <v>-48</v>
      </c>
      <c r="K75" s="163">
        <f>IF('内訳ﾘｽﾄ(4～3月)'!$D$5="製造",SUMIF('内訳ﾘｽﾄ(4～3月)'!$D$16:$D$23,$B75,'内訳ﾘｽﾄ(4～3月)'!N$16:N$23),IF('内訳ﾘｽﾄ(4～3月)'!$D$5="部内間接",-K$74,0))</f>
        <v>-52</v>
      </c>
      <c r="L75" s="163">
        <f>IF('内訳ﾘｽﾄ(4～3月)'!$D$5="製造",SUMIF('内訳ﾘｽﾄ(4～3月)'!$D$16:$D$23,$B75,'内訳ﾘｽﾄ(4～3月)'!O$16:O$23),IF('内訳ﾘｽﾄ(4～3月)'!$D$5="部内間接",-L$74,0))</f>
        <v>-48</v>
      </c>
      <c r="M75" s="163">
        <f>IF('内訳ﾘｽﾄ(4～3月)'!$D$5="製造",SUMIF('内訳ﾘｽﾄ(4～3月)'!$D$16:$D$23,$B75,'内訳ﾘｽﾄ(4～3月)'!P$16:P$23),IF('内訳ﾘｽﾄ(4～3月)'!$D$5="部内間接",-M$74,0))</f>
        <v>-38</v>
      </c>
      <c r="N75" s="163">
        <f>IF('内訳ﾘｽﾄ(4～3月)'!$D$5="製造",SUMIF('内訳ﾘｽﾄ(4～3月)'!$D$16:$D$23,$B75,'内訳ﾘｽﾄ(4～3月)'!Q$16:Q$23),IF('内訳ﾘｽﾄ(4～3月)'!$D$5="部内間接",-N$74,0))</f>
        <v>-48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-580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8</v>
      </c>
      <c r="D88" s="150">
        <f>SUMIF('内訳ﾘｽﾄ(4～3月)'!$D$24:$D$25,'採算表(VND)'!$B88,'内訳ﾘｽﾄ(4～3月)'!G$24:G$25)</f>
        <v>8</v>
      </c>
      <c r="E88" s="150">
        <f>SUMIF('内訳ﾘｽﾄ(4～3月)'!$D$24:$D$25,'採算表(VND)'!$B88,'内訳ﾘｽﾄ(4～3月)'!H$24:H$25)</f>
        <v>8</v>
      </c>
      <c r="F88" s="150">
        <f>SUMIF('内訳ﾘｽﾄ(4～3月)'!$D$24:$D$25,'採算表(VND)'!$B88,'内訳ﾘｽﾄ(4～3月)'!I$24:I$25)</f>
        <v>8</v>
      </c>
      <c r="G88" s="150">
        <f>SUMIF('内訳ﾘｽﾄ(4～3月)'!$D$24:$D$25,'採算表(VND)'!$B88,'内訳ﾘｽﾄ(4～3月)'!J$24:J$25)</f>
        <v>8</v>
      </c>
      <c r="H88" s="150">
        <f>SUMIF('内訳ﾘｽﾄ(4～3月)'!$D$24:$D$25,'採算表(VND)'!$B88,'内訳ﾘｽﾄ(4～3月)'!K$24:K$25)</f>
        <v>8</v>
      </c>
      <c r="I88" s="150">
        <f>SUMIF('内訳ﾘｽﾄ(4～3月)'!$D$24:$D$25,'採算表(VND)'!$B88,'内訳ﾘｽﾄ(4～3月)'!L$24:L$25)</f>
        <v>9</v>
      </c>
      <c r="J88" s="150">
        <f>SUMIF('内訳ﾘｽﾄ(4～3月)'!$D$24:$D$25,'採算表(VND)'!$B88,'内訳ﾘｽﾄ(4～3月)'!M$24:M$25)</f>
        <v>9</v>
      </c>
      <c r="K88" s="150">
        <f>SUMIF('内訳ﾘｽﾄ(4～3月)'!$D$24:$D$25,'採算表(VND)'!$B88,'内訳ﾘｽﾄ(4～3月)'!N$24:N$25)</f>
        <v>9</v>
      </c>
      <c r="L88" s="150">
        <f>SUMIF('内訳ﾘｽﾄ(4～3月)'!$D$24:$D$25,'採算表(VND)'!$B88,'内訳ﾘｽﾄ(4～3月)'!O$24:O$25)</f>
        <v>9</v>
      </c>
      <c r="M88" s="150">
        <f>SUMIF('内訳ﾘｽﾄ(4～3月)'!$D$24:$D$25,'採算表(VND)'!$B88,'内訳ﾘｽﾄ(4～3月)'!P$24:P$25)</f>
        <v>9</v>
      </c>
      <c r="N88" s="150">
        <f>SUMIF('内訳ﾘｽﾄ(4～3月)'!$D$24:$D$25,'採算表(VND)'!$B88,'内訳ﾘｽﾄ(4～3月)'!Q$24:Q$25)</f>
        <v>9</v>
      </c>
      <c r="O88" s="150">
        <f>SUMIF('内訳ﾘｽﾄ(4～3月)'!$D$24:$D$25,'採算表(VND)'!$B88,'内訳ﾘｽﾄ(4～3月)'!R$24:R$25)</f>
        <v>9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8</v>
      </c>
      <c r="D89" s="151">
        <f t="shared" si="10"/>
        <v>8</v>
      </c>
      <c r="E89" s="151">
        <f t="shared" si="10"/>
        <v>8</v>
      </c>
      <c r="F89" s="151">
        <f t="shared" si="10"/>
        <v>8</v>
      </c>
      <c r="G89" s="151">
        <f t="shared" si="10"/>
        <v>8</v>
      </c>
      <c r="H89" s="151">
        <f t="shared" si="10"/>
        <v>8</v>
      </c>
      <c r="I89" s="151">
        <f t="shared" si="10"/>
        <v>9</v>
      </c>
      <c r="J89" s="151">
        <f t="shared" si="10"/>
        <v>9</v>
      </c>
      <c r="K89" s="151">
        <f t="shared" si="10"/>
        <v>9</v>
      </c>
      <c r="L89" s="151">
        <f t="shared" si="10"/>
        <v>9</v>
      </c>
      <c r="M89" s="151">
        <f t="shared" si="10"/>
        <v>9</v>
      </c>
      <c r="N89" s="151">
        <f t="shared" si="10"/>
        <v>9</v>
      </c>
      <c r="O89" s="151">
        <f>O87+O88</f>
        <v>9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1293</v>
      </c>
      <c r="D93" s="161">
        <f>SUMIF('内訳ﾘｽﾄ(4～3月)'!$B$8:$B$15,$B93,'内訳ﾘｽﾄ(4～3月)'!G$8:G$15)</f>
        <v>1227</v>
      </c>
      <c r="E93" s="161">
        <f>SUMIF('内訳ﾘｽﾄ(4～3月)'!$B$8:$B$15,$B93,'内訳ﾘｽﾄ(4～3月)'!H$8:H$15)</f>
        <v>1357</v>
      </c>
      <c r="F93" s="161">
        <f>SUMIF('内訳ﾘｽﾄ(4～3月)'!$B$8:$B$15,$B93,'内訳ﾘｽﾄ(4～3月)'!I$8:I$15)</f>
        <v>1486</v>
      </c>
      <c r="G93" s="161">
        <f>SUMIF('内訳ﾘｽﾄ(4～3月)'!$B$8:$B$15,$B93,'内訳ﾘｽﾄ(4～3月)'!J$8:J$15)</f>
        <v>1293</v>
      </c>
      <c r="H93" s="161">
        <f>SUMIF('内訳ﾘｽﾄ(4～3月)'!$B$8:$B$15,$B93,'内訳ﾘｽﾄ(4～3月)'!K$8:K$15)</f>
        <v>1227</v>
      </c>
      <c r="I93" s="161">
        <f>SUMIF('内訳ﾘｽﾄ(4～3月)'!$B$8:$B$15,$B93,'内訳ﾘｽﾄ(4～3月)'!L$8:L$15)</f>
        <v>1671</v>
      </c>
      <c r="J93" s="161">
        <f>SUMIF('内訳ﾘｽﾄ(4～3月)'!$B$8:$B$15,$B93,'内訳ﾘｽﾄ(4～3月)'!M$8:M$15)</f>
        <v>1454</v>
      </c>
      <c r="K93" s="161">
        <f>SUMIF('内訳ﾘｽﾄ(4～3月)'!$B$8:$B$15,$B93,'内訳ﾘｽﾄ(4～3月)'!N$8:N$15)</f>
        <v>1599</v>
      </c>
      <c r="L93" s="161">
        <f>SUMIF('内訳ﾘｽﾄ(4～3月)'!$B$8:$B$15,$B93,'内訳ﾘｽﾄ(4～3月)'!O$8:O$15)</f>
        <v>1454</v>
      </c>
      <c r="M93" s="161">
        <f>SUMIF('内訳ﾘｽﾄ(4～3月)'!$B$8:$B$15,$B93,'内訳ﾘｽﾄ(4～3月)'!P$8:P$15)</f>
        <v>1090</v>
      </c>
      <c r="N93" s="161">
        <f>SUMIF('内訳ﾘｽﾄ(4～3月)'!$B$8:$B$15,$B93,'内訳ﾘｽﾄ(4～3月)'!Q$8:Q$15)</f>
        <v>1454</v>
      </c>
      <c r="O93" s="161">
        <f>SUMIF('内訳ﾘｽﾄ(4～3月)'!$B$8:$B$15,$B93,'内訳ﾘｽﾄ(4～3月)'!R$8:R$15)</f>
        <v>16605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1293</v>
      </c>
      <c r="D94" s="169">
        <f t="shared" si="11"/>
        <v>1227</v>
      </c>
      <c r="E94" s="169">
        <f t="shared" si="11"/>
        <v>1357</v>
      </c>
      <c r="F94" s="169">
        <f t="shared" si="11"/>
        <v>1486</v>
      </c>
      <c r="G94" s="169">
        <f t="shared" si="11"/>
        <v>1293</v>
      </c>
      <c r="H94" s="169">
        <f t="shared" si="11"/>
        <v>1227</v>
      </c>
      <c r="I94" s="169">
        <f t="shared" si="11"/>
        <v>1671</v>
      </c>
      <c r="J94" s="169">
        <f t="shared" si="11"/>
        <v>1454</v>
      </c>
      <c r="K94" s="169">
        <f t="shared" si="11"/>
        <v>1599</v>
      </c>
      <c r="L94" s="169">
        <f t="shared" si="11"/>
        <v>1454</v>
      </c>
      <c r="M94" s="169">
        <f t="shared" si="11"/>
        <v>1090</v>
      </c>
      <c r="N94" s="169">
        <f t="shared" si="11"/>
        <v>1454</v>
      </c>
      <c r="O94" s="169">
        <f>O92+O93</f>
        <v>16605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48</v>
      </c>
      <c r="D98" s="161">
        <f>SUMIF('内訳ﾘｽﾄ(4～3月)'!$B$16:$B$23,$B98,'内訳ﾘｽﾄ(4～3月)'!G$16:G$23)</f>
        <v>46</v>
      </c>
      <c r="E98" s="161">
        <f>SUMIF('内訳ﾘｽﾄ(4～3月)'!$B$16:$B$23,$B98,'内訳ﾘｽﾄ(4～3月)'!H$16:H$23)</f>
        <v>50</v>
      </c>
      <c r="F98" s="161">
        <f>SUMIF('内訳ﾘｽﾄ(4～3月)'!$B$16:$B$23,$B98,'内訳ﾘｽﾄ(4～3月)'!I$16:I$23)</f>
        <v>54</v>
      </c>
      <c r="G98" s="161">
        <f>SUMIF('内訳ﾘｽﾄ(4～3月)'!$B$16:$B$23,$B98,'内訳ﾘｽﾄ(4～3月)'!J$16:J$23)</f>
        <v>48</v>
      </c>
      <c r="H98" s="161">
        <f>SUMIF('内訳ﾘｽﾄ(4～3月)'!$B$16:$B$23,$B98,'内訳ﾘｽﾄ(4～3月)'!K$16:K$23)</f>
        <v>46</v>
      </c>
      <c r="I98" s="161">
        <f>SUMIF('内訳ﾘｽﾄ(4～3月)'!$B$16:$B$23,$B98,'内訳ﾘｽﾄ(4～3月)'!L$16:L$23)</f>
        <v>54</v>
      </c>
      <c r="J98" s="161">
        <f>SUMIF('内訳ﾘｽﾄ(4～3月)'!$B$16:$B$23,$B98,'内訳ﾘｽﾄ(4～3月)'!M$16:M$23)</f>
        <v>48</v>
      </c>
      <c r="K98" s="161">
        <f>SUMIF('内訳ﾘｽﾄ(4～3月)'!$B$16:$B$23,$B98,'内訳ﾘｽﾄ(4～3月)'!N$16:N$23)</f>
        <v>52</v>
      </c>
      <c r="L98" s="161">
        <f>SUMIF('内訳ﾘｽﾄ(4～3月)'!$B$16:$B$23,$B98,'内訳ﾘｽﾄ(4～3月)'!O$16:O$23)</f>
        <v>48</v>
      </c>
      <c r="M98" s="161">
        <f>SUMIF('内訳ﾘｽﾄ(4～3月)'!$B$16:$B$23,$B98,'内訳ﾘｽﾄ(4～3月)'!P$16:P$23)</f>
        <v>38</v>
      </c>
      <c r="N98" s="161">
        <f>SUMIF('内訳ﾘｽﾄ(4～3月)'!$B$16:$B$23,$B98,'内訳ﾘｽﾄ(4～3月)'!Q$16:Q$23)</f>
        <v>48</v>
      </c>
      <c r="O98" s="161">
        <f>SUMIF('内訳ﾘｽﾄ(4～3月)'!$B$16:$B$23,$B98,'内訳ﾘｽﾄ(4～3月)'!R$16:R$23)</f>
        <v>580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48</v>
      </c>
      <c r="D99" s="169">
        <f t="shared" si="12"/>
        <v>46</v>
      </c>
      <c r="E99" s="169">
        <f t="shared" si="12"/>
        <v>50</v>
      </c>
      <c r="F99" s="169">
        <f t="shared" si="12"/>
        <v>54</v>
      </c>
      <c r="G99" s="169">
        <f t="shared" si="12"/>
        <v>48</v>
      </c>
      <c r="H99" s="169">
        <f t="shared" si="12"/>
        <v>46</v>
      </c>
      <c r="I99" s="169">
        <f t="shared" si="12"/>
        <v>54</v>
      </c>
      <c r="J99" s="169">
        <f t="shared" si="12"/>
        <v>48</v>
      </c>
      <c r="K99" s="169">
        <f t="shared" si="12"/>
        <v>52</v>
      </c>
      <c r="L99" s="169">
        <f t="shared" si="12"/>
        <v>48</v>
      </c>
      <c r="M99" s="169">
        <f t="shared" si="12"/>
        <v>38</v>
      </c>
      <c r="N99" s="169">
        <f t="shared" si="12"/>
        <v>48</v>
      </c>
      <c r="O99" s="169">
        <f>O97+O98</f>
        <v>580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01"/>
  <sheetViews>
    <sheetView tabSelected="1" zoomScaleNormal="100" workbookViewId="0">
      <pane xSplit="4" ySplit="7" topLeftCell="L40" activePane="bottomRight" state="frozen"/>
      <selection pane="topRight" activeCell="E1" sqref="E1"/>
      <selection pane="bottomLeft" activeCell="A8" sqref="A8"/>
      <selection pane="bottomRight" activeCell="O51" sqref="O51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hidden="1" customWidth="1"/>
    <col min="7" max="9" width="11.625" style="125" hidden="1" customWidth="1"/>
    <col min="10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671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1001),0)-ROUND((F26:F1001)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1001),0)-ROUND((G26:G1001)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1001),0)-ROUND((H26:H1001)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1001),0)-ROUND((I26:I1001)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1001),0)-ROUND((J26:J1001)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1001),0)-ROUND((K26:K1001)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1001),0)-ROUND((L26:L1001)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1001),0)-ROUND((M26:M1001)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1001),0)-ROUND((N26:N1001)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1001),0)-ROUND((O26:O1001)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1001),0)-ROUND((P26:P1001)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1001),0)-ROUND((Q26:Q1001)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589</v>
      </c>
      <c r="T4" s="102"/>
    </row>
    <row r="5" spans="1:55" ht="14.25" thickBot="1">
      <c r="B5" s="174">
        <v>1412000075</v>
      </c>
      <c r="C5" s="7" t="str">
        <f>VLOOKUP($B$5,原価センタ!$A:$E,2,0)</f>
        <v>工程品質管理4課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SUM(F29:F1001)</f>
        <v>17781227</v>
      </c>
      <c r="G5" s="252">
        <f t="shared" si="0"/>
        <v>27686851</v>
      </c>
      <c r="H5" s="252">
        <f t="shared" si="0"/>
        <v>14644783</v>
      </c>
      <c r="I5" s="252">
        <f t="shared" si="0"/>
        <v>14051263</v>
      </c>
      <c r="J5" s="252">
        <f t="shared" si="0"/>
        <v>13291492</v>
      </c>
      <c r="K5" s="252">
        <f t="shared" si="0"/>
        <v>14482693</v>
      </c>
      <c r="L5" s="252">
        <f t="shared" si="0"/>
        <v>31422549</v>
      </c>
      <c r="M5" s="252">
        <f t="shared" si="0"/>
        <v>14306498</v>
      </c>
      <c r="N5" s="252">
        <f t="shared" si="0"/>
        <v>32368721</v>
      </c>
      <c r="O5" s="252">
        <f t="shared" si="0"/>
        <v>13054494</v>
      </c>
      <c r="P5" s="252">
        <f t="shared" si="0"/>
        <v>13220804</v>
      </c>
      <c r="Q5" s="252">
        <f t="shared" si="0"/>
        <v>15270583</v>
      </c>
      <c r="R5" s="253">
        <f t="shared" si="0"/>
        <v>221581958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640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v>1293</v>
      </c>
      <c r="G9" s="194">
        <v>1227</v>
      </c>
      <c r="H9" s="194">
        <v>1357</v>
      </c>
      <c r="I9" s="194">
        <v>1486</v>
      </c>
      <c r="J9" s="194">
        <v>1293</v>
      </c>
      <c r="K9" s="194">
        <v>1227</v>
      </c>
      <c r="L9" s="194">
        <v>1671</v>
      </c>
      <c r="M9" s="194">
        <v>1454</v>
      </c>
      <c r="N9" s="194">
        <v>1599</v>
      </c>
      <c r="O9" s="194">
        <v>1454</v>
      </c>
      <c r="P9" s="194">
        <v>1090</v>
      </c>
      <c r="Q9" s="194">
        <v>1454</v>
      </c>
      <c r="R9" s="195">
        <f t="shared" ref="R9:R23" si="1">SUM(F9:Q9)</f>
        <v>16605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690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690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690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690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48</v>
      </c>
      <c r="G17" s="194">
        <v>46</v>
      </c>
      <c r="H17" s="194">
        <v>50</v>
      </c>
      <c r="I17" s="194">
        <v>54</v>
      </c>
      <c r="J17" s="194">
        <v>48</v>
      </c>
      <c r="K17" s="194">
        <v>46</v>
      </c>
      <c r="L17" s="194">
        <v>54</v>
      </c>
      <c r="M17" s="194">
        <v>48</v>
      </c>
      <c r="N17" s="194">
        <v>52</v>
      </c>
      <c r="O17" s="194">
        <v>48</v>
      </c>
      <c r="P17" s="194">
        <v>38</v>
      </c>
      <c r="Q17" s="194">
        <v>48</v>
      </c>
      <c r="R17" s="205">
        <f>SUM(F17:Q17)</f>
        <v>580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690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690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690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690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8</v>
      </c>
      <c r="G25" s="271">
        <v>8</v>
      </c>
      <c r="H25" s="271">
        <v>8</v>
      </c>
      <c r="I25" s="271">
        <v>8</v>
      </c>
      <c r="J25" s="271">
        <v>8</v>
      </c>
      <c r="K25" s="271">
        <v>8</v>
      </c>
      <c r="L25" s="271">
        <v>9</v>
      </c>
      <c r="M25" s="271">
        <v>9</v>
      </c>
      <c r="N25" s="271">
        <v>9</v>
      </c>
      <c r="O25" s="271">
        <v>9</v>
      </c>
      <c r="P25" s="271">
        <v>9</v>
      </c>
      <c r="Q25" s="271">
        <v>9</v>
      </c>
      <c r="R25" s="272">
        <f>Q25</f>
        <v>9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1">
        <f t="shared" ref="R26:R89" si="2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1">
        <f t="shared" si="2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21">
        <f t="shared" si="2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6">
        <f t="shared" si="2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2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2"/>
        <v>0</v>
      </c>
      <c r="S31" s="201" t="s">
        <v>690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2"/>
        <v>0</v>
      </c>
      <c r="S32" s="201" t="s">
        <v>690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2"/>
        <v>0</v>
      </c>
      <c r="S33" s="201" t="s">
        <v>690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2"/>
        <v>0</v>
      </c>
      <c r="S34" s="201" t="s">
        <v>690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2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2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2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9114120018</v>
      </c>
      <c r="C38" s="183" t="str">
        <f>IFERROR(IF(VLOOKUP($B38,勘定科目!$A:$H,HLOOKUP($E$5,勘定科目!$F$1:$H$2,2,0),0)="","",VLOOKUP($B38,勘定科目!$A:$E,2,0)),"")</f>
        <v>部内間接経費</v>
      </c>
      <c r="D38" s="239" t="str">
        <f>IF(C38="","",VLOOKUP($B38,勘定科目!$A:$E,4,0))</f>
        <v>部内間接経費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2"/>
        <v>0</v>
      </c>
      <c r="S38" s="201"/>
      <c r="T38" s="202"/>
      <c r="U38" s="246"/>
      <c r="V38" s="246"/>
      <c r="W38" s="246"/>
      <c r="BA38"/>
      <c r="BB38"/>
    </row>
    <row r="39" spans="1:54" s="191" customFormat="1" ht="13.5">
      <c r="A39" s="226"/>
      <c r="B39" s="180"/>
      <c r="C39" s="183" t="str">
        <f>IFERROR(IF(VLOOKUP($B39,勘定科目!$A:$H,HLOOKUP($E$5,勘定科目!$F$1:$H$2,2,0),0)="","",VLOOKUP($B39,勘定科目!$A:$E,2,0)),"")</f>
        <v/>
      </c>
      <c r="D39" s="239" t="str">
        <f>IF(C39="","",VLOOKUP($B39,勘定科目!$A:$E,4,0))</f>
        <v/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2"/>
        <v>0</v>
      </c>
      <c r="S39" s="201"/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5005136281</v>
      </c>
      <c r="C40" s="183" t="str">
        <f>IFERROR(IF(VLOOKUP($B40,勘定科目!$A:$H,HLOOKUP($E$5,勘定科目!$F$1:$H$2,2,0),0)="","",VLOOKUP($B40,勘定科目!$A:$E,2,0)),"")</f>
        <v>通信費（製）</v>
      </c>
      <c r="D40" s="239" t="str">
        <f>IF(C40="","",VLOOKUP($B40,勘定科目!$A:$E,4,0))</f>
        <v>通信費</v>
      </c>
      <c r="E40" s="245"/>
      <c r="F40" s="194">
        <f>3*99000</f>
        <v>297000</v>
      </c>
      <c r="G40" s="194">
        <f t="shared" ref="G40:Q40" si="3">3*99000</f>
        <v>297000</v>
      </c>
      <c r="H40" s="194">
        <f t="shared" si="3"/>
        <v>297000</v>
      </c>
      <c r="I40" s="194">
        <f t="shared" si="3"/>
        <v>297000</v>
      </c>
      <c r="J40" s="194">
        <f t="shared" si="3"/>
        <v>297000</v>
      </c>
      <c r="K40" s="194">
        <f t="shared" si="3"/>
        <v>297000</v>
      </c>
      <c r="L40" s="194">
        <f t="shared" si="3"/>
        <v>297000</v>
      </c>
      <c r="M40" s="194">
        <f t="shared" si="3"/>
        <v>297000</v>
      </c>
      <c r="N40" s="194">
        <f t="shared" si="3"/>
        <v>297000</v>
      </c>
      <c r="O40" s="194">
        <f t="shared" si="3"/>
        <v>297000</v>
      </c>
      <c r="P40" s="194">
        <f t="shared" si="3"/>
        <v>297000</v>
      </c>
      <c r="Q40" s="194">
        <f t="shared" si="3"/>
        <v>297000</v>
      </c>
      <c r="R40" s="200">
        <f t="shared" si="2"/>
        <v>3564000</v>
      </c>
      <c r="S40" s="300" t="s">
        <v>716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5005136281</v>
      </c>
      <c r="C41" s="183" t="str">
        <f>IFERROR(IF(VLOOKUP($B41,勘定科目!$A:$H,HLOOKUP($E$5,勘定科目!$F$1:$H$2,2,0),0)="","",VLOOKUP($B41,勘定科目!$A:$E,2,0)),"")</f>
        <v>通信費（製）</v>
      </c>
      <c r="D41" s="239" t="str">
        <f>IF(C41="","",VLOOKUP($B41,勘定科目!$A:$E,4,0))</f>
        <v>通信費</v>
      </c>
      <c r="E41" s="245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200">
        <f t="shared" si="2"/>
        <v>0</v>
      </c>
      <c r="S41" s="300"/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5005246282</v>
      </c>
      <c r="C42" s="183" t="str">
        <f>IFERROR(IF(VLOOKUP($B42,勘定科目!$A:$H,HLOOKUP($E$5,勘定科目!$F$1:$H$2,2,0),0)="","",VLOOKUP($B42,勘定科目!$A:$E,2,0)),"")</f>
        <v>ＫＤＣシステム使用料（製）</v>
      </c>
      <c r="D42" s="239" t="str">
        <f>IF(C42="","",VLOOKUP($B42,勘定科目!$A:$E,4,0))</f>
        <v>図書及び事務費</v>
      </c>
      <c r="E42" s="245"/>
      <c r="F42" s="194">
        <v>4378505</v>
      </c>
      <c r="G42" s="194">
        <v>4378505</v>
      </c>
      <c r="H42" s="194">
        <v>4378505</v>
      </c>
      <c r="I42" s="194">
        <v>4378505</v>
      </c>
      <c r="J42" s="194">
        <v>4378505</v>
      </c>
      <c r="K42" s="194">
        <v>4378505</v>
      </c>
      <c r="L42" s="194">
        <v>4378505</v>
      </c>
      <c r="M42" s="194">
        <f>ROUND((80.77+11.46*(8+1))*25390,0)</f>
        <v>4669475</v>
      </c>
      <c r="N42" s="194">
        <f t="shared" ref="N42:Q42" si="4">ROUND((80.77+11.46*(8+1))*25390,0)</f>
        <v>4669475</v>
      </c>
      <c r="O42" s="194">
        <f t="shared" si="4"/>
        <v>4669475</v>
      </c>
      <c r="P42" s="194">
        <f t="shared" si="4"/>
        <v>4669475</v>
      </c>
      <c r="Q42" s="194">
        <f t="shared" si="4"/>
        <v>4669475</v>
      </c>
      <c r="R42" s="200">
        <f t="shared" si="2"/>
        <v>53996910</v>
      </c>
      <c r="S42" s="300" t="s">
        <v>718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5005246283</v>
      </c>
      <c r="C43" s="183" t="str">
        <f>IFERROR(IF(VLOOKUP($B43,勘定科目!$A:$H,HLOOKUP($E$5,勘定科目!$F$1:$H$2,2,0),0)="","",VLOOKUP($B43,勘定科目!$A:$E,2,0)),"")</f>
        <v>ライセンス料（製）</v>
      </c>
      <c r="D43" s="239" t="str">
        <f>IF(C43="","",VLOOKUP($B43,勘定科目!$A:$E,4,0))</f>
        <v>図書及び事務費</v>
      </c>
      <c r="E43" s="245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200">
        <f t="shared" si="2"/>
        <v>0</v>
      </c>
      <c r="S43" s="300"/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5006016260</v>
      </c>
      <c r="C44" s="183" t="str">
        <f>IFERROR(IF(VLOOKUP($B44,勘定科目!$A:$H,HLOOKUP($E$5,勘定科目!$F$1:$H$2,2,0),0)="","",VLOOKUP($B44,勘定科目!$A:$E,2,0)),"")</f>
        <v>減価償却費配賦（製）　建物</v>
      </c>
      <c r="D44" s="239" t="str">
        <f>IF(C44="","",VLOOKUP($B44,勘定科目!$A:$E,4,0))</f>
        <v>減価償却費</v>
      </c>
      <c r="E44" s="245"/>
      <c r="F44" s="194">
        <f>ROUND(67.67*25390,0)</f>
        <v>1718141</v>
      </c>
      <c r="G44" s="194">
        <f>ROUND(68.2*25390,0)</f>
        <v>1731598</v>
      </c>
      <c r="H44" s="194">
        <f>ROUND(69.58*25390,0)</f>
        <v>1766636</v>
      </c>
      <c r="I44" s="194">
        <f>ROUND(66.09*25390,0)</f>
        <v>1678025</v>
      </c>
      <c r="J44" s="194">
        <f>ROUND(65.2*25390,0)</f>
        <v>1655428</v>
      </c>
      <c r="K44" s="194">
        <f>ROUND(65.52*25390,0)</f>
        <v>1663553</v>
      </c>
      <c r="L44" s="194">
        <f>ROUND(72.96*25390,0)</f>
        <v>1852454</v>
      </c>
      <c r="M44" s="194">
        <f>ROUND(72.08*25390,0)</f>
        <v>1830111</v>
      </c>
      <c r="N44" s="194">
        <f>ROUND(72.54*25390,0)</f>
        <v>1841791</v>
      </c>
      <c r="O44" s="194">
        <f>ROUND(70.87*25390,0)</f>
        <v>1799389</v>
      </c>
      <c r="P44" s="194">
        <f>ROUND(69.22*25390,0)</f>
        <v>1757496</v>
      </c>
      <c r="Q44" s="194">
        <f>ROUND(71.32*25390,0)</f>
        <v>1810815</v>
      </c>
      <c r="R44" s="200">
        <f t="shared" si="2"/>
        <v>21105437</v>
      </c>
      <c r="S44" s="300" t="s">
        <v>720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5006016261</v>
      </c>
      <c r="C45" s="183" t="str">
        <f>IFERROR(IF(VLOOKUP($B45,勘定科目!$A:$H,HLOOKUP($E$5,勘定科目!$F$1:$H$2,2,0),0)="","",VLOOKUP($B45,勘定科目!$A:$E,2,0)),"")</f>
        <v>減価償却費配賦（製）　土地使用権</v>
      </c>
      <c r="D45" s="239" t="str">
        <f>IF(C45="","",VLOOKUP($B45,勘定科目!$A:$E,4,0))</f>
        <v>減価償却費</v>
      </c>
      <c r="E45" s="245"/>
      <c r="F45" s="194">
        <f>ROUND(4.57*25390,0)</f>
        <v>116032</v>
      </c>
      <c r="G45" s="194">
        <f>ROUND(4.6*25390,0)</f>
        <v>116794</v>
      </c>
      <c r="H45" s="194">
        <f>ROUND(4.7*25390,0)</f>
        <v>119333</v>
      </c>
      <c r="I45" s="194">
        <f>ROUND(4.46*25390,0)</f>
        <v>113239</v>
      </c>
      <c r="J45" s="194">
        <f>ROUND(4.4*25390,0)</f>
        <v>111716</v>
      </c>
      <c r="K45" s="194">
        <f>ROUND(4.42*25390,0)</f>
        <v>112224</v>
      </c>
      <c r="L45" s="194">
        <f>ROUND(4.92*25390,0)</f>
        <v>124919</v>
      </c>
      <c r="M45" s="194">
        <f>ROUND(4.87*25390,0)</f>
        <v>123649</v>
      </c>
      <c r="N45" s="194">
        <f>ROUND(4.9*25390,0)</f>
        <v>124411</v>
      </c>
      <c r="O45" s="194">
        <f>ROUND(4.78*25390,0)</f>
        <v>121364</v>
      </c>
      <c r="P45" s="194">
        <f>ROUND(4.67*25390,0)</f>
        <v>118571</v>
      </c>
      <c r="Q45" s="194">
        <f>ROUND(4.81*25390,0)</f>
        <v>122126</v>
      </c>
      <c r="R45" s="200">
        <f t="shared" si="2"/>
        <v>1424378</v>
      </c>
      <c r="S45" s="300" t="s">
        <v>721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9114120007</v>
      </c>
      <c r="C46" s="183" t="str">
        <f>IFERROR(IF(VLOOKUP($B46,勘定科目!$A:$H,HLOOKUP($E$5,勘定科目!$F$1:$H$2,2,0),0)="","",VLOOKUP($B46,勘定科目!$A:$E,2,0)),"")</f>
        <v>社内金利（固定資産）</v>
      </c>
      <c r="D46" s="239" t="str">
        <f>IF(C46="","",VLOOKUP($B46,勘定科目!$A:$E,4,0))</f>
        <v>固定資産金利</v>
      </c>
      <c r="E46" s="245"/>
      <c r="F46" s="194">
        <f>ROUND(45.93*25390,0)</f>
        <v>1166163</v>
      </c>
      <c r="G46" s="194">
        <f>ROUND(43.84*25390,0)</f>
        <v>1113098</v>
      </c>
      <c r="H46" s="194">
        <f>ROUND(44.73*25390,0)</f>
        <v>1135695</v>
      </c>
      <c r="I46" s="194">
        <f>ROUND(42.48*25390,0)</f>
        <v>1078567</v>
      </c>
      <c r="J46" s="194">
        <f>ROUND(41.91*25390,0)</f>
        <v>1064095</v>
      </c>
      <c r="K46" s="194">
        <f>ROUND(42.12*25390,0)</f>
        <v>1069427</v>
      </c>
      <c r="L46" s="194">
        <f>ROUND(46.9*25390,0)</f>
        <v>1190791</v>
      </c>
      <c r="M46" s="194">
        <f>ROUND(46.33*25390,0)</f>
        <v>1176319</v>
      </c>
      <c r="N46" s="194">
        <f>ROUND(46.63*25390,0)</f>
        <v>1183936</v>
      </c>
      <c r="O46" s="194">
        <f>ROUND(45.55*25390,0)</f>
        <v>1156515</v>
      </c>
      <c r="P46" s="194">
        <f>ROUND(44.49*25390,0)</f>
        <v>1129601</v>
      </c>
      <c r="Q46" s="194">
        <f>ROUND(45.85*25390,0)</f>
        <v>1164132</v>
      </c>
      <c r="R46" s="200">
        <f t="shared" si="2"/>
        <v>13628339</v>
      </c>
      <c r="S46" s="300" t="s">
        <v>722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9114120007</v>
      </c>
      <c r="C47" s="183" t="str">
        <f>IFERROR(IF(VLOOKUP($B47,勘定科目!$A:$H,HLOOKUP($E$5,勘定科目!$F$1:$H$2,2,0),0)="","",VLOOKUP($B47,勘定科目!$A:$E,2,0)),"")</f>
        <v>社内金利（固定資産）</v>
      </c>
      <c r="D47" s="239" t="str">
        <f>IF(C47="","",VLOOKUP($B47,勘定科目!$A:$E,4,0))</f>
        <v>固定資産金利</v>
      </c>
      <c r="E47" s="245"/>
      <c r="F47" s="194">
        <f>ROUND(5.68*25390,0)</f>
        <v>144215</v>
      </c>
      <c r="G47" s="194">
        <f>ROUND(5.56*25390,0)</f>
        <v>141168</v>
      </c>
      <c r="H47" s="194">
        <f>ROUND(5.67*25390,0)</f>
        <v>143961</v>
      </c>
      <c r="I47" s="194">
        <f>ROUND(5.39*25390,0)</f>
        <v>136852</v>
      </c>
      <c r="J47" s="194">
        <f>ROUND(5.31*25390,0)</f>
        <v>134821</v>
      </c>
      <c r="K47" s="194">
        <f>ROUND(5.34*25390,0)</f>
        <v>135583</v>
      </c>
      <c r="L47" s="194">
        <f>ROUND(5.95*25390,0)</f>
        <v>151071</v>
      </c>
      <c r="M47" s="194">
        <f>ROUND(5.87*25390,0)</f>
        <v>149039</v>
      </c>
      <c r="N47" s="194">
        <f>ROUND(5.91*25390,0)</f>
        <v>150055</v>
      </c>
      <c r="O47" s="194">
        <f>ROUND(5.78*25390,0)</f>
        <v>146754</v>
      </c>
      <c r="P47" s="194">
        <f>ROUND(5.64*25390,0)</f>
        <v>143200</v>
      </c>
      <c r="Q47" s="194">
        <f>ROUND(5.81*25390,0)</f>
        <v>147516</v>
      </c>
      <c r="R47" s="200">
        <f t="shared" si="2"/>
        <v>1724235</v>
      </c>
      <c r="S47" s="300" t="s">
        <v>723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5005066281</v>
      </c>
      <c r="C48" s="183" t="str">
        <f>IFERROR(IF(VLOOKUP($B48,勘定科目!$A:$H,HLOOKUP($E$5,勘定科目!$F$1:$H$2,2,0),0)="","",VLOOKUP($B48,勘定科目!$A:$E,2,0)),"")</f>
        <v>電気代（製）</v>
      </c>
      <c r="D48" s="239" t="str">
        <f>IF(C48="","",VLOOKUP($B48,勘定科目!$A:$E,4,0))</f>
        <v>水道光熱費</v>
      </c>
      <c r="E48" s="245"/>
      <c r="F48" s="194">
        <v>1834716</v>
      </c>
      <c r="G48" s="194">
        <v>1879473</v>
      </c>
      <c r="H48" s="194">
        <v>2356039</v>
      </c>
      <c r="I48" s="194">
        <v>2537273</v>
      </c>
      <c r="J48" s="194">
        <v>2627890</v>
      </c>
      <c r="K48" s="194">
        <v>2410409</v>
      </c>
      <c r="L48" s="194">
        <v>2446656</v>
      </c>
      <c r="M48" s="194">
        <v>2174805</v>
      </c>
      <c r="N48" s="194">
        <v>2084189</v>
      </c>
      <c r="O48" s="194">
        <v>1812338</v>
      </c>
      <c r="P48" s="194">
        <v>1812338</v>
      </c>
      <c r="Q48" s="194">
        <v>1449870</v>
      </c>
      <c r="R48" s="200">
        <f t="shared" si="2"/>
        <v>25425996</v>
      </c>
      <c r="S48" s="300" t="s">
        <v>714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5005066282</v>
      </c>
      <c r="C49" s="183" t="str">
        <f>IFERROR(IF(VLOOKUP($B49,勘定科目!$A:$H,HLOOKUP($E$5,勘定科目!$F$1:$H$2,2,0),0)="","",VLOOKUP($B49,勘定科目!$A:$E,2,0)),"")</f>
        <v>水道代（製）</v>
      </c>
      <c r="D49" s="239" t="str">
        <f>IF(C49="","",VLOOKUP($B49,勘定科目!$A:$E,4,0))</f>
        <v>水道光熱費</v>
      </c>
      <c r="E49" s="245"/>
      <c r="F49" s="194">
        <v>232505</v>
      </c>
      <c r="G49" s="194">
        <v>256956</v>
      </c>
      <c r="H49" s="194">
        <v>290217</v>
      </c>
      <c r="I49" s="194">
        <v>414451</v>
      </c>
      <c r="J49" s="194">
        <v>371199</v>
      </c>
      <c r="K49" s="194">
        <v>322087</v>
      </c>
      <c r="L49" s="194">
        <v>248218</v>
      </c>
      <c r="M49" s="194">
        <v>345738</v>
      </c>
      <c r="N49" s="194">
        <v>345303</v>
      </c>
      <c r="O49" s="194">
        <v>234148</v>
      </c>
      <c r="P49" s="194">
        <v>175579</v>
      </c>
      <c r="Q49" s="194">
        <v>204003</v>
      </c>
      <c r="R49" s="200">
        <f t="shared" si="2"/>
        <v>3440404</v>
      </c>
      <c r="S49" s="300" t="s">
        <v>715</v>
      </c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5005056281</v>
      </c>
      <c r="C50" s="183" t="str">
        <f>IFERROR(IF(VLOOKUP($B50,勘定科目!$A:$H,HLOOKUP($E$5,勘定科目!$F$1:$H$2,2,0),0)="","",VLOOKUP($B50,勘定科目!$A:$E,2,0)),"")</f>
        <v>ガス代（製）</v>
      </c>
      <c r="D50" s="239" t="str">
        <f>IF(C50="","",VLOOKUP($B50,勘定科目!$A:$E,4,0))</f>
        <v>水道光熱費</v>
      </c>
      <c r="E50" s="245"/>
      <c r="F50" s="194">
        <f>8*40366</f>
        <v>322928</v>
      </c>
      <c r="G50" s="194">
        <f>8*39111</f>
        <v>312888</v>
      </c>
      <c r="H50" s="194">
        <f>8*44856</f>
        <v>358848</v>
      </c>
      <c r="I50" s="194">
        <f>8*46929</f>
        <v>375432</v>
      </c>
      <c r="J50" s="194">
        <f>8*42688</f>
        <v>341504</v>
      </c>
      <c r="K50" s="194">
        <f>8*38491</f>
        <v>307928</v>
      </c>
      <c r="L50" s="194">
        <f>8*46977</f>
        <v>375816</v>
      </c>
      <c r="M50" s="194">
        <f>(8+1)*41126</f>
        <v>370134</v>
      </c>
      <c r="N50" s="194">
        <f>(8+1)*44086</f>
        <v>396774</v>
      </c>
      <c r="O50" s="194">
        <f>(8+1)*42459</f>
        <v>382131</v>
      </c>
      <c r="P50" s="194">
        <f>(8+1)*32894</f>
        <v>296046</v>
      </c>
      <c r="Q50" s="194">
        <f>(8+1)*42542</f>
        <v>382878</v>
      </c>
      <c r="R50" s="200">
        <f t="shared" si="2"/>
        <v>4223307</v>
      </c>
      <c r="S50" s="300" t="s">
        <v>713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5005016372</v>
      </c>
      <c r="C51" s="183" t="str">
        <f>IFERROR(IF(VLOOKUP($B51,勘定科目!$A:$H,HLOOKUP($E$5,勘定科目!$F$1:$H$2,2,0),0)="","",VLOOKUP($B51,勘定科目!$A:$E,2,0)),"")</f>
        <v>その他消耗品（製）</v>
      </c>
      <c r="D51" s="239" t="str">
        <f>IF(C51="","",VLOOKUP($B51,勘定科目!$A:$E,4,0))</f>
        <v>消耗品費</v>
      </c>
      <c r="E51" s="245"/>
      <c r="F51" s="194">
        <f>8*1122</f>
        <v>8976</v>
      </c>
      <c r="G51" s="194">
        <f>8*1130</f>
        <v>9040</v>
      </c>
      <c r="H51" s="194">
        <f>8*1157</f>
        <v>9256</v>
      </c>
      <c r="I51" s="194">
        <f>8*1113</f>
        <v>8904</v>
      </c>
      <c r="J51" s="194">
        <f>8*1080</f>
        <v>8640</v>
      </c>
      <c r="K51" s="194">
        <f>8*1093</f>
        <v>8744</v>
      </c>
      <c r="L51" s="194">
        <f>8*1131</f>
        <v>9048</v>
      </c>
      <c r="M51" s="194">
        <f>(8+1)*1114</f>
        <v>10026</v>
      </c>
      <c r="N51" s="194">
        <f>(8+1)*1124</f>
        <v>10116</v>
      </c>
      <c r="O51" s="194">
        <f>(8+1)*1128</f>
        <v>10152</v>
      </c>
      <c r="P51" s="194">
        <f>(8+1)*1146</f>
        <v>10314</v>
      </c>
      <c r="Q51" s="194">
        <f>(8+1)*1085</f>
        <v>9765</v>
      </c>
      <c r="R51" s="200">
        <f t="shared" si="2"/>
        <v>112981</v>
      </c>
      <c r="S51" s="300" t="s">
        <v>708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5005016372</v>
      </c>
      <c r="C52" s="183" t="str">
        <f>IFERROR(IF(VLOOKUP($B52,勘定科目!$A:$H,HLOOKUP($E$5,勘定科目!$F$1:$H$2,2,0),0)="","",VLOOKUP($B52,勘定科目!$A:$E,2,0)),"")</f>
        <v>その他消耗品（製）</v>
      </c>
      <c r="D52" s="239" t="str">
        <f>IF(C52="","",VLOOKUP($B52,勘定科目!$A:$E,4,0))</f>
        <v>消耗品費</v>
      </c>
      <c r="E52" s="245"/>
      <c r="F52" s="194">
        <f>8*18424</f>
        <v>147392</v>
      </c>
      <c r="G52" s="194">
        <f>8*17736</f>
        <v>141888</v>
      </c>
      <c r="H52" s="194">
        <f>8*19401</f>
        <v>155208</v>
      </c>
      <c r="I52" s="194">
        <f>8*21138</f>
        <v>169104</v>
      </c>
      <c r="J52" s="194">
        <f>8*18404</f>
        <v>147232</v>
      </c>
      <c r="K52" s="194">
        <f>8*17500</f>
        <v>140000</v>
      </c>
      <c r="L52" s="194">
        <f>8*21110</f>
        <v>168880</v>
      </c>
      <c r="M52" s="194">
        <f>(8+1)*18421</f>
        <v>165789</v>
      </c>
      <c r="N52" s="194">
        <f>(8+1)*20254</f>
        <v>182286</v>
      </c>
      <c r="O52" s="194">
        <f>(8+1)*18399</f>
        <v>165591</v>
      </c>
      <c r="P52" s="194">
        <f>(8+1)*13863</f>
        <v>124767</v>
      </c>
      <c r="Q52" s="194">
        <f>(8+1)*18435</f>
        <v>165915</v>
      </c>
      <c r="R52" s="200">
        <f t="shared" si="2"/>
        <v>1874052</v>
      </c>
      <c r="S52" s="300" t="s">
        <v>709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5005016372</v>
      </c>
      <c r="C53" s="183" t="str">
        <f>IFERROR(IF(VLOOKUP($B53,勘定科目!$A:$H,HLOOKUP($E$5,勘定科目!$F$1:$H$2,2,0),0)="","",VLOOKUP($B53,勘定科目!$A:$E,2,0)),"")</f>
        <v>その他消耗品（製）</v>
      </c>
      <c r="D53" s="239" t="str">
        <f>IF(C53="","",VLOOKUP($B53,勘定科目!$A:$E,4,0))</f>
        <v>消耗品費</v>
      </c>
      <c r="E53" s="245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200">
        <f>SUM(F53:Q53)</f>
        <v>0</v>
      </c>
      <c r="S53" s="301" t="s">
        <v>710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5005246286</v>
      </c>
      <c r="C54" s="183" t="str">
        <f>IFERROR(IF(VLOOKUP($B54,勘定科目!$A:$H,HLOOKUP($E$5,勘定科目!$F$1:$H$2,2,0),0)="","",VLOOKUP($B54,勘定科目!$A:$E,2,0)),"")</f>
        <v>その他手数料（製）</v>
      </c>
      <c r="D54" s="239" t="str">
        <f>IF(C54="","",VLOOKUP($B54,勘定科目!$A:$E,4,0))</f>
        <v>手数料</v>
      </c>
      <c r="E54" s="245"/>
      <c r="F54" s="194">
        <f>8*56247</f>
        <v>449976</v>
      </c>
      <c r="G54" s="194">
        <f>8*56462</f>
        <v>451696</v>
      </c>
      <c r="H54" s="194">
        <f>8*58201</f>
        <v>465608</v>
      </c>
      <c r="I54" s="194">
        <f>8*53306</f>
        <v>426448</v>
      </c>
      <c r="J54" s="194">
        <f>8*51891</f>
        <v>415128</v>
      </c>
      <c r="K54" s="194">
        <f>8*49590</f>
        <v>396720</v>
      </c>
      <c r="L54" s="194">
        <f>8*47432</f>
        <v>379456</v>
      </c>
      <c r="M54" s="194">
        <f>(8+1)*46844</f>
        <v>421596</v>
      </c>
      <c r="N54" s="194">
        <f>(8+1)*46977</f>
        <v>422793</v>
      </c>
      <c r="O54" s="194">
        <f>(8+1)*44968</f>
        <v>404712</v>
      </c>
      <c r="P54" s="194">
        <f>(8+1)*42562</f>
        <v>383058</v>
      </c>
      <c r="Q54" s="194">
        <f>(8+1)*44540</f>
        <v>400860</v>
      </c>
      <c r="R54" s="200">
        <f t="shared" si="2"/>
        <v>5018051</v>
      </c>
      <c r="S54" s="300" t="s">
        <v>719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5005246281</v>
      </c>
      <c r="C55" s="183" t="str">
        <f>IFERROR(IF(VLOOKUP($B55,勘定科目!$A:$H,HLOOKUP($E$5,勘定科目!$F$1:$H$2,2,0),0)="","",VLOOKUP($B55,勘定科目!$A:$E,2,0)),"")</f>
        <v>図書印刷費（製）</v>
      </c>
      <c r="D55" s="239" t="str">
        <f>IF(C55="","",VLOOKUP($B55,勘定科目!$A:$E,4,0))</f>
        <v>図書及び事務費</v>
      </c>
      <c r="E55" s="245"/>
      <c r="F55" s="194"/>
      <c r="G55" s="194"/>
      <c r="H55" s="194"/>
      <c r="I55" s="194"/>
      <c r="J55" s="194"/>
      <c r="K55" s="194"/>
      <c r="L55" s="194"/>
      <c r="M55" s="194">
        <f>9*800</f>
        <v>7200</v>
      </c>
      <c r="N55" s="194"/>
      <c r="O55" s="194"/>
      <c r="P55" s="194"/>
      <c r="Q55" s="194"/>
      <c r="R55" s="200">
        <f t="shared" si="2"/>
        <v>7200</v>
      </c>
      <c r="S55" s="300" t="s">
        <v>717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5005246288</v>
      </c>
      <c r="C56" s="183" t="str">
        <f>IFERROR(IF(VLOOKUP($B56,勘定科目!$A:$H,HLOOKUP($E$5,勘定科目!$F$1:$H$2,2,0),0)="","",VLOOKUP($B56,勘定科目!$A:$E,2,0)),"")</f>
        <v>事務用品費（製）</v>
      </c>
      <c r="D56" s="239" t="str">
        <f>IF(C56="","",VLOOKUP($B56,勘定科目!$A:$E,4,0))</f>
        <v>図書及び事務費</v>
      </c>
      <c r="E56" s="245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200">
        <f t="shared" si="2"/>
        <v>0</v>
      </c>
      <c r="S56" s="300" t="s">
        <v>724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5005246288</v>
      </c>
      <c r="C57" s="183" t="str">
        <f>IFERROR(IF(VLOOKUP($B57,勘定科目!$A:$H,HLOOKUP($E$5,勘定科目!$F$1:$H$2,2,0),0)="","",VLOOKUP($B57,勘定科目!$A:$E,2,0)),"")</f>
        <v>事務用品費（製）</v>
      </c>
      <c r="D57" s="239" t="str">
        <f>IF(C57="","",VLOOKUP($B57,勘定科目!$A:$E,4,0))</f>
        <v>図書及び事務費</v>
      </c>
      <c r="E57" s="245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200">
        <f t="shared" si="2"/>
        <v>0</v>
      </c>
      <c r="S57" s="300"/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5005246281</v>
      </c>
      <c r="C58" s="183" t="str">
        <f>IFERROR(IF(VLOOKUP($B58,勘定科目!$A:$H,HLOOKUP($E$5,勘定科目!$F$1:$H$2,2,0),0)="","",VLOOKUP($B58,勘定科目!$A:$E,2,0)),"")</f>
        <v>図書印刷費（製）</v>
      </c>
      <c r="D58" s="239" t="str">
        <f>IF(C58="","",VLOOKUP($B58,勘定科目!$A:$E,4,0))</f>
        <v>図書及び事務費</v>
      </c>
      <c r="E58" s="245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200">
        <f t="shared" si="2"/>
        <v>0</v>
      </c>
      <c r="S58" s="300"/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5005246281</v>
      </c>
      <c r="C59" s="183" t="str">
        <f>IFERROR(IF(VLOOKUP($B59,勘定科目!$A:$H,HLOOKUP($E$5,勘定科目!$F$1:$H$2,2,0),0)="","",VLOOKUP($B59,勘定科目!$A:$E,2,0)),"")</f>
        <v>図書印刷費（製）</v>
      </c>
      <c r="D59" s="239" t="str">
        <f>IF(C59="","",VLOOKUP($B59,勘定科目!$A:$E,4,0))</f>
        <v>図書及び事務費</v>
      </c>
      <c r="E59" s="245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200">
        <f t="shared" si="2"/>
        <v>0</v>
      </c>
      <c r="S59" s="300"/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5005116291</v>
      </c>
      <c r="C60" s="183" t="str">
        <f>IFERROR(IF(VLOOKUP($B60,勘定科目!$A:$H,HLOOKUP($E$5,勘定科目!$F$1:$H$2,2,0),0)="","",VLOOKUP($B60,勘定科目!$A:$E,2,0)),"")</f>
        <v>ベトナム国内交通費（製）</v>
      </c>
      <c r="D60" s="239" t="str">
        <f>IF(C60="","",VLOOKUP($B60,勘定科目!$A:$E,4,0))</f>
        <v>旅費交通費</v>
      </c>
      <c r="E60" s="245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200">
        <f t="shared" si="2"/>
        <v>0</v>
      </c>
      <c r="S60" s="300" t="s">
        <v>726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5005116291</v>
      </c>
      <c r="C61" s="183" t="str">
        <f>IFERROR(IF(VLOOKUP($B61,勘定科目!$A:$H,HLOOKUP($E$5,勘定科目!$F$1:$H$2,2,0),0)="","",VLOOKUP($B61,勘定科目!$A:$E,2,0)),"")</f>
        <v>ベトナム国内交通費（製）</v>
      </c>
      <c r="D61" s="239" t="str">
        <f>IF(C61="","",VLOOKUP($B61,勘定科目!$A:$E,4,0))</f>
        <v>旅費交通費</v>
      </c>
      <c r="E61" s="245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200">
        <f t="shared" si="2"/>
        <v>0</v>
      </c>
      <c r="S61" s="300"/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9" t="str">
        <f>IF(C62="","",VLOOKUP($B62,勘定科目!$A:$E,4,0))</f>
        <v>福利厚生費</v>
      </c>
      <c r="E62" s="245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>
        <v>300000</v>
      </c>
      <c r="R62" s="200">
        <f t="shared" si="2"/>
        <v>300000</v>
      </c>
      <c r="S62" s="300" t="s">
        <v>692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39" t="str">
        <f>IF(C63="","",VLOOKUP($B63,勘定科目!$A:$E,4,0))</f>
        <v>福利厚生費</v>
      </c>
      <c r="E63" s="245"/>
      <c r="F63" s="194"/>
      <c r="G63" s="194"/>
      <c r="H63" s="194"/>
      <c r="I63" s="194"/>
      <c r="J63" s="194"/>
      <c r="K63" s="194">
        <f>3*163000</f>
        <v>489000</v>
      </c>
      <c r="L63" s="194"/>
      <c r="M63" s="194"/>
      <c r="N63" s="194">
        <f>3*163000</f>
        <v>489000</v>
      </c>
      <c r="O63" s="194">
        <f>2*163000</f>
        <v>326000</v>
      </c>
      <c r="P63" s="194"/>
      <c r="Q63" s="194"/>
      <c r="R63" s="200">
        <f t="shared" si="2"/>
        <v>1304000</v>
      </c>
      <c r="S63" s="300" t="s">
        <v>693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9" t="str">
        <f>IF(C64="","",VLOOKUP($B64,勘定科目!$A:$E,4,0))</f>
        <v>福利厚生費</v>
      </c>
      <c r="E64" s="245"/>
      <c r="F64" s="194">
        <v>150000</v>
      </c>
      <c r="G64" s="194">
        <v>150000</v>
      </c>
      <c r="H64" s="194">
        <v>150000</v>
      </c>
      <c r="I64" s="194">
        <v>150000</v>
      </c>
      <c r="J64" s="194">
        <v>150000</v>
      </c>
      <c r="K64" s="194">
        <v>150000</v>
      </c>
      <c r="L64" s="194">
        <v>150000</v>
      </c>
      <c r="M64" s="194">
        <v>150000</v>
      </c>
      <c r="N64" s="194">
        <v>150000</v>
      </c>
      <c r="O64" s="194">
        <v>150000</v>
      </c>
      <c r="P64" s="194">
        <v>150000</v>
      </c>
      <c r="Q64" s="194">
        <v>150000</v>
      </c>
      <c r="R64" s="200">
        <f t="shared" si="2"/>
        <v>1800000</v>
      </c>
      <c r="S64" s="300" t="s">
        <v>694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245"/>
      <c r="F65" s="194">
        <f>8*(2*165000+2*175000)</f>
        <v>5440000</v>
      </c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200">
        <f t="shared" si="2"/>
        <v>5440000</v>
      </c>
      <c r="S65" s="300" t="s">
        <v>695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>
        <f>9*300000</f>
        <v>2700000</v>
      </c>
      <c r="R66" s="200">
        <f t="shared" si="2"/>
        <v>2700000</v>
      </c>
      <c r="S66" s="300" t="s">
        <v>696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>
        <f>9*100000</f>
        <v>900000</v>
      </c>
      <c r="Q67" s="194"/>
      <c r="R67" s="200">
        <f t="shared" si="2"/>
        <v>900000</v>
      </c>
      <c r="S67" s="300" t="s">
        <v>697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194"/>
      <c r="G68" s="194">
        <f>8*1890000</f>
        <v>15120000</v>
      </c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200">
        <f t="shared" si="2"/>
        <v>15120000</v>
      </c>
      <c r="S68" s="300" t="s">
        <v>699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194"/>
      <c r="G69" s="194"/>
      <c r="H69" s="194">
        <f>8*200000</f>
        <v>1600000</v>
      </c>
      <c r="I69" s="194"/>
      <c r="J69" s="194"/>
      <c r="K69" s="194"/>
      <c r="L69" s="194"/>
      <c r="M69" s="194"/>
      <c r="N69" s="194"/>
      <c r="O69" s="194"/>
      <c r="P69" s="194"/>
      <c r="Q69" s="194"/>
      <c r="R69" s="200">
        <f t="shared" si="2"/>
        <v>1600000</v>
      </c>
      <c r="S69" s="300" t="s">
        <v>698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9" t="str">
        <f>IF(C70="","",VLOOKUP($B70,勘定科目!$A:$E,4,0))</f>
        <v>福利厚生費</v>
      </c>
      <c r="E70" s="245"/>
      <c r="F70" s="194"/>
      <c r="G70" s="194"/>
      <c r="H70" s="194"/>
      <c r="I70" s="194">
        <f>8*100000</f>
        <v>800000</v>
      </c>
      <c r="J70" s="194"/>
      <c r="K70" s="194"/>
      <c r="L70" s="194"/>
      <c r="M70" s="194"/>
      <c r="N70" s="194"/>
      <c r="O70" s="194"/>
      <c r="P70" s="194"/>
      <c r="Q70" s="194"/>
      <c r="R70" s="200">
        <f t="shared" si="2"/>
        <v>800000</v>
      </c>
      <c r="S70" s="300" t="s">
        <v>700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9" t="str">
        <f>IF(C71="","",VLOOKUP($B71,勘定科目!$A:$E,4,0))</f>
        <v>福利厚生費</v>
      </c>
      <c r="E71" s="245"/>
      <c r="F71" s="194"/>
      <c r="G71" s="194"/>
      <c r="H71" s="194"/>
      <c r="I71" s="194"/>
      <c r="J71" s="194"/>
      <c r="K71" s="194">
        <f>8*126000</f>
        <v>1008000</v>
      </c>
      <c r="L71" s="194"/>
      <c r="M71" s="194"/>
      <c r="N71" s="194"/>
      <c r="O71" s="194"/>
      <c r="P71" s="194"/>
      <c r="Q71" s="194"/>
      <c r="R71" s="200">
        <f t="shared" si="2"/>
        <v>1008000</v>
      </c>
      <c r="S71" s="300" t="s">
        <v>701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245"/>
      <c r="F72" s="194"/>
      <c r="G72" s="194"/>
      <c r="H72" s="194"/>
      <c r="I72" s="194"/>
      <c r="J72" s="194"/>
      <c r="K72" s="194"/>
      <c r="L72" s="194">
        <f>9*56000</f>
        <v>504000</v>
      </c>
      <c r="M72" s="194"/>
      <c r="N72" s="194"/>
      <c r="O72" s="194"/>
      <c r="P72" s="194"/>
      <c r="Q72" s="194"/>
      <c r="R72" s="200">
        <f t="shared" si="2"/>
        <v>504000</v>
      </c>
      <c r="S72" s="300" t="s">
        <v>702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245"/>
      <c r="F73" s="194"/>
      <c r="G73" s="194"/>
      <c r="H73" s="194"/>
      <c r="I73" s="194"/>
      <c r="J73" s="194"/>
      <c r="K73" s="194"/>
      <c r="L73" s="194">
        <f>382000</f>
        <v>382000</v>
      </c>
      <c r="M73" s="194"/>
      <c r="N73" s="194"/>
      <c r="O73" s="194"/>
      <c r="P73" s="194"/>
      <c r="Q73" s="194"/>
      <c r="R73" s="200">
        <f t="shared" si="2"/>
        <v>382000</v>
      </c>
      <c r="S73" s="300" t="s">
        <v>703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245"/>
      <c r="F74" s="194"/>
      <c r="G74" s="194"/>
      <c r="H74" s="194"/>
      <c r="I74" s="194"/>
      <c r="J74" s="194"/>
      <c r="K74" s="194"/>
      <c r="L74" s="194">
        <v>549000</v>
      </c>
      <c r="M74" s="194"/>
      <c r="N74" s="194"/>
      <c r="O74" s="194"/>
      <c r="P74" s="194"/>
      <c r="Q74" s="194"/>
      <c r="R74" s="200">
        <f t="shared" si="2"/>
        <v>549000</v>
      </c>
      <c r="S74" s="300" t="s">
        <v>704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5004086291</v>
      </c>
      <c r="C75" s="183" t="str">
        <f>IFERROR(IF(VLOOKUP($B75,勘定科目!$A:$H,HLOOKUP($E$5,勘定科目!$F$1:$H$2,2,0),0)="","",VLOOKUP($B75,勘定科目!$A:$E,2,0)),"")</f>
        <v>福利厚生費（製）</v>
      </c>
      <c r="D75" s="239" t="str">
        <f>IF(C75="","",VLOOKUP($B75,勘定科目!$A:$E,4,0))</f>
        <v>福利厚生費</v>
      </c>
      <c r="E75" s="245"/>
      <c r="F75" s="194"/>
      <c r="G75" s="194"/>
      <c r="H75" s="194"/>
      <c r="I75" s="194"/>
      <c r="J75" s="194"/>
      <c r="K75" s="194"/>
      <c r="L75" s="194"/>
      <c r="M75" s="194">
        <f>9*107000</f>
        <v>963000</v>
      </c>
      <c r="N75" s="194"/>
      <c r="O75" s="194"/>
      <c r="P75" s="194"/>
      <c r="Q75" s="194"/>
      <c r="R75" s="200">
        <f t="shared" si="2"/>
        <v>963000</v>
      </c>
      <c r="S75" s="300" t="s">
        <v>705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5004086291</v>
      </c>
      <c r="C76" s="183" t="str">
        <f>IFERROR(IF(VLOOKUP($B76,勘定科目!$A:$H,HLOOKUP($E$5,勘定科目!$F$1:$H$2,2,0),0)="","",VLOOKUP($B76,勘定科目!$A:$E,2,0)),"")</f>
        <v>福利厚生費（製）</v>
      </c>
      <c r="D76" s="239" t="str">
        <f>IF(C76="","",VLOOKUP($B76,勘定科目!$A:$E,4,0))</f>
        <v>福利厚生費</v>
      </c>
      <c r="E76" s="245"/>
      <c r="F76" s="194"/>
      <c r="G76" s="194"/>
      <c r="H76" s="194"/>
      <c r="I76" s="194"/>
      <c r="J76" s="194"/>
      <c r="K76" s="194"/>
      <c r="L76" s="194"/>
      <c r="M76" s="194"/>
      <c r="N76" s="194">
        <f>2*189000+7*204000</f>
        <v>1806000</v>
      </c>
      <c r="O76" s="194"/>
      <c r="P76" s="194"/>
      <c r="Q76" s="194"/>
      <c r="R76" s="200">
        <f t="shared" si="2"/>
        <v>1806000</v>
      </c>
      <c r="S76" s="300" t="s">
        <v>706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5004086291</v>
      </c>
      <c r="C77" s="183" t="str">
        <f>IFERROR(IF(VLOOKUP($B77,勘定科目!$A:$H,HLOOKUP($E$5,勘定科目!$F$1:$H$2,2,0),0)="","",VLOOKUP($B77,勘定科目!$A:$E,2,0)),"")</f>
        <v>福利厚生費（製）</v>
      </c>
      <c r="D77" s="239" t="str">
        <f>IF(C77="","",VLOOKUP($B77,勘定科目!$A:$E,4,0))</f>
        <v>福利厚生費</v>
      </c>
      <c r="E77" s="245"/>
      <c r="F77" s="194">
        <v>1374678</v>
      </c>
      <c r="G77" s="194">
        <v>1586747</v>
      </c>
      <c r="H77" s="194">
        <v>1418477</v>
      </c>
      <c r="I77" s="194">
        <v>1487463</v>
      </c>
      <c r="J77" s="194">
        <v>1588334</v>
      </c>
      <c r="K77" s="194">
        <v>1593513</v>
      </c>
      <c r="L77" s="194">
        <v>1194735</v>
      </c>
      <c r="M77" s="194">
        <v>1452617</v>
      </c>
      <c r="N77" s="194">
        <v>1465592</v>
      </c>
      <c r="O77" s="194">
        <v>1378925</v>
      </c>
      <c r="P77" s="194">
        <v>1253359</v>
      </c>
      <c r="Q77" s="194">
        <v>1296228</v>
      </c>
      <c r="R77" s="200">
        <f t="shared" si="2"/>
        <v>17090668</v>
      </c>
      <c r="S77" s="300" t="s">
        <v>707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5004086291</v>
      </c>
      <c r="C78" s="183" t="str">
        <f>IFERROR(IF(VLOOKUP($B78,勘定科目!$A:$H,HLOOKUP($E$5,勘定科目!$F$1:$H$2,2,0),0)="","",VLOOKUP($B78,勘定科目!$A:$E,2,0)),"")</f>
        <v>福利厚生費（製）</v>
      </c>
      <c r="D78" s="239" t="str">
        <f>IF(C78="","",VLOOKUP($B78,勘定科目!$A:$E,4,0))</f>
        <v>福利厚生費</v>
      </c>
      <c r="E78" s="245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200">
        <f t="shared" si="2"/>
        <v>0</v>
      </c>
      <c r="S78" s="300"/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5004086291</v>
      </c>
      <c r="C79" s="183" t="str">
        <f>IFERROR(IF(VLOOKUP($B79,勘定科目!$A:$H,HLOOKUP($E$5,勘定科目!$F$1:$H$2,2,0),0)="","",VLOOKUP($B79,勘定科目!$A:$E,2,0)),"")</f>
        <v>福利厚生費（製）</v>
      </c>
      <c r="D79" s="239" t="str">
        <f>IF(C79="","",VLOOKUP($B79,勘定科目!$A:$E,4,0))</f>
        <v>福利厚生費</v>
      </c>
      <c r="E79" s="245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200">
        <f t="shared" si="2"/>
        <v>0</v>
      </c>
      <c r="S79" s="300"/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5004086291</v>
      </c>
      <c r="C80" s="183" t="str">
        <f>IFERROR(IF(VLOOKUP($B80,勘定科目!$A:$H,HLOOKUP($E$5,勘定科目!$F$1:$H$2,2,0),0)="","",VLOOKUP($B80,勘定科目!$A:$E,2,0)),"")</f>
        <v>福利厚生費（製）</v>
      </c>
      <c r="D80" s="239" t="str">
        <f>IF(C80="","",VLOOKUP($B80,勘定科目!$A:$E,4,0))</f>
        <v>福利厚生費</v>
      </c>
      <c r="E80" s="245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200">
        <f t="shared" si="2"/>
        <v>0</v>
      </c>
      <c r="S80" s="300"/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5004086291</v>
      </c>
      <c r="C81" s="183" t="str">
        <f>IFERROR(IF(VLOOKUP($B81,勘定科目!$A:$H,HLOOKUP($E$5,勘定科目!$F$1:$H$2,2,0),0)="","",VLOOKUP($B81,勘定科目!$A:$E,2,0)),"")</f>
        <v>福利厚生費（製）</v>
      </c>
      <c r="D81" s="239" t="str">
        <f>IF(C81="","",VLOOKUP($B81,勘定科目!$A:$E,4,0))</f>
        <v>福利厚生費</v>
      </c>
      <c r="E81" s="245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200">
        <f t="shared" si="2"/>
        <v>0</v>
      </c>
      <c r="S81" s="300"/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5004086291</v>
      </c>
      <c r="C82" s="183" t="str">
        <f>IFERROR(IF(VLOOKUP($B82,勘定科目!$A:$H,HLOOKUP($E$5,勘定科目!$F$1:$H$2,2,0),0)="","",VLOOKUP($B82,勘定科目!$A:$E,2,0)),"")</f>
        <v>福利厚生費（製）</v>
      </c>
      <c r="D82" s="239" t="str">
        <f>IF(C82="","",VLOOKUP($B82,勘定科目!$A:$E,4,0))</f>
        <v>福利厚生費</v>
      </c>
      <c r="E82" s="245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200">
        <f t="shared" si="2"/>
        <v>0</v>
      </c>
      <c r="S82" s="300"/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5004086291</v>
      </c>
      <c r="C83" s="183" t="str">
        <f>IFERROR(IF(VLOOKUP($B83,勘定科目!$A:$H,HLOOKUP($E$5,勘定科目!$F$1:$H$2,2,0),0)="","",VLOOKUP($B83,勘定科目!$A:$E,2,0)),"")</f>
        <v>福利厚生費（製）</v>
      </c>
      <c r="D83" s="239" t="str">
        <f>IF(C83="","",VLOOKUP($B83,勘定科目!$A:$E,4,0))</f>
        <v>福利厚生費</v>
      </c>
      <c r="E83" s="245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200">
        <f t="shared" si="2"/>
        <v>0</v>
      </c>
      <c r="S83" s="300"/>
      <c r="T83" s="202"/>
      <c r="U83" s="246"/>
      <c r="V83" s="246"/>
      <c r="W83" s="246"/>
      <c r="BA83"/>
      <c r="BB83"/>
    </row>
    <row r="84" spans="1:54" s="191" customFormat="1" ht="13.5">
      <c r="A84" s="226"/>
      <c r="B84" s="180"/>
      <c r="C84" s="183" t="str">
        <f>IFERROR(IF(VLOOKUP($B84,勘定科目!$A:$H,HLOOKUP($E$5,勘定科目!$F$1:$H$2,2,0),0)="","",VLOOKUP($B84,勘定科目!$A:$E,2,0)),"")</f>
        <v/>
      </c>
      <c r="D84" s="239" t="str">
        <f>IF(C84="","",VLOOKUP($B84,勘定科目!$A:$E,4,0))</f>
        <v/>
      </c>
      <c r="E84" s="245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200">
        <f t="shared" si="2"/>
        <v>0</v>
      </c>
      <c r="S84" s="300"/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5005076289</v>
      </c>
      <c r="C85" s="183" t="str">
        <f>IFERROR(IF(VLOOKUP($B85,勘定科目!$A:$H,HLOOKUP($E$5,勘定科目!$F$1:$H$2,2,0),0)="","",VLOOKUP($B85,勘定科目!$A:$E,2,0)),"")</f>
        <v>クーリエ費用（製）</v>
      </c>
      <c r="D85" s="239" t="str">
        <f>IF(C85="","",VLOOKUP($B85,勘定科目!$A:$E,4,0))</f>
        <v>荷造運賃</v>
      </c>
      <c r="E85" s="245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200">
        <f t="shared" si="2"/>
        <v>0</v>
      </c>
      <c r="S85" s="300"/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5005136291</v>
      </c>
      <c r="C86" s="183" t="str">
        <f>IFERROR(IF(VLOOKUP($B86,勘定科目!$A:$H,HLOOKUP($E$5,勘定科目!$F$1:$H$2,2,0),0)="","",VLOOKUP($B86,勘定科目!$A:$E,2,0)),"")</f>
        <v>郵送代（製）</v>
      </c>
      <c r="D86" s="239" t="str">
        <f>IF(C86="","",VLOOKUP($B86,勘定科目!$A:$E,4,0))</f>
        <v>通信費</v>
      </c>
      <c r="E86" s="245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200">
        <f t="shared" si="2"/>
        <v>0</v>
      </c>
      <c r="S86" s="300"/>
      <c r="T86" s="202"/>
      <c r="U86" s="246"/>
      <c r="V86" s="246"/>
      <c r="W86" s="246"/>
      <c r="BA86"/>
      <c r="BB86"/>
    </row>
    <row r="87" spans="1:54" s="191" customFormat="1" ht="13.5">
      <c r="A87" s="226"/>
      <c r="B87" s="180">
        <v>5004086293</v>
      </c>
      <c r="C87" s="183" t="str">
        <f>IFERROR(IF(VLOOKUP($B87,勘定科目!$A:$H,HLOOKUP($E$5,勘定科目!$F$1:$H$2,2,0),0)="","",VLOOKUP($B87,勘定科目!$A:$E,2,0)),"")</f>
        <v>教育訓練費（製）</v>
      </c>
      <c r="D87" s="239" t="str">
        <f>IF(C87="","",VLOOKUP($B87,勘定科目!$A:$E,4,0))</f>
        <v>募集教育費</v>
      </c>
      <c r="E87" s="245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200">
        <f t="shared" si="2"/>
        <v>0</v>
      </c>
      <c r="S87" s="300" t="s">
        <v>727</v>
      </c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5005116291</v>
      </c>
      <c r="C88" s="183" t="str">
        <f>IFERROR(IF(VLOOKUP($B88,勘定科目!$A:$H,HLOOKUP($E$5,勘定科目!$F$1:$H$2,2,0),0)="","",VLOOKUP($B88,勘定科目!$A:$E,2,0)),"")</f>
        <v>ベトナム国内交通費（製）</v>
      </c>
      <c r="D88" s="239" t="str">
        <f>IF(C88="","",VLOOKUP($B88,勘定科目!$A:$E,4,0))</f>
        <v>旅費交通費</v>
      </c>
      <c r="E88" s="245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200">
        <f t="shared" si="2"/>
        <v>0</v>
      </c>
      <c r="S88" s="300"/>
      <c r="T88" s="202"/>
      <c r="U88" s="246"/>
      <c r="V88" s="246"/>
      <c r="W88" s="246"/>
      <c r="BA88"/>
      <c r="BB88"/>
    </row>
    <row r="89" spans="1:54" s="191" customFormat="1" ht="13.5">
      <c r="A89" s="226"/>
      <c r="B89" s="180">
        <v>5005026371</v>
      </c>
      <c r="C89" s="183" t="str">
        <f>IFERROR(IF(VLOOKUP($B89,勘定科目!$A:$H,HLOOKUP($E$5,勘定科目!$F$1:$H$2,2,0),0)="","",VLOOKUP($B89,勘定科目!$A:$E,2,0)),"")</f>
        <v>消耗工具器具備品費（製）</v>
      </c>
      <c r="D89" s="239" t="str">
        <f>IF(C89="","",VLOOKUP($B89,勘定科目!$A:$E,4,0))</f>
        <v>消耗工具器具備品費</v>
      </c>
      <c r="E89" s="245"/>
      <c r="F89" s="194"/>
      <c r="G89" s="194"/>
      <c r="H89" s="194"/>
      <c r="I89" s="194"/>
      <c r="J89" s="194"/>
      <c r="K89" s="194"/>
      <c r="L89" s="194">
        <f>16750000</f>
        <v>16750000</v>
      </c>
      <c r="M89" s="194"/>
      <c r="N89" s="194">
        <f>16750000</f>
        <v>16750000</v>
      </c>
      <c r="O89" s="194"/>
      <c r="P89" s="194"/>
      <c r="Q89" s="194"/>
      <c r="R89" s="200">
        <f t="shared" si="2"/>
        <v>33500000</v>
      </c>
      <c r="S89" s="300" t="s">
        <v>711</v>
      </c>
      <c r="T89" s="202"/>
      <c r="U89" s="246"/>
      <c r="V89" s="246"/>
      <c r="W89" s="246"/>
      <c r="BA89"/>
      <c r="BB89"/>
    </row>
    <row r="90" spans="1:54" s="191" customFormat="1" ht="13.5">
      <c r="A90" s="226"/>
      <c r="B90" s="180">
        <v>5005026371</v>
      </c>
      <c r="C90" s="183" t="str">
        <f>IFERROR(IF(VLOOKUP($B90,勘定科目!$A:$H,HLOOKUP($E$5,勘定科目!$F$1:$H$2,2,0),0)="","",VLOOKUP($B90,勘定科目!$A:$E,2,0)),"")</f>
        <v>消耗工具器具備品費（製）</v>
      </c>
      <c r="D90" s="239" t="str">
        <f>IF(C90="","",VLOOKUP($B90,勘定科目!$A:$E,4,0))</f>
        <v>消耗工具器具備品費</v>
      </c>
      <c r="E90" s="245"/>
      <c r="F90" s="194"/>
      <c r="G90" s="194"/>
      <c r="H90" s="194"/>
      <c r="I90" s="194"/>
      <c r="J90" s="194"/>
      <c r="K90" s="194"/>
      <c r="L90" s="194">
        <v>270000</v>
      </c>
      <c r="M90" s="194"/>
      <c r="N90" s="194"/>
      <c r="O90" s="194"/>
      <c r="P90" s="194"/>
      <c r="Q90" s="194"/>
      <c r="R90" s="200">
        <f t="shared" ref="R90:R92" si="5">SUM(F90:Q90)</f>
        <v>270000</v>
      </c>
      <c r="S90" s="300" t="s">
        <v>712</v>
      </c>
      <c r="T90" s="202"/>
      <c r="U90" s="246"/>
      <c r="V90" s="246"/>
      <c r="W90" s="246"/>
      <c r="BA90"/>
      <c r="BB90"/>
    </row>
    <row r="91" spans="1:54" s="191" customFormat="1" ht="13.5">
      <c r="A91" s="226"/>
      <c r="B91" s="180">
        <v>5005046282</v>
      </c>
      <c r="C91" s="183" t="str">
        <f>IFERROR(IF(VLOOKUP($B91,勘定科目!$A:$H,HLOOKUP($E$5,勘定科目!$F$1:$H$2,2,0),0)="","",VLOOKUP($B91,勘定科目!$A:$E,2,0)),"")</f>
        <v>その他修繕費（製）</v>
      </c>
      <c r="D91" s="239" t="str">
        <f>IF(C91="","",VLOOKUP($B91,勘定科目!$A:$E,4,0))</f>
        <v>修繕費</v>
      </c>
      <c r="E91" s="245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200">
        <f t="shared" si="5"/>
        <v>0</v>
      </c>
      <c r="S91" s="300" t="s">
        <v>725</v>
      </c>
      <c r="T91" s="202"/>
      <c r="U91" s="246"/>
      <c r="V91" s="246"/>
      <c r="W91" s="246"/>
      <c r="BA91"/>
      <c r="BB91"/>
    </row>
    <row r="92" spans="1:54" s="191" customFormat="1" ht="13.5">
      <c r="A92" s="226"/>
      <c r="B92" s="180"/>
      <c r="C92" s="183" t="str">
        <f>IFERROR(IF(VLOOKUP($B92,勘定科目!$A:$H,HLOOKUP($E$5,勘定科目!$F$1:$H$2,2,0),0)="","",VLOOKUP($B92,勘定科目!$A:$E,2,0)),"")</f>
        <v/>
      </c>
      <c r="D92" s="239" t="str">
        <f>IF(C92="","",VLOOKUP($B92,勘定科目!$A:$E,4,0))</f>
        <v/>
      </c>
      <c r="E92" s="245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200">
        <f t="shared" si="5"/>
        <v>0</v>
      </c>
      <c r="S92" s="300"/>
      <c r="T92" s="202"/>
      <c r="U92" s="246"/>
      <c r="V92" s="246"/>
      <c r="W92" s="246"/>
      <c r="BA92"/>
      <c r="BB92"/>
    </row>
    <row r="93" spans="1:54" s="191" customFormat="1" ht="13.5">
      <c r="A93" s="226"/>
      <c r="B93" s="180"/>
      <c r="C93" s="183" t="str">
        <f>IFERROR(IF(VLOOKUP($B93,勘定科目!$A:$H,HLOOKUP($E$5,勘定科目!$F$1:$H$2,2,0),0)="","",VLOOKUP($B93,勘定科目!$A:$E,2,0)),"")</f>
        <v/>
      </c>
      <c r="D93" s="239" t="str">
        <f>IF(C93="","",VLOOKUP($B93,勘定科目!$A:$E,4,0))</f>
        <v/>
      </c>
      <c r="E93" s="245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200"/>
      <c r="S93" s="300"/>
      <c r="T93" s="202"/>
      <c r="U93" s="246"/>
      <c r="V93" s="246"/>
      <c r="W93" s="246"/>
      <c r="BA93"/>
      <c r="BB93"/>
    </row>
    <row r="94" spans="1:54" s="191" customFormat="1" ht="13.5">
      <c r="A94" s="226"/>
      <c r="B94" s="180"/>
      <c r="C94" s="183" t="str">
        <f>IFERROR(IF(VLOOKUP($B94,勘定科目!$A:$H,HLOOKUP($E$5,勘定科目!$F$1:$H$2,2,0),0)="","",VLOOKUP($B94,勘定科目!$A:$E,2,0)),"")</f>
        <v/>
      </c>
      <c r="D94" s="239" t="str">
        <f>IF(C94="","",VLOOKUP($B94,勘定科目!$A:$E,4,0))</f>
        <v/>
      </c>
      <c r="E94" s="245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200"/>
      <c r="S94" s="201"/>
      <c r="T94" s="202"/>
      <c r="U94" s="246"/>
      <c r="V94" s="246"/>
      <c r="W94" s="246"/>
      <c r="BA94"/>
      <c r="BB94"/>
    </row>
    <row r="95" spans="1:54" s="191" customFormat="1" ht="13.5">
      <c r="A95" s="226"/>
      <c r="B95" s="180"/>
      <c r="C95" s="183" t="str">
        <f>IFERROR(IF(VLOOKUP($B95,勘定科目!$A:$H,HLOOKUP($E$5,勘定科目!$F$1:$H$2,2,0),0)="","",VLOOKUP($B95,勘定科目!$A:$E,2,0)),"")</f>
        <v/>
      </c>
      <c r="D95" s="239" t="str">
        <f>IF(C95="","",VLOOKUP($B95,勘定科目!$A:$E,4,0))</f>
        <v/>
      </c>
      <c r="E95" s="245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200"/>
      <c r="S95" s="201"/>
      <c r="T95" s="202"/>
      <c r="U95" s="246"/>
      <c r="V95" s="246"/>
      <c r="W95" s="246"/>
      <c r="BA95"/>
      <c r="BB95"/>
    </row>
    <row r="96" spans="1:54" s="191" customFormat="1" ht="13.5">
      <c r="A96" s="226"/>
      <c r="B96" s="180"/>
      <c r="C96" s="183" t="str">
        <f>IFERROR(IF(VLOOKUP($B96,勘定科目!$A:$H,HLOOKUP($E$5,勘定科目!$F$1:$H$2,2,0),0)="","",VLOOKUP($B96,勘定科目!$A:$E,2,0)),"")</f>
        <v/>
      </c>
      <c r="D96" s="239" t="str">
        <f>IF(C96="","",VLOOKUP($B96,勘定科目!$A:$E,4,0))</f>
        <v/>
      </c>
      <c r="E96" s="245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200"/>
      <c r="S96" s="201"/>
      <c r="T96" s="202"/>
      <c r="U96" s="246"/>
      <c r="V96" s="246"/>
      <c r="W96" s="246"/>
      <c r="BA96"/>
      <c r="BB96"/>
    </row>
    <row r="97" spans="1:54" s="191" customFormat="1" ht="13.5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200"/>
      <c r="S97" s="201"/>
      <c r="T97" s="202"/>
      <c r="U97" s="246"/>
      <c r="V97" s="246"/>
      <c r="W97" s="246"/>
      <c r="BA97"/>
      <c r="BB97"/>
    </row>
    <row r="98" spans="1:54" s="191" customFormat="1" ht="13.5">
      <c r="A98" s="226"/>
      <c r="B98" s="180"/>
      <c r="C98" s="183" t="str">
        <f>IFERROR(IF(VLOOKUP($B98,勘定科目!$A:$H,HLOOKUP($E$5,勘定科目!$F$1:$H$2,2,0),0)="","",VLOOKUP($B98,勘定科目!$A:$E,2,0)),"")</f>
        <v/>
      </c>
      <c r="D98" s="239" t="str">
        <f>IF(C98="","",VLOOKUP($B98,勘定科目!$A:$E,4,0))</f>
        <v/>
      </c>
      <c r="E98" s="245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200"/>
      <c r="S98" s="201"/>
      <c r="T98" s="202"/>
      <c r="U98" s="246"/>
      <c r="V98" s="246"/>
      <c r="W98" s="246"/>
      <c r="BA98"/>
      <c r="BB98"/>
    </row>
    <row r="99" spans="1:54" s="191" customFormat="1" ht="13.5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200"/>
      <c r="S99" s="201"/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200"/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200"/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200"/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200"/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/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/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/>
      <c r="S106" s="201"/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/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/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/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/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/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/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/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/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/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/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/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/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/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/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/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/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/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/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/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/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/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/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/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/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/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/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/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/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/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/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/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/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/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/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/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/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/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/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/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/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/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/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/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/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/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/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/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/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/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/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/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/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/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/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/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/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/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/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/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/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/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/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/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/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/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/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/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/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/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/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/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/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/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/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/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/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/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/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/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/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/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/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/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/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/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/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/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/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/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/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/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/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/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/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/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/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/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/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/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/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/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/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/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/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/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/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/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/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/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/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/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/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/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/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/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/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/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/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/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/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/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/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/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/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/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/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/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/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/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/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/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/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/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/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/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/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/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/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/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/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/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/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/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/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/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/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/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/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/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/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/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/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/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/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/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/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/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/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/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/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/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/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/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/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/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/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/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/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/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/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/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/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/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/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/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/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/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/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/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/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/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/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/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/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/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/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/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/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/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/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/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/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/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/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/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/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/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/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/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/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/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/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/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/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/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/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/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/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/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/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/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/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/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/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/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/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/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/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/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/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/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/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/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/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/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/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/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/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/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/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/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/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/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/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/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/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/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/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/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/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/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/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/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/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/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/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/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/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/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/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/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/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/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/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/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/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/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/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/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/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/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/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/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/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/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/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/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/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/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/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/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/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/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/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/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/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/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/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/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/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/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/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/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/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/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/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/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/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/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/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/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/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/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/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/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/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/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/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/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/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/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/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/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/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/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/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/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/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/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/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/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/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/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/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/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/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/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/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/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/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/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/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/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/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/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/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/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/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/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/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/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/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/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/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/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/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/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/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/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/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/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/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/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/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/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/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/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/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/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/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/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/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/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/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/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/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/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/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/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/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/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/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/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/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/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/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/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/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/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/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/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/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/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/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/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/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/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/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/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/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/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/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/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/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/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/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/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/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/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/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/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/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/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/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/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/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/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/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/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/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/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/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/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/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/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/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/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/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/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/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/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/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/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/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/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/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/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/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/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/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/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/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/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/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/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/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/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/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/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/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/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/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/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/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/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/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/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/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/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/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/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/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/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/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/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/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/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/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/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/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/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/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/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/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/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/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/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/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/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/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/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/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/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/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/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/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/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/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/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/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/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/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/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/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/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/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/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/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/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/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/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/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/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/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/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/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/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/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/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/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/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/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/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/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/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/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/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/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/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/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/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/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/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/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/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/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/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/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/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/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/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/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/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/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/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/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/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/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/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/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/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/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/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/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/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/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/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/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/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/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/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/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/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/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/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/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/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/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/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/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/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/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/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/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/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/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/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/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/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/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/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/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/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/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/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/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/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/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/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/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/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/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/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/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/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/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/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/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/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/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/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/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/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/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/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/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/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/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/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/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/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/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/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/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/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/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/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/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/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/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/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/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/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/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/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/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/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/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/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/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/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/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/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/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/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/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/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/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/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/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/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/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/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/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/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/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/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/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/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/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/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/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/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/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/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/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/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/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/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/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/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/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/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/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/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/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/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/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/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/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/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/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/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/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/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/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/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/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/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/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/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/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/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/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/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/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/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/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/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/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/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/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/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/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/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/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/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/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/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/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/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/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/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/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/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/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/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/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/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/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/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/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/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/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/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/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/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/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/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/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/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/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/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</sheetData>
  <autoFilter ref="A7:T800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0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工程品質管理4課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641</v>
      </c>
      <c r="R3" s="290" t="s">
        <v>642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684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590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591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675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685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686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687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688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689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676</v>
      </c>
      <c r="C239"/>
      <c r="D239" t="s">
        <v>676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677</v>
      </c>
      <c r="C240"/>
      <c r="D240" t="s">
        <v>677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673</v>
      </c>
      <c r="C245" s="107" t="s">
        <v>674</v>
      </c>
      <c r="D245" s="107" t="s">
        <v>45</v>
      </c>
      <c r="E245" s="107" t="s">
        <v>356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2" activePane="bottomLeft" state="frozen"/>
      <selection pane="bottomLeft" activeCell="C480" sqref="C480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663</v>
      </c>
      <c r="C2" s="292" t="s">
        <v>592</v>
      </c>
      <c r="D2" s="291" t="s">
        <v>159</v>
      </c>
      <c r="E2" s="291" t="s">
        <v>159</v>
      </c>
      <c r="G2" s="291" t="s">
        <v>638</v>
      </c>
    </row>
    <row r="3" spans="1:7">
      <c r="A3" s="295">
        <v>1412000005</v>
      </c>
      <c r="B3" s="293" t="s">
        <v>664</v>
      </c>
      <c r="C3" s="292" t="s">
        <v>593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644</v>
      </c>
      <c r="C4" s="292" t="s">
        <v>595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597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598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657</v>
      </c>
      <c r="C7" s="292" t="s">
        <v>599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617</v>
      </c>
      <c r="C8" s="292" t="s">
        <v>618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619</v>
      </c>
      <c r="C9" s="292" t="s">
        <v>620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596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604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605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606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643</v>
      </c>
      <c r="C14" s="292" t="s">
        <v>609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612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613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614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665</v>
      </c>
      <c r="C18" s="292" t="s">
        <v>607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603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602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601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624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587</v>
      </c>
      <c r="C23" s="292" t="s">
        <v>625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626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627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628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630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631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632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633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634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635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636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637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666</v>
      </c>
      <c r="C35" s="292" t="s">
        <v>600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594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586</v>
      </c>
      <c r="C37" s="292" t="s">
        <v>608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583</v>
      </c>
      <c r="C38" s="292" t="s">
        <v>615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584</v>
      </c>
      <c r="C39" s="292" t="s">
        <v>616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588</v>
      </c>
      <c r="C40" s="292" t="s">
        <v>629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645</v>
      </c>
      <c r="C41" s="292" t="s">
        <v>610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585</v>
      </c>
      <c r="C42" s="292" t="s">
        <v>611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691</v>
      </c>
      <c r="C43" s="292">
        <v>71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621</v>
      </c>
      <c r="C44" s="292" t="s">
        <v>622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667</v>
      </c>
      <c r="C45" s="292" t="s">
        <v>623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646</v>
      </c>
      <c r="C46" s="292" t="s">
        <v>639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647</v>
      </c>
      <c r="C47" s="292" t="s">
        <v>649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648</v>
      </c>
      <c r="C48" s="292" t="s">
        <v>653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650</v>
      </c>
      <c r="C49" s="292" t="s">
        <v>654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651</v>
      </c>
      <c r="C50" s="292" t="s">
        <v>655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652</v>
      </c>
      <c r="C51" s="292" t="s">
        <v>656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659</v>
      </c>
      <c r="C52" s="296" t="s">
        <v>658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660</v>
      </c>
      <c r="C53" s="296" t="s">
        <v>661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668</v>
      </c>
      <c r="C54" s="296" t="s">
        <v>662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669</v>
      </c>
      <c r="C55" s="296" t="s">
        <v>680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670</v>
      </c>
      <c r="C56" s="296" t="s">
        <v>681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678</v>
      </c>
      <c r="C57" s="296" t="s">
        <v>682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679</v>
      </c>
      <c r="C58" s="296" t="s">
        <v>683</v>
      </c>
      <c r="D58" s="291" t="s">
        <v>159</v>
      </c>
      <c r="E58" s="291" t="s">
        <v>159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/>
  </cols>
  <sheetData>
    <row r="2" spans="1:2">
      <c r="A2" s="123" t="s">
        <v>672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Bùi Thị Nga(Bui Thi Nga)</cp:lastModifiedBy>
  <cp:lastPrinted>2017-10-06T02:39:42Z</cp:lastPrinted>
  <dcterms:created xsi:type="dcterms:W3CDTF">2002-04-10T08:05:47Z</dcterms:created>
  <dcterms:modified xsi:type="dcterms:W3CDTF">2025-07-04T02:51:38Z</dcterms:modified>
</cp:coreProperties>
</file>