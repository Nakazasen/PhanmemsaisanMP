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vn191272\Desktop\"/>
    </mc:Choice>
  </mc:AlternateContent>
  <xr:revisionPtr revIDLastSave="0" documentId="13_ncr:1_{464E863B-9173-493D-A34C-B84B4A9309C5}" xr6:coauthVersionLast="47" xr6:coauthVersionMax="47" xr10:uidLastSave="{00000000-0000-0000-0000-000000000000}"/>
  <bookViews>
    <workbookView xWindow="-110" yWindow="-110" windowWidth="19420" windowHeight="10300" tabRatio="508" activeTab="2" xr2:uid="{18E35B12-254F-4D18-B00B-66BB50C201AF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'内訳ﾘｽﾄ(4～3月)'!$A$7:$BH$965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0" i="10" l="1"/>
  <c r="C80" i="10"/>
  <c r="D80" i="10" s="1"/>
  <c r="G131" i="10"/>
  <c r="Q127" i="10" l="1"/>
  <c r="R74" i="10"/>
  <c r="F59" i="10"/>
  <c r="L136" i="10" l="1"/>
  <c r="I134" i="10"/>
  <c r="N133" i="10"/>
  <c r="G132" i="10"/>
  <c r="M128" i="10"/>
  <c r="P126" i="10"/>
  <c r="K125" i="10"/>
  <c r="J120" i="10"/>
  <c r="G117" i="10"/>
  <c r="L117" i="10"/>
  <c r="F118" i="10"/>
  <c r="M112" i="10"/>
  <c r="R66" i="10" l="1"/>
  <c r="R75" i="10" l="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75" i="10" s="1"/>
  <c r="D75" i="10" s="1"/>
  <c r="D5" i="10"/>
  <c r="E61" i="5" s="1"/>
  <c r="H2" i="36"/>
  <c r="G2" i="36"/>
  <c r="F2" i="36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E88" i="5"/>
  <c r="E88" i="32" s="1"/>
  <c r="D88" i="5"/>
  <c r="D88" i="32" s="1"/>
  <c r="C88" i="5"/>
  <c r="C88" i="32" s="1"/>
  <c r="N87" i="5"/>
  <c r="N87" i="32" s="1"/>
  <c r="M87" i="5"/>
  <c r="L87" i="5"/>
  <c r="L87" i="32" s="1"/>
  <c r="K87" i="5"/>
  <c r="K87" i="32" s="1"/>
  <c r="J87" i="5"/>
  <c r="J87" i="32" s="1"/>
  <c r="I87" i="5"/>
  <c r="I87" i="32" s="1"/>
  <c r="H87" i="5"/>
  <c r="G87" i="5"/>
  <c r="F87" i="5"/>
  <c r="F87" i="32" s="1"/>
  <c r="E87" i="5"/>
  <c r="E87" i="32" s="1"/>
  <c r="D87" i="5"/>
  <c r="D87" i="32" s="1"/>
  <c r="C87" i="5"/>
  <c r="C87" i="32" s="1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79" i="10"/>
  <c r="R78" i="10"/>
  <c r="R77" i="10"/>
  <c r="R76" i="10"/>
  <c r="R73" i="10"/>
  <c r="R72" i="10"/>
  <c r="R71" i="10"/>
  <c r="R70" i="10"/>
  <c r="R69" i="10"/>
  <c r="R68" i="10"/>
  <c r="R67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5" i="10"/>
  <c r="R14" i="10"/>
  <c r="R13" i="10"/>
  <c r="R12" i="10"/>
  <c r="R11" i="10"/>
  <c r="R10" i="10"/>
  <c r="C5" i="10"/>
  <c r="B2" i="5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K69" i="5"/>
  <c r="G63" i="5"/>
  <c r="J75" i="5"/>
  <c r="J75" i="32" s="1"/>
  <c r="E63" i="5"/>
  <c r="C62" i="5"/>
  <c r="D70" i="5"/>
  <c r="D70" i="32" s="1"/>
  <c r="I70" i="5"/>
  <c r="I70" i="32" s="1"/>
  <c r="L75" i="5"/>
  <c r="L75" i="32" s="1"/>
  <c r="D76" i="5"/>
  <c r="D76" i="32" s="1"/>
  <c r="O62" i="5"/>
  <c r="D71" i="5"/>
  <c r="D71" i="32" s="1"/>
  <c r="J62" i="5"/>
  <c r="H77" i="5"/>
  <c r="H77" i="32" s="1"/>
  <c r="K61" i="5" l="1"/>
  <c r="K61" i="32" s="1"/>
  <c r="L71" i="5"/>
  <c r="L71" i="32" s="1"/>
  <c r="M76" i="5"/>
  <c r="M76" i="32" s="1"/>
  <c r="K75" i="5"/>
  <c r="K75" i="32" s="1"/>
  <c r="M69" i="5"/>
  <c r="M69" i="32" s="1"/>
  <c r="D62" i="5"/>
  <c r="D62" i="32" s="1"/>
  <c r="M70" i="5"/>
  <c r="M62" i="5"/>
  <c r="M62" i="32" s="1"/>
  <c r="L76" i="5"/>
  <c r="L76" i="32" s="1"/>
  <c r="D77" i="5"/>
  <c r="D77" i="32" s="1"/>
  <c r="D75" i="5"/>
  <c r="D75" i="32" s="1"/>
  <c r="L63" i="5"/>
  <c r="L63" i="32" s="1"/>
  <c r="C70" i="5"/>
  <c r="C70" i="32" s="1"/>
  <c r="C279" i="10"/>
  <c r="D279" i="10" s="1"/>
  <c r="C585" i="10"/>
  <c r="D585" i="10" s="1"/>
  <c r="C707" i="10"/>
  <c r="D707" i="10" s="1"/>
  <c r="C257" i="10"/>
  <c r="D257" i="10" s="1"/>
  <c r="C36" i="10"/>
  <c r="D36" i="10" s="1"/>
  <c r="C679" i="10"/>
  <c r="D679" i="10" s="1"/>
  <c r="C862" i="10"/>
  <c r="D862" i="10" s="1"/>
  <c r="C860" i="10"/>
  <c r="D860" i="10" s="1"/>
  <c r="C724" i="10"/>
  <c r="D724" i="10" s="1"/>
  <c r="C814" i="10"/>
  <c r="D814" i="10" s="1"/>
  <c r="C147" i="10"/>
  <c r="D147" i="10" s="1"/>
  <c r="C848" i="10"/>
  <c r="D848" i="10" s="1"/>
  <c r="C897" i="10"/>
  <c r="D897" i="10" s="1"/>
  <c r="C769" i="10"/>
  <c r="D769" i="10" s="1"/>
  <c r="C913" i="10"/>
  <c r="D913" i="10" s="1"/>
  <c r="C715" i="10"/>
  <c r="D715" i="10" s="1"/>
  <c r="C609" i="10"/>
  <c r="D609" i="10" s="1"/>
  <c r="C917" i="10"/>
  <c r="D917" i="10" s="1"/>
  <c r="C704" i="10"/>
  <c r="D704" i="10" s="1"/>
  <c r="C611" i="10"/>
  <c r="D611" i="10" s="1"/>
  <c r="C829" i="10"/>
  <c r="D829" i="10" s="1"/>
  <c r="C370" i="10"/>
  <c r="D370" i="10" s="1"/>
  <c r="P8" i="10"/>
  <c r="M92" i="5" s="1"/>
  <c r="M92" i="32" s="1"/>
  <c r="P16" i="10"/>
  <c r="M97" i="5" s="1"/>
  <c r="M97" i="32" s="1"/>
  <c r="J8" i="10"/>
  <c r="G92" i="5" s="1"/>
  <c r="G92" i="32" s="1"/>
  <c r="J16" i="10"/>
  <c r="G97" i="5" s="1"/>
  <c r="G97" i="32" s="1"/>
  <c r="O16" i="10"/>
  <c r="L97" i="5" s="1"/>
  <c r="L97" i="32" s="1"/>
  <c r="O17" i="10"/>
  <c r="L98" i="5" s="1"/>
  <c r="L98" i="32" s="1"/>
  <c r="M16" i="10"/>
  <c r="J97" i="5" s="1"/>
  <c r="J97" i="32" s="1"/>
  <c r="M17" i="10"/>
  <c r="J98" i="5" s="1"/>
  <c r="J98" i="32" s="1"/>
  <c r="N16" i="10"/>
  <c r="K97" i="5" s="1"/>
  <c r="K97" i="32" s="1"/>
  <c r="N17" i="10"/>
  <c r="K98" i="5" s="1"/>
  <c r="K98" i="32" s="1"/>
  <c r="H16" i="10"/>
  <c r="E97" i="5" s="1"/>
  <c r="E97" i="32" s="1"/>
  <c r="H17" i="10"/>
  <c r="E98" i="5" s="1"/>
  <c r="E98" i="32" s="1"/>
  <c r="P17" i="10"/>
  <c r="M98" i="5" s="1"/>
  <c r="M98" i="32" s="1"/>
  <c r="I16" i="10"/>
  <c r="F97" i="5" s="1"/>
  <c r="F97" i="32" s="1"/>
  <c r="I17" i="10"/>
  <c r="F98" i="5" s="1"/>
  <c r="F98" i="32" s="1"/>
  <c r="Q16" i="10"/>
  <c r="N97" i="5" s="1"/>
  <c r="N97" i="32" s="1"/>
  <c r="Q17" i="10"/>
  <c r="N98" i="5" s="1"/>
  <c r="N98" i="32" s="1"/>
  <c r="J17" i="10"/>
  <c r="G98" i="5" s="1"/>
  <c r="G98" i="32" s="1"/>
  <c r="G16" i="10"/>
  <c r="G17" i="10"/>
  <c r="D98" i="5" s="1"/>
  <c r="D98" i="32" s="1"/>
  <c r="K16" i="10"/>
  <c r="H97" i="5" s="1"/>
  <c r="H97" i="32" s="1"/>
  <c r="K17" i="10"/>
  <c r="H98" i="5" s="1"/>
  <c r="H98" i="32" s="1"/>
  <c r="L16" i="10"/>
  <c r="I97" i="5" s="1"/>
  <c r="I97" i="32" s="1"/>
  <c r="L17" i="10"/>
  <c r="I98" i="5" s="1"/>
  <c r="I98" i="32" s="1"/>
  <c r="F16" i="10"/>
  <c r="F17" i="10"/>
  <c r="J9" i="10"/>
  <c r="G93" i="5" s="1"/>
  <c r="G93" i="32" s="1"/>
  <c r="K8" i="10"/>
  <c r="H92" i="5" s="1"/>
  <c r="H92" i="32" s="1"/>
  <c r="K9" i="10"/>
  <c r="H93" i="5" s="1"/>
  <c r="H93" i="32" s="1"/>
  <c r="O8" i="10"/>
  <c r="L92" i="5" s="1"/>
  <c r="L92" i="32" s="1"/>
  <c r="O9" i="10"/>
  <c r="L93" i="5" s="1"/>
  <c r="L93" i="32" s="1"/>
  <c r="L8" i="10"/>
  <c r="I92" i="5" s="1"/>
  <c r="I92" i="32" s="1"/>
  <c r="L9" i="10"/>
  <c r="I93" i="5" s="1"/>
  <c r="I93" i="32" s="1"/>
  <c r="N8" i="10"/>
  <c r="K92" i="5" s="1"/>
  <c r="K92" i="32" s="1"/>
  <c r="N9" i="10"/>
  <c r="K93" i="5" s="1"/>
  <c r="K93" i="32" s="1"/>
  <c r="H8" i="10"/>
  <c r="E92" i="5" s="1"/>
  <c r="E92" i="32" s="1"/>
  <c r="H9" i="10"/>
  <c r="E93" i="5" s="1"/>
  <c r="E93" i="32" s="1"/>
  <c r="P9" i="10"/>
  <c r="M93" i="5" s="1"/>
  <c r="M93" i="32" s="1"/>
  <c r="G8" i="10"/>
  <c r="G9" i="10"/>
  <c r="D93" i="5" s="1"/>
  <c r="D93" i="32" s="1"/>
  <c r="M8" i="10"/>
  <c r="J92" i="5" s="1"/>
  <c r="J92" i="32" s="1"/>
  <c r="M9" i="10"/>
  <c r="J93" i="5" s="1"/>
  <c r="J93" i="32" s="1"/>
  <c r="I8" i="10"/>
  <c r="F92" i="5" s="1"/>
  <c r="F92" i="32" s="1"/>
  <c r="I9" i="10"/>
  <c r="F93" i="5" s="1"/>
  <c r="F93" i="32" s="1"/>
  <c r="Q8" i="10"/>
  <c r="N92" i="5" s="1"/>
  <c r="N92" i="32" s="1"/>
  <c r="Q9" i="10"/>
  <c r="N93" i="5" s="1"/>
  <c r="N93" i="32" s="1"/>
  <c r="F8" i="10"/>
  <c r="F9" i="10"/>
  <c r="H63" i="5"/>
  <c r="H63" i="32" s="1"/>
  <c r="J61" i="5"/>
  <c r="J61" i="32" s="1"/>
  <c r="G69" i="5"/>
  <c r="G69" i="32" s="1"/>
  <c r="G70" i="5"/>
  <c r="G70" i="32" s="1"/>
  <c r="K71" i="5"/>
  <c r="K71" i="32" s="1"/>
  <c r="O63" i="5"/>
  <c r="O75" i="5"/>
  <c r="H61" i="5"/>
  <c r="H61" i="32" s="1"/>
  <c r="J69" i="5"/>
  <c r="J69" i="32" s="1"/>
  <c r="N70" i="5"/>
  <c r="N70" i="32" s="1"/>
  <c r="L61" i="5"/>
  <c r="L61" i="32" s="1"/>
  <c r="E62" i="5"/>
  <c r="E62" i="32" s="1"/>
  <c r="O71" i="5"/>
  <c r="I69" i="5"/>
  <c r="I69" i="32" s="1"/>
  <c r="H70" i="5"/>
  <c r="H70" i="32" s="1"/>
  <c r="E77" i="5"/>
  <c r="E77" i="32" s="1"/>
  <c r="J70" i="5"/>
  <c r="J70" i="32" s="1"/>
  <c r="I71" i="5"/>
  <c r="I71" i="32" s="1"/>
  <c r="I75" i="5"/>
  <c r="I75" i="32" s="1"/>
  <c r="F71" i="5"/>
  <c r="F71" i="32" s="1"/>
  <c r="K77" i="5"/>
  <c r="K77" i="32" s="1"/>
  <c r="N76" i="5"/>
  <c r="N76" i="32" s="1"/>
  <c r="K70" i="5"/>
  <c r="K70" i="32" s="1"/>
  <c r="L70" i="5"/>
  <c r="L70" i="32" s="1"/>
  <c r="C74" i="10"/>
  <c r="D74" i="10" s="1"/>
  <c r="C840" i="10"/>
  <c r="D840" i="10" s="1"/>
  <c r="C28" i="10"/>
  <c r="D28" i="10" s="1"/>
  <c r="C180" i="10"/>
  <c r="D180" i="10" s="1"/>
  <c r="H69" i="5"/>
  <c r="H69" i="32" s="1"/>
  <c r="F76" i="5"/>
  <c r="F76" i="32" s="1"/>
  <c r="C69" i="5"/>
  <c r="C69" i="32" s="1"/>
  <c r="C76" i="5"/>
  <c r="C76" i="32" s="1"/>
  <c r="J77" i="5"/>
  <c r="J77" i="32" s="1"/>
  <c r="E75" i="5"/>
  <c r="E75" i="32" s="1"/>
  <c r="N62" i="5"/>
  <c r="N62" i="32" s="1"/>
  <c r="G71" i="5"/>
  <c r="G71" i="32" s="1"/>
  <c r="G77" i="5"/>
  <c r="G77" i="32" s="1"/>
  <c r="F62" i="5"/>
  <c r="F62" i="32" s="1"/>
  <c r="H71" i="5"/>
  <c r="H71" i="32" s="1"/>
  <c r="G76" i="5"/>
  <c r="G76" i="32" s="1"/>
  <c r="E70" i="5"/>
  <c r="E70" i="32" s="1"/>
  <c r="O61" i="5"/>
  <c r="O77" i="5"/>
  <c r="K76" i="5"/>
  <c r="K76" i="32" s="1"/>
  <c r="N71" i="5"/>
  <c r="N71" i="32" s="1"/>
  <c r="E69" i="5"/>
  <c r="E69" i="32" s="1"/>
  <c r="I77" i="5"/>
  <c r="I77" i="32" s="1"/>
  <c r="F75" i="5"/>
  <c r="F75" i="32" s="1"/>
  <c r="G75" i="5"/>
  <c r="G75" i="32" s="1"/>
  <c r="L77" i="5"/>
  <c r="L77" i="32" s="1"/>
  <c r="H62" i="5"/>
  <c r="H62" i="32" s="1"/>
  <c r="C61" i="5"/>
  <c r="C61" i="32" s="1"/>
  <c r="D61" i="5"/>
  <c r="D61" i="32" s="1"/>
  <c r="M61" i="5"/>
  <c r="M61" i="32" s="1"/>
  <c r="H75" i="5"/>
  <c r="H75" i="32" s="1"/>
  <c r="M63" i="5"/>
  <c r="M63" i="32" s="1"/>
  <c r="C915" i="10"/>
  <c r="D915" i="10" s="1"/>
  <c r="C54" i="10"/>
  <c r="D54" i="10" s="1"/>
  <c r="C165" i="10"/>
  <c r="D165" i="10" s="1"/>
  <c r="C875" i="10"/>
  <c r="D875" i="10" s="1"/>
  <c r="C151" i="10"/>
  <c r="D151" i="10" s="1"/>
  <c r="C410" i="10"/>
  <c r="D410" i="10" s="1"/>
  <c r="C219" i="10"/>
  <c r="D219" i="10" s="1"/>
  <c r="C603" i="10"/>
  <c r="D603" i="10" s="1"/>
  <c r="C518" i="10"/>
  <c r="D518" i="10" s="1"/>
  <c r="K62" i="5"/>
  <c r="K62" i="32" s="1"/>
  <c r="I62" i="5"/>
  <c r="I62" i="32" s="1"/>
  <c r="C873" i="10"/>
  <c r="D873" i="10" s="1"/>
  <c r="E76" i="5"/>
  <c r="E76" i="32" s="1"/>
  <c r="C77" i="5"/>
  <c r="C77" i="32" s="1"/>
  <c r="M71" i="5"/>
  <c r="M71" i="32" s="1"/>
  <c r="O69" i="5"/>
  <c r="N69" i="5"/>
  <c r="N69" i="32" s="1"/>
  <c r="N61" i="5"/>
  <c r="N61" i="32" s="1"/>
  <c r="F63" i="5"/>
  <c r="F63" i="32" s="1"/>
  <c r="C208" i="10"/>
  <c r="D208" i="10" s="1"/>
  <c r="C892" i="10"/>
  <c r="D892" i="10" s="1"/>
  <c r="O76" i="5"/>
  <c r="M75" i="5"/>
  <c r="M75" i="32" s="1"/>
  <c r="O70" i="5"/>
  <c r="C63" i="5"/>
  <c r="C63" i="32" s="1"/>
  <c r="J63" i="5"/>
  <c r="J63" i="32" s="1"/>
  <c r="I61" i="5"/>
  <c r="I61" i="32" s="1"/>
  <c r="G62" i="5"/>
  <c r="G62" i="32" s="1"/>
  <c r="J76" i="5"/>
  <c r="J76" i="32" s="1"/>
  <c r="N63" i="5"/>
  <c r="N63" i="32" s="1"/>
  <c r="D69" i="5"/>
  <c r="D69" i="32" s="1"/>
  <c r="C75" i="5"/>
  <c r="C75" i="32" s="1"/>
  <c r="N75" i="5"/>
  <c r="N75" i="32" s="1"/>
  <c r="I63" i="5"/>
  <c r="I63" i="32" s="1"/>
  <c r="L62" i="5"/>
  <c r="L62" i="32" s="1"/>
  <c r="L69" i="5"/>
  <c r="L69" i="32" s="1"/>
  <c r="D63" i="5"/>
  <c r="D63" i="32" s="1"/>
  <c r="F69" i="5"/>
  <c r="F69" i="32" s="1"/>
  <c r="N77" i="5"/>
  <c r="N77" i="32" s="1"/>
  <c r="G61" i="5"/>
  <c r="G61" i="32" s="1"/>
  <c r="C71" i="5"/>
  <c r="C71" i="32" s="1"/>
  <c r="H76" i="5"/>
  <c r="E71" i="5"/>
  <c r="E71" i="32" s="1"/>
  <c r="M77" i="5"/>
  <c r="M77" i="32" s="1"/>
  <c r="J71" i="5"/>
  <c r="J71" i="32" s="1"/>
  <c r="F70" i="5"/>
  <c r="F70" i="32" s="1"/>
  <c r="F77" i="5"/>
  <c r="F77" i="32" s="1"/>
  <c r="K63" i="5"/>
  <c r="K63" i="32" s="1"/>
  <c r="I76" i="5"/>
  <c r="C745" i="10"/>
  <c r="D745" i="10" s="1"/>
  <c r="C62" i="10"/>
  <c r="D62" i="10" s="1"/>
  <c r="C919" i="10"/>
  <c r="D919" i="10" s="1"/>
  <c r="C189" i="10"/>
  <c r="D189" i="10" s="1"/>
  <c r="C429" i="10"/>
  <c r="D429" i="10" s="1"/>
  <c r="C303" i="10"/>
  <c r="D303" i="10" s="1"/>
  <c r="C663" i="10"/>
  <c r="D663" i="10" s="1"/>
  <c r="C459" i="10"/>
  <c r="D459" i="10" s="1"/>
  <c r="F61" i="5"/>
  <c r="F61" i="32" s="1"/>
  <c r="D1" i="21"/>
  <c r="C953" i="10"/>
  <c r="D953" i="10" s="1"/>
  <c r="R26" i="10"/>
  <c r="E63" i="32"/>
  <c r="G63" i="32"/>
  <c r="J62" i="32"/>
  <c r="C62" i="32"/>
  <c r="E61" i="32"/>
  <c r="C182" i="10"/>
  <c r="D182" i="10" s="1"/>
  <c r="C104" i="10"/>
  <c r="D104" i="10" s="1"/>
  <c r="C692" i="10"/>
  <c r="D692" i="10" s="1"/>
  <c r="C843" i="10"/>
  <c r="D843" i="10" s="1"/>
  <c r="C935" i="10"/>
  <c r="D935" i="10" s="1"/>
  <c r="C680" i="10"/>
  <c r="D680" i="10" s="1"/>
  <c r="C786" i="10"/>
  <c r="D786" i="10" s="1"/>
  <c r="C453" i="10"/>
  <c r="D453" i="10" s="1"/>
  <c r="C653" i="10"/>
  <c r="D653" i="10" s="1"/>
  <c r="C838" i="10"/>
  <c r="D838" i="10" s="1"/>
  <c r="C494" i="10"/>
  <c r="D494" i="10" s="1"/>
  <c r="C590" i="10"/>
  <c r="D590" i="10" s="1"/>
  <c r="C200" i="10"/>
  <c r="D200" i="10" s="1"/>
  <c r="C150" i="10"/>
  <c r="D150" i="10" s="1"/>
  <c r="C442" i="10"/>
  <c r="D442" i="10" s="1"/>
  <c r="C703" i="10"/>
  <c r="D703" i="10" s="1"/>
  <c r="C859" i="10"/>
  <c r="D859" i="10" s="1"/>
  <c r="C788" i="10"/>
  <c r="D788" i="10" s="1"/>
  <c r="C497" i="10"/>
  <c r="D497" i="10" s="1"/>
  <c r="C902" i="10"/>
  <c r="D902" i="10" s="1"/>
  <c r="C617" i="10"/>
  <c r="D617" i="10" s="1"/>
  <c r="C196" i="10"/>
  <c r="D196" i="10" s="1"/>
  <c r="C633" i="10"/>
  <c r="D633" i="10" s="1"/>
  <c r="C397" i="10"/>
  <c r="D397" i="10" s="1"/>
  <c r="C616" i="10"/>
  <c r="D616" i="10" s="1"/>
  <c r="C712" i="10"/>
  <c r="D712" i="10" s="1"/>
  <c r="C466" i="10"/>
  <c r="D466" i="10" s="1"/>
  <c r="C674" i="10"/>
  <c r="D674" i="10" s="1"/>
  <c r="C750" i="10"/>
  <c r="D750" i="10" s="1"/>
  <c r="C41" i="10"/>
  <c r="D41" i="10" s="1"/>
  <c r="C857" i="10"/>
  <c r="D857" i="10" s="1"/>
  <c r="C754" i="10"/>
  <c r="D754" i="10" s="1"/>
  <c r="C125" i="10"/>
  <c r="D125" i="10" s="1"/>
  <c r="C568" i="10"/>
  <c r="D568" i="10" s="1"/>
  <c r="C809" i="10"/>
  <c r="D809" i="10" s="1"/>
  <c r="C842" i="10"/>
  <c r="D842" i="10" s="1"/>
  <c r="C298" i="10"/>
  <c r="D298" i="10" s="1"/>
  <c r="C72" i="10"/>
  <c r="D72" i="10" s="1"/>
  <c r="C193" i="10"/>
  <c r="D193" i="10" s="1"/>
  <c r="C721" i="10"/>
  <c r="D721" i="10" s="1"/>
  <c r="C275" i="10"/>
  <c r="D275" i="10" s="1"/>
  <c r="C525" i="10"/>
  <c r="D525" i="10" s="1"/>
  <c r="C236" i="10"/>
  <c r="D236" i="10" s="1"/>
  <c r="C145" i="10"/>
  <c r="D145" i="10" s="1"/>
  <c r="C440" i="10"/>
  <c r="D440" i="10" s="1"/>
  <c r="C854" i="10"/>
  <c r="D854" i="10" s="1"/>
  <c r="C583" i="10"/>
  <c r="D583" i="10" s="1"/>
  <c r="C26" i="10"/>
  <c r="D26" i="10" s="1"/>
  <c r="C478" i="10"/>
  <c r="D478" i="10" s="1"/>
  <c r="C363" i="10"/>
  <c r="D363" i="10" s="1"/>
  <c r="C299" i="10"/>
  <c r="D299" i="10" s="1"/>
  <c r="C245" i="10"/>
  <c r="D245" i="10" s="1"/>
  <c r="C569" i="10"/>
  <c r="D569" i="10" s="1"/>
  <c r="C354" i="10"/>
  <c r="D354" i="10" s="1"/>
  <c r="C242" i="10"/>
  <c r="D242" i="10" s="1"/>
  <c r="C654" i="10"/>
  <c r="D654" i="10" s="1"/>
  <c r="C876" i="10"/>
  <c r="D876" i="10" s="1"/>
  <c r="C558" i="10"/>
  <c r="D558" i="10" s="1"/>
  <c r="C511" i="10"/>
  <c r="D511" i="10" s="1"/>
  <c r="C514" i="10"/>
  <c r="D514" i="10" s="1"/>
  <c r="C785" i="10"/>
  <c r="D785" i="10" s="1"/>
  <c r="C378" i="10"/>
  <c r="D378" i="10" s="1"/>
  <c r="C400" i="10"/>
  <c r="D400" i="10" s="1"/>
  <c r="C191" i="10"/>
  <c r="D191" i="10" s="1"/>
  <c r="C933" i="10"/>
  <c r="D933" i="10" s="1"/>
  <c r="C135" i="10"/>
  <c r="D135" i="10" s="1"/>
  <c r="C958" i="10"/>
  <c r="D958" i="10" s="1"/>
  <c r="C535" i="10"/>
  <c r="D535" i="10" s="1"/>
  <c r="C702" i="10"/>
  <c r="D702" i="10" s="1"/>
  <c r="C722" i="10"/>
  <c r="D722" i="10" s="1"/>
  <c r="C717" i="10"/>
  <c r="D717" i="10" s="1"/>
  <c r="C119" i="10"/>
  <c r="D119" i="10" s="1"/>
  <c r="C203" i="10"/>
  <c r="D203" i="10" s="1"/>
  <c r="C731" i="10"/>
  <c r="D731" i="10" s="1"/>
  <c r="C85" i="10"/>
  <c r="D85" i="10" s="1"/>
  <c r="C512" i="10"/>
  <c r="D512" i="10" s="1"/>
  <c r="C622" i="10"/>
  <c r="D622" i="10" s="1"/>
  <c r="C738" i="10"/>
  <c r="D738" i="10" s="1"/>
  <c r="C93" i="10"/>
  <c r="D93" i="10" s="1"/>
  <c r="C766" i="10"/>
  <c r="D766" i="10" s="1"/>
  <c r="C58" i="10"/>
  <c r="D58" i="10" s="1"/>
  <c r="C247" i="10"/>
  <c r="D247" i="10" s="1"/>
  <c r="C580" i="10"/>
  <c r="D580" i="10" s="1"/>
  <c r="C483" i="10"/>
  <c r="D483" i="10" s="1"/>
  <c r="C288" i="10"/>
  <c r="D288" i="10" s="1"/>
  <c r="C121" i="10"/>
  <c r="D121" i="10" s="1"/>
  <c r="C965" i="10"/>
  <c r="D965" i="10" s="1"/>
  <c r="C280" i="10"/>
  <c r="D280" i="10" s="1"/>
  <c r="C416" i="10"/>
  <c r="D416" i="10" s="1"/>
  <c r="C493" i="10"/>
  <c r="D493" i="10" s="1"/>
  <c r="C624" i="10"/>
  <c r="D624" i="10" s="1"/>
  <c r="C723" i="10"/>
  <c r="D723" i="10" s="1"/>
  <c r="C396" i="10"/>
  <c r="D396" i="10" s="1"/>
  <c r="C927" i="10"/>
  <c r="D927" i="10" s="1"/>
  <c r="C961" i="10"/>
  <c r="D961" i="10" s="1"/>
  <c r="C61" i="10"/>
  <c r="D61" i="10" s="1"/>
  <c r="C801" i="10"/>
  <c r="D801" i="10" s="1"/>
  <c r="C806" i="10"/>
  <c r="D806" i="10" s="1"/>
  <c r="C117" i="10"/>
  <c r="D117" i="10" s="1"/>
  <c r="C190" i="10"/>
  <c r="D190" i="10" s="1"/>
  <c r="C660" i="10"/>
  <c r="D660" i="10" s="1"/>
  <c r="C852" i="10"/>
  <c r="D852" i="10" s="1"/>
  <c r="C906" i="10"/>
  <c r="D906" i="10" s="1"/>
  <c r="C366" i="10"/>
  <c r="D366" i="10" s="1"/>
  <c r="C209" i="10"/>
  <c r="D209" i="10" s="1"/>
  <c r="C391" i="10"/>
  <c r="D391" i="10" s="1"/>
  <c r="C295" i="10"/>
  <c r="D295" i="10" s="1"/>
  <c r="C597" i="10"/>
  <c r="D597" i="10" s="1"/>
  <c r="C523" i="10"/>
  <c r="D523" i="10" s="1"/>
  <c r="C84" i="10"/>
  <c r="D84" i="10" s="1"/>
  <c r="C718" i="10"/>
  <c r="D718" i="10" s="1"/>
  <c r="C76" i="10"/>
  <c r="D76" i="10" s="1"/>
  <c r="C564" i="10"/>
  <c r="D564" i="10" s="1"/>
  <c r="C719" i="10"/>
  <c r="D719" i="10" s="1"/>
  <c r="C457" i="10"/>
  <c r="D457" i="10" s="1"/>
  <c r="C355" i="10"/>
  <c r="D355" i="10" s="1"/>
  <c r="C237" i="10"/>
  <c r="D237" i="10" s="1"/>
  <c r="C545" i="10"/>
  <c r="D545" i="10" s="1"/>
  <c r="C322" i="10"/>
  <c r="D322" i="10" s="1"/>
  <c r="C351" i="10"/>
  <c r="D351" i="10" s="1"/>
  <c r="C500" i="10"/>
  <c r="D500" i="10" s="1"/>
  <c r="C739" i="10"/>
  <c r="D739" i="10" s="1"/>
  <c r="C554" i="10"/>
  <c r="D554" i="10" s="1"/>
  <c r="C129" i="10"/>
  <c r="D129" i="10" s="1"/>
  <c r="C767" i="10"/>
  <c r="D767" i="10" s="1"/>
  <c r="C433" i="10"/>
  <c r="D433" i="10" s="1"/>
  <c r="C631" i="10"/>
  <c r="D631" i="10" s="1"/>
  <c r="C37" i="10"/>
  <c r="D37" i="10" s="1"/>
  <c r="C243" i="10"/>
  <c r="D243" i="10" s="1"/>
  <c r="C639" i="10"/>
  <c r="D639" i="10" s="1"/>
  <c r="C908" i="10"/>
  <c r="D908" i="10" s="1"/>
  <c r="C124" i="10"/>
  <c r="D124" i="10" s="1"/>
  <c r="C112" i="10"/>
  <c r="D112" i="10" s="1"/>
  <c r="C735" i="10"/>
  <c r="D735" i="10" s="1"/>
  <c r="C894" i="10"/>
  <c r="D894" i="10" s="1"/>
  <c r="C287" i="10"/>
  <c r="D287" i="10" s="1"/>
  <c r="C612" i="10"/>
  <c r="D612" i="10" s="1"/>
  <c r="C184" i="10"/>
  <c r="D184" i="10" s="1"/>
  <c r="C73" i="10"/>
  <c r="D73" i="10" s="1"/>
  <c r="C106" i="10"/>
  <c r="D106" i="10" s="1"/>
  <c r="C835" i="10"/>
  <c r="D835" i="10" s="1"/>
  <c r="C380" i="10"/>
  <c r="D380" i="10" s="1"/>
  <c r="C223" i="10"/>
  <c r="D223" i="10" s="1"/>
  <c r="C668" i="10"/>
  <c r="D668" i="10" s="1"/>
  <c r="C636" i="10"/>
  <c r="D636" i="10" s="1"/>
  <c r="C733" i="10"/>
  <c r="D733" i="10" s="1"/>
  <c r="C326" i="10"/>
  <c r="D326" i="10" s="1"/>
  <c r="C879" i="10"/>
  <c r="D879" i="10" s="1"/>
  <c r="C589" i="10"/>
  <c r="D589" i="10" s="1"/>
  <c r="C82" i="10"/>
  <c r="D82" i="10" s="1"/>
  <c r="C909" i="10"/>
  <c r="D909" i="10" s="1"/>
  <c r="C870" i="10"/>
  <c r="D870" i="10" s="1"/>
  <c r="C110" i="10"/>
  <c r="D110" i="10" s="1"/>
  <c r="C226" i="10"/>
  <c r="D226" i="10" s="1"/>
  <c r="C943" i="10"/>
  <c r="D943" i="10" s="1"/>
  <c r="C71" i="10"/>
  <c r="D71" i="10" s="1"/>
  <c r="C393" i="10"/>
  <c r="D393" i="10" s="1"/>
  <c r="C56" i="10"/>
  <c r="D56" i="10" s="1"/>
  <c r="C262" i="10"/>
  <c r="D262" i="10" s="1"/>
  <c r="C451" i="10"/>
  <c r="D451" i="10" s="1"/>
  <c r="C317" i="10"/>
  <c r="D317" i="10" s="1"/>
  <c r="C737" i="10"/>
  <c r="D737" i="10" s="1"/>
  <c r="C855" i="10"/>
  <c r="D855" i="10" s="1"/>
  <c r="C826" i="10"/>
  <c r="D826" i="10" s="1"/>
  <c r="C228" i="10"/>
  <c r="D228" i="10" s="1"/>
  <c r="C368" i="10"/>
  <c r="D368" i="10" s="1"/>
  <c r="C548" i="10"/>
  <c r="D548" i="10" s="1"/>
  <c r="C649" i="10"/>
  <c r="D649" i="10" s="1"/>
  <c r="C437" i="10"/>
  <c r="D437" i="10" s="1"/>
  <c r="C206" i="10"/>
  <c r="D206" i="10" s="1"/>
  <c r="C632" i="10"/>
  <c r="D632" i="10" s="1"/>
  <c r="C912" i="10"/>
  <c r="D912" i="10" s="1"/>
  <c r="C155" i="10"/>
  <c r="D155" i="10" s="1"/>
  <c r="C877" i="10"/>
  <c r="D877" i="10" s="1"/>
  <c r="C841" i="10"/>
  <c r="D841" i="10" s="1"/>
  <c r="C46" i="10"/>
  <c r="D46" i="10" s="1"/>
  <c r="C423" i="10"/>
  <c r="D423" i="10" s="1"/>
  <c r="C282" i="10"/>
  <c r="D282" i="10" s="1"/>
  <c r="C792" i="10"/>
  <c r="D792" i="10" s="1"/>
  <c r="C443" i="10"/>
  <c r="D443" i="10" s="1"/>
  <c r="C683" i="10"/>
  <c r="D683" i="10" s="1"/>
  <c r="C793" i="10"/>
  <c r="D793" i="10" s="1"/>
  <c r="C868" i="10"/>
  <c r="D868" i="10" s="1"/>
  <c r="C96" i="10"/>
  <c r="D96" i="10" s="1"/>
  <c r="C800" i="10"/>
  <c r="D800" i="10" s="1"/>
  <c r="C53" i="10"/>
  <c r="D53" i="10" s="1"/>
  <c r="C32" i="10"/>
  <c r="D32" i="10" s="1"/>
  <c r="C329" i="10"/>
  <c r="D329" i="10" s="1"/>
  <c r="C629" i="10"/>
  <c r="D629" i="10" s="1"/>
  <c r="C950" i="10"/>
  <c r="D950" i="10" s="1"/>
  <c r="C105" i="10"/>
  <c r="D105" i="10" s="1"/>
  <c r="C90" i="10"/>
  <c r="D90" i="10" s="1"/>
  <c r="C920" i="10"/>
  <c r="D920" i="10" s="1"/>
  <c r="C547" i="10"/>
  <c r="D547" i="10" s="1"/>
  <c r="C495" i="10"/>
  <c r="D495" i="10" s="1"/>
  <c r="C576" i="10"/>
  <c r="D576" i="10" s="1"/>
  <c r="C643" i="10"/>
  <c r="D643" i="10" s="1"/>
  <c r="C741" i="10"/>
  <c r="D741" i="10" s="1"/>
  <c r="C232" i="10"/>
  <c r="D232" i="10" s="1"/>
  <c r="C823" i="10"/>
  <c r="D823" i="10" s="1"/>
  <c r="C480" i="10"/>
  <c r="D480" i="10" s="1"/>
  <c r="C97" i="10"/>
  <c r="D97" i="10" s="1"/>
  <c r="C861" i="10"/>
  <c r="D861" i="10" s="1"/>
  <c r="C934" i="10"/>
  <c r="D934" i="10" s="1"/>
  <c r="C102" i="10"/>
  <c r="D102" i="10" s="1"/>
  <c r="C272" i="10"/>
  <c r="D272" i="10" s="1"/>
  <c r="C771" i="10"/>
  <c r="D771" i="10" s="1"/>
  <c r="C895" i="10"/>
  <c r="D895" i="10" s="1"/>
  <c r="C431" i="10"/>
  <c r="D431" i="10" s="1"/>
  <c r="C324" i="10"/>
  <c r="D324" i="10" s="1"/>
  <c r="C536" i="10"/>
  <c r="D536" i="10" s="1"/>
  <c r="C337" i="10"/>
  <c r="D337" i="10" s="1"/>
  <c r="C476" i="10"/>
  <c r="D476" i="10" s="1"/>
  <c r="C634" i="10"/>
  <c r="D634" i="10" s="1"/>
  <c r="C819" i="10"/>
  <c r="D819" i="10" s="1"/>
  <c r="C925" i="10"/>
  <c r="D925" i="10" s="1"/>
  <c r="C780" i="10"/>
  <c r="D780" i="10" s="1"/>
  <c r="C519" i="10"/>
  <c r="D519" i="10" s="1"/>
  <c r="C607" i="10"/>
  <c r="D607" i="10" s="1"/>
  <c r="C421" i="10"/>
  <c r="D421" i="10" s="1"/>
  <c r="C339" i="10"/>
  <c r="D339" i="10" s="1"/>
  <c r="C283" i="10"/>
  <c r="D283" i="10" s="1"/>
  <c r="C221" i="10"/>
  <c r="D221" i="10" s="1"/>
  <c r="C502" i="10"/>
  <c r="D502" i="10" s="1"/>
  <c r="C570" i="10"/>
  <c r="D570" i="10" s="1"/>
  <c r="C936" i="10"/>
  <c r="D936" i="10" s="1"/>
  <c r="C863" i="10"/>
  <c r="D863" i="10" s="1"/>
  <c r="C177" i="10"/>
  <c r="D177" i="10" s="1"/>
  <c r="C657" i="10"/>
  <c r="D657" i="10" s="1"/>
  <c r="C447" i="10"/>
  <c r="D447" i="10" s="1"/>
  <c r="C434" i="10"/>
  <c r="D434" i="10" s="1"/>
  <c r="C263" i="10"/>
  <c r="D263" i="10" s="1"/>
  <c r="C555" i="10"/>
  <c r="D555" i="10" s="1"/>
  <c r="C563" i="10"/>
  <c r="D563" i="10" s="1"/>
  <c r="C286" i="10"/>
  <c r="D286" i="10" s="1"/>
  <c r="C163" i="10"/>
  <c r="D163" i="10" s="1"/>
  <c r="C763" i="10"/>
  <c r="D763" i="10" s="1"/>
  <c r="C716" i="10"/>
  <c r="D716" i="10" s="1"/>
  <c r="C463" i="10"/>
  <c r="D463" i="10" s="1"/>
  <c r="C450" i="10"/>
  <c r="D450" i="10" s="1"/>
  <c r="C333" i="10"/>
  <c r="D333" i="10" s="1"/>
  <c r="C239" i="10"/>
  <c r="D239" i="10" s="1"/>
  <c r="C488" i="10"/>
  <c r="D488" i="10" s="1"/>
  <c r="C544" i="10"/>
  <c r="D544" i="10" s="1"/>
  <c r="C342" i="10"/>
  <c r="D342" i="10" s="1"/>
  <c r="C602" i="10"/>
  <c r="D602" i="10" s="1"/>
  <c r="C677" i="10"/>
  <c r="D677" i="10" s="1"/>
  <c r="C756" i="10"/>
  <c r="D756" i="10" s="1"/>
  <c r="C620" i="10"/>
  <c r="D620" i="10" s="1"/>
  <c r="C435" i="10"/>
  <c r="D435" i="10" s="1"/>
  <c r="C420" i="10"/>
  <c r="D420" i="10" s="1"/>
  <c r="C507" i="10"/>
  <c r="D507" i="10" s="1"/>
  <c r="C746" i="10"/>
  <c r="D746" i="10" s="1"/>
  <c r="C797" i="10"/>
  <c r="D797" i="10" s="1"/>
  <c r="C485" i="10"/>
  <c r="D485" i="10" s="1"/>
  <c r="C402" i="10"/>
  <c r="D402" i="10" s="1"/>
  <c r="C833" i="10"/>
  <c r="D833" i="10" s="1"/>
  <c r="C964" i="10"/>
  <c r="D964" i="10" s="1"/>
  <c r="C452" i="10"/>
  <c r="D452" i="10" s="1"/>
  <c r="C701" i="10"/>
  <c r="D701" i="10" s="1"/>
  <c r="C942" i="10"/>
  <c r="D942" i="10" s="1"/>
  <c r="C824" i="10"/>
  <c r="D824" i="10" s="1"/>
  <c r="C83" i="10"/>
  <c r="D83" i="10" s="1"/>
  <c r="C890" i="10"/>
  <c r="D890" i="10" s="1"/>
  <c r="C153" i="10"/>
  <c r="D153" i="10" s="1"/>
  <c r="C187" i="10"/>
  <c r="D187" i="10" s="1"/>
  <c r="C373" i="10"/>
  <c r="D373" i="10" s="1"/>
  <c r="C672" i="10"/>
  <c r="D672" i="10" s="1"/>
  <c r="C887" i="10"/>
  <c r="D887" i="10" s="1"/>
  <c r="C963" i="10"/>
  <c r="D963" i="10" s="1"/>
  <c r="C77" i="10"/>
  <c r="D77" i="10" s="1"/>
  <c r="C831" i="10"/>
  <c r="D831" i="10" s="1"/>
  <c r="C265" i="10"/>
  <c r="D265" i="10" s="1"/>
  <c r="C577" i="10"/>
  <c r="D577" i="10" s="1"/>
  <c r="C584" i="10"/>
  <c r="D584" i="10" s="1"/>
  <c r="C656" i="10"/>
  <c r="D656" i="10" s="1"/>
  <c r="C752" i="10"/>
  <c r="D752" i="10" s="1"/>
  <c r="C161" i="10"/>
  <c r="D161" i="10" s="1"/>
  <c r="C931" i="10"/>
  <c r="D931" i="10" s="1"/>
  <c r="C407" i="10"/>
  <c r="D407" i="10" s="1"/>
  <c r="C113" i="10"/>
  <c r="D113" i="10" s="1"/>
  <c r="C816" i="10"/>
  <c r="D816" i="10" s="1"/>
  <c r="C174" i="10"/>
  <c r="D174" i="10" s="1"/>
  <c r="C94" i="10"/>
  <c r="D94" i="10" s="1"/>
  <c r="C308" i="10"/>
  <c r="D308" i="10" s="1"/>
  <c r="C813" i="10"/>
  <c r="D813" i="10" s="1"/>
  <c r="C937" i="10"/>
  <c r="D937" i="10" s="1"/>
  <c r="C39" i="10"/>
  <c r="D39" i="10" s="1"/>
  <c r="C470" i="10"/>
  <c r="D470" i="10" s="1"/>
  <c r="C51" i="10"/>
  <c r="D51" i="10" s="1"/>
  <c r="C615" i="10"/>
  <c r="D615" i="10" s="1"/>
  <c r="C359" i="10"/>
  <c r="D359" i="10" s="1"/>
  <c r="C516" i="10"/>
  <c r="D516" i="10" s="1"/>
  <c r="C647" i="10"/>
  <c r="D647" i="10" s="1"/>
  <c r="C762" i="10"/>
  <c r="D762" i="10" s="1"/>
  <c r="C740" i="10"/>
  <c r="D740" i="10" s="1"/>
  <c r="C503" i="10"/>
  <c r="D503" i="10" s="1"/>
  <c r="C560" i="10"/>
  <c r="D560" i="10" s="1"/>
  <c r="C405" i="10"/>
  <c r="D405" i="10" s="1"/>
  <c r="C331" i="10"/>
  <c r="D331" i="10" s="1"/>
  <c r="C277" i="10"/>
  <c r="D277" i="10" s="1"/>
  <c r="C213" i="10"/>
  <c r="D213" i="10" s="1"/>
  <c r="C465" i="10"/>
  <c r="D465" i="10" s="1"/>
  <c r="C579" i="10"/>
  <c r="D579" i="10" s="1"/>
  <c r="C99" i="10"/>
  <c r="D99" i="10" s="1"/>
  <c r="C918" i="10"/>
  <c r="D918" i="10" s="1"/>
  <c r="C111" i="10"/>
  <c r="D111" i="10" s="1"/>
  <c r="C599" i="10"/>
  <c r="D599" i="10" s="1"/>
  <c r="C729" i="10"/>
  <c r="D729" i="10" s="1"/>
  <c r="C413" i="10"/>
  <c r="D413" i="10" s="1"/>
  <c r="C325" i="10"/>
  <c r="D325" i="10" s="1"/>
  <c r="C251" i="10"/>
  <c r="D251" i="10" s="1"/>
  <c r="C531" i="10"/>
  <c r="D531" i="10" s="1"/>
  <c r="C513" i="10"/>
  <c r="D513" i="10" s="1"/>
  <c r="C254" i="10"/>
  <c r="D254" i="10" s="1"/>
  <c r="C179" i="10"/>
  <c r="D179" i="10" s="1"/>
  <c r="C439" i="10"/>
  <c r="D439" i="10" s="1"/>
  <c r="C628" i="10"/>
  <c r="D628" i="10" s="1"/>
  <c r="C444" i="10"/>
  <c r="D444" i="10" s="1"/>
  <c r="C566" i="10"/>
  <c r="D566" i="10" s="1"/>
  <c r="C872" i="10"/>
  <c r="D872" i="10" s="1"/>
  <c r="C690" i="10"/>
  <c r="D690" i="10" s="1"/>
  <c r="C598" i="10"/>
  <c r="D598" i="10" s="1"/>
  <c r="C185" i="10"/>
  <c r="D185" i="10" s="1"/>
  <c r="C173" i="10"/>
  <c r="D173" i="10" s="1"/>
  <c r="C29" i="10"/>
  <c r="D29" i="10" s="1"/>
  <c r="C587" i="10"/>
  <c r="D587" i="10" s="1"/>
  <c r="C789" i="10"/>
  <c r="D789" i="10" s="1"/>
  <c r="C874" i="10"/>
  <c r="D874" i="10" s="1"/>
  <c r="C720" i="10"/>
  <c r="D720" i="10" s="1"/>
  <c r="C515" i="10"/>
  <c r="D515" i="10" s="1"/>
  <c r="C645" i="10"/>
  <c r="D645" i="10" s="1"/>
  <c r="C59" i="10"/>
  <c r="D59" i="10" s="1"/>
  <c r="C796" i="10"/>
  <c r="D796" i="10" s="1"/>
  <c r="C248" i="10"/>
  <c r="D248" i="10" s="1"/>
  <c r="C246" i="10"/>
  <c r="D246" i="10" s="1"/>
  <c r="C557" i="10"/>
  <c r="D557" i="10" s="1"/>
  <c r="C688" i="10"/>
  <c r="D688" i="10" s="1"/>
  <c r="C960" i="10"/>
  <c r="D960" i="10" s="1"/>
  <c r="C820" i="10"/>
  <c r="D820" i="10" s="1"/>
  <c r="C682" i="10"/>
  <c r="D682" i="10" s="1"/>
  <c r="C305" i="10"/>
  <c r="D305" i="10" s="1"/>
  <c r="C751" i="10"/>
  <c r="D751" i="10" s="1"/>
  <c r="C592" i="10"/>
  <c r="D592" i="10" s="1"/>
  <c r="C667" i="10"/>
  <c r="D667" i="10" s="1"/>
  <c r="C57" i="10"/>
  <c r="D57" i="10" s="1"/>
  <c r="C886" i="10"/>
  <c r="D886" i="10" s="1"/>
  <c r="C344" i="10"/>
  <c r="D344" i="10" s="1"/>
  <c r="C128" i="10"/>
  <c r="D128" i="10" s="1"/>
  <c r="C768" i="10"/>
  <c r="D768" i="10" s="1"/>
  <c r="C162" i="10"/>
  <c r="D162" i="10" s="1"/>
  <c r="C87" i="10"/>
  <c r="D87" i="10" s="1"/>
  <c r="C411" i="10"/>
  <c r="D411" i="10" s="1"/>
  <c r="C856" i="10"/>
  <c r="D856" i="10" s="1"/>
  <c r="C650" i="10"/>
  <c r="D650" i="10" s="1"/>
  <c r="C137" i="10"/>
  <c r="D137" i="10" s="1"/>
  <c r="C42" i="10"/>
  <c r="D42" i="10" s="1"/>
  <c r="C404" i="10"/>
  <c r="D404" i="10" s="1"/>
  <c r="C211" i="10"/>
  <c r="D211" i="10" s="1"/>
  <c r="C379" i="10"/>
  <c r="D379" i="10" s="1"/>
  <c r="C556" i="10"/>
  <c r="D556" i="10" s="1"/>
  <c r="C828" i="10"/>
  <c r="D828" i="10" s="1"/>
  <c r="C95" i="10"/>
  <c r="D95" i="10" s="1"/>
  <c r="C695" i="10"/>
  <c r="D695" i="10" s="1"/>
  <c r="C487" i="10"/>
  <c r="D487" i="10" s="1"/>
  <c r="C542" i="10"/>
  <c r="D542" i="10" s="1"/>
  <c r="C389" i="10"/>
  <c r="D389" i="10" s="1"/>
  <c r="C323" i="10"/>
  <c r="D323" i="10" s="1"/>
  <c r="C269" i="10"/>
  <c r="D269" i="10" s="1"/>
  <c r="C743" i="10"/>
  <c r="D743" i="10" s="1"/>
  <c r="C427" i="10"/>
  <c r="D427" i="10" s="1"/>
  <c r="C698" i="10"/>
  <c r="D698" i="10" s="1"/>
  <c r="C947" i="10"/>
  <c r="D947" i="10" s="1"/>
  <c r="C553" i="10"/>
  <c r="D553" i="10" s="1"/>
  <c r="C626" i="10"/>
  <c r="D626" i="10" s="1"/>
  <c r="C372" i="10"/>
  <c r="D372" i="10" s="1"/>
  <c r="C352" i="10"/>
  <c r="D352" i="10" s="1"/>
  <c r="C922" i="10"/>
  <c r="D922" i="10" s="1"/>
  <c r="C201" i="10"/>
  <c r="D201" i="10" s="1"/>
  <c r="C803" i="10"/>
  <c r="D803" i="10" s="1"/>
  <c r="C941" i="10"/>
  <c r="D941" i="10" s="1"/>
  <c r="C143" i="10"/>
  <c r="D143" i="10" s="1"/>
  <c r="C732" i="10"/>
  <c r="D732" i="10" s="1"/>
  <c r="C605" i="10"/>
  <c r="D605" i="10" s="1"/>
  <c r="C315" i="10"/>
  <c r="D315" i="10" s="1"/>
  <c r="C526" i="10"/>
  <c r="D526" i="10" s="1"/>
  <c r="C795" i="10"/>
  <c r="D795" i="10" s="1"/>
  <c r="C388" i="10"/>
  <c r="D388" i="10" s="1"/>
  <c r="C551" i="10"/>
  <c r="D551" i="10" s="1"/>
  <c r="C461" i="10"/>
  <c r="D461" i="10" s="1"/>
  <c r="C293" i="10"/>
  <c r="D293" i="10" s="1"/>
  <c r="C498" i="10"/>
  <c r="D498" i="10" s="1"/>
  <c r="C356" i="10"/>
  <c r="D356" i="10" s="1"/>
  <c r="C753" i="10"/>
  <c r="D753" i="10" s="1"/>
  <c r="C619" i="10"/>
  <c r="D619" i="10" s="1"/>
  <c r="C375" i="10"/>
  <c r="D375" i="10" s="1"/>
  <c r="C271" i="10"/>
  <c r="D271" i="10" s="1"/>
  <c r="C550" i="10"/>
  <c r="D550" i="10" s="1"/>
  <c r="C671" i="10"/>
  <c r="D671" i="10" s="1"/>
  <c r="C167" i="10"/>
  <c r="D167" i="10" s="1"/>
  <c r="C640" i="10"/>
  <c r="D640" i="10" s="1"/>
  <c r="C725" i="10"/>
  <c r="D725" i="10" s="1"/>
  <c r="C296" i="10"/>
  <c r="D296" i="10" s="1"/>
  <c r="C858" i="10"/>
  <c r="D858" i="10" s="1"/>
  <c r="C50" i="10"/>
  <c r="D50" i="10" s="1"/>
  <c r="C849" i="10"/>
  <c r="D849" i="10" s="1"/>
  <c r="C884" i="10"/>
  <c r="D884" i="10" s="1"/>
  <c r="C108" i="10"/>
  <c r="D108" i="10" s="1"/>
  <c r="C240" i="10"/>
  <c r="D240" i="10" s="1"/>
  <c r="C951" i="10"/>
  <c r="D951" i="10" s="1"/>
  <c r="C903" i="10"/>
  <c r="D903" i="10" s="1"/>
  <c r="C436" i="10"/>
  <c r="D436" i="10" s="1"/>
  <c r="C270" i="10"/>
  <c r="D270" i="10" s="1"/>
  <c r="C474" i="10"/>
  <c r="D474" i="10" s="1"/>
  <c r="C319" i="10"/>
  <c r="D319" i="10" s="1"/>
  <c r="C613" i="10"/>
  <c r="D613" i="10" s="1"/>
  <c r="C340" i="10"/>
  <c r="D340" i="10" s="1"/>
  <c r="C805" i="10"/>
  <c r="D805" i="10" s="1"/>
  <c r="C932" i="10"/>
  <c r="D932" i="10" s="1"/>
  <c r="C348" i="10"/>
  <c r="D348" i="10" s="1"/>
  <c r="C944" i="10"/>
  <c r="D944" i="10" s="1"/>
  <c r="C306" i="10"/>
  <c r="D306" i="10" s="1"/>
  <c r="C773" i="10"/>
  <c r="D773" i="10" s="1"/>
  <c r="C118" i="10"/>
  <c r="D118" i="10" s="1"/>
  <c r="C314" i="10"/>
  <c r="D314" i="10" s="1"/>
  <c r="C264" i="10"/>
  <c r="D264" i="10" s="1"/>
  <c r="C362" i="10"/>
  <c r="D362" i="10" s="1"/>
  <c r="C685" i="10"/>
  <c r="D685" i="10" s="1"/>
  <c r="C233" i="10"/>
  <c r="D233" i="10" s="1"/>
  <c r="C521" i="10"/>
  <c r="D521" i="10" s="1"/>
  <c r="C192" i="10"/>
  <c r="D192" i="10" s="1"/>
  <c r="C357" i="10"/>
  <c r="D357" i="10" s="1"/>
  <c r="C207" i="10"/>
  <c r="D207" i="10" s="1"/>
  <c r="C510" i="10"/>
  <c r="D510" i="10" s="1"/>
  <c r="C343" i="10"/>
  <c r="D343" i="10" s="1"/>
  <c r="C469" i="10"/>
  <c r="D469" i="10" s="1"/>
  <c r="C586" i="10"/>
  <c r="D586" i="10" s="1"/>
  <c r="C68" i="10"/>
  <c r="D68" i="10" s="1"/>
  <c r="C853" i="10"/>
  <c r="D853" i="10" s="1"/>
  <c r="C864" i="10"/>
  <c r="D864" i="10" s="1"/>
  <c r="C537" i="10"/>
  <c r="D537" i="10" s="1"/>
  <c r="C414" i="10"/>
  <c r="D414" i="10" s="1"/>
  <c r="C524" i="10"/>
  <c r="D524" i="10" s="1"/>
  <c r="C711" i="10"/>
  <c r="D711" i="10" s="1"/>
  <c r="C120" i="10"/>
  <c r="D120" i="10" s="1"/>
  <c r="C504" i="10"/>
  <c r="D504" i="10" s="1"/>
  <c r="C210" i="10"/>
  <c r="D210" i="10" s="1"/>
  <c r="C520" i="10"/>
  <c r="D520" i="10" s="1"/>
  <c r="C666" i="10"/>
  <c r="D666" i="10" s="1"/>
  <c r="C294" i="10"/>
  <c r="D294" i="10" s="1"/>
  <c r="C600" i="10"/>
  <c r="D600" i="10" s="1"/>
  <c r="C827" i="10"/>
  <c r="D827" i="10" s="1"/>
  <c r="C146" i="10"/>
  <c r="D146" i="10" s="1"/>
  <c r="C714" i="10"/>
  <c r="D714" i="10" s="1"/>
  <c r="C456" i="10"/>
  <c r="D456" i="10" s="1"/>
  <c r="C471" i="10"/>
  <c r="D471" i="10" s="1"/>
  <c r="C307" i="10"/>
  <c r="D307" i="10" s="1"/>
  <c r="C409" i="10"/>
  <c r="D409" i="10" s="1"/>
  <c r="C148" i="10"/>
  <c r="D148" i="10" s="1"/>
  <c r="C66" i="10"/>
  <c r="D66" i="10" s="1"/>
  <c r="C532" i="10"/>
  <c r="D532" i="10" s="1"/>
  <c r="C394" i="10"/>
  <c r="D394" i="10" s="1"/>
  <c r="C281" i="10"/>
  <c r="D281" i="10" s="1"/>
  <c r="C441" i="10"/>
  <c r="D441" i="10" s="1"/>
  <c r="C318" i="10"/>
  <c r="D318" i="10" s="1"/>
  <c r="C45" i="10"/>
  <c r="D45" i="10" s="1"/>
  <c r="C593" i="10"/>
  <c r="D593" i="10" s="1"/>
  <c r="C571" i="10"/>
  <c r="D571" i="10" s="1"/>
  <c r="C365" i="10"/>
  <c r="D365" i="10" s="1"/>
  <c r="C259" i="10"/>
  <c r="D259" i="10" s="1"/>
  <c r="C522" i="10"/>
  <c r="D522" i="10" s="1"/>
  <c r="C310" i="10"/>
  <c r="D310" i="10" s="1"/>
  <c r="C30" i="10"/>
  <c r="D30" i="10" s="1"/>
  <c r="C70" i="10"/>
  <c r="D70" i="10" s="1"/>
  <c r="C648" i="10"/>
  <c r="D648" i="10" s="1"/>
  <c r="C736" i="10"/>
  <c r="D736" i="10" s="1"/>
  <c r="C218" i="10"/>
  <c r="D218" i="10" s="1"/>
  <c r="C871" i="10"/>
  <c r="D871" i="10" s="1"/>
  <c r="C730" i="10"/>
  <c r="D730" i="10" s="1"/>
  <c r="C86" i="10"/>
  <c r="D86" i="10" s="1"/>
  <c r="C957" i="10"/>
  <c r="D957" i="10" s="1"/>
  <c r="C946" i="10"/>
  <c r="D946" i="10" s="1"/>
  <c r="C100" i="10"/>
  <c r="D100" i="10" s="1"/>
  <c r="C276" i="10"/>
  <c r="D276" i="10" s="1"/>
  <c r="C779" i="10"/>
  <c r="D779" i="10" s="1"/>
  <c r="C945" i="10"/>
  <c r="D945" i="10" s="1"/>
  <c r="C31" i="10"/>
  <c r="D31" i="10" s="1"/>
  <c r="C486" i="10"/>
  <c r="D486" i="10" s="1"/>
  <c r="C49" i="10"/>
  <c r="D49" i="10" s="1"/>
  <c r="C541" i="10"/>
  <c r="D541" i="10" s="1"/>
  <c r="C341" i="10"/>
  <c r="D341" i="10" s="1"/>
  <c r="C748" i="10"/>
  <c r="D748" i="10" s="1"/>
  <c r="C202" i="10"/>
  <c r="D202" i="10" s="1"/>
  <c r="C33" i="10"/>
  <c r="D33" i="10" s="1"/>
  <c r="C454" i="10"/>
  <c r="D454" i="10" s="1"/>
  <c r="C896" i="10"/>
  <c r="D896" i="10" s="1"/>
  <c r="C134" i="10"/>
  <c r="D134" i="10" s="1"/>
  <c r="C164" i="10"/>
  <c r="D164" i="10" s="1"/>
  <c r="C358" i="10"/>
  <c r="D358" i="10" s="1"/>
  <c r="C846" i="10"/>
  <c r="D846" i="10" s="1"/>
  <c r="C697" i="10"/>
  <c r="D697" i="10" s="1"/>
  <c r="C791" i="10"/>
  <c r="D791" i="10" s="1"/>
  <c r="C844" i="10"/>
  <c r="D844" i="10" s="1"/>
  <c r="C43" i="10"/>
  <c r="D43" i="10" s="1"/>
  <c r="C956" i="10"/>
  <c r="D956" i="10" s="1"/>
  <c r="C107" i="10"/>
  <c r="D107" i="10" s="1"/>
  <c r="C63" i="10"/>
  <c r="D63" i="10" s="1"/>
  <c r="C320" i="10"/>
  <c r="D320" i="10" s="1"/>
  <c r="C924" i="10"/>
  <c r="D924" i="10" s="1"/>
  <c r="C678" i="10"/>
  <c r="D678" i="10" s="1"/>
  <c r="C81" i="10"/>
  <c r="D81" i="10" s="1"/>
  <c r="C216" i="10"/>
  <c r="D216" i="10" s="1"/>
  <c r="C261" i="10"/>
  <c r="D261" i="10" s="1"/>
  <c r="C851" i="10"/>
  <c r="D851" i="10" s="1"/>
  <c r="C241" i="10"/>
  <c r="D241" i="10" s="1"/>
  <c r="C706" i="10"/>
  <c r="D706" i="10" s="1"/>
  <c r="C227" i="10"/>
  <c r="D227" i="10" s="1"/>
  <c r="C923" i="10"/>
  <c r="D923" i="10" s="1"/>
  <c r="C116" i="10"/>
  <c r="D116" i="10" s="1"/>
  <c r="C78" i="10"/>
  <c r="D78" i="10" s="1"/>
  <c r="C734" i="10"/>
  <c r="D734" i="10" s="1"/>
  <c r="C40" i="10"/>
  <c r="D40" i="10" s="1"/>
  <c r="C381" i="10"/>
  <c r="D381" i="10" s="1"/>
  <c r="C776" i="10"/>
  <c r="D776" i="10" s="1"/>
  <c r="C742" i="10"/>
  <c r="D742" i="10" s="1"/>
  <c r="C374" i="10"/>
  <c r="D374" i="10" s="1"/>
  <c r="C787" i="10"/>
  <c r="D787" i="10" s="1"/>
  <c r="C349" i="10"/>
  <c r="D349" i="10" s="1"/>
  <c r="C608" i="10"/>
  <c r="D608" i="10" s="1"/>
  <c r="C878" i="10"/>
  <c r="D878" i="10" s="1"/>
  <c r="C133" i="10"/>
  <c r="D133" i="10" s="1"/>
  <c r="C778" i="10"/>
  <c r="D778" i="10" s="1"/>
  <c r="C533" i="10"/>
  <c r="D533" i="10" s="1"/>
  <c r="C929" i="10"/>
  <c r="D929" i="10" s="1"/>
  <c r="C455" i="10"/>
  <c r="D455" i="10" s="1"/>
  <c r="C291" i="10"/>
  <c r="D291" i="10" s="1"/>
  <c r="C384" i="10"/>
  <c r="D384" i="10" s="1"/>
  <c r="C490" i="10"/>
  <c r="D490" i="10" s="1"/>
  <c r="C782" i="10"/>
  <c r="D782" i="10" s="1"/>
  <c r="C492" i="10"/>
  <c r="D492" i="10" s="1"/>
  <c r="C367" i="10"/>
  <c r="D367" i="10" s="1"/>
  <c r="C273" i="10"/>
  <c r="D273" i="10" s="1"/>
  <c r="C412" i="10"/>
  <c r="D412" i="10" s="1"/>
  <c r="C230" i="10"/>
  <c r="D230" i="10" s="1"/>
  <c r="C567" i="10"/>
  <c r="D567" i="10" s="1"/>
  <c r="C539" i="10"/>
  <c r="D539" i="10" s="1"/>
  <c r="C353" i="10"/>
  <c r="D353" i="10" s="1"/>
  <c r="C249" i="10"/>
  <c r="D249" i="10" s="1"/>
  <c r="C506" i="10"/>
  <c r="D506" i="10" s="1"/>
  <c r="C278" i="10"/>
  <c r="D278" i="10" s="1"/>
  <c r="C38" i="10"/>
  <c r="D38" i="10" s="1"/>
  <c r="C578" i="10"/>
  <c r="D578" i="10" s="1"/>
  <c r="C659" i="10"/>
  <c r="D659" i="10" s="1"/>
  <c r="C744" i="10"/>
  <c r="D744" i="10" s="1"/>
  <c r="C35" i="10"/>
  <c r="D35" i="10" s="1"/>
  <c r="C802" i="10"/>
  <c r="D802" i="10" s="1"/>
  <c r="C775" i="10"/>
  <c r="D775" i="10" s="1"/>
  <c r="C101" i="10"/>
  <c r="D101" i="10" s="1"/>
  <c r="C901" i="10"/>
  <c r="D901" i="10" s="1"/>
  <c r="C170" i="10"/>
  <c r="D170" i="10" s="1"/>
  <c r="C92" i="10"/>
  <c r="D92" i="10" s="1"/>
  <c r="C332" i="10"/>
  <c r="D332" i="10" s="1"/>
  <c r="C821" i="10"/>
  <c r="D821" i="10" s="1"/>
  <c r="C670" i="10"/>
  <c r="D670" i="10" s="1"/>
  <c r="C188" i="10"/>
  <c r="D188" i="10" s="1"/>
  <c r="C328" i="10"/>
  <c r="D328" i="10" s="1"/>
  <c r="C638" i="10"/>
  <c r="D638" i="10" s="1"/>
  <c r="C361" i="10"/>
  <c r="D361" i="10" s="1"/>
  <c r="C479" i="10"/>
  <c r="D479" i="10" s="1"/>
  <c r="C300" i="10"/>
  <c r="D300" i="10" s="1"/>
  <c r="C91" i="10"/>
  <c r="D91" i="10" s="1"/>
  <c r="C700" i="10"/>
  <c r="D700" i="10" s="1"/>
  <c r="C401" i="10"/>
  <c r="D401" i="10" s="1"/>
  <c r="C911" i="10"/>
  <c r="D911" i="10" s="1"/>
  <c r="C954" i="10"/>
  <c r="D954" i="10" s="1"/>
  <c r="C850" i="10"/>
  <c r="D850" i="10" s="1"/>
  <c r="C260" i="10"/>
  <c r="D260" i="10" s="1"/>
  <c r="C505" i="10"/>
  <c r="D505" i="10" s="1"/>
  <c r="C687" i="10"/>
  <c r="D687" i="10" s="1"/>
  <c r="C468" i="10"/>
  <c r="D468" i="10" s="1"/>
  <c r="C338" i="10"/>
  <c r="D338" i="10" s="1"/>
  <c r="C543" i="10"/>
  <c r="D543" i="10" s="1"/>
  <c r="C430" i="10"/>
  <c r="D430" i="10" s="1"/>
  <c r="C222" i="10"/>
  <c r="D222" i="10" s="1"/>
  <c r="C669" i="10"/>
  <c r="D669" i="10" s="1"/>
  <c r="C777" i="10"/>
  <c r="D777" i="10" s="1"/>
  <c r="C530" i="10"/>
  <c r="D530" i="10" s="1"/>
  <c r="C158" i="10"/>
  <c r="D158" i="10" s="1"/>
  <c r="C417" i="10"/>
  <c r="D417" i="10" s="1"/>
  <c r="C220" i="10"/>
  <c r="D220" i="10" s="1"/>
  <c r="C215" i="10"/>
  <c r="D215" i="10" s="1"/>
  <c r="C952" i="10"/>
  <c r="D952" i="10" s="1"/>
  <c r="C392" i="10"/>
  <c r="D392" i="10" s="1"/>
  <c r="C181" i="10"/>
  <c r="D181" i="10" s="1"/>
  <c r="C540" i="10"/>
  <c r="D540" i="10" s="1"/>
  <c r="C244" i="10"/>
  <c r="D244" i="10" s="1"/>
  <c r="C755" i="10"/>
  <c r="D755" i="10" s="1"/>
  <c r="C693" i="10"/>
  <c r="D693" i="10" s="1"/>
  <c r="C194" i="10"/>
  <c r="D194" i="10" s="1"/>
  <c r="C252" i="10"/>
  <c r="D252" i="10" s="1"/>
  <c r="C255" i="10"/>
  <c r="D255" i="10" s="1"/>
  <c r="C770" i="10"/>
  <c r="D770" i="10" s="1"/>
  <c r="C496" i="10"/>
  <c r="D496" i="10" s="1"/>
  <c r="C253" i="10"/>
  <c r="D253" i="10" s="1"/>
  <c r="C472" i="10"/>
  <c r="D472" i="10" s="1"/>
  <c r="C832" i="10"/>
  <c r="D832" i="10" s="1"/>
  <c r="C140" i="10"/>
  <c r="D140" i="10" s="1"/>
  <c r="C644" i="10"/>
  <c r="D644" i="10" s="1"/>
  <c r="C345" i="10"/>
  <c r="D345" i="10" s="1"/>
  <c r="C231" i="10"/>
  <c r="D231" i="10" s="1"/>
  <c r="C705" i="10"/>
  <c r="D705" i="10" s="1"/>
  <c r="C199" i="10"/>
  <c r="D199" i="10" s="1"/>
  <c r="C350" i="10"/>
  <c r="D350" i="10" s="1"/>
  <c r="C527" i="10"/>
  <c r="D527" i="10" s="1"/>
  <c r="C482" i="10"/>
  <c r="D482" i="10" s="1"/>
  <c r="C321" i="10"/>
  <c r="D321" i="10" s="1"/>
  <c r="C217" i="10"/>
  <c r="D217" i="10" s="1"/>
  <c r="C398" i="10"/>
  <c r="D398" i="10" s="1"/>
  <c r="C438" i="10"/>
  <c r="D438" i="10" s="1"/>
  <c r="C205" i="10"/>
  <c r="D205" i="10" s="1"/>
  <c r="C47" i="10"/>
  <c r="D47" i="10" s="1"/>
  <c r="C594" i="10"/>
  <c r="D594" i="10" s="1"/>
  <c r="C696" i="10"/>
  <c r="D696" i="10" s="1"/>
  <c r="C681" i="10"/>
  <c r="D681" i="10" s="1"/>
  <c r="C881" i="10"/>
  <c r="D881" i="10" s="1"/>
  <c r="C432" i="10"/>
  <c r="D432" i="10" s="1"/>
  <c r="C132" i="10"/>
  <c r="D132" i="10" s="1"/>
  <c r="C804" i="10"/>
  <c r="D804" i="10" s="1"/>
  <c r="C142" i="10"/>
  <c r="D142" i="10" s="1"/>
  <c r="C69" i="10"/>
  <c r="D69" i="10" s="1"/>
  <c r="C467" i="10"/>
  <c r="D467" i="10" s="1"/>
  <c r="C907" i="10"/>
  <c r="D907" i="10" s="1"/>
  <c r="C798" i="10"/>
  <c r="D798" i="10" s="1"/>
  <c r="C266" i="10"/>
  <c r="D266" i="10" s="1"/>
  <c r="C601" i="10"/>
  <c r="D601" i="10" s="1"/>
  <c r="C171" i="10"/>
  <c r="D171" i="10" s="1"/>
  <c r="C462" i="10"/>
  <c r="D462" i="10" s="1"/>
  <c r="C235" i="10"/>
  <c r="D235" i="10" s="1"/>
  <c r="C847" i="10"/>
  <c r="D847" i="10" s="1"/>
  <c r="C790" i="10"/>
  <c r="D790" i="10" s="1"/>
  <c r="C27" i="10"/>
  <c r="D27" i="10" s="1"/>
  <c r="C130" i="10"/>
  <c r="D130" i="10" s="1"/>
  <c r="C250" i="10"/>
  <c r="D250" i="10" s="1"/>
  <c r="C726" i="10"/>
  <c r="D726" i="10" s="1"/>
  <c r="C807" i="10"/>
  <c r="D807" i="10" s="1"/>
  <c r="C509" i="10"/>
  <c r="D509" i="10" s="1"/>
  <c r="C900" i="10"/>
  <c r="D900" i="10" s="1"/>
  <c r="C962" i="10"/>
  <c r="D962" i="10" s="1"/>
  <c r="R29" i="10"/>
  <c r="R5" i="10" s="1"/>
  <c r="C458" i="10"/>
  <c r="D458" i="10" s="1"/>
  <c r="C621" i="10"/>
  <c r="D621" i="10" s="1"/>
  <c r="C115" i="10"/>
  <c r="D115" i="10" s="1"/>
  <c r="C152" i="10"/>
  <c r="D152" i="10" s="1"/>
  <c r="C627" i="10"/>
  <c r="D627" i="10" s="1"/>
  <c r="C197" i="10"/>
  <c r="D197" i="10" s="1"/>
  <c r="C652" i="10"/>
  <c r="D652" i="10" s="1"/>
  <c r="C708" i="10"/>
  <c r="D708" i="10" s="1"/>
  <c r="C183" i="10"/>
  <c r="D183" i="10" s="1"/>
  <c r="C313" i="10"/>
  <c r="D313" i="10" s="1"/>
  <c r="C784" i="10"/>
  <c r="D784" i="10" s="1"/>
  <c r="C229" i="10"/>
  <c r="D229" i="10" s="1"/>
  <c r="C464" i="10"/>
  <c r="D464" i="10" s="1"/>
  <c r="C658" i="10"/>
  <c r="D658" i="10" s="1"/>
  <c r="C642" i="10"/>
  <c r="D642" i="10" s="1"/>
  <c r="C144" i="10"/>
  <c r="D144" i="10" s="1"/>
  <c r="C256" i="10"/>
  <c r="D256" i="10" s="1"/>
  <c r="C921" i="10"/>
  <c r="D921" i="10" s="1"/>
  <c r="C836" i="10"/>
  <c r="D836" i="10" s="1"/>
  <c r="C559" i="10"/>
  <c r="D559" i="10" s="1"/>
  <c r="C764" i="10"/>
  <c r="D764" i="10" s="1"/>
  <c r="C399" i="10"/>
  <c r="D399" i="10" s="1"/>
  <c r="C949" i="10"/>
  <c r="D949" i="10" s="1"/>
  <c r="C123" i="10"/>
  <c r="D123" i="10" s="1"/>
  <c r="C224" i="10"/>
  <c r="D224" i="10" s="1"/>
  <c r="C758" i="10"/>
  <c r="D758" i="10" s="1"/>
  <c r="C618" i="10"/>
  <c r="D618" i="10" s="1"/>
  <c r="C390" i="10"/>
  <c r="D390" i="10" s="1"/>
  <c r="C759" i="10"/>
  <c r="D759" i="10" s="1"/>
  <c r="C484" i="10"/>
  <c r="D484" i="10" s="1"/>
  <c r="C424" i="10"/>
  <c r="D424" i="10" s="1"/>
  <c r="C335" i="10"/>
  <c r="D335" i="10" s="1"/>
  <c r="C415" i="10"/>
  <c r="D415" i="10" s="1"/>
  <c r="C347" i="10"/>
  <c r="D347" i="10" s="1"/>
  <c r="C418" i="10"/>
  <c r="D418" i="10" s="1"/>
  <c r="C905" i="10"/>
  <c r="D905" i="10" s="1"/>
  <c r="C882" i="10"/>
  <c r="D882" i="10" s="1"/>
  <c r="C614" i="10"/>
  <c r="D614" i="10" s="1"/>
  <c r="C573" i="10"/>
  <c r="D573" i="10" s="1"/>
  <c r="C79" i="10"/>
  <c r="D79" i="10" s="1"/>
  <c r="C904" i="10"/>
  <c r="D904" i="10" s="1"/>
  <c r="C395" i="10"/>
  <c r="D395" i="10" s="1"/>
  <c r="C817" i="10"/>
  <c r="D817" i="10" s="1"/>
  <c r="C630" i="10"/>
  <c r="D630" i="10" s="1"/>
  <c r="C867" i="10"/>
  <c r="D867" i="10" s="1"/>
  <c r="C765" i="10"/>
  <c r="D765" i="10" s="1"/>
  <c r="C88" i="10"/>
  <c r="D88" i="10" s="1"/>
  <c r="C940" i="10"/>
  <c r="D940" i="10" s="1"/>
  <c r="C528" i="10"/>
  <c r="D528" i="10" s="1"/>
  <c r="C538" i="10"/>
  <c r="D538" i="10" s="1"/>
  <c r="C376" i="10"/>
  <c r="D376" i="10" s="1"/>
  <c r="C684" i="10"/>
  <c r="D684" i="10" s="1"/>
  <c r="C131" i="10"/>
  <c r="D131" i="10" s="1"/>
  <c r="C334" i="10"/>
  <c r="D334" i="10" s="1"/>
  <c r="C383" i="10"/>
  <c r="D383" i="10" s="1"/>
  <c r="C610" i="10"/>
  <c r="D610" i="10" s="1"/>
  <c r="C289" i="10"/>
  <c r="D289" i="10" s="1"/>
  <c r="C508" i="10"/>
  <c r="D508" i="10" s="1"/>
  <c r="C449" i="10"/>
  <c r="D449" i="10" s="1"/>
  <c r="C489" i="10"/>
  <c r="D489" i="10" s="1"/>
  <c r="C55" i="10"/>
  <c r="D55" i="10" s="1"/>
  <c r="C371" i="10"/>
  <c r="D371" i="10" s="1"/>
  <c r="C175" i="10"/>
  <c r="D175" i="10" s="1"/>
  <c r="C176" i="10"/>
  <c r="D176" i="10" s="1"/>
  <c r="C48" i="10"/>
  <c r="D48" i="10" s="1"/>
  <c r="C212" i="10"/>
  <c r="D212" i="10" s="1"/>
  <c r="C604" i="10"/>
  <c r="D604" i="10" s="1"/>
  <c r="C889" i="10"/>
  <c r="D889" i="10" s="1"/>
  <c r="C910" i="10"/>
  <c r="D910" i="10" s="1"/>
  <c r="C885" i="10"/>
  <c r="D885" i="10" s="1"/>
  <c r="C292" i="10"/>
  <c r="D292" i="10" s="1"/>
  <c r="C172" i="10"/>
  <c r="D172" i="10" s="1"/>
  <c r="C475" i="10"/>
  <c r="D475" i="10" s="1"/>
  <c r="C214" i="10"/>
  <c r="D214" i="10" s="1"/>
  <c r="C312" i="10"/>
  <c r="D312" i="10" s="1"/>
  <c r="C581" i="10"/>
  <c r="D581" i="10" s="1"/>
  <c r="C818" i="10"/>
  <c r="D818" i="10" s="1"/>
  <c r="C382" i="10"/>
  <c r="D382" i="10" s="1"/>
  <c r="C448" i="10"/>
  <c r="D448" i="10" s="1"/>
  <c r="C60" i="10"/>
  <c r="D60" i="10" s="1"/>
  <c r="C419" i="10"/>
  <c r="D419" i="10" s="1"/>
  <c r="C301" i="10"/>
  <c r="D301" i="10" s="1"/>
  <c r="C122" i="10"/>
  <c r="D122" i="10" s="1"/>
  <c r="C481" i="10"/>
  <c r="D481" i="10" s="1"/>
  <c r="C546" i="10"/>
  <c r="D546" i="10" s="1"/>
  <c r="C103" i="10"/>
  <c r="D103" i="10" s="1"/>
  <c r="C377" i="10"/>
  <c r="D377" i="10" s="1"/>
  <c r="C562" i="10"/>
  <c r="D562" i="10" s="1"/>
  <c r="C930" i="10"/>
  <c r="D930" i="10" s="1"/>
  <c r="C938" i="10"/>
  <c r="D938" i="10" s="1"/>
  <c r="C499" i="10"/>
  <c r="D499" i="10" s="1"/>
  <c r="C285" i="10"/>
  <c r="D285" i="10" s="1"/>
  <c r="C781" i="10"/>
  <c r="D781" i="10" s="1"/>
  <c r="C865" i="10"/>
  <c r="D865" i="10" s="1"/>
  <c r="C880" i="10"/>
  <c r="D880" i="10" s="1"/>
  <c r="C156" i="10"/>
  <c r="D156" i="10" s="1"/>
  <c r="C491" i="10"/>
  <c r="D491" i="10" s="1"/>
  <c r="C426" i="10"/>
  <c r="D426" i="10" s="1"/>
  <c r="C195" i="10"/>
  <c r="D195" i="10" s="1"/>
  <c r="C64" i="10"/>
  <c r="D64" i="10" s="1"/>
  <c r="C534" i="10"/>
  <c r="D534" i="10" s="1"/>
  <c r="C710" i="10"/>
  <c r="D710" i="10" s="1"/>
  <c r="C760" i="10"/>
  <c r="D760" i="10" s="1"/>
  <c r="C549" i="10"/>
  <c r="D549" i="10" s="1"/>
  <c r="C52" i="10"/>
  <c r="D52" i="10" s="1"/>
  <c r="C311" i="10"/>
  <c r="D311" i="10" s="1"/>
  <c r="C126" i="10"/>
  <c r="D126" i="10" s="1"/>
  <c r="C595" i="10"/>
  <c r="D595" i="10" s="1"/>
  <c r="C591" i="10"/>
  <c r="D591" i="10" s="1"/>
  <c r="C799" i="10"/>
  <c r="D799" i="10" s="1"/>
  <c r="C641" i="10"/>
  <c r="D641" i="10" s="1"/>
  <c r="C529" i="10"/>
  <c r="D529" i="10" s="1"/>
  <c r="C727" i="10"/>
  <c r="D727" i="10" s="1"/>
  <c r="C477" i="10"/>
  <c r="D477" i="10" s="1"/>
  <c r="C747" i="10"/>
  <c r="D747" i="10" s="1"/>
  <c r="C893" i="10"/>
  <c r="D893" i="10" s="1"/>
  <c r="C834" i="10"/>
  <c r="D834" i="10" s="1"/>
  <c r="C898" i="10"/>
  <c r="D898" i="10" s="1"/>
  <c r="C815" i="10"/>
  <c r="D815" i="10" s="1"/>
  <c r="C473" i="10"/>
  <c r="D473" i="10" s="1"/>
  <c r="C403" i="10"/>
  <c r="D403" i="10" s="1"/>
  <c r="C297" i="10"/>
  <c r="D297" i="10" s="1"/>
  <c r="C139" i="10"/>
  <c r="D139" i="10" s="1"/>
  <c r="C926" i="10"/>
  <c r="D926" i="10" s="1"/>
  <c r="C198" i="10"/>
  <c r="D198" i="10" s="1"/>
  <c r="C757" i="10"/>
  <c r="D757" i="10" s="1"/>
  <c r="C808" i="10"/>
  <c r="D808" i="10" s="1"/>
  <c r="C330" i="10"/>
  <c r="D330" i="10" s="1"/>
  <c r="C386" i="10"/>
  <c r="D386" i="10" s="1"/>
  <c r="C157" i="10"/>
  <c r="D157" i="10" s="1"/>
  <c r="C676" i="10"/>
  <c r="D676" i="10" s="1"/>
  <c r="C572" i="10"/>
  <c r="D572" i="10" s="1"/>
  <c r="C186" i="10"/>
  <c r="D186" i="10" s="1"/>
  <c r="C955" i="10"/>
  <c r="D955" i="10" s="1"/>
  <c r="C899" i="10"/>
  <c r="D899" i="10" s="1"/>
  <c r="C772" i="10"/>
  <c r="D772" i="10" s="1"/>
  <c r="C728" i="10"/>
  <c r="D728" i="10" s="1"/>
  <c r="O89" i="5"/>
  <c r="E89" i="5"/>
  <c r="M89" i="5"/>
  <c r="E89" i="32"/>
  <c r="N89" i="32"/>
  <c r="C89" i="5"/>
  <c r="C89" i="32"/>
  <c r="R28" i="10"/>
  <c r="G89" i="5"/>
  <c r="K89" i="32"/>
  <c r="H89" i="5"/>
  <c r="L89" i="32"/>
  <c r="H87" i="32"/>
  <c r="H89" i="32" s="1"/>
  <c r="R27" i="10"/>
  <c r="I89" i="32"/>
  <c r="L89" i="5"/>
  <c r="D89" i="5"/>
  <c r="J89" i="5"/>
  <c r="D89" i="32"/>
  <c r="I89" i="5"/>
  <c r="J89" i="32"/>
  <c r="K69" i="32"/>
  <c r="M87" i="32"/>
  <c r="M89" i="32" s="1"/>
  <c r="C948" i="10"/>
  <c r="D948" i="10" s="1"/>
  <c r="C360" i="10"/>
  <c r="D360" i="10" s="1"/>
  <c r="C89" i="10"/>
  <c r="D89" i="10" s="1"/>
  <c r="C109" i="10"/>
  <c r="D109" i="10" s="1"/>
  <c r="C406" i="10"/>
  <c r="D406" i="10" s="1"/>
  <c r="C635" i="10"/>
  <c r="D635" i="10" s="1"/>
  <c r="C794" i="10"/>
  <c r="D794" i="10" s="1"/>
  <c r="C98" i="10"/>
  <c r="D98" i="10" s="1"/>
  <c r="C661" i="10"/>
  <c r="D661" i="10" s="1"/>
  <c r="C268" i="10"/>
  <c r="D268" i="10" s="1"/>
  <c r="C136" i="10"/>
  <c r="D136" i="10" s="1"/>
  <c r="C655" i="10"/>
  <c r="D655" i="10" s="1"/>
  <c r="C662" i="10"/>
  <c r="D662" i="10" s="1"/>
  <c r="C761" i="10"/>
  <c r="D761" i="10" s="1"/>
  <c r="C234" i="10"/>
  <c r="D234" i="10" s="1"/>
  <c r="C346" i="10"/>
  <c r="D346" i="10" s="1"/>
  <c r="C646" i="10"/>
  <c r="D646" i="10" s="1"/>
  <c r="C408" i="10"/>
  <c r="D408" i="10" s="1"/>
  <c r="C673" i="10"/>
  <c r="D673" i="10" s="1"/>
  <c r="C883" i="10"/>
  <c r="D883" i="10" s="1"/>
  <c r="C166" i="10"/>
  <c r="D166" i="10" s="1"/>
  <c r="C928" i="10"/>
  <c r="D928" i="10" s="1"/>
  <c r="C284" i="10"/>
  <c r="D284" i="10" s="1"/>
  <c r="C44" i="10"/>
  <c r="D44" i="10" s="1"/>
  <c r="C225" i="10"/>
  <c r="D225" i="10" s="1"/>
  <c r="C689" i="10"/>
  <c r="D689" i="10" s="1"/>
  <c r="C582" i="10"/>
  <c r="D582" i="10" s="1"/>
  <c r="C691" i="10"/>
  <c r="D691" i="10" s="1"/>
  <c r="C625" i="10"/>
  <c r="D625" i="10" s="1"/>
  <c r="C812" i="10"/>
  <c r="D812" i="10" s="1"/>
  <c r="C114" i="10"/>
  <c r="D114" i="10" s="1"/>
  <c r="C290" i="10"/>
  <c r="D290" i="10" s="1"/>
  <c r="C959" i="10"/>
  <c r="D959" i="10" s="1"/>
  <c r="C316" i="10"/>
  <c r="D316" i="10" s="1"/>
  <c r="C238" i="10"/>
  <c r="D238" i="10" s="1"/>
  <c r="C665" i="10"/>
  <c r="D665" i="10" s="1"/>
  <c r="C574" i="10"/>
  <c r="D574" i="10" s="1"/>
  <c r="C664" i="10"/>
  <c r="D664" i="10" s="1"/>
  <c r="C369" i="10"/>
  <c r="D369" i="10" s="1"/>
  <c r="C387" i="10"/>
  <c r="D387" i="10" s="1"/>
  <c r="C699" i="10"/>
  <c r="D699" i="10" s="1"/>
  <c r="C302" i="10"/>
  <c r="D302" i="10" s="1"/>
  <c r="C839" i="10"/>
  <c r="D839" i="10" s="1"/>
  <c r="C811" i="10"/>
  <c r="D811" i="10" s="1"/>
  <c r="G87" i="32"/>
  <c r="C565" i="10"/>
  <c r="D565" i="10" s="1"/>
  <c r="C428" i="10"/>
  <c r="D428" i="10" s="1"/>
  <c r="C159" i="10"/>
  <c r="D159" i="10" s="1"/>
  <c r="C67" i="10"/>
  <c r="D67" i="10" s="1"/>
  <c r="C445" i="10"/>
  <c r="D445" i="10" s="1"/>
  <c r="C810" i="10"/>
  <c r="D810" i="10" s="1"/>
  <c r="C916" i="10"/>
  <c r="D916" i="10" s="1"/>
  <c r="C385" i="10"/>
  <c r="D385" i="10" s="1"/>
  <c r="C149" i="10"/>
  <c r="D149" i="10" s="1"/>
  <c r="C138" i="10"/>
  <c r="D138" i="10" s="1"/>
  <c r="C774" i="10"/>
  <c r="D774" i="10" s="1"/>
  <c r="C891" i="10"/>
  <c r="D891" i="10" s="1"/>
  <c r="C141" i="10"/>
  <c r="D141" i="10" s="1"/>
  <c r="C837" i="10"/>
  <c r="D837" i="10" s="1"/>
  <c r="C694" i="10"/>
  <c r="D694" i="10" s="1"/>
  <c r="C336" i="10"/>
  <c r="D336" i="10" s="1"/>
  <c r="C749" i="10"/>
  <c r="D749" i="10" s="1"/>
  <c r="C651" i="10"/>
  <c r="D651" i="10" s="1"/>
  <c r="C596" i="10"/>
  <c r="D596" i="10" s="1"/>
  <c r="C869" i="10"/>
  <c r="D869" i="10" s="1"/>
  <c r="C460" i="10"/>
  <c r="D460" i="10" s="1"/>
  <c r="C446" i="10"/>
  <c r="D446" i="10" s="1"/>
  <c r="C517" i="10"/>
  <c r="D517" i="10" s="1"/>
  <c r="C501" i="10"/>
  <c r="D501" i="10" s="1"/>
  <c r="C713" i="10"/>
  <c r="D713" i="10" s="1"/>
  <c r="C425" i="10"/>
  <c r="D425" i="10" s="1"/>
  <c r="C561" i="10"/>
  <c r="D561" i="10" s="1"/>
  <c r="C304" i="10"/>
  <c r="D304" i="10" s="1"/>
  <c r="C127" i="10"/>
  <c r="D127" i="10" s="1"/>
  <c r="C178" i="10"/>
  <c r="D178" i="10" s="1"/>
  <c r="C939" i="10"/>
  <c r="D939" i="10" s="1"/>
  <c r="C168" i="10"/>
  <c r="D168" i="10" s="1"/>
  <c r="C686" i="10"/>
  <c r="D686" i="10" s="1"/>
  <c r="C845" i="10"/>
  <c r="D845" i="10" s="1"/>
  <c r="C364" i="10"/>
  <c r="D364" i="10" s="1"/>
  <c r="C783" i="10"/>
  <c r="D783" i="10" s="1"/>
  <c r="C606" i="10"/>
  <c r="D606" i="10" s="1"/>
  <c r="C825" i="10"/>
  <c r="D825" i="10" s="1"/>
  <c r="C327" i="10"/>
  <c r="D327" i="10" s="1"/>
  <c r="C34" i="10"/>
  <c r="D34" i="10" s="1"/>
  <c r="C169" i="10"/>
  <c r="D169" i="10" s="1"/>
  <c r="C552" i="10"/>
  <c r="D552" i="10" s="1"/>
  <c r="C154" i="10"/>
  <c r="D154" i="10" s="1"/>
  <c r="C866" i="10"/>
  <c r="D866" i="10" s="1"/>
  <c r="C637" i="10"/>
  <c r="D637" i="10" s="1"/>
  <c r="C309" i="10"/>
  <c r="D309" i="10" s="1"/>
  <c r="C65" i="10"/>
  <c r="D65" i="10" s="1"/>
  <c r="C830" i="10"/>
  <c r="D830" i="10" s="1"/>
  <c r="C258" i="10"/>
  <c r="D258" i="10" s="1"/>
  <c r="C888" i="10"/>
  <c r="D888" i="10" s="1"/>
  <c r="C623" i="10"/>
  <c r="D623" i="10" s="1"/>
  <c r="C422" i="10"/>
  <c r="D422" i="10" s="1"/>
  <c r="C274" i="10"/>
  <c r="D274" i="10" s="1"/>
  <c r="C675" i="10"/>
  <c r="D675" i="10" s="1"/>
  <c r="C267" i="10"/>
  <c r="D267" i="10" s="1"/>
  <c r="C204" i="10"/>
  <c r="D204" i="10" s="1"/>
  <c r="C160" i="10"/>
  <c r="D160" i="10" s="1"/>
  <c r="C588" i="10"/>
  <c r="D588" i="10" s="1"/>
  <c r="C575" i="10"/>
  <c r="D575" i="10" s="1"/>
  <c r="C709" i="10"/>
  <c r="D709" i="10" s="1"/>
  <c r="C914" i="10"/>
  <c r="D914" i="10" s="1"/>
  <c r="C822" i="10"/>
  <c r="D822" i="10" s="1"/>
  <c r="K89" i="5"/>
  <c r="N89" i="5"/>
  <c r="F88" i="32"/>
  <c r="F89" i="5"/>
  <c r="H76" i="32"/>
  <c r="I76" i="32"/>
  <c r="B2" i="32"/>
  <c r="M70" i="32"/>
  <c r="N99" i="32" l="1"/>
  <c r="J99" i="32"/>
  <c r="F99" i="32"/>
  <c r="N94" i="32"/>
  <c r="L99" i="32"/>
  <c r="E99" i="5"/>
  <c r="H99" i="5"/>
  <c r="H99" i="32"/>
  <c r="J74" i="5"/>
  <c r="J74" i="32" s="1"/>
  <c r="K99" i="32"/>
  <c r="N99" i="5"/>
  <c r="E99" i="32"/>
  <c r="N74" i="5"/>
  <c r="N74" i="32" s="1"/>
  <c r="R16" i="10"/>
  <c r="O97" i="5" s="1"/>
  <c r="K99" i="5"/>
  <c r="G99" i="5"/>
  <c r="G99" i="32"/>
  <c r="M74" i="5"/>
  <c r="K74" i="5"/>
  <c r="M99" i="32"/>
  <c r="E74" i="5"/>
  <c r="G74" i="5"/>
  <c r="J99" i="5"/>
  <c r="F99" i="5"/>
  <c r="L99" i="5"/>
  <c r="L74" i="5"/>
  <c r="I74" i="5"/>
  <c r="M99" i="5"/>
  <c r="G94" i="32"/>
  <c r="J94" i="32"/>
  <c r="G68" i="5"/>
  <c r="G68" i="32" s="1"/>
  <c r="H74" i="5"/>
  <c r="F74" i="5"/>
  <c r="F74" i="32" s="1"/>
  <c r="D74" i="5"/>
  <c r="D97" i="5"/>
  <c r="I99" i="5"/>
  <c r="E68" i="5"/>
  <c r="E68" i="32" s="1"/>
  <c r="E94" i="5"/>
  <c r="J94" i="5"/>
  <c r="C98" i="5"/>
  <c r="C98" i="32" s="1"/>
  <c r="O98" i="32" s="1"/>
  <c r="R17" i="10"/>
  <c r="O98" i="5" s="1"/>
  <c r="F94" i="32"/>
  <c r="C97" i="5"/>
  <c r="C74" i="5"/>
  <c r="M94" i="32"/>
  <c r="L94" i="32"/>
  <c r="O77" i="32"/>
  <c r="N94" i="5"/>
  <c r="R8" i="10"/>
  <c r="O92" i="5" s="1"/>
  <c r="I94" i="32"/>
  <c r="M68" i="5"/>
  <c r="M68" i="32" s="1"/>
  <c r="L94" i="5"/>
  <c r="M94" i="5"/>
  <c r="L68" i="5"/>
  <c r="L68" i="32" s="1"/>
  <c r="K94" i="5"/>
  <c r="E94" i="32"/>
  <c r="H94" i="5"/>
  <c r="K68" i="5"/>
  <c r="K68" i="32" s="1"/>
  <c r="D68" i="5"/>
  <c r="D92" i="5"/>
  <c r="F94" i="5"/>
  <c r="J68" i="5"/>
  <c r="J68" i="32" s="1"/>
  <c r="I68" i="5"/>
  <c r="I68" i="32" s="1"/>
  <c r="H94" i="32"/>
  <c r="I94" i="5"/>
  <c r="N68" i="5"/>
  <c r="N68" i="32" s="1"/>
  <c r="H68" i="5"/>
  <c r="H68" i="32" s="1"/>
  <c r="G94" i="5"/>
  <c r="F68" i="5"/>
  <c r="F68" i="32" s="1"/>
  <c r="R9" i="10"/>
  <c r="O93" i="5" s="1"/>
  <c r="C93" i="5"/>
  <c r="C93" i="32" s="1"/>
  <c r="O93" i="32" s="1"/>
  <c r="C92" i="5"/>
  <c r="C68" i="5"/>
  <c r="O71" i="32"/>
  <c r="O63" i="32"/>
  <c r="O62" i="32"/>
  <c r="O61" i="32"/>
  <c r="D6" i="5"/>
  <c r="D6" i="32" s="1"/>
  <c r="O6" i="5"/>
  <c r="F41" i="5"/>
  <c r="F41" i="32" s="1"/>
  <c r="F65" i="5"/>
  <c r="F65" i="32" s="1"/>
  <c r="O70" i="32"/>
  <c r="C6" i="5"/>
  <c r="C6" i="32" s="1"/>
  <c r="J55" i="5"/>
  <c r="J55" i="32" s="1"/>
  <c r="O9" i="5"/>
  <c r="K26" i="5"/>
  <c r="K26" i="32" s="1"/>
  <c r="N15" i="5"/>
  <c r="N15" i="32" s="1"/>
  <c r="O16" i="5"/>
  <c r="L28" i="5"/>
  <c r="L28" i="32" s="1"/>
  <c r="J50" i="5"/>
  <c r="J50" i="32" s="1"/>
  <c r="C32" i="5"/>
  <c r="C32" i="32" s="1"/>
  <c r="J41" i="5"/>
  <c r="J41" i="32" s="1"/>
  <c r="M35" i="5"/>
  <c r="M35" i="32" s="1"/>
  <c r="E42" i="5"/>
  <c r="E42" i="32" s="1"/>
  <c r="I40" i="5"/>
  <c r="I40" i="32" s="1"/>
  <c r="K41" i="5"/>
  <c r="K41" i="32" s="1"/>
  <c r="C54" i="5"/>
  <c r="C54" i="32" s="1"/>
  <c r="F24" i="5"/>
  <c r="F24" i="32" s="1"/>
  <c r="G32" i="5"/>
  <c r="G32" i="32" s="1"/>
  <c r="D10" i="5"/>
  <c r="D10" i="32" s="1"/>
  <c r="M44" i="5"/>
  <c r="M44" i="32" s="1"/>
  <c r="O27" i="5"/>
  <c r="G49" i="5"/>
  <c r="G49" i="32" s="1"/>
  <c r="K46" i="5"/>
  <c r="K46" i="32" s="1"/>
  <c r="F10" i="5"/>
  <c r="F10" i="32" s="1"/>
  <c r="J48" i="5"/>
  <c r="J48" i="32" s="1"/>
  <c r="M32" i="5"/>
  <c r="M32" i="32" s="1"/>
  <c r="I55" i="5"/>
  <c r="I55" i="32" s="1"/>
  <c r="J51" i="5"/>
  <c r="J51" i="32" s="1"/>
  <c r="D59" i="5"/>
  <c r="D59" i="32" s="1"/>
  <c r="J23" i="5"/>
  <c r="J23" i="32" s="1"/>
  <c r="C17" i="5"/>
  <c r="C17" i="32" s="1"/>
  <c r="M28" i="5"/>
  <c r="M28" i="32" s="1"/>
  <c r="H47" i="5"/>
  <c r="H47" i="32" s="1"/>
  <c r="N35" i="5"/>
  <c r="N35" i="32" s="1"/>
  <c r="D21" i="5"/>
  <c r="D21" i="32" s="1"/>
  <c r="G35" i="5"/>
  <c r="G35" i="32" s="1"/>
  <c r="G34" i="5"/>
  <c r="G34" i="32" s="1"/>
  <c r="F53" i="5"/>
  <c r="F53" i="32" s="1"/>
  <c r="O44" i="5"/>
  <c r="D27" i="5"/>
  <c r="D27" i="32" s="1"/>
  <c r="N59" i="5"/>
  <c r="N59" i="32" s="1"/>
  <c r="I7" i="5"/>
  <c r="I7" i="32" s="1"/>
  <c r="D58" i="5"/>
  <c r="D58" i="32" s="1"/>
  <c r="G33" i="5"/>
  <c r="G33" i="32" s="1"/>
  <c r="H29" i="5"/>
  <c r="H29" i="32" s="1"/>
  <c r="M42" i="5"/>
  <c r="M42" i="32" s="1"/>
  <c r="J14" i="5"/>
  <c r="J14" i="32" s="1"/>
  <c r="E43" i="5"/>
  <c r="E43" i="32" s="1"/>
  <c r="I44" i="5"/>
  <c r="I44" i="32" s="1"/>
  <c r="L37" i="5"/>
  <c r="L37" i="32" s="1"/>
  <c r="D29" i="5"/>
  <c r="D29" i="32" s="1"/>
  <c r="M38" i="5"/>
  <c r="M38" i="32" s="1"/>
  <c r="K43" i="5"/>
  <c r="K43" i="32" s="1"/>
  <c r="J28" i="5"/>
  <c r="J28" i="32" s="1"/>
  <c r="E65" i="5"/>
  <c r="E65" i="32" s="1"/>
  <c r="L49" i="5"/>
  <c r="L49" i="32" s="1"/>
  <c r="I10" i="5"/>
  <c r="I10" i="32" s="1"/>
  <c r="L60" i="5"/>
  <c r="L60" i="32" s="1"/>
  <c r="N65" i="5"/>
  <c r="N65" i="32" s="1"/>
  <c r="N14" i="5"/>
  <c r="N14" i="32" s="1"/>
  <c r="L54" i="5"/>
  <c r="L54" i="32" s="1"/>
  <c r="J43" i="5"/>
  <c r="J43" i="32" s="1"/>
  <c r="H37" i="5"/>
  <c r="H37" i="32" s="1"/>
  <c r="I43" i="5"/>
  <c r="I43" i="32" s="1"/>
  <c r="G6" i="5"/>
  <c r="K50" i="5"/>
  <c r="K50" i="32" s="1"/>
  <c r="H27" i="5"/>
  <c r="H27" i="32" s="1"/>
  <c r="G29" i="5"/>
  <c r="G29" i="32" s="1"/>
  <c r="M52" i="5"/>
  <c r="M52" i="32" s="1"/>
  <c r="L59" i="5"/>
  <c r="L59" i="32" s="1"/>
  <c r="J52" i="5"/>
  <c r="J52" i="32" s="1"/>
  <c r="N23" i="5"/>
  <c r="N23" i="32" s="1"/>
  <c r="K22" i="5"/>
  <c r="K22" i="32" s="1"/>
  <c r="C9" i="5"/>
  <c r="C9" i="32" s="1"/>
  <c r="N49" i="5"/>
  <c r="N49" i="32" s="1"/>
  <c r="I6" i="5"/>
  <c r="I6" i="32" s="1"/>
  <c r="L46" i="5"/>
  <c r="L46" i="32" s="1"/>
  <c r="J38" i="5"/>
  <c r="J38" i="32" s="1"/>
  <c r="C23" i="5"/>
  <c r="C23" i="32" s="1"/>
  <c r="O31" i="5"/>
  <c r="K51" i="5"/>
  <c r="K51" i="32" s="1"/>
  <c r="E35" i="5"/>
  <c r="E35" i="32" s="1"/>
  <c r="L17" i="5"/>
  <c r="L17" i="32" s="1"/>
  <c r="H65" i="5"/>
  <c r="H65" i="32" s="1"/>
  <c r="I22" i="5"/>
  <c r="I22" i="32" s="1"/>
  <c r="F16" i="5"/>
  <c r="F16" i="32" s="1"/>
  <c r="N55" i="5"/>
  <c r="N55" i="32" s="1"/>
  <c r="D18" i="5"/>
  <c r="D18" i="32" s="1"/>
  <c r="J26" i="5"/>
  <c r="J26" i="32" s="1"/>
  <c r="N20" i="5"/>
  <c r="N20" i="32" s="1"/>
  <c r="E15" i="5"/>
  <c r="E15" i="32" s="1"/>
  <c r="G19" i="5"/>
  <c r="G19" i="32" s="1"/>
  <c r="O26" i="5"/>
  <c r="O49" i="5"/>
  <c r="D26" i="5"/>
  <c r="D26" i="32" s="1"/>
  <c r="M54" i="5"/>
  <c r="M54" i="32" s="1"/>
  <c r="D36" i="5"/>
  <c r="D36" i="32" s="1"/>
  <c r="G41" i="5"/>
  <c r="G41" i="32" s="1"/>
  <c r="D50" i="5"/>
  <c r="D50" i="32" s="1"/>
  <c r="M21" i="5"/>
  <c r="M21" i="32" s="1"/>
  <c r="M33" i="5"/>
  <c r="M33" i="32" s="1"/>
  <c r="I27" i="5"/>
  <c r="I27" i="32" s="1"/>
  <c r="F33" i="5"/>
  <c r="F33" i="32" s="1"/>
  <c r="D14" i="5"/>
  <c r="D14" i="32" s="1"/>
  <c r="L36" i="5"/>
  <c r="L36" i="32" s="1"/>
  <c r="F55" i="5"/>
  <c r="F55" i="32" s="1"/>
  <c r="J30" i="5"/>
  <c r="J30" i="32" s="1"/>
  <c r="L34" i="5"/>
  <c r="L34" i="32" s="1"/>
  <c r="M18" i="5"/>
  <c r="M18" i="32" s="1"/>
  <c r="K17" i="5"/>
  <c r="K17" i="32" s="1"/>
  <c r="G36" i="5"/>
  <c r="G36" i="32" s="1"/>
  <c r="J25" i="5"/>
  <c r="J25" i="32" s="1"/>
  <c r="N41" i="5"/>
  <c r="N41" i="32" s="1"/>
  <c r="N28" i="5"/>
  <c r="N28" i="32" s="1"/>
  <c r="F30" i="5"/>
  <c r="F30" i="32" s="1"/>
  <c r="H22" i="5"/>
  <c r="H22" i="32" s="1"/>
  <c r="L38" i="5"/>
  <c r="L38" i="32" s="1"/>
  <c r="N33" i="5"/>
  <c r="N33" i="32" s="1"/>
  <c r="D15" i="5"/>
  <c r="D15" i="32" s="1"/>
  <c r="D65" i="5"/>
  <c r="D65" i="32" s="1"/>
  <c r="C26" i="5"/>
  <c r="C26" i="32" s="1"/>
  <c r="D53" i="5"/>
  <c r="D53" i="32" s="1"/>
  <c r="L48" i="5"/>
  <c r="L48" i="32" s="1"/>
  <c r="M46" i="5"/>
  <c r="M46" i="32" s="1"/>
  <c r="D47" i="5"/>
  <c r="D47" i="32" s="1"/>
  <c r="G15" i="5"/>
  <c r="G15" i="32" s="1"/>
  <c r="L14" i="5"/>
  <c r="L14" i="32" s="1"/>
  <c r="K45" i="5"/>
  <c r="K45" i="32" s="1"/>
  <c r="H58" i="5"/>
  <c r="H58" i="32" s="1"/>
  <c r="I47" i="5"/>
  <c r="I47" i="32" s="1"/>
  <c r="J49" i="5"/>
  <c r="J49" i="32" s="1"/>
  <c r="H53" i="5"/>
  <c r="H53" i="32" s="1"/>
  <c r="F56" i="5"/>
  <c r="F56" i="32" s="1"/>
  <c r="E33" i="5"/>
  <c r="E33" i="32" s="1"/>
  <c r="K54" i="5"/>
  <c r="K54" i="32" s="1"/>
  <c r="O57" i="5"/>
  <c r="E23" i="5"/>
  <c r="E23" i="32" s="1"/>
  <c r="J46" i="5"/>
  <c r="J46" i="32" s="1"/>
  <c r="G40" i="5"/>
  <c r="G40" i="32" s="1"/>
  <c r="F39" i="5"/>
  <c r="F39" i="32" s="1"/>
  <c r="F6" i="5"/>
  <c r="F6" i="32" s="1"/>
  <c r="G10" i="5"/>
  <c r="G10" i="32" s="1"/>
  <c r="N51" i="5"/>
  <c r="N51" i="32" s="1"/>
  <c r="I58" i="5"/>
  <c r="I58" i="32" s="1"/>
  <c r="E32" i="5"/>
  <c r="E32" i="32" s="1"/>
  <c r="C41" i="5"/>
  <c r="C41" i="32" s="1"/>
  <c r="J18" i="5"/>
  <c r="J18" i="32" s="1"/>
  <c r="M9" i="5"/>
  <c r="M9" i="32" s="1"/>
  <c r="K31" i="5"/>
  <c r="K31" i="32" s="1"/>
  <c r="E52" i="5"/>
  <c r="E52" i="32" s="1"/>
  <c r="K57" i="5"/>
  <c r="K57" i="32" s="1"/>
  <c r="D32" i="5"/>
  <c r="D32" i="32" s="1"/>
  <c r="F28" i="5"/>
  <c r="F28" i="32" s="1"/>
  <c r="F57" i="5"/>
  <c r="F57" i="32" s="1"/>
  <c r="K48" i="5"/>
  <c r="K48" i="32" s="1"/>
  <c r="K29" i="5"/>
  <c r="K29" i="32" s="1"/>
  <c r="F35" i="5"/>
  <c r="F35" i="32" s="1"/>
  <c r="M45" i="5"/>
  <c r="M45" i="32" s="1"/>
  <c r="O14" i="5"/>
  <c r="J60" i="5"/>
  <c r="J60" i="32" s="1"/>
  <c r="J57" i="5"/>
  <c r="J57" i="32" s="1"/>
  <c r="E6" i="5"/>
  <c r="E6" i="32" s="1"/>
  <c r="E30" i="5"/>
  <c r="E30" i="32" s="1"/>
  <c r="D56" i="5"/>
  <c r="D56" i="32" s="1"/>
  <c r="G7" i="5"/>
  <c r="G7" i="32" s="1"/>
  <c r="D60" i="5"/>
  <c r="D60" i="32" s="1"/>
  <c r="G43" i="5"/>
  <c r="G43" i="32" s="1"/>
  <c r="D34" i="5"/>
  <c r="D34" i="32" s="1"/>
  <c r="G38" i="5"/>
  <c r="G38" i="32" s="1"/>
  <c r="N45" i="5"/>
  <c r="N45" i="32" s="1"/>
  <c r="N17" i="5"/>
  <c r="N17" i="32" s="1"/>
  <c r="L26" i="5"/>
  <c r="L26" i="32" s="1"/>
  <c r="L53" i="5"/>
  <c r="L53" i="32" s="1"/>
  <c r="G47" i="5"/>
  <c r="G47" i="32" s="1"/>
  <c r="N19" i="5"/>
  <c r="N19" i="32" s="1"/>
  <c r="H38" i="5"/>
  <c r="H38" i="32" s="1"/>
  <c r="I59" i="5"/>
  <c r="I59" i="32" s="1"/>
  <c r="O59" i="5"/>
  <c r="H6" i="5"/>
  <c r="G26" i="5"/>
  <c r="G26" i="32" s="1"/>
  <c r="M29" i="5"/>
  <c r="M29" i="32" s="1"/>
  <c r="F52" i="5"/>
  <c r="F52" i="32" s="1"/>
  <c r="D24" i="5"/>
  <c r="D24" i="32" s="1"/>
  <c r="E53" i="5"/>
  <c r="E53" i="32" s="1"/>
  <c r="K39" i="5"/>
  <c r="K39" i="32" s="1"/>
  <c r="G30" i="5"/>
  <c r="G30" i="32" s="1"/>
  <c r="O35" i="5"/>
  <c r="F37" i="5"/>
  <c r="F37" i="32" s="1"/>
  <c r="M26" i="5"/>
  <c r="M26" i="32" s="1"/>
  <c r="H31" i="5"/>
  <c r="H31" i="32" s="1"/>
  <c r="F46" i="5"/>
  <c r="F46" i="32" s="1"/>
  <c r="C15" i="5"/>
  <c r="C15" i="32" s="1"/>
  <c r="J15" i="5"/>
  <c r="J15" i="32" s="1"/>
  <c r="J44" i="5"/>
  <c r="J44" i="32" s="1"/>
  <c r="J17" i="5"/>
  <c r="J17" i="32" s="1"/>
  <c r="E57" i="5"/>
  <c r="E57" i="32" s="1"/>
  <c r="D33" i="5"/>
  <c r="D33" i="32" s="1"/>
  <c r="M57" i="5"/>
  <c r="M57" i="32" s="1"/>
  <c r="D30" i="5"/>
  <c r="D30" i="32" s="1"/>
  <c r="G23" i="5"/>
  <c r="G23" i="32" s="1"/>
  <c r="I45" i="5"/>
  <c r="I45" i="32" s="1"/>
  <c r="F21" i="5"/>
  <c r="F21" i="32" s="1"/>
  <c r="M6" i="5"/>
  <c r="M6" i="32" s="1"/>
  <c r="J22" i="5"/>
  <c r="J22" i="32" s="1"/>
  <c r="H55" i="5"/>
  <c r="H55" i="32" s="1"/>
  <c r="D55" i="5"/>
  <c r="D55" i="32" s="1"/>
  <c r="C55" i="5"/>
  <c r="C55" i="32" s="1"/>
  <c r="N56" i="5"/>
  <c r="N56" i="32" s="1"/>
  <c r="C38" i="5"/>
  <c r="C38" i="32" s="1"/>
  <c r="N18" i="5"/>
  <c r="N18" i="32" s="1"/>
  <c r="E21" i="5"/>
  <c r="E21" i="32" s="1"/>
  <c r="M19" i="5"/>
  <c r="M19" i="32" s="1"/>
  <c r="E24" i="5"/>
  <c r="E24" i="32" s="1"/>
  <c r="L31" i="5"/>
  <c r="L31" i="32" s="1"/>
  <c r="I56" i="5"/>
  <c r="I56" i="32" s="1"/>
  <c r="K23" i="5"/>
  <c r="K23" i="32" s="1"/>
  <c r="C28" i="5"/>
  <c r="C28" i="32" s="1"/>
  <c r="F48" i="5"/>
  <c r="F48" i="32" s="1"/>
  <c r="E37" i="5"/>
  <c r="E37" i="32" s="1"/>
  <c r="J19" i="5"/>
  <c r="J19" i="32" s="1"/>
  <c r="K38" i="5"/>
  <c r="K38" i="32" s="1"/>
  <c r="C25" i="5"/>
  <c r="C25" i="32" s="1"/>
  <c r="J31" i="5"/>
  <c r="J31" i="32" s="1"/>
  <c r="K53" i="5"/>
  <c r="K53" i="32" s="1"/>
  <c r="H36" i="5"/>
  <c r="H36" i="32" s="1"/>
  <c r="M40" i="5"/>
  <c r="M40" i="32" s="1"/>
  <c r="O52" i="5"/>
  <c r="H50" i="5"/>
  <c r="H50" i="32" s="1"/>
  <c r="O56" i="5"/>
  <c r="I36" i="5"/>
  <c r="I36" i="32" s="1"/>
  <c r="C52" i="5"/>
  <c r="C52" i="32" s="1"/>
  <c r="L58" i="5"/>
  <c r="L58" i="32" s="1"/>
  <c r="O21" i="5"/>
  <c r="M60" i="5"/>
  <c r="M60" i="32" s="1"/>
  <c r="K58" i="5"/>
  <c r="K58" i="32" s="1"/>
  <c r="L18" i="5"/>
  <c r="L18" i="32" s="1"/>
  <c r="I24" i="5"/>
  <c r="I24" i="32" s="1"/>
  <c r="K55" i="5"/>
  <c r="K55" i="32" s="1"/>
  <c r="O34" i="5"/>
  <c r="N58" i="5"/>
  <c r="N58" i="32" s="1"/>
  <c r="N46" i="5"/>
  <c r="N46" i="32" s="1"/>
  <c r="O17" i="5"/>
  <c r="J58" i="5"/>
  <c r="J58" i="32" s="1"/>
  <c r="L20" i="5"/>
  <c r="L20" i="32" s="1"/>
  <c r="E45" i="5"/>
  <c r="E45" i="32" s="1"/>
  <c r="J9" i="5"/>
  <c r="J9" i="32" s="1"/>
  <c r="H46" i="5"/>
  <c r="H46" i="32" s="1"/>
  <c r="F7" i="5"/>
  <c r="F7" i="32" s="1"/>
  <c r="H57" i="5"/>
  <c r="H57" i="32" s="1"/>
  <c r="O55" i="5"/>
  <c r="M16" i="5"/>
  <c r="M16" i="32" s="1"/>
  <c r="E16" i="5"/>
  <c r="E16" i="32" s="1"/>
  <c r="G55" i="5"/>
  <c r="G55" i="32" s="1"/>
  <c r="K21" i="5"/>
  <c r="K21" i="32" s="1"/>
  <c r="O7" i="5"/>
  <c r="K7" i="5"/>
  <c r="K7" i="32" s="1"/>
  <c r="G16" i="5"/>
  <c r="G16" i="32" s="1"/>
  <c r="M37" i="5"/>
  <c r="M37" i="32" s="1"/>
  <c r="F14" i="5"/>
  <c r="F14" i="32" s="1"/>
  <c r="K35" i="5"/>
  <c r="K35" i="32" s="1"/>
  <c r="C51" i="5"/>
  <c r="C51" i="32" s="1"/>
  <c r="O65" i="5"/>
  <c r="G27" i="5"/>
  <c r="G27" i="32" s="1"/>
  <c r="C37" i="5"/>
  <c r="C37" i="32" s="1"/>
  <c r="C40" i="5"/>
  <c r="C40" i="32" s="1"/>
  <c r="H44" i="5"/>
  <c r="H44" i="32" s="1"/>
  <c r="C18" i="5"/>
  <c r="C18" i="32" s="1"/>
  <c r="E56" i="5"/>
  <c r="E56" i="32" s="1"/>
  <c r="G50" i="5"/>
  <c r="G50" i="32" s="1"/>
  <c r="G54" i="5"/>
  <c r="G54" i="32" s="1"/>
  <c r="K49" i="5"/>
  <c r="K49" i="32" s="1"/>
  <c r="H10" i="5"/>
  <c r="H10" i="32" s="1"/>
  <c r="E55" i="5"/>
  <c r="E55" i="32" s="1"/>
  <c r="H41" i="5"/>
  <c r="H41" i="32" s="1"/>
  <c r="L44" i="5"/>
  <c r="L44" i="32" s="1"/>
  <c r="F17" i="5"/>
  <c r="F17" i="32" s="1"/>
  <c r="D38" i="5"/>
  <c r="D38" i="32" s="1"/>
  <c r="L47" i="5"/>
  <c r="L47" i="32" s="1"/>
  <c r="E14" i="5"/>
  <c r="E14" i="32" s="1"/>
  <c r="G58" i="5"/>
  <c r="G58" i="32" s="1"/>
  <c r="G31" i="5"/>
  <c r="G31" i="32" s="1"/>
  <c r="J24" i="5"/>
  <c r="J24" i="32" s="1"/>
  <c r="C19" i="5"/>
  <c r="C19" i="32" s="1"/>
  <c r="D54" i="5"/>
  <c r="D54" i="32" s="1"/>
  <c r="F36" i="5"/>
  <c r="F36" i="32" s="1"/>
  <c r="L56" i="5"/>
  <c r="L56" i="32" s="1"/>
  <c r="M65" i="5"/>
  <c r="M65" i="32" s="1"/>
  <c r="C43" i="5"/>
  <c r="C43" i="32" s="1"/>
  <c r="M20" i="5"/>
  <c r="M20" i="32" s="1"/>
  <c r="D51" i="5"/>
  <c r="D51" i="32" s="1"/>
  <c r="G48" i="5"/>
  <c r="G48" i="32" s="1"/>
  <c r="E39" i="5"/>
  <c r="E39" i="32" s="1"/>
  <c r="L7" i="5"/>
  <c r="L7" i="32" s="1"/>
  <c r="D52" i="5"/>
  <c r="D52" i="32" s="1"/>
  <c r="N50" i="5"/>
  <c r="N50" i="32" s="1"/>
  <c r="M56" i="5"/>
  <c r="M56" i="32" s="1"/>
  <c r="N42" i="5"/>
  <c r="N42" i="32" s="1"/>
  <c r="E34" i="5"/>
  <c r="E34" i="32" s="1"/>
  <c r="N24" i="5"/>
  <c r="N24" i="32" s="1"/>
  <c r="O20" i="5"/>
  <c r="L9" i="5"/>
  <c r="L9" i="32" s="1"/>
  <c r="K34" i="5"/>
  <c r="K34" i="32" s="1"/>
  <c r="L32" i="5"/>
  <c r="L32" i="32" s="1"/>
  <c r="J21" i="5"/>
  <c r="J21" i="32" s="1"/>
  <c r="E51" i="5"/>
  <c r="E51" i="32" s="1"/>
  <c r="J34" i="5"/>
  <c r="J34" i="32" s="1"/>
  <c r="F47" i="5"/>
  <c r="F47" i="32" s="1"/>
  <c r="H59" i="5"/>
  <c r="H59" i="32" s="1"/>
  <c r="O25" i="5"/>
  <c r="E19" i="5"/>
  <c r="E19" i="32" s="1"/>
  <c r="D43" i="5"/>
  <c r="D43" i="32" s="1"/>
  <c r="G59" i="5"/>
  <c r="G59" i="32" s="1"/>
  <c r="O36" i="5"/>
  <c r="H17" i="5"/>
  <c r="H17" i="32" s="1"/>
  <c r="I37" i="5"/>
  <c r="I37" i="32" s="1"/>
  <c r="M23" i="5"/>
  <c r="M23" i="32" s="1"/>
  <c r="C49" i="5"/>
  <c r="C49" i="32" s="1"/>
  <c r="C22" i="5"/>
  <c r="C22" i="32" s="1"/>
  <c r="O38" i="5"/>
  <c r="H16" i="5"/>
  <c r="H16" i="32" s="1"/>
  <c r="G51" i="5"/>
  <c r="G51" i="32" s="1"/>
  <c r="N47" i="5"/>
  <c r="N47" i="32" s="1"/>
  <c r="F38" i="5"/>
  <c r="F38" i="32" s="1"/>
  <c r="I53" i="5"/>
  <c r="I53" i="32" s="1"/>
  <c r="L50" i="5"/>
  <c r="L50" i="32" s="1"/>
  <c r="E18" i="5"/>
  <c r="E18" i="32" s="1"/>
  <c r="F9" i="5"/>
  <c r="F9" i="32" s="1"/>
  <c r="I50" i="5"/>
  <c r="I50" i="32" s="1"/>
  <c r="M58" i="5"/>
  <c r="M58" i="32" s="1"/>
  <c r="H20" i="5"/>
  <c r="H20" i="32" s="1"/>
  <c r="M43" i="5"/>
  <c r="M43" i="32" s="1"/>
  <c r="O29" i="5"/>
  <c r="K56" i="5"/>
  <c r="K56" i="32" s="1"/>
  <c r="N9" i="5"/>
  <c r="N9" i="32" s="1"/>
  <c r="I25" i="5"/>
  <c r="I25" i="32" s="1"/>
  <c r="N40" i="5"/>
  <c r="N40" i="32" s="1"/>
  <c r="N26" i="5"/>
  <c r="N26" i="32" s="1"/>
  <c r="D17" i="5"/>
  <c r="D17" i="32" s="1"/>
  <c r="C20" i="5"/>
  <c r="C20" i="32" s="1"/>
  <c r="O37" i="5"/>
  <c r="L41" i="5"/>
  <c r="L41" i="32" s="1"/>
  <c r="C33" i="5"/>
  <c r="C33" i="32" s="1"/>
  <c r="M49" i="5"/>
  <c r="M49" i="32" s="1"/>
  <c r="G65" i="5"/>
  <c r="G65" i="32" s="1"/>
  <c r="H42" i="5"/>
  <c r="H42" i="32" s="1"/>
  <c r="E47" i="5"/>
  <c r="E47" i="32" s="1"/>
  <c r="G56" i="5"/>
  <c r="G56" i="32" s="1"/>
  <c r="F22" i="5"/>
  <c r="F22" i="32" s="1"/>
  <c r="M15" i="5"/>
  <c r="M15" i="32" s="1"/>
  <c r="O15" i="5"/>
  <c r="N43" i="5"/>
  <c r="N43" i="32" s="1"/>
  <c r="N37" i="5"/>
  <c r="N37" i="32" s="1"/>
  <c r="D42" i="5"/>
  <c r="D42" i="32" s="1"/>
  <c r="E41" i="5"/>
  <c r="E41" i="32" s="1"/>
  <c r="I18" i="5"/>
  <c r="I18" i="32" s="1"/>
  <c r="N27" i="5"/>
  <c r="N27" i="32" s="1"/>
  <c r="D44" i="5"/>
  <c r="D44" i="32" s="1"/>
  <c r="N44" i="5"/>
  <c r="N44" i="32" s="1"/>
  <c r="K15" i="5"/>
  <c r="K15" i="32" s="1"/>
  <c r="F34" i="5"/>
  <c r="F34" i="32" s="1"/>
  <c r="K16" i="5"/>
  <c r="K16" i="32" s="1"/>
  <c r="E17" i="5"/>
  <c r="E17" i="32" s="1"/>
  <c r="H7" i="5"/>
  <c r="H7" i="32" s="1"/>
  <c r="H49" i="5"/>
  <c r="H49" i="32" s="1"/>
  <c r="G45" i="5"/>
  <c r="G45" i="32" s="1"/>
  <c r="O39" i="5"/>
  <c r="N52" i="5"/>
  <c r="N52" i="32" s="1"/>
  <c r="I48" i="5"/>
  <c r="I48" i="32" s="1"/>
  <c r="D19" i="5"/>
  <c r="D19" i="32" s="1"/>
  <c r="N48" i="5"/>
  <c r="N48" i="32" s="1"/>
  <c r="D25" i="5"/>
  <c r="D25" i="32" s="1"/>
  <c r="C36" i="5"/>
  <c r="C36" i="32" s="1"/>
  <c r="F20" i="5"/>
  <c r="F20" i="32" s="1"/>
  <c r="C53" i="5"/>
  <c r="C53" i="32" s="1"/>
  <c r="O42" i="5"/>
  <c r="G46" i="5"/>
  <c r="G46" i="32" s="1"/>
  <c r="N29" i="5"/>
  <c r="N29" i="32" s="1"/>
  <c r="F32" i="5"/>
  <c r="F32" i="32" s="1"/>
  <c r="J59" i="5"/>
  <c r="J59" i="32" s="1"/>
  <c r="M51" i="5"/>
  <c r="M51" i="32" s="1"/>
  <c r="K24" i="5"/>
  <c r="K24" i="32" s="1"/>
  <c r="H51" i="5"/>
  <c r="H51" i="32" s="1"/>
  <c r="G52" i="5"/>
  <c r="G52" i="32" s="1"/>
  <c r="F49" i="5"/>
  <c r="F49" i="32" s="1"/>
  <c r="J39" i="5"/>
  <c r="J39" i="32" s="1"/>
  <c r="M22" i="5"/>
  <c r="M22" i="32" s="1"/>
  <c r="N16" i="5"/>
  <c r="N16" i="32" s="1"/>
  <c r="O40" i="5"/>
  <c r="O18" i="5"/>
  <c r="J45" i="5"/>
  <c r="J45" i="32" s="1"/>
  <c r="L35" i="5"/>
  <c r="L35" i="32" s="1"/>
  <c r="F27" i="5"/>
  <c r="F27" i="32" s="1"/>
  <c r="H30" i="5"/>
  <c r="H30" i="32" s="1"/>
  <c r="H60" i="5"/>
  <c r="H60" i="32" s="1"/>
  <c r="F58" i="5"/>
  <c r="F58" i="32" s="1"/>
  <c r="O50" i="5"/>
  <c r="C56" i="5"/>
  <c r="C56" i="32" s="1"/>
  <c r="O43" i="5"/>
  <c r="H43" i="5"/>
  <c r="H43" i="32" s="1"/>
  <c r="M59" i="5"/>
  <c r="M59" i="32" s="1"/>
  <c r="L22" i="5"/>
  <c r="L22" i="32" s="1"/>
  <c r="I41" i="5"/>
  <c r="I41" i="32" s="1"/>
  <c r="G17" i="5"/>
  <c r="G17" i="32" s="1"/>
  <c r="D41" i="5"/>
  <c r="D41" i="32" s="1"/>
  <c r="L19" i="5"/>
  <c r="L19" i="32" s="1"/>
  <c r="O76" i="32"/>
  <c r="M34" i="5"/>
  <c r="M34" i="32" s="1"/>
  <c r="H15" i="5"/>
  <c r="H15" i="32" s="1"/>
  <c r="K30" i="5"/>
  <c r="K30" i="32" s="1"/>
  <c r="G60" i="5"/>
  <c r="G60" i="32" s="1"/>
  <c r="C29" i="5"/>
  <c r="C29" i="32" s="1"/>
  <c r="H28" i="5"/>
  <c r="H28" i="32" s="1"/>
  <c r="L6" i="5"/>
  <c r="L6" i="32" s="1"/>
  <c r="L8" i="32" s="1"/>
  <c r="L5" i="32" s="1"/>
  <c r="C50" i="5"/>
  <c r="C50" i="32" s="1"/>
  <c r="G44" i="5"/>
  <c r="G44" i="32" s="1"/>
  <c r="D40" i="5"/>
  <c r="D40" i="32" s="1"/>
  <c r="H54" i="5"/>
  <c r="H54" i="32" s="1"/>
  <c r="G9" i="5"/>
  <c r="G9" i="32" s="1"/>
  <c r="E54" i="5"/>
  <c r="E54" i="32" s="1"/>
  <c r="I29" i="5"/>
  <c r="I29" i="32" s="1"/>
  <c r="E25" i="5"/>
  <c r="E25" i="32" s="1"/>
  <c r="I17" i="5"/>
  <c r="I17" i="32" s="1"/>
  <c r="L29" i="5"/>
  <c r="L29" i="32" s="1"/>
  <c r="C10" i="5"/>
  <c r="C10" i="32" s="1"/>
  <c r="E20" i="5"/>
  <c r="E20" i="32" s="1"/>
  <c r="O60" i="5"/>
  <c r="O48" i="5"/>
  <c r="D31" i="5"/>
  <c r="D31" i="32" s="1"/>
  <c r="I15" i="5"/>
  <c r="I15" i="32" s="1"/>
  <c r="K14" i="5"/>
  <c r="K14" i="32" s="1"/>
  <c r="K28" i="5"/>
  <c r="K28" i="32" s="1"/>
  <c r="N25" i="5"/>
  <c r="N25" i="32" s="1"/>
  <c r="F25" i="5"/>
  <c r="F25" i="32" s="1"/>
  <c r="D23" i="5"/>
  <c r="D23" i="32" s="1"/>
  <c r="D45" i="5"/>
  <c r="D45" i="32" s="1"/>
  <c r="N57" i="5"/>
  <c r="N57" i="32" s="1"/>
  <c r="M14" i="5"/>
  <c r="M14" i="32" s="1"/>
  <c r="D28" i="5"/>
  <c r="D28" i="32" s="1"/>
  <c r="D46" i="5"/>
  <c r="D46" i="32" s="1"/>
  <c r="K10" i="5"/>
  <c r="K10" i="32" s="1"/>
  <c r="O58" i="5"/>
  <c r="L30" i="5"/>
  <c r="L30" i="32" s="1"/>
  <c r="I46" i="5"/>
  <c r="I46" i="32" s="1"/>
  <c r="I19" i="5"/>
  <c r="I19" i="32" s="1"/>
  <c r="N22" i="5"/>
  <c r="N22" i="32" s="1"/>
  <c r="E49" i="5"/>
  <c r="E49" i="32" s="1"/>
  <c r="I33" i="5"/>
  <c r="I33" i="32" s="1"/>
  <c r="L51" i="5"/>
  <c r="L51" i="32" s="1"/>
  <c r="G53" i="5"/>
  <c r="G53" i="32" s="1"/>
  <c r="N21" i="5"/>
  <c r="N21" i="32" s="1"/>
  <c r="H14" i="5"/>
  <c r="H14" i="32" s="1"/>
  <c r="J36" i="5"/>
  <c r="J36" i="32" s="1"/>
  <c r="M10" i="5"/>
  <c r="M10" i="32" s="1"/>
  <c r="F51" i="5"/>
  <c r="F51" i="32" s="1"/>
  <c r="D20" i="5"/>
  <c r="D20" i="32" s="1"/>
  <c r="K20" i="5"/>
  <c r="K20" i="32" s="1"/>
  <c r="I28" i="5"/>
  <c r="I28" i="32" s="1"/>
  <c r="C7" i="5"/>
  <c r="C7" i="32" s="1"/>
  <c r="J27" i="5"/>
  <c r="J27" i="32" s="1"/>
  <c r="C31" i="5"/>
  <c r="C31" i="32" s="1"/>
  <c r="C42" i="5"/>
  <c r="C42" i="32" s="1"/>
  <c r="M41" i="5"/>
  <c r="M41" i="32" s="1"/>
  <c r="E59" i="5"/>
  <c r="E59" i="32" s="1"/>
  <c r="M48" i="5"/>
  <c r="M48" i="32" s="1"/>
  <c r="K42" i="5"/>
  <c r="K42" i="32" s="1"/>
  <c r="F59" i="5"/>
  <c r="F59" i="32" s="1"/>
  <c r="I34" i="5"/>
  <c r="I34" i="32" s="1"/>
  <c r="I54" i="5"/>
  <c r="I54" i="32" s="1"/>
  <c r="E38" i="5"/>
  <c r="E38" i="32" s="1"/>
  <c r="C46" i="5"/>
  <c r="C46" i="32" s="1"/>
  <c r="D39" i="5"/>
  <c r="D39" i="32" s="1"/>
  <c r="E40" i="5"/>
  <c r="E40" i="32" s="1"/>
  <c r="K6" i="5"/>
  <c r="K6" i="32" s="1"/>
  <c r="F15" i="5"/>
  <c r="F15" i="32" s="1"/>
  <c r="D16" i="5"/>
  <c r="D16" i="32" s="1"/>
  <c r="I14" i="5"/>
  <c r="I14" i="32" s="1"/>
  <c r="O54" i="5"/>
  <c r="H40" i="5"/>
  <c r="H40" i="32" s="1"/>
  <c r="L65" i="5"/>
  <c r="L65" i="32" s="1"/>
  <c r="N10" i="5"/>
  <c r="N10" i="32" s="1"/>
  <c r="F40" i="5"/>
  <c r="F40" i="32" s="1"/>
  <c r="H9" i="5"/>
  <c r="H9" i="32" s="1"/>
  <c r="E28" i="5"/>
  <c r="E28" i="32" s="1"/>
  <c r="K44" i="5"/>
  <c r="K44" i="32" s="1"/>
  <c r="O46" i="5"/>
  <c r="J54" i="5"/>
  <c r="J54" i="32" s="1"/>
  <c r="E9" i="5"/>
  <c r="E9" i="32" s="1"/>
  <c r="F44" i="5"/>
  <c r="F44" i="32" s="1"/>
  <c r="C35" i="5"/>
  <c r="C35" i="32" s="1"/>
  <c r="I21" i="5"/>
  <c r="I21" i="32" s="1"/>
  <c r="N39" i="5"/>
  <c r="N39" i="32" s="1"/>
  <c r="J35" i="5"/>
  <c r="J35" i="32" s="1"/>
  <c r="I39" i="5"/>
  <c r="I39" i="32" s="1"/>
  <c r="M24" i="5"/>
  <c r="M24" i="32" s="1"/>
  <c r="M25" i="5"/>
  <c r="M25" i="32" s="1"/>
  <c r="L21" i="5"/>
  <c r="L21" i="32" s="1"/>
  <c r="I49" i="5"/>
  <c r="I49" i="32" s="1"/>
  <c r="D49" i="5"/>
  <c r="D49" i="32" s="1"/>
  <c r="J7" i="5"/>
  <c r="J7" i="32" s="1"/>
  <c r="J65" i="5"/>
  <c r="J65" i="32" s="1"/>
  <c r="E58" i="5"/>
  <c r="E58" i="32" s="1"/>
  <c r="L25" i="5"/>
  <c r="L25" i="32" s="1"/>
  <c r="H48" i="5"/>
  <c r="H48" i="32" s="1"/>
  <c r="N30" i="5"/>
  <c r="N30" i="32" s="1"/>
  <c r="C27" i="5"/>
  <c r="C27" i="32" s="1"/>
  <c r="G24" i="5"/>
  <c r="G24" i="32" s="1"/>
  <c r="J33" i="5"/>
  <c r="J33" i="32" s="1"/>
  <c r="H52" i="5"/>
  <c r="H52" i="32" s="1"/>
  <c r="I9" i="5"/>
  <c r="I9" i="32" s="1"/>
  <c r="D35" i="5"/>
  <c r="D35" i="32" s="1"/>
  <c r="D37" i="5"/>
  <c r="D37" i="32" s="1"/>
  <c r="K36" i="5"/>
  <c r="K36" i="32" s="1"/>
  <c r="E26" i="5"/>
  <c r="E26" i="32" s="1"/>
  <c r="C30" i="5"/>
  <c r="C30" i="32" s="1"/>
  <c r="H25" i="5"/>
  <c r="H25" i="32" s="1"/>
  <c r="K60" i="5"/>
  <c r="K60" i="32" s="1"/>
  <c r="L43" i="5"/>
  <c r="L43" i="32" s="1"/>
  <c r="I20" i="5"/>
  <c r="I20" i="32" s="1"/>
  <c r="G25" i="5"/>
  <c r="G25" i="32" s="1"/>
  <c r="C65" i="5"/>
  <c r="C65" i="32" s="1"/>
  <c r="I30" i="5"/>
  <c r="I30" i="32" s="1"/>
  <c r="E44" i="5"/>
  <c r="E44" i="32" s="1"/>
  <c r="G42" i="5"/>
  <c r="G42" i="32" s="1"/>
  <c r="H24" i="5"/>
  <c r="H24" i="32" s="1"/>
  <c r="C24" i="5"/>
  <c r="C24" i="32" s="1"/>
  <c r="O30" i="5"/>
  <c r="I65" i="5"/>
  <c r="I65" i="32" s="1"/>
  <c r="F18" i="5"/>
  <c r="F18" i="32" s="1"/>
  <c r="G18" i="5"/>
  <c r="G18" i="32" s="1"/>
  <c r="L27" i="5"/>
  <c r="L27" i="32" s="1"/>
  <c r="M39" i="5"/>
  <c r="M39" i="32" s="1"/>
  <c r="G37" i="5"/>
  <c r="G37" i="32" s="1"/>
  <c r="N54" i="5"/>
  <c r="N54" i="32" s="1"/>
  <c r="O23" i="5"/>
  <c r="L23" i="5"/>
  <c r="L23" i="32" s="1"/>
  <c r="G22" i="5"/>
  <c r="G22" i="32" s="1"/>
  <c r="I38" i="5"/>
  <c r="I38" i="32" s="1"/>
  <c r="E10" i="5"/>
  <c r="E10" i="32" s="1"/>
  <c r="I42" i="5"/>
  <c r="I42" i="32" s="1"/>
  <c r="K37" i="5"/>
  <c r="K37" i="32" s="1"/>
  <c r="G20" i="5"/>
  <c r="G20" i="32" s="1"/>
  <c r="E36" i="5"/>
  <c r="E36" i="32" s="1"/>
  <c r="J16" i="5"/>
  <c r="J16" i="32" s="1"/>
  <c r="E27" i="5"/>
  <c r="E27" i="32" s="1"/>
  <c r="E29" i="5"/>
  <c r="E29" i="32" s="1"/>
  <c r="L10" i="5"/>
  <c r="L10" i="32" s="1"/>
  <c r="H45" i="5"/>
  <c r="H45" i="32" s="1"/>
  <c r="K19" i="5"/>
  <c r="K19" i="32" s="1"/>
  <c r="E22" i="5"/>
  <c r="E22" i="32" s="1"/>
  <c r="I32" i="5"/>
  <c r="I32" i="32" s="1"/>
  <c r="C48" i="5"/>
  <c r="C48" i="32" s="1"/>
  <c r="M53" i="5"/>
  <c r="M53" i="32" s="1"/>
  <c r="J47" i="5"/>
  <c r="J47" i="32" s="1"/>
  <c r="J42" i="5"/>
  <c r="J42" i="32" s="1"/>
  <c r="G28" i="5"/>
  <c r="G28" i="32" s="1"/>
  <c r="H56" i="5"/>
  <c r="H56" i="32" s="1"/>
  <c r="K25" i="5"/>
  <c r="K25" i="32" s="1"/>
  <c r="F29" i="5"/>
  <c r="F29" i="32" s="1"/>
  <c r="J6" i="5"/>
  <c r="O51" i="5"/>
  <c r="O10" i="5"/>
  <c r="J53" i="5"/>
  <c r="J53" i="32" s="1"/>
  <c r="H35" i="5"/>
  <c r="H35" i="32" s="1"/>
  <c r="C39" i="5"/>
  <c r="C39" i="32" s="1"/>
  <c r="D7" i="5"/>
  <c r="D7" i="32" s="1"/>
  <c r="H33" i="5"/>
  <c r="H33" i="32" s="1"/>
  <c r="M27" i="5"/>
  <c r="M27" i="32" s="1"/>
  <c r="M47" i="5"/>
  <c r="M47" i="32" s="1"/>
  <c r="I23" i="5"/>
  <c r="I23" i="32" s="1"/>
  <c r="E46" i="5"/>
  <c r="E46" i="32" s="1"/>
  <c r="F43" i="5"/>
  <c r="F43" i="32" s="1"/>
  <c r="H34" i="5"/>
  <c r="H34" i="32" s="1"/>
  <c r="K32" i="5"/>
  <c r="K32" i="32" s="1"/>
  <c r="D9" i="5"/>
  <c r="D9" i="32" s="1"/>
  <c r="I16" i="5"/>
  <c r="I16" i="32" s="1"/>
  <c r="I52" i="5"/>
  <c r="I52" i="32" s="1"/>
  <c r="N6" i="5"/>
  <c r="N6" i="32" s="1"/>
  <c r="K65" i="5"/>
  <c r="K65" i="32" s="1"/>
  <c r="N53" i="5"/>
  <c r="N53" i="32" s="1"/>
  <c r="F26" i="5"/>
  <c r="F26" i="32" s="1"/>
  <c r="N7" i="5"/>
  <c r="N7" i="32" s="1"/>
  <c r="N38" i="5"/>
  <c r="N38" i="32" s="1"/>
  <c r="C44" i="5"/>
  <c r="C44" i="32" s="1"/>
  <c r="L33" i="5"/>
  <c r="L33" i="32" s="1"/>
  <c r="E7" i="5"/>
  <c r="E7" i="32" s="1"/>
  <c r="L57" i="5"/>
  <c r="L57" i="32" s="1"/>
  <c r="I31" i="5"/>
  <c r="I31" i="32" s="1"/>
  <c r="O45" i="5"/>
  <c r="H39" i="5"/>
  <c r="H39" i="32" s="1"/>
  <c r="C16" i="5"/>
  <c r="C16" i="32" s="1"/>
  <c r="H18" i="5"/>
  <c r="H18" i="32" s="1"/>
  <c r="H21" i="5"/>
  <c r="H21" i="32" s="1"/>
  <c r="K27" i="5"/>
  <c r="K27" i="32" s="1"/>
  <c r="H32" i="5"/>
  <c r="H32" i="32" s="1"/>
  <c r="M55" i="5"/>
  <c r="M55" i="32" s="1"/>
  <c r="L40" i="5"/>
  <c r="L40" i="32" s="1"/>
  <c r="L52" i="5"/>
  <c r="L52" i="32" s="1"/>
  <c r="M7" i="5"/>
  <c r="M7" i="32" s="1"/>
  <c r="O22" i="5"/>
  <c r="F54" i="5"/>
  <c r="F54" i="32" s="1"/>
  <c r="C58" i="5"/>
  <c r="C58" i="32" s="1"/>
  <c r="K47" i="5"/>
  <c r="K47" i="32" s="1"/>
  <c r="L45" i="5"/>
  <c r="L45" i="32" s="1"/>
  <c r="O28" i="5"/>
  <c r="J10" i="5"/>
  <c r="J10" i="32" s="1"/>
  <c r="I35" i="5"/>
  <c r="I35" i="32" s="1"/>
  <c r="L16" i="5"/>
  <c r="L16" i="32" s="1"/>
  <c r="E50" i="5"/>
  <c r="E50" i="32" s="1"/>
  <c r="E48" i="5"/>
  <c r="E48" i="32" s="1"/>
  <c r="F31" i="5"/>
  <c r="F31" i="32" s="1"/>
  <c r="L55" i="5"/>
  <c r="L55" i="32" s="1"/>
  <c r="F50" i="5"/>
  <c r="F50" i="32" s="1"/>
  <c r="O33" i="5"/>
  <c r="K40" i="5"/>
  <c r="K40" i="32" s="1"/>
  <c r="K52" i="5"/>
  <c r="K52" i="32" s="1"/>
  <c r="C57" i="5"/>
  <c r="C57" i="32" s="1"/>
  <c r="O24" i="5"/>
  <c r="H23" i="5"/>
  <c r="H23" i="32" s="1"/>
  <c r="O19" i="5"/>
  <c r="C45" i="5"/>
  <c r="C45" i="32" s="1"/>
  <c r="F19" i="5"/>
  <c r="F19" i="32" s="1"/>
  <c r="J37" i="5"/>
  <c r="J37" i="32" s="1"/>
  <c r="C47" i="5"/>
  <c r="C47" i="32" s="1"/>
  <c r="K33" i="5"/>
  <c r="K33" i="32" s="1"/>
  <c r="G39" i="5"/>
  <c r="G39" i="32" s="1"/>
  <c r="F42" i="5"/>
  <c r="F42" i="32" s="1"/>
  <c r="I60" i="5"/>
  <c r="I60" i="32" s="1"/>
  <c r="D22" i="5"/>
  <c r="D22" i="32" s="1"/>
  <c r="C34" i="5"/>
  <c r="C34" i="32" s="1"/>
  <c r="M30" i="5"/>
  <c r="M30" i="32" s="1"/>
  <c r="F45" i="5"/>
  <c r="F45" i="32" s="1"/>
  <c r="F60" i="5"/>
  <c r="F60" i="32" s="1"/>
  <c r="E31" i="5"/>
  <c r="E31" i="32" s="1"/>
  <c r="J40" i="5"/>
  <c r="J40" i="32" s="1"/>
  <c r="O53" i="5"/>
  <c r="H19" i="5"/>
  <c r="H19" i="32" s="1"/>
  <c r="M36" i="5"/>
  <c r="M36" i="32" s="1"/>
  <c r="L24" i="5"/>
  <c r="L24" i="32" s="1"/>
  <c r="O32" i="5"/>
  <c r="K9" i="5"/>
  <c r="K9" i="32" s="1"/>
  <c r="N36" i="5"/>
  <c r="N36" i="32" s="1"/>
  <c r="C59" i="5"/>
  <c r="C59" i="32" s="1"/>
  <c r="O41" i="5"/>
  <c r="D48" i="5"/>
  <c r="D48" i="32" s="1"/>
  <c r="K18" i="5"/>
  <c r="K18" i="32" s="1"/>
  <c r="C21" i="5"/>
  <c r="C21" i="32" s="1"/>
  <c r="F23" i="5"/>
  <c r="F23" i="32" s="1"/>
  <c r="C14" i="5"/>
  <c r="C14" i="32" s="1"/>
  <c r="M17" i="5"/>
  <c r="M17" i="32" s="1"/>
  <c r="G89" i="32"/>
  <c r="O87" i="32"/>
  <c r="G57" i="5"/>
  <c r="G57" i="32" s="1"/>
  <c r="I51" i="5"/>
  <c r="I51" i="32" s="1"/>
  <c r="H26" i="5"/>
  <c r="H26" i="32" s="1"/>
  <c r="N31" i="5"/>
  <c r="N31" i="32" s="1"/>
  <c r="C60" i="5"/>
  <c r="C60" i="32" s="1"/>
  <c r="N60" i="5"/>
  <c r="N60" i="32" s="1"/>
  <c r="N32" i="5"/>
  <c r="N32" i="32" s="1"/>
  <c r="M31" i="5"/>
  <c r="M31" i="32" s="1"/>
  <c r="G21" i="5"/>
  <c r="G21" i="32" s="1"/>
  <c r="F89" i="32"/>
  <c r="O88" i="32"/>
  <c r="L39" i="5"/>
  <c r="L39" i="32" s="1"/>
  <c r="K59" i="5"/>
  <c r="K59" i="32" s="1"/>
  <c r="M50" i="5"/>
  <c r="M50" i="32" s="1"/>
  <c r="O47" i="5"/>
  <c r="J32" i="5"/>
  <c r="J32" i="32" s="1"/>
  <c r="J56" i="5"/>
  <c r="J56" i="32" s="1"/>
  <c r="E60" i="5"/>
  <c r="E60" i="32" s="1"/>
  <c r="I57" i="5"/>
  <c r="I57" i="32" s="1"/>
  <c r="G14" i="5"/>
  <c r="G14" i="32" s="1"/>
  <c r="N34" i="5"/>
  <c r="N34" i="32" s="1"/>
  <c r="I26" i="5"/>
  <c r="I26" i="32" s="1"/>
  <c r="D57" i="5"/>
  <c r="D57" i="32" s="1"/>
  <c r="L15" i="5"/>
  <c r="L15" i="32" s="1"/>
  <c r="L42" i="5"/>
  <c r="L42" i="32" s="1"/>
  <c r="J29" i="5"/>
  <c r="J29" i="32" s="1"/>
  <c r="J20" i="5"/>
  <c r="J20" i="32" s="1"/>
  <c r="K94" i="32"/>
  <c r="O69" i="32"/>
  <c r="I99" i="32"/>
  <c r="O75" i="32"/>
  <c r="I8" i="32" l="1"/>
  <c r="I5" i="32" s="1"/>
  <c r="I12" i="32" s="1"/>
  <c r="G72" i="5"/>
  <c r="G72" i="32" s="1"/>
  <c r="G73" i="32" s="1"/>
  <c r="O99" i="5"/>
  <c r="J78" i="5"/>
  <c r="J78" i="32" s="1"/>
  <c r="J79" i="32" s="1"/>
  <c r="O94" i="5"/>
  <c r="N78" i="5"/>
  <c r="N78" i="32" s="1"/>
  <c r="N79" i="32" s="1"/>
  <c r="M74" i="32"/>
  <c r="M78" i="5"/>
  <c r="J72" i="5"/>
  <c r="J72" i="32" s="1"/>
  <c r="J73" i="32" s="1"/>
  <c r="E72" i="5"/>
  <c r="E72" i="32" s="1"/>
  <c r="E73" i="32" s="1"/>
  <c r="K74" i="32"/>
  <c r="K78" i="5"/>
  <c r="K78" i="32" s="1"/>
  <c r="D74" i="32"/>
  <c r="D78" i="5"/>
  <c r="L78" i="5"/>
  <c r="L74" i="32"/>
  <c r="I74" i="32"/>
  <c r="I78" i="5"/>
  <c r="I78" i="32" s="1"/>
  <c r="H78" i="5"/>
  <c r="H74" i="32"/>
  <c r="K72" i="5"/>
  <c r="K72" i="32" s="1"/>
  <c r="K73" i="32" s="1"/>
  <c r="F78" i="5"/>
  <c r="G74" i="32"/>
  <c r="G78" i="5"/>
  <c r="M72" i="5"/>
  <c r="M72" i="32" s="1"/>
  <c r="M73" i="32" s="1"/>
  <c r="D97" i="32"/>
  <c r="D99" i="32" s="1"/>
  <c r="D99" i="5"/>
  <c r="E74" i="32"/>
  <c r="E78" i="5"/>
  <c r="E78" i="32" s="1"/>
  <c r="C97" i="32"/>
  <c r="C99" i="5"/>
  <c r="C74" i="32"/>
  <c r="C78" i="5"/>
  <c r="C78" i="32" s="1"/>
  <c r="O74" i="5"/>
  <c r="O78" i="5" s="1"/>
  <c r="O68" i="5"/>
  <c r="O72" i="5" s="1"/>
  <c r="H72" i="5"/>
  <c r="H72" i="32" s="1"/>
  <c r="H73" i="32" s="1"/>
  <c r="L72" i="5"/>
  <c r="L72" i="32" s="1"/>
  <c r="L73" i="32" s="1"/>
  <c r="F72" i="5"/>
  <c r="F72" i="32" s="1"/>
  <c r="F73" i="32" s="1"/>
  <c r="D92" i="32"/>
  <c r="D94" i="32" s="1"/>
  <c r="D94" i="5"/>
  <c r="I72" i="5"/>
  <c r="I72" i="32" s="1"/>
  <c r="I73" i="32" s="1"/>
  <c r="N72" i="5"/>
  <c r="N72" i="32" s="1"/>
  <c r="N73" i="32" s="1"/>
  <c r="D68" i="32"/>
  <c r="D72" i="5"/>
  <c r="C68" i="32"/>
  <c r="C72" i="5"/>
  <c r="C92" i="32"/>
  <c r="C94" i="5"/>
  <c r="D8" i="32"/>
  <c r="D5" i="32" s="1"/>
  <c r="D12" i="32" s="1"/>
  <c r="I8" i="5"/>
  <c r="I5" i="5" s="1"/>
  <c r="I12" i="5" s="1"/>
  <c r="K8" i="32"/>
  <c r="K5" i="32" s="1"/>
  <c r="K12" i="32" s="1"/>
  <c r="K8" i="5"/>
  <c r="K5" i="5" s="1"/>
  <c r="K12" i="5" s="1"/>
  <c r="D8" i="5"/>
  <c r="D5" i="5" s="1"/>
  <c r="D12" i="5" s="1"/>
  <c r="G8" i="5"/>
  <c r="G5" i="5" s="1"/>
  <c r="G12" i="5" s="1"/>
  <c r="G6" i="32"/>
  <c r="G8" i="32" s="1"/>
  <c r="G5" i="32" s="1"/>
  <c r="G12" i="32" s="1"/>
  <c r="O8" i="5"/>
  <c r="O5" i="5" s="1"/>
  <c r="O12" i="5" s="1"/>
  <c r="H8" i="5"/>
  <c r="H5" i="5" s="1"/>
  <c r="H12" i="5" s="1"/>
  <c r="H6" i="32"/>
  <c r="H8" i="32" s="1"/>
  <c r="H5" i="32" s="1"/>
  <c r="H12" i="32" s="1"/>
  <c r="O19" i="32"/>
  <c r="O51" i="32"/>
  <c r="F8" i="32"/>
  <c r="F5" i="32" s="1"/>
  <c r="F12" i="32" s="1"/>
  <c r="N8" i="5"/>
  <c r="N5" i="5" s="1"/>
  <c r="N12" i="5" s="1"/>
  <c r="N8" i="32"/>
  <c r="N5" i="32" s="1"/>
  <c r="N12" i="32" s="1"/>
  <c r="O43" i="32"/>
  <c r="O16" i="32"/>
  <c r="O17" i="32"/>
  <c r="O48" i="32"/>
  <c r="O49" i="32"/>
  <c r="E8" i="5"/>
  <c r="E5" i="5" s="1"/>
  <c r="E12" i="5" s="1"/>
  <c r="E8" i="32"/>
  <c r="E5" i="32" s="1"/>
  <c r="E12" i="32" s="1"/>
  <c r="O22" i="32"/>
  <c r="J8" i="5"/>
  <c r="J5" i="5" s="1"/>
  <c r="J12" i="5" s="1"/>
  <c r="O27" i="32"/>
  <c r="J6" i="32"/>
  <c r="J8" i="32" s="1"/>
  <c r="J5" i="32" s="1"/>
  <c r="J12" i="32" s="1"/>
  <c r="O34" i="32"/>
  <c r="O47" i="32"/>
  <c r="O65" i="32"/>
  <c r="O44" i="32"/>
  <c r="O30" i="32"/>
  <c r="O25" i="32"/>
  <c r="O56" i="32"/>
  <c r="O45" i="32"/>
  <c r="O24" i="32"/>
  <c r="F8" i="5"/>
  <c r="F5" i="5" s="1"/>
  <c r="F12" i="5" s="1"/>
  <c r="O18" i="32"/>
  <c r="O53" i="32"/>
  <c r="O52" i="32"/>
  <c r="O37" i="32"/>
  <c r="O9" i="32"/>
  <c r="O33" i="32"/>
  <c r="O36" i="32"/>
  <c r="O41" i="32"/>
  <c r="O54" i="32"/>
  <c r="O39" i="32"/>
  <c r="O42" i="32"/>
  <c r="O55" i="32"/>
  <c r="O28" i="32"/>
  <c r="O38" i="32"/>
  <c r="O58" i="32"/>
  <c r="O23" i="32"/>
  <c r="O10" i="32"/>
  <c r="L8" i="5"/>
  <c r="L5" i="5" s="1"/>
  <c r="L12" i="5" s="1"/>
  <c r="O57" i="32"/>
  <c r="O64" i="5"/>
  <c r="O13" i="5" s="1"/>
  <c r="O26" i="32"/>
  <c r="O21" i="32"/>
  <c r="O59" i="32"/>
  <c r="O35" i="32"/>
  <c r="O46" i="32"/>
  <c r="O7" i="32"/>
  <c r="M8" i="32"/>
  <c r="M5" i="32" s="1"/>
  <c r="M12" i="32" s="1"/>
  <c r="O50" i="32"/>
  <c r="O20" i="32"/>
  <c r="O40" i="32"/>
  <c r="E64" i="5"/>
  <c r="E13" i="5" s="1"/>
  <c r="K64" i="5"/>
  <c r="K13" i="5" s="1"/>
  <c r="C8" i="5"/>
  <c r="C5" i="5" s="1"/>
  <c r="C12" i="5" s="1"/>
  <c r="F64" i="5"/>
  <c r="F13" i="5" s="1"/>
  <c r="O29" i="32"/>
  <c r="O60" i="32"/>
  <c r="H64" i="5"/>
  <c r="H64" i="32" s="1"/>
  <c r="H13" i="32" s="1"/>
  <c r="M8" i="5"/>
  <c r="M5" i="5" s="1"/>
  <c r="M12" i="5" s="1"/>
  <c r="L12" i="32"/>
  <c r="O32" i="32"/>
  <c r="O31" i="32"/>
  <c r="M64" i="5"/>
  <c r="M13" i="5" s="1"/>
  <c r="N64" i="5"/>
  <c r="N13" i="5" s="1"/>
  <c r="C64" i="5"/>
  <c r="C64" i="32" s="1"/>
  <c r="J64" i="5"/>
  <c r="J13" i="5" s="1"/>
  <c r="D64" i="5"/>
  <c r="D13" i="5" s="1"/>
  <c r="L64" i="5"/>
  <c r="L13" i="5" s="1"/>
  <c r="O15" i="32"/>
  <c r="O89" i="32"/>
  <c r="I64" i="5"/>
  <c r="I64" i="32" s="1"/>
  <c r="I13" i="32" s="1"/>
  <c r="G64" i="5"/>
  <c r="G13" i="5" s="1"/>
  <c r="O14" i="32"/>
  <c r="C8" i="32"/>
  <c r="C5" i="32" s="1"/>
  <c r="C12" i="32" s="1"/>
  <c r="M3" i="10" a="1"/>
  <c r="M3" i="10" s="1"/>
  <c r="G3" i="10" l="1" a="1"/>
  <c r="G3" i="10" s="1"/>
  <c r="P3" i="10" a="1"/>
  <c r="P3" i="10" s="1"/>
  <c r="J79" i="5"/>
  <c r="G73" i="5"/>
  <c r="J67" i="32"/>
  <c r="J81" i="32" s="1"/>
  <c r="J73" i="5"/>
  <c r="K73" i="5"/>
  <c r="N79" i="5"/>
  <c r="E73" i="5"/>
  <c r="I79" i="5"/>
  <c r="N67" i="32"/>
  <c r="N81" i="32" s="1"/>
  <c r="M73" i="5"/>
  <c r="K79" i="5"/>
  <c r="K79" i="32"/>
  <c r="K67" i="32" s="1"/>
  <c r="K81" i="32" s="1"/>
  <c r="E79" i="32"/>
  <c r="E67" i="32" s="1"/>
  <c r="E81" i="32" s="1"/>
  <c r="M78" i="32"/>
  <c r="M79" i="32" s="1"/>
  <c r="M67" i="32" s="1"/>
  <c r="M81" i="32" s="1"/>
  <c r="M79" i="5"/>
  <c r="E79" i="5"/>
  <c r="H78" i="32"/>
  <c r="H79" i="32" s="1"/>
  <c r="H67" i="32" s="1"/>
  <c r="H81" i="32" s="1"/>
  <c r="H79" i="5"/>
  <c r="C79" i="5"/>
  <c r="H73" i="5"/>
  <c r="I79" i="32"/>
  <c r="I67" i="32" s="1"/>
  <c r="I81" i="32" s="1"/>
  <c r="G78" i="32"/>
  <c r="G79" i="32" s="1"/>
  <c r="G67" i="32" s="1"/>
  <c r="G81" i="32" s="1"/>
  <c r="G79" i="5"/>
  <c r="O73" i="5"/>
  <c r="F78" i="32"/>
  <c r="F79" i="32" s="1"/>
  <c r="F67" i="32" s="1"/>
  <c r="F81" i="32" s="1"/>
  <c r="F79" i="5"/>
  <c r="L78" i="32"/>
  <c r="L79" i="32" s="1"/>
  <c r="L67" i="32" s="1"/>
  <c r="L81" i="32" s="1"/>
  <c r="L79" i="5"/>
  <c r="D78" i="32"/>
  <c r="D79" i="32" s="1"/>
  <c r="D79" i="5"/>
  <c r="O74" i="32"/>
  <c r="C79" i="32"/>
  <c r="C99" i="32"/>
  <c r="O97" i="32"/>
  <c r="O99" i="32" s="1"/>
  <c r="O79" i="5"/>
  <c r="I73" i="5"/>
  <c r="F73" i="5"/>
  <c r="L73" i="5"/>
  <c r="D72" i="32"/>
  <c r="D73" i="32" s="1"/>
  <c r="D73" i="5"/>
  <c r="N73" i="5"/>
  <c r="C94" i="32"/>
  <c r="O92" i="32"/>
  <c r="O94" i="32" s="1"/>
  <c r="C72" i="32"/>
  <c r="C73" i="5"/>
  <c r="O68" i="32"/>
  <c r="O3" i="10" a="1"/>
  <c r="O3" i="10" s="1"/>
  <c r="H3" i="10" a="1"/>
  <c r="H3" i="10" s="1"/>
  <c r="I66" i="32"/>
  <c r="K3" i="10" a="1"/>
  <c r="K3" i="10" s="1"/>
  <c r="H13" i="5"/>
  <c r="H66" i="32"/>
  <c r="D66" i="5"/>
  <c r="O6" i="32"/>
  <c r="O8" i="32" s="1"/>
  <c r="O5" i="32" s="1"/>
  <c r="O12" i="32" s="1"/>
  <c r="N66" i="5"/>
  <c r="E64" i="32"/>
  <c r="E13" i="32" s="1"/>
  <c r="E66" i="32" s="1"/>
  <c r="K66" i="5"/>
  <c r="F64" i="32"/>
  <c r="F13" i="32" s="1"/>
  <c r="F66" i="32" s="1"/>
  <c r="N3" i="10" a="1"/>
  <c r="N3" i="10" s="1"/>
  <c r="J66" i="5"/>
  <c r="E66" i="5"/>
  <c r="O66" i="5"/>
  <c r="G66" i="5"/>
  <c r="J64" i="32"/>
  <c r="J13" i="32" s="1"/>
  <c r="J66" i="32" s="1"/>
  <c r="J80" i="32" s="1"/>
  <c r="F66" i="5"/>
  <c r="K64" i="32"/>
  <c r="K13" i="32" s="1"/>
  <c r="K66" i="32" s="1"/>
  <c r="H66" i="5"/>
  <c r="L66" i="5"/>
  <c r="L64" i="32"/>
  <c r="L13" i="32" s="1"/>
  <c r="L66" i="32" s="1"/>
  <c r="Q3" i="10" a="1"/>
  <c r="Q3" i="10" s="1"/>
  <c r="M66" i="5"/>
  <c r="J3" i="10" a="1"/>
  <c r="J3" i="10" s="1"/>
  <c r="D64" i="32"/>
  <c r="D13" i="32" s="1"/>
  <c r="D66" i="32" s="1"/>
  <c r="M64" i="32"/>
  <c r="M13" i="32" s="1"/>
  <c r="M66" i="32" s="1"/>
  <c r="G64" i="32"/>
  <c r="G13" i="32" s="1"/>
  <c r="G66" i="32" s="1"/>
  <c r="L3" i="10" a="1"/>
  <c r="L3" i="10" s="1"/>
  <c r="N64" i="32"/>
  <c r="N13" i="32" s="1"/>
  <c r="N66" i="32" s="1"/>
  <c r="I3" i="10" a="1"/>
  <c r="I3" i="10" s="1"/>
  <c r="F3" i="10" a="1"/>
  <c r="F3" i="10" s="1"/>
  <c r="I13" i="5"/>
  <c r="I66" i="5" s="1"/>
  <c r="C13" i="5"/>
  <c r="C66" i="5" s="1"/>
  <c r="C13" i="32"/>
  <c r="C66" i="32" s="1"/>
  <c r="N67" i="5" l="1"/>
  <c r="N81" i="5" s="1"/>
  <c r="G67" i="5"/>
  <c r="G81" i="5" s="1"/>
  <c r="J67" i="5"/>
  <c r="J81" i="5" s="1"/>
  <c r="I67" i="5"/>
  <c r="I81" i="5" s="1"/>
  <c r="K67" i="5"/>
  <c r="K81" i="5" s="1"/>
  <c r="E67" i="5"/>
  <c r="E81" i="5" s="1"/>
  <c r="N80" i="32"/>
  <c r="I80" i="32"/>
  <c r="E80" i="32"/>
  <c r="C67" i="5"/>
  <c r="C81" i="5" s="1"/>
  <c r="F67" i="5"/>
  <c r="F81" i="5" s="1"/>
  <c r="M67" i="5"/>
  <c r="M81" i="5" s="1"/>
  <c r="M80" i="32"/>
  <c r="K80" i="32"/>
  <c r="H67" i="5"/>
  <c r="H81" i="5" s="1"/>
  <c r="L80" i="32"/>
  <c r="G80" i="32"/>
  <c r="O78" i="32"/>
  <c r="O79" i="32" s="1"/>
  <c r="H80" i="32"/>
  <c r="D67" i="5"/>
  <c r="D81" i="5" s="1"/>
  <c r="D67" i="32"/>
  <c r="D81" i="32" s="1"/>
  <c r="F80" i="32"/>
  <c r="L67" i="5"/>
  <c r="L81" i="5" s="1"/>
  <c r="O67" i="5"/>
  <c r="O81" i="5" s="1"/>
  <c r="O72" i="32"/>
  <c r="O73" i="32" s="1"/>
  <c r="C73" i="32"/>
  <c r="C67" i="32" s="1"/>
  <c r="C81" i="32" s="1"/>
  <c r="O64" i="32"/>
  <c r="O13" i="32" s="1"/>
  <c r="O66" i="32" s="1"/>
  <c r="G80" i="5" l="1"/>
  <c r="N80" i="5"/>
  <c r="I80" i="5"/>
  <c r="J80" i="5"/>
  <c r="K80" i="5"/>
  <c r="E80" i="5"/>
  <c r="O80" i="5"/>
  <c r="D80" i="32"/>
  <c r="O67" i="32"/>
  <c r="O81" i="32" s="1"/>
  <c r="M80" i="5"/>
  <c r="C80" i="5"/>
  <c r="H80" i="5"/>
  <c r="F80" i="5"/>
  <c r="D80" i="5"/>
  <c r="L80" i="5"/>
  <c r="C80" i="32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A5D2D52E-9A16-4FC3-A570-1044BF49FF17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AB66EF28-4B0B-4CD2-A13B-0CA694691D39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<sst xmlns="http://schemas.openxmlformats.org/spreadsheetml/2006/main" count="1807" uniqueCount="789">
  <si>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</si>
  <si>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</si>
  <si>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</si>
  <si>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</si>
  <si>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</si>
  <si>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</si>
  <si>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</si>
  <si>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</si>
  <si>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</si>
  <si>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</si>
  <si>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</si>
  <si>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</si>
  <si>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</si>
  <si>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</si>
  <si>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</si>
  <si>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</si>
  <si>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</si>
  <si>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</si>
  <si>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</si>
  <si>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</si>
  <si>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</si>
  <si>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</si>
  <si>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</si>
  <si>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</si>
  <si>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</si>
  <si>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</si>
  <si>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</si>
  <si>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</si>
  <si>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</si>
  <si>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</si>
  <si>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</si>
  <si>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</si>
  <si>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</si>
  <si>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</si>
  <si>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</si>
  <si>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</si>
  <si>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</si>
  <si>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</si>
  <si>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</si>
  <si>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</si>
  <si>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</si>
  <si>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</si>
  <si>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</si>
  <si>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</si>
  <si>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</si>
  <si>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</si>
  <si>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</si>
  <si>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</si>
  <si>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</si>
  <si>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</si>
  <si>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</si>
  <si>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</si>
  <si>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</si>
  <si>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</si>
  <si>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</si>
  <si>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</si>
  <si>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</si>
  <si>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</si>
  <si>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</si>
  <si>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</si>
  <si>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</si>
  <si>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</si>
  <si>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</si>
  <si>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</si>
  <si>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</si>
  <si>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</si>
  <si>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</si>
  <si>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</si>
  <si>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</si>
  <si>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</si>
  <si>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</si>
  <si>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</si>
  <si>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</si>
  <si>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</si>
  <si>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</si>
  <si>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</si>
  <si>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</si>
  <si>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</si>
  <si>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</si>
  <si>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</si>
  <si>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</si>
  <si>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</si>
  <si>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</si>
  <si>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</si>
  <si>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</si>
  <si>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</si>
  <si>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</si>
  <si>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</si>
  <si>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</si>
  <si>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</si>
  <si>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</si>
  <si>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</si>
  <si>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</si>
  <si>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</si>
  <si>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</si>
  <si>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</si>
  <si>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</si>
  <si>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</si>
  <si>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</si>
  <si>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</si>
  <si>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</si>
  <si>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</si>
  <si>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</si>
  <si>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</si>
  <si>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</si>
  <si>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</si>
  <si>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</si>
  <si>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</si>
  <si>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</si>
  <si>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</si>
  <si>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</si>
  <si>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</si>
  <si>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</si>
  <si>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</si>
  <si>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</si>
  <si>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</si>
  <si>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</si>
  <si>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</si>
  <si>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</si>
  <si>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</si>
  <si>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</si>
  <si>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</si>
  <si>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</si>
  <si>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</si>
  <si>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</si>
  <si>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</si>
  <si>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</si>
  <si>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</si>
  <si>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</si>
  <si>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</si>
  <si>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</si>
  <si>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</si>
  <si>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</si>
  <si>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</si>
  <si>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</si>
  <si>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</si>
  <si>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</si>
  <si>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</si>
  <si>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</si>
  <si>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</si>
  <si>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</si>
  <si>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</si>
  <si>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</si>
  <si>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</si>
  <si>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</si>
  <si>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</si>
  <si>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</si>
  <si>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</si>
  <si>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</si>
  <si>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</si>
  <si>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</si>
  <si>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</si>
  <si>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</si>
  <si>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</si>
  <si>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</si>
  <si>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</si>
  <si>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</si>
  <si>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</si>
  <si>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</si>
  <si>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</si>
  <si>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</si>
  <si>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</si>
  <si>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</si>
  <si>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</si>
  <si>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</si>
  <si>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</si>
  <si>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</si>
  <si>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</si>
  <si>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</si>
  <si>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</si>
  <si>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</si>
  <si>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</si>
  <si>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</si>
  <si>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</si>
  <si>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</si>
  <si>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</si>
  <si>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</si>
  <si>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</si>
  <si>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</si>
  <si>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</si>
  <si>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</si>
  <si>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</si>
  <si>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</si>
  <si>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</si>
  <si>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</si>
  <si>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</si>
  <si>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</si>
  <si>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</si>
  <si>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</si>
  <si>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</si>
  <si>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</si>
  <si>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</si>
  <si>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</si>
  <si>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</si>
  <si>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</si>
  <si>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</si>
  <si>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</si>
  <si>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</si>
  <si>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</si>
  <si>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</si>
  <si>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</si>
  <si>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</si>
  <si>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</si>
  <si>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</si>
  <si>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</si>
  <si>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</si>
  <si>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</si>
  <si>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</si>
  <si>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</si>
  <si>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</si>
  <si>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</si>
  <si>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</si>
  <si>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</si>
  <si>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</si>
  <si>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</si>
  <si>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</si>
  <si>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</si>
  <si>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</si>
  <si>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</si>
  <si>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</si>
  <si>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</si>
  <si>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</si>
  <si>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</si>
  <si>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</si>
  <si>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</si>
  <si>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</si>
  <si>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</si>
  <si>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</si>
  <si>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</si>
  <si>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</si>
  <si>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</si>
  <si>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</si>
  <si>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</si>
  <si>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</si>
  <si>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</si>
  <si>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</si>
  <si>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</si>
  <si>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</si>
  <si>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</si>
  <si>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</si>
  <si>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</si>
  <si>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</si>
  <si>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</si>
  <si>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</si>
  <si>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</si>
  <si>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</si>
  <si>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</si>
  <si>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</si>
  <si>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</si>
  <si>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</si>
  <si>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</si>
  <si>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</si>
  <si>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</si>
  <si>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</si>
  <si>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</si>
  <si>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</si>
  <si>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</si>
  <si>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</si>
  <si>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</si>
  <si>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</si>
  <si>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</si>
  <si>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</si>
  <si>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</si>
  <si>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</si>
  <si>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</si>
  <si>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</si>
  <si>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</si>
  <si>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</si>
  <si>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</si>
  <si>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</si>
  <si>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</si>
  <si>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</si>
  <si>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</si>
  <si>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</si>
  <si>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</si>
  <si>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</si>
  <si>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</si>
  <si>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</si>
  <si>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</si>
  <si>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</si>
  <si>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</si>
  <si>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</si>
  <si>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</si>
  <si>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</si>
  <si>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</si>
  <si>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</si>
  <si>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</si>
  <si>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</si>
  <si>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</si>
  <si>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</si>
  <si>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</si>
  <si>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</si>
  <si>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</si>
  <si>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</si>
  <si>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</si>
  <si>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</si>
  <si>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</si>
  <si>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</si>
  <si>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</si>
  <si>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</si>
  <si>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</si>
  <si>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</si>
  <si>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</si>
  <si>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</si>
  <si>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</si>
  <si>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</si>
  <si>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</si>
  <si>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</si>
  <si>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</si>
  <si>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</si>
  <si>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</si>
  <si>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</si>
  <si>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</si>
  <si>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</si>
  <si>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</si>
  <si>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</si>
  <si>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</si>
  <si>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</si>
  <si>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</si>
  <si>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</si>
  <si>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</si>
  <si>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</si>
  <si>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</si>
  <si>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</si>
  <si>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</si>
  <si>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</si>
  <si>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</si>
  <si>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</si>
  <si>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</si>
  <si>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</si>
  <si>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</si>
  <si>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</si>
  <si>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</si>
  <si>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</si>
  <si>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</si>
  <si>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</si>
  <si>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</si>
  <si>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</si>
  <si>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</si>
  <si>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</si>
  <si>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</si>
  <si>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</si>
  <si>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</si>
  <si>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</si>
  <si>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</si>
  <si>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</si>
  <si>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</si>
  <si>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</si>
  <si>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</si>
  <si>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</si>
  <si>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</si>
  <si>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</si>
  <si>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</si>
  <si>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</si>
  <si>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</si>
  <si>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</si>
  <si>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</si>
  <si>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</si>
  <si>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</si>
  <si>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</si>
  <si>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</si>
  <si>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</si>
  <si>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</si>
  <si>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</si>
  <si>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</si>
  <si>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</si>
  <si>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</si>
  <si>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</si>
  <si>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</si>
  <si>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</si>
  <si>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</si>
  <si>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</si>
  <si>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</si>
  <si>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</si>
  <si>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</si>
  <si>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</si>
  <si>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</si>
  <si>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</si>
  <si>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</si>
  <si>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</si>
  <si>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</si>
  <si>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</si>
  <si>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</si>
  <si>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</si>
  <si>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</si>
  <si>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</si>
  <si>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</si>
  <si>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</si>
  <si>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</si>
  <si>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</si>
  <si>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</si>
  <si>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</si>
  <si>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</si>
  <si>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</si>
  <si>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</si>
  <si>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</si>
  <si>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</si>
  <si>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</si>
  <si>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</si>
  <si>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</si>
  <si>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</si>
  <si>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</si>
  <si>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</si>
  <si>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</si>
  <si>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</si>
  <si>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</si>
  <si>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</si>
  <si>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</si>
  <si>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</si>
  <si>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</si>
  <si>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</si>
  <si>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</si>
  <si>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</si>
  <si>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</si>
  <si>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</si>
  <si>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</si>
  <si>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</si>
  <si>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</si>
  <si>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</si>
  <si>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</si>
  <si>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</si>
  <si>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</si>
  <si>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</si>
  <si>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</si>
  <si>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</si>
  <si>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</si>
  <si>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</si>
  <si>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</si>
  <si>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</si>
  <si>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</si>
  <si>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</si>
  <si>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</si>
  <si>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</si>
  <si>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</si>
  <si>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</si>
  <si>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</si>
  <si>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</si>
  <si>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</si>
  <si>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</si>
  <si>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</si>
  <si>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</si>
  <si>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</si>
  <si>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</si>
  <si>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</si>
  <si>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</si>
  <si>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</si>
  <si>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</si>
  <si>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</si>
  <si>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</si>
  <si>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</si>
  <si>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</si>
  <si>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</si>
  <si>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</si>
  <si>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</si>
  <si>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</si>
  <si>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</si>
  <si>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</si>
  <si>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</si>
  <si>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</si>
  <si>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</si>
  <si>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</si>
  <si>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</si>
  <si>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</si>
  <si>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</si>
  <si>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</si>
  <si>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</si>
  <si>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</si>
  <si>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</si>
  <si>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</si>
  <si>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</si>
  <si>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</si>
  <si>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</si>
  <si>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</si>
  <si>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</si>
  <si>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</si>
  <si>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</si>
  <si>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</si>
  <si>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</si>
  <si>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</si>
  <si>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</si>
  <si>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</si>
  <si>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</si>
  <si>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</si>
  <si>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</si>
  <si>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</si>
  <si>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</si>
  <si>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</si>
  <si>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</si>
  <si>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</si>
  <si>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</si>
  <si>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</si>
  <si>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</si>
  <si>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</si>
  <si>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</si>
  <si>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</si>
  <si>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</si>
  <si>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</si>
  <si>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</si>
  <si>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</si>
  <si>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</si>
  <si>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</si>
  <si>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</si>
  <si>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</si>
  <si>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</si>
  <si>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</si>
  <si>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</si>
  <si>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</si>
  <si>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</si>
  <si>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</si>
  <si>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</si>
  <si>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</si>
  <si>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</si>
  <si>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</si>
  <si>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</si>
  <si>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</si>
  <si>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</si>
  <si>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</si>
  <si>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</si>
  <si>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</si>
  <si>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</si>
  <si>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</si>
  <si>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</si>
  <si>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</si>
  <si>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</si>
  <si>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</si>
  <si>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</si>
  <si>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</si>
  <si>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</si>
  <si>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</si>
  <si>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</si>
  <si>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</si>
  <si>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</si>
  <si>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</si>
  <si>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</si>
  <si>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</si>
  <si>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</si>
  <si>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</si>
  <si>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</si>
  <si>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</si>
  <si>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</si>
  <si>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</si>
  <si>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</si>
  <si>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</si>
  <si>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</si>
  <si>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</si>
  <si>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</si>
  <si>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</si>
  <si>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</si>
  <si>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</si>
  <si>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</si>
  <si>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</si>
  <si>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</si>
  <si>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</si>
  <si>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</si>
  <si>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</si>
  <si>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</si>
  <si>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</si>
  <si>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</si>
  <si>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</si>
  <si>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</si>
  <si>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</si>
  <si>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</si>
  <si>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</si>
  <si>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</si>
  <si>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</si>
  <si>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</si>
  <si>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</si>
  <si>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</si>
  <si>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</si>
  <si>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</si>
  <si>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</si>
  <si>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</si>
  <si>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</si>
  <si>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</si>
  <si>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</si>
  <si>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</si>
  <si>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</si>
  <si>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</si>
  <si>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</si>
  <si>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</si>
  <si>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</si>
  <si>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</si>
  <si>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</si>
  <si>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</si>
  <si>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</si>
  <si>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</si>
  <si>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</si>
  <si>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</si>
  <si>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</si>
  <si>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</si>
  <si>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</si>
  <si>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</si>
  <si>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</si>
  <si>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</si>
  <si>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</si>
  <si>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</si>
  <si>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</si>
  <si>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</si>
  <si>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</si>
  <si>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</si>
  <si>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</si>
  <si>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</si>
  <si>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</si>
  <si>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</si>
  <si>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</si>
  <si>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</si>
  <si>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</si>
  <si>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</si>
  <si>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</si>
  <si>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</si>
  <si>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</si>
  <si>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</si>
  <si>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</si>
  <si>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</si>
  <si>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</si>
  <si>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</si>
  <si>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</si>
  <si>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</si>
  <si>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</si>
  <si>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</si>
  <si>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</si>
  <si>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</si>
  <si>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</si>
  <si>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</si>
  <si>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</si>
  <si>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</si>
  <si>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</si>
  <si>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</si>
  <si>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</si>
  <si>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</si>
  <si>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</si>
  <si>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</si>
  <si>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</si>
  <si>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</si>
  <si>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</si>
  <si>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</si>
  <si>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</si>
  <si>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</si>
  <si>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</si>
  <si>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</si>
  <si>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</si>
  <si>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</si>
  <si>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</si>
  <si>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</si>
  <si>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</si>
  <si>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</si>
  <si>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</si>
  <si>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</si>
  <si>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</si>
  <si>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</si>
  <si>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</si>
  <si>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</si>
  <si>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</si>
  <si>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</si>
  <si>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</si>
  <si>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</si>
  <si>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</si>
  <si>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</si>
  <si>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</si>
  <si>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</si>
  <si>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</si>
  <si>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</si>
  <si>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</si>
  <si>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</si>
  <si>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</si>
  <si>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</si>
  <si>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</si>
  <si>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</si>
  <si>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</si>
  <si>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</si>
  <si>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</si>
  <si>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</si>
  <si>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</si>
  <si>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</si>
  <si>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</si>
  <si>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</si>
  <si>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</si>
  <si>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</si>
  <si>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</si>
  <si>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</si>
  <si>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</si>
  <si>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</si>
  <si>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</si>
  <si>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</si>
  <si>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</si>
  <si>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</si>
  <si>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</si>
  <si>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</si>
  <si>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</si>
  <si>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</si>
  <si>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</si>
  <si>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</si>
  <si>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</si>
  <si>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トイレットペーパ・Giấy vệ sinh</t>
  </si>
  <si>
    <t>Thuy HC</t>
  </si>
  <si>
    <t>手洗い洗剤  nước rửa tay</t>
  </si>
  <si>
    <t>Bàn nhân viên 社員  机　(1個）</t>
  </si>
  <si>
    <t>Thuy</t>
  </si>
  <si>
    <t>Ghế nhân viên (1chiếc)　社員 椅子(1個）</t>
  </si>
  <si>
    <t>T Anh</t>
  </si>
  <si>
    <t>03 Thùng rác nhựa 660 lit　ゴミ箱購入（3個）</t>
  </si>
  <si>
    <t>M.Anh</t>
  </si>
  <si>
    <t>Window 10 OS</t>
  </si>
  <si>
    <t>Dấu chức danh Mr Tonai 　ネームハンコ制作</t>
  </si>
  <si>
    <t>Chuột Laptop (2 chiếc) マウス購入（2個）</t>
  </si>
  <si>
    <t>phù hiệu thêu (60 phù hiệu xe nâng tay + 05 phù hiệu cẩu trục )　ワッペン</t>
  </si>
  <si>
    <t>M Anh</t>
  </si>
  <si>
    <t>Vỏ thẻ, móc thẻ cho người mới 　新入社員のIDカードのケース</t>
  </si>
  <si>
    <t>Bút, sổ cho người mới　新入社員のノート、ボールペン</t>
  </si>
  <si>
    <t>Pin tieu Energizer AA xin 電池</t>
  </si>
  <si>
    <t>switch 8 port</t>
  </si>
  <si>
    <t>Mail fee／VPN fee</t>
  </si>
  <si>
    <t>Taxi + xe công ty タクシー代 ＋社有車代</t>
  </si>
  <si>
    <t>tiền cơm của đánh giá viên BSI　監査員の食事代</t>
  </si>
  <si>
    <t>Chi phí làm sạch, FM người = so ng *p　清掃費</t>
  </si>
  <si>
    <t>Quan trắc nước ăn uống/給水器水質検査, 6月／1回 (4,10)</t>
  </si>
  <si>
    <t>Quynh</t>
  </si>
  <si>
    <t>Quan trắc nước thải sau TXL 排水測定費用, 毎月</t>
  </si>
  <si>
    <t>Quan trắc định kỳ môi trường nhà máy環境測定費用、3月／1回 (3,6,9,12)</t>
  </si>
  <si>
    <t>Phi hủy hàng lỗi　不良品廃棄費用</t>
  </si>
  <si>
    <t>Phi xu ly chat thai nguy hai 　有害廃棄物廃棄費用</t>
  </si>
  <si>
    <t>Xử lý rác công nghiệp　産廃処分費</t>
  </si>
  <si>
    <t>物流課費振替 (chi phí vận chuyển)</t>
  </si>
  <si>
    <t>ISO45001のBSI監査費用 phí kiểm toán ISO45001</t>
  </si>
  <si>
    <t>RBA関連の経費(10.380 USD) Chi phí liên quan RBA　（3月）</t>
  </si>
  <si>
    <t>Dung</t>
  </si>
  <si>
    <t>Online サービス（法律）</t>
  </si>
  <si>
    <t>Quan trắc MT lao động　労働環境測定（1年/一回、9月）</t>
  </si>
  <si>
    <t xml:space="preserve">Tư vấn an toàn môi trường AMSS環境安全に関連する法律のコンサルティングおよびトレーニングの料金 </t>
  </si>
  <si>
    <t>Thủ tục giấy tờ cho Tonai san （藤内さんの書類申請手続き）</t>
  </si>
  <si>
    <t>IREC購入</t>
  </si>
  <si>
    <t>Treo băng rôn an toàn　安全バナー設置</t>
  </si>
  <si>
    <t>Thuế nhà thầu nước ngoài nộp （I-rec）　外国契約者税（IREC)</t>
  </si>
  <si>
    <t>Thuế nhà thầu nước ngoài nộp （RBA）　外国業者が支払う税金 (RBA)</t>
  </si>
  <si>
    <t xml:space="preserve"> </t>
  </si>
  <si>
    <t>Đào tạo an toàn vệ sinh lao động, ATGT　安全衛生教育（1年/一回、11月）（新入社員）</t>
  </si>
  <si>
    <t>Đào tạo định kỳ hàng năm về  PCCC, CHCN cho đội PCCC cơ sở　消火チーム向けの消防・救難救出活動の年次教育実施</t>
  </si>
  <si>
    <t>Đào tạo PCCC cho đối tượng sử dụng hóa chất　化学物質取扱者への消防教育実施</t>
  </si>
  <si>
    <t>Diễn tập PCCC hàng năm 消防訓練実施</t>
  </si>
  <si>
    <t xml:space="preserve"> Chi phí thi tiếng Nhât (日本語試験受験料）</t>
  </si>
  <si>
    <t>Huấn luyện an toàn nhóm 3 và hóa chất nhóm 3 (KIT)グループ３への　安全教育、化学物質教育</t>
  </si>
  <si>
    <t>Huấn luyện lái xe máy an toàn JCCI　バイク講習会</t>
  </si>
  <si>
    <t>会社携帯電話 Chi phí điện thoại di động</t>
  </si>
  <si>
    <t>社用携帯電話支給1名分 (Tien mua điện thoại cho Tonai san)</t>
  </si>
  <si>
    <t>Chi phí nhắn tin làm khảo sát アンケートのSMS配信費用</t>
  </si>
  <si>
    <t>郵便代 chuyển phát nhanh</t>
  </si>
  <si>
    <t>Phế liệu sắt từ TSCĐ　廃金型売却</t>
  </si>
  <si>
    <t>有価物売却 Bán phế liệu</t>
  </si>
  <si>
    <t>建屋償却費; khấu hao xây dựng</t>
  </si>
  <si>
    <t>土地使用権償却費 Khấu hao quyền sử dụng đất</t>
  </si>
  <si>
    <t>ポケットカレンダー (Lịch bỏ túi)</t>
  </si>
  <si>
    <t>新入社員用（フィロソフィ手帳／社員証／ポケットカレンダー） Philosophy</t>
  </si>
  <si>
    <t>Ảnh, thẻ từ chấm công 写真、IDカード</t>
  </si>
  <si>
    <t>Áo dài tay (Tonai san)　長袖シャツ配賦</t>
  </si>
  <si>
    <t>新入社員制服1式 uniform for new member</t>
  </si>
  <si>
    <t xml:space="preserve">制服の再支給 　cấp lại đồng phục </t>
  </si>
  <si>
    <t>health Check ( người mới)新入社員の健康診断料</t>
  </si>
  <si>
    <t xml:space="preserve">誕生日会 Chi phí Sinh nhật  </t>
  </si>
  <si>
    <t>ローカル社員送迎 Tiền đi lại hàng ngày của Tuan Anh,  Thuy</t>
  </si>
  <si>
    <t xml:space="preserve">シフト・残業・休日出勤のタクシー代 Tiền taxi đi làm ca, làm ngày nghỉ của người Việt  </t>
  </si>
  <si>
    <t>出向社員送迎 Tiền đi lại hàng ngày của Mr.Tonai</t>
  </si>
  <si>
    <t>出向社員の残業・休日出勤のタクシー代 Tiền taxi đi làm ngày nghỉ của Mr Tonai</t>
  </si>
  <si>
    <t>京セラフェスティバルLễ hội Kyocera (9月）</t>
  </si>
  <si>
    <t>お年玉 (tiền lixi) 2月</t>
  </si>
  <si>
    <t>忘年会補助金 Hỗ trợ tiệc tất niên 2月</t>
  </si>
  <si>
    <t>運動会 Sport festival T11</t>
  </si>
  <si>
    <t xml:space="preserve">10年勤続記念コンパTiệc kỷ niệm 10 năm gắn bó </t>
  </si>
  <si>
    <t xml:space="preserve">10年勤続記念品Quà kỷ niệm cho CNV 10 năm gắn bó </t>
  </si>
  <si>
    <t>Tiệc khuấy động năm tài chính FY2024決起コンパ T5?</t>
  </si>
  <si>
    <t>社員旅行 (chi phí du lịch)</t>
  </si>
  <si>
    <t>定期健康診断 Khám sức khỏe định kỳ T12</t>
  </si>
  <si>
    <t>Philosophy参加賞 Giải tham gia luận văn</t>
  </si>
  <si>
    <t>環境活動 (hoạt động môi trường FY2025)</t>
  </si>
  <si>
    <t>月餅 Bánh trung thu T9</t>
  </si>
  <si>
    <t>Lớp học tiếng Nhật 日本語クラスの配賦費</t>
  </si>
  <si>
    <t>Tiền hỗ trợ ảnh hưởng bão 　台風影響後の復旧補助金</t>
  </si>
  <si>
    <t>工場電気代 Tiền điện</t>
  </si>
  <si>
    <t xml:space="preserve">工場水道代 Tiền nước </t>
  </si>
  <si>
    <t>昼食のガス代 Tiền GAS = Dữ liệu p. HC *số người</t>
  </si>
  <si>
    <t>Building Interest</t>
  </si>
  <si>
    <t>Land Interest</t>
  </si>
  <si>
    <t>Đào tạo an toàn hóa chất nhóm 3 化学物質安全取扱の講習</t>
  </si>
  <si>
    <t>Phí bảo hiểm môi trường　環境汚染賠償責任保険加入</t>
  </si>
  <si>
    <t>Cardvisit Mr Quynh 　名刺</t>
  </si>
  <si>
    <t>Máy tính laptop （パソコン購入）</t>
  </si>
  <si>
    <t>BSI監査費用（KDCより振替 11月、286,632￥  rate 161.47</t>
  </si>
  <si>
    <t>KDTW グリーンマーク無事故申請書 (phí dịch thuật công chứng)</t>
  </si>
  <si>
    <t>Phân loại điều kiện lao động theo 通達TT29/2021 BLĐTBXH TT29/2021 による労働条件の分類実施</t>
  </si>
  <si>
    <t>Dịch vụ xây dựng kế hoạch giảm phát thải khí nhà kính hàng năm GHGインベントリ実施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</si>
</sst>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;[Red]&quot;¥&quot;\-#,##0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8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4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32" borderId="39" xfId="66" applyNumberFormat="1" applyFont="1" applyFill="1" applyBorder="1" applyAlignment="1" applyProtection="1">
      <alignment horizontal="right" vertical="center"/>
      <protection locked="0"/>
    </xf>
    <xf numFmtId="40" fontId="86" fillId="34" borderId="39" xfId="0" applyNumberFormat="1" applyFont="1" applyFill="1" applyBorder="1" applyProtection="1">
      <protection locked="0"/>
    </xf>
    <xf numFmtId="40" fontId="73" fillId="32" borderId="39" xfId="66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690BCE39-F196-43BE-AEC3-61F606304671}"/>
    <cellStyle name="20% - Accent1" xfId="2" xr:uid="{3905DBD2-E447-4EF7-A482-190C140DA4B7}"/>
    <cellStyle name="20% - Accent2" xfId="3" xr:uid="{839B724A-EE20-4950-B549-1AC71CE873E8}"/>
    <cellStyle name="20% - Accent3" xfId="4" xr:uid="{B4DDD499-87C2-4888-9FC1-7FF7A3732C94}"/>
    <cellStyle name="20% - Accent4" xfId="5" xr:uid="{F5E43532-9106-451B-8F08-A94C3EA912EB}"/>
    <cellStyle name="20% - Accent5" xfId="6" xr:uid="{EE7C173A-67B3-4F74-86D2-28401C2F1771}"/>
    <cellStyle name="20% - Accent6" xfId="7" xr:uid="{E7DA8B54-41AE-430C-9023-C047DF1201DE}"/>
    <cellStyle name="20% - アクセント 1" xfId="8" xr:uid="{8A43F92D-C25E-4134-8E8F-C33380E37A34}"/>
    <cellStyle name="20% - アクセント 1 2" xfId="9" xr:uid="{1A9730B6-A4AE-4D81-90CF-47B85C360E62}"/>
    <cellStyle name="20% - アクセント 2" xfId="10" xr:uid="{257F106D-A158-43C6-871C-7E5F1CA4ADA4}"/>
    <cellStyle name="20% - アクセント 2 2" xfId="11" xr:uid="{3D00E229-2548-4CA9-B0CD-6D2832590117}"/>
    <cellStyle name="20% - アクセント 3" xfId="12" xr:uid="{5E8233B4-20DA-4FC0-AE5C-C99D7A188A69}"/>
    <cellStyle name="20% - アクセント 3 2" xfId="13" xr:uid="{D6BE0CBF-7ABA-4C3A-8F57-61F1619B1493}"/>
    <cellStyle name="20% - アクセント 4" xfId="14" xr:uid="{19196120-F227-42EC-B155-75864BA4A724}"/>
    <cellStyle name="20% - アクセント 4 2" xfId="15" xr:uid="{5B7AAEAF-F553-48B3-BBB7-5064B0A4D712}"/>
    <cellStyle name="20% - アクセント 5" xfId="16" xr:uid="{5CE5AE22-9503-4530-ABBE-FF2F55C36697}"/>
    <cellStyle name="20% - アクセント 5 2" xfId="17" xr:uid="{666291E9-0E8A-4682-AC41-36CF1D9D4ED6}"/>
    <cellStyle name="20% - アクセント 6" xfId="18" xr:uid="{7E6BB8F7-5921-4E6F-9781-4F9C6238CD97}"/>
    <cellStyle name="20% - アクセント 6 2" xfId="19" xr:uid="{8062A886-E796-4B04-A059-8462CA85809A}"/>
    <cellStyle name="3232" xfId="20" xr:uid="{DED1C03E-A55B-4F14-898F-994D8F15BE63}"/>
    <cellStyle name="40% - Accent1" xfId="21" xr:uid="{7A352A72-B9EF-4FA9-B59D-EB670CC246C7}"/>
    <cellStyle name="40% - Accent2" xfId="22" xr:uid="{662C0545-D8FB-4F3D-981C-0F2D82450A30}"/>
    <cellStyle name="40% - Accent3" xfId="23" xr:uid="{61AD3B1E-75F5-4987-8367-879F74CB3A37}"/>
    <cellStyle name="40% - Accent4" xfId="24" xr:uid="{D3E690EB-678D-4B5D-8808-B5A848BBED63}"/>
    <cellStyle name="40% - Accent5" xfId="25" xr:uid="{99ED3D17-B1EB-4C47-BA3D-4293BCF069A2}"/>
    <cellStyle name="40% - Accent6" xfId="26" xr:uid="{B043149F-1351-4D7F-A4DE-724251267B79}"/>
    <cellStyle name="40% - アクセント 1" xfId="27" xr:uid="{E43C0D06-CD81-40F4-87A7-C63F85E23BD8}"/>
    <cellStyle name="40% - アクセント 1 2" xfId="28" xr:uid="{92A15155-9EE5-4DED-829F-FC965336A508}"/>
    <cellStyle name="40% - アクセント 2" xfId="29" xr:uid="{670307D1-9737-4BC4-8FE8-5988C7AE7B18}"/>
    <cellStyle name="40% - アクセント 2 2" xfId="30" xr:uid="{27052907-4D3C-4C84-9A6B-FC7BE754BDA9}"/>
    <cellStyle name="40% - アクセント 3" xfId="31" xr:uid="{445BB146-B9FA-46F9-9358-7C22B1D85E87}"/>
    <cellStyle name="40% - アクセント 3 2" xfId="32" xr:uid="{AC3C1CE0-0F85-4C4F-8948-E76438B81516}"/>
    <cellStyle name="40% - アクセント 4" xfId="33" xr:uid="{62A48706-FC42-4A7B-8305-557760C1F6AE}"/>
    <cellStyle name="40% - アクセント 4 2" xfId="34" xr:uid="{AAD14544-4338-455D-B36B-416CA3415843}"/>
    <cellStyle name="40% - アクセント 5" xfId="35" xr:uid="{6D218106-1F98-4C0F-87B1-E0344ADA2DED}"/>
    <cellStyle name="40% - アクセント 5 2" xfId="36" xr:uid="{24B3E0D7-B26F-40CC-82E7-691091D33CBB}"/>
    <cellStyle name="40% - アクセント 6" xfId="37" xr:uid="{3322BCB0-D877-41B6-A02A-5D76AA08C7A5}"/>
    <cellStyle name="40% - アクセント 6 2" xfId="38" xr:uid="{ADF8DD7D-DC80-44F5-8821-9740F9DFCD15}"/>
    <cellStyle name="60% - Accent1" xfId="39" xr:uid="{814ED631-A8BA-4FAC-8996-D747CE2B12B7}"/>
    <cellStyle name="60% - Accent2" xfId="40" xr:uid="{CE5A172F-FD3F-4A0C-A849-AE078ACFF3E8}"/>
    <cellStyle name="60% - Accent3" xfId="41" xr:uid="{32760674-45FE-437D-92D1-E7AC3194C12A}"/>
    <cellStyle name="60% - Accent4" xfId="42" xr:uid="{CCB97B41-0CCD-4345-A731-F2ECF54B5491}"/>
    <cellStyle name="60% - Accent5" xfId="43" xr:uid="{5E84D634-6C2A-4AAB-9067-541489992163}"/>
    <cellStyle name="60% - Accent6" xfId="44" xr:uid="{74D3F51D-18EF-4AB7-AEEA-97CFA40B2C64}"/>
    <cellStyle name="60% - アクセント 1" xfId="45" xr:uid="{5B42BF0A-BEB8-40AE-A770-E25732D90178}"/>
    <cellStyle name="60% - アクセント 1 2" xfId="46" xr:uid="{CBE03C02-09B9-448D-B852-674BA0EA33F6}"/>
    <cellStyle name="60% - アクセント 2" xfId="47" xr:uid="{9C9054D9-6EF6-4C73-B12C-03D4BA805246}"/>
    <cellStyle name="60% - アクセント 2 2" xfId="48" xr:uid="{450FD559-3D77-457F-B00B-6A8966EC35D8}"/>
    <cellStyle name="60% - アクセント 3" xfId="49" xr:uid="{4A26041F-19F0-4832-9820-BEC07DD998BA}"/>
    <cellStyle name="60% - アクセント 3 2" xfId="50" xr:uid="{CBE3D1F5-160C-415B-B97D-016C2A869B29}"/>
    <cellStyle name="60% - アクセント 4" xfId="51" xr:uid="{90F29912-2BF8-4DF7-944E-86A217601D90}"/>
    <cellStyle name="60% - アクセント 4 2" xfId="52" xr:uid="{DA8FBAA5-655C-48C3-8365-C46FA4C5E5A0}"/>
    <cellStyle name="60% - アクセント 5" xfId="53" xr:uid="{A1054805-DE95-464E-89BF-A6C823ED3FF0}"/>
    <cellStyle name="60% - アクセント 5 2" xfId="54" xr:uid="{89847A00-3902-4FE0-A89A-94D46FDA7569}"/>
    <cellStyle name="60% - アクセント 6" xfId="55" xr:uid="{281158E5-DB14-4174-84BC-A824EEA468E1}"/>
    <cellStyle name="60% - アクセント 6 2" xfId="56" xr:uid="{526C0736-75FF-4DF9-9E31-C46DC6584036}"/>
    <cellStyle name="Accent1" xfId="57" xr:uid="{6CA25F9A-6FA5-436D-881D-3358EB3664FB}"/>
    <cellStyle name="Accent2" xfId="58" xr:uid="{D63704C2-3761-4B99-9455-987CFE2916E7}"/>
    <cellStyle name="Accent3" xfId="59" xr:uid="{F043517E-7823-4621-8F74-F5EF7F26E968}"/>
    <cellStyle name="Accent4" xfId="60" xr:uid="{56372B3D-6C83-41E8-BE43-3ECEE3B0B900}"/>
    <cellStyle name="Accent5" xfId="61" xr:uid="{40F20C9D-015D-4266-B8AE-892C19AB058F}"/>
    <cellStyle name="Accent6" xfId="62" xr:uid="{0A1DDAE9-6F40-4284-96EE-39C8468E4047}"/>
    <cellStyle name="Bad" xfId="63" xr:uid="{F88A95AC-9BD4-4E46-B6D0-90803DCFC398}"/>
    <cellStyle name="Calculation" xfId="64" xr:uid="{15AF2F87-ACA7-4EE3-BA14-9A26909D6A50}"/>
    <cellStyle name="Check Cell" xfId="65" xr:uid="{C6E67379-E31A-4B43-BE7C-F0ED51946C6C}"/>
    <cellStyle name="Comma" xfId="66" builtinId="3"/>
    <cellStyle name="Comma [0]" xfId="67" builtinId="6"/>
    <cellStyle name="Comma [0] 2" xfId="68" xr:uid="{4AF062C8-CE9F-4982-82F4-4EBD3559ACC4}"/>
    <cellStyle name="Comma [0] 2 2" xfId="69" xr:uid="{9157B666-AB43-4546-A17D-8296B632512F}"/>
    <cellStyle name="Comma [0] 3" xfId="70" xr:uid="{C147733B-ACF1-4064-B3D8-3EF1C6D8D0E3}"/>
    <cellStyle name="Comma [0] 4" xfId="71" xr:uid="{B8A1DC01-6BBB-4910-B452-47107D01FE0D}"/>
    <cellStyle name="Comma 2" xfId="72" xr:uid="{278DEBA9-BEC9-4C37-B01E-FE32080307CE}"/>
    <cellStyle name="Comma 2 3" xfId="73" xr:uid="{CD7A16D9-C2F5-4769-AEE3-4F24E60A1282}"/>
    <cellStyle name="Comma 3" xfId="74" xr:uid="{D382098D-10B9-41E4-B7D1-E806D98E17A9}"/>
    <cellStyle name="Comma 3 2 2" xfId="75" xr:uid="{392F3029-C416-4502-AC56-C1C6B79063E5}"/>
    <cellStyle name="Comma 4" xfId="76" xr:uid="{31E37B95-ACEF-43CC-9297-D60B9ACF0B7C}"/>
    <cellStyle name="Comma 5" xfId="77" xr:uid="{E74E0647-6CB8-43AD-9A55-A356C0206EF3}"/>
    <cellStyle name="Comma 6" xfId="78" xr:uid="{910733E9-91FC-482B-B13A-CDF944C2B086}"/>
    <cellStyle name="Currency [0] 2" xfId="79" xr:uid="{C139D3BE-E63C-43E7-8A7F-71E84A4EEFCE}"/>
    <cellStyle name="Explanatory Text" xfId="80" xr:uid="{6F431E00-A5FB-4878-9836-483530CAF28C}"/>
    <cellStyle name="Good" xfId="81" xr:uid="{84F286BF-8860-4C19-8643-C71722A0FFE8}"/>
    <cellStyle name="Heading 1" xfId="82" xr:uid="{A760C760-4A7C-4209-ABB3-E6535432988C}"/>
    <cellStyle name="Heading 2" xfId="83" xr:uid="{C62440CF-E613-4B69-BBE2-9477700549A0}"/>
    <cellStyle name="Heading 3" xfId="84" xr:uid="{39FF2D46-819B-42DA-91BC-DF30A44053E6}"/>
    <cellStyle name="Heading 4" xfId="85" xr:uid="{A934133E-A725-4619-BC16-F4E49F28AAFB}"/>
    <cellStyle name="Input" xfId="86" xr:uid="{3C7B3D50-9A5F-429A-BB2E-BF8DF7F8EC67}"/>
    <cellStyle name="Linked Cell" xfId="87" xr:uid="{397FA8A4-8904-48BE-861A-7416AE2774CD}"/>
    <cellStyle name="Neutral" xfId="88" xr:uid="{B858FF34-DA07-494E-A195-7FF51A60CA51}"/>
    <cellStyle name="Normal" xfId="0" builtinId="0"/>
    <cellStyle name="Normal 2" xfId="89" xr:uid="{5C3A10B3-5A8B-43E3-ABD9-18127E21F3DE}"/>
    <cellStyle name="Normal 2 2" xfId="90" xr:uid="{9744B7D0-C0B2-4B7C-A41B-A32E6860163E}"/>
    <cellStyle name="Normal 3" xfId="91" xr:uid="{B11720E5-16D5-4CA9-B73D-7FD5043B3AB5}"/>
    <cellStyle name="Normal 4" xfId="92" xr:uid="{E61A327E-1ABF-4A16-9DBE-163A79653E0E}"/>
    <cellStyle name="Normal 5" xfId="93" xr:uid="{2B2F27E8-BAF4-488B-B14E-788DA99BFA67}"/>
    <cellStyle name="Note" xfId="94" xr:uid="{57662E03-01CC-4046-A77F-290587C9378D}"/>
    <cellStyle name="Output" xfId="95" xr:uid="{F0438CDF-C8E3-42CF-8357-C26BB0466A1D}"/>
    <cellStyle name="Percent 2" xfId="96" xr:uid="{95F2D36D-FE97-454B-8136-22CBA5A02D4F}"/>
    <cellStyle name="Percent 3" xfId="97" xr:uid="{D5B64583-9C21-428A-AC72-C0241FC4705D}"/>
    <cellStyle name="Title" xfId="98" xr:uid="{606E1434-FCBF-4498-8223-57DCB85EAE97}"/>
    <cellStyle name="Total" xfId="99" xr:uid="{EA222527-6500-4583-980B-CBF0B1C89533}"/>
    <cellStyle name="Warning Text" xfId="100" xr:uid="{4B5CA7DA-02F6-4345-9281-4BA86FDE1520}"/>
    <cellStyle name="アクセント 1" xfId="101" xr:uid="{D82AD558-1EF3-4141-9185-60AF48E2D965}"/>
    <cellStyle name="アクセント 1 2" xfId="102" xr:uid="{0341C160-45F9-468F-9694-B1986CAD658D}"/>
    <cellStyle name="アクセント 2" xfId="103" xr:uid="{5240F6F5-716F-4A2C-A79C-EB49B78EE7FF}"/>
    <cellStyle name="アクセント 2 2" xfId="104" xr:uid="{5C18985D-DEAE-4105-91C1-DA8DDF274113}"/>
    <cellStyle name="アクセント 3" xfId="105" xr:uid="{7076E65D-5A55-40E4-9C45-E16F96EBC19B}"/>
    <cellStyle name="アクセント 3 2" xfId="106" xr:uid="{45EA2822-0FC0-4D72-962D-60098121CDE3}"/>
    <cellStyle name="アクセント 4" xfId="107" xr:uid="{53424C38-DCB4-490D-AFE8-BBC3D1A8070A}"/>
    <cellStyle name="アクセント 4 2" xfId="108" xr:uid="{8A8CC079-DE0A-4284-9657-E48A014E44BC}"/>
    <cellStyle name="アクセント 5" xfId="109" xr:uid="{75438CEC-6DAB-45C2-8546-B126FAB4B17D}"/>
    <cellStyle name="アクセント 5 2" xfId="110" xr:uid="{BB1FE81A-8C78-45E6-BB4E-B024626D77B3}"/>
    <cellStyle name="アクセント 6" xfId="111" xr:uid="{3DFE5E26-765D-445D-86CC-E7E2B5605C01}"/>
    <cellStyle name="アクセント 6 2" xfId="112" xr:uid="{B4FDD2A6-13AB-46C2-A265-BF1F9850AF12}"/>
    <cellStyle name="タイトル" xfId="113" xr:uid="{A7ACFB5B-582D-4050-8DC7-F095B8901690}"/>
    <cellStyle name="タイトル 2" xfId="114" xr:uid="{2B130594-AB36-45EE-8651-24EABF852CD6}"/>
    <cellStyle name="チェック セル" xfId="115" xr:uid="{E6334F1F-5DC4-4B54-9B84-FDD5DB9DE06A}"/>
    <cellStyle name="チェック セル 2" xfId="116" xr:uid="{206CE926-9EAD-4D85-8101-979CE6F9AB30}"/>
    <cellStyle name="どちらでもない" xfId="117" xr:uid="{D3F84896-7339-458A-9C8F-EFED7ABC14D7}"/>
    <cellStyle name="どちらでもない 2" xfId="118" xr:uid="{B3234848-FDCB-4A05-BC43-C8E6D1BEB317}"/>
    <cellStyle name="パーセント 2" xfId="119" xr:uid="{DEAA9979-0E6C-4218-A88F-E10AFA7F8E74}"/>
    <cellStyle name="パーセント 3" xfId="120" xr:uid="{3F6EF2CB-7533-4060-8B95-C2615769FD6D}"/>
    <cellStyle name="パーセント 3 2" xfId="121" xr:uid="{B8654B14-0F93-4248-928C-5CEF2A281102}"/>
    <cellStyle name="メモ" xfId="122" xr:uid="{58569578-EB1C-4224-B440-AF0253B89905}"/>
    <cellStyle name="メモ 2" xfId="123" xr:uid="{1E155264-D333-4E53-A1E1-DA61E37786CB}"/>
    <cellStyle name="リンク セル" xfId="124" xr:uid="{680FBFE5-CCFC-4E6C-93D4-EDAC6C2AA947}"/>
    <cellStyle name="リンク セル 2" xfId="125" xr:uid="{CE2F104F-FD55-41CC-B8A4-558D6B482C07}"/>
    <cellStyle name="悪い" xfId="126" xr:uid="{10506B8F-E66F-4CB0-B87A-2598E8CB7BE9}"/>
    <cellStyle name="悪い 2" xfId="127" xr:uid="{288D3405-4BDB-4718-9FFF-D25F8C02B893}"/>
    <cellStyle name="一般_KMHK FY2008 時間当り採算 2007年4月 ( Month Plan )" xfId="128" xr:uid="{838C587F-3FCD-49AC-A861-7DE4B926C892}"/>
    <cellStyle name="一般_設備投資金額一覽表" xfId="129" xr:uid="{3B6682D7-E9BE-4BE0-AF23-0DE61F1E4F39}"/>
    <cellStyle name="計算" xfId="130" xr:uid="{BE4803F1-5A79-4A59-9410-1D656367AA1D}"/>
    <cellStyle name="計算 2" xfId="131" xr:uid="{A0490B7D-2BFB-49A7-AAF2-196588B1521F}"/>
    <cellStyle name="警告文" xfId="132" xr:uid="{3A8178E3-8DFC-44C4-AB6C-BCC41F37243E}"/>
    <cellStyle name="警告文 2" xfId="133" xr:uid="{541A8F8B-3B31-40F8-AF98-ACB7A49C36D0}"/>
    <cellStyle name="桁区切り [0.00] 2" xfId="134" xr:uid="{2A03D60D-836F-4B05-B9EC-7D36D4575997}"/>
    <cellStyle name="桁区切り [0.00] 2 2" xfId="135" xr:uid="{1ABB12D4-543D-402B-A13E-701DC7553B58}"/>
    <cellStyle name="桁区切り [0.00] 2 3" xfId="136" xr:uid="{00248068-09E8-4C38-8749-57C5F5F5C058}"/>
    <cellStyle name="桁区切り 2" xfId="137" xr:uid="{6400201D-B232-4526-8490-D590BA728681}"/>
    <cellStyle name="桁区切り 2 2" xfId="138" xr:uid="{A343A2DD-CC7A-4740-A42C-98B332D6B8AB}"/>
    <cellStyle name="桁区切り 2 3" xfId="139" xr:uid="{8E46CF40-9BF7-4151-AB12-5968947D56EC}"/>
    <cellStyle name="桁区切り 3" xfId="140" xr:uid="{E59F0ECA-9761-45A6-8295-C39741BDA2A6}"/>
    <cellStyle name="桁区切り 4" xfId="141" xr:uid="{0C7A81F2-749A-4C8F-9606-9B2237277C71}"/>
    <cellStyle name="桁区切り 5" xfId="142" xr:uid="{DF73769C-5CED-4C90-BA9A-F2EEC33DCE8E}"/>
    <cellStyle name="桁区切り 6" xfId="143" xr:uid="{D0FB3CF9-4E45-4FBB-877B-8624F47526AB}"/>
    <cellStyle name="見出し 1" xfId="144" xr:uid="{89B57049-0B50-4067-9EA5-7B28AC1AFAE0}"/>
    <cellStyle name="見出し 1 2" xfId="145" xr:uid="{4294DD4A-FDC6-4C45-9894-15E7CF4A8250}"/>
    <cellStyle name="見出し 2" xfId="146" xr:uid="{8F454704-2E62-4D72-B149-11B30C4D4500}"/>
    <cellStyle name="見出し 2 2" xfId="147" xr:uid="{10562791-DADE-413A-B993-5C144E99A3F8}"/>
    <cellStyle name="見出し 3" xfId="148" xr:uid="{D70EF84E-A93B-4D0A-B000-8A8273EDAA40}"/>
    <cellStyle name="見出し 3 2" xfId="149" xr:uid="{1A71848E-6E31-4400-A9EA-77AEBE0B77E2}"/>
    <cellStyle name="見出し 4" xfId="150" xr:uid="{473AC5D1-674A-41BB-9810-E41702D3034C}"/>
    <cellStyle name="見出し 4 2" xfId="151" xr:uid="{EDED779E-3D7A-49ED-A8F6-BF190F3BA60A}"/>
    <cellStyle name="集計" xfId="152" xr:uid="{A2A8A17D-BCE9-484C-BED4-B9694ED22706}"/>
    <cellStyle name="集計 2" xfId="153" xr:uid="{BA11E789-B3D7-4AC3-89B3-6FF33D0BF5E0}"/>
    <cellStyle name="出力" xfId="154" xr:uid="{6780FFD2-C510-453B-B1A7-296BE3711EC2}"/>
    <cellStyle name="出力 2" xfId="155" xr:uid="{801BF253-C0F6-42EE-BA1D-7B5FDEE2AC17}"/>
    <cellStyle name="常规_総生産分析(0605-0606)" xfId="156" xr:uid="{ED9826A5-62DE-49FB-A84A-0A84815B3AE3}"/>
    <cellStyle name="説明文" xfId="157" xr:uid="{188C5130-C303-49C9-A7DA-F959FA446C4C}"/>
    <cellStyle name="説明文 2" xfId="158" xr:uid="{89BD2929-0728-4AB2-BFE7-01C88FB0DC68}"/>
    <cellStyle name="通貨 2" xfId="159" xr:uid="{917B14A6-E2C5-4D26-B877-DAC597A65F27}"/>
    <cellStyle name="通貨 3" xfId="160" xr:uid="{F5F3E438-9A36-4763-882C-5D6C81BC8CD1}"/>
    <cellStyle name="入力" xfId="161" xr:uid="{EB4CF76D-D8D7-448B-B9FB-99962AC867C9}"/>
    <cellStyle name="入力 2" xfId="162" xr:uid="{9BE9FF4B-C8DF-4232-9876-C34C29557305}"/>
    <cellStyle name="標準 2" xfId="163" xr:uid="{F4734544-BA9B-4D4B-B161-886BDEB84F0E}"/>
    <cellStyle name="標準 2 2" xfId="164" xr:uid="{7D8A862B-15B7-4D60-B345-BD8D65D61544}"/>
    <cellStyle name="標準 3" xfId="165" xr:uid="{D9615BA4-5A02-4FBE-A821-D333C353A732}"/>
    <cellStyle name="標準 3 2" xfId="166" xr:uid="{F5774AFD-E53B-4875-A060-C7DEC1FBD8DB}"/>
    <cellStyle name="標準 4" xfId="167" xr:uid="{220001E0-4D00-466C-8448-C26F3EA1D111}"/>
    <cellStyle name="標準 4 2" xfId="168" xr:uid="{EF9167CE-34DA-44CD-81BD-ED145DBF2E8E}"/>
    <cellStyle name="標準_★予定用採算表フォーム（製造課用）" xfId="169" xr:uid="{A68590B0-CD1E-49F4-BAC0-0F88AE97CF42}"/>
    <cellStyle name="標準_03.2012 08 31 KDTVN採算表及集計表 FY2013_09（製技用）" xfId="170" xr:uid="{AD23C1B0-31D9-4609-A018-E590E89AE5AB}"/>
    <cellStyle name="標準_KDTVN 2012年9月1日付原価センタ" xfId="171" xr:uid="{435C3EA9-81C5-405D-8470-6E45D4190995}"/>
    <cellStyle name="未定義" xfId="172" xr:uid="{D91A8F5F-1082-4368-9B52-DCF5BA9F1C27}"/>
    <cellStyle name="良い" xfId="173" xr:uid="{28C9DF8F-08E4-42E2-B9A2-B982F7F7AF10}"/>
    <cellStyle name="良い 2" xfId="174" xr:uid="{FD1D9278-65E8-4349-803A-C31F7D808F19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110C-2B87-4840-A867-B7D35541FD8C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リスクマネジメント課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2.9999999999745341E-2</v>
      </c>
      <c r="D13" s="133">
        <f t="shared" ref="D13:O13" si="3">SUM(D14:D65)</f>
        <v>4.9999999999727152E-2</v>
      </c>
      <c r="E13" s="133">
        <f t="shared" si="3"/>
        <v>7.0000000000618456E-2</v>
      </c>
      <c r="F13" s="133">
        <f t="shared" si="3"/>
        <v>3.999999999996362E-2</v>
      </c>
      <c r="G13" s="133">
        <f t="shared" si="3"/>
        <v>3.999999999962256E-2</v>
      </c>
      <c r="H13" s="133">
        <f t="shared" si="3"/>
        <v>5.0000000002000888E-2</v>
      </c>
      <c r="I13" s="133">
        <f t="shared" si="3"/>
        <v>5.0000000001091394E-2</v>
      </c>
      <c r="J13" s="133">
        <f t="shared" si="3"/>
        <v>6.9999999999936335E-2</v>
      </c>
      <c r="K13" s="133">
        <f t="shared" si="3"/>
        <v>6.0000000001309672E-2</v>
      </c>
      <c r="L13" s="133">
        <f t="shared" si="3"/>
        <v>5.0000000002910383E-2</v>
      </c>
      <c r="M13" s="133">
        <f t="shared" si="3"/>
        <v>4.0000000000873115E-2</v>
      </c>
      <c r="N13" s="133">
        <f t="shared" si="3"/>
        <v>5.9999999998694875E-2</v>
      </c>
      <c r="O13" s="133">
        <f t="shared" si="3"/>
        <v>0.61000000000785803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121.28</v>
      </c>
      <c r="D20" s="136">
        <f>ROUNDUP('採算表(VND)'!D20/$N$1,2)</f>
        <v>140.72999999999999</v>
      </c>
      <c r="E20" s="136">
        <f>ROUNDUP('採算表(VND)'!E20/$N$1,2)</f>
        <v>140.76</v>
      </c>
      <c r="F20" s="136">
        <f>ROUNDUP('採算表(VND)'!F20/$N$1,2)</f>
        <v>140.62</v>
      </c>
      <c r="G20" s="136">
        <f>ROUNDUP('採算表(VND)'!G20/$N$1,2)</f>
        <v>140.56</v>
      </c>
      <c r="H20" s="136">
        <f>ROUNDUP('採算表(VND)'!H20/$N$1,2)</f>
        <v>138.39999999999998</v>
      </c>
      <c r="I20" s="136">
        <f>ROUNDUP('採算表(VND)'!I20/$N$1,2)</f>
        <v>137.76999999999998</v>
      </c>
      <c r="J20" s="136">
        <f>ROUNDUP('採算表(VND)'!J20/$N$1,2)</f>
        <v>137.75</v>
      </c>
      <c r="K20" s="136">
        <f>ROUNDUP('採算表(VND)'!K20/$N$1,2)</f>
        <v>137.76</v>
      </c>
      <c r="L20" s="136">
        <f>ROUNDUP('採算表(VND)'!L20/$N$1,2)</f>
        <v>137.69999999999999</v>
      </c>
      <c r="M20" s="136">
        <f>ROUNDUP('採算表(VND)'!M20/$N$1,2)</f>
        <v>137.63</v>
      </c>
      <c r="N20" s="136">
        <f>ROUNDUP('採算表(VND)'!N20/$N$1,2)</f>
        <v>137.72</v>
      </c>
      <c r="O20" s="136">
        <f t="shared" si="4"/>
        <v>1648.68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3737.1800000000003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3737.1800000000003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4.62</v>
      </c>
      <c r="D25" s="136">
        <f>ROUNDUP('採算表(VND)'!D25/$N$1,2)</f>
        <v>5.21</v>
      </c>
      <c r="E25" s="136">
        <f>ROUNDUP('採算表(VND)'!E25/$N$1,2)</f>
        <v>5.67</v>
      </c>
      <c r="F25" s="136">
        <f>ROUNDUP('採算表(VND)'!F25/$N$1,2)</f>
        <v>6.14</v>
      </c>
      <c r="G25" s="136">
        <f>ROUNDUP('採算表(VND)'!G25/$N$1,2)</f>
        <v>5.38</v>
      </c>
      <c r="H25" s="136">
        <f>ROUNDUP('採算表(VND)'!H25/$N$1,2)</f>
        <v>5.13</v>
      </c>
      <c r="I25" s="136">
        <f>ROUNDUP('採算表(VND)'!I25/$N$1,2)</f>
        <v>6.14</v>
      </c>
      <c r="J25" s="136">
        <f>ROUNDUP('採算表(VND)'!J25/$N$1,2)</f>
        <v>5.39</v>
      </c>
      <c r="K25" s="136">
        <f>ROUNDUP('採算表(VND)'!K25/$N$1,2)</f>
        <v>5.8999999999999995</v>
      </c>
      <c r="L25" s="136">
        <f>ROUNDUP('採算表(VND)'!L25/$N$1,2)</f>
        <v>5.39</v>
      </c>
      <c r="M25" s="136">
        <f>ROUNDUP('採算表(VND)'!M25/$N$1,2)</f>
        <v>4.1399999999999997</v>
      </c>
      <c r="N25" s="136">
        <f>ROUNDUP('採算表(VND)'!N25/$N$1,2)</f>
        <v>5.39</v>
      </c>
      <c r="O25" s="136">
        <f t="shared" si="4"/>
        <v>64.5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2457.67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2457.67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117.37</v>
      </c>
      <c r="D28" s="136">
        <f>ROUNDUP('採算表(VND)'!D28/$N$1,2)</f>
        <v>19.700000000000003</v>
      </c>
      <c r="E28" s="136">
        <f>ROUNDUP('採算表(VND)'!E28/$N$1,2)</f>
        <v>19.700000000000003</v>
      </c>
      <c r="F28" s="136">
        <f>ROUNDUP('採算表(VND)'!F28/$N$1,2)</f>
        <v>19.700000000000003</v>
      </c>
      <c r="G28" s="136">
        <f>ROUNDUP('採算表(VND)'!G28/$N$1,2)</f>
        <v>19.700000000000003</v>
      </c>
      <c r="H28" s="136">
        <f>ROUNDUP('採算表(VND)'!H28/$N$1,2)</f>
        <v>19.700000000000003</v>
      </c>
      <c r="I28" s="136">
        <f>ROUNDUP('採算表(VND)'!I28/$N$1,2)</f>
        <v>19.700000000000003</v>
      </c>
      <c r="J28" s="136">
        <f>ROUNDUP('採算表(VND)'!J28/$N$1,2)</f>
        <v>19.700000000000003</v>
      </c>
      <c r="K28" s="136">
        <f>ROUNDUP('採算表(VND)'!K28/$N$1,2)</f>
        <v>19.700000000000003</v>
      </c>
      <c r="L28" s="136">
        <f>ROUNDUP('採算表(VND)'!L28/$N$1,2)</f>
        <v>19.700000000000003</v>
      </c>
      <c r="M28" s="136">
        <f>ROUNDUP('採算表(VND)'!M28/$N$1,2)</f>
        <v>19.700000000000003</v>
      </c>
      <c r="N28" s="136">
        <f>ROUNDUP('採算表(VND)'!N28/$N$1,2)</f>
        <v>19.700000000000003</v>
      </c>
      <c r="O28" s="136">
        <f t="shared" si="4"/>
        <v>334.06999999999988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34.29</v>
      </c>
      <c r="D30" s="136">
        <f>ROUNDUP('採算表(VND)'!D30/$N$1,2)</f>
        <v>41.05</v>
      </c>
      <c r="E30" s="136">
        <f>ROUNDUP('採算表(VND)'!E30/$N$1,2)</f>
        <v>49.269999999999996</v>
      </c>
      <c r="F30" s="136">
        <f>ROUNDUP('採算表(VND)'!F30/$N$1,2)</f>
        <v>56.19</v>
      </c>
      <c r="G30" s="136">
        <f>ROUNDUP('採算表(VND)'!G30/$N$1,2)</f>
        <v>54.47</v>
      </c>
      <c r="H30" s="136">
        <f>ROUNDUP('採算表(VND)'!H30/$N$1,2)</f>
        <v>49.07</v>
      </c>
      <c r="I30" s="136">
        <f>ROUNDUP('採算表(VND)'!I30/$N$1,2)</f>
        <v>47.3</v>
      </c>
      <c r="J30" s="136">
        <f>ROUNDUP('採算表(VND)'!J30/$N$1,2)</f>
        <v>46.62</v>
      </c>
      <c r="K30" s="136">
        <f>ROUNDUP('採算表(VND)'!K30/$N$1,2)</f>
        <v>46.39</v>
      </c>
      <c r="L30" s="136">
        <f>ROUNDUP('採算表(VND)'!L30/$N$1,2)</f>
        <v>40.479999999999997</v>
      </c>
      <c r="M30" s="136">
        <f>ROUNDUP('採算表(VND)'!M30/$N$1,2)</f>
        <v>35.93</v>
      </c>
      <c r="N30" s="136">
        <f>ROUNDUP('採算表(VND)'!N30/$N$1,2)</f>
        <v>34.44</v>
      </c>
      <c r="O30" s="136">
        <f t="shared" si="4"/>
        <v>535.5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532.92999999999995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532.92999999999995</v>
      </c>
    </row>
    <row r="39" spans="1:15" ht="11.25" customHeight="1">
      <c r="A39" s="38"/>
      <c r="B39" s="37" t="s">
        <v>50</v>
      </c>
      <c r="C39" s="136">
        <f>ROUNDUP('採算表(VND)'!C39/$N$1,2)</f>
        <v>12754.47</v>
      </c>
      <c r="D39" s="136">
        <f>ROUNDUP('採算表(VND)'!D39/$N$1,2)</f>
        <v>18693.439999999999</v>
      </c>
      <c r="E39" s="136">
        <f>ROUNDUP('採算表(VND)'!E39/$N$1,2)</f>
        <v>9990.75</v>
      </c>
      <c r="F39" s="136">
        <f>ROUNDUP('採算表(VND)'!F39/$N$1,2)</f>
        <v>12727.58</v>
      </c>
      <c r="G39" s="136">
        <f>ROUNDUP('採算表(VND)'!G39/$N$1,2)</f>
        <v>19130.89</v>
      </c>
      <c r="H39" s="136">
        <f>ROUNDUP('採算表(VND)'!H39/$N$1,2)</f>
        <v>8299.6200000000008</v>
      </c>
      <c r="I39" s="136">
        <f>ROUNDUP('採算表(VND)'!I39/$N$1,2)</f>
        <v>17591.259999999998</v>
      </c>
      <c r="J39" s="136">
        <f>ROUNDUP('採算表(VND)'!J39/$N$1,2)</f>
        <v>9645.4500000000007</v>
      </c>
      <c r="K39" s="136">
        <f>ROUNDUP('採算表(VND)'!K39/$N$1,2)</f>
        <v>9982.630000000001</v>
      </c>
      <c r="L39" s="136">
        <f>ROUNDUP('採算表(VND)'!L39/$N$1,2)</f>
        <v>7790.27</v>
      </c>
      <c r="M39" s="136">
        <f>ROUNDUP('採算表(VND)'!M39/$N$1,2)</f>
        <v>7789.6</v>
      </c>
      <c r="N39" s="136">
        <f>ROUNDUP('採算表(VND)'!N39/$N$1,2)</f>
        <v>18690.039999999997</v>
      </c>
      <c r="O39" s="136">
        <f t="shared" si="4"/>
        <v>153086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20.880000000000003</v>
      </c>
      <c r="D41" s="136">
        <f>ROUNDUP('採算表(VND)'!D41/$N$1,2)</f>
        <v>20.880000000000003</v>
      </c>
      <c r="E41" s="136">
        <f>ROUNDUP('採算表(VND)'!E41/$N$1,2)</f>
        <v>20.880000000000003</v>
      </c>
      <c r="F41" s="136">
        <f>ROUNDUP('採算表(VND)'!F41/$N$1,2)</f>
        <v>296.58</v>
      </c>
      <c r="G41" s="136">
        <f>ROUNDUP('採算表(VND)'!G41/$N$1,2)</f>
        <v>20.880000000000003</v>
      </c>
      <c r="H41" s="136">
        <f>ROUNDUP('採算表(VND)'!H41/$N$1,2)</f>
        <v>20.880000000000003</v>
      </c>
      <c r="I41" s="136">
        <f>ROUNDUP('採算表(VND)'!I41/$N$1,2)</f>
        <v>20.880000000000003</v>
      </c>
      <c r="J41" s="136">
        <f>ROUNDUP('採算表(VND)'!J41/$N$1,2)</f>
        <v>20.880000000000003</v>
      </c>
      <c r="K41" s="136">
        <f>ROUNDUP('採算表(VND)'!K41/$N$1,2)</f>
        <v>20.880000000000003</v>
      </c>
      <c r="L41" s="136">
        <f>ROUNDUP('採算表(VND)'!L41/$N$1,2)</f>
        <v>20.880000000000003</v>
      </c>
      <c r="M41" s="136">
        <f>ROUNDUP('採算表(VND)'!M41/$N$1,2)</f>
        <v>20.880000000000003</v>
      </c>
      <c r="N41" s="136">
        <f>ROUNDUP('採算表(VND)'!N41/$N$1,2)</f>
        <v>20.880000000000003</v>
      </c>
      <c r="O41" s="136">
        <f t="shared" si="4"/>
        <v>526.26</v>
      </c>
    </row>
    <row r="42" spans="1:15" ht="11.25" customHeight="1">
      <c r="A42" s="38"/>
      <c r="B42" s="37" t="s">
        <v>98</v>
      </c>
      <c r="C42" s="136">
        <f>ROUNDUP('採算表(VND)'!C42/$N$1,2)</f>
        <v>68.760000000000005</v>
      </c>
      <c r="D42" s="136">
        <f>ROUNDUP('採算表(VND)'!D42/$N$1,2)</f>
        <v>72.740000000000009</v>
      </c>
      <c r="E42" s="136">
        <f>ROUNDUP('採算表(VND)'!E42/$N$1,2)</f>
        <v>68.760000000000005</v>
      </c>
      <c r="F42" s="136">
        <f>ROUNDUP('採算表(VND)'!F42/$N$1,2)</f>
        <v>68.760000000000005</v>
      </c>
      <c r="G42" s="136">
        <f>ROUNDUP('採算表(VND)'!G42/$N$1,2)</f>
        <v>68.760000000000005</v>
      </c>
      <c r="H42" s="136">
        <f>ROUNDUP('採算表(VND)'!H42/$N$1,2)</f>
        <v>68.760000000000005</v>
      </c>
      <c r="I42" s="136">
        <f>ROUNDUP('採算表(VND)'!I42/$N$1,2)</f>
        <v>68.760000000000005</v>
      </c>
      <c r="J42" s="136">
        <f>ROUNDUP('採算表(VND)'!J42/$N$1,2)</f>
        <v>68.990000000000009</v>
      </c>
      <c r="K42" s="136">
        <f>ROUNDUP('採算表(VND)'!K42/$N$1,2)</f>
        <v>68.760000000000005</v>
      </c>
      <c r="L42" s="136">
        <f>ROUNDUP('採算表(VND)'!L42/$N$1,2)</f>
        <v>68.760000000000005</v>
      </c>
      <c r="M42" s="136">
        <f>ROUNDUP('採算表(VND)'!M42/$N$1,2)</f>
        <v>68.760000000000005</v>
      </c>
      <c r="N42" s="136">
        <f>ROUNDUP('採算表(VND)'!N42/$N$1,2)</f>
        <v>68.760000000000005</v>
      </c>
      <c r="O42" s="136">
        <f t="shared" si="4"/>
        <v>829.32999999999993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298.44</v>
      </c>
      <c r="D44" s="136">
        <f>ROUNDUP('採算表(VND)'!D44/$N$1,2)</f>
        <v>683.51</v>
      </c>
      <c r="E44" s="136">
        <f>ROUNDUP('採算表(VND)'!E44/$N$1,2)</f>
        <v>154.82</v>
      </c>
      <c r="F44" s="136">
        <f>ROUNDUP('採算表(VND)'!F44/$N$1,2)</f>
        <v>176.39999999999998</v>
      </c>
      <c r="G44" s="136">
        <f>ROUNDUP('採算表(VND)'!G44/$N$1,2)</f>
        <v>1472.94</v>
      </c>
      <c r="H44" s="136">
        <f>ROUNDUP('採算表(VND)'!H44/$N$1,2)</f>
        <v>190.32999999999998</v>
      </c>
      <c r="I44" s="136">
        <f>ROUNDUP('採算表(VND)'!I44/$N$1,2)</f>
        <v>153.39999999999998</v>
      </c>
      <c r="J44" s="136">
        <f>ROUNDUP('採算表(VND)'!J44/$N$1,2)</f>
        <v>175.76</v>
      </c>
      <c r="K44" s="136">
        <f>ROUNDUP('採算表(VND)'!K44/$N$1,2)</f>
        <v>191.95</v>
      </c>
      <c r="L44" s="136">
        <f>ROUNDUP('採算表(VND)'!L44/$N$1,2)</f>
        <v>138.69</v>
      </c>
      <c r="M44" s="136">
        <f>ROUNDUP('採算表(VND)'!M44/$N$1,2)</f>
        <v>158.85</v>
      </c>
      <c r="N44" s="136">
        <f>ROUNDUP('採算表(VND)'!N44/$N$1,2)</f>
        <v>203.63</v>
      </c>
      <c r="O44" s="136">
        <f t="shared" si="4"/>
        <v>3998.7200000000003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1228.8399999999999</v>
      </c>
      <c r="F45" s="136">
        <f>ROUNDUP('採算表(VND)'!F45/$N$1,2)</f>
        <v>0</v>
      </c>
      <c r="G45" s="136">
        <f>ROUNDUP('採算表(VND)'!G45/$N$1,2)</f>
        <v>230.01999999999998</v>
      </c>
      <c r="H45" s="136">
        <f>ROUNDUP('採算表(VND)'!H45/$N$1,2)</f>
        <v>4253.6500000000005</v>
      </c>
      <c r="I45" s="136">
        <f>ROUNDUP('採算表(VND)'!I45/$N$1,2)</f>
        <v>2914.5400000000004</v>
      </c>
      <c r="J45" s="136">
        <f>ROUNDUP('採算表(VND)'!J45/$N$1,2)</f>
        <v>8664.83</v>
      </c>
      <c r="K45" s="136">
        <f>ROUNDUP('採算表(VND)'!K45/$N$1,2)</f>
        <v>39.39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17331.27</v>
      </c>
    </row>
    <row r="46" spans="1:15" ht="11.25" customHeight="1">
      <c r="A46" s="38"/>
      <c r="B46" s="37" t="s">
        <v>116</v>
      </c>
      <c r="C46" s="136">
        <f>ROUNDUP('採算表(VND)'!C46/$N$1,2)</f>
        <v>-20259.12</v>
      </c>
      <c r="D46" s="136">
        <f>ROUNDUP('採算表(VND)'!D46/$N$1,2)</f>
        <v>-20259.12</v>
      </c>
      <c r="E46" s="136">
        <f>ROUNDUP('採算表(VND)'!E46/$N$1,2)</f>
        <v>-20259.12</v>
      </c>
      <c r="F46" s="136">
        <f>ROUNDUP('採算表(VND)'!F46/$N$1,2)</f>
        <v>-20259.12</v>
      </c>
      <c r="G46" s="136">
        <f>ROUNDUP('採算表(VND)'!G46/$N$1,2)</f>
        <v>-20259.12</v>
      </c>
      <c r="H46" s="136">
        <f>ROUNDUP('採算表(VND)'!H46/$N$1,2)</f>
        <v>-20259.12</v>
      </c>
      <c r="I46" s="136">
        <f>ROUNDUP('採算表(VND)'!I46/$N$1,2)</f>
        <v>-20259.12</v>
      </c>
      <c r="J46" s="136">
        <f>ROUNDUP('採算表(VND)'!J46/$N$1,2)</f>
        <v>-20259.12</v>
      </c>
      <c r="K46" s="136">
        <f>ROUNDUP('採算表(VND)'!K46/$N$1,2)</f>
        <v>-20259.12</v>
      </c>
      <c r="L46" s="136">
        <f>ROUNDUP('採算表(VND)'!L46/$N$1,2)</f>
        <v>-20259.12</v>
      </c>
      <c r="M46" s="136">
        <f>ROUNDUP('採算表(VND)'!M46/$N$1,2)</f>
        <v>-20259.12</v>
      </c>
      <c r="N46" s="136">
        <f>ROUNDUP('採算表(VND)'!N46/$N$1,2)</f>
        <v>-20259.12</v>
      </c>
      <c r="O46" s="136">
        <f t="shared" si="4"/>
        <v>-243109.43999999997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86.65</v>
      </c>
      <c r="D57" s="139">
        <f>ROUNDUP('採算表(VND)'!D57/$N$1,2)</f>
        <v>95.48</v>
      </c>
      <c r="E57" s="139">
        <f>ROUNDUP('採算表(VND)'!E57/$N$1,2)</f>
        <v>95.52000000000001</v>
      </c>
      <c r="F57" s="139">
        <f>ROUNDUP('採算表(VND)'!F57/$N$1,2)</f>
        <v>95.4</v>
      </c>
      <c r="G57" s="139">
        <f>ROUNDUP('採算表(VND)'!G57/$N$1,2)</f>
        <v>95.38000000000001</v>
      </c>
      <c r="H57" s="139">
        <f>ROUNDUP('採算表(VND)'!H57/$N$1,2)</f>
        <v>93.9</v>
      </c>
      <c r="I57" s="139">
        <f>ROUNDUP('採算表(VND)'!I57/$N$1,2)</f>
        <v>93.48</v>
      </c>
      <c r="J57" s="139">
        <f>ROUNDUP('採算表(VND)'!J57/$N$1,2)</f>
        <v>93.47</v>
      </c>
      <c r="K57" s="139">
        <f>ROUNDUP('採算表(VND)'!K57/$N$1,2)</f>
        <v>93.48</v>
      </c>
      <c r="L57" s="139">
        <f>ROUNDUP('採算表(VND)'!L57/$N$1,2)</f>
        <v>93.440000000000012</v>
      </c>
      <c r="M57" s="139">
        <f>ROUNDUP('採算表(VND)'!M57/$N$1,2)</f>
        <v>93.38000000000001</v>
      </c>
      <c r="N57" s="139">
        <f>ROUNDUP('採算表(VND)'!N57/$N$1,2)</f>
        <v>93.440000000000012</v>
      </c>
      <c r="O57" s="139">
        <f t="shared" si="4"/>
        <v>1123.0200000000002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6752.39</v>
      </c>
      <c r="D64" s="139">
        <f>ROUNDUP('採算表(VND)'!D64/$N$1,2)</f>
        <v>-3250.75</v>
      </c>
      <c r="E64" s="139">
        <f>ROUNDUP('採算表(VND)'!E64/$N$1,2)</f>
        <v>5493.62</v>
      </c>
      <c r="F64" s="139">
        <f>ROUNDUP('採算表(VND)'!F64/$N$1,2)</f>
        <v>6671.79</v>
      </c>
      <c r="G64" s="139">
        <f>ROUNDUP('採算表(VND)'!G64/$N$1,2)</f>
        <v>-979.81999999999994</v>
      </c>
      <c r="H64" s="139">
        <f>ROUNDUP('採算表(VND)'!H64/$N$1,2)</f>
        <v>7119.7300000000005</v>
      </c>
      <c r="I64" s="139">
        <f>ROUNDUP('採算表(VND)'!I64/$N$1,2)</f>
        <v>-794.06</v>
      </c>
      <c r="J64" s="139">
        <f>ROUNDUP('採算表(VND)'!J64/$N$1,2)</f>
        <v>1380.35</v>
      </c>
      <c r="K64" s="139">
        <f>ROUNDUP('採算表(VND)'!K64/$N$1,2)</f>
        <v>9652.34</v>
      </c>
      <c r="L64" s="139">
        <f>ROUNDUP('採算表(VND)'!L64/$N$1,2)</f>
        <v>11943.86</v>
      </c>
      <c r="M64" s="139">
        <f>ROUNDUP('採算表(VND)'!M64/$N$1,2)</f>
        <v>11930.29</v>
      </c>
      <c r="N64" s="139">
        <f>ROUNDUP('採算表(VND)'!N64/$N$1,2)</f>
        <v>985.18</v>
      </c>
      <c r="O64" s="139">
        <f t="shared" si="4"/>
        <v>56904.92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-2.9999999999745341E-2</v>
      </c>
      <c r="D66" s="134">
        <f t="shared" ref="D66:O66" si="5">IF(ISBLANK(D4),"",D12-D13)</f>
        <v>-4.9999999999727152E-2</v>
      </c>
      <c r="E66" s="134">
        <f t="shared" si="5"/>
        <v>-7.0000000000618456E-2</v>
      </c>
      <c r="F66" s="134">
        <f t="shared" si="5"/>
        <v>-3.999999999996362E-2</v>
      </c>
      <c r="G66" s="134">
        <f t="shared" si="5"/>
        <v>-3.999999999962256E-2</v>
      </c>
      <c r="H66" s="134">
        <f t="shared" si="5"/>
        <v>-5.0000000002000888E-2</v>
      </c>
      <c r="I66" s="134">
        <f t="shared" si="5"/>
        <v>-5.0000000001091394E-2</v>
      </c>
      <c r="J66" s="134">
        <f t="shared" si="5"/>
        <v>-6.9999999999936335E-2</v>
      </c>
      <c r="K66" s="134">
        <f t="shared" si="5"/>
        <v>-6.0000000001309672E-2</v>
      </c>
      <c r="L66" s="134">
        <f t="shared" si="5"/>
        <v>-5.0000000002910383E-2</v>
      </c>
      <c r="M66" s="134">
        <f t="shared" si="5"/>
        <v>-4.0000000000873115E-2</v>
      </c>
      <c r="N66" s="134">
        <f t="shared" si="5"/>
        <v>-5.9999999998694875E-2</v>
      </c>
      <c r="O66" s="134">
        <f t="shared" si="5"/>
        <v>-0.61000000000785803</v>
      </c>
    </row>
    <row r="67" spans="1:15" ht="11.25" customHeight="1">
      <c r="A67" s="26"/>
      <c r="B67" s="28" t="s">
        <v>78</v>
      </c>
      <c r="C67" s="133">
        <f ca="1">C73+C79</f>
        <v>0</v>
      </c>
      <c r="D67" s="133">
        <f t="shared" ref="D67:O67" ca="1" si="6">IF(ISBLANK(D4),"",D73+D79)</f>
        <v>0</v>
      </c>
      <c r="E67" s="133">
        <f t="shared" ca="1" si="6"/>
        <v>0</v>
      </c>
      <c r="F67" s="133">
        <f t="shared" ca="1" si="6"/>
        <v>0</v>
      </c>
      <c r="G67" s="133">
        <f t="shared" ca="1" si="6"/>
        <v>0</v>
      </c>
      <c r="H67" s="133">
        <f t="shared" ca="1" si="6"/>
        <v>0</v>
      </c>
      <c r="I67" s="133">
        <f t="shared" ca="1" si="6"/>
        <v>0</v>
      </c>
      <c r="J67" s="133">
        <f t="shared" ca="1" si="6"/>
        <v>0</v>
      </c>
      <c r="K67" s="133">
        <f t="shared" ca="1" si="6"/>
        <v>0</v>
      </c>
      <c r="L67" s="133">
        <f t="shared" ca="1" si="6"/>
        <v>0</v>
      </c>
      <c r="M67" s="133">
        <f t="shared" ca="1" si="6"/>
        <v>0</v>
      </c>
      <c r="N67" s="133">
        <f t="shared" ca="1" si="6"/>
        <v>0</v>
      </c>
      <c r="O67" s="133">
        <f t="shared" ca="1" si="6"/>
        <v>0</v>
      </c>
    </row>
    <row r="68" spans="1:15" ht="11.25" customHeight="1">
      <c r="A68" s="38"/>
      <c r="B68" s="46" t="s">
        <v>144</v>
      </c>
      <c r="C68" s="135">
        <f ca="1">'採算表(VND)'!C68</f>
        <v>986</v>
      </c>
      <c r="D68" s="135">
        <f ca="1">'採算表(VND)'!D68</f>
        <v>1096.5</v>
      </c>
      <c r="E68" s="135">
        <f ca="1">'採算表(VND)'!E68</f>
        <v>1215.5</v>
      </c>
      <c r="F68" s="135">
        <f ca="1">'採算表(VND)'!F68</f>
        <v>1334.5</v>
      </c>
      <c r="G68" s="135">
        <f ca="1">'採算表(VND)'!G68</f>
        <v>1113.5</v>
      </c>
      <c r="H68" s="135">
        <f ca="1">'採算表(VND)'!H68</f>
        <v>1096.5</v>
      </c>
      <c r="I68" s="135">
        <f ca="1">'採算表(VND)'!I68</f>
        <v>1334.5</v>
      </c>
      <c r="J68" s="135">
        <f ca="1">'採算表(VND)'!J68</f>
        <v>1156</v>
      </c>
      <c r="K68" s="135">
        <f ca="1">'採算表(VND)'!K68</f>
        <v>1275</v>
      </c>
      <c r="L68" s="135">
        <f ca="1">'採算表(VND)'!L68</f>
        <v>1156</v>
      </c>
      <c r="M68" s="135">
        <f ca="1">'採算表(VND)'!M68</f>
        <v>841.5</v>
      </c>
      <c r="N68" s="135">
        <f ca="1">'採算表(VND)'!N68</f>
        <v>1156</v>
      </c>
      <c r="O68" s="135">
        <f ca="1">SUM(C68:N68)</f>
        <v>13761.5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 ca="1">'採算表(VND)'!C72</f>
        <v>-986</v>
      </c>
      <c r="D72" s="141">
        <f ca="1">'採算表(VND)'!D72</f>
        <v>-1096.5</v>
      </c>
      <c r="E72" s="141">
        <f ca="1">'採算表(VND)'!E72</f>
        <v>-1215.5</v>
      </c>
      <c r="F72" s="141">
        <f ca="1">'採算表(VND)'!F72</f>
        <v>-1334.5</v>
      </c>
      <c r="G72" s="141">
        <f ca="1">'採算表(VND)'!G72</f>
        <v>-1113.5</v>
      </c>
      <c r="H72" s="141">
        <f ca="1">'採算表(VND)'!H72</f>
        <v>-1096.5</v>
      </c>
      <c r="I72" s="141">
        <f ca="1">'採算表(VND)'!I72</f>
        <v>-1334.5</v>
      </c>
      <c r="J72" s="141">
        <f ca="1">'採算表(VND)'!J72</f>
        <v>-1156</v>
      </c>
      <c r="K72" s="141">
        <f ca="1">'採算表(VND)'!K72</f>
        <v>-1275</v>
      </c>
      <c r="L72" s="141">
        <f ca="1">'採算表(VND)'!L72</f>
        <v>-1156</v>
      </c>
      <c r="M72" s="141">
        <f ca="1">'採算表(VND)'!M72</f>
        <v>-841.5</v>
      </c>
      <c r="N72" s="141">
        <f ca="1">'採算表(VND)'!N72</f>
        <v>-1156</v>
      </c>
      <c r="O72" s="141">
        <f ca="1">SUM(C72:N72)</f>
        <v>-13761.5</v>
      </c>
    </row>
    <row r="73" spans="1:15" ht="11.25" customHeight="1">
      <c r="A73" s="38"/>
      <c r="B73" s="41" t="s">
        <v>145</v>
      </c>
      <c r="C73" s="142">
        <f ca="1">SUM(C68:C72)</f>
        <v>0</v>
      </c>
      <c r="D73" s="142">
        <f t="shared" ref="D73:O73" ca="1" si="7">IF(ISBLANK(D4),"",SUM(D68:D72))</f>
        <v>0</v>
      </c>
      <c r="E73" s="142">
        <f t="shared" ca="1" si="7"/>
        <v>0</v>
      </c>
      <c r="F73" s="142">
        <f t="shared" ca="1" si="7"/>
        <v>0</v>
      </c>
      <c r="G73" s="142">
        <f t="shared" ca="1" si="7"/>
        <v>0</v>
      </c>
      <c r="H73" s="142">
        <f t="shared" ca="1" si="7"/>
        <v>0</v>
      </c>
      <c r="I73" s="142">
        <f t="shared" ca="1" si="7"/>
        <v>0</v>
      </c>
      <c r="J73" s="142">
        <f t="shared" ca="1" si="7"/>
        <v>0</v>
      </c>
      <c r="K73" s="142">
        <f t="shared" ca="1" si="7"/>
        <v>0</v>
      </c>
      <c r="L73" s="142">
        <f t="shared" ca="1" si="7"/>
        <v>0</v>
      </c>
      <c r="M73" s="142">
        <f t="shared" ca="1" si="7"/>
        <v>0</v>
      </c>
      <c r="N73" s="142">
        <f t="shared" ca="1" si="7"/>
        <v>0</v>
      </c>
      <c r="O73" s="142">
        <f t="shared" ca="1" si="7"/>
        <v>0</v>
      </c>
    </row>
    <row r="74" spans="1:15" ht="11.25" customHeight="1">
      <c r="A74" s="38"/>
      <c r="B74" s="39" t="s">
        <v>86</v>
      </c>
      <c r="C74" s="135">
        <f ca="1">'採算表(VND)'!C74</f>
        <v>116</v>
      </c>
      <c r="D74" s="135">
        <f ca="1">'採算表(VND)'!D74</f>
        <v>110</v>
      </c>
      <c r="E74" s="135">
        <f ca="1">'採算表(VND)'!E74</f>
        <v>122</v>
      </c>
      <c r="F74" s="135">
        <f ca="1">'採算表(VND)'!F74</f>
        <v>134</v>
      </c>
      <c r="G74" s="135">
        <f ca="1">'採算表(VND)'!G74</f>
        <v>106</v>
      </c>
      <c r="H74" s="135">
        <f ca="1">'採算表(VND)'!H74</f>
        <v>110</v>
      </c>
      <c r="I74" s="135">
        <f ca="1">'採算表(VND)'!I74</f>
        <v>134</v>
      </c>
      <c r="J74" s="135">
        <f ca="1">'採算表(VND)'!J74</f>
        <v>116</v>
      </c>
      <c r="K74" s="135">
        <f ca="1">'採算表(VND)'!K74</f>
        <v>128</v>
      </c>
      <c r="L74" s="135">
        <f ca="1">'採算表(VND)'!L74</f>
        <v>116</v>
      </c>
      <c r="M74" s="135">
        <f ca="1">'採算表(VND)'!M74</f>
        <v>82</v>
      </c>
      <c r="N74" s="135">
        <f ca="1">'採算表(VND)'!N74</f>
        <v>116</v>
      </c>
      <c r="O74" s="135">
        <f ca="1">SUM(C74:N74)</f>
        <v>1390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 ca="1">'採算表(VND)'!C78</f>
        <v>-116</v>
      </c>
      <c r="D78" s="141">
        <f ca="1">'採算表(VND)'!D78</f>
        <v>-110</v>
      </c>
      <c r="E78" s="141">
        <f ca="1">'採算表(VND)'!E78</f>
        <v>-122</v>
      </c>
      <c r="F78" s="141">
        <f ca="1">'採算表(VND)'!F78</f>
        <v>-134</v>
      </c>
      <c r="G78" s="141">
        <f ca="1">'採算表(VND)'!G78</f>
        <v>-106</v>
      </c>
      <c r="H78" s="141">
        <f ca="1">'採算表(VND)'!H78</f>
        <v>-110</v>
      </c>
      <c r="I78" s="141">
        <f ca="1">'採算表(VND)'!I78</f>
        <v>-134</v>
      </c>
      <c r="J78" s="141">
        <f ca="1">'採算表(VND)'!J78</f>
        <v>-116</v>
      </c>
      <c r="K78" s="141">
        <f ca="1">'採算表(VND)'!K78</f>
        <v>-128</v>
      </c>
      <c r="L78" s="141">
        <f ca="1">'採算表(VND)'!L78</f>
        <v>-116</v>
      </c>
      <c r="M78" s="141">
        <f ca="1">'採算表(VND)'!M78</f>
        <v>-82</v>
      </c>
      <c r="N78" s="141">
        <f ca="1">'採算表(VND)'!N78</f>
        <v>-116</v>
      </c>
      <c r="O78" s="141">
        <f ca="1">SUM(C78:N78)</f>
        <v>-1390</v>
      </c>
    </row>
    <row r="79" spans="1:15" ht="14.25" customHeight="1">
      <c r="A79" s="38"/>
      <c r="B79" s="41" t="s">
        <v>156</v>
      </c>
      <c r="C79" s="142">
        <f ca="1">SUM(C74:C78)</f>
        <v>0</v>
      </c>
      <c r="D79" s="142">
        <f t="shared" ref="D79:O79" ca="1" si="8">IF(ISBLANK(D4),"",SUM(D74:D78))</f>
        <v>0</v>
      </c>
      <c r="E79" s="142">
        <f t="shared" ca="1" si="8"/>
        <v>0</v>
      </c>
      <c r="F79" s="142">
        <f t="shared" ca="1" si="8"/>
        <v>0</v>
      </c>
      <c r="G79" s="142">
        <f t="shared" ca="1" si="8"/>
        <v>0</v>
      </c>
      <c r="H79" s="142">
        <f t="shared" ca="1" si="8"/>
        <v>0</v>
      </c>
      <c r="I79" s="142">
        <f t="shared" ca="1" si="8"/>
        <v>0</v>
      </c>
      <c r="J79" s="142">
        <f t="shared" ca="1" si="8"/>
        <v>0</v>
      </c>
      <c r="K79" s="142">
        <f t="shared" ca="1" si="8"/>
        <v>0</v>
      </c>
      <c r="L79" s="142">
        <f t="shared" ca="1" si="8"/>
        <v>0</v>
      </c>
      <c r="M79" s="142">
        <f t="shared" ca="1" si="8"/>
        <v>0</v>
      </c>
      <c r="N79" s="142">
        <f t="shared" ca="1" si="8"/>
        <v>0</v>
      </c>
      <c r="O79" s="142">
        <f t="shared" ca="1" si="8"/>
        <v>0</v>
      </c>
    </row>
    <row r="80" spans="1:15" ht="14.25" customHeight="1">
      <c r="A80" s="26"/>
      <c r="B80" s="32" t="s">
        <v>79</v>
      </c>
      <c r="C80" s="143">
        <f ca="1">IFERROR(ROUNDDOWN(C66/C67,0),0)</f>
        <v>0</v>
      </c>
      <c r="D80" s="144">
        <f t="shared" ref="D80:O80" ca="1" si="9">IFERROR(ROUNDDOWN(D66/D67,0),0)</f>
        <v>0</v>
      </c>
      <c r="E80" s="144">
        <f t="shared" ca="1" si="9"/>
        <v>0</v>
      </c>
      <c r="F80" s="144">
        <f t="shared" ca="1" si="9"/>
        <v>0</v>
      </c>
      <c r="G80" s="144">
        <f t="shared" ca="1" si="9"/>
        <v>0</v>
      </c>
      <c r="H80" s="144">
        <f t="shared" ca="1" si="9"/>
        <v>0</v>
      </c>
      <c r="I80" s="144">
        <f t="shared" ca="1" si="9"/>
        <v>0</v>
      </c>
      <c r="J80" s="144">
        <f t="shared" ca="1" si="9"/>
        <v>0</v>
      </c>
      <c r="K80" s="144">
        <f t="shared" ca="1" si="9"/>
        <v>0</v>
      </c>
      <c r="L80" s="144">
        <f t="shared" ca="1" si="9"/>
        <v>0</v>
      </c>
      <c r="M80" s="144">
        <f t="shared" ca="1" si="9"/>
        <v>0</v>
      </c>
      <c r="N80" s="144">
        <f t="shared" ca="1" si="9"/>
        <v>0</v>
      </c>
      <c r="O80" s="144">
        <f t="shared" ca="1" si="9"/>
        <v>0</v>
      </c>
    </row>
    <row r="81" spans="1:15" ht="14.25" customHeight="1">
      <c r="A81" s="26"/>
      <c r="B81" s="42" t="s">
        <v>80</v>
      </c>
      <c r="C81" s="145">
        <f ca="1">IFERROR(ROUNDDOWN(C12/C67,0),0)</f>
        <v>0</v>
      </c>
      <c r="D81" s="146">
        <f t="shared" ref="D81:O81" ca="1" si="10">IFERROR(ROUNDDOWN(D12/D67,0),0)</f>
        <v>0</v>
      </c>
      <c r="E81" s="146">
        <f t="shared" ca="1" si="10"/>
        <v>0</v>
      </c>
      <c r="F81" s="146">
        <f t="shared" ca="1" si="10"/>
        <v>0</v>
      </c>
      <c r="G81" s="146">
        <f t="shared" ca="1" si="10"/>
        <v>0</v>
      </c>
      <c r="H81" s="146">
        <f t="shared" ca="1" si="10"/>
        <v>0</v>
      </c>
      <c r="I81" s="146">
        <f t="shared" ca="1" si="10"/>
        <v>0</v>
      </c>
      <c r="J81" s="146">
        <f t="shared" ca="1" si="10"/>
        <v>0</v>
      </c>
      <c r="K81" s="146">
        <f t="shared" ca="1" si="10"/>
        <v>0</v>
      </c>
      <c r="L81" s="146">
        <f t="shared" ca="1" si="10"/>
        <v>0</v>
      </c>
      <c r="M81" s="146">
        <f t="shared" ca="1" si="10"/>
        <v>0</v>
      </c>
      <c r="N81" s="146">
        <f t="shared" ca="1" si="10"/>
        <v>0</v>
      </c>
      <c r="O81" s="146">
        <f t="shared" ca="1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5</v>
      </c>
      <c r="D88" s="150">
        <f>'採算表(VND)'!D88</f>
        <v>6</v>
      </c>
      <c r="E88" s="150">
        <f>'採算表(VND)'!E88</f>
        <v>6</v>
      </c>
      <c r="F88" s="150">
        <f>'採算表(VND)'!F88</f>
        <v>6</v>
      </c>
      <c r="G88" s="150">
        <f>'採算表(VND)'!G88</f>
        <v>6</v>
      </c>
      <c r="H88" s="150">
        <f>'採算表(VND)'!H88</f>
        <v>6</v>
      </c>
      <c r="I88" s="150">
        <f>'採算表(VND)'!I88</f>
        <v>6</v>
      </c>
      <c r="J88" s="150">
        <f>'採算表(VND)'!J88</f>
        <v>6</v>
      </c>
      <c r="K88" s="150">
        <f>'採算表(VND)'!K88</f>
        <v>6</v>
      </c>
      <c r="L88" s="150">
        <f>'採算表(VND)'!L88</f>
        <v>6</v>
      </c>
      <c r="M88" s="150">
        <f>'採算表(VND)'!M88</f>
        <v>6</v>
      </c>
      <c r="N88" s="150">
        <f>'採算表(VND)'!N88</f>
        <v>6</v>
      </c>
      <c r="O88" s="150">
        <f>SUM(C88:N88)</f>
        <v>71</v>
      </c>
    </row>
    <row r="89" spans="1:15">
      <c r="A89" s="44"/>
      <c r="B89" s="60" t="s">
        <v>18</v>
      </c>
      <c r="C89" s="151">
        <f t="shared" ref="C89:O89" si="11">C87+C88</f>
        <v>6</v>
      </c>
      <c r="D89" s="151">
        <f t="shared" si="11"/>
        <v>7</v>
      </c>
      <c r="E89" s="151">
        <f t="shared" si="11"/>
        <v>7</v>
      </c>
      <c r="F89" s="151">
        <f t="shared" si="11"/>
        <v>7</v>
      </c>
      <c r="G89" s="151">
        <f t="shared" si="11"/>
        <v>7</v>
      </c>
      <c r="H89" s="151">
        <f t="shared" si="11"/>
        <v>7</v>
      </c>
      <c r="I89" s="151">
        <f t="shared" si="11"/>
        <v>7</v>
      </c>
      <c r="J89" s="151">
        <f t="shared" si="11"/>
        <v>7</v>
      </c>
      <c r="K89" s="151">
        <f t="shared" si="11"/>
        <v>7</v>
      </c>
      <c r="L89" s="151">
        <f t="shared" si="11"/>
        <v>7</v>
      </c>
      <c r="M89" s="151">
        <f t="shared" si="11"/>
        <v>7</v>
      </c>
      <c r="N89" s="151">
        <f t="shared" si="11"/>
        <v>7</v>
      </c>
      <c r="O89" s="151">
        <f t="shared" si="11"/>
        <v>83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 ca="1">'採算表(VND)'!C92</f>
        <v>170</v>
      </c>
      <c r="D92" s="133">
        <f ca="1">'採算表(VND)'!D92</f>
        <v>161.5</v>
      </c>
      <c r="E92" s="133">
        <f ca="1">'採算表(VND)'!E92</f>
        <v>178.5</v>
      </c>
      <c r="F92" s="133">
        <f ca="1">'採算表(VND)'!F92</f>
        <v>195.5</v>
      </c>
      <c r="G92" s="133">
        <f ca="1">'採算表(VND)'!G92</f>
        <v>127.5</v>
      </c>
      <c r="H92" s="133">
        <f ca="1">'採算表(VND)'!H92</f>
        <v>161.5</v>
      </c>
      <c r="I92" s="133">
        <f ca="1">'採算表(VND)'!I92</f>
        <v>195.5</v>
      </c>
      <c r="J92" s="133">
        <f ca="1">'採算表(VND)'!J92</f>
        <v>170</v>
      </c>
      <c r="K92" s="133">
        <f ca="1">'採算表(VND)'!K92</f>
        <v>187</v>
      </c>
      <c r="L92" s="133">
        <f ca="1">'採算表(VND)'!L92</f>
        <v>170</v>
      </c>
      <c r="M92" s="133">
        <f ca="1">'採算表(VND)'!M92</f>
        <v>110.5</v>
      </c>
      <c r="N92" s="133">
        <f ca="1">'採算表(VND)'!N92</f>
        <v>170</v>
      </c>
      <c r="O92" s="133">
        <f ca="1">SUM(C92:N92)</f>
        <v>1997.5</v>
      </c>
    </row>
    <row r="93" spans="1:15">
      <c r="B93" s="59" t="s">
        <v>325</v>
      </c>
      <c r="C93" s="133">
        <f ca="1">'採算表(VND)'!C93</f>
        <v>816</v>
      </c>
      <c r="D93" s="133">
        <f ca="1">'採算表(VND)'!D93</f>
        <v>935</v>
      </c>
      <c r="E93" s="133">
        <f ca="1">'採算表(VND)'!E93</f>
        <v>1037</v>
      </c>
      <c r="F93" s="133">
        <f ca="1">'採算表(VND)'!F93</f>
        <v>1139</v>
      </c>
      <c r="G93" s="133">
        <f ca="1">'採算表(VND)'!G93</f>
        <v>986</v>
      </c>
      <c r="H93" s="133">
        <f ca="1">'採算表(VND)'!H93</f>
        <v>935</v>
      </c>
      <c r="I93" s="133">
        <f ca="1">'採算表(VND)'!I93</f>
        <v>1139</v>
      </c>
      <c r="J93" s="133">
        <f ca="1">'採算表(VND)'!J93</f>
        <v>986</v>
      </c>
      <c r="K93" s="133">
        <f ca="1">'採算表(VND)'!K93</f>
        <v>1088</v>
      </c>
      <c r="L93" s="133">
        <f ca="1">'採算表(VND)'!L93</f>
        <v>986</v>
      </c>
      <c r="M93" s="133">
        <f ca="1">'採算表(VND)'!M93</f>
        <v>731</v>
      </c>
      <c r="N93" s="133">
        <f ca="1">'採算表(VND)'!N93</f>
        <v>986</v>
      </c>
      <c r="O93" s="133">
        <f ca="1">SUM(C93:N93)</f>
        <v>11764</v>
      </c>
    </row>
    <row r="94" spans="1:15">
      <c r="B94" s="61" t="s">
        <v>18</v>
      </c>
      <c r="C94" s="147">
        <f t="shared" ref="C94:O94" ca="1" si="12">C92+C93</f>
        <v>986</v>
      </c>
      <c r="D94" s="147">
        <f t="shared" ca="1" si="12"/>
        <v>1096.5</v>
      </c>
      <c r="E94" s="147">
        <f t="shared" ca="1" si="12"/>
        <v>1215.5</v>
      </c>
      <c r="F94" s="147">
        <f t="shared" ca="1" si="12"/>
        <v>1334.5</v>
      </c>
      <c r="G94" s="147">
        <f t="shared" ca="1" si="12"/>
        <v>1113.5</v>
      </c>
      <c r="H94" s="147">
        <f t="shared" ca="1" si="12"/>
        <v>1096.5</v>
      </c>
      <c r="I94" s="147">
        <f t="shared" ca="1" si="12"/>
        <v>1334.5</v>
      </c>
      <c r="J94" s="147">
        <f t="shared" ca="1" si="12"/>
        <v>1156</v>
      </c>
      <c r="K94" s="147">
        <f t="shared" ca="1" si="12"/>
        <v>1275</v>
      </c>
      <c r="L94" s="147">
        <f t="shared" ca="1" si="12"/>
        <v>1156</v>
      </c>
      <c r="M94" s="147">
        <f t="shared" ca="1" si="12"/>
        <v>841.5</v>
      </c>
      <c r="N94" s="147">
        <f t="shared" ca="1" si="12"/>
        <v>1156</v>
      </c>
      <c r="O94" s="147">
        <f t="shared" ca="1" si="12"/>
        <v>13761.5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 ca="1">'採算表(VND)'!C97</f>
        <v>40</v>
      </c>
      <c r="D97" s="133">
        <f ca="1">'採算表(VND)'!D97</f>
        <v>38</v>
      </c>
      <c r="E97" s="133">
        <f ca="1">'採算表(VND)'!E97</f>
        <v>42</v>
      </c>
      <c r="F97" s="133">
        <f ca="1">'採算表(VND)'!F97</f>
        <v>46</v>
      </c>
      <c r="G97" s="133">
        <f ca="1">'採算表(VND)'!G97</f>
        <v>30</v>
      </c>
      <c r="H97" s="133">
        <f ca="1">'採算表(VND)'!H97</f>
        <v>38</v>
      </c>
      <c r="I97" s="133">
        <f ca="1">'採算表(VND)'!I97</f>
        <v>46</v>
      </c>
      <c r="J97" s="133">
        <f ca="1">'採算表(VND)'!J97</f>
        <v>40</v>
      </c>
      <c r="K97" s="133">
        <f ca="1">'採算表(VND)'!K97</f>
        <v>44</v>
      </c>
      <c r="L97" s="133">
        <f ca="1">'採算表(VND)'!L97</f>
        <v>40</v>
      </c>
      <c r="M97" s="133">
        <f ca="1">'採算表(VND)'!M97</f>
        <v>26</v>
      </c>
      <c r="N97" s="133">
        <f ca="1">'採算表(VND)'!N97</f>
        <v>40</v>
      </c>
      <c r="O97" s="133">
        <f ca="1">SUM(C97:N97)</f>
        <v>470</v>
      </c>
    </row>
    <row r="98" spans="2:15">
      <c r="B98" s="59" t="s">
        <v>327</v>
      </c>
      <c r="C98" s="133">
        <f ca="1">'採算表(VND)'!C98</f>
        <v>76</v>
      </c>
      <c r="D98" s="133">
        <f ca="1">'採算表(VND)'!D98</f>
        <v>72</v>
      </c>
      <c r="E98" s="133">
        <f ca="1">'採算表(VND)'!E98</f>
        <v>80</v>
      </c>
      <c r="F98" s="133">
        <f ca="1">'採算表(VND)'!F98</f>
        <v>88</v>
      </c>
      <c r="G98" s="133">
        <f ca="1">'採算表(VND)'!G98</f>
        <v>76</v>
      </c>
      <c r="H98" s="133">
        <f ca="1">'採算表(VND)'!H98</f>
        <v>72</v>
      </c>
      <c r="I98" s="133">
        <f ca="1">'採算表(VND)'!I98</f>
        <v>88</v>
      </c>
      <c r="J98" s="133">
        <f ca="1">'採算表(VND)'!J98</f>
        <v>76</v>
      </c>
      <c r="K98" s="133">
        <f ca="1">'採算表(VND)'!K98</f>
        <v>84</v>
      </c>
      <c r="L98" s="133">
        <f ca="1">'採算表(VND)'!L98</f>
        <v>76</v>
      </c>
      <c r="M98" s="133">
        <f ca="1">'採算表(VND)'!M98</f>
        <v>56</v>
      </c>
      <c r="N98" s="133">
        <f ca="1">'採算表(VND)'!N98</f>
        <v>76</v>
      </c>
      <c r="O98" s="133">
        <f ca="1">SUM(C98:N98)</f>
        <v>920</v>
      </c>
    </row>
    <row r="99" spans="2:15">
      <c r="B99" s="61" t="s">
        <v>18</v>
      </c>
      <c r="C99" s="147">
        <f t="shared" ref="C99:O99" ca="1" si="13">C97+C98</f>
        <v>116</v>
      </c>
      <c r="D99" s="147">
        <f t="shared" ca="1" si="13"/>
        <v>110</v>
      </c>
      <c r="E99" s="147">
        <f t="shared" ca="1" si="13"/>
        <v>122</v>
      </c>
      <c r="F99" s="147">
        <f t="shared" ca="1" si="13"/>
        <v>134</v>
      </c>
      <c r="G99" s="147">
        <f t="shared" ca="1" si="13"/>
        <v>106</v>
      </c>
      <c r="H99" s="147">
        <f t="shared" ca="1" si="13"/>
        <v>110</v>
      </c>
      <c r="I99" s="147">
        <f t="shared" ca="1" si="13"/>
        <v>134</v>
      </c>
      <c r="J99" s="147">
        <f t="shared" ca="1" si="13"/>
        <v>116</v>
      </c>
      <c r="K99" s="147">
        <f t="shared" ca="1" si="13"/>
        <v>128</v>
      </c>
      <c r="L99" s="147">
        <f t="shared" ca="1" si="13"/>
        <v>116</v>
      </c>
      <c r="M99" s="147">
        <f t="shared" ca="1" si="13"/>
        <v>82</v>
      </c>
      <c r="N99" s="147">
        <f t="shared" ca="1" si="13"/>
        <v>116</v>
      </c>
      <c r="O99" s="147">
        <f t="shared" ca="1" si="13"/>
        <v>1390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709B-3F28-4D56-9A29-9D9D19ACADB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1796875" style="19" bestFit="1" customWidth="1"/>
    <col min="44" max="46" width="11.81640625" style="19" bestFit="1" customWidth="1"/>
    <col min="47" max="47" width="9" style="19"/>
    <col min="48" max="51" width="14.36328125" style="19" bestFit="1" customWidth="1"/>
    <col min="52" max="52" width="9" style="19"/>
    <col min="53" max="56" width="14.81640625" style="19" bestFit="1" customWidth="1"/>
    <col min="57" max="57" width="9" style="19"/>
    <col min="58" max="58" width="15.1796875" style="19" bestFit="1" customWidth="1"/>
    <col min="59" max="60" width="11.81640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リスクマネジメント課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SUMIF('内訳ﾘｽﾄ(4～3月)'!$D$26:$D$965,'採算表(VND)'!$B6,'内訳ﾘｽﾄ(4～3月)'!F$26:F$965)</f>
        <v>0</v>
      </c>
      <c r="D6" s="153">
        <f>SUMIF('内訳ﾘｽﾄ(4～3月)'!$D$26:$D$965,'採算表(VND)'!$B6,'内訳ﾘｽﾄ(4～3月)'!G$26:G$965)</f>
        <v>0</v>
      </c>
      <c r="E6" s="153">
        <f>SUMIF('内訳ﾘｽﾄ(4～3月)'!$D$26:$D$965,'採算表(VND)'!$B6,'内訳ﾘｽﾄ(4～3月)'!H$26:H$965)</f>
        <v>0</v>
      </c>
      <c r="F6" s="153">
        <f>SUMIF('内訳ﾘｽﾄ(4～3月)'!$D$26:$D$965,'採算表(VND)'!$B6,'内訳ﾘｽﾄ(4～3月)'!I$26:I$965)</f>
        <v>0</v>
      </c>
      <c r="G6" s="153">
        <f>SUMIF('内訳ﾘｽﾄ(4～3月)'!$D$26:$D$965,'採算表(VND)'!$B6,'内訳ﾘｽﾄ(4～3月)'!J$26:J$965)</f>
        <v>0</v>
      </c>
      <c r="H6" s="153">
        <f>SUMIF('内訳ﾘｽﾄ(4～3月)'!$D$26:$D$965,'採算表(VND)'!$B6,'内訳ﾘｽﾄ(4～3月)'!K$26:K$965)</f>
        <v>0</v>
      </c>
      <c r="I6" s="153">
        <f>SUMIF('内訳ﾘｽﾄ(4～3月)'!$D$26:$D$965,'採算表(VND)'!$B6,'内訳ﾘｽﾄ(4～3月)'!L$26:L$965)</f>
        <v>0</v>
      </c>
      <c r="J6" s="153">
        <f>SUMIF('内訳ﾘｽﾄ(4～3月)'!$D$26:$D$965,'採算表(VND)'!$B6,'内訳ﾘｽﾄ(4～3月)'!M$26:M$965)</f>
        <v>0</v>
      </c>
      <c r="K6" s="153">
        <f>SUMIF('内訳ﾘｽﾄ(4～3月)'!$D$26:$D$965,'採算表(VND)'!$B6,'内訳ﾘｽﾄ(4～3月)'!N$26:N$965)</f>
        <v>0</v>
      </c>
      <c r="L6" s="153">
        <f>SUMIF('内訳ﾘｽﾄ(4～3月)'!$D$26:$D$965,'採算表(VND)'!$B6,'内訳ﾘｽﾄ(4～3月)'!O$26:O$965)</f>
        <v>0</v>
      </c>
      <c r="M6" s="153">
        <f>SUMIF('内訳ﾘｽﾄ(4～3月)'!$D$26:$D$965,'採算表(VND)'!$B6,'内訳ﾘｽﾄ(4～3月)'!P$26:P$965)</f>
        <v>0</v>
      </c>
      <c r="N6" s="153">
        <f>SUMIF('内訳ﾘｽﾄ(4～3月)'!$D$26:$D$965,'採算表(VND)'!$B6,'内訳ﾘｽﾄ(4～3月)'!Q$26:Q$965)</f>
        <v>0</v>
      </c>
      <c r="O6" s="153">
        <f>SUMIF('内訳ﾘｽﾄ(4～3月)'!$D$26:$D$764,'採算表(VND)'!$B6,'内訳ﾘｽﾄ(4～3月)'!R$26:R$764)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SUMIF('内訳ﾘｽﾄ(4～3月)'!$D$26:$D$965,'採算表(VND)'!$B7,'内訳ﾘｽﾄ(4～3月)'!F$26:F$965)</f>
        <v>0</v>
      </c>
      <c r="D7" s="154">
        <f>SUMIF('内訳ﾘｽﾄ(4～3月)'!$D$26:$D$965,'採算表(VND)'!$B7,'内訳ﾘｽﾄ(4～3月)'!G$26:G$965)</f>
        <v>0</v>
      </c>
      <c r="E7" s="154">
        <f>SUMIF('内訳ﾘｽﾄ(4～3月)'!$D$26:$D$965,'採算表(VND)'!$B7,'内訳ﾘｽﾄ(4～3月)'!H$26:H$965)</f>
        <v>0</v>
      </c>
      <c r="F7" s="154">
        <f>SUMIF('内訳ﾘｽﾄ(4～3月)'!$D$26:$D$965,'採算表(VND)'!$B7,'内訳ﾘｽﾄ(4～3月)'!I$26:I$965)</f>
        <v>0</v>
      </c>
      <c r="G7" s="154">
        <f>SUMIF('内訳ﾘｽﾄ(4～3月)'!$D$26:$D$965,'採算表(VND)'!$B7,'内訳ﾘｽﾄ(4～3月)'!J$26:J$965)</f>
        <v>0</v>
      </c>
      <c r="H7" s="154">
        <f>SUMIF('内訳ﾘｽﾄ(4～3月)'!$D$26:$D$965,'採算表(VND)'!$B7,'内訳ﾘｽﾄ(4～3月)'!K$26:K$965)</f>
        <v>0</v>
      </c>
      <c r="I7" s="154">
        <f>SUMIF('内訳ﾘｽﾄ(4～3月)'!$D$26:$D$965,'採算表(VND)'!$B7,'内訳ﾘｽﾄ(4～3月)'!L$26:L$965)</f>
        <v>0</v>
      </c>
      <c r="J7" s="154">
        <f>SUMIF('内訳ﾘｽﾄ(4～3月)'!$D$26:$D$965,'採算表(VND)'!$B7,'内訳ﾘｽﾄ(4～3月)'!M$26:M$965)</f>
        <v>0</v>
      </c>
      <c r="K7" s="154">
        <f>SUMIF('内訳ﾘｽﾄ(4～3月)'!$D$26:$D$965,'採算表(VND)'!$B7,'内訳ﾘｽﾄ(4～3月)'!N$26:N$965)</f>
        <v>0</v>
      </c>
      <c r="L7" s="154">
        <f>SUMIF('内訳ﾘｽﾄ(4～3月)'!$D$26:$D$965,'採算表(VND)'!$B7,'内訳ﾘｽﾄ(4～3月)'!O$26:O$965)</f>
        <v>0</v>
      </c>
      <c r="M7" s="154">
        <f>SUMIF('内訳ﾘｽﾄ(4～3月)'!$D$26:$D$965,'採算表(VND)'!$B7,'内訳ﾘｽﾄ(4～3月)'!P$26:P$965)</f>
        <v>0</v>
      </c>
      <c r="N7" s="154">
        <f>SUMIF('内訳ﾘｽﾄ(4～3月)'!$D$26:$D$965,'採算表(VND)'!$B7,'内訳ﾘｽﾄ(4～3月)'!Q$26:Q$965)</f>
        <v>0</v>
      </c>
      <c r="O7" s="154">
        <f>SUMIF('内訳ﾘｽﾄ(4～3月)'!$D$26:$D$764,'採算表(VND)'!$B7,'内訳ﾘｽﾄ(4～3月)'!R$26:R$764)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SUMIF('内訳ﾘｽﾄ(4～3月)'!$D$26:$D$965,'採算表(VND)'!$B9,'内訳ﾘｽﾄ(4～3月)'!F$26:F$965)</f>
        <v>0</v>
      </c>
      <c r="D9" s="150">
        <f>SUMIF('内訳ﾘｽﾄ(4～3月)'!$D$26:$D$965,'採算表(VND)'!$B9,'内訳ﾘｽﾄ(4～3月)'!G$26:G$965)</f>
        <v>0</v>
      </c>
      <c r="E9" s="150">
        <f>SUMIF('内訳ﾘｽﾄ(4～3月)'!$D$26:$D$965,'採算表(VND)'!$B9,'内訳ﾘｽﾄ(4～3月)'!H$26:H$965)</f>
        <v>0</v>
      </c>
      <c r="F9" s="150">
        <f>SUMIF('内訳ﾘｽﾄ(4～3月)'!$D$26:$D$965,'採算表(VND)'!$B9,'内訳ﾘｽﾄ(4～3月)'!I$26:I$965)</f>
        <v>0</v>
      </c>
      <c r="G9" s="150">
        <f>SUMIF('内訳ﾘｽﾄ(4～3月)'!$D$26:$D$965,'採算表(VND)'!$B9,'内訳ﾘｽﾄ(4～3月)'!J$26:J$965)</f>
        <v>0</v>
      </c>
      <c r="H9" s="150">
        <f>SUMIF('内訳ﾘｽﾄ(4～3月)'!$D$26:$D$965,'採算表(VND)'!$B9,'内訳ﾘｽﾄ(4～3月)'!K$26:K$965)</f>
        <v>0</v>
      </c>
      <c r="I9" s="150">
        <f>SUMIF('内訳ﾘｽﾄ(4～3月)'!$D$26:$D$965,'採算表(VND)'!$B9,'内訳ﾘｽﾄ(4～3月)'!L$26:L$965)</f>
        <v>0</v>
      </c>
      <c r="J9" s="150">
        <f>SUMIF('内訳ﾘｽﾄ(4～3月)'!$D$26:$D$965,'採算表(VND)'!$B9,'内訳ﾘｽﾄ(4～3月)'!M$26:M$965)</f>
        <v>0</v>
      </c>
      <c r="K9" s="150">
        <f>SUMIF('内訳ﾘｽﾄ(4～3月)'!$D$26:$D$965,'採算表(VND)'!$B9,'内訳ﾘｽﾄ(4～3月)'!N$26:N$965)</f>
        <v>0</v>
      </c>
      <c r="L9" s="150">
        <f>SUMIF('内訳ﾘｽﾄ(4～3月)'!$D$26:$D$965,'採算表(VND)'!$B9,'内訳ﾘｽﾄ(4～3月)'!O$26:O$965)</f>
        <v>0</v>
      </c>
      <c r="M9" s="150">
        <f>SUMIF('内訳ﾘｽﾄ(4～3月)'!$D$26:$D$965,'採算表(VND)'!$B9,'内訳ﾘｽﾄ(4～3月)'!P$26:P$965)</f>
        <v>0</v>
      </c>
      <c r="N9" s="150">
        <f>SUMIF('内訳ﾘｽﾄ(4～3月)'!$D$26:$D$965,'採算表(VND)'!$B9,'内訳ﾘｽﾄ(4～3月)'!Q$26:Q$965)</f>
        <v>0</v>
      </c>
      <c r="O9" s="150">
        <f>SUMIF('内訳ﾘｽﾄ(4～3月)'!$D$26:$D$764,'採算表(VND)'!$B9,'内訳ﾘｽﾄ(4～3月)'!R$26:R$764)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SUMIF('内訳ﾘｽﾄ(4～3月)'!$D$26:$D$965,'採算表(VND)'!$B10,'内訳ﾘｽﾄ(4～3月)'!F$26:F$965)</f>
        <v>0</v>
      </c>
      <c r="D10" s="150">
        <f>SUMIF('内訳ﾘｽﾄ(4～3月)'!$D$26:$D$965,'採算表(VND)'!$B10,'内訳ﾘｽﾄ(4～3月)'!G$26:G$965)</f>
        <v>0</v>
      </c>
      <c r="E10" s="150">
        <f>SUMIF('内訳ﾘｽﾄ(4～3月)'!$D$26:$D$965,'採算表(VND)'!$B10,'内訳ﾘｽﾄ(4～3月)'!H$26:H$965)</f>
        <v>0</v>
      </c>
      <c r="F10" s="150">
        <f>SUMIF('内訳ﾘｽﾄ(4～3月)'!$D$26:$D$965,'採算表(VND)'!$B10,'内訳ﾘｽﾄ(4～3月)'!I$26:I$965)</f>
        <v>0</v>
      </c>
      <c r="G10" s="150">
        <f>SUMIF('内訳ﾘｽﾄ(4～3月)'!$D$26:$D$965,'採算表(VND)'!$B10,'内訳ﾘｽﾄ(4～3月)'!J$26:J$965)</f>
        <v>0</v>
      </c>
      <c r="H10" s="150">
        <f>SUMIF('内訳ﾘｽﾄ(4～3月)'!$D$26:$D$965,'採算表(VND)'!$B10,'内訳ﾘｽﾄ(4～3月)'!K$26:K$965)</f>
        <v>0</v>
      </c>
      <c r="I10" s="150">
        <f>SUMIF('内訳ﾘｽﾄ(4～3月)'!$D$26:$D$965,'採算表(VND)'!$B10,'内訳ﾘｽﾄ(4～3月)'!L$26:L$965)</f>
        <v>0</v>
      </c>
      <c r="J10" s="150">
        <f>SUMIF('内訳ﾘｽﾄ(4～3月)'!$D$26:$D$965,'採算表(VND)'!$B10,'内訳ﾘｽﾄ(4～3月)'!M$26:M$965)</f>
        <v>0</v>
      </c>
      <c r="K10" s="150">
        <f>SUMIF('内訳ﾘｽﾄ(4～3月)'!$D$26:$D$965,'採算表(VND)'!$B10,'内訳ﾘｽﾄ(4～3月)'!N$26:N$965)</f>
        <v>0</v>
      </c>
      <c r="L10" s="150">
        <f>SUMIF('内訳ﾘｽﾄ(4～3月)'!$D$26:$D$965,'採算表(VND)'!$B10,'内訳ﾘｽﾄ(4～3月)'!O$26:O$965)</f>
        <v>0</v>
      </c>
      <c r="M10" s="150">
        <f>SUMIF('内訳ﾘｽﾄ(4～3月)'!$D$26:$D$965,'採算表(VND)'!$B10,'内訳ﾘｽﾄ(4～3月)'!P$26:P$965)</f>
        <v>0</v>
      </c>
      <c r="N10" s="150">
        <f>SUMIF('内訳ﾘｽﾄ(4～3月)'!$D$26:$D$965,'採算表(VND)'!$B10,'内訳ﾘｽﾄ(4～3月)'!Q$26:Q$965)</f>
        <v>0</v>
      </c>
      <c r="O10" s="150">
        <f>SUMIF('内訳ﾘｽﾄ(4～3月)'!$D$26:$D$764,'採算表(VND)'!$B10,'内訳ﾘｽﾄ(4～3月)'!R$26:R$764)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SUMIF('内訳ﾘｽﾄ(4～3月)'!$D$26:$D$965,$B14,'内訳ﾘｽﾄ(4～3月)'!F$26:F$965)</f>
        <v>0</v>
      </c>
      <c r="D14" s="157">
        <f>SUMIF('内訳ﾘｽﾄ(4～3月)'!$D$26:$D$965,$B14,'内訳ﾘｽﾄ(4～3月)'!G$26:G$965)</f>
        <v>0</v>
      </c>
      <c r="E14" s="157">
        <f>SUMIF('内訳ﾘｽﾄ(4～3月)'!$D$26:$D$965,$B14,'内訳ﾘｽﾄ(4～3月)'!H$26:H$965)</f>
        <v>0</v>
      </c>
      <c r="F14" s="157">
        <f>SUMIF('内訳ﾘｽﾄ(4～3月)'!$D$26:$D$965,$B14,'内訳ﾘｽﾄ(4～3月)'!I$26:I$965)</f>
        <v>0</v>
      </c>
      <c r="G14" s="157">
        <f>SUMIF('内訳ﾘｽﾄ(4～3月)'!$D$26:$D$965,$B14,'内訳ﾘｽﾄ(4～3月)'!J$26:J$965)</f>
        <v>0</v>
      </c>
      <c r="H14" s="157">
        <f>SUMIF('内訳ﾘｽﾄ(4～3月)'!$D$26:$D$965,$B14,'内訳ﾘｽﾄ(4～3月)'!K$26:K$965)</f>
        <v>0</v>
      </c>
      <c r="I14" s="157">
        <f>SUMIF('内訳ﾘｽﾄ(4～3月)'!$D$26:$D$965,$B14,'内訳ﾘｽﾄ(4～3月)'!L$26:L$965)</f>
        <v>0</v>
      </c>
      <c r="J14" s="157">
        <f>SUMIF('内訳ﾘｽﾄ(4～3月)'!$D$26:$D$965,$B14,'内訳ﾘｽﾄ(4～3月)'!M$26:M$965)</f>
        <v>0</v>
      </c>
      <c r="K14" s="157">
        <f>SUMIF('内訳ﾘｽﾄ(4～3月)'!$D$26:$D$965,$B14,'内訳ﾘｽﾄ(4～3月)'!N$26:N$965)</f>
        <v>0</v>
      </c>
      <c r="L14" s="157">
        <f>SUMIF('内訳ﾘｽﾄ(4～3月)'!$D$26:$D$965,$B14,'内訳ﾘｽﾄ(4～3月)'!O$26:O$965)</f>
        <v>0</v>
      </c>
      <c r="M14" s="157">
        <f>SUMIF('内訳ﾘｽﾄ(4～3月)'!$D$26:$D$965,$B14,'内訳ﾘｽﾄ(4～3月)'!P$26:P$965)</f>
        <v>0</v>
      </c>
      <c r="N14" s="157">
        <f>SUMIF('内訳ﾘｽﾄ(4～3月)'!$D$26:$D$965,$B14,'内訳ﾘｽﾄ(4～3月)'!Q$26:Q$965)</f>
        <v>0</v>
      </c>
      <c r="O14" s="157">
        <f>SUMIF('内訳ﾘｽﾄ(4～3月)'!$D$26:$D$764,'採算表(VND)'!$B14,'内訳ﾘｽﾄ(4～3月)'!R$26:R$764)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SUMIF('内訳ﾘｽﾄ(4～3月)'!$D$26:$D$965,$B15,'内訳ﾘｽﾄ(4～3月)'!F$26:F$965)</f>
        <v>0</v>
      </c>
      <c r="D15" s="157">
        <f>SUMIF('内訳ﾘｽﾄ(4～3月)'!$D$26:$D$965,$B15,'内訳ﾘｽﾄ(4～3月)'!G$26:G$965)</f>
        <v>0</v>
      </c>
      <c r="E15" s="157">
        <f>SUMIF('内訳ﾘｽﾄ(4～3月)'!$D$26:$D$965,$B15,'内訳ﾘｽﾄ(4～3月)'!H$26:H$965)</f>
        <v>0</v>
      </c>
      <c r="F15" s="157">
        <f>SUMIF('内訳ﾘｽﾄ(4～3月)'!$D$26:$D$965,$B15,'内訳ﾘｽﾄ(4～3月)'!I$26:I$965)</f>
        <v>0</v>
      </c>
      <c r="G15" s="157">
        <f>SUMIF('内訳ﾘｽﾄ(4～3月)'!$D$26:$D$965,$B15,'内訳ﾘｽﾄ(4～3月)'!J$26:J$965)</f>
        <v>0</v>
      </c>
      <c r="H15" s="157">
        <f>SUMIF('内訳ﾘｽﾄ(4～3月)'!$D$26:$D$965,$B15,'内訳ﾘｽﾄ(4～3月)'!K$26:K$965)</f>
        <v>0</v>
      </c>
      <c r="I15" s="157">
        <f>SUMIF('内訳ﾘｽﾄ(4～3月)'!$D$26:$D$965,$B15,'内訳ﾘｽﾄ(4～3月)'!L$26:L$965)</f>
        <v>0</v>
      </c>
      <c r="J15" s="157">
        <f>SUMIF('内訳ﾘｽﾄ(4～3月)'!$D$26:$D$965,$B15,'内訳ﾘｽﾄ(4～3月)'!M$26:M$965)</f>
        <v>0</v>
      </c>
      <c r="K15" s="157">
        <f>SUMIF('内訳ﾘｽﾄ(4～3月)'!$D$26:$D$965,$B15,'内訳ﾘｽﾄ(4～3月)'!N$26:N$965)</f>
        <v>0</v>
      </c>
      <c r="L15" s="157">
        <f>SUMIF('内訳ﾘｽﾄ(4～3月)'!$D$26:$D$965,$B15,'内訳ﾘｽﾄ(4～3月)'!O$26:O$965)</f>
        <v>0</v>
      </c>
      <c r="M15" s="157">
        <f>SUMIF('内訳ﾘｽﾄ(4～3月)'!$D$26:$D$965,$B15,'内訳ﾘｽﾄ(4～3月)'!P$26:P$965)</f>
        <v>0</v>
      </c>
      <c r="N15" s="157">
        <f>SUMIF('内訳ﾘｽﾄ(4～3月)'!$D$26:$D$965,$B15,'内訳ﾘｽﾄ(4～3月)'!Q$26:Q$965)</f>
        <v>0</v>
      </c>
      <c r="O15" s="157">
        <f>SUMIF('内訳ﾘｽﾄ(4～3月)'!$D$26:$D$764,'採算表(VND)'!$B15,'内訳ﾘｽﾄ(4～3月)'!R$26:R$764)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SUMIF('内訳ﾘｽﾄ(4～3月)'!$D$26:$D$965,$B16,'内訳ﾘｽﾄ(4～3月)'!F$26:F$965)</f>
        <v>0</v>
      </c>
      <c r="D16" s="157">
        <f>SUMIF('内訳ﾘｽﾄ(4～3月)'!$D$26:$D$965,$B16,'内訳ﾘｽﾄ(4～3月)'!G$26:G$965)</f>
        <v>0</v>
      </c>
      <c r="E16" s="157">
        <f>SUMIF('内訳ﾘｽﾄ(4～3月)'!$D$26:$D$965,$B16,'内訳ﾘｽﾄ(4～3月)'!H$26:H$965)</f>
        <v>0</v>
      </c>
      <c r="F16" s="157">
        <f>SUMIF('内訳ﾘｽﾄ(4～3月)'!$D$26:$D$965,$B16,'内訳ﾘｽﾄ(4～3月)'!I$26:I$965)</f>
        <v>0</v>
      </c>
      <c r="G16" s="157">
        <f>SUMIF('内訳ﾘｽﾄ(4～3月)'!$D$26:$D$965,$B16,'内訳ﾘｽﾄ(4～3月)'!J$26:J$965)</f>
        <v>0</v>
      </c>
      <c r="H16" s="157">
        <f>SUMIF('内訳ﾘｽﾄ(4～3月)'!$D$26:$D$965,$B16,'内訳ﾘｽﾄ(4～3月)'!K$26:K$965)</f>
        <v>0</v>
      </c>
      <c r="I16" s="157">
        <f>SUMIF('内訳ﾘｽﾄ(4～3月)'!$D$26:$D$965,$B16,'内訳ﾘｽﾄ(4～3月)'!L$26:L$965)</f>
        <v>0</v>
      </c>
      <c r="J16" s="157">
        <f>SUMIF('内訳ﾘｽﾄ(4～3月)'!$D$26:$D$965,$B16,'内訳ﾘｽﾄ(4～3月)'!M$26:M$965)</f>
        <v>0</v>
      </c>
      <c r="K16" s="157">
        <f>SUMIF('内訳ﾘｽﾄ(4～3月)'!$D$26:$D$965,$B16,'内訳ﾘｽﾄ(4～3月)'!N$26:N$965)</f>
        <v>0</v>
      </c>
      <c r="L16" s="157">
        <f>SUMIF('内訳ﾘｽﾄ(4～3月)'!$D$26:$D$965,$B16,'内訳ﾘｽﾄ(4～3月)'!O$26:O$965)</f>
        <v>0</v>
      </c>
      <c r="M16" s="157">
        <f>SUMIF('内訳ﾘｽﾄ(4～3月)'!$D$26:$D$965,$B16,'内訳ﾘｽﾄ(4～3月)'!P$26:P$965)</f>
        <v>0</v>
      </c>
      <c r="N16" s="157">
        <f>SUMIF('内訳ﾘｽﾄ(4～3月)'!$D$26:$D$965,$B16,'内訳ﾘｽﾄ(4～3月)'!Q$26:Q$965)</f>
        <v>0</v>
      </c>
      <c r="O16" s="157">
        <f>SUMIF('内訳ﾘｽﾄ(4～3月)'!$D$26:$D$764,'採算表(VND)'!$B16,'内訳ﾘｽﾄ(4～3月)'!R$26:R$764)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SUMIF('内訳ﾘｽﾄ(4～3月)'!$D$26:$D$965,$B17,'内訳ﾘｽﾄ(4～3月)'!F$26:F$965)</f>
        <v>0</v>
      </c>
      <c r="D17" s="158">
        <f>SUMIF('内訳ﾘｽﾄ(4～3月)'!$D$26:$D$965,$B17,'内訳ﾘｽﾄ(4～3月)'!G$26:G$965)</f>
        <v>0</v>
      </c>
      <c r="E17" s="158">
        <f>SUMIF('内訳ﾘｽﾄ(4～3月)'!$D$26:$D$965,$B17,'内訳ﾘｽﾄ(4～3月)'!H$26:H$965)</f>
        <v>0</v>
      </c>
      <c r="F17" s="158">
        <f>SUMIF('内訳ﾘｽﾄ(4～3月)'!$D$26:$D$965,$B17,'内訳ﾘｽﾄ(4～3月)'!I$26:I$965)</f>
        <v>0</v>
      </c>
      <c r="G17" s="158">
        <f>SUMIF('内訳ﾘｽﾄ(4～3月)'!$D$26:$D$965,$B17,'内訳ﾘｽﾄ(4～3月)'!J$26:J$965)</f>
        <v>0</v>
      </c>
      <c r="H17" s="158">
        <f>SUMIF('内訳ﾘｽﾄ(4～3月)'!$D$26:$D$965,$B17,'内訳ﾘｽﾄ(4～3月)'!K$26:K$965)</f>
        <v>0</v>
      </c>
      <c r="I17" s="158">
        <f>SUMIF('内訳ﾘｽﾄ(4～3月)'!$D$26:$D$965,$B17,'内訳ﾘｽﾄ(4～3月)'!L$26:L$965)</f>
        <v>0</v>
      </c>
      <c r="J17" s="158">
        <f>SUMIF('内訳ﾘｽﾄ(4～3月)'!$D$26:$D$965,$B17,'内訳ﾘｽﾄ(4～3月)'!M$26:M$965)</f>
        <v>0</v>
      </c>
      <c r="K17" s="158">
        <f>SUMIF('内訳ﾘｽﾄ(4～3月)'!$D$26:$D$965,$B17,'内訳ﾘｽﾄ(4～3月)'!N$26:N$965)</f>
        <v>0</v>
      </c>
      <c r="L17" s="158">
        <f>SUMIF('内訳ﾘｽﾄ(4～3月)'!$D$26:$D$965,$B17,'内訳ﾘｽﾄ(4～3月)'!O$26:O$965)</f>
        <v>0</v>
      </c>
      <c r="M17" s="158">
        <f>SUMIF('内訳ﾘｽﾄ(4～3月)'!$D$26:$D$965,$B17,'内訳ﾘｽﾄ(4～3月)'!P$26:P$965)</f>
        <v>0</v>
      </c>
      <c r="N17" s="158">
        <f>SUMIF('内訳ﾘｽﾄ(4～3月)'!$D$26:$D$965,$B17,'内訳ﾘｽﾄ(4～3月)'!Q$26:Q$965)</f>
        <v>0</v>
      </c>
      <c r="O17" s="158">
        <f>SUMIF('内訳ﾘｽﾄ(4～3月)'!$D$26:$D$764,'採算表(VND)'!$B17,'内訳ﾘｽﾄ(4～3月)'!R$26:R$764)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SUMIF('内訳ﾘｽﾄ(4～3月)'!$D$26:$D$965,$B18,'内訳ﾘｽﾄ(4～3月)'!F$26:F$965)</f>
        <v>0</v>
      </c>
      <c r="D18" s="158">
        <f>SUMIF('内訳ﾘｽﾄ(4～3月)'!$D$26:$D$965,$B18,'内訳ﾘｽﾄ(4～3月)'!G$26:G$965)</f>
        <v>0</v>
      </c>
      <c r="E18" s="158">
        <f>SUMIF('内訳ﾘｽﾄ(4～3月)'!$D$26:$D$965,$B18,'内訳ﾘｽﾄ(4～3月)'!H$26:H$965)</f>
        <v>0</v>
      </c>
      <c r="F18" s="158">
        <f>SUMIF('内訳ﾘｽﾄ(4～3月)'!$D$26:$D$965,$B18,'内訳ﾘｽﾄ(4～3月)'!I$26:I$965)</f>
        <v>0</v>
      </c>
      <c r="G18" s="158">
        <f>SUMIF('内訳ﾘｽﾄ(4～3月)'!$D$26:$D$965,$B18,'内訳ﾘｽﾄ(4～3月)'!J$26:J$965)</f>
        <v>0</v>
      </c>
      <c r="H18" s="158">
        <f>SUMIF('内訳ﾘｽﾄ(4～3月)'!$D$26:$D$965,$B18,'内訳ﾘｽﾄ(4～3月)'!K$26:K$965)</f>
        <v>0</v>
      </c>
      <c r="I18" s="158">
        <f>SUMIF('内訳ﾘｽﾄ(4～3月)'!$D$26:$D$965,$B18,'内訳ﾘｽﾄ(4～3月)'!L$26:L$965)</f>
        <v>0</v>
      </c>
      <c r="J18" s="158">
        <f>SUMIF('内訳ﾘｽﾄ(4～3月)'!$D$26:$D$965,$B18,'内訳ﾘｽﾄ(4～3月)'!M$26:M$965)</f>
        <v>0</v>
      </c>
      <c r="K18" s="158">
        <f>SUMIF('内訳ﾘｽﾄ(4～3月)'!$D$26:$D$965,$B18,'内訳ﾘｽﾄ(4～3月)'!N$26:N$965)</f>
        <v>0</v>
      </c>
      <c r="L18" s="158">
        <f>SUMIF('内訳ﾘｽﾄ(4～3月)'!$D$26:$D$965,$B18,'内訳ﾘｽﾄ(4～3月)'!O$26:O$965)</f>
        <v>0</v>
      </c>
      <c r="M18" s="158">
        <f>SUMIF('内訳ﾘｽﾄ(4～3月)'!$D$26:$D$965,$B18,'内訳ﾘｽﾄ(4～3月)'!P$26:P$965)</f>
        <v>0</v>
      </c>
      <c r="N18" s="158">
        <f>SUMIF('内訳ﾘｽﾄ(4～3月)'!$D$26:$D$965,$B18,'内訳ﾘｽﾄ(4～3月)'!Q$26:Q$965)</f>
        <v>0</v>
      </c>
      <c r="O18" s="158">
        <f>SUMIF('内訳ﾘｽﾄ(4～3月)'!$D$26:$D$764,'採算表(VND)'!$B18,'内訳ﾘｽﾄ(4～3月)'!R$26:R$764)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SUMIF('内訳ﾘｽﾄ(4～3月)'!$D$26:$D$965,$B19,'内訳ﾘｽﾄ(4～3月)'!F$26:F$965)</f>
        <v>0</v>
      </c>
      <c r="D19" s="158">
        <f>SUMIF('内訳ﾘｽﾄ(4～3月)'!$D$26:$D$965,$B19,'内訳ﾘｽﾄ(4～3月)'!G$26:G$965)</f>
        <v>0</v>
      </c>
      <c r="E19" s="158">
        <f>SUMIF('内訳ﾘｽﾄ(4～3月)'!$D$26:$D$965,$B19,'内訳ﾘｽﾄ(4～3月)'!H$26:H$965)</f>
        <v>0</v>
      </c>
      <c r="F19" s="158">
        <f>SUMIF('内訳ﾘｽﾄ(4～3月)'!$D$26:$D$965,$B19,'内訳ﾘｽﾄ(4～3月)'!I$26:I$965)</f>
        <v>0</v>
      </c>
      <c r="G19" s="158">
        <f>SUMIF('内訳ﾘｽﾄ(4～3月)'!$D$26:$D$965,$B19,'内訳ﾘｽﾄ(4～3月)'!J$26:J$965)</f>
        <v>0</v>
      </c>
      <c r="H19" s="158">
        <f>SUMIF('内訳ﾘｽﾄ(4～3月)'!$D$26:$D$965,$B19,'内訳ﾘｽﾄ(4～3月)'!K$26:K$965)</f>
        <v>0</v>
      </c>
      <c r="I19" s="158">
        <f>SUMIF('内訳ﾘｽﾄ(4～3月)'!$D$26:$D$965,$B19,'内訳ﾘｽﾄ(4～3月)'!L$26:L$965)</f>
        <v>0</v>
      </c>
      <c r="J19" s="158">
        <f>SUMIF('内訳ﾘｽﾄ(4～3月)'!$D$26:$D$965,$B19,'内訳ﾘｽﾄ(4～3月)'!M$26:M$965)</f>
        <v>0</v>
      </c>
      <c r="K19" s="158">
        <f>SUMIF('内訳ﾘｽﾄ(4～3月)'!$D$26:$D$965,$B19,'内訳ﾘｽﾄ(4～3月)'!N$26:N$965)</f>
        <v>0</v>
      </c>
      <c r="L19" s="158">
        <f>SUMIF('内訳ﾘｽﾄ(4～3月)'!$D$26:$D$965,$B19,'内訳ﾘｽﾄ(4～3月)'!O$26:O$965)</f>
        <v>0</v>
      </c>
      <c r="M19" s="158">
        <f>SUMIF('内訳ﾘｽﾄ(4～3月)'!$D$26:$D$965,$B19,'内訳ﾘｽﾄ(4～3月)'!P$26:P$965)</f>
        <v>0</v>
      </c>
      <c r="N19" s="158">
        <f>SUMIF('内訳ﾘｽﾄ(4～3月)'!$D$26:$D$965,$B19,'内訳ﾘｽﾄ(4～3月)'!Q$26:Q$965)</f>
        <v>0</v>
      </c>
      <c r="O19" s="158">
        <f>SUMIF('内訳ﾘｽﾄ(4～3月)'!$D$26:$D$764,'採算表(VND)'!$B19,'内訳ﾘｽﾄ(4～3月)'!R$26:R$764)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SUMIF('内訳ﾘｽﾄ(4～3月)'!$D$26:$D$965,$B20,'内訳ﾘｽﾄ(4～3月)'!F$26:F$965)</f>
        <v>3079299</v>
      </c>
      <c r="D20" s="158">
        <f>SUMIF('内訳ﾘｽﾄ(4～3月)'!$D$26:$D$965,$B20,'内訳ﾘｽﾄ(4～3月)'!G$26:G$965)</f>
        <v>3572881</v>
      </c>
      <c r="E20" s="158">
        <f>SUMIF('内訳ﾘｽﾄ(4～3月)'!$D$26:$D$965,$B20,'内訳ﾘｽﾄ(4～3月)'!H$26:H$965)</f>
        <v>3573896</v>
      </c>
      <c r="F20" s="158">
        <f>SUMIF('内訳ﾘｽﾄ(4～3月)'!$D$26:$D$965,$B20,'内訳ﾘｽﾄ(4～3月)'!I$26:I$965)</f>
        <v>3570088</v>
      </c>
      <c r="G20" s="158">
        <f>SUMIF('内訳ﾘｽﾄ(4～3月)'!$D$26:$D$965,$B20,'内訳ﾘｽﾄ(4～3月)'!J$26:J$965)</f>
        <v>3568818</v>
      </c>
      <c r="H20" s="158">
        <f>SUMIF('内訳ﾘｽﾄ(4～3月)'!$D$26:$D$965,$B20,'内訳ﾘｽﾄ(4～3月)'!K$26:K$965)</f>
        <v>3513723</v>
      </c>
      <c r="I20" s="158">
        <f>SUMIF('内訳ﾘｽﾄ(4～3月)'!$D$26:$D$965,$B20,'内訳ﾘｽﾄ(4～3月)'!L$26:L$965)</f>
        <v>3497727</v>
      </c>
      <c r="J20" s="158">
        <f>SUMIF('内訳ﾘｽﾄ(4～3月)'!$D$26:$D$965,$B20,'内訳ﾘｽﾄ(4～3月)'!M$26:M$965)</f>
        <v>3497219</v>
      </c>
      <c r="K20" s="158">
        <f>SUMIF('内訳ﾘｽﾄ(4～3月)'!$D$26:$D$965,$B20,'内訳ﾘｽﾄ(4～3月)'!N$26:N$965)</f>
        <v>3497473</v>
      </c>
      <c r="L20" s="158">
        <f>SUMIF('内訳ﾘｽﾄ(4～3月)'!$D$26:$D$965,$B20,'内訳ﾘｽﾄ(4～3月)'!O$26:O$965)</f>
        <v>3496203</v>
      </c>
      <c r="M20" s="158">
        <f>SUMIF('内訳ﾘｽﾄ(4～3月)'!$D$26:$D$965,$B20,'内訳ﾘｽﾄ(4～3月)'!P$26:P$965)</f>
        <v>3494172</v>
      </c>
      <c r="N20" s="158">
        <f>SUMIF('内訳ﾘｽﾄ(4～3月)'!$D$26:$D$965,$B20,'内訳ﾘｽﾄ(4～3月)'!Q$26:Q$965)</f>
        <v>3496457</v>
      </c>
      <c r="O20" s="158">
        <f>SUMIF('内訳ﾘｽﾄ(4～3月)'!$D$26:$D$764,'採算表(VND)'!$B20,'内訳ﾘｽﾄ(4～3月)'!R$26:R$764)</f>
        <v>41857956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SUMIF('内訳ﾘｽﾄ(4～3月)'!$D$26:$D$965,$B21,'内訳ﾘｽﾄ(4～3月)'!F$26:F$965)</f>
        <v>0</v>
      </c>
      <c r="D21" s="158">
        <f>SUMIF('内訳ﾘｽﾄ(4～3月)'!$D$26:$D$965,$B21,'内訳ﾘｽﾄ(4～3月)'!G$26:G$965)</f>
        <v>0</v>
      </c>
      <c r="E21" s="158">
        <f>SUMIF('内訳ﾘｽﾄ(4～3月)'!$D$26:$D$965,$B21,'内訳ﾘｽﾄ(4～3月)'!H$26:H$965)</f>
        <v>0</v>
      </c>
      <c r="F21" s="158">
        <f>SUMIF('内訳ﾘｽﾄ(4～3月)'!$D$26:$D$965,$B21,'内訳ﾘｽﾄ(4～3月)'!I$26:I$965)</f>
        <v>0</v>
      </c>
      <c r="G21" s="158">
        <f>SUMIF('内訳ﾘｽﾄ(4～3月)'!$D$26:$D$965,$B21,'内訳ﾘｽﾄ(4～3月)'!J$26:J$965)</f>
        <v>0</v>
      </c>
      <c r="H21" s="158">
        <f>SUMIF('内訳ﾘｽﾄ(4～3月)'!$D$26:$D$965,$B21,'内訳ﾘｽﾄ(4～3月)'!K$26:K$965)</f>
        <v>0</v>
      </c>
      <c r="I21" s="158">
        <f>SUMIF('内訳ﾘｽﾄ(4～3月)'!$D$26:$D$965,$B21,'内訳ﾘｽﾄ(4～3月)'!L$26:L$965)</f>
        <v>0</v>
      </c>
      <c r="J21" s="158">
        <f>SUMIF('内訳ﾘｽﾄ(4～3月)'!$D$26:$D$965,$B21,'内訳ﾘｽﾄ(4～3月)'!M$26:M$965)</f>
        <v>0</v>
      </c>
      <c r="K21" s="158">
        <f>SUMIF('内訳ﾘｽﾄ(4～3月)'!$D$26:$D$965,$B21,'内訳ﾘｽﾄ(4～3月)'!N$26:N$965)</f>
        <v>0</v>
      </c>
      <c r="L21" s="158">
        <f>SUMIF('内訳ﾘｽﾄ(4～3月)'!$D$26:$D$965,$B21,'内訳ﾘｽﾄ(4～3月)'!O$26:O$965)</f>
        <v>0</v>
      </c>
      <c r="M21" s="158">
        <f>SUMIF('内訳ﾘｽﾄ(4～3月)'!$D$26:$D$965,$B21,'内訳ﾘｽﾄ(4～3月)'!P$26:P$965)</f>
        <v>0</v>
      </c>
      <c r="N21" s="158">
        <f>SUMIF('内訳ﾘｽﾄ(4～3月)'!$D$26:$D$965,$B21,'内訳ﾘｽﾄ(4～3月)'!Q$26:Q$965)</f>
        <v>0</v>
      </c>
      <c r="O21" s="158">
        <f>SUMIF('内訳ﾘｽﾄ(4～3月)'!$D$26:$D$764,'採算表(VND)'!$B21,'内訳ﾘｽﾄ(4～3月)'!R$26:R$764)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SUMIF('内訳ﾘｽﾄ(4～3月)'!$D$26:$D$965,$B22,'内訳ﾘｽﾄ(4～3月)'!F$26:F$965)</f>
        <v>0</v>
      </c>
      <c r="D22" s="158">
        <f>SUMIF('内訳ﾘｽﾄ(4～3月)'!$D$26:$D$965,$B22,'内訳ﾘｽﾄ(4～3月)'!G$26:G$965)</f>
        <v>0</v>
      </c>
      <c r="E22" s="158">
        <f>SUMIF('内訳ﾘｽﾄ(4～3月)'!$D$26:$D$965,$B22,'内訳ﾘｽﾄ(4～3月)'!H$26:H$965)</f>
        <v>0</v>
      </c>
      <c r="F22" s="158">
        <f>SUMIF('内訳ﾘｽﾄ(4～3月)'!$D$26:$D$965,$B22,'内訳ﾘｽﾄ(4～3月)'!I$26:I$965)</f>
        <v>0</v>
      </c>
      <c r="G22" s="158">
        <f>SUMIF('内訳ﾘｽﾄ(4～3月)'!$D$26:$D$965,$B22,'内訳ﾘｽﾄ(4～3月)'!J$26:J$965)</f>
        <v>0</v>
      </c>
      <c r="H22" s="158">
        <f>SUMIF('内訳ﾘｽﾄ(4～3月)'!$D$26:$D$965,$B22,'内訳ﾘｽﾄ(4～3月)'!K$26:K$965)</f>
        <v>0</v>
      </c>
      <c r="I22" s="158">
        <f>SUMIF('内訳ﾘｽﾄ(4～3月)'!$D$26:$D$965,$B22,'内訳ﾘｽﾄ(4～3月)'!L$26:L$965)</f>
        <v>0</v>
      </c>
      <c r="J22" s="158">
        <f>SUMIF('内訳ﾘｽﾄ(4～3月)'!$D$26:$D$965,$B22,'内訳ﾘｽﾄ(4～3月)'!M$26:M$965)</f>
        <v>0</v>
      </c>
      <c r="K22" s="158">
        <f>SUMIF('内訳ﾘｽﾄ(4～3月)'!$D$26:$D$965,$B22,'内訳ﾘｽﾄ(4～3月)'!N$26:N$965)</f>
        <v>0</v>
      </c>
      <c r="L22" s="158">
        <f>SUMIF('内訳ﾘｽﾄ(4～3月)'!$D$26:$D$965,$B22,'内訳ﾘｽﾄ(4～3月)'!O$26:O$965)</f>
        <v>0</v>
      </c>
      <c r="M22" s="158">
        <f>SUMIF('内訳ﾘｽﾄ(4～3月)'!$D$26:$D$965,$B22,'内訳ﾘｽﾄ(4～3月)'!P$26:P$965)</f>
        <v>0</v>
      </c>
      <c r="N22" s="158">
        <f>SUMIF('内訳ﾘｽﾄ(4～3月)'!$D$26:$D$965,$B22,'内訳ﾘｽﾄ(4～3月)'!Q$26:Q$965)</f>
        <v>0</v>
      </c>
      <c r="O22" s="158">
        <f>SUMIF('内訳ﾘｽﾄ(4～3月)'!$D$26:$D$764,'採算表(VND)'!$B22,'内訳ﾘｽﾄ(4～3月)'!R$26:R$764)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SUMIF('内訳ﾘｽﾄ(4～3月)'!$D$26:$D$965,$B23,'内訳ﾘｽﾄ(4～3月)'!F$26:F$965)</f>
        <v>0</v>
      </c>
      <c r="D23" s="158">
        <f>SUMIF('内訳ﾘｽﾄ(4～3月)'!$D$26:$D$965,$B23,'内訳ﾘｽﾄ(4～3月)'!G$26:G$965)</f>
        <v>94887000</v>
      </c>
      <c r="E23" s="158">
        <f>SUMIF('内訳ﾘｽﾄ(4～3月)'!$D$26:$D$965,$B23,'内訳ﾘｽﾄ(4～3月)'!H$26:H$965)</f>
        <v>0</v>
      </c>
      <c r="F23" s="158">
        <f>SUMIF('内訳ﾘｽﾄ(4～3月)'!$D$26:$D$965,$B23,'内訳ﾘｽﾄ(4～3月)'!I$26:I$965)</f>
        <v>0</v>
      </c>
      <c r="G23" s="158">
        <f>SUMIF('内訳ﾘｽﾄ(4～3月)'!$D$26:$D$965,$B23,'内訳ﾘｽﾄ(4～3月)'!J$26:J$965)</f>
        <v>0</v>
      </c>
      <c r="H23" s="158">
        <f>SUMIF('内訳ﾘｽﾄ(4～3月)'!$D$26:$D$965,$B23,'内訳ﾘｽﾄ(4～3月)'!K$26:K$965)</f>
        <v>0</v>
      </c>
      <c r="I23" s="158">
        <f>SUMIF('内訳ﾘｽﾄ(4～3月)'!$D$26:$D$965,$B23,'内訳ﾘｽﾄ(4～3月)'!L$26:L$965)</f>
        <v>0</v>
      </c>
      <c r="J23" s="158">
        <f>SUMIF('内訳ﾘｽﾄ(4～3月)'!$D$26:$D$965,$B23,'内訳ﾘｽﾄ(4～3月)'!M$26:M$965)</f>
        <v>0</v>
      </c>
      <c r="K23" s="158">
        <f>SUMIF('内訳ﾘｽﾄ(4～3月)'!$D$26:$D$965,$B23,'内訳ﾘｽﾄ(4～3月)'!N$26:N$965)</f>
        <v>0</v>
      </c>
      <c r="L23" s="158">
        <f>SUMIF('内訳ﾘｽﾄ(4～3月)'!$D$26:$D$965,$B23,'内訳ﾘｽﾄ(4～3月)'!O$26:O$965)</f>
        <v>0</v>
      </c>
      <c r="M23" s="158">
        <f>SUMIF('内訳ﾘｽﾄ(4～3月)'!$D$26:$D$965,$B23,'内訳ﾘｽﾄ(4～3月)'!P$26:P$965)</f>
        <v>0</v>
      </c>
      <c r="N23" s="158">
        <f>SUMIF('内訳ﾘｽﾄ(4～3月)'!$D$26:$D$965,$B23,'内訳ﾘｽﾄ(4～3月)'!Q$26:Q$965)</f>
        <v>0</v>
      </c>
      <c r="O23" s="158">
        <f>SUMIF('内訳ﾘｽﾄ(4～3月)'!$D$26:$D$764,'採算表(VND)'!$B23,'内訳ﾘｽﾄ(4～3月)'!R$26:R$764)</f>
        <v>94887000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SUMIF('内訳ﾘｽﾄ(4～3月)'!$D$26:$D$965,$B24,'内訳ﾘｽﾄ(4～3月)'!F$26:F$965)</f>
        <v>0</v>
      </c>
      <c r="D24" s="158">
        <f>SUMIF('内訳ﾘｽﾄ(4～3月)'!$D$26:$D$965,$B24,'内訳ﾘｽﾄ(4～3月)'!G$26:G$965)</f>
        <v>0</v>
      </c>
      <c r="E24" s="158">
        <f>SUMIF('内訳ﾘｽﾄ(4～3月)'!$D$26:$D$965,$B24,'内訳ﾘｽﾄ(4～3月)'!H$26:H$965)</f>
        <v>0</v>
      </c>
      <c r="F24" s="158">
        <f>SUMIF('内訳ﾘｽﾄ(4～3月)'!$D$26:$D$965,$B24,'内訳ﾘｽﾄ(4～3月)'!I$26:I$965)</f>
        <v>0</v>
      </c>
      <c r="G24" s="158">
        <f>SUMIF('内訳ﾘｽﾄ(4～3月)'!$D$26:$D$965,$B24,'内訳ﾘｽﾄ(4～3月)'!J$26:J$965)</f>
        <v>0</v>
      </c>
      <c r="H24" s="158">
        <f>SUMIF('内訳ﾘｽﾄ(4～3月)'!$D$26:$D$965,$B24,'内訳ﾘｽﾄ(4～3月)'!K$26:K$965)</f>
        <v>0</v>
      </c>
      <c r="I24" s="158">
        <f>SUMIF('内訳ﾘｽﾄ(4～3月)'!$D$26:$D$965,$B24,'内訳ﾘｽﾄ(4～3月)'!L$26:L$965)</f>
        <v>0</v>
      </c>
      <c r="J24" s="158">
        <f>SUMIF('内訳ﾘｽﾄ(4～3月)'!$D$26:$D$965,$B24,'内訳ﾘｽﾄ(4～3月)'!M$26:M$965)</f>
        <v>0</v>
      </c>
      <c r="K24" s="158">
        <f>SUMIF('内訳ﾘｽﾄ(4～3月)'!$D$26:$D$965,$B24,'内訳ﾘｽﾄ(4～3月)'!N$26:N$965)</f>
        <v>0</v>
      </c>
      <c r="L24" s="158">
        <f>SUMIF('内訳ﾘｽﾄ(4～3月)'!$D$26:$D$965,$B24,'内訳ﾘｽﾄ(4～3月)'!O$26:O$965)</f>
        <v>0</v>
      </c>
      <c r="M24" s="158">
        <f>SUMIF('内訳ﾘｽﾄ(4～3月)'!$D$26:$D$965,$B24,'内訳ﾘｽﾄ(4～3月)'!P$26:P$965)</f>
        <v>0</v>
      </c>
      <c r="N24" s="158">
        <f>SUMIF('内訳ﾘｽﾄ(4～3月)'!$D$26:$D$965,$B24,'内訳ﾘｽﾄ(4～3月)'!Q$26:Q$965)</f>
        <v>0</v>
      </c>
      <c r="O24" s="158">
        <f>SUMIF('内訳ﾘｽﾄ(4～3月)'!$D$26:$D$764,'採算表(VND)'!$B24,'内訳ﾘｽﾄ(4～3月)'!R$26:R$764)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SUMIF('内訳ﾘｽﾄ(4～3月)'!$D$26:$D$965,$B25,'内訳ﾘｽﾄ(4～3月)'!F$26:F$965)</f>
        <v>117276</v>
      </c>
      <c r="D25" s="158">
        <f>SUMIF('内訳ﾘｽﾄ(4～3月)'!$D$26:$D$965,$B25,'内訳ﾘｽﾄ(4～3月)'!G$26:G$965)</f>
        <v>132062</v>
      </c>
      <c r="E25" s="158">
        <f>SUMIF('内訳ﾘｽﾄ(4～3月)'!$D$26:$D$965,$B25,'内訳ﾘｽﾄ(4～3月)'!H$26:H$965)</f>
        <v>143906</v>
      </c>
      <c r="F25" s="158">
        <f>SUMIF('内訳ﾘｽﾄ(4～3月)'!$D$26:$D$965,$B25,'内訳ﾘｽﾄ(4～3月)'!I$26:I$965)</f>
        <v>155757</v>
      </c>
      <c r="G25" s="158">
        <f>SUMIF('内訳ﾘｽﾄ(4～3月)'!$D$26:$D$965,$B25,'内訳ﾘｽﾄ(4～3月)'!J$26:J$965)</f>
        <v>136388</v>
      </c>
      <c r="H25" s="158">
        <f>SUMIF('内訳ﾘｽﾄ(4～3月)'!$D$26:$D$965,$B25,'内訳ﾘｽﾄ(4～3月)'!K$26:K$965)</f>
        <v>130151</v>
      </c>
      <c r="I25" s="158">
        <f>SUMIF('内訳ﾘｽﾄ(4～3月)'!$D$26:$D$965,$B25,'内訳ﾘｽﾄ(4～3月)'!L$26:L$965)</f>
        <v>155687</v>
      </c>
      <c r="J25" s="158">
        <f>SUMIF('内訳ﾘｽﾄ(4～3月)'!$D$26:$D$965,$B25,'内訳ﾘｽﾄ(4～3月)'!M$26:M$965)</f>
        <v>136745</v>
      </c>
      <c r="K25" s="158">
        <f>SUMIF('内訳ﾘｽﾄ(4～3月)'!$D$26:$D$965,$B25,'内訳ﾘｽﾄ(4～3月)'!N$26:N$965)</f>
        <v>149646</v>
      </c>
      <c r="L25" s="158">
        <f>SUMIF('内訳ﾘｽﾄ(4～3月)'!$D$26:$D$965,$B25,'内訳ﾘｽﾄ(4～3月)'!O$26:O$965)</f>
        <v>136689</v>
      </c>
      <c r="M25" s="158">
        <f>SUMIF('内訳ﾘｽﾄ(4～3月)'!$D$26:$D$965,$B25,'内訳ﾘｽﾄ(4～3月)'!P$26:P$965)</f>
        <v>105063</v>
      </c>
      <c r="N25" s="158">
        <f>SUMIF('内訳ﾘｽﾄ(4～3月)'!$D$26:$D$965,$B25,'内訳ﾘｽﾄ(4～3月)'!Q$26:Q$965)</f>
        <v>136640</v>
      </c>
      <c r="O25" s="158">
        <f>SUMIF('内訳ﾘｽﾄ(4～3月)'!$D$26:$D$764,'採算表(VND)'!$B25,'内訳ﾘｽﾄ(4～3月)'!R$26:R$764)</f>
        <v>1636010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SUMIF('内訳ﾘｽﾄ(4～3月)'!$D$26:$D$965,$B26,'内訳ﾘｽﾄ(4～3月)'!F$26:F$965)</f>
        <v>0</v>
      </c>
      <c r="D26" s="158">
        <f>SUMIF('内訳ﾘｽﾄ(4～3月)'!$D$26:$D$965,$B26,'内訳ﾘｽﾄ(4～3月)'!G$26:G$965)</f>
        <v>0</v>
      </c>
      <c r="E26" s="158">
        <f>SUMIF('内訳ﾘｽﾄ(4～3月)'!$D$26:$D$965,$B26,'内訳ﾘｽﾄ(4～3月)'!H$26:H$965)</f>
        <v>62400000</v>
      </c>
      <c r="F26" s="158">
        <f>SUMIF('内訳ﾘｽﾄ(4～3月)'!$D$26:$D$965,$B26,'内訳ﾘｽﾄ(4～3月)'!I$26:I$965)</f>
        <v>0</v>
      </c>
      <c r="G26" s="158">
        <f>SUMIF('内訳ﾘｽﾄ(4～3月)'!$D$26:$D$965,$B26,'内訳ﾘｽﾄ(4～3月)'!J$26:J$965)</f>
        <v>0</v>
      </c>
      <c r="H26" s="158">
        <f>SUMIF('内訳ﾘｽﾄ(4～3月)'!$D$26:$D$965,$B26,'内訳ﾘｽﾄ(4～3月)'!K$26:K$965)</f>
        <v>0</v>
      </c>
      <c r="I26" s="158">
        <f>SUMIF('内訳ﾘｽﾄ(4～3月)'!$D$26:$D$965,$B26,'内訳ﾘｽﾄ(4～3月)'!L$26:L$965)</f>
        <v>0</v>
      </c>
      <c r="J26" s="158">
        <f>SUMIF('内訳ﾘｽﾄ(4～3月)'!$D$26:$D$965,$B26,'内訳ﾘｽﾄ(4～3月)'!M$26:M$965)</f>
        <v>0</v>
      </c>
      <c r="K26" s="158">
        <f>SUMIF('内訳ﾘｽﾄ(4～3月)'!$D$26:$D$965,$B26,'内訳ﾘｽﾄ(4～3月)'!N$26:N$965)</f>
        <v>0</v>
      </c>
      <c r="L26" s="158">
        <f>SUMIF('内訳ﾘｽﾄ(4～3月)'!$D$26:$D$965,$B26,'内訳ﾘｽﾄ(4～3月)'!O$26:O$965)</f>
        <v>0</v>
      </c>
      <c r="M26" s="158">
        <f>SUMIF('内訳ﾘｽﾄ(4～3月)'!$D$26:$D$965,$B26,'内訳ﾘｽﾄ(4～3月)'!P$26:P$965)</f>
        <v>0</v>
      </c>
      <c r="N26" s="158">
        <f>SUMIF('内訳ﾘｽﾄ(4～3月)'!$D$26:$D$965,$B26,'内訳ﾘｽﾄ(4～3月)'!Q$26:Q$965)</f>
        <v>0</v>
      </c>
      <c r="O26" s="158">
        <f>SUMIF('内訳ﾘｽﾄ(4～3月)'!$D$26:$D$764,'採算表(VND)'!$B26,'内訳ﾘｽﾄ(4～3月)'!R$26:R$764)</f>
        <v>62400000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SUMIF('内訳ﾘｽﾄ(4～3月)'!$D$26:$D$965,$B27,'内訳ﾘｽﾄ(4～3月)'!F$26:F$965)</f>
        <v>0</v>
      </c>
      <c r="D27" s="158">
        <f>SUMIF('内訳ﾘｽﾄ(4～3月)'!$D$26:$D$965,$B27,'内訳ﾘｽﾄ(4～3月)'!G$26:G$965)</f>
        <v>0</v>
      </c>
      <c r="E27" s="158">
        <f>SUMIF('内訳ﾘｽﾄ(4～3月)'!$D$26:$D$965,$B27,'内訳ﾘｽﾄ(4～3月)'!H$26:H$965)</f>
        <v>0</v>
      </c>
      <c r="F27" s="158">
        <f>SUMIF('内訳ﾘｽﾄ(4～3月)'!$D$26:$D$965,$B27,'内訳ﾘｽﾄ(4～3月)'!I$26:I$965)</f>
        <v>0</v>
      </c>
      <c r="G27" s="158">
        <f>SUMIF('内訳ﾘｽﾄ(4～3月)'!$D$26:$D$965,$B27,'内訳ﾘｽﾄ(4～3月)'!J$26:J$965)</f>
        <v>0</v>
      </c>
      <c r="H27" s="158">
        <f>SUMIF('内訳ﾘｽﾄ(4～3月)'!$D$26:$D$965,$B27,'内訳ﾘｽﾄ(4～3月)'!K$26:K$965)</f>
        <v>0</v>
      </c>
      <c r="I27" s="158">
        <f>SUMIF('内訳ﾘｽﾄ(4～3月)'!$D$26:$D$965,$B27,'内訳ﾘｽﾄ(4～3月)'!L$26:L$965)</f>
        <v>0</v>
      </c>
      <c r="J27" s="158">
        <f>SUMIF('内訳ﾘｽﾄ(4～3月)'!$D$26:$D$965,$B27,'内訳ﾘｽﾄ(4～3月)'!M$26:M$965)</f>
        <v>0</v>
      </c>
      <c r="K27" s="158">
        <f>SUMIF('内訳ﾘｽﾄ(4～3月)'!$D$26:$D$965,$B27,'内訳ﾘｽﾄ(4～3月)'!N$26:N$965)</f>
        <v>0</v>
      </c>
      <c r="L27" s="158">
        <f>SUMIF('内訳ﾘｽﾄ(4～3月)'!$D$26:$D$965,$B27,'内訳ﾘｽﾄ(4～3月)'!O$26:O$965)</f>
        <v>0</v>
      </c>
      <c r="M27" s="158">
        <f>SUMIF('内訳ﾘｽﾄ(4～3月)'!$D$26:$D$965,$B27,'内訳ﾘｽﾄ(4～3月)'!P$26:P$965)</f>
        <v>0</v>
      </c>
      <c r="N27" s="158">
        <f>SUMIF('内訳ﾘｽﾄ(4～3月)'!$D$26:$D$965,$B27,'内訳ﾘｽﾄ(4～3月)'!Q$26:Q$965)</f>
        <v>0</v>
      </c>
      <c r="O27" s="158">
        <f>SUMIF('内訳ﾘｽﾄ(4～3月)'!$D$26:$D$764,'採算表(VND)'!$B27,'内訳ﾘｽﾄ(4～3月)'!R$26:R$764)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SUMIF('内訳ﾘｽﾄ(4～3月)'!$D$26:$D$965,$B28,'内訳ﾘｽﾄ(4～3月)'!F$26:F$965)</f>
        <v>2980000</v>
      </c>
      <c r="D28" s="158">
        <f>SUMIF('内訳ﾘｽﾄ(4～3月)'!$D$26:$D$965,$B28,'内訳ﾘｽﾄ(4～3月)'!G$26:G$965)</f>
        <v>500000</v>
      </c>
      <c r="E28" s="158">
        <f>SUMIF('内訳ﾘｽﾄ(4～3月)'!$D$26:$D$965,$B28,'内訳ﾘｽﾄ(4～3月)'!H$26:H$965)</f>
        <v>500000</v>
      </c>
      <c r="F28" s="158">
        <f>SUMIF('内訳ﾘｽﾄ(4～3月)'!$D$26:$D$965,$B28,'内訳ﾘｽﾄ(4～3月)'!I$26:I$965)</f>
        <v>500000</v>
      </c>
      <c r="G28" s="158">
        <f>SUMIF('内訳ﾘｽﾄ(4～3月)'!$D$26:$D$965,$B28,'内訳ﾘｽﾄ(4～3月)'!J$26:J$965)</f>
        <v>500000</v>
      </c>
      <c r="H28" s="158">
        <f>SUMIF('内訳ﾘｽﾄ(4～3月)'!$D$26:$D$965,$B28,'内訳ﾘｽﾄ(4～3月)'!K$26:K$965)</f>
        <v>500000</v>
      </c>
      <c r="I28" s="158">
        <f>SUMIF('内訳ﾘｽﾄ(4～3月)'!$D$26:$D$965,$B28,'内訳ﾘｽﾄ(4～3月)'!L$26:L$965)</f>
        <v>500000</v>
      </c>
      <c r="J28" s="158">
        <f>SUMIF('内訳ﾘｽﾄ(4～3月)'!$D$26:$D$965,$B28,'内訳ﾘｽﾄ(4～3月)'!M$26:M$965)</f>
        <v>500000</v>
      </c>
      <c r="K28" s="158">
        <f>SUMIF('内訳ﾘｽﾄ(4～3月)'!$D$26:$D$965,$B28,'内訳ﾘｽﾄ(4～3月)'!N$26:N$965)</f>
        <v>500000</v>
      </c>
      <c r="L28" s="158">
        <f>SUMIF('内訳ﾘｽﾄ(4～3月)'!$D$26:$D$965,$B28,'内訳ﾘｽﾄ(4～3月)'!O$26:O$965)</f>
        <v>500000</v>
      </c>
      <c r="M28" s="158">
        <f>SUMIF('内訳ﾘｽﾄ(4～3月)'!$D$26:$D$965,$B28,'内訳ﾘｽﾄ(4～3月)'!P$26:P$965)</f>
        <v>500000</v>
      </c>
      <c r="N28" s="158">
        <f>SUMIF('内訳ﾘｽﾄ(4～3月)'!$D$26:$D$965,$B28,'内訳ﾘｽﾄ(4～3月)'!Q$26:Q$965)</f>
        <v>500000</v>
      </c>
      <c r="O28" s="158">
        <f>SUMIF('内訳ﾘｽﾄ(4～3月)'!$D$26:$D$764,'採算表(VND)'!$B28,'内訳ﾘｽﾄ(4～3月)'!R$26:R$764)</f>
        <v>8480000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SUMIF('内訳ﾘｽﾄ(4～3月)'!$D$26:$D$965,$B29,'内訳ﾘｽﾄ(4～3月)'!F$26:F$965)</f>
        <v>0</v>
      </c>
      <c r="D29" s="158">
        <f>SUMIF('内訳ﾘｽﾄ(4～3月)'!$D$26:$D$965,$B29,'内訳ﾘｽﾄ(4～3月)'!G$26:G$965)</f>
        <v>0</v>
      </c>
      <c r="E29" s="158">
        <f>SUMIF('内訳ﾘｽﾄ(4～3月)'!$D$26:$D$965,$B29,'内訳ﾘｽﾄ(4～3月)'!H$26:H$965)</f>
        <v>0</v>
      </c>
      <c r="F29" s="158">
        <f>SUMIF('内訳ﾘｽﾄ(4～3月)'!$D$26:$D$965,$B29,'内訳ﾘｽﾄ(4～3月)'!I$26:I$965)</f>
        <v>0</v>
      </c>
      <c r="G29" s="158">
        <f>SUMIF('内訳ﾘｽﾄ(4～3月)'!$D$26:$D$965,$B29,'内訳ﾘｽﾄ(4～3月)'!J$26:J$965)</f>
        <v>0</v>
      </c>
      <c r="H29" s="158">
        <f>SUMIF('内訳ﾘｽﾄ(4～3月)'!$D$26:$D$965,$B29,'内訳ﾘｽﾄ(4～3月)'!K$26:K$965)</f>
        <v>0</v>
      </c>
      <c r="I29" s="158">
        <f>SUMIF('内訳ﾘｽﾄ(4～3月)'!$D$26:$D$965,$B29,'内訳ﾘｽﾄ(4～3月)'!L$26:L$965)</f>
        <v>0</v>
      </c>
      <c r="J29" s="158">
        <f>SUMIF('内訳ﾘｽﾄ(4～3月)'!$D$26:$D$965,$B29,'内訳ﾘｽﾄ(4～3月)'!M$26:M$965)</f>
        <v>0</v>
      </c>
      <c r="K29" s="158">
        <f>SUMIF('内訳ﾘｽﾄ(4～3月)'!$D$26:$D$965,$B29,'内訳ﾘｽﾄ(4～3月)'!N$26:N$965)</f>
        <v>0</v>
      </c>
      <c r="L29" s="158">
        <f>SUMIF('内訳ﾘｽﾄ(4～3月)'!$D$26:$D$965,$B29,'内訳ﾘｽﾄ(4～3月)'!O$26:O$965)</f>
        <v>0</v>
      </c>
      <c r="M29" s="158">
        <f>SUMIF('内訳ﾘｽﾄ(4～3月)'!$D$26:$D$965,$B29,'内訳ﾘｽﾄ(4～3月)'!P$26:P$965)</f>
        <v>0</v>
      </c>
      <c r="N29" s="158">
        <f>SUMIF('内訳ﾘｽﾄ(4～3月)'!$D$26:$D$965,$B29,'内訳ﾘｽﾄ(4～3月)'!Q$26:Q$965)</f>
        <v>0</v>
      </c>
      <c r="O29" s="158">
        <f>SUMIF('内訳ﾘｽﾄ(4～3月)'!$D$26:$D$764,'採算表(VND)'!$B29,'内訳ﾘｽﾄ(4～3月)'!R$26:R$764)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SUMIF('内訳ﾘｽﾄ(4～3月)'!$D$26:$D$965,$B30,'内訳ﾘｽﾄ(4～3月)'!F$26:F$965)</f>
        <v>870421</v>
      </c>
      <c r="D30" s="158">
        <f>SUMIF('内訳ﾘｽﾄ(4～3月)'!$D$26:$D$965,$B30,'内訳ﾘｽﾄ(4～3月)'!G$26:G$965)</f>
        <v>1042156</v>
      </c>
      <c r="E30" s="158">
        <f>SUMIF('内訳ﾘｽﾄ(4～3月)'!$D$26:$D$965,$B30,'内訳ﾘｽﾄ(4～3月)'!H$26:H$965)</f>
        <v>1250776</v>
      </c>
      <c r="F30" s="158">
        <f>SUMIF('内訳ﾘｽﾄ(4～3月)'!$D$26:$D$965,$B30,'内訳ﾘｽﾄ(4～3月)'!I$26:I$965)</f>
        <v>1426519</v>
      </c>
      <c r="G30" s="158">
        <f>SUMIF('内訳ﾘｽﾄ(4～3月)'!$D$26:$D$965,$B30,'内訳ﾘｽﾄ(4～3月)'!J$26:J$965)</f>
        <v>1382854</v>
      </c>
      <c r="H30" s="158">
        <f>SUMIF('内訳ﾘｽﾄ(4～3月)'!$D$26:$D$965,$B30,'内訳ﾘｽﾄ(4～3月)'!K$26:K$965)</f>
        <v>1245882</v>
      </c>
      <c r="I30" s="158">
        <f>SUMIF('内訳ﾘｽﾄ(4～3月)'!$D$26:$D$965,$B30,'内訳ﾘｽﾄ(4～3月)'!L$26:L$965)</f>
        <v>1200849</v>
      </c>
      <c r="J30" s="158">
        <f>SUMIF('内訳ﾘｽﾄ(4～3月)'!$D$26:$D$965,$B30,'内訳ﾘｽﾄ(4～3月)'!M$26:M$965)</f>
        <v>1183513</v>
      </c>
      <c r="K30" s="158">
        <f>SUMIF('内訳ﾘｽﾄ(4～3月)'!$D$26:$D$965,$B30,'内訳ﾘｽﾄ(4～3月)'!N$26:N$965)</f>
        <v>1177782</v>
      </c>
      <c r="L30" s="158">
        <f>SUMIF('内訳ﾘｽﾄ(4～3月)'!$D$26:$D$965,$B30,'内訳ﾘｽﾄ(4～3月)'!O$26:O$965)</f>
        <v>1027712</v>
      </c>
      <c r="M30" s="158">
        <f>SUMIF('内訳ﾘｽﾄ(4～3月)'!$D$26:$D$965,$B30,'内訳ﾘｽﾄ(4～3月)'!P$26:P$965)</f>
        <v>912048</v>
      </c>
      <c r="N30" s="158">
        <f>SUMIF('内訳ﾘｽﾄ(4～3月)'!$D$26:$D$965,$B30,'内訳ﾘｽﾄ(4～3月)'!Q$26:Q$965)</f>
        <v>874279</v>
      </c>
      <c r="O30" s="158">
        <f>SUMIF('内訳ﾘｽﾄ(4～3月)'!$D$26:$D$764,'採算表(VND)'!$B30,'内訳ﾘｽﾄ(4～3月)'!R$26:R$764)</f>
        <v>13594791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SUMIF('内訳ﾘｽﾄ(4～3月)'!$D$26:$D$965,$B31,'内訳ﾘｽﾄ(4～3月)'!F$26:F$965)</f>
        <v>0</v>
      </c>
      <c r="D31" s="158">
        <f>SUMIF('内訳ﾘｽﾄ(4～3月)'!$D$26:$D$965,$B31,'内訳ﾘｽﾄ(4～3月)'!G$26:G$965)</f>
        <v>0</v>
      </c>
      <c r="E31" s="158">
        <f>SUMIF('内訳ﾘｽﾄ(4～3月)'!$D$26:$D$965,$B31,'内訳ﾘｽﾄ(4～3月)'!H$26:H$965)</f>
        <v>0</v>
      </c>
      <c r="F31" s="158">
        <f>SUMIF('内訳ﾘｽﾄ(4～3月)'!$D$26:$D$965,$B31,'内訳ﾘｽﾄ(4～3月)'!I$26:I$965)</f>
        <v>0</v>
      </c>
      <c r="G31" s="158">
        <f>SUMIF('内訳ﾘｽﾄ(4～3月)'!$D$26:$D$965,$B31,'内訳ﾘｽﾄ(4～3月)'!J$26:J$965)</f>
        <v>0</v>
      </c>
      <c r="H31" s="158">
        <f>SUMIF('内訳ﾘｽﾄ(4～3月)'!$D$26:$D$965,$B31,'内訳ﾘｽﾄ(4～3月)'!K$26:K$965)</f>
        <v>0</v>
      </c>
      <c r="I31" s="158">
        <f>SUMIF('内訳ﾘｽﾄ(4～3月)'!$D$26:$D$965,$B31,'内訳ﾘｽﾄ(4～3月)'!L$26:L$965)</f>
        <v>0</v>
      </c>
      <c r="J31" s="158">
        <f>SUMIF('内訳ﾘｽﾄ(4～3月)'!$D$26:$D$965,$B31,'内訳ﾘｽﾄ(4～3月)'!M$26:M$965)</f>
        <v>0</v>
      </c>
      <c r="K31" s="158">
        <f>SUMIF('内訳ﾘｽﾄ(4～3月)'!$D$26:$D$965,$B31,'内訳ﾘｽﾄ(4～3月)'!N$26:N$965)</f>
        <v>0</v>
      </c>
      <c r="L31" s="158">
        <f>SUMIF('内訳ﾘｽﾄ(4～3月)'!$D$26:$D$965,$B31,'内訳ﾘｽﾄ(4～3月)'!O$26:O$965)</f>
        <v>0</v>
      </c>
      <c r="M31" s="158">
        <f>SUMIF('内訳ﾘｽﾄ(4～3月)'!$D$26:$D$965,$B31,'内訳ﾘｽﾄ(4～3月)'!P$26:P$965)</f>
        <v>0</v>
      </c>
      <c r="N31" s="158">
        <f>SUMIF('内訳ﾘｽﾄ(4～3月)'!$D$26:$D$965,$B31,'内訳ﾘｽﾄ(4～3月)'!Q$26:Q$965)</f>
        <v>0</v>
      </c>
      <c r="O31" s="158">
        <f>SUMIF('内訳ﾘｽﾄ(4～3月)'!$D$26:$D$764,'採算表(VND)'!$B31,'内訳ﾘｽﾄ(4～3月)'!R$26:R$764)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SUMIF('内訳ﾘｽﾄ(4～3月)'!$D$26:$D$965,$B32,'内訳ﾘｽﾄ(4～3月)'!F$26:F$965)</f>
        <v>0</v>
      </c>
      <c r="D32" s="158">
        <f>SUMIF('内訳ﾘｽﾄ(4～3月)'!$D$26:$D$965,$B32,'内訳ﾘｽﾄ(4～3月)'!G$26:G$965)</f>
        <v>0</v>
      </c>
      <c r="E32" s="158">
        <f>SUMIF('内訳ﾘｽﾄ(4～3月)'!$D$26:$D$965,$B32,'内訳ﾘｽﾄ(4～3月)'!H$26:H$965)</f>
        <v>0</v>
      </c>
      <c r="F32" s="158">
        <f>SUMIF('内訳ﾘｽﾄ(4～3月)'!$D$26:$D$965,$B32,'内訳ﾘｽﾄ(4～3月)'!I$26:I$965)</f>
        <v>0</v>
      </c>
      <c r="G32" s="158">
        <f>SUMIF('内訳ﾘｽﾄ(4～3月)'!$D$26:$D$965,$B32,'内訳ﾘｽﾄ(4～3月)'!J$26:J$965)</f>
        <v>0</v>
      </c>
      <c r="H32" s="158">
        <f>SUMIF('内訳ﾘｽﾄ(4～3月)'!$D$26:$D$965,$B32,'内訳ﾘｽﾄ(4～3月)'!K$26:K$965)</f>
        <v>0</v>
      </c>
      <c r="I32" s="158">
        <f>SUMIF('内訳ﾘｽﾄ(4～3月)'!$D$26:$D$965,$B32,'内訳ﾘｽﾄ(4～3月)'!L$26:L$965)</f>
        <v>0</v>
      </c>
      <c r="J32" s="158">
        <f>SUMIF('内訳ﾘｽﾄ(4～3月)'!$D$26:$D$965,$B32,'内訳ﾘｽﾄ(4～3月)'!M$26:M$965)</f>
        <v>0</v>
      </c>
      <c r="K32" s="158">
        <f>SUMIF('内訳ﾘｽﾄ(4～3月)'!$D$26:$D$965,$B32,'内訳ﾘｽﾄ(4～3月)'!N$26:N$965)</f>
        <v>0</v>
      </c>
      <c r="L32" s="158">
        <f>SUMIF('内訳ﾘｽﾄ(4～3月)'!$D$26:$D$965,$B32,'内訳ﾘｽﾄ(4～3月)'!O$26:O$965)</f>
        <v>0</v>
      </c>
      <c r="M32" s="158">
        <f>SUMIF('内訳ﾘｽﾄ(4～3月)'!$D$26:$D$965,$B32,'内訳ﾘｽﾄ(4～3月)'!P$26:P$965)</f>
        <v>0</v>
      </c>
      <c r="N32" s="158">
        <f>SUMIF('内訳ﾘｽﾄ(4～3月)'!$D$26:$D$965,$B32,'内訳ﾘｽﾄ(4～3月)'!Q$26:Q$965)</f>
        <v>0</v>
      </c>
      <c r="O32" s="158">
        <f>SUMIF('内訳ﾘｽﾄ(4～3月)'!$D$26:$D$764,'採算表(VND)'!$B32,'内訳ﾘｽﾄ(4～3月)'!R$26:R$764)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SUMIF('内訳ﾘｽﾄ(4～3月)'!$D$26:$D$965,$B33,'内訳ﾘｽﾄ(4～3月)'!F$26:F$965)</f>
        <v>0</v>
      </c>
      <c r="D33" s="158">
        <f>SUMIF('内訳ﾘｽﾄ(4～3月)'!$D$26:$D$965,$B33,'内訳ﾘｽﾄ(4～3月)'!G$26:G$965)</f>
        <v>0</v>
      </c>
      <c r="E33" s="158">
        <f>SUMIF('内訳ﾘｽﾄ(4～3月)'!$D$26:$D$965,$B33,'内訳ﾘｽﾄ(4～3月)'!H$26:H$965)</f>
        <v>0</v>
      </c>
      <c r="F33" s="158">
        <f>SUMIF('内訳ﾘｽﾄ(4～3月)'!$D$26:$D$965,$B33,'内訳ﾘｽﾄ(4～3月)'!I$26:I$965)</f>
        <v>0</v>
      </c>
      <c r="G33" s="158">
        <f>SUMIF('内訳ﾘｽﾄ(4～3月)'!$D$26:$D$965,$B33,'内訳ﾘｽﾄ(4～3月)'!J$26:J$965)</f>
        <v>0</v>
      </c>
      <c r="H33" s="158">
        <f>SUMIF('内訳ﾘｽﾄ(4～3月)'!$D$26:$D$965,$B33,'内訳ﾘｽﾄ(4～3月)'!K$26:K$965)</f>
        <v>0</v>
      </c>
      <c r="I33" s="158">
        <f>SUMIF('内訳ﾘｽﾄ(4～3月)'!$D$26:$D$965,$B33,'内訳ﾘｽﾄ(4～3月)'!L$26:L$965)</f>
        <v>0</v>
      </c>
      <c r="J33" s="158">
        <f>SUMIF('内訳ﾘｽﾄ(4～3月)'!$D$26:$D$965,$B33,'内訳ﾘｽﾄ(4～3月)'!M$26:M$965)</f>
        <v>0</v>
      </c>
      <c r="K33" s="158">
        <f>SUMIF('内訳ﾘｽﾄ(4～3月)'!$D$26:$D$965,$B33,'内訳ﾘｽﾄ(4～3月)'!N$26:N$965)</f>
        <v>0</v>
      </c>
      <c r="L33" s="158">
        <f>SUMIF('内訳ﾘｽﾄ(4～3月)'!$D$26:$D$965,$B33,'内訳ﾘｽﾄ(4～3月)'!O$26:O$965)</f>
        <v>0</v>
      </c>
      <c r="M33" s="158">
        <f>SUMIF('内訳ﾘｽﾄ(4～3月)'!$D$26:$D$965,$B33,'内訳ﾘｽﾄ(4～3月)'!P$26:P$965)</f>
        <v>0</v>
      </c>
      <c r="N33" s="158">
        <f>SUMIF('内訳ﾘｽﾄ(4～3月)'!$D$26:$D$965,$B33,'内訳ﾘｽﾄ(4～3月)'!Q$26:Q$965)</f>
        <v>0</v>
      </c>
      <c r="O33" s="158">
        <f>SUMIF('内訳ﾘｽﾄ(4～3月)'!$D$26:$D$764,'採算表(VND)'!$B33,'内訳ﾘｽﾄ(4～3月)'!R$26:R$764)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SUMIF('内訳ﾘｽﾄ(4～3月)'!$D$26:$D$965,$B34,'内訳ﾘｽﾄ(4～3月)'!F$26:F$965)</f>
        <v>0</v>
      </c>
      <c r="D34" s="158">
        <f>SUMIF('内訳ﾘｽﾄ(4～3月)'!$D$26:$D$965,$B34,'内訳ﾘｽﾄ(4～3月)'!G$26:G$965)</f>
        <v>0</v>
      </c>
      <c r="E34" s="158">
        <f>SUMIF('内訳ﾘｽﾄ(4～3月)'!$D$26:$D$965,$B34,'内訳ﾘｽﾄ(4～3月)'!H$26:H$965)</f>
        <v>0</v>
      </c>
      <c r="F34" s="158">
        <f>SUMIF('内訳ﾘｽﾄ(4～3月)'!$D$26:$D$965,$B34,'内訳ﾘｽﾄ(4～3月)'!I$26:I$965)</f>
        <v>0</v>
      </c>
      <c r="G34" s="158">
        <f>SUMIF('内訳ﾘｽﾄ(4～3月)'!$D$26:$D$965,$B34,'内訳ﾘｽﾄ(4～3月)'!J$26:J$965)</f>
        <v>0</v>
      </c>
      <c r="H34" s="158">
        <f>SUMIF('内訳ﾘｽﾄ(4～3月)'!$D$26:$D$965,$B34,'内訳ﾘｽﾄ(4～3月)'!K$26:K$965)</f>
        <v>0</v>
      </c>
      <c r="I34" s="158">
        <f>SUMIF('内訳ﾘｽﾄ(4～3月)'!$D$26:$D$965,$B34,'内訳ﾘｽﾄ(4～3月)'!L$26:L$965)</f>
        <v>0</v>
      </c>
      <c r="J34" s="158">
        <f>SUMIF('内訳ﾘｽﾄ(4～3月)'!$D$26:$D$965,$B34,'内訳ﾘｽﾄ(4～3月)'!M$26:M$965)</f>
        <v>0</v>
      </c>
      <c r="K34" s="158">
        <f>SUMIF('内訳ﾘｽﾄ(4～3月)'!$D$26:$D$965,$B34,'内訳ﾘｽﾄ(4～3月)'!N$26:N$965)</f>
        <v>0</v>
      </c>
      <c r="L34" s="158">
        <f>SUMIF('内訳ﾘｽﾄ(4～3月)'!$D$26:$D$965,$B34,'内訳ﾘｽﾄ(4～3月)'!O$26:O$965)</f>
        <v>0</v>
      </c>
      <c r="M34" s="158">
        <f>SUMIF('内訳ﾘｽﾄ(4～3月)'!$D$26:$D$965,$B34,'内訳ﾘｽﾄ(4～3月)'!P$26:P$965)</f>
        <v>0</v>
      </c>
      <c r="N34" s="158">
        <f>SUMIF('内訳ﾘｽﾄ(4～3月)'!$D$26:$D$965,$B34,'内訳ﾘｽﾄ(4～3月)'!Q$26:Q$965)</f>
        <v>0</v>
      </c>
      <c r="O34" s="158">
        <f>SUMIF('内訳ﾘｽﾄ(4～3月)'!$D$26:$D$764,'採算表(VND)'!$B34,'内訳ﾘｽﾄ(4～3月)'!R$26:R$764)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SUMIF('内訳ﾘｽﾄ(4～3月)'!$D$26:$D$965,$B35,'内訳ﾘｽﾄ(4～3月)'!F$26:F$965)</f>
        <v>0</v>
      </c>
      <c r="D35" s="158">
        <f>SUMIF('内訳ﾘｽﾄ(4～3月)'!$D$26:$D$965,$B35,'内訳ﾘｽﾄ(4～3月)'!G$26:G$965)</f>
        <v>0</v>
      </c>
      <c r="E35" s="158">
        <f>SUMIF('内訳ﾘｽﾄ(4～3月)'!$D$26:$D$965,$B35,'内訳ﾘｽﾄ(4～3月)'!H$26:H$965)</f>
        <v>0</v>
      </c>
      <c r="F35" s="158">
        <f>SUMIF('内訳ﾘｽﾄ(4～3月)'!$D$26:$D$965,$B35,'内訳ﾘｽﾄ(4～3月)'!I$26:I$965)</f>
        <v>0</v>
      </c>
      <c r="G35" s="158">
        <f>SUMIF('内訳ﾘｽﾄ(4～3月)'!$D$26:$D$965,$B35,'内訳ﾘｽﾄ(4～3月)'!J$26:J$965)</f>
        <v>0</v>
      </c>
      <c r="H35" s="158">
        <f>SUMIF('内訳ﾘｽﾄ(4～3月)'!$D$26:$D$965,$B35,'内訳ﾘｽﾄ(4～3月)'!K$26:K$965)</f>
        <v>0</v>
      </c>
      <c r="I35" s="158">
        <f>SUMIF('内訳ﾘｽﾄ(4～3月)'!$D$26:$D$965,$B35,'内訳ﾘｽﾄ(4～3月)'!L$26:L$965)</f>
        <v>0</v>
      </c>
      <c r="J35" s="158">
        <f>SUMIF('内訳ﾘｽﾄ(4～3月)'!$D$26:$D$965,$B35,'内訳ﾘｽﾄ(4～3月)'!M$26:M$965)</f>
        <v>0</v>
      </c>
      <c r="K35" s="158">
        <f>SUMIF('内訳ﾘｽﾄ(4～3月)'!$D$26:$D$965,$B35,'内訳ﾘｽﾄ(4～3月)'!N$26:N$965)</f>
        <v>0</v>
      </c>
      <c r="L35" s="158">
        <f>SUMIF('内訳ﾘｽﾄ(4～3月)'!$D$26:$D$965,$B35,'内訳ﾘｽﾄ(4～3月)'!O$26:O$965)</f>
        <v>0</v>
      </c>
      <c r="M35" s="158">
        <f>SUMIF('内訳ﾘｽﾄ(4～3月)'!$D$26:$D$965,$B35,'内訳ﾘｽﾄ(4～3月)'!P$26:P$965)</f>
        <v>0</v>
      </c>
      <c r="N35" s="158">
        <f>SUMIF('内訳ﾘｽﾄ(4～3月)'!$D$26:$D$965,$B35,'内訳ﾘｽﾄ(4～3月)'!Q$26:Q$965)</f>
        <v>0</v>
      </c>
      <c r="O35" s="158">
        <f>SUMIF('内訳ﾘｽﾄ(4～3月)'!$D$26:$D$764,'採算表(VND)'!$B35,'内訳ﾘｽﾄ(4～3月)'!R$26:R$764)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SUMIF('内訳ﾘｽﾄ(4～3月)'!$D$26:$D$965,$B36,'内訳ﾘｽﾄ(4～3月)'!F$26:F$965)</f>
        <v>0</v>
      </c>
      <c r="D36" s="158">
        <f>SUMIF('内訳ﾘｽﾄ(4～3月)'!$D$26:$D$965,$B36,'内訳ﾘｽﾄ(4～3月)'!G$26:G$965)</f>
        <v>0</v>
      </c>
      <c r="E36" s="158">
        <f>SUMIF('内訳ﾘｽﾄ(4～3月)'!$D$26:$D$965,$B36,'内訳ﾘｽﾄ(4～3月)'!H$26:H$965)</f>
        <v>0</v>
      </c>
      <c r="F36" s="158">
        <f>SUMIF('内訳ﾘｽﾄ(4～3月)'!$D$26:$D$965,$B36,'内訳ﾘｽﾄ(4～3月)'!I$26:I$965)</f>
        <v>0</v>
      </c>
      <c r="G36" s="158">
        <f>SUMIF('内訳ﾘｽﾄ(4～3月)'!$D$26:$D$965,$B36,'内訳ﾘｽﾄ(4～3月)'!J$26:J$965)</f>
        <v>0</v>
      </c>
      <c r="H36" s="158">
        <f>SUMIF('内訳ﾘｽﾄ(4～3月)'!$D$26:$D$965,$B36,'内訳ﾘｽﾄ(4～3月)'!K$26:K$965)</f>
        <v>0</v>
      </c>
      <c r="I36" s="158">
        <f>SUMIF('内訳ﾘｽﾄ(4～3月)'!$D$26:$D$965,$B36,'内訳ﾘｽﾄ(4～3月)'!L$26:L$965)</f>
        <v>0</v>
      </c>
      <c r="J36" s="158">
        <f>SUMIF('内訳ﾘｽﾄ(4～3月)'!$D$26:$D$965,$B36,'内訳ﾘｽﾄ(4～3月)'!M$26:M$965)</f>
        <v>0</v>
      </c>
      <c r="K36" s="158">
        <f>SUMIF('内訳ﾘｽﾄ(4～3月)'!$D$26:$D$965,$B36,'内訳ﾘｽﾄ(4～3月)'!N$26:N$965)</f>
        <v>0</v>
      </c>
      <c r="L36" s="158">
        <f>SUMIF('内訳ﾘｽﾄ(4～3月)'!$D$26:$D$965,$B36,'内訳ﾘｽﾄ(4～3月)'!O$26:O$965)</f>
        <v>0</v>
      </c>
      <c r="M36" s="158">
        <f>SUMIF('内訳ﾘｽﾄ(4～3月)'!$D$26:$D$965,$B36,'内訳ﾘｽﾄ(4～3月)'!P$26:P$965)</f>
        <v>0</v>
      </c>
      <c r="N36" s="158">
        <f>SUMIF('内訳ﾘｽﾄ(4～3月)'!$D$26:$D$965,$B36,'内訳ﾘｽﾄ(4～3月)'!Q$26:Q$965)</f>
        <v>0</v>
      </c>
      <c r="O36" s="158">
        <f>SUMIF('内訳ﾘｽﾄ(4～3月)'!$D$26:$D$764,'採算表(VND)'!$B36,'内訳ﾘｽﾄ(4～3月)'!R$26:R$764)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SUMIF('内訳ﾘｽﾄ(4～3月)'!$D$26:$D$965,$B37,'内訳ﾘｽﾄ(4～3月)'!F$26:F$965)</f>
        <v>0</v>
      </c>
      <c r="D37" s="158">
        <f>SUMIF('内訳ﾘｽﾄ(4～3月)'!$D$26:$D$965,$B37,'内訳ﾘｽﾄ(4～3月)'!G$26:G$965)</f>
        <v>0</v>
      </c>
      <c r="E37" s="158">
        <f>SUMIF('内訳ﾘｽﾄ(4～3月)'!$D$26:$D$965,$B37,'内訳ﾘｽﾄ(4～3月)'!H$26:H$965)</f>
        <v>0</v>
      </c>
      <c r="F37" s="158">
        <f>SUMIF('内訳ﾘｽﾄ(4～3月)'!$D$26:$D$965,$B37,'内訳ﾘｽﾄ(4～3月)'!I$26:I$965)</f>
        <v>0</v>
      </c>
      <c r="G37" s="158">
        <f>SUMIF('内訳ﾘｽﾄ(4～3月)'!$D$26:$D$965,$B37,'内訳ﾘｽﾄ(4～3月)'!J$26:J$965)</f>
        <v>0</v>
      </c>
      <c r="H37" s="158">
        <f>SUMIF('内訳ﾘｽﾄ(4～3月)'!$D$26:$D$965,$B37,'内訳ﾘｽﾄ(4～3月)'!K$26:K$965)</f>
        <v>0</v>
      </c>
      <c r="I37" s="158">
        <f>SUMIF('内訳ﾘｽﾄ(4～3月)'!$D$26:$D$965,$B37,'内訳ﾘｽﾄ(4～3月)'!L$26:L$965)</f>
        <v>0</v>
      </c>
      <c r="J37" s="158">
        <f>SUMIF('内訳ﾘｽﾄ(4～3月)'!$D$26:$D$965,$B37,'内訳ﾘｽﾄ(4～3月)'!M$26:M$965)</f>
        <v>0</v>
      </c>
      <c r="K37" s="158">
        <f>SUMIF('内訳ﾘｽﾄ(4～3月)'!$D$26:$D$965,$B37,'内訳ﾘｽﾄ(4～3月)'!N$26:N$965)</f>
        <v>0</v>
      </c>
      <c r="L37" s="158">
        <f>SUMIF('内訳ﾘｽﾄ(4～3月)'!$D$26:$D$965,$B37,'内訳ﾘｽﾄ(4～3月)'!O$26:O$965)</f>
        <v>0</v>
      </c>
      <c r="M37" s="158">
        <f>SUMIF('内訳ﾘｽﾄ(4～3月)'!$D$26:$D$965,$B37,'内訳ﾘｽﾄ(4～3月)'!P$26:P$965)</f>
        <v>0</v>
      </c>
      <c r="N37" s="158">
        <f>SUMIF('内訳ﾘｽﾄ(4～3月)'!$D$26:$D$965,$B37,'内訳ﾘｽﾄ(4～3月)'!Q$26:Q$965)</f>
        <v>0</v>
      </c>
      <c r="O37" s="158">
        <f>SUMIF('内訳ﾘｽﾄ(4～3月)'!$D$26:$D$764,'採算表(VND)'!$B37,'内訳ﾘｽﾄ(4～3月)'!R$26:R$764)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SUMIF('内訳ﾘｽﾄ(4～3月)'!$D$26:$D$965,$B38,'内訳ﾘｽﾄ(4～3月)'!F$26:F$965)</f>
        <v>0</v>
      </c>
      <c r="D38" s="158">
        <f>SUMIF('内訳ﾘｽﾄ(4～3月)'!$D$26:$D$965,$B38,'内訳ﾘｽﾄ(4～3月)'!G$26:G$965)</f>
        <v>0</v>
      </c>
      <c r="E38" s="158">
        <f>SUMIF('内訳ﾘｽﾄ(4～3月)'!$D$26:$D$965,$B38,'内訳ﾘｽﾄ(4～3月)'!H$26:H$965)</f>
        <v>13530967</v>
      </c>
      <c r="F38" s="158">
        <f>SUMIF('内訳ﾘｽﾄ(4～3月)'!$D$26:$D$965,$B38,'内訳ﾘｽﾄ(4～3月)'!I$26:I$965)</f>
        <v>0</v>
      </c>
      <c r="G38" s="158">
        <f>SUMIF('内訳ﾘｽﾄ(4～3月)'!$D$26:$D$965,$B38,'内訳ﾘｽﾄ(4～3月)'!J$26:J$965)</f>
        <v>0</v>
      </c>
      <c r="H38" s="158">
        <f>SUMIF('内訳ﾘｽﾄ(4～3月)'!$D$26:$D$965,$B38,'内訳ﾘｽﾄ(4～3月)'!K$26:K$965)</f>
        <v>0</v>
      </c>
      <c r="I38" s="158">
        <f>SUMIF('内訳ﾘｽﾄ(4～3月)'!$D$26:$D$965,$B38,'内訳ﾘｽﾄ(4～3月)'!L$26:L$965)</f>
        <v>0</v>
      </c>
      <c r="J38" s="158">
        <f>SUMIF('内訳ﾘｽﾄ(4～3月)'!$D$26:$D$965,$B38,'内訳ﾘｽﾄ(4～3月)'!M$26:M$965)</f>
        <v>0</v>
      </c>
      <c r="K38" s="158">
        <f>SUMIF('内訳ﾘｽﾄ(4～3月)'!$D$26:$D$965,$B38,'内訳ﾘｽﾄ(4～3月)'!N$26:N$965)</f>
        <v>0</v>
      </c>
      <c r="L38" s="158">
        <f>SUMIF('内訳ﾘｽﾄ(4～3月)'!$D$26:$D$965,$B38,'内訳ﾘｽﾄ(4～3月)'!O$26:O$965)</f>
        <v>0</v>
      </c>
      <c r="M38" s="158">
        <f>SUMIF('内訳ﾘｽﾄ(4～3月)'!$D$26:$D$965,$B38,'内訳ﾘｽﾄ(4～3月)'!P$26:P$965)</f>
        <v>0</v>
      </c>
      <c r="N38" s="158">
        <f>SUMIF('内訳ﾘｽﾄ(4～3月)'!$D$26:$D$965,$B38,'内訳ﾘｽﾄ(4～3月)'!Q$26:Q$965)</f>
        <v>0</v>
      </c>
      <c r="O38" s="158">
        <f>SUMIF('内訳ﾘｽﾄ(4～3月)'!$D$26:$D$764,'採算表(VND)'!$B38,'内訳ﾘｽﾄ(4～3月)'!R$26:R$764)</f>
        <v>13530967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SUMIF('内訳ﾘｽﾄ(4～3月)'!$D$26:$D$965,$B39,'内訳ﾘｽﾄ(4～3月)'!F$26:F$965)</f>
        <v>323835982</v>
      </c>
      <c r="D39" s="158">
        <f>SUMIF('内訳ﾘｽﾄ(4～3月)'!$D$26:$D$965,$B39,'内訳ﾘｽﾄ(4～3月)'!G$26:G$965)</f>
        <v>474626234</v>
      </c>
      <c r="E39" s="158">
        <f>SUMIF('内訳ﾘｽﾄ(4～3月)'!$D$26:$D$965,$B39,'内訳ﾘｽﾄ(4～3月)'!H$26:H$965)</f>
        <v>253664907</v>
      </c>
      <c r="F39" s="158">
        <f>SUMIF('内訳ﾘｽﾄ(4～3月)'!$D$26:$D$965,$B39,'内訳ﾘｽﾄ(4～3月)'!I$26:I$965)</f>
        <v>323153142</v>
      </c>
      <c r="G39" s="158">
        <f>SUMIF('内訳ﾘｽﾄ(4～3月)'!$D$26:$D$965,$B39,'内訳ﾘｽﾄ(4～3月)'!J$26:J$965)</f>
        <v>485733237</v>
      </c>
      <c r="H39" s="158">
        <f>SUMIF('内訳ﾘｽﾄ(4～3月)'!$D$26:$D$965,$B39,'内訳ﾘｽﾄ(4～3月)'!K$26:K$965)</f>
        <v>210727130</v>
      </c>
      <c r="I39" s="158">
        <f>SUMIF('内訳ﾘｽﾄ(4～3月)'!$D$26:$D$965,$B39,'内訳ﾘｽﾄ(4～3月)'!L$26:L$965)</f>
        <v>446642024</v>
      </c>
      <c r="J39" s="158">
        <f>SUMIF('内訳ﾘｽﾄ(4～3月)'!$D$26:$D$965,$B39,'内訳ﾘｽﾄ(4～3月)'!M$26:M$965)</f>
        <v>244897727</v>
      </c>
      <c r="K39" s="158">
        <f>SUMIF('内訳ﾘｽﾄ(4～3月)'!$D$26:$D$965,$B39,'内訳ﾘｽﾄ(4～3月)'!N$26:N$965)</f>
        <v>253458839</v>
      </c>
      <c r="L39" s="158">
        <f>SUMIF('内訳ﾘｽﾄ(4～3月)'!$D$26:$D$965,$B39,'内訳ﾘｽﾄ(4～3月)'!O$26:O$965)</f>
        <v>197794776</v>
      </c>
      <c r="M39" s="158">
        <f>SUMIF('内訳ﾘｽﾄ(4～3月)'!$D$26:$D$965,$B39,'内訳ﾘｽﾄ(4～3月)'!P$26:P$965)</f>
        <v>197777934</v>
      </c>
      <c r="N39" s="158">
        <f>SUMIF('内訳ﾘｽﾄ(4～3月)'!$D$26:$D$965,$B39,'内訳ﾘｽﾄ(4～3月)'!Q$26:Q$965)</f>
        <v>474539980</v>
      </c>
      <c r="O39" s="158">
        <f>SUMIF('内訳ﾘｽﾄ(4～3月)'!$D$26:$D$764,'採算表(VND)'!$B39,'内訳ﾘｽﾄ(4～3月)'!R$26:R$764)</f>
        <v>3886851912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SUMIF('内訳ﾘｽﾄ(4～3月)'!$D$26:$D$965,$B40,'内訳ﾘｽﾄ(4～3月)'!F$26:F$965)</f>
        <v>0</v>
      </c>
      <c r="D40" s="158">
        <f>SUMIF('内訳ﾘｽﾄ(4～3月)'!$D$26:$D$965,$B40,'内訳ﾘｽﾄ(4～3月)'!G$26:G$965)</f>
        <v>0</v>
      </c>
      <c r="E40" s="158">
        <f>SUMIF('内訳ﾘｽﾄ(4～3月)'!$D$26:$D$965,$B40,'内訳ﾘｽﾄ(4～3月)'!H$26:H$965)</f>
        <v>0</v>
      </c>
      <c r="F40" s="158">
        <f>SUMIF('内訳ﾘｽﾄ(4～3月)'!$D$26:$D$965,$B40,'内訳ﾘｽﾄ(4～3月)'!I$26:I$965)</f>
        <v>0</v>
      </c>
      <c r="G40" s="158">
        <f>SUMIF('内訳ﾘｽﾄ(4～3月)'!$D$26:$D$965,$B40,'内訳ﾘｽﾄ(4～3月)'!J$26:J$965)</f>
        <v>0</v>
      </c>
      <c r="H40" s="158">
        <f>SUMIF('内訳ﾘｽﾄ(4～3月)'!$D$26:$D$965,$B40,'内訳ﾘｽﾄ(4～3月)'!K$26:K$965)</f>
        <v>0</v>
      </c>
      <c r="I40" s="158">
        <f>SUMIF('内訳ﾘｽﾄ(4～3月)'!$D$26:$D$965,$B40,'内訳ﾘｽﾄ(4～3月)'!L$26:L$965)</f>
        <v>0</v>
      </c>
      <c r="J40" s="158">
        <f>SUMIF('内訳ﾘｽﾄ(4～3月)'!$D$26:$D$965,$B40,'内訳ﾘｽﾄ(4～3月)'!M$26:M$965)</f>
        <v>0</v>
      </c>
      <c r="K40" s="158">
        <f>SUMIF('内訳ﾘｽﾄ(4～3月)'!$D$26:$D$965,$B40,'内訳ﾘｽﾄ(4～3月)'!N$26:N$965)</f>
        <v>0</v>
      </c>
      <c r="L40" s="158">
        <f>SUMIF('内訳ﾘｽﾄ(4～3月)'!$D$26:$D$965,$B40,'内訳ﾘｽﾄ(4～3月)'!O$26:O$965)</f>
        <v>0</v>
      </c>
      <c r="M40" s="158">
        <f>SUMIF('内訳ﾘｽﾄ(4～3月)'!$D$26:$D$965,$B40,'内訳ﾘｽﾄ(4～3月)'!P$26:P$965)</f>
        <v>0</v>
      </c>
      <c r="N40" s="158">
        <f>SUMIF('内訳ﾘｽﾄ(4～3月)'!$D$26:$D$965,$B40,'内訳ﾘｽﾄ(4～3月)'!Q$26:Q$965)</f>
        <v>0</v>
      </c>
      <c r="O40" s="158">
        <f>SUMIF('内訳ﾘｽﾄ(4～3月)'!$D$26:$D$764,'採算表(VND)'!$B40,'内訳ﾘｽﾄ(4～3月)'!R$26:R$764)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SUMIF('内訳ﾘｽﾄ(4～3月)'!$D$26:$D$965,$B41,'内訳ﾘｽﾄ(4～3月)'!F$26:F$965)</f>
        <v>530000</v>
      </c>
      <c r="D41" s="158">
        <f>SUMIF('内訳ﾘｽﾄ(4～3月)'!$D$26:$D$965,$B41,'内訳ﾘｽﾄ(4～3月)'!G$26:G$965)</f>
        <v>530000</v>
      </c>
      <c r="E41" s="158">
        <f>SUMIF('内訳ﾘｽﾄ(4～3月)'!$D$26:$D$965,$B41,'内訳ﾘｽﾄ(4～3月)'!H$26:H$965)</f>
        <v>530000</v>
      </c>
      <c r="F41" s="158">
        <f>SUMIF('内訳ﾘｽﾄ(4～3月)'!$D$26:$D$965,$B41,'内訳ﾘｽﾄ(4～3月)'!I$26:I$965)</f>
        <v>7530000</v>
      </c>
      <c r="G41" s="158">
        <f>SUMIF('内訳ﾘｽﾄ(4～3月)'!$D$26:$D$965,$B41,'内訳ﾘｽﾄ(4～3月)'!J$26:J$965)</f>
        <v>530000</v>
      </c>
      <c r="H41" s="158">
        <f>SUMIF('内訳ﾘｽﾄ(4～3月)'!$D$26:$D$965,$B41,'内訳ﾘｽﾄ(4～3月)'!K$26:K$965)</f>
        <v>530000</v>
      </c>
      <c r="I41" s="158">
        <f>SUMIF('内訳ﾘｽﾄ(4～3月)'!$D$26:$D$965,$B41,'内訳ﾘｽﾄ(4～3月)'!L$26:L$965)</f>
        <v>530000</v>
      </c>
      <c r="J41" s="158">
        <f>SUMIF('内訳ﾘｽﾄ(4～3月)'!$D$26:$D$965,$B41,'内訳ﾘｽﾄ(4～3月)'!M$26:M$965)</f>
        <v>530000</v>
      </c>
      <c r="K41" s="158">
        <f>SUMIF('内訳ﾘｽﾄ(4～3月)'!$D$26:$D$965,$B41,'内訳ﾘｽﾄ(4～3月)'!N$26:N$965)</f>
        <v>530000</v>
      </c>
      <c r="L41" s="158">
        <f>SUMIF('内訳ﾘｽﾄ(4～3月)'!$D$26:$D$965,$B41,'内訳ﾘｽﾄ(4～3月)'!O$26:O$965)</f>
        <v>530000</v>
      </c>
      <c r="M41" s="158">
        <f>SUMIF('内訳ﾘｽﾄ(4～3月)'!$D$26:$D$965,$B41,'内訳ﾘｽﾄ(4～3月)'!P$26:P$965)</f>
        <v>530000</v>
      </c>
      <c r="N41" s="158">
        <f>SUMIF('内訳ﾘｽﾄ(4～3月)'!$D$26:$D$965,$B41,'内訳ﾘｽﾄ(4～3月)'!Q$26:Q$965)</f>
        <v>530000</v>
      </c>
      <c r="O41" s="158">
        <f>SUMIF('内訳ﾘｽﾄ(4～3月)'!$D$26:$D$764,'採算表(VND)'!$B41,'内訳ﾘｽﾄ(4～3月)'!R$26:R$764)</f>
        <v>13360000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SUMIF('内訳ﾘｽﾄ(4～3月)'!$D$26:$D$965,$B42,'内訳ﾘｽﾄ(4～3月)'!F$26:F$965)</f>
        <v>1745816</v>
      </c>
      <c r="D42" s="158">
        <f>SUMIF('内訳ﾘｽﾄ(4～3月)'!$D$26:$D$965,$B42,'内訳ﾘｽﾄ(4～3月)'!G$26:G$965)</f>
        <v>1846716</v>
      </c>
      <c r="E42" s="158">
        <f>SUMIF('内訳ﾘｽﾄ(4～3月)'!$D$26:$D$965,$B42,'内訳ﾘｽﾄ(4～3月)'!H$26:H$965)</f>
        <v>1745816</v>
      </c>
      <c r="F42" s="158">
        <f>SUMIF('内訳ﾘｽﾄ(4～3月)'!$D$26:$D$965,$B42,'内訳ﾘｽﾄ(4～3月)'!I$26:I$965)</f>
        <v>1745816</v>
      </c>
      <c r="G42" s="158">
        <f>SUMIF('内訳ﾘｽﾄ(4～3月)'!$D$26:$D$965,$B42,'内訳ﾘｽﾄ(4～3月)'!J$26:J$965)</f>
        <v>1745816</v>
      </c>
      <c r="H42" s="158">
        <f>SUMIF('内訳ﾘｽﾄ(4～3月)'!$D$26:$D$965,$B42,'内訳ﾘｽﾄ(4～3月)'!K$26:K$965)</f>
        <v>1745816</v>
      </c>
      <c r="I42" s="158">
        <f>SUMIF('内訳ﾘｽﾄ(4～3月)'!$D$26:$D$965,$B42,'内訳ﾘｽﾄ(4～3月)'!L$26:L$965)</f>
        <v>1745816</v>
      </c>
      <c r="J42" s="158">
        <f>SUMIF('内訳ﾘｽﾄ(4～3月)'!$D$26:$D$965,$B42,'内訳ﾘｽﾄ(4～3月)'!M$26:M$965)</f>
        <v>1751416</v>
      </c>
      <c r="K42" s="158">
        <f>SUMIF('内訳ﾘｽﾄ(4～3月)'!$D$26:$D$965,$B42,'内訳ﾘｽﾄ(4～3月)'!N$26:N$965)</f>
        <v>1745816</v>
      </c>
      <c r="L42" s="158">
        <f>SUMIF('内訳ﾘｽﾄ(4～3月)'!$D$26:$D$965,$B42,'内訳ﾘｽﾄ(4～3月)'!O$26:O$965)</f>
        <v>1745816</v>
      </c>
      <c r="M42" s="158">
        <f>SUMIF('内訳ﾘｽﾄ(4～3月)'!$D$26:$D$965,$B42,'内訳ﾘｽﾄ(4～3月)'!P$26:P$965)</f>
        <v>1745816</v>
      </c>
      <c r="N42" s="158">
        <f>SUMIF('内訳ﾘｽﾄ(4～3月)'!$D$26:$D$965,$B42,'内訳ﾘｽﾄ(4～3月)'!Q$26:Q$965)</f>
        <v>1745816</v>
      </c>
      <c r="O42" s="158">
        <f>SUMIF('内訳ﾘｽﾄ(4～3月)'!$D$26:$D$764,'採算表(VND)'!$B42,'内訳ﾘｽﾄ(4～3月)'!R$26:R$764)</f>
        <v>21056292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SUMIF('内訳ﾘｽﾄ(4～3月)'!$D$26:$D$965,$B43,'内訳ﾘｽﾄ(4～3月)'!F$26:F$965)</f>
        <v>0</v>
      </c>
      <c r="D43" s="158">
        <f>SUMIF('内訳ﾘｽﾄ(4～3月)'!$D$26:$D$965,$B43,'内訳ﾘｽﾄ(4～3月)'!G$26:G$965)</f>
        <v>0</v>
      </c>
      <c r="E43" s="158">
        <f>SUMIF('内訳ﾘｽﾄ(4～3月)'!$D$26:$D$965,$B43,'内訳ﾘｽﾄ(4～3月)'!H$26:H$965)</f>
        <v>0</v>
      </c>
      <c r="F43" s="158">
        <f>SUMIF('内訳ﾘｽﾄ(4～3月)'!$D$26:$D$965,$B43,'内訳ﾘｽﾄ(4～3月)'!I$26:I$965)</f>
        <v>0</v>
      </c>
      <c r="G43" s="158">
        <f>SUMIF('内訳ﾘｽﾄ(4～3月)'!$D$26:$D$965,$B43,'内訳ﾘｽﾄ(4～3月)'!J$26:J$965)</f>
        <v>0</v>
      </c>
      <c r="H43" s="158">
        <f>SUMIF('内訳ﾘｽﾄ(4～3月)'!$D$26:$D$965,$B43,'内訳ﾘｽﾄ(4～3月)'!K$26:K$965)</f>
        <v>0</v>
      </c>
      <c r="I43" s="158">
        <f>SUMIF('内訳ﾘｽﾄ(4～3月)'!$D$26:$D$965,$B43,'内訳ﾘｽﾄ(4～3月)'!L$26:L$965)</f>
        <v>0</v>
      </c>
      <c r="J43" s="158">
        <f>SUMIF('内訳ﾘｽﾄ(4～3月)'!$D$26:$D$965,$B43,'内訳ﾘｽﾄ(4～3月)'!M$26:M$965)</f>
        <v>0</v>
      </c>
      <c r="K43" s="158">
        <f>SUMIF('内訳ﾘｽﾄ(4～3月)'!$D$26:$D$965,$B43,'内訳ﾘｽﾄ(4～3月)'!N$26:N$965)</f>
        <v>0</v>
      </c>
      <c r="L43" s="158">
        <f>SUMIF('内訳ﾘｽﾄ(4～3月)'!$D$26:$D$965,$B43,'内訳ﾘｽﾄ(4～3月)'!O$26:O$965)</f>
        <v>0</v>
      </c>
      <c r="M43" s="158">
        <f>SUMIF('内訳ﾘｽﾄ(4～3月)'!$D$26:$D$965,$B43,'内訳ﾘｽﾄ(4～3月)'!P$26:P$965)</f>
        <v>0</v>
      </c>
      <c r="N43" s="158">
        <f>SUMIF('内訳ﾘｽﾄ(4～3月)'!$D$26:$D$965,$B43,'内訳ﾘｽﾄ(4～3月)'!Q$26:Q$965)</f>
        <v>0</v>
      </c>
      <c r="O43" s="158">
        <f>SUMIF('内訳ﾘｽﾄ(4～3月)'!$D$26:$D$764,'採算表(VND)'!$B43,'内訳ﾘｽﾄ(4～3月)'!R$26:R$764)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SUMIF('内訳ﾘｽﾄ(4～3月)'!$D$26:$D$965,$B44,'内訳ﾘｽﾄ(4～3月)'!F$26:F$965)</f>
        <v>7577356</v>
      </c>
      <c r="D44" s="158">
        <f>SUMIF('内訳ﾘｽﾄ(4～3月)'!$D$26:$D$965,$B44,'内訳ﾘｽﾄ(4～3月)'!G$26:G$965)</f>
        <v>17354260</v>
      </c>
      <c r="E44" s="158">
        <f>SUMIF('内訳ﾘｽﾄ(4～3月)'!$D$26:$D$965,$B44,'内訳ﾘｽﾄ(4～3月)'!H$26:H$965)</f>
        <v>3930771</v>
      </c>
      <c r="F44" s="158">
        <f>SUMIF('内訳ﾘｽﾄ(4～3月)'!$D$26:$D$965,$B44,'内訳ﾘｽﾄ(4～3月)'!I$26:I$965)</f>
        <v>4478743</v>
      </c>
      <c r="G44" s="158">
        <f>SUMIF('内訳ﾘｽﾄ(4～3月)'!$D$26:$D$965,$B44,'内訳ﾘｽﾄ(4～3月)'!J$26:J$965)</f>
        <v>37397832</v>
      </c>
      <c r="H44" s="158">
        <f>SUMIF('内訳ﾘｽﾄ(4～3月)'!$D$26:$D$965,$B44,'内訳ﾘｽﾄ(4～3月)'!K$26:K$965)</f>
        <v>4832292</v>
      </c>
      <c r="I44" s="158">
        <f>SUMIF('内訳ﾘｽﾄ(4～3月)'!$D$26:$D$965,$B44,'内訳ﾘｽﾄ(4～3月)'!L$26:L$965)</f>
        <v>3894736</v>
      </c>
      <c r="J44" s="158">
        <f>SUMIF('内訳ﾘｽﾄ(4～3月)'!$D$26:$D$965,$B44,'内訳ﾘｽﾄ(4～3月)'!M$26:M$965)</f>
        <v>4462398</v>
      </c>
      <c r="K44" s="158">
        <f>SUMIF('内訳ﾘｽﾄ(4～3月)'!$D$26:$D$965,$B44,'内訳ﾘｽﾄ(4～3月)'!N$26:N$965)</f>
        <v>4873450</v>
      </c>
      <c r="L44" s="158">
        <f>SUMIF('内訳ﾘｽﾄ(4～3月)'!$D$26:$D$965,$B44,'内訳ﾘｽﾄ(4～3月)'!O$26:O$965)</f>
        <v>3521116</v>
      </c>
      <c r="M44" s="158">
        <f>SUMIF('内訳ﾘｽﾄ(4～3月)'!$D$26:$D$965,$B44,'内訳ﾘｽﾄ(4～3月)'!P$26:P$965)</f>
        <v>4032984</v>
      </c>
      <c r="N44" s="158">
        <f>SUMIF('内訳ﾘｽﾄ(4～3月)'!$D$26:$D$965,$B44,'内訳ﾘｽﾄ(4～3月)'!Q$26:Q$965)</f>
        <v>5170008</v>
      </c>
      <c r="O44" s="158">
        <f>SUMIF('内訳ﾘｽﾄ(4～3月)'!$D$26:$D$764,'採算表(VND)'!$B44,'内訳ﾘｽﾄ(4～3月)'!R$26:R$764)</f>
        <v>101525946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SUMIF('内訳ﾘｽﾄ(4～3月)'!$D$26:$D$965,$B45,'内訳ﾘｽﾄ(4～3月)'!F$26:F$965)</f>
        <v>0</v>
      </c>
      <c r="D45" s="158">
        <f>SUMIF('内訳ﾘｽﾄ(4～3月)'!$D$26:$D$965,$B45,'内訳ﾘｽﾄ(4～3月)'!G$26:G$965)</f>
        <v>0</v>
      </c>
      <c r="E45" s="158">
        <f>SUMIF('内訳ﾘｽﾄ(4～3月)'!$D$26:$D$965,$B45,'内訳ﾘｽﾄ(4～3月)'!H$26:H$965)</f>
        <v>31200000</v>
      </c>
      <c r="F45" s="158">
        <f>SUMIF('内訳ﾘｽﾄ(4～3月)'!$D$26:$D$965,$B45,'内訳ﾘｽﾄ(4～3月)'!I$26:I$965)</f>
        <v>0</v>
      </c>
      <c r="G45" s="158">
        <f>SUMIF('内訳ﾘｽﾄ(4～3月)'!$D$26:$D$965,$B45,'内訳ﾘｽﾄ(4～3月)'!J$26:J$965)</f>
        <v>5840000</v>
      </c>
      <c r="H45" s="158">
        <f>SUMIF('内訳ﾘｽﾄ(4～3月)'!$D$26:$D$965,$B45,'内訳ﾘｽﾄ(4～3月)'!K$26:K$965)</f>
        <v>108000000</v>
      </c>
      <c r="I45" s="158">
        <f>SUMIF('内訳ﾘｽﾄ(4～3月)'!$D$26:$D$965,$B45,'内訳ﾘｽﾄ(4～3月)'!L$26:L$965)</f>
        <v>74000000</v>
      </c>
      <c r="J45" s="158">
        <f>SUMIF('内訳ﾘｽﾄ(4～3月)'!$D$26:$D$965,$B45,'内訳ﾘｽﾄ(4～3月)'!M$26:M$965)</f>
        <v>220000000</v>
      </c>
      <c r="K45" s="158">
        <f>SUMIF('内訳ﾘｽﾄ(4～3月)'!$D$26:$D$965,$B45,'内訳ﾘｽﾄ(4～3月)'!N$26:N$965)</f>
        <v>1000000</v>
      </c>
      <c r="L45" s="158">
        <f>SUMIF('内訳ﾘｽﾄ(4～3月)'!$D$26:$D$965,$B45,'内訳ﾘｽﾄ(4～3月)'!O$26:O$965)</f>
        <v>0</v>
      </c>
      <c r="M45" s="158">
        <f>SUMIF('内訳ﾘｽﾄ(4～3月)'!$D$26:$D$965,$B45,'内訳ﾘｽﾄ(4～3月)'!P$26:P$965)</f>
        <v>0</v>
      </c>
      <c r="N45" s="158">
        <f>SUMIF('内訳ﾘｽﾄ(4～3月)'!$D$26:$D$965,$B45,'内訳ﾘｽﾄ(4～3月)'!Q$26:Q$965)</f>
        <v>0</v>
      </c>
      <c r="O45" s="158">
        <f>SUMIF('内訳ﾘｽﾄ(4～3月)'!$D$26:$D$764,'採算表(VND)'!$B45,'内訳ﾘｽﾄ(4～3月)'!R$26:R$764)</f>
        <v>440040000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SUMIF('内訳ﾘｽﾄ(4～3月)'!$D$26:$D$965,$B46,'内訳ﾘｽﾄ(4～3月)'!F$26:F$965)</f>
        <v>-514378900</v>
      </c>
      <c r="D46" s="158">
        <f>SUMIF('内訳ﾘｽﾄ(4～3月)'!$D$26:$D$965,$B46,'内訳ﾘｽﾄ(4～3月)'!G$26:G$965)</f>
        <v>-514378900</v>
      </c>
      <c r="E46" s="158">
        <f>SUMIF('内訳ﾘｽﾄ(4～3月)'!$D$26:$D$965,$B46,'内訳ﾘｽﾄ(4～3月)'!H$26:H$965)</f>
        <v>-514378900</v>
      </c>
      <c r="F46" s="158">
        <f>SUMIF('内訳ﾘｽﾄ(4～3月)'!$D$26:$D$965,$B46,'内訳ﾘｽﾄ(4～3月)'!I$26:I$965)</f>
        <v>-514378900</v>
      </c>
      <c r="G46" s="158">
        <f>SUMIF('内訳ﾘｽﾄ(4～3月)'!$D$26:$D$965,$B46,'内訳ﾘｽﾄ(4～3月)'!J$26:J$965)</f>
        <v>-514378900</v>
      </c>
      <c r="H46" s="158">
        <f>SUMIF('内訳ﾘｽﾄ(4～3月)'!$D$26:$D$965,$B46,'内訳ﾘｽﾄ(4～3月)'!K$26:K$965)</f>
        <v>-514378900</v>
      </c>
      <c r="I46" s="158">
        <f>SUMIF('内訳ﾘｽﾄ(4～3月)'!$D$26:$D$965,$B46,'内訳ﾘｽﾄ(4～3月)'!L$26:L$965)</f>
        <v>-514378900</v>
      </c>
      <c r="J46" s="158">
        <f>SUMIF('内訳ﾘｽﾄ(4～3月)'!$D$26:$D$965,$B46,'内訳ﾘｽﾄ(4～3月)'!M$26:M$965)</f>
        <v>-514378900</v>
      </c>
      <c r="K46" s="158">
        <f>SUMIF('内訳ﾘｽﾄ(4～3月)'!$D$26:$D$965,$B46,'内訳ﾘｽﾄ(4～3月)'!N$26:N$965)</f>
        <v>-514378900</v>
      </c>
      <c r="L46" s="158">
        <f>SUMIF('内訳ﾘｽﾄ(4～3月)'!$D$26:$D$965,$B46,'内訳ﾘｽﾄ(4～3月)'!O$26:O$965)</f>
        <v>-514378900</v>
      </c>
      <c r="M46" s="158">
        <f>SUMIF('内訳ﾘｽﾄ(4～3月)'!$D$26:$D$965,$B46,'内訳ﾘｽﾄ(4～3月)'!P$26:P$965)</f>
        <v>-514378900</v>
      </c>
      <c r="N46" s="158">
        <f>SUMIF('内訳ﾘｽﾄ(4～3月)'!$D$26:$D$965,$B46,'内訳ﾘｽﾄ(4～3月)'!Q$26:Q$965)</f>
        <v>-514378900</v>
      </c>
      <c r="O46" s="158">
        <f>SUMIF('内訳ﾘｽﾄ(4～3月)'!$D$26:$D$764,'採算表(VND)'!$B46,'内訳ﾘｽﾄ(4～3月)'!R$26:R$764)</f>
        <v>-6172546800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SUMIF('内訳ﾘｽﾄ(4～3月)'!$D$26:$D$965,$B47,'内訳ﾘｽﾄ(4～3月)'!F$26:F$965)</f>
        <v>0</v>
      </c>
      <c r="D47" s="158">
        <f>SUMIF('内訳ﾘｽﾄ(4～3月)'!$D$26:$D$965,$B47,'内訳ﾘｽﾄ(4～3月)'!G$26:G$965)</f>
        <v>0</v>
      </c>
      <c r="E47" s="158">
        <f>SUMIF('内訳ﾘｽﾄ(4～3月)'!$D$26:$D$965,$B47,'内訳ﾘｽﾄ(4～3月)'!H$26:H$965)</f>
        <v>0</v>
      </c>
      <c r="F47" s="158">
        <f>SUMIF('内訳ﾘｽﾄ(4～3月)'!$D$26:$D$965,$B47,'内訳ﾘｽﾄ(4～3月)'!I$26:I$965)</f>
        <v>0</v>
      </c>
      <c r="G47" s="158">
        <f>SUMIF('内訳ﾘｽﾄ(4～3月)'!$D$26:$D$965,$B47,'内訳ﾘｽﾄ(4～3月)'!J$26:J$965)</f>
        <v>0</v>
      </c>
      <c r="H47" s="158">
        <f>SUMIF('内訳ﾘｽﾄ(4～3月)'!$D$26:$D$965,$B47,'内訳ﾘｽﾄ(4～3月)'!K$26:K$965)</f>
        <v>0</v>
      </c>
      <c r="I47" s="158">
        <f>SUMIF('内訳ﾘｽﾄ(4～3月)'!$D$26:$D$965,$B47,'内訳ﾘｽﾄ(4～3月)'!L$26:L$965)</f>
        <v>0</v>
      </c>
      <c r="J47" s="158">
        <f>SUMIF('内訳ﾘｽﾄ(4～3月)'!$D$26:$D$965,$B47,'内訳ﾘｽﾄ(4～3月)'!M$26:M$965)</f>
        <v>0</v>
      </c>
      <c r="K47" s="158">
        <f>SUMIF('内訳ﾘｽﾄ(4～3月)'!$D$26:$D$965,$B47,'内訳ﾘｽﾄ(4～3月)'!N$26:N$965)</f>
        <v>0</v>
      </c>
      <c r="L47" s="158">
        <f>SUMIF('内訳ﾘｽﾄ(4～3月)'!$D$26:$D$965,$B47,'内訳ﾘｽﾄ(4～3月)'!O$26:O$965)</f>
        <v>0</v>
      </c>
      <c r="M47" s="158">
        <f>SUMIF('内訳ﾘｽﾄ(4～3月)'!$D$26:$D$965,$B47,'内訳ﾘｽﾄ(4～3月)'!P$26:P$965)</f>
        <v>0</v>
      </c>
      <c r="N47" s="158">
        <f>SUMIF('内訳ﾘｽﾄ(4～3月)'!$D$26:$D$965,$B47,'内訳ﾘｽﾄ(4～3月)'!Q$26:Q$965)</f>
        <v>0</v>
      </c>
      <c r="O47" s="158">
        <f>SUMIF('内訳ﾘｽﾄ(4～3月)'!$D$26:$D$764,'採算表(VND)'!$B47,'内訳ﾘｽﾄ(4～3月)'!R$26:R$764)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SUMIF('内訳ﾘｽﾄ(4～3月)'!$D$26:$D$965,$B48,'内訳ﾘｽﾄ(4～3月)'!F$26:F$965)</f>
        <v>0</v>
      </c>
      <c r="D48" s="158">
        <f>SUMIF('内訳ﾘｽﾄ(4～3月)'!$D$26:$D$965,$B48,'内訳ﾘｽﾄ(4～3月)'!G$26:G$965)</f>
        <v>0</v>
      </c>
      <c r="E48" s="158">
        <f>SUMIF('内訳ﾘｽﾄ(4～3月)'!$D$26:$D$965,$B48,'内訳ﾘｽﾄ(4～3月)'!H$26:H$965)</f>
        <v>0</v>
      </c>
      <c r="F48" s="158">
        <f>SUMIF('内訳ﾘｽﾄ(4～3月)'!$D$26:$D$965,$B48,'内訳ﾘｽﾄ(4～3月)'!I$26:I$965)</f>
        <v>0</v>
      </c>
      <c r="G48" s="158">
        <f>SUMIF('内訳ﾘｽﾄ(4～3月)'!$D$26:$D$965,$B48,'内訳ﾘｽﾄ(4～3月)'!J$26:J$965)</f>
        <v>0</v>
      </c>
      <c r="H48" s="158">
        <f>SUMIF('内訳ﾘｽﾄ(4～3月)'!$D$26:$D$965,$B48,'内訳ﾘｽﾄ(4～3月)'!K$26:K$965)</f>
        <v>0</v>
      </c>
      <c r="I48" s="158">
        <f>SUMIF('内訳ﾘｽﾄ(4～3月)'!$D$26:$D$965,$B48,'内訳ﾘｽﾄ(4～3月)'!L$26:L$965)</f>
        <v>0</v>
      </c>
      <c r="J48" s="158">
        <f>SUMIF('内訳ﾘｽﾄ(4～3月)'!$D$26:$D$965,$B48,'内訳ﾘｽﾄ(4～3月)'!M$26:M$965)</f>
        <v>0</v>
      </c>
      <c r="K48" s="158">
        <f>SUMIF('内訳ﾘｽﾄ(4～3月)'!$D$26:$D$965,$B48,'内訳ﾘｽﾄ(4～3月)'!N$26:N$965)</f>
        <v>0</v>
      </c>
      <c r="L48" s="158">
        <f>SUMIF('内訳ﾘｽﾄ(4～3月)'!$D$26:$D$965,$B48,'内訳ﾘｽﾄ(4～3月)'!O$26:O$965)</f>
        <v>0</v>
      </c>
      <c r="M48" s="158">
        <f>SUMIF('内訳ﾘｽﾄ(4～3月)'!$D$26:$D$965,$B48,'内訳ﾘｽﾄ(4～3月)'!P$26:P$965)</f>
        <v>0</v>
      </c>
      <c r="N48" s="158">
        <f>SUMIF('内訳ﾘｽﾄ(4～3月)'!$D$26:$D$965,$B48,'内訳ﾘｽﾄ(4～3月)'!Q$26:Q$965)</f>
        <v>0</v>
      </c>
      <c r="O48" s="158">
        <f>SUMIF('内訳ﾘｽﾄ(4～3月)'!$D$26:$D$764,'採算表(VND)'!$B48,'内訳ﾘｽﾄ(4～3月)'!R$26:R$764)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SUMIF('内訳ﾘｽﾄ(4～3月)'!$D$26:$D$965,$B49,'内訳ﾘｽﾄ(4～3月)'!F$26:F$965)</f>
        <v>0</v>
      </c>
      <c r="D49" s="158">
        <f>SUMIF('内訳ﾘｽﾄ(4～3月)'!$D$26:$D$965,$B49,'内訳ﾘｽﾄ(4～3月)'!G$26:G$965)</f>
        <v>0</v>
      </c>
      <c r="E49" s="158">
        <f>SUMIF('内訳ﾘｽﾄ(4～3月)'!$D$26:$D$965,$B49,'内訳ﾘｽﾄ(4～3月)'!H$26:H$965)</f>
        <v>0</v>
      </c>
      <c r="F49" s="158">
        <f>SUMIF('内訳ﾘｽﾄ(4～3月)'!$D$26:$D$965,$B49,'内訳ﾘｽﾄ(4～3月)'!I$26:I$965)</f>
        <v>0</v>
      </c>
      <c r="G49" s="158">
        <f>SUMIF('内訳ﾘｽﾄ(4～3月)'!$D$26:$D$965,$B49,'内訳ﾘｽﾄ(4～3月)'!J$26:J$965)</f>
        <v>0</v>
      </c>
      <c r="H49" s="158">
        <f>SUMIF('内訳ﾘｽﾄ(4～3月)'!$D$26:$D$965,$B49,'内訳ﾘｽﾄ(4～3月)'!K$26:K$965)</f>
        <v>0</v>
      </c>
      <c r="I49" s="158">
        <f>SUMIF('内訳ﾘｽﾄ(4～3月)'!$D$26:$D$965,$B49,'内訳ﾘｽﾄ(4～3月)'!L$26:L$965)</f>
        <v>0</v>
      </c>
      <c r="J49" s="158">
        <f>SUMIF('内訳ﾘｽﾄ(4～3月)'!$D$26:$D$965,$B49,'内訳ﾘｽﾄ(4～3月)'!M$26:M$965)</f>
        <v>0</v>
      </c>
      <c r="K49" s="158">
        <f>SUMIF('内訳ﾘｽﾄ(4～3月)'!$D$26:$D$965,$B49,'内訳ﾘｽﾄ(4～3月)'!N$26:N$965)</f>
        <v>0</v>
      </c>
      <c r="L49" s="158">
        <f>SUMIF('内訳ﾘｽﾄ(4～3月)'!$D$26:$D$965,$B49,'内訳ﾘｽﾄ(4～3月)'!O$26:O$965)</f>
        <v>0</v>
      </c>
      <c r="M49" s="158">
        <f>SUMIF('内訳ﾘｽﾄ(4～3月)'!$D$26:$D$965,$B49,'内訳ﾘｽﾄ(4～3月)'!P$26:P$965)</f>
        <v>0</v>
      </c>
      <c r="N49" s="158">
        <f>SUMIF('内訳ﾘｽﾄ(4～3月)'!$D$26:$D$965,$B49,'内訳ﾘｽﾄ(4～3月)'!Q$26:Q$965)</f>
        <v>0</v>
      </c>
      <c r="O49" s="158">
        <f>SUMIF('内訳ﾘｽﾄ(4～3月)'!$D$26:$D$764,'採算表(VND)'!$B49,'内訳ﾘｽﾄ(4～3月)'!R$26:R$764)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SUMIF('内訳ﾘｽﾄ(4～3月)'!$D$26:$D$965,$B50,'内訳ﾘｽﾄ(4～3月)'!F$26:F$965)</f>
        <v>0</v>
      </c>
      <c r="D50" s="158">
        <f>SUMIF('内訳ﾘｽﾄ(4～3月)'!$D$26:$D$965,$B50,'内訳ﾘｽﾄ(4～3月)'!G$26:G$965)</f>
        <v>0</v>
      </c>
      <c r="E50" s="158">
        <f>SUMIF('内訳ﾘｽﾄ(4～3月)'!$D$26:$D$965,$B50,'内訳ﾘｽﾄ(4～3月)'!H$26:H$965)</f>
        <v>0</v>
      </c>
      <c r="F50" s="158">
        <f>SUMIF('内訳ﾘｽﾄ(4～3月)'!$D$26:$D$965,$B50,'内訳ﾘｽﾄ(4～3月)'!I$26:I$965)</f>
        <v>0</v>
      </c>
      <c r="G50" s="158">
        <f>SUMIF('内訳ﾘｽﾄ(4～3月)'!$D$26:$D$965,$B50,'内訳ﾘｽﾄ(4～3月)'!J$26:J$965)</f>
        <v>0</v>
      </c>
      <c r="H50" s="158">
        <f>SUMIF('内訳ﾘｽﾄ(4～3月)'!$D$26:$D$965,$B50,'内訳ﾘｽﾄ(4～3月)'!K$26:K$965)</f>
        <v>0</v>
      </c>
      <c r="I50" s="158">
        <f>SUMIF('内訳ﾘｽﾄ(4～3月)'!$D$26:$D$965,$B50,'内訳ﾘｽﾄ(4～3月)'!L$26:L$965)</f>
        <v>0</v>
      </c>
      <c r="J50" s="158">
        <f>SUMIF('内訳ﾘｽﾄ(4～3月)'!$D$26:$D$965,$B50,'内訳ﾘｽﾄ(4～3月)'!M$26:M$965)</f>
        <v>0</v>
      </c>
      <c r="K50" s="158">
        <f>SUMIF('内訳ﾘｽﾄ(4～3月)'!$D$26:$D$965,$B50,'内訳ﾘｽﾄ(4～3月)'!N$26:N$965)</f>
        <v>0</v>
      </c>
      <c r="L50" s="158">
        <f>SUMIF('内訳ﾘｽﾄ(4～3月)'!$D$26:$D$965,$B50,'内訳ﾘｽﾄ(4～3月)'!O$26:O$965)</f>
        <v>0</v>
      </c>
      <c r="M50" s="158">
        <f>SUMIF('内訳ﾘｽﾄ(4～3月)'!$D$26:$D$965,$B50,'内訳ﾘｽﾄ(4～3月)'!P$26:P$965)</f>
        <v>0</v>
      </c>
      <c r="N50" s="158">
        <f>SUMIF('内訳ﾘｽﾄ(4～3月)'!$D$26:$D$965,$B50,'内訳ﾘｽﾄ(4～3月)'!Q$26:Q$965)</f>
        <v>0</v>
      </c>
      <c r="O50" s="158">
        <f>SUMIF('内訳ﾘｽﾄ(4～3月)'!$D$26:$D$764,'採算表(VND)'!$B50,'内訳ﾘｽﾄ(4～3月)'!R$26:R$764)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SUMIF('内訳ﾘｽﾄ(4～3月)'!$D$26:$D$965,$B51,'内訳ﾘｽﾄ(4～3月)'!F$26:F$965)</f>
        <v>0</v>
      </c>
      <c r="D51" s="159">
        <f>SUMIF('内訳ﾘｽﾄ(4～3月)'!$D$26:$D$965,$B51,'内訳ﾘｽﾄ(4～3月)'!G$26:G$965)</f>
        <v>0</v>
      </c>
      <c r="E51" s="159">
        <f>SUMIF('内訳ﾘｽﾄ(4～3月)'!$D$26:$D$965,$B51,'内訳ﾘｽﾄ(4～3月)'!H$26:H$965)</f>
        <v>0</v>
      </c>
      <c r="F51" s="159">
        <f>SUMIF('内訳ﾘｽﾄ(4～3月)'!$D$26:$D$965,$B51,'内訳ﾘｽﾄ(4～3月)'!I$26:I$965)</f>
        <v>0</v>
      </c>
      <c r="G51" s="159">
        <f>SUMIF('内訳ﾘｽﾄ(4～3月)'!$D$26:$D$965,$B51,'内訳ﾘｽﾄ(4～3月)'!J$26:J$965)</f>
        <v>0</v>
      </c>
      <c r="H51" s="159">
        <f>SUMIF('内訳ﾘｽﾄ(4～3月)'!$D$26:$D$965,$B51,'内訳ﾘｽﾄ(4～3月)'!K$26:K$965)</f>
        <v>0</v>
      </c>
      <c r="I51" s="159">
        <f>SUMIF('内訳ﾘｽﾄ(4～3月)'!$D$26:$D$965,$B51,'内訳ﾘｽﾄ(4～3月)'!L$26:L$965)</f>
        <v>0</v>
      </c>
      <c r="J51" s="159">
        <f>SUMIF('内訳ﾘｽﾄ(4～3月)'!$D$26:$D$965,$B51,'内訳ﾘｽﾄ(4～3月)'!M$26:M$965)</f>
        <v>0</v>
      </c>
      <c r="K51" s="159">
        <f>SUMIF('内訳ﾘｽﾄ(4～3月)'!$D$26:$D$965,$B51,'内訳ﾘｽﾄ(4～3月)'!N$26:N$965)</f>
        <v>0</v>
      </c>
      <c r="L51" s="159">
        <f>SUMIF('内訳ﾘｽﾄ(4～3月)'!$D$26:$D$965,$B51,'内訳ﾘｽﾄ(4～3月)'!O$26:O$965)</f>
        <v>0</v>
      </c>
      <c r="M51" s="159">
        <f>SUMIF('内訳ﾘｽﾄ(4～3月)'!$D$26:$D$965,$B51,'内訳ﾘｽﾄ(4～3月)'!P$26:P$965)</f>
        <v>0</v>
      </c>
      <c r="N51" s="159">
        <f>SUMIF('内訳ﾘｽﾄ(4～3月)'!$D$26:$D$965,$B51,'内訳ﾘｽﾄ(4～3月)'!Q$26:Q$965)</f>
        <v>0</v>
      </c>
      <c r="O51" s="159">
        <f>SUMIF('内訳ﾘｽﾄ(4～3月)'!$D$26:$D$764,'採算表(VND)'!$B51,'内訳ﾘｽﾄ(4～3月)'!R$26:R$764)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SUMIF('内訳ﾘｽﾄ(4～3月)'!$D$26:$D$965,$B52,'内訳ﾘｽﾄ(4～3月)'!F$26:F$965)</f>
        <v>0</v>
      </c>
      <c r="D52" s="160">
        <f>SUMIF('内訳ﾘｽﾄ(4～3月)'!$D$26:$D$965,$B52,'内訳ﾘｽﾄ(4～3月)'!G$26:G$965)</f>
        <v>0</v>
      </c>
      <c r="E52" s="160">
        <f>SUMIF('内訳ﾘｽﾄ(4～3月)'!$D$26:$D$965,$B52,'内訳ﾘｽﾄ(4～3月)'!H$26:H$965)</f>
        <v>0</v>
      </c>
      <c r="F52" s="160">
        <f>SUMIF('内訳ﾘｽﾄ(4～3月)'!$D$26:$D$965,$B52,'内訳ﾘｽﾄ(4～3月)'!I$26:I$965)</f>
        <v>0</v>
      </c>
      <c r="G52" s="160">
        <f>SUMIF('内訳ﾘｽﾄ(4～3月)'!$D$26:$D$965,$B52,'内訳ﾘｽﾄ(4～3月)'!J$26:J$965)</f>
        <v>0</v>
      </c>
      <c r="H52" s="160">
        <f>SUMIF('内訳ﾘｽﾄ(4～3月)'!$D$26:$D$965,$B52,'内訳ﾘｽﾄ(4～3月)'!K$26:K$965)</f>
        <v>0</v>
      </c>
      <c r="I52" s="160">
        <f>SUMIF('内訳ﾘｽﾄ(4～3月)'!$D$26:$D$965,$B52,'内訳ﾘｽﾄ(4～3月)'!L$26:L$965)</f>
        <v>0</v>
      </c>
      <c r="J52" s="160">
        <f>SUMIF('内訳ﾘｽﾄ(4～3月)'!$D$26:$D$965,$B52,'内訳ﾘｽﾄ(4～3月)'!M$26:M$965)</f>
        <v>0</v>
      </c>
      <c r="K52" s="160">
        <f>SUMIF('内訳ﾘｽﾄ(4～3月)'!$D$26:$D$965,$B52,'内訳ﾘｽﾄ(4～3月)'!N$26:N$965)</f>
        <v>0</v>
      </c>
      <c r="L52" s="160">
        <f>SUMIF('内訳ﾘｽﾄ(4～3月)'!$D$26:$D$965,$B52,'内訳ﾘｽﾄ(4～3月)'!O$26:O$965)</f>
        <v>0</v>
      </c>
      <c r="M52" s="160">
        <f>SUMIF('内訳ﾘｽﾄ(4～3月)'!$D$26:$D$965,$B52,'内訳ﾘｽﾄ(4～3月)'!P$26:P$965)</f>
        <v>0</v>
      </c>
      <c r="N52" s="160">
        <f>SUMIF('内訳ﾘｽﾄ(4～3月)'!$D$26:$D$965,$B52,'内訳ﾘｽﾄ(4～3月)'!Q$26:Q$965)</f>
        <v>0</v>
      </c>
      <c r="O52" s="160">
        <f>SUMIF('内訳ﾘｽﾄ(4～3月)'!$D$26:$D$764,'採算表(VND)'!$B52,'内訳ﾘｽﾄ(4～3月)'!R$26:R$764)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SUMIF('内訳ﾘｽﾄ(4～3月)'!$D$26:$D$965,$B53,'内訳ﾘｽﾄ(4～3月)'!F$26:F$965)</f>
        <v>0</v>
      </c>
      <c r="D53" s="160">
        <f>SUMIF('内訳ﾘｽﾄ(4～3月)'!$D$26:$D$965,$B53,'内訳ﾘｽﾄ(4～3月)'!G$26:G$965)</f>
        <v>0</v>
      </c>
      <c r="E53" s="160">
        <f>SUMIF('内訳ﾘｽﾄ(4～3月)'!$D$26:$D$965,$B53,'内訳ﾘｽﾄ(4～3月)'!H$26:H$965)</f>
        <v>0</v>
      </c>
      <c r="F53" s="160">
        <f>SUMIF('内訳ﾘｽﾄ(4～3月)'!$D$26:$D$965,$B53,'内訳ﾘｽﾄ(4～3月)'!I$26:I$965)</f>
        <v>0</v>
      </c>
      <c r="G53" s="160">
        <f>SUMIF('内訳ﾘｽﾄ(4～3月)'!$D$26:$D$965,$B53,'内訳ﾘｽﾄ(4～3月)'!J$26:J$965)</f>
        <v>0</v>
      </c>
      <c r="H53" s="160">
        <f>SUMIF('内訳ﾘｽﾄ(4～3月)'!$D$26:$D$965,$B53,'内訳ﾘｽﾄ(4～3月)'!K$26:K$965)</f>
        <v>0</v>
      </c>
      <c r="I53" s="160">
        <f>SUMIF('内訳ﾘｽﾄ(4～3月)'!$D$26:$D$965,$B53,'内訳ﾘｽﾄ(4～3月)'!L$26:L$965)</f>
        <v>0</v>
      </c>
      <c r="J53" s="160">
        <f>SUMIF('内訳ﾘｽﾄ(4～3月)'!$D$26:$D$965,$B53,'内訳ﾘｽﾄ(4～3月)'!M$26:M$965)</f>
        <v>0</v>
      </c>
      <c r="K53" s="160">
        <f>SUMIF('内訳ﾘｽﾄ(4～3月)'!$D$26:$D$965,$B53,'内訳ﾘｽﾄ(4～3月)'!N$26:N$965)</f>
        <v>0</v>
      </c>
      <c r="L53" s="160">
        <f>SUMIF('内訳ﾘｽﾄ(4～3月)'!$D$26:$D$965,$B53,'内訳ﾘｽﾄ(4～3月)'!O$26:O$965)</f>
        <v>0</v>
      </c>
      <c r="M53" s="160">
        <f>SUMIF('内訳ﾘｽﾄ(4～3月)'!$D$26:$D$965,$B53,'内訳ﾘｽﾄ(4～3月)'!P$26:P$965)</f>
        <v>0</v>
      </c>
      <c r="N53" s="160">
        <f>SUMIF('内訳ﾘｽﾄ(4～3月)'!$D$26:$D$965,$B53,'内訳ﾘｽﾄ(4～3月)'!Q$26:Q$965)</f>
        <v>0</v>
      </c>
      <c r="O53" s="160">
        <f>SUMIF('内訳ﾘｽﾄ(4～3月)'!$D$26:$D$764,'採算表(VND)'!$B53,'内訳ﾘｽﾄ(4～3月)'!R$26:R$764)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SUMIF('内訳ﾘｽﾄ(4～3月)'!$D$26:$D$965,$B54,'内訳ﾘｽﾄ(4～3月)'!F$26:F$965)</f>
        <v>0</v>
      </c>
      <c r="D54" s="160">
        <f>SUMIF('内訳ﾘｽﾄ(4～3月)'!$D$26:$D$965,$B54,'内訳ﾘｽﾄ(4～3月)'!G$26:G$965)</f>
        <v>0</v>
      </c>
      <c r="E54" s="160">
        <f>SUMIF('内訳ﾘｽﾄ(4～3月)'!$D$26:$D$965,$B54,'内訳ﾘｽﾄ(4～3月)'!H$26:H$965)</f>
        <v>0</v>
      </c>
      <c r="F54" s="160">
        <f>SUMIF('内訳ﾘｽﾄ(4～3月)'!$D$26:$D$965,$B54,'内訳ﾘｽﾄ(4～3月)'!I$26:I$965)</f>
        <v>0</v>
      </c>
      <c r="G54" s="160">
        <f>SUMIF('内訳ﾘｽﾄ(4～3月)'!$D$26:$D$965,$B54,'内訳ﾘｽﾄ(4～3月)'!J$26:J$965)</f>
        <v>0</v>
      </c>
      <c r="H54" s="160">
        <f>SUMIF('内訳ﾘｽﾄ(4～3月)'!$D$26:$D$965,$B54,'内訳ﾘｽﾄ(4～3月)'!K$26:K$965)</f>
        <v>0</v>
      </c>
      <c r="I54" s="160">
        <f>SUMIF('内訳ﾘｽﾄ(4～3月)'!$D$26:$D$965,$B54,'内訳ﾘｽﾄ(4～3月)'!L$26:L$965)</f>
        <v>0</v>
      </c>
      <c r="J54" s="160">
        <f>SUMIF('内訳ﾘｽﾄ(4～3月)'!$D$26:$D$965,$B54,'内訳ﾘｽﾄ(4～3月)'!M$26:M$965)</f>
        <v>0</v>
      </c>
      <c r="K54" s="160">
        <f>SUMIF('内訳ﾘｽﾄ(4～3月)'!$D$26:$D$965,$B54,'内訳ﾘｽﾄ(4～3月)'!N$26:N$965)</f>
        <v>0</v>
      </c>
      <c r="L54" s="160">
        <f>SUMIF('内訳ﾘｽﾄ(4～3月)'!$D$26:$D$965,$B54,'内訳ﾘｽﾄ(4～3月)'!O$26:O$965)</f>
        <v>0</v>
      </c>
      <c r="M54" s="160">
        <f>SUMIF('内訳ﾘｽﾄ(4～3月)'!$D$26:$D$965,$B54,'内訳ﾘｽﾄ(4～3月)'!P$26:P$965)</f>
        <v>0</v>
      </c>
      <c r="N54" s="160">
        <f>SUMIF('内訳ﾘｽﾄ(4～3月)'!$D$26:$D$965,$B54,'内訳ﾘｽﾄ(4～3月)'!Q$26:Q$965)</f>
        <v>0</v>
      </c>
      <c r="O54" s="160">
        <f>SUMIF('内訳ﾘｽﾄ(4～3月)'!$D$26:$D$764,'採算表(VND)'!$B54,'内訳ﾘｽﾄ(4～3月)'!R$26:R$764)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SUMIF('内訳ﾘｽﾄ(4～3月)'!$D$26:$D$965,$B55,'内訳ﾘｽﾄ(4～3月)'!F$26:F$965)</f>
        <v>0</v>
      </c>
      <c r="D55" s="160">
        <f>SUMIF('内訳ﾘｽﾄ(4～3月)'!$D$26:$D$965,$B55,'内訳ﾘｽﾄ(4～3月)'!G$26:G$965)</f>
        <v>0</v>
      </c>
      <c r="E55" s="160">
        <f>SUMIF('内訳ﾘｽﾄ(4～3月)'!$D$26:$D$965,$B55,'内訳ﾘｽﾄ(4～3月)'!H$26:H$965)</f>
        <v>0</v>
      </c>
      <c r="F55" s="160">
        <f>SUMIF('内訳ﾘｽﾄ(4～3月)'!$D$26:$D$965,$B55,'内訳ﾘｽﾄ(4～3月)'!I$26:I$965)</f>
        <v>0</v>
      </c>
      <c r="G55" s="160">
        <f>SUMIF('内訳ﾘｽﾄ(4～3月)'!$D$26:$D$965,$B55,'内訳ﾘｽﾄ(4～3月)'!J$26:J$965)</f>
        <v>0</v>
      </c>
      <c r="H55" s="160">
        <f>SUMIF('内訳ﾘｽﾄ(4～3月)'!$D$26:$D$965,$B55,'内訳ﾘｽﾄ(4～3月)'!K$26:K$965)</f>
        <v>0</v>
      </c>
      <c r="I55" s="160">
        <f>SUMIF('内訳ﾘｽﾄ(4～3月)'!$D$26:$D$965,$B55,'内訳ﾘｽﾄ(4～3月)'!L$26:L$965)</f>
        <v>0</v>
      </c>
      <c r="J55" s="160">
        <f>SUMIF('内訳ﾘｽﾄ(4～3月)'!$D$26:$D$965,$B55,'内訳ﾘｽﾄ(4～3月)'!M$26:M$965)</f>
        <v>0</v>
      </c>
      <c r="K55" s="160">
        <f>SUMIF('内訳ﾘｽﾄ(4～3月)'!$D$26:$D$965,$B55,'内訳ﾘｽﾄ(4～3月)'!N$26:N$965)</f>
        <v>0</v>
      </c>
      <c r="L55" s="160">
        <f>SUMIF('内訳ﾘｽﾄ(4～3月)'!$D$26:$D$965,$B55,'内訳ﾘｽﾄ(4～3月)'!O$26:O$965)</f>
        <v>0</v>
      </c>
      <c r="M55" s="160">
        <f>SUMIF('内訳ﾘｽﾄ(4～3月)'!$D$26:$D$965,$B55,'内訳ﾘｽﾄ(4～3月)'!P$26:P$965)</f>
        <v>0</v>
      </c>
      <c r="N55" s="160">
        <f>SUMIF('内訳ﾘｽﾄ(4～3月)'!$D$26:$D$965,$B55,'内訳ﾘｽﾄ(4～3月)'!Q$26:Q$965)</f>
        <v>0</v>
      </c>
      <c r="O55" s="160">
        <f>SUMIF('内訳ﾘｽﾄ(4～3月)'!$D$26:$D$764,'採算表(VND)'!$B55,'内訳ﾘｽﾄ(4～3月)'!R$26:R$764)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SUMIF('内訳ﾘｽﾄ(4～3月)'!$D$26:$D$965,$B56,'内訳ﾘｽﾄ(4～3月)'!F$26:F$965)</f>
        <v>0</v>
      </c>
      <c r="D56" s="160">
        <f>SUMIF('内訳ﾘｽﾄ(4～3月)'!$D$26:$D$965,$B56,'内訳ﾘｽﾄ(4～3月)'!G$26:G$965)</f>
        <v>0</v>
      </c>
      <c r="E56" s="160">
        <f>SUMIF('内訳ﾘｽﾄ(4～3月)'!$D$26:$D$965,$B56,'内訳ﾘｽﾄ(4～3月)'!H$26:H$965)</f>
        <v>0</v>
      </c>
      <c r="F56" s="160">
        <f>SUMIF('内訳ﾘｽﾄ(4～3月)'!$D$26:$D$965,$B56,'内訳ﾘｽﾄ(4～3月)'!I$26:I$965)</f>
        <v>0</v>
      </c>
      <c r="G56" s="160">
        <f>SUMIF('内訳ﾘｽﾄ(4～3月)'!$D$26:$D$965,$B56,'内訳ﾘｽﾄ(4～3月)'!J$26:J$965)</f>
        <v>0</v>
      </c>
      <c r="H56" s="160">
        <f>SUMIF('内訳ﾘｽﾄ(4～3月)'!$D$26:$D$965,$B56,'内訳ﾘｽﾄ(4～3月)'!K$26:K$965)</f>
        <v>0</v>
      </c>
      <c r="I56" s="160">
        <f>SUMIF('内訳ﾘｽﾄ(4～3月)'!$D$26:$D$965,$B56,'内訳ﾘｽﾄ(4～3月)'!L$26:L$965)</f>
        <v>0</v>
      </c>
      <c r="J56" s="160">
        <f>SUMIF('内訳ﾘｽﾄ(4～3月)'!$D$26:$D$965,$B56,'内訳ﾘｽﾄ(4～3月)'!M$26:M$965)</f>
        <v>0</v>
      </c>
      <c r="K56" s="160">
        <f>SUMIF('内訳ﾘｽﾄ(4～3月)'!$D$26:$D$965,$B56,'内訳ﾘｽﾄ(4～3月)'!N$26:N$965)</f>
        <v>0</v>
      </c>
      <c r="L56" s="160">
        <f>SUMIF('内訳ﾘｽﾄ(4～3月)'!$D$26:$D$965,$B56,'内訳ﾘｽﾄ(4～3月)'!O$26:O$965)</f>
        <v>0</v>
      </c>
      <c r="M56" s="160">
        <f>SUMIF('内訳ﾘｽﾄ(4～3月)'!$D$26:$D$965,$B56,'内訳ﾘｽﾄ(4～3月)'!P$26:P$965)</f>
        <v>0</v>
      </c>
      <c r="N56" s="160">
        <f>SUMIF('内訳ﾘｽﾄ(4～3月)'!$D$26:$D$965,$B56,'内訳ﾘｽﾄ(4～3月)'!Q$26:Q$965)</f>
        <v>0</v>
      </c>
      <c r="O56" s="160">
        <f>SUMIF('内訳ﾘｽﾄ(4～3月)'!$D$26:$D$764,'採算表(VND)'!$B56,'内訳ﾘｽﾄ(4～3月)'!R$26:R$764)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SUMIF('内訳ﾘｽﾄ(4～3月)'!$D$26:$D$965,$B57,'内訳ﾘｽﾄ(4～3月)'!F$26:F$965)</f>
        <v>2199790</v>
      </c>
      <c r="D57" s="160">
        <f>SUMIF('内訳ﾘｽﾄ(4～3月)'!$D$26:$D$965,$B57,'内訳ﾘｽﾄ(4～3月)'!G$26:G$965)</f>
        <v>2423984</v>
      </c>
      <c r="E57" s="160">
        <f>SUMIF('内訳ﾘｽﾄ(4～3月)'!$D$26:$D$965,$B57,'内訳ﾘｽﾄ(4～3月)'!H$26:H$965)</f>
        <v>2424999</v>
      </c>
      <c r="F57" s="160">
        <f>SUMIF('内訳ﾘｽﾄ(4～3月)'!$D$26:$D$965,$B57,'内訳ﾘｽﾄ(4～3月)'!I$26:I$965)</f>
        <v>2422206</v>
      </c>
      <c r="G57" s="160">
        <f>SUMIF('内訳ﾘｽﾄ(4～3月)'!$D$26:$D$965,$B57,'内訳ﾘｽﾄ(4～3月)'!J$26:J$965)</f>
        <v>2421445</v>
      </c>
      <c r="H57" s="160">
        <f>SUMIF('内訳ﾘｽﾄ(4～3月)'!$D$26:$D$965,$B57,'内訳ﾘｽﾄ(4～3月)'!K$26:K$965)</f>
        <v>2384121</v>
      </c>
      <c r="I57" s="160">
        <f>SUMIF('内訳ﾘｽﾄ(4～3月)'!$D$26:$D$965,$B57,'内訳ﾘｽﾄ(4～3月)'!L$26:L$965)</f>
        <v>2373204</v>
      </c>
      <c r="J57" s="160">
        <f>SUMIF('内訳ﾘｽﾄ(4～3月)'!$D$26:$D$965,$B57,'内訳ﾘｽﾄ(4～3月)'!M$26:M$965)</f>
        <v>2372950</v>
      </c>
      <c r="K57" s="160">
        <f>SUMIF('内訳ﾘｽﾄ(4～3月)'!$D$26:$D$965,$B57,'内訳ﾘｽﾄ(4～3月)'!N$26:N$965)</f>
        <v>2373204</v>
      </c>
      <c r="L57" s="160">
        <f>SUMIF('内訳ﾘｽﾄ(4～3月)'!$D$26:$D$965,$B57,'内訳ﾘｽﾄ(4～3月)'!O$26:O$965)</f>
        <v>2372188</v>
      </c>
      <c r="M57" s="160">
        <f>SUMIF('内訳ﾘｽﾄ(4～3月)'!$D$26:$D$965,$B57,'内訳ﾘｽﾄ(4～3月)'!P$26:P$965)</f>
        <v>2370918</v>
      </c>
      <c r="N57" s="160">
        <f>SUMIF('内訳ﾘｽﾄ(4～3月)'!$D$26:$D$965,$B57,'内訳ﾘｽﾄ(4～3月)'!Q$26:Q$965)</f>
        <v>2372188</v>
      </c>
      <c r="O57" s="160">
        <f>SUMIF('内訳ﾘｽﾄ(4～3月)'!$D$26:$D$764,'採算表(VND)'!$B57,'内訳ﾘｽﾄ(4～3月)'!R$26:R$764)</f>
        <v>28511197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SUMIF('内訳ﾘｽﾄ(4～3月)'!$D$26:$D$965,$B58,'内訳ﾘｽﾄ(4～3月)'!F$26:F$965)</f>
        <v>0</v>
      </c>
      <c r="D58" s="160">
        <f>SUMIF('内訳ﾘｽﾄ(4～3月)'!$D$26:$D$965,$B58,'内訳ﾘｽﾄ(4～3月)'!G$26:G$965)</f>
        <v>0</v>
      </c>
      <c r="E58" s="160">
        <f>SUMIF('内訳ﾘｽﾄ(4～3月)'!$D$26:$D$965,$B58,'内訳ﾘｽﾄ(4～3月)'!H$26:H$965)</f>
        <v>0</v>
      </c>
      <c r="F58" s="160">
        <f>SUMIF('内訳ﾘｽﾄ(4～3月)'!$D$26:$D$965,$B58,'内訳ﾘｽﾄ(4～3月)'!I$26:I$965)</f>
        <v>0</v>
      </c>
      <c r="G58" s="160">
        <f>SUMIF('内訳ﾘｽﾄ(4～3月)'!$D$26:$D$965,$B58,'内訳ﾘｽﾄ(4～3月)'!J$26:J$965)</f>
        <v>0</v>
      </c>
      <c r="H58" s="160">
        <f>SUMIF('内訳ﾘｽﾄ(4～3月)'!$D$26:$D$965,$B58,'内訳ﾘｽﾄ(4～3月)'!K$26:K$965)</f>
        <v>0</v>
      </c>
      <c r="I58" s="160">
        <f>SUMIF('内訳ﾘｽﾄ(4～3月)'!$D$26:$D$965,$B58,'内訳ﾘｽﾄ(4～3月)'!L$26:L$965)</f>
        <v>0</v>
      </c>
      <c r="J58" s="160">
        <f>SUMIF('内訳ﾘｽﾄ(4～3月)'!$D$26:$D$965,$B58,'内訳ﾘｽﾄ(4～3月)'!M$26:M$965)</f>
        <v>0</v>
      </c>
      <c r="K58" s="160">
        <f>SUMIF('内訳ﾘｽﾄ(4～3月)'!$D$26:$D$965,$B58,'内訳ﾘｽﾄ(4～3月)'!N$26:N$965)</f>
        <v>0</v>
      </c>
      <c r="L58" s="160">
        <f>SUMIF('内訳ﾘｽﾄ(4～3月)'!$D$26:$D$965,$B58,'内訳ﾘｽﾄ(4～3月)'!O$26:O$965)</f>
        <v>0</v>
      </c>
      <c r="M58" s="160">
        <f>SUMIF('内訳ﾘｽﾄ(4～3月)'!$D$26:$D$965,$B58,'内訳ﾘｽﾄ(4～3月)'!P$26:P$965)</f>
        <v>0</v>
      </c>
      <c r="N58" s="160">
        <f>SUMIF('内訳ﾘｽﾄ(4～3月)'!$D$26:$D$965,$B58,'内訳ﾘｽﾄ(4～3月)'!Q$26:Q$965)</f>
        <v>0</v>
      </c>
      <c r="O58" s="160">
        <f>SUMIF('内訳ﾘｽﾄ(4～3月)'!$D$26:$D$764,'採算表(VND)'!$B58,'内訳ﾘｽﾄ(4～3月)'!R$26:R$764)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SUMIF('内訳ﾘｽﾄ(4～3月)'!$D$26:$D$965,$B59,'内訳ﾘｽﾄ(4～3月)'!F$26:F$965)</f>
        <v>0</v>
      </c>
      <c r="D59" s="160">
        <f>SUMIF('内訳ﾘｽﾄ(4～3月)'!$D$26:$D$965,$B59,'内訳ﾘｽﾄ(4～3月)'!G$26:G$965)</f>
        <v>0</v>
      </c>
      <c r="E59" s="160">
        <f>SUMIF('内訳ﾘｽﾄ(4～3月)'!$D$26:$D$965,$B59,'内訳ﾘｽﾄ(4～3月)'!H$26:H$965)</f>
        <v>0</v>
      </c>
      <c r="F59" s="160">
        <f>SUMIF('内訳ﾘｽﾄ(4～3月)'!$D$26:$D$965,$B59,'内訳ﾘｽﾄ(4～3月)'!I$26:I$965)</f>
        <v>0</v>
      </c>
      <c r="G59" s="160">
        <f>SUMIF('内訳ﾘｽﾄ(4～3月)'!$D$26:$D$965,$B59,'内訳ﾘｽﾄ(4～3月)'!J$26:J$965)</f>
        <v>0</v>
      </c>
      <c r="H59" s="160">
        <f>SUMIF('内訳ﾘｽﾄ(4～3月)'!$D$26:$D$965,$B59,'内訳ﾘｽﾄ(4～3月)'!K$26:K$965)</f>
        <v>0</v>
      </c>
      <c r="I59" s="160">
        <f>SUMIF('内訳ﾘｽﾄ(4～3月)'!$D$26:$D$965,$B59,'内訳ﾘｽﾄ(4～3月)'!L$26:L$965)</f>
        <v>0</v>
      </c>
      <c r="J59" s="160">
        <f>SUMIF('内訳ﾘｽﾄ(4～3月)'!$D$26:$D$965,$B59,'内訳ﾘｽﾄ(4～3月)'!M$26:M$965)</f>
        <v>0</v>
      </c>
      <c r="K59" s="160">
        <f>SUMIF('内訳ﾘｽﾄ(4～3月)'!$D$26:$D$965,$B59,'内訳ﾘｽﾄ(4～3月)'!N$26:N$965)</f>
        <v>0</v>
      </c>
      <c r="L59" s="160">
        <f>SUMIF('内訳ﾘｽﾄ(4～3月)'!$D$26:$D$965,$B59,'内訳ﾘｽﾄ(4～3月)'!O$26:O$965)</f>
        <v>0</v>
      </c>
      <c r="M59" s="160">
        <f>SUMIF('内訳ﾘｽﾄ(4～3月)'!$D$26:$D$965,$B59,'内訳ﾘｽﾄ(4～3月)'!P$26:P$965)</f>
        <v>0</v>
      </c>
      <c r="N59" s="160">
        <f>SUMIF('内訳ﾘｽﾄ(4～3月)'!$D$26:$D$965,$B59,'内訳ﾘｽﾄ(4～3月)'!Q$26:Q$965)</f>
        <v>0</v>
      </c>
      <c r="O59" s="160">
        <f>SUMIF('内訳ﾘｽﾄ(4～3月)'!$D$26:$D$764,'採算表(VND)'!$B59,'内訳ﾘｽﾄ(4～3月)'!R$26:R$764)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SUMIF('内訳ﾘｽﾄ(4～3月)'!$D$26:$D$965,$B60,'内訳ﾘｽﾄ(4～3月)'!F$26:F$965)</f>
        <v>0</v>
      </c>
      <c r="D60" s="160">
        <f>SUMIF('内訳ﾘｽﾄ(4～3月)'!$D$26:$D$965,$B60,'内訳ﾘｽﾄ(4～3月)'!G$26:G$965)</f>
        <v>0</v>
      </c>
      <c r="E60" s="160">
        <f>SUMIF('内訳ﾘｽﾄ(4～3月)'!$D$26:$D$965,$B60,'内訳ﾘｽﾄ(4～3月)'!H$26:H$965)</f>
        <v>0</v>
      </c>
      <c r="F60" s="160">
        <f>SUMIF('内訳ﾘｽﾄ(4～3月)'!$D$26:$D$965,$B60,'内訳ﾘｽﾄ(4～3月)'!I$26:I$965)</f>
        <v>0</v>
      </c>
      <c r="G60" s="160">
        <f>SUMIF('内訳ﾘｽﾄ(4～3月)'!$D$26:$D$965,$B60,'内訳ﾘｽﾄ(4～3月)'!J$26:J$965)</f>
        <v>0</v>
      </c>
      <c r="H60" s="160">
        <f>SUMIF('内訳ﾘｽﾄ(4～3月)'!$D$26:$D$965,$B60,'内訳ﾘｽﾄ(4～3月)'!K$26:K$965)</f>
        <v>0</v>
      </c>
      <c r="I60" s="160">
        <f>SUMIF('内訳ﾘｽﾄ(4～3月)'!$D$26:$D$965,$B60,'内訳ﾘｽﾄ(4～3月)'!L$26:L$965)</f>
        <v>0</v>
      </c>
      <c r="J60" s="160">
        <f>SUMIF('内訳ﾘｽﾄ(4～3月)'!$D$26:$D$965,$B60,'内訳ﾘｽﾄ(4～3月)'!M$26:M$965)</f>
        <v>0</v>
      </c>
      <c r="K60" s="160">
        <f>SUMIF('内訳ﾘｽﾄ(4～3月)'!$D$26:$D$965,$B60,'内訳ﾘｽﾄ(4～3月)'!N$26:N$965)</f>
        <v>0</v>
      </c>
      <c r="L60" s="160">
        <f>SUMIF('内訳ﾘｽﾄ(4～3月)'!$D$26:$D$965,$B60,'内訳ﾘｽﾄ(4～3月)'!O$26:O$965)</f>
        <v>0</v>
      </c>
      <c r="M60" s="160">
        <f>SUMIF('内訳ﾘｽﾄ(4～3月)'!$D$26:$D$965,$B60,'内訳ﾘｽﾄ(4～3月)'!P$26:P$965)</f>
        <v>0</v>
      </c>
      <c r="N60" s="160">
        <f>SUMIF('内訳ﾘｽﾄ(4～3月)'!$D$26:$D$965,$B60,'内訳ﾘｽﾄ(4～3月)'!Q$26:Q$965)</f>
        <v>0</v>
      </c>
      <c r="O60" s="160">
        <f>SUMIF('内訳ﾘｽﾄ(4～3月)'!$D$26:$D$764,'採算表(VND)'!$B60,'内訳ﾘｽﾄ(4～3月)'!R$26:R$764)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IF('内訳ﾘｽﾄ(4～3月)'!$D$5="製造",SUMIF('内訳ﾘｽﾄ(4～3月)'!$D$26:$D$965,$B61,'内訳ﾘｽﾄ(4～3月)'!F$26:F$965),IF('内訳ﾘｽﾄ(4～3月)'!$D$5="部内間接",-SUM(C$14:C$60,C$65),0))</f>
        <v>0</v>
      </c>
      <c r="D61" s="160">
        <f>IF('内訳ﾘｽﾄ(4～3月)'!$D$5="製造",SUMIF('内訳ﾘｽﾄ(4～3月)'!$D$26:$D$965,$B61,'内訳ﾘｽﾄ(4～3月)'!G$26:G$965),IF('内訳ﾘｽﾄ(4～3月)'!$D$5="部内間接",-SUM(D$14:D$60,D$65),0))</f>
        <v>0</v>
      </c>
      <c r="E61" s="160">
        <f>IF('内訳ﾘｽﾄ(4～3月)'!$D$5="製造",SUMIF('内訳ﾘｽﾄ(4～3月)'!$D$26:$D$965,$B61,'内訳ﾘｽﾄ(4～3月)'!H$26:H$965),IF('内訳ﾘｽﾄ(4～3月)'!$D$5="部内間接",-SUM(E$14:E$60,E$65),0))</f>
        <v>0</v>
      </c>
      <c r="F61" s="160">
        <f>IF('内訳ﾘｽﾄ(4～3月)'!$D$5="製造",SUMIF('内訳ﾘｽﾄ(4～3月)'!$D$26:$D$965,$B61,'内訳ﾘｽﾄ(4～3月)'!I$26:I$965),IF('内訳ﾘｽﾄ(4～3月)'!$D$5="部内間接",-SUM(F$14:F$60,F$65),0))</f>
        <v>0</v>
      </c>
      <c r="G61" s="160">
        <f>IF('内訳ﾘｽﾄ(4～3月)'!$D$5="製造",SUMIF('内訳ﾘｽﾄ(4～3月)'!$D$26:$D$965,$B61,'内訳ﾘｽﾄ(4～3月)'!J$26:J$965),IF('内訳ﾘｽﾄ(4～3月)'!$D$5="部内間接",-SUM(G$14:G$60,G$65),0))</f>
        <v>0</v>
      </c>
      <c r="H61" s="160">
        <f>IF('内訳ﾘｽﾄ(4～3月)'!$D$5="製造",SUMIF('内訳ﾘｽﾄ(4～3月)'!$D$26:$D$965,$B61,'内訳ﾘｽﾄ(4～3月)'!K$26:K$965),IF('内訳ﾘｽﾄ(4～3月)'!$D$5="部内間接",-SUM(H$14:H$60,H$65),0))</f>
        <v>0</v>
      </c>
      <c r="I61" s="160">
        <f>IF('内訳ﾘｽﾄ(4～3月)'!$D$5="製造",SUMIF('内訳ﾘｽﾄ(4～3月)'!$D$26:$D$965,$B61,'内訳ﾘｽﾄ(4～3月)'!L$26:L$965),IF('内訳ﾘｽﾄ(4～3月)'!$D$5="部内間接",-SUM(I$14:I$60,I$65),0))</f>
        <v>0</v>
      </c>
      <c r="J61" s="160">
        <f>IF('内訳ﾘｽﾄ(4～3月)'!$D$5="製造",SUMIF('内訳ﾘｽﾄ(4～3月)'!$D$26:$D$965,$B61,'内訳ﾘｽﾄ(4～3月)'!M$26:M$965),IF('内訳ﾘｽﾄ(4～3月)'!$D$5="部内間接",-SUM(J$14:J$60,J$65),0))</f>
        <v>0</v>
      </c>
      <c r="K61" s="160">
        <f>IF('内訳ﾘｽﾄ(4～3月)'!$D$5="製造",SUMIF('内訳ﾘｽﾄ(4～3月)'!$D$26:$D$965,$B61,'内訳ﾘｽﾄ(4～3月)'!N$26:N$965),IF('内訳ﾘｽﾄ(4～3月)'!$D$5="部内間接",-SUM(K$14:K$60,K$65),0))</f>
        <v>0</v>
      </c>
      <c r="L61" s="160">
        <f>IF('内訳ﾘｽﾄ(4～3月)'!$D$5="製造",SUMIF('内訳ﾘｽﾄ(4～3月)'!$D$26:$D$965,$B61,'内訳ﾘｽﾄ(4～3月)'!O$26:O$965),IF('内訳ﾘｽﾄ(4～3月)'!$D$5="部内間接",-SUM(L$14:L$60,L$65),0))</f>
        <v>0</v>
      </c>
      <c r="M61" s="160">
        <f>IF('内訳ﾘｽﾄ(4～3月)'!$D$5="製造",SUMIF('内訳ﾘｽﾄ(4～3月)'!$D$26:$D$965,$B61,'内訳ﾘｽﾄ(4～3月)'!P$26:P$965),IF('内訳ﾘｽﾄ(4～3月)'!$D$5="部内間接",-SUM(M$14:M$60,M$65),0))</f>
        <v>0</v>
      </c>
      <c r="N61" s="160">
        <f>IF('内訳ﾘｽﾄ(4～3月)'!$D$5="製造",SUMIF('内訳ﾘｽﾄ(4～3月)'!$D$26:$D$965,$B61,'内訳ﾘｽﾄ(4～3月)'!Q$26:Q$965),IF('内訳ﾘｽﾄ(4～3月)'!$D$5="部内間接",-SUM(N$14:N$60,N$65),0))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IF('内訳ﾘｽﾄ(4～3月)'!$D$5="部内間接",-SUM(O$65,O$14:O$60),IF('内訳ﾘｽﾄ(4～3月)'!$D$5="製造",SUMIF('内訳ﾘｽﾄ(4～3月)'!$D$26:$D$764,'採算表(VND)'!$B61,'内訳ﾘｽﾄ(4～3月)'!R$26:R$764),0))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IF('内訳ﾘｽﾄ(4～3月)'!$D$5="製造",SUMIF('内訳ﾘｽﾄ(4～3月)'!$D$26:$D$965,$B62,'内訳ﾘｽﾄ(4～3月)'!F$26:F$965),IF('内訳ﾘｽﾄ(4～3月)'!$D$5="部外間接1",-SUM(C$14:C$60,C$65),0))</f>
        <v>0</v>
      </c>
      <c r="D62" s="160">
        <f>IF('内訳ﾘｽﾄ(4～3月)'!$D$5="製造",SUMIF('内訳ﾘｽﾄ(4～3月)'!$D$26:$D$965,$B62,'内訳ﾘｽﾄ(4～3月)'!G$26:G$965),IF('内訳ﾘｽﾄ(4～3月)'!$D$5="部外間接1",-SUM(D$14:D$60,D$65),0))</f>
        <v>0</v>
      </c>
      <c r="E62" s="160">
        <f>IF('内訳ﾘｽﾄ(4～3月)'!$D$5="製造",SUMIF('内訳ﾘｽﾄ(4～3月)'!$D$26:$D$965,$B62,'内訳ﾘｽﾄ(4～3月)'!H$26:H$965),IF('内訳ﾘｽﾄ(4～3月)'!$D$5="部外間接1",-SUM(E$14:E$60,E$65),0))</f>
        <v>0</v>
      </c>
      <c r="F62" s="160">
        <f>IF('内訳ﾘｽﾄ(4～3月)'!$D$5="製造",SUMIF('内訳ﾘｽﾄ(4～3月)'!$D$26:$D$965,$B62,'内訳ﾘｽﾄ(4～3月)'!I$26:I$965),IF('内訳ﾘｽﾄ(4～3月)'!$D$5="部外間接1",-SUM(F$14:F$60,F$65),0))</f>
        <v>0</v>
      </c>
      <c r="G62" s="160">
        <f>IF('内訳ﾘｽﾄ(4～3月)'!$D$5="製造",SUMIF('内訳ﾘｽﾄ(4～3月)'!$D$26:$D$965,$B62,'内訳ﾘｽﾄ(4～3月)'!J$26:J$965),IF('内訳ﾘｽﾄ(4～3月)'!$D$5="部外間接1",-SUM(G$14:G$60,G$65),0))</f>
        <v>0</v>
      </c>
      <c r="H62" s="160">
        <f>IF('内訳ﾘｽﾄ(4～3月)'!$D$5="製造",SUMIF('内訳ﾘｽﾄ(4～3月)'!$D$26:$D$965,$B62,'内訳ﾘｽﾄ(4～3月)'!K$26:K$965),IF('内訳ﾘｽﾄ(4～3月)'!$D$5="部外間接1",-SUM(H$14:H$60,H$65),0))</f>
        <v>0</v>
      </c>
      <c r="I62" s="160">
        <f>IF('内訳ﾘｽﾄ(4～3月)'!$D$5="製造",SUMIF('内訳ﾘｽﾄ(4～3月)'!$D$26:$D$965,$B62,'内訳ﾘｽﾄ(4～3月)'!L$26:L$965),IF('内訳ﾘｽﾄ(4～3月)'!$D$5="部外間接1",-SUM(I$14:I$60,I$65),0))</f>
        <v>0</v>
      </c>
      <c r="J62" s="160">
        <f>IF('内訳ﾘｽﾄ(4～3月)'!$D$5="製造",SUMIF('内訳ﾘｽﾄ(4～3月)'!$D$26:$D$965,$B62,'内訳ﾘｽﾄ(4～3月)'!M$26:M$965),IF('内訳ﾘｽﾄ(4～3月)'!$D$5="部外間接1",-SUM(J$14:J$60,J$65),0))</f>
        <v>0</v>
      </c>
      <c r="K62" s="160">
        <f>IF('内訳ﾘｽﾄ(4～3月)'!$D$5="製造",SUMIF('内訳ﾘｽﾄ(4～3月)'!$D$26:$D$965,$B62,'内訳ﾘｽﾄ(4～3月)'!N$26:N$965),IF('内訳ﾘｽﾄ(4～3月)'!$D$5="部外間接1",-SUM(K$14:K$60,K$65),0))</f>
        <v>0</v>
      </c>
      <c r="L62" s="160">
        <f>IF('内訳ﾘｽﾄ(4～3月)'!$D$5="製造",SUMIF('内訳ﾘｽﾄ(4～3月)'!$D$26:$D$965,$B62,'内訳ﾘｽﾄ(4～3月)'!O$26:O$965),IF('内訳ﾘｽﾄ(4～3月)'!$D$5="部外間接1",-SUM(L$14:L$60,L$65),0))</f>
        <v>0</v>
      </c>
      <c r="M62" s="160">
        <f>IF('内訳ﾘｽﾄ(4～3月)'!$D$5="製造",SUMIF('内訳ﾘｽﾄ(4～3月)'!$D$26:$D$965,$B62,'内訳ﾘｽﾄ(4～3月)'!P$26:P$965),IF('内訳ﾘｽﾄ(4～3月)'!$D$5="部外間接1",-SUM(M$14:M$60,M$65),0))</f>
        <v>0</v>
      </c>
      <c r="N62" s="160">
        <f>IF('内訳ﾘｽﾄ(4～3月)'!$D$5="製造",SUMIF('内訳ﾘｽﾄ(4～3月)'!$D$26:$D$965,$B62,'内訳ﾘｽﾄ(4～3月)'!Q$26:Q$965),IF('内訳ﾘｽﾄ(4～3月)'!$D$5="部外間接1",-SUM(N$14:N$60,N$65),0))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IF('内訳ﾘｽﾄ(4～3月)'!$D$5="部外間接1",-SUM(O$65,O$14:O$60),IF('内訳ﾘｽﾄ(4～3月)'!$D$5="製造",SUMIF('内訳ﾘｽﾄ(4～3月)'!$D$26:$D$764,'採算表(VND)'!$B62,'内訳ﾘｽﾄ(4～3月)'!R$26:R$764),0))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IF('内訳ﾘｽﾄ(4～3月)'!$D$5="製造",SUMIF('内訳ﾘｽﾄ(4～3月)'!$D$26:$D$965,$B63,'内訳ﾘｽﾄ(4～3月)'!F$26:F$965),IF('内訳ﾘｽﾄ(4～3月)'!$D$5="部外間接2",-SUM(C$14:C$60,C$65),0))</f>
        <v>0</v>
      </c>
      <c r="D63" s="160">
        <f>IF('内訳ﾘｽﾄ(4～3月)'!$D$5="製造",SUMIF('内訳ﾘｽﾄ(4～3月)'!$D$26:$D$965,$B63,'内訳ﾘｽﾄ(4～3月)'!G$26:G$965),IF('内訳ﾘｽﾄ(4～3月)'!$D$5="部外間接2",-SUM(D$14:D$60,D$65),0))</f>
        <v>0</v>
      </c>
      <c r="E63" s="160">
        <f>IF('内訳ﾘｽﾄ(4～3月)'!$D$5="製造",SUMIF('内訳ﾘｽﾄ(4～3月)'!$D$26:$D$965,$B63,'内訳ﾘｽﾄ(4～3月)'!H$26:H$965),IF('内訳ﾘｽﾄ(4～3月)'!$D$5="部外間接2",-SUM(E$14:E$60,E$65),0))</f>
        <v>0</v>
      </c>
      <c r="F63" s="160">
        <f>IF('内訳ﾘｽﾄ(4～3月)'!$D$5="製造",SUMIF('内訳ﾘｽﾄ(4～3月)'!$D$26:$D$965,$B63,'内訳ﾘｽﾄ(4～3月)'!I$26:I$965),IF('内訳ﾘｽﾄ(4～3月)'!$D$5="部外間接2",-SUM(F$14:F$60,F$65),0))</f>
        <v>0</v>
      </c>
      <c r="G63" s="160">
        <f>IF('内訳ﾘｽﾄ(4～3月)'!$D$5="製造",SUMIF('内訳ﾘｽﾄ(4～3月)'!$D$26:$D$965,$B63,'内訳ﾘｽﾄ(4～3月)'!J$26:J$965),IF('内訳ﾘｽﾄ(4～3月)'!$D$5="部外間接2",-SUM(G$14:G$60,G$65),0))</f>
        <v>0</v>
      </c>
      <c r="H63" s="160">
        <f>IF('内訳ﾘｽﾄ(4～3月)'!$D$5="製造",SUMIF('内訳ﾘｽﾄ(4～3月)'!$D$26:$D$965,$B63,'内訳ﾘｽﾄ(4～3月)'!K$26:K$965),IF('内訳ﾘｽﾄ(4～3月)'!$D$5="部外間接2",-SUM(H$14:H$60,H$65),0))</f>
        <v>0</v>
      </c>
      <c r="I63" s="160">
        <f>IF('内訳ﾘｽﾄ(4～3月)'!$D$5="製造",SUMIF('内訳ﾘｽﾄ(4～3月)'!$D$26:$D$965,$B63,'内訳ﾘｽﾄ(4～3月)'!L$26:L$965),IF('内訳ﾘｽﾄ(4～3月)'!$D$5="部外間接2",-SUM(I$14:I$60,I$65),0))</f>
        <v>0</v>
      </c>
      <c r="J63" s="160">
        <f>IF('内訳ﾘｽﾄ(4～3月)'!$D$5="製造",SUMIF('内訳ﾘｽﾄ(4～3月)'!$D$26:$D$965,$B63,'内訳ﾘｽﾄ(4～3月)'!M$26:M$965),IF('内訳ﾘｽﾄ(4～3月)'!$D$5="部外間接2",-SUM(J$14:J$60,J$65),0))</f>
        <v>0</v>
      </c>
      <c r="K63" s="160">
        <f>IF('内訳ﾘｽﾄ(4～3月)'!$D$5="製造",SUMIF('内訳ﾘｽﾄ(4～3月)'!$D$26:$D$965,$B63,'内訳ﾘｽﾄ(4～3月)'!N$26:N$965),IF('内訳ﾘｽﾄ(4～3月)'!$D$5="部外間接2",-SUM(K$14:K$60,K$65),0))</f>
        <v>0</v>
      </c>
      <c r="L63" s="160">
        <f>IF('内訳ﾘｽﾄ(4～3月)'!$D$5="製造",SUMIF('内訳ﾘｽﾄ(4～3月)'!$D$26:$D$965,$B63,'内訳ﾘｽﾄ(4～3月)'!O$26:O$965),IF('内訳ﾘｽﾄ(4～3月)'!$D$5="部外間接2",-SUM(L$14:L$60,L$65),0))</f>
        <v>0</v>
      </c>
      <c r="M63" s="160">
        <f>IF('内訳ﾘｽﾄ(4～3月)'!$D$5="製造",SUMIF('内訳ﾘｽﾄ(4～3月)'!$D$26:$D$965,$B63,'内訳ﾘｽﾄ(4～3月)'!P$26:P$965),IF('内訳ﾘｽﾄ(4～3月)'!$D$5="部外間接2",-SUM(M$14:M$60,M$65),0))</f>
        <v>0</v>
      </c>
      <c r="N63" s="160">
        <f>IF('内訳ﾘｽﾄ(4～3月)'!$D$5="製造",SUMIF('内訳ﾘｽﾄ(4～3月)'!$D$26:$D$965,$B63,'内訳ﾘｽﾄ(4～3月)'!Q$26:Q$965),IF('内訳ﾘｽﾄ(4～3月)'!$D$5="部外間接2",-SUM(N$14:N$60,N$65),0))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IF('内訳ﾘｽﾄ(4～3月)'!$D$5="部外間接2",-SUM(O$65,O$14:O$60),IF('内訳ﾘｽﾄ(4～3月)'!$D$5="製造",SUMIF('内訳ﾘｽﾄ(4～3月)'!$D$26:$D$764,'採算表(VND)'!$B63,'内訳ﾘｽﾄ(4～3月)'!R$26:R$764),0))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IF('内訳ﾘｽﾄ(4～3月)'!$D$5="製造",SUMIF('内訳ﾘｽﾄ(4～3月)'!$D$26:$D$965,$B64,'内訳ﾘｽﾄ(4～3月)'!F$26:F$965),IF('内訳ﾘｽﾄ(4～3月)'!$D$5="工場間接",-SUM(C$14:C$60,C$65),0))</f>
        <v>171442960</v>
      </c>
      <c r="D64" s="160">
        <f>IF('内訳ﾘｽﾄ(4～3月)'!$D$5="製造",SUMIF('内訳ﾘｽﾄ(4～3月)'!$D$26:$D$965,$B64,'内訳ﾘｽﾄ(4～3月)'!G$26:G$965),IF('内訳ﾘｽﾄ(4～3月)'!$D$5="工場間接",-SUM(D$14:D$60,D$65),0))</f>
        <v>-82536393</v>
      </c>
      <c r="E64" s="160">
        <f>IF('内訳ﾘｽﾄ(4～3月)'!$D$5="製造",SUMIF('内訳ﾘｽﾄ(4～3月)'!$D$26:$D$965,$B64,'内訳ﾘｽﾄ(4～3月)'!H$26:H$965),IF('内訳ﾘｽﾄ(4～3月)'!$D$5="工場間接",-SUM(E$14:E$60,E$65),0))</f>
        <v>139482862</v>
      </c>
      <c r="F64" s="160">
        <f>IF('内訳ﾘｽﾄ(4～3月)'!$D$5="製造",SUMIF('内訳ﾘｽﾄ(4～3月)'!$D$26:$D$965,$B64,'内訳ﾘｽﾄ(4～3月)'!I$26:I$965),IF('内訳ﾘｽﾄ(4～3月)'!$D$5="工場間接",-SUM(F$14:F$60,F$65),0))</f>
        <v>169396629</v>
      </c>
      <c r="G64" s="160">
        <f>IF('内訳ﾘｽﾄ(4～3月)'!$D$5="製造",SUMIF('内訳ﾘｽﾄ(4～3月)'!$D$26:$D$965,$B64,'内訳ﾘｽﾄ(4～3月)'!J$26:J$965),IF('内訳ﾘｽﾄ(4～3月)'!$D$5="工場間接",-SUM(G$14:G$60,G$65),0))</f>
        <v>-24877490</v>
      </c>
      <c r="H64" s="160">
        <f>IF('内訳ﾘｽﾄ(4～3月)'!$D$5="製造",SUMIF('内訳ﾘｽﾄ(4～3月)'!$D$26:$D$965,$B64,'内訳ﾘｽﾄ(4～3月)'!K$26:K$965),IF('内訳ﾘｽﾄ(4～3月)'!$D$5="工場間接",-SUM(H$14:H$60,H$65),0))</f>
        <v>180769785</v>
      </c>
      <c r="I64" s="160">
        <f>IF('内訳ﾘｽﾄ(4～3月)'!$D$5="製造",SUMIF('内訳ﾘｽﾄ(4～3月)'!$D$26:$D$965,$B64,'内訳ﾘｽﾄ(4～3月)'!L$26:L$965),IF('内訳ﾘｽﾄ(4～3月)'!$D$5="工場間接",-SUM(I$14:I$60,I$65),0))</f>
        <v>-20161143</v>
      </c>
      <c r="J64" s="160">
        <f>IF('内訳ﾘｽﾄ(4～3月)'!$D$5="製造",SUMIF('内訳ﾘｽﾄ(4～3月)'!$D$26:$D$965,$B64,'内訳ﾘｽﾄ(4～3月)'!M$26:M$965),IF('内訳ﾘｽﾄ(4～3月)'!$D$5="工場間接",-SUM(J$14:J$60,J$65),0))</f>
        <v>35046932</v>
      </c>
      <c r="K64" s="160">
        <f>IF('内訳ﾘｽﾄ(4～3月)'!$D$5="製造",SUMIF('内訳ﾘｽﾄ(4～3月)'!$D$26:$D$965,$B64,'内訳ﾘｽﾄ(4～3月)'!N$26:N$965),IF('内訳ﾘｽﾄ(4～3月)'!$D$5="工場間接",-SUM(K$14:K$60,K$65),0))</f>
        <v>245072690</v>
      </c>
      <c r="L64" s="160">
        <f>IF('内訳ﾘｽﾄ(4～3月)'!$D$5="製造",SUMIF('内訳ﾘｽﾄ(4～3月)'!$D$26:$D$965,$B64,'内訳ﾘｽﾄ(4～3月)'!O$26:O$965),IF('内訳ﾘｽﾄ(4～3月)'!$D$5="工場間接",-SUM(L$14:L$60,L$65),0))</f>
        <v>303254400</v>
      </c>
      <c r="M64" s="160">
        <f>IF('内訳ﾘｽﾄ(4～3月)'!$D$5="製造",SUMIF('内訳ﾘｽﾄ(4～3月)'!$D$26:$D$965,$B64,'内訳ﾘｽﾄ(4～3月)'!P$26:P$965),IF('内訳ﾘｽﾄ(4～3月)'!$D$5="工場間接",-SUM(M$14:M$60,M$65),0))</f>
        <v>302909965</v>
      </c>
      <c r="N64" s="160">
        <f>IF('内訳ﾘｽﾄ(4～3月)'!$D$5="製造",SUMIF('内訳ﾘｽﾄ(4～3月)'!$D$26:$D$965,$B64,'内訳ﾘｽﾄ(4～3月)'!Q$26:Q$965),IF('内訳ﾘｽﾄ(4～3月)'!$D$5="工場間接",-SUM(N$14:N$60,N$65),0))</f>
        <v>25013532</v>
      </c>
      <c r="O64" s="160">
        <f>IF('内訳ﾘｽﾄ(4～3月)'!$D$5="工場間接",-SUM(O$65,O$14:O$60),IF('内訳ﾘｽﾄ(4～3月)'!$D$5="製造",SUMIF('内訳ﾘｽﾄ(4～3月)'!$D$26:$D$764,'採算表(VND)'!$B64,'内訳ﾘｽﾄ(4～3月)'!R$26:R$764),0))</f>
        <v>1444814729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SUMIF('内訳ﾘｽﾄ(4～3月)'!$D$26:$D$965,$B65,'内訳ﾘｽﾄ(4～3月)'!F$26:F$965)</f>
        <v>0</v>
      </c>
      <c r="D65" s="158">
        <f>SUMIF('内訳ﾘｽﾄ(4～3月)'!$D$26:$D$965,$B65,'内訳ﾘｽﾄ(4～3月)'!G$26:G$965)</f>
        <v>0</v>
      </c>
      <c r="E65" s="158">
        <f>SUMIF('内訳ﾘｽﾄ(4～3月)'!$D$26:$D$965,$B65,'内訳ﾘｽﾄ(4～3月)'!H$26:H$965)</f>
        <v>0</v>
      </c>
      <c r="F65" s="158">
        <f>SUMIF('内訳ﾘｽﾄ(4～3月)'!$D$26:$D$965,$B65,'内訳ﾘｽﾄ(4～3月)'!I$26:I$965)</f>
        <v>0</v>
      </c>
      <c r="G65" s="158">
        <f>SUMIF('内訳ﾘｽﾄ(4～3月)'!$D$26:$D$965,$B65,'内訳ﾘｽﾄ(4～3月)'!J$26:J$965)</f>
        <v>0</v>
      </c>
      <c r="H65" s="158">
        <f>SUMIF('内訳ﾘｽﾄ(4～3月)'!$D$26:$D$965,$B65,'内訳ﾘｽﾄ(4～3月)'!K$26:K$965)</f>
        <v>0</v>
      </c>
      <c r="I65" s="158">
        <f>SUMIF('内訳ﾘｽﾄ(4～3月)'!$D$26:$D$965,$B65,'内訳ﾘｽﾄ(4～3月)'!L$26:L$965)</f>
        <v>0</v>
      </c>
      <c r="J65" s="158">
        <f>SUMIF('内訳ﾘｽﾄ(4～3月)'!$D$26:$D$965,$B65,'内訳ﾘｽﾄ(4～3月)'!M$26:M$965)</f>
        <v>0</v>
      </c>
      <c r="K65" s="158">
        <f>SUMIF('内訳ﾘｽﾄ(4～3月)'!$D$26:$D$965,$B65,'内訳ﾘｽﾄ(4～3月)'!N$26:N$965)</f>
        <v>0</v>
      </c>
      <c r="L65" s="158">
        <f>SUMIF('内訳ﾘｽﾄ(4～3月)'!$D$26:$D$965,$B65,'内訳ﾘｽﾄ(4～3月)'!O$26:O$965)</f>
        <v>0</v>
      </c>
      <c r="M65" s="158">
        <f>SUMIF('内訳ﾘｽﾄ(4～3月)'!$D$26:$D$965,$B65,'内訳ﾘｽﾄ(4～3月)'!P$26:P$965)</f>
        <v>0</v>
      </c>
      <c r="N65" s="158">
        <f>SUMIF('内訳ﾘｽﾄ(4～3月)'!$D$26:$D$965,$B65,'内訳ﾘｽﾄ(4～3月)'!Q$26:Q$965)</f>
        <v>0</v>
      </c>
      <c r="O65" s="158">
        <f>SUMIF('内訳ﾘｽﾄ(4～3月)'!$D$26:$D$764,'採算表(VND)'!$B65,'内訳ﾘｽﾄ(4～3月)'!R$26:R$764)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 ca="1">C73+C79</f>
        <v>0</v>
      </c>
      <c r="D67" s="161">
        <f t="shared" ref="D67:N67" ca="1" si="5">D73+D79</f>
        <v>0</v>
      </c>
      <c r="E67" s="161">
        <f t="shared" ca="1" si="5"/>
        <v>0</v>
      </c>
      <c r="F67" s="161">
        <f t="shared" ca="1" si="5"/>
        <v>0</v>
      </c>
      <c r="G67" s="161">
        <f t="shared" ca="1" si="5"/>
        <v>0</v>
      </c>
      <c r="H67" s="161">
        <f t="shared" ca="1" si="5"/>
        <v>0</v>
      </c>
      <c r="I67" s="161">
        <f t="shared" ca="1" si="5"/>
        <v>0</v>
      </c>
      <c r="J67" s="161">
        <f t="shared" ca="1" si="5"/>
        <v>0</v>
      </c>
      <c r="K67" s="161">
        <f t="shared" ca="1" si="5"/>
        <v>0</v>
      </c>
      <c r="L67" s="161">
        <f t="shared" ca="1" si="5"/>
        <v>0</v>
      </c>
      <c r="M67" s="161">
        <f t="shared" ca="1" si="5"/>
        <v>0</v>
      </c>
      <c r="N67" s="161">
        <f t="shared" ca="1" si="5"/>
        <v>0</v>
      </c>
      <c r="O67" s="161">
        <f ca="1"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 ca="1">SUMIF('内訳ﾘｽﾄ(4～3月)'!$D$8:$D$15,'採算表(VND)'!$B68,'内訳ﾘｽﾄ(4～3月)'!F$8:F$15)</f>
        <v>986</v>
      </c>
      <c r="D68" s="162">
        <f ca="1">SUMIF('内訳ﾘｽﾄ(4～3月)'!$D$8:$D$15,'採算表(VND)'!$B68,'内訳ﾘｽﾄ(4～3月)'!G$8:G$15)</f>
        <v>1096.5</v>
      </c>
      <c r="E68" s="162">
        <f ca="1">SUMIF('内訳ﾘｽﾄ(4～3月)'!$D$8:$D$15,'採算表(VND)'!$B68,'内訳ﾘｽﾄ(4～3月)'!H$8:H$15)</f>
        <v>1215.5</v>
      </c>
      <c r="F68" s="162">
        <f ca="1">SUMIF('内訳ﾘｽﾄ(4～3月)'!$D$8:$D$15,'採算表(VND)'!$B68,'内訳ﾘｽﾄ(4～3月)'!I$8:I$15)</f>
        <v>1334.5</v>
      </c>
      <c r="G68" s="162">
        <f ca="1">SUMIF('内訳ﾘｽﾄ(4～3月)'!$D$8:$D$15,'採算表(VND)'!$B68,'内訳ﾘｽﾄ(4～3月)'!J$8:J$15)</f>
        <v>1113.5</v>
      </c>
      <c r="H68" s="162">
        <f ca="1">SUMIF('内訳ﾘｽﾄ(4～3月)'!$D$8:$D$15,'採算表(VND)'!$B68,'内訳ﾘｽﾄ(4～3月)'!K$8:K$15)</f>
        <v>1096.5</v>
      </c>
      <c r="I68" s="162">
        <f ca="1">SUMIF('内訳ﾘｽﾄ(4～3月)'!$D$8:$D$15,'採算表(VND)'!$B68,'内訳ﾘｽﾄ(4～3月)'!L$8:L$15)</f>
        <v>1334.5</v>
      </c>
      <c r="J68" s="162">
        <f ca="1">SUMIF('内訳ﾘｽﾄ(4～3月)'!$D$8:$D$15,'採算表(VND)'!$B68,'内訳ﾘｽﾄ(4～3月)'!M$8:M$15)</f>
        <v>1156</v>
      </c>
      <c r="K68" s="162">
        <f ca="1">SUMIF('内訳ﾘｽﾄ(4～3月)'!$D$8:$D$15,'採算表(VND)'!$B68,'内訳ﾘｽﾄ(4～3月)'!N$8:N$15)</f>
        <v>1275</v>
      </c>
      <c r="L68" s="162">
        <f ca="1">SUMIF('内訳ﾘｽﾄ(4～3月)'!$D$8:$D$15,'採算表(VND)'!$B68,'内訳ﾘｽﾄ(4～3月)'!O$8:O$15)</f>
        <v>1156</v>
      </c>
      <c r="M68" s="162">
        <f ca="1">SUMIF('内訳ﾘｽﾄ(4～3月)'!$D$8:$D$15,'採算表(VND)'!$B68,'内訳ﾘｽﾄ(4～3月)'!P$8:P$15)</f>
        <v>841.5</v>
      </c>
      <c r="N68" s="162">
        <f ca="1">SUMIF('内訳ﾘｽﾄ(4～3月)'!$D$8:$D$15,'採算表(VND)'!$B68,'内訳ﾘｽﾄ(4～3月)'!Q$8:Q$15)</f>
        <v>1156</v>
      </c>
      <c r="O68" s="162">
        <f ca="1">SUMIF('内訳ﾘｽﾄ(4～3月)'!$D$8:$D$15,'採算表(VND)'!$B68,'内訳ﾘｽﾄ(4～3月)'!$R$8:$R$15)</f>
        <v>13761.5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 ca="1">IF('内訳ﾘｽﾄ(4～3月)'!$D$5="製造",SUMIF('内訳ﾘｽﾄ(4～3月)'!$D$8:$D$15,$B72,'内訳ﾘｽﾄ(4～3月)'!F$8:F$15),IF('内訳ﾘｽﾄ(4～3月)'!$D$5="工場間接",-C$68,0))</f>
        <v>-986</v>
      </c>
      <c r="D72" s="165">
        <f ca="1">IF('内訳ﾘｽﾄ(4～3月)'!$D$5="製造",SUMIF('内訳ﾘｽﾄ(4～3月)'!$D$8:$D$15,$B72,'内訳ﾘｽﾄ(4～3月)'!G$8:G$15),IF('内訳ﾘｽﾄ(4～3月)'!$D$5="工場間接",-D$68,0))</f>
        <v>-1096.5</v>
      </c>
      <c r="E72" s="165">
        <f ca="1">IF('内訳ﾘｽﾄ(4～3月)'!$D$5="製造",SUMIF('内訳ﾘｽﾄ(4～3月)'!$D$8:$D$15,$B72,'内訳ﾘｽﾄ(4～3月)'!H$8:H$15),IF('内訳ﾘｽﾄ(4～3月)'!$D$5="工場間接",-E$68,0))</f>
        <v>-1215.5</v>
      </c>
      <c r="F72" s="165">
        <f ca="1">IF('内訳ﾘｽﾄ(4～3月)'!$D$5="製造",SUMIF('内訳ﾘｽﾄ(4～3月)'!$D$8:$D$15,$B72,'内訳ﾘｽﾄ(4～3月)'!I$8:I$15),IF('内訳ﾘｽﾄ(4～3月)'!$D$5="工場間接",-F$68,0))</f>
        <v>-1334.5</v>
      </c>
      <c r="G72" s="165">
        <f ca="1">IF('内訳ﾘｽﾄ(4～3月)'!$D$5="製造",SUMIF('内訳ﾘｽﾄ(4～3月)'!$D$8:$D$15,$B72,'内訳ﾘｽﾄ(4～3月)'!J$8:J$15),IF('内訳ﾘｽﾄ(4～3月)'!$D$5="工場間接",-G$68,0))</f>
        <v>-1113.5</v>
      </c>
      <c r="H72" s="165">
        <f ca="1">IF('内訳ﾘｽﾄ(4～3月)'!$D$5="製造",SUMIF('内訳ﾘｽﾄ(4～3月)'!$D$8:$D$15,$B72,'内訳ﾘｽﾄ(4～3月)'!K$8:K$15),IF('内訳ﾘｽﾄ(4～3月)'!$D$5="工場間接",-H$68,0))</f>
        <v>-1096.5</v>
      </c>
      <c r="I72" s="165">
        <f ca="1">IF('内訳ﾘｽﾄ(4～3月)'!$D$5="製造",SUMIF('内訳ﾘｽﾄ(4～3月)'!$D$8:$D$15,$B72,'内訳ﾘｽﾄ(4～3月)'!L$8:L$15),IF('内訳ﾘｽﾄ(4～3月)'!$D$5="工場間接",-I$68,0))</f>
        <v>-1334.5</v>
      </c>
      <c r="J72" s="165">
        <f ca="1">IF('内訳ﾘｽﾄ(4～3月)'!$D$5="製造",SUMIF('内訳ﾘｽﾄ(4～3月)'!$D$8:$D$15,$B72,'内訳ﾘｽﾄ(4～3月)'!M$8:M$15),IF('内訳ﾘｽﾄ(4～3月)'!$D$5="工場間接",-J$68,0))</f>
        <v>-1156</v>
      </c>
      <c r="K72" s="165">
        <f ca="1">IF('内訳ﾘｽﾄ(4～3月)'!$D$5="製造",SUMIF('内訳ﾘｽﾄ(4～3月)'!$D$8:$D$15,$B72,'内訳ﾘｽﾄ(4～3月)'!N$8:N$15),IF('内訳ﾘｽﾄ(4～3月)'!$D$5="工場間接",-K$68,0))</f>
        <v>-1275</v>
      </c>
      <c r="L72" s="165">
        <f ca="1">IF('内訳ﾘｽﾄ(4～3月)'!$D$5="製造",SUMIF('内訳ﾘｽﾄ(4～3月)'!$D$8:$D$15,$B72,'内訳ﾘｽﾄ(4～3月)'!O$8:O$15),IF('内訳ﾘｽﾄ(4～3月)'!$D$5="工場間接",-L$68,0))</f>
        <v>-1156</v>
      </c>
      <c r="M72" s="165">
        <f ca="1">IF('内訳ﾘｽﾄ(4～3月)'!$D$5="製造",SUMIF('内訳ﾘｽﾄ(4～3月)'!$D$8:$D$15,$B72,'内訳ﾘｽﾄ(4～3月)'!P$8:P$15),IF('内訳ﾘｽﾄ(4～3月)'!$D$5="工場間接",-M$68,0))</f>
        <v>-841.5</v>
      </c>
      <c r="N72" s="165">
        <f ca="1">IF('内訳ﾘｽﾄ(4～3月)'!$D$5="製造",SUMIF('内訳ﾘｽﾄ(4～3月)'!$D$8:$D$15,$B72,'内訳ﾘｽﾄ(4～3月)'!Q$8:Q$15),IF('内訳ﾘｽﾄ(4～3月)'!$D$5="工場間接",-N$68,0))</f>
        <v>-1156</v>
      </c>
      <c r="O72" s="165">
        <f ca="1">IF('内訳ﾘｽﾄ(4～3月)'!$D$5="工場間接",-SUM(O$68),IF('内訳ﾘｽﾄ(4～3月)'!$D$5="製造",SUMIF('内訳ﾘｽﾄ(4～3月)'!$D$8:$D$15,'採算表(VND)'!$B72,'内訳ﾘｽﾄ(4～3月)'!$R$8:$R$15),0))</f>
        <v>-13761.5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 ca="1">SUM(C68:C72)</f>
        <v>0</v>
      </c>
      <c r="D73" s="166">
        <f t="shared" ref="D73:N73" ca="1" si="6">SUM(D68:D72)</f>
        <v>0</v>
      </c>
      <c r="E73" s="166">
        <f t="shared" ca="1" si="6"/>
        <v>0</v>
      </c>
      <c r="F73" s="166">
        <f t="shared" ca="1" si="6"/>
        <v>0</v>
      </c>
      <c r="G73" s="166">
        <f t="shared" ca="1" si="6"/>
        <v>0</v>
      </c>
      <c r="H73" s="166">
        <f t="shared" ca="1" si="6"/>
        <v>0</v>
      </c>
      <c r="I73" s="166">
        <f t="shared" ca="1" si="6"/>
        <v>0</v>
      </c>
      <c r="J73" s="166">
        <f t="shared" ca="1" si="6"/>
        <v>0</v>
      </c>
      <c r="K73" s="166">
        <f t="shared" ca="1" si="6"/>
        <v>0</v>
      </c>
      <c r="L73" s="166">
        <f t="shared" ca="1" si="6"/>
        <v>0</v>
      </c>
      <c r="M73" s="166">
        <f t="shared" ca="1" si="6"/>
        <v>0</v>
      </c>
      <c r="N73" s="166">
        <f t="shared" ca="1" si="6"/>
        <v>0</v>
      </c>
      <c r="O73" s="166">
        <f ca="1"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 ca="1">SUMIF('内訳ﾘｽﾄ(4～3月)'!$D$16:$D$23,'採算表(VND)'!$B74,'内訳ﾘｽﾄ(4～3月)'!F$16:F$23)</f>
        <v>116</v>
      </c>
      <c r="D74" s="162">
        <f ca="1">SUMIF('内訳ﾘｽﾄ(4～3月)'!$D$16:$D$23,'採算表(VND)'!$B74,'内訳ﾘｽﾄ(4～3月)'!G$16:G$23)</f>
        <v>110</v>
      </c>
      <c r="E74" s="162">
        <f ca="1">SUMIF('内訳ﾘｽﾄ(4～3月)'!$D$16:$D$23,'採算表(VND)'!$B74,'内訳ﾘｽﾄ(4～3月)'!H$16:H$23)</f>
        <v>122</v>
      </c>
      <c r="F74" s="162">
        <f ca="1">SUMIF('内訳ﾘｽﾄ(4～3月)'!$D$16:$D$23,'採算表(VND)'!$B74,'内訳ﾘｽﾄ(4～3月)'!I$16:I$23)</f>
        <v>134</v>
      </c>
      <c r="G74" s="162">
        <f ca="1">SUMIF('内訳ﾘｽﾄ(4～3月)'!$D$16:$D$23,'採算表(VND)'!$B74,'内訳ﾘｽﾄ(4～3月)'!J$16:J$23)</f>
        <v>106</v>
      </c>
      <c r="H74" s="162">
        <f ca="1">SUMIF('内訳ﾘｽﾄ(4～3月)'!$D$16:$D$23,'採算表(VND)'!$B74,'内訳ﾘｽﾄ(4～3月)'!K$16:K$23)</f>
        <v>110</v>
      </c>
      <c r="I74" s="162">
        <f ca="1">SUMIF('内訳ﾘｽﾄ(4～3月)'!$D$16:$D$23,'採算表(VND)'!$B74,'内訳ﾘｽﾄ(4～3月)'!L$16:L$23)</f>
        <v>134</v>
      </c>
      <c r="J74" s="162">
        <f ca="1">SUMIF('内訳ﾘｽﾄ(4～3月)'!$D$16:$D$23,'採算表(VND)'!$B74,'内訳ﾘｽﾄ(4～3月)'!M$16:M$23)</f>
        <v>116</v>
      </c>
      <c r="K74" s="162">
        <f ca="1">SUMIF('内訳ﾘｽﾄ(4～3月)'!$D$16:$D$23,'採算表(VND)'!$B74,'内訳ﾘｽﾄ(4～3月)'!N$16:N$23)</f>
        <v>128</v>
      </c>
      <c r="L74" s="162">
        <f ca="1">SUMIF('内訳ﾘｽﾄ(4～3月)'!$D$16:$D$23,'採算表(VND)'!$B74,'内訳ﾘｽﾄ(4～3月)'!O$16:O$23)</f>
        <v>116</v>
      </c>
      <c r="M74" s="162">
        <f ca="1">SUMIF('内訳ﾘｽﾄ(4～3月)'!$D$16:$D$23,'採算表(VND)'!$B74,'内訳ﾘｽﾄ(4～3月)'!P$16:P$23)</f>
        <v>82</v>
      </c>
      <c r="N74" s="162">
        <f ca="1">SUMIF('内訳ﾘｽﾄ(4～3月)'!$D$16:$D$23,'採算表(VND)'!$B74,'内訳ﾘｽﾄ(4～3月)'!Q$16:Q$23)</f>
        <v>116</v>
      </c>
      <c r="O74" s="162">
        <f ca="1">SUMIF('内訳ﾘｽﾄ(4～3月)'!$D$16:$D$23,'採算表(VND)'!$B74,'内訳ﾘｽﾄ(4～3月)'!$R$16:$R$23)</f>
        <v>1390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 ca="1">IF('内訳ﾘｽﾄ(4～3月)'!$D$5="製造",SUMIF('内訳ﾘｽﾄ(4～3月)'!$D$16:$D$23,$B78,'内訳ﾘｽﾄ(4～3月)'!F$16:F$23),IF('内訳ﾘｽﾄ(4～3月)'!$D$5="工場間接",-C$74,0))</f>
        <v>-116</v>
      </c>
      <c r="D78" s="165">
        <f ca="1">IF('内訳ﾘｽﾄ(4～3月)'!$D$5="製造",SUMIF('内訳ﾘｽﾄ(4～3月)'!$D$16:$D$23,$B78,'内訳ﾘｽﾄ(4～3月)'!G$16:G$23),IF('内訳ﾘｽﾄ(4～3月)'!$D$5="工場間接",-D$74,0))</f>
        <v>-110</v>
      </c>
      <c r="E78" s="165">
        <f ca="1">IF('内訳ﾘｽﾄ(4～3月)'!$D$5="製造",SUMIF('内訳ﾘｽﾄ(4～3月)'!$D$16:$D$23,$B78,'内訳ﾘｽﾄ(4～3月)'!H$16:H$23),IF('内訳ﾘｽﾄ(4～3月)'!$D$5="工場間接",-E$74,0))</f>
        <v>-122</v>
      </c>
      <c r="F78" s="165">
        <f ca="1">IF('内訳ﾘｽﾄ(4～3月)'!$D$5="製造",SUMIF('内訳ﾘｽﾄ(4～3月)'!$D$16:$D$23,$B78,'内訳ﾘｽﾄ(4～3月)'!I$16:I$23),IF('内訳ﾘｽﾄ(4～3月)'!$D$5="工場間接",-F$74,0))</f>
        <v>-134</v>
      </c>
      <c r="G78" s="165">
        <f ca="1">IF('内訳ﾘｽﾄ(4～3月)'!$D$5="製造",SUMIF('内訳ﾘｽﾄ(4～3月)'!$D$16:$D$23,$B78,'内訳ﾘｽﾄ(4～3月)'!J$16:J$23),IF('内訳ﾘｽﾄ(4～3月)'!$D$5="工場間接",-G$74,0))</f>
        <v>-106</v>
      </c>
      <c r="H78" s="165">
        <f ca="1">IF('内訳ﾘｽﾄ(4～3月)'!$D$5="製造",SUMIF('内訳ﾘｽﾄ(4～3月)'!$D$16:$D$23,$B78,'内訳ﾘｽﾄ(4～3月)'!K$16:K$23),IF('内訳ﾘｽﾄ(4～3月)'!$D$5="工場間接",-H$74,0))</f>
        <v>-110</v>
      </c>
      <c r="I78" s="165">
        <f ca="1">IF('内訳ﾘｽﾄ(4～3月)'!$D$5="製造",SUMIF('内訳ﾘｽﾄ(4～3月)'!$D$16:$D$23,$B78,'内訳ﾘｽﾄ(4～3月)'!L$16:L$23),IF('内訳ﾘｽﾄ(4～3月)'!$D$5="工場間接",-I$74,0))</f>
        <v>-134</v>
      </c>
      <c r="J78" s="165">
        <f ca="1">IF('内訳ﾘｽﾄ(4～3月)'!$D$5="製造",SUMIF('内訳ﾘｽﾄ(4～3月)'!$D$16:$D$23,$B78,'内訳ﾘｽﾄ(4～3月)'!M$16:M$23),IF('内訳ﾘｽﾄ(4～3月)'!$D$5="工場間接",-J$74,0))</f>
        <v>-116</v>
      </c>
      <c r="K78" s="165">
        <f ca="1">IF('内訳ﾘｽﾄ(4～3月)'!$D$5="製造",SUMIF('内訳ﾘｽﾄ(4～3月)'!$D$16:$D$23,$B78,'内訳ﾘｽﾄ(4～3月)'!N$16:N$23),IF('内訳ﾘｽﾄ(4～3月)'!$D$5="工場間接",-K$74,0))</f>
        <v>-128</v>
      </c>
      <c r="L78" s="165">
        <f ca="1">IF('内訳ﾘｽﾄ(4～3月)'!$D$5="製造",SUMIF('内訳ﾘｽﾄ(4～3月)'!$D$16:$D$23,$B78,'内訳ﾘｽﾄ(4～3月)'!O$16:O$23),IF('内訳ﾘｽﾄ(4～3月)'!$D$5="工場間接",-L$74,0))</f>
        <v>-116</v>
      </c>
      <c r="M78" s="165">
        <f ca="1">IF('内訳ﾘｽﾄ(4～3月)'!$D$5="製造",SUMIF('内訳ﾘｽﾄ(4～3月)'!$D$16:$D$23,$B78,'内訳ﾘｽﾄ(4～3月)'!P$16:P$23),IF('内訳ﾘｽﾄ(4～3月)'!$D$5="工場間接",-M$74,0))</f>
        <v>-82</v>
      </c>
      <c r="N78" s="165">
        <f ca="1">IF('内訳ﾘｽﾄ(4～3月)'!$D$5="製造",SUMIF('内訳ﾘｽﾄ(4～3月)'!$D$16:$D$23,$B78,'内訳ﾘｽﾄ(4～3月)'!Q$16:Q$23),IF('内訳ﾘｽﾄ(4～3月)'!$D$5="工場間接",-N$74,0))</f>
        <v>-116</v>
      </c>
      <c r="O78" s="165">
        <f ca="1">IF('内訳ﾘｽﾄ(4～3月)'!$D$5="工場間接",-SUM(O$74),IF('内訳ﾘｽﾄ(4～3月)'!$D$5="製造",SUMIF('内訳ﾘｽﾄ(4～3月)'!$D$16:$D$23,'採算表(VND)'!$B78,'内訳ﾘｽﾄ(4～3月)'!$R$16:$R$23),0))</f>
        <v>-1390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 ca="1">SUM(C74:C78)</f>
        <v>0</v>
      </c>
      <c r="D79" s="166">
        <f t="shared" ref="D79:N79" ca="1" si="7">SUM(D74:D78)</f>
        <v>0</v>
      </c>
      <c r="E79" s="166">
        <f t="shared" ca="1" si="7"/>
        <v>0</v>
      </c>
      <c r="F79" s="166">
        <f t="shared" ca="1" si="7"/>
        <v>0</v>
      </c>
      <c r="G79" s="166">
        <f t="shared" ca="1" si="7"/>
        <v>0</v>
      </c>
      <c r="H79" s="166">
        <f t="shared" ca="1" si="7"/>
        <v>0</v>
      </c>
      <c r="I79" s="166">
        <f t="shared" ca="1" si="7"/>
        <v>0</v>
      </c>
      <c r="J79" s="166">
        <f t="shared" ca="1" si="7"/>
        <v>0</v>
      </c>
      <c r="K79" s="166">
        <f t="shared" ca="1" si="7"/>
        <v>0</v>
      </c>
      <c r="L79" s="166">
        <f t="shared" ca="1" si="7"/>
        <v>0</v>
      </c>
      <c r="M79" s="166">
        <f t="shared" ca="1" si="7"/>
        <v>0</v>
      </c>
      <c r="N79" s="166">
        <f t="shared" ca="1" si="7"/>
        <v>0</v>
      </c>
      <c r="O79" s="166">
        <f ca="1"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 ca="1">IFERROR(ROUNDDOWN(C66/C67,0),0)</f>
        <v>0</v>
      </c>
      <c r="D80" s="167">
        <f t="shared" ref="D80:N80" ca="1" si="8">IFERROR(ROUNDDOWN(D66/D67,0),0)</f>
        <v>0</v>
      </c>
      <c r="E80" s="167">
        <f t="shared" ca="1" si="8"/>
        <v>0</v>
      </c>
      <c r="F80" s="167">
        <f t="shared" ca="1" si="8"/>
        <v>0</v>
      </c>
      <c r="G80" s="167">
        <f t="shared" ca="1" si="8"/>
        <v>0</v>
      </c>
      <c r="H80" s="167">
        <f t="shared" ca="1" si="8"/>
        <v>0</v>
      </c>
      <c r="I80" s="167">
        <f t="shared" ca="1" si="8"/>
        <v>0</v>
      </c>
      <c r="J80" s="167">
        <f t="shared" ca="1" si="8"/>
        <v>0</v>
      </c>
      <c r="K80" s="167">
        <f t="shared" ca="1" si="8"/>
        <v>0</v>
      </c>
      <c r="L80" s="167">
        <f t="shared" ca="1" si="8"/>
        <v>0</v>
      </c>
      <c r="M80" s="167">
        <f t="shared" ca="1" si="8"/>
        <v>0</v>
      </c>
      <c r="N80" s="167">
        <f t="shared" ca="1" si="8"/>
        <v>0</v>
      </c>
      <c r="O80" s="167">
        <f ca="1"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 ca="1">IFERROR(ROUNDDOWN(C12/C67,0),0)</f>
        <v>0</v>
      </c>
      <c r="D81" s="168">
        <f t="shared" ref="D81:N81" ca="1" si="9">IFERROR(ROUNDDOWN(D12/D67,0),0)</f>
        <v>0</v>
      </c>
      <c r="E81" s="168">
        <f t="shared" ca="1" si="9"/>
        <v>0</v>
      </c>
      <c r="F81" s="168">
        <f t="shared" ca="1" si="9"/>
        <v>0</v>
      </c>
      <c r="G81" s="168">
        <f t="shared" ca="1" si="9"/>
        <v>0</v>
      </c>
      <c r="H81" s="168">
        <f t="shared" ca="1" si="9"/>
        <v>0</v>
      </c>
      <c r="I81" s="168">
        <f t="shared" ca="1" si="9"/>
        <v>0</v>
      </c>
      <c r="J81" s="168">
        <f t="shared" ca="1" si="9"/>
        <v>0</v>
      </c>
      <c r="K81" s="168">
        <f t="shared" ca="1" si="9"/>
        <v>0</v>
      </c>
      <c r="L81" s="168">
        <f t="shared" ca="1" si="9"/>
        <v>0</v>
      </c>
      <c r="M81" s="168">
        <f t="shared" ca="1" si="9"/>
        <v>0</v>
      </c>
      <c r="N81" s="168">
        <f t="shared" ca="1" si="9"/>
        <v>0</v>
      </c>
      <c r="O81" s="168">
        <f ca="1"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5</v>
      </c>
      <c r="D88" s="150">
        <f>SUMIF('内訳ﾘｽﾄ(4～3月)'!$D$24:$D$25,'採算表(VND)'!$B88,'内訳ﾘｽﾄ(4～3月)'!G$24:G$25)</f>
        <v>6</v>
      </c>
      <c r="E88" s="150">
        <f>SUMIF('内訳ﾘｽﾄ(4～3月)'!$D$24:$D$25,'採算表(VND)'!$B88,'内訳ﾘｽﾄ(4～3月)'!H$24:H$25)</f>
        <v>6</v>
      </c>
      <c r="F88" s="150">
        <f>SUMIF('内訳ﾘｽﾄ(4～3月)'!$D$24:$D$25,'採算表(VND)'!$B88,'内訳ﾘｽﾄ(4～3月)'!I$24:I$25)</f>
        <v>6</v>
      </c>
      <c r="G88" s="150">
        <f>SUMIF('内訳ﾘｽﾄ(4～3月)'!$D$24:$D$25,'採算表(VND)'!$B88,'内訳ﾘｽﾄ(4～3月)'!J$24:J$25)</f>
        <v>6</v>
      </c>
      <c r="H88" s="150">
        <f>SUMIF('内訳ﾘｽﾄ(4～3月)'!$D$24:$D$25,'採算表(VND)'!$B88,'内訳ﾘｽﾄ(4～3月)'!K$24:K$25)</f>
        <v>6</v>
      </c>
      <c r="I88" s="150">
        <f>SUMIF('内訳ﾘｽﾄ(4～3月)'!$D$24:$D$25,'採算表(VND)'!$B88,'内訳ﾘｽﾄ(4～3月)'!L$24:L$25)</f>
        <v>6</v>
      </c>
      <c r="J88" s="150">
        <f>SUMIF('内訳ﾘｽﾄ(4～3月)'!$D$24:$D$25,'採算表(VND)'!$B88,'内訳ﾘｽﾄ(4～3月)'!M$24:M$25)</f>
        <v>6</v>
      </c>
      <c r="K88" s="150">
        <f>SUMIF('内訳ﾘｽﾄ(4～3月)'!$D$24:$D$25,'採算表(VND)'!$B88,'内訳ﾘｽﾄ(4～3月)'!N$24:N$25)</f>
        <v>6</v>
      </c>
      <c r="L88" s="150">
        <f>SUMIF('内訳ﾘｽﾄ(4～3月)'!$D$24:$D$25,'採算表(VND)'!$B88,'内訳ﾘｽﾄ(4～3月)'!O$24:O$25)</f>
        <v>6</v>
      </c>
      <c r="M88" s="150">
        <f>SUMIF('内訳ﾘｽﾄ(4～3月)'!$D$24:$D$25,'採算表(VND)'!$B88,'内訳ﾘｽﾄ(4～3月)'!P$24:P$25)</f>
        <v>6</v>
      </c>
      <c r="N88" s="150">
        <f>SUMIF('内訳ﾘｽﾄ(4～3月)'!$D$24:$D$25,'採算表(VND)'!$B88,'内訳ﾘｽﾄ(4～3月)'!Q$24:Q$25)</f>
        <v>6</v>
      </c>
      <c r="O88" s="150">
        <f>SUMIF('内訳ﾘｽﾄ(4～3月)'!$D$24:$D$25,'採算表(VND)'!$B88,'内訳ﾘｽﾄ(4～3月)'!R$24:R$25)</f>
        <v>6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6</v>
      </c>
      <c r="D89" s="151">
        <f t="shared" si="10"/>
        <v>7</v>
      </c>
      <c r="E89" s="151">
        <f t="shared" si="10"/>
        <v>7</v>
      </c>
      <c r="F89" s="151">
        <f t="shared" si="10"/>
        <v>7</v>
      </c>
      <c r="G89" s="151">
        <f t="shared" si="10"/>
        <v>7</v>
      </c>
      <c r="H89" s="151">
        <f t="shared" si="10"/>
        <v>7</v>
      </c>
      <c r="I89" s="151">
        <f t="shared" si="10"/>
        <v>7</v>
      </c>
      <c r="J89" s="151">
        <f t="shared" si="10"/>
        <v>7</v>
      </c>
      <c r="K89" s="151">
        <f t="shared" si="10"/>
        <v>7</v>
      </c>
      <c r="L89" s="151">
        <f t="shared" si="10"/>
        <v>7</v>
      </c>
      <c r="M89" s="151">
        <f t="shared" si="10"/>
        <v>7</v>
      </c>
      <c r="N89" s="151">
        <f t="shared" si="10"/>
        <v>7</v>
      </c>
      <c r="O89" s="151">
        <f>O87+O88</f>
        <v>7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 ca="1">SUMIF('内訳ﾘｽﾄ(4～3月)'!$B$8:$B$15,$B92,'内訳ﾘｽﾄ(4～3月)'!F$8:F$15)</f>
        <v>170</v>
      </c>
      <c r="D92" s="161">
        <f ca="1">SUMIF('内訳ﾘｽﾄ(4～3月)'!$B$8:$B$15,$B92,'内訳ﾘｽﾄ(4～3月)'!G$8:G$15)</f>
        <v>161.5</v>
      </c>
      <c r="E92" s="161">
        <f ca="1">SUMIF('内訳ﾘｽﾄ(4～3月)'!$B$8:$B$15,$B92,'内訳ﾘｽﾄ(4～3月)'!H$8:H$15)</f>
        <v>178.5</v>
      </c>
      <c r="F92" s="161">
        <f ca="1">SUMIF('内訳ﾘｽﾄ(4～3月)'!$B$8:$B$15,$B92,'内訳ﾘｽﾄ(4～3月)'!I$8:I$15)</f>
        <v>195.5</v>
      </c>
      <c r="G92" s="161">
        <f ca="1">SUMIF('内訳ﾘｽﾄ(4～3月)'!$B$8:$B$15,$B92,'内訳ﾘｽﾄ(4～3月)'!J$8:J$15)</f>
        <v>127.5</v>
      </c>
      <c r="H92" s="161">
        <f ca="1">SUMIF('内訳ﾘｽﾄ(4～3月)'!$B$8:$B$15,$B92,'内訳ﾘｽﾄ(4～3月)'!K$8:K$15)</f>
        <v>161.5</v>
      </c>
      <c r="I92" s="161">
        <f ca="1">SUMIF('内訳ﾘｽﾄ(4～3月)'!$B$8:$B$15,$B92,'内訳ﾘｽﾄ(4～3月)'!L$8:L$15)</f>
        <v>195.5</v>
      </c>
      <c r="J92" s="161">
        <f ca="1">SUMIF('内訳ﾘｽﾄ(4～3月)'!$B$8:$B$15,$B92,'内訳ﾘｽﾄ(4～3月)'!M$8:M$15)</f>
        <v>170</v>
      </c>
      <c r="K92" s="161">
        <f ca="1">SUMIF('内訳ﾘｽﾄ(4～3月)'!$B$8:$B$15,$B92,'内訳ﾘｽﾄ(4～3月)'!N$8:N$15)</f>
        <v>187</v>
      </c>
      <c r="L92" s="161">
        <f ca="1">SUMIF('内訳ﾘｽﾄ(4～3月)'!$B$8:$B$15,$B92,'内訳ﾘｽﾄ(4～3月)'!O$8:O$15)</f>
        <v>170</v>
      </c>
      <c r="M92" s="161">
        <f ca="1">SUMIF('内訳ﾘｽﾄ(4～3月)'!$B$8:$B$15,$B92,'内訳ﾘｽﾄ(4～3月)'!P$8:P$15)</f>
        <v>110.5</v>
      </c>
      <c r="N92" s="161">
        <f ca="1">SUMIF('内訳ﾘｽﾄ(4～3月)'!$B$8:$B$15,$B92,'内訳ﾘｽﾄ(4～3月)'!Q$8:Q$15)</f>
        <v>170</v>
      </c>
      <c r="O92" s="161">
        <f ca="1">SUMIF('内訳ﾘｽﾄ(4～3月)'!$B$8:$B$15,$B92,'内訳ﾘｽﾄ(4～3月)'!R$8:R$15)</f>
        <v>1997.5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 ca="1">SUMIF('内訳ﾘｽﾄ(4～3月)'!$B$8:$B$15,$B93,'内訳ﾘｽﾄ(4～3月)'!F$8:F$15)</f>
        <v>816</v>
      </c>
      <c r="D93" s="161">
        <f ca="1">SUMIF('内訳ﾘｽﾄ(4～3月)'!$B$8:$B$15,$B93,'内訳ﾘｽﾄ(4～3月)'!G$8:G$15)</f>
        <v>935</v>
      </c>
      <c r="E93" s="161">
        <f ca="1">SUMIF('内訳ﾘｽﾄ(4～3月)'!$B$8:$B$15,$B93,'内訳ﾘｽﾄ(4～3月)'!H$8:H$15)</f>
        <v>1037</v>
      </c>
      <c r="F93" s="161">
        <f ca="1">SUMIF('内訳ﾘｽﾄ(4～3月)'!$B$8:$B$15,$B93,'内訳ﾘｽﾄ(4～3月)'!I$8:I$15)</f>
        <v>1139</v>
      </c>
      <c r="G93" s="161">
        <f ca="1">SUMIF('内訳ﾘｽﾄ(4～3月)'!$B$8:$B$15,$B93,'内訳ﾘｽﾄ(4～3月)'!J$8:J$15)</f>
        <v>986</v>
      </c>
      <c r="H93" s="161">
        <f ca="1">SUMIF('内訳ﾘｽﾄ(4～3月)'!$B$8:$B$15,$B93,'内訳ﾘｽﾄ(4～3月)'!K$8:K$15)</f>
        <v>935</v>
      </c>
      <c r="I93" s="161">
        <f ca="1">SUMIF('内訳ﾘｽﾄ(4～3月)'!$B$8:$B$15,$B93,'内訳ﾘｽﾄ(4～3月)'!L$8:L$15)</f>
        <v>1139</v>
      </c>
      <c r="J93" s="161">
        <f ca="1">SUMIF('内訳ﾘｽﾄ(4～3月)'!$B$8:$B$15,$B93,'内訳ﾘｽﾄ(4～3月)'!M$8:M$15)</f>
        <v>986</v>
      </c>
      <c r="K93" s="161">
        <f ca="1">SUMIF('内訳ﾘｽﾄ(4～3月)'!$B$8:$B$15,$B93,'内訳ﾘｽﾄ(4～3月)'!N$8:N$15)</f>
        <v>1088</v>
      </c>
      <c r="L93" s="161">
        <f ca="1">SUMIF('内訳ﾘｽﾄ(4～3月)'!$B$8:$B$15,$B93,'内訳ﾘｽﾄ(4～3月)'!O$8:O$15)</f>
        <v>986</v>
      </c>
      <c r="M93" s="161">
        <f ca="1">SUMIF('内訳ﾘｽﾄ(4～3月)'!$B$8:$B$15,$B93,'内訳ﾘｽﾄ(4～3月)'!P$8:P$15)</f>
        <v>731</v>
      </c>
      <c r="N93" s="161">
        <f ca="1">SUMIF('内訳ﾘｽﾄ(4～3月)'!$B$8:$B$15,$B93,'内訳ﾘｽﾄ(4～3月)'!Q$8:Q$15)</f>
        <v>986</v>
      </c>
      <c r="O93" s="161">
        <f ca="1">SUMIF('内訳ﾘｽﾄ(4～3月)'!$B$8:$B$15,$B93,'内訳ﾘｽﾄ(4～3月)'!R$8:R$15)</f>
        <v>11764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ca="1" si="11">C92+C93</f>
        <v>986</v>
      </c>
      <c r="D94" s="169">
        <f t="shared" ca="1" si="11"/>
        <v>1096.5</v>
      </c>
      <c r="E94" s="169">
        <f t="shared" ca="1" si="11"/>
        <v>1215.5</v>
      </c>
      <c r="F94" s="169">
        <f t="shared" ca="1" si="11"/>
        <v>1334.5</v>
      </c>
      <c r="G94" s="169">
        <f t="shared" ca="1" si="11"/>
        <v>1113.5</v>
      </c>
      <c r="H94" s="169">
        <f t="shared" ca="1" si="11"/>
        <v>1096.5</v>
      </c>
      <c r="I94" s="169">
        <f t="shared" ca="1" si="11"/>
        <v>1334.5</v>
      </c>
      <c r="J94" s="169">
        <f t="shared" ca="1" si="11"/>
        <v>1156</v>
      </c>
      <c r="K94" s="169">
        <f t="shared" ca="1" si="11"/>
        <v>1275</v>
      </c>
      <c r="L94" s="169">
        <f t="shared" ca="1" si="11"/>
        <v>1156</v>
      </c>
      <c r="M94" s="169">
        <f t="shared" ca="1" si="11"/>
        <v>841.5</v>
      </c>
      <c r="N94" s="169">
        <f t="shared" ca="1" si="11"/>
        <v>1156</v>
      </c>
      <c r="O94" s="169">
        <f ca="1">O92+O93</f>
        <v>13761.5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 ca="1">SUMIF('内訳ﾘｽﾄ(4～3月)'!$B$16:$B$23,$B97,'内訳ﾘｽﾄ(4～3月)'!F$16:F$23)</f>
        <v>40</v>
      </c>
      <c r="D97" s="161">
        <f ca="1">SUMIF('内訳ﾘｽﾄ(4～3月)'!$B$16:$B$23,$B97,'内訳ﾘｽﾄ(4～3月)'!G$16:G$23)</f>
        <v>38</v>
      </c>
      <c r="E97" s="161">
        <f ca="1">SUMIF('内訳ﾘｽﾄ(4～3月)'!$B$16:$B$23,$B97,'内訳ﾘｽﾄ(4～3月)'!H$16:H$23)</f>
        <v>42</v>
      </c>
      <c r="F97" s="161">
        <f ca="1">SUMIF('内訳ﾘｽﾄ(4～3月)'!$B$16:$B$23,$B97,'内訳ﾘｽﾄ(4～3月)'!I$16:I$23)</f>
        <v>46</v>
      </c>
      <c r="G97" s="161">
        <f ca="1">SUMIF('内訳ﾘｽﾄ(4～3月)'!$B$16:$B$23,$B97,'内訳ﾘｽﾄ(4～3月)'!J$16:J$23)</f>
        <v>30</v>
      </c>
      <c r="H97" s="161">
        <f ca="1">SUMIF('内訳ﾘｽﾄ(4～3月)'!$B$16:$B$23,$B97,'内訳ﾘｽﾄ(4～3月)'!K$16:K$23)</f>
        <v>38</v>
      </c>
      <c r="I97" s="161">
        <f ca="1">SUMIF('内訳ﾘｽﾄ(4～3月)'!$B$16:$B$23,$B97,'内訳ﾘｽﾄ(4～3月)'!L$16:L$23)</f>
        <v>46</v>
      </c>
      <c r="J97" s="161">
        <f ca="1">SUMIF('内訳ﾘｽﾄ(4～3月)'!$B$16:$B$23,$B97,'内訳ﾘｽﾄ(4～3月)'!M$16:M$23)</f>
        <v>40</v>
      </c>
      <c r="K97" s="161">
        <f ca="1">SUMIF('内訳ﾘｽﾄ(4～3月)'!$B$16:$B$23,$B97,'内訳ﾘｽﾄ(4～3月)'!N$16:N$23)</f>
        <v>44</v>
      </c>
      <c r="L97" s="161">
        <f ca="1">SUMIF('内訳ﾘｽﾄ(4～3月)'!$B$16:$B$23,$B97,'内訳ﾘｽﾄ(4～3月)'!O$16:O$23)</f>
        <v>40</v>
      </c>
      <c r="M97" s="161">
        <f ca="1">SUMIF('内訳ﾘｽﾄ(4～3月)'!$B$16:$B$23,$B97,'内訳ﾘｽﾄ(4～3月)'!P$16:P$23)</f>
        <v>26</v>
      </c>
      <c r="N97" s="161">
        <f ca="1">SUMIF('内訳ﾘｽﾄ(4～3月)'!$B$16:$B$23,$B97,'内訳ﾘｽﾄ(4～3月)'!Q$16:Q$23)</f>
        <v>40</v>
      </c>
      <c r="O97" s="161">
        <f ca="1">SUMIF('内訳ﾘｽﾄ(4～3月)'!$B$16:$B$23,$B97,'内訳ﾘｽﾄ(4～3月)'!R$16:R$23)</f>
        <v>470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 ca="1">SUMIF('内訳ﾘｽﾄ(4～3月)'!$B$16:$B$23,$B98,'内訳ﾘｽﾄ(4～3月)'!F$16:F$23)</f>
        <v>76</v>
      </c>
      <c r="D98" s="161">
        <f ca="1">SUMIF('内訳ﾘｽﾄ(4～3月)'!$B$16:$B$23,$B98,'内訳ﾘｽﾄ(4～3月)'!G$16:G$23)</f>
        <v>72</v>
      </c>
      <c r="E98" s="161">
        <f ca="1">SUMIF('内訳ﾘｽﾄ(4～3月)'!$B$16:$B$23,$B98,'内訳ﾘｽﾄ(4～3月)'!H$16:H$23)</f>
        <v>80</v>
      </c>
      <c r="F98" s="161">
        <f ca="1">SUMIF('内訳ﾘｽﾄ(4～3月)'!$B$16:$B$23,$B98,'内訳ﾘｽﾄ(4～3月)'!I$16:I$23)</f>
        <v>88</v>
      </c>
      <c r="G98" s="161">
        <f ca="1">SUMIF('内訳ﾘｽﾄ(4～3月)'!$B$16:$B$23,$B98,'内訳ﾘｽﾄ(4～3月)'!J$16:J$23)</f>
        <v>76</v>
      </c>
      <c r="H98" s="161">
        <f ca="1">SUMIF('内訳ﾘｽﾄ(4～3月)'!$B$16:$B$23,$B98,'内訳ﾘｽﾄ(4～3月)'!K$16:K$23)</f>
        <v>72</v>
      </c>
      <c r="I98" s="161">
        <f ca="1">SUMIF('内訳ﾘｽﾄ(4～3月)'!$B$16:$B$23,$B98,'内訳ﾘｽﾄ(4～3月)'!L$16:L$23)</f>
        <v>88</v>
      </c>
      <c r="J98" s="161">
        <f ca="1">SUMIF('内訳ﾘｽﾄ(4～3月)'!$B$16:$B$23,$B98,'内訳ﾘｽﾄ(4～3月)'!M$16:M$23)</f>
        <v>76</v>
      </c>
      <c r="K98" s="161">
        <f ca="1">SUMIF('内訳ﾘｽﾄ(4～3月)'!$B$16:$B$23,$B98,'内訳ﾘｽﾄ(4～3月)'!N$16:N$23)</f>
        <v>84</v>
      </c>
      <c r="L98" s="161">
        <f ca="1">SUMIF('内訳ﾘｽﾄ(4～3月)'!$B$16:$B$23,$B98,'内訳ﾘｽﾄ(4～3月)'!O$16:O$23)</f>
        <v>76</v>
      </c>
      <c r="M98" s="161">
        <f ca="1">SUMIF('内訳ﾘｽﾄ(4～3月)'!$B$16:$B$23,$B98,'内訳ﾘｽﾄ(4～3月)'!P$16:P$23)</f>
        <v>56</v>
      </c>
      <c r="N98" s="161">
        <f ca="1">SUMIF('内訳ﾘｽﾄ(4～3月)'!$B$16:$B$23,$B98,'内訳ﾘｽﾄ(4～3月)'!Q$16:Q$23)</f>
        <v>76</v>
      </c>
      <c r="O98" s="161">
        <f ca="1">SUMIF('内訳ﾘｽﾄ(4～3月)'!$B$16:$B$23,$B98,'内訳ﾘｽﾄ(4～3月)'!R$16:R$23)</f>
        <v>920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ca="1" si="12">C97+C98</f>
        <v>116</v>
      </c>
      <c r="D99" s="169">
        <f t="shared" ca="1" si="12"/>
        <v>110</v>
      </c>
      <c r="E99" s="169">
        <f t="shared" ca="1" si="12"/>
        <v>122</v>
      </c>
      <c r="F99" s="169">
        <f t="shared" ca="1" si="12"/>
        <v>134</v>
      </c>
      <c r="G99" s="169">
        <f t="shared" ca="1" si="12"/>
        <v>106</v>
      </c>
      <c r="H99" s="169">
        <f t="shared" ca="1" si="12"/>
        <v>110</v>
      </c>
      <c r="I99" s="169">
        <f t="shared" ca="1" si="12"/>
        <v>134</v>
      </c>
      <c r="J99" s="169">
        <f t="shared" ca="1" si="12"/>
        <v>116</v>
      </c>
      <c r="K99" s="169">
        <f t="shared" ca="1" si="12"/>
        <v>128</v>
      </c>
      <c r="L99" s="169">
        <f t="shared" ca="1" si="12"/>
        <v>116</v>
      </c>
      <c r="M99" s="169">
        <f t="shared" ca="1" si="12"/>
        <v>82</v>
      </c>
      <c r="N99" s="169">
        <f t="shared" ca="1" si="12"/>
        <v>116</v>
      </c>
      <c r="O99" s="169">
        <f ca="1">O97+O98</f>
        <v>1390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9EDE5C32-1D51-4C4A-AD35-382008890F2A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ECF0-4898-4637-9A87-559755D28F38}">
  <sheetPr codeName="Sheet3">
    <tabColor indexed="13"/>
  </sheetPr>
  <dimension ref="A1:BH965"/>
  <sheetViews>
    <sheetView tabSelected="1" zoomScale="92" zoomScaleNormal="92" workbookViewId="0">
      <pane xSplit="4" ySplit="7" topLeftCell="N112" activePane="bottomRight" state="frozen"/>
      <selection pane="topRight" activeCell="E1" sqref="E1"/>
      <selection pane="bottomLeft" activeCell="A8" sqref="A8"/>
      <selection pane="bottomRight" activeCell="S112" sqref="S112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customWidth="1"/>
    <col min="4" max="4" width="19.08984375" style="4" customWidth="1"/>
    <col min="5" max="5" width="7.6328125" style="3" customWidth="1"/>
    <col min="6" max="6" width="13" style="124" bestFit="1" customWidth="1"/>
    <col min="7" max="17" width="12.6328125" style="125" customWidth="1"/>
    <col min="18" max="18" width="14.6328125" style="126" customWidth="1"/>
    <col min="19" max="19" width="53.81640625" style="4" customWidth="1"/>
    <col min="20" max="20" width="18.90625" style="72" customWidth="1"/>
    <col min="21" max="23" width="9" style="4" hidden="1" customWidth="1"/>
    <col min="24" max="54" width="0" style="4" hidden="1" customWidth="1"/>
    <col min="55" max="16384" width="9" style="4"/>
  </cols>
  <sheetData>
    <row r="1" spans="1:55" ht="2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5" t="str">
        <f t="array" aca="1" ref="F3" ca="1">IF(SUM((F8:F25)-ROUNDDOWN((F8:F25)*4,0)/4)&lt;&gt;0,"時間➝0.25の倍数では無い",IF(SUM(ROUND((F26:F965),0)-ROUND((F26:F965),4))&lt;&gt;0,"経費➝小数点",IF(F5&lt;&gt;IF($D$5="製造",'採算表(VND)'!C13,-VLOOKUP($D$5&amp;"経費",'採算表(VND)'!$B:$N,'採算表(VND)'!C3,0)),"経費➝NG","OK")))</f>
        <v>OK</v>
      </c>
      <c r="G3" s="275" t="str">
        <f t="array" aca="1" ref="G3" ca="1">IF(SUM((G8:G25)-ROUNDDOWN((G8:G25)*4,0)/4)&lt;&gt;0,"時間➝0.25の倍数では無い",IF(SUM(ROUND((G26:G965),0)-ROUND((G26:G965),4))&lt;&gt;0,"経費➝小数点",IF(G5&lt;&gt;IF($D$5="製造",'採算表(VND)'!D13,-VLOOKUP($D$5&amp;"経費",'採算表(VND)'!$B:$N,'採算表(VND)'!D3,0)),"経費➝NG","OK")))</f>
        <v>OK</v>
      </c>
      <c r="H3" s="275" t="str">
        <f t="array" aca="1" ref="H3" ca="1">IF(SUM((H8:H25)-ROUNDDOWN((H8:H25)*4,0)/4)&lt;&gt;0,"時間➝0.25の倍数では無い",IF(SUM(ROUND((H26:H965),0)-ROUND((H26:H965),4))&lt;&gt;0,"経費➝小数点",IF(H5&lt;&gt;IF($D$5="製造",'採算表(VND)'!E13,-VLOOKUP($D$5&amp;"経費",'採算表(VND)'!$B:$N,'採算表(VND)'!E3,0)),"経費➝NG","OK")))</f>
        <v>OK</v>
      </c>
      <c r="I3" s="275" t="str">
        <f t="array" aca="1" ref="I3" ca="1">IF(SUM((I8:I25)-ROUNDDOWN((I8:I25)*4,0)/4)&lt;&gt;0,"時間➝0.25の倍数では無い",IF(SUM(ROUND((I26:I965),0)-ROUND((I26:I965),4))&lt;&gt;0,"経費➝小数点",IF(I5&lt;&gt;IF($D$5="製造",'採算表(VND)'!F13,-VLOOKUP($D$5&amp;"経費",'採算表(VND)'!$B:$N,'採算表(VND)'!F3,0)),"経費➝NG","OK")))</f>
        <v>OK</v>
      </c>
      <c r="J3" s="275" t="str">
        <f t="array" aca="1" ref="J3" ca="1">IF(SUM((J8:J25)-ROUNDDOWN((J8:J25)*4,0)/4)&lt;&gt;0,"時間➝0.25の倍数では無い",IF(SUM(ROUND((J26:J965),0)-ROUND((J26:J965),4))&lt;&gt;0,"経費➝小数点",IF(J5&lt;&gt;IF($D$5="製造",'採算表(VND)'!G13,-VLOOKUP($D$5&amp;"経費",'採算表(VND)'!$B:$N,'採算表(VND)'!G3,0)),"経費➝NG","OK")))</f>
        <v>OK</v>
      </c>
      <c r="K3" s="275" t="str">
        <f t="array" aca="1" ref="K3" ca="1">IF(SUM((K8:K25)-ROUNDDOWN((K8:K25)*4,0)/4)&lt;&gt;0,"時間➝0.25の倍数では無い",IF(SUM(ROUND((K26:K965),0)-ROUND((K26:K965),4))&lt;&gt;0,"経費➝小数点",IF(K5&lt;&gt;IF($D$5="製造",'採算表(VND)'!H13,-VLOOKUP($D$5&amp;"経費",'採算表(VND)'!$B:$N,'採算表(VND)'!H3,0)),"経費➝NG","OK")))</f>
        <v>OK</v>
      </c>
      <c r="L3" s="275" t="str">
        <f t="array" aca="1" ref="L3" ca="1">IF(SUM((L8:L25)-ROUNDDOWN((L8:L25)*4,0)/4)&lt;&gt;0,"時間➝0.25の倍数では無い",IF(SUM(ROUND((L26:L965),0)-ROUND((L26:L965),4))&lt;&gt;0,"経費➝小数点",IF(L5&lt;&gt;IF($D$5="製造",'採算表(VND)'!I13,-VLOOKUP($D$5&amp;"経費",'採算表(VND)'!$B:$N,'採算表(VND)'!I3,0)),"経費➝NG","OK")))</f>
        <v>OK</v>
      </c>
      <c r="M3" s="275" t="str">
        <f t="array" aca="1" ref="M3" ca="1">IF(SUM((M8:M25)-ROUNDDOWN((M8:M25)*4,0)/4)&lt;&gt;0,"時間➝0.25の倍数では無い",IF(SUM(ROUND((M26:M965),0)-ROUND((M26:M965),4))&lt;&gt;0,"経費➝小数点",IF(M5&lt;&gt;IF($D$5="製造",'採算表(VND)'!J13,-VLOOKUP($D$5&amp;"経費",'採算表(VND)'!$B:$N,'採算表(VND)'!J3,0)),"経費➝NG","OK")))</f>
        <v>OK</v>
      </c>
      <c r="N3" s="275" t="str">
        <f t="array" aca="1" ref="N3" ca="1">IF(SUM((N8:N25)-ROUNDDOWN((N8:N25)*4,0)/4)&lt;&gt;0,"時間➝0.25の倍数では無い",IF(SUM(ROUND((N26:N965),0)-ROUND((N26:N965),4))&lt;&gt;0,"経費➝小数点",IF(N5&lt;&gt;IF($D$5="製造",'採算表(VND)'!K13,-VLOOKUP($D$5&amp;"経費",'採算表(VND)'!$B:$N,'採算表(VND)'!K3,0)),"経費➝NG","OK")))</f>
        <v>OK</v>
      </c>
      <c r="O3" s="275" t="str">
        <f t="array" aca="1" ref="O3" ca="1">IF(SUM((O8:O25)-ROUNDDOWN((O8:O25)*4,0)/4)&lt;&gt;0,"時間➝0.25の倍数では無い",IF(SUM(ROUND((O26:O965),0)-ROUND((O26:O965),4))&lt;&gt;0,"経費➝小数点",IF(O5&lt;&gt;IF($D$5="製造",'採算表(VND)'!L13,-VLOOKUP($D$5&amp;"経費",'採算表(VND)'!$B:$N,'採算表(VND)'!L3,0)),"経費➝NG","OK")))</f>
        <v>OK</v>
      </c>
      <c r="P3" s="275" t="str">
        <f t="array" aca="1" ref="P3" ca="1">IF(SUM((P8:P25)-ROUNDDOWN((P8:P25)*4,0)/4)&lt;&gt;0,"時間➝0.25の倍数では無い",IF(SUM(ROUND((P26:P965),0)-ROUND((P26:P965),4))&lt;&gt;0,"経費➝小数点",IF(P5&lt;&gt;IF($D$5="製造",'採算表(VND)'!M13,-VLOOKUP($D$5&amp;"経費",'採算表(VND)'!$B:$N,'採算表(VND)'!M3,0)),"経費➝NG","OK")))</f>
        <v>OK</v>
      </c>
      <c r="Q3" s="275" t="str">
        <f t="array" aca="1" ref="Q3" ca="1">IF(SUM((Q8:Q25)-ROUNDDOWN((Q8:Q25)*4,0)/4)&lt;&gt;0,"時間➝0.25の倍数では無い",IF(SUM(ROUND((Q26:Q965),0)-ROUND((Q26:Q965),4))&lt;&gt;0,"経費➝小数点",IF(Q5&lt;&gt;IF($D$5="製造",'採算表(VND)'!N13,-VLOOKUP($D$5&amp;"経費",'採算表(VND)'!$B:$N,'採算表(VND)'!N3,0)),"経費➝NG","OK")))</f>
        <v>OK</v>
      </c>
      <c r="R3" s="114"/>
      <c r="S3" s="115" t="s">
        <v>734</v>
      </c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5" thickBot="1">
      <c r="B5" s="174">
        <v>1412000093</v>
      </c>
      <c r="C5" s="7" t="str">
        <f>VLOOKUP($B$5,原価センタ!$A:$E,2,0)</f>
        <v>リスクマネジメント課</v>
      </c>
      <c r="D5" s="62" t="str">
        <f>VLOOKUP($B$5,原価センタ!$A:$E,4,0)</f>
        <v>工場間接</v>
      </c>
      <c r="E5" s="62" t="str">
        <f>VLOOKUP($B$5,原価センタ!$A:$E,5,0)</f>
        <v>一般</v>
      </c>
      <c r="F5" s="252">
        <f t="shared" ref="F5:R5" si="0">SUM(F29:F965)</f>
        <v>-171442960</v>
      </c>
      <c r="G5" s="252">
        <f t="shared" si="0"/>
        <v>82536393</v>
      </c>
      <c r="H5" s="252">
        <f t="shared" si="0"/>
        <v>-139482862</v>
      </c>
      <c r="I5" s="252">
        <f t="shared" si="0"/>
        <v>-169396629</v>
      </c>
      <c r="J5" s="252">
        <f t="shared" si="0"/>
        <v>24877490</v>
      </c>
      <c r="K5" s="252">
        <f t="shared" si="0"/>
        <v>-180769785</v>
      </c>
      <c r="L5" s="252">
        <f t="shared" si="0"/>
        <v>20161143</v>
      </c>
      <c r="M5" s="252">
        <f t="shared" si="0"/>
        <v>-35046932</v>
      </c>
      <c r="N5" s="252">
        <f t="shared" si="0"/>
        <v>-245072690</v>
      </c>
      <c r="O5" s="252">
        <f t="shared" si="0"/>
        <v>-303254400</v>
      </c>
      <c r="P5" s="252">
        <f t="shared" si="0"/>
        <v>-302909965</v>
      </c>
      <c r="Q5" s="252">
        <f t="shared" si="0"/>
        <v>-25013532</v>
      </c>
      <c r="R5" s="253">
        <f t="shared" si="0"/>
        <v>-1444814729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>
        <f ca="1">F24*F2*8.5</f>
        <v>170</v>
      </c>
      <c r="G8" s="186">
        <f t="shared" ref="G8:Q8" ca="1" si="1">G24*G2*8.5</f>
        <v>161.5</v>
      </c>
      <c r="H8" s="186">
        <f t="shared" ca="1" si="1"/>
        <v>178.5</v>
      </c>
      <c r="I8" s="186">
        <f t="shared" ca="1" si="1"/>
        <v>195.5</v>
      </c>
      <c r="J8" s="186">
        <f ca="1">J24*J2*8.5-5*8.5</f>
        <v>127.5</v>
      </c>
      <c r="K8" s="186">
        <f t="shared" ca="1" si="1"/>
        <v>161.5</v>
      </c>
      <c r="L8" s="186">
        <f t="shared" ca="1" si="1"/>
        <v>195.5</v>
      </c>
      <c r="M8" s="186">
        <f t="shared" ca="1" si="1"/>
        <v>170</v>
      </c>
      <c r="N8" s="186">
        <f t="shared" ca="1" si="1"/>
        <v>187</v>
      </c>
      <c r="O8" s="186">
        <f t="shared" ca="1" si="1"/>
        <v>170</v>
      </c>
      <c r="P8" s="186">
        <f ca="1">P24*P2*8.5-2*8.5</f>
        <v>110.5</v>
      </c>
      <c r="Q8" s="186">
        <f t="shared" ca="1" si="1"/>
        <v>170</v>
      </c>
      <c r="R8" s="187">
        <f ca="1">SUM(F8:Q8)</f>
        <v>1997.5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f ca="1">F25*F2*8.5-4*8.5</f>
        <v>816</v>
      </c>
      <c r="G9" s="194">
        <f t="shared" ref="G9:Q9" ca="1" si="2">G25*G2*8.5-4*8.5</f>
        <v>935</v>
      </c>
      <c r="H9" s="194">
        <f t="shared" ca="1" si="2"/>
        <v>1037</v>
      </c>
      <c r="I9" s="194">
        <f t="shared" ca="1" si="2"/>
        <v>1139</v>
      </c>
      <c r="J9" s="194">
        <f t="shared" ca="1" si="2"/>
        <v>986</v>
      </c>
      <c r="K9" s="194">
        <f t="shared" ca="1" si="2"/>
        <v>935</v>
      </c>
      <c r="L9" s="194">
        <f t="shared" ca="1" si="2"/>
        <v>1139</v>
      </c>
      <c r="M9" s="194">
        <f t="shared" ca="1" si="2"/>
        <v>986</v>
      </c>
      <c r="N9" s="194">
        <f t="shared" ca="1" si="2"/>
        <v>1088</v>
      </c>
      <c r="O9" s="194">
        <f t="shared" ca="1" si="2"/>
        <v>986</v>
      </c>
      <c r="P9" s="194">
        <f t="shared" ca="1" si="2"/>
        <v>731</v>
      </c>
      <c r="Q9" s="194">
        <f t="shared" ca="1" si="2"/>
        <v>986</v>
      </c>
      <c r="R9" s="195">
        <f t="shared" ref="R9:R23" ca="1" si="3">SUM(F9:Q9)</f>
        <v>11764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3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3"/>
        <v>0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3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3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3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3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194">
        <f ca="1">1*F2*2</f>
        <v>40</v>
      </c>
      <c r="G16" s="194">
        <f t="shared" ref="G16:Q16" ca="1" si="4">1*G2*2</f>
        <v>38</v>
      </c>
      <c r="H16" s="194">
        <f t="shared" ca="1" si="4"/>
        <v>42</v>
      </c>
      <c r="I16" s="194">
        <f t="shared" ca="1" si="4"/>
        <v>46</v>
      </c>
      <c r="J16" s="194">
        <f ca="1">1*J2*2-5*2</f>
        <v>30</v>
      </c>
      <c r="K16" s="194">
        <f t="shared" ca="1" si="4"/>
        <v>38</v>
      </c>
      <c r="L16" s="194">
        <f t="shared" ca="1" si="4"/>
        <v>46</v>
      </c>
      <c r="M16" s="194">
        <f t="shared" ca="1" si="4"/>
        <v>40</v>
      </c>
      <c r="N16" s="194">
        <f t="shared" ca="1" si="4"/>
        <v>44</v>
      </c>
      <c r="O16" s="194">
        <f t="shared" ca="1" si="4"/>
        <v>40</v>
      </c>
      <c r="P16" s="194">
        <f ca="1">1*P2*2-2*2</f>
        <v>26</v>
      </c>
      <c r="Q16" s="194">
        <f t="shared" ca="1" si="4"/>
        <v>40</v>
      </c>
      <c r="R16" s="205">
        <f t="shared" ca="1" si="3"/>
        <v>470</v>
      </c>
      <c r="S16" s="206"/>
      <c r="T16" s="207"/>
      <c r="U16" s="190"/>
      <c r="V16" s="190"/>
      <c r="W16" s="190"/>
      <c r="BA16"/>
      <c r="BB16"/>
    </row>
    <row r="17" spans="1:54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194">
        <f ca="1">2*F2*2-2*2</f>
        <v>76</v>
      </c>
      <c r="G17" s="194">
        <f t="shared" ref="G17:Q17" ca="1" si="5">2*G2*2-2*2</f>
        <v>72</v>
      </c>
      <c r="H17" s="194">
        <f t="shared" ca="1" si="5"/>
        <v>80</v>
      </c>
      <c r="I17" s="194">
        <f t="shared" ca="1" si="5"/>
        <v>88</v>
      </c>
      <c r="J17" s="194">
        <f t="shared" ca="1" si="5"/>
        <v>76</v>
      </c>
      <c r="K17" s="194">
        <f t="shared" ca="1" si="5"/>
        <v>72</v>
      </c>
      <c r="L17" s="194">
        <f t="shared" ca="1" si="5"/>
        <v>88</v>
      </c>
      <c r="M17" s="194">
        <f t="shared" ca="1" si="5"/>
        <v>76</v>
      </c>
      <c r="N17" s="194">
        <f t="shared" ca="1" si="5"/>
        <v>84</v>
      </c>
      <c r="O17" s="194">
        <f t="shared" ca="1" si="5"/>
        <v>76</v>
      </c>
      <c r="P17" s="194">
        <f t="shared" ca="1" si="5"/>
        <v>56</v>
      </c>
      <c r="Q17" s="194">
        <f t="shared" ca="1" si="5"/>
        <v>76</v>
      </c>
      <c r="R17" s="205">
        <f t="shared" ca="1" si="3"/>
        <v>920</v>
      </c>
      <c r="S17" s="206"/>
      <c r="T17" s="207"/>
      <c r="U17" s="190"/>
      <c r="V17" s="190"/>
      <c r="W17" s="190"/>
      <c r="BA17"/>
      <c r="BB17"/>
    </row>
    <row r="18" spans="1:54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3"/>
        <v>0</v>
      </c>
      <c r="S18" s="201"/>
      <c r="T18" s="202"/>
      <c r="U18" s="190"/>
      <c r="V18" s="190"/>
      <c r="W18" s="190"/>
      <c r="BA18"/>
      <c r="BB18"/>
    </row>
    <row r="19" spans="1:54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3"/>
        <v>0</v>
      </c>
      <c r="S19" s="206"/>
      <c r="T19" s="207"/>
      <c r="U19" s="190"/>
      <c r="V19" s="190"/>
      <c r="W19" s="190"/>
      <c r="BA19"/>
      <c r="BB19"/>
    </row>
    <row r="20" spans="1:54" s="208" customFormat="1" ht="13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3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3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3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3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1</v>
      </c>
      <c r="G24" s="267">
        <v>1</v>
      </c>
      <c r="H24" s="267">
        <v>1</v>
      </c>
      <c r="I24" s="267">
        <v>1</v>
      </c>
      <c r="J24" s="267">
        <v>1</v>
      </c>
      <c r="K24" s="267">
        <v>1</v>
      </c>
      <c r="L24" s="267">
        <v>1</v>
      </c>
      <c r="M24" s="267">
        <v>1</v>
      </c>
      <c r="N24" s="267">
        <v>1</v>
      </c>
      <c r="O24" s="267">
        <v>1</v>
      </c>
      <c r="P24" s="267">
        <v>1</v>
      </c>
      <c r="Q24" s="267">
        <v>1</v>
      </c>
      <c r="R24" s="200">
        <f>Q24</f>
        <v>1</v>
      </c>
      <c r="S24" s="201" t="s">
        <v>692</v>
      </c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5</v>
      </c>
      <c r="G25" s="271">
        <v>6</v>
      </c>
      <c r="H25" s="271">
        <v>6</v>
      </c>
      <c r="I25" s="271">
        <v>6</v>
      </c>
      <c r="J25" s="271">
        <v>6</v>
      </c>
      <c r="K25" s="271">
        <v>6</v>
      </c>
      <c r="L25" s="271">
        <v>6</v>
      </c>
      <c r="M25" s="271">
        <v>6</v>
      </c>
      <c r="N25" s="271">
        <v>6</v>
      </c>
      <c r="O25" s="271">
        <v>6</v>
      </c>
      <c r="P25" s="271">
        <v>6</v>
      </c>
      <c r="Q25" s="271">
        <v>6</v>
      </c>
      <c r="R25" s="272">
        <f>Q25</f>
        <v>6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6">ROUNDDOWN(V26*$B$2,0)</f>
        <v>0</v>
      </c>
      <c r="G26" s="220">
        <f t="shared" si="6"/>
        <v>0</v>
      </c>
      <c r="H26" s="220">
        <f t="shared" si="6"/>
        <v>0</v>
      </c>
      <c r="I26" s="220">
        <f t="shared" si="6"/>
        <v>0</v>
      </c>
      <c r="J26" s="220">
        <f t="shared" si="6"/>
        <v>0</v>
      </c>
      <c r="K26" s="220">
        <f t="shared" si="6"/>
        <v>0</v>
      </c>
      <c r="L26" s="220">
        <f t="shared" si="6"/>
        <v>0</v>
      </c>
      <c r="M26" s="220">
        <f t="shared" si="6"/>
        <v>0</v>
      </c>
      <c r="N26" s="220">
        <f t="shared" si="6"/>
        <v>0</v>
      </c>
      <c r="O26" s="220">
        <f t="shared" si="6"/>
        <v>0</v>
      </c>
      <c r="P26" s="220">
        <f t="shared" si="6"/>
        <v>0</v>
      </c>
      <c r="Q26" s="220">
        <f t="shared" si="6"/>
        <v>0</v>
      </c>
      <c r="R26" s="221">
        <f t="shared" ref="R26:R87" si="7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6"/>
        <v>0</v>
      </c>
      <c r="G27" s="230">
        <f t="shared" si="6"/>
        <v>0</v>
      </c>
      <c r="H27" s="230">
        <f t="shared" si="6"/>
        <v>0</v>
      </c>
      <c r="I27" s="230">
        <f t="shared" si="6"/>
        <v>0</v>
      </c>
      <c r="J27" s="230">
        <f t="shared" si="6"/>
        <v>0</v>
      </c>
      <c r="K27" s="230">
        <f t="shared" si="6"/>
        <v>0</v>
      </c>
      <c r="L27" s="230">
        <f t="shared" si="6"/>
        <v>0</v>
      </c>
      <c r="M27" s="230">
        <f t="shared" si="6"/>
        <v>0</v>
      </c>
      <c r="N27" s="230">
        <f t="shared" si="6"/>
        <v>0</v>
      </c>
      <c r="O27" s="230">
        <f t="shared" si="6"/>
        <v>0</v>
      </c>
      <c r="P27" s="230">
        <f t="shared" si="6"/>
        <v>0</v>
      </c>
      <c r="Q27" s="230">
        <f t="shared" si="6"/>
        <v>0</v>
      </c>
      <c r="R27" s="221">
        <f t="shared" si="7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6"/>
        <v>0</v>
      </c>
      <c r="G28" s="230">
        <f t="shared" si="6"/>
        <v>0</v>
      </c>
      <c r="H28" s="230">
        <f t="shared" si="6"/>
        <v>0</v>
      </c>
      <c r="I28" s="230">
        <f t="shared" si="6"/>
        <v>0</v>
      </c>
      <c r="J28" s="230">
        <f t="shared" si="6"/>
        <v>0</v>
      </c>
      <c r="K28" s="230">
        <f t="shared" si="6"/>
        <v>0</v>
      </c>
      <c r="L28" s="230">
        <f t="shared" si="6"/>
        <v>0</v>
      </c>
      <c r="M28" s="230">
        <f t="shared" si="6"/>
        <v>0</v>
      </c>
      <c r="N28" s="230">
        <f t="shared" si="6"/>
        <v>0</v>
      </c>
      <c r="O28" s="230">
        <f t="shared" si="6"/>
        <v>0</v>
      </c>
      <c r="P28" s="230">
        <f t="shared" si="6"/>
        <v>0</v>
      </c>
      <c r="Q28" s="230">
        <f t="shared" si="6"/>
        <v>0</v>
      </c>
      <c r="R28" s="221">
        <f t="shared" si="7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8">ROUNDUP(V29*$B$2,0)</f>
        <v>0</v>
      </c>
      <c r="G29" s="235">
        <f t="shared" si="8"/>
        <v>0</v>
      </c>
      <c r="H29" s="235">
        <f t="shared" si="8"/>
        <v>0</v>
      </c>
      <c r="I29" s="235">
        <f t="shared" si="8"/>
        <v>0</v>
      </c>
      <c r="J29" s="235">
        <f t="shared" si="8"/>
        <v>0</v>
      </c>
      <c r="K29" s="235">
        <f t="shared" si="8"/>
        <v>0</v>
      </c>
      <c r="L29" s="235">
        <f t="shared" si="8"/>
        <v>0</v>
      </c>
      <c r="M29" s="235">
        <f t="shared" si="8"/>
        <v>0</v>
      </c>
      <c r="N29" s="235">
        <f t="shared" si="8"/>
        <v>0</v>
      </c>
      <c r="O29" s="235">
        <f t="shared" si="8"/>
        <v>0</v>
      </c>
      <c r="P29" s="235">
        <f t="shared" si="8"/>
        <v>0</v>
      </c>
      <c r="Q29" s="235">
        <f t="shared" si="8"/>
        <v>0</v>
      </c>
      <c r="R29" s="236">
        <f t="shared" si="7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7"/>
        <v>0</v>
      </c>
      <c r="S30" s="201"/>
      <c r="T30" s="202"/>
      <c r="U30" s="190"/>
      <c r="V30" s="190"/>
      <c r="W30" s="190"/>
      <c r="BA30"/>
      <c r="BB30"/>
    </row>
    <row r="31" spans="1:54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7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7"/>
        <v>0</v>
      </c>
      <c r="S32" s="201" t="s">
        <v>692</v>
      </c>
      <c r="T32" s="202"/>
      <c r="U32" s="190"/>
      <c r="V32" s="190"/>
      <c r="W32" s="190"/>
      <c r="BA32"/>
      <c r="BB32"/>
    </row>
    <row r="33" spans="1:56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7"/>
        <v>0</v>
      </c>
      <c r="S33" s="201" t="s">
        <v>692</v>
      </c>
      <c r="T33" s="202"/>
      <c r="U33" s="190"/>
      <c r="V33" s="190"/>
      <c r="W33" s="190"/>
      <c r="BA33"/>
      <c r="BB33"/>
    </row>
    <row r="34" spans="1:56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7"/>
        <v>0</v>
      </c>
      <c r="S34" s="201" t="s">
        <v>692</v>
      </c>
      <c r="T34" s="202"/>
      <c r="U34" s="190"/>
      <c r="V34" s="190"/>
      <c r="W34" s="190"/>
      <c r="BA34"/>
      <c r="BB34"/>
    </row>
    <row r="35" spans="1:56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7"/>
        <v>0</v>
      </c>
      <c r="S35" s="201"/>
      <c r="T35" s="202"/>
      <c r="U35" s="190"/>
      <c r="V35" s="190"/>
      <c r="W35" s="190"/>
      <c r="BA35"/>
      <c r="BB35"/>
    </row>
    <row r="36" spans="1:56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7"/>
        <v>0</v>
      </c>
      <c r="S36" s="201"/>
      <c r="T36" s="202"/>
      <c r="U36" s="246"/>
      <c r="V36" s="246"/>
      <c r="W36" s="246"/>
      <c r="BA36"/>
      <c r="BB36"/>
    </row>
    <row r="37" spans="1:56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7"/>
        <v>0</v>
      </c>
      <c r="S37" s="201"/>
      <c r="T37" s="202"/>
      <c r="U37" s="246"/>
      <c r="V37" s="246"/>
      <c r="W37" s="246"/>
      <c r="BA37"/>
      <c r="BB37"/>
    </row>
    <row r="38" spans="1:56" s="191" customFormat="1" ht="13">
      <c r="A38" s="226"/>
      <c r="B38" s="180">
        <v>6005016422</v>
      </c>
      <c r="C38" s="183" t="str">
        <f>IFERROR(IF(VLOOKUP($B38,勘定科目!$A:$H,HLOOKUP($E$5,勘定科目!$F$1:$H$2,2,0),0)="","",VLOOKUP($B38,勘定科目!$A:$E,2,0)),"")</f>
        <v>消耗品費（一般）</v>
      </c>
      <c r="D38" s="239" t="str">
        <f>IF(C38="","",VLOOKUP($B38,勘定科目!$A:$E,4,0))</f>
        <v>消耗品費</v>
      </c>
      <c r="E38" s="245"/>
      <c r="F38" s="194">
        <v>110544</v>
      </c>
      <c r="G38" s="247">
        <v>124152</v>
      </c>
      <c r="H38" s="247">
        <v>135807</v>
      </c>
      <c r="I38" s="247">
        <v>147966</v>
      </c>
      <c r="J38" s="247">
        <v>128828</v>
      </c>
      <c r="K38" s="247">
        <v>122500</v>
      </c>
      <c r="L38" s="247">
        <v>147770</v>
      </c>
      <c r="M38" s="247">
        <v>128947</v>
      </c>
      <c r="N38" s="247">
        <v>141778</v>
      </c>
      <c r="O38" s="247">
        <v>128793</v>
      </c>
      <c r="P38" s="247">
        <v>97041</v>
      </c>
      <c r="Q38" s="247">
        <v>129045</v>
      </c>
      <c r="R38" s="200">
        <f t="shared" si="7"/>
        <v>1543171</v>
      </c>
      <c r="S38" s="201" t="s">
        <v>693</v>
      </c>
      <c r="T38" s="202"/>
      <c r="U38" s="246"/>
      <c r="V38" s="246"/>
      <c r="W38" s="246"/>
      <c r="BA38"/>
      <c r="BB38"/>
      <c r="BD38" s="191" t="s">
        <v>694</v>
      </c>
    </row>
    <row r="39" spans="1:56" s="191" customFormat="1" ht="13">
      <c r="A39" s="226"/>
      <c r="B39" s="180">
        <v>6005016422</v>
      </c>
      <c r="C39" s="183" t="str">
        <f>IFERROR(IF(VLOOKUP($B39,勘定科目!$A:$H,HLOOKUP($E$5,勘定科目!$F$1:$H$2,2,0),0)="","",VLOOKUP($B39,勘定科目!$A:$E,2,0)),"")</f>
        <v>消耗品費（一般）</v>
      </c>
      <c r="D39" s="239" t="str">
        <f>IF(C39="","",VLOOKUP($B39,勘定科目!$A:$E,4,0))</f>
        <v>消耗品費</v>
      </c>
      <c r="E39" s="245"/>
      <c r="F39" s="194">
        <v>6732</v>
      </c>
      <c r="G39" s="247">
        <v>7910</v>
      </c>
      <c r="H39" s="247">
        <v>8099</v>
      </c>
      <c r="I39" s="247">
        <v>7791</v>
      </c>
      <c r="J39" s="247">
        <v>7560</v>
      </c>
      <c r="K39" s="247">
        <v>7651</v>
      </c>
      <c r="L39" s="247">
        <v>7917</v>
      </c>
      <c r="M39" s="247">
        <v>7798</v>
      </c>
      <c r="N39" s="247">
        <v>7868</v>
      </c>
      <c r="O39" s="247">
        <v>7896</v>
      </c>
      <c r="P39" s="247">
        <v>8022</v>
      </c>
      <c r="Q39" s="247">
        <v>7595</v>
      </c>
      <c r="R39" s="200">
        <f t="shared" si="7"/>
        <v>92839</v>
      </c>
      <c r="S39" s="201" t="s">
        <v>695</v>
      </c>
      <c r="T39" s="202"/>
      <c r="U39" s="246"/>
      <c r="V39" s="246"/>
      <c r="W39" s="246"/>
      <c r="BA39"/>
      <c r="BB39"/>
      <c r="BD39" s="191" t="s">
        <v>694</v>
      </c>
    </row>
    <row r="40" spans="1:56" s="191" customFormat="1" ht="13">
      <c r="A40" s="226"/>
      <c r="B40" s="180">
        <v>6005016422</v>
      </c>
      <c r="C40" s="183" t="str">
        <f>IFERROR(IF(VLOOKUP($B40,勘定科目!$A:$H,HLOOKUP($E$5,勘定科目!$F$1:$H$2,2,0),0)="","",VLOOKUP($B40,勘定科目!$A:$E,2,0)),"")</f>
        <v>消耗品費（一般）</v>
      </c>
      <c r="D40" s="239" t="str">
        <f>IF(C40="","",VLOOKUP($B40,勘定科目!$A:$E,4,0))</f>
        <v>消耗品費</v>
      </c>
      <c r="E40" s="245"/>
      <c r="F40" s="194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00">
        <f t="shared" si="7"/>
        <v>0</v>
      </c>
      <c r="S40" s="201" t="s">
        <v>696</v>
      </c>
      <c r="T40" s="202"/>
      <c r="U40" s="246"/>
      <c r="V40" s="246"/>
      <c r="W40" s="246"/>
      <c r="BA40"/>
      <c r="BB40"/>
      <c r="BD40" s="191" t="s">
        <v>697</v>
      </c>
    </row>
    <row r="41" spans="1:56" s="191" customFormat="1" ht="13">
      <c r="A41" s="226"/>
      <c r="B41" s="180">
        <v>6005016422</v>
      </c>
      <c r="C41" s="183" t="str">
        <f>IFERROR(IF(VLOOKUP($B41,勘定科目!$A:$H,HLOOKUP($E$5,勘定科目!$F$1:$H$2,2,0),0)="","",VLOOKUP($B41,勘定科目!$A:$E,2,0)),"")</f>
        <v>消耗品費（一般）</v>
      </c>
      <c r="D41" s="239" t="str">
        <f>IF(C41="","",VLOOKUP($B41,勘定科目!$A:$E,4,0))</f>
        <v>消耗品費</v>
      </c>
      <c r="E41" s="245"/>
      <c r="F41" s="194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00">
        <f t="shared" si="7"/>
        <v>0</v>
      </c>
      <c r="S41" s="201" t="s">
        <v>698</v>
      </c>
      <c r="T41" s="202"/>
      <c r="U41" s="246"/>
      <c r="V41" s="246"/>
      <c r="W41" s="246"/>
      <c r="BA41"/>
      <c r="BB41"/>
      <c r="BD41" s="191" t="s">
        <v>697</v>
      </c>
    </row>
    <row r="42" spans="1:56" s="191" customFormat="1" ht="13">
      <c r="A42" s="226"/>
      <c r="B42" s="180"/>
      <c r="C42" s="183" t="str">
        <f>IFERROR(IF(VLOOKUP($B42,勘定科目!$A:$H,HLOOKUP($E$5,勘定科目!$F$1:$H$2,2,0),0)="","",VLOOKUP($B42,勘定科目!$A:$E,2,0)),"")</f>
        <v/>
      </c>
      <c r="D42" s="239" t="str">
        <f>IF(C42="","",VLOOKUP($B42,勘定科目!$A:$E,4,0))</f>
        <v/>
      </c>
      <c r="E42" s="245"/>
      <c r="F42" s="194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00">
        <f t="shared" si="7"/>
        <v>0</v>
      </c>
      <c r="S42" s="201"/>
      <c r="T42" s="202"/>
      <c r="U42" s="246"/>
      <c r="V42" s="246"/>
      <c r="W42" s="246"/>
      <c r="BA42"/>
      <c r="BB42"/>
    </row>
    <row r="43" spans="1:56" s="191" customFormat="1" ht="13">
      <c r="A43" s="226"/>
      <c r="B43" s="180">
        <v>6005016423</v>
      </c>
      <c r="C43" s="183" t="str">
        <f>IFERROR(IF(VLOOKUP($B43,勘定科目!$A:$H,HLOOKUP($E$5,勘定科目!$F$1:$H$2,2,0),0)="","",VLOOKUP($B43,勘定科目!$A:$E,2,0)),"")</f>
        <v>消耗備品費（一般）</v>
      </c>
      <c r="D43" s="239" t="str">
        <f>IF(C43="","",VLOOKUP($B43,勘定科目!$A:$E,4,0))</f>
        <v>消耗工具器具備品費</v>
      </c>
      <c r="E43" s="245"/>
      <c r="F43" s="194"/>
      <c r="G43" s="194"/>
      <c r="H43" s="303">
        <v>62400000</v>
      </c>
      <c r="I43" s="247"/>
      <c r="J43" s="247"/>
      <c r="K43" s="247"/>
      <c r="L43" s="247"/>
      <c r="M43" s="247"/>
      <c r="N43" s="247"/>
      <c r="O43" s="247"/>
      <c r="P43" s="247"/>
      <c r="Q43" s="247"/>
      <c r="R43" s="200">
        <f t="shared" si="7"/>
        <v>62400000</v>
      </c>
      <c r="S43" s="201" t="s">
        <v>784</v>
      </c>
      <c r="T43" s="202"/>
      <c r="U43" s="246"/>
      <c r="V43" s="246"/>
      <c r="W43" s="246"/>
      <c r="BA43"/>
      <c r="BB43"/>
      <c r="BD43" s="191" t="s">
        <v>697</v>
      </c>
    </row>
    <row r="44" spans="1:56" s="191" customFormat="1" ht="13">
      <c r="A44" s="226"/>
      <c r="B44" s="180">
        <v>6005016423</v>
      </c>
      <c r="C44" s="183" t="str">
        <f>IFERROR(IF(VLOOKUP($B44,勘定科目!$A:$H,HLOOKUP($E$5,勘定科目!$F$1:$H$2,2,0),0)="","",VLOOKUP($B44,勘定科目!$A:$E,2,0)),"")</f>
        <v>消耗備品費（一般）</v>
      </c>
      <c r="D44" s="239" t="str">
        <f>IF(C44="","",VLOOKUP($B44,勘定科目!$A:$E,4,0))</f>
        <v>消耗工具器具備品費</v>
      </c>
      <c r="E44" s="245"/>
      <c r="F44" s="194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00">
        <f t="shared" si="7"/>
        <v>0</v>
      </c>
      <c r="S44" s="201" t="s">
        <v>700</v>
      </c>
      <c r="T44" s="202"/>
      <c r="U44" s="246"/>
      <c r="V44" s="246"/>
      <c r="W44" s="246"/>
      <c r="BA44"/>
      <c r="BB44"/>
      <c r="BD44" s="191" t="s">
        <v>701</v>
      </c>
    </row>
    <row r="45" spans="1:56" s="191" customFormat="1" ht="13">
      <c r="A45" s="226"/>
      <c r="B45" s="180"/>
      <c r="C45" s="183" t="str">
        <f>IFERROR(IF(VLOOKUP($B45,勘定科目!$A:$H,HLOOKUP($E$5,勘定科目!$F$1:$H$2,2,0),0)="","",VLOOKUP($B45,勘定科目!$A:$E,2,0)),"")</f>
        <v/>
      </c>
      <c r="D45" s="239" t="str">
        <f>IF(C45="","",VLOOKUP($B45,勘定科目!$A:$E,4,0))</f>
        <v/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7"/>
        <v>0</v>
      </c>
      <c r="S45" s="201"/>
      <c r="T45" s="202"/>
      <c r="U45" s="246"/>
      <c r="V45" s="246"/>
      <c r="W45" s="246"/>
      <c r="BA45"/>
      <c r="BB45"/>
    </row>
    <row r="46" spans="1:56" s="191" customFormat="1" ht="13">
      <c r="A46" s="226"/>
      <c r="B46" s="180">
        <v>6005146629</v>
      </c>
      <c r="C46" s="183" t="str">
        <f>IFERROR(IF(VLOOKUP($B46,勘定科目!$A:$H,HLOOKUP($E$5,勘定科目!$F$1:$H$2,2,0),0)="","",VLOOKUP($B46,勘定科目!$A:$E,2,0)),"")</f>
        <v>ライセンス料（一般）</v>
      </c>
      <c r="D46" s="239" t="str">
        <f>IF(C46="","",VLOOKUP($B46,勘定科目!$A:$E,4,0))</f>
        <v>図書及び事務費</v>
      </c>
      <c r="E46" s="245"/>
      <c r="F46" s="194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00">
        <f t="shared" si="7"/>
        <v>0</v>
      </c>
      <c r="S46" s="201" t="s">
        <v>702</v>
      </c>
      <c r="T46" s="202"/>
      <c r="U46" s="246"/>
      <c r="V46" s="246"/>
      <c r="W46" s="246"/>
      <c r="BA46"/>
      <c r="BB46"/>
      <c r="BD46" s="191" t="s">
        <v>697</v>
      </c>
    </row>
    <row r="47" spans="1:56" s="191" customFormat="1" ht="13">
      <c r="A47" s="226"/>
      <c r="B47" s="180"/>
      <c r="C47" s="183" t="str">
        <f>IFERROR(IF(VLOOKUP($B47,勘定科目!$A:$H,HLOOKUP($E$5,勘定科目!$F$1:$H$2,2,0),0)="","",VLOOKUP($B47,勘定科目!$A:$E,2,0)),"")</f>
        <v/>
      </c>
      <c r="D47" s="239" t="str">
        <f>IF(C47="","",VLOOKUP($B47,勘定科目!$A:$E,4,0))</f>
        <v/>
      </c>
      <c r="E47" s="245"/>
      <c r="F47" s="194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00">
        <f t="shared" si="7"/>
        <v>0</v>
      </c>
      <c r="S47" s="201"/>
      <c r="T47" s="202"/>
      <c r="U47" s="246"/>
      <c r="V47" s="246"/>
      <c r="W47" s="246"/>
      <c r="BA47"/>
      <c r="BB47"/>
    </row>
    <row r="48" spans="1:56" s="191" customFormat="1" ht="13">
      <c r="A48" s="226"/>
      <c r="B48" s="180">
        <v>6005126423</v>
      </c>
      <c r="C48" s="183" t="str">
        <f>IFERROR(IF(VLOOKUP($B48,勘定科目!$A:$H,HLOOKUP($E$5,勘定科目!$F$1:$H$2,2,0),0)="","",VLOOKUP($B48,勘定科目!$A:$E,2,0)),"")</f>
        <v>事務用品費（一般）</v>
      </c>
      <c r="D48" s="239" t="str">
        <f>IF(C48="","",VLOOKUP($B48,勘定科目!$A:$E,4,0))</f>
        <v>図書及び事務費</v>
      </c>
      <c r="E48" s="245"/>
      <c r="F48" s="194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00">
        <f t="shared" si="7"/>
        <v>0</v>
      </c>
      <c r="S48" s="201" t="s">
        <v>783</v>
      </c>
      <c r="T48" s="202"/>
      <c r="U48" s="246"/>
      <c r="V48" s="246"/>
      <c r="W48" s="246"/>
      <c r="BA48"/>
      <c r="BB48"/>
      <c r="BD48" s="191" t="s">
        <v>697</v>
      </c>
    </row>
    <row r="49" spans="1:56" s="191" customFormat="1" ht="13">
      <c r="A49" s="226"/>
      <c r="B49" s="180">
        <v>6005126423</v>
      </c>
      <c r="C49" s="183" t="str">
        <f>IFERROR(IF(VLOOKUP($B49,勘定科目!$A:$H,HLOOKUP($E$5,勘定科目!$F$1:$H$2,2,0),0)="","",VLOOKUP($B49,勘定科目!$A:$E,2,0)),"")</f>
        <v>事務用品費（一般）</v>
      </c>
      <c r="D49" s="239" t="str">
        <f>IF(C49="","",VLOOKUP($B49,勘定科目!$A:$E,4,0))</f>
        <v>図書及び事務費</v>
      </c>
      <c r="E49" s="245"/>
      <c r="F49" s="194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00">
        <f t="shared" si="7"/>
        <v>0</v>
      </c>
      <c r="S49" s="201" t="s">
        <v>703</v>
      </c>
      <c r="T49" s="202"/>
      <c r="U49" s="246"/>
      <c r="V49" s="246"/>
      <c r="W49" s="246"/>
      <c r="BA49"/>
      <c r="BB49"/>
      <c r="BD49" s="191" t="s">
        <v>697</v>
      </c>
    </row>
    <row r="50" spans="1:56" s="191" customFormat="1" ht="13">
      <c r="A50" s="226"/>
      <c r="B50" s="180">
        <v>6005126423</v>
      </c>
      <c r="C50" s="183" t="str">
        <f>IFERROR(IF(VLOOKUP($B50,勘定科目!$A:$H,HLOOKUP($E$5,勘定科目!$F$1:$H$2,2,0),0)="","",VLOOKUP($B50,勘定科目!$A:$E,2,0)),"")</f>
        <v>事務用品費（一般）</v>
      </c>
      <c r="D50" s="239" t="str">
        <f>IF(C50="","",VLOOKUP($B50,勘定科目!$A:$E,4,0))</f>
        <v>図書及び事務費</v>
      </c>
      <c r="E50" s="245"/>
      <c r="F50" s="194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00">
        <f t="shared" si="7"/>
        <v>0</v>
      </c>
      <c r="S50" s="201" t="s">
        <v>704</v>
      </c>
      <c r="T50" s="202"/>
      <c r="U50" s="246"/>
      <c r="V50" s="246"/>
      <c r="W50" s="246"/>
      <c r="BA50"/>
      <c r="BB50"/>
      <c r="BD50" s="191" t="s">
        <v>697</v>
      </c>
    </row>
    <row r="51" spans="1:56" s="191" customFormat="1" ht="13">
      <c r="A51" s="226"/>
      <c r="B51" s="180">
        <v>6005126423</v>
      </c>
      <c r="C51" s="183" t="str">
        <f>IFERROR(IF(VLOOKUP($B51,勘定科目!$A:$H,HLOOKUP($E$5,勘定科目!$F$1:$H$2,2,0),0)="","",VLOOKUP($B51,勘定科目!$A:$E,2,0)),"")</f>
        <v>事務用品費（一般）</v>
      </c>
      <c r="D51" s="239" t="str">
        <f>IF(C51="","",VLOOKUP($B51,勘定科目!$A:$E,4,0))</f>
        <v>図書及び事務費</v>
      </c>
      <c r="E51" s="245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7"/>
        <v>0</v>
      </c>
      <c r="S51" s="201" t="s">
        <v>705</v>
      </c>
      <c r="T51" s="202"/>
      <c r="U51" s="246"/>
      <c r="V51" s="246"/>
      <c r="W51" s="246"/>
      <c r="BA51"/>
      <c r="BB51"/>
      <c r="BD51" s="191" t="s">
        <v>699</v>
      </c>
    </row>
    <row r="52" spans="1:56" s="191" customFormat="1" ht="13">
      <c r="A52" s="226"/>
      <c r="B52" s="180">
        <v>6005126423</v>
      </c>
      <c r="C52" s="183" t="str">
        <f>IFERROR(IF(VLOOKUP($B52,勘定科目!$A:$H,HLOOKUP($E$5,勘定科目!$F$1:$H$2,2,0),0)="","",VLOOKUP($B52,勘定科目!$A:$E,2,0)),"")</f>
        <v>事務用品費（一般）</v>
      </c>
      <c r="D52" s="239" t="str">
        <f>IF(C52="","",VLOOKUP($B52,勘定科目!$A:$E,4,0))</f>
        <v>図書及び事務費</v>
      </c>
      <c r="E52" s="245"/>
      <c r="F52" s="194"/>
      <c r="G52" s="247">
        <v>3600</v>
      </c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00">
        <f t="shared" si="7"/>
        <v>3600</v>
      </c>
      <c r="S52" s="201" t="s">
        <v>707</v>
      </c>
      <c r="T52" s="202"/>
      <c r="U52" s="246"/>
      <c r="V52" s="246"/>
      <c r="W52" s="246"/>
      <c r="BA52"/>
      <c r="BB52"/>
      <c r="BD52" s="191" t="s">
        <v>697</v>
      </c>
    </row>
    <row r="53" spans="1:56" s="191" customFormat="1" ht="13">
      <c r="A53" s="226"/>
      <c r="B53" s="180">
        <v>6005126423</v>
      </c>
      <c r="C53" s="183" t="str">
        <f>IFERROR(IF(VLOOKUP($B53,勘定科目!$A:$H,HLOOKUP($E$5,勘定科目!$F$1:$H$2,2,0),0)="","",VLOOKUP($B53,勘定科目!$A:$E,2,0)),"")</f>
        <v>事務用品費（一般）</v>
      </c>
      <c r="D53" s="239" t="str">
        <f>IF(C53="","",VLOOKUP($B53,勘定科目!$A:$E,4,0))</f>
        <v>図書及び事務費</v>
      </c>
      <c r="E53" s="245"/>
      <c r="F53" s="194"/>
      <c r="G53" s="247">
        <v>12100</v>
      </c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00">
        <f t="shared" si="7"/>
        <v>12100</v>
      </c>
      <c r="S53" s="201" t="s">
        <v>708</v>
      </c>
      <c r="T53" s="202"/>
      <c r="U53" s="246"/>
      <c r="V53" s="246"/>
      <c r="W53" s="246"/>
      <c r="BA53"/>
      <c r="BB53"/>
      <c r="BD53" s="191" t="s">
        <v>697</v>
      </c>
    </row>
    <row r="54" spans="1:56" s="191" customFormat="1" ht="13">
      <c r="A54" s="226"/>
      <c r="B54" s="180">
        <v>6005126423</v>
      </c>
      <c r="C54" s="183" t="str">
        <f>IFERROR(IF(VLOOKUP($B54,勘定科目!$A:$H,HLOOKUP($E$5,勘定科目!$F$1:$H$2,2,0),0)="","",VLOOKUP($B54,勘定科目!$A:$E,2,0)),"")</f>
        <v>事務用品費（一般）</v>
      </c>
      <c r="D54" s="239" t="str">
        <f>IF(C54="","",VLOOKUP($B54,勘定科目!$A:$E,4,0))</f>
        <v>図書及び事務費</v>
      </c>
      <c r="E54" s="245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00">
        <f t="shared" si="7"/>
        <v>0</v>
      </c>
      <c r="S54" s="201" t="s">
        <v>709</v>
      </c>
      <c r="T54" s="202"/>
      <c r="U54" s="246"/>
      <c r="V54" s="246"/>
      <c r="W54" s="246"/>
      <c r="BA54"/>
      <c r="BB54"/>
      <c r="BD54" s="191" t="s">
        <v>706</v>
      </c>
    </row>
    <row r="55" spans="1:56" s="191" customFormat="1" ht="13">
      <c r="A55" s="226"/>
      <c r="B55" s="180">
        <v>6005126423</v>
      </c>
      <c r="C55" s="183" t="str">
        <f>IFERROR(IF(VLOOKUP($B55,勘定科目!$A:$H,HLOOKUP($E$5,勘定科目!$F$1:$H$2,2,0),0)="","",VLOOKUP($B55,勘定科目!$A:$E,2,0)),"")</f>
        <v>事務用品費（一般）</v>
      </c>
      <c r="D55" s="239" t="str">
        <f>IF(C55="","",VLOOKUP($B55,勘定科目!$A:$E,4,0))</f>
        <v>図書及び事務費</v>
      </c>
      <c r="E55" s="245"/>
      <c r="F55" s="194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7"/>
        <v>0</v>
      </c>
      <c r="S55" s="201" t="s">
        <v>710</v>
      </c>
      <c r="T55" s="202"/>
      <c r="U55" s="246"/>
      <c r="V55" s="246"/>
      <c r="W55" s="246"/>
      <c r="BA55"/>
      <c r="BB55"/>
      <c r="BD55" s="191" t="s">
        <v>706</v>
      </c>
    </row>
    <row r="56" spans="1:56" s="191" customFormat="1" ht="13">
      <c r="A56" s="226"/>
      <c r="B56" s="180"/>
      <c r="C56" s="183" t="str">
        <f>IFERROR(IF(VLOOKUP($B56,勘定科目!$A:$H,HLOOKUP($E$5,勘定科目!$F$1:$H$2,2,0),0)="","",VLOOKUP($B56,勘定科目!$A:$E,2,0)),"")</f>
        <v/>
      </c>
      <c r="D56" s="239" t="str">
        <f>IF(C56="","",VLOOKUP($B56,勘定科目!$A:$E,4,0))</f>
        <v/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7"/>
        <v>0</v>
      </c>
      <c r="S56" s="201"/>
      <c r="T56" s="202"/>
      <c r="U56" s="246"/>
      <c r="V56" s="246"/>
      <c r="W56" s="246"/>
      <c r="BA56"/>
      <c r="BB56"/>
    </row>
    <row r="57" spans="1:56" s="191" customFormat="1" ht="13">
      <c r="A57" s="226"/>
      <c r="B57" s="180">
        <v>6005146628</v>
      </c>
      <c r="C57" s="183" t="str">
        <f>IFERROR(IF(VLOOKUP($B57,勘定科目!$A:$H,HLOOKUP($E$5,勘定科目!$F$1:$H$2,2,0),0)="","",VLOOKUP($B57,勘定科目!$A:$E,2,0)),"")</f>
        <v>ＫＤＣシステム使用料（一般）</v>
      </c>
      <c r="D57" s="239" t="str">
        <f>IF(C57="","",VLOOKUP($B57,勘定科目!$A:$E,4,0))</f>
        <v>図書及び事務費</v>
      </c>
      <c r="E57" s="245"/>
      <c r="F57" s="194">
        <v>1745816</v>
      </c>
      <c r="G57" s="194">
        <v>1745816</v>
      </c>
      <c r="H57" s="194">
        <v>1745816</v>
      </c>
      <c r="I57" s="194">
        <v>1745816</v>
      </c>
      <c r="J57" s="194">
        <v>1745816</v>
      </c>
      <c r="K57" s="194">
        <v>1745816</v>
      </c>
      <c r="L57" s="194">
        <v>1745816</v>
      </c>
      <c r="M57" s="194">
        <v>1745816</v>
      </c>
      <c r="N57" s="194">
        <v>1745816</v>
      </c>
      <c r="O57" s="194">
        <v>1745816</v>
      </c>
      <c r="P57" s="194">
        <v>1745816</v>
      </c>
      <c r="Q57" s="194">
        <v>1745816</v>
      </c>
      <c r="R57" s="200">
        <f t="shared" si="7"/>
        <v>20949792</v>
      </c>
      <c r="S57" s="201" t="s">
        <v>711</v>
      </c>
      <c r="T57" s="202"/>
      <c r="U57" s="246"/>
      <c r="V57" s="246"/>
      <c r="W57" s="246"/>
      <c r="BA57"/>
      <c r="BB57"/>
      <c r="BD57" s="191" t="s">
        <v>697</v>
      </c>
    </row>
    <row r="58" spans="1:56" s="191" customFormat="1" ht="13">
      <c r="A58" s="226"/>
      <c r="B58" s="180"/>
      <c r="C58" s="183" t="str">
        <f>IFERROR(IF(VLOOKUP($B58,勘定科目!$A:$H,HLOOKUP($E$5,勘定科目!$F$1:$H$2,2,0),0)="","",VLOOKUP($B58,勘定科目!$A:$E,2,0)),"")</f>
        <v/>
      </c>
      <c r="D58" s="239" t="str">
        <f>IF(C58="","",VLOOKUP($B58,勘定科目!$A:$E,4,0))</f>
        <v/>
      </c>
      <c r="E58" s="245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7"/>
        <v>0</v>
      </c>
      <c r="S58" s="201"/>
      <c r="T58" s="202"/>
      <c r="U58" s="246"/>
      <c r="V58" s="246"/>
      <c r="W58" s="246"/>
      <c r="BA58"/>
      <c r="BB58"/>
    </row>
    <row r="59" spans="1:56" s="191" customFormat="1" ht="13">
      <c r="A59" s="226"/>
      <c r="B59" s="180">
        <v>6005116654</v>
      </c>
      <c r="C59" s="183" t="str">
        <f>IFERROR(IF(VLOOKUP($B59,勘定科目!$A:$H,HLOOKUP($E$5,勘定科目!$F$1:$H$2,2,0),0)="","",VLOOKUP($B59,勘定科目!$A:$E,2,0)),"")</f>
        <v>ベトナム国内交通費（一般）</v>
      </c>
      <c r="D59" s="239" t="str">
        <f>IF(C59="","",VLOOKUP($B59,勘定科目!$A:$E,4,0))</f>
        <v>旅費交通費</v>
      </c>
      <c r="E59" s="245"/>
      <c r="F59" s="212">
        <f>500000+2480000</f>
        <v>2980000</v>
      </c>
      <c r="G59" s="194">
        <v>500000</v>
      </c>
      <c r="H59" s="194">
        <v>500000</v>
      </c>
      <c r="I59" s="194">
        <v>500000</v>
      </c>
      <c r="J59" s="194">
        <v>500000</v>
      </c>
      <c r="K59" s="194">
        <v>500000</v>
      </c>
      <c r="L59" s="194">
        <v>500000</v>
      </c>
      <c r="M59" s="194">
        <v>500000</v>
      </c>
      <c r="N59" s="194">
        <v>500000</v>
      </c>
      <c r="O59" s="194">
        <v>500000</v>
      </c>
      <c r="P59" s="194">
        <v>500000</v>
      </c>
      <c r="Q59" s="194">
        <v>500000</v>
      </c>
      <c r="R59" s="200">
        <f t="shared" si="7"/>
        <v>8480000</v>
      </c>
      <c r="S59" s="201" t="s">
        <v>712</v>
      </c>
      <c r="T59" s="202"/>
      <c r="U59" s="246"/>
      <c r="V59" s="246"/>
      <c r="W59" s="246"/>
      <c r="BA59"/>
      <c r="BB59"/>
      <c r="BD59" s="191" t="s">
        <v>694</v>
      </c>
    </row>
    <row r="60" spans="1:56" s="191" customFormat="1" ht="13">
      <c r="A60" s="226"/>
      <c r="B60" s="180"/>
      <c r="C60" s="183" t="str">
        <f>IFERROR(IF(VLOOKUP($B60,勘定科目!$A:$H,HLOOKUP($E$5,勘定科目!$F$1:$H$2,2,0),0)="","",VLOOKUP($B60,勘定科目!$A:$E,2,0)),"")</f>
        <v/>
      </c>
      <c r="D60" s="239" t="str">
        <f>IF(C60="","",VLOOKUP($B60,勘定科目!$A:$E,4,0))</f>
        <v/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7"/>
        <v>0</v>
      </c>
      <c r="S60" s="201"/>
      <c r="T60" s="202"/>
      <c r="U60" s="246"/>
      <c r="V60" s="246"/>
      <c r="W60" s="246"/>
      <c r="BA60"/>
      <c r="BB60"/>
    </row>
    <row r="61" spans="1:56" s="191" customFormat="1" ht="13">
      <c r="A61" s="226"/>
      <c r="B61" s="180">
        <v>6005246673</v>
      </c>
      <c r="C61" s="183" t="str">
        <f>IFERROR(IF(VLOOKUP($B61,勘定科目!$A:$H,HLOOKUP($E$5,勘定科目!$F$1:$H$2,2,0),0)="","",VLOOKUP($B61,勘定科目!$A:$E,2,0)),"")</f>
        <v>その他手数料（一般）</v>
      </c>
      <c r="D61" s="239" t="str">
        <f>IF(C61="","",VLOOKUP($B61,勘定科目!$A:$E,4,0))</f>
        <v>手数料</v>
      </c>
      <c r="E61" s="245"/>
      <c r="F61" s="194">
        <v>337482</v>
      </c>
      <c r="G61" s="247">
        <v>395234</v>
      </c>
      <c r="H61" s="247">
        <v>407407</v>
      </c>
      <c r="I61" s="247">
        <v>373142</v>
      </c>
      <c r="J61" s="247">
        <v>363237</v>
      </c>
      <c r="K61" s="247">
        <v>347130</v>
      </c>
      <c r="L61" s="247">
        <v>332024</v>
      </c>
      <c r="M61" s="247">
        <v>327908</v>
      </c>
      <c r="N61" s="247">
        <v>328839</v>
      </c>
      <c r="O61" s="247">
        <v>314776</v>
      </c>
      <c r="P61" s="247">
        <v>297934</v>
      </c>
      <c r="Q61" s="247">
        <v>311780</v>
      </c>
      <c r="R61" s="200">
        <f t="shared" si="7"/>
        <v>4136893</v>
      </c>
      <c r="S61" s="201" t="s">
        <v>714</v>
      </c>
      <c r="T61" s="202"/>
      <c r="U61" s="246"/>
      <c r="V61" s="246"/>
      <c r="W61" s="246"/>
      <c r="BA61"/>
      <c r="BB61"/>
      <c r="BD61" s="191" t="s">
        <v>694</v>
      </c>
    </row>
    <row r="62" spans="1:56" s="191" customFormat="1" ht="13">
      <c r="A62" s="226"/>
      <c r="B62" s="180">
        <v>6005246673</v>
      </c>
      <c r="C62" s="183" t="str">
        <f>IFERROR(IF(VLOOKUP($B62,勘定科目!$A:$H,HLOOKUP($E$5,勘定科目!$F$1:$H$2,2,0),0)="","",VLOOKUP($B62,勘定科目!$A:$E,2,0)),"")</f>
        <v>その他手数料（一般）</v>
      </c>
      <c r="D62" s="239" t="str">
        <f>IF(C62="","",VLOOKUP($B62,勘定科目!$A:$E,4,0))</f>
        <v>手数料</v>
      </c>
      <c r="E62" s="245"/>
      <c r="F62" s="194">
        <v>115830000</v>
      </c>
      <c r="G62" s="247"/>
      <c r="H62" s="247"/>
      <c r="I62" s="247"/>
      <c r="J62" s="247"/>
      <c r="K62" s="247"/>
      <c r="L62" s="247">
        <v>115830000</v>
      </c>
      <c r="M62" s="247"/>
      <c r="N62" s="247"/>
      <c r="O62" s="247"/>
      <c r="P62" s="247"/>
      <c r="Q62" s="247"/>
      <c r="R62" s="200">
        <f t="shared" si="7"/>
        <v>231660000</v>
      </c>
      <c r="S62" s="201" t="s">
        <v>715</v>
      </c>
      <c r="T62" s="202"/>
      <c r="U62" s="246"/>
      <c r="V62" s="246"/>
      <c r="W62" s="246"/>
      <c r="BA62"/>
      <c r="BB62"/>
      <c r="BD62" s="191" t="s">
        <v>716</v>
      </c>
    </row>
    <row r="63" spans="1:56" s="191" customFormat="1" ht="13">
      <c r="A63" s="226"/>
      <c r="B63" s="180">
        <v>6005246673</v>
      </c>
      <c r="C63" s="183" t="str">
        <f>IFERROR(IF(VLOOKUP($B63,勘定科目!$A:$H,HLOOKUP($E$5,勘定科目!$F$1:$H$2,2,0),0)="","",VLOOKUP($B63,勘定科目!$A:$E,2,0)),"")</f>
        <v>その他手数料（一般）</v>
      </c>
      <c r="D63" s="239" t="str">
        <f>IF(C63="","",VLOOKUP($B63,勘定科目!$A:$E,4,0))</f>
        <v>手数料</v>
      </c>
      <c r="E63" s="245"/>
      <c r="F63" s="194">
        <v>5280000</v>
      </c>
      <c r="G63" s="247">
        <v>5280000</v>
      </c>
      <c r="H63" s="247">
        <v>5280000</v>
      </c>
      <c r="I63" s="247">
        <v>5280000</v>
      </c>
      <c r="J63" s="247">
        <v>5280000</v>
      </c>
      <c r="K63" s="247">
        <v>5280000</v>
      </c>
      <c r="L63" s="247">
        <v>5280000</v>
      </c>
      <c r="M63" s="247">
        <v>5280000</v>
      </c>
      <c r="N63" s="247">
        <v>5280000</v>
      </c>
      <c r="O63" s="247">
        <v>5280000</v>
      </c>
      <c r="P63" s="247">
        <v>5280000</v>
      </c>
      <c r="Q63" s="247">
        <v>5280000</v>
      </c>
      <c r="R63" s="200">
        <f t="shared" si="7"/>
        <v>63360000</v>
      </c>
      <c r="S63" s="201" t="s">
        <v>717</v>
      </c>
      <c r="T63" s="202"/>
      <c r="U63" s="246"/>
      <c r="V63" s="246"/>
      <c r="W63" s="246"/>
      <c r="BA63"/>
      <c r="BB63"/>
      <c r="BD63" s="191" t="s">
        <v>716</v>
      </c>
    </row>
    <row r="64" spans="1:56" s="191" customFormat="1" ht="13">
      <c r="A64" s="226"/>
      <c r="B64" s="180">
        <v>6005246673</v>
      </c>
      <c r="C64" s="183" t="str">
        <f>IFERROR(IF(VLOOKUP($B64,勘定科目!$A:$H,HLOOKUP($E$5,勘定科目!$F$1:$H$2,2,0),0)="","",VLOOKUP($B64,勘定科目!$A:$E,2,0)),"")</f>
        <v>その他手数料（一般）</v>
      </c>
      <c r="D64" s="239" t="str">
        <f>IF(C64="","",VLOOKUP($B64,勘定科目!$A:$E,4,0))</f>
        <v>手数料</v>
      </c>
      <c r="E64" s="245"/>
      <c r="F64" s="194"/>
      <c r="G64" s="247"/>
      <c r="H64" s="303">
        <v>12900000</v>
      </c>
      <c r="I64" s="247"/>
      <c r="J64" s="247"/>
      <c r="K64" s="303">
        <v>12900000</v>
      </c>
      <c r="L64" s="247"/>
      <c r="M64" s="247"/>
      <c r="N64" s="303">
        <v>12900000</v>
      </c>
      <c r="O64" s="247"/>
      <c r="P64" s="247"/>
      <c r="Q64" s="303">
        <v>12900000</v>
      </c>
      <c r="R64" s="200">
        <f t="shared" si="7"/>
        <v>51600000</v>
      </c>
      <c r="S64" s="201" t="s">
        <v>718</v>
      </c>
      <c r="T64" s="202"/>
      <c r="U64" s="246"/>
      <c r="V64" s="246"/>
      <c r="W64" s="246"/>
      <c r="BA64"/>
      <c r="BB64"/>
      <c r="BD64" s="191" t="s">
        <v>716</v>
      </c>
    </row>
    <row r="65" spans="1:56" s="191" customFormat="1" ht="13">
      <c r="A65" s="226"/>
      <c r="B65" s="180">
        <v>6005246673</v>
      </c>
      <c r="C65" s="183" t="str">
        <f>IFERROR(IF(VLOOKUP($B65,勘定科目!$A:$H,HLOOKUP($E$5,勘定科目!$F$1:$H$2,2,0),0)="","",VLOOKUP($B65,勘定科目!$A:$E,2,0)),"")</f>
        <v>その他手数料（一般）</v>
      </c>
      <c r="D65" s="239" t="str">
        <f>IF(C65="","",VLOOKUP($B65,勘定科目!$A:$E,4,0))</f>
        <v>手数料</v>
      </c>
      <c r="E65" s="245"/>
      <c r="F65" s="194">
        <v>1500000</v>
      </c>
      <c r="G65" s="247">
        <v>1500000</v>
      </c>
      <c r="H65" s="247">
        <v>1500000</v>
      </c>
      <c r="I65" s="247">
        <v>1500000</v>
      </c>
      <c r="J65" s="247">
        <v>1500000</v>
      </c>
      <c r="K65" s="247">
        <v>1500000</v>
      </c>
      <c r="L65" s="247">
        <v>1500000</v>
      </c>
      <c r="M65" s="247">
        <v>1500000</v>
      </c>
      <c r="N65" s="247">
        <v>1500000</v>
      </c>
      <c r="O65" s="247">
        <v>1500000</v>
      </c>
      <c r="P65" s="247">
        <v>1500000</v>
      </c>
      <c r="Q65" s="247">
        <v>1500000</v>
      </c>
      <c r="R65" s="200">
        <f t="shared" si="7"/>
        <v>18000000</v>
      </c>
      <c r="S65" s="201" t="s">
        <v>719</v>
      </c>
      <c r="T65" s="202"/>
      <c r="U65" s="246"/>
      <c r="V65" s="246"/>
      <c r="W65" s="246"/>
      <c r="BA65"/>
      <c r="BB65"/>
      <c r="BD65" s="191" t="s">
        <v>716</v>
      </c>
    </row>
    <row r="66" spans="1:56" s="191" customFormat="1" ht="13">
      <c r="A66" s="226"/>
      <c r="B66" s="180">
        <v>6005246673</v>
      </c>
      <c r="C66" s="183" t="str">
        <f>IFERROR(IF(VLOOKUP($B66,勘定科目!$A:$H,HLOOKUP($E$5,勘定科目!$F$1:$H$2,2,0),0)="","",VLOOKUP($B66,勘定科目!$A:$E,2,0)),"")</f>
        <v>その他手数料（一般）</v>
      </c>
      <c r="D66" s="239" t="str">
        <f>IF(C66="","",VLOOKUP($B66,勘定科目!$A:$E,4,0))</f>
        <v>手数料</v>
      </c>
      <c r="E66" s="245"/>
      <c r="F66" s="194">
        <v>25700000</v>
      </c>
      <c r="G66" s="247">
        <v>25700000</v>
      </c>
      <c r="H66" s="247">
        <v>25700000</v>
      </c>
      <c r="I66" s="247">
        <v>25700000</v>
      </c>
      <c r="J66" s="247">
        <v>25700000</v>
      </c>
      <c r="K66" s="247">
        <v>25700000</v>
      </c>
      <c r="L66" s="247">
        <v>25700000</v>
      </c>
      <c r="M66" s="247">
        <v>25700000</v>
      </c>
      <c r="N66" s="247">
        <v>25700000</v>
      </c>
      <c r="O66" s="247">
        <v>25700000</v>
      </c>
      <c r="P66" s="247">
        <v>25700000</v>
      </c>
      <c r="Q66" s="247">
        <v>25700000</v>
      </c>
      <c r="R66" s="200">
        <f t="shared" si="7"/>
        <v>308400000</v>
      </c>
      <c r="S66" s="201" t="s">
        <v>720</v>
      </c>
      <c r="T66" s="202"/>
      <c r="U66" s="246"/>
      <c r="V66" s="246"/>
      <c r="W66" s="246"/>
      <c r="BA66"/>
      <c r="BB66"/>
      <c r="BD66" s="191" t="s">
        <v>716</v>
      </c>
    </row>
    <row r="67" spans="1:56" s="191" customFormat="1" ht="13">
      <c r="A67" s="226"/>
      <c r="B67" s="180">
        <v>6005246673</v>
      </c>
      <c r="C67" s="183" t="str">
        <f>IFERROR(IF(VLOOKUP($B67,勘定科目!$A:$H,HLOOKUP($E$5,勘定科目!$F$1:$H$2,2,0),0)="","",VLOOKUP($B67,勘定科目!$A:$E,2,0)),"")</f>
        <v>その他手数料（一般）</v>
      </c>
      <c r="D67" s="239" t="str">
        <f>IF(C67="","",VLOOKUP($B67,勘定科目!$A:$E,4,0))</f>
        <v>手数料</v>
      </c>
      <c r="E67" s="245"/>
      <c r="F67" s="194">
        <v>165000000</v>
      </c>
      <c r="G67" s="247">
        <v>165000000</v>
      </c>
      <c r="H67" s="247">
        <v>165000000</v>
      </c>
      <c r="I67" s="247">
        <v>165000000</v>
      </c>
      <c r="J67" s="247">
        <v>165000000</v>
      </c>
      <c r="K67" s="247">
        <v>165000000</v>
      </c>
      <c r="L67" s="247">
        <v>165000000</v>
      </c>
      <c r="M67" s="247">
        <v>165000000</v>
      </c>
      <c r="N67" s="247">
        <v>165000000</v>
      </c>
      <c r="O67" s="247">
        <v>165000000</v>
      </c>
      <c r="P67" s="247">
        <v>165000000</v>
      </c>
      <c r="Q67" s="247">
        <v>165000000</v>
      </c>
      <c r="R67" s="200">
        <f t="shared" si="7"/>
        <v>1980000000</v>
      </c>
      <c r="S67" s="201" t="s">
        <v>721</v>
      </c>
      <c r="T67" s="202"/>
      <c r="U67" s="246"/>
      <c r="V67" s="246"/>
      <c r="W67" s="246"/>
      <c r="BA67"/>
      <c r="BB67"/>
      <c r="BD67" s="191" t="s">
        <v>716</v>
      </c>
    </row>
    <row r="68" spans="1:56" s="191" customFormat="1" ht="13">
      <c r="A68" s="226"/>
      <c r="B68" s="180">
        <v>6005246673</v>
      </c>
      <c r="C68" s="183" t="str">
        <f>IFERROR(IF(VLOOKUP($B68,勘定科目!$A:$H,HLOOKUP($E$5,勘定科目!$F$1:$H$2,2,0),0)="","",VLOOKUP($B68,勘定科目!$A:$E,2,0)),"")</f>
        <v>その他手数料（一般）</v>
      </c>
      <c r="D68" s="239" t="str">
        <f>IF(C68="","",VLOOKUP($B68,勘定科目!$A:$E,4,0))</f>
        <v>手数料</v>
      </c>
      <c r="E68" s="245"/>
      <c r="F68" s="194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7"/>
        <v>0</v>
      </c>
      <c r="S68" s="201" t="s">
        <v>722</v>
      </c>
      <c r="T68" s="202"/>
      <c r="U68" s="246"/>
      <c r="V68" s="246"/>
      <c r="W68" s="246"/>
      <c r="BA68"/>
      <c r="BB68"/>
      <c r="BD68" s="191" t="s">
        <v>697</v>
      </c>
    </row>
    <row r="69" spans="1:56" s="191" customFormat="1" ht="13">
      <c r="A69" s="226"/>
      <c r="B69" s="180">
        <v>6005246673</v>
      </c>
      <c r="C69" s="183" t="str">
        <f>IFERROR(IF(VLOOKUP($B69,勘定科目!$A:$H,HLOOKUP($E$5,勘定科目!$F$1:$H$2,2,0),0)="","",VLOOKUP($B69,勘定科目!$A:$E,2,0)),"")</f>
        <v>その他手数料（一般）</v>
      </c>
      <c r="D69" s="239" t="str">
        <f>IF(C69="","",VLOOKUP($B69,勘定科目!$A:$E,4,0))</f>
        <v>手数料</v>
      </c>
      <c r="E69" s="245"/>
      <c r="F69" s="194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00">
        <f t="shared" si="7"/>
        <v>0</v>
      </c>
      <c r="S69" s="201" t="s">
        <v>723</v>
      </c>
      <c r="T69" s="202"/>
      <c r="U69" s="246"/>
      <c r="V69" s="246"/>
      <c r="W69" s="246"/>
      <c r="BA69"/>
      <c r="BB69"/>
    </row>
    <row r="70" spans="1:56" s="191" customFormat="1" ht="13">
      <c r="A70" s="226"/>
      <c r="B70" s="180">
        <v>6005246673</v>
      </c>
      <c r="C70" s="183" t="str">
        <f>IFERROR(IF(VLOOKUP($B70,勘定科目!$A:$H,HLOOKUP($E$5,勘定科目!$F$1:$H$2,2,0),0)="","",VLOOKUP($B70,勘定科目!$A:$E,2,0)),"")</f>
        <v>その他手数料（一般）</v>
      </c>
      <c r="D70" s="239" t="str">
        <f>IF(C70="","",VLOOKUP($B70,勘定科目!$A:$E,4,0))</f>
        <v>手数料</v>
      </c>
      <c r="E70" s="245"/>
      <c r="F70" s="194"/>
      <c r="G70" s="247">
        <v>76170000</v>
      </c>
      <c r="H70" s="247"/>
      <c r="I70" s="247"/>
      <c r="J70" s="247"/>
      <c r="K70" s="247"/>
      <c r="L70" s="247"/>
      <c r="M70" s="247"/>
      <c r="N70" s="247"/>
      <c r="O70" s="247"/>
      <c r="P70" s="247"/>
      <c r="Q70" s="247">
        <v>263548200</v>
      </c>
      <c r="R70" s="200">
        <f t="shared" si="7"/>
        <v>339718200</v>
      </c>
      <c r="S70" s="201" t="s">
        <v>724</v>
      </c>
      <c r="T70" s="202"/>
      <c r="U70" s="246"/>
      <c r="V70" s="246"/>
      <c r="W70" s="246"/>
      <c r="BA70"/>
      <c r="BB70"/>
      <c r="BD70" s="191" t="s">
        <v>725</v>
      </c>
    </row>
    <row r="71" spans="1:56" s="191" customFormat="1" ht="13">
      <c r="A71" s="226"/>
      <c r="B71" s="180">
        <v>6005246673</v>
      </c>
      <c r="C71" s="183" t="str">
        <f>IFERROR(IF(VLOOKUP($B71,勘定科目!$A:$H,HLOOKUP($E$5,勘定科目!$F$1:$H$2,2,0),0)="","",VLOOKUP($B71,勘定科目!$A:$E,2,0)),"")</f>
        <v>その他手数料（一般）</v>
      </c>
      <c r="D71" s="239" t="str">
        <f>IF(C71="","",VLOOKUP($B71,勘定科目!$A:$E,4,0))</f>
        <v>手数料</v>
      </c>
      <c r="E71" s="245"/>
      <c r="F71" s="194">
        <v>4236500</v>
      </c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7"/>
        <v>4236500</v>
      </c>
      <c r="S71" s="201" t="s">
        <v>786</v>
      </c>
      <c r="T71" s="202"/>
      <c r="U71" s="246"/>
      <c r="V71" s="246"/>
      <c r="W71" s="246"/>
      <c r="BA71"/>
      <c r="BB71"/>
      <c r="BD71" s="191" t="s">
        <v>697</v>
      </c>
    </row>
    <row r="72" spans="1:56" s="191" customFormat="1" ht="13">
      <c r="A72" s="226"/>
      <c r="B72" s="180">
        <v>6005246673</v>
      </c>
      <c r="C72" s="183" t="str">
        <f>IFERROR(IF(VLOOKUP($B72,勘定科目!$A:$H,HLOOKUP($E$5,勘定科目!$F$1:$H$2,2,0),0)="","",VLOOKUP($B72,勘定科目!$A:$E,2,0)),"")</f>
        <v>その他手数料（一般）</v>
      </c>
      <c r="D72" s="239" t="str">
        <f>IF(C72="","",VLOOKUP($B72,勘定科目!$A:$E,4,0))</f>
        <v>手数料</v>
      </c>
      <c r="E72" s="245"/>
      <c r="F72" s="194">
        <v>5952000</v>
      </c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7"/>
        <v>5952000</v>
      </c>
      <c r="S72" s="201" t="s">
        <v>726</v>
      </c>
      <c r="T72" s="202"/>
      <c r="U72" s="246"/>
      <c r="V72" s="246"/>
      <c r="W72" s="246"/>
      <c r="BA72"/>
      <c r="BB72"/>
      <c r="BD72" s="191" t="s">
        <v>716</v>
      </c>
    </row>
    <row r="73" spans="1:56" s="191" customFormat="1" ht="13">
      <c r="A73" s="226"/>
      <c r="B73" s="180">
        <v>6005246673</v>
      </c>
      <c r="C73" s="183" t="str">
        <f>IFERROR(IF(VLOOKUP($B73,勘定科目!$A:$H,HLOOKUP($E$5,勘定科目!$F$1:$H$2,2,0),0)="","",VLOOKUP($B73,勘定科目!$A:$E,2,0)),"")</f>
        <v>その他手数料（一般）</v>
      </c>
      <c r="D73" s="239" t="str">
        <f>IF(C73="","",VLOOKUP($B73,勘定科目!$A:$E,4,0))</f>
        <v>手数料</v>
      </c>
      <c r="E73" s="245"/>
      <c r="F73" s="194"/>
      <c r="G73" s="247"/>
      <c r="H73" s="247"/>
      <c r="I73" s="247"/>
      <c r="J73" s="300">
        <v>287890000</v>
      </c>
      <c r="K73" s="247"/>
      <c r="L73" s="247"/>
      <c r="M73" s="247"/>
      <c r="N73" s="247"/>
      <c r="O73" s="247"/>
      <c r="P73" s="247"/>
      <c r="Q73" s="247"/>
      <c r="R73" s="200">
        <f t="shared" si="7"/>
        <v>287890000</v>
      </c>
      <c r="S73" s="201" t="s">
        <v>727</v>
      </c>
      <c r="T73" s="202"/>
      <c r="U73" s="246"/>
      <c r="V73" s="246"/>
      <c r="W73" s="246"/>
      <c r="BA73"/>
      <c r="BB73"/>
      <c r="BD73" s="191" t="s">
        <v>725</v>
      </c>
    </row>
    <row r="74" spans="1:56" s="191" customFormat="1" ht="13">
      <c r="A74" s="226"/>
      <c r="B74" s="180">
        <v>6005246673</v>
      </c>
      <c r="C74" s="183" t="str">
        <f>IFERROR(IF(VLOOKUP($B74,勘定科目!$A:$H,HLOOKUP($E$5,勘定科目!$F$1:$H$2,2,0),0)="","",VLOOKUP($B74,勘定科目!$A:$E,2,0)),"")</f>
        <v>その他手数料（一般）</v>
      </c>
      <c r="D74" s="239" t="str">
        <f>IF(C74="","",VLOOKUP($B74,勘定科目!$A:$E,4,0))</f>
        <v>手数料</v>
      </c>
      <c r="E74" s="245"/>
      <c r="F74" s="194"/>
      <c r="G74" s="247"/>
      <c r="H74" s="247"/>
      <c r="I74" s="301">
        <v>125000000</v>
      </c>
      <c r="J74" s="300"/>
      <c r="K74" s="247"/>
      <c r="L74" s="247"/>
      <c r="M74" s="247"/>
      <c r="N74" s="247"/>
      <c r="O74" s="247"/>
      <c r="P74" s="247"/>
      <c r="Q74" s="247"/>
      <c r="R74" s="200">
        <f t="shared" si="7"/>
        <v>125000000</v>
      </c>
      <c r="S74" s="231" t="s">
        <v>787</v>
      </c>
      <c r="T74" s="202"/>
      <c r="U74" s="246"/>
      <c r="V74" s="246"/>
      <c r="W74" s="246"/>
      <c r="BA74"/>
      <c r="BB74"/>
      <c r="BD74" s="191" t="s">
        <v>725</v>
      </c>
    </row>
    <row r="75" spans="1:56" s="191" customFormat="1" ht="13">
      <c r="A75" s="226"/>
      <c r="B75" s="180">
        <v>6005246673</v>
      </c>
      <c r="C75" s="183" t="str">
        <f>IFERROR(IF(VLOOKUP($B75,勘定科目!$A:$H,HLOOKUP($E$5,勘定科目!$F$1:$H$2,2,0),0)="","",VLOOKUP($B75,勘定科目!$A:$E,2,0)),"")</f>
        <v>その他手数料（一般）</v>
      </c>
      <c r="D75" s="239" t="str">
        <f>IF(C75="","",VLOOKUP($B75,勘定科目!$A:$E,4,0))</f>
        <v>手数料</v>
      </c>
      <c r="E75" s="245"/>
      <c r="F75" s="194"/>
      <c r="G75" s="247"/>
      <c r="H75" s="247">
        <v>42750000</v>
      </c>
      <c r="I75" s="247"/>
      <c r="J75" s="247"/>
      <c r="K75" s="247"/>
      <c r="L75" s="247"/>
      <c r="M75" s="247"/>
      <c r="N75" s="247">
        <v>42750000</v>
      </c>
      <c r="O75" s="247"/>
      <c r="P75" s="247"/>
      <c r="Q75" s="247"/>
      <c r="R75" s="200">
        <f t="shared" si="7"/>
        <v>85500000</v>
      </c>
      <c r="S75" s="201" t="s">
        <v>728</v>
      </c>
      <c r="T75" s="202"/>
      <c r="U75" s="246"/>
      <c r="V75" s="246"/>
      <c r="W75" s="246"/>
      <c r="BA75"/>
      <c r="BB75"/>
      <c r="BD75" s="191" t="s">
        <v>716</v>
      </c>
    </row>
    <row r="76" spans="1:56" s="191" customFormat="1" ht="13">
      <c r="A76" s="226"/>
      <c r="B76" s="180">
        <v>6005246673</v>
      </c>
      <c r="C76" s="183" t="str">
        <f>IFERROR(IF(VLOOKUP($B76,勘定科目!$A:$H,HLOOKUP($E$5,勘定科目!$F$1:$H$2,2,0),0)="","",VLOOKUP($B76,勘定科目!$A:$E,2,0)),"")</f>
        <v>その他手数料（一般）</v>
      </c>
      <c r="D76" s="239" t="str">
        <f>IF(C76="","",VLOOKUP($B76,勘定科目!$A:$E,4,0))</f>
        <v>手数料</v>
      </c>
      <c r="E76" s="245"/>
      <c r="F76" s="194"/>
      <c r="G76" s="247"/>
      <c r="H76" s="247">
        <v>127500</v>
      </c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7"/>
        <v>127500</v>
      </c>
      <c r="S76" s="201" t="s">
        <v>729</v>
      </c>
      <c r="T76" s="202"/>
      <c r="U76" s="246"/>
      <c r="V76" s="246"/>
      <c r="W76" s="246"/>
      <c r="BA76"/>
      <c r="BB76"/>
      <c r="BD76" s="191" t="s">
        <v>697</v>
      </c>
    </row>
    <row r="77" spans="1:56" s="191" customFormat="1" ht="13">
      <c r="A77" s="226"/>
      <c r="B77" s="180">
        <v>6005246673</v>
      </c>
      <c r="C77" s="183" t="str">
        <f>IFERROR(IF(VLOOKUP($B77,勘定科目!$A:$H,HLOOKUP($E$5,勘定科目!$F$1:$H$2,2,0),0)="","",VLOOKUP($B77,勘定科目!$A:$E,2,0)),"")</f>
        <v>その他手数料（一般）</v>
      </c>
      <c r="D77" s="239" t="str">
        <f>IF(C77="","",VLOOKUP($B77,勘定科目!$A:$E,4,0))</f>
        <v>手数料</v>
      </c>
      <c r="E77" s="245"/>
      <c r="F77" s="194"/>
      <c r="G77" s="247">
        <v>200581000</v>
      </c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7"/>
        <v>200581000</v>
      </c>
      <c r="S77" s="201" t="s">
        <v>730</v>
      </c>
      <c r="T77" s="202"/>
      <c r="U77" s="246"/>
      <c r="V77" s="246"/>
      <c r="W77" s="246"/>
      <c r="BA77"/>
      <c r="BB77"/>
      <c r="BD77" s="191" t="s">
        <v>716</v>
      </c>
    </row>
    <row r="78" spans="1:56" s="191" customFormat="1" ht="13">
      <c r="A78" s="226"/>
      <c r="B78" s="180">
        <v>6005246673</v>
      </c>
      <c r="C78" s="183" t="str">
        <f>IFERROR(IF(VLOOKUP($B78,勘定科目!$A:$H,HLOOKUP($E$5,勘定科目!$F$1:$H$2,2,0),0)="","",VLOOKUP($B78,勘定科目!$A:$E,2,0)),"")</f>
        <v>その他手数料（一般）</v>
      </c>
      <c r="D78" s="239" t="str">
        <f>IF(C78="","",VLOOKUP($B78,勘定科目!$A:$E,4,0))</f>
        <v>手数料</v>
      </c>
      <c r="E78" s="245"/>
      <c r="F78" s="194"/>
      <c r="G78" s="247"/>
      <c r="H78" s="247"/>
      <c r="I78" s="247"/>
      <c r="J78" s="247"/>
      <c r="K78" s="247"/>
      <c r="L78" s="247">
        <v>3000000</v>
      </c>
      <c r="M78" s="247"/>
      <c r="N78" s="247"/>
      <c r="O78" s="247"/>
      <c r="P78" s="247"/>
      <c r="Q78" s="247"/>
      <c r="R78" s="200">
        <f t="shared" si="7"/>
        <v>3000000</v>
      </c>
      <c r="S78" s="201" t="s">
        <v>731</v>
      </c>
      <c r="T78" s="202"/>
      <c r="U78" s="246"/>
      <c r="V78" s="246"/>
      <c r="W78" s="246"/>
      <c r="BA78"/>
      <c r="BB78"/>
      <c r="BD78" s="191" t="s">
        <v>725</v>
      </c>
    </row>
    <row r="79" spans="1:56" s="191" customFormat="1" ht="13">
      <c r="A79" s="226"/>
      <c r="B79" s="180">
        <v>6005246673</v>
      </c>
      <c r="C79" s="183" t="str">
        <f>IFERROR(IF(VLOOKUP($B79,勘定科目!$A:$H,HLOOKUP($E$5,勘定科目!$F$1:$H$2,2,0),0)="","",VLOOKUP($B79,勘定科目!$A:$E,2,0)),"")</f>
        <v>その他手数料（一般）</v>
      </c>
      <c r="D79" s="239" t="str">
        <f>IF(C79="","",VLOOKUP($B79,勘定科目!$A:$E,4,0))</f>
        <v>手数料</v>
      </c>
      <c r="E79" s="245"/>
      <c r="F79" s="194"/>
      <c r="G79" s="247"/>
      <c r="H79" s="247"/>
      <c r="I79" s="247">
        <v>300000</v>
      </c>
      <c r="J79" s="247"/>
      <c r="K79" s="247"/>
      <c r="L79" s="247"/>
      <c r="M79" s="247"/>
      <c r="N79" s="247"/>
      <c r="O79" s="247"/>
      <c r="P79" s="247"/>
      <c r="Q79" s="247">
        <v>300000</v>
      </c>
      <c r="R79" s="200">
        <f t="shared" si="7"/>
        <v>600000</v>
      </c>
      <c r="S79" s="201" t="s">
        <v>713</v>
      </c>
      <c r="T79" s="202"/>
      <c r="U79" s="246"/>
      <c r="V79" s="246"/>
      <c r="W79" s="246"/>
      <c r="BA79"/>
      <c r="BB79"/>
    </row>
    <row r="80" spans="1:56" s="191" customFormat="1" ht="13">
      <c r="A80" s="226"/>
      <c r="B80" s="180">
        <v>6005246673</v>
      </c>
      <c r="C80" s="183" t="str">
        <f>IFERROR(IF(VLOOKUP($B80,勘定科目!$A:$H,HLOOKUP($E$5,勘定科目!$F$1:$H$2,2,0),0)="","",VLOOKUP($B80,勘定科目!$A:$E,2,0)),"")</f>
        <v>その他手数料（一般）</v>
      </c>
      <c r="D80" s="239" t="str">
        <f>IF(C80="","",VLOOKUP($B80,勘定科目!$A:$E,4,0))</f>
        <v>手数料</v>
      </c>
      <c r="E80" s="245"/>
      <c r="F80" s="194"/>
      <c r="G80" s="247"/>
      <c r="H80" s="247"/>
      <c r="I80" s="247"/>
      <c r="J80" s="247"/>
      <c r="K80" s="247"/>
      <c r="L80" s="303">
        <v>130000000</v>
      </c>
      <c r="M80" s="247"/>
      <c r="N80" s="247"/>
      <c r="O80" s="247"/>
      <c r="P80" s="247"/>
      <c r="Q80" s="247"/>
      <c r="R80" s="200">
        <f t="shared" si="7"/>
        <v>130000000</v>
      </c>
      <c r="S80" s="231" t="s">
        <v>788</v>
      </c>
      <c r="T80" s="202"/>
      <c r="U80" s="246"/>
      <c r="V80" s="246"/>
      <c r="W80" s="246"/>
      <c r="BA80"/>
      <c r="BB80"/>
    </row>
    <row r="81" spans="1:56" s="191" customFormat="1" ht="13">
      <c r="A81" s="226"/>
      <c r="B81" s="180"/>
      <c r="C81" s="183" t="str">
        <f>IFERROR(IF(VLOOKUP($B81,勘定科目!$A:$H,HLOOKUP($E$5,勘定科目!$F$1:$H$2,2,0),0)="","",VLOOKUP($B81,勘定科目!$A:$E,2,0)),"")</f>
        <v/>
      </c>
      <c r="D81" s="239" t="str">
        <f>IF(C81="","",VLOOKUP($B81,勘定科目!$A:$E,4,0))</f>
        <v/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7"/>
        <v>0</v>
      </c>
      <c r="S81" s="201"/>
      <c r="T81" s="202"/>
      <c r="U81" s="246"/>
      <c r="V81" s="246"/>
      <c r="W81" s="246"/>
      <c r="BA81"/>
      <c r="BB81"/>
    </row>
    <row r="82" spans="1:56" s="191" customFormat="1" ht="13">
      <c r="A82" s="226"/>
      <c r="B82" s="180">
        <v>6005246674</v>
      </c>
      <c r="C82" s="183" t="str">
        <f>IFERROR(IF(VLOOKUP($B82,勘定科目!$A:$H,HLOOKUP($E$5,勘定科目!$F$1:$H$2,2,0),0)="","",VLOOKUP($B82,勘定科目!$A:$E,2,0)),"")</f>
        <v>ＫＤＣ手数料（一般）</v>
      </c>
      <c r="D82" s="239" t="str">
        <f>IF(C82="","",VLOOKUP($B82,勘定科目!$A:$E,4,0))</f>
        <v>手数料</v>
      </c>
      <c r="E82" s="245"/>
      <c r="F82" s="194"/>
      <c r="G82" s="247"/>
      <c r="H82" s="247"/>
      <c r="I82" s="247"/>
      <c r="J82" s="247"/>
      <c r="K82" s="247"/>
      <c r="L82" s="247"/>
      <c r="M82" s="247">
        <v>47089819</v>
      </c>
      <c r="N82" s="247"/>
      <c r="O82" s="247"/>
      <c r="P82" s="247"/>
      <c r="Q82" s="247"/>
      <c r="R82" s="200">
        <f t="shared" si="7"/>
        <v>47089819</v>
      </c>
      <c r="S82" s="201" t="s">
        <v>785</v>
      </c>
      <c r="T82" s="202"/>
      <c r="U82" s="246"/>
      <c r="V82" s="246"/>
      <c r="W82" s="246"/>
      <c r="BA82"/>
      <c r="BB82"/>
      <c r="BD82" s="191" t="s">
        <v>697</v>
      </c>
    </row>
    <row r="83" spans="1:56" s="191" customFormat="1" ht="13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7"/>
        <v>0</v>
      </c>
      <c r="S83" s="201"/>
      <c r="T83" s="202"/>
      <c r="U83" s="246"/>
      <c r="V83" s="246"/>
      <c r="W83" s="246"/>
      <c r="BA83"/>
      <c r="BB83"/>
    </row>
    <row r="84" spans="1:56" s="191" customFormat="1" ht="13">
      <c r="A84" s="226"/>
      <c r="B84" s="180">
        <v>6005226633</v>
      </c>
      <c r="C84" s="183" t="str">
        <f>IFERROR(IF(VLOOKUP($B84,勘定科目!$A:$H,HLOOKUP($E$5,勘定科目!$F$1:$H$2,2,0),0)="","",VLOOKUP($B84,勘定科目!$A:$E,2,0)),"")</f>
        <v>保険料（一般）</v>
      </c>
      <c r="D84" s="239" t="str">
        <f>IF(C84="","",VLOOKUP($B84,勘定科目!$A:$E,4,0))</f>
        <v>保険料</v>
      </c>
      <c r="E84" s="245"/>
      <c r="F84" s="194"/>
      <c r="G84" s="247">
        <v>94887000</v>
      </c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7"/>
        <v>94887000</v>
      </c>
      <c r="S84" s="201" t="s">
        <v>782</v>
      </c>
      <c r="T84" s="202"/>
      <c r="U84" s="246"/>
      <c r="V84" s="246"/>
      <c r="W84" s="246"/>
      <c r="BA84"/>
      <c r="BB84"/>
      <c r="BD84" s="191" t="s">
        <v>716</v>
      </c>
    </row>
    <row r="85" spans="1:56" s="191" customFormat="1" ht="13">
      <c r="A85" s="226"/>
      <c r="B85" s="180"/>
      <c r="C85" s="183" t="str">
        <f>IFERROR(IF(VLOOKUP($B85,勘定科目!$A:$H,HLOOKUP($E$5,勘定科目!$F$1:$H$2,2,0),0)="","",VLOOKUP($B85,勘定科目!$A:$E,2,0)),"")</f>
        <v/>
      </c>
      <c r="D85" s="239" t="str">
        <f>IF(C85="","",VLOOKUP($B85,勘定科目!$A:$E,4,0))</f>
        <v/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7"/>
        <v>0</v>
      </c>
      <c r="S85" s="201"/>
      <c r="T85" s="202"/>
      <c r="U85" s="246"/>
      <c r="V85" s="246"/>
      <c r="W85" s="246"/>
      <c r="BA85"/>
      <c r="BB85"/>
    </row>
    <row r="86" spans="1:56" s="191" customFormat="1" ht="13">
      <c r="A86" s="226"/>
      <c r="B86" s="180">
        <v>6005186425</v>
      </c>
      <c r="C86" s="183" t="str">
        <f>IFERROR(IF(VLOOKUP($B86,勘定科目!$A:$H,HLOOKUP($E$5,勘定科目!$F$1:$H$2,2,0),0)="","",VLOOKUP($B86,勘定科目!$A:$E,2,0)),"")</f>
        <v>外国契約者税（一般）</v>
      </c>
      <c r="D86" s="239" t="str">
        <f>IF(C86="","",VLOOKUP($B86,勘定科目!$A:$E,4,0))</f>
        <v>公租公課</v>
      </c>
      <c r="E86" s="245"/>
      <c r="F86" s="194"/>
      <c r="G86" s="247"/>
      <c r="H86" s="247">
        <v>10530967</v>
      </c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7"/>
        <v>10530967</v>
      </c>
      <c r="S86" s="201" t="s">
        <v>732</v>
      </c>
      <c r="T86" s="202"/>
      <c r="U86" s="246"/>
      <c r="V86" s="246"/>
      <c r="W86" s="246"/>
      <c r="BA86"/>
      <c r="BB86"/>
      <c r="BD86" s="191" t="s">
        <v>716</v>
      </c>
    </row>
    <row r="87" spans="1:56" s="191" customFormat="1" ht="13">
      <c r="A87" s="226"/>
      <c r="B87" s="180">
        <v>6005186429</v>
      </c>
      <c r="C87" s="183" t="str">
        <f>IFERROR(IF(VLOOKUP($B87,勘定科目!$A:$H,HLOOKUP($E$5,勘定科目!$F$1:$H$2,2,0),0)="","",VLOOKUP($B87,勘定科目!$A:$E,2,0)),"")</f>
        <v>その他税金（一般）</v>
      </c>
      <c r="D87" s="239" t="str">
        <f>IF(C87="","",VLOOKUP($B87,勘定科目!$A:$E,4,0))</f>
        <v>公租公課</v>
      </c>
      <c r="E87" s="245"/>
      <c r="F87" s="194"/>
      <c r="G87" s="247"/>
      <c r="H87" s="247">
        <v>3000000</v>
      </c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7"/>
        <v>3000000</v>
      </c>
      <c r="S87" s="201" t="s">
        <v>733</v>
      </c>
      <c r="T87" s="202"/>
      <c r="U87" s="246"/>
      <c r="V87" s="246"/>
      <c r="W87" s="246"/>
      <c r="BA87"/>
      <c r="BB87"/>
      <c r="BD87" s="191" t="s">
        <v>697</v>
      </c>
    </row>
    <row r="88" spans="1:56" s="191" customFormat="1" ht="13">
      <c r="A88" s="226"/>
      <c r="B88" s="180"/>
      <c r="C88" s="183" t="str">
        <f>IFERROR(IF(VLOOKUP($B88,勘定科目!$A:$H,HLOOKUP($E$5,勘定科目!$F$1:$H$2,2,0),0)="","",VLOOKUP($B88,勘定科目!$A:$E,2,0)),"")</f>
        <v/>
      </c>
      <c r="D88" s="239" t="str">
        <f>IF(C88="","",VLOOKUP($B88,勘定科目!$A:$E,4,0))</f>
        <v/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ref="R88:R147" si="9">SUM(F88:Q88)</f>
        <v>0</v>
      </c>
      <c r="S88" s="201"/>
      <c r="T88" s="202"/>
      <c r="U88" s="246"/>
      <c r="V88" s="246"/>
      <c r="W88" s="246"/>
      <c r="BA88"/>
      <c r="BB88"/>
    </row>
    <row r="89" spans="1:56" s="191" customFormat="1" ht="13">
      <c r="A89" s="226"/>
      <c r="B89" s="180">
        <v>6004086653</v>
      </c>
      <c r="C89" s="183" t="str">
        <f>IFERROR(IF(VLOOKUP($B89,勘定科目!$A:$H,HLOOKUP($E$5,勘定科目!$F$1:$H$2,2,0),0)="","",VLOOKUP($B89,勘定科目!$A:$E,2,0)),"")</f>
        <v>教育訓練費（一般）</v>
      </c>
      <c r="D89" s="239" t="str">
        <f>IF(C89="","",VLOOKUP($B89,勘定科目!$A:$E,4,0))</f>
        <v>募集教育費</v>
      </c>
      <c r="E89" s="245"/>
      <c r="F89" s="194"/>
      <c r="G89" s="247"/>
      <c r="H89" s="247"/>
      <c r="I89" s="247"/>
      <c r="J89" s="247"/>
      <c r="K89" s="247"/>
      <c r="L89" s="247"/>
      <c r="M89" s="300">
        <v>220000000</v>
      </c>
      <c r="N89" s="247"/>
      <c r="O89" s="247"/>
      <c r="P89" s="247"/>
      <c r="Q89" s="247"/>
      <c r="R89" s="200">
        <f t="shared" si="9"/>
        <v>220000000</v>
      </c>
      <c r="S89" s="201" t="s">
        <v>735</v>
      </c>
      <c r="T89" s="202"/>
      <c r="U89" s="246"/>
      <c r="V89" s="246"/>
      <c r="W89" s="246"/>
      <c r="BA89"/>
      <c r="BB89"/>
      <c r="BD89" s="191" t="s">
        <v>725</v>
      </c>
    </row>
    <row r="90" spans="1:56" s="191" customFormat="1" ht="13">
      <c r="A90" s="226"/>
      <c r="B90" s="180">
        <v>6004086653</v>
      </c>
      <c r="C90" s="183" t="str">
        <f>IFERROR(IF(VLOOKUP($B90,勘定科目!$A:$H,HLOOKUP($E$5,勘定科目!$F$1:$H$2,2,0),0)="","",VLOOKUP($B90,勘定科目!$A:$E,2,0)),"")</f>
        <v>教育訓練費（一般）</v>
      </c>
      <c r="D90" s="239" t="str">
        <f>IF(C90="","",VLOOKUP($B90,勘定科目!$A:$E,4,0))</f>
        <v>募集教育費</v>
      </c>
      <c r="E90" s="245"/>
      <c r="F90" s="194"/>
      <c r="G90" s="247"/>
      <c r="H90" s="247"/>
      <c r="I90" s="247"/>
      <c r="J90" s="300">
        <v>5840000</v>
      </c>
      <c r="K90" s="247"/>
      <c r="L90" s="247"/>
      <c r="M90" s="247"/>
      <c r="N90" s="247"/>
      <c r="O90" s="247"/>
      <c r="P90" s="247"/>
      <c r="Q90" s="247"/>
      <c r="R90" s="200">
        <f t="shared" si="9"/>
        <v>5840000</v>
      </c>
      <c r="S90" s="201" t="s">
        <v>781</v>
      </c>
      <c r="T90" s="202"/>
      <c r="U90" s="246"/>
      <c r="V90" s="246"/>
      <c r="W90" s="246"/>
      <c r="BA90"/>
      <c r="BB90"/>
      <c r="BD90" s="191" t="s">
        <v>725</v>
      </c>
    </row>
    <row r="91" spans="1:56" s="191" customFormat="1" ht="13">
      <c r="A91" s="226"/>
      <c r="B91" s="180">
        <v>6004086653</v>
      </c>
      <c r="C91" s="183" t="str">
        <f>IFERROR(IF(VLOOKUP($B91,勘定科目!$A:$H,HLOOKUP($E$5,勘定科目!$F$1:$H$2,2,0),0)="","",VLOOKUP($B91,勘定科目!$A:$E,2,0)),"")</f>
        <v>教育訓練費（一般）</v>
      </c>
      <c r="D91" s="239" t="str">
        <f>IF(C91="","",VLOOKUP($B91,勘定科目!$A:$E,4,0))</f>
        <v>募集教育費</v>
      </c>
      <c r="E91" s="245"/>
      <c r="F91" s="194"/>
      <c r="G91" s="247"/>
      <c r="H91" s="300">
        <v>31200000</v>
      </c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9"/>
        <v>31200000</v>
      </c>
      <c r="S91" s="201" t="s">
        <v>736</v>
      </c>
      <c r="T91" s="202"/>
      <c r="U91" s="246"/>
      <c r="V91" s="246"/>
      <c r="W91" s="246"/>
      <c r="BA91"/>
      <c r="BB91"/>
      <c r="BD91" s="191" t="s">
        <v>725</v>
      </c>
    </row>
    <row r="92" spans="1:56" s="191" customFormat="1" ht="13">
      <c r="A92" s="226"/>
      <c r="B92" s="180">
        <v>6004086653</v>
      </c>
      <c r="C92" s="183" t="str">
        <f>IFERROR(IF(VLOOKUP($B92,勘定科目!$A:$H,HLOOKUP($E$5,勘定科目!$F$1:$H$2,2,0),0)="","",VLOOKUP($B92,勘定科目!$A:$E,2,0)),"")</f>
        <v>教育訓練費（一般）</v>
      </c>
      <c r="D92" s="239" t="str">
        <f>IF(C92="","",VLOOKUP($B92,勘定科目!$A:$E,4,0))</f>
        <v>募集教育費</v>
      </c>
      <c r="E92" s="245"/>
      <c r="F92" s="194"/>
      <c r="G92" s="247"/>
      <c r="H92" s="247"/>
      <c r="I92" s="247"/>
      <c r="J92" s="247"/>
      <c r="K92" s="247">
        <v>108000000</v>
      </c>
      <c r="L92" s="247"/>
      <c r="M92" s="247"/>
      <c r="N92" s="247"/>
      <c r="O92" s="247"/>
      <c r="P92" s="247"/>
      <c r="Q92" s="247"/>
      <c r="R92" s="200">
        <f t="shared" si="9"/>
        <v>108000000</v>
      </c>
      <c r="S92" s="231" t="s">
        <v>737</v>
      </c>
      <c r="T92" s="202"/>
      <c r="U92" s="246"/>
      <c r="V92" s="246"/>
      <c r="W92" s="246"/>
      <c r="BA92"/>
      <c r="BB92"/>
      <c r="BD92" s="191" t="s">
        <v>725</v>
      </c>
    </row>
    <row r="93" spans="1:56" s="191" customFormat="1" ht="13">
      <c r="A93" s="226"/>
      <c r="B93" s="180">
        <v>6004086653</v>
      </c>
      <c r="C93" s="183" t="str">
        <f>IFERROR(IF(VLOOKUP($B93,勘定科目!$A:$H,HLOOKUP($E$5,勘定科目!$F$1:$H$2,2,0),0)="","",VLOOKUP($B93,勘定科目!$A:$E,2,0)),"")</f>
        <v>教育訓練費（一般）</v>
      </c>
      <c r="D93" s="239" t="str">
        <f>IF(C93="","",VLOOKUP($B93,勘定科目!$A:$E,4,0))</f>
        <v>募集教育費</v>
      </c>
      <c r="E93" s="245"/>
      <c r="F93" s="194"/>
      <c r="G93" s="247"/>
      <c r="H93" s="247"/>
      <c r="I93" s="247"/>
      <c r="J93" s="247"/>
      <c r="K93" s="247"/>
      <c r="L93" s="300">
        <v>74000000</v>
      </c>
      <c r="M93" s="247"/>
      <c r="N93" s="247"/>
      <c r="O93" s="247"/>
      <c r="P93" s="247"/>
      <c r="Q93" s="247"/>
      <c r="R93" s="200">
        <f t="shared" si="9"/>
        <v>74000000</v>
      </c>
      <c r="S93" s="201" t="s">
        <v>738</v>
      </c>
      <c r="T93" s="202"/>
      <c r="U93" s="246"/>
      <c r="V93" s="246"/>
      <c r="W93" s="246"/>
      <c r="BA93"/>
      <c r="BB93"/>
      <c r="BD93" s="191" t="s">
        <v>725</v>
      </c>
    </row>
    <row r="94" spans="1:56" s="191" customFormat="1" ht="13">
      <c r="A94" s="226"/>
      <c r="B94" s="180">
        <v>6004086653</v>
      </c>
      <c r="C94" s="183" t="str">
        <f>IFERROR(IF(VLOOKUP($B94,勘定科目!$A:$H,HLOOKUP($E$5,勘定科目!$F$1:$H$2,2,0),0)="","",VLOOKUP($B94,勘定科目!$A:$E,2,0)),"")</f>
        <v>教育訓練費（一般）</v>
      </c>
      <c r="D94" s="239" t="str">
        <f>IF(C94="","",VLOOKUP($B94,勘定科目!$A:$E,4,0))</f>
        <v>募集教育費</v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9"/>
        <v>0</v>
      </c>
      <c r="S94" s="201" t="s">
        <v>739</v>
      </c>
      <c r="T94" s="202"/>
      <c r="U94" s="246"/>
      <c r="V94" s="246"/>
      <c r="W94" s="246"/>
      <c r="BA94"/>
      <c r="BB94"/>
      <c r="BD94" s="191" t="s">
        <v>697</v>
      </c>
    </row>
    <row r="95" spans="1:56" s="191" customFormat="1" ht="13">
      <c r="A95" s="226"/>
      <c r="B95" s="180">
        <v>6004086653</v>
      </c>
      <c r="C95" s="183" t="str">
        <f>IFERROR(IF(VLOOKUP($B95,勘定科目!$A:$H,HLOOKUP($E$5,勘定科目!$F$1:$H$2,2,0),0)="","",VLOOKUP($B95,勘定科目!$A:$E,2,0)),"")</f>
        <v>教育訓練費（一般）</v>
      </c>
      <c r="D95" s="239" t="str">
        <f>IF(C95="","",VLOOKUP($B95,勘定科目!$A:$E,4,0))</f>
        <v>募集教育費</v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9"/>
        <v>0</v>
      </c>
      <c r="S95" s="201" t="s">
        <v>740</v>
      </c>
      <c r="T95" s="202"/>
      <c r="U95" s="246"/>
      <c r="V95" s="246"/>
      <c r="W95" s="246"/>
      <c r="BA95"/>
      <c r="BB95"/>
      <c r="BD95" s="191" t="s">
        <v>725</v>
      </c>
    </row>
    <row r="96" spans="1:56" s="191" customFormat="1" ht="13">
      <c r="A96" s="226"/>
      <c r="B96" s="180">
        <v>6004086653</v>
      </c>
      <c r="C96" s="183" t="str">
        <f>IFERROR(IF(VLOOKUP($B96,勘定科目!$A:$H,HLOOKUP($E$5,勘定科目!$F$1:$H$2,2,0),0)="","",VLOOKUP($B96,勘定科目!$A:$E,2,0)),"")</f>
        <v>教育訓練費（一般）</v>
      </c>
      <c r="D96" s="239" t="str">
        <f>IF(C96="","",VLOOKUP($B96,勘定科目!$A:$E,4,0))</f>
        <v>募集教育費</v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>
        <v>1000000</v>
      </c>
      <c r="O96" s="247"/>
      <c r="P96" s="247"/>
      <c r="Q96" s="247"/>
      <c r="R96" s="200">
        <f t="shared" si="9"/>
        <v>1000000</v>
      </c>
      <c r="S96" s="201" t="s">
        <v>741</v>
      </c>
      <c r="T96" s="202"/>
      <c r="U96" s="246"/>
      <c r="V96" s="246"/>
      <c r="W96" s="246"/>
      <c r="BA96"/>
      <c r="BB96"/>
      <c r="BD96" s="191" t="s">
        <v>725</v>
      </c>
    </row>
    <row r="97" spans="1:56" s="191" customFormat="1" ht="13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9"/>
        <v>0</v>
      </c>
      <c r="S97" s="201"/>
      <c r="T97" s="202"/>
      <c r="U97" s="246"/>
      <c r="V97" s="246"/>
      <c r="W97" s="246"/>
      <c r="BA97"/>
      <c r="BB97"/>
    </row>
    <row r="98" spans="1:56" s="191" customFormat="1" ht="13">
      <c r="A98" s="226"/>
      <c r="B98" s="180">
        <v>6005136626</v>
      </c>
      <c r="C98" s="183" t="str">
        <f>IFERROR(IF(VLOOKUP($B98,勘定科目!$A:$H,HLOOKUP($E$5,勘定科目!$F$1:$H$2,2,0),0)="","",VLOOKUP($B98,勘定科目!$A:$E,2,0)),"")</f>
        <v>通信費（一般）</v>
      </c>
      <c r="D98" s="239" t="str">
        <f>IF(C98="","",VLOOKUP($B98,勘定科目!$A:$E,4,0))</f>
        <v>通信費</v>
      </c>
      <c r="E98" s="245"/>
      <c r="F98" s="194">
        <v>530000</v>
      </c>
      <c r="G98" s="194">
        <v>530000</v>
      </c>
      <c r="H98" s="194">
        <v>530000</v>
      </c>
      <c r="I98" s="194">
        <v>530000</v>
      </c>
      <c r="J98" s="194">
        <v>530000</v>
      </c>
      <c r="K98" s="194">
        <v>530000</v>
      </c>
      <c r="L98" s="194">
        <v>530000</v>
      </c>
      <c r="M98" s="194">
        <v>530000</v>
      </c>
      <c r="N98" s="194">
        <v>530000</v>
      </c>
      <c r="O98" s="194">
        <v>530000</v>
      </c>
      <c r="P98" s="194">
        <v>530000</v>
      </c>
      <c r="Q98" s="194">
        <v>530000</v>
      </c>
      <c r="R98" s="200">
        <f t="shared" si="9"/>
        <v>6360000</v>
      </c>
      <c r="S98" s="201" t="s">
        <v>742</v>
      </c>
      <c r="T98" s="202"/>
      <c r="U98" s="246"/>
      <c r="V98" s="246"/>
      <c r="W98" s="246"/>
      <c r="BA98"/>
      <c r="BB98"/>
      <c r="BD98" s="191" t="s">
        <v>697</v>
      </c>
    </row>
    <row r="99" spans="1:56" s="191" customFormat="1" ht="13">
      <c r="A99" s="226"/>
      <c r="B99" s="180">
        <v>6005136626</v>
      </c>
      <c r="C99" s="183" t="str">
        <f>IFERROR(IF(VLOOKUP($B99,勘定科目!$A:$H,HLOOKUP($E$5,勘定科目!$F$1:$H$2,2,0),0)="","",VLOOKUP($B99,勘定科目!$A:$E,2,0)),"")</f>
        <v>通信費（一般）</v>
      </c>
      <c r="D99" s="239" t="str">
        <f>IF(C99="","",VLOOKUP($B99,勘定科目!$A:$E,4,0))</f>
        <v>通信費</v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9"/>
        <v>0</v>
      </c>
      <c r="S99" s="201" t="s">
        <v>743</v>
      </c>
      <c r="T99" s="202"/>
      <c r="U99" s="246"/>
      <c r="V99" s="246"/>
      <c r="W99" s="246"/>
      <c r="BA99"/>
      <c r="BB99"/>
      <c r="BD99" s="191" t="s">
        <v>697</v>
      </c>
    </row>
    <row r="100" spans="1:56" s="191" customFormat="1" ht="13">
      <c r="A100" s="226"/>
      <c r="B100" s="180">
        <v>6005136626</v>
      </c>
      <c r="C100" s="183" t="str">
        <f>IFERROR(IF(VLOOKUP($B100,勘定科目!$A:$H,HLOOKUP($E$5,勘定科目!$F$1:$H$2,2,0),0)="","",VLOOKUP($B100,勘定科目!$A:$E,2,0)),"")</f>
        <v>通信費（一般）</v>
      </c>
      <c r="D100" s="239" t="str">
        <f>IF(C100="","",VLOOKUP($B100,勘定科目!$A:$E,4,0))</f>
        <v>通信費</v>
      </c>
      <c r="E100" s="245"/>
      <c r="F100" s="194"/>
      <c r="G100" s="247"/>
      <c r="H100" s="247"/>
      <c r="I100" s="247">
        <v>7000000</v>
      </c>
      <c r="J100" s="247"/>
      <c r="K100" s="247"/>
      <c r="L100" s="247"/>
      <c r="M100" s="247"/>
      <c r="N100" s="247"/>
      <c r="O100" s="247"/>
      <c r="P100" s="247"/>
      <c r="Q100" s="247"/>
      <c r="R100" s="200">
        <f t="shared" si="9"/>
        <v>7000000</v>
      </c>
      <c r="S100" s="201" t="s">
        <v>744</v>
      </c>
      <c r="T100" s="202"/>
      <c r="U100" s="246"/>
      <c r="V100" s="246"/>
      <c r="W100" s="246"/>
      <c r="BA100"/>
      <c r="BB100"/>
      <c r="BD100" s="191" t="s">
        <v>697</v>
      </c>
    </row>
    <row r="101" spans="1:56" s="191" customFormat="1" ht="13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9"/>
        <v>0</v>
      </c>
      <c r="S101" s="201"/>
      <c r="T101" s="202"/>
      <c r="U101" s="246"/>
      <c r="V101" s="246"/>
      <c r="W101" s="246"/>
      <c r="BA101"/>
      <c r="BB101"/>
    </row>
    <row r="102" spans="1:56" s="191" customFormat="1" ht="13">
      <c r="A102" s="226"/>
      <c r="B102" s="180">
        <v>6005136657</v>
      </c>
      <c r="C102" s="183" t="str">
        <f>IFERROR(IF(VLOOKUP($B102,勘定科目!$A:$H,HLOOKUP($E$5,勘定科目!$F$1:$H$2,2,0),0)="","",VLOOKUP($B102,勘定科目!$A:$E,2,0)),"")</f>
        <v>郵送代（一般）</v>
      </c>
      <c r="D102" s="239" t="str">
        <f>IF(C102="","",VLOOKUP($B102,勘定科目!$A:$E,4,0))</f>
        <v>通信費</v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9"/>
        <v>0</v>
      </c>
      <c r="S102" s="201" t="s">
        <v>745</v>
      </c>
      <c r="T102" s="202"/>
      <c r="U102" s="246"/>
      <c r="V102" s="246"/>
      <c r="W102" s="246"/>
      <c r="BA102"/>
      <c r="BB102"/>
      <c r="BD102" s="191" t="s">
        <v>697</v>
      </c>
    </row>
    <row r="103" spans="1:56" s="191" customFormat="1" ht="13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9"/>
        <v>0</v>
      </c>
      <c r="S103" s="201"/>
      <c r="T103" s="202"/>
      <c r="U103" s="246"/>
      <c r="V103" s="246"/>
      <c r="W103" s="246"/>
      <c r="BA103"/>
      <c r="BB103"/>
    </row>
    <row r="104" spans="1:56" s="191" customFormat="1" ht="13">
      <c r="A104" s="226"/>
      <c r="B104" s="180">
        <v>8001017111</v>
      </c>
      <c r="C104" s="183" t="str">
        <f>IFERROR(IF(VLOOKUP($B104,勘定科目!$A:$H,HLOOKUP($E$5,勘定科目!$F$1:$H$2,2,0),0)="","",VLOOKUP($B104,勘定科目!$A:$E,2,0)),"")</f>
        <v>固定資産売却益</v>
      </c>
      <c r="D104" s="239" t="str">
        <f>IF(C104="","",VLOOKUP($B104,勘定科目!$A:$E,4,0))</f>
        <v>特別利益</v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9"/>
        <v>0</v>
      </c>
      <c r="S104" s="201" t="s">
        <v>746</v>
      </c>
      <c r="T104" s="202"/>
      <c r="U104" s="246"/>
      <c r="V104" s="246"/>
      <c r="W104" s="246"/>
      <c r="BA104"/>
      <c r="BB104"/>
      <c r="BD104" s="191" t="s">
        <v>716</v>
      </c>
    </row>
    <row r="105" spans="1:56" s="191" customFormat="1" ht="13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9"/>
        <v>0</v>
      </c>
      <c r="S105" s="201"/>
      <c r="T105" s="202"/>
      <c r="U105" s="246"/>
      <c r="V105" s="246"/>
      <c r="W105" s="246"/>
      <c r="BA105"/>
      <c r="BB105"/>
    </row>
    <row r="106" spans="1:56" s="191" customFormat="1" ht="13">
      <c r="A106" s="226"/>
      <c r="B106" s="180">
        <v>7001065118</v>
      </c>
      <c r="C106" s="183" t="str">
        <f>IFERROR(IF(VLOOKUP($B106,勘定科目!$A:$H,HLOOKUP($E$5,勘定科目!$F$1:$H$2,2,0),0)="","",VLOOKUP($B106,勘定科目!$A:$E,2,0)),"")</f>
        <v>雑収入</v>
      </c>
      <c r="D106" s="239" t="str">
        <f>IF(C106="","",VLOOKUP($B106,勘定科目!$A:$E,4,0))</f>
        <v>雑収入</v>
      </c>
      <c r="E106" s="245"/>
      <c r="F106" s="194">
        <v>-514378900</v>
      </c>
      <c r="G106" s="247">
        <v>-514378900</v>
      </c>
      <c r="H106" s="247">
        <v>-514378900</v>
      </c>
      <c r="I106" s="247">
        <v>-514378900</v>
      </c>
      <c r="J106" s="247">
        <v>-514378900</v>
      </c>
      <c r="K106" s="247">
        <v>-514378900</v>
      </c>
      <c r="L106" s="247">
        <v>-514378900</v>
      </c>
      <c r="M106" s="247">
        <v>-514378900</v>
      </c>
      <c r="N106" s="247">
        <v>-514378900</v>
      </c>
      <c r="O106" s="247">
        <v>-514378900</v>
      </c>
      <c r="P106" s="247">
        <v>-514378900</v>
      </c>
      <c r="Q106" s="247">
        <v>-514378900</v>
      </c>
      <c r="R106" s="200">
        <f t="shared" si="9"/>
        <v>-6172546800</v>
      </c>
      <c r="S106" s="201" t="s">
        <v>747</v>
      </c>
      <c r="T106" s="202"/>
      <c r="U106" s="246"/>
      <c r="V106" s="246"/>
      <c r="W106" s="246"/>
      <c r="BA106"/>
      <c r="BB106"/>
      <c r="BD106" s="191" t="s">
        <v>716</v>
      </c>
    </row>
    <row r="107" spans="1:56" s="191" customFormat="1" ht="13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9"/>
        <v>0</v>
      </c>
      <c r="S107" s="201"/>
      <c r="T107" s="202"/>
      <c r="U107" s="246"/>
      <c r="V107" s="246"/>
      <c r="W107" s="246"/>
      <c r="BA107"/>
      <c r="BB107"/>
    </row>
    <row r="108" spans="1:56" s="191" customFormat="1" ht="13">
      <c r="A108" s="226"/>
      <c r="B108" s="180">
        <v>6006016628</v>
      </c>
      <c r="C108" s="183" t="str">
        <f>IFERROR(IF(VLOOKUP($B108,勘定科目!$A:$H,HLOOKUP($E$5,勘定科目!$F$1:$H$2,2,0),0)="","",VLOOKUP($B108,勘定科目!$A:$E,2,0)),"")</f>
        <v>減価償却費配賦（一般）　建物</v>
      </c>
      <c r="D108" s="239" t="str">
        <f>IF(C108="","",VLOOKUP($B108,勘定科目!$A:$E,4,0))</f>
        <v>減価償却費</v>
      </c>
      <c r="E108" s="245"/>
      <c r="F108" s="194">
        <v>2884558</v>
      </c>
      <c r="G108" s="247">
        <v>3346910</v>
      </c>
      <c r="H108" s="247">
        <v>3347925</v>
      </c>
      <c r="I108" s="247">
        <v>3344371</v>
      </c>
      <c r="J108" s="247">
        <v>3343101</v>
      </c>
      <c r="K108" s="247">
        <v>3291560</v>
      </c>
      <c r="L108" s="247">
        <v>3276580</v>
      </c>
      <c r="M108" s="247">
        <v>3276072</v>
      </c>
      <c r="N108" s="247">
        <v>3276326</v>
      </c>
      <c r="O108" s="247">
        <v>3275056</v>
      </c>
      <c r="P108" s="247">
        <v>3273279</v>
      </c>
      <c r="Q108" s="247">
        <v>3275310</v>
      </c>
      <c r="R108" s="200">
        <f t="shared" si="9"/>
        <v>39211048</v>
      </c>
      <c r="S108" s="302" t="s">
        <v>748</v>
      </c>
      <c r="T108" s="202"/>
      <c r="U108" s="246"/>
      <c r="V108" s="246"/>
      <c r="W108" s="246"/>
      <c r="BA108"/>
      <c r="BB108"/>
      <c r="BD108" s="191" t="s">
        <v>697</v>
      </c>
    </row>
    <row r="109" spans="1:56" s="191" customFormat="1" ht="13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9"/>
        <v>0</v>
      </c>
      <c r="S109" s="201"/>
      <c r="T109" s="202"/>
      <c r="U109" s="246"/>
      <c r="V109" s="246"/>
      <c r="W109" s="246"/>
      <c r="BA109"/>
      <c r="BB109"/>
    </row>
    <row r="110" spans="1:56" s="191" customFormat="1" ht="13">
      <c r="A110" s="226"/>
      <c r="B110" s="180">
        <v>6006016629</v>
      </c>
      <c r="C110" s="183" t="str">
        <f>IFERROR(IF(VLOOKUP($B110,勘定科目!$A:$H,HLOOKUP($E$5,勘定科目!$F$1:$H$2,2,0),0)="","",VLOOKUP($B110,勘定科目!$A:$E,2,0)),"")</f>
        <v>減価償却費配賦（一般）　土地使用権</v>
      </c>
      <c r="D110" s="239" t="str">
        <f>IF(C110="","",VLOOKUP($B110,勘定科目!$A:$E,4,0))</f>
        <v>減価償却費</v>
      </c>
      <c r="E110" s="245"/>
      <c r="F110" s="194">
        <v>194741</v>
      </c>
      <c r="G110" s="247">
        <v>225971</v>
      </c>
      <c r="H110" s="247">
        <v>225971</v>
      </c>
      <c r="I110" s="247">
        <v>225717</v>
      </c>
      <c r="J110" s="247">
        <v>225717</v>
      </c>
      <c r="K110" s="247">
        <v>222163</v>
      </c>
      <c r="L110" s="247">
        <v>221147</v>
      </c>
      <c r="M110" s="247">
        <v>221147</v>
      </c>
      <c r="N110" s="247">
        <v>221147</v>
      </c>
      <c r="O110" s="247">
        <v>221147</v>
      </c>
      <c r="P110" s="247">
        <v>220893</v>
      </c>
      <c r="Q110" s="247">
        <v>221147</v>
      </c>
      <c r="R110" s="200">
        <f t="shared" si="9"/>
        <v>2646908</v>
      </c>
      <c r="S110" s="302" t="s">
        <v>749</v>
      </c>
      <c r="T110" s="202"/>
      <c r="U110" s="246"/>
      <c r="V110" s="246"/>
      <c r="W110" s="246"/>
      <c r="BA110"/>
      <c r="BB110"/>
      <c r="BD110" s="191" t="s">
        <v>697</v>
      </c>
    </row>
    <row r="111" spans="1:56" s="191" customFormat="1" ht="13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9"/>
        <v>0</v>
      </c>
      <c r="S111" s="201"/>
      <c r="T111" s="202"/>
      <c r="U111" s="246"/>
      <c r="V111" s="246"/>
      <c r="W111" s="246"/>
      <c r="BA111"/>
      <c r="BB111"/>
    </row>
    <row r="112" spans="1:56" s="191" customFormat="1" ht="13">
      <c r="A112" s="226"/>
      <c r="B112" s="180">
        <v>6005146627</v>
      </c>
      <c r="C112" s="183" t="str">
        <f>IFERROR(IF(VLOOKUP($B112,勘定科目!$A:$H,HLOOKUP($E$5,勘定科目!$F$1:$H$2,2,0),0)="","",VLOOKUP($B112,勘定科目!$A:$E,2,0)),"")</f>
        <v>図書印刷費（一般）</v>
      </c>
      <c r="D112" s="239" t="str">
        <f>IF(C112="","",VLOOKUP($B112,勘定科目!$A:$E,4,0))</f>
        <v>図書及び事務費</v>
      </c>
      <c r="E112" s="245"/>
      <c r="F112" s="194"/>
      <c r="G112" s="247"/>
      <c r="H112" s="247"/>
      <c r="I112" s="247"/>
      <c r="J112" s="247"/>
      <c r="K112" s="247"/>
      <c r="L112" s="247"/>
      <c r="M112" s="247">
        <f>7*800</f>
        <v>5600</v>
      </c>
      <c r="N112" s="247"/>
      <c r="O112" s="247"/>
      <c r="P112" s="247"/>
      <c r="Q112" s="247"/>
      <c r="R112" s="200">
        <f t="shared" si="9"/>
        <v>5600</v>
      </c>
      <c r="S112" s="201" t="s">
        <v>750</v>
      </c>
      <c r="T112" s="202"/>
      <c r="U112" s="246"/>
      <c r="V112" s="246"/>
      <c r="W112" s="246"/>
      <c r="BA112"/>
      <c r="BB112"/>
      <c r="BD112" s="191" t="s">
        <v>697</v>
      </c>
    </row>
    <row r="113" spans="1:60" s="191" customFormat="1" ht="13">
      <c r="A113" s="226"/>
      <c r="B113" s="180">
        <v>6005146627</v>
      </c>
      <c r="C113" s="183" t="str">
        <f>IFERROR(IF(VLOOKUP($B113,勘定科目!$A:$H,HLOOKUP($E$5,勘定科目!$F$1:$H$2,2,0),0)="","",VLOOKUP($B113,勘定科目!$A:$E,2,0)),"")</f>
        <v>図書印刷費（一般）</v>
      </c>
      <c r="D113" s="239" t="str">
        <f>IF(C113="","",VLOOKUP($B113,勘定科目!$A:$E,4,0))</f>
        <v>図書及び事務費</v>
      </c>
      <c r="E113" s="245"/>
      <c r="F113" s="194"/>
      <c r="G113" s="247">
        <v>27200</v>
      </c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9"/>
        <v>27200</v>
      </c>
      <c r="S113" s="201" t="s">
        <v>751</v>
      </c>
      <c r="T113" s="202"/>
      <c r="U113" s="246"/>
      <c r="V113" s="246"/>
      <c r="W113" s="246"/>
      <c r="BA113"/>
      <c r="BB113"/>
      <c r="BD113" s="191" t="s">
        <v>697</v>
      </c>
    </row>
    <row r="114" spans="1:60" s="191" customFormat="1" ht="13">
      <c r="A114" s="226"/>
      <c r="B114" s="180">
        <v>6005146627</v>
      </c>
      <c r="C114" s="183" t="str">
        <f>IFERROR(IF(VLOOKUP($B114,勘定科目!$A:$H,HLOOKUP($E$5,勘定科目!$F$1:$H$2,2,0),0)="","",VLOOKUP($B114,勘定科目!$A:$E,2,0)),"")</f>
        <v>図書印刷費（一般）</v>
      </c>
      <c r="D114" s="239" t="str">
        <f>IF(C114="","",VLOOKUP($B114,勘定科目!$A:$E,4,0))</f>
        <v>図書及び事務費</v>
      </c>
      <c r="E114" s="245"/>
      <c r="F114" s="194"/>
      <c r="G114" s="247">
        <v>58000</v>
      </c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9"/>
        <v>58000</v>
      </c>
      <c r="S114" s="201" t="s">
        <v>752</v>
      </c>
      <c r="T114" s="202"/>
      <c r="U114" s="246"/>
      <c r="V114" s="246"/>
      <c r="W114" s="246"/>
      <c r="BA114"/>
      <c r="BB114"/>
      <c r="BD114" s="191" t="s">
        <v>697</v>
      </c>
    </row>
    <row r="115" spans="1:60" s="191" customFormat="1" ht="13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9"/>
        <v>0</v>
      </c>
      <c r="S115" s="201" t="s">
        <v>734</v>
      </c>
      <c r="T115" s="202"/>
      <c r="U115" s="246"/>
      <c r="V115" s="246"/>
      <c r="W115" s="246"/>
      <c r="BA115"/>
      <c r="BB115"/>
    </row>
    <row r="116" spans="1:60" s="191" customFormat="1" ht="13">
      <c r="A116" s="226"/>
      <c r="B116" s="180">
        <v>6004086651</v>
      </c>
      <c r="C116" s="183" t="str">
        <f>IFERROR(IF(VLOOKUP($B116,勘定科目!$A:$H,HLOOKUP($E$5,勘定科目!$F$1:$H$2,2,0),0)="","",VLOOKUP($B116,勘定科目!$A:$E,2,0)),"")</f>
        <v>福利厚生費（一般）</v>
      </c>
      <c r="D116" s="239" t="str">
        <f>IF(C116="","",VLOOKUP($B116,勘定科目!$A:$E,4,0))</f>
        <v>福利厚生費</v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9"/>
        <v>0</v>
      </c>
      <c r="S116" s="201" t="s">
        <v>753</v>
      </c>
      <c r="T116" s="202"/>
      <c r="U116" s="246"/>
      <c r="V116" s="246"/>
      <c r="W116" s="246"/>
      <c r="BA116"/>
      <c r="BB116"/>
      <c r="BD116" s="191" t="s">
        <v>697</v>
      </c>
    </row>
    <row r="117" spans="1:60" s="191" customFormat="1" ht="13">
      <c r="A117" s="226"/>
      <c r="B117" s="180">
        <v>6004086651</v>
      </c>
      <c r="C117" s="183" t="str">
        <f>IFERROR(IF(VLOOKUP($B117,勘定科目!$A:$H,HLOOKUP($E$5,勘定科目!$F$1:$H$2,2,0),0)="","",VLOOKUP($B117,勘定科目!$A:$E,2,0)),"")</f>
        <v>福利厚生費（一般）</v>
      </c>
      <c r="D117" s="239" t="str">
        <f>IF(C117="","",VLOOKUP($B117,勘定科目!$A:$E,4,0))</f>
        <v>福利厚生費</v>
      </c>
      <c r="E117" s="245"/>
      <c r="F117" s="194"/>
      <c r="G117" s="247">
        <f>165000*2+116000*2+33500+82000</f>
        <v>677500</v>
      </c>
      <c r="H117" s="247"/>
      <c r="I117" s="247"/>
      <c r="J117" s="247"/>
      <c r="K117" s="247"/>
      <c r="L117" s="247">
        <f>175000*2</f>
        <v>350000</v>
      </c>
      <c r="M117" s="247"/>
      <c r="N117" s="247"/>
      <c r="O117" s="247"/>
      <c r="P117" s="247"/>
      <c r="Q117" s="247"/>
      <c r="R117" s="200">
        <f t="shared" si="9"/>
        <v>1027500</v>
      </c>
      <c r="S117" s="201" t="s">
        <v>754</v>
      </c>
      <c r="T117" s="202"/>
      <c r="U117" s="246"/>
      <c r="V117" s="246"/>
      <c r="W117" s="246"/>
      <c r="BA117"/>
      <c r="BB117"/>
      <c r="BD117" s="191" t="s">
        <v>697</v>
      </c>
    </row>
    <row r="118" spans="1:60" s="191" customFormat="1" ht="13">
      <c r="A118" s="226"/>
      <c r="B118" s="180">
        <v>6004086651</v>
      </c>
      <c r="C118" s="183" t="str">
        <f>IFERROR(IF(VLOOKUP($B118,勘定科目!$A:$H,HLOOKUP($E$5,勘定科目!$F$1:$H$2,2,0),0)="","",VLOOKUP($B118,勘定科目!$A:$E,2,0)),"")</f>
        <v>福利厚生費（一般）</v>
      </c>
      <c r="D118" s="239" t="str">
        <f>IF(C118="","",VLOOKUP($B118,勘定科目!$A:$E,4,0))</f>
        <v>福利厚生費</v>
      </c>
      <c r="E118" s="245"/>
      <c r="F118" s="194">
        <f>6*2*(165000+175000)</f>
        <v>4080000</v>
      </c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9"/>
        <v>4080000</v>
      </c>
      <c r="S118" s="201" t="s">
        <v>755</v>
      </c>
      <c r="T118" s="202"/>
      <c r="U118" s="246"/>
      <c r="V118" s="246"/>
      <c r="W118" s="246"/>
      <c r="BA118"/>
      <c r="BB118"/>
      <c r="BD118" s="191" t="s">
        <v>697</v>
      </c>
    </row>
    <row r="119" spans="1:60" s="191" customFormat="1" ht="13">
      <c r="A119" s="226"/>
      <c r="B119" s="180">
        <v>6004086651</v>
      </c>
      <c r="C119" s="183" t="str">
        <f>IFERROR(IF(VLOOKUP($B119,勘定科目!$A:$H,HLOOKUP($E$5,勘定科目!$F$1:$H$2,2,0),0)="","",VLOOKUP($B119,勘定科目!$A:$E,2,0)),"")</f>
        <v>福利厚生費（一般）</v>
      </c>
      <c r="D119" s="239" t="str">
        <f>IF(C119="","",VLOOKUP($B119,勘定科目!$A:$E,4,0))</f>
        <v>福利厚生費</v>
      </c>
      <c r="E119" s="245"/>
      <c r="F119" s="194"/>
      <c r="G119" s="247"/>
      <c r="H119" s="247">
        <v>190000</v>
      </c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si="9"/>
        <v>190000</v>
      </c>
      <c r="S119" s="201" t="s">
        <v>756</v>
      </c>
      <c r="T119" s="202"/>
      <c r="U119" s="246"/>
      <c r="V119" s="246"/>
      <c r="W119" s="246"/>
      <c r="BA119"/>
      <c r="BB119"/>
      <c r="BD119" s="191" t="s">
        <v>697</v>
      </c>
    </row>
    <row r="120" spans="1:60" s="191" customFormat="1" ht="13">
      <c r="A120" s="226"/>
      <c r="B120" s="180">
        <v>6004086651</v>
      </c>
      <c r="C120" s="183" t="str">
        <f>IFERROR(IF(VLOOKUP($B120,勘定科目!$A:$H,HLOOKUP($E$5,勘定科目!$F$1:$H$2,2,0),0)="","",VLOOKUP($B120,勘定科目!$A:$E,2,0)),"")</f>
        <v>福利厚生費（一般）</v>
      </c>
      <c r="D120" s="239" t="str">
        <f>IF(C120="","",VLOOKUP($B120,勘定科目!$A:$E,4,0))</f>
        <v>福利厚生費</v>
      </c>
      <c r="E120" s="245"/>
      <c r="F120" s="194"/>
      <c r="G120" s="247"/>
      <c r="H120" s="247">
        <v>163000</v>
      </c>
      <c r="I120" s="247">
        <v>163000</v>
      </c>
      <c r="J120" s="247">
        <f>163000*3</f>
        <v>489000</v>
      </c>
      <c r="K120" s="247"/>
      <c r="L120" s="247"/>
      <c r="M120" s="247"/>
      <c r="N120" s="247"/>
      <c r="O120" s="247"/>
      <c r="P120" s="247">
        <v>163000</v>
      </c>
      <c r="Q120" s="247"/>
      <c r="R120" s="200">
        <f t="shared" si="9"/>
        <v>978000</v>
      </c>
      <c r="S120" s="201" t="s">
        <v>757</v>
      </c>
      <c r="T120" s="202"/>
      <c r="U120" s="246"/>
      <c r="V120" s="246"/>
      <c r="W120" s="246"/>
      <c r="BA120"/>
      <c r="BB120"/>
      <c r="BD120" s="191" t="s">
        <v>697</v>
      </c>
    </row>
    <row r="121" spans="1:60" s="191" customFormat="1" ht="13">
      <c r="A121" s="226"/>
      <c r="B121" s="180">
        <v>6004086651</v>
      </c>
      <c r="C121" s="183" t="str">
        <f>IFERROR(IF(VLOOKUP($B121,勘定科目!$A:$H,HLOOKUP($E$5,勘定科目!$F$1:$H$2,2,0),0)="","",VLOOKUP($B121,勘定科目!$A:$E,2,0)),"")</f>
        <v>福利厚生費（一般）</v>
      </c>
      <c r="D121" s="239" t="str">
        <f>IF(C121="","",VLOOKUP($B121,勘定科目!$A:$E,4,0))</f>
        <v>福利厚生費</v>
      </c>
      <c r="E121" s="245"/>
      <c r="F121" s="194">
        <v>2749356</v>
      </c>
      <c r="G121" s="247">
        <v>3173494</v>
      </c>
      <c r="H121" s="247">
        <v>2836954</v>
      </c>
      <c r="I121" s="247">
        <v>2974926</v>
      </c>
      <c r="J121" s="247">
        <v>3176668</v>
      </c>
      <c r="K121" s="247">
        <v>3187026</v>
      </c>
      <c r="L121" s="247">
        <v>2389470</v>
      </c>
      <c r="M121" s="247">
        <v>2905234</v>
      </c>
      <c r="N121" s="247">
        <v>2931184</v>
      </c>
      <c r="O121" s="247">
        <v>2757850</v>
      </c>
      <c r="P121" s="247">
        <v>2506718</v>
      </c>
      <c r="Q121" s="247">
        <v>2592456</v>
      </c>
      <c r="R121" s="200">
        <f t="shared" si="9"/>
        <v>34181336</v>
      </c>
      <c r="S121" s="201" t="s">
        <v>758</v>
      </c>
      <c r="T121" s="202"/>
      <c r="U121" s="246"/>
      <c r="V121" s="246"/>
      <c r="W121" s="246"/>
      <c r="BA121"/>
      <c r="BB121"/>
      <c r="BD121" s="191" t="s">
        <v>694</v>
      </c>
      <c r="BH121" s="191">
        <v>7784400</v>
      </c>
    </row>
    <row r="122" spans="1:60" s="191" customFormat="1" ht="13">
      <c r="A122" s="226"/>
      <c r="B122" s="180">
        <v>6004086651</v>
      </c>
      <c r="C122" s="183" t="str">
        <f>IFERROR(IF(VLOOKUP($B122,勘定科目!$A:$H,HLOOKUP($E$5,勘定科目!$F$1:$H$2,2,0),0)="","",VLOOKUP($B122,勘定科目!$A:$E,2,0)),"")</f>
        <v>福利厚生費（一般）</v>
      </c>
      <c r="D122" s="239" t="str">
        <f>IF(C122="","",VLOOKUP($B122,勘定科目!$A:$E,4,0))</f>
        <v>福利厚生費</v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9"/>
        <v>0</v>
      </c>
      <c r="S122" s="201" t="s">
        <v>759</v>
      </c>
      <c r="T122" s="202"/>
      <c r="U122" s="246"/>
      <c r="V122" s="246"/>
      <c r="W122" s="246"/>
      <c r="BA122"/>
      <c r="BB122"/>
      <c r="BD122" s="191" t="s">
        <v>694</v>
      </c>
    </row>
    <row r="123" spans="1:60" s="191" customFormat="1" ht="13">
      <c r="A123" s="226"/>
      <c r="B123" s="180">
        <v>6004086651</v>
      </c>
      <c r="C123" s="183" t="str">
        <f>IFERROR(IF(VLOOKUP($B123,勘定科目!$A:$H,HLOOKUP($E$5,勘定科目!$F$1:$H$2,2,0),0)="","",VLOOKUP($B123,勘定科目!$A:$E,2,0)),"")</f>
        <v>福利厚生費（一般）</v>
      </c>
      <c r="D123" s="239" t="str">
        <f>IF(C123="","",VLOOKUP($B123,勘定科目!$A:$E,4,0))</f>
        <v>福利厚生費</v>
      </c>
      <c r="E123" s="245"/>
      <c r="F123" s="194">
        <v>748000</v>
      </c>
      <c r="G123" s="247">
        <v>763266</v>
      </c>
      <c r="H123" s="247">
        <v>740817</v>
      </c>
      <c r="I123" s="247">
        <v>740817</v>
      </c>
      <c r="J123" s="247">
        <v>808164</v>
      </c>
      <c r="K123" s="247">
        <v>763266</v>
      </c>
      <c r="L123" s="247">
        <v>763266</v>
      </c>
      <c r="M123" s="247">
        <v>808164</v>
      </c>
      <c r="N123" s="247">
        <v>763266</v>
      </c>
      <c r="O123" s="247">
        <v>763266</v>
      </c>
      <c r="P123" s="247">
        <v>763266</v>
      </c>
      <c r="Q123" s="247">
        <v>477552</v>
      </c>
      <c r="R123" s="200">
        <f t="shared" si="9"/>
        <v>8903110</v>
      </c>
      <c r="S123" s="201" t="s">
        <v>760</v>
      </c>
      <c r="T123" s="202"/>
      <c r="U123" s="246"/>
      <c r="V123" s="246"/>
      <c r="W123" s="246"/>
      <c r="BA123"/>
      <c r="BB123"/>
      <c r="BD123" s="191" t="s">
        <v>694</v>
      </c>
    </row>
    <row r="124" spans="1:60" s="191" customFormat="1" ht="13">
      <c r="A124" s="226"/>
      <c r="B124" s="180">
        <v>6004086651</v>
      </c>
      <c r="C124" s="183" t="str">
        <f>IFERROR(IF(VLOOKUP($B124,勘定科目!$A:$H,HLOOKUP($E$5,勘定科目!$F$1:$H$2,2,0),0)="","",VLOOKUP($B124,勘定科目!$A:$E,2,0)),"")</f>
        <v>福利厚生費（一般）</v>
      </c>
      <c r="D124" s="239" t="str">
        <f>IF(C124="","",VLOOKUP($B124,勘定科目!$A:$E,4,0))</f>
        <v>福利厚生費</v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9"/>
        <v>0</v>
      </c>
      <c r="S124" s="201" t="s">
        <v>761</v>
      </c>
      <c r="T124" s="202"/>
      <c r="U124" s="246"/>
      <c r="V124" s="246"/>
      <c r="W124" s="246"/>
      <c r="BA124"/>
      <c r="BB124"/>
      <c r="BD124" s="191" t="s">
        <v>694</v>
      </c>
    </row>
    <row r="125" spans="1:60" s="191" customFormat="1" ht="13">
      <c r="A125" s="226"/>
      <c r="B125" s="180">
        <v>6004086651</v>
      </c>
      <c r="C125" s="183" t="str">
        <f>IFERROR(IF(VLOOKUP($B125,勘定科目!$A:$H,HLOOKUP($E$5,勘定科目!$F$1:$H$2,2,0),0)="","",VLOOKUP($B125,勘定科目!$A:$E,2,0)),"")</f>
        <v>福利厚生費（一般）</v>
      </c>
      <c r="D125" s="239" t="str">
        <f>IF(C125="","",VLOOKUP($B125,勘定科目!$A:$E,4,0))</f>
        <v>福利厚生費</v>
      </c>
      <c r="E125" s="245"/>
      <c r="F125" s="194"/>
      <c r="G125" s="247"/>
      <c r="H125" s="247"/>
      <c r="I125" s="247"/>
      <c r="J125" s="247"/>
      <c r="K125" s="247">
        <f>126000*7</f>
        <v>882000</v>
      </c>
      <c r="L125" s="247"/>
      <c r="M125" s="247"/>
      <c r="N125" s="247"/>
      <c r="O125" s="247"/>
      <c r="P125" s="247"/>
      <c r="Q125" s="247"/>
      <c r="R125" s="200">
        <f t="shared" si="9"/>
        <v>882000</v>
      </c>
      <c r="S125" s="201" t="s">
        <v>762</v>
      </c>
      <c r="T125" s="202"/>
      <c r="U125" s="246"/>
      <c r="V125" s="246"/>
      <c r="W125" s="246"/>
      <c r="BA125"/>
      <c r="BB125"/>
      <c r="BD125" s="191" t="s">
        <v>697</v>
      </c>
    </row>
    <row r="126" spans="1:60" s="191" customFormat="1" ht="13">
      <c r="A126" s="226"/>
      <c r="B126" s="180">
        <v>6004086651</v>
      </c>
      <c r="C126" s="183" t="str">
        <f>IFERROR(IF(VLOOKUP($B126,勘定科目!$A:$H,HLOOKUP($E$5,勘定科目!$F$1:$H$2,2,0),0)="","",VLOOKUP($B126,勘定科目!$A:$E,2,0)),"")</f>
        <v>福利厚生費（一般）</v>
      </c>
      <c r="D126" s="239" t="str">
        <f>IF(C126="","",VLOOKUP($B126,勘定科目!$A:$E,4,0))</f>
        <v>福利厚生費</v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>
        <f>100000*6</f>
        <v>600000</v>
      </c>
      <c r="Q126" s="247"/>
      <c r="R126" s="200">
        <f t="shared" si="9"/>
        <v>600000</v>
      </c>
      <c r="S126" s="201" t="s">
        <v>763</v>
      </c>
      <c r="T126" s="202"/>
      <c r="U126" s="246"/>
      <c r="V126" s="246"/>
      <c r="W126" s="246"/>
      <c r="BA126"/>
      <c r="BB126"/>
      <c r="BD126" s="191" t="s">
        <v>697</v>
      </c>
    </row>
    <row r="127" spans="1:60" s="191" customFormat="1" ht="13">
      <c r="A127" s="226"/>
      <c r="B127" s="180">
        <v>6004086651</v>
      </c>
      <c r="C127" s="183" t="str">
        <f>IFERROR(IF(VLOOKUP($B127,勘定科目!$A:$H,HLOOKUP($E$5,勘定科目!$F$1:$H$2,2,0),0)="","",VLOOKUP($B127,勘定科目!$A:$E,2,0)),"")</f>
        <v>福利厚生費（一般）</v>
      </c>
      <c r="D127" s="239" t="str">
        <f>IF(C127="","",VLOOKUP($B127,勘定科目!$A:$E,4,0))</f>
        <v>福利厚生費</v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>
        <f>300000*7</f>
        <v>2100000</v>
      </c>
      <c r="R127" s="200">
        <f t="shared" si="9"/>
        <v>2100000</v>
      </c>
      <c r="S127" s="201" t="s">
        <v>764</v>
      </c>
      <c r="T127" s="202"/>
      <c r="U127" s="246"/>
      <c r="V127" s="246"/>
      <c r="W127" s="246"/>
      <c r="BA127"/>
      <c r="BB127"/>
      <c r="BD127" s="191" t="s">
        <v>697</v>
      </c>
    </row>
    <row r="128" spans="1:60" s="191" customFormat="1" ht="13">
      <c r="A128" s="226"/>
      <c r="B128" s="180">
        <v>6004086651</v>
      </c>
      <c r="C128" s="183" t="str">
        <f>IFERROR(IF(VLOOKUP($B128,勘定科目!$A:$H,HLOOKUP($E$5,勘定科目!$F$1:$H$2,2,0),0)="","",VLOOKUP($B128,勘定科目!$A:$E,2,0)),"")</f>
        <v>福利厚生費（一般）</v>
      </c>
      <c r="D128" s="239" t="str">
        <f>IF(C128="","",VLOOKUP($B128,勘定科目!$A:$E,4,0))</f>
        <v>福利厚生費</v>
      </c>
      <c r="E128" s="245"/>
      <c r="F128" s="194"/>
      <c r="G128" s="247"/>
      <c r="H128" s="247"/>
      <c r="I128" s="247"/>
      <c r="J128" s="247"/>
      <c r="K128" s="247"/>
      <c r="L128" s="247"/>
      <c r="M128" s="247">
        <f>107000*7</f>
        <v>749000</v>
      </c>
      <c r="N128" s="247"/>
      <c r="O128" s="247"/>
      <c r="P128" s="247"/>
      <c r="Q128" s="247"/>
      <c r="R128" s="200">
        <f t="shared" si="9"/>
        <v>749000</v>
      </c>
      <c r="S128" s="201" t="s">
        <v>765</v>
      </c>
      <c r="T128" s="202"/>
      <c r="U128" s="246"/>
      <c r="V128" s="246"/>
      <c r="W128" s="246"/>
      <c r="BA128"/>
      <c r="BB128"/>
      <c r="BD128" s="191" t="s">
        <v>697</v>
      </c>
    </row>
    <row r="129" spans="1:56" s="191" customFormat="1" ht="13">
      <c r="A129" s="226"/>
      <c r="B129" s="180">
        <v>6004086651</v>
      </c>
      <c r="C129" s="183" t="str">
        <f>IFERROR(IF(VLOOKUP($B129,勘定科目!$A:$H,HLOOKUP($E$5,勘定科目!$F$1:$H$2,2,0),0)="","",VLOOKUP($B129,勘定科目!$A:$E,2,0)),"")</f>
        <v>福利厚生費（一般）</v>
      </c>
      <c r="D129" s="239" t="str">
        <f>IF(C129="","",VLOOKUP($B129,勘定科目!$A:$E,4,0))</f>
        <v>福利厚生費</v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9"/>
        <v>0</v>
      </c>
      <c r="S129" s="201" t="s">
        <v>766</v>
      </c>
      <c r="T129" s="202"/>
      <c r="U129" s="246"/>
      <c r="V129" s="246"/>
      <c r="W129" s="246"/>
      <c r="BA129"/>
      <c r="BB129"/>
      <c r="BD129" s="191" t="s">
        <v>697</v>
      </c>
    </row>
    <row r="130" spans="1:56" s="191" customFormat="1" ht="13">
      <c r="A130" s="226"/>
      <c r="B130" s="180">
        <v>6004086651</v>
      </c>
      <c r="C130" s="183" t="str">
        <f>IFERROR(IF(VLOOKUP($B130,勘定科目!$A:$H,HLOOKUP($E$5,勘定科目!$F$1:$H$2,2,0),0)="","",VLOOKUP($B130,勘定科目!$A:$E,2,0)),"")</f>
        <v>福利厚生費（一般）</v>
      </c>
      <c r="D130" s="239" t="str">
        <f>IF(C130="","",VLOOKUP($B130,勘定科目!$A:$E,4,0))</f>
        <v>福利厚生費</v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9"/>
        <v>0</v>
      </c>
      <c r="S130" s="201" t="s">
        <v>767</v>
      </c>
      <c r="T130" s="202"/>
      <c r="U130" s="246"/>
      <c r="V130" s="246"/>
      <c r="W130" s="246"/>
      <c r="BA130"/>
      <c r="BB130"/>
      <c r="BD130" s="191" t="s">
        <v>697</v>
      </c>
    </row>
    <row r="131" spans="1:56" s="191" customFormat="1" ht="13">
      <c r="A131" s="226"/>
      <c r="B131" s="180">
        <v>6004086651</v>
      </c>
      <c r="C131" s="183" t="str">
        <f>IFERROR(IF(VLOOKUP($B131,勘定科目!$A:$H,HLOOKUP($E$5,勘定科目!$F$1:$H$2,2,0),0)="","",VLOOKUP($B131,勘定科目!$A:$E,2,0)),"")</f>
        <v>福利厚生費（一般）</v>
      </c>
      <c r="D131" s="239" t="str">
        <f>IF(C131="","",VLOOKUP($B131,勘定科目!$A:$E,4,0))</f>
        <v>福利厚生費</v>
      </c>
      <c r="E131" s="245"/>
      <c r="F131" s="194"/>
      <c r="G131" s="194">
        <f>200000*7</f>
        <v>1400000</v>
      </c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9"/>
        <v>1400000</v>
      </c>
      <c r="S131" s="201" t="s">
        <v>768</v>
      </c>
      <c r="T131" s="202"/>
      <c r="U131" s="246"/>
      <c r="V131" s="246"/>
      <c r="W131" s="246"/>
      <c r="BA131"/>
      <c r="BB131"/>
      <c r="BD131" s="191" t="s">
        <v>697</v>
      </c>
    </row>
    <row r="132" spans="1:56" s="191" customFormat="1" ht="13">
      <c r="A132" s="226"/>
      <c r="B132" s="180">
        <v>6004086651</v>
      </c>
      <c r="C132" s="183" t="str">
        <f>IFERROR(IF(VLOOKUP($B132,勘定科目!$A:$H,HLOOKUP($E$5,勘定科目!$F$1:$H$2,2,0),0)="","",VLOOKUP($B132,勘定科目!$A:$E,2,0)),"")</f>
        <v>福利厚生費（一般）</v>
      </c>
      <c r="D132" s="239" t="str">
        <f>IF(C132="","",VLOOKUP($B132,勘定科目!$A:$E,4,0))</f>
        <v>福利厚生費</v>
      </c>
      <c r="E132" s="245"/>
      <c r="F132" s="194"/>
      <c r="G132" s="247">
        <f>1890000*6</f>
        <v>11340000</v>
      </c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9"/>
        <v>11340000</v>
      </c>
      <c r="S132" s="201" t="s">
        <v>769</v>
      </c>
      <c r="T132" s="202"/>
      <c r="U132" s="246"/>
      <c r="V132" s="246"/>
      <c r="W132" s="246"/>
      <c r="BA132"/>
      <c r="BB132"/>
      <c r="BD132" s="191" t="s">
        <v>697</v>
      </c>
    </row>
    <row r="133" spans="1:56" s="191" customFormat="1" ht="13">
      <c r="A133" s="226"/>
      <c r="B133" s="180">
        <v>6004086651</v>
      </c>
      <c r="C133" s="183" t="str">
        <f>IFERROR(IF(VLOOKUP($B133,勘定科目!$A:$H,HLOOKUP($E$5,勘定科目!$F$1:$H$2,2,0),0)="","",VLOOKUP($B133,勘定科目!$A:$E,2,0)),"")</f>
        <v>福利厚生費（一般）</v>
      </c>
      <c r="D133" s="239" t="str">
        <f>IF(C133="","",VLOOKUP($B133,勘定科目!$A:$E,4,0))</f>
        <v>福利厚生費</v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>
        <f>3*189000+3*204000</f>
        <v>1179000</v>
      </c>
      <c r="O133" s="247"/>
      <c r="P133" s="247"/>
      <c r="Q133" s="247"/>
      <c r="R133" s="200">
        <f t="shared" si="9"/>
        <v>1179000</v>
      </c>
      <c r="S133" s="201" t="s">
        <v>770</v>
      </c>
      <c r="T133" s="202"/>
      <c r="U133" s="246"/>
      <c r="V133" s="246"/>
      <c r="W133" s="246"/>
      <c r="BA133"/>
      <c r="BB133"/>
      <c r="BD133" s="191" t="s">
        <v>697</v>
      </c>
    </row>
    <row r="134" spans="1:56" s="191" customFormat="1" ht="13">
      <c r="A134" s="226"/>
      <c r="B134" s="180">
        <v>6004086651</v>
      </c>
      <c r="C134" s="183" t="str">
        <f>IFERROR(IF(VLOOKUP($B134,勘定科目!$A:$H,HLOOKUP($E$5,勘定科目!$F$1:$H$2,2,0),0)="","",VLOOKUP($B134,勘定科目!$A:$E,2,0)),"")</f>
        <v>福利厚生費（一般）</v>
      </c>
      <c r="D134" s="239" t="str">
        <f>IF(C134="","",VLOOKUP($B134,勘定科目!$A:$E,4,0))</f>
        <v>福利厚生費</v>
      </c>
      <c r="E134" s="245"/>
      <c r="F134" s="194"/>
      <c r="G134" s="247"/>
      <c r="H134" s="247"/>
      <c r="I134" s="247">
        <f>6*100000</f>
        <v>600000</v>
      </c>
      <c r="J134" s="247"/>
      <c r="K134" s="247"/>
      <c r="L134" s="247"/>
      <c r="M134" s="247"/>
      <c r="N134" s="247"/>
      <c r="O134" s="247"/>
      <c r="P134" s="247"/>
      <c r="Q134" s="247"/>
      <c r="R134" s="200">
        <f t="shared" si="9"/>
        <v>600000</v>
      </c>
      <c r="S134" s="201" t="s">
        <v>771</v>
      </c>
      <c r="T134" s="202"/>
      <c r="U134" s="246"/>
      <c r="V134" s="246"/>
      <c r="W134" s="246"/>
      <c r="BA134"/>
      <c r="BB134"/>
      <c r="BD134" s="191" t="s">
        <v>697</v>
      </c>
    </row>
    <row r="135" spans="1:56" s="191" customFormat="1" ht="13">
      <c r="A135" s="226"/>
      <c r="B135" s="180">
        <v>6004086651</v>
      </c>
      <c r="C135" s="183" t="str">
        <f>IFERROR(IF(VLOOKUP($B135,勘定科目!$A:$H,HLOOKUP($E$5,勘定科目!$F$1:$H$2,2,0),0)="","",VLOOKUP($B135,勘定科目!$A:$E,2,0)),"")</f>
        <v>福利厚生費（一般）</v>
      </c>
      <c r="D135" s="239" t="str">
        <f>IF(C135="","",VLOOKUP($B135,勘定科目!$A:$E,4,0))</f>
        <v>福利厚生費</v>
      </c>
      <c r="E135" s="245"/>
      <c r="F135" s="194"/>
      <c r="G135" s="247"/>
      <c r="H135" s="247"/>
      <c r="I135" s="247"/>
      <c r="J135" s="247">
        <v>32924000</v>
      </c>
      <c r="K135" s="247"/>
      <c r="L135" s="247"/>
      <c r="M135" s="247"/>
      <c r="N135" s="247"/>
      <c r="O135" s="247"/>
      <c r="P135" s="247"/>
      <c r="Q135" s="247"/>
      <c r="R135" s="200">
        <f t="shared" si="9"/>
        <v>32924000</v>
      </c>
      <c r="S135" s="201" t="s">
        <v>772</v>
      </c>
      <c r="T135" s="202"/>
      <c r="U135" s="246"/>
      <c r="V135" s="246"/>
      <c r="W135" s="246"/>
      <c r="BA135"/>
      <c r="BB135"/>
      <c r="BD135" s="191" t="s">
        <v>716</v>
      </c>
    </row>
    <row r="136" spans="1:56" s="191" customFormat="1" ht="13">
      <c r="A136" s="226"/>
      <c r="B136" s="180">
        <v>6004086651</v>
      </c>
      <c r="C136" s="183" t="str">
        <f>IFERROR(IF(VLOOKUP($B136,勘定科目!$A:$H,HLOOKUP($E$5,勘定科目!$F$1:$H$2,2,0),0)="","",VLOOKUP($B136,勘定科目!$A:$E,2,0)),"")</f>
        <v>福利厚生費（一般）</v>
      </c>
      <c r="D136" s="239" t="str">
        <f>IF(C136="","",VLOOKUP($B136,勘定科目!$A:$E,4,0))</f>
        <v>福利厚生費</v>
      </c>
      <c r="E136" s="245"/>
      <c r="F136" s="194"/>
      <c r="G136" s="247"/>
      <c r="H136" s="247"/>
      <c r="I136" s="247"/>
      <c r="J136" s="247"/>
      <c r="K136" s="247"/>
      <c r="L136" s="247">
        <f>56000*7</f>
        <v>392000</v>
      </c>
      <c r="M136" s="247"/>
      <c r="N136" s="247"/>
      <c r="O136" s="247"/>
      <c r="P136" s="247"/>
      <c r="Q136" s="247"/>
      <c r="R136" s="200">
        <f t="shared" si="9"/>
        <v>392000</v>
      </c>
      <c r="S136" s="201" t="s">
        <v>773</v>
      </c>
      <c r="T136" s="202"/>
      <c r="U136" s="246"/>
      <c r="V136" s="246"/>
      <c r="W136" s="246"/>
      <c r="BA136"/>
      <c r="BB136"/>
      <c r="BD136" s="191" t="s">
        <v>697</v>
      </c>
    </row>
    <row r="137" spans="1:56" s="191" customFormat="1" ht="13">
      <c r="A137" s="226"/>
      <c r="B137" s="180">
        <v>6004086651</v>
      </c>
      <c r="C137" s="183" t="str">
        <f>IFERROR(IF(VLOOKUP($B137,勘定科目!$A:$H,HLOOKUP($E$5,勘定科目!$F$1:$H$2,2,0),0)="","",VLOOKUP($B137,勘定科目!$A:$E,2,0)),"")</f>
        <v>福利厚生費（一般）</v>
      </c>
      <c r="D137" s="239" t="str">
        <f>IF(C137="","",VLOOKUP($B137,勘定科目!$A:$E,4,0))</f>
        <v>福利厚生費</v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9"/>
        <v>0</v>
      </c>
      <c r="S137" s="201" t="s">
        <v>774</v>
      </c>
      <c r="T137" s="202"/>
      <c r="U137" s="246"/>
      <c r="V137" s="246"/>
      <c r="W137" s="246"/>
      <c r="BA137"/>
      <c r="BB137"/>
      <c r="BD137" s="191" t="s">
        <v>697</v>
      </c>
    </row>
    <row r="138" spans="1:56" s="191" customFormat="1" ht="13">
      <c r="A138" s="226"/>
      <c r="B138" s="180">
        <v>6004086651</v>
      </c>
      <c r="C138" s="183" t="str">
        <f>IFERROR(IF(VLOOKUP($B138,勘定科目!$A:$H,HLOOKUP($E$5,勘定科目!$F$1:$H$2,2,0),0)="","",VLOOKUP($B138,勘定科目!$A:$E,2,0)),"")</f>
        <v>福利厚生費（一般）</v>
      </c>
      <c r="D138" s="239" t="str">
        <f>IF(C138="","",VLOOKUP($B138,勘定科目!$A:$E,4,0))</f>
        <v>福利厚生費</v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9"/>
        <v>0</v>
      </c>
      <c r="S138" s="201" t="s">
        <v>775</v>
      </c>
      <c r="T138" s="202"/>
      <c r="U138" s="246"/>
      <c r="V138" s="246"/>
      <c r="W138" s="246"/>
      <c r="BA138"/>
      <c r="BB138"/>
      <c r="BD138" s="191" t="s">
        <v>697</v>
      </c>
    </row>
    <row r="139" spans="1:56" s="191" customFormat="1" ht="13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9"/>
        <v>0</v>
      </c>
      <c r="S139" s="201"/>
      <c r="T139" s="202"/>
      <c r="U139" s="246"/>
      <c r="V139" s="246"/>
      <c r="W139" s="246"/>
      <c r="BA139"/>
      <c r="BB139"/>
    </row>
    <row r="140" spans="1:56" s="191" customFormat="1" ht="13">
      <c r="A140" s="226"/>
      <c r="B140" s="180">
        <v>6005056623</v>
      </c>
      <c r="C140" s="183" t="str">
        <f>IFERROR(IF(VLOOKUP($B140,勘定科目!$A:$H,HLOOKUP($E$5,勘定科目!$F$1:$H$2,2,0),0)="","",VLOOKUP($B140,勘定科目!$A:$E,2,0)),"")</f>
        <v>電気代（一般）</v>
      </c>
      <c r="D140" s="239" t="str">
        <f>IF(C140="","",VLOOKUP($B140,勘定科目!$A:$E,4,0))</f>
        <v>水道光熱費</v>
      </c>
      <c r="E140" s="245"/>
      <c r="F140" s="194">
        <v>453846</v>
      </c>
      <c r="G140" s="247">
        <v>543543</v>
      </c>
      <c r="H140" s="247">
        <v>682844</v>
      </c>
      <c r="I140" s="247">
        <v>735371</v>
      </c>
      <c r="J140" s="247">
        <v>759239</v>
      </c>
      <c r="K140" s="247">
        <v>694619</v>
      </c>
      <c r="L140" s="247">
        <v>678951</v>
      </c>
      <c r="M140" s="247">
        <v>626724</v>
      </c>
      <c r="N140" s="247">
        <v>600611</v>
      </c>
      <c r="O140" s="247">
        <v>548384</v>
      </c>
      <c r="P140" s="247">
        <v>545228</v>
      </c>
      <c r="Q140" s="247">
        <v>417816</v>
      </c>
      <c r="R140" s="200">
        <f t="shared" si="9"/>
        <v>7287176</v>
      </c>
      <c r="S140" s="201" t="s">
        <v>776</v>
      </c>
      <c r="T140" s="202"/>
      <c r="U140" s="246"/>
      <c r="V140" s="246"/>
      <c r="W140" s="246"/>
      <c r="BA140"/>
      <c r="BB140"/>
      <c r="BD140" s="191" t="s">
        <v>697</v>
      </c>
    </row>
    <row r="141" spans="1:56" s="191" customFormat="1" ht="13">
      <c r="A141" s="226"/>
      <c r="B141" s="180">
        <v>6005056624</v>
      </c>
      <c r="C141" s="183" t="str">
        <f>IFERROR(IF(VLOOKUP($B141,勘定科目!$A:$H,HLOOKUP($E$5,勘定科目!$F$1:$H$2,2,0),0)="","",VLOOKUP($B141,勘定科目!$A:$E,2,0)),"")</f>
        <v>水道代（一般）</v>
      </c>
      <c r="D141" s="239" t="str">
        <f>IF(C141="","",VLOOKUP($B141,勘定科目!$A:$E,4,0))</f>
        <v>水道光熱費</v>
      </c>
      <c r="E141" s="245"/>
      <c r="F141" s="194">
        <v>174379</v>
      </c>
      <c r="G141" s="247">
        <v>224836</v>
      </c>
      <c r="H141" s="247">
        <v>253940</v>
      </c>
      <c r="I141" s="247">
        <v>362645</v>
      </c>
      <c r="J141" s="247">
        <v>324799</v>
      </c>
      <c r="K141" s="247">
        <v>281826</v>
      </c>
      <c r="L141" s="247">
        <v>193059</v>
      </c>
      <c r="M141" s="247">
        <v>268907</v>
      </c>
      <c r="N141" s="247">
        <v>268569</v>
      </c>
      <c r="O141" s="247">
        <v>182115</v>
      </c>
      <c r="P141" s="247">
        <v>136562</v>
      </c>
      <c r="Q141" s="247">
        <v>158669</v>
      </c>
      <c r="R141" s="200">
        <f t="shared" si="9"/>
        <v>2830306</v>
      </c>
      <c r="S141" s="201" t="s">
        <v>777</v>
      </c>
      <c r="T141" s="202"/>
      <c r="U141" s="246"/>
      <c r="V141" s="246"/>
      <c r="W141" s="246"/>
      <c r="BA141"/>
      <c r="BB141"/>
      <c r="BD141" s="191" t="s">
        <v>697</v>
      </c>
    </row>
    <row r="142" spans="1:56" s="191" customFormat="1" ht="13">
      <c r="A142" s="226"/>
      <c r="B142" s="180">
        <v>6005056625</v>
      </c>
      <c r="C142" s="183" t="str">
        <f>IFERROR(IF(VLOOKUP($B142,勘定科目!$A:$H,HLOOKUP($E$5,勘定科目!$F$1:$H$2,2,0),0)="","",VLOOKUP($B142,勘定科目!$A:$E,2,0)),"")</f>
        <v>ガス代（一般）</v>
      </c>
      <c r="D142" s="239" t="str">
        <f>IF(C142="","",VLOOKUP($B142,勘定科目!$A:$E,4,0))</f>
        <v>水道光熱費</v>
      </c>
      <c r="E142" s="245"/>
      <c r="F142" s="194">
        <v>242196</v>
      </c>
      <c r="G142" s="247">
        <v>273777</v>
      </c>
      <c r="H142" s="247">
        <v>313992</v>
      </c>
      <c r="I142" s="247">
        <v>328503</v>
      </c>
      <c r="J142" s="247">
        <v>298816</v>
      </c>
      <c r="K142" s="247">
        <v>269437</v>
      </c>
      <c r="L142" s="247">
        <v>328839</v>
      </c>
      <c r="M142" s="247">
        <v>287882</v>
      </c>
      <c r="N142" s="247">
        <v>308602</v>
      </c>
      <c r="O142" s="247">
        <v>297213</v>
      </c>
      <c r="P142" s="247">
        <v>230258</v>
      </c>
      <c r="Q142" s="247">
        <v>297794</v>
      </c>
      <c r="R142" s="200">
        <f t="shared" si="9"/>
        <v>3477309</v>
      </c>
      <c r="S142" s="201" t="s">
        <v>778</v>
      </c>
      <c r="T142" s="202"/>
      <c r="U142" s="246"/>
      <c r="V142" s="246"/>
      <c r="W142" s="246"/>
      <c r="BA142"/>
      <c r="BB142"/>
      <c r="BD142" s="191" t="s">
        <v>694</v>
      </c>
    </row>
    <row r="143" spans="1:56" s="191" customFormat="1" ht="13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9"/>
        <v>0</v>
      </c>
      <c r="S143" s="201"/>
      <c r="T143" s="202"/>
      <c r="U143" s="246"/>
      <c r="V143" s="246"/>
      <c r="W143" s="246"/>
      <c r="BA143"/>
      <c r="BB143"/>
    </row>
    <row r="144" spans="1:56" s="191" customFormat="1" ht="13">
      <c r="A144" s="226"/>
      <c r="B144" s="180">
        <v>9114120007</v>
      </c>
      <c r="C144" s="183" t="str">
        <f>IFERROR(IF(VLOOKUP($B144,勘定科目!$A:$H,HLOOKUP($E$5,勘定科目!$F$1:$H$2,2,0),0)="","",VLOOKUP($B144,勘定科目!$A:$E,2,0)),"")</f>
        <v>社内金利（固定資産）</v>
      </c>
      <c r="D144" s="239" t="str">
        <f>IF(C144="","",VLOOKUP($B144,勘定科目!$A:$E,4,0))</f>
        <v>固定資産金利</v>
      </c>
      <c r="E144" s="245"/>
      <c r="F144" s="194">
        <v>1957823</v>
      </c>
      <c r="G144" s="247">
        <v>2151295</v>
      </c>
      <c r="H144" s="247">
        <v>2152056</v>
      </c>
      <c r="I144" s="247">
        <v>2149771</v>
      </c>
      <c r="J144" s="247">
        <v>2149010</v>
      </c>
      <c r="K144" s="247">
        <v>2115749</v>
      </c>
      <c r="L144" s="247">
        <v>2106101</v>
      </c>
      <c r="M144" s="247">
        <v>2105847</v>
      </c>
      <c r="N144" s="247">
        <v>2106101</v>
      </c>
      <c r="O144" s="247">
        <v>2105339</v>
      </c>
      <c r="P144" s="247">
        <v>2104069</v>
      </c>
      <c r="Q144" s="247">
        <v>2105339</v>
      </c>
      <c r="R144" s="200">
        <f t="shared" si="9"/>
        <v>25308500</v>
      </c>
      <c r="S144" s="302" t="s">
        <v>779</v>
      </c>
      <c r="T144" s="202"/>
      <c r="U144" s="246"/>
      <c r="V144" s="246"/>
      <c r="W144" s="246"/>
      <c r="BA144"/>
      <c r="BB144"/>
      <c r="BD144" s="191" t="s">
        <v>697</v>
      </c>
    </row>
    <row r="145" spans="1:56" s="191" customFormat="1" ht="13">
      <c r="A145" s="226"/>
      <c r="B145" s="180">
        <v>9114120007</v>
      </c>
      <c r="C145" s="183" t="str">
        <f>IFERROR(IF(VLOOKUP($B145,勘定科目!$A:$H,HLOOKUP($E$5,勘定科目!$F$1:$H$2,2,0),0)="","",VLOOKUP($B145,勘定科目!$A:$E,2,0)),"")</f>
        <v>社内金利（固定資産）</v>
      </c>
      <c r="D145" s="239" t="str">
        <f>IF(C145="","",VLOOKUP($B145,勘定科目!$A:$E,4,0))</f>
        <v>固定資産金利</v>
      </c>
      <c r="E145" s="245"/>
      <c r="F145" s="194">
        <v>241967</v>
      </c>
      <c r="G145" s="247">
        <v>272689</v>
      </c>
      <c r="H145" s="247">
        <v>272943</v>
      </c>
      <c r="I145" s="247">
        <v>272435</v>
      </c>
      <c r="J145" s="247">
        <v>272435</v>
      </c>
      <c r="K145" s="247">
        <v>268372</v>
      </c>
      <c r="L145" s="247">
        <v>267103</v>
      </c>
      <c r="M145" s="247">
        <v>267103</v>
      </c>
      <c r="N145" s="247">
        <v>267103</v>
      </c>
      <c r="O145" s="247">
        <v>266849</v>
      </c>
      <c r="P145" s="247">
        <v>266849</v>
      </c>
      <c r="Q145" s="247">
        <v>266849</v>
      </c>
      <c r="R145" s="200">
        <f t="shared" si="9"/>
        <v>3202697</v>
      </c>
      <c r="S145" s="302" t="s">
        <v>780</v>
      </c>
      <c r="T145" s="202"/>
      <c r="U145" s="246"/>
      <c r="V145" s="246"/>
      <c r="W145" s="246"/>
      <c r="BA145"/>
      <c r="BB145"/>
      <c r="BD145" s="191" t="s">
        <v>697</v>
      </c>
    </row>
    <row r="146" spans="1:56" s="191" customFormat="1" ht="13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9"/>
        <v>0</v>
      </c>
      <c r="S146" s="201"/>
      <c r="T146" s="202"/>
      <c r="U146" s="246"/>
      <c r="V146" s="246"/>
      <c r="W146" s="246"/>
      <c r="BA146"/>
      <c r="BB146"/>
    </row>
    <row r="147" spans="1:56" s="191" customFormat="1" ht="13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9"/>
        <v>0</v>
      </c>
      <c r="S147" s="201"/>
      <c r="T147" s="202"/>
      <c r="U147" s="246"/>
      <c r="V147" s="246"/>
      <c r="W147" s="246"/>
      <c r="BA147"/>
      <c r="BB147"/>
    </row>
    <row r="148" spans="1:56" s="191" customFormat="1" ht="13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ref="R148:R211" si="10">SUM(F148:Q148)</f>
        <v>0</v>
      </c>
      <c r="S148" s="201"/>
      <c r="T148" s="202"/>
      <c r="U148" s="246"/>
      <c r="V148" s="246"/>
      <c r="W148" s="246"/>
      <c r="BA148"/>
      <c r="BB148"/>
    </row>
    <row r="149" spans="1:56" s="191" customFormat="1" ht="13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10"/>
        <v>0</v>
      </c>
      <c r="S149" s="201"/>
      <c r="T149" s="202"/>
      <c r="U149" s="246"/>
      <c r="V149" s="246"/>
      <c r="W149" s="246"/>
      <c r="BA149"/>
      <c r="BB149"/>
    </row>
    <row r="150" spans="1:56" s="191" customFormat="1" ht="13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10"/>
        <v>0</v>
      </c>
      <c r="S150" s="201"/>
      <c r="T150" s="202"/>
      <c r="U150" s="246"/>
      <c r="V150" s="246"/>
      <c r="W150" s="246"/>
      <c r="BA150"/>
      <c r="BB150"/>
    </row>
    <row r="151" spans="1:56" s="191" customFormat="1" ht="13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10"/>
        <v>0</v>
      </c>
      <c r="S151" s="201"/>
      <c r="T151" s="202"/>
      <c r="U151" s="246"/>
      <c r="V151" s="246"/>
      <c r="W151" s="246"/>
      <c r="BA151"/>
      <c r="BB151"/>
    </row>
    <row r="152" spans="1:56" s="191" customFormat="1" ht="13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10"/>
        <v>0</v>
      </c>
      <c r="S152" s="201"/>
      <c r="T152" s="202"/>
      <c r="U152" s="246"/>
      <c r="V152" s="246"/>
      <c r="W152" s="246"/>
      <c r="BA152"/>
      <c r="BB152"/>
    </row>
    <row r="153" spans="1:56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10"/>
        <v>0</v>
      </c>
      <c r="S153" s="201"/>
      <c r="T153" s="202"/>
      <c r="U153" s="246"/>
      <c r="V153" s="246"/>
      <c r="W153" s="246"/>
      <c r="BA153"/>
      <c r="BB153"/>
    </row>
    <row r="154" spans="1:56" s="191" customFormat="1" ht="13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10"/>
        <v>0</v>
      </c>
      <c r="S154" s="201"/>
      <c r="T154" s="202"/>
      <c r="U154" s="246"/>
      <c r="V154" s="246"/>
      <c r="W154" s="246"/>
      <c r="BA154"/>
      <c r="BB154"/>
    </row>
    <row r="155" spans="1:56" s="191" customFormat="1" ht="13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10"/>
        <v>0</v>
      </c>
      <c r="S155" s="201"/>
      <c r="T155" s="202"/>
      <c r="U155" s="246"/>
      <c r="V155" s="246"/>
      <c r="W155" s="246"/>
      <c r="BA155"/>
      <c r="BB155"/>
    </row>
    <row r="156" spans="1:56" s="191" customFormat="1" ht="13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10"/>
        <v>0</v>
      </c>
      <c r="S156" s="201"/>
      <c r="T156" s="202"/>
      <c r="U156" s="246"/>
      <c r="V156" s="246"/>
      <c r="W156" s="246"/>
      <c r="BA156"/>
      <c r="BB156"/>
    </row>
    <row r="157" spans="1:56" s="191" customFormat="1" ht="13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10"/>
        <v>0</v>
      </c>
      <c r="S157" s="201"/>
      <c r="T157" s="202"/>
      <c r="U157" s="246"/>
      <c r="V157" s="246"/>
      <c r="W157" s="246"/>
      <c r="BA157"/>
      <c r="BB157"/>
    </row>
    <row r="158" spans="1:56" s="191" customFormat="1" ht="13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10"/>
        <v>0</v>
      </c>
      <c r="S158" s="201"/>
      <c r="T158" s="202"/>
      <c r="U158" s="246"/>
      <c r="V158" s="246"/>
      <c r="W158" s="246"/>
      <c r="BA158"/>
      <c r="BB158"/>
    </row>
    <row r="159" spans="1:56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10"/>
        <v>0</v>
      </c>
      <c r="S159" s="201"/>
      <c r="T159" s="202"/>
      <c r="U159" s="246"/>
      <c r="V159" s="246"/>
      <c r="W159" s="246"/>
      <c r="BA159"/>
      <c r="BB159"/>
    </row>
    <row r="160" spans="1:56" s="191" customFormat="1" ht="13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10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10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10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10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10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10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10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10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10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10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10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10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10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10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10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10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10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10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10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10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10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10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10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10"/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10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10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0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0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0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0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0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0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0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0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0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0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0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0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0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0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0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0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0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0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0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0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0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0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0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0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0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0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ref="R212:R275" si="11">SUM(F212:Q212)</f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11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11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11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11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11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11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11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11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11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11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11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11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11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11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11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11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11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11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11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11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11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11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11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11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11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11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11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11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11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11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11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11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11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11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11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11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11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11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11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11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11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11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11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11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11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11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11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11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11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11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11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11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11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11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11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11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11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11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11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11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11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11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11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ref="R276:R339" si="12">SUM(F276:Q276)</f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12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12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12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12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12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12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182"/>
      <c r="B283" s="178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240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00">
        <f t="shared" si="12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182"/>
      <c r="B284" s="178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240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00">
        <f t="shared" si="12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182"/>
      <c r="B285" s="178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240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00">
        <f t="shared" si="12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182"/>
      <c r="B286" s="178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240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00">
        <f t="shared" si="12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182"/>
      <c r="B287" s="178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240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00">
        <f t="shared" si="12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182"/>
      <c r="B288" s="178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240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00">
        <f t="shared" si="12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182"/>
      <c r="B289" s="178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240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00">
        <f t="shared" si="12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182"/>
      <c r="B290" s="178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240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00">
        <f t="shared" si="12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182"/>
      <c r="B291" s="178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240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00">
        <f t="shared" si="12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182"/>
      <c r="B292" s="178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240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00">
        <f t="shared" si="12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182"/>
      <c r="B293" s="178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240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00">
        <f t="shared" si="12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182"/>
      <c r="B294" s="178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240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00">
        <f t="shared" si="12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182"/>
      <c r="B295" s="178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240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00">
        <f t="shared" si="12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182"/>
      <c r="B296" s="178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240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00">
        <f t="shared" si="12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182"/>
      <c r="B297" s="178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240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00">
        <f t="shared" si="12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182"/>
      <c r="B298" s="178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240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00">
        <f t="shared" si="12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182"/>
      <c r="B299" s="178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240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00">
        <f t="shared" si="12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182"/>
      <c r="B300" s="178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240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00">
        <f t="shared" si="12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182"/>
      <c r="B301" s="178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240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00">
        <f t="shared" si="12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182"/>
      <c r="B302" s="178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240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00">
        <f t="shared" si="12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182"/>
      <c r="B303" s="178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240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00">
        <f t="shared" si="12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182"/>
      <c r="B304" s="178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240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00">
        <f t="shared" si="12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182"/>
      <c r="B305" s="178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240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00">
        <f t="shared" si="12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182"/>
      <c r="B306" s="178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240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00">
        <f t="shared" si="12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182"/>
      <c r="B307" s="178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240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00">
        <f t="shared" si="12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182"/>
      <c r="B308" s="178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240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00">
        <f t="shared" si="12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182"/>
      <c r="B309" s="178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240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00">
        <f t="shared" si="12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182"/>
      <c r="B310" s="178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240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00">
        <f t="shared" si="12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182"/>
      <c r="B311" s="178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240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00">
        <f t="shared" si="12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182"/>
      <c r="B312" s="178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240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00">
        <f t="shared" si="12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182"/>
      <c r="B313" s="178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240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00">
        <f t="shared" si="12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182"/>
      <c r="B314" s="178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240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00">
        <f t="shared" si="12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182"/>
      <c r="B315" s="178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240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00">
        <f t="shared" si="12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182"/>
      <c r="B316" s="178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240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00">
        <f t="shared" si="12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182"/>
      <c r="B317" s="178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240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00">
        <f t="shared" si="12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12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2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2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2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2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2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2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2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2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2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2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2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2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2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2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2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2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2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2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2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2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2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ref="R340:R403" si="13">SUM(F340:Q340)</f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3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3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3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3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3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13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13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13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13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13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13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13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13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13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13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13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13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13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13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13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13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13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13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13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13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13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13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13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13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13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13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13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13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13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13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13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13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13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13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13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13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13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13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13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13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13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13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13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13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13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13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13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13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13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13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13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13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13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13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13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13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13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13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ref="R404:R467" si="14">SUM(F404:Q404)</f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14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14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14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14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14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14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14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14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14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14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14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14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14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14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14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14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14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14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14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14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14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14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14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14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14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14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14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14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14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14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14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14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14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14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14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4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4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4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4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4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4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4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4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4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4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4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4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4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4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4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4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4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4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4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4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4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4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4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4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4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4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4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4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ref="R468:R531" si="15">SUM(F468:Q468)</f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5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5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5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5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5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5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5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5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5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5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5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5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5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5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5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5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5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5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5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5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5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5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5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5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5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5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5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5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5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5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5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5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5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5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15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5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5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5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5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5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5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5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5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5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5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5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5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5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5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5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5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5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5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5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5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5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5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5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5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5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5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5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5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ref="R532:R595" si="16">SUM(F532:Q532)</f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6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6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6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6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6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6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6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6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6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6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6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6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6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6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6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6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6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6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6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6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6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6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6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6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6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6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6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6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6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6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6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6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6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6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16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6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6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6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6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6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6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6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6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6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6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6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6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6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6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6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6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6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6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6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6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6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6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6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6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6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6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6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6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ref="R596:R659" si="17">SUM(F596:Q596)</f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7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7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7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7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7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7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7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7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7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7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7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7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7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7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7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7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7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7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7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7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7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7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7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7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7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7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7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7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7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7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7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7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7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7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17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7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7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7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7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7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7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7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7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7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7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7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7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7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7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7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7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7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7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7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7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7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7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7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7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7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7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7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7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ref="R660:R723" si="18">SUM(F660:Q660)</f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8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8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8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8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8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8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8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8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8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8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8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8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8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8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8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8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8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8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8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8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8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8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8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8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8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8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8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8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8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8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8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8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8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8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18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8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8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8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8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8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8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8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8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8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8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8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8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8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8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8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8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8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8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8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8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8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8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8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8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8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8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8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8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ref="R724:R764" si="19">SUM(F724:Q724)</f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9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9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9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9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9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9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9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9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9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9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9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9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9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9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9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9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9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9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9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9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9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9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9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9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9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9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9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9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9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9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9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9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9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9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19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19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9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9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9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9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/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/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/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/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/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/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/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/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/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/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/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/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/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/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/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/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/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/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/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/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/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/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/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/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/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/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/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/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/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/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/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/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/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/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/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</sheetData>
  <autoFilter ref="A7:BH965" xr:uid="{55E4ECF0-4898-4637-9A87-559755D28F38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8:T764" xr:uid="{61347045-C843-4C4F-8EDC-B496A4406E3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1407-69C4-4F45-BC44-94C4FFE98268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1796875" style="48" customWidth="1"/>
    <col min="5" max="18" width="14.08984375" style="48" customWidth="1"/>
    <col min="19" max="19" width="12.81640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リスクマネジメント課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1097CDDD-D774-4809-A461-4E6BF47BCBEA}"/>
  <phoneticPr fontId="3"/>
  <dataValidations count="1">
    <dataValidation type="list" allowBlank="1" showInputMessage="1" showErrorMessage="1" sqref="S4:S49" xr:uid="{47DBD605-DB33-4C7F-9127-BB31EDC27A6C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128B-D7E4-48B1-A869-F1678A99966D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81640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179687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EC7B4BBD-E3A1-469C-8AF0-EAEAAA50DAD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7049-25CF-407E-B11F-5F103DA6EFCD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179687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63437DE0-93E0-4CCD-8303-C96B23C5411D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040D-57AC-4666-A9A4-AD81F9113C93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Thùy(Nguyen Thi Thuy)</cp:lastModifiedBy>
  <cp:lastPrinted>2017-10-06T02:39:42Z</cp:lastPrinted>
  <dcterms:created xsi:type="dcterms:W3CDTF">2002-04-10T08:05:47Z</dcterms:created>
  <dcterms:modified xsi:type="dcterms:W3CDTF">2025-01-06T06:28:17Z</dcterms:modified>
</cp:coreProperties>
</file>