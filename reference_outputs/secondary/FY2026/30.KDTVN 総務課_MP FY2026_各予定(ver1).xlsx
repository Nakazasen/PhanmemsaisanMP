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55A2392C-98FB-41FD-846A-7EBE93BB2408}" xr6:coauthVersionLast="47" xr6:coauthVersionMax="47" xr10:uidLastSave="{00000000-0000-0000-0000-000000000000}"/>
  <bookViews>
    <workbookView xWindow="-110" yWindow="-110" windowWidth="19420" windowHeight="10300" tabRatio="702" activeTab="2" xr2:uid="{7D4B2920-2D00-406B-B7FA-C24F60EB23A6}"/>
  </bookViews>
  <sheets>
    <sheet name="採算表(USD)" sheetId="32" r:id="rId1"/>
    <sheet name="採算表(VND)" sheetId="5" r:id="rId2"/>
    <sheet name="内訳ﾘｽﾄ(4～3月)" sheetId="10" r:id="rId3"/>
    <sheet name="Sheet1" sheetId="38" r:id="rId4"/>
    <sheet name="設備投資計画" sheetId="21" r:id="rId5"/>
    <sheet name="勘定科目" sheetId="36" r:id="rId6"/>
    <sheet name="原価センタ" sheetId="18" r:id="rId7"/>
    <sheet name="稼働日" sheetId="37" r:id="rId8"/>
  </sheets>
  <definedNames>
    <definedName name="_Fill" hidden="1">#REF!</definedName>
    <definedName name="_xlnm._FilterDatabase" localSheetId="2" hidden="1">'内訳ﾘｽﾄ(4～3月)'!$A$7:$T$772</definedName>
    <definedName name="_xlnm._FilterDatabase" localSheetId="5" hidden="1">勘定科目!$A$1:$I$244</definedName>
    <definedName name="_xlnm._FilterDatabase" localSheetId="6" hidden="1">原価センタ!$A$1:$K$479</definedName>
    <definedName name="_xlnm._FilterDatabase" localSheetId="4" hidden="1">設備投資計画!$B$3:$T$55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5" i="10" l="1"/>
  <c r="C185" i="10"/>
  <c r="D185" i="10" s="1"/>
  <c r="K157" i="10"/>
  <c r="R280" i="10"/>
  <c r="I48" i="10"/>
  <c r="J53" i="10"/>
  <c r="G50" i="10"/>
  <c r="L46" i="10"/>
  <c r="F45" i="10"/>
  <c r="Q51" i="10" l="1"/>
  <c r="P51" i="10"/>
  <c r="O51" i="10"/>
  <c r="N51" i="10"/>
  <c r="M51" i="10"/>
  <c r="P69" i="10"/>
  <c r="K69" i="10"/>
  <c r="M281" i="10"/>
  <c r="F168" i="10"/>
  <c r="M168" i="10"/>
  <c r="H168" i="10"/>
  <c r="P215" i="10"/>
  <c r="P214" i="10"/>
  <c r="O215" i="10"/>
  <c r="O214" i="10"/>
  <c r="I214" i="10"/>
  <c r="L214" i="10"/>
  <c r="M214" i="10"/>
  <c r="N214" i="10"/>
  <c r="I215" i="10"/>
  <c r="L215" i="10"/>
  <c r="M215" i="10"/>
  <c r="N215" i="10"/>
  <c r="F215" i="10"/>
  <c r="F214" i="10"/>
  <c r="F207" i="10"/>
  <c r="P205" i="10"/>
  <c r="O205" i="10"/>
  <c r="K205" i="10"/>
  <c r="J205" i="10"/>
  <c r="N129" i="10"/>
  <c r="J129" i="10"/>
  <c r="F129" i="10"/>
  <c r="M126" i="10"/>
  <c r="R126" i="10" s="1"/>
  <c r="L124" i="10"/>
  <c r="R104" i="10"/>
  <c r="G182" i="10"/>
  <c r="H182" i="10"/>
  <c r="I182" i="10"/>
  <c r="J182" i="10"/>
  <c r="K182" i="10"/>
  <c r="L182" i="10"/>
  <c r="M182" i="10"/>
  <c r="N182" i="10"/>
  <c r="O182" i="10"/>
  <c r="P182" i="10"/>
  <c r="Q182" i="10"/>
  <c r="F182" i="10"/>
  <c r="R181" i="10"/>
  <c r="R83" i="10"/>
  <c r="R81" i="10"/>
  <c r="P276" i="10"/>
  <c r="N276" i="10"/>
  <c r="L276" i="10"/>
  <c r="J276" i="10"/>
  <c r="H276" i="10"/>
  <c r="F276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O271" i="10"/>
  <c r="N271" i="10"/>
  <c r="K271" i="10"/>
  <c r="J271" i="10"/>
  <c r="G271" i="10"/>
  <c r="F271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P245" i="10"/>
  <c r="P243" i="10"/>
  <c r="P244" i="10" s="1"/>
  <c r="Q242" i="10"/>
  <c r="M241" i="10"/>
  <c r="M240" i="10"/>
  <c r="M239" i="10" s="1"/>
  <c r="L237" i="10"/>
  <c r="L235" i="10"/>
  <c r="L236" i="10" s="1"/>
  <c r="K234" i="10"/>
  <c r="L233" i="10"/>
  <c r="L232" i="10"/>
  <c r="L231" i="10"/>
  <c r="L230" i="10"/>
  <c r="K229" i="10"/>
  <c r="K227" i="10"/>
  <c r="G225" i="10"/>
  <c r="G224" i="10"/>
  <c r="G223" i="10"/>
  <c r="G221" i="10"/>
  <c r="Q219" i="10"/>
  <c r="P219" i="10"/>
  <c r="O219" i="10"/>
  <c r="N219" i="10"/>
  <c r="M219" i="10"/>
  <c r="L219" i="10"/>
  <c r="J219" i="10"/>
  <c r="I219" i="10"/>
  <c r="H219" i="10"/>
  <c r="G219" i="10"/>
  <c r="Q217" i="10"/>
  <c r="Q218" i="10" s="1"/>
  <c r="P217" i="10"/>
  <c r="P218" i="10" s="1"/>
  <c r="O217" i="10"/>
  <c r="O218" i="10" s="1"/>
  <c r="N217" i="10"/>
  <c r="N218" i="10" s="1"/>
  <c r="M217" i="10"/>
  <c r="M218" i="10" s="1"/>
  <c r="L217" i="10"/>
  <c r="L218" i="10" s="1"/>
  <c r="K217" i="10"/>
  <c r="K218" i="10" s="1"/>
  <c r="J217" i="10"/>
  <c r="J218" i="10" s="1"/>
  <c r="I217" i="10"/>
  <c r="I218" i="10" s="1"/>
  <c r="H217" i="10"/>
  <c r="H218" i="10" s="1"/>
  <c r="G217" i="10"/>
  <c r="G218" i="10" s="1"/>
  <c r="F217" i="10"/>
  <c r="F218" i="10" s="1"/>
  <c r="P216" i="10"/>
  <c r="N216" i="10"/>
  <c r="L216" i="10"/>
  <c r="J216" i="10"/>
  <c r="H216" i="10"/>
  <c r="F216" i="10"/>
  <c r="P206" i="10"/>
  <c r="O206" i="10"/>
  <c r="M206" i="10"/>
  <c r="L206" i="10"/>
  <c r="K206" i="10"/>
  <c r="J206" i="10"/>
  <c r="I206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P203" i="10"/>
  <c r="M203" i="10"/>
  <c r="J203" i="10"/>
  <c r="G203" i="10"/>
  <c r="P202" i="10"/>
  <c r="M202" i="10"/>
  <c r="J202" i="10"/>
  <c r="G202" i="10"/>
  <c r="P201" i="10"/>
  <c r="M201" i="10"/>
  <c r="J201" i="10"/>
  <c r="G201" i="10"/>
  <c r="P200" i="10"/>
  <c r="M200" i="10"/>
  <c r="J200" i="10"/>
  <c r="G200" i="10"/>
  <c r="P199" i="10"/>
  <c r="M199" i="10"/>
  <c r="J199" i="10"/>
  <c r="G199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Q189" i="10"/>
  <c r="P189" i="10"/>
  <c r="O189" i="10"/>
  <c r="N189" i="10"/>
  <c r="M189" i="10"/>
  <c r="L189" i="10"/>
  <c r="K189" i="10"/>
  <c r="J189" i="10"/>
  <c r="I189" i="10"/>
  <c r="H189" i="10"/>
  <c r="F189" i="10"/>
  <c r="Q188" i="10"/>
  <c r="P188" i="10"/>
  <c r="O188" i="10"/>
  <c r="N188" i="10"/>
  <c r="M188" i="10"/>
  <c r="L188" i="10"/>
  <c r="F188" i="10"/>
  <c r="Q187" i="10"/>
  <c r="P187" i="10"/>
  <c r="O187" i="10"/>
  <c r="N187" i="10"/>
  <c r="M187" i="10"/>
  <c r="L187" i="10"/>
  <c r="K187" i="10"/>
  <c r="J187" i="10"/>
  <c r="I187" i="10"/>
  <c r="F187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N151" i="10"/>
  <c r="L151" i="10"/>
  <c r="J151" i="10"/>
  <c r="H151" i="10"/>
  <c r="F151" i="10"/>
  <c r="P150" i="10"/>
  <c r="M150" i="10"/>
  <c r="J150" i="10"/>
  <c r="G150" i="10"/>
  <c r="Q149" i="10"/>
  <c r="O149" i="10"/>
  <c r="L149" i="10"/>
  <c r="I149" i="10"/>
  <c r="F149" i="10"/>
  <c r="O144" i="10"/>
  <c r="K144" i="10"/>
  <c r="G144" i="10"/>
  <c r="O140" i="10"/>
  <c r="K140" i="10"/>
  <c r="G140" i="10"/>
  <c r="Q129" i="10"/>
  <c r="P129" i="10"/>
  <c r="O129" i="10"/>
  <c r="M129" i="10"/>
  <c r="L129" i="10"/>
  <c r="K129" i="10"/>
  <c r="I129" i="10"/>
  <c r="H129" i="10"/>
  <c r="G129" i="10"/>
  <c r="P125" i="10"/>
  <c r="O125" i="10"/>
  <c r="M125" i="10"/>
  <c r="L125" i="10"/>
  <c r="K125" i="10"/>
  <c r="J125" i="10"/>
  <c r="I125" i="10"/>
  <c r="Q99" i="10"/>
  <c r="P99" i="10"/>
  <c r="Q100" i="10"/>
  <c r="P100" i="10"/>
  <c r="O100" i="10"/>
  <c r="M100" i="10"/>
  <c r="L100" i="10"/>
  <c r="K100" i="10"/>
  <c r="J100" i="10"/>
  <c r="I100" i="10"/>
  <c r="H100" i="10"/>
  <c r="G100" i="10"/>
  <c r="F100" i="10"/>
  <c r="N100" i="10"/>
  <c r="O99" i="10"/>
  <c r="N99" i="10"/>
  <c r="M99" i="10"/>
  <c r="L99" i="10"/>
  <c r="K99" i="10"/>
  <c r="J99" i="10"/>
  <c r="I99" i="10"/>
  <c r="H99" i="10"/>
  <c r="G99" i="10"/>
  <c r="F99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R61" i="10" l="1"/>
  <c r="R99" i="10"/>
  <c r="M260" i="10" l="1"/>
  <c r="I260" i="10"/>
  <c r="G260" i="10"/>
  <c r="P133" i="10"/>
  <c r="P131" i="10"/>
  <c r="F266" i="10"/>
  <c r="J247" i="10"/>
  <c r="I247" i="10"/>
  <c r="R182" i="10" l="1"/>
  <c r="I211" i="10"/>
  <c r="O167" i="10"/>
  <c r="N167" i="10"/>
  <c r="M167" i="10"/>
  <c r="K167" i="10"/>
  <c r="J167" i="10"/>
  <c r="I167" i="10"/>
  <c r="H167" i="10"/>
  <c r="G167" i="10"/>
  <c r="F167" i="10"/>
  <c r="O166" i="10"/>
  <c r="N166" i="10"/>
  <c r="M166" i="10"/>
  <c r="L166" i="10"/>
  <c r="K166" i="10"/>
  <c r="J166" i="10"/>
  <c r="I166" i="10"/>
  <c r="H166" i="10"/>
  <c r="G166" i="10"/>
  <c r="F166" i="10"/>
  <c r="O165" i="10"/>
  <c r="M165" i="10"/>
  <c r="K165" i="10"/>
  <c r="H165" i="10"/>
  <c r="F165" i="10"/>
  <c r="N164" i="10"/>
  <c r="M164" i="10"/>
  <c r="L164" i="10"/>
  <c r="K164" i="10"/>
  <c r="J164" i="10"/>
  <c r="I164" i="10"/>
  <c r="H164" i="10"/>
  <c r="G164" i="10"/>
  <c r="F164" i="10"/>
  <c r="Q175" i="10" l="1"/>
  <c r="P175" i="10"/>
  <c r="O175" i="10"/>
  <c r="N175" i="10"/>
  <c r="M175" i="10"/>
  <c r="L175" i="10"/>
  <c r="K175" i="10"/>
  <c r="J175" i="10"/>
  <c r="I175" i="10"/>
  <c r="H175" i="10"/>
  <c r="G175" i="10"/>
  <c r="F175" i="10"/>
  <c r="M114" i="10"/>
  <c r="M113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I50" i="10" l="1"/>
  <c r="J50" i="10"/>
  <c r="K50" i="10"/>
  <c r="L50" i="10"/>
  <c r="M50" i="10"/>
  <c r="N50" i="10"/>
  <c r="O50" i="10"/>
  <c r="P50" i="10"/>
  <c r="Q50" i="10"/>
  <c r="H50" i="10"/>
  <c r="L53" i="10"/>
  <c r="M53" i="10"/>
  <c r="N53" i="10"/>
  <c r="O53" i="10"/>
  <c r="P53" i="10"/>
  <c r="Q53" i="10"/>
  <c r="K53" i="10"/>
  <c r="N46" i="10"/>
  <c r="O46" i="10"/>
  <c r="P46" i="10"/>
  <c r="Q46" i="10"/>
  <c r="M46" i="10"/>
  <c r="H45" i="10"/>
  <c r="I45" i="10"/>
  <c r="J45" i="10"/>
  <c r="K45" i="10"/>
  <c r="L45" i="10"/>
  <c r="M45" i="10"/>
  <c r="N45" i="10"/>
  <c r="O45" i="10"/>
  <c r="P45" i="10"/>
  <c r="Q45" i="10"/>
  <c r="G45" i="10"/>
  <c r="K48" i="10"/>
  <c r="L48" i="10"/>
  <c r="M48" i="10"/>
  <c r="N48" i="10"/>
  <c r="O48" i="10"/>
  <c r="P48" i="10"/>
  <c r="Q48" i="10"/>
  <c r="J48" i="10"/>
  <c r="H52" i="10" l="1"/>
  <c r="I52" i="10"/>
  <c r="J52" i="10"/>
  <c r="K52" i="10"/>
  <c r="L52" i="10"/>
  <c r="M52" i="10"/>
  <c r="N52" i="10"/>
  <c r="O52" i="10"/>
  <c r="P52" i="10"/>
  <c r="Q52" i="10"/>
  <c r="G52" i="10"/>
  <c r="F52" i="10"/>
  <c r="G47" i="10"/>
  <c r="H47" i="10"/>
  <c r="I47" i="10"/>
  <c r="J47" i="10"/>
  <c r="K47" i="10"/>
  <c r="L47" i="10"/>
  <c r="M47" i="10"/>
  <c r="N47" i="10"/>
  <c r="O47" i="10"/>
  <c r="P47" i="10"/>
  <c r="Q47" i="10"/>
  <c r="F47" i="10"/>
  <c r="H49" i="10"/>
  <c r="I49" i="10"/>
  <c r="J49" i="10"/>
  <c r="K49" i="10"/>
  <c r="L49" i="10"/>
  <c r="M49" i="10"/>
  <c r="N49" i="10"/>
  <c r="O49" i="10"/>
  <c r="P49" i="10"/>
  <c r="Q49" i="10"/>
  <c r="G49" i="10"/>
  <c r="F49" i="10"/>
  <c r="G44" i="10"/>
  <c r="H44" i="10"/>
  <c r="I44" i="10"/>
  <c r="J44" i="10"/>
  <c r="K44" i="10"/>
  <c r="L44" i="10"/>
  <c r="M44" i="10"/>
  <c r="N44" i="10"/>
  <c r="O44" i="10"/>
  <c r="P44" i="10"/>
  <c r="Q44" i="10"/>
  <c r="F44" i="10"/>
  <c r="Q41" i="10" l="1"/>
  <c r="P41" i="10"/>
  <c r="O41" i="10"/>
  <c r="M41" i="10"/>
  <c r="N41" i="10"/>
  <c r="L41" i="10"/>
  <c r="K41" i="10"/>
  <c r="J41" i="10"/>
  <c r="I41" i="10"/>
  <c r="H41" i="10"/>
  <c r="G41" i="10"/>
  <c r="F41" i="10"/>
  <c r="P40" i="10"/>
  <c r="Q40" i="10"/>
  <c r="O40" i="10"/>
  <c r="N40" i="10"/>
  <c r="M40" i="10"/>
  <c r="L40" i="10"/>
  <c r="K40" i="10"/>
  <c r="J40" i="10"/>
  <c r="I40" i="10"/>
  <c r="H40" i="10"/>
  <c r="G40" i="10"/>
  <c r="F40" i="10"/>
  <c r="Q39" i="10"/>
  <c r="P39" i="10"/>
  <c r="O39" i="10"/>
  <c r="M39" i="10"/>
  <c r="N39" i="10"/>
  <c r="L39" i="10"/>
  <c r="K39" i="10"/>
  <c r="J39" i="10"/>
  <c r="I39" i="10"/>
  <c r="H39" i="10"/>
  <c r="G39" i="10"/>
  <c r="F39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Q184" i="10" l="1"/>
  <c r="P184" i="10"/>
  <c r="O184" i="10"/>
  <c r="N184" i="10"/>
  <c r="M184" i="10"/>
  <c r="L184" i="10"/>
  <c r="K184" i="10"/>
  <c r="J184" i="10"/>
  <c r="I184" i="10"/>
  <c r="H184" i="10"/>
  <c r="G184" i="10"/>
  <c r="F184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P134" i="10" l="1"/>
  <c r="M134" i="10"/>
  <c r="J134" i="10"/>
  <c r="G134" i="10"/>
  <c r="F135" i="10"/>
  <c r="M135" i="10"/>
  <c r="J135" i="10"/>
  <c r="Q135" i="10"/>
  <c r="K267" i="10"/>
  <c r="F267" i="10"/>
  <c r="O249" i="10"/>
  <c r="L249" i="10"/>
  <c r="J249" i="10"/>
  <c r="H249" i="10"/>
  <c r="O253" i="10"/>
  <c r="L253" i="10"/>
  <c r="J253" i="10"/>
  <c r="H253" i="10"/>
  <c r="O252" i="10"/>
  <c r="L252" i="10"/>
  <c r="J252" i="10"/>
  <c r="H252" i="10"/>
  <c r="O251" i="10"/>
  <c r="L251" i="10"/>
  <c r="J251" i="10"/>
  <c r="H251" i="10"/>
  <c r="O250" i="10"/>
  <c r="L250" i="10"/>
  <c r="J250" i="10"/>
  <c r="H250" i="10"/>
  <c r="G133" i="10"/>
  <c r="H133" i="10"/>
  <c r="I133" i="10"/>
  <c r="J133" i="10"/>
  <c r="K133" i="10"/>
  <c r="L133" i="10"/>
  <c r="M133" i="10"/>
  <c r="N133" i="10"/>
  <c r="O133" i="10"/>
  <c r="Q133" i="10"/>
  <c r="F133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L70" i="5" s="1"/>
  <c r="L70" i="32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F98" i="5"/>
  <c r="F98" i="32" s="1"/>
  <c r="E98" i="5"/>
  <c r="E98" i="32" s="1"/>
  <c r="D98" i="5"/>
  <c r="D98" i="32" s="1"/>
  <c r="C98" i="5"/>
  <c r="C98" i="32" s="1"/>
  <c r="N97" i="5"/>
  <c r="M97" i="5"/>
  <c r="L97" i="5"/>
  <c r="L97" i="32" s="1"/>
  <c r="K97" i="5"/>
  <c r="J97" i="5"/>
  <c r="I97" i="5"/>
  <c r="I97" i="32" s="1"/>
  <c r="H97" i="5"/>
  <c r="H97" i="32" s="1"/>
  <c r="G97" i="5"/>
  <c r="F97" i="5"/>
  <c r="E97" i="5"/>
  <c r="E97" i="32" s="1"/>
  <c r="D97" i="5"/>
  <c r="C97" i="5"/>
  <c r="N93" i="5"/>
  <c r="M93" i="5"/>
  <c r="M93" i="32" s="1"/>
  <c r="L93" i="5"/>
  <c r="L93" i="32" s="1"/>
  <c r="K93" i="5"/>
  <c r="J93" i="5"/>
  <c r="J93" i="32" s="1"/>
  <c r="I93" i="5"/>
  <c r="I93" i="32" s="1"/>
  <c r="H93" i="5"/>
  <c r="H93" i="32" s="1"/>
  <c r="G93" i="5"/>
  <c r="G93" i="32" s="1"/>
  <c r="F93" i="5"/>
  <c r="E93" i="5"/>
  <c r="E93" i="32" s="1"/>
  <c r="D93" i="5"/>
  <c r="D93" i="32" s="1"/>
  <c r="C93" i="5"/>
  <c r="N92" i="5"/>
  <c r="N92" i="32" s="1"/>
  <c r="M92" i="5"/>
  <c r="M92" i="32" s="1"/>
  <c r="L92" i="5"/>
  <c r="K92" i="5"/>
  <c r="K92" i="32" s="1"/>
  <c r="J92" i="5"/>
  <c r="J92" i="32" s="1"/>
  <c r="I92" i="5"/>
  <c r="I92" i="32" s="1"/>
  <c r="H92" i="5"/>
  <c r="H92" i="32" s="1"/>
  <c r="G92" i="5"/>
  <c r="F92" i="5"/>
  <c r="F92" i="32" s="1"/>
  <c r="E92" i="5"/>
  <c r="D92" i="5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M87" i="32" s="1"/>
  <c r="L87" i="5"/>
  <c r="K87" i="5"/>
  <c r="K87" i="32" s="1"/>
  <c r="J87" i="5"/>
  <c r="J87" i="32" s="1"/>
  <c r="I87" i="5"/>
  <c r="I87" i="32" s="1"/>
  <c r="H87" i="5"/>
  <c r="H87" i="32" s="1"/>
  <c r="G87" i="5"/>
  <c r="F87" i="5"/>
  <c r="F87" i="32" s="1"/>
  <c r="E87" i="5"/>
  <c r="E87" i="32" s="1"/>
  <c r="D87" i="5"/>
  <c r="C87" i="5"/>
  <c r="C87" i="32" s="1"/>
  <c r="N74" i="5"/>
  <c r="N74" i="32" s="1"/>
  <c r="M74" i="5"/>
  <c r="M74" i="32" s="1"/>
  <c r="L74" i="5"/>
  <c r="K74" i="5"/>
  <c r="K74" i="32" s="1"/>
  <c r="J74" i="5"/>
  <c r="I74" i="5"/>
  <c r="I74" i="32" s="1"/>
  <c r="H74" i="5"/>
  <c r="H74" i="32" s="1"/>
  <c r="G74" i="5"/>
  <c r="G74" i="32" s="1"/>
  <c r="F74" i="5"/>
  <c r="E74" i="5"/>
  <c r="D74" i="5"/>
  <c r="D74" i="32" s="1"/>
  <c r="C74" i="5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F68" i="5"/>
  <c r="E68" i="5"/>
  <c r="D68" i="5"/>
  <c r="D68" i="32" s="1"/>
  <c r="C68" i="5"/>
  <c r="C68" i="32" s="1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4" i="10"/>
  <c r="R183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3" i="10"/>
  <c r="R102" i="10"/>
  <c r="R101" i="10"/>
  <c r="R100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2" i="10"/>
  <c r="R80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0" i="10"/>
  <c r="R59" i="10"/>
  <c r="R58" i="10"/>
  <c r="R57" i="10"/>
  <c r="R56" i="10"/>
  <c r="R55" i="10"/>
  <c r="R54" i="10"/>
  <c r="R53" i="10"/>
  <c r="R52" i="10"/>
  <c r="R51" i="10"/>
  <c r="R50" i="10"/>
  <c r="R48" i="10"/>
  <c r="R47" i="10"/>
  <c r="R46" i="10"/>
  <c r="R45" i="10"/>
  <c r="R43" i="10"/>
  <c r="R42" i="10"/>
  <c r="R41" i="10"/>
  <c r="R40" i="10"/>
  <c r="R39" i="10"/>
  <c r="Q29" i="10"/>
  <c r="P29" i="10"/>
  <c r="O29" i="10"/>
  <c r="N29" i="10"/>
  <c r="M29" i="10"/>
  <c r="L29" i="10"/>
  <c r="K29" i="10"/>
  <c r="J29" i="10"/>
  <c r="I29" i="10"/>
  <c r="H29" i="10"/>
  <c r="G29" i="10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28" i="10"/>
  <c r="F27" i="10"/>
  <c r="F26" i="10"/>
  <c r="C1" i="5"/>
  <c r="C1" i="32" s="1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B2" i="5" s="1"/>
  <c r="B2" i="32" s="1"/>
  <c r="N1" i="32"/>
  <c r="Q2" i="10"/>
  <c r="Q186" i="10" s="1"/>
  <c r="P2" i="10"/>
  <c r="P186" i="10" s="1"/>
  <c r="O2" i="10"/>
  <c r="O186" i="10" s="1"/>
  <c r="N2" i="10"/>
  <c r="N186" i="10" s="1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E68" i="32"/>
  <c r="G98" i="32"/>
  <c r="M97" i="32"/>
  <c r="C701" i="10" l="1"/>
  <c r="D701" i="10" s="1"/>
  <c r="F72" i="5"/>
  <c r="F72" i="32" s="1"/>
  <c r="J78" i="5"/>
  <c r="J78" i="32" s="1"/>
  <c r="C964" i="10"/>
  <c r="D964" i="10" s="1"/>
  <c r="C918" i="10"/>
  <c r="D918" i="10" s="1"/>
  <c r="C329" i="10"/>
  <c r="D329" i="10" s="1"/>
  <c r="C497" i="10"/>
  <c r="D497" i="10" s="1"/>
  <c r="C93" i="10"/>
  <c r="D93" i="10" s="1"/>
  <c r="C599" i="10"/>
  <c r="D599" i="10" s="1"/>
  <c r="C531" i="10"/>
  <c r="D531" i="10" s="1"/>
  <c r="C464" i="10"/>
  <c r="D464" i="10" s="1"/>
  <c r="C80" i="10"/>
  <c r="D80" i="10" s="1"/>
  <c r="C142" i="10"/>
  <c r="D142" i="10" s="1"/>
  <c r="C308" i="10"/>
  <c r="D308" i="10" s="1"/>
  <c r="C756" i="10"/>
  <c r="D756" i="10" s="1"/>
  <c r="C137" i="10"/>
  <c r="D137" i="10" s="1"/>
  <c r="C861" i="10"/>
  <c r="D861" i="10" s="1"/>
  <c r="C293" i="10"/>
  <c r="D293" i="10" s="1"/>
  <c r="C558" i="10"/>
  <c r="D558" i="10" s="1"/>
  <c r="C418" i="10"/>
  <c r="D418" i="10" s="1"/>
  <c r="C28" i="10"/>
  <c r="D28" i="10" s="1"/>
  <c r="C193" i="10"/>
  <c r="D193" i="10" s="1"/>
  <c r="C546" i="10"/>
  <c r="D546" i="10" s="1"/>
  <c r="C866" i="10"/>
  <c r="D866" i="10" s="1"/>
  <c r="C516" i="10"/>
  <c r="D516" i="10" s="1"/>
  <c r="C330" i="10"/>
  <c r="D330" i="10" s="1"/>
  <c r="C850" i="10"/>
  <c r="D850" i="10" s="1"/>
  <c r="C970" i="10"/>
  <c r="D970" i="10" s="1"/>
  <c r="C314" i="10"/>
  <c r="D314" i="10" s="1"/>
  <c r="C43" i="10"/>
  <c r="D43" i="10" s="1"/>
  <c r="C785" i="10"/>
  <c r="D785" i="10" s="1"/>
  <c r="C192" i="10"/>
  <c r="D192" i="10" s="1"/>
  <c r="C315" i="10"/>
  <c r="D315" i="10" s="1"/>
  <c r="C658" i="10"/>
  <c r="D658" i="10" s="1"/>
  <c r="C328" i="10"/>
  <c r="D328" i="10" s="1"/>
  <c r="C384" i="10"/>
  <c r="D384" i="10" s="1"/>
  <c r="C878" i="10"/>
  <c r="D878" i="10" s="1"/>
  <c r="C904" i="10"/>
  <c r="D904" i="10" s="1"/>
  <c r="C738" i="10"/>
  <c r="D738" i="10" s="1"/>
  <c r="C206" i="10"/>
  <c r="D206" i="10" s="1"/>
  <c r="C897" i="10"/>
  <c r="D897" i="10" s="1"/>
  <c r="C105" i="10"/>
  <c r="D105" i="10" s="1"/>
  <c r="C742" i="10"/>
  <c r="D742" i="10" s="1"/>
  <c r="C252" i="10"/>
  <c r="D252" i="10" s="1"/>
  <c r="C527" i="10"/>
  <c r="D527" i="10" s="1"/>
  <c r="C666" i="10"/>
  <c r="D666" i="10" s="1"/>
  <c r="C781" i="10"/>
  <c r="D781" i="10" s="1"/>
  <c r="C268" i="10"/>
  <c r="D268" i="10" s="1"/>
  <c r="C695" i="10"/>
  <c r="D695" i="10" s="1"/>
  <c r="C893" i="10"/>
  <c r="D893" i="10" s="1"/>
  <c r="C184" i="10"/>
  <c r="D184" i="10" s="1"/>
  <c r="C76" i="10"/>
  <c r="D76" i="10" s="1"/>
  <c r="C294" i="10"/>
  <c r="D294" i="10" s="1"/>
  <c r="C363" i="10"/>
  <c r="D363" i="10" s="1"/>
  <c r="C856" i="10"/>
  <c r="D856" i="10" s="1"/>
  <c r="C900" i="10"/>
  <c r="D900" i="10" s="1"/>
  <c r="M72" i="5"/>
  <c r="M72" i="32" s="1"/>
  <c r="C514" i="10"/>
  <c r="D514" i="10" s="1"/>
  <c r="C262" i="10"/>
  <c r="D262" i="10" s="1"/>
  <c r="C613" i="10"/>
  <c r="D613" i="10" s="1"/>
  <c r="D1" i="21"/>
  <c r="C126" i="10"/>
  <c r="D126" i="10" s="1"/>
  <c r="C181" i="10"/>
  <c r="D181" i="10" s="1"/>
  <c r="C76" i="5"/>
  <c r="C76" i="32" s="1"/>
  <c r="G71" i="5"/>
  <c r="G71" i="32" s="1"/>
  <c r="I78" i="5"/>
  <c r="I78" i="32" s="1"/>
  <c r="F69" i="5"/>
  <c r="F69" i="32" s="1"/>
  <c r="H70" i="5"/>
  <c r="H70" i="32" s="1"/>
  <c r="D62" i="5"/>
  <c r="D62" i="32" s="1"/>
  <c r="G89" i="5"/>
  <c r="E75" i="5"/>
  <c r="E75" i="32" s="1"/>
  <c r="M76" i="5"/>
  <c r="M76" i="32" s="1"/>
  <c r="O75" i="5"/>
  <c r="K62" i="5"/>
  <c r="K62" i="32" s="1"/>
  <c r="J69" i="5"/>
  <c r="J69" i="32" s="1"/>
  <c r="E76" i="5"/>
  <c r="E76" i="32" s="1"/>
  <c r="G61" i="5"/>
  <c r="G61" i="32" s="1"/>
  <c r="F76" i="5"/>
  <c r="K61" i="5"/>
  <c r="K61" i="32" s="1"/>
  <c r="G62" i="5"/>
  <c r="G62" i="32" s="1"/>
  <c r="O62" i="5"/>
  <c r="D76" i="5"/>
  <c r="D76" i="32" s="1"/>
  <c r="E70" i="5"/>
  <c r="E70" i="32" s="1"/>
  <c r="O77" i="5"/>
  <c r="M62" i="5"/>
  <c r="M62" i="32" s="1"/>
  <c r="O71" i="5"/>
  <c r="L77" i="5"/>
  <c r="L77" i="32" s="1"/>
  <c r="J70" i="5"/>
  <c r="J70" i="32" s="1"/>
  <c r="I75" i="5"/>
  <c r="I75" i="32" s="1"/>
  <c r="H78" i="5"/>
  <c r="H78" i="32" s="1"/>
  <c r="F61" i="5"/>
  <c r="F61" i="32" s="1"/>
  <c r="G72" i="5"/>
  <c r="G72" i="32" s="1"/>
  <c r="C78" i="5"/>
  <c r="C78" i="32" s="1"/>
  <c r="C61" i="10"/>
  <c r="D61" i="10" s="1"/>
  <c r="C107" i="10"/>
  <c r="D107" i="10" s="1"/>
  <c r="C182" i="10"/>
  <c r="D182" i="10" s="1"/>
  <c r="O70" i="5"/>
  <c r="G69" i="5"/>
  <c r="G69" i="32" s="1"/>
  <c r="K75" i="5"/>
  <c r="K75" i="32" s="1"/>
  <c r="N69" i="5"/>
  <c r="N69" i="32" s="1"/>
  <c r="N61" i="5"/>
  <c r="N61" i="32" s="1"/>
  <c r="L71" i="5"/>
  <c r="L71" i="32" s="1"/>
  <c r="L69" i="5"/>
  <c r="L69" i="32" s="1"/>
  <c r="L61" i="5"/>
  <c r="L61" i="32" s="1"/>
  <c r="F75" i="5"/>
  <c r="F75" i="32" s="1"/>
  <c r="E71" i="5"/>
  <c r="E71" i="32" s="1"/>
  <c r="C61" i="5"/>
  <c r="C61" i="32" s="1"/>
  <c r="M61" i="5"/>
  <c r="M61" i="32" s="1"/>
  <c r="I76" i="5"/>
  <c r="I76" i="32" s="1"/>
  <c r="L78" i="5"/>
  <c r="L78" i="32" s="1"/>
  <c r="H77" i="5"/>
  <c r="H77" i="32" s="1"/>
  <c r="G78" i="5"/>
  <c r="G78" i="32" s="1"/>
  <c r="G70" i="5"/>
  <c r="G70" i="32" s="1"/>
  <c r="G77" i="5"/>
  <c r="G77" i="32" s="1"/>
  <c r="H71" i="5"/>
  <c r="H71" i="32" s="1"/>
  <c r="D72" i="5"/>
  <c r="D72" i="32" s="1"/>
  <c r="C72" i="5"/>
  <c r="C72" i="32" s="1"/>
  <c r="E69" i="5"/>
  <c r="E69" i="32" s="1"/>
  <c r="C71" i="5"/>
  <c r="C71" i="32" s="1"/>
  <c r="L72" i="5"/>
  <c r="L72" i="32" s="1"/>
  <c r="J71" i="5"/>
  <c r="J71" i="32" s="1"/>
  <c r="F77" i="5"/>
  <c r="F77" i="32" s="1"/>
  <c r="N76" i="5"/>
  <c r="N76" i="32" s="1"/>
  <c r="I62" i="5"/>
  <c r="I62" i="32" s="1"/>
  <c r="E78" i="5"/>
  <c r="E78" i="32" s="1"/>
  <c r="O76" i="5"/>
  <c r="J61" i="5"/>
  <c r="J61" i="32" s="1"/>
  <c r="J77" i="5"/>
  <c r="N62" i="5"/>
  <c r="N62" i="32" s="1"/>
  <c r="D69" i="5"/>
  <c r="D69" i="32" s="1"/>
  <c r="C75" i="5"/>
  <c r="C75" i="32" s="1"/>
  <c r="H61" i="5"/>
  <c r="H61" i="32" s="1"/>
  <c r="K76" i="5"/>
  <c r="K76" i="32" s="1"/>
  <c r="N77" i="5"/>
  <c r="N77" i="32" s="1"/>
  <c r="C62" i="5"/>
  <c r="C62" i="32" s="1"/>
  <c r="E77" i="5"/>
  <c r="E77" i="32" s="1"/>
  <c r="J75" i="5"/>
  <c r="J75" i="32" s="1"/>
  <c r="L76" i="5"/>
  <c r="L76" i="32" s="1"/>
  <c r="K72" i="5"/>
  <c r="K72" i="32" s="1"/>
  <c r="E61" i="5"/>
  <c r="E61" i="32" s="1"/>
  <c r="F78" i="5"/>
  <c r="F78" i="32" s="1"/>
  <c r="D77" i="5"/>
  <c r="D77" i="32" s="1"/>
  <c r="C69" i="5"/>
  <c r="C69" i="32" s="1"/>
  <c r="I61" i="5"/>
  <c r="I61" i="32" s="1"/>
  <c r="J76" i="5"/>
  <c r="J76" i="32" s="1"/>
  <c r="D75" i="5"/>
  <c r="D75" i="32" s="1"/>
  <c r="L75" i="5"/>
  <c r="L75" i="32" s="1"/>
  <c r="O61" i="5"/>
  <c r="M69" i="5"/>
  <c r="M69" i="32" s="1"/>
  <c r="D70" i="5"/>
  <c r="D70" i="32" s="1"/>
  <c r="I69" i="5"/>
  <c r="I69" i="32" s="1"/>
  <c r="E72" i="5"/>
  <c r="E72" i="32" s="1"/>
  <c r="I71" i="5"/>
  <c r="I71" i="32" s="1"/>
  <c r="F71" i="5"/>
  <c r="F71" i="32" s="1"/>
  <c r="K69" i="5"/>
  <c r="K69" i="32" s="1"/>
  <c r="H69" i="5"/>
  <c r="H69" i="32" s="1"/>
  <c r="J62" i="5"/>
  <c r="J62" i="32" s="1"/>
  <c r="D71" i="5"/>
  <c r="D71" i="32" s="1"/>
  <c r="M70" i="5"/>
  <c r="M70" i="32" s="1"/>
  <c r="K71" i="5"/>
  <c r="K71" i="32" s="1"/>
  <c r="G76" i="5"/>
  <c r="G76" i="32" s="1"/>
  <c r="L62" i="5"/>
  <c r="L62" i="32" s="1"/>
  <c r="N70" i="5"/>
  <c r="N70" i="32" s="1"/>
  <c r="E62" i="5"/>
  <c r="E62" i="32" s="1"/>
  <c r="G75" i="5"/>
  <c r="G75" i="32" s="1"/>
  <c r="H62" i="5"/>
  <c r="H62" i="32" s="1"/>
  <c r="D61" i="5"/>
  <c r="D61" i="32" s="1"/>
  <c r="H75" i="5"/>
  <c r="H75" i="32" s="1"/>
  <c r="C70" i="5"/>
  <c r="C70" i="32" s="1"/>
  <c r="M75" i="5"/>
  <c r="M75" i="32" s="1"/>
  <c r="C77" i="5"/>
  <c r="C77" i="32" s="1"/>
  <c r="M71" i="5"/>
  <c r="M71" i="32" s="1"/>
  <c r="O69" i="5"/>
  <c r="F62" i="5"/>
  <c r="F62" i="32" s="1"/>
  <c r="N75" i="5"/>
  <c r="N75" i="32" s="1"/>
  <c r="I70" i="5"/>
  <c r="I70" i="32" s="1"/>
  <c r="N71" i="5"/>
  <c r="N71" i="32" s="1"/>
  <c r="I77" i="5"/>
  <c r="I77" i="32" s="1"/>
  <c r="H76" i="5"/>
  <c r="H76" i="32" s="1"/>
  <c r="M77" i="5"/>
  <c r="M77" i="32" s="1"/>
  <c r="F70" i="5"/>
  <c r="F70" i="32" s="1"/>
  <c r="K77" i="5"/>
  <c r="K77" i="32" s="1"/>
  <c r="K70" i="5"/>
  <c r="K70" i="32" s="1"/>
  <c r="N72" i="5"/>
  <c r="N72" i="32" s="1"/>
  <c r="F68" i="32"/>
  <c r="K89" i="5"/>
  <c r="C590" i="10"/>
  <c r="D590" i="10" s="1"/>
  <c r="C971" i="10"/>
  <c r="D971" i="10" s="1"/>
  <c r="C162" i="10"/>
  <c r="D162" i="10" s="1"/>
  <c r="C872" i="10"/>
  <c r="D872" i="10" s="1"/>
  <c r="C733" i="10"/>
  <c r="D733" i="10" s="1"/>
  <c r="C941" i="10"/>
  <c r="D941" i="10" s="1"/>
  <c r="C190" i="10"/>
  <c r="D190" i="10" s="1"/>
  <c r="C247" i="10"/>
  <c r="D247" i="10" s="1"/>
  <c r="C608" i="10"/>
  <c r="D608" i="10" s="1"/>
  <c r="C961" i="10"/>
  <c r="D961" i="10" s="1"/>
  <c r="I89" i="32"/>
  <c r="H186" i="10"/>
  <c r="H5" i="10" s="1"/>
  <c r="I186" i="10"/>
  <c r="I5" i="10" s="1"/>
  <c r="J186" i="10"/>
  <c r="J5" i="10" s="1"/>
  <c r="N5" i="10"/>
  <c r="K186" i="10"/>
  <c r="O5" i="10"/>
  <c r="G186" i="10"/>
  <c r="G5" i="10" s="1"/>
  <c r="L186" i="10"/>
  <c r="L5" i="10" s="1"/>
  <c r="P5" i="10"/>
  <c r="F186" i="10"/>
  <c r="M186" i="10"/>
  <c r="M5" i="10" s="1"/>
  <c r="Q5" i="10"/>
  <c r="M78" i="5"/>
  <c r="M78" i="32" s="1"/>
  <c r="I72" i="5"/>
  <c r="I72" i="32" s="1"/>
  <c r="O97" i="5"/>
  <c r="N78" i="5"/>
  <c r="N78" i="32" s="1"/>
  <c r="J72" i="5"/>
  <c r="J72" i="32" s="1"/>
  <c r="L74" i="32"/>
  <c r="L99" i="32"/>
  <c r="M94" i="5"/>
  <c r="D89" i="5"/>
  <c r="K89" i="32"/>
  <c r="L89" i="5"/>
  <c r="O92" i="5"/>
  <c r="E89" i="32"/>
  <c r="G68" i="32"/>
  <c r="N89" i="5"/>
  <c r="M89" i="32"/>
  <c r="J89" i="32"/>
  <c r="D99" i="5"/>
  <c r="M89" i="5"/>
  <c r="I99" i="5"/>
  <c r="J74" i="32"/>
  <c r="R28" i="10"/>
  <c r="R27" i="10"/>
  <c r="K78" i="5"/>
  <c r="K78" i="32" s="1"/>
  <c r="H72" i="5"/>
  <c r="H72" i="32" s="1"/>
  <c r="D78" i="5"/>
  <c r="D78" i="32" s="1"/>
  <c r="E89" i="5"/>
  <c r="L87" i="32"/>
  <c r="H89" i="32"/>
  <c r="D87" i="32"/>
  <c r="D89" i="32" s="1"/>
  <c r="O98" i="32"/>
  <c r="F74" i="32"/>
  <c r="O93" i="5"/>
  <c r="O89" i="5"/>
  <c r="F89" i="32"/>
  <c r="L89" i="32"/>
  <c r="O74" i="5"/>
  <c r="O78" i="5" s="1"/>
  <c r="R29" i="10"/>
  <c r="H89" i="5"/>
  <c r="O98" i="5"/>
  <c r="I89" i="5"/>
  <c r="G87" i="32"/>
  <c r="G89" i="32" s="1"/>
  <c r="D97" i="32"/>
  <c r="D99" i="32" s="1"/>
  <c r="R26" i="10"/>
  <c r="N89" i="32"/>
  <c r="C89" i="32"/>
  <c r="O88" i="32"/>
  <c r="C89" i="5"/>
  <c r="E74" i="32"/>
  <c r="J89" i="5"/>
  <c r="C322" i="10"/>
  <c r="D322" i="10" s="1"/>
  <c r="C873" i="10"/>
  <c r="D873" i="10" s="1"/>
  <c r="C267" i="10"/>
  <c r="D267" i="10" s="1"/>
  <c r="C466" i="10"/>
  <c r="D466" i="10" s="1"/>
  <c r="C146" i="10"/>
  <c r="D146" i="10" s="1"/>
  <c r="C912" i="10"/>
  <c r="D912" i="10" s="1"/>
  <c r="C348" i="10"/>
  <c r="D348" i="10" s="1"/>
  <c r="C536" i="10"/>
  <c r="D536" i="10" s="1"/>
  <c r="C336" i="10"/>
  <c r="D336" i="10" s="1"/>
  <c r="C201" i="10"/>
  <c r="D201" i="10" s="1"/>
  <c r="C959" i="10"/>
  <c r="D959" i="10" s="1"/>
  <c r="C156" i="10"/>
  <c r="D156" i="10" s="1"/>
  <c r="C164" i="10"/>
  <c r="D164" i="10" s="1"/>
  <c r="C638" i="10"/>
  <c r="D638" i="10" s="1"/>
  <c r="C648" i="10"/>
  <c r="D648" i="10" s="1"/>
  <c r="C202" i="10"/>
  <c r="D202" i="10" s="1"/>
  <c r="C593" i="10"/>
  <c r="D593" i="10" s="1"/>
  <c r="C490" i="10"/>
  <c r="D490" i="10" s="1"/>
  <c r="C358" i="10"/>
  <c r="D358" i="10" s="1"/>
  <c r="C713" i="10"/>
  <c r="D713" i="10" s="1"/>
  <c r="C321" i="10"/>
  <c r="D321" i="10" s="1"/>
  <c r="C580" i="10"/>
  <c r="D580" i="10" s="1"/>
  <c r="C840" i="10"/>
  <c r="D840" i="10" s="1"/>
  <c r="C671" i="10"/>
  <c r="D671" i="10" s="1"/>
  <c r="C504" i="10"/>
  <c r="D504" i="10" s="1"/>
  <c r="C933" i="10"/>
  <c r="D933" i="10" s="1"/>
  <c r="C387" i="10"/>
  <c r="D387" i="10" s="1"/>
  <c r="C478" i="10"/>
  <c r="D478" i="10" s="1"/>
  <c r="C951" i="10"/>
  <c r="D951" i="10" s="1"/>
  <c r="C886" i="10"/>
  <c r="D886" i="10" s="1"/>
  <c r="C344" i="10"/>
  <c r="D344" i="10" s="1"/>
  <c r="C74" i="32"/>
  <c r="F89" i="5"/>
  <c r="O68" i="5"/>
  <c r="O72" i="5" s="1"/>
  <c r="C133" i="10"/>
  <c r="D133" i="10" s="1"/>
  <c r="C888" i="10"/>
  <c r="D888" i="10" s="1"/>
  <c r="C952" i="10"/>
  <c r="D952" i="10" s="1"/>
  <c r="C908" i="10"/>
  <c r="D908" i="10" s="1"/>
  <c r="C517" i="10"/>
  <c r="D517" i="10" s="1"/>
  <c r="C815" i="10"/>
  <c r="D815" i="10" s="1"/>
  <c r="C734" i="10"/>
  <c r="D734" i="10" s="1"/>
  <c r="C261" i="10"/>
  <c r="D261" i="10" s="1"/>
  <c r="C481" i="10"/>
  <c r="D481" i="10" s="1"/>
  <c r="C929" i="10"/>
  <c r="D929" i="10" s="1"/>
  <c r="C411" i="10"/>
  <c r="D411" i="10" s="1"/>
  <c r="C844" i="10"/>
  <c r="D844" i="10" s="1"/>
  <c r="C499" i="10"/>
  <c r="D499" i="10" s="1"/>
  <c r="C960" i="10"/>
  <c r="D960" i="10" s="1"/>
  <c r="C327" i="10"/>
  <c r="D327" i="10" s="1"/>
  <c r="C806" i="10"/>
  <c r="D806" i="10" s="1"/>
  <c r="C284" i="10"/>
  <c r="D284" i="10" s="1"/>
  <c r="C812" i="10"/>
  <c r="D812" i="10" s="1"/>
  <c r="C99" i="10"/>
  <c r="D99" i="10" s="1"/>
  <c r="C81" i="10"/>
  <c r="D81" i="10" s="1"/>
  <c r="C635" i="10"/>
  <c r="D635" i="10" s="1"/>
  <c r="C286" i="10"/>
  <c r="D286" i="10" s="1"/>
  <c r="C297" i="10"/>
  <c r="D297" i="10" s="1"/>
  <c r="C420" i="10"/>
  <c r="D420" i="10" s="1"/>
  <c r="C353" i="10"/>
  <c r="D353" i="10" s="1"/>
  <c r="C732" i="10"/>
  <c r="D732" i="10" s="1"/>
  <c r="C803" i="10"/>
  <c r="D803" i="10" s="1"/>
  <c r="C241" i="10"/>
  <c r="D241" i="10" s="1"/>
  <c r="C550" i="10"/>
  <c r="D550" i="10" s="1"/>
  <c r="C513" i="10"/>
  <c r="D513" i="10" s="1"/>
  <c r="C303" i="10"/>
  <c r="D303" i="10" s="1"/>
  <c r="C439" i="10"/>
  <c r="D439" i="10" s="1"/>
  <c r="C419" i="10"/>
  <c r="D419" i="10" s="1"/>
  <c r="C938" i="10"/>
  <c r="D938" i="10" s="1"/>
  <c r="C254" i="10"/>
  <c r="D254" i="10" s="1"/>
  <c r="C755" i="10"/>
  <c r="D755" i="10" s="1"/>
  <c r="C774" i="10"/>
  <c r="D774" i="10" s="1"/>
  <c r="C796" i="10"/>
  <c r="D796" i="10" s="1"/>
  <c r="C973" i="10"/>
  <c r="D973" i="10" s="1"/>
  <c r="C357" i="10"/>
  <c r="D357" i="10" s="1"/>
  <c r="C632" i="10"/>
  <c r="D632" i="10" s="1"/>
  <c r="C404" i="10"/>
  <c r="D404" i="10" s="1"/>
  <c r="C41" i="10"/>
  <c r="D41" i="10" s="1"/>
  <c r="C145" i="10"/>
  <c r="D145" i="10" s="1"/>
  <c r="C467" i="10"/>
  <c r="D467" i="10" s="1"/>
  <c r="C945" i="10"/>
  <c r="D945" i="10" s="1"/>
  <c r="C39" i="10"/>
  <c r="D39" i="10" s="1"/>
  <c r="C74" i="10"/>
  <c r="D74" i="10" s="1"/>
  <c r="C412" i="10"/>
  <c r="D412" i="10" s="1"/>
  <c r="C283" i="10"/>
  <c r="D283" i="10" s="1"/>
  <c r="C745" i="10"/>
  <c r="D745" i="10" s="1"/>
  <c r="C836" i="10"/>
  <c r="D836" i="10" s="1"/>
  <c r="C240" i="10"/>
  <c r="D240" i="10" s="1"/>
  <c r="C703" i="10"/>
  <c r="D703" i="10" s="1"/>
  <c r="C26" i="10"/>
  <c r="D26" i="10" s="1"/>
  <c r="C429" i="10"/>
  <c r="D429" i="10" s="1"/>
  <c r="C331" i="10"/>
  <c r="D331" i="10" s="1"/>
  <c r="C248" i="10"/>
  <c r="D248" i="10" s="1"/>
  <c r="C473" i="10"/>
  <c r="D473" i="10" s="1"/>
  <c r="C480" i="10"/>
  <c r="D480" i="10" s="1"/>
  <c r="C205" i="10"/>
  <c r="D205" i="10" s="1"/>
  <c r="C884" i="10"/>
  <c r="D884" i="10" s="1"/>
  <c r="C154" i="10"/>
  <c r="D154" i="10" s="1"/>
  <c r="C519" i="10"/>
  <c r="D519" i="10" s="1"/>
  <c r="C554" i="10"/>
  <c r="D554" i="10" s="1"/>
  <c r="C289" i="10"/>
  <c r="D289" i="10" s="1"/>
  <c r="C793" i="10"/>
  <c r="D793" i="10" s="1"/>
  <c r="C346" i="10"/>
  <c r="D346" i="10" s="1"/>
  <c r="C408" i="10"/>
  <c r="D408" i="10" s="1"/>
  <c r="C219" i="10"/>
  <c r="D219" i="10" s="1"/>
  <c r="C575" i="10"/>
  <c r="D575" i="10" s="1"/>
  <c r="C627" i="10"/>
  <c r="D627" i="10" s="1"/>
  <c r="C319" i="10"/>
  <c r="D319" i="10" s="1"/>
  <c r="C767" i="10"/>
  <c r="D767" i="10" s="1"/>
  <c r="C406" i="10"/>
  <c r="D406" i="10" s="1"/>
  <c r="C477" i="10"/>
  <c r="D477" i="10" s="1"/>
  <c r="C209" i="10"/>
  <c r="D209" i="10" s="1"/>
  <c r="C602" i="10"/>
  <c r="D602" i="10" s="1"/>
  <c r="C677" i="10"/>
  <c r="D677" i="10" s="1"/>
  <c r="C764" i="10"/>
  <c r="D764" i="10" s="1"/>
  <c r="C35" i="10"/>
  <c r="D35" i="10" s="1"/>
  <c r="C931" i="10"/>
  <c r="D931" i="10" s="1"/>
  <c r="C440" i="10"/>
  <c r="D440" i="10" s="1"/>
  <c r="C144" i="10"/>
  <c r="D144" i="10" s="1"/>
  <c r="C857" i="10"/>
  <c r="D857" i="10" s="1"/>
  <c r="C892" i="10"/>
  <c r="D892" i="10" s="1"/>
  <c r="C175" i="10"/>
  <c r="D175" i="10" s="1"/>
  <c r="C692" i="10"/>
  <c r="D692" i="10" s="1"/>
  <c r="C868" i="10"/>
  <c r="D868" i="10" s="1"/>
  <c r="C934" i="10"/>
  <c r="D934" i="10" s="1"/>
  <c r="C320" i="10"/>
  <c r="D320" i="10" s="1"/>
  <c r="C72" i="10"/>
  <c r="D72" i="10" s="1"/>
  <c r="C153" i="10"/>
  <c r="D153" i="10" s="1"/>
  <c r="C772" i="10"/>
  <c r="D772" i="10" s="1"/>
  <c r="C305" i="10"/>
  <c r="D305" i="10" s="1"/>
  <c r="C483" i="10"/>
  <c r="D483" i="10" s="1"/>
  <c r="C629" i="10"/>
  <c r="D629" i="10" s="1"/>
  <c r="C842" i="10"/>
  <c r="D842" i="10" s="1"/>
  <c r="C275" i="10"/>
  <c r="D275" i="10" s="1"/>
  <c r="C773" i="10"/>
  <c r="D773" i="10" s="1"/>
  <c r="C73" i="10"/>
  <c r="D73" i="10" s="1"/>
  <c r="C121" i="10"/>
  <c r="D121" i="10" s="1"/>
  <c r="C409" i="10"/>
  <c r="D409" i="10" s="1"/>
  <c r="C57" i="10"/>
  <c r="D57" i="10" s="1"/>
  <c r="C300" i="10"/>
  <c r="D300" i="10" s="1"/>
  <c r="C837" i="10"/>
  <c r="D837" i="10" s="1"/>
  <c r="C948" i="10"/>
  <c r="D948" i="10" s="1"/>
  <c r="C246" i="10"/>
  <c r="D246" i="10" s="1"/>
  <c r="C545" i="10"/>
  <c r="D545" i="10" s="1"/>
  <c r="C911" i="10"/>
  <c r="D911" i="10" s="1"/>
  <c r="C106" i="10"/>
  <c r="D106" i="10" s="1"/>
  <c r="C170" i="10"/>
  <c r="D170" i="10" s="1"/>
  <c r="C49" i="10"/>
  <c r="D49" i="10" s="1"/>
  <c r="C391" i="10"/>
  <c r="D391" i="10" s="1"/>
  <c r="C610" i="10"/>
  <c r="D610" i="10" s="1"/>
  <c r="C318" i="10"/>
  <c r="D318" i="10" s="1"/>
  <c r="C361" i="10"/>
  <c r="D361" i="10" s="1"/>
  <c r="C196" i="10"/>
  <c r="D196" i="10" s="1"/>
  <c r="C449" i="10"/>
  <c r="D449" i="10" s="1"/>
  <c r="C402" i="10"/>
  <c r="D402" i="10" s="1"/>
  <c r="C435" i="10"/>
  <c r="D435" i="10" s="1"/>
  <c r="C371" i="10"/>
  <c r="D371" i="10" s="1"/>
  <c r="C89" i="10"/>
  <c r="D89" i="10" s="1"/>
  <c r="C524" i="10"/>
  <c r="D524" i="10" s="1"/>
  <c r="C817" i="10"/>
  <c r="D817" i="10" s="1"/>
  <c r="C191" i="10"/>
  <c r="D191" i="10" s="1"/>
  <c r="G97" i="32"/>
  <c r="G99" i="32" s="1"/>
  <c r="G99" i="5"/>
  <c r="F76" i="32"/>
  <c r="C962" i="10"/>
  <c r="D962" i="10" s="1"/>
  <c r="C581" i="10"/>
  <c r="D581" i="10" s="1"/>
  <c r="C906" i="10"/>
  <c r="D906" i="10" s="1"/>
  <c r="C919" i="10"/>
  <c r="D919" i="10" s="1"/>
  <c r="C823" i="10"/>
  <c r="D823" i="10" s="1"/>
  <c r="C129" i="10"/>
  <c r="D129" i="10" s="1"/>
  <c r="C356" i="10"/>
  <c r="D356" i="10" s="1"/>
  <c r="C940" i="10"/>
  <c r="D940" i="10" s="1"/>
  <c r="C462" i="10"/>
  <c r="D462" i="10" s="1"/>
  <c r="C33" i="10"/>
  <c r="D33" i="10" s="1"/>
  <c r="C389" i="10"/>
  <c r="D389" i="10" s="1"/>
  <c r="C31" i="10"/>
  <c r="D31" i="10" s="1"/>
  <c r="C542" i="10"/>
  <c r="D542" i="10" s="1"/>
  <c r="C905" i="10"/>
  <c r="D905" i="10" s="1"/>
  <c r="C883" i="10"/>
  <c r="D883" i="10" s="1"/>
  <c r="C723" i="10"/>
  <c r="D723" i="10" s="1"/>
  <c r="C38" i="10"/>
  <c r="D38" i="10" s="1"/>
  <c r="C338" i="10"/>
  <c r="D338" i="10" s="1"/>
  <c r="C250" i="10"/>
  <c r="D250" i="10" s="1"/>
  <c r="C579" i="10"/>
  <c r="D579" i="10" s="1"/>
  <c r="C447" i="10"/>
  <c r="D447" i="10" s="1"/>
  <c r="C489" i="10"/>
  <c r="D489" i="10" s="1"/>
  <c r="C281" i="10"/>
  <c r="D281" i="10" s="1"/>
  <c r="C737" i="10"/>
  <c r="D737" i="10" s="1"/>
  <c r="C777" i="10"/>
  <c r="D777" i="10" s="1"/>
  <c r="C113" i="10"/>
  <c r="D113" i="10" s="1"/>
  <c r="C278" i="10"/>
  <c r="D278" i="10" s="1"/>
  <c r="C727" i="10"/>
  <c r="D727" i="10" s="1"/>
  <c r="C827" i="10"/>
  <c r="D827" i="10" s="1"/>
  <c r="C623" i="10"/>
  <c r="D623" i="10" s="1"/>
  <c r="C263" i="10"/>
  <c r="D263" i="10" s="1"/>
  <c r="C94" i="10"/>
  <c r="D94" i="10" s="1"/>
  <c r="C809" i="10"/>
  <c r="D809" i="10" s="1"/>
  <c r="C474" i="10"/>
  <c r="D474" i="10" s="1"/>
  <c r="C843" i="10"/>
  <c r="D843" i="10" s="1"/>
  <c r="C381" i="10"/>
  <c r="D381" i="10" s="1"/>
  <c r="C218" i="10"/>
  <c r="D218" i="10" s="1"/>
  <c r="L99" i="5"/>
  <c r="C852" i="10"/>
  <c r="D852" i="10" s="1"/>
  <c r="C848" i="10"/>
  <c r="D848" i="10" s="1"/>
  <c r="C799" i="10"/>
  <c r="D799" i="10" s="1"/>
  <c r="C875" i="10"/>
  <c r="D875" i="10" s="1"/>
  <c r="C705" i="10"/>
  <c r="D705" i="10" s="1"/>
  <c r="C220" i="10"/>
  <c r="D220" i="10" s="1"/>
  <c r="C854" i="10"/>
  <c r="D854" i="10" s="1"/>
  <c r="C366" i="10"/>
  <c r="D366" i="10" s="1"/>
  <c r="C921" i="10"/>
  <c r="D921" i="10" s="1"/>
  <c r="C50" i="10"/>
  <c r="D50" i="10" s="1"/>
  <c r="C101" i="10"/>
  <c r="D101" i="10" s="1"/>
  <c r="C168" i="10"/>
  <c r="D168" i="10" s="1"/>
  <c r="C925" i="10"/>
  <c r="D925" i="10" s="1"/>
  <c r="C789" i="10"/>
  <c r="D789" i="10" s="1"/>
  <c r="C708" i="10"/>
  <c r="D708" i="10" s="1"/>
  <c r="C52" i="10"/>
  <c r="D52" i="10" s="1"/>
  <c r="C27" i="10"/>
  <c r="D27" i="10" s="1"/>
  <c r="C813" i="10"/>
  <c r="D813" i="10" s="1"/>
  <c r="C798" i="10"/>
  <c r="D798" i="10" s="1"/>
  <c r="C487" i="10"/>
  <c r="D487" i="10" s="1"/>
  <c r="C369" i="10"/>
  <c r="D369" i="10" s="1"/>
  <c r="C549" i="10"/>
  <c r="D549" i="10" s="1"/>
  <c r="C183" i="10"/>
  <c r="D183" i="10" s="1"/>
  <c r="C494" i="10"/>
  <c r="D494" i="10" s="1"/>
  <c r="C915" i="10"/>
  <c r="D915" i="10" s="1"/>
  <c r="C340" i="10"/>
  <c r="D340" i="10" s="1"/>
  <c r="C114" i="10"/>
  <c r="D114" i="10" s="1"/>
  <c r="C826" i="10"/>
  <c r="D826" i="10" s="1"/>
  <c r="C390" i="10"/>
  <c r="D390" i="10" s="1"/>
  <c r="C927" i="10"/>
  <c r="D927" i="10" s="1"/>
  <c r="C456" i="10"/>
  <c r="D456" i="10" s="1"/>
  <c r="C685" i="10"/>
  <c r="D685" i="10" s="1"/>
  <c r="C84" i="10"/>
  <c r="D84" i="10" s="1"/>
  <c r="C163" i="10"/>
  <c r="D163" i="10" s="1"/>
  <c r="C398" i="10"/>
  <c r="D398" i="10" s="1"/>
  <c r="C438" i="10"/>
  <c r="D438" i="10" s="1"/>
  <c r="C260" i="10"/>
  <c r="D260" i="10" s="1"/>
  <c r="C373" i="10"/>
  <c r="D373" i="10" s="1"/>
  <c r="C452" i="10"/>
  <c r="D452" i="10" s="1"/>
  <c r="C724" i="10"/>
  <c r="D724" i="10" s="1"/>
  <c r="C51" i="10"/>
  <c r="D51" i="10" s="1"/>
  <c r="C242" i="10"/>
  <c r="D242" i="10" s="1"/>
  <c r="C521" i="10"/>
  <c r="D521" i="10" s="1"/>
  <c r="C563" i="10"/>
  <c r="D563" i="10" s="1"/>
  <c r="C311" i="10"/>
  <c r="D311" i="10" s="1"/>
  <c r="C469" i="10"/>
  <c r="D469" i="10" s="1"/>
  <c r="C455" i="10"/>
  <c r="D455" i="10" s="1"/>
  <c r="C859" i="10"/>
  <c r="D859" i="10" s="1"/>
  <c r="C63" i="10"/>
  <c r="D63" i="10" s="1"/>
  <c r="C253" i="10"/>
  <c r="D253" i="10" s="1"/>
  <c r="C577" i="10"/>
  <c r="D577" i="10" s="1"/>
  <c r="C285" i="10"/>
  <c r="D285" i="10" s="1"/>
  <c r="C413" i="10"/>
  <c r="D413" i="10" s="1"/>
  <c r="C511" i="10"/>
  <c r="D511" i="10" s="1"/>
  <c r="C862" i="10"/>
  <c r="D862" i="10" s="1"/>
  <c r="C937" i="10"/>
  <c r="D937" i="10" s="1"/>
  <c r="C426" i="10"/>
  <c r="D426" i="10" s="1"/>
  <c r="C459" i="10"/>
  <c r="D459" i="10" s="1"/>
  <c r="C54" i="10"/>
  <c r="D54" i="10" s="1"/>
  <c r="C907" i="10"/>
  <c r="D907" i="10" s="1"/>
  <c r="C139" i="10"/>
  <c r="D139" i="10" s="1"/>
  <c r="C207" i="10"/>
  <c r="D207" i="10" s="1"/>
  <c r="C731" i="10"/>
  <c r="D731" i="10" s="1"/>
  <c r="C759" i="10"/>
  <c r="D759" i="10" s="1"/>
  <c r="C295" i="10"/>
  <c r="D295" i="10" s="1"/>
  <c r="C791" i="10"/>
  <c r="D791" i="10" s="1"/>
  <c r="C846" i="10"/>
  <c r="D846" i="10" s="1"/>
  <c r="M99" i="5"/>
  <c r="H99" i="32"/>
  <c r="C377" i="10"/>
  <c r="D377" i="10" s="1"/>
  <c r="C851" i="10"/>
  <c r="D851" i="10" s="1"/>
  <c r="C75" i="10"/>
  <c r="D75" i="10" s="1"/>
  <c r="C688" i="10"/>
  <c r="D688" i="10" s="1"/>
  <c r="C134" i="10"/>
  <c r="D134" i="10" s="1"/>
  <c r="C317" i="10"/>
  <c r="D317" i="10" s="1"/>
  <c r="C290" i="10"/>
  <c r="D290" i="10" s="1"/>
  <c r="C166" i="10"/>
  <c r="D166" i="10" s="1"/>
  <c r="C972" i="10"/>
  <c r="D972" i="10" s="1"/>
  <c r="C249" i="10"/>
  <c r="D249" i="10" s="1"/>
  <c r="C460" i="10"/>
  <c r="D460" i="10" s="1"/>
  <c r="C647" i="10"/>
  <c r="D647" i="10" s="1"/>
  <c r="C212" i="10"/>
  <c r="D212" i="10" s="1"/>
  <c r="C523" i="10"/>
  <c r="D523" i="10" s="1"/>
  <c r="C138" i="10"/>
  <c r="D138" i="10" s="1"/>
  <c r="C653" i="10"/>
  <c r="D653" i="10" s="1"/>
  <c r="C125" i="10"/>
  <c r="D125" i="10" s="1"/>
  <c r="C194" i="10"/>
  <c r="D194" i="10" s="1"/>
  <c r="C569" i="10"/>
  <c r="D569" i="10" s="1"/>
  <c r="C890" i="10"/>
  <c r="D890" i="10" s="1"/>
  <c r="C165" i="10"/>
  <c r="D165" i="10" s="1"/>
  <c r="C721" i="10"/>
  <c r="D721" i="10" s="1"/>
  <c r="C257" i="10"/>
  <c r="D257" i="10" s="1"/>
  <c r="C525" i="10"/>
  <c r="D525" i="10" s="1"/>
  <c r="C454" i="10"/>
  <c r="D454" i="10" s="1"/>
  <c r="C867" i="10"/>
  <c r="D867" i="10" s="1"/>
  <c r="C637" i="10"/>
  <c r="D637" i="10" s="1"/>
  <c r="C736" i="10"/>
  <c r="D736" i="10" s="1"/>
  <c r="C197" i="10"/>
  <c r="D197" i="10" s="1"/>
  <c r="C968" i="10"/>
  <c r="D968" i="10" s="1"/>
  <c r="C505" i="10"/>
  <c r="D505" i="10" s="1"/>
  <c r="C87" i="10"/>
  <c r="D87" i="10" s="1"/>
  <c r="C899" i="10"/>
  <c r="D899" i="10" s="1"/>
  <c r="C910" i="10"/>
  <c r="D910" i="10" s="1"/>
  <c r="C90" i="10"/>
  <c r="D90" i="10" s="1"/>
  <c r="C393" i="10"/>
  <c r="D393" i="10" s="1"/>
  <c r="C928" i="10"/>
  <c r="D928" i="10" s="1"/>
  <c r="C818" i="10"/>
  <c r="D818" i="10" s="1"/>
  <c r="C453" i="10"/>
  <c r="D453" i="10" s="1"/>
  <c r="C58" i="10"/>
  <c r="D58" i="10" s="1"/>
  <c r="C424" i="10"/>
  <c r="D424" i="10" s="1"/>
  <c r="C276" i="10"/>
  <c r="D276" i="10" s="1"/>
  <c r="C405" i="10"/>
  <c r="D405" i="10" s="1"/>
  <c r="C503" i="10"/>
  <c r="D503" i="10" s="1"/>
  <c r="C763" i="10"/>
  <c r="D763" i="10" s="1"/>
  <c r="C592" i="10"/>
  <c r="D592" i="10" s="1"/>
  <c r="C616" i="10"/>
  <c r="D616" i="10" s="1"/>
  <c r="C644" i="10"/>
  <c r="D644" i="10" s="1"/>
  <c r="C720" i="10"/>
  <c r="D720" i="10" s="1"/>
  <c r="C780" i="10"/>
  <c r="D780" i="10" s="1"/>
  <c r="C172" i="10"/>
  <c r="D172" i="10" s="1"/>
  <c r="C811" i="10"/>
  <c r="D811" i="10" s="1"/>
  <c r="C887" i="10"/>
  <c r="D887" i="10" s="1"/>
  <c r="C894" i="10"/>
  <c r="D894" i="10" s="1"/>
  <c r="C758" i="10"/>
  <c r="D758" i="10" s="1"/>
  <c r="C488" i="10"/>
  <c r="D488" i="10" s="1"/>
  <c r="C71" i="10"/>
  <c r="D71" i="10" s="1"/>
  <c r="C189" i="10"/>
  <c r="D189" i="10" s="1"/>
  <c r="C824" i="10"/>
  <c r="D824" i="10" s="1"/>
  <c r="C762" i="10"/>
  <c r="D762" i="10" s="1"/>
  <c r="C942" i="10"/>
  <c r="D942" i="10" s="1"/>
  <c r="C158" i="10"/>
  <c r="D158" i="10" s="1"/>
  <c r="C132" i="10"/>
  <c r="D132" i="10" s="1"/>
  <c r="C108" i="10"/>
  <c r="D108" i="10" s="1"/>
  <c r="C203" i="10"/>
  <c r="D203" i="10" s="1"/>
  <c r="C316" i="10"/>
  <c r="D316" i="10" s="1"/>
  <c r="C668" i="10"/>
  <c r="D668" i="10" s="1"/>
  <c r="C821" i="10"/>
  <c r="D821" i="10" s="1"/>
  <c r="C860" i="10"/>
  <c r="D860" i="10" s="1"/>
  <c r="C103" i="10"/>
  <c r="D103" i="10" s="1"/>
  <c r="C955" i="10"/>
  <c r="D955" i="10" s="1"/>
  <c r="C167" i="10"/>
  <c r="D167" i="10" s="1"/>
  <c r="C775" i="10"/>
  <c r="D775" i="10" s="1"/>
  <c r="C936" i="10"/>
  <c r="D936" i="10" s="1"/>
  <c r="C697" i="10"/>
  <c r="D697" i="10" s="1"/>
  <c r="C157" i="10"/>
  <c r="D157" i="10" s="1"/>
  <c r="C98" i="10"/>
  <c r="D98" i="10" s="1"/>
  <c r="C967" i="10"/>
  <c r="D967" i="10" s="1"/>
  <c r="C502" i="10"/>
  <c r="D502" i="10" s="1"/>
  <c r="C833" i="10"/>
  <c r="D833" i="10" s="1"/>
  <c r="C582" i="10"/>
  <c r="D582" i="10" s="1"/>
  <c r="C709" i="10"/>
  <c r="D709" i="10" s="1"/>
  <c r="C746" i="10"/>
  <c r="D746" i="10" s="1"/>
  <c r="C380" i="10"/>
  <c r="D380" i="10" s="1"/>
  <c r="C178" i="10"/>
  <c r="D178" i="10" s="1"/>
  <c r="C750" i="10"/>
  <c r="D750" i="10" s="1"/>
  <c r="C110" i="10"/>
  <c r="D110" i="10" s="1"/>
  <c r="C808" i="10"/>
  <c r="D808" i="10" s="1"/>
  <c r="C650" i="10"/>
  <c r="D650" i="10" s="1"/>
  <c r="C66" i="10"/>
  <c r="D66" i="10" s="1"/>
  <c r="C258" i="10"/>
  <c r="D258" i="10" s="1"/>
  <c r="C468" i="10"/>
  <c r="D468" i="10" s="1"/>
  <c r="C659" i="10"/>
  <c r="D659" i="10" s="1"/>
  <c r="C757" i="10"/>
  <c r="D757" i="10" s="1"/>
  <c r="C958" i="10"/>
  <c r="D958" i="10" s="1"/>
  <c r="C845" i="10"/>
  <c r="D845" i="10" s="1"/>
  <c r="C150" i="10"/>
  <c r="D150" i="10" s="1"/>
  <c r="C625" i="10"/>
  <c r="D625" i="10" s="1"/>
  <c r="C208" i="10"/>
  <c r="D208" i="10" s="1"/>
  <c r="C555" i="10"/>
  <c r="D555" i="10" s="1"/>
  <c r="C302" i="10"/>
  <c r="D302" i="10" s="1"/>
  <c r="C573" i="10"/>
  <c r="D573" i="10" s="1"/>
  <c r="C313" i="10"/>
  <c r="D313" i="10" s="1"/>
  <c r="C501" i="10"/>
  <c r="D501" i="10" s="1"/>
  <c r="C585" i="10"/>
  <c r="D585" i="10" s="1"/>
  <c r="C624" i="10"/>
  <c r="D624" i="10" s="1"/>
  <c r="C675" i="10"/>
  <c r="D675" i="10" s="1"/>
  <c r="C749" i="10"/>
  <c r="D749" i="10" s="1"/>
  <c r="C735" i="10"/>
  <c r="D735" i="10" s="1"/>
  <c r="C334" i="10"/>
  <c r="D334" i="10" s="1"/>
  <c r="C65" i="10"/>
  <c r="D65" i="10" s="1"/>
  <c r="C682" i="10"/>
  <c r="D682" i="10" s="1"/>
  <c r="C831" i="10"/>
  <c r="D831" i="10" s="1"/>
  <c r="C969" i="10"/>
  <c r="D969" i="10" s="1"/>
  <c r="C271" i="10"/>
  <c r="D271" i="10" s="1"/>
  <c r="C127" i="10"/>
  <c r="D127" i="10" s="1"/>
  <c r="C913" i="10"/>
  <c r="D913" i="10" s="1"/>
  <c r="C917" i="10"/>
  <c r="D917" i="10" s="1"/>
  <c r="C776" i="10"/>
  <c r="D776" i="10" s="1"/>
  <c r="C814" i="10"/>
  <c r="D814" i="10" s="1"/>
  <c r="C187" i="10"/>
  <c r="D187" i="10" s="1"/>
  <c r="C124" i="10"/>
  <c r="D124" i="10" s="1"/>
  <c r="C59" i="10"/>
  <c r="D59" i="10" s="1"/>
  <c r="C238" i="10"/>
  <c r="D238" i="10" s="1"/>
  <c r="C881" i="10"/>
  <c r="D881" i="10" s="1"/>
  <c r="C443" i="10"/>
  <c r="D443" i="10" s="1"/>
  <c r="C186" i="10"/>
  <c r="D186" i="10" s="1"/>
  <c r="C661" i="10"/>
  <c r="D661" i="10" s="1"/>
  <c r="C560" i="10"/>
  <c r="D560" i="10" s="1"/>
  <c r="C853" i="10"/>
  <c r="D853" i="10" s="1"/>
  <c r="C876" i="10"/>
  <c r="D876" i="10" s="1"/>
  <c r="C96" i="10"/>
  <c r="D96" i="10" s="1"/>
  <c r="C898" i="10"/>
  <c r="D898" i="10" s="1"/>
  <c r="C360" i="10"/>
  <c r="D360" i="10" s="1"/>
  <c r="C509" i="10"/>
  <c r="D509" i="10" s="1"/>
  <c r="C548" i="10"/>
  <c r="D548" i="10" s="1"/>
  <c r="C696" i="10"/>
  <c r="D696" i="10" s="1"/>
  <c r="C702" i="10"/>
  <c r="D702" i="10" s="1"/>
  <c r="C155" i="10"/>
  <c r="D155" i="10" s="1"/>
  <c r="C795" i="10"/>
  <c r="D795" i="10" s="1"/>
  <c r="C161" i="10"/>
  <c r="D161" i="10" s="1"/>
  <c r="C924" i="10"/>
  <c r="D924" i="10" s="1"/>
  <c r="C288" i="10"/>
  <c r="D288" i="10" s="1"/>
  <c r="C235" i="10"/>
  <c r="D235" i="10" s="1"/>
  <c r="C676" i="10"/>
  <c r="D676" i="10" s="1"/>
  <c r="C693" i="10"/>
  <c r="D693" i="10" s="1"/>
  <c r="C760" i="10"/>
  <c r="D760" i="10" s="1"/>
  <c r="C244" i="10"/>
  <c r="D244" i="10" s="1"/>
  <c r="C935" i="10"/>
  <c r="D935" i="10" s="1"/>
  <c r="C835" i="10"/>
  <c r="D835" i="10" s="1"/>
  <c r="C415" i="10"/>
  <c r="D415" i="10" s="1"/>
  <c r="C95" i="10"/>
  <c r="D95" i="10" s="1"/>
  <c r="C865" i="10"/>
  <c r="D865" i="10" s="1"/>
  <c r="C44" i="10"/>
  <c r="D44" i="10" s="1"/>
  <c r="C576" i="10"/>
  <c r="D576" i="10" s="1"/>
  <c r="C779" i="10"/>
  <c r="D779" i="10" s="1"/>
  <c r="C949" i="10"/>
  <c r="D949" i="10" s="1"/>
  <c r="C722" i="10"/>
  <c r="D722" i="10" s="1"/>
  <c r="C914" i="10"/>
  <c r="D914" i="10" s="1"/>
  <c r="C228" i="10"/>
  <c r="D228" i="10" s="1"/>
  <c r="C374" i="10"/>
  <c r="D374" i="10" s="1"/>
  <c r="C537" i="10"/>
  <c r="D537" i="10" s="1"/>
  <c r="C64" i="10"/>
  <c r="D64" i="10" s="1"/>
  <c r="C188" i="10"/>
  <c r="D188" i="10" s="1"/>
  <c r="C273" i="10"/>
  <c r="D273" i="10" s="1"/>
  <c r="C541" i="10"/>
  <c r="D541" i="10" s="1"/>
  <c r="C544" i="10"/>
  <c r="D544" i="10" s="1"/>
  <c r="C266" i="10"/>
  <c r="D266" i="10" s="1"/>
  <c r="C345" i="10"/>
  <c r="D345" i="10" s="1"/>
  <c r="C472" i="10"/>
  <c r="D472" i="10" s="1"/>
  <c r="C484" i="10"/>
  <c r="D484" i="10" s="1"/>
  <c r="C740" i="10"/>
  <c r="D740" i="10" s="1"/>
  <c r="C642" i="10"/>
  <c r="D642" i="10" s="1"/>
  <c r="C770" i="10"/>
  <c r="D770" i="10" s="1"/>
  <c r="C726" i="10"/>
  <c r="D726" i="10" s="1"/>
  <c r="C617" i="10"/>
  <c r="D617" i="10" s="1"/>
  <c r="C376" i="10"/>
  <c r="D376" i="10" s="1"/>
  <c r="C649" i="10"/>
  <c r="D649" i="10" s="1"/>
  <c r="C556" i="10"/>
  <c r="D556" i="10" s="1"/>
  <c r="C479" i="10"/>
  <c r="D479" i="10" s="1"/>
  <c r="C657" i="10"/>
  <c r="D657" i="10" s="1"/>
  <c r="C529" i="10"/>
  <c r="D529" i="10" s="1"/>
  <c r="C445" i="10"/>
  <c r="D445" i="10" s="1"/>
  <c r="C385" i="10"/>
  <c r="D385" i="10" s="1"/>
  <c r="C355" i="10"/>
  <c r="D355" i="10" s="1"/>
  <c r="C323" i="10"/>
  <c r="D323" i="10" s="1"/>
  <c r="C291" i="10"/>
  <c r="D291" i="10" s="1"/>
  <c r="C264" i="10"/>
  <c r="D264" i="10" s="1"/>
  <c r="C233" i="10"/>
  <c r="D233" i="10" s="1"/>
  <c r="C611" i="10"/>
  <c r="D611" i="10" s="1"/>
  <c r="C510" i="10"/>
  <c r="D510" i="10" s="1"/>
  <c r="C392" i="10"/>
  <c r="D392" i="10" s="1"/>
  <c r="C578" i="10"/>
  <c r="D578" i="10" s="1"/>
  <c r="C199" i="10"/>
  <c r="D199" i="10" s="1"/>
  <c r="C944" i="10"/>
  <c r="D944" i="10" s="1"/>
  <c r="C498" i="10"/>
  <c r="D498" i="10" s="1"/>
  <c r="C395" i="10"/>
  <c r="D395" i="10" s="1"/>
  <c r="C428" i="10"/>
  <c r="D428" i="10" s="1"/>
  <c r="C198" i="10"/>
  <c r="D198" i="10" s="1"/>
  <c r="C78" i="10"/>
  <c r="D78" i="10" s="1"/>
  <c r="C179" i="10"/>
  <c r="D179" i="10" s="1"/>
  <c r="C630" i="10"/>
  <c r="D630" i="10" s="1"/>
  <c r="C694" i="10"/>
  <c r="D694" i="10" s="1"/>
  <c r="C832" i="10"/>
  <c r="D832" i="10" s="1"/>
  <c r="C67" i="10"/>
  <c r="D67" i="10" s="1"/>
  <c r="C804" i="10"/>
  <c r="D804" i="10" s="1"/>
  <c r="C433" i="10"/>
  <c r="D433" i="10" s="1"/>
  <c r="C370" i="10"/>
  <c r="D370" i="10" s="1"/>
  <c r="C687" i="10"/>
  <c r="D687" i="10" s="1"/>
  <c r="C715" i="10"/>
  <c r="D715" i="10" s="1"/>
  <c r="C782" i="10"/>
  <c r="D782" i="10" s="1"/>
  <c r="C255" i="10"/>
  <c r="D255" i="10" s="1"/>
  <c r="C690" i="10"/>
  <c r="D690" i="10" s="1"/>
  <c r="C388" i="10"/>
  <c r="D388" i="10" s="1"/>
  <c r="C213" i="10"/>
  <c r="D213" i="10" s="1"/>
  <c r="C923" i="10"/>
  <c r="D923" i="10" s="1"/>
  <c r="C214" i="10"/>
  <c r="D214" i="10" s="1"/>
  <c r="C567" i="10"/>
  <c r="D567" i="10" s="1"/>
  <c r="C621" i="10"/>
  <c r="D621" i="10" s="1"/>
  <c r="C349" i="10"/>
  <c r="D349" i="10" s="1"/>
  <c r="C227" i="10"/>
  <c r="D227" i="10" s="1"/>
  <c r="C482" i="10"/>
  <c r="D482" i="10" s="1"/>
  <c r="C470" i="10"/>
  <c r="D470" i="10" s="1"/>
  <c r="C226" i="10"/>
  <c r="D226" i="10" s="1"/>
  <c r="D82" i="10"/>
  <c r="C444" i="10"/>
  <c r="D444" i="10" s="1"/>
  <c r="C277" i="10"/>
  <c r="D277" i="10" s="1"/>
  <c r="C870" i="10"/>
  <c r="D870" i="10" s="1"/>
  <c r="C678" i="10"/>
  <c r="D678" i="10" s="1"/>
  <c r="C825" i="10"/>
  <c r="D825" i="10" s="1"/>
  <c r="C829" i="10"/>
  <c r="D829" i="10" s="1"/>
  <c r="C475" i="10"/>
  <c r="D475" i="10" s="1"/>
  <c r="C251" i="10"/>
  <c r="D251" i="10" s="1"/>
  <c r="C83" i="10"/>
  <c r="D83" i="10" s="1"/>
  <c r="C122" i="10"/>
  <c r="D122" i="10" s="1"/>
  <c r="C143" i="10"/>
  <c r="D143" i="10" s="1"/>
  <c r="C180" i="10"/>
  <c r="D180" i="10" s="1"/>
  <c r="C718" i="10"/>
  <c r="D718" i="10" s="1"/>
  <c r="C909" i="10"/>
  <c r="D909" i="10" s="1"/>
  <c r="C131" i="10"/>
  <c r="D131" i="10" s="1"/>
  <c r="C236" i="10"/>
  <c r="D236" i="10" s="1"/>
  <c r="C538" i="10"/>
  <c r="D538" i="10" s="1"/>
  <c r="C768" i="10"/>
  <c r="D768" i="10" s="1"/>
  <c r="C810" i="10"/>
  <c r="D810" i="10" s="1"/>
  <c r="C766" i="10"/>
  <c r="D766" i="10" s="1"/>
  <c r="C230" i="10"/>
  <c r="D230" i="10" s="1"/>
  <c r="C557" i="10"/>
  <c r="D557" i="10" s="1"/>
  <c r="C752" i="10"/>
  <c r="D752" i="10" s="1"/>
  <c r="C712" i="10"/>
  <c r="D712" i="10" s="1"/>
  <c r="C667" i="10"/>
  <c r="D667" i="10" s="1"/>
  <c r="C626" i="10"/>
  <c r="D626" i="10" s="1"/>
  <c r="C594" i="10"/>
  <c r="D594" i="10" s="1"/>
  <c r="C68" i="10"/>
  <c r="D68" i="10" s="1"/>
  <c r="C30" i="10"/>
  <c r="D30" i="10" s="1"/>
  <c r="C149" i="10"/>
  <c r="D149" i="10" s="1"/>
  <c r="C217" i="10"/>
  <c r="D217" i="10" s="1"/>
  <c r="C427" i="10"/>
  <c r="D427" i="10" s="1"/>
  <c r="C552" i="10"/>
  <c r="D552" i="10" s="1"/>
  <c r="C378" i="10"/>
  <c r="D378" i="10" s="1"/>
  <c r="C496" i="10"/>
  <c r="D496" i="10" s="1"/>
  <c r="C229" i="10"/>
  <c r="D229" i="10" s="1"/>
  <c r="C270" i="10"/>
  <c r="D270" i="10" s="1"/>
  <c r="C309" i="10"/>
  <c r="D309" i="10" s="1"/>
  <c r="C341" i="10"/>
  <c r="D341" i="10" s="1"/>
  <c r="C383" i="10"/>
  <c r="D383" i="10" s="1"/>
  <c r="C437" i="10"/>
  <c r="D437" i="10" s="1"/>
  <c r="C518" i="10"/>
  <c r="D518" i="10" s="1"/>
  <c r="C471" i="10"/>
  <c r="D471" i="10" s="1"/>
  <c r="C535" i="10"/>
  <c r="D535" i="10" s="1"/>
  <c r="C601" i="10"/>
  <c r="D601" i="10" s="1"/>
  <c r="C761" i="10"/>
  <c r="D761" i="10" s="1"/>
  <c r="C169" i="10"/>
  <c r="D169" i="10" s="1"/>
  <c r="C771" i="10"/>
  <c r="D771" i="10" s="1"/>
  <c r="C174" i="10"/>
  <c r="D174" i="10" s="1"/>
  <c r="C204" i="10"/>
  <c r="D204" i="10" s="1"/>
  <c r="C326" i="10"/>
  <c r="D326" i="10" s="1"/>
  <c r="C432" i="10"/>
  <c r="D432" i="10" s="1"/>
  <c r="C571" i="10"/>
  <c r="D571" i="10" s="1"/>
  <c r="C506" i="10"/>
  <c r="D506" i="10" s="1"/>
  <c r="C603" i="10"/>
  <c r="D603" i="10" s="1"/>
  <c r="C231" i="10"/>
  <c r="D231" i="10" s="1"/>
  <c r="C274" i="10"/>
  <c r="D274" i="10" s="1"/>
  <c r="C333" i="10"/>
  <c r="D333" i="10" s="1"/>
  <c r="C365" i="10"/>
  <c r="D365" i="10" s="1"/>
  <c r="C421" i="10"/>
  <c r="D421" i="10" s="1"/>
  <c r="C522" i="10"/>
  <c r="D522" i="10" s="1"/>
  <c r="C476" i="10"/>
  <c r="D476" i="10" s="1"/>
  <c r="C540" i="10"/>
  <c r="D540" i="10" s="1"/>
  <c r="C607" i="10"/>
  <c r="D607" i="10" s="1"/>
  <c r="C566" i="10"/>
  <c r="D566" i="10" s="1"/>
  <c r="C79" i="10"/>
  <c r="D79" i="10" s="1"/>
  <c r="C792" i="10"/>
  <c r="D792" i="10" s="1"/>
  <c r="C926" i="10"/>
  <c r="D926" i="10" s="1"/>
  <c r="C662" i="10"/>
  <c r="D662" i="10" s="1"/>
  <c r="C117" i="10"/>
  <c r="D117" i="10" s="1"/>
  <c r="C706" i="10"/>
  <c r="D706" i="10" s="1"/>
  <c r="C362" i="10"/>
  <c r="D362" i="10" s="1"/>
  <c r="C534" i="10"/>
  <c r="D534" i="10" s="1"/>
  <c r="C751" i="10"/>
  <c r="D751" i="10" s="1"/>
  <c r="C256" i="10"/>
  <c r="D256" i="10" s="1"/>
  <c r="C299" i="10"/>
  <c r="D299" i="10" s="1"/>
  <c r="C339" i="10"/>
  <c r="D339" i="10" s="1"/>
  <c r="C379" i="10"/>
  <c r="D379" i="10" s="1"/>
  <c r="C465" i="10"/>
  <c r="D465" i="10" s="1"/>
  <c r="C568" i="10"/>
  <c r="D568" i="10" s="1"/>
  <c r="C463" i="10"/>
  <c r="D463" i="10" s="1"/>
  <c r="C572" i="10"/>
  <c r="D572" i="10" s="1"/>
  <c r="C748" i="10"/>
  <c r="D748" i="10" s="1"/>
  <c r="C963" i="10"/>
  <c r="D963" i="10" s="1"/>
  <c r="C448" i="10"/>
  <c r="D448" i="10" s="1"/>
  <c r="C834" i="10"/>
  <c r="D834" i="10" s="1"/>
  <c r="C655" i="10"/>
  <c r="D655" i="10" s="1"/>
  <c r="C619" i="10"/>
  <c r="D619" i="10" s="1"/>
  <c r="C605" i="10"/>
  <c r="D605" i="10" s="1"/>
  <c r="C367" i="10"/>
  <c r="D367" i="10" s="1"/>
  <c r="C245" i="10"/>
  <c r="D245" i="10" s="1"/>
  <c r="C399" i="10"/>
  <c r="D399" i="10" s="1"/>
  <c r="C332" i="10"/>
  <c r="D332" i="10" s="1"/>
  <c r="C42" i="10"/>
  <c r="D42" i="10" s="1"/>
  <c r="C86" i="10"/>
  <c r="D86" i="10" s="1"/>
  <c r="C401" i="10"/>
  <c r="D401" i="10" s="1"/>
  <c r="C85" i="10"/>
  <c r="D85" i="10" s="1"/>
  <c r="C786" i="10"/>
  <c r="D786" i="10" s="1"/>
  <c r="C903" i="10"/>
  <c r="D903" i="10" s="1"/>
  <c r="C864" i="10"/>
  <c r="D864" i="10" s="1"/>
  <c r="C100" i="10"/>
  <c r="D100" i="10" s="1"/>
  <c r="C173" i="10"/>
  <c r="D173" i="10" s="1"/>
  <c r="C141" i="10"/>
  <c r="D141" i="10" s="1"/>
  <c r="C352" i="10"/>
  <c r="D352" i="10" s="1"/>
  <c r="C939" i="10"/>
  <c r="D939" i="10" s="1"/>
  <c r="C664" i="10"/>
  <c r="D664" i="10" s="1"/>
  <c r="C600" i="10"/>
  <c r="D600" i="10" s="1"/>
  <c r="C641" i="10"/>
  <c r="D641" i="10" s="1"/>
  <c r="C48" i="10"/>
  <c r="D48" i="10" s="1"/>
  <c r="C120" i="10"/>
  <c r="D120" i="10" s="1"/>
  <c r="C674" i="10"/>
  <c r="D674" i="10" s="1"/>
  <c r="C620" i="10"/>
  <c r="D620" i="10" s="1"/>
  <c r="C200" i="10"/>
  <c r="D200" i="10" s="1"/>
  <c r="C450" i="10"/>
  <c r="D450" i="10" s="1"/>
  <c r="D70" i="10"/>
  <c r="C215" i="10"/>
  <c r="D215" i="10" s="1"/>
  <c r="C88" i="10"/>
  <c r="D88" i="10" s="1"/>
  <c r="C855" i="10"/>
  <c r="D855" i="10" s="1"/>
  <c r="C753" i="10"/>
  <c r="D753" i="10" s="1"/>
  <c r="C532" i="10"/>
  <c r="D532" i="10" s="1"/>
  <c r="C434" i="10"/>
  <c r="D434" i="10" s="1"/>
  <c r="C287" i="10"/>
  <c r="D287" i="10" s="1"/>
  <c r="C646" i="10"/>
  <c r="D646" i="10" s="1"/>
  <c r="C403" i="10"/>
  <c r="D403" i="10" s="1"/>
  <c r="C422" i="10"/>
  <c r="D422" i="10" s="1"/>
  <c r="C40" i="10"/>
  <c r="D40" i="10" s="1"/>
  <c r="C62" i="10"/>
  <c r="D62" i="10" s="1"/>
  <c r="C609" i="10"/>
  <c r="D609" i="10" s="1"/>
  <c r="C407" i="10"/>
  <c r="D407" i="10" s="1"/>
  <c r="C232" i="10"/>
  <c r="D232" i="10" s="1"/>
  <c r="C77" i="10"/>
  <c r="D77" i="10" s="1"/>
  <c r="C953" i="10"/>
  <c r="D953" i="10" s="1"/>
  <c r="C957" i="10"/>
  <c r="D957" i="10" s="1"/>
  <c r="C787" i="10"/>
  <c r="D787" i="10" s="1"/>
  <c r="C589" i="10"/>
  <c r="D589" i="10" s="1"/>
  <c r="C425" i="10"/>
  <c r="D425" i="10" s="1"/>
  <c r="C210" i="10"/>
  <c r="D210" i="10" s="1"/>
  <c r="C92" i="10"/>
  <c r="D92" i="10" s="1"/>
  <c r="C130" i="10"/>
  <c r="D130" i="10" s="1"/>
  <c r="C954" i="10"/>
  <c r="D954" i="10" s="1"/>
  <c r="C765" i="10"/>
  <c r="D765" i="10" s="1"/>
  <c r="C965" i="10"/>
  <c r="D965" i="10" s="1"/>
  <c r="C115" i="10"/>
  <c r="D115" i="10" s="1"/>
  <c r="C342" i="10"/>
  <c r="D342" i="10" s="1"/>
  <c r="C783" i="10"/>
  <c r="D783" i="10" s="1"/>
  <c r="C816" i="10"/>
  <c r="D816" i="10" s="1"/>
  <c r="C879" i="10"/>
  <c r="D879" i="10" s="1"/>
  <c r="C889" i="10"/>
  <c r="D889" i="10" s="1"/>
  <c r="C304" i="10"/>
  <c r="D304" i="10" s="1"/>
  <c r="C689" i="10"/>
  <c r="D689" i="10" s="1"/>
  <c r="C744" i="10"/>
  <c r="D744" i="10" s="1"/>
  <c r="C704" i="10"/>
  <c r="D704" i="10" s="1"/>
  <c r="C656" i="10"/>
  <c r="D656" i="10" s="1"/>
  <c r="C618" i="10"/>
  <c r="D618" i="10" s="1"/>
  <c r="C586" i="10"/>
  <c r="D586" i="10" s="1"/>
  <c r="C60" i="10"/>
  <c r="D60" i="10" s="1"/>
  <c r="C177" i="10"/>
  <c r="D177" i="10" s="1"/>
  <c r="C234" i="10"/>
  <c r="D234" i="10" s="1"/>
  <c r="C350" i="10"/>
  <c r="D350" i="10" s="1"/>
  <c r="C446" i="10"/>
  <c r="D446" i="10" s="1"/>
  <c r="C679" i="10"/>
  <c r="D679" i="10" s="1"/>
  <c r="C530" i="10"/>
  <c r="D530" i="10" s="1"/>
  <c r="C660" i="10"/>
  <c r="D660" i="10" s="1"/>
  <c r="C239" i="10"/>
  <c r="D239" i="10" s="1"/>
  <c r="C279" i="10"/>
  <c r="D279" i="10" s="1"/>
  <c r="C351" i="10"/>
  <c r="D351" i="10" s="1"/>
  <c r="C394" i="10"/>
  <c r="D394" i="10" s="1"/>
  <c r="C458" i="10"/>
  <c r="D458" i="10" s="1"/>
  <c r="C547" i="10"/>
  <c r="D547" i="10" s="1"/>
  <c r="C716" i="10"/>
  <c r="D716" i="10" s="1"/>
  <c r="C492" i="10"/>
  <c r="D492" i="10" s="1"/>
  <c r="C551" i="10"/>
  <c r="D551" i="10" s="1"/>
  <c r="C636" i="10"/>
  <c r="D636" i="10" s="1"/>
  <c r="C136" i="10"/>
  <c r="D136" i="10" s="1"/>
  <c r="C714" i="10"/>
  <c r="D714" i="10" s="1"/>
  <c r="C36" i="10"/>
  <c r="D36" i="10" s="1"/>
  <c r="C159" i="10"/>
  <c r="D159" i="10" s="1"/>
  <c r="C211" i="10"/>
  <c r="D211" i="10" s="1"/>
  <c r="C265" i="10"/>
  <c r="D265" i="10" s="1"/>
  <c r="C364" i="10"/>
  <c r="D364" i="10" s="1"/>
  <c r="C457" i="10"/>
  <c r="D457" i="10" s="1"/>
  <c r="C386" i="10"/>
  <c r="D386" i="10" s="1"/>
  <c r="C539" i="10"/>
  <c r="D539" i="10" s="1"/>
  <c r="C684" i="10"/>
  <c r="D684" i="10" s="1"/>
  <c r="C243" i="10"/>
  <c r="D243" i="10" s="1"/>
  <c r="C301" i="10"/>
  <c r="D301" i="10" s="1"/>
  <c r="C343" i="10"/>
  <c r="D343" i="10" s="1"/>
  <c r="C375" i="10"/>
  <c r="D375" i="10" s="1"/>
  <c r="C442" i="10"/>
  <c r="D442" i="10" s="1"/>
  <c r="C652" i="10"/>
  <c r="D652" i="10" s="1"/>
  <c r="C500" i="10"/>
  <c r="D500" i="10" s="1"/>
  <c r="C559" i="10"/>
  <c r="D559" i="10" s="1"/>
  <c r="C665" i="10"/>
  <c r="D665" i="10" s="1"/>
  <c r="C790" i="10"/>
  <c r="D790" i="10" s="1"/>
  <c r="C396" i="10"/>
  <c r="D396" i="10" s="1"/>
  <c r="C423" i="10"/>
  <c r="D423" i="10" s="1"/>
  <c r="C871" i="10"/>
  <c r="D871" i="10" s="1"/>
  <c r="C160" i="10"/>
  <c r="D160" i="10" s="1"/>
  <c r="C807" i="10"/>
  <c r="D807" i="10" s="1"/>
  <c r="C587" i="10"/>
  <c r="D587" i="10" s="1"/>
  <c r="C417" i="10"/>
  <c r="D417" i="10" s="1"/>
  <c r="C553" i="10"/>
  <c r="D553" i="10" s="1"/>
  <c r="C225" i="10"/>
  <c r="D225" i="10" s="1"/>
  <c r="C272" i="10"/>
  <c r="D272" i="10" s="1"/>
  <c r="C307" i="10"/>
  <c r="D307" i="10" s="1"/>
  <c r="C347" i="10"/>
  <c r="D347" i="10" s="1"/>
  <c r="C397" i="10"/>
  <c r="D397" i="10" s="1"/>
  <c r="C486" i="10"/>
  <c r="D486" i="10" s="1"/>
  <c r="C615" i="10"/>
  <c r="D615" i="10" s="1"/>
  <c r="C495" i="10"/>
  <c r="D495" i="10" s="1"/>
  <c r="C591" i="10"/>
  <c r="D591" i="10" s="1"/>
  <c r="C788" i="10"/>
  <c r="D788" i="10" s="1"/>
  <c r="C109" i="10"/>
  <c r="D109" i="10" s="1"/>
  <c r="C778" i="10"/>
  <c r="D778" i="10" s="1"/>
  <c r="C97" i="10"/>
  <c r="D97" i="10" s="1"/>
  <c r="C863" i="10"/>
  <c r="D863" i="10" s="1"/>
  <c r="C564" i="10"/>
  <c r="D564" i="10" s="1"/>
  <c r="C533" i="10"/>
  <c r="D533" i="10" s="1"/>
  <c r="C325" i="10"/>
  <c r="D325" i="10" s="1"/>
  <c r="C223" i="10"/>
  <c r="D223" i="10" s="1"/>
  <c r="C729" i="10"/>
  <c r="D729" i="10" s="1"/>
  <c r="C221" i="10"/>
  <c r="D221" i="10" s="1"/>
  <c r="C570" i="10"/>
  <c r="D570" i="10" s="1"/>
  <c r="C306" i="10"/>
  <c r="D306" i="10" s="1"/>
  <c r="C151" i="10"/>
  <c r="D151" i="10" s="1"/>
  <c r="C526" i="10"/>
  <c r="D526" i="10" s="1"/>
  <c r="C116" i="10"/>
  <c r="D116" i="10" s="1"/>
  <c r="C869" i="10"/>
  <c r="D869" i="10" s="1"/>
  <c r="C111" i="10"/>
  <c r="D111" i="10" s="1"/>
  <c r="C597" i="10"/>
  <c r="D597" i="10" s="1"/>
  <c r="C741" i="10"/>
  <c r="D741" i="10" s="1"/>
  <c r="C651" i="10"/>
  <c r="D651" i="10" s="1"/>
  <c r="C584" i="10"/>
  <c r="D584" i="10" s="1"/>
  <c r="C436" i="10"/>
  <c r="D436" i="10" s="1"/>
  <c r="C946" i="10"/>
  <c r="D946" i="10" s="1"/>
  <c r="C930" i="10"/>
  <c r="D930" i="10" s="1"/>
  <c r="C588" i="10"/>
  <c r="D588" i="10" s="1"/>
  <c r="C312" i="10"/>
  <c r="D312" i="10" s="1"/>
  <c r="C55" i="10"/>
  <c r="D55" i="10" s="1"/>
  <c r="C805" i="10"/>
  <c r="D805" i="10" s="1"/>
  <c r="C643" i="10"/>
  <c r="D643" i="10" s="1"/>
  <c r="J94" i="5"/>
  <c r="I99" i="32"/>
  <c r="J94" i="32"/>
  <c r="N99" i="5"/>
  <c r="N97" i="32"/>
  <c r="N99" i="32" s="1"/>
  <c r="L92" i="32"/>
  <c r="L94" i="32" s="1"/>
  <c r="L94" i="5"/>
  <c r="K93" i="32"/>
  <c r="K94" i="32" s="1"/>
  <c r="K94" i="5"/>
  <c r="G92" i="32"/>
  <c r="G94" i="32" s="1"/>
  <c r="G94" i="5"/>
  <c r="E99" i="5"/>
  <c r="C819" i="10"/>
  <c r="D819" i="10" s="1"/>
  <c r="C310" i="10"/>
  <c r="D310" i="10" s="1"/>
  <c r="C574" i="10"/>
  <c r="D574" i="10" s="1"/>
  <c r="C56" i="10"/>
  <c r="D56" i="10" s="1"/>
  <c r="C880" i="10"/>
  <c r="D880" i="10" s="1"/>
  <c r="C543" i="10"/>
  <c r="D543" i="10" s="1"/>
  <c r="C216" i="10"/>
  <c r="D216" i="10" s="1"/>
  <c r="C670" i="10"/>
  <c r="D670" i="10" s="1"/>
  <c r="C282" i="10"/>
  <c r="D282" i="10" s="1"/>
  <c r="C885" i="10"/>
  <c r="D885" i="10" s="1"/>
  <c r="C53" i="10"/>
  <c r="D53" i="10" s="1"/>
  <c r="C891" i="10"/>
  <c r="D891" i="10" s="1"/>
  <c r="C47" i="10"/>
  <c r="D47" i="10" s="1"/>
  <c r="C838" i="10"/>
  <c r="D838" i="10" s="1"/>
  <c r="C645" i="10"/>
  <c r="D645" i="10" s="1"/>
  <c r="C841" i="10"/>
  <c r="D841" i="10" s="1"/>
  <c r="C634" i="10"/>
  <c r="D634" i="10" s="1"/>
  <c r="C37" i="10"/>
  <c r="D37" i="10" s="1"/>
  <c r="C800" i="10"/>
  <c r="D800" i="10" s="1"/>
  <c r="C324" i="10"/>
  <c r="D324" i="10" s="1"/>
  <c r="C34" i="10"/>
  <c r="D34" i="10" s="1"/>
  <c r="C335" i="10"/>
  <c r="D335" i="10" s="1"/>
  <c r="C673" i="10"/>
  <c r="D673" i="10" s="1"/>
  <c r="C598" i="10"/>
  <c r="D598" i="10" s="1"/>
  <c r="C672" i="10"/>
  <c r="D672" i="10" s="1"/>
  <c r="C728" i="10"/>
  <c r="D728" i="10" s="1"/>
  <c r="C507" i="10"/>
  <c r="D507" i="10" s="1"/>
  <c r="C916" i="10"/>
  <c r="D916" i="10" s="1"/>
  <c r="C950" i="10"/>
  <c r="D950" i="10" s="1"/>
  <c r="C222" i="10"/>
  <c r="D222" i="10" s="1"/>
  <c r="C947" i="10"/>
  <c r="D947" i="10" s="1"/>
  <c r="C858" i="10"/>
  <c r="D858" i="10" s="1"/>
  <c r="C140" i="10"/>
  <c r="D140" i="10" s="1"/>
  <c r="C224" i="10"/>
  <c r="D224" i="10" s="1"/>
  <c r="C743" i="10"/>
  <c r="D743" i="10" s="1"/>
  <c r="C902" i="10"/>
  <c r="D902" i="10" s="1"/>
  <c r="C259" i="10"/>
  <c r="D259" i="10" s="1"/>
  <c r="C528" i="10"/>
  <c r="D528" i="10" s="1"/>
  <c r="C32" i="10"/>
  <c r="D32" i="10" s="1"/>
  <c r="C382" i="10"/>
  <c r="D382" i="10" s="1"/>
  <c r="C711" i="10"/>
  <c r="D711" i="10" s="1"/>
  <c r="C337" i="10"/>
  <c r="D337" i="10" s="1"/>
  <c r="C565" i="10"/>
  <c r="D565" i="10" s="1"/>
  <c r="C877" i="10"/>
  <c r="D877" i="10" s="1"/>
  <c r="C604" i="10"/>
  <c r="D604" i="10" s="1"/>
  <c r="C680" i="10"/>
  <c r="D680" i="10" s="1"/>
  <c r="C491" i="10"/>
  <c r="D491" i="10" s="1"/>
  <c r="C895" i="10"/>
  <c r="D895" i="10" s="1"/>
  <c r="C296" i="10"/>
  <c r="D296" i="10" s="1"/>
  <c r="C119" i="10"/>
  <c r="D119" i="10" s="1"/>
  <c r="C828" i="10"/>
  <c r="D828" i="10" s="1"/>
  <c r="C686" i="10"/>
  <c r="D686" i="10" s="1"/>
  <c r="C152" i="10"/>
  <c r="D152" i="10" s="1"/>
  <c r="C104" i="10"/>
  <c r="D104" i="10" s="1"/>
  <c r="C485" i="10"/>
  <c r="D485" i="10" s="1"/>
  <c r="C839" i="10"/>
  <c r="D839" i="10" s="1"/>
  <c r="C830" i="10"/>
  <c r="D830" i="10" s="1"/>
  <c r="C368" i="10"/>
  <c r="D368" i="10" s="1"/>
  <c r="C717" i="10"/>
  <c r="D717" i="10" s="1"/>
  <c r="C508" i="10"/>
  <c r="D508" i="10" s="1"/>
  <c r="C719" i="10"/>
  <c r="D719" i="10" s="1"/>
  <c r="C669" i="10"/>
  <c r="D669" i="10" s="1"/>
  <c r="C698" i="10"/>
  <c r="D698" i="10" s="1"/>
  <c r="C683" i="10"/>
  <c r="D683" i="10" s="1"/>
  <c r="C730" i="10"/>
  <c r="D730" i="10" s="1"/>
  <c r="C896" i="10"/>
  <c r="D896" i="10" s="1"/>
  <c r="C794" i="10"/>
  <c r="D794" i="10" s="1"/>
  <c r="C493" i="10"/>
  <c r="D493" i="10" s="1"/>
  <c r="C292" i="10"/>
  <c r="D292" i="10" s="1"/>
  <c r="C431" i="10"/>
  <c r="D431" i="10" s="1"/>
  <c r="C739" i="10"/>
  <c r="D739" i="10" s="1"/>
  <c r="C633" i="10"/>
  <c r="D633" i="10" s="1"/>
  <c r="C128" i="10"/>
  <c r="D128" i="10" s="1"/>
  <c r="C298" i="10"/>
  <c r="D298" i="10" s="1"/>
  <c r="C882" i="10"/>
  <c r="D882" i="10" s="1"/>
  <c r="C512" i="10"/>
  <c r="D512" i="10" s="1"/>
  <c r="C520" i="10"/>
  <c r="D520" i="10" s="1"/>
  <c r="C451" i="10"/>
  <c r="D451" i="10" s="1"/>
  <c r="C614" i="10"/>
  <c r="D614" i="10" s="1"/>
  <c r="C691" i="10"/>
  <c r="D691" i="10" s="1"/>
  <c r="C372" i="10"/>
  <c r="D372" i="10" s="1"/>
  <c r="C801" i="10"/>
  <c r="D801" i="10" s="1"/>
  <c r="E99" i="32"/>
  <c r="E92" i="32"/>
  <c r="E94" i="32" s="1"/>
  <c r="E94" i="5"/>
  <c r="N93" i="32"/>
  <c r="N94" i="32" s="1"/>
  <c r="N94" i="5"/>
  <c r="H94" i="5"/>
  <c r="D94" i="5"/>
  <c r="D92" i="32"/>
  <c r="C93" i="32"/>
  <c r="C94" i="5"/>
  <c r="F97" i="32"/>
  <c r="F99" i="32" s="1"/>
  <c r="F99" i="5"/>
  <c r="F94" i="5"/>
  <c r="F93" i="32"/>
  <c r="F94" i="32" s="1"/>
  <c r="I94" i="5"/>
  <c r="J97" i="32"/>
  <c r="J99" i="32" s="1"/>
  <c r="J99" i="5"/>
  <c r="I94" i="32"/>
  <c r="C97" i="32"/>
  <c r="C99" i="5"/>
  <c r="H99" i="5"/>
  <c r="K97" i="32"/>
  <c r="K99" i="32" s="1"/>
  <c r="K99" i="5"/>
  <c r="H94" i="32"/>
  <c r="M94" i="32"/>
  <c r="C956" i="10"/>
  <c r="D956" i="10" s="1"/>
  <c r="C847" i="10"/>
  <c r="D847" i="10" s="1"/>
  <c r="C922" i="10"/>
  <c r="D922" i="10" s="1"/>
  <c r="C195" i="10"/>
  <c r="D195" i="10" s="1"/>
  <c r="C707" i="10"/>
  <c r="D707" i="10" s="1"/>
  <c r="C147" i="10"/>
  <c r="D147" i="10" s="1"/>
  <c r="C359" i="10"/>
  <c r="D359" i="10" s="1"/>
  <c r="C123" i="10"/>
  <c r="D123" i="10" s="1"/>
  <c r="C414" i="10"/>
  <c r="D414" i="10" s="1"/>
  <c r="C628" i="10"/>
  <c r="D628" i="10" s="1"/>
  <c r="C822" i="10"/>
  <c r="D822" i="10" s="1"/>
  <c r="C118" i="10"/>
  <c r="D118" i="10" s="1"/>
  <c r="C966" i="10"/>
  <c r="D966" i="10" s="1"/>
  <c r="C583" i="10"/>
  <c r="D583" i="10" s="1"/>
  <c r="C640" i="10"/>
  <c r="D640" i="10" s="1"/>
  <c r="C802" i="10"/>
  <c r="D802" i="10" s="1"/>
  <c r="C112" i="10"/>
  <c r="D112" i="10" s="1"/>
  <c r="C69" i="10"/>
  <c r="D69" i="10" s="1"/>
  <c r="C700" i="10"/>
  <c r="D700" i="10" s="1"/>
  <c r="C596" i="10"/>
  <c r="D596" i="10" s="1"/>
  <c r="C747" i="10"/>
  <c r="D747" i="10" s="1"/>
  <c r="C920" i="10"/>
  <c r="D920" i="10" s="1"/>
  <c r="C171" i="10"/>
  <c r="D171" i="10" s="1"/>
  <c r="C148" i="10"/>
  <c r="D148" i="10" s="1"/>
  <c r="C400" i="10"/>
  <c r="D400" i="10" s="1"/>
  <c r="C710" i="10"/>
  <c r="D710" i="10" s="1"/>
  <c r="C562" i="10"/>
  <c r="D562" i="10" s="1"/>
  <c r="C663" i="10"/>
  <c r="D663" i="10" s="1"/>
  <c r="C515" i="10"/>
  <c r="D515" i="10" s="1"/>
  <c r="C606" i="10"/>
  <c r="D606" i="10" s="1"/>
  <c r="C769" i="10"/>
  <c r="D769" i="10" s="1"/>
  <c r="C901" i="10"/>
  <c r="D901" i="10" s="1"/>
  <c r="C943" i="10"/>
  <c r="D943" i="10" s="1"/>
  <c r="C430" i="10"/>
  <c r="D430" i="10" s="1"/>
  <c r="C754" i="10"/>
  <c r="D754" i="10" s="1"/>
  <c r="C631" i="10"/>
  <c r="D631" i="10" s="1"/>
  <c r="C354" i="10"/>
  <c r="D354" i="10" s="1"/>
  <c r="C561" i="10"/>
  <c r="D561" i="10" s="1"/>
  <c r="C654" i="10"/>
  <c r="D654" i="10" s="1"/>
  <c r="C725" i="10"/>
  <c r="D725" i="10" s="1"/>
  <c r="C416" i="10"/>
  <c r="D416" i="10" s="1"/>
  <c r="C849" i="10"/>
  <c r="D849" i="10" s="1"/>
  <c r="C681" i="10"/>
  <c r="D681" i="10" s="1"/>
  <c r="C135" i="10"/>
  <c r="D135" i="10" s="1"/>
  <c r="C784" i="10"/>
  <c r="D784" i="10" s="1"/>
  <c r="C176" i="10"/>
  <c r="D176" i="10" s="1"/>
  <c r="C102" i="10"/>
  <c r="D102" i="10" s="1"/>
  <c r="C269" i="10"/>
  <c r="D269" i="10" s="1"/>
  <c r="C29" i="10"/>
  <c r="D29" i="10" s="1"/>
  <c r="C932" i="10"/>
  <c r="D932" i="10" s="1"/>
  <c r="C45" i="10"/>
  <c r="D45" i="10" s="1"/>
  <c r="C461" i="10"/>
  <c r="D461" i="10" s="1"/>
  <c r="C46" i="10"/>
  <c r="D46" i="10" s="1"/>
  <c r="C441" i="10"/>
  <c r="D441" i="10" s="1"/>
  <c r="C237" i="10"/>
  <c r="D237" i="10" s="1"/>
  <c r="C410" i="10"/>
  <c r="D410" i="10" s="1"/>
  <c r="C595" i="10"/>
  <c r="D595" i="10" s="1"/>
  <c r="C612" i="10"/>
  <c r="D612" i="10" s="1"/>
  <c r="C622" i="10"/>
  <c r="D622" i="10" s="1"/>
  <c r="C699" i="10"/>
  <c r="D699" i="10" s="1"/>
  <c r="C639" i="10"/>
  <c r="D639" i="10" s="1"/>
  <c r="C874" i="10"/>
  <c r="D874" i="10" s="1"/>
  <c r="C797" i="10"/>
  <c r="D797" i="10" s="1"/>
  <c r="C91" i="10"/>
  <c r="D91" i="10" s="1"/>
  <c r="C820" i="10"/>
  <c r="D820" i="10" s="1"/>
  <c r="M99" i="32"/>
  <c r="K5" i="10" l="1"/>
  <c r="J73" i="32"/>
  <c r="D73" i="32"/>
  <c r="J73" i="5"/>
  <c r="G73" i="32"/>
  <c r="G73" i="5"/>
  <c r="M79" i="5"/>
  <c r="D73" i="5"/>
  <c r="N73" i="32"/>
  <c r="E73" i="32"/>
  <c r="M79" i="32"/>
  <c r="L79" i="5"/>
  <c r="K73" i="32"/>
  <c r="G79" i="32"/>
  <c r="I79" i="32"/>
  <c r="J79" i="5"/>
  <c r="O70" i="32"/>
  <c r="M73" i="32"/>
  <c r="H73" i="32"/>
  <c r="C79" i="32"/>
  <c r="D79" i="32"/>
  <c r="E79" i="5"/>
  <c r="F73" i="32"/>
  <c r="G79" i="5"/>
  <c r="F73" i="5"/>
  <c r="I79" i="5"/>
  <c r="O76" i="32"/>
  <c r="H79" i="32"/>
  <c r="K73" i="5"/>
  <c r="L73" i="32"/>
  <c r="C79" i="5"/>
  <c r="C73" i="32"/>
  <c r="C73" i="5"/>
  <c r="J77" i="32"/>
  <c r="J79" i="32" s="1"/>
  <c r="J67" i="32" s="1"/>
  <c r="L73" i="5"/>
  <c r="H79" i="5"/>
  <c r="N73" i="5"/>
  <c r="E73" i="5"/>
  <c r="F79" i="5"/>
  <c r="K79" i="32"/>
  <c r="I73" i="32"/>
  <c r="O62" i="32"/>
  <c r="O61" i="32"/>
  <c r="M73" i="5"/>
  <c r="N79" i="32"/>
  <c r="N79" i="5"/>
  <c r="I73" i="5"/>
  <c r="L79" i="32"/>
  <c r="O68" i="32"/>
  <c r="O78" i="32"/>
  <c r="D79" i="5"/>
  <c r="O99" i="5"/>
  <c r="R186" i="10"/>
  <c r="O94" i="5"/>
  <c r="F79" i="32"/>
  <c r="O72" i="32"/>
  <c r="H73" i="5"/>
  <c r="K79" i="5"/>
  <c r="O73" i="5"/>
  <c r="O74" i="32"/>
  <c r="O87" i="32"/>
  <c r="O89" i="32" s="1"/>
  <c r="L18" i="5"/>
  <c r="L18" i="32" s="1"/>
  <c r="H45" i="5"/>
  <c r="H45" i="32" s="1"/>
  <c r="O93" i="32"/>
  <c r="O69" i="32"/>
  <c r="O14" i="5"/>
  <c r="L49" i="5"/>
  <c r="L49" i="32" s="1"/>
  <c r="N17" i="5"/>
  <c r="N17" i="32" s="1"/>
  <c r="G25" i="5"/>
  <c r="G25" i="32" s="1"/>
  <c r="L31" i="5"/>
  <c r="L31" i="32" s="1"/>
  <c r="E19" i="5"/>
  <c r="E19" i="32" s="1"/>
  <c r="L24" i="5"/>
  <c r="L24" i="32" s="1"/>
  <c r="D7" i="5"/>
  <c r="D7" i="32" s="1"/>
  <c r="O28" i="5"/>
  <c r="G10" i="5"/>
  <c r="G10" i="32" s="1"/>
  <c r="N10" i="5"/>
  <c r="N10" i="32" s="1"/>
  <c r="G18" i="5"/>
  <c r="G18" i="32" s="1"/>
  <c r="I52" i="5"/>
  <c r="I52" i="32" s="1"/>
  <c r="K38" i="5"/>
  <c r="K38" i="32" s="1"/>
  <c r="D28" i="5"/>
  <c r="D28" i="32" s="1"/>
  <c r="D6" i="5"/>
  <c r="L7" i="5"/>
  <c r="L7" i="32" s="1"/>
  <c r="K23" i="5"/>
  <c r="K23" i="32" s="1"/>
  <c r="J55" i="5"/>
  <c r="J55" i="32" s="1"/>
  <c r="O18" i="5"/>
  <c r="J59" i="5"/>
  <c r="J59" i="32" s="1"/>
  <c r="I30" i="5"/>
  <c r="I30" i="32" s="1"/>
  <c r="K15" i="5"/>
  <c r="K15" i="32" s="1"/>
  <c r="G51" i="5"/>
  <c r="G51" i="32" s="1"/>
  <c r="J46" i="5"/>
  <c r="J46" i="32" s="1"/>
  <c r="H18" i="5"/>
  <c r="H18" i="32" s="1"/>
  <c r="I28" i="5"/>
  <c r="I28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H60" i="5"/>
  <c r="H60" i="32" s="1"/>
  <c r="D18" i="5"/>
  <c r="D18" i="32" s="1"/>
  <c r="O37" i="5"/>
  <c r="E22" i="5"/>
  <c r="E22" i="32" s="1"/>
  <c r="D39" i="5"/>
  <c r="D39" i="32" s="1"/>
  <c r="N65" i="5"/>
  <c r="N65" i="32" s="1"/>
  <c r="D29" i="5"/>
  <c r="D29" i="32" s="1"/>
  <c r="N7" i="5"/>
  <c r="N7" i="32" s="1"/>
  <c r="K10" i="5"/>
  <c r="K10" i="32" s="1"/>
  <c r="N51" i="5"/>
  <c r="N51" i="32" s="1"/>
  <c r="E44" i="5"/>
  <c r="E44" i="32" s="1"/>
  <c r="E40" i="5"/>
  <c r="E40" i="32" s="1"/>
  <c r="I32" i="5"/>
  <c r="I32" i="32" s="1"/>
  <c r="G48" i="5"/>
  <c r="G48" i="32" s="1"/>
  <c r="F53" i="5"/>
  <c r="F53" i="32" s="1"/>
  <c r="M44" i="5"/>
  <c r="M44" i="32" s="1"/>
  <c r="E38" i="5"/>
  <c r="E38" i="32" s="1"/>
  <c r="E51" i="5"/>
  <c r="E51" i="32" s="1"/>
  <c r="L22" i="5"/>
  <c r="L22" i="32" s="1"/>
  <c r="J21" i="5"/>
  <c r="J21" i="32" s="1"/>
  <c r="M59" i="5"/>
  <c r="M59" i="32" s="1"/>
  <c r="L32" i="5"/>
  <c r="L32" i="32" s="1"/>
  <c r="C16" i="5"/>
  <c r="C16" i="32" s="1"/>
  <c r="I34" i="5"/>
  <c r="I34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E9" i="5"/>
  <c r="E9" i="32" s="1"/>
  <c r="L21" i="5"/>
  <c r="L21" i="32" s="1"/>
  <c r="H14" i="5"/>
  <c r="E25" i="5"/>
  <c r="E25" i="32" s="1"/>
  <c r="H9" i="5"/>
  <c r="H9" i="32" s="1"/>
  <c r="I35" i="5"/>
  <c r="I35" i="32" s="1"/>
  <c r="O10" i="5"/>
  <c r="O79" i="5" s="1"/>
  <c r="K43" i="5"/>
  <c r="K43" i="32" s="1"/>
  <c r="G24" i="5"/>
  <c r="G24" i="32" s="1"/>
  <c r="J36" i="5"/>
  <c r="J36" i="32" s="1"/>
  <c r="J49" i="5"/>
  <c r="J49" i="32" s="1"/>
  <c r="O23" i="5"/>
  <c r="J53" i="5"/>
  <c r="J53" i="32" s="1"/>
  <c r="I49" i="5"/>
  <c r="I49" i="32" s="1"/>
  <c r="E23" i="5"/>
  <c r="E23" i="32" s="1"/>
  <c r="G38" i="5"/>
  <c r="G38" i="32" s="1"/>
  <c r="M10" i="5"/>
  <c r="M10" i="32" s="1"/>
  <c r="K39" i="5"/>
  <c r="K39" i="32" s="1"/>
  <c r="L23" i="5"/>
  <c r="L23" i="32" s="1"/>
  <c r="H46" i="5"/>
  <c r="H46" i="32" s="1"/>
  <c r="M7" i="5"/>
  <c r="M7" i="32" s="1"/>
  <c r="F24" i="5"/>
  <c r="F24" i="32" s="1"/>
  <c r="J58" i="5"/>
  <c r="J58" i="32" s="1"/>
  <c r="O60" i="5"/>
  <c r="I25" i="5"/>
  <c r="I25" i="32" s="1"/>
  <c r="J33" i="5"/>
  <c r="J33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F31" i="5"/>
  <c r="F31" i="32" s="1"/>
  <c r="H15" i="5"/>
  <c r="H15" i="32" s="1"/>
  <c r="K14" i="5"/>
  <c r="D30" i="5"/>
  <c r="D30" i="32" s="1"/>
  <c r="E58" i="5"/>
  <c r="E58" i="32" s="1"/>
  <c r="F9" i="5"/>
  <c r="F9" i="32" s="1"/>
  <c r="F34" i="5"/>
  <c r="F34" i="32" s="1"/>
  <c r="C9" i="5"/>
  <c r="C9" i="32" s="1"/>
  <c r="C54" i="5"/>
  <c r="C54" i="32" s="1"/>
  <c r="L55" i="5"/>
  <c r="L55" i="32" s="1"/>
  <c r="M17" i="5"/>
  <c r="M17" i="32" s="1"/>
  <c r="M45" i="5"/>
  <c r="M45" i="32" s="1"/>
  <c r="D55" i="5"/>
  <c r="D55" i="32" s="1"/>
  <c r="L25" i="5"/>
  <c r="L25" i="32" s="1"/>
  <c r="D53" i="5"/>
  <c r="D53" i="32" s="1"/>
  <c r="L58" i="5"/>
  <c r="L58" i="32" s="1"/>
  <c r="G16" i="5"/>
  <c r="G16" i="32" s="1"/>
  <c r="F50" i="5"/>
  <c r="F50" i="32" s="1"/>
  <c r="G45" i="5"/>
  <c r="G45" i="32" s="1"/>
  <c r="O42" i="5"/>
  <c r="H48" i="5"/>
  <c r="H48" i="32" s="1"/>
  <c r="D41" i="5"/>
  <c r="D41" i="32" s="1"/>
  <c r="F47" i="5"/>
  <c r="F47" i="32" s="1"/>
  <c r="G17" i="5"/>
  <c r="G17" i="32" s="1"/>
  <c r="J34" i="5"/>
  <c r="J34" i="32" s="1"/>
  <c r="I41" i="5"/>
  <c r="I41" i="32" s="1"/>
  <c r="N46" i="5"/>
  <c r="N46" i="32" s="1"/>
  <c r="F45" i="5"/>
  <c r="F45" i="32" s="1"/>
  <c r="F59" i="5"/>
  <c r="F59" i="32" s="1"/>
  <c r="E45" i="5"/>
  <c r="E45" i="32" s="1"/>
  <c r="K25" i="5"/>
  <c r="K25" i="32" s="1"/>
  <c r="C65" i="5"/>
  <c r="C65" i="32" s="1"/>
  <c r="C53" i="5"/>
  <c r="C53" i="32" s="1"/>
  <c r="N30" i="5"/>
  <c r="N30" i="32" s="1"/>
  <c r="M43" i="5"/>
  <c r="M43" i="32" s="1"/>
  <c r="L27" i="5"/>
  <c r="L27" i="32" s="1"/>
  <c r="D46" i="5"/>
  <c r="D46" i="32" s="1"/>
  <c r="M25" i="5"/>
  <c r="M25" i="32" s="1"/>
  <c r="H65" i="5"/>
  <c r="H65" i="32" s="1"/>
  <c r="K17" i="5"/>
  <c r="K17" i="32" s="1"/>
  <c r="K56" i="5"/>
  <c r="K56" i="32" s="1"/>
  <c r="E56" i="5"/>
  <c r="E56" i="32" s="1"/>
  <c r="N29" i="5"/>
  <c r="N29" i="32" s="1"/>
  <c r="E30" i="5"/>
  <c r="E30" i="32" s="1"/>
  <c r="K48" i="5"/>
  <c r="K48" i="32" s="1"/>
  <c r="I42" i="5"/>
  <c r="I42" i="32" s="1"/>
  <c r="H27" i="5"/>
  <c r="H27" i="32" s="1"/>
  <c r="K52" i="5"/>
  <c r="K52" i="32" s="1"/>
  <c r="K26" i="5"/>
  <c r="K26" i="32" s="1"/>
  <c r="L52" i="5"/>
  <c r="L52" i="32" s="1"/>
  <c r="M27" i="5"/>
  <c r="M27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O19" i="5"/>
  <c r="E6" i="5"/>
  <c r="D35" i="5"/>
  <c r="D35" i="32" s="1"/>
  <c r="O55" i="5"/>
  <c r="N16" i="5"/>
  <c r="N16" i="32" s="1"/>
  <c r="D51" i="5"/>
  <c r="D51" i="32" s="1"/>
  <c r="G43" i="5"/>
  <c r="G43" i="32" s="1"/>
  <c r="C17" i="5"/>
  <c r="C17" i="32" s="1"/>
  <c r="G56" i="5"/>
  <c r="G56" i="32" s="1"/>
  <c r="O27" i="5"/>
  <c r="E47" i="5"/>
  <c r="E47" i="32" s="1"/>
  <c r="I40" i="5"/>
  <c r="I40" i="32" s="1"/>
  <c r="H43" i="5"/>
  <c r="H43" i="32" s="1"/>
  <c r="C34" i="5"/>
  <c r="C34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M34" i="5"/>
  <c r="M34" i="32" s="1"/>
  <c r="I6" i="5"/>
  <c r="M9" i="5"/>
  <c r="M9" i="32" s="1"/>
  <c r="M30" i="5"/>
  <c r="M30" i="32" s="1"/>
  <c r="M32" i="5"/>
  <c r="M32" i="32" s="1"/>
  <c r="N54" i="5"/>
  <c r="N54" i="32" s="1"/>
  <c r="C25" i="5"/>
  <c r="C25" i="32" s="1"/>
  <c r="K57" i="5"/>
  <c r="K57" i="32" s="1"/>
  <c r="J60" i="5"/>
  <c r="J60" i="32" s="1"/>
  <c r="N9" i="5"/>
  <c r="N9" i="32" s="1"/>
  <c r="I24" i="5"/>
  <c r="I24" i="32" s="1"/>
  <c r="I22" i="5"/>
  <c r="I22" i="32" s="1"/>
  <c r="J26" i="5"/>
  <c r="J26" i="32" s="1"/>
  <c r="F44" i="5"/>
  <c r="F44" i="32" s="1"/>
  <c r="M60" i="5"/>
  <c r="M60" i="32" s="1"/>
  <c r="J37" i="5"/>
  <c r="J37" i="32" s="1"/>
  <c r="I45" i="5"/>
  <c r="I45" i="32" s="1"/>
  <c r="L53" i="5"/>
  <c r="L53" i="32" s="1"/>
  <c r="H36" i="5"/>
  <c r="H36" i="32" s="1"/>
  <c r="N23" i="5"/>
  <c r="N23" i="32" s="1"/>
  <c r="O29" i="5"/>
  <c r="M33" i="5"/>
  <c r="M33" i="32" s="1"/>
  <c r="L16" i="5"/>
  <c r="L16" i="32" s="1"/>
  <c r="E26" i="5"/>
  <c r="E26" i="32" s="1"/>
  <c r="M50" i="5"/>
  <c r="M50" i="32" s="1"/>
  <c r="M28" i="5"/>
  <c r="M28" i="32" s="1"/>
  <c r="K29" i="5"/>
  <c r="K29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F20" i="5"/>
  <c r="F20" i="32" s="1"/>
  <c r="J32" i="5"/>
  <c r="J32" i="32" s="1"/>
  <c r="G59" i="5"/>
  <c r="G59" i="32" s="1"/>
  <c r="F30" i="5"/>
  <c r="F30" i="32" s="1"/>
  <c r="H44" i="5"/>
  <c r="H44" i="32" s="1"/>
  <c r="H26" i="5"/>
  <c r="H26" i="32" s="1"/>
  <c r="H58" i="5"/>
  <c r="H58" i="32" s="1"/>
  <c r="C15" i="5"/>
  <c r="C15" i="32" s="1"/>
  <c r="O15" i="5"/>
  <c r="L28" i="5"/>
  <c r="L28" i="32" s="1"/>
  <c r="M15" i="5"/>
  <c r="M15" i="32" s="1"/>
  <c r="N59" i="5"/>
  <c r="N59" i="32" s="1"/>
  <c r="F22" i="5"/>
  <c r="F22" i="32" s="1"/>
  <c r="I38" i="5"/>
  <c r="I38" i="32" s="1"/>
  <c r="N53" i="5"/>
  <c r="N53" i="32" s="1"/>
  <c r="H37" i="5"/>
  <c r="H37" i="32" s="1"/>
  <c r="J28" i="5"/>
  <c r="J28" i="32" s="1"/>
  <c r="C46" i="5"/>
  <c r="C46" i="32" s="1"/>
  <c r="G46" i="5"/>
  <c r="G46" i="32" s="1"/>
  <c r="K20" i="5"/>
  <c r="K20" i="32" s="1"/>
  <c r="M36" i="5"/>
  <c r="M36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G37" i="5"/>
  <c r="G37" i="32" s="1"/>
  <c r="O51" i="5"/>
  <c r="G31" i="5"/>
  <c r="G31" i="32" s="1"/>
  <c r="K36" i="5"/>
  <c r="K36" i="32" s="1"/>
  <c r="H41" i="5"/>
  <c r="H41" i="32" s="1"/>
  <c r="O56" i="5"/>
  <c r="M19" i="5"/>
  <c r="M19" i="32" s="1"/>
  <c r="C28" i="5"/>
  <c r="C28" i="32" s="1"/>
  <c r="K54" i="5"/>
  <c r="K54" i="32" s="1"/>
  <c r="N38" i="5"/>
  <c r="N38" i="32" s="1"/>
  <c r="O58" i="5"/>
  <c r="N26" i="5"/>
  <c r="N26" i="32" s="1"/>
  <c r="G42" i="5"/>
  <c r="G42" i="32" s="1"/>
  <c r="K6" i="5"/>
  <c r="N14" i="5"/>
  <c r="C48" i="5"/>
  <c r="C48" i="32" s="1"/>
  <c r="C44" i="5"/>
  <c r="C44" i="32" s="1"/>
  <c r="J40" i="5"/>
  <c r="J40" i="32" s="1"/>
  <c r="I58" i="5"/>
  <c r="I58" i="32" s="1"/>
  <c r="L30" i="5"/>
  <c r="L30" i="32" s="1"/>
  <c r="F15" i="5"/>
  <c r="F15" i="32" s="1"/>
  <c r="H24" i="5"/>
  <c r="H24" i="32" s="1"/>
  <c r="F48" i="5"/>
  <c r="F48" i="32" s="1"/>
  <c r="M53" i="5"/>
  <c r="M53" i="32" s="1"/>
  <c r="L33" i="5"/>
  <c r="L33" i="32" s="1"/>
  <c r="F60" i="5"/>
  <c r="F60" i="32" s="1"/>
  <c r="J50" i="5"/>
  <c r="J50" i="32" s="1"/>
  <c r="I46" i="5"/>
  <c r="I46" i="32" s="1"/>
  <c r="C24" i="5"/>
  <c r="C24" i="32" s="1"/>
  <c r="D16" i="5"/>
  <c r="D16" i="32" s="1"/>
  <c r="J47" i="5"/>
  <c r="J47" i="32" s="1"/>
  <c r="L54" i="5"/>
  <c r="L54" i="32" s="1"/>
  <c r="C38" i="5"/>
  <c r="C38" i="32" s="1"/>
  <c r="E7" i="5"/>
  <c r="E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C36" i="5"/>
  <c r="C36" i="32" s="1"/>
  <c r="E55" i="5"/>
  <c r="E55" i="32" s="1"/>
  <c r="C22" i="5"/>
  <c r="C22" i="32" s="1"/>
  <c r="N60" i="5"/>
  <c r="N6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L6" i="5"/>
  <c r="F33" i="5"/>
  <c r="F33" i="32" s="1"/>
  <c r="G15" i="5"/>
  <c r="G15" i="32" s="1"/>
  <c r="C14" i="5"/>
  <c r="C59" i="5"/>
  <c r="C59" i="32" s="1"/>
  <c r="F54" i="5"/>
  <c r="F54" i="32" s="1"/>
  <c r="N39" i="5"/>
  <c r="N39" i="32" s="1"/>
  <c r="C58" i="5"/>
  <c r="C58" i="32" s="1"/>
  <c r="F28" i="5"/>
  <c r="F28" i="32" s="1"/>
  <c r="J35" i="5"/>
  <c r="J35" i="32" s="1"/>
  <c r="O52" i="5"/>
  <c r="G30" i="5"/>
  <c r="G30" i="32" s="1"/>
  <c r="N49" i="5"/>
  <c r="N49" i="32" s="1"/>
  <c r="G9" i="5"/>
  <c r="G9" i="32" s="1"/>
  <c r="L34" i="5"/>
  <c r="L34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J44" i="5"/>
  <c r="J44" i="32" s="1"/>
  <c r="H16" i="5"/>
  <c r="H16" i="32" s="1"/>
  <c r="C19" i="5"/>
  <c r="C19" i="32" s="1"/>
  <c r="L20" i="5"/>
  <c r="L20" i="32" s="1"/>
  <c r="N55" i="5"/>
  <c r="N55" i="32" s="1"/>
  <c r="E53" i="5"/>
  <c r="E53" i="32" s="1"/>
  <c r="M46" i="5"/>
  <c r="M46" i="32" s="1"/>
  <c r="K9" i="5"/>
  <c r="K9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K21" i="5"/>
  <c r="K21" i="32" s="1"/>
  <c r="D40" i="5"/>
  <c r="D40" i="32" s="1"/>
  <c r="G54" i="5"/>
  <c r="G54" i="32" s="1"/>
  <c r="I51" i="5"/>
  <c r="I51" i="32" s="1"/>
  <c r="E57" i="5"/>
  <c r="E57" i="32" s="1"/>
  <c r="J25" i="5"/>
  <c r="J25" i="32" s="1"/>
  <c r="I53" i="5"/>
  <c r="I53" i="32" s="1"/>
  <c r="D48" i="5"/>
  <c r="D48" i="32" s="1"/>
  <c r="M40" i="5"/>
  <c r="M40" i="32" s="1"/>
  <c r="D21" i="5"/>
  <c r="D21" i="32" s="1"/>
  <c r="M52" i="5"/>
  <c r="M52" i="32" s="1"/>
  <c r="L37" i="5"/>
  <c r="L37" i="32" s="1"/>
  <c r="H10" i="5"/>
  <c r="H10" i="32" s="1"/>
  <c r="D24" i="5"/>
  <c r="D24" i="32" s="1"/>
  <c r="E41" i="5"/>
  <c r="E41" i="32" s="1"/>
  <c r="M57" i="5"/>
  <c r="M57" i="32" s="1"/>
  <c r="D50" i="5"/>
  <c r="D50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N36" i="5"/>
  <c r="N36" i="32" s="1"/>
  <c r="K18" i="5"/>
  <c r="K18" i="32" s="1"/>
  <c r="C21" i="5"/>
  <c r="C21" i="32" s="1"/>
  <c r="L15" i="5"/>
  <c r="L15" i="32" s="1"/>
  <c r="G50" i="5"/>
  <c r="G50" i="32" s="1"/>
  <c r="J56" i="5"/>
  <c r="J56" i="32" s="1"/>
  <c r="J17" i="5"/>
  <c r="J17" i="32" s="1"/>
  <c r="E17" i="5"/>
  <c r="E17" i="32" s="1"/>
  <c r="G14" i="5"/>
  <c r="E60" i="5"/>
  <c r="E60" i="32" s="1"/>
  <c r="L39" i="5"/>
  <c r="L39" i="32" s="1"/>
  <c r="N32" i="5"/>
  <c r="N32" i="32" s="1"/>
  <c r="J20" i="5"/>
  <c r="J20" i="32" s="1"/>
  <c r="H54" i="5"/>
  <c r="H54" i="32" s="1"/>
  <c r="J24" i="5"/>
  <c r="J24" i="32" s="1"/>
  <c r="D47" i="5"/>
  <c r="D47" i="32" s="1"/>
  <c r="G36" i="5"/>
  <c r="G36" i="32" s="1"/>
  <c r="O39" i="5"/>
  <c r="N34" i="5"/>
  <c r="N34" i="32" s="1"/>
  <c r="O47" i="5"/>
  <c r="D57" i="5"/>
  <c r="D57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E79" i="32"/>
  <c r="E67" i="32" s="1"/>
  <c r="O75" i="32"/>
  <c r="G52" i="5"/>
  <c r="G52" i="32" s="1"/>
  <c r="M22" i="5"/>
  <c r="M22" i="32" s="1"/>
  <c r="N56" i="5"/>
  <c r="N56" i="32" s="1"/>
  <c r="O43" i="5"/>
  <c r="G22" i="5"/>
  <c r="G22" i="32" s="1"/>
  <c r="C39" i="5"/>
  <c r="C39" i="32" s="1"/>
  <c r="D45" i="5"/>
  <c r="D45" i="32" s="1"/>
  <c r="D20" i="5"/>
  <c r="D20" i="32" s="1"/>
  <c r="C33" i="5"/>
  <c r="C33" i="32" s="1"/>
  <c r="I33" i="5"/>
  <c r="I33" i="32" s="1"/>
  <c r="E10" i="5"/>
  <c r="E10" i="32" s="1"/>
  <c r="I43" i="5"/>
  <c r="I43" i="32" s="1"/>
  <c r="C45" i="5"/>
  <c r="C45" i="32" s="1"/>
  <c r="J54" i="5"/>
  <c r="J54" i="32" s="1"/>
  <c r="C99" i="32"/>
  <c r="O97" i="32"/>
  <c r="O99" i="32" s="1"/>
  <c r="D94" i="32"/>
  <c r="O92" i="32"/>
  <c r="L17" i="5"/>
  <c r="L17" i="32" s="1"/>
  <c r="M38" i="5"/>
  <c r="M38" i="32" s="1"/>
  <c r="O45" i="5"/>
  <c r="D22" i="5"/>
  <c r="D22" i="32" s="1"/>
  <c r="N22" i="5"/>
  <c r="N22" i="32" s="1"/>
  <c r="F39" i="5"/>
  <c r="F39" i="32" s="1"/>
  <c r="D23" i="5"/>
  <c r="D23" i="32" s="1"/>
  <c r="F18" i="5"/>
  <c r="F18" i="32" s="1"/>
  <c r="I16" i="5"/>
  <c r="I16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H39" i="5"/>
  <c r="H39" i="32" s="1"/>
  <c r="H42" i="5"/>
  <c r="H42" i="32" s="1"/>
  <c r="E21" i="5"/>
  <c r="E21" i="32" s="1"/>
  <c r="F51" i="5"/>
  <c r="F51" i="32" s="1"/>
  <c r="L9" i="5"/>
  <c r="L9" i="32" s="1"/>
  <c r="C56" i="5"/>
  <c r="C56" i="32" s="1"/>
  <c r="J19" i="5"/>
  <c r="J19" i="32" s="1"/>
  <c r="N24" i="5"/>
  <c r="N24" i="32" s="1"/>
  <c r="F58" i="5"/>
  <c r="F58" i="32" s="1"/>
  <c r="E34" i="5"/>
  <c r="E34" i="32" s="1"/>
  <c r="D59" i="5"/>
  <c r="D59" i="32" s="1"/>
  <c r="O53" i="5"/>
  <c r="O71" i="32"/>
  <c r="J42" i="5"/>
  <c r="J42" i="32" s="1"/>
  <c r="K32" i="5"/>
  <c r="K32" i="32" s="1"/>
  <c r="M24" i="5"/>
  <c r="M24" i="32" s="1"/>
  <c r="M48" i="5"/>
  <c r="M48" i="32" s="1"/>
  <c r="I65" i="5"/>
  <c r="I65" i="32" s="1"/>
  <c r="G28" i="5"/>
  <c r="G28" i="32" s="1"/>
  <c r="H56" i="5"/>
  <c r="H56" i="32" s="1"/>
  <c r="C94" i="32"/>
  <c r="O33" i="5"/>
  <c r="D9" i="5"/>
  <c r="D9" i="32" s="1"/>
  <c r="M20" i="5"/>
  <c r="M20" i="32" s="1"/>
  <c r="L10" i="5"/>
  <c r="L10" i="32" s="1"/>
  <c r="G21" i="5"/>
  <c r="G21" i="32" s="1"/>
  <c r="G49" i="5"/>
  <c r="G49" i="32" s="1"/>
  <c r="H50" i="5"/>
  <c r="H50" i="32" s="1"/>
  <c r="E49" i="5"/>
  <c r="E49" i="32" s="1"/>
  <c r="L60" i="5"/>
  <c r="L60" i="32" s="1"/>
  <c r="L65" i="5"/>
  <c r="L65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J45" i="5"/>
  <c r="J45" i="32" s="1"/>
  <c r="N6" i="5"/>
  <c r="D10" i="5"/>
  <c r="D10" i="32" s="1"/>
  <c r="G65" i="5"/>
  <c r="G65" i="32" s="1"/>
  <c r="I31" i="5"/>
  <c r="I31" i="32" s="1"/>
  <c r="C41" i="5"/>
  <c r="C41" i="32" s="1"/>
  <c r="H40" i="5"/>
  <c r="H40" i="32" s="1"/>
  <c r="O50" i="5"/>
  <c r="J18" i="5"/>
  <c r="J18" i="32" s="1"/>
  <c r="F32" i="5"/>
  <c r="F32" i="32" s="1"/>
  <c r="I27" i="5"/>
  <c r="I27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K19" i="5"/>
  <c r="K19" i="32" s="1"/>
  <c r="K34" i="5"/>
  <c r="K34" i="32" s="1"/>
  <c r="O54" i="5"/>
  <c r="J43" i="5"/>
  <c r="J43" i="32" s="1"/>
  <c r="C6" i="5"/>
  <c r="M49" i="5"/>
  <c r="M49" i="32" s="1"/>
  <c r="O16" i="5"/>
  <c r="K42" i="5"/>
  <c r="K42" i="32" s="1"/>
  <c r="J14" i="5"/>
  <c r="L41" i="5"/>
  <c r="L41" i="32" s="1"/>
  <c r="D27" i="5"/>
  <c r="D27" i="32" s="1"/>
  <c r="O44" i="5" l="1"/>
  <c r="R5" i="10"/>
  <c r="O77" i="32"/>
  <c r="O79" i="32" s="1"/>
  <c r="E67" i="5"/>
  <c r="G67" i="32"/>
  <c r="D67" i="32"/>
  <c r="D67" i="5"/>
  <c r="J67" i="5"/>
  <c r="M67" i="5"/>
  <c r="G67" i="5"/>
  <c r="N67" i="32"/>
  <c r="I67" i="32"/>
  <c r="K67" i="5"/>
  <c r="M67" i="32"/>
  <c r="L67" i="5"/>
  <c r="K67" i="32"/>
  <c r="N67" i="5"/>
  <c r="C67" i="32"/>
  <c r="F67" i="5"/>
  <c r="H67" i="32"/>
  <c r="C67" i="5"/>
  <c r="F67" i="32"/>
  <c r="I67" i="5"/>
  <c r="L67" i="32"/>
  <c r="H67" i="5"/>
  <c r="O73" i="32"/>
  <c r="O67" i="5"/>
  <c r="O94" i="32"/>
  <c r="L64" i="5"/>
  <c r="L64" i="32" s="1"/>
  <c r="I64" i="5"/>
  <c r="I64" i="32" s="1"/>
  <c r="J64" i="5"/>
  <c r="J64" i="32" s="1"/>
  <c r="D64" i="5"/>
  <c r="D64" i="32" s="1"/>
  <c r="K64" i="5"/>
  <c r="K64" i="32" s="1"/>
  <c r="H64" i="5"/>
  <c r="K3" i="10" s="1" a="1"/>
  <c r="K3" i="10" s="1"/>
  <c r="F64" i="5"/>
  <c r="F64" i="32" s="1"/>
  <c r="M64" i="5"/>
  <c r="M64" i="32" s="1"/>
  <c r="G64" i="5"/>
  <c r="G64" i="32" s="1"/>
  <c r="E64" i="5"/>
  <c r="E64" i="32" s="1"/>
  <c r="N64" i="5"/>
  <c r="N64" i="32" s="1"/>
  <c r="O10" i="32"/>
  <c r="O59" i="32"/>
  <c r="O25" i="32"/>
  <c r="F6" i="32"/>
  <c r="F8" i="32" s="1"/>
  <c r="F5" i="32" s="1"/>
  <c r="F12" i="32" s="1"/>
  <c r="F8" i="5"/>
  <c r="F5" i="5" s="1"/>
  <c r="F12" i="5" s="1"/>
  <c r="L8" i="5"/>
  <c r="L5" i="5" s="1"/>
  <c r="L12" i="5" s="1"/>
  <c r="L6" i="32"/>
  <c r="L8" i="32" s="1"/>
  <c r="L5" i="32" s="1"/>
  <c r="L12" i="32" s="1"/>
  <c r="O55" i="32"/>
  <c r="O54" i="32"/>
  <c r="M63" i="5"/>
  <c r="M14" i="32"/>
  <c r="O60" i="32"/>
  <c r="H6" i="32"/>
  <c r="H8" i="32" s="1"/>
  <c r="H5" i="32" s="1"/>
  <c r="H12" i="32" s="1"/>
  <c r="H8" i="5"/>
  <c r="H5" i="5" s="1"/>
  <c r="H12" i="5" s="1"/>
  <c r="O32" i="32"/>
  <c r="O26" i="32"/>
  <c r="O40" i="32"/>
  <c r="O58" i="32"/>
  <c r="C63" i="5"/>
  <c r="C14" i="32"/>
  <c r="O63" i="5"/>
  <c r="L63" i="5"/>
  <c r="L14" i="32"/>
  <c r="O36" i="32"/>
  <c r="O43" i="32"/>
  <c r="O35" i="32"/>
  <c r="I63" i="5"/>
  <c r="I14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46" i="32"/>
  <c r="O18" i="32"/>
  <c r="I6" i="32"/>
  <c r="I8" i="32" s="1"/>
  <c r="I5" i="32" s="1"/>
  <c r="I12" i="32" s="1"/>
  <c r="I8" i="5"/>
  <c r="I5" i="5" s="1"/>
  <c r="I12" i="5" s="1"/>
  <c r="O42" i="32"/>
  <c r="O7" i="32"/>
  <c r="O65" i="32"/>
  <c r="O9" i="32"/>
  <c r="M8" i="5"/>
  <c r="M5" i="5" s="1"/>
  <c r="M12" i="5" s="1"/>
  <c r="M6" i="32"/>
  <c r="M8" i="32" s="1"/>
  <c r="M5" i="32" s="1"/>
  <c r="M12" i="32" s="1"/>
  <c r="N63" i="5"/>
  <c r="N14" i="32"/>
  <c r="O17" i="32"/>
  <c r="O53" i="32"/>
  <c r="J14" i="32"/>
  <c r="J63" i="5"/>
  <c r="O45" i="32"/>
  <c r="O39" i="32"/>
  <c r="O21" i="32"/>
  <c r="O37" i="32"/>
  <c r="O51" i="32"/>
  <c r="D63" i="5"/>
  <c r="D14" i="32"/>
  <c r="O38" i="32"/>
  <c r="O24" i="32"/>
  <c r="O44" i="32"/>
  <c r="O34" i="32"/>
  <c r="O50" i="32"/>
  <c r="G6" i="32"/>
  <c r="G8" i="32" s="1"/>
  <c r="G5" i="32" s="1"/>
  <c r="G12" i="32" s="1"/>
  <c r="G8" i="5"/>
  <c r="G5" i="5" s="1"/>
  <c r="G12" i="5" s="1"/>
  <c r="K63" i="5"/>
  <c r="K14" i="32"/>
  <c r="O52" i="32"/>
  <c r="O27" i="32"/>
  <c r="G63" i="5"/>
  <c r="G14" i="32"/>
  <c r="E63" i="5"/>
  <c r="E14" i="32"/>
  <c r="O47" i="32"/>
  <c r="C6" i="32"/>
  <c r="C8" i="5"/>
  <c r="C5" i="5" s="1"/>
  <c r="C12" i="5" s="1"/>
  <c r="O41" i="32"/>
  <c r="N6" i="32"/>
  <c r="N8" i="32" s="1"/>
  <c r="N5" i="32" s="1"/>
  <c r="N12" i="32" s="1"/>
  <c r="N8" i="5"/>
  <c r="N5" i="5" s="1"/>
  <c r="N12" i="5" s="1"/>
  <c r="O56" i="32"/>
  <c r="O33" i="32"/>
  <c r="O49" i="32"/>
  <c r="O19" i="32"/>
  <c r="O29" i="32"/>
  <c r="O8" i="5"/>
  <c r="O5" i="5" s="1"/>
  <c r="O12" i="5" s="1"/>
  <c r="O22" i="32"/>
  <c r="O48" i="32"/>
  <c r="O28" i="32"/>
  <c r="O15" i="32"/>
  <c r="E6" i="32"/>
  <c r="E8" i="32" s="1"/>
  <c r="E5" i="32" s="1"/>
  <c r="E12" i="32" s="1"/>
  <c r="E8" i="5"/>
  <c r="E5" i="5" s="1"/>
  <c r="E12" i="5" s="1"/>
  <c r="H63" i="5"/>
  <c r="H14" i="32"/>
  <c r="F63" i="5"/>
  <c r="F14" i="32"/>
  <c r="O23" i="32"/>
  <c r="O16" i="32"/>
  <c r="D6" i="32"/>
  <c r="D8" i="32" s="1"/>
  <c r="D5" i="32" s="1"/>
  <c r="D12" i="32" s="1"/>
  <c r="D8" i="5"/>
  <c r="D5" i="5" s="1"/>
  <c r="D12" i="5" s="1"/>
  <c r="H64" i="32" l="1"/>
  <c r="O67" i="32"/>
  <c r="L13" i="5"/>
  <c r="L66" i="5" s="1"/>
  <c r="L80" i="5" s="1"/>
  <c r="G13" i="5"/>
  <c r="G66" i="5" s="1"/>
  <c r="G80" i="5" s="1"/>
  <c r="K13" i="5"/>
  <c r="K66" i="5" s="1"/>
  <c r="K80" i="5" s="1"/>
  <c r="D13" i="5"/>
  <c r="D66" i="5" s="1"/>
  <c r="D80" i="5" s="1"/>
  <c r="I13" i="5"/>
  <c r="I66" i="5" s="1"/>
  <c r="I80" i="5" s="1"/>
  <c r="M13" i="5"/>
  <c r="M66" i="5" s="1"/>
  <c r="M80" i="5" s="1"/>
  <c r="N13" i="5"/>
  <c r="N66" i="5" s="1"/>
  <c r="N80" i="5" s="1"/>
  <c r="H63" i="32"/>
  <c r="G81" i="5"/>
  <c r="K81" i="5"/>
  <c r="H81" i="32"/>
  <c r="L81" i="5"/>
  <c r="E81" i="5"/>
  <c r="N81" i="5"/>
  <c r="O6" i="32"/>
  <c r="O8" i="32" s="1"/>
  <c r="O5" i="32" s="1"/>
  <c r="O12" i="32" s="1"/>
  <c r="C8" i="32"/>
  <c r="C5" i="32" s="1"/>
  <c r="C12" i="32" s="1"/>
  <c r="D63" i="32"/>
  <c r="D13" i="32" s="1"/>
  <c r="D66" i="32" s="1"/>
  <c r="D80" i="32" s="1"/>
  <c r="G3" i="10" a="1"/>
  <c r="G3" i="10" s="1"/>
  <c r="K81" i="32"/>
  <c r="O14" i="32"/>
  <c r="H13" i="5"/>
  <c r="H66" i="5" s="1"/>
  <c r="H80" i="5" s="1"/>
  <c r="E81" i="32"/>
  <c r="N81" i="32"/>
  <c r="N63" i="32"/>
  <c r="N13" i="32" s="1"/>
  <c r="N66" i="32" s="1"/>
  <c r="N80" i="32" s="1"/>
  <c r="Q3" i="10" a="1"/>
  <c r="Q3" i="10" s="1"/>
  <c r="I81" i="5"/>
  <c r="J81" i="5"/>
  <c r="L63" i="32"/>
  <c r="L13" i="32" s="1"/>
  <c r="L66" i="32" s="1"/>
  <c r="L80" i="32" s="1"/>
  <c r="O3" i="10" a="1"/>
  <c r="O3" i="10" s="1"/>
  <c r="C63" i="32"/>
  <c r="F81" i="32"/>
  <c r="D81" i="32"/>
  <c r="C81" i="5"/>
  <c r="G63" i="32"/>
  <c r="G13" i="32" s="1"/>
  <c r="G66" i="32" s="1"/>
  <c r="G80" i="32" s="1"/>
  <c r="J3" i="10" a="1"/>
  <c r="J3" i="10" s="1"/>
  <c r="J63" i="32"/>
  <c r="J13" i="32" s="1"/>
  <c r="J66" i="32" s="1"/>
  <c r="J80" i="32" s="1"/>
  <c r="M3" i="10" a="1"/>
  <c r="M3" i="10" s="1"/>
  <c r="M81" i="5"/>
  <c r="I63" i="32"/>
  <c r="I13" i="32" s="1"/>
  <c r="I66" i="32" s="1"/>
  <c r="I80" i="32" s="1"/>
  <c r="L3" i="10" a="1"/>
  <c r="L3" i="10" s="1"/>
  <c r="M63" i="32"/>
  <c r="M13" i="32" s="1"/>
  <c r="M66" i="32" s="1"/>
  <c r="M80" i="32" s="1"/>
  <c r="P3" i="10" a="1"/>
  <c r="P3" i="10" s="1"/>
  <c r="F63" i="32"/>
  <c r="F13" i="32" s="1"/>
  <c r="F66" i="32" s="1"/>
  <c r="F80" i="32" s="1"/>
  <c r="I3" i="10" a="1"/>
  <c r="I3" i="10" s="1"/>
  <c r="E63" i="32"/>
  <c r="E13" i="32" s="1"/>
  <c r="E66" i="32" s="1"/>
  <c r="E80" i="32" s="1"/>
  <c r="H3" i="10" a="1"/>
  <c r="H3" i="10" s="1"/>
  <c r="G81" i="32"/>
  <c r="F81" i="5"/>
  <c r="D81" i="5"/>
  <c r="F13" i="5"/>
  <c r="F66" i="5" s="1"/>
  <c r="F80" i="5" s="1"/>
  <c r="O81" i="5"/>
  <c r="E13" i="5"/>
  <c r="E66" i="5" s="1"/>
  <c r="E80" i="5" s="1"/>
  <c r="K63" i="32"/>
  <c r="K13" i="32" s="1"/>
  <c r="K66" i="32" s="1"/>
  <c r="K80" i="32" s="1"/>
  <c r="N3" i="10" a="1"/>
  <c r="N3" i="10" s="1"/>
  <c r="J13" i="5"/>
  <c r="J66" i="5" s="1"/>
  <c r="J80" i="5" s="1"/>
  <c r="M81" i="32"/>
  <c r="I81" i="32"/>
  <c r="J81" i="32"/>
  <c r="H81" i="5"/>
  <c r="L81" i="32"/>
  <c r="H13" i="32" l="1"/>
  <c r="H66" i="32" s="1"/>
  <c r="H80" i="32" s="1"/>
  <c r="O63" i="32"/>
  <c r="O81" i="32"/>
  <c r="C81" i="32"/>
  <c r="C30" i="5"/>
  <c r="C31" i="5"/>
  <c r="C31" i="32" s="1"/>
  <c r="O31" i="32" s="1"/>
  <c r="R84" i="10"/>
  <c r="R79" i="10"/>
  <c r="O30" i="5" s="1"/>
  <c r="O31" i="5" l="1"/>
  <c r="C30" i="32"/>
  <c r="O30" i="32" l="1"/>
  <c r="R38" i="10"/>
  <c r="C20" i="5"/>
  <c r="R44" i="10"/>
  <c r="O20" i="5" s="1"/>
  <c r="C20" i="32" l="1"/>
  <c r="O20" i="32" l="1"/>
  <c r="C57" i="5"/>
  <c r="R49" i="10"/>
  <c r="F5" i="10"/>
  <c r="O57" i="5" l="1"/>
  <c r="O64" i="5" s="1"/>
  <c r="O13" i="5" s="1"/>
  <c r="O66" i="5" s="1"/>
  <c r="O80" i="5" s="1"/>
  <c r="C64" i="5"/>
  <c r="C57" i="32"/>
  <c r="O57" i="32" l="1"/>
  <c r="C64" i="32"/>
  <c r="O64" i="32" s="1"/>
  <c r="F3" i="10" a="1"/>
  <c r="F3" i="10" s="1"/>
  <c r="C13" i="5"/>
  <c r="C66" i="5" s="1"/>
  <c r="C80" i="5" s="1"/>
  <c r="C13" i="32" l="1"/>
  <c r="C66" i="32" s="1"/>
  <c r="C80" i="32" s="1"/>
  <c r="O13" i="32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Administrator</author>
    <author>Nguyễn Thị Kim Anh(Nguyen Thi Kim Anh)</author>
  </authors>
  <commentList>
    <comment ref="E3" authorId="0" shapeId="0" xr:uid="{B8D8D1E1-60A3-4822-ABF9-522DE5910D14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K124" authorId="1" shapeId="0" xr:uid="{DABACDF9-8B83-4706-90B6-5F45C604D70F}">
      <text>
        <r>
          <rPr>
            <b/>
            <sz val="9"/>
            <color indexed="81"/>
            <rFont val="Tahoma"/>
            <family val="2"/>
          </rPr>
          <t>Lịch test</t>
        </r>
      </text>
    </comment>
    <comment ref="G140" authorId="1" shapeId="0" xr:uid="{0AB3E597-710B-4B49-B390-12EF1F112431}">
      <text>
        <r>
          <rPr>
            <sz val="9"/>
            <color indexed="81"/>
            <rFont val="Tahoma"/>
            <family val="2"/>
          </rPr>
          <t xml:space="preserve">Thảm khu vực hút thuốc
</t>
        </r>
      </text>
    </comment>
    <comment ref="K140" authorId="1" shapeId="0" xr:uid="{B8785DEE-A6F0-417D-A1BD-289DC32B2022}">
      <text>
        <r>
          <rPr>
            <sz val="9"/>
            <color indexed="81"/>
            <rFont val="Tahoma"/>
            <family val="2"/>
          </rPr>
          <t xml:space="preserve">Thảm khu vực hút thuốc
</t>
        </r>
      </text>
    </comment>
    <comment ref="O140" authorId="1" shapeId="0" xr:uid="{5877044A-3519-4654-A280-F20A7C0A726B}">
      <text>
        <r>
          <rPr>
            <sz val="9"/>
            <color indexed="81"/>
            <rFont val="Tahoma"/>
            <family val="2"/>
          </rPr>
          <t xml:space="preserve">Thảm khu vực hút thuốc
</t>
        </r>
      </text>
    </comment>
    <comment ref="F149" authorId="1" shapeId="0" xr:uid="{7D0495B1-3FBE-4F43-93A7-F006AD899593}">
      <text>
        <r>
          <rPr>
            <b/>
            <sz val="9"/>
            <color indexed="81"/>
            <rFont val="Tahoma"/>
            <family val="2"/>
          </rPr>
          <t>Dép bà bầu + dép đau chân</t>
        </r>
      </text>
    </comment>
    <comment ref="H149" authorId="1" shapeId="0" xr:uid="{EE41B257-A2E9-4E89-926C-AADB93C1BF01}">
      <text>
        <r>
          <rPr>
            <b/>
            <sz val="9"/>
            <color indexed="81"/>
            <rFont val="Tahoma"/>
            <family val="2"/>
          </rPr>
          <t>Dép lễ tân 130k 1 đôi</t>
        </r>
      </text>
    </comment>
    <comment ref="O188" authorId="1" shapeId="0" xr:uid="{C8FFC4F3-3BAB-4710-A24A-9BF3920FAB89}">
      <text>
        <r>
          <rPr>
            <b/>
            <sz val="9"/>
            <color indexed="81"/>
            <rFont val="Tahoma"/>
            <family val="2"/>
          </rPr>
          <t>Tháng 1 áo dài tay</t>
        </r>
      </text>
    </comment>
    <comment ref="I210" authorId="2" shapeId="0" xr:uid="{DDD88632-2EC4-4024-BC9B-90E33CC2E697}">
      <text>
        <r>
          <rPr>
            <b/>
            <sz val="9"/>
            <color indexed="81"/>
            <rFont val="Tahoma"/>
            <family val="2"/>
          </rPr>
          <t xml:space="preserve">mừng con Ánh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19" authorId="1" shapeId="0" xr:uid="{A2654704-D9C0-4527-A321-7E4D036B702C}">
      <text>
        <r>
          <rPr>
            <b/>
            <sz val="9"/>
            <color indexed="81"/>
            <rFont val="Tahoma"/>
            <family val="2"/>
          </rPr>
          <t>C KAB &amp; C Hoa héo</t>
        </r>
      </text>
    </comment>
    <comment ref="H219" authorId="1" shapeId="0" xr:uid="{1F9A46C1-7C73-45EB-B3C0-AAFBA2C933F1}">
      <text>
        <r>
          <rPr>
            <b/>
            <sz val="9"/>
            <color indexed="81"/>
            <rFont val="Tahoma"/>
            <family val="2"/>
          </rPr>
          <t>C Lớn + Hải Hà</t>
        </r>
      </text>
    </comment>
    <comment ref="I219" authorId="1" shapeId="0" xr:uid="{41C16D92-F3E5-4637-8C96-DACC7B455508}">
      <text>
        <r>
          <rPr>
            <b/>
            <sz val="9"/>
            <color indexed="81"/>
            <rFont val="Tahoma"/>
            <family val="2"/>
          </rPr>
          <t>C Minh &amp; C Linh</t>
        </r>
      </text>
    </comment>
    <comment ref="J219" authorId="1" shapeId="0" xr:uid="{CA2DF64A-EB28-4C4A-9A27-FCDBCE899F8D}">
      <text>
        <r>
          <rPr>
            <b/>
            <sz val="9"/>
            <color indexed="81"/>
            <rFont val="Tahoma"/>
            <family val="2"/>
          </rPr>
          <t>E Lâm + E Hân</t>
        </r>
      </text>
    </comment>
    <comment ref="L219" authorId="1" shapeId="0" xr:uid="{C7152AE0-AD0F-43A1-AD28-6B771A46AEAD}">
      <text>
        <r>
          <rPr>
            <b/>
            <sz val="9"/>
            <color indexed="81"/>
            <rFont val="Tahoma"/>
            <family val="2"/>
          </rPr>
          <t>c Thơ + A Chương</t>
        </r>
      </text>
    </comment>
    <comment ref="M219" authorId="1" shapeId="0" xr:uid="{5D2A7DEC-EAC6-455D-863A-18E40A37C893}">
      <text>
        <r>
          <rPr>
            <b/>
            <sz val="9"/>
            <color indexed="81"/>
            <rFont val="Tahoma"/>
            <family val="2"/>
          </rPr>
          <t>C Điệp, Thủy, A Thắng</t>
        </r>
      </text>
    </comment>
    <comment ref="N219" authorId="1" shapeId="0" xr:uid="{50BDE05F-00DC-4C54-9353-DDB853A16161}">
      <text>
        <r>
          <rPr>
            <b/>
            <sz val="9"/>
            <color indexed="81"/>
            <rFont val="Tahoma"/>
            <family val="2"/>
          </rPr>
          <t>Em Hải</t>
        </r>
      </text>
    </comment>
    <comment ref="O219" authorId="1" shapeId="0" xr:uid="{0103D021-AA11-4DA4-A621-89EE7DFE95D9}">
      <text>
        <r>
          <rPr>
            <b/>
            <sz val="9"/>
            <color indexed="81"/>
            <rFont val="Tahoma"/>
            <family val="2"/>
          </rPr>
          <t>Bác Tổng + Em Ánh</t>
        </r>
      </text>
    </comment>
    <comment ref="P219" authorId="1" shapeId="0" xr:uid="{EDEDAACB-D469-4C55-AE1A-82CB174B983E}">
      <text>
        <r>
          <rPr>
            <b/>
            <sz val="9"/>
            <color indexed="81"/>
            <rFont val="Tahoma"/>
            <family val="2"/>
          </rPr>
          <t>A Khánh</t>
        </r>
      </text>
    </comment>
    <comment ref="Q219" authorId="1" shapeId="0" xr:uid="{ADF393DC-E0F7-4F4A-9A40-03D73EEE93C8}">
      <text>
        <r>
          <rPr>
            <b/>
            <sz val="9"/>
            <color indexed="81"/>
            <rFont val="Tahoma"/>
            <family val="2"/>
          </rPr>
          <t>Hoa nhỏ</t>
        </r>
      </text>
    </comment>
    <comment ref="G223" authorId="1" shapeId="0" xr:uid="{B84C5B00-D0E1-4F8D-9D8B-D067E6E7349D}">
      <text>
        <r>
          <rPr>
            <b/>
            <sz val="9"/>
            <color indexed="81"/>
            <rFont val="Tahoma"/>
            <family val="2"/>
          </rPr>
          <t>1 người : 1,890,000 vnd</t>
        </r>
      </text>
    </comment>
    <comment ref="K234" authorId="1" shapeId="0" xr:uid="{BA3DEE3D-4450-4037-9452-5B28037FD3B6}">
      <text>
        <r>
          <rPr>
            <b/>
            <sz val="9"/>
            <color indexed="81"/>
            <rFont val="Tahoma"/>
            <family val="2"/>
          </rPr>
          <t xml:space="preserve">195 người
</t>
        </r>
      </text>
    </comment>
    <comment ref="L235" authorId="1" shapeId="0" xr:uid="{465D656E-A1F6-4F99-819E-D41AC66E4B43}">
      <text>
        <r>
          <rPr>
            <b/>
            <sz val="9"/>
            <color indexed="81"/>
            <rFont val="Tahoma"/>
            <family val="2"/>
          </rPr>
          <t>Đã bao gồm Tiền ăn công đoàn, văn nghệ 
Tiền biểu diễn 5 triệu</t>
        </r>
      </text>
    </comment>
    <comment ref="L237" authorId="1" shapeId="0" xr:uid="{CD995379-1B5F-4327-AB67-AA903C9A55C4}">
      <text>
        <r>
          <rPr>
            <b/>
            <sz val="9"/>
            <color indexed="81"/>
            <rFont val="Tahoma"/>
            <family val="2"/>
          </rPr>
          <t>Bác Tổng + C Minh + C Điệp</t>
        </r>
      </text>
    </comment>
    <comment ref="F271" authorId="1" shapeId="0" xr:uid="{56E30B72-C6EC-4E62-8F26-51136EA906F6}">
      <text>
        <r>
          <rPr>
            <b/>
            <sz val="9"/>
            <color indexed="81"/>
            <rFont val="Tahoma"/>
            <family val="2"/>
          </rPr>
          <t>thùng rác inox</t>
        </r>
      </text>
    </comment>
    <comment ref="G271" authorId="1" shapeId="0" xr:uid="{2E38DFEB-3420-41D2-AFE5-BC16BF54F20B}">
      <text>
        <r>
          <rPr>
            <b/>
            <sz val="9"/>
            <color indexed="81"/>
            <rFont val="Tahoma"/>
            <family val="2"/>
          </rPr>
          <t xml:space="preserve">ghế nhựa khu nghỉ ngơi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2EDAFD79-9874-4886-8540-0CEB80D1AC98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<sst xmlns="http://schemas.openxmlformats.org/spreadsheetml/2006/main" count="2125" uniqueCount="950">
  <si>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</si>
  <si>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</si>
  <si>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</si>
  <si>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</si>
  <si>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</si>
  <si>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</si>
  <si>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</si>
  <si>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</si>
  <si>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</si>
  <si>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</si>
  <si>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</si>
  <si>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</si>
  <si>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</si>
  <si>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</si>
  <si>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</si>
  <si>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</si>
  <si>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</si>
  <si>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</si>
  <si>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</si>
  <si>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</si>
  <si>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</si>
  <si>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</si>
  <si>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</si>
  <si>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</si>
  <si>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</si>
  <si>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</si>
  <si>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</si>
  <si>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</si>
  <si>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</si>
  <si>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</si>
  <si>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</si>
  <si>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</si>
  <si>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</si>
  <si>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</si>
  <si>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</si>
  <si>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</si>
  <si>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</si>
  <si>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</si>
  <si>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</si>
  <si>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</si>
  <si>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</si>
  <si>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</si>
  <si>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</si>
  <si>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</si>
  <si>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</si>
  <si>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</si>
  <si>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</si>
  <si>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</si>
  <si>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</si>
  <si>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</si>
  <si>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</si>
  <si>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</si>
  <si>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</si>
  <si>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</si>
  <si>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</si>
  <si>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</si>
  <si>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</si>
  <si>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</si>
  <si>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</si>
  <si>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</si>
  <si>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</si>
  <si>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</si>
  <si>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</si>
  <si>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</si>
  <si>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</si>
  <si>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</si>
  <si>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</si>
  <si>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</si>
  <si>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</si>
  <si>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</si>
  <si>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</si>
  <si>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</si>
  <si>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</si>
  <si>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</si>
  <si>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</si>
  <si>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</si>
  <si>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</si>
  <si>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</si>
  <si>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</si>
  <si>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</si>
  <si>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</si>
  <si>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</si>
  <si>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</si>
  <si>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</si>
  <si>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</si>
  <si>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</si>
  <si>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</si>
  <si>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</si>
  <si>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</si>
  <si>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</si>
  <si>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</si>
  <si>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</si>
  <si>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</si>
  <si>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</si>
  <si>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</si>
  <si>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</si>
  <si>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</si>
  <si>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</si>
  <si>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</si>
  <si>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</si>
  <si>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</si>
  <si>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</si>
  <si>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</si>
  <si>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</si>
  <si>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</si>
  <si>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</si>
  <si>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</si>
  <si>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</si>
  <si>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</si>
  <si>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</si>
  <si>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</si>
  <si>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</si>
  <si>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</si>
  <si>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</si>
  <si>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</si>
  <si>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</si>
  <si>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</si>
  <si>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</si>
  <si>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</si>
  <si>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</si>
  <si>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</si>
  <si>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</si>
  <si>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</si>
  <si>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</si>
  <si>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</si>
  <si>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</si>
  <si>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</si>
  <si>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</si>
  <si>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</si>
  <si>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</si>
  <si>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</si>
  <si>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</si>
  <si>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</si>
  <si>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</si>
  <si>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</si>
  <si>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</si>
  <si>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</si>
  <si>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</si>
  <si>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</si>
  <si>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</si>
  <si>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</si>
  <si>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</si>
  <si>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</si>
  <si>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</si>
  <si>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</si>
  <si>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</si>
  <si>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</si>
  <si>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</si>
  <si>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</si>
  <si>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</si>
  <si>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</si>
  <si>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</si>
  <si>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</si>
  <si>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</si>
  <si>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</si>
  <si>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</si>
  <si>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</si>
  <si>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</si>
  <si>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</si>
  <si>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</si>
  <si>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</si>
  <si>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</si>
  <si>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</si>
  <si>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</si>
  <si>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</si>
  <si>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</si>
  <si>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</si>
  <si>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</si>
  <si>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</si>
  <si>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</si>
  <si>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</si>
  <si>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</si>
  <si>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</si>
  <si>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</si>
  <si>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</si>
  <si>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</si>
  <si>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</si>
  <si>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</si>
  <si>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</si>
  <si>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</si>
  <si>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</si>
  <si>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</si>
  <si>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</si>
  <si>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</si>
  <si>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</si>
  <si>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</si>
  <si>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</si>
  <si>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</si>
  <si>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</si>
  <si>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</si>
  <si>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</si>
  <si>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</si>
  <si>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</si>
  <si>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</si>
  <si>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</si>
  <si>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</si>
  <si>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</si>
  <si>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</si>
  <si>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</si>
  <si>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</si>
  <si>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</si>
  <si>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</si>
  <si>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</si>
  <si>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</si>
  <si>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</si>
  <si>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</si>
  <si>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</si>
  <si>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</si>
  <si>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</si>
  <si>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</si>
  <si>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</si>
  <si>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</si>
  <si>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</si>
  <si>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</si>
  <si>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</si>
  <si>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</si>
  <si>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</si>
  <si>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</si>
  <si>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</si>
  <si>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</si>
  <si>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</si>
  <si>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</si>
  <si>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</si>
  <si>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</si>
  <si>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</si>
  <si>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</si>
  <si>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</si>
  <si>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</si>
  <si>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</si>
  <si>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</si>
  <si>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</si>
  <si>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</si>
  <si>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</si>
  <si>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</si>
  <si>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</si>
  <si>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</si>
  <si>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</si>
  <si>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</si>
  <si>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</si>
  <si>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</si>
  <si>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</si>
  <si>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</si>
  <si>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</si>
  <si>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</si>
  <si>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</si>
  <si>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</si>
  <si>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</si>
  <si>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</si>
  <si>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</si>
  <si>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</si>
  <si>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</si>
  <si>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</si>
  <si>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</si>
  <si>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</si>
  <si>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</si>
  <si>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</si>
  <si>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</si>
  <si>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</si>
  <si>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</si>
  <si>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</si>
  <si>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</si>
  <si>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</si>
  <si>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</si>
  <si>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</si>
  <si>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</si>
  <si>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</si>
  <si>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</si>
  <si>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</si>
  <si>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</si>
  <si>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</si>
  <si>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</si>
  <si>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</si>
  <si>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</si>
  <si>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</si>
  <si>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</si>
  <si>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</si>
  <si>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</si>
  <si>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</si>
  <si>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</si>
  <si>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</si>
  <si>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</si>
  <si>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</si>
  <si>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</si>
  <si>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</si>
  <si>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</si>
  <si>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</si>
  <si>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</si>
  <si>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</si>
  <si>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</si>
  <si>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</si>
  <si>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</si>
  <si>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</si>
  <si>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</si>
  <si>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</si>
  <si>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</si>
  <si>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</si>
  <si>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</si>
  <si>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</si>
  <si>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</si>
  <si>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</si>
  <si>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</si>
  <si>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</si>
  <si>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</si>
  <si>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</si>
  <si>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</si>
  <si>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</si>
  <si>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</si>
  <si>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</si>
  <si>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</si>
  <si>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</si>
  <si>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</si>
  <si>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</si>
  <si>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</si>
  <si>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</si>
  <si>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</si>
  <si>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</si>
  <si>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</si>
  <si>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</si>
  <si>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</si>
  <si>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</si>
  <si>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</si>
  <si>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</si>
  <si>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</si>
  <si>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</si>
  <si>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</si>
  <si>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</si>
  <si>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</si>
  <si>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</si>
  <si>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</si>
  <si>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</si>
  <si>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</si>
  <si>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</si>
  <si>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</si>
  <si>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</si>
  <si>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</si>
  <si>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</si>
  <si>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</si>
  <si>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</si>
  <si>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</si>
  <si>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</si>
  <si>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</si>
  <si>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</si>
  <si>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</si>
  <si>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</si>
  <si>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</si>
  <si>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</si>
  <si>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</si>
  <si>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</si>
  <si>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</si>
  <si>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</si>
  <si>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</si>
  <si>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</si>
  <si>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</si>
  <si>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</si>
  <si>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</si>
  <si>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</si>
  <si>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</si>
  <si>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</si>
  <si>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</si>
  <si>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</si>
  <si>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</si>
  <si>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</si>
  <si>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</si>
  <si>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</si>
  <si>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</si>
  <si>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</si>
  <si>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</si>
  <si>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</si>
  <si>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</si>
  <si>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</si>
  <si>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</si>
  <si>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</si>
  <si>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</si>
  <si>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</si>
  <si>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</si>
  <si>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</si>
  <si>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</si>
  <si>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</si>
  <si>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</si>
  <si>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</si>
  <si>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</si>
  <si>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</si>
  <si>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</si>
  <si>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</si>
  <si>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</si>
  <si>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</si>
  <si>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</si>
  <si>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</si>
  <si>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</si>
  <si>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</si>
  <si>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</si>
  <si>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</si>
  <si>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</si>
  <si>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</si>
  <si>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</si>
  <si>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</si>
  <si>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</si>
  <si>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</si>
  <si>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</si>
  <si>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</si>
  <si>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</si>
  <si>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</si>
  <si>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</si>
  <si>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</si>
  <si>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</si>
  <si>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</si>
  <si>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</si>
  <si>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</si>
  <si>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</si>
  <si>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</si>
  <si>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</si>
  <si>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</si>
  <si>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</si>
  <si>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</si>
  <si>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</si>
  <si>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</si>
  <si>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</si>
  <si>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</si>
  <si>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</si>
  <si>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</si>
  <si>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</si>
  <si>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</si>
  <si>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</si>
  <si>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</si>
  <si>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</si>
  <si>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</si>
  <si>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</si>
  <si>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</si>
  <si>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</si>
  <si>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</si>
  <si>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</si>
  <si>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</si>
  <si>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</si>
  <si>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</si>
  <si>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</si>
  <si>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</si>
  <si>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</si>
  <si>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</si>
  <si>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</si>
  <si>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</si>
  <si>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</si>
  <si>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</si>
  <si>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</si>
  <si>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</si>
  <si>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</si>
  <si>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</si>
  <si>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</si>
  <si>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</si>
  <si>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</si>
  <si>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</si>
  <si>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</si>
  <si>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</si>
  <si>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</si>
  <si>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</si>
  <si>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</si>
  <si>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</si>
  <si>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</si>
  <si>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</si>
  <si>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</si>
  <si>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</si>
  <si>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</si>
  <si>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</si>
  <si>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</si>
  <si>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</si>
  <si>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</si>
  <si>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</si>
  <si>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</si>
  <si>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</si>
  <si>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</si>
  <si>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</si>
  <si>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</si>
  <si>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</si>
  <si>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</si>
  <si>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</si>
  <si>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</si>
  <si>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</si>
  <si>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</si>
  <si>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</si>
  <si>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</si>
  <si>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</si>
  <si>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</si>
  <si>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</si>
  <si>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</si>
  <si>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</si>
  <si>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</si>
  <si>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</si>
  <si>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</si>
  <si>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</si>
  <si>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</si>
  <si>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</si>
  <si>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</si>
  <si>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</si>
  <si>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</si>
  <si>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</si>
  <si>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</si>
  <si>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</si>
  <si>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</si>
  <si>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</si>
  <si>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</si>
  <si>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</si>
  <si>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</si>
  <si>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</si>
  <si>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</si>
  <si>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</si>
  <si>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</si>
  <si>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</si>
  <si>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</si>
  <si>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</si>
  <si>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</si>
  <si>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</si>
  <si>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</si>
  <si>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</si>
  <si>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</si>
  <si>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</si>
  <si>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</si>
  <si>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</si>
  <si>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</si>
  <si>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</si>
  <si>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</si>
  <si>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</si>
  <si>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</si>
  <si>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</si>
  <si>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</si>
  <si>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</si>
  <si>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</si>
  <si>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</si>
  <si>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</si>
  <si>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</si>
  <si>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</si>
  <si>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</si>
  <si>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</si>
  <si>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</si>
  <si>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</si>
  <si>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</si>
  <si>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</si>
  <si>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</si>
  <si>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</si>
  <si>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</si>
  <si>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</si>
  <si>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</si>
  <si>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</si>
  <si>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</si>
  <si>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</si>
  <si>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</si>
  <si>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</si>
  <si>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</si>
  <si>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</si>
  <si>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</si>
  <si>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</si>
  <si>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</si>
  <si>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</si>
  <si>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</si>
  <si>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</si>
  <si>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</si>
  <si>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</si>
  <si>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</si>
  <si>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</si>
  <si>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</si>
  <si>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</si>
  <si>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</si>
  <si>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</si>
  <si>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</si>
  <si>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</si>
  <si>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</si>
  <si>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</si>
  <si>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</si>
  <si>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</si>
  <si>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</si>
  <si>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</si>
  <si>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</si>
  <si>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</si>
  <si>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</si>
  <si>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</si>
  <si>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</si>
  <si>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</si>
  <si>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</si>
  <si>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</si>
  <si>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</si>
  <si>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</si>
  <si>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</si>
  <si>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</si>
  <si>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</si>
  <si>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</si>
  <si>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</si>
  <si>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</si>
  <si>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</si>
  <si>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</si>
  <si>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</si>
  <si>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</si>
  <si>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</si>
  <si>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</si>
  <si>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</si>
  <si>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</si>
  <si>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</si>
  <si>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</si>
  <si>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</si>
  <si>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</si>
  <si>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</si>
  <si>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</si>
  <si>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</si>
  <si>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</si>
  <si>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</si>
  <si>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</si>
  <si>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</si>
  <si>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</si>
  <si>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</si>
  <si>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</si>
  <si>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</si>
  <si>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</si>
  <si>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</si>
  <si>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</si>
  <si>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</si>
  <si>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</si>
  <si>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</si>
  <si>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</si>
  <si>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</si>
  <si>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</si>
  <si>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</si>
  <si>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</si>
  <si>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</si>
  <si>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</si>
  <si>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</si>
  <si>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</si>
  <si>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</si>
  <si>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</si>
  <si>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</si>
  <si>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</si>
  <si>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</si>
  <si>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</si>
  <si>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</si>
  <si>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</si>
  <si>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</si>
  <si>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</si>
  <si>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</si>
  <si>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</si>
  <si>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</si>
  <si>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</si>
  <si>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</si>
  <si>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</si>
  <si>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</si>
  <si>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</si>
  <si>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</si>
  <si>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</si>
  <si>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</si>
  <si>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</si>
  <si>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</si>
  <si>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</si>
  <si>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</si>
  <si>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</si>
  <si>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</si>
  <si>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</si>
  <si>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</si>
  <si>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</si>
  <si>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</si>
  <si>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</si>
  <si>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</si>
  <si>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</si>
  <si>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</si>
  <si>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</si>
  <si>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</si>
  <si>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</si>
  <si>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</si>
  <si>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</si>
  <si>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</si>
  <si>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</si>
  <si>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</si>
  <si>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</si>
  <si>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</si>
  <si>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</si>
  <si>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</si>
  <si>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</si>
  <si>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</si>
  <si>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</si>
  <si>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</si>
  <si>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</si>
  <si>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</si>
  <si>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</si>
  <si>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</si>
  <si>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</si>
  <si>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</si>
  <si>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</si>
  <si>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</si>
  <si>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</si>
  <si>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</si>
  <si>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</si>
  <si>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</si>
  <si>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</si>
  <si>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</si>
  <si>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</si>
  <si>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</si>
  <si>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</si>
  <si>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</si>
  <si>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水道代 Tiền nước</t>
  </si>
  <si>
    <t>建屋償却費  Khấu hao nhà xưởng</t>
  </si>
  <si>
    <t>土地使用権償却費　Khấu hao đất sử dụng</t>
  </si>
  <si>
    <t>建物利益　Lãi nhà xưởng</t>
  </si>
  <si>
    <t>土地利益　Lãi đất sử dụng</t>
  </si>
  <si>
    <t>文房具金利 Lãi VPP</t>
  </si>
  <si>
    <t>特別利益　Lợi nhuận đặc biệt</t>
  </si>
  <si>
    <t>食堂経営ソフト償却　Khấu hao phần mềm quản lý nhà ăn T5/2026</t>
  </si>
  <si>
    <t>車利益　Lãi xe Camry (T4/2027 hết khấu hao)</t>
  </si>
  <si>
    <t>食堂経営ソフト利益　Lãi phần mềm quản lý nhà ăn (T5/2026 hết khấu hao)</t>
  </si>
  <si>
    <t>社有車　対人の自賠責保険 + 車体保険 BH xe oto công ty (T5 hàng năm)</t>
  </si>
  <si>
    <t>手洗い洗剤　発注額 345.000 VND/4L Lifebouy</t>
  </si>
  <si>
    <t>手洗い洗剤　振替額 Phân bổ chi phí nước rửa tay</t>
  </si>
  <si>
    <t>手洗い洗剤　総務課振替額 Nước rửa tay phân bổ cho p.HC</t>
  </si>
  <si>
    <t>トイレットペーパー　発注額 Giấy vệ sinh 32,000VND</t>
  </si>
  <si>
    <t>トイレットペーパー　振替額 Phân bổ chi phí giấy vệ sinh</t>
  </si>
  <si>
    <t>トイレットペーパー　総務課振替額 Giấy vệ sinh phân bổ cho p.HC</t>
  </si>
  <si>
    <t>アルコール消毒  発注額 Cồn khử trùng</t>
  </si>
  <si>
    <t>洗剤　Nước giặt</t>
  </si>
  <si>
    <t>会社の車　Xe công ty（総務課員使用） p.HC sử dụng</t>
  </si>
  <si>
    <t>会社の車　Xe công ty（ガソリン代) Chênh lệch xăng xe</t>
  </si>
  <si>
    <t>運転手の出張昼ごはん費用　Phí tiền ăn khi công tác của lái xe (theo lịch công tác)</t>
  </si>
  <si>
    <t>社有車洗車費用　Chi phí rửa xe công ty (tính theo từng tháng)</t>
  </si>
  <si>
    <t>国内タクシー費(Trung Kien) Taxi đi lại p.HC</t>
  </si>
  <si>
    <t>国内タクシー費(Hoang Anh) Taxi đi lại p.HC</t>
  </si>
  <si>
    <t>日本語試験交通費 Phí đi lại thi tiếng Nhật</t>
  </si>
  <si>
    <t>大形さん　労働許可証.Visa取得のため、タクシー代 Phí taxi làm GPLD, VISA cho TGĐ (T1~3/2025)</t>
  </si>
  <si>
    <t>出張日当　Công tác phí (trợ lý: 70,000, NV: 40,000) + tiền ăn 30,000</t>
  </si>
  <si>
    <t>大形さん　日本出張航空券代 Vé máy bay công tác nước ngoài của TGĐ</t>
  </si>
  <si>
    <t>大形さん　日本出張時の日本国内交通費/出張日当 (60usd/日)  Phí công tác nước ngoài</t>
  </si>
  <si>
    <t>大形さん　空港送迎費用 (taxi) Mr.Ogata đi sân bay</t>
  </si>
  <si>
    <t>大形さん　空港送迎費用 (xe công ty) Mr.Ogata đi sân bay</t>
  </si>
  <si>
    <t>電気代 Tiền điện</t>
  </si>
  <si>
    <t>食堂用ガス　発注額 Gas nhà ăn</t>
  </si>
  <si>
    <t>食堂用ガス　振替額 Phân bổ chi phí gas</t>
  </si>
  <si>
    <t>食堂用ガス　総務課負担額 Gas phân bổ cho p.HC</t>
  </si>
  <si>
    <t>テーブルと椅子修理費用　Sửa chữa bàn ghế</t>
  </si>
  <si>
    <t>車両メンテナンス Bảo dưỡng &amp; thay thế thiết bị xe công ty</t>
  </si>
  <si>
    <t>プロジェクト修繕費用 Sửa chữa máy chiếu</t>
  </si>
  <si>
    <t>A食堂　設備メンテ費用 Bảo dưỡng nhà ăn A</t>
  </si>
  <si>
    <t>B食堂　設備メンテ費用 Bảo dưỡng nhà ăn B</t>
  </si>
  <si>
    <t>食堂　電流修繕 Bảo dưỡng đường điện nhà ăn</t>
  </si>
  <si>
    <t>食堂　ガスパイプ修繕 Bảo dưỡng đường gas nhà ăn</t>
  </si>
  <si>
    <t>食堂　水道パイプ修繕 Bảo dưỡng đường nước nhà ăn</t>
  </si>
  <si>
    <t>A食堂　設備メンテ費用 換気扇 Bảo dưỡng hệ thống hút mùi nhà ăn A</t>
  </si>
  <si>
    <t>B食堂　設備メンテ費用 換気扇 Bảo dưỡng hệ thống hút mùi nhà ăn B</t>
  </si>
  <si>
    <t>A食堂　設備メンテ費用 エアコン Bảo dưỡng điều hòa nhà ăn A</t>
  </si>
  <si>
    <t>B食堂　設備メンテ費用 エアコン Bảo dưỡng điều hòa nhà ăn B</t>
  </si>
  <si>
    <t>食堂　設備メンテ費用 炊飯器 Sửa chữa tủ cơm nhà ăn</t>
  </si>
  <si>
    <t>備品　受付パソコン修理 Thay màn hình máy tính/ổ cứng/RAM/UPS/TPLink</t>
  </si>
  <si>
    <t>食堂　設備メンテ費用 冷凍庫  Sửa chữa tủ đông Berjara nhà ăn A</t>
  </si>
  <si>
    <t>食堂　設備メンテ費用 冷蔵庫  Sửa chữa tủ lạnh Sanaky nhà ăn A</t>
  </si>
  <si>
    <t>食堂　設備メンテ費用 冷凍庫  Sửa chữa tủ đông Berjara nhà ăn B</t>
  </si>
  <si>
    <t>清掃費 Chi phí làm sạch</t>
  </si>
  <si>
    <t>清掃社員の食事代 Tiền ăn cho nhân viên làm sạch</t>
  </si>
  <si>
    <t>清掃　振替額 Phân bổ chi phí làm sạch</t>
  </si>
  <si>
    <t>清掃　総務課振替額 Phí làm sạch phân bổ p.HC</t>
  </si>
  <si>
    <t>清掃　ロッカールーム．給湯室殺虫費用 Phun côn trùng Nhà nước, locker nhà A (7,5tr). Diệt gián đức 2 nhà ăn AB + Locker tủ giầy, nhà nước tòa A,B (13,5tr) (phun tháng chẵn, thanh toán tháng lẻ)</t>
  </si>
  <si>
    <t>清掃 食堂で殺虫 Phun côn trùng 2 nhà ăn (7,500,000 VND)</t>
  </si>
  <si>
    <t>ロッカー移動、掃除 Vệ sinh và chuyển tủ</t>
  </si>
  <si>
    <t>清掃  年末全社清掃費用 Chi phí làm sạch toàn bộ công ty cuối năm/vệ sinh và chuyển tủ</t>
  </si>
  <si>
    <t>感染防止対応（消毒）Đối ứng dịch bệnh (phun khử khuẩn)</t>
  </si>
  <si>
    <t>大形さん　労働許可証取得費用 Chi phí GPLĐ của TGĐ</t>
  </si>
  <si>
    <t>大形さん　労働許可証申請書類公証手数料. 写真代 Phí công chứng, ảnh, dịch làm GPLĐ</t>
  </si>
  <si>
    <t>備品購入の物流費用　Chi phí tờ khai Hải Quan</t>
  </si>
  <si>
    <t>検査登録手続 Lệ phí đăng kiểm xe ô tô công ty T5.2025</t>
  </si>
  <si>
    <t>道路維持 Phí bảo trì đường bộ xe ô tô công ty T5.2025</t>
  </si>
  <si>
    <t>固定電話　Điện thoại cố định</t>
  </si>
  <si>
    <t>総務課負担携帯電話 Điện thoại di động p.HC sử dụng</t>
  </si>
  <si>
    <t>携帯電話、SIM購入代（端末 900,000vnd）Điện thoại Nokia và SIM (47.500)</t>
  </si>
  <si>
    <t>各課の電話機とSIM Cellphone, SIM phân bổ cho các phòng ban (マイナス）</t>
  </si>
  <si>
    <t>ASEAX郵送　Phí chuyển phát HP @17,000vnd, HN @29,000vnd</t>
  </si>
  <si>
    <t>出向社員健康診断結果KDCへの送付費用 Gửi kết quả KSK biệt phái đi KDC</t>
  </si>
  <si>
    <t>システム課金 Chi phí hệ thống</t>
  </si>
  <si>
    <t>VPN課金  Chi phí VPN</t>
  </si>
  <si>
    <t>日経ものづくり１年コース Tạp chí Nhật mua T9 hàng năm (gói 1 năm)</t>
  </si>
  <si>
    <t>ポケットカレンダー　総務課負担額 Lịch bỏ túi phân bổ cho p.HC</t>
  </si>
  <si>
    <t>新入社員　フィロソフィ手帳, 名札、写真 Sổ tay triết lý, thẻ NV, ảnh 85,200</t>
  </si>
  <si>
    <t>備品　新入社員　ノート、ペン Sổ bút cho nhân viên mới 15,700/10,600</t>
  </si>
  <si>
    <t xml:space="preserve">備品　A3印刷用紙 Giấy in A3 (106,000VND/包), プラスチックラミネート紙 Giấy ép A3 (242,000VND/包) </t>
  </si>
  <si>
    <t>備品　キーボックス（スペアキー用）　(@1,100,000VND) Hộp chìa khóa lưu</t>
  </si>
  <si>
    <t>備品　ラック（キーボックス用） Giá trên hộp chìa khóa lưu</t>
  </si>
  <si>
    <t>備品　キーホルダー (@1,250VND/孤) Móc treo chìa khóa</t>
  </si>
  <si>
    <t>備品　Tepra 6mm, 9mm12mm (240,000VND)</t>
  </si>
  <si>
    <t>備品　Tepra 18mm (300,000VND), 24mm (285,000VND), 36mm (370,000VND)</t>
  </si>
  <si>
    <t>備品　年末大掃除用道具 Dụng cụ tổng vệ sinh cuối năm/Xe dọn vệ sinh đa năng</t>
  </si>
  <si>
    <t>加圧噴霧器（コンクリート床の洗浄に使用） Máy phun áp lực (vệ sinh nền bê tông)</t>
  </si>
  <si>
    <t>備品　掃除機（K棟3階用） Máy hút bụi, dụng cụ điện đa chức năng 機械工具</t>
  </si>
  <si>
    <t>備品　雑巾 (4,500VND) Khăn lau</t>
  </si>
  <si>
    <t>喫煙所用マット Thảm dành cho khu hút thuốc</t>
  </si>
  <si>
    <t>従業員入り口用マット Thảm trải sảnh ra vào của CBCNV</t>
  </si>
  <si>
    <t>備品　会社掲揚　国旗 Bộ cờ treo</t>
  </si>
  <si>
    <t>備品　会社ロゴ入り封筒/ 袋 Phong bì, túi có logo công ty</t>
  </si>
  <si>
    <t>備品　電話機 Điện thoại bàn</t>
  </si>
  <si>
    <t>名刺（社長、副課長、係長） Danh thiếp (135,000 VND)</t>
  </si>
  <si>
    <t>備品　印鑑（社長） Con dấu</t>
  </si>
  <si>
    <t xml:space="preserve">備品　社印用インク Mực dấu 32,000VND </t>
  </si>
  <si>
    <t>備品　スリッパ（ベンダー用） Dép Crocs cho NCC 275,000VND; Dép cho khách ngoài lễ tân</t>
  </si>
  <si>
    <t>備品　スリッパ（サポーター用） dép chuyên gia (sục cứng đỏ đen) 90,000VND, dép sục đi ngoài sảnh 98,000</t>
  </si>
  <si>
    <t>備品　ゴミ箱（トイレ用） Thùng rác NVS 105,000 , hộp giấy VS, dép NVS 25,000VND</t>
  </si>
  <si>
    <t>備品　文房具　VPP</t>
  </si>
  <si>
    <t>備品　シール/mouse</t>
  </si>
  <si>
    <t>備品　電池 AAA/AA/C/sạc pin</t>
  </si>
  <si>
    <t>備品　ホワイトポート用ペン Bút viết bảng 6,000VND</t>
  </si>
  <si>
    <t>備品　IRIS　プリンタートナー Mực máy in Iris</t>
  </si>
  <si>
    <t>プロジェクター/プロジェクターケーブル/ Tivi, Máy chiếu, cáp, loa, mic</t>
  </si>
  <si>
    <t>新入社員のテープルと椅子、パソコン Bàn ghế máy tinh cho người mới</t>
  </si>
  <si>
    <t>総務課の道具ロッカー鍵直す Bộ dụng cụ sửa tủ locker</t>
  </si>
  <si>
    <t>会議室 机、椅子 Bàn ghế cho phòng họp</t>
  </si>
  <si>
    <t>社有車のドライブレコーダー Camera hành trình của xe ô tô công ty</t>
  </si>
  <si>
    <t>JCCI支部会　会費（毎月） Phí họp HH doanh nghiệp Nhật Bản (hàng tháng) 500k/ng</t>
  </si>
  <si>
    <t>JCCI支部会　年会費　毎年5月頃 Phí hội viên HH doanh nghiệp Nhật Bản T5 hàng năm</t>
  </si>
  <si>
    <t>受付　水ボトル　Nước Lavie 330ML (80k thùng)</t>
  </si>
  <si>
    <t>受付　緑茶 （62,000VND） Trà Lipton túi lọc (50 túi)</t>
  </si>
  <si>
    <t>受付　コーヒー Cà phê phin 120,000VND, bột kem sữa 450,000VND, giấy lọc 95,000VND</t>
  </si>
  <si>
    <t>受付　Giấy lễ tân (105.000vnd)</t>
  </si>
  <si>
    <t>受付　コップ Cốc, khay lễ tân/受付 コーヒーメーカー Máy pha cà phê</t>
  </si>
  <si>
    <t>受付　机、椅子 Bàn ghế lễ tân</t>
  </si>
  <si>
    <t>Khấu trừ lương: Cốc (420k)/Bút (340k)</t>
  </si>
  <si>
    <t>出向者　通勤交通費　（Hải Anh）</t>
  </si>
  <si>
    <t>出向者　通勤交通費　（Trung Kiên）</t>
  </si>
  <si>
    <t>出向者　通勤交通費　（Hoàng Anh）</t>
  </si>
  <si>
    <t>通勤交通費　振替額 Phân bổ xe bus người Nhật</t>
  </si>
  <si>
    <t>社員　通勤バス (Hải Anh)</t>
  </si>
  <si>
    <t>社員　通勤バス (Ngọc Quang)</t>
  </si>
  <si>
    <t>社員　通勤バス (Trung Kiên)</t>
  </si>
  <si>
    <t>社員　通勤バス (Hoàng Anh)</t>
  </si>
  <si>
    <t>社員　通勤交通費　振替額 Phân bổ xe bus người Việt</t>
  </si>
  <si>
    <t>出向者　通勤交通費　大形さん Xe bus người Nhật p.HC (Mr. Ogata)</t>
  </si>
  <si>
    <t>社員　通勤交通費　総務振替分 Xe bus người Việt p.HC (Điệp, Thủy)</t>
  </si>
  <si>
    <t>昼食代（@27,500vnd） Tiền ăn trưa</t>
  </si>
  <si>
    <t>制服　ズボン quần 116.000 T2,23</t>
  </si>
  <si>
    <t>制服　妊婦用ズボン quần bầu 124.500 T2.23</t>
  </si>
  <si>
    <t>制服　帽子 白 mũ trắng 33.500 T2.23</t>
  </si>
  <si>
    <t>制服　帽子 カラー mũ màu 39.000 T2.23</t>
  </si>
  <si>
    <t>制服　帽子 金型用 mũ khuôn 47.000 T2.23</t>
  </si>
  <si>
    <t>制服　シューズ（女性用) giày nữ 82.000 T6.23</t>
  </si>
  <si>
    <t>制服　シューズ（男性用) giày nam 84.000 T6.23</t>
  </si>
  <si>
    <t>制服　安全靴発注額（@410,000VND） giày an toàn, giày size 44 120.000 T6.23</t>
  </si>
  <si>
    <t>制服　ポロシャツ　Áo khoác bảo hộ 240.000đ/Áo polo 139.000</t>
  </si>
  <si>
    <t>制服　腕章 Băng đeo tay 27.000 T2.23</t>
  </si>
  <si>
    <t>保安課 夏服 Áo ngắn tay an ninh 250,500VND</t>
  </si>
  <si>
    <t>保安課 冬服 Áo dài tay an ninh 265,000VND</t>
  </si>
  <si>
    <t>保安課 ズボン Quần an ninh 129,500VND</t>
  </si>
  <si>
    <t>保安課 靴 Giày an ninh 297,600VND</t>
  </si>
  <si>
    <t>保安課 帽子 Mũ an ninh 43,200VND</t>
  </si>
  <si>
    <t>制服　振替額　マイナス計上 Phân bổ chi phí đồng phục</t>
  </si>
  <si>
    <t>コップ購入額 Mua cốc xếp cho G7 (7,200VND)</t>
  </si>
  <si>
    <t>コップ振替額 Phân bổ chi phí cốc xếp</t>
  </si>
  <si>
    <t>制服　総務課負担分 Đồng phục cho nhân viên p.HC hoặc người mới</t>
  </si>
  <si>
    <t>ローカルスタッフ定期健康診断（毎年1月計上、Nam 189,000 Nữ 204,000） KSK định kỳ cho NV địa phương T12 (vào sau 1/7)</t>
  </si>
  <si>
    <t>新入社員　採用時検診費用 (@213,000vnd) Khám sức khỏe cho nhân viên mới</t>
  </si>
  <si>
    <t>慶弔見舞金 Chúc mừng sinh con, hiếu, hỉ</t>
  </si>
  <si>
    <t>フィロソフィー論文参加賞  Giải thưởng luận văn triết lý (T7 hàng năm)</t>
  </si>
  <si>
    <t>ロッカーのスピーカー、鏡 Loa phát thanh tủ locker/Gương locker</t>
  </si>
  <si>
    <t>靴箱　社員用（@4,260,000VND) Tủ giày CNV</t>
  </si>
  <si>
    <t>ロッカー　更衣室用（@3,350,000VND) Tủ locker CNV</t>
  </si>
  <si>
    <t>靴箱鍵穴　更衣室用  Ổ khóa tủ locker 18.000VND/tủ giày 28.000VND</t>
  </si>
  <si>
    <t>誕生日会 Quà, bánh sinh nhật</t>
  </si>
  <si>
    <t>誕生日会　振替額 Phân bổ chi phí sinh nhật</t>
  </si>
  <si>
    <t>誕生日会　総務課負担額 Chi phí sinh nhật phân bổ cho p.HC</t>
  </si>
  <si>
    <t>方針発表会後の懇親会（係長以上） Tiệc sau phát biểu phương châm (trợ lý trở lên) T4 hàng năm</t>
  </si>
  <si>
    <t>新しい会計年度を迎えるためのパーティーマネーをサポートHỗ trợ tiền tiệc chào mừng năm tài chính mới (T5 hoặc T6)</t>
  </si>
  <si>
    <t>社員旅行　振替額（5月計上予定) Phân bổ chi phí du lịch　マイナス計上</t>
  </si>
  <si>
    <t>社員旅行労働組合援助金額 Công đoàn hỗ trợ du lịch công ty (tiền âm)</t>
  </si>
  <si>
    <t>社員旅行　総務課負担額 （5月計上予定) Chi phí du lịch phân bổ cho p.HC</t>
  </si>
  <si>
    <t>Kyocera Festival　総額（9月予定） Chi phí tổ chức lễ hội (thanh toán cho NCC)</t>
  </si>
  <si>
    <t>Kyocera Festival　振替額（9月予定） マイナス Phân bổ chi phí lễ hội</t>
  </si>
  <si>
    <t>Kyocera Festival　組合からの援助額（9月予定） マイナス Công đoàn hỗ trợ lễ hội (tiền âm)</t>
  </si>
  <si>
    <t>Kyocera Festival　総務課負担額（9月予定） Chi phí lễ hội phân bổ cho p.HC</t>
  </si>
  <si>
    <t>月餅　発注額（9月計上予定） Bánh trung thu (T9) (thanh toán cho NCC)</t>
  </si>
  <si>
    <t>月餅　組合からの援助額　マイナス計上 T9 Công đoàn hộ trợ CP bánh trung thu (tiền âm)</t>
  </si>
  <si>
    <t>月餅　振替額（9月計上予定）　マイナス計上 Phân bổ chi phí bánh trung thu</t>
  </si>
  <si>
    <t>月餅　総務課負担額（9月計上予定） Chi phí bánh trung thu phân bổ cho p.HC</t>
  </si>
  <si>
    <t>10年継続記念品入れ袋 Mua túi đựng quà cho người 10 năm</t>
  </si>
  <si>
    <t>10年継続通勤社員への記念品 Quà kỷ niệm 10 năm gắn bó</t>
  </si>
  <si>
    <t>10年継続通勤社員への記念品 振替額　Phân bổ Quà kỷ niệm 10 năm gắn bó</t>
  </si>
  <si>
    <t>10年継続通勤社員への記念品総務課負担額　Quà kỷ niệm phân bổ cho p.HC</t>
  </si>
  <si>
    <t>運動会費用　総額（11月計上予定） Chi phí tổ chức đại hội thể thao (thanh toán cho NCC)</t>
  </si>
  <si>
    <t>運動会費用　振替額（11月振替予定） Phân bổ chi phí tổ chức đại hội thể thao</t>
  </si>
  <si>
    <t>運動会費用　組合からの援助額（11月予定） マイナス Công đoàn hỗ trợ ĐHTT (tiền âm)</t>
  </si>
  <si>
    <t>運動会費用　総務課負担額（11月振替予定） Chi phí đại hội thể thao phân bổ cho p.HC</t>
  </si>
  <si>
    <t>お年玉　費用 Tiền lì xì</t>
  </si>
  <si>
    <t>お年玉　振替額 Phân bổ tiền lì xì</t>
  </si>
  <si>
    <t>お年玉　総務課負担額 Tiền lì xì phân bổ cho p.HC</t>
  </si>
  <si>
    <t>食堂 椅子 @330,000VND  Ghế ăn nhà B</t>
  </si>
  <si>
    <t>食堂　机 @2,400,000VND  Bàn ăn nhà B</t>
  </si>
  <si>
    <t>食堂　食器（コップ） (@16,800VND) Cốc inox ăn chè</t>
  </si>
  <si>
    <t>食堂　食器（トレイ） (@42,000VND) Khay cơm</t>
  </si>
  <si>
    <t>食堂　食器（箸） (@2,300VND) Đũa Phương Anh</t>
  </si>
  <si>
    <t>食堂　食器（スプーン） (@2.500VND) Thìa</t>
  </si>
  <si>
    <t>食堂　食器（茶碗） (@13,650VND) Bát canh</t>
  </si>
  <si>
    <t>食堂　食器 Khay inox (@70,000VND) Phương Anh</t>
  </si>
  <si>
    <t>食堂　食器（サイドメニューのどんぶり） (@25,000VND) Bát inox phi 18 (Cải thiện)</t>
  </si>
  <si>
    <t>食堂   改善メニュー用トレイ　Khay inox cải thiện (@20,000VND Phương Anh)</t>
  </si>
  <si>
    <t>食堂　洗い場作業台 @6,300,000VND  Bàn sơ chế nhà ăn</t>
  </si>
  <si>
    <t>食堂　ガスコンロ  Bếp ga (thay lõi bếp gas)</t>
  </si>
  <si>
    <t>食堂　日本食用道具　Dụng cụ nấu món Nhật</t>
  </si>
  <si>
    <t>食堂  コンロ　Bếp hầm đôi</t>
  </si>
  <si>
    <t>食堂  コンロ　Bếp xào đôi</t>
  </si>
  <si>
    <t>食堂  スープ鍋　Nồi nước dùng</t>
  </si>
  <si>
    <t>食堂  ４段棚　Giá 4 tầng phơi khay</t>
  </si>
  <si>
    <t>食堂 トロリー/電子レンジ　Xe đẩy thực phẩm (1200*800mm)/Bàn gia vị/Lò vi sóng/nồi hấp</t>
  </si>
  <si>
    <t>ライター Bật lửa hút thuốc</t>
  </si>
  <si>
    <t>ライターのガス Gas cho bật lửa hút thuốc</t>
  </si>
  <si>
    <t>灰皿付きゴミ箱 Thùng rác inox có gạt tàn/Ghế nhựa</t>
  </si>
  <si>
    <t xml:space="preserve">妊婦用の食べ物置く棚 Giá để đồ, ghế ngồi cho khu nghỉ ngơi, phòng vắt sữa, tủ bà bầu + khóa </t>
  </si>
  <si>
    <t>休憩所の消耗品費　Hàng tiêu hao sử dụng tại khu nghỉ ngơi</t>
  </si>
  <si>
    <t xml:space="preserve">搾乳室のテーブル　Bàn cho phòng vắt sữa/băng đeo tay dép bà bầu </t>
  </si>
  <si>
    <t xml:space="preserve">備品　スリッパ（妊婦用） Dép bà bầu (crocs hồng), Dép đau chân (crocs đỏ đen) 235,000VND </t>
  </si>
  <si>
    <t>歳末募金　毎年テト元旦の月に計上 Ủng hộ người nghèo trước tết</t>
  </si>
  <si>
    <t>社有車の購入手続き費用　Chi phí mua xe (thủ tục, cúng đầu xe)</t>
  </si>
  <si>
    <t>式典に参加されたお客様にプレゼントをKDCから輸入した際の輸入税や諸税Thuế cho lô hàng nhập về từ KDC</t>
  </si>
  <si>
    <t>Window10　ソフト Phần mềm máy tính/Chữ ký số</t>
  </si>
  <si>
    <t>施設</t>
  </si>
  <si>
    <t>QLKD</t>
  </si>
  <si>
    <t>Thơ</t>
  </si>
  <si>
    <t>定額</t>
  </si>
  <si>
    <t>KAL</t>
  </si>
  <si>
    <t>Thủy</t>
  </si>
  <si>
    <t>人頭</t>
  </si>
  <si>
    <t>KAB</t>
  </si>
  <si>
    <t>Logistics</t>
  </si>
  <si>
    <t>IT</t>
  </si>
  <si>
    <t>新人</t>
  </si>
  <si>
    <t>Hoa</t>
  </si>
  <si>
    <t>Tax</t>
  </si>
  <si>
    <t>食堂　水道蛇口設置費用 Vòi nước/van nước/ống nước</t>
  </si>
  <si>
    <t>食堂 食堂設備　Trang thiết bị nhà ăn(tủ lạnh, tủ đông, tủ lưu mẫu…)</t>
  </si>
  <si>
    <t>食堂 シチュー鍋　Nồi hầm canh/bồn giữ nhiệt (bồn hâm)</t>
  </si>
  <si>
    <t>バナー Vách ngăn/băng dính dán/banner 10 năm/in ấn hiển thị canteen</t>
  </si>
  <si>
    <t>Trang thiết bị khu vực CNV gửi cơm</t>
  </si>
  <si>
    <t>食堂 配膳テーブル　Bàn chia đồ (4,600,000vnd)</t>
  </si>
  <si>
    <t>食堂　設備メンテ費用 タイヤ交換、設備修繕など Thay bánh xe, hiệu chuẩn đồ cân/đo lường</t>
  </si>
  <si>
    <t>車償却費　Khấu hao xe Camry (hết khấu hao T5.2027)</t>
  </si>
  <si>
    <t>ポケットカレンダー　発注額 Lịch bỏ túi (mua T11)/ ko mua lịch cho người mới?</t>
  </si>
  <si>
    <t>忘年会補助金　総務課負担額（2月計上） Hỗ trợ tiệc tất niên 300.000đ (T2 hoặc T3)</t>
  </si>
  <si>
    <t>社員旅行　支払額（5月計上予定) Chi phí du lịch (tiền thanh toán cho NCC)/Quà  tặng thay thế</t>
  </si>
  <si>
    <t>社員　通勤バス (Gia Vũ)</t>
  </si>
  <si>
    <t xml:space="preserve">社員　通勤バス </t>
  </si>
  <si>
    <t>備品　A4印刷用紙 (80,000VND/包 A4 Double A 70/90) Giấy Bãi bằng 51.000VND</t>
  </si>
  <si>
    <t>備品　シュレッダー用ゴミ袋 Túi rác cho máy cắt giấy 85,000VND</t>
  </si>
  <si>
    <t xml:space="preserve">制服　夏服 ngắn tay 165.000 </t>
  </si>
  <si>
    <t>制服　冬服 dài tay 175.000</t>
  </si>
  <si>
    <t>コンパ費用 Tiệc công ty</t>
  </si>
  <si>
    <t>休憩所の設備設置費用　Trang thiết bị setup tại khu vực nghỉ ngơi Wifi 30.000.000 (Hạn đến 30/9/2025)</t>
  </si>
  <si>
    <t>来客対応費用 Chi phí tiếp khách dealer, cờ vẫy, banner</t>
  </si>
  <si>
    <t>Đào tạo ATVSTP T11 cho nhà ăn</t>
  </si>
  <si>
    <t xml:space="preserve">大形さん　レジデンシャルカード取得費用(145 USD) Phí thẻ tạm trú (VISA) </t>
  </si>
  <si>
    <t>大形さん　健康診断 ビザ取得用 Chi phí khám sức khỏe làm GPLĐ</t>
  </si>
  <si>
    <t xml:space="preserve">乾燥機償却費　Khấu hao vạc nấu canh nhà B ( T4/2025 ~ T4/2028) </t>
  </si>
  <si>
    <t xml:space="preserve">乾燥機償却費　Khấu hao vạc xào nấu nhà B ( T10/2025 ~ T10/2028) </t>
  </si>
  <si>
    <t>チャーハン調理器償却費Khấu hao bàn đảo cơm rang (từ tháng 7/2025 ~ T7/2028)</t>
  </si>
  <si>
    <t xml:space="preserve">乾燥機利益　Lãi vạc nấu canh nhà B ( T5/2025 ~ T5/2028) </t>
  </si>
  <si>
    <t xml:space="preserve">乾燥機利益　Lãi vạc xào nấu nhà B ( T11/2025 ~ T11/2028) </t>
  </si>
  <si>
    <t>チャーハン調理器利益 Lãi bàn đảo cơm rang (T8/2025 ~ T8/2028)</t>
  </si>
  <si>
    <t>ポケットカレンダー　振替額 Phân bổ lịch bỏ túi (T12: phát cả 2 năm)</t>
  </si>
  <si>
    <t>SMS 会費　Chi phí gửi tin nhắn 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</si>
</sst>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&quot;¥&quot;#,##0_);[Red]\(&quot;¥&quot;#,##0\)"/>
    <numFmt numFmtId="165" formatCode="#,##0.0;[Red]\-#,##0.0"/>
    <numFmt numFmtId="166" formatCode="&quot;　　&quot;General"/>
    <numFmt numFmtId="167" formatCode="0&quot;月度&quot;"/>
    <numFmt numFmtId="168" formatCode="0&quot;月&quot;"/>
    <numFmt numFmtId="169" formatCode="0&quot;日&quot;"/>
    <numFmt numFmtId="170" formatCode="&quot;1US$=&quot;0&quot;VND&quot;"/>
    <numFmt numFmtId="171" formatCode="yyyy&quot;年&quot;m&quot;月&quot;;@"/>
    <numFmt numFmtId="172" formatCode="0_ "/>
    <numFmt numFmtId="173" formatCode="0.0"/>
    <numFmt numFmtId="174" formatCode="#,##0.0_);[Red]\(#,##0.0\)"/>
    <numFmt numFmtId="175" formatCode="#,##0.000_);[Red]\(#,##0.000\)"/>
    <numFmt numFmtId="176" formatCode="#,##0.0000_);[Red]\(#,##0.0000\)"/>
    <numFmt numFmtId="177" formatCode="&quot;NT$&quot;#,##0;[Red]\-&quot;NT$&quot;#,##0"/>
    <numFmt numFmtId="178" formatCode="&quot;換算Rate：1US$=&quot;0,000&quot;VND&quot;"/>
    <numFmt numFmtId="179" formatCode="&quot;1USD  =  &quot;#,#00&quot; VND&quot;"/>
    <numFmt numFmtId="180" formatCode="#,##0_);[Red]\-#,##0_)"/>
    <numFmt numFmtId="181" formatCode="&quot;1USD = &quot;#,#00&quot; VND&quot;"/>
    <numFmt numFmtId="182" formatCode="#,##0."/>
  </numFmts>
  <fonts count="8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b/>
      <sz val="9"/>
      <name val="ＭＳ 明朝"/>
      <family val="1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6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0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3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7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0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0" fillId="0" borderId="0" applyFont="0" applyFill="0" applyBorder="0" applyAlignment="0" applyProtection="0">
      <alignment vertical="center"/>
    </xf>
    <xf numFmtId="38" fontId="70" fillId="0" borderId="0" applyFont="0" applyFill="0" applyBorder="0" applyAlignment="0" applyProtection="0">
      <alignment vertical="center"/>
    </xf>
    <xf numFmtId="38" fontId="70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0" fillId="0" borderId="0">
      <alignment vertical="center"/>
    </xf>
    <xf numFmtId="0" fontId="21" fillId="0" borderId="0"/>
    <xf numFmtId="0" fontId="70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38" fontId="1" fillId="0" borderId="0" applyFont="0" applyFill="0" applyBorder="0" applyAlignment="0" applyProtection="0"/>
  </cellStyleXfs>
  <cellXfs count="311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6" fontId="37" fillId="0" borderId="19" xfId="0" applyNumberFormat="1" applyFont="1" applyBorder="1" applyAlignment="1" applyProtection="1">
      <alignment horizontal="left"/>
    </xf>
    <xf numFmtId="166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69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7" fontId="5" fillId="0" borderId="0" xfId="67" applyNumberFormat="1" applyFont="1" applyFill="1"/>
    <xf numFmtId="168" fontId="37" fillId="0" borderId="13" xfId="0" applyNumberFormat="1" applyFont="1" applyBorder="1" applyAlignment="1" applyProtection="1">
      <alignment horizontal="center" wrapText="1"/>
      <protection locked="0"/>
    </xf>
    <xf numFmtId="167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173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2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1" fillId="0" borderId="0" xfId="67" applyFont="1" applyFill="1" applyAlignment="1">
      <alignment horizontal="center" vertical="center"/>
    </xf>
    <xf numFmtId="169" fontId="71" fillId="0" borderId="0" xfId="67" applyNumberFormat="1" applyFont="1" applyFill="1" applyAlignment="1">
      <alignment horizontal="center" vertical="center"/>
    </xf>
    <xf numFmtId="168" fontId="72" fillId="25" borderId="10" xfId="67" applyNumberFormat="1" applyFont="1" applyFill="1" applyBorder="1" applyAlignment="1">
      <alignment horizontal="center" vertical="center"/>
    </xf>
    <xf numFmtId="168" fontId="72" fillId="25" borderId="30" xfId="67" applyNumberFormat="1" applyFont="1" applyFill="1" applyBorder="1" applyAlignment="1">
      <alignment horizontal="center" vertical="center"/>
    </xf>
    <xf numFmtId="38" fontId="72" fillId="25" borderId="11" xfId="67" applyFont="1" applyFill="1" applyBorder="1" applyAlignment="1">
      <alignment horizontal="center" vertical="center"/>
    </xf>
    <xf numFmtId="38" fontId="72" fillId="25" borderId="12" xfId="67" applyFont="1" applyFill="1" applyBorder="1" applyAlignment="1">
      <alignment horizontal="center" vertical="center"/>
    </xf>
    <xf numFmtId="169" fontId="71" fillId="0" borderId="0" xfId="68" applyNumberFormat="1" applyFont="1" applyFill="1" applyAlignment="1">
      <alignment horizontal="center" vertical="center"/>
    </xf>
    <xf numFmtId="168" fontId="73" fillId="0" borderId="0" xfId="0" applyNumberFormat="1" applyFont="1" applyFill="1"/>
    <xf numFmtId="0" fontId="0" fillId="0" borderId="0" xfId="129" applyFont="1"/>
    <xf numFmtId="40" fontId="71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0" fontId="59" fillId="31" borderId="0" xfId="0" applyNumberFormat="1" applyFont="1" applyFill="1" applyAlignment="1" applyProtection="1">
      <alignment horizontal="centerContinuous"/>
      <protection locked="0"/>
    </xf>
    <xf numFmtId="178" fontId="11" fillId="31" borderId="0" xfId="0" applyNumberFormat="1" applyFont="1" applyFill="1" applyAlignment="1" applyProtection="1">
      <alignment horizontal="centerContinuous"/>
      <protection locked="0"/>
    </xf>
    <xf numFmtId="167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7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79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2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4" fillId="0" borderId="0" xfId="0" applyNumberFormat="1" applyFont="1"/>
    <xf numFmtId="0" fontId="75" fillId="0" borderId="0" xfId="0" applyFont="1"/>
    <xf numFmtId="38" fontId="75" fillId="0" borderId="0" xfId="67" applyFont="1" applyAlignment="1">
      <alignment horizontal="center" vertical="center"/>
    </xf>
    <xf numFmtId="38" fontId="75" fillId="0" borderId="0" xfId="67" applyFont="1"/>
    <xf numFmtId="0" fontId="75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0" fontId="71" fillId="0" borderId="0" xfId="67" applyNumberFormat="1" applyFont="1" applyAlignment="1">
      <alignment horizontal="center" vertical="center"/>
    </xf>
    <xf numFmtId="180" fontId="71" fillId="0" borderId="0" xfId="66" applyNumberFormat="1" applyFont="1" applyAlignment="1">
      <alignment horizontal="center" vertical="center"/>
    </xf>
    <xf numFmtId="180" fontId="5" fillId="0" borderId="0" xfId="67" applyNumberFormat="1" applyFont="1"/>
    <xf numFmtId="181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5" fontId="37" fillId="0" borderId="13" xfId="68" applyNumberFormat="1" applyFont="1" applyBorder="1" applyProtection="1"/>
    <xf numFmtId="165" fontId="37" fillId="0" borderId="19" xfId="68" applyNumberFormat="1" applyFont="1" applyBorder="1" applyProtection="1">
      <protection locked="0"/>
    </xf>
    <xf numFmtId="165" fontId="37" fillId="0" borderId="20" xfId="68" applyNumberFormat="1" applyFont="1" applyBorder="1" applyProtection="1">
      <protection locked="0"/>
    </xf>
    <xf numFmtId="165" fontId="37" fillId="0" borderId="32" xfId="68" applyNumberFormat="1" applyFont="1" applyBorder="1" applyProtection="1">
      <protection locked="0"/>
    </xf>
    <xf numFmtId="165" fontId="37" fillId="0" borderId="17" xfId="68" applyNumberFormat="1" applyFont="1" applyBorder="1" applyProtection="1">
      <protection locked="0"/>
    </xf>
    <xf numFmtId="165" fontId="37" fillId="0" borderId="21" xfId="68" applyNumberFormat="1" applyFont="1" applyBorder="1" applyProtection="1"/>
    <xf numFmtId="165" fontId="37" fillId="24" borderId="13" xfId="68" applyNumberFormat="1" applyFont="1" applyFill="1" applyBorder="1" applyAlignment="1" applyProtection="1"/>
    <xf numFmtId="165" fontId="37" fillId="0" borderId="21" xfId="68" applyNumberFormat="1" applyFont="1" applyBorder="1" applyAlignment="1" applyProtection="1"/>
    <xf numFmtId="165" fontId="37" fillId="27" borderId="13" xfId="68" applyNumberFormat="1" applyFont="1" applyFill="1" applyBorder="1" applyProtection="1"/>
    <xf numFmtId="165" fontId="37" fillId="0" borderId="0" xfId="0" applyNumberFormat="1" applyFont="1" applyProtection="1">
      <protection locked="0"/>
    </xf>
    <xf numFmtId="165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5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6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1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7" fillId="0" borderId="0" xfId="0" applyNumberFormat="1" applyFont="1"/>
    <xf numFmtId="40" fontId="5" fillId="0" borderId="0" xfId="0" applyNumberFormat="1" applyFont="1"/>
    <xf numFmtId="40" fontId="76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1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1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6" fillId="0" borderId="42" xfId="0" applyNumberFormat="1" applyFont="1" applyFill="1" applyBorder="1"/>
    <xf numFmtId="40" fontId="71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7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1" fillId="34" borderId="39" xfId="68" applyNumberFormat="1" applyFont="1" applyFill="1" applyBorder="1" applyAlignment="1" applyProtection="1">
      <alignment horizontal="right"/>
      <protection locked="0"/>
    </xf>
    <xf numFmtId="40" fontId="71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78" fillId="0" borderId="0" xfId="0" applyNumberFormat="1" applyFont="1"/>
    <xf numFmtId="40" fontId="71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69" fontId="73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5" fillId="0" borderId="0" xfId="0" applyFont="1" applyFill="1" applyBorder="1" applyAlignment="1">
      <alignment horizontal="left"/>
    </xf>
    <xf numFmtId="0" fontId="79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0" fillId="0" borderId="0" xfId="67" applyNumberFormat="1" applyFont="1" applyFill="1" applyAlignment="1">
      <alignment horizontal="center"/>
    </xf>
    <xf numFmtId="0" fontId="64" fillId="0" borderId="0" xfId="0" applyNumberFormat="1" applyFont="1" applyFill="1" applyBorder="1" applyAlignment="1">
      <alignment horizontal="right" vertical="center"/>
    </xf>
    <xf numFmtId="40" fontId="81" fillId="0" borderId="33" xfId="0" applyNumberFormat="1" applyFont="1" applyFill="1" applyBorder="1" applyAlignment="1">
      <alignment horizontal="center"/>
    </xf>
    <xf numFmtId="40" fontId="81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1" fillId="0" borderId="51" xfId="0" applyNumberFormat="1" applyFont="1" applyFill="1" applyBorder="1" applyAlignment="1">
      <alignment horizontal="center"/>
    </xf>
    <xf numFmtId="40" fontId="81" fillId="0" borderId="34" xfId="0" applyNumberFormat="1" applyFont="1" applyFill="1" applyBorder="1" applyAlignment="1">
      <alignment horizontal="center"/>
    </xf>
    <xf numFmtId="40" fontId="76" fillId="0" borderId="20" xfId="0" applyNumberFormat="1" applyFont="1" applyFill="1" applyBorder="1"/>
    <xf numFmtId="40" fontId="76" fillId="0" borderId="41" xfId="0" applyNumberFormat="1" applyFont="1" applyFill="1" applyBorder="1"/>
    <xf numFmtId="40" fontId="77" fillId="0" borderId="0" xfId="0" applyNumberFormat="1" applyFont="1" applyAlignment="1">
      <alignment horizontal="right"/>
    </xf>
    <xf numFmtId="40" fontId="76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3" fillId="35" borderId="13" xfId="0" applyNumberFormat="1" applyFont="1" applyFill="1" applyBorder="1" applyAlignment="1">
      <alignment horizontal="center"/>
    </xf>
    <xf numFmtId="38" fontId="82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8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1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3" fillId="0" borderId="0" xfId="171" applyFont="1">
      <alignment vertical="center"/>
    </xf>
    <xf numFmtId="182" fontId="83" fillId="0" borderId="0" xfId="171" applyNumberFormat="1" applyFont="1">
      <alignment vertical="center"/>
    </xf>
    <xf numFmtId="172" fontId="83" fillId="0" borderId="0" xfId="171" applyNumberFormat="1" applyFont="1">
      <alignment vertical="center"/>
    </xf>
    <xf numFmtId="0" fontId="83" fillId="0" borderId="0" xfId="171" applyFont="1" applyAlignment="1">
      <alignment horizontal="left" vertical="center"/>
    </xf>
    <xf numFmtId="49" fontId="83" fillId="0" borderId="0" xfId="171" applyNumberFormat="1" applyFont="1" applyAlignment="1">
      <alignment horizontal="left" vertical="center"/>
    </xf>
    <xf numFmtId="182" fontId="83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1" fillId="34" borderId="39" xfId="68" applyFont="1" applyFill="1" applyBorder="1" applyAlignment="1" applyProtection="1">
      <alignment horizontal="right" vertical="center"/>
      <protection locked="0"/>
    </xf>
    <xf numFmtId="38" fontId="71" fillId="0" borderId="23" xfId="67" applyFont="1" applyBorder="1" applyAlignment="1">
      <alignment horizontal="right" vertical="center"/>
    </xf>
    <xf numFmtId="38" fontId="71" fillId="32" borderId="37" xfId="68" applyFont="1" applyFill="1" applyBorder="1" applyAlignment="1" applyProtection="1">
      <alignment horizontal="right"/>
      <protection locked="0"/>
    </xf>
    <xf numFmtId="38" fontId="71" fillId="32" borderId="39" xfId="68" applyFont="1" applyFill="1" applyBorder="1" applyAlignment="1" applyProtection="1">
      <alignment horizontal="right"/>
      <protection locked="0"/>
    </xf>
    <xf numFmtId="38" fontId="71" fillId="32" borderId="48" xfId="68" applyFont="1" applyFill="1" applyBorder="1" applyAlignment="1" applyProtection="1">
      <alignment horizontal="right"/>
      <protection locked="0"/>
    </xf>
    <xf numFmtId="38" fontId="5" fillId="34" borderId="39" xfId="68" applyFont="1" applyFill="1" applyBorder="1" applyAlignment="1" applyProtection="1">
      <alignment horizontal="right" vertical="center"/>
      <protection locked="0"/>
    </xf>
    <xf numFmtId="38" fontId="5" fillId="34" borderId="48" xfId="68" applyFont="1" applyFill="1" applyBorder="1" applyAlignment="1" applyProtection="1">
      <alignment horizontal="right" vertical="center"/>
      <protection locked="0"/>
    </xf>
    <xf numFmtId="38" fontId="71" fillId="34" borderId="39" xfId="66" applyNumberFormat="1" applyFont="1" applyFill="1" applyBorder="1" applyAlignment="1" applyProtection="1">
      <alignment horizontal="right" vertical="center"/>
      <protection locked="0"/>
    </xf>
    <xf numFmtId="38" fontId="71" fillId="34" borderId="39" xfId="175" applyFont="1" applyFill="1" applyBorder="1" applyAlignment="1" applyProtection="1">
      <alignment horizontal="right" vertical="center"/>
      <protection locked="0"/>
    </xf>
    <xf numFmtId="38" fontId="71" fillId="34" borderId="39" xfId="175" applyFont="1" applyFill="1" applyBorder="1" applyAlignment="1" applyProtection="1">
      <alignment horizontal="right"/>
      <protection locked="0"/>
    </xf>
    <xf numFmtId="40" fontId="71" fillId="34" borderId="39" xfId="175" applyNumberFormat="1" applyFont="1" applyFill="1" applyBorder="1" applyAlignment="1" applyProtection="1">
      <alignment horizontal="right" vertical="center"/>
      <protection locked="0"/>
    </xf>
    <xf numFmtId="38" fontId="71" fillId="34" borderId="39" xfId="67" applyFont="1" applyFill="1" applyBorder="1" applyAlignment="1" applyProtection="1">
      <alignment horizontal="right"/>
      <protection locked="0"/>
    </xf>
    <xf numFmtId="38" fontId="71" fillId="34" borderId="39" xfId="66" applyNumberFormat="1" applyFont="1" applyFill="1" applyBorder="1" applyAlignment="1" applyProtection="1">
      <alignment horizontal="right"/>
      <protection locked="0"/>
    </xf>
    <xf numFmtId="38" fontId="5" fillId="34" borderId="39" xfId="67" applyFont="1" applyFill="1" applyBorder="1" applyProtection="1">
      <protection locked="0"/>
    </xf>
    <xf numFmtId="38" fontId="71" fillId="34" borderId="39" xfId="68" applyFont="1" applyFill="1" applyBorder="1" applyAlignment="1" applyProtection="1">
      <alignment horizontal="right"/>
      <protection locked="0"/>
    </xf>
    <xf numFmtId="38" fontId="71" fillId="34" borderId="39" xfId="66" applyNumberFormat="1" applyFont="1" applyFill="1" applyBorder="1" applyAlignment="1" applyProtection="1">
      <alignment horizontal="right" vertical="center" wrapText="1"/>
      <protection locked="0"/>
    </xf>
    <xf numFmtId="40" fontId="5" fillId="32" borderId="0" xfId="0" applyNumberFormat="1" applyFont="1" applyFill="1"/>
    <xf numFmtId="38" fontId="5" fillId="0" borderId="23" xfId="67" applyNumberFormat="1" applyFont="1" applyBorder="1" applyAlignment="1">
      <alignment horizontal="right"/>
    </xf>
    <xf numFmtId="38" fontId="5" fillId="34" borderId="39" xfId="67" applyNumberFormat="1" applyFont="1" applyFill="1" applyBorder="1" applyProtection="1">
      <protection locked="0"/>
    </xf>
    <xf numFmtId="38" fontId="71" fillId="34" borderId="39" xfId="68" applyNumberFormat="1" applyFont="1" applyFill="1" applyBorder="1" applyAlignment="1" applyProtection="1">
      <alignment horizontal="right" vertical="center"/>
      <protection locked="0"/>
    </xf>
  </cellXfs>
  <cellStyles count="176">
    <cellStyle name="_FY2014 MP作成依頼（KDTCN).1207(3)" xfId="1" xr:uid="{AC3A7F76-6E6A-48F3-A0F6-70A02C9B8A39}"/>
    <cellStyle name="20% - Accent1" xfId="2" xr:uid="{88363B9C-5D5C-4543-89DE-40736F204ABB}"/>
    <cellStyle name="20% - Accent2" xfId="3" xr:uid="{A11727EE-0794-48E0-9255-9C142EF2FE3C}"/>
    <cellStyle name="20% - Accent3" xfId="4" xr:uid="{9604AE94-0558-48E6-8CAC-9CC5BBAA8F6A}"/>
    <cellStyle name="20% - Accent4" xfId="5" xr:uid="{799675DF-D66C-46F8-9226-571DA6EED30B}"/>
    <cellStyle name="20% - Accent5" xfId="6" xr:uid="{F6DF87B7-440D-46D1-A477-3CBFE16F86B0}"/>
    <cellStyle name="20% - Accent6" xfId="7" xr:uid="{4EACF18E-A01F-44C7-B66A-93C60808CCE8}"/>
    <cellStyle name="20% - アクセント 1" xfId="8" xr:uid="{919BE7AD-D9CB-40EC-9741-0B21DA18D63E}"/>
    <cellStyle name="20% - アクセント 1 2" xfId="9" xr:uid="{3D8EBA09-68C5-44F2-88B0-1F709B48A018}"/>
    <cellStyle name="20% - アクセント 2" xfId="10" xr:uid="{1D4D761A-7F59-472C-AB0A-1DFC0D39A926}"/>
    <cellStyle name="20% - アクセント 2 2" xfId="11" xr:uid="{8DA0C5F6-A462-4E91-B80F-DCD8C5299606}"/>
    <cellStyle name="20% - アクセント 3" xfId="12" xr:uid="{882A095E-688A-48DE-B1BE-0621FA7967D6}"/>
    <cellStyle name="20% - アクセント 3 2" xfId="13" xr:uid="{C0125E74-F025-4D80-A1CA-C185F29DD695}"/>
    <cellStyle name="20% - アクセント 4" xfId="14" xr:uid="{5C7A6545-2FAB-4B99-BE10-0C90441663C1}"/>
    <cellStyle name="20% - アクセント 4 2" xfId="15" xr:uid="{57226A95-0562-4A23-A523-5DE802A46C7E}"/>
    <cellStyle name="20% - アクセント 5" xfId="16" xr:uid="{974D63A9-2AFE-4A29-8993-70AD5DB3E76D}"/>
    <cellStyle name="20% - アクセント 5 2" xfId="17" xr:uid="{86A8044E-3DB7-4333-9EC3-E91EC88EDC2C}"/>
    <cellStyle name="20% - アクセント 6" xfId="18" xr:uid="{EDAE4BA5-DDA9-4CF3-8E83-25F3B786FCF7}"/>
    <cellStyle name="20% - アクセント 6 2" xfId="19" xr:uid="{4FE7642D-F935-455B-83E2-D2DEE7B54EA7}"/>
    <cellStyle name="3232" xfId="20" xr:uid="{7FE0E919-C2A0-4917-B9BD-64F9CAEBAC1D}"/>
    <cellStyle name="40% - Accent1" xfId="21" xr:uid="{819DFB52-1103-4233-8B5C-BEDEA2A5C9A9}"/>
    <cellStyle name="40% - Accent2" xfId="22" xr:uid="{57041D18-CB88-42E4-A875-44C4450C17C1}"/>
    <cellStyle name="40% - Accent3" xfId="23" xr:uid="{5B14EEA5-3A05-4D85-964B-E954E77C0DB2}"/>
    <cellStyle name="40% - Accent4" xfId="24" xr:uid="{9AE55CBD-AF78-4876-8E0D-0D34A04DBDC7}"/>
    <cellStyle name="40% - Accent5" xfId="25" xr:uid="{4ED0F07D-AA9F-48B1-8F21-AC29A3D602F0}"/>
    <cellStyle name="40% - Accent6" xfId="26" xr:uid="{97485917-FCE7-446F-91E4-EEE6E9BB7D5C}"/>
    <cellStyle name="40% - アクセント 1" xfId="27" xr:uid="{7E41D0D5-369E-4E15-A6A6-EA70859B1772}"/>
    <cellStyle name="40% - アクセント 1 2" xfId="28" xr:uid="{2E90E33F-2B6C-4B7F-B961-C24C889D1ADB}"/>
    <cellStyle name="40% - アクセント 2" xfId="29" xr:uid="{8D0F5FFE-EDC0-4C3C-81AA-9931ABE14985}"/>
    <cellStyle name="40% - アクセント 2 2" xfId="30" xr:uid="{FA326ECF-F2A5-45D7-A4C6-04BA9F4ACBDC}"/>
    <cellStyle name="40% - アクセント 3" xfId="31" xr:uid="{A8BD1D5C-5721-43BC-80FF-A40788760446}"/>
    <cellStyle name="40% - アクセント 3 2" xfId="32" xr:uid="{D87A6535-23A4-4095-AA69-5104EBE53A8F}"/>
    <cellStyle name="40% - アクセント 4" xfId="33" xr:uid="{73814B60-6B92-4BEA-85A1-0F901D75DF3A}"/>
    <cellStyle name="40% - アクセント 4 2" xfId="34" xr:uid="{06F69E02-AE84-410A-A0D5-0F253EFE0A38}"/>
    <cellStyle name="40% - アクセント 5" xfId="35" xr:uid="{DC3E6843-EB8C-413F-9300-A11B078D4FAF}"/>
    <cellStyle name="40% - アクセント 5 2" xfId="36" xr:uid="{BB3BFE28-A1D4-44B2-9995-A80B967F618F}"/>
    <cellStyle name="40% - アクセント 6" xfId="37" xr:uid="{1B719B4F-4822-457B-BD84-549704DF43D0}"/>
    <cellStyle name="40% - アクセント 6 2" xfId="38" xr:uid="{806277B4-5CA5-465D-AD51-F639B455E351}"/>
    <cellStyle name="60% - Accent1" xfId="39" xr:uid="{79D464B0-3EF0-4F46-8FEE-C3EC561C50E1}"/>
    <cellStyle name="60% - Accent2" xfId="40" xr:uid="{2F965997-C0DD-4890-81E7-37B95415DFF3}"/>
    <cellStyle name="60% - Accent3" xfId="41" xr:uid="{DF4DB9B9-E762-4F2D-BE9C-6CFAAFCC195D}"/>
    <cellStyle name="60% - Accent4" xfId="42" xr:uid="{83365118-FCF6-4496-9337-F16E4CC166F9}"/>
    <cellStyle name="60% - Accent5" xfId="43" xr:uid="{BFF3D107-9BAC-4573-ADEC-833EACB5844F}"/>
    <cellStyle name="60% - Accent6" xfId="44" xr:uid="{665CD604-EB17-4951-9D37-D2E6C9687129}"/>
    <cellStyle name="60% - アクセント 1" xfId="45" xr:uid="{2AAA3D44-8E52-4A6F-BB60-B14E9493F626}"/>
    <cellStyle name="60% - アクセント 1 2" xfId="46" xr:uid="{E9FF4B96-CEA7-40C1-8FE5-388487FCC79E}"/>
    <cellStyle name="60% - アクセント 2" xfId="47" xr:uid="{92C177E9-F31D-41E2-A647-BEC0CFF4A804}"/>
    <cellStyle name="60% - アクセント 2 2" xfId="48" xr:uid="{FB8E9B33-D526-46DD-BB4B-D85A330A8A04}"/>
    <cellStyle name="60% - アクセント 3" xfId="49" xr:uid="{82F5DB5A-4848-4CEA-A1C4-AAE3ED43698D}"/>
    <cellStyle name="60% - アクセント 3 2" xfId="50" xr:uid="{6CA9D46F-D436-4BEE-B626-54D869B59021}"/>
    <cellStyle name="60% - アクセント 4" xfId="51" xr:uid="{1D78D0AC-7279-43FC-A5F6-F15C7F3E1B72}"/>
    <cellStyle name="60% - アクセント 4 2" xfId="52" xr:uid="{CA8DE18E-686C-4EC8-B583-D044A207F4EA}"/>
    <cellStyle name="60% - アクセント 5" xfId="53" xr:uid="{033072AD-EE99-4C0A-9C11-44FFE98A0347}"/>
    <cellStyle name="60% - アクセント 5 2" xfId="54" xr:uid="{F7C0D68F-F986-4EDE-88E6-5ADBC01788A2}"/>
    <cellStyle name="60% - アクセント 6" xfId="55" xr:uid="{66ACFC81-2515-4301-8D26-98E0D8178023}"/>
    <cellStyle name="60% - アクセント 6 2" xfId="56" xr:uid="{A162682A-D388-41AA-87A9-3C58ADE5D2C1}"/>
    <cellStyle name="Accent1" xfId="57" xr:uid="{49C37F22-098D-4554-A7C0-D571F02528DD}"/>
    <cellStyle name="Accent2" xfId="58" xr:uid="{BA28F073-3078-4D4D-ADCC-944A0F462687}"/>
    <cellStyle name="Accent3" xfId="59" xr:uid="{F9DB2600-AB28-4B5E-A94E-48B86862D517}"/>
    <cellStyle name="Accent4" xfId="60" xr:uid="{931742E8-EBF3-4D82-B101-53B965D676FC}"/>
    <cellStyle name="Accent5" xfId="61" xr:uid="{BD585617-36B7-49E8-A43B-365F2A3A97DE}"/>
    <cellStyle name="Accent6" xfId="62" xr:uid="{A9B159F2-4C45-4654-9373-74B0250B45CD}"/>
    <cellStyle name="Bad" xfId="63" xr:uid="{19EF3303-964F-47B7-83D4-4DEE3D534849}"/>
    <cellStyle name="Calculation" xfId="64" xr:uid="{0FD45F1B-5F62-4726-9BD7-7710E715BAFD}"/>
    <cellStyle name="Check Cell" xfId="65" xr:uid="{4EC8D7D2-FF70-4270-9241-98CA81504D6B}"/>
    <cellStyle name="Comma" xfId="66" builtinId="3"/>
    <cellStyle name="Comma [0]" xfId="67" builtinId="6"/>
    <cellStyle name="Comma [0] 2" xfId="68" xr:uid="{9ABC8442-CDE4-4FDF-B647-EC4842C52906}"/>
    <cellStyle name="Comma [0] 2 2" xfId="69" xr:uid="{652CEB98-928E-4F9D-9D3B-84217355587B}"/>
    <cellStyle name="Comma [0] 2 2 3" xfId="175" xr:uid="{9F3BF54F-1B01-402E-BA02-D5E96CA21C63}"/>
    <cellStyle name="Comma [0] 3" xfId="70" xr:uid="{C507EE4D-6228-4387-A2E7-2A32598E9B04}"/>
    <cellStyle name="Comma [0] 4" xfId="71" xr:uid="{4A1C67D6-A294-4DAE-8021-A5B90DED4215}"/>
    <cellStyle name="Comma 2" xfId="72" xr:uid="{0A03D444-6E04-4EC2-8E6B-99451BDF0E89}"/>
    <cellStyle name="Comma 2 3" xfId="73" xr:uid="{2136A1A5-67D7-4DEA-8CCC-0734EAAA17BF}"/>
    <cellStyle name="Comma 3" xfId="74" xr:uid="{56B63958-8AE5-4E76-9049-A934E4A192B2}"/>
    <cellStyle name="Comma 3 2 2" xfId="75" xr:uid="{75D85E08-A903-4954-90B4-FB4E407BE6DF}"/>
    <cellStyle name="Comma 4" xfId="76" xr:uid="{82E22974-24B9-48AA-A984-18AE5EE0956D}"/>
    <cellStyle name="Comma 5" xfId="77" xr:uid="{3E61411B-149C-41A0-8C92-45C939557E4C}"/>
    <cellStyle name="Comma 6" xfId="78" xr:uid="{B94AEAE2-E2CE-48DB-A92E-8F2474E83B9F}"/>
    <cellStyle name="Currency [0] 2" xfId="79" xr:uid="{C316700F-37D0-4B8A-81ED-49EE15541F11}"/>
    <cellStyle name="Explanatory Text" xfId="80" xr:uid="{7874BF24-89AF-41E4-8406-395D0CFDED36}"/>
    <cellStyle name="Good" xfId="81" xr:uid="{FBCBE366-3950-4DCA-B2CD-FAD91CAA68CE}"/>
    <cellStyle name="Heading 1" xfId="82" xr:uid="{E11F5D64-392F-4EE4-A835-FE8F7F8E8951}"/>
    <cellStyle name="Heading 2" xfId="83" xr:uid="{A7FF0A0A-8CC2-4304-A0AB-8D176F00CCA4}"/>
    <cellStyle name="Heading 3" xfId="84" xr:uid="{1899F0B7-6AEC-45A1-8B37-3D60D4F177B4}"/>
    <cellStyle name="Heading 4" xfId="85" xr:uid="{6B35ECE5-4D08-4DCD-947B-61E9833862FF}"/>
    <cellStyle name="Input" xfId="86" xr:uid="{B0B501AD-679E-432B-9395-9C83762846CC}"/>
    <cellStyle name="Linked Cell" xfId="87" xr:uid="{96B19712-551A-4594-A1BB-10C772331804}"/>
    <cellStyle name="Neutral" xfId="88" xr:uid="{5B0BF50D-98A4-463F-8A09-D1FE602A6F00}"/>
    <cellStyle name="Normal" xfId="0" builtinId="0"/>
    <cellStyle name="Normal 2" xfId="89" xr:uid="{320DDDCA-3D6E-4B82-B25F-15F330509081}"/>
    <cellStyle name="Normal 2 2" xfId="90" xr:uid="{12518DD8-8B2B-44E6-A1CE-6484E2A9B07F}"/>
    <cellStyle name="Normal 3" xfId="91" xr:uid="{4C81655A-16B4-4DBA-B53C-5AF09C5D493E}"/>
    <cellStyle name="Normal 4" xfId="92" xr:uid="{89959CEA-AF5B-4988-A1F8-1DD931086D4C}"/>
    <cellStyle name="Normal 5" xfId="93" xr:uid="{39F607B3-20DF-45B8-B36D-F6F67F94DB8B}"/>
    <cellStyle name="Note" xfId="94" xr:uid="{53E75D2A-33BA-4FAE-B731-BF3CDB5CB731}"/>
    <cellStyle name="Output" xfId="95" xr:uid="{6539C653-81BF-41A0-8393-AFE37E76BEE7}"/>
    <cellStyle name="Percent 2" xfId="96" xr:uid="{066C547C-8795-4E65-B992-4187C1E3CE8D}"/>
    <cellStyle name="Percent 3" xfId="97" xr:uid="{0F8ABA8C-5586-4C39-B392-E9FB9DB2F6AB}"/>
    <cellStyle name="Title" xfId="98" xr:uid="{1E1772B3-D495-4020-A1C3-53BBD9E504A0}"/>
    <cellStyle name="Total" xfId="99" xr:uid="{EC6A6E45-FD05-48A3-94B1-2701A5EE668B}"/>
    <cellStyle name="Warning Text" xfId="100" xr:uid="{E74747C9-03E3-4413-99F9-7657F8CF05CD}"/>
    <cellStyle name="アクセント 1" xfId="101" xr:uid="{BC9EFF06-482F-47B0-AB65-B5D5B22EB07C}"/>
    <cellStyle name="アクセント 1 2" xfId="102" xr:uid="{24809FD9-7C9A-4B23-9B47-489D06DF3256}"/>
    <cellStyle name="アクセント 2" xfId="103" xr:uid="{55D8B375-9076-4828-93AC-6549111328D4}"/>
    <cellStyle name="アクセント 2 2" xfId="104" xr:uid="{AFA9513C-EBB3-4406-804C-E0C40CCFA3FA}"/>
    <cellStyle name="アクセント 3" xfId="105" xr:uid="{D6587B30-F3DF-409B-B7B6-4A75755EA92C}"/>
    <cellStyle name="アクセント 3 2" xfId="106" xr:uid="{89FD3B81-00E3-4652-8EB8-6046B9FE87B4}"/>
    <cellStyle name="アクセント 4" xfId="107" xr:uid="{73AD2032-37E4-4C81-B868-AB9F11B05F65}"/>
    <cellStyle name="アクセント 4 2" xfId="108" xr:uid="{2D0412F3-1872-414B-96AA-4981D476345D}"/>
    <cellStyle name="アクセント 5" xfId="109" xr:uid="{E082557A-63B4-4331-AA90-AD0DAD96C1ED}"/>
    <cellStyle name="アクセント 5 2" xfId="110" xr:uid="{86F34616-43F0-4A81-A091-CC42416887FD}"/>
    <cellStyle name="アクセント 6" xfId="111" xr:uid="{84E30293-8999-44B2-8609-7C8E2F922C89}"/>
    <cellStyle name="アクセント 6 2" xfId="112" xr:uid="{DC9EB9B5-19BD-4250-95CB-9BA7F188CBC8}"/>
    <cellStyle name="タイトル" xfId="113" xr:uid="{AF00E2A9-2AC6-41A6-ACA3-0AD848754FDF}"/>
    <cellStyle name="タイトル 2" xfId="114" xr:uid="{37548BE3-20FB-4509-8B80-16AED231A189}"/>
    <cellStyle name="チェック セル" xfId="115" xr:uid="{F0592C27-82C5-4834-A70D-0FE6B47D2208}"/>
    <cellStyle name="チェック セル 2" xfId="116" xr:uid="{C3BACB79-D9E8-47F6-887D-36858BD5D781}"/>
    <cellStyle name="どちらでもない" xfId="117" xr:uid="{3D5D9BC2-9B93-4F87-8A80-0FB5E835F192}"/>
    <cellStyle name="どちらでもない 2" xfId="118" xr:uid="{9F85CC44-588B-41F4-8E99-0C26AABF9728}"/>
    <cellStyle name="パーセント 2" xfId="119" xr:uid="{EFFE666F-2458-4C18-9B06-CCA5DC98885C}"/>
    <cellStyle name="パーセント 3" xfId="120" xr:uid="{D1A8CAF7-E684-47CA-BA5A-A18A9BE439B4}"/>
    <cellStyle name="パーセント 3 2" xfId="121" xr:uid="{B94ABDE5-9D12-47FB-B83E-BBEC163F7A18}"/>
    <cellStyle name="メモ" xfId="122" xr:uid="{96262663-569A-43B3-8415-D4A6052BCD69}"/>
    <cellStyle name="メモ 2" xfId="123" xr:uid="{3F0F1277-0032-44DD-864D-802D91F13D5A}"/>
    <cellStyle name="リンク セル" xfId="124" xr:uid="{144DA317-27A7-4053-9C56-38382389648A}"/>
    <cellStyle name="リンク セル 2" xfId="125" xr:uid="{D1C27110-B85A-4138-8095-07C59A280E39}"/>
    <cellStyle name="一般_KMHK FY2008 時間当り採算 2007年4月 ( Month Plan )" xfId="128" xr:uid="{5BAAEA9C-0B75-48EC-BB0D-F4EC5E13CB08}"/>
    <cellStyle name="一般_設備投資金額一覽表" xfId="129" xr:uid="{6DA7F683-4B57-4D2C-AC53-BFD69E3441EC}"/>
    <cellStyle name="入力" xfId="161" xr:uid="{28D46892-6834-480E-8EA8-5B9E7878492A}"/>
    <cellStyle name="入力 2" xfId="162" xr:uid="{2D3A79CE-D7F5-45EC-928A-B3A2F8508B2A}"/>
    <cellStyle name="出力" xfId="154" xr:uid="{32748826-7E01-421D-B54E-9310059F374A}"/>
    <cellStyle name="出力 2" xfId="155" xr:uid="{A7DC80BC-BBC5-4DC0-B115-8B3677BA5A4B}"/>
    <cellStyle name="常规_総生産分析(0605-0606)" xfId="156" xr:uid="{8A544793-BFA6-471E-98BE-F601C81ACF05}"/>
    <cellStyle name="悪い" xfId="126" xr:uid="{81031943-6537-430F-A301-4CDC8CEB0CB9}"/>
    <cellStyle name="悪い 2" xfId="127" xr:uid="{92C77109-A023-47D7-856F-5A5E24BCA253}"/>
    <cellStyle name="未定義" xfId="172" xr:uid="{0D36E6A3-E667-4925-9B25-1BA512313D3C}"/>
    <cellStyle name="桁区切り [0.00] 2" xfId="134" xr:uid="{8F1B1882-D6C7-4064-956F-FFF85CC74054}"/>
    <cellStyle name="桁区切り [0.00] 2 2" xfId="135" xr:uid="{29516094-1B88-4D19-93D7-DC8295E0EC92}"/>
    <cellStyle name="桁区切り [0.00] 2 3" xfId="136" xr:uid="{0AC854D8-6D62-4AAD-98C5-8906D3CCB4CE}"/>
    <cellStyle name="桁区切り 2" xfId="137" xr:uid="{F1D6EF71-0DF3-4E4A-B391-4F7F1179E44D}"/>
    <cellStyle name="桁区切り 2 2" xfId="138" xr:uid="{9D5C5F88-75C5-4526-A86F-0F695E6B06BB}"/>
    <cellStyle name="桁区切り 2 3" xfId="139" xr:uid="{4BD7D43F-BC6D-4E5C-BF9E-651D87FA8C71}"/>
    <cellStyle name="桁区切り 3" xfId="140" xr:uid="{41B9EDB6-C5B7-40F5-8786-E8249B39B9A1}"/>
    <cellStyle name="桁区切り 4" xfId="141" xr:uid="{EC3AA525-C186-4AA2-8B8D-8ED979E67244}"/>
    <cellStyle name="桁区切り 5" xfId="142" xr:uid="{9326B3AA-5044-4EA1-8BBE-42FC7567A55D}"/>
    <cellStyle name="桁区切り 6" xfId="143" xr:uid="{D277CE61-07D8-43B5-B5A5-AFECBC1BDB5D}"/>
    <cellStyle name="標準 2" xfId="163" xr:uid="{D0ADA271-457D-4998-AD66-79D3ABAB7118}"/>
    <cellStyle name="標準 2 2" xfId="164" xr:uid="{0493F60B-E4C1-4E6F-8118-E3DF26DCB51D}"/>
    <cellStyle name="標準 3" xfId="165" xr:uid="{CFEC9892-1B36-4AA1-B092-9702985A2C56}"/>
    <cellStyle name="標準 3 2" xfId="166" xr:uid="{138ED1C6-147B-4242-9E35-161268C7D3D9}"/>
    <cellStyle name="標準 4" xfId="167" xr:uid="{C7A36684-ACD3-482B-9647-5951BF180082}"/>
    <cellStyle name="標準 4 2" xfId="168" xr:uid="{26B19D79-8FC7-4B67-9763-3DC6EA57F900}"/>
    <cellStyle name="標準_★予定用採算表フォーム（製造課用）" xfId="169" xr:uid="{155EB23D-91DF-4470-9923-02F57DDD39CC}"/>
    <cellStyle name="標準_03.2012 08 31 KDTVN採算表及集計表 FY2013_09（製技用）" xfId="170" xr:uid="{C8F15F74-0CB8-4C1D-9F90-958D7C278439}"/>
    <cellStyle name="標準_KDTVN 2012年9月1日付原価センタ" xfId="171" xr:uid="{78F0446A-163F-4D1C-9212-8F056E47AA21}"/>
    <cellStyle name="良い" xfId="173" xr:uid="{6E0C76DF-5399-4A51-9994-79374E5C83E9}"/>
    <cellStyle name="良い 2" xfId="174" xr:uid="{9391C8C9-6DE2-435A-82F8-EC4AA88383C0}"/>
    <cellStyle name="見出し 1" xfId="144" xr:uid="{18475E84-CCC9-44E3-BC1E-6F8A29ED9B6C}"/>
    <cellStyle name="見出し 1 2" xfId="145" xr:uid="{D955BE01-708D-4569-B53C-F9CEB6FD5748}"/>
    <cellStyle name="見出し 2" xfId="146" xr:uid="{02260045-8635-4D41-B826-DA66CBEF52BA}"/>
    <cellStyle name="見出し 2 2" xfId="147" xr:uid="{64524520-6B3C-4989-BA29-858A9C27E804}"/>
    <cellStyle name="見出し 3" xfId="148" xr:uid="{9AE8789E-4CA3-4D20-92F3-045286CCB983}"/>
    <cellStyle name="見出し 3 2" xfId="149" xr:uid="{23F15EA7-24C7-4997-9A2A-D74DF0F95FD6}"/>
    <cellStyle name="見出し 4" xfId="150" xr:uid="{5517CE76-0E21-4A23-A12F-A4799F23C2A3}"/>
    <cellStyle name="見出し 4 2" xfId="151" xr:uid="{91E22B86-D707-4EE0-921C-70F8CBB86534}"/>
    <cellStyle name="計算" xfId="130" xr:uid="{7BC56011-549B-46D7-BEBB-706951E7CC62}"/>
    <cellStyle name="計算 2" xfId="131" xr:uid="{D01611DC-EDCA-4A0A-A664-9E895398BBA5}"/>
    <cellStyle name="説明文" xfId="157" xr:uid="{4FFE8207-0C69-407A-929D-EFF91EC146EE}"/>
    <cellStyle name="説明文 2" xfId="158" xr:uid="{4C4648D5-9108-494B-A25F-D8BF9E8A8490}"/>
    <cellStyle name="警告文" xfId="132" xr:uid="{BBB55588-0D96-4295-9EBA-5B61E6EB4C36}"/>
    <cellStyle name="警告文 2" xfId="133" xr:uid="{382F8694-E2D7-41D0-86C7-A1FAEF58EBD8}"/>
    <cellStyle name="通貨 2" xfId="159" xr:uid="{C8273368-0429-495F-B41F-E32590C1D025}"/>
    <cellStyle name="通貨 3" xfId="160" xr:uid="{E1E34BBB-029A-4299-A243-556FA293B114}"/>
    <cellStyle name="集計" xfId="152" xr:uid="{2771845F-7A24-43A5-90A5-6CE5EF7B03BC}"/>
    <cellStyle name="集計 2" xfId="153" xr:uid="{FAF8AA16-0AF6-45B4-92FA-6AF802F25DD9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01BC-497A-4D2D-9DFB-32CE14F91D0E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総務課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 ca="1">SUM(C14:C65)</f>
        <v>6.0000000012223609E-2</v>
      </c>
      <c r="D13" s="133">
        <f t="shared" ref="D13:O13" ca="1" si="3">SUM(D14:D65)</f>
        <v>5.9999999997671694E-2</v>
      </c>
      <c r="E13" s="133">
        <f t="shared" ca="1" si="3"/>
        <v>3.9999999993597157E-2</v>
      </c>
      <c r="F13" s="133">
        <f t="shared" ca="1" si="3"/>
        <v>4.9999999988358468E-2</v>
      </c>
      <c r="G13" s="133">
        <f t="shared" ca="1" si="3"/>
        <v>5.9999999990395736E-2</v>
      </c>
      <c r="H13" s="133">
        <f t="shared" ca="1" si="3"/>
        <v>6.9999999985157046E-2</v>
      </c>
      <c r="I13" s="133">
        <f t="shared" ca="1" si="3"/>
        <v>5.0000000002910383E-2</v>
      </c>
      <c r="J13" s="133">
        <f t="shared" ca="1" si="3"/>
        <v>5.9999999997671694E-2</v>
      </c>
      <c r="K13" s="133">
        <f t="shared" ca="1" si="3"/>
        <v>5.9999999990395736E-2</v>
      </c>
      <c r="L13" s="133">
        <f t="shared" ca="1" si="3"/>
        <v>5.9999999997671694E-2</v>
      </c>
      <c r="M13" s="133">
        <f t="shared" ca="1" si="3"/>
        <v>6.9999999992433004E-2</v>
      </c>
      <c r="N13" s="133">
        <f t="shared" ca="1" si="3"/>
        <v>5.9999999997671694E-2</v>
      </c>
      <c r="O13" s="133">
        <f t="shared" ca="1" si="3"/>
        <v>0.69999999983701855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20970.689999999999</v>
      </c>
      <c r="D20" s="136">
        <f>ROUNDUP('採算表(VND)'!D20/$N$1,2)</f>
        <v>20988.92</v>
      </c>
      <c r="E20" s="136">
        <f>ROUNDUP('採算表(VND)'!E20/$N$1,2)</f>
        <v>20989.03</v>
      </c>
      <c r="F20" s="136">
        <f>ROUNDUP('採算表(VND)'!F20/$N$1,2)</f>
        <v>21054.399999999998</v>
      </c>
      <c r="G20" s="136">
        <f>ROUNDUP('採算表(VND)'!G20/$N$1,2)</f>
        <v>21054.28</v>
      </c>
      <c r="H20" s="136">
        <f>ROUNDUP('採算表(VND)'!H20/$N$1,2)</f>
        <v>21048.699999999997</v>
      </c>
      <c r="I20" s="136">
        <f>ROUNDUP('採算表(VND)'!I20/$N$1,2)</f>
        <v>21202.639999999999</v>
      </c>
      <c r="J20" s="136">
        <f>ROUNDUP('採算表(VND)'!J20/$N$1,2)</f>
        <v>21202.579999999998</v>
      </c>
      <c r="K20" s="136">
        <f>ROUNDUP('採算表(VND)'!K20/$N$1,2)</f>
        <v>21202.609999999997</v>
      </c>
      <c r="L20" s="136">
        <f>ROUNDUP('採算表(VND)'!L20/$N$1,2)</f>
        <v>21202.48</v>
      </c>
      <c r="M20" s="136">
        <f>ROUNDUP('採算表(VND)'!M20/$N$1,2)</f>
        <v>21202.269999999997</v>
      </c>
      <c r="N20" s="136">
        <f>ROUNDUP('採算表(VND)'!N20/$N$1,2)</f>
        <v>21202.48</v>
      </c>
      <c r="O20" s="136">
        <f t="shared" si="4"/>
        <v>253321.07999999996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2166.21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2166.21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139.32</v>
      </c>
      <c r="D25" s="136">
        <f>ROUNDUP('採算表(VND)'!D25/$N$1,2)</f>
        <v>97.15</v>
      </c>
      <c r="E25" s="136">
        <f>ROUNDUP('採算表(VND)'!E25/$N$1,2)</f>
        <v>140.92999999999998</v>
      </c>
      <c r="F25" s="136">
        <f>ROUNDUP('採算表(VND)'!F25/$N$1,2)</f>
        <v>99.42</v>
      </c>
      <c r="G25" s="136">
        <f>ROUNDUP('採算表(VND)'!G25/$N$1,2)</f>
        <v>139.91999999999999</v>
      </c>
      <c r="H25" s="136">
        <f>ROUNDUP('採算表(VND)'!H25/$N$1,2)</f>
        <v>103.85000000000001</v>
      </c>
      <c r="I25" s="136">
        <f>ROUNDUP('採算表(VND)'!I25/$N$1,2)</f>
        <v>141.26999999999998</v>
      </c>
      <c r="J25" s="136">
        <f>ROUNDUP('採算表(VND)'!J25/$N$1,2)</f>
        <v>97.72</v>
      </c>
      <c r="K25" s="136">
        <f>ROUNDUP('採算表(VND)'!K25/$N$1,2)</f>
        <v>141.51999999999998</v>
      </c>
      <c r="L25" s="136">
        <f>ROUNDUP('採算表(VND)'!L25/$N$1,2)</f>
        <v>97.62</v>
      </c>
      <c r="M25" s="136">
        <f>ROUNDUP('採算表(VND)'!M25/$N$1,2)</f>
        <v>136.84</v>
      </c>
      <c r="N25" s="136">
        <f>ROUNDUP('採算表(VND)'!N25/$N$1,2)</f>
        <v>97.56</v>
      </c>
      <c r="O25" s="136">
        <f t="shared" si="4"/>
        <v>1433.1199999999997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196.92999999999998</v>
      </c>
      <c r="E26" s="136">
        <f>ROUNDUP('採算表(VND)'!E26/$N$1,2)</f>
        <v>0</v>
      </c>
      <c r="F26" s="136">
        <f>ROUNDUP('採算表(VND)'!F26/$N$1,2)</f>
        <v>0</v>
      </c>
      <c r="G26" s="136">
        <f>ROUNDUP('採算表(VND)'!G26/$N$1,2)</f>
        <v>0</v>
      </c>
      <c r="H26" s="136">
        <f>ROUNDUP('採算表(VND)'!H26/$N$1,2)</f>
        <v>2638.84</v>
      </c>
      <c r="I26" s="136">
        <f>ROUNDUP('採算表(VND)'!I26/$N$1,2)</f>
        <v>196.92999999999998</v>
      </c>
      <c r="J26" s="136">
        <f>ROUNDUP('採算表(VND)'!J26/$N$1,2)</f>
        <v>0</v>
      </c>
      <c r="K26" s="136">
        <f>ROUNDUP('採算表(VND)'!K26/$N$1,2)</f>
        <v>0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196.92999999999998</v>
      </c>
      <c r="O26" s="136">
        <f t="shared" si="4"/>
        <v>3229.6299999999997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113.63000000000001</v>
      </c>
      <c r="D28" s="136">
        <f>ROUNDUP('採算表(VND)'!D28/$N$1,2)</f>
        <v>113.63000000000001</v>
      </c>
      <c r="E28" s="136">
        <f>ROUNDUP('採算表(VND)'!E28/$N$1,2)</f>
        <v>110.68</v>
      </c>
      <c r="F28" s="136">
        <f>ROUNDUP('採算表(VND)'!F28/$N$1,2)</f>
        <v>121.51</v>
      </c>
      <c r="G28" s="136">
        <f>ROUNDUP('採算表(VND)'!G28/$N$1,2)</f>
        <v>121.51</v>
      </c>
      <c r="H28" s="136">
        <f>ROUNDUP('採算表(VND)'!H28/$N$1,2)</f>
        <v>142.19</v>
      </c>
      <c r="I28" s="136">
        <f>ROUNDUP('採算表(VND)'!I28/$N$1,2)</f>
        <v>121.51</v>
      </c>
      <c r="J28" s="136">
        <f>ROUNDUP('採算表(VND)'!J28/$N$1,2)</f>
        <v>121.51</v>
      </c>
      <c r="K28" s="136">
        <f>ROUNDUP('採算表(VND)'!K28/$N$1,2)</f>
        <v>110.68</v>
      </c>
      <c r="L28" s="136">
        <f>ROUNDUP('採算表(VND)'!L28/$N$1,2)</f>
        <v>121.51</v>
      </c>
      <c r="M28" s="136">
        <f>ROUNDUP('採算表(VND)'!M28/$N$1,2)</f>
        <v>153.01999999999998</v>
      </c>
      <c r="N28" s="136">
        <f>ROUNDUP('採算表(VND)'!N28/$N$1,2)</f>
        <v>111.86</v>
      </c>
      <c r="O28" s="136">
        <f t="shared" si="4"/>
        <v>1463.24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4730.76</v>
      </c>
      <c r="D30" s="136">
        <f>ROUNDUP('採算表(VND)'!D30/$N$1,2)</f>
        <v>4851.4800000000005</v>
      </c>
      <c r="E30" s="136">
        <f>ROUNDUP('採算表(VND)'!E30/$N$1,2)</f>
        <v>6114.67</v>
      </c>
      <c r="F30" s="136">
        <f>ROUNDUP('採算表(VND)'!F30/$N$1,2)</f>
        <v>6593</v>
      </c>
      <c r="G30" s="136">
        <f>ROUNDUP('採算表(VND)'!G30/$N$1,2)</f>
        <v>6819.1900000000005</v>
      </c>
      <c r="H30" s="136">
        <f>ROUNDUP('採算表(VND)'!H30/$N$1,2)</f>
        <v>6252.58</v>
      </c>
      <c r="I30" s="136">
        <f>ROUNDUP('採算表(VND)'!I30/$N$1,2)</f>
        <v>6223.6100000000006</v>
      </c>
      <c r="J30" s="136">
        <f>ROUNDUP('採算表(VND)'!J30/$N$1,2)</f>
        <v>5647.25</v>
      </c>
      <c r="K30" s="136">
        <f>ROUNDUP('採算表(VND)'!K30/$N$1,2)</f>
        <v>5416.5300000000007</v>
      </c>
      <c r="L30" s="136">
        <f>ROUNDUP('採算表(VND)'!L30/$N$1,2)</f>
        <v>4826.88</v>
      </c>
      <c r="M30" s="136">
        <f>ROUNDUP('採算表(VND)'!M30/$N$1,2)</f>
        <v>4872.7700000000004</v>
      </c>
      <c r="N30" s="136">
        <f>ROUNDUP('採算表(VND)'!N30/$N$1,2)</f>
        <v>3773.4300000000003</v>
      </c>
      <c r="O30" s="136">
        <f t="shared" si="4"/>
        <v>66122.149999999994</v>
      </c>
    </row>
    <row r="31" spans="1:15" ht="11.25" customHeight="1">
      <c r="A31" s="34"/>
      <c r="B31" s="37" t="s">
        <v>59</v>
      </c>
      <c r="C31" s="136">
        <f>ROUNDUP('採算表(VND)'!C31/$N$1,2)</f>
        <v>12347.39</v>
      </c>
      <c r="D31" s="136">
        <f>ROUNDUP('採算表(VND)'!D31/$N$1,2)</f>
        <v>866.49</v>
      </c>
      <c r="E31" s="136">
        <f>ROUNDUP('採算表(VND)'!E31/$N$1,2)</f>
        <v>886.18</v>
      </c>
      <c r="F31" s="136">
        <f>ROUNDUP('採算表(VND)'!F31/$N$1,2)</f>
        <v>905.87</v>
      </c>
      <c r="G31" s="136">
        <f>ROUNDUP('採算表(VND)'!G31/$N$1,2)</f>
        <v>866.49</v>
      </c>
      <c r="H31" s="136">
        <f>ROUNDUP('採算表(VND)'!H31/$N$1,2)</f>
        <v>886.18</v>
      </c>
      <c r="I31" s="136">
        <f>ROUNDUP('採算表(VND)'!I31/$N$1,2)</f>
        <v>866.49</v>
      </c>
      <c r="J31" s="136">
        <f>ROUNDUP('採算表(VND)'!J31/$N$1,2)</f>
        <v>866.49</v>
      </c>
      <c r="K31" s="136">
        <f>ROUNDUP('採算表(VND)'!K31/$N$1,2)</f>
        <v>1081.1400000000001</v>
      </c>
      <c r="L31" s="136">
        <f>ROUNDUP('採算表(VND)'!L31/$N$1,2)</f>
        <v>866.49</v>
      </c>
      <c r="M31" s="136">
        <f>ROUNDUP('採算表(VND)'!M31/$N$1,2)</f>
        <v>866.49</v>
      </c>
      <c r="N31" s="136">
        <f>ROUNDUP('採算表(VND)'!N31/$N$1,2)</f>
        <v>886.18</v>
      </c>
      <c r="O31" s="136">
        <f t="shared" si="4"/>
        <v>22191.880000000005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333</v>
      </c>
      <c r="D39" s="136">
        <f>ROUNDUP('採算表(VND)'!D39/$N$1,2)</f>
        <v>1290.0999999999999</v>
      </c>
      <c r="E39" s="136">
        <f>ROUNDUP('採算表(VND)'!E39/$N$1,2)</f>
        <v>336.53</v>
      </c>
      <c r="F39" s="136">
        <f>ROUNDUP('採算表(VND)'!F39/$N$1,2)</f>
        <v>1160.1299999999999</v>
      </c>
      <c r="G39" s="136">
        <f>ROUNDUP('採算表(VND)'!G39/$N$1,2)</f>
        <v>332.06</v>
      </c>
      <c r="H39" s="136">
        <f>ROUNDUP('採算表(VND)'!H39/$N$1,2)</f>
        <v>1157.42</v>
      </c>
      <c r="I39" s="136">
        <f>ROUNDUP('採算表(VND)'!I39/$N$1,2)</f>
        <v>722.74</v>
      </c>
      <c r="J39" s="136">
        <f>ROUNDUP('採算表(VND)'!J39/$N$1,2)</f>
        <v>3597.3700000000003</v>
      </c>
      <c r="K39" s="136">
        <f>ROUNDUP('採算表(VND)'!K39/$N$1,2)</f>
        <v>4739.6900000000005</v>
      </c>
      <c r="L39" s="136">
        <f>ROUNDUP('採算表(VND)'!L39/$N$1,2)</f>
        <v>1154.3</v>
      </c>
      <c r="M39" s="136">
        <f>ROUNDUP('採算表(VND)'!M39/$N$1,2)</f>
        <v>325.37</v>
      </c>
      <c r="N39" s="136">
        <f>ROUNDUP('採算表(VND)'!N39/$N$1,2)</f>
        <v>1153.83</v>
      </c>
      <c r="O39" s="136">
        <f t="shared" si="4"/>
        <v>16302.54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194.95999999999998</v>
      </c>
      <c r="D41" s="136">
        <f>ROUNDUP('採算表(VND)'!D41/$N$1,2)</f>
        <v>194.95999999999998</v>
      </c>
      <c r="E41" s="136">
        <f>ROUNDUP('採算表(VND)'!E41/$N$1,2)</f>
        <v>194.95999999999998</v>
      </c>
      <c r="F41" s="136">
        <f>ROUNDUP('採算表(VND)'!F41/$N$1,2)</f>
        <v>194.95999999999998</v>
      </c>
      <c r="G41" s="136">
        <f>ROUNDUP('採算表(VND)'!G41/$N$1,2)</f>
        <v>194.95999999999998</v>
      </c>
      <c r="H41" s="136">
        <f>ROUNDUP('採算表(VND)'!H41/$N$1,2)</f>
        <v>194.95999999999998</v>
      </c>
      <c r="I41" s="136">
        <f>ROUNDUP('採算表(VND)'!I41/$N$1,2)</f>
        <v>194.95999999999998</v>
      </c>
      <c r="J41" s="136">
        <f>ROUNDUP('採算表(VND)'!J41/$N$1,2)</f>
        <v>194.95999999999998</v>
      </c>
      <c r="K41" s="136">
        <f>ROUNDUP('採算表(VND)'!K41/$N$1,2)</f>
        <v>194.95999999999998</v>
      </c>
      <c r="L41" s="136">
        <f>ROUNDUP('採算表(VND)'!L41/$N$1,2)</f>
        <v>352.51</v>
      </c>
      <c r="M41" s="136">
        <f>ROUNDUP('採算表(VND)'!M41/$N$1,2)</f>
        <v>194.95999999999998</v>
      </c>
      <c r="N41" s="136">
        <f>ROUNDUP('採算表(VND)'!N41/$N$1,2)</f>
        <v>194.95999999999998</v>
      </c>
      <c r="O41" s="136">
        <f t="shared" si="4"/>
        <v>2497.0700000000002</v>
      </c>
    </row>
    <row r="42" spans="1:15" ht="11.25" customHeight="1">
      <c r="A42" s="38"/>
      <c r="B42" s="37" t="s">
        <v>98</v>
      </c>
      <c r="C42" s="136">
        <f>ROUNDUP('採算表(VND)'!C42/$N$1,2)</f>
        <v>1978.17</v>
      </c>
      <c r="D42" s="136">
        <f>ROUNDUP('採算表(VND)'!D42/$N$1,2)</f>
        <v>804.93</v>
      </c>
      <c r="E42" s="136">
        <f>ROUNDUP('採算表(VND)'!E42/$N$1,2)</f>
        <v>614.52</v>
      </c>
      <c r="F42" s="136">
        <f>ROUNDUP('採算表(VND)'!F42/$N$1,2)</f>
        <v>906.7</v>
      </c>
      <c r="G42" s="136">
        <f>ROUNDUP('採算表(VND)'!G42/$N$1,2)</f>
        <v>965.47</v>
      </c>
      <c r="H42" s="136">
        <f>ROUNDUP('採算表(VND)'!H42/$N$1,2)</f>
        <v>2171.4</v>
      </c>
      <c r="I42" s="136">
        <f>ROUNDUP('採算表(VND)'!I42/$N$1,2)</f>
        <v>961.16</v>
      </c>
      <c r="J42" s="136">
        <f>ROUNDUP('採算表(VND)'!J42/$N$1,2)</f>
        <v>577.53</v>
      </c>
      <c r="K42" s="136">
        <f>ROUNDUP('採算表(VND)'!K42/$N$1,2)</f>
        <v>1001.13</v>
      </c>
      <c r="L42" s="136">
        <f>ROUNDUP('採算表(VND)'!L42/$N$1,2)</f>
        <v>778.47</v>
      </c>
      <c r="M42" s="136">
        <f>ROUNDUP('採算表(VND)'!M42/$N$1,2)</f>
        <v>1865.83</v>
      </c>
      <c r="N42" s="136">
        <f>ROUNDUP('採算表(VND)'!N42/$N$1,2)</f>
        <v>588.27</v>
      </c>
      <c r="O42" s="136">
        <f t="shared" si="4"/>
        <v>13213.58</v>
      </c>
    </row>
    <row r="43" spans="1:15" ht="11.25" customHeight="1">
      <c r="A43" s="38"/>
      <c r="B43" s="37" t="s">
        <v>99</v>
      </c>
      <c r="C43" s="136">
        <f>ROUNDUP('採算表(VND)'!C43/$N$1,2)</f>
        <v>2114.2600000000002</v>
      </c>
      <c r="D43" s="136">
        <f>ROUNDUP('採算表(VND)'!D43/$N$1,2)</f>
        <v>1215.44</v>
      </c>
      <c r="E43" s="136">
        <f>ROUNDUP('採算表(VND)'!E43/$N$1,2)</f>
        <v>140.69</v>
      </c>
      <c r="F43" s="136">
        <f>ROUNDUP('採算表(VND)'!F43/$N$1,2)</f>
        <v>1868.34</v>
      </c>
      <c r="G43" s="136">
        <f>ROUNDUP('採算表(VND)'!G43/$N$1,2)</f>
        <v>164.44</v>
      </c>
      <c r="H43" s="136">
        <f>ROUNDUP('採算表(VND)'!H43/$N$1,2)</f>
        <v>173.76999999999998</v>
      </c>
      <c r="I43" s="136">
        <f>ROUNDUP('採算表(VND)'!I43/$N$1,2)</f>
        <v>1923.79</v>
      </c>
      <c r="J43" s="136">
        <f>ROUNDUP('採算表(VND)'!J43/$N$1,2)</f>
        <v>216.82</v>
      </c>
      <c r="K43" s="136">
        <f>ROUNDUP('採算表(VND)'!K43/$N$1,2)</f>
        <v>63.809999999999995</v>
      </c>
      <c r="L43" s="136">
        <f>ROUNDUP('採算表(VND)'!L43/$N$1,2)</f>
        <v>1906.9</v>
      </c>
      <c r="M43" s="136">
        <f>ROUNDUP('採算表(VND)'!M43/$N$1,2)</f>
        <v>98.67</v>
      </c>
      <c r="N43" s="136">
        <f>ROUNDUP('採算表(VND)'!N43/$N$1,2)</f>
        <v>104.57000000000001</v>
      </c>
      <c r="O43" s="136">
        <f t="shared" si="4"/>
        <v>9991.5</v>
      </c>
    </row>
    <row r="44" spans="1:15" ht="11.25" customHeight="1">
      <c r="A44" s="38"/>
      <c r="B44" s="37" t="s">
        <v>42</v>
      </c>
      <c r="C44" s="136">
        <f ca="1">ROUNDUP('採算表(VND)'!C44/$N$1,2)</f>
        <v>70339.83</v>
      </c>
      <c r="D44" s="136">
        <f ca="1">ROUNDUP('採算表(VND)'!D44/$N$1,2)</f>
        <v>815.18</v>
      </c>
      <c r="E44" s="136">
        <f ca="1">ROUNDUP('採算表(VND)'!E44/$N$1,2)</f>
        <v>1948.95</v>
      </c>
      <c r="F44" s="136">
        <f ca="1">ROUNDUP('採算表(VND)'!F44/$N$1,2)</f>
        <v>-1316.52</v>
      </c>
      <c r="G44" s="136">
        <f ca="1">ROUNDUP('採算表(VND)'!G44/$N$1,2)</f>
        <v>4210.7700000000004</v>
      </c>
      <c r="H44" s="136">
        <f ca="1">ROUNDUP('採算表(VND)'!H44/$N$1,2)</f>
        <v>915.5</v>
      </c>
      <c r="I44" s="136">
        <f ca="1">ROUNDUP('採算表(VND)'!I44/$N$1,2)</f>
        <v>-4941.1100000000006</v>
      </c>
      <c r="J44" s="136">
        <f ca="1">ROUNDUP('採算表(VND)'!J44/$N$1,2)</f>
        <v>2611.5200000000004</v>
      </c>
      <c r="K44" s="136">
        <f ca="1">ROUNDUP('採算表(VND)'!K44/$N$1,2)</f>
        <v>4580.67</v>
      </c>
      <c r="L44" s="136">
        <f ca="1">ROUNDUP('採算表(VND)'!L44/$N$1,2)</f>
        <v>5745.99</v>
      </c>
      <c r="M44" s="136">
        <f ca="1">ROUNDUP('採算表(VND)'!M44/$N$1,2)</f>
        <v>1154.1299999999999</v>
      </c>
      <c r="N44" s="136">
        <f ca="1">ROUNDUP('採算表(VND)'!N44/$N$1,2)</f>
        <v>1486.99</v>
      </c>
      <c r="O44" s="136">
        <f t="shared" ca="1" si="4"/>
        <v>87551.900000000009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51.21</v>
      </c>
      <c r="I45" s="136">
        <f>ROUNDUP('採算表(VND)'!I45/$N$1,2)</f>
        <v>0</v>
      </c>
      <c r="J45" s="136">
        <f>ROUNDUP('採算表(VND)'!J45/$N$1,2)</f>
        <v>584.88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51.21</v>
      </c>
      <c r="N45" s="136">
        <f>ROUNDUP('採算表(VND)'!N45/$N$1,2)</f>
        <v>0</v>
      </c>
      <c r="O45" s="136">
        <f t="shared" si="4"/>
        <v>687.30000000000007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1772.36</v>
      </c>
      <c r="N49" s="137">
        <f>ROUNDUP('採算表(VND)'!N49/$N$1,2)</f>
        <v>0</v>
      </c>
      <c r="O49" s="137">
        <f t="shared" si="4"/>
        <v>1772.36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14049.93</v>
      </c>
      <c r="D57" s="139">
        <f>ROUNDUP('採算表(VND)'!D57/$N$1,2)</f>
        <v>13329.77</v>
      </c>
      <c r="E57" s="139">
        <f>ROUNDUP('採算表(VND)'!E57/$N$1,2)</f>
        <v>13329.84</v>
      </c>
      <c r="F57" s="139">
        <f>ROUNDUP('採算表(VND)'!F57/$N$1,2)</f>
        <v>13329.58</v>
      </c>
      <c r="G57" s="139">
        <f>ROUNDUP('採算表(VND)'!G57/$N$1,2)</f>
        <v>13336.6</v>
      </c>
      <c r="H57" s="139">
        <f>ROUNDUP('採算表(VND)'!H57/$N$1,2)</f>
        <v>13332.81</v>
      </c>
      <c r="I57" s="139">
        <f>ROUNDUP('採算表(VND)'!I57/$N$1,2)</f>
        <v>13331.710000000001</v>
      </c>
      <c r="J57" s="139">
        <f>ROUNDUP('採算表(VND)'!J57/$N$1,2)</f>
        <v>13348.48</v>
      </c>
      <c r="K57" s="139">
        <f>ROUNDUP('採算表(VND)'!K57/$N$1,2)</f>
        <v>13348.5</v>
      </c>
      <c r="L57" s="139">
        <f>ROUNDUP('採算表(VND)'!L57/$N$1,2)</f>
        <v>13348.41</v>
      </c>
      <c r="M57" s="139">
        <f>ROUNDUP('採算表(VND)'!M57/$N$1,2)</f>
        <v>13348.26</v>
      </c>
      <c r="N57" s="139">
        <f>ROUNDUP('採算表(VND)'!N57/$N$1,2)</f>
        <v>13348.41</v>
      </c>
      <c r="O57" s="139">
        <f t="shared" si="4"/>
        <v>160782.30000000002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 ca="1">ROUNDUP('採算表(VND)'!C64/$N$1,2)</f>
        <v>-127311.87999999999</v>
      </c>
      <c r="D64" s="139">
        <f ca="1">ROUNDUP('採算表(VND)'!D64/$N$1,2)</f>
        <v>-46931.130000000005</v>
      </c>
      <c r="E64" s="139">
        <f ca="1">ROUNDUP('採算表(VND)'!E64/$N$1,2)</f>
        <v>-44806.94</v>
      </c>
      <c r="F64" s="139">
        <f ca="1">ROUNDUP('採算表(VND)'!F64/$N$1,2)</f>
        <v>-44917.340000000004</v>
      </c>
      <c r="G64" s="139">
        <f ca="1">ROUNDUP('採算表(VND)'!G64/$N$1,2)</f>
        <v>-48205.630000000005</v>
      </c>
      <c r="H64" s="139">
        <f ca="1">ROUNDUP('採算表(VND)'!H64/$N$1,2)</f>
        <v>-49069.340000000004</v>
      </c>
      <c r="I64" s="139">
        <f ca="1">ROUNDUP('採算表(VND)'!I64/$N$1,2)</f>
        <v>-40945.65</v>
      </c>
      <c r="J64" s="139">
        <f ca="1">ROUNDUP('採算表(VND)'!J64/$N$1,2)</f>
        <v>-49067.05</v>
      </c>
      <c r="K64" s="139">
        <f ca="1">ROUNDUP('採算表(VND)'!K64/$N$1,2)</f>
        <v>-51881.18</v>
      </c>
      <c r="L64" s="139">
        <f ca="1">ROUNDUP('採算表(VND)'!L64/$N$1,2)</f>
        <v>-50401.5</v>
      </c>
      <c r="M64" s="139">
        <f ca="1">ROUNDUP('採算表(VND)'!M64/$N$1,2)</f>
        <v>-46042.11</v>
      </c>
      <c r="N64" s="139">
        <f ca="1">ROUNDUP('採算表(VND)'!N64/$N$1,2)</f>
        <v>-43145.41</v>
      </c>
      <c r="O64" s="139">
        <f t="shared" ca="1" si="4"/>
        <v>-642725.16000000015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 ca="1">C12-C13</f>
        <v>-6.0000000012223609E-2</v>
      </c>
      <c r="D66" s="134">
        <f t="shared" ref="D66:O66" ca="1" si="5">IF(ISBLANK(D4),"",D12-D13)</f>
        <v>-5.9999999997671694E-2</v>
      </c>
      <c r="E66" s="134">
        <f t="shared" ca="1" si="5"/>
        <v>-3.9999999993597157E-2</v>
      </c>
      <c r="F66" s="134">
        <f t="shared" ca="1" si="5"/>
        <v>-4.9999999988358468E-2</v>
      </c>
      <c r="G66" s="134">
        <f t="shared" ca="1" si="5"/>
        <v>-5.9999999990395736E-2</v>
      </c>
      <c r="H66" s="134">
        <f t="shared" ca="1" si="5"/>
        <v>-6.9999999985157046E-2</v>
      </c>
      <c r="I66" s="134">
        <f t="shared" ca="1" si="5"/>
        <v>-5.0000000002910383E-2</v>
      </c>
      <c r="J66" s="134">
        <f t="shared" ca="1" si="5"/>
        <v>-5.9999999997671694E-2</v>
      </c>
      <c r="K66" s="134">
        <f t="shared" ca="1" si="5"/>
        <v>-5.9999999990395736E-2</v>
      </c>
      <c r="L66" s="134">
        <f t="shared" ca="1" si="5"/>
        <v>-5.9999999997671694E-2</v>
      </c>
      <c r="M66" s="134">
        <f t="shared" ca="1" si="5"/>
        <v>-6.9999999992433004E-2</v>
      </c>
      <c r="N66" s="134">
        <f t="shared" ca="1" si="5"/>
        <v>-5.9999999997671694E-2</v>
      </c>
      <c r="O66" s="134">
        <f t="shared" ca="1" si="5"/>
        <v>-0.69999999983701855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2767</v>
      </c>
      <c r="D68" s="135">
        <f>'採算表(VND)'!D68</f>
        <v>2709.5</v>
      </c>
      <c r="E68" s="135">
        <f>'採算表(VND)'!E68</f>
        <v>2979.5</v>
      </c>
      <c r="F68" s="135">
        <f>'採算表(VND)'!F68</f>
        <v>3190</v>
      </c>
      <c r="G68" s="135">
        <f>'採算表(VND)'!G68</f>
        <v>2767</v>
      </c>
      <c r="H68" s="135">
        <f>'採算表(VND)'!H68</f>
        <v>2616</v>
      </c>
      <c r="I68" s="135">
        <f>'採算表(VND)'!I68</f>
        <v>3190</v>
      </c>
      <c r="J68" s="135">
        <f>'採算表(VND)'!J68</f>
        <v>2767</v>
      </c>
      <c r="K68" s="135">
        <f>'採算表(VND)'!K68</f>
        <v>3121.5</v>
      </c>
      <c r="L68" s="135">
        <f>'採算表(VND)'!L68</f>
        <v>2909.5</v>
      </c>
      <c r="M68" s="135">
        <f>'採算表(VND)'!M68</f>
        <v>2147</v>
      </c>
      <c r="N68" s="135">
        <f>'採算表(VND)'!N68</f>
        <v>2902</v>
      </c>
      <c r="O68" s="135">
        <f>SUM(C68:N68)</f>
        <v>34066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-2767</v>
      </c>
      <c r="D72" s="141">
        <f>'採算表(VND)'!D72</f>
        <v>-2709.5</v>
      </c>
      <c r="E72" s="141">
        <f>'採算表(VND)'!E72</f>
        <v>-2979.5</v>
      </c>
      <c r="F72" s="141">
        <f>'採算表(VND)'!F72</f>
        <v>-3190</v>
      </c>
      <c r="G72" s="141">
        <f>'採算表(VND)'!G72</f>
        <v>-2767</v>
      </c>
      <c r="H72" s="141">
        <f>'採算表(VND)'!H72</f>
        <v>-2616</v>
      </c>
      <c r="I72" s="141">
        <f>'採算表(VND)'!I72</f>
        <v>-3190</v>
      </c>
      <c r="J72" s="141">
        <f>'採算表(VND)'!J72</f>
        <v>-2767</v>
      </c>
      <c r="K72" s="141">
        <f>'採算表(VND)'!K72</f>
        <v>-3121.5</v>
      </c>
      <c r="L72" s="141">
        <f>'採算表(VND)'!L72</f>
        <v>-2909.5</v>
      </c>
      <c r="M72" s="141">
        <f>'採算表(VND)'!M72</f>
        <v>-2147</v>
      </c>
      <c r="N72" s="141">
        <f>'採算表(VND)'!N72</f>
        <v>-2902</v>
      </c>
      <c r="O72" s="141">
        <f>SUM(C72:N72)</f>
        <v>-34066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176.5</v>
      </c>
      <c r="D74" s="135">
        <f>'採算表(VND)'!D74</f>
        <v>193.5</v>
      </c>
      <c r="E74" s="135">
        <f>'採算表(VND)'!E74</f>
        <v>185.5</v>
      </c>
      <c r="F74" s="135">
        <f>'採算表(VND)'!F74</f>
        <v>203.5</v>
      </c>
      <c r="G74" s="135">
        <f>'採算表(VND)'!G74</f>
        <v>176.5</v>
      </c>
      <c r="H74" s="135">
        <f>'採算表(VND)'!H74</f>
        <v>251.5</v>
      </c>
      <c r="I74" s="135">
        <f>'採算表(VND)'!I74</f>
        <v>203.5</v>
      </c>
      <c r="J74" s="135">
        <f>'採算表(VND)'!J74</f>
        <v>246.5</v>
      </c>
      <c r="K74" s="135">
        <f>'採算表(VND)'!K74</f>
        <v>194.5</v>
      </c>
      <c r="L74" s="135">
        <f>'採算表(VND)'!L74</f>
        <v>176.5</v>
      </c>
      <c r="M74" s="135">
        <f>'採算表(VND)'!M74</f>
        <v>131.5</v>
      </c>
      <c r="N74" s="135">
        <f>'採算表(VND)'!N74</f>
        <v>176.5</v>
      </c>
      <c r="O74" s="135">
        <f>SUM(C74:N74)</f>
        <v>2316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-176.5</v>
      </c>
      <c r="D78" s="141">
        <f>'採算表(VND)'!D78</f>
        <v>-193.5</v>
      </c>
      <c r="E78" s="141">
        <f>'採算表(VND)'!E78</f>
        <v>-185.5</v>
      </c>
      <c r="F78" s="141">
        <f>'採算表(VND)'!F78</f>
        <v>-203.5</v>
      </c>
      <c r="G78" s="141">
        <f>'採算表(VND)'!G78</f>
        <v>-176.5</v>
      </c>
      <c r="H78" s="141">
        <f>'採算表(VND)'!H78</f>
        <v>-251.5</v>
      </c>
      <c r="I78" s="141">
        <f>'採算表(VND)'!I78</f>
        <v>-203.5</v>
      </c>
      <c r="J78" s="141">
        <f>'採算表(VND)'!J78</f>
        <v>-246.5</v>
      </c>
      <c r="K78" s="141">
        <f>'採算表(VND)'!K78</f>
        <v>-194.5</v>
      </c>
      <c r="L78" s="141">
        <f>'採算表(VND)'!L78</f>
        <v>-176.5</v>
      </c>
      <c r="M78" s="141">
        <f>'採算表(VND)'!M78</f>
        <v>-131.5</v>
      </c>
      <c r="N78" s="141">
        <f>'採算表(VND)'!N78</f>
        <v>-176.5</v>
      </c>
      <c r="O78" s="141">
        <f>SUM(C78:N78)</f>
        <v>-2316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 ca="1">IFERROR(ROUNDDOWN(C66/C67,0),0)</f>
        <v>0</v>
      </c>
      <c r="D80" s="144">
        <f t="shared" ref="D80:O80" ca="1" si="9">IFERROR(ROUNDDOWN(D66/D67,0),0)</f>
        <v>0</v>
      </c>
      <c r="E80" s="144">
        <f t="shared" ca="1" si="9"/>
        <v>0</v>
      </c>
      <c r="F80" s="144">
        <f t="shared" ca="1" si="9"/>
        <v>0</v>
      </c>
      <c r="G80" s="144">
        <f t="shared" ca="1" si="9"/>
        <v>0</v>
      </c>
      <c r="H80" s="144">
        <f t="shared" ca="1" si="9"/>
        <v>0</v>
      </c>
      <c r="I80" s="144">
        <f t="shared" ca="1" si="9"/>
        <v>0</v>
      </c>
      <c r="J80" s="144">
        <f t="shared" ca="1" si="9"/>
        <v>0</v>
      </c>
      <c r="K80" s="144">
        <f t="shared" ca="1" si="9"/>
        <v>0</v>
      </c>
      <c r="L80" s="144">
        <f t="shared" ca="1" si="9"/>
        <v>0</v>
      </c>
      <c r="M80" s="144">
        <f t="shared" ca="1" si="9"/>
        <v>0</v>
      </c>
      <c r="N80" s="144">
        <f t="shared" ca="1" si="9"/>
        <v>0</v>
      </c>
      <c r="O80" s="144">
        <f t="shared" ca="1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16</v>
      </c>
      <c r="D88" s="150">
        <f>'採算表(VND)'!D88</f>
        <v>17</v>
      </c>
      <c r="E88" s="150">
        <f>'採算表(VND)'!E88</f>
        <v>17</v>
      </c>
      <c r="F88" s="150">
        <f>'採算表(VND)'!F88</f>
        <v>17</v>
      </c>
      <c r="G88" s="150">
        <f>'採算表(VND)'!G88</f>
        <v>17</v>
      </c>
      <c r="H88" s="150">
        <f>'採算表(VND)'!H88</f>
        <v>17</v>
      </c>
      <c r="I88" s="150">
        <f>'採算表(VND)'!I88</f>
        <v>17</v>
      </c>
      <c r="J88" s="150">
        <f>'採算表(VND)'!J88</f>
        <v>17</v>
      </c>
      <c r="K88" s="150">
        <f>'採算表(VND)'!K88</f>
        <v>17</v>
      </c>
      <c r="L88" s="150">
        <f>'採算表(VND)'!L88</f>
        <v>17</v>
      </c>
      <c r="M88" s="150">
        <f>'採算表(VND)'!M88</f>
        <v>17</v>
      </c>
      <c r="N88" s="150">
        <f>'採算表(VND)'!N88</f>
        <v>17</v>
      </c>
      <c r="O88" s="150">
        <f>SUM(C88:N88)</f>
        <v>203</v>
      </c>
    </row>
    <row r="89" spans="1:15">
      <c r="A89" s="44"/>
      <c r="B89" s="60" t="s">
        <v>18</v>
      </c>
      <c r="C89" s="151">
        <f t="shared" ref="C89:O89" si="11">C87+C88</f>
        <v>17</v>
      </c>
      <c r="D89" s="151">
        <f t="shared" si="11"/>
        <v>18</v>
      </c>
      <c r="E89" s="151">
        <f t="shared" si="11"/>
        <v>18</v>
      </c>
      <c r="F89" s="151">
        <f t="shared" si="11"/>
        <v>18</v>
      </c>
      <c r="G89" s="151">
        <f t="shared" si="11"/>
        <v>18</v>
      </c>
      <c r="H89" s="151">
        <f t="shared" si="11"/>
        <v>18</v>
      </c>
      <c r="I89" s="151">
        <f t="shared" si="11"/>
        <v>18</v>
      </c>
      <c r="J89" s="151">
        <f t="shared" si="11"/>
        <v>18</v>
      </c>
      <c r="K89" s="151">
        <f t="shared" si="11"/>
        <v>18</v>
      </c>
      <c r="L89" s="151">
        <f t="shared" si="11"/>
        <v>18</v>
      </c>
      <c r="M89" s="151">
        <f t="shared" si="11"/>
        <v>18</v>
      </c>
      <c r="N89" s="151">
        <f t="shared" si="11"/>
        <v>18</v>
      </c>
      <c r="O89" s="151">
        <f t="shared" si="11"/>
        <v>215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170</v>
      </c>
      <c r="D92" s="133">
        <f>'採算表(VND)'!D92</f>
        <v>161.5</v>
      </c>
      <c r="E92" s="133">
        <f>'採算表(VND)'!E92</f>
        <v>178.5</v>
      </c>
      <c r="F92" s="133">
        <f>'採算表(VND)'!F92</f>
        <v>195.5</v>
      </c>
      <c r="G92" s="133">
        <f>'採算表(VND)'!G92</f>
        <v>170</v>
      </c>
      <c r="H92" s="133">
        <f>'採算表(VND)'!H92</f>
        <v>161.5</v>
      </c>
      <c r="I92" s="133">
        <f>'採算表(VND)'!I92</f>
        <v>195.5</v>
      </c>
      <c r="J92" s="133">
        <f>'採算表(VND)'!J92</f>
        <v>170</v>
      </c>
      <c r="K92" s="133">
        <f>'採算表(VND)'!K92</f>
        <v>187</v>
      </c>
      <c r="L92" s="133">
        <f>'採算表(VND)'!L92</f>
        <v>170</v>
      </c>
      <c r="M92" s="133">
        <f>'採算表(VND)'!M92</f>
        <v>127.5</v>
      </c>
      <c r="N92" s="133">
        <f>'採算表(VND)'!N92</f>
        <v>170</v>
      </c>
      <c r="O92" s="133">
        <f>SUM(C92:N92)</f>
        <v>2057</v>
      </c>
    </row>
    <row r="93" spans="1:15">
      <c r="B93" s="59" t="s">
        <v>325</v>
      </c>
      <c r="C93" s="133">
        <f>'採算表(VND)'!C93</f>
        <v>2597</v>
      </c>
      <c r="D93" s="133">
        <f>'採算表(VND)'!D93</f>
        <v>2548</v>
      </c>
      <c r="E93" s="133">
        <f>'採算表(VND)'!E93</f>
        <v>2801</v>
      </c>
      <c r="F93" s="133">
        <f>'採算表(VND)'!F93</f>
        <v>2994.5</v>
      </c>
      <c r="G93" s="133">
        <f>'採算表(VND)'!G93</f>
        <v>2597</v>
      </c>
      <c r="H93" s="133">
        <f>'採算表(VND)'!H93</f>
        <v>2454.5</v>
      </c>
      <c r="I93" s="133">
        <f>'採算表(VND)'!I93</f>
        <v>2994.5</v>
      </c>
      <c r="J93" s="133">
        <f>'採算表(VND)'!J93</f>
        <v>2597</v>
      </c>
      <c r="K93" s="133">
        <f>'採算表(VND)'!K93</f>
        <v>2934.5</v>
      </c>
      <c r="L93" s="133">
        <f>'採算表(VND)'!L93</f>
        <v>2739.5</v>
      </c>
      <c r="M93" s="133">
        <f>'採算表(VND)'!M93</f>
        <v>2019.5</v>
      </c>
      <c r="N93" s="133">
        <f>'採算表(VND)'!N93</f>
        <v>2732</v>
      </c>
      <c r="O93" s="133">
        <f>SUM(C93:N93)</f>
        <v>32009</v>
      </c>
    </row>
    <row r="94" spans="1:15">
      <c r="B94" s="61" t="s">
        <v>18</v>
      </c>
      <c r="C94" s="147">
        <f t="shared" ref="C94:O94" si="12">C92+C93</f>
        <v>2767</v>
      </c>
      <c r="D94" s="147">
        <f t="shared" si="12"/>
        <v>2709.5</v>
      </c>
      <c r="E94" s="147">
        <f t="shared" si="12"/>
        <v>2979.5</v>
      </c>
      <c r="F94" s="147">
        <f t="shared" si="12"/>
        <v>3190</v>
      </c>
      <c r="G94" s="147">
        <f t="shared" si="12"/>
        <v>2767</v>
      </c>
      <c r="H94" s="147">
        <f t="shared" si="12"/>
        <v>2616</v>
      </c>
      <c r="I94" s="147">
        <f t="shared" si="12"/>
        <v>3190</v>
      </c>
      <c r="J94" s="147">
        <f t="shared" si="12"/>
        <v>2767</v>
      </c>
      <c r="K94" s="147">
        <f t="shared" si="12"/>
        <v>3121.5</v>
      </c>
      <c r="L94" s="147">
        <f t="shared" si="12"/>
        <v>2909.5</v>
      </c>
      <c r="M94" s="147">
        <f t="shared" si="12"/>
        <v>2147</v>
      </c>
      <c r="N94" s="147">
        <f t="shared" si="12"/>
        <v>2902</v>
      </c>
      <c r="O94" s="147">
        <f t="shared" si="12"/>
        <v>34066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40</v>
      </c>
      <c r="D97" s="133">
        <f>'採算表(VND)'!D97</f>
        <v>38</v>
      </c>
      <c r="E97" s="133">
        <f>'採算表(VND)'!E97</f>
        <v>42</v>
      </c>
      <c r="F97" s="133">
        <f>'採算表(VND)'!F97</f>
        <v>46</v>
      </c>
      <c r="G97" s="133">
        <f>'採算表(VND)'!G97</f>
        <v>40</v>
      </c>
      <c r="H97" s="133">
        <f>'採算表(VND)'!H97</f>
        <v>38</v>
      </c>
      <c r="I97" s="133">
        <f>'採算表(VND)'!I97</f>
        <v>46</v>
      </c>
      <c r="J97" s="133">
        <f>'採算表(VND)'!J97</f>
        <v>40</v>
      </c>
      <c r="K97" s="133">
        <f>'採算表(VND)'!K97</f>
        <v>44</v>
      </c>
      <c r="L97" s="133">
        <f>'採算表(VND)'!L97</f>
        <v>40</v>
      </c>
      <c r="M97" s="133">
        <f>'採算表(VND)'!M97</f>
        <v>30</v>
      </c>
      <c r="N97" s="133">
        <f>'採算表(VND)'!N97</f>
        <v>40</v>
      </c>
      <c r="O97" s="133">
        <f>SUM(C97:N97)</f>
        <v>484</v>
      </c>
    </row>
    <row r="98" spans="2:15">
      <c r="B98" s="59" t="s">
        <v>327</v>
      </c>
      <c r="C98" s="133">
        <f>'採算表(VND)'!C98</f>
        <v>136.5</v>
      </c>
      <c r="D98" s="133">
        <f>'採算表(VND)'!D98</f>
        <v>155.5</v>
      </c>
      <c r="E98" s="133">
        <f>'採算表(VND)'!E98</f>
        <v>143.5</v>
      </c>
      <c r="F98" s="133">
        <f>'採算表(VND)'!F98</f>
        <v>157.5</v>
      </c>
      <c r="G98" s="133">
        <f>'採算表(VND)'!G98</f>
        <v>136.5</v>
      </c>
      <c r="H98" s="133">
        <f>'採算表(VND)'!H98</f>
        <v>213.5</v>
      </c>
      <c r="I98" s="133">
        <f>'採算表(VND)'!I98</f>
        <v>157.5</v>
      </c>
      <c r="J98" s="133">
        <f>'採算表(VND)'!J98</f>
        <v>206.5</v>
      </c>
      <c r="K98" s="133">
        <f>'採算表(VND)'!K98</f>
        <v>150.5</v>
      </c>
      <c r="L98" s="133">
        <f>'採算表(VND)'!L98</f>
        <v>136.5</v>
      </c>
      <c r="M98" s="133">
        <f>'採算表(VND)'!M98</f>
        <v>101.5</v>
      </c>
      <c r="N98" s="133">
        <f>'採算表(VND)'!N98</f>
        <v>136.5</v>
      </c>
      <c r="O98" s="133">
        <f>SUM(C98:N98)</f>
        <v>1832</v>
      </c>
    </row>
    <row r="99" spans="2:15">
      <c r="B99" s="61" t="s">
        <v>18</v>
      </c>
      <c r="C99" s="147">
        <f t="shared" ref="C99:O99" si="13">C97+C98</f>
        <v>176.5</v>
      </c>
      <c r="D99" s="147">
        <f t="shared" si="13"/>
        <v>193.5</v>
      </c>
      <c r="E99" s="147">
        <f t="shared" si="13"/>
        <v>185.5</v>
      </c>
      <c r="F99" s="147">
        <f t="shared" si="13"/>
        <v>203.5</v>
      </c>
      <c r="G99" s="147">
        <f t="shared" si="13"/>
        <v>176.5</v>
      </c>
      <c r="H99" s="147">
        <f t="shared" si="13"/>
        <v>251.5</v>
      </c>
      <c r="I99" s="147">
        <f t="shared" si="13"/>
        <v>203.5</v>
      </c>
      <c r="J99" s="147">
        <f t="shared" si="13"/>
        <v>246.5</v>
      </c>
      <c r="K99" s="147">
        <f t="shared" si="13"/>
        <v>194.5</v>
      </c>
      <c r="L99" s="147">
        <f t="shared" si="13"/>
        <v>176.5</v>
      </c>
      <c r="M99" s="147">
        <f t="shared" si="13"/>
        <v>131.5</v>
      </c>
      <c r="N99" s="147">
        <f t="shared" si="13"/>
        <v>176.5</v>
      </c>
      <c r="O99" s="147">
        <f t="shared" si="13"/>
        <v>2316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BA69A-C092-44E4-9229-A9ABC4787C3B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26953125" style="19" bestFit="1" customWidth="1"/>
    <col min="44" max="46" width="11.7265625" style="19" bestFit="1" customWidth="1"/>
    <col min="47" max="47" width="9" style="19"/>
    <col min="48" max="51" width="14.36328125" style="19" bestFit="1" customWidth="1"/>
    <col min="52" max="52" width="9" style="19"/>
    <col min="53" max="56" width="14.7265625" style="19" bestFit="1" customWidth="1"/>
    <col min="57" max="57" width="9" style="19"/>
    <col min="58" max="58" width="15.26953125" style="19" bestFit="1" customWidth="1"/>
    <col min="59" max="60" width="11.7265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総務課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0">
        <v>2</v>
      </c>
      <c r="D3" s="250">
        <v>3</v>
      </c>
      <c r="E3" s="250">
        <v>4</v>
      </c>
      <c r="F3" s="250">
        <v>5</v>
      </c>
      <c r="G3" s="250">
        <v>6</v>
      </c>
      <c r="H3" s="250">
        <v>7</v>
      </c>
      <c r="I3" s="250">
        <v>8</v>
      </c>
      <c r="J3" s="250">
        <v>9</v>
      </c>
      <c r="K3" s="250">
        <v>10</v>
      </c>
      <c r="L3" s="250">
        <v>11</v>
      </c>
      <c r="M3" s="250">
        <v>12</v>
      </c>
      <c r="N3" s="250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SUMIF('内訳ﾘｽﾄ(4～3月)'!$D$26:$D$973,'採算表(VND)'!$B6,'内訳ﾘｽﾄ(4～3月)'!F$26:F$973)</f>
        <v>0</v>
      </c>
      <c r="D6" s="153">
        <f>SUMIF('内訳ﾘｽﾄ(4～3月)'!$D$26:$D$973,'採算表(VND)'!$B6,'内訳ﾘｽﾄ(4～3月)'!G$26:G$973)</f>
        <v>0</v>
      </c>
      <c r="E6" s="153">
        <f>SUMIF('内訳ﾘｽﾄ(4～3月)'!$D$26:$D$973,'採算表(VND)'!$B6,'内訳ﾘｽﾄ(4～3月)'!H$26:H$973)</f>
        <v>0</v>
      </c>
      <c r="F6" s="153">
        <f>SUMIF('内訳ﾘｽﾄ(4～3月)'!$D$26:$D$973,'採算表(VND)'!$B6,'内訳ﾘｽﾄ(4～3月)'!I$26:I$973)</f>
        <v>0</v>
      </c>
      <c r="G6" s="153">
        <f>SUMIF('内訳ﾘｽﾄ(4～3月)'!$D$26:$D$973,'採算表(VND)'!$B6,'内訳ﾘｽﾄ(4～3月)'!J$26:J$973)</f>
        <v>0</v>
      </c>
      <c r="H6" s="153">
        <f>SUMIF('内訳ﾘｽﾄ(4～3月)'!$D$26:$D$973,'採算表(VND)'!$B6,'内訳ﾘｽﾄ(4～3月)'!K$26:K$973)</f>
        <v>0</v>
      </c>
      <c r="I6" s="153">
        <f>SUMIF('内訳ﾘｽﾄ(4～3月)'!$D$26:$D$973,'採算表(VND)'!$B6,'内訳ﾘｽﾄ(4～3月)'!L$26:L$973)</f>
        <v>0</v>
      </c>
      <c r="J6" s="153">
        <f>SUMIF('内訳ﾘｽﾄ(4～3月)'!$D$26:$D$973,'採算表(VND)'!$B6,'内訳ﾘｽﾄ(4～3月)'!M$26:M$973)</f>
        <v>0</v>
      </c>
      <c r="K6" s="153">
        <f>SUMIF('内訳ﾘｽﾄ(4～3月)'!$D$26:$D$973,'採算表(VND)'!$B6,'内訳ﾘｽﾄ(4～3月)'!N$26:N$973)</f>
        <v>0</v>
      </c>
      <c r="L6" s="153">
        <f>SUMIF('内訳ﾘｽﾄ(4～3月)'!$D$26:$D$973,'採算表(VND)'!$B6,'内訳ﾘｽﾄ(4～3月)'!O$26:O$973)</f>
        <v>0</v>
      </c>
      <c r="M6" s="153">
        <f>SUMIF('内訳ﾘｽﾄ(4～3月)'!$D$26:$D$973,'採算表(VND)'!$B6,'内訳ﾘｽﾄ(4～3月)'!P$26:P$973)</f>
        <v>0</v>
      </c>
      <c r="N6" s="153">
        <f>SUMIF('内訳ﾘｽﾄ(4～3月)'!$D$26:$D$973,'採算表(VND)'!$B6,'内訳ﾘｽﾄ(4～3月)'!Q$26:Q$973)</f>
        <v>0</v>
      </c>
      <c r="O6" s="153">
        <f>SUMIF('内訳ﾘｽﾄ(4～3月)'!$D$26:$D$772,'採算表(VND)'!$B6,'内訳ﾘｽﾄ(4～3月)'!R$26:R$772)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SUMIF('内訳ﾘｽﾄ(4～3月)'!$D$26:$D$973,'採算表(VND)'!$B7,'内訳ﾘｽﾄ(4～3月)'!F$26:F$973)</f>
        <v>0</v>
      </c>
      <c r="D7" s="154">
        <f>SUMIF('内訳ﾘｽﾄ(4～3月)'!$D$26:$D$973,'採算表(VND)'!$B7,'内訳ﾘｽﾄ(4～3月)'!G$26:G$973)</f>
        <v>0</v>
      </c>
      <c r="E7" s="154">
        <f>SUMIF('内訳ﾘｽﾄ(4～3月)'!$D$26:$D$973,'採算表(VND)'!$B7,'内訳ﾘｽﾄ(4～3月)'!H$26:H$973)</f>
        <v>0</v>
      </c>
      <c r="F7" s="154">
        <f>SUMIF('内訳ﾘｽﾄ(4～3月)'!$D$26:$D$973,'採算表(VND)'!$B7,'内訳ﾘｽﾄ(4～3月)'!I$26:I$973)</f>
        <v>0</v>
      </c>
      <c r="G7" s="154">
        <f>SUMIF('内訳ﾘｽﾄ(4～3月)'!$D$26:$D$973,'採算表(VND)'!$B7,'内訳ﾘｽﾄ(4～3月)'!J$26:J$973)</f>
        <v>0</v>
      </c>
      <c r="H7" s="154">
        <f>SUMIF('内訳ﾘｽﾄ(4～3月)'!$D$26:$D$973,'採算表(VND)'!$B7,'内訳ﾘｽﾄ(4～3月)'!K$26:K$973)</f>
        <v>0</v>
      </c>
      <c r="I7" s="154">
        <f>SUMIF('内訳ﾘｽﾄ(4～3月)'!$D$26:$D$973,'採算表(VND)'!$B7,'内訳ﾘｽﾄ(4～3月)'!L$26:L$973)</f>
        <v>0</v>
      </c>
      <c r="J7" s="154">
        <f>SUMIF('内訳ﾘｽﾄ(4～3月)'!$D$26:$D$973,'採算表(VND)'!$B7,'内訳ﾘｽﾄ(4～3月)'!M$26:M$973)</f>
        <v>0</v>
      </c>
      <c r="K7" s="154">
        <f>SUMIF('内訳ﾘｽﾄ(4～3月)'!$D$26:$D$973,'採算表(VND)'!$B7,'内訳ﾘｽﾄ(4～3月)'!N$26:N$973)</f>
        <v>0</v>
      </c>
      <c r="L7" s="154">
        <f>SUMIF('内訳ﾘｽﾄ(4～3月)'!$D$26:$D$973,'採算表(VND)'!$B7,'内訳ﾘｽﾄ(4～3月)'!O$26:O$973)</f>
        <v>0</v>
      </c>
      <c r="M7" s="154">
        <f>SUMIF('内訳ﾘｽﾄ(4～3月)'!$D$26:$D$973,'採算表(VND)'!$B7,'内訳ﾘｽﾄ(4～3月)'!P$26:P$973)</f>
        <v>0</v>
      </c>
      <c r="N7" s="154">
        <f>SUMIF('内訳ﾘｽﾄ(4～3月)'!$D$26:$D$973,'採算表(VND)'!$B7,'内訳ﾘｽﾄ(4～3月)'!Q$26:Q$973)</f>
        <v>0</v>
      </c>
      <c r="O7" s="154">
        <f>SUMIF('内訳ﾘｽﾄ(4～3月)'!$D$26:$D$772,'採算表(VND)'!$B7,'内訳ﾘｽﾄ(4～3月)'!R$26:R$772)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SUMIF('内訳ﾘｽﾄ(4～3月)'!$D$26:$D$973,'採算表(VND)'!$B9,'内訳ﾘｽﾄ(4～3月)'!F$26:F$973)</f>
        <v>0</v>
      </c>
      <c r="D9" s="150">
        <f>SUMIF('内訳ﾘｽﾄ(4～3月)'!$D$26:$D$973,'採算表(VND)'!$B9,'内訳ﾘｽﾄ(4～3月)'!G$26:G$973)</f>
        <v>0</v>
      </c>
      <c r="E9" s="150">
        <f>SUMIF('内訳ﾘｽﾄ(4～3月)'!$D$26:$D$973,'採算表(VND)'!$B9,'内訳ﾘｽﾄ(4～3月)'!H$26:H$973)</f>
        <v>0</v>
      </c>
      <c r="F9" s="150">
        <f>SUMIF('内訳ﾘｽﾄ(4～3月)'!$D$26:$D$973,'採算表(VND)'!$B9,'内訳ﾘｽﾄ(4～3月)'!I$26:I$973)</f>
        <v>0</v>
      </c>
      <c r="G9" s="150">
        <f>SUMIF('内訳ﾘｽﾄ(4～3月)'!$D$26:$D$973,'採算表(VND)'!$B9,'内訳ﾘｽﾄ(4～3月)'!J$26:J$973)</f>
        <v>0</v>
      </c>
      <c r="H9" s="150">
        <f>SUMIF('内訳ﾘｽﾄ(4～3月)'!$D$26:$D$973,'採算表(VND)'!$B9,'内訳ﾘｽﾄ(4～3月)'!K$26:K$973)</f>
        <v>0</v>
      </c>
      <c r="I9" s="150">
        <f>SUMIF('内訳ﾘｽﾄ(4～3月)'!$D$26:$D$973,'採算表(VND)'!$B9,'内訳ﾘｽﾄ(4～3月)'!L$26:L$973)</f>
        <v>0</v>
      </c>
      <c r="J9" s="150">
        <f>SUMIF('内訳ﾘｽﾄ(4～3月)'!$D$26:$D$973,'採算表(VND)'!$B9,'内訳ﾘｽﾄ(4～3月)'!M$26:M$973)</f>
        <v>0</v>
      </c>
      <c r="K9" s="150">
        <f>SUMIF('内訳ﾘｽﾄ(4～3月)'!$D$26:$D$973,'採算表(VND)'!$B9,'内訳ﾘｽﾄ(4～3月)'!N$26:N$973)</f>
        <v>0</v>
      </c>
      <c r="L9" s="150">
        <f>SUMIF('内訳ﾘｽﾄ(4～3月)'!$D$26:$D$973,'採算表(VND)'!$B9,'内訳ﾘｽﾄ(4～3月)'!O$26:O$973)</f>
        <v>0</v>
      </c>
      <c r="M9" s="150">
        <f>SUMIF('内訳ﾘｽﾄ(4～3月)'!$D$26:$D$973,'採算表(VND)'!$B9,'内訳ﾘｽﾄ(4～3月)'!P$26:P$973)</f>
        <v>0</v>
      </c>
      <c r="N9" s="150">
        <f>SUMIF('内訳ﾘｽﾄ(4～3月)'!$D$26:$D$973,'採算表(VND)'!$B9,'内訳ﾘｽﾄ(4～3月)'!Q$26:Q$973)</f>
        <v>0</v>
      </c>
      <c r="O9" s="150">
        <f>SUMIF('内訳ﾘｽﾄ(4～3月)'!$D$26:$D$772,'採算表(VND)'!$B9,'内訳ﾘｽﾄ(4～3月)'!R$26:R$772)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SUMIF('内訳ﾘｽﾄ(4～3月)'!$D$26:$D$973,'採算表(VND)'!$B10,'内訳ﾘｽﾄ(4～3月)'!F$26:F$973)</f>
        <v>0</v>
      </c>
      <c r="D10" s="150">
        <f>SUMIF('内訳ﾘｽﾄ(4～3月)'!$D$26:$D$973,'採算表(VND)'!$B10,'内訳ﾘｽﾄ(4～3月)'!G$26:G$973)</f>
        <v>0</v>
      </c>
      <c r="E10" s="150">
        <f>SUMIF('内訳ﾘｽﾄ(4～3月)'!$D$26:$D$973,'採算表(VND)'!$B10,'内訳ﾘｽﾄ(4～3月)'!H$26:H$973)</f>
        <v>0</v>
      </c>
      <c r="F10" s="150">
        <f>SUMIF('内訳ﾘｽﾄ(4～3月)'!$D$26:$D$973,'採算表(VND)'!$B10,'内訳ﾘｽﾄ(4～3月)'!I$26:I$973)</f>
        <v>0</v>
      </c>
      <c r="G10" s="150">
        <f>SUMIF('内訳ﾘｽﾄ(4～3月)'!$D$26:$D$973,'採算表(VND)'!$B10,'内訳ﾘｽﾄ(4～3月)'!J$26:J$973)</f>
        <v>0</v>
      </c>
      <c r="H10" s="150">
        <f>SUMIF('内訳ﾘｽﾄ(4～3月)'!$D$26:$D$973,'採算表(VND)'!$B10,'内訳ﾘｽﾄ(4～3月)'!K$26:K$973)</f>
        <v>0</v>
      </c>
      <c r="I10" s="150">
        <f>SUMIF('内訳ﾘｽﾄ(4～3月)'!$D$26:$D$973,'採算表(VND)'!$B10,'内訳ﾘｽﾄ(4～3月)'!L$26:L$973)</f>
        <v>0</v>
      </c>
      <c r="J10" s="150">
        <f>SUMIF('内訳ﾘｽﾄ(4～3月)'!$D$26:$D$973,'採算表(VND)'!$B10,'内訳ﾘｽﾄ(4～3月)'!M$26:M$973)</f>
        <v>0</v>
      </c>
      <c r="K10" s="150">
        <f>SUMIF('内訳ﾘｽﾄ(4～3月)'!$D$26:$D$973,'採算表(VND)'!$B10,'内訳ﾘｽﾄ(4～3月)'!N$26:N$973)</f>
        <v>0</v>
      </c>
      <c r="L10" s="150">
        <f>SUMIF('内訳ﾘｽﾄ(4～3月)'!$D$26:$D$973,'採算表(VND)'!$B10,'内訳ﾘｽﾄ(4～3月)'!O$26:O$973)</f>
        <v>0</v>
      </c>
      <c r="M10" s="150">
        <f>SUMIF('内訳ﾘｽﾄ(4～3月)'!$D$26:$D$973,'採算表(VND)'!$B10,'内訳ﾘｽﾄ(4～3月)'!P$26:P$973)</f>
        <v>0</v>
      </c>
      <c r="N10" s="150">
        <f>SUMIF('内訳ﾘｽﾄ(4～3月)'!$D$26:$D$973,'採算表(VND)'!$B10,'内訳ﾘｽﾄ(4～3月)'!Q$26:Q$973)</f>
        <v>0</v>
      </c>
      <c r="O10" s="150">
        <f>SUMIF('内訳ﾘｽﾄ(4～3月)'!$D$26:$D$772,'採算表(VND)'!$B10,'内訳ﾘｽﾄ(4～3月)'!R$26:R$772)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 ca="1">SUM(C14:C65)</f>
        <v>0</v>
      </c>
      <c r="D13" s="150">
        <f t="shared" ref="D13:N13" ca="1" si="3">SUM(D14:D65)</f>
        <v>0</v>
      </c>
      <c r="E13" s="150">
        <f t="shared" ca="1" si="3"/>
        <v>0</v>
      </c>
      <c r="F13" s="150">
        <f t="shared" ca="1" si="3"/>
        <v>0</v>
      </c>
      <c r="G13" s="150">
        <f t="shared" ca="1" si="3"/>
        <v>0</v>
      </c>
      <c r="H13" s="150">
        <f t="shared" ca="1" si="3"/>
        <v>0</v>
      </c>
      <c r="I13" s="150">
        <f t="shared" ca="1" si="3"/>
        <v>0</v>
      </c>
      <c r="J13" s="150">
        <f t="shared" ca="1" si="3"/>
        <v>0</v>
      </c>
      <c r="K13" s="150">
        <f t="shared" ca="1" si="3"/>
        <v>0</v>
      </c>
      <c r="L13" s="150">
        <f t="shared" ca="1" si="3"/>
        <v>0</v>
      </c>
      <c r="M13" s="150">
        <f t="shared" ca="1" si="3"/>
        <v>0</v>
      </c>
      <c r="N13" s="150">
        <f t="shared" ca="1" si="3"/>
        <v>0</v>
      </c>
      <c r="O13" s="150">
        <f ca="1"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SUMIF('内訳ﾘｽﾄ(4～3月)'!$D$26:$D$973,$B14,'内訳ﾘｽﾄ(4～3月)'!F$26:F$973)</f>
        <v>0</v>
      </c>
      <c r="D14" s="157">
        <f>SUMIF('内訳ﾘｽﾄ(4～3月)'!$D$26:$D$973,$B14,'内訳ﾘｽﾄ(4～3月)'!G$26:G$973)</f>
        <v>0</v>
      </c>
      <c r="E14" s="157">
        <f>SUMIF('内訳ﾘｽﾄ(4～3月)'!$D$26:$D$973,$B14,'内訳ﾘｽﾄ(4～3月)'!H$26:H$973)</f>
        <v>0</v>
      </c>
      <c r="F14" s="157">
        <f>SUMIF('内訳ﾘｽﾄ(4～3月)'!$D$26:$D$973,$B14,'内訳ﾘｽﾄ(4～3月)'!I$26:I$973)</f>
        <v>0</v>
      </c>
      <c r="G14" s="157">
        <f>SUMIF('内訳ﾘｽﾄ(4～3月)'!$D$26:$D$973,$B14,'内訳ﾘｽﾄ(4～3月)'!J$26:J$973)</f>
        <v>0</v>
      </c>
      <c r="H14" s="157">
        <f>SUMIF('内訳ﾘｽﾄ(4～3月)'!$D$26:$D$973,$B14,'内訳ﾘｽﾄ(4～3月)'!K$26:K$973)</f>
        <v>0</v>
      </c>
      <c r="I14" s="157">
        <f>SUMIF('内訳ﾘｽﾄ(4～3月)'!$D$26:$D$973,$B14,'内訳ﾘｽﾄ(4～3月)'!L$26:L$973)</f>
        <v>0</v>
      </c>
      <c r="J14" s="157">
        <f>SUMIF('内訳ﾘｽﾄ(4～3月)'!$D$26:$D$973,$B14,'内訳ﾘｽﾄ(4～3月)'!M$26:M$973)</f>
        <v>0</v>
      </c>
      <c r="K14" s="157">
        <f>SUMIF('内訳ﾘｽﾄ(4～3月)'!$D$26:$D$973,$B14,'内訳ﾘｽﾄ(4～3月)'!N$26:N$973)</f>
        <v>0</v>
      </c>
      <c r="L14" s="157">
        <f>SUMIF('内訳ﾘｽﾄ(4～3月)'!$D$26:$D$973,$B14,'内訳ﾘｽﾄ(4～3月)'!O$26:O$973)</f>
        <v>0</v>
      </c>
      <c r="M14" s="157">
        <f>SUMIF('内訳ﾘｽﾄ(4～3月)'!$D$26:$D$973,$B14,'内訳ﾘｽﾄ(4～3月)'!P$26:P$973)</f>
        <v>0</v>
      </c>
      <c r="N14" s="157">
        <f>SUMIF('内訳ﾘｽﾄ(4～3月)'!$D$26:$D$973,$B14,'内訳ﾘｽﾄ(4～3月)'!Q$26:Q$973)</f>
        <v>0</v>
      </c>
      <c r="O14" s="157">
        <f>SUMIF('内訳ﾘｽﾄ(4～3月)'!$D$26:$D$772,'採算表(VND)'!$B14,'内訳ﾘｽﾄ(4～3月)'!R$26:R$772)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SUMIF('内訳ﾘｽﾄ(4～3月)'!$D$26:$D$973,$B15,'内訳ﾘｽﾄ(4～3月)'!F$26:F$973)</f>
        <v>0</v>
      </c>
      <c r="D15" s="157">
        <f>SUMIF('内訳ﾘｽﾄ(4～3月)'!$D$26:$D$973,$B15,'内訳ﾘｽﾄ(4～3月)'!G$26:G$973)</f>
        <v>0</v>
      </c>
      <c r="E15" s="157">
        <f>SUMIF('内訳ﾘｽﾄ(4～3月)'!$D$26:$D$973,$B15,'内訳ﾘｽﾄ(4～3月)'!H$26:H$973)</f>
        <v>0</v>
      </c>
      <c r="F15" s="157">
        <f>SUMIF('内訳ﾘｽﾄ(4～3月)'!$D$26:$D$973,$B15,'内訳ﾘｽﾄ(4～3月)'!I$26:I$973)</f>
        <v>0</v>
      </c>
      <c r="G15" s="157">
        <f>SUMIF('内訳ﾘｽﾄ(4～3月)'!$D$26:$D$973,$B15,'内訳ﾘｽﾄ(4～3月)'!J$26:J$973)</f>
        <v>0</v>
      </c>
      <c r="H15" s="157">
        <f>SUMIF('内訳ﾘｽﾄ(4～3月)'!$D$26:$D$973,$B15,'内訳ﾘｽﾄ(4～3月)'!K$26:K$973)</f>
        <v>0</v>
      </c>
      <c r="I15" s="157">
        <f>SUMIF('内訳ﾘｽﾄ(4～3月)'!$D$26:$D$973,$B15,'内訳ﾘｽﾄ(4～3月)'!L$26:L$973)</f>
        <v>0</v>
      </c>
      <c r="J15" s="157">
        <f>SUMIF('内訳ﾘｽﾄ(4～3月)'!$D$26:$D$973,$B15,'内訳ﾘｽﾄ(4～3月)'!M$26:M$973)</f>
        <v>0</v>
      </c>
      <c r="K15" s="157">
        <f>SUMIF('内訳ﾘｽﾄ(4～3月)'!$D$26:$D$973,$B15,'内訳ﾘｽﾄ(4～3月)'!N$26:N$973)</f>
        <v>0</v>
      </c>
      <c r="L15" s="157">
        <f>SUMIF('内訳ﾘｽﾄ(4～3月)'!$D$26:$D$973,$B15,'内訳ﾘｽﾄ(4～3月)'!O$26:O$973)</f>
        <v>0</v>
      </c>
      <c r="M15" s="157">
        <f>SUMIF('内訳ﾘｽﾄ(4～3月)'!$D$26:$D$973,$B15,'内訳ﾘｽﾄ(4～3月)'!P$26:P$973)</f>
        <v>0</v>
      </c>
      <c r="N15" s="157">
        <f>SUMIF('内訳ﾘｽﾄ(4～3月)'!$D$26:$D$973,$B15,'内訳ﾘｽﾄ(4～3月)'!Q$26:Q$973)</f>
        <v>0</v>
      </c>
      <c r="O15" s="157">
        <f>SUMIF('内訳ﾘｽﾄ(4～3月)'!$D$26:$D$772,'採算表(VND)'!$B15,'内訳ﾘｽﾄ(4～3月)'!R$26:R$772)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SUMIF('内訳ﾘｽﾄ(4～3月)'!$D$26:$D$973,$B16,'内訳ﾘｽﾄ(4～3月)'!F$26:F$973)</f>
        <v>0</v>
      </c>
      <c r="D16" s="157">
        <f>SUMIF('内訳ﾘｽﾄ(4～3月)'!$D$26:$D$973,$B16,'内訳ﾘｽﾄ(4～3月)'!G$26:G$973)</f>
        <v>0</v>
      </c>
      <c r="E16" s="157">
        <f>SUMIF('内訳ﾘｽﾄ(4～3月)'!$D$26:$D$973,$B16,'内訳ﾘｽﾄ(4～3月)'!H$26:H$973)</f>
        <v>0</v>
      </c>
      <c r="F16" s="157">
        <f>SUMIF('内訳ﾘｽﾄ(4～3月)'!$D$26:$D$973,$B16,'内訳ﾘｽﾄ(4～3月)'!I$26:I$973)</f>
        <v>0</v>
      </c>
      <c r="G16" s="157">
        <f>SUMIF('内訳ﾘｽﾄ(4～3月)'!$D$26:$D$973,$B16,'内訳ﾘｽﾄ(4～3月)'!J$26:J$973)</f>
        <v>0</v>
      </c>
      <c r="H16" s="157">
        <f>SUMIF('内訳ﾘｽﾄ(4～3月)'!$D$26:$D$973,$B16,'内訳ﾘｽﾄ(4～3月)'!K$26:K$973)</f>
        <v>0</v>
      </c>
      <c r="I16" s="157">
        <f>SUMIF('内訳ﾘｽﾄ(4～3月)'!$D$26:$D$973,$B16,'内訳ﾘｽﾄ(4～3月)'!L$26:L$973)</f>
        <v>0</v>
      </c>
      <c r="J16" s="157">
        <f>SUMIF('内訳ﾘｽﾄ(4～3月)'!$D$26:$D$973,$B16,'内訳ﾘｽﾄ(4～3月)'!M$26:M$973)</f>
        <v>0</v>
      </c>
      <c r="K16" s="157">
        <f>SUMIF('内訳ﾘｽﾄ(4～3月)'!$D$26:$D$973,$B16,'内訳ﾘｽﾄ(4～3月)'!N$26:N$973)</f>
        <v>0</v>
      </c>
      <c r="L16" s="157">
        <f>SUMIF('内訳ﾘｽﾄ(4～3月)'!$D$26:$D$973,$B16,'内訳ﾘｽﾄ(4～3月)'!O$26:O$973)</f>
        <v>0</v>
      </c>
      <c r="M16" s="157">
        <f>SUMIF('内訳ﾘｽﾄ(4～3月)'!$D$26:$D$973,$B16,'内訳ﾘｽﾄ(4～3月)'!P$26:P$973)</f>
        <v>0</v>
      </c>
      <c r="N16" s="157">
        <f>SUMIF('内訳ﾘｽﾄ(4～3月)'!$D$26:$D$973,$B16,'内訳ﾘｽﾄ(4～3月)'!Q$26:Q$973)</f>
        <v>0</v>
      </c>
      <c r="O16" s="157">
        <f>SUMIF('内訳ﾘｽﾄ(4～3月)'!$D$26:$D$772,'採算表(VND)'!$B16,'内訳ﾘｽﾄ(4～3月)'!R$26:R$772)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SUMIF('内訳ﾘｽﾄ(4～3月)'!$D$26:$D$973,$B17,'内訳ﾘｽﾄ(4～3月)'!F$26:F$973)</f>
        <v>0</v>
      </c>
      <c r="D17" s="158">
        <f>SUMIF('内訳ﾘｽﾄ(4～3月)'!$D$26:$D$973,$B17,'内訳ﾘｽﾄ(4～3月)'!G$26:G$973)</f>
        <v>0</v>
      </c>
      <c r="E17" s="158">
        <f>SUMIF('内訳ﾘｽﾄ(4～3月)'!$D$26:$D$973,$B17,'内訳ﾘｽﾄ(4～3月)'!H$26:H$973)</f>
        <v>0</v>
      </c>
      <c r="F17" s="158">
        <f>SUMIF('内訳ﾘｽﾄ(4～3月)'!$D$26:$D$973,$B17,'内訳ﾘｽﾄ(4～3月)'!I$26:I$973)</f>
        <v>0</v>
      </c>
      <c r="G17" s="158">
        <f>SUMIF('内訳ﾘｽﾄ(4～3月)'!$D$26:$D$973,$B17,'内訳ﾘｽﾄ(4～3月)'!J$26:J$973)</f>
        <v>0</v>
      </c>
      <c r="H17" s="158">
        <f>SUMIF('内訳ﾘｽﾄ(4～3月)'!$D$26:$D$973,$B17,'内訳ﾘｽﾄ(4～3月)'!K$26:K$973)</f>
        <v>0</v>
      </c>
      <c r="I17" s="158">
        <f>SUMIF('内訳ﾘｽﾄ(4～3月)'!$D$26:$D$973,$B17,'内訳ﾘｽﾄ(4～3月)'!L$26:L$973)</f>
        <v>0</v>
      </c>
      <c r="J17" s="158">
        <f>SUMIF('内訳ﾘｽﾄ(4～3月)'!$D$26:$D$973,$B17,'内訳ﾘｽﾄ(4～3月)'!M$26:M$973)</f>
        <v>0</v>
      </c>
      <c r="K17" s="158">
        <f>SUMIF('内訳ﾘｽﾄ(4～3月)'!$D$26:$D$973,$B17,'内訳ﾘｽﾄ(4～3月)'!N$26:N$973)</f>
        <v>0</v>
      </c>
      <c r="L17" s="158">
        <f>SUMIF('内訳ﾘｽﾄ(4～3月)'!$D$26:$D$973,$B17,'内訳ﾘｽﾄ(4～3月)'!O$26:O$973)</f>
        <v>0</v>
      </c>
      <c r="M17" s="158">
        <f>SUMIF('内訳ﾘｽﾄ(4～3月)'!$D$26:$D$973,$B17,'内訳ﾘｽﾄ(4～3月)'!P$26:P$973)</f>
        <v>0</v>
      </c>
      <c r="N17" s="158">
        <f>SUMIF('内訳ﾘｽﾄ(4～3月)'!$D$26:$D$973,$B17,'内訳ﾘｽﾄ(4～3月)'!Q$26:Q$973)</f>
        <v>0</v>
      </c>
      <c r="O17" s="158">
        <f>SUMIF('内訳ﾘｽﾄ(4～3月)'!$D$26:$D$772,'採算表(VND)'!$B17,'内訳ﾘｽﾄ(4～3月)'!R$26:R$772)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SUMIF('内訳ﾘｽﾄ(4～3月)'!$D$26:$D$973,$B18,'内訳ﾘｽﾄ(4～3月)'!F$26:F$973)</f>
        <v>0</v>
      </c>
      <c r="D18" s="158">
        <f>SUMIF('内訳ﾘｽﾄ(4～3月)'!$D$26:$D$973,$B18,'内訳ﾘｽﾄ(4～3月)'!G$26:G$973)</f>
        <v>0</v>
      </c>
      <c r="E18" s="158">
        <f>SUMIF('内訳ﾘｽﾄ(4～3月)'!$D$26:$D$973,$B18,'内訳ﾘｽﾄ(4～3月)'!H$26:H$973)</f>
        <v>0</v>
      </c>
      <c r="F18" s="158">
        <f>SUMIF('内訳ﾘｽﾄ(4～3月)'!$D$26:$D$973,$B18,'内訳ﾘｽﾄ(4～3月)'!I$26:I$973)</f>
        <v>0</v>
      </c>
      <c r="G18" s="158">
        <f>SUMIF('内訳ﾘｽﾄ(4～3月)'!$D$26:$D$973,$B18,'内訳ﾘｽﾄ(4～3月)'!J$26:J$973)</f>
        <v>0</v>
      </c>
      <c r="H18" s="158">
        <f>SUMIF('内訳ﾘｽﾄ(4～3月)'!$D$26:$D$973,$B18,'内訳ﾘｽﾄ(4～3月)'!K$26:K$973)</f>
        <v>0</v>
      </c>
      <c r="I18" s="158">
        <f>SUMIF('内訳ﾘｽﾄ(4～3月)'!$D$26:$D$973,$B18,'内訳ﾘｽﾄ(4～3月)'!L$26:L$973)</f>
        <v>0</v>
      </c>
      <c r="J18" s="158">
        <f>SUMIF('内訳ﾘｽﾄ(4～3月)'!$D$26:$D$973,$B18,'内訳ﾘｽﾄ(4～3月)'!M$26:M$973)</f>
        <v>0</v>
      </c>
      <c r="K18" s="158">
        <f>SUMIF('内訳ﾘｽﾄ(4～3月)'!$D$26:$D$973,$B18,'内訳ﾘｽﾄ(4～3月)'!N$26:N$973)</f>
        <v>0</v>
      </c>
      <c r="L18" s="158">
        <f>SUMIF('内訳ﾘｽﾄ(4～3月)'!$D$26:$D$973,$B18,'内訳ﾘｽﾄ(4～3月)'!O$26:O$973)</f>
        <v>0</v>
      </c>
      <c r="M18" s="158">
        <f>SUMIF('内訳ﾘｽﾄ(4～3月)'!$D$26:$D$973,$B18,'内訳ﾘｽﾄ(4～3月)'!P$26:P$973)</f>
        <v>0</v>
      </c>
      <c r="N18" s="158">
        <f>SUMIF('内訳ﾘｽﾄ(4～3月)'!$D$26:$D$973,$B18,'内訳ﾘｽﾄ(4～3月)'!Q$26:Q$973)</f>
        <v>0</v>
      </c>
      <c r="O18" s="158">
        <f>SUMIF('内訳ﾘｽﾄ(4～3月)'!$D$26:$D$772,'採算表(VND)'!$B18,'内訳ﾘｽﾄ(4～3月)'!R$26:R$772)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SUMIF('内訳ﾘｽﾄ(4～3月)'!$D$26:$D$973,$B19,'内訳ﾘｽﾄ(4～3月)'!F$26:F$973)</f>
        <v>0</v>
      </c>
      <c r="D19" s="158">
        <f>SUMIF('内訳ﾘｽﾄ(4～3月)'!$D$26:$D$973,$B19,'内訳ﾘｽﾄ(4～3月)'!G$26:G$973)</f>
        <v>0</v>
      </c>
      <c r="E19" s="158">
        <f>SUMIF('内訳ﾘｽﾄ(4～3月)'!$D$26:$D$973,$B19,'内訳ﾘｽﾄ(4～3月)'!H$26:H$973)</f>
        <v>0</v>
      </c>
      <c r="F19" s="158">
        <f>SUMIF('内訳ﾘｽﾄ(4～3月)'!$D$26:$D$973,$B19,'内訳ﾘｽﾄ(4～3月)'!I$26:I$973)</f>
        <v>0</v>
      </c>
      <c r="G19" s="158">
        <f>SUMIF('内訳ﾘｽﾄ(4～3月)'!$D$26:$D$973,$B19,'内訳ﾘｽﾄ(4～3月)'!J$26:J$973)</f>
        <v>0</v>
      </c>
      <c r="H19" s="158">
        <f>SUMIF('内訳ﾘｽﾄ(4～3月)'!$D$26:$D$973,$B19,'内訳ﾘｽﾄ(4～3月)'!K$26:K$973)</f>
        <v>0</v>
      </c>
      <c r="I19" s="158">
        <f>SUMIF('内訳ﾘｽﾄ(4～3月)'!$D$26:$D$973,$B19,'内訳ﾘｽﾄ(4～3月)'!L$26:L$973)</f>
        <v>0</v>
      </c>
      <c r="J19" s="158">
        <f>SUMIF('内訳ﾘｽﾄ(4～3月)'!$D$26:$D$973,$B19,'内訳ﾘｽﾄ(4～3月)'!M$26:M$973)</f>
        <v>0</v>
      </c>
      <c r="K19" s="158">
        <f>SUMIF('内訳ﾘｽﾄ(4～3月)'!$D$26:$D$973,$B19,'内訳ﾘｽﾄ(4～3月)'!N$26:N$973)</f>
        <v>0</v>
      </c>
      <c r="L19" s="158">
        <f>SUMIF('内訳ﾘｽﾄ(4～3月)'!$D$26:$D$973,$B19,'内訳ﾘｽﾄ(4～3月)'!O$26:O$973)</f>
        <v>0</v>
      </c>
      <c r="M19" s="158">
        <f>SUMIF('内訳ﾘｽﾄ(4～3月)'!$D$26:$D$973,$B19,'内訳ﾘｽﾄ(4～3月)'!P$26:P$973)</f>
        <v>0</v>
      </c>
      <c r="N19" s="158">
        <f>SUMIF('内訳ﾘｽﾄ(4～3月)'!$D$26:$D$973,$B19,'内訳ﾘｽﾄ(4～3月)'!Q$26:Q$973)</f>
        <v>0</v>
      </c>
      <c r="O19" s="158">
        <f>SUMIF('内訳ﾘｽﾄ(4～3月)'!$D$26:$D$772,'採算表(VND)'!$B19,'内訳ﾘｽﾄ(4～3月)'!R$26:R$772)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SUMIF('内訳ﾘｽﾄ(4～3月)'!$D$26:$D$973,$B20,'内訳ﾘｽﾄ(4～3月)'!F$26:F$973)</f>
        <v>532445568</v>
      </c>
      <c r="D20" s="158">
        <f>SUMIF('内訳ﾘｽﾄ(4～3月)'!$D$26:$D$973,$B20,'内訳ﾘｽﾄ(4～3月)'!G$26:G$973)</f>
        <v>532908428</v>
      </c>
      <c r="E20" s="158">
        <f>SUMIF('内訳ﾘｽﾄ(4～3月)'!$D$26:$D$973,$B20,'内訳ﾘｽﾄ(4～3月)'!H$26:H$973)</f>
        <v>532911221</v>
      </c>
      <c r="F20" s="158">
        <f>SUMIF('内訳ﾘｽﾄ(4～3月)'!$D$26:$D$973,$B20,'内訳ﾘｽﾄ(4～3月)'!I$26:I$973)</f>
        <v>534570966</v>
      </c>
      <c r="G20" s="158">
        <f>SUMIF('内訳ﾘｽﾄ(4～3月)'!$D$26:$D$973,$B20,'内訳ﾘｽﾄ(4～3月)'!J$26:J$973)</f>
        <v>534567919</v>
      </c>
      <c r="H20" s="158">
        <f>SUMIF('内訳ﾘｽﾄ(4～3月)'!$D$26:$D$973,$B20,'内訳ﾘｽﾄ(4～3月)'!K$26:K$973)</f>
        <v>534426242</v>
      </c>
      <c r="I20" s="158">
        <f>SUMIF('内訳ﾘｽﾄ(4～3月)'!$D$26:$D$973,$B20,'内訳ﾘｽﾄ(4～3月)'!L$26:L$973)</f>
        <v>538334779</v>
      </c>
      <c r="J20" s="158">
        <f>SUMIF('内訳ﾘｽﾄ(4～3月)'!$D$26:$D$973,$B20,'内訳ﾘｽﾄ(4～3月)'!M$26:M$973)</f>
        <v>538333256</v>
      </c>
      <c r="K20" s="158">
        <f>SUMIF('内訳ﾘｽﾄ(4～3月)'!$D$26:$D$973,$B20,'内訳ﾘｽﾄ(4～3月)'!N$26:N$973)</f>
        <v>538334018</v>
      </c>
      <c r="L20" s="158">
        <f>SUMIF('内訳ﾘｽﾄ(4～3月)'!$D$26:$D$973,$B20,'内訳ﾘｽﾄ(4～3月)'!O$26:O$973)</f>
        <v>538330718</v>
      </c>
      <c r="M20" s="158">
        <f>SUMIF('内訳ﾘｽﾄ(4～3月)'!$D$26:$D$973,$B20,'内訳ﾘｽﾄ(4～3月)'!P$26:P$973)</f>
        <v>538325386</v>
      </c>
      <c r="N20" s="158">
        <f>SUMIF('内訳ﾘｽﾄ(4～3月)'!$D$26:$D$973,$B20,'内訳ﾘｽﾄ(4～3月)'!Q$26:Q$973)</f>
        <v>538330718</v>
      </c>
      <c r="O20" s="158">
        <f>SUMIF('内訳ﾘｽﾄ(4～3月)'!$D$26:$D$772,'採算表(VND)'!$B20,'内訳ﾘｽﾄ(4～3月)'!R$26:R$772)</f>
        <v>6431819219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SUMIF('内訳ﾘｽﾄ(4～3月)'!$D$26:$D$973,$B21,'内訳ﾘｽﾄ(4～3月)'!F$26:F$973)</f>
        <v>0</v>
      </c>
      <c r="D21" s="158">
        <f>SUMIF('内訳ﾘｽﾄ(4～3月)'!$D$26:$D$973,$B21,'内訳ﾘｽﾄ(4～3月)'!G$26:G$973)</f>
        <v>0</v>
      </c>
      <c r="E21" s="158">
        <f>SUMIF('内訳ﾘｽﾄ(4～3月)'!$D$26:$D$973,$B21,'内訳ﾘｽﾄ(4～3月)'!H$26:H$973)</f>
        <v>0</v>
      </c>
      <c r="F21" s="158">
        <f>SUMIF('内訳ﾘｽﾄ(4～3月)'!$D$26:$D$973,$B21,'内訳ﾘｽﾄ(4～3月)'!I$26:I$973)</f>
        <v>0</v>
      </c>
      <c r="G21" s="158">
        <f>SUMIF('内訳ﾘｽﾄ(4～3月)'!$D$26:$D$973,$B21,'内訳ﾘｽﾄ(4～3月)'!J$26:J$973)</f>
        <v>0</v>
      </c>
      <c r="H21" s="158">
        <f>SUMIF('内訳ﾘｽﾄ(4～3月)'!$D$26:$D$973,$B21,'内訳ﾘｽﾄ(4～3月)'!K$26:K$973)</f>
        <v>0</v>
      </c>
      <c r="I21" s="158">
        <f>SUMIF('内訳ﾘｽﾄ(4～3月)'!$D$26:$D$973,$B21,'内訳ﾘｽﾄ(4～3月)'!L$26:L$973)</f>
        <v>0</v>
      </c>
      <c r="J21" s="158">
        <f>SUMIF('内訳ﾘｽﾄ(4～3月)'!$D$26:$D$973,$B21,'内訳ﾘｽﾄ(4～3月)'!M$26:M$973)</f>
        <v>0</v>
      </c>
      <c r="K21" s="158">
        <f>SUMIF('内訳ﾘｽﾄ(4～3月)'!$D$26:$D$973,$B21,'内訳ﾘｽﾄ(4～3月)'!N$26:N$973)</f>
        <v>0</v>
      </c>
      <c r="L21" s="158">
        <f>SUMIF('内訳ﾘｽﾄ(4～3月)'!$D$26:$D$973,$B21,'内訳ﾘｽﾄ(4～3月)'!O$26:O$973)</f>
        <v>0</v>
      </c>
      <c r="M21" s="158">
        <f>SUMIF('内訳ﾘｽﾄ(4～3月)'!$D$26:$D$973,$B21,'内訳ﾘｽﾄ(4～3月)'!P$26:P$973)</f>
        <v>0</v>
      </c>
      <c r="N21" s="158">
        <f>SUMIF('内訳ﾘｽﾄ(4～3月)'!$D$26:$D$973,$B21,'内訳ﾘｽﾄ(4～3月)'!Q$26:Q$973)</f>
        <v>0</v>
      </c>
      <c r="O21" s="158">
        <f>SUMIF('内訳ﾘｽﾄ(4～3月)'!$D$26:$D$772,'採算表(VND)'!$B21,'内訳ﾘｽﾄ(4～3月)'!R$26:R$772)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SUMIF('内訳ﾘｽﾄ(4～3月)'!$D$26:$D$973,$B22,'内訳ﾘｽﾄ(4～3月)'!F$26:F$973)</f>
        <v>0</v>
      </c>
      <c r="D22" s="158">
        <f>SUMIF('内訳ﾘｽﾄ(4～3月)'!$D$26:$D$973,$B22,'内訳ﾘｽﾄ(4～3月)'!G$26:G$973)</f>
        <v>0</v>
      </c>
      <c r="E22" s="158">
        <f>SUMIF('内訳ﾘｽﾄ(4～3月)'!$D$26:$D$973,$B22,'内訳ﾘｽﾄ(4～3月)'!H$26:H$973)</f>
        <v>0</v>
      </c>
      <c r="F22" s="158">
        <f>SUMIF('内訳ﾘｽﾄ(4～3月)'!$D$26:$D$973,$B22,'内訳ﾘｽﾄ(4～3月)'!I$26:I$973)</f>
        <v>0</v>
      </c>
      <c r="G22" s="158">
        <f>SUMIF('内訳ﾘｽﾄ(4～3月)'!$D$26:$D$973,$B22,'内訳ﾘｽﾄ(4～3月)'!J$26:J$973)</f>
        <v>0</v>
      </c>
      <c r="H22" s="158">
        <f>SUMIF('内訳ﾘｽﾄ(4～3月)'!$D$26:$D$973,$B22,'内訳ﾘｽﾄ(4～3月)'!K$26:K$973)</f>
        <v>0</v>
      </c>
      <c r="I22" s="158">
        <f>SUMIF('内訳ﾘｽﾄ(4～3月)'!$D$26:$D$973,$B22,'内訳ﾘｽﾄ(4～3月)'!L$26:L$973)</f>
        <v>0</v>
      </c>
      <c r="J22" s="158">
        <f>SUMIF('内訳ﾘｽﾄ(4～3月)'!$D$26:$D$973,$B22,'内訳ﾘｽﾄ(4～3月)'!M$26:M$973)</f>
        <v>0</v>
      </c>
      <c r="K22" s="158">
        <f>SUMIF('内訳ﾘｽﾄ(4～3月)'!$D$26:$D$973,$B22,'内訳ﾘｽﾄ(4～3月)'!N$26:N$973)</f>
        <v>0</v>
      </c>
      <c r="L22" s="158">
        <f>SUMIF('内訳ﾘｽﾄ(4～3月)'!$D$26:$D$973,$B22,'内訳ﾘｽﾄ(4～3月)'!O$26:O$973)</f>
        <v>0</v>
      </c>
      <c r="M22" s="158">
        <f>SUMIF('内訳ﾘｽﾄ(4～3月)'!$D$26:$D$973,$B22,'内訳ﾘｽﾄ(4～3月)'!P$26:P$973)</f>
        <v>0</v>
      </c>
      <c r="N22" s="158">
        <f>SUMIF('内訳ﾘｽﾄ(4～3月)'!$D$26:$D$973,$B22,'内訳ﾘｽﾄ(4～3月)'!Q$26:Q$973)</f>
        <v>0</v>
      </c>
      <c r="O22" s="158">
        <f>SUMIF('内訳ﾘｽﾄ(4～3月)'!$D$26:$D$772,'採算表(VND)'!$B22,'内訳ﾘｽﾄ(4～3月)'!R$26:R$772)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SUMIF('内訳ﾘｽﾄ(4～3月)'!$D$26:$D$973,$B23,'内訳ﾘｽﾄ(4～3月)'!F$26:F$973)</f>
        <v>0</v>
      </c>
      <c r="D23" s="158">
        <f>SUMIF('内訳ﾘｽﾄ(4～3月)'!$D$26:$D$973,$B23,'内訳ﾘｽﾄ(4～3月)'!G$26:G$973)</f>
        <v>55000000</v>
      </c>
      <c r="E23" s="158">
        <f>SUMIF('内訳ﾘｽﾄ(4～3月)'!$D$26:$D$973,$B23,'内訳ﾘｽﾄ(4～3月)'!H$26:H$973)</f>
        <v>0</v>
      </c>
      <c r="F23" s="158">
        <f>SUMIF('内訳ﾘｽﾄ(4～3月)'!$D$26:$D$973,$B23,'内訳ﾘｽﾄ(4～3月)'!I$26:I$973)</f>
        <v>0</v>
      </c>
      <c r="G23" s="158">
        <f>SUMIF('内訳ﾘｽﾄ(4～3月)'!$D$26:$D$973,$B23,'内訳ﾘｽﾄ(4～3月)'!J$26:J$973)</f>
        <v>0</v>
      </c>
      <c r="H23" s="158">
        <f>SUMIF('内訳ﾘｽﾄ(4～3月)'!$D$26:$D$973,$B23,'内訳ﾘｽﾄ(4～3月)'!K$26:K$973)</f>
        <v>0</v>
      </c>
      <c r="I23" s="158">
        <f>SUMIF('内訳ﾘｽﾄ(4～3月)'!$D$26:$D$973,$B23,'内訳ﾘｽﾄ(4～3月)'!L$26:L$973)</f>
        <v>0</v>
      </c>
      <c r="J23" s="158">
        <f>SUMIF('内訳ﾘｽﾄ(4～3月)'!$D$26:$D$973,$B23,'内訳ﾘｽﾄ(4～3月)'!M$26:M$973)</f>
        <v>0</v>
      </c>
      <c r="K23" s="158">
        <f>SUMIF('内訳ﾘｽﾄ(4～3月)'!$D$26:$D$973,$B23,'内訳ﾘｽﾄ(4～3月)'!N$26:N$973)</f>
        <v>0</v>
      </c>
      <c r="L23" s="158">
        <f>SUMIF('内訳ﾘｽﾄ(4～3月)'!$D$26:$D$973,$B23,'内訳ﾘｽﾄ(4～3月)'!O$26:O$973)</f>
        <v>0</v>
      </c>
      <c r="M23" s="158">
        <f>SUMIF('内訳ﾘｽﾄ(4～3月)'!$D$26:$D$973,$B23,'内訳ﾘｽﾄ(4～3月)'!P$26:P$973)</f>
        <v>0</v>
      </c>
      <c r="N23" s="158">
        <f>SUMIF('内訳ﾘｽﾄ(4～3月)'!$D$26:$D$973,$B23,'内訳ﾘｽﾄ(4～3月)'!Q$26:Q$973)</f>
        <v>0</v>
      </c>
      <c r="O23" s="158">
        <f>SUMIF('内訳ﾘｽﾄ(4～3月)'!$D$26:$D$772,'採算表(VND)'!$B23,'内訳ﾘｽﾄ(4～3月)'!R$26:R$772)</f>
        <v>55000000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SUMIF('内訳ﾘｽﾄ(4～3月)'!$D$26:$D$973,$B24,'内訳ﾘｽﾄ(4～3月)'!F$26:F$973)</f>
        <v>0</v>
      </c>
      <c r="D24" s="158">
        <f>SUMIF('内訳ﾘｽﾄ(4～3月)'!$D$26:$D$973,$B24,'内訳ﾘｽﾄ(4～3月)'!G$26:G$973)</f>
        <v>0</v>
      </c>
      <c r="E24" s="158">
        <f>SUMIF('内訳ﾘｽﾄ(4～3月)'!$D$26:$D$973,$B24,'内訳ﾘｽﾄ(4～3月)'!H$26:H$973)</f>
        <v>0</v>
      </c>
      <c r="F24" s="158">
        <f>SUMIF('内訳ﾘｽﾄ(4～3月)'!$D$26:$D$973,$B24,'内訳ﾘｽﾄ(4～3月)'!I$26:I$973)</f>
        <v>0</v>
      </c>
      <c r="G24" s="158">
        <f>SUMIF('内訳ﾘｽﾄ(4～3月)'!$D$26:$D$973,$B24,'内訳ﾘｽﾄ(4～3月)'!J$26:J$973)</f>
        <v>0</v>
      </c>
      <c r="H24" s="158">
        <f>SUMIF('内訳ﾘｽﾄ(4～3月)'!$D$26:$D$973,$B24,'内訳ﾘｽﾄ(4～3月)'!K$26:K$973)</f>
        <v>0</v>
      </c>
      <c r="I24" s="158">
        <f>SUMIF('内訳ﾘｽﾄ(4～3月)'!$D$26:$D$973,$B24,'内訳ﾘｽﾄ(4～3月)'!L$26:L$973)</f>
        <v>0</v>
      </c>
      <c r="J24" s="158">
        <f>SUMIF('内訳ﾘｽﾄ(4～3月)'!$D$26:$D$973,$B24,'内訳ﾘｽﾄ(4～3月)'!M$26:M$973)</f>
        <v>0</v>
      </c>
      <c r="K24" s="158">
        <f>SUMIF('内訳ﾘｽﾄ(4～3月)'!$D$26:$D$973,$B24,'内訳ﾘｽﾄ(4～3月)'!N$26:N$973)</f>
        <v>0</v>
      </c>
      <c r="L24" s="158">
        <f>SUMIF('内訳ﾘｽﾄ(4～3月)'!$D$26:$D$973,$B24,'内訳ﾘｽﾄ(4～3月)'!O$26:O$973)</f>
        <v>0</v>
      </c>
      <c r="M24" s="158">
        <f>SUMIF('内訳ﾘｽﾄ(4～3月)'!$D$26:$D$973,$B24,'内訳ﾘｽﾄ(4～3月)'!P$26:P$973)</f>
        <v>0</v>
      </c>
      <c r="N24" s="158">
        <f>SUMIF('内訳ﾘｽﾄ(4～3月)'!$D$26:$D$973,$B24,'内訳ﾘｽﾄ(4～3月)'!Q$26:Q$973)</f>
        <v>0</v>
      </c>
      <c r="O24" s="158">
        <f>SUMIF('内訳ﾘｽﾄ(4～3月)'!$D$26:$D$772,'採算表(VND)'!$B24,'内訳ﾘｽﾄ(4～3月)'!R$26:R$772)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SUMIF('内訳ﾘｽﾄ(4～3月)'!$D$26:$D$973,$B25,'内訳ﾘｽﾄ(4～3月)'!F$26:F$973)</f>
        <v>3537120</v>
      </c>
      <c r="D25" s="158">
        <f>SUMIF('内訳ﾘｽﾄ(4～3月)'!$D$26:$D$973,$B25,'内訳ﾘｽﾄ(4～3月)'!G$26:G$973)</f>
        <v>2466490</v>
      </c>
      <c r="E25" s="158">
        <f>SUMIF('内訳ﾘｽﾄ(4～3月)'!$D$26:$D$973,$B25,'内訳ﾘｽﾄ(4～3月)'!H$26:H$973)</f>
        <v>3578200</v>
      </c>
      <c r="F25" s="158">
        <f>SUMIF('内訳ﾘｽﾄ(4～3月)'!$D$26:$D$973,$B25,'内訳ﾘｽﾄ(4～3月)'!I$26:I$973)</f>
        <v>2524131</v>
      </c>
      <c r="G25" s="158">
        <f>SUMIF('内訳ﾘｽﾄ(4～3月)'!$D$26:$D$973,$B25,'内訳ﾘｽﾄ(4～3月)'!J$26:J$973)</f>
        <v>3552412</v>
      </c>
      <c r="H25" s="158">
        <f>SUMIF('内訳ﾘｽﾄ(4～3月)'!$D$26:$D$973,$B25,'内訳ﾘｽﾄ(4～3月)'!K$26:K$973)</f>
        <v>2636513</v>
      </c>
      <c r="I25" s="158">
        <f>SUMIF('内訳ﾘｽﾄ(4～3月)'!$D$26:$D$973,$B25,'内訳ﾘｽﾄ(4～3月)'!L$26:L$973)</f>
        <v>3586803</v>
      </c>
      <c r="J25" s="158">
        <f>SUMIF('内訳ﾘｽﾄ(4～3月)'!$D$26:$D$973,$B25,'内訳ﾘｽﾄ(4～3月)'!M$26:M$973)</f>
        <v>2481025</v>
      </c>
      <c r="K25" s="158">
        <f>SUMIF('内訳ﾘｽﾄ(4～3月)'!$D$26:$D$973,$B25,'内訳ﾘｽﾄ(4～3月)'!N$26:N$973)</f>
        <v>3593106</v>
      </c>
      <c r="L25" s="158">
        <f>SUMIF('内訳ﾘｽﾄ(4～3月)'!$D$26:$D$973,$B25,'内訳ﾘｽﾄ(4～3月)'!O$26:O$973)</f>
        <v>2478397</v>
      </c>
      <c r="M25" s="158">
        <f>SUMIF('内訳ﾘｽﾄ(4～3月)'!$D$26:$D$973,$B25,'内訳ﾘｽﾄ(4～3月)'!P$26:P$973)</f>
        <v>3474213</v>
      </c>
      <c r="N25" s="158">
        <f>SUMIF('内訳ﾘｽﾄ(4～3月)'!$D$26:$D$973,$B25,'内訳ﾘｽﾄ(4～3月)'!Q$26:Q$973)</f>
        <v>2477000</v>
      </c>
      <c r="O25" s="158">
        <f>SUMIF('内訳ﾘｽﾄ(4～3月)'!$D$26:$D$772,'採算表(VND)'!$B25,'内訳ﾘｽﾄ(4～3月)'!R$26:R$772)</f>
        <v>36385410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SUMIF('内訳ﾘｽﾄ(4～3月)'!$D$26:$D$973,$B26,'内訳ﾘｽﾄ(4～3月)'!F$26:F$973)</f>
        <v>0</v>
      </c>
      <c r="D26" s="158">
        <f>SUMIF('内訳ﾘｽﾄ(4～3月)'!$D$26:$D$973,$B26,'内訳ﾘｽﾄ(4～3月)'!G$26:G$973)</f>
        <v>5000000</v>
      </c>
      <c r="E26" s="158">
        <f>SUMIF('内訳ﾘｽﾄ(4～3月)'!$D$26:$D$973,$B26,'内訳ﾘｽﾄ(4～3月)'!H$26:H$973)</f>
        <v>0</v>
      </c>
      <c r="F26" s="158">
        <f>SUMIF('内訳ﾘｽﾄ(4～3月)'!$D$26:$D$973,$B26,'内訳ﾘｽﾄ(4～3月)'!I$26:I$973)</f>
        <v>0</v>
      </c>
      <c r="G26" s="158">
        <f>SUMIF('内訳ﾘｽﾄ(4～3月)'!$D$26:$D$973,$B26,'内訳ﾘｽﾄ(4～3月)'!J$26:J$973)</f>
        <v>0</v>
      </c>
      <c r="H26" s="158">
        <f>SUMIF('内訳ﾘｽﾄ(4～3月)'!$D$26:$D$973,$B26,'内訳ﾘｽﾄ(4～3月)'!K$26:K$973)</f>
        <v>67000000</v>
      </c>
      <c r="I26" s="158">
        <f>SUMIF('内訳ﾘｽﾄ(4～3月)'!$D$26:$D$973,$B26,'内訳ﾘｽﾄ(4～3月)'!L$26:L$973)</f>
        <v>5000000</v>
      </c>
      <c r="J26" s="158">
        <f>SUMIF('内訳ﾘｽﾄ(4～3月)'!$D$26:$D$973,$B26,'内訳ﾘｽﾄ(4～3月)'!M$26:M$973)</f>
        <v>0</v>
      </c>
      <c r="K26" s="158">
        <f>SUMIF('内訳ﾘｽﾄ(4～3月)'!$D$26:$D$973,$B26,'内訳ﾘｽﾄ(4～3月)'!N$26:N$973)</f>
        <v>0</v>
      </c>
      <c r="L26" s="158">
        <f>SUMIF('内訳ﾘｽﾄ(4～3月)'!$D$26:$D$973,$B26,'内訳ﾘｽﾄ(4～3月)'!O$26:O$973)</f>
        <v>0</v>
      </c>
      <c r="M26" s="158">
        <f>SUMIF('内訳ﾘｽﾄ(4～3月)'!$D$26:$D$973,$B26,'内訳ﾘｽﾄ(4～3月)'!P$26:P$973)</f>
        <v>0</v>
      </c>
      <c r="N26" s="158">
        <f>SUMIF('内訳ﾘｽﾄ(4～3月)'!$D$26:$D$973,$B26,'内訳ﾘｽﾄ(4～3月)'!Q$26:Q$973)</f>
        <v>5000000</v>
      </c>
      <c r="O26" s="158">
        <f>SUMIF('内訳ﾘｽﾄ(4～3月)'!$D$26:$D$772,'採算表(VND)'!$B26,'内訳ﾘｽﾄ(4～3月)'!R$26:R$772)</f>
        <v>82000000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SUMIF('内訳ﾘｽﾄ(4～3月)'!$D$26:$D$973,$B27,'内訳ﾘｽﾄ(4～3月)'!F$26:F$973)</f>
        <v>0</v>
      </c>
      <c r="D27" s="158">
        <f>SUMIF('内訳ﾘｽﾄ(4～3月)'!$D$26:$D$973,$B27,'内訳ﾘｽﾄ(4～3月)'!G$26:G$973)</f>
        <v>0</v>
      </c>
      <c r="E27" s="158">
        <f>SUMIF('内訳ﾘｽﾄ(4～3月)'!$D$26:$D$973,$B27,'内訳ﾘｽﾄ(4～3月)'!H$26:H$973)</f>
        <v>0</v>
      </c>
      <c r="F27" s="158">
        <f>SUMIF('内訳ﾘｽﾄ(4～3月)'!$D$26:$D$973,$B27,'内訳ﾘｽﾄ(4～3月)'!I$26:I$973)</f>
        <v>0</v>
      </c>
      <c r="G27" s="158">
        <f>SUMIF('内訳ﾘｽﾄ(4～3月)'!$D$26:$D$973,$B27,'内訳ﾘｽﾄ(4～3月)'!J$26:J$973)</f>
        <v>0</v>
      </c>
      <c r="H27" s="158">
        <f>SUMIF('内訳ﾘｽﾄ(4～3月)'!$D$26:$D$973,$B27,'内訳ﾘｽﾄ(4～3月)'!K$26:K$973)</f>
        <v>0</v>
      </c>
      <c r="I27" s="158">
        <f>SUMIF('内訳ﾘｽﾄ(4～3月)'!$D$26:$D$973,$B27,'内訳ﾘｽﾄ(4～3月)'!L$26:L$973)</f>
        <v>0</v>
      </c>
      <c r="J27" s="158">
        <f>SUMIF('内訳ﾘｽﾄ(4～3月)'!$D$26:$D$973,$B27,'内訳ﾘｽﾄ(4～3月)'!M$26:M$973)</f>
        <v>0</v>
      </c>
      <c r="K27" s="158">
        <f>SUMIF('内訳ﾘｽﾄ(4～3月)'!$D$26:$D$973,$B27,'内訳ﾘｽﾄ(4～3月)'!N$26:N$973)</f>
        <v>0</v>
      </c>
      <c r="L27" s="158">
        <f>SUMIF('内訳ﾘｽﾄ(4～3月)'!$D$26:$D$973,$B27,'内訳ﾘｽﾄ(4～3月)'!O$26:O$973)</f>
        <v>0</v>
      </c>
      <c r="M27" s="158">
        <f>SUMIF('内訳ﾘｽﾄ(4～3月)'!$D$26:$D$973,$B27,'内訳ﾘｽﾄ(4～3月)'!P$26:P$973)</f>
        <v>0</v>
      </c>
      <c r="N27" s="158">
        <f>SUMIF('内訳ﾘｽﾄ(4～3月)'!$D$26:$D$973,$B27,'内訳ﾘｽﾄ(4～3月)'!Q$26:Q$973)</f>
        <v>0</v>
      </c>
      <c r="O27" s="158">
        <f>SUMIF('内訳ﾘｽﾄ(4～3月)'!$D$26:$D$772,'採算表(VND)'!$B27,'内訳ﾘｽﾄ(4～3月)'!R$26:R$772)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SUMIF('内訳ﾘｽﾄ(4～3月)'!$D$26:$D$973,$B28,'内訳ﾘｽﾄ(4～3月)'!F$26:F$973)</f>
        <v>2885000</v>
      </c>
      <c r="D28" s="158">
        <f>SUMIF('内訳ﾘｽﾄ(4～3月)'!$D$26:$D$973,$B28,'内訳ﾘｽﾄ(4～3月)'!G$26:G$973)</f>
        <v>2885000</v>
      </c>
      <c r="E28" s="158">
        <f>SUMIF('内訳ﾘｽﾄ(4～3月)'!$D$26:$D$973,$B28,'内訳ﾘｽﾄ(4～3月)'!H$26:H$973)</f>
        <v>2810000</v>
      </c>
      <c r="F28" s="158">
        <f>SUMIF('内訳ﾘｽﾄ(4～3月)'!$D$26:$D$973,$B28,'内訳ﾘｽﾄ(4～3月)'!I$26:I$973)</f>
        <v>3085000</v>
      </c>
      <c r="G28" s="158">
        <f>SUMIF('内訳ﾘｽﾄ(4～3月)'!$D$26:$D$973,$B28,'内訳ﾘｽﾄ(4～3月)'!J$26:J$973)</f>
        <v>3085000</v>
      </c>
      <c r="H28" s="158">
        <f>SUMIF('内訳ﾘｽﾄ(4～3月)'!$D$26:$D$973,$B28,'内訳ﾘｽﾄ(4～3月)'!K$26:K$973)</f>
        <v>3610000</v>
      </c>
      <c r="I28" s="158">
        <f>SUMIF('内訳ﾘｽﾄ(4～3月)'!$D$26:$D$973,$B28,'内訳ﾘｽﾄ(4～3月)'!L$26:L$973)</f>
        <v>3085000</v>
      </c>
      <c r="J28" s="158">
        <f>SUMIF('内訳ﾘｽﾄ(4～3月)'!$D$26:$D$973,$B28,'内訳ﾘｽﾄ(4～3月)'!M$26:M$973)</f>
        <v>3085000</v>
      </c>
      <c r="K28" s="158">
        <f>SUMIF('内訳ﾘｽﾄ(4～3月)'!$D$26:$D$973,$B28,'内訳ﾘｽﾄ(4～3月)'!N$26:N$973)</f>
        <v>2810000</v>
      </c>
      <c r="L28" s="158">
        <f>SUMIF('内訳ﾘｽﾄ(4～3月)'!$D$26:$D$973,$B28,'内訳ﾘｽﾄ(4～3月)'!O$26:O$973)</f>
        <v>3085000</v>
      </c>
      <c r="M28" s="158">
        <f>SUMIF('内訳ﾘｽﾄ(4～3月)'!$D$26:$D$973,$B28,'内訳ﾘｽﾄ(4～3月)'!P$26:P$973)</f>
        <v>3885000</v>
      </c>
      <c r="N28" s="158">
        <f>SUMIF('内訳ﾘｽﾄ(4～3月)'!$D$26:$D$973,$B28,'内訳ﾘｽﾄ(4～3月)'!Q$26:Q$973)</f>
        <v>2840000</v>
      </c>
      <c r="O28" s="158">
        <f>SUMIF('内訳ﾘｽﾄ(4～3月)'!$D$26:$D$772,'採算表(VND)'!$B28,'内訳ﾘｽﾄ(4～3月)'!R$26:R$772)</f>
        <v>37150000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SUMIF('内訳ﾘｽﾄ(4～3月)'!$D$26:$D$973,$B29,'内訳ﾘｽﾄ(4～3月)'!F$26:F$973)</f>
        <v>0</v>
      </c>
      <c r="D29" s="158">
        <f>SUMIF('内訳ﾘｽﾄ(4～3月)'!$D$26:$D$973,$B29,'内訳ﾘｽﾄ(4～3月)'!G$26:G$973)</f>
        <v>0</v>
      </c>
      <c r="E29" s="158">
        <f>SUMIF('内訳ﾘｽﾄ(4～3月)'!$D$26:$D$973,$B29,'内訳ﾘｽﾄ(4～3月)'!H$26:H$973)</f>
        <v>0</v>
      </c>
      <c r="F29" s="158">
        <f>SUMIF('内訳ﾘｽﾄ(4～3月)'!$D$26:$D$973,$B29,'内訳ﾘｽﾄ(4～3月)'!I$26:I$973)</f>
        <v>0</v>
      </c>
      <c r="G29" s="158">
        <f>SUMIF('内訳ﾘｽﾄ(4～3月)'!$D$26:$D$973,$B29,'内訳ﾘｽﾄ(4～3月)'!J$26:J$973)</f>
        <v>0</v>
      </c>
      <c r="H29" s="158">
        <f>SUMIF('内訳ﾘｽﾄ(4～3月)'!$D$26:$D$973,$B29,'内訳ﾘｽﾄ(4～3月)'!K$26:K$973)</f>
        <v>0</v>
      </c>
      <c r="I29" s="158">
        <f>SUMIF('内訳ﾘｽﾄ(4～3月)'!$D$26:$D$973,$B29,'内訳ﾘｽﾄ(4～3月)'!L$26:L$973)</f>
        <v>0</v>
      </c>
      <c r="J29" s="158">
        <f>SUMIF('内訳ﾘｽﾄ(4～3月)'!$D$26:$D$973,$B29,'内訳ﾘｽﾄ(4～3月)'!M$26:M$973)</f>
        <v>0</v>
      </c>
      <c r="K29" s="158">
        <f>SUMIF('内訳ﾘｽﾄ(4～3月)'!$D$26:$D$973,$B29,'内訳ﾘｽﾄ(4～3月)'!N$26:N$973)</f>
        <v>0</v>
      </c>
      <c r="L29" s="158">
        <f>SUMIF('内訳ﾘｽﾄ(4～3月)'!$D$26:$D$973,$B29,'内訳ﾘｽﾄ(4～3月)'!O$26:O$973)</f>
        <v>0</v>
      </c>
      <c r="M29" s="158">
        <f>SUMIF('内訳ﾘｽﾄ(4～3月)'!$D$26:$D$973,$B29,'内訳ﾘｽﾄ(4～3月)'!P$26:P$973)</f>
        <v>0</v>
      </c>
      <c r="N29" s="158">
        <f>SUMIF('内訳ﾘｽﾄ(4～3月)'!$D$26:$D$973,$B29,'内訳ﾘｽﾄ(4～3月)'!Q$26:Q$973)</f>
        <v>0</v>
      </c>
      <c r="O29" s="158">
        <f>SUMIF('内訳ﾘｽﾄ(4～3月)'!$D$26:$D$772,'採算表(VND)'!$B29,'内訳ﾘｽﾄ(4～3月)'!R$26:R$772)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SUMIF('内訳ﾘｽﾄ(4～3月)'!$D$26:$D$973,$B30,'内訳ﾘｽﾄ(4～3月)'!F$26:F$973)</f>
        <v>120113900</v>
      </c>
      <c r="D30" s="158">
        <f>SUMIF('内訳ﾘｽﾄ(4～3月)'!$D$26:$D$973,$B30,'内訳ﾘｽﾄ(4～3月)'!G$26:G$973)</f>
        <v>123178925</v>
      </c>
      <c r="E30" s="158">
        <f>SUMIF('内訳ﾘｽﾄ(4～3月)'!$D$26:$D$973,$B30,'内訳ﾘｽﾄ(4～3月)'!H$26:H$973)</f>
        <v>155251402</v>
      </c>
      <c r="F30" s="158">
        <f>SUMIF('内訳ﾘｽﾄ(4～3月)'!$D$26:$D$973,$B30,'内訳ﾘｽﾄ(4～3月)'!I$26:I$973)</f>
        <v>167396132</v>
      </c>
      <c r="G30" s="158">
        <f>SUMIF('内訳ﾘｽﾄ(4～3月)'!$D$26:$D$973,$B30,'内訳ﾘｽﾄ(4～3月)'!J$26:J$973)</f>
        <v>173139121</v>
      </c>
      <c r="H30" s="158">
        <f>SUMIF('内訳ﾘｽﾄ(4～3月)'!$D$26:$D$973,$B30,'内訳ﾘｽﾄ(4～3月)'!K$26:K$973)</f>
        <v>158752783</v>
      </c>
      <c r="I30" s="158">
        <f>SUMIF('内訳ﾘｽﾄ(4～3月)'!$D$26:$D$973,$B30,'内訳ﾘｽﾄ(4～3月)'!L$26:L$973)</f>
        <v>158017209</v>
      </c>
      <c r="J30" s="158">
        <f>SUMIF('内訳ﾘｽﾄ(4～3月)'!$D$26:$D$973,$B30,'内訳ﾘｽﾄ(4～3月)'!M$26:M$973)</f>
        <v>143383503</v>
      </c>
      <c r="K30" s="158">
        <f>SUMIF('内訳ﾘｽﾄ(4～3月)'!$D$26:$D$973,$B30,'内訳ﾘｽﾄ(4～3月)'!N$26:N$973)</f>
        <v>137525484</v>
      </c>
      <c r="L30" s="158">
        <f>SUMIF('内訳ﾘｽﾄ(4～3月)'!$D$26:$D$973,$B30,'内訳ﾘｽﾄ(4～3月)'!O$26:O$973)</f>
        <v>122554382</v>
      </c>
      <c r="M30" s="158">
        <f>SUMIF('内訳ﾘｽﾄ(4～3月)'!$D$26:$D$973,$B30,'内訳ﾘｽﾄ(4～3月)'!P$26:P$973)</f>
        <v>123719507</v>
      </c>
      <c r="N30" s="158">
        <f>SUMIF('内訳ﾘｽﾄ(4～3月)'!$D$26:$D$973,$B30,'内訳ﾘｽﾄ(4～3月)'!Q$26:Q$973)</f>
        <v>95807248</v>
      </c>
      <c r="O30" s="158">
        <f>SUMIF('内訳ﾘｽﾄ(4～3月)'!$D$26:$D$772,'採算表(VND)'!$B30,'内訳ﾘｽﾄ(4～3月)'!R$26:R$772)</f>
        <v>1678839596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SUMIF('内訳ﾘｽﾄ(4～3月)'!$D$26:$D$973,$B31,'内訳ﾘｽﾄ(4～3月)'!F$26:F$973)</f>
        <v>313500000</v>
      </c>
      <c r="D31" s="158">
        <f>SUMIF('内訳ﾘｽﾄ(4～3月)'!$D$26:$D$973,$B31,'内訳ﾘｽﾄ(4～3月)'!G$26:G$973)</f>
        <v>22000000</v>
      </c>
      <c r="E31" s="158">
        <f>SUMIF('内訳ﾘｽﾄ(4～3月)'!$D$26:$D$973,$B31,'内訳ﾘｽﾄ(4～3月)'!H$26:H$973)</f>
        <v>22500000</v>
      </c>
      <c r="F31" s="158">
        <f>SUMIF('内訳ﾘｽﾄ(4～3月)'!$D$26:$D$973,$B31,'内訳ﾘｽﾄ(4～3月)'!I$26:I$973)</f>
        <v>23000000</v>
      </c>
      <c r="G31" s="158">
        <f>SUMIF('内訳ﾘｽﾄ(4～3月)'!$D$26:$D$973,$B31,'内訳ﾘｽﾄ(4～3月)'!J$26:J$973)</f>
        <v>22000000</v>
      </c>
      <c r="H31" s="158">
        <f>SUMIF('内訳ﾘｽﾄ(4～3月)'!$D$26:$D$973,$B31,'内訳ﾘｽﾄ(4～3月)'!K$26:K$973)</f>
        <v>22500000</v>
      </c>
      <c r="I31" s="158">
        <f>SUMIF('内訳ﾘｽﾄ(4～3月)'!$D$26:$D$973,$B31,'内訳ﾘｽﾄ(4～3月)'!L$26:L$973)</f>
        <v>22000000</v>
      </c>
      <c r="J31" s="158">
        <f>SUMIF('内訳ﾘｽﾄ(4～3月)'!$D$26:$D$973,$B31,'内訳ﾘｽﾄ(4～3月)'!M$26:M$973)</f>
        <v>22000000</v>
      </c>
      <c r="K31" s="158">
        <f>SUMIF('内訳ﾘｽﾄ(4～3月)'!$D$26:$D$973,$B31,'内訳ﾘｽﾄ(4～3月)'!N$26:N$973)</f>
        <v>27450000</v>
      </c>
      <c r="L31" s="158">
        <f>SUMIF('内訳ﾘｽﾄ(4～3月)'!$D$26:$D$973,$B31,'内訳ﾘｽﾄ(4～3月)'!O$26:O$973)</f>
        <v>22000000</v>
      </c>
      <c r="M31" s="158">
        <f>SUMIF('内訳ﾘｽﾄ(4～3月)'!$D$26:$D$973,$B31,'内訳ﾘｽﾄ(4～3月)'!P$26:P$973)</f>
        <v>22000000</v>
      </c>
      <c r="N31" s="158">
        <f>SUMIF('内訳ﾘｽﾄ(4～3月)'!$D$26:$D$973,$B31,'内訳ﾘｽﾄ(4～3月)'!Q$26:Q$973)</f>
        <v>22500000</v>
      </c>
      <c r="O31" s="158">
        <f>SUMIF('内訳ﾘｽﾄ(4～3月)'!$D$26:$D$772,'採算表(VND)'!$B31,'内訳ﾘｽﾄ(4～3月)'!R$26:R$772)</f>
        <v>563450000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SUMIF('内訳ﾘｽﾄ(4～3月)'!$D$26:$D$973,$B32,'内訳ﾘｽﾄ(4～3月)'!F$26:F$973)</f>
        <v>0</v>
      </c>
      <c r="D32" s="158">
        <f>SUMIF('内訳ﾘｽﾄ(4～3月)'!$D$26:$D$973,$B32,'内訳ﾘｽﾄ(4～3月)'!G$26:G$973)</f>
        <v>0</v>
      </c>
      <c r="E32" s="158">
        <f>SUMIF('内訳ﾘｽﾄ(4～3月)'!$D$26:$D$973,$B32,'内訳ﾘｽﾄ(4～3月)'!H$26:H$973)</f>
        <v>0</v>
      </c>
      <c r="F32" s="158">
        <f>SUMIF('内訳ﾘｽﾄ(4～3月)'!$D$26:$D$973,$B32,'内訳ﾘｽﾄ(4～3月)'!I$26:I$973)</f>
        <v>0</v>
      </c>
      <c r="G32" s="158">
        <f>SUMIF('内訳ﾘｽﾄ(4～3月)'!$D$26:$D$973,$B32,'内訳ﾘｽﾄ(4～3月)'!J$26:J$973)</f>
        <v>0</v>
      </c>
      <c r="H32" s="158">
        <f>SUMIF('内訳ﾘｽﾄ(4～3月)'!$D$26:$D$973,$B32,'内訳ﾘｽﾄ(4～3月)'!K$26:K$973)</f>
        <v>0</v>
      </c>
      <c r="I32" s="158">
        <f>SUMIF('内訳ﾘｽﾄ(4～3月)'!$D$26:$D$973,$B32,'内訳ﾘｽﾄ(4～3月)'!L$26:L$973)</f>
        <v>0</v>
      </c>
      <c r="J32" s="158">
        <f>SUMIF('内訳ﾘｽﾄ(4～3月)'!$D$26:$D$973,$B32,'内訳ﾘｽﾄ(4～3月)'!M$26:M$973)</f>
        <v>0</v>
      </c>
      <c r="K32" s="158">
        <f>SUMIF('内訳ﾘｽﾄ(4～3月)'!$D$26:$D$973,$B32,'内訳ﾘｽﾄ(4～3月)'!N$26:N$973)</f>
        <v>0</v>
      </c>
      <c r="L32" s="158">
        <f>SUMIF('内訳ﾘｽﾄ(4～3月)'!$D$26:$D$973,$B32,'内訳ﾘｽﾄ(4～3月)'!O$26:O$973)</f>
        <v>0</v>
      </c>
      <c r="M32" s="158">
        <f>SUMIF('内訳ﾘｽﾄ(4～3月)'!$D$26:$D$973,$B32,'内訳ﾘｽﾄ(4～3月)'!P$26:P$973)</f>
        <v>0</v>
      </c>
      <c r="N32" s="158">
        <f>SUMIF('内訳ﾘｽﾄ(4～3月)'!$D$26:$D$973,$B32,'内訳ﾘｽﾄ(4～3月)'!Q$26:Q$973)</f>
        <v>0</v>
      </c>
      <c r="O32" s="158">
        <f>SUMIF('内訳ﾘｽﾄ(4～3月)'!$D$26:$D$772,'採算表(VND)'!$B32,'内訳ﾘｽﾄ(4～3月)'!R$26:R$772)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SUMIF('内訳ﾘｽﾄ(4～3月)'!$D$26:$D$973,$B33,'内訳ﾘｽﾄ(4～3月)'!F$26:F$973)</f>
        <v>0</v>
      </c>
      <c r="D33" s="158">
        <f>SUMIF('内訳ﾘｽﾄ(4～3月)'!$D$26:$D$973,$B33,'内訳ﾘｽﾄ(4～3月)'!G$26:G$973)</f>
        <v>0</v>
      </c>
      <c r="E33" s="158">
        <f>SUMIF('内訳ﾘｽﾄ(4～3月)'!$D$26:$D$973,$B33,'内訳ﾘｽﾄ(4～3月)'!H$26:H$973)</f>
        <v>0</v>
      </c>
      <c r="F33" s="158">
        <f>SUMIF('内訳ﾘｽﾄ(4～3月)'!$D$26:$D$973,$B33,'内訳ﾘｽﾄ(4～3月)'!I$26:I$973)</f>
        <v>0</v>
      </c>
      <c r="G33" s="158">
        <f>SUMIF('内訳ﾘｽﾄ(4～3月)'!$D$26:$D$973,$B33,'内訳ﾘｽﾄ(4～3月)'!J$26:J$973)</f>
        <v>0</v>
      </c>
      <c r="H33" s="158">
        <f>SUMIF('内訳ﾘｽﾄ(4～3月)'!$D$26:$D$973,$B33,'内訳ﾘｽﾄ(4～3月)'!K$26:K$973)</f>
        <v>0</v>
      </c>
      <c r="I33" s="158">
        <f>SUMIF('内訳ﾘｽﾄ(4～3月)'!$D$26:$D$973,$B33,'内訳ﾘｽﾄ(4～3月)'!L$26:L$973)</f>
        <v>0</v>
      </c>
      <c r="J33" s="158">
        <f>SUMIF('内訳ﾘｽﾄ(4～3月)'!$D$26:$D$973,$B33,'内訳ﾘｽﾄ(4～3月)'!M$26:M$973)</f>
        <v>0</v>
      </c>
      <c r="K33" s="158">
        <f>SUMIF('内訳ﾘｽﾄ(4～3月)'!$D$26:$D$973,$B33,'内訳ﾘｽﾄ(4～3月)'!N$26:N$973)</f>
        <v>0</v>
      </c>
      <c r="L33" s="158">
        <f>SUMIF('内訳ﾘｽﾄ(4～3月)'!$D$26:$D$973,$B33,'内訳ﾘｽﾄ(4～3月)'!O$26:O$973)</f>
        <v>0</v>
      </c>
      <c r="M33" s="158">
        <f>SUMIF('内訳ﾘｽﾄ(4～3月)'!$D$26:$D$973,$B33,'内訳ﾘｽﾄ(4～3月)'!P$26:P$973)</f>
        <v>0</v>
      </c>
      <c r="N33" s="158">
        <f>SUMIF('内訳ﾘｽﾄ(4～3月)'!$D$26:$D$973,$B33,'内訳ﾘｽﾄ(4～3月)'!Q$26:Q$973)</f>
        <v>0</v>
      </c>
      <c r="O33" s="158">
        <f>SUMIF('内訳ﾘｽﾄ(4～3月)'!$D$26:$D$772,'採算表(VND)'!$B33,'内訳ﾘｽﾄ(4～3月)'!R$26:R$772)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SUMIF('内訳ﾘｽﾄ(4～3月)'!$D$26:$D$973,$B34,'内訳ﾘｽﾄ(4～3月)'!F$26:F$973)</f>
        <v>0</v>
      </c>
      <c r="D34" s="158">
        <f>SUMIF('内訳ﾘｽﾄ(4～3月)'!$D$26:$D$973,$B34,'内訳ﾘｽﾄ(4～3月)'!G$26:G$973)</f>
        <v>0</v>
      </c>
      <c r="E34" s="158">
        <f>SUMIF('内訳ﾘｽﾄ(4～3月)'!$D$26:$D$973,$B34,'内訳ﾘｽﾄ(4～3月)'!H$26:H$973)</f>
        <v>0</v>
      </c>
      <c r="F34" s="158">
        <f>SUMIF('内訳ﾘｽﾄ(4～3月)'!$D$26:$D$973,$B34,'内訳ﾘｽﾄ(4～3月)'!I$26:I$973)</f>
        <v>0</v>
      </c>
      <c r="G34" s="158">
        <f>SUMIF('内訳ﾘｽﾄ(4～3月)'!$D$26:$D$973,$B34,'内訳ﾘｽﾄ(4～3月)'!J$26:J$973)</f>
        <v>0</v>
      </c>
      <c r="H34" s="158">
        <f>SUMIF('内訳ﾘｽﾄ(4～3月)'!$D$26:$D$973,$B34,'内訳ﾘｽﾄ(4～3月)'!K$26:K$973)</f>
        <v>0</v>
      </c>
      <c r="I34" s="158">
        <f>SUMIF('内訳ﾘｽﾄ(4～3月)'!$D$26:$D$973,$B34,'内訳ﾘｽﾄ(4～3月)'!L$26:L$973)</f>
        <v>0</v>
      </c>
      <c r="J34" s="158">
        <f>SUMIF('内訳ﾘｽﾄ(4～3月)'!$D$26:$D$973,$B34,'内訳ﾘｽﾄ(4～3月)'!M$26:M$973)</f>
        <v>0</v>
      </c>
      <c r="K34" s="158">
        <f>SUMIF('内訳ﾘｽﾄ(4～3月)'!$D$26:$D$973,$B34,'内訳ﾘｽﾄ(4～3月)'!N$26:N$973)</f>
        <v>0</v>
      </c>
      <c r="L34" s="158">
        <f>SUMIF('内訳ﾘｽﾄ(4～3月)'!$D$26:$D$973,$B34,'内訳ﾘｽﾄ(4～3月)'!O$26:O$973)</f>
        <v>0</v>
      </c>
      <c r="M34" s="158">
        <f>SUMIF('内訳ﾘｽﾄ(4～3月)'!$D$26:$D$973,$B34,'内訳ﾘｽﾄ(4～3月)'!P$26:P$973)</f>
        <v>0</v>
      </c>
      <c r="N34" s="158">
        <f>SUMIF('内訳ﾘｽﾄ(4～3月)'!$D$26:$D$973,$B34,'内訳ﾘｽﾄ(4～3月)'!Q$26:Q$973)</f>
        <v>0</v>
      </c>
      <c r="O34" s="158">
        <f>SUMIF('内訳ﾘｽﾄ(4～3月)'!$D$26:$D$772,'採算表(VND)'!$B34,'内訳ﾘｽﾄ(4～3月)'!R$26:R$772)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SUMIF('内訳ﾘｽﾄ(4～3月)'!$D$26:$D$973,$B35,'内訳ﾘｽﾄ(4～3月)'!F$26:F$973)</f>
        <v>0</v>
      </c>
      <c r="D35" s="158">
        <f>SUMIF('内訳ﾘｽﾄ(4～3月)'!$D$26:$D$973,$B35,'内訳ﾘｽﾄ(4～3月)'!G$26:G$973)</f>
        <v>0</v>
      </c>
      <c r="E35" s="158">
        <f>SUMIF('内訳ﾘｽﾄ(4～3月)'!$D$26:$D$973,$B35,'内訳ﾘｽﾄ(4～3月)'!H$26:H$973)</f>
        <v>0</v>
      </c>
      <c r="F35" s="158">
        <f>SUMIF('内訳ﾘｽﾄ(4～3月)'!$D$26:$D$973,$B35,'内訳ﾘｽﾄ(4～3月)'!I$26:I$973)</f>
        <v>0</v>
      </c>
      <c r="G35" s="158">
        <f>SUMIF('内訳ﾘｽﾄ(4～3月)'!$D$26:$D$973,$B35,'内訳ﾘｽﾄ(4～3月)'!J$26:J$973)</f>
        <v>0</v>
      </c>
      <c r="H35" s="158">
        <f>SUMIF('内訳ﾘｽﾄ(4～3月)'!$D$26:$D$973,$B35,'内訳ﾘｽﾄ(4～3月)'!K$26:K$973)</f>
        <v>0</v>
      </c>
      <c r="I35" s="158">
        <f>SUMIF('内訳ﾘｽﾄ(4～3月)'!$D$26:$D$973,$B35,'内訳ﾘｽﾄ(4～3月)'!L$26:L$973)</f>
        <v>0</v>
      </c>
      <c r="J35" s="158">
        <f>SUMIF('内訳ﾘｽﾄ(4～3月)'!$D$26:$D$973,$B35,'内訳ﾘｽﾄ(4～3月)'!M$26:M$973)</f>
        <v>0</v>
      </c>
      <c r="K35" s="158">
        <f>SUMIF('内訳ﾘｽﾄ(4～3月)'!$D$26:$D$973,$B35,'内訳ﾘｽﾄ(4～3月)'!N$26:N$973)</f>
        <v>0</v>
      </c>
      <c r="L35" s="158">
        <f>SUMIF('内訳ﾘｽﾄ(4～3月)'!$D$26:$D$973,$B35,'内訳ﾘｽﾄ(4～3月)'!O$26:O$973)</f>
        <v>0</v>
      </c>
      <c r="M35" s="158">
        <f>SUMIF('内訳ﾘｽﾄ(4～3月)'!$D$26:$D$973,$B35,'内訳ﾘｽﾄ(4～3月)'!P$26:P$973)</f>
        <v>0</v>
      </c>
      <c r="N35" s="158">
        <f>SUMIF('内訳ﾘｽﾄ(4～3月)'!$D$26:$D$973,$B35,'内訳ﾘｽﾄ(4～3月)'!Q$26:Q$973)</f>
        <v>0</v>
      </c>
      <c r="O35" s="158">
        <f>SUMIF('内訳ﾘｽﾄ(4～3月)'!$D$26:$D$772,'採算表(VND)'!$B35,'内訳ﾘｽﾄ(4～3月)'!R$26:R$772)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SUMIF('内訳ﾘｽﾄ(4～3月)'!$D$26:$D$973,$B36,'内訳ﾘｽﾄ(4～3月)'!F$26:F$973)</f>
        <v>0</v>
      </c>
      <c r="D36" s="158">
        <f>SUMIF('内訳ﾘｽﾄ(4～3月)'!$D$26:$D$973,$B36,'内訳ﾘｽﾄ(4～3月)'!G$26:G$973)</f>
        <v>0</v>
      </c>
      <c r="E36" s="158">
        <f>SUMIF('内訳ﾘｽﾄ(4～3月)'!$D$26:$D$973,$B36,'内訳ﾘｽﾄ(4～3月)'!H$26:H$973)</f>
        <v>0</v>
      </c>
      <c r="F36" s="158">
        <f>SUMIF('内訳ﾘｽﾄ(4～3月)'!$D$26:$D$973,$B36,'内訳ﾘｽﾄ(4～3月)'!I$26:I$973)</f>
        <v>0</v>
      </c>
      <c r="G36" s="158">
        <f>SUMIF('内訳ﾘｽﾄ(4～3月)'!$D$26:$D$973,$B36,'内訳ﾘｽﾄ(4～3月)'!J$26:J$973)</f>
        <v>0</v>
      </c>
      <c r="H36" s="158">
        <f>SUMIF('内訳ﾘｽﾄ(4～3月)'!$D$26:$D$973,$B36,'内訳ﾘｽﾄ(4～3月)'!K$26:K$973)</f>
        <v>0</v>
      </c>
      <c r="I36" s="158">
        <f>SUMIF('内訳ﾘｽﾄ(4～3月)'!$D$26:$D$973,$B36,'内訳ﾘｽﾄ(4～3月)'!L$26:L$973)</f>
        <v>0</v>
      </c>
      <c r="J36" s="158">
        <f>SUMIF('内訳ﾘｽﾄ(4～3月)'!$D$26:$D$973,$B36,'内訳ﾘｽﾄ(4～3月)'!M$26:M$973)</f>
        <v>0</v>
      </c>
      <c r="K36" s="158">
        <f>SUMIF('内訳ﾘｽﾄ(4～3月)'!$D$26:$D$973,$B36,'内訳ﾘｽﾄ(4～3月)'!N$26:N$973)</f>
        <v>0</v>
      </c>
      <c r="L36" s="158">
        <f>SUMIF('内訳ﾘｽﾄ(4～3月)'!$D$26:$D$973,$B36,'内訳ﾘｽﾄ(4～3月)'!O$26:O$973)</f>
        <v>0</v>
      </c>
      <c r="M36" s="158">
        <f>SUMIF('内訳ﾘｽﾄ(4～3月)'!$D$26:$D$973,$B36,'内訳ﾘｽﾄ(4～3月)'!P$26:P$973)</f>
        <v>0</v>
      </c>
      <c r="N36" s="158">
        <f>SUMIF('内訳ﾘｽﾄ(4～3月)'!$D$26:$D$973,$B36,'内訳ﾘｽﾄ(4～3月)'!Q$26:Q$973)</f>
        <v>0</v>
      </c>
      <c r="O36" s="158">
        <f>SUMIF('内訳ﾘｽﾄ(4～3月)'!$D$26:$D$772,'採算表(VND)'!$B36,'内訳ﾘｽﾄ(4～3月)'!R$26:R$772)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SUMIF('内訳ﾘｽﾄ(4～3月)'!$D$26:$D$973,$B37,'内訳ﾘｽﾄ(4～3月)'!F$26:F$973)</f>
        <v>0</v>
      </c>
      <c r="D37" s="158">
        <f>SUMIF('内訳ﾘｽﾄ(4～3月)'!$D$26:$D$973,$B37,'内訳ﾘｽﾄ(4～3月)'!G$26:G$973)</f>
        <v>0</v>
      </c>
      <c r="E37" s="158">
        <f>SUMIF('内訳ﾘｽﾄ(4～3月)'!$D$26:$D$973,$B37,'内訳ﾘｽﾄ(4～3月)'!H$26:H$973)</f>
        <v>0</v>
      </c>
      <c r="F37" s="158">
        <f>SUMIF('内訳ﾘｽﾄ(4～3月)'!$D$26:$D$973,$B37,'内訳ﾘｽﾄ(4～3月)'!I$26:I$973)</f>
        <v>0</v>
      </c>
      <c r="G37" s="158">
        <f>SUMIF('内訳ﾘｽﾄ(4～3月)'!$D$26:$D$973,$B37,'内訳ﾘｽﾄ(4～3月)'!J$26:J$973)</f>
        <v>0</v>
      </c>
      <c r="H37" s="158">
        <f>SUMIF('内訳ﾘｽﾄ(4～3月)'!$D$26:$D$973,$B37,'内訳ﾘｽﾄ(4～3月)'!K$26:K$973)</f>
        <v>0</v>
      </c>
      <c r="I37" s="158">
        <f>SUMIF('内訳ﾘｽﾄ(4～3月)'!$D$26:$D$973,$B37,'内訳ﾘｽﾄ(4～3月)'!L$26:L$973)</f>
        <v>0</v>
      </c>
      <c r="J37" s="158">
        <f>SUMIF('内訳ﾘｽﾄ(4～3月)'!$D$26:$D$973,$B37,'内訳ﾘｽﾄ(4～3月)'!M$26:M$973)</f>
        <v>0</v>
      </c>
      <c r="K37" s="158">
        <f>SUMIF('内訳ﾘｽﾄ(4～3月)'!$D$26:$D$973,$B37,'内訳ﾘｽﾄ(4～3月)'!N$26:N$973)</f>
        <v>0</v>
      </c>
      <c r="L37" s="158">
        <f>SUMIF('内訳ﾘｽﾄ(4～3月)'!$D$26:$D$973,$B37,'内訳ﾘｽﾄ(4～3月)'!O$26:O$973)</f>
        <v>0</v>
      </c>
      <c r="M37" s="158">
        <f>SUMIF('内訳ﾘｽﾄ(4～3月)'!$D$26:$D$973,$B37,'内訳ﾘｽﾄ(4～3月)'!P$26:P$973)</f>
        <v>0</v>
      </c>
      <c r="N37" s="158">
        <f>SUMIF('内訳ﾘｽﾄ(4～3月)'!$D$26:$D$973,$B37,'内訳ﾘｽﾄ(4～3月)'!Q$26:Q$973)</f>
        <v>0</v>
      </c>
      <c r="O37" s="158">
        <f>SUMIF('内訳ﾘｽﾄ(4～3月)'!$D$26:$D$772,'採算表(VND)'!$B37,'内訳ﾘｽﾄ(4～3月)'!R$26:R$772)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SUMIF('内訳ﾘｽﾄ(4～3月)'!$D$26:$D$973,$B38,'内訳ﾘｽﾄ(4～3月)'!F$26:F$973)</f>
        <v>0</v>
      </c>
      <c r="D38" s="158">
        <f>SUMIF('内訳ﾘｽﾄ(4～3月)'!$D$26:$D$973,$B38,'内訳ﾘｽﾄ(4～3月)'!G$26:G$973)</f>
        <v>0</v>
      </c>
      <c r="E38" s="158">
        <f>SUMIF('内訳ﾘｽﾄ(4～3月)'!$D$26:$D$973,$B38,'内訳ﾘｽﾄ(4～3月)'!H$26:H$973)</f>
        <v>0</v>
      </c>
      <c r="F38" s="158">
        <f>SUMIF('内訳ﾘｽﾄ(4～3月)'!$D$26:$D$973,$B38,'内訳ﾘｽﾄ(4～3月)'!I$26:I$973)</f>
        <v>0</v>
      </c>
      <c r="G38" s="158">
        <f>SUMIF('内訳ﾘｽﾄ(4～3月)'!$D$26:$D$973,$B38,'内訳ﾘｽﾄ(4～3月)'!J$26:J$973)</f>
        <v>0</v>
      </c>
      <c r="H38" s="158">
        <f>SUMIF('内訳ﾘｽﾄ(4～3月)'!$D$26:$D$973,$B38,'内訳ﾘｽﾄ(4～3月)'!K$26:K$973)</f>
        <v>0</v>
      </c>
      <c r="I38" s="158">
        <f>SUMIF('内訳ﾘｽﾄ(4～3月)'!$D$26:$D$973,$B38,'内訳ﾘｽﾄ(4～3月)'!L$26:L$973)</f>
        <v>0</v>
      </c>
      <c r="J38" s="158">
        <f>SUMIF('内訳ﾘｽﾄ(4～3月)'!$D$26:$D$973,$B38,'内訳ﾘｽﾄ(4～3月)'!M$26:M$973)</f>
        <v>0</v>
      </c>
      <c r="K38" s="158">
        <f>SUMIF('内訳ﾘｽﾄ(4～3月)'!$D$26:$D$973,$B38,'内訳ﾘｽﾄ(4～3月)'!N$26:N$973)</f>
        <v>0</v>
      </c>
      <c r="L38" s="158">
        <f>SUMIF('内訳ﾘｽﾄ(4～3月)'!$D$26:$D$973,$B38,'内訳ﾘｽﾄ(4～3月)'!O$26:O$973)</f>
        <v>0</v>
      </c>
      <c r="M38" s="158">
        <f>SUMIF('内訳ﾘｽﾄ(4～3月)'!$D$26:$D$973,$B38,'内訳ﾘｽﾄ(4～3月)'!P$26:P$973)</f>
        <v>0</v>
      </c>
      <c r="N38" s="158">
        <f>SUMIF('内訳ﾘｽﾄ(4～3月)'!$D$26:$D$973,$B38,'内訳ﾘｽﾄ(4～3月)'!Q$26:Q$973)</f>
        <v>0</v>
      </c>
      <c r="O38" s="158">
        <f>SUMIF('内訳ﾘｽﾄ(4～3月)'!$D$26:$D$772,'採算表(VND)'!$B38,'内訳ﾘｽﾄ(4～3月)'!R$26:R$772)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SUMIF('内訳ﾘｽﾄ(4～3月)'!$D$26:$D$973,$B39,'内訳ﾘｽﾄ(4～3月)'!F$26:F$973)</f>
        <v>8454840</v>
      </c>
      <c r="D39" s="158">
        <f>SUMIF('内訳ﾘｽﾄ(4～3月)'!$D$26:$D$973,$B39,'内訳ﾘｽﾄ(4～3月)'!G$26:G$973)</f>
        <v>32755430</v>
      </c>
      <c r="E39" s="158">
        <f>SUMIF('内訳ﾘｽﾄ(4～3月)'!$D$26:$D$973,$B39,'内訳ﾘｽﾄ(4～3月)'!H$26:H$973)</f>
        <v>8544400</v>
      </c>
      <c r="F39" s="158">
        <f>SUMIF('内訳ﾘｽﾄ(4～3月)'!$D$26:$D$973,$B39,'内訳ﾘｽﾄ(4～3月)'!I$26:I$973)</f>
        <v>29455586</v>
      </c>
      <c r="G39" s="158">
        <f>SUMIF('内訳ﾘｽﾄ(4～3月)'!$D$26:$D$973,$B39,'内訳ﾘｽﾄ(4～3月)'!J$26:J$973)</f>
        <v>8430963</v>
      </c>
      <c r="H39" s="158">
        <f>SUMIF('内訳ﾘｽﾄ(4～3月)'!$D$26:$D$973,$B39,'内訳ﾘｽﾄ(4～3月)'!K$26:K$973)</f>
        <v>29386890</v>
      </c>
      <c r="I39" s="158">
        <f>SUMIF('内訳ﾘｽﾄ(4～3月)'!$D$26:$D$973,$B39,'内訳ﾘｽﾄ(4～3月)'!L$26:L$973)</f>
        <v>18350272</v>
      </c>
      <c r="J39" s="158">
        <f>SUMIF('内訳ﾘｽﾄ(4～3月)'!$D$26:$D$973,$B39,'内訳ﾘｽﾄ(4～3月)'!M$26:M$973)</f>
        <v>91337160</v>
      </c>
      <c r="K39" s="158">
        <f>SUMIF('内訳ﾘｽﾄ(4～3月)'!$D$26:$D$973,$B39,'内訳ﾘｽﾄ(4～3月)'!N$26:N$973)</f>
        <v>120340729</v>
      </c>
      <c r="L39" s="158">
        <f>SUMIF('内訳ﾘｽﾄ(4～3月)'!$D$26:$D$973,$B39,'内訳ﾘｽﾄ(4～3月)'!O$26:O$973)</f>
        <v>29307548</v>
      </c>
      <c r="M39" s="158">
        <f>SUMIF('内訳ﾘｽﾄ(4～3月)'!$D$26:$D$973,$B39,'内訳ﾘｽﾄ(4～3月)'!P$26:P$973)</f>
        <v>8261134</v>
      </c>
      <c r="N39" s="158">
        <f>SUMIF('内訳ﾘｽﾄ(4～3月)'!$D$26:$D$973,$B39,'内訳ﾘｽﾄ(4～3月)'!Q$26:Q$973)</f>
        <v>29295500</v>
      </c>
      <c r="O39" s="158">
        <f>SUMIF('内訳ﾘｽﾄ(4～3月)'!$D$26:$D$772,'採算表(VND)'!$B39,'内訳ﾘｽﾄ(4～3月)'!R$26:R$772)</f>
        <v>413920452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SUMIF('内訳ﾘｽﾄ(4～3月)'!$D$26:$D$973,$B40,'内訳ﾘｽﾄ(4～3月)'!F$26:F$973)</f>
        <v>0</v>
      </c>
      <c r="D40" s="158">
        <f>SUMIF('内訳ﾘｽﾄ(4～3月)'!$D$26:$D$973,$B40,'内訳ﾘｽﾄ(4～3月)'!G$26:G$973)</f>
        <v>0</v>
      </c>
      <c r="E40" s="158">
        <f>SUMIF('内訳ﾘｽﾄ(4～3月)'!$D$26:$D$973,$B40,'内訳ﾘｽﾄ(4～3月)'!H$26:H$973)</f>
        <v>0</v>
      </c>
      <c r="F40" s="158">
        <f>SUMIF('内訳ﾘｽﾄ(4～3月)'!$D$26:$D$973,$B40,'内訳ﾘｽﾄ(4～3月)'!I$26:I$973)</f>
        <v>0</v>
      </c>
      <c r="G40" s="158">
        <f>SUMIF('内訳ﾘｽﾄ(4～3月)'!$D$26:$D$973,$B40,'内訳ﾘｽﾄ(4～3月)'!J$26:J$973)</f>
        <v>0</v>
      </c>
      <c r="H40" s="158">
        <f>SUMIF('内訳ﾘｽﾄ(4～3月)'!$D$26:$D$973,$B40,'内訳ﾘｽﾄ(4～3月)'!K$26:K$973)</f>
        <v>0</v>
      </c>
      <c r="I40" s="158">
        <f>SUMIF('内訳ﾘｽﾄ(4～3月)'!$D$26:$D$973,$B40,'内訳ﾘｽﾄ(4～3月)'!L$26:L$973)</f>
        <v>0</v>
      </c>
      <c r="J40" s="158">
        <f>SUMIF('内訳ﾘｽﾄ(4～3月)'!$D$26:$D$973,$B40,'内訳ﾘｽﾄ(4～3月)'!M$26:M$973)</f>
        <v>0</v>
      </c>
      <c r="K40" s="158">
        <f>SUMIF('内訳ﾘｽﾄ(4～3月)'!$D$26:$D$973,$B40,'内訳ﾘｽﾄ(4～3月)'!N$26:N$973)</f>
        <v>0</v>
      </c>
      <c r="L40" s="158">
        <f>SUMIF('内訳ﾘｽﾄ(4～3月)'!$D$26:$D$973,$B40,'内訳ﾘｽﾄ(4～3月)'!O$26:O$973)</f>
        <v>0</v>
      </c>
      <c r="M40" s="158">
        <f>SUMIF('内訳ﾘｽﾄ(4～3月)'!$D$26:$D$973,$B40,'内訳ﾘｽﾄ(4～3月)'!P$26:P$973)</f>
        <v>0</v>
      </c>
      <c r="N40" s="158">
        <f>SUMIF('内訳ﾘｽﾄ(4～3月)'!$D$26:$D$973,$B40,'内訳ﾘｽﾄ(4～3月)'!Q$26:Q$973)</f>
        <v>0</v>
      </c>
      <c r="O40" s="158">
        <f>SUMIF('内訳ﾘｽﾄ(4～3月)'!$D$26:$D$772,'採算表(VND)'!$B40,'内訳ﾘｽﾄ(4～3月)'!R$26:R$772)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SUMIF('内訳ﾘｽﾄ(4～3月)'!$D$26:$D$973,$B41,'内訳ﾘｽﾄ(4～3月)'!F$26:F$973)</f>
        <v>4950000</v>
      </c>
      <c r="D41" s="158">
        <f>SUMIF('内訳ﾘｽﾄ(4～3月)'!$D$26:$D$973,$B41,'内訳ﾘｽﾄ(4～3月)'!G$26:G$973)</f>
        <v>4950000</v>
      </c>
      <c r="E41" s="158">
        <f>SUMIF('内訳ﾘｽﾄ(4～3月)'!$D$26:$D$973,$B41,'内訳ﾘｽﾄ(4～3月)'!H$26:H$973)</f>
        <v>4950000</v>
      </c>
      <c r="F41" s="158">
        <f>SUMIF('内訳ﾘｽﾄ(4～3月)'!$D$26:$D$973,$B41,'内訳ﾘｽﾄ(4～3月)'!I$26:I$973)</f>
        <v>4950000</v>
      </c>
      <c r="G41" s="158">
        <f>SUMIF('内訳ﾘｽﾄ(4～3月)'!$D$26:$D$973,$B41,'内訳ﾘｽﾄ(4～3月)'!J$26:J$973)</f>
        <v>4950000</v>
      </c>
      <c r="H41" s="158">
        <f>SUMIF('内訳ﾘｽﾄ(4～3月)'!$D$26:$D$973,$B41,'内訳ﾘｽﾄ(4～3月)'!K$26:K$973)</f>
        <v>4950000</v>
      </c>
      <c r="I41" s="158">
        <f>SUMIF('内訳ﾘｽﾄ(4～3月)'!$D$26:$D$973,$B41,'内訳ﾘｽﾄ(4～3月)'!L$26:L$973)</f>
        <v>4950000</v>
      </c>
      <c r="J41" s="158">
        <f>SUMIF('内訳ﾘｽﾄ(4～3月)'!$D$26:$D$973,$B41,'内訳ﾘｽﾄ(4～3月)'!M$26:M$973)</f>
        <v>4950000</v>
      </c>
      <c r="K41" s="158">
        <f>SUMIF('内訳ﾘｽﾄ(4～3月)'!$D$26:$D$973,$B41,'内訳ﾘｽﾄ(4～3月)'!N$26:N$973)</f>
        <v>4950000</v>
      </c>
      <c r="L41" s="158">
        <f>SUMIF('内訳ﾘｽﾄ(4～3月)'!$D$26:$D$973,$B41,'内訳ﾘｽﾄ(4～3月)'!O$26:O$973)</f>
        <v>8950000</v>
      </c>
      <c r="M41" s="158">
        <f>SUMIF('内訳ﾘｽﾄ(4～3月)'!$D$26:$D$973,$B41,'内訳ﾘｽﾄ(4～3月)'!P$26:P$973)</f>
        <v>4950000</v>
      </c>
      <c r="N41" s="158">
        <f>SUMIF('内訳ﾘｽﾄ(4～3月)'!$D$26:$D$973,$B41,'内訳ﾘｽﾄ(4～3月)'!Q$26:Q$973)</f>
        <v>4950000</v>
      </c>
      <c r="O41" s="158">
        <f>SUMIF('内訳ﾘｽﾄ(4～3月)'!$D$26:$D$772,'採算表(VND)'!$B41,'内訳ﾘｽﾄ(4～3月)'!R$26:R$772)</f>
        <v>63400000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SUMIF('内訳ﾘｽﾄ(4～3月)'!$D$26:$D$973,$B42,'内訳ﾘｽﾄ(4～3月)'!F$26:F$973)</f>
        <v>50225520</v>
      </c>
      <c r="D42" s="158">
        <f>SUMIF('内訳ﾘｽﾄ(4～3月)'!$D$26:$D$973,$B42,'内訳ﾘｽﾄ(4～3月)'!G$26:G$973)</f>
        <v>20437143</v>
      </c>
      <c r="E42" s="158">
        <f>SUMIF('内訳ﾘｽﾄ(4～3月)'!$D$26:$D$973,$B42,'内訳ﾘｽﾄ(4～3月)'!H$26:H$973)</f>
        <v>15602613</v>
      </c>
      <c r="F42" s="158">
        <f>SUMIF('内訳ﾘｽﾄ(4～3月)'!$D$26:$D$973,$B42,'内訳ﾘｽﾄ(4～3月)'!I$26:I$973)</f>
        <v>23020913</v>
      </c>
      <c r="G42" s="158">
        <f>SUMIF('内訳ﾘｽﾄ(4～3月)'!$D$26:$D$973,$B42,'内訳ﾘｽﾄ(4～3月)'!J$26:J$973)</f>
        <v>24513213</v>
      </c>
      <c r="H42" s="158">
        <f>SUMIF('内訳ﾘｽﾄ(4～3月)'!$D$26:$D$973,$B42,'内訳ﾘｽﾄ(4～3月)'!K$26:K$973)</f>
        <v>55131807</v>
      </c>
      <c r="I42" s="158">
        <f>SUMIF('内訳ﾘｽﾄ(4～3月)'!$D$26:$D$973,$B42,'内訳ﾘｽﾄ(4～3月)'!L$26:L$973)</f>
        <v>24403613</v>
      </c>
      <c r="J42" s="158">
        <f>SUMIF('内訳ﾘｽﾄ(4～3月)'!$D$26:$D$973,$B42,'内訳ﾘｽﾄ(4～3月)'!M$26:M$973)</f>
        <v>14663313</v>
      </c>
      <c r="K42" s="158">
        <f>SUMIF('内訳ﾘｽﾄ(4～3月)'!$D$26:$D$973,$B42,'内訳ﾘｽﾄ(4～3月)'!N$26:N$973)</f>
        <v>25418613</v>
      </c>
      <c r="L42" s="158">
        <f>SUMIF('内訳ﾘｽﾄ(4～3月)'!$D$26:$D$973,$B42,'内訳ﾘｽﾄ(4～3月)'!O$26:O$973)</f>
        <v>19765313</v>
      </c>
      <c r="M42" s="158">
        <f>SUMIF('内訳ﾘｽﾄ(4～3月)'!$D$26:$D$973,$B42,'内訳ﾘｽﾄ(4～3月)'!P$26:P$973)</f>
        <v>47373290</v>
      </c>
      <c r="N42" s="158">
        <f>SUMIF('内訳ﾘｽﾄ(4～3月)'!$D$26:$D$973,$B42,'内訳ﾘｽﾄ(4～3月)'!Q$26:Q$973)</f>
        <v>14936113</v>
      </c>
      <c r="O42" s="158">
        <f>SUMIF('内訳ﾘｽﾄ(4～3月)'!$D$26:$D$772,'採算表(VND)'!$B42,'内訳ﾘｽﾄ(4～3月)'!R$26:R$772)</f>
        <v>335491464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SUMIF('内訳ﾘｽﾄ(4～3月)'!$D$26:$D$973,$B43,'内訳ﾘｽﾄ(4～3月)'!F$26:F$973)</f>
        <v>53681000</v>
      </c>
      <c r="D43" s="158">
        <f>SUMIF('内訳ﾘｽﾄ(4～3月)'!$D$26:$D$973,$B43,'内訳ﾘｽﾄ(4～3月)'!G$26:G$973)</f>
        <v>30860000</v>
      </c>
      <c r="E43" s="158">
        <f>SUMIF('内訳ﾘｽﾄ(4～3月)'!$D$26:$D$973,$B43,'内訳ﾘｽﾄ(4～3月)'!H$26:H$973)</f>
        <v>3572000</v>
      </c>
      <c r="F43" s="158">
        <f>SUMIF('内訳ﾘｽﾄ(4～3月)'!$D$26:$D$973,$B43,'内訳ﾘｽﾄ(4～3月)'!I$26:I$973)</f>
        <v>47437000</v>
      </c>
      <c r="G43" s="158">
        <f>SUMIF('内訳ﾘｽﾄ(4～3月)'!$D$26:$D$973,$B43,'内訳ﾘｽﾄ(4～3月)'!J$26:J$973)</f>
        <v>4175000</v>
      </c>
      <c r="H43" s="158">
        <f>SUMIF('内訳ﾘｽﾄ(4～3月)'!$D$26:$D$973,$B43,'内訳ﾘｽﾄ(4～3月)'!K$26:K$973)</f>
        <v>4412000</v>
      </c>
      <c r="I43" s="158">
        <f>SUMIF('内訳ﾘｽﾄ(4～3月)'!$D$26:$D$973,$B43,'内訳ﾘｽﾄ(4～3月)'!L$26:L$973)</f>
        <v>48845000</v>
      </c>
      <c r="J43" s="158">
        <f>SUMIF('内訳ﾘｽﾄ(4～3月)'!$D$26:$D$973,$B43,'内訳ﾘｽﾄ(4～3月)'!M$26:M$973)</f>
        <v>5505000</v>
      </c>
      <c r="K43" s="158">
        <f>SUMIF('内訳ﾘｽﾄ(4～3月)'!$D$26:$D$973,$B43,'内訳ﾘｽﾄ(4～3月)'!N$26:N$973)</f>
        <v>1620000</v>
      </c>
      <c r="L43" s="158">
        <f>SUMIF('内訳ﾘｽﾄ(4～3月)'!$D$26:$D$973,$B43,'内訳ﾘｽﾄ(4～3月)'!O$26:O$973)</f>
        <v>48416000</v>
      </c>
      <c r="M43" s="158">
        <f>SUMIF('内訳ﾘｽﾄ(4～3月)'!$D$26:$D$973,$B43,'内訳ﾘｽﾄ(4～3月)'!P$26:P$973)</f>
        <v>2505000</v>
      </c>
      <c r="N43" s="158">
        <f>SUMIF('内訳ﾘｽﾄ(4～3月)'!$D$26:$D$973,$B43,'内訳ﾘｽﾄ(4～3月)'!Q$26:Q$973)</f>
        <v>2655000</v>
      </c>
      <c r="O43" s="158">
        <f>SUMIF('内訳ﾘｽﾄ(4～3月)'!$D$26:$D$772,'採算表(VND)'!$B43,'内訳ﾘｽﾄ(4～3月)'!R$26:R$772)</f>
        <v>253683000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 ca="1">SUMIF('内訳ﾘｽﾄ(4～3月)'!$D$26:$D$973,$B44,'内訳ﾘｽﾄ(4～3月)'!F$26:F$973)</f>
        <v>1785928112</v>
      </c>
      <c r="D44" s="158">
        <f ca="1">SUMIF('内訳ﾘｽﾄ(4～3月)'!$D$26:$D$973,$B44,'内訳ﾘｽﾄ(4～3月)'!G$26:G$973)</f>
        <v>20697254</v>
      </c>
      <c r="E44" s="158">
        <f ca="1">SUMIF('内訳ﾘｽﾄ(4～3月)'!$D$26:$D$973,$B44,'内訳ﾘｽﾄ(4～3月)'!H$26:H$973)</f>
        <v>49483825</v>
      </c>
      <c r="F44" s="158">
        <f ca="1">SUMIF('内訳ﾘｽﾄ(4～3月)'!$D$26:$D$973,$B44,'内訳ﾘｽﾄ(4～3月)'!I$26:I$973)</f>
        <v>-33426331</v>
      </c>
      <c r="G44" s="158">
        <f ca="1">SUMIF('内訳ﾘｽﾄ(4～3月)'!$D$26:$D$973,$B44,'内訳ﾘｽﾄ(4～3月)'!J$26:J$973)</f>
        <v>106911200</v>
      </c>
      <c r="H44" s="158">
        <f ca="1">SUMIF('内訳ﾘｽﾄ(4～3月)'!$D$26:$D$973,$B44,'内訳ﾘｽﾄ(4～3月)'!K$26:K$973)</f>
        <v>23244318</v>
      </c>
      <c r="I44" s="158">
        <f ca="1">SUMIF('内訳ﾘｽﾄ(4～3月)'!$D$26:$D$973,$B44,'内訳ﾘｽﾄ(4～3月)'!L$26:L$973)</f>
        <v>-125454694</v>
      </c>
      <c r="J44" s="158">
        <f ca="1">SUMIF('内訳ﾘｽﾄ(4～3月)'!$D$26:$D$973,$B44,'内訳ﾘｽﾄ(4～3月)'!M$26:M$973)</f>
        <v>66306432</v>
      </c>
      <c r="K44" s="158">
        <f ca="1">SUMIF('内訳ﾘｽﾄ(4～3月)'!$D$26:$D$973,$B44,'内訳ﾘｽﾄ(4～3月)'!N$26:N$973)</f>
        <v>116303034</v>
      </c>
      <c r="L44" s="158">
        <f ca="1">SUMIF('内訳ﾘｽﾄ(4～3月)'!$D$26:$D$973,$B44,'内訳ﾘｽﾄ(4～3月)'!O$26:O$973)</f>
        <v>145890666</v>
      </c>
      <c r="M44" s="158">
        <f ca="1">SUMIF('内訳ﾘｽﾄ(4～3月)'!$D$26:$D$973,$B44,'内訳ﾘｽﾄ(4～3月)'!P$26:P$973)</f>
        <v>29303178</v>
      </c>
      <c r="N44" s="158">
        <f ca="1">SUMIF('内訳ﾘｽﾄ(4～3月)'!$D$26:$D$973,$B44,'内訳ﾘｽﾄ(4～3月)'!Q$26:Q$973)</f>
        <v>37754464</v>
      </c>
      <c r="O44" s="158">
        <f ca="1">SUMIF('内訳ﾘｽﾄ(4～3月)'!$D$26:$D$772,'採算表(VND)'!$B44,'内訳ﾘｽﾄ(4～3月)'!R$26:R$772)</f>
        <v>2222941458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SUMIF('内訳ﾘｽﾄ(4～3月)'!$D$26:$D$973,$B45,'内訳ﾘｽﾄ(4～3月)'!F$26:F$973)</f>
        <v>0</v>
      </c>
      <c r="D45" s="158">
        <f>SUMIF('内訳ﾘｽﾄ(4～3月)'!$D$26:$D$973,$B45,'内訳ﾘｽﾄ(4～3月)'!G$26:G$973)</f>
        <v>0</v>
      </c>
      <c r="E45" s="158">
        <f>SUMIF('内訳ﾘｽﾄ(4～3月)'!$D$26:$D$973,$B45,'内訳ﾘｽﾄ(4～3月)'!H$26:H$973)</f>
        <v>0</v>
      </c>
      <c r="F45" s="158">
        <f>SUMIF('内訳ﾘｽﾄ(4～3月)'!$D$26:$D$973,$B45,'内訳ﾘｽﾄ(4～3月)'!I$26:I$973)</f>
        <v>0</v>
      </c>
      <c r="G45" s="158">
        <f>SUMIF('内訳ﾘｽﾄ(4～3月)'!$D$26:$D$973,$B45,'内訳ﾘｽﾄ(4～3月)'!J$26:J$973)</f>
        <v>0</v>
      </c>
      <c r="H45" s="158">
        <f>SUMIF('内訳ﾘｽﾄ(4～3月)'!$D$26:$D$973,$B45,'内訳ﾘｽﾄ(4～3月)'!K$26:K$973)</f>
        <v>1300000</v>
      </c>
      <c r="I45" s="158">
        <f>SUMIF('内訳ﾘｽﾄ(4～3月)'!$D$26:$D$973,$B45,'内訳ﾘｽﾄ(4～3月)'!L$26:L$973)</f>
        <v>0</v>
      </c>
      <c r="J45" s="158">
        <f>SUMIF('内訳ﾘｽﾄ(4～3月)'!$D$26:$D$973,$B45,'内訳ﾘｽﾄ(4～3月)'!M$26:M$973)</f>
        <v>14850000</v>
      </c>
      <c r="K45" s="158">
        <f>SUMIF('内訳ﾘｽﾄ(4～3月)'!$D$26:$D$973,$B45,'内訳ﾘｽﾄ(4～3月)'!N$26:N$973)</f>
        <v>0</v>
      </c>
      <c r="L45" s="158">
        <f>SUMIF('内訳ﾘｽﾄ(4～3月)'!$D$26:$D$973,$B45,'内訳ﾘｽﾄ(4～3月)'!O$26:O$973)</f>
        <v>0</v>
      </c>
      <c r="M45" s="158">
        <f>SUMIF('内訳ﾘｽﾄ(4～3月)'!$D$26:$D$973,$B45,'内訳ﾘｽﾄ(4～3月)'!P$26:P$973)</f>
        <v>1300000</v>
      </c>
      <c r="N45" s="158">
        <f>SUMIF('内訳ﾘｽﾄ(4～3月)'!$D$26:$D$973,$B45,'内訳ﾘｽﾄ(4～3月)'!Q$26:Q$973)</f>
        <v>0</v>
      </c>
      <c r="O45" s="158">
        <f>SUMIF('内訳ﾘｽﾄ(4～3月)'!$D$26:$D$772,'採算表(VND)'!$B45,'内訳ﾘｽﾄ(4～3月)'!R$26:R$772)</f>
        <v>17450000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SUMIF('内訳ﾘｽﾄ(4～3月)'!$D$26:$D$973,$B46,'内訳ﾘｽﾄ(4～3月)'!F$26:F$973)</f>
        <v>0</v>
      </c>
      <c r="D46" s="158">
        <f>SUMIF('内訳ﾘｽﾄ(4～3月)'!$D$26:$D$973,$B46,'内訳ﾘｽﾄ(4～3月)'!G$26:G$973)</f>
        <v>0</v>
      </c>
      <c r="E46" s="158">
        <f>SUMIF('内訳ﾘｽﾄ(4～3月)'!$D$26:$D$973,$B46,'内訳ﾘｽﾄ(4～3月)'!H$26:H$973)</f>
        <v>0</v>
      </c>
      <c r="F46" s="158">
        <f>SUMIF('内訳ﾘｽﾄ(4～3月)'!$D$26:$D$973,$B46,'内訳ﾘｽﾄ(4～3月)'!I$26:I$973)</f>
        <v>0</v>
      </c>
      <c r="G46" s="158">
        <f>SUMIF('内訳ﾘｽﾄ(4～3月)'!$D$26:$D$973,$B46,'内訳ﾘｽﾄ(4～3月)'!J$26:J$973)</f>
        <v>0</v>
      </c>
      <c r="H46" s="158">
        <f>SUMIF('内訳ﾘｽﾄ(4～3月)'!$D$26:$D$973,$B46,'内訳ﾘｽﾄ(4～3月)'!K$26:K$973)</f>
        <v>0</v>
      </c>
      <c r="I46" s="158">
        <f>SUMIF('内訳ﾘｽﾄ(4～3月)'!$D$26:$D$973,$B46,'内訳ﾘｽﾄ(4～3月)'!L$26:L$973)</f>
        <v>0</v>
      </c>
      <c r="J46" s="158">
        <f>SUMIF('内訳ﾘｽﾄ(4～3月)'!$D$26:$D$973,$B46,'内訳ﾘｽﾄ(4～3月)'!M$26:M$973)</f>
        <v>0</v>
      </c>
      <c r="K46" s="158">
        <f>SUMIF('内訳ﾘｽﾄ(4～3月)'!$D$26:$D$973,$B46,'内訳ﾘｽﾄ(4～3月)'!N$26:N$973)</f>
        <v>0</v>
      </c>
      <c r="L46" s="158">
        <f>SUMIF('内訳ﾘｽﾄ(4～3月)'!$D$26:$D$973,$B46,'内訳ﾘｽﾄ(4～3月)'!O$26:O$973)</f>
        <v>0</v>
      </c>
      <c r="M46" s="158">
        <f>SUMIF('内訳ﾘｽﾄ(4～3月)'!$D$26:$D$973,$B46,'内訳ﾘｽﾄ(4～3月)'!P$26:P$973)</f>
        <v>0</v>
      </c>
      <c r="N46" s="158">
        <f>SUMIF('内訳ﾘｽﾄ(4～3月)'!$D$26:$D$973,$B46,'内訳ﾘｽﾄ(4～3月)'!Q$26:Q$973)</f>
        <v>0</v>
      </c>
      <c r="O46" s="158">
        <f>SUMIF('内訳ﾘｽﾄ(4～3月)'!$D$26:$D$772,'採算表(VND)'!$B46,'内訳ﾘｽﾄ(4～3月)'!R$26:R$772)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SUMIF('内訳ﾘｽﾄ(4～3月)'!$D$26:$D$973,$B47,'内訳ﾘｽﾄ(4～3月)'!F$26:F$973)</f>
        <v>0</v>
      </c>
      <c r="D47" s="158">
        <f>SUMIF('内訳ﾘｽﾄ(4～3月)'!$D$26:$D$973,$B47,'内訳ﾘｽﾄ(4～3月)'!G$26:G$973)</f>
        <v>0</v>
      </c>
      <c r="E47" s="158">
        <f>SUMIF('内訳ﾘｽﾄ(4～3月)'!$D$26:$D$973,$B47,'内訳ﾘｽﾄ(4～3月)'!H$26:H$973)</f>
        <v>0</v>
      </c>
      <c r="F47" s="158">
        <f>SUMIF('内訳ﾘｽﾄ(4～3月)'!$D$26:$D$973,$B47,'内訳ﾘｽﾄ(4～3月)'!I$26:I$973)</f>
        <v>0</v>
      </c>
      <c r="G47" s="158">
        <f>SUMIF('内訳ﾘｽﾄ(4～3月)'!$D$26:$D$973,$B47,'内訳ﾘｽﾄ(4～3月)'!J$26:J$973)</f>
        <v>0</v>
      </c>
      <c r="H47" s="158">
        <f>SUMIF('内訳ﾘｽﾄ(4～3月)'!$D$26:$D$973,$B47,'内訳ﾘｽﾄ(4～3月)'!K$26:K$973)</f>
        <v>0</v>
      </c>
      <c r="I47" s="158">
        <f>SUMIF('内訳ﾘｽﾄ(4～3月)'!$D$26:$D$973,$B47,'内訳ﾘｽﾄ(4～3月)'!L$26:L$973)</f>
        <v>0</v>
      </c>
      <c r="J47" s="158">
        <f>SUMIF('内訳ﾘｽﾄ(4～3月)'!$D$26:$D$973,$B47,'内訳ﾘｽﾄ(4～3月)'!M$26:M$973)</f>
        <v>0</v>
      </c>
      <c r="K47" s="158">
        <f>SUMIF('内訳ﾘｽﾄ(4～3月)'!$D$26:$D$973,$B47,'内訳ﾘｽﾄ(4～3月)'!N$26:N$973)</f>
        <v>0</v>
      </c>
      <c r="L47" s="158">
        <f>SUMIF('内訳ﾘｽﾄ(4～3月)'!$D$26:$D$973,$B47,'内訳ﾘｽﾄ(4～3月)'!O$26:O$973)</f>
        <v>0</v>
      </c>
      <c r="M47" s="158">
        <f>SUMIF('内訳ﾘｽﾄ(4～3月)'!$D$26:$D$973,$B47,'内訳ﾘｽﾄ(4～3月)'!P$26:P$973)</f>
        <v>0</v>
      </c>
      <c r="N47" s="158">
        <f>SUMIF('内訳ﾘｽﾄ(4～3月)'!$D$26:$D$973,$B47,'内訳ﾘｽﾄ(4～3月)'!Q$26:Q$973)</f>
        <v>0</v>
      </c>
      <c r="O47" s="158">
        <f>SUMIF('内訳ﾘｽﾄ(4～3月)'!$D$26:$D$772,'採算表(VND)'!$B47,'内訳ﾘｽﾄ(4～3月)'!R$26:R$772)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SUMIF('内訳ﾘｽﾄ(4～3月)'!$D$26:$D$973,$B48,'内訳ﾘｽﾄ(4～3月)'!F$26:F$973)</f>
        <v>0</v>
      </c>
      <c r="D48" s="158">
        <f>SUMIF('内訳ﾘｽﾄ(4～3月)'!$D$26:$D$973,$B48,'内訳ﾘｽﾄ(4～3月)'!G$26:G$973)</f>
        <v>0</v>
      </c>
      <c r="E48" s="158">
        <f>SUMIF('内訳ﾘｽﾄ(4～3月)'!$D$26:$D$973,$B48,'内訳ﾘｽﾄ(4～3月)'!H$26:H$973)</f>
        <v>0</v>
      </c>
      <c r="F48" s="158">
        <f>SUMIF('内訳ﾘｽﾄ(4～3月)'!$D$26:$D$973,$B48,'内訳ﾘｽﾄ(4～3月)'!I$26:I$973)</f>
        <v>0</v>
      </c>
      <c r="G48" s="158">
        <f>SUMIF('内訳ﾘｽﾄ(4～3月)'!$D$26:$D$973,$B48,'内訳ﾘｽﾄ(4～3月)'!J$26:J$973)</f>
        <v>0</v>
      </c>
      <c r="H48" s="158">
        <f>SUMIF('内訳ﾘｽﾄ(4～3月)'!$D$26:$D$973,$B48,'内訳ﾘｽﾄ(4～3月)'!K$26:K$973)</f>
        <v>0</v>
      </c>
      <c r="I48" s="158">
        <f>SUMIF('内訳ﾘｽﾄ(4～3月)'!$D$26:$D$973,$B48,'内訳ﾘｽﾄ(4～3月)'!L$26:L$973)</f>
        <v>0</v>
      </c>
      <c r="J48" s="158">
        <f>SUMIF('内訳ﾘｽﾄ(4～3月)'!$D$26:$D$973,$B48,'内訳ﾘｽﾄ(4～3月)'!M$26:M$973)</f>
        <v>0</v>
      </c>
      <c r="K48" s="158">
        <f>SUMIF('内訳ﾘｽﾄ(4～3月)'!$D$26:$D$973,$B48,'内訳ﾘｽﾄ(4～3月)'!N$26:N$973)</f>
        <v>0</v>
      </c>
      <c r="L48" s="158">
        <f>SUMIF('内訳ﾘｽﾄ(4～3月)'!$D$26:$D$973,$B48,'内訳ﾘｽﾄ(4～3月)'!O$26:O$973)</f>
        <v>0</v>
      </c>
      <c r="M48" s="158">
        <f>SUMIF('内訳ﾘｽﾄ(4～3月)'!$D$26:$D$973,$B48,'内訳ﾘｽﾄ(4～3月)'!P$26:P$973)</f>
        <v>0</v>
      </c>
      <c r="N48" s="158">
        <f>SUMIF('内訳ﾘｽﾄ(4～3月)'!$D$26:$D$973,$B48,'内訳ﾘｽﾄ(4～3月)'!Q$26:Q$973)</f>
        <v>0</v>
      </c>
      <c r="O48" s="158">
        <f>SUMIF('内訳ﾘｽﾄ(4～3月)'!$D$26:$D$772,'採算表(VND)'!$B48,'内訳ﾘｽﾄ(4～3月)'!R$26:R$772)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SUMIF('内訳ﾘｽﾄ(4～3月)'!$D$26:$D$973,$B49,'内訳ﾘｽﾄ(4～3月)'!F$26:F$973)</f>
        <v>0</v>
      </c>
      <c r="D49" s="158">
        <f>SUMIF('内訳ﾘｽﾄ(4～3月)'!$D$26:$D$973,$B49,'内訳ﾘｽﾄ(4～3月)'!G$26:G$973)</f>
        <v>0</v>
      </c>
      <c r="E49" s="158">
        <f>SUMIF('内訳ﾘｽﾄ(4～3月)'!$D$26:$D$973,$B49,'内訳ﾘｽﾄ(4～3月)'!H$26:H$973)</f>
        <v>0</v>
      </c>
      <c r="F49" s="158">
        <f>SUMIF('内訳ﾘｽﾄ(4～3月)'!$D$26:$D$973,$B49,'内訳ﾘｽﾄ(4～3月)'!I$26:I$973)</f>
        <v>0</v>
      </c>
      <c r="G49" s="158">
        <f>SUMIF('内訳ﾘｽﾄ(4～3月)'!$D$26:$D$973,$B49,'内訳ﾘｽﾄ(4～3月)'!J$26:J$973)</f>
        <v>0</v>
      </c>
      <c r="H49" s="158">
        <f>SUMIF('内訳ﾘｽﾄ(4～3月)'!$D$26:$D$973,$B49,'内訳ﾘｽﾄ(4～3月)'!K$26:K$973)</f>
        <v>0</v>
      </c>
      <c r="I49" s="158">
        <f>SUMIF('内訳ﾘｽﾄ(4～3月)'!$D$26:$D$973,$B49,'内訳ﾘｽﾄ(4～3月)'!L$26:L$973)</f>
        <v>0</v>
      </c>
      <c r="J49" s="158">
        <f>SUMIF('内訳ﾘｽﾄ(4～3月)'!$D$26:$D$973,$B49,'内訳ﾘｽﾄ(4～3月)'!M$26:M$973)</f>
        <v>0</v>
      </c>
      <c r="K49" s="158">
        <f>SUMIF('内訳ﾘｽﾄ(4～3月)'!$D$26:$D$973,$B49,'内訳ﾘｽﾄ(4～3月)'!N$26:N$973)</f>
        <v>0</v>
      </c>
      <c r="L49" s="158">
        <f>SUMIF('内訳ﾘｽﾄ(4～3月)'!$D$26:$D$973,$B49,'内訳ﾘｽﾄ(4～3月)'!O$26:O$973)</f>
        <v>0</v>
      </c>
      <c r="M49" s="158">
        <f>SUMIF('内訳ﾘｽﾄ(4～3月)'!$D$26:$D$973,$B49,'内訳ﾘｽﾄ(4～3月)'!P$26:P$973)</f>
        <v>45000000</v>
      </c>
      <c r="N49" s="158">
        <f>SUMIF('内訳ﾘｽﾄ(4～3月)'!$D$26:$D$973,$B49,'内訳ﾘｽﾄ(4～3月)'!Q$26:Q$973)</f>
        <v>0</v>
      </c>
      <c r="O49" s="158">
        <f>SUMIF('内訳ﾘｽﾄ(4～3月)'!$D$26:$D$772,'採算表(VND)'!$B49,'内訳ﾘｽﾄ(4～3月)'!R$26:R$772)</f>
        <v>45000000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SUMIF('内訳ﾘｽﾄ(4～3月)'!$D$26:$D$973,$B50,'内訳ﾘｽﾄ(4～3月)'!F$26:F$973)</f>
        <v>0</v>
      </c>
      <c r="D50" s="158">
        <f>SUMIF('内訳ﾘｽﾄ(4～3月)'!$D$26:$D$973,$B50,'内訳ﾘｽﾄ(4～3月)'!G$26:G$973)</f>
        <v>0</v>
      </c>
      <c r="E50" s="158">
        <f>SUMIF('内訳ﾘｽﾄ(4～3月)'!$D$26:$D$973,$B50,'内訳ﾘｽﾄ(4～3月)'!H$26:H$973)</f>
        <v>0</v>
      </c>
      <c r="F50" s="158">
        <f>SUMIF('内訳ﾘｽﾄ(4～3月)'!$D$26:$D$973,$B50,'内訳ﾘｽﾄ(4～3月)'!I$26:I$973)</f>
        <v>0</v>
      </c>
      <c r="G50" s="158">
        <f>SUMIF('内訳ﾘｽﾄ(4～3月)'!$D$26:$D$973,$B50,'内訳ﾘｽﾄ(4～3月)'!J$26:J$973)</f>
        <v>0</v>
      </c>
      <c r="H50" s="158">
        <f>SUMIF('内訳ﾘｽﾄ(4～3月)'!$D$26:$D$973,$B50,'内訳ﾘｽﾄ(4～3月)'!K$26:K$973)</f>
        <v>0</v>
      </c>
      <c r="I50" s="158">
        <f>SUMIF('内訳ﾘｽﾄ(4～3月)'!$D$26:$D$973,$B50,'内訳ﾘｽﾄ(4～3月)'!L$26:L$973)</f>
        <v>0</v>
      </c>
      <c r="J50" s="158">
        <f>SUMIF('内訳ﾘｽﾄ(4～3月)'!$D$26:$D$973,$B50,'内訳ﾘｽﾄ(4～3月)'!M$26:M$973)</f>
        <v>0</v>
      </c>
      <c r="K50" s="158">
        <f>SUMIF('内訳ﾘｽﾄ(4～3月)'!$D$26:$D$973,$B50,'内訳ﾘｽﾄ(4～3月)'!N$26:N$973)</f>
        <v>0</v>
      </c>
      <c r="L50" s="158">
        <f>SUMIF('内訳ﾘｽﾄ(4～3月)'!$D$26:$D$973,$B50,'内訳ﾘｽﾄ(4～3月)'!O$26:O$973)</f>
        <v>0</v>
      </c>
      <c r="M50" s="158">
        <f>SUMIF('内訳ﾘｽﾄ(4～3月)'!$D$26:$D$973,$B50,'内訳ﾘｽﾄ(4～3月)'!P$26:P$973)</f>
        <v>0</v>
      </c>
      <c r="N50" s="158">
        <f>SUMIF('内訳ﾘｽﾄ(4～3月)'!$D$26:$D$973,$B50,'内訳ﾘｽﾄ(4～3月)'!Q$26:Q$973)</f>
        <v>0</v>
      </c>
      <c r="O50" s="158">
        <f>SUMIF('内訳ﾘｽﾄ(4～3月)'!$D$26:$D$772,'採算表(VND)'!$B50,'内訳ﾘｽﾄ(4～3月)'!R$26:R$772)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SUMIF('内訳ﾘｽﾄ(4～3月)'!$D$26:$D$973,$B51,'内訳ﾘｽﾄ(4～3月)'!F$26:F$973)</f>
        <v>0</v>
      </c>
      <c r="D51" s="159">
        <f>SUMIF('内訳ﾘｽﾄ(4～3月)'!$D$26:$D$973,$B51,'内訳ﾘｽﾄ(4～3月)'!G$26:G$973)</f>
        <v>0</v>
      </c>
      <c r="E51" s="159">
        <f>SUMIF('内訳ﾘｽﾄ(4～3月)'!$D$26:$D$973,$B51,'内訳ﾘｽﾄ(4～3月)'!H$26:H$973)</f>
        <v>0</v>
      </c>
      <c r="F51" s="159">
        <f>SUMIF('内訳ﾘｽﾄ(4～3月)'!$D$26:$D$973,$B51,'内訳ﾘｽﾄ(4～3月)'!I$26:I$973)</f>
        <v>0</v>
      </c>
      <c r="G51" s="159">
        <f>SUMIF('内訳ﾘｽﾄ(4～3月)'!$D$26:$D$973,$B51,'内訳ﾘｽﾄ(4～3月)'!J$26:J$973)</f>
        <v>0</v>
      </c>
      <c r="H51" s="159">
        <f>SUMIF('内訳ﾘｽﾄ(4～3月)'!$D$26:$D$973,$B51,'内訳ﾘｽﾄ(4～3月)'!K$26:K$973)</f>
        <v>0</v>
      </c>
      <c r="I51" s="159">
        <f>SUMIF('内訳ﾘｽﾄ(4～3月)'!$D$26:$D$973,$B51,'内訳ﾘｽﾄ(4～3月)'!L$26:L$973)</f>
        <v>0</v>
      </c>
      <c r="J51" s="159">
        <f>SUMIF('内訳ﾘｽﾄ(4～3月)'!$D$26:$D$973,$B51,'内訳ﾘｽﾄ(4～3月)'!M$26:M$973)</f>
        <v>0</v>
      </c>
      <c r="K51" s="159">
        <f>SUMIF('内訳ﾘｽﾄ(4～3月)'!$D$26:$D$973,$B51,'内訳ﾘｽﾄ(4～3月)'!N$26:N$973)</f>
        <v>0</v>
      </c>
      <c r="L51" s="159">
        <f>SUMIF('内訳ﾘｽﾄ(4～3月)'!$D$26:$D$973,$B51,'内訳ﾘｽﾄ(4～3月)'!O$26:O$973)</f>
        <v>0</v>
      </c>
      <c r="M51" s="159">
        <f>SUMIF('内訳ﾘｽﾄ(4～3月)'!$D$26:$D$973,$B51,'内訳ﾘｽﾄ(4～3月)'!P$26:P$973)</f>
        <v>0</v>
      </c>
      <c r="N51" s="159">
        <f>SUMIF('内訳ﾘｽﾄ(4～3月)'!$D$26:$D$973,$B51,'内訳ﾘｽﾄ(4～3月)'!Q$26:Q$973)</f>
        <v>0</v>
      </c>
      <c r="O51" s="159">
        <f>SUMIF('内訳ﾘｽﾄ(4～3月)'!$D$26:$D$772,'採算表(VND)'!$B51,'内訳ﾘｽﾄ(4～3月)'!R$26:R$772)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SUMIF('内訳ﾘｽﾄ(4～3月)'!$D$26:$D$973,$B52,'内訳ﾘｽﾄ(4～3月)'!F$26:F$973)</f>
        <v>0</v>
      </c>
      <c r="D52" s="160">
        <f>SUMIF('内訳ﾘｽﾄ(4～3月)'!$D$26:$D$973,$B52,'内訳ﾘｽﾄ(4～3月)'!G$26:G$973)</f>
        <v>0</v>
      </c>
      <c r="E52" s="160">
        <f>SUMIF('内訳ﾘｽﾄ(4～3月)'!$D$26:$D$973,$B52,'内訳ﾘｽﾄ(4～3月)'!H$26:H$973)</f>
        <v>0</v>
      </c>
      <c r="F52" s="160">
        <f>SUMIF('内訳ﾘｽﾄ(4～3月)'!$D$26:$D$973,$B52,'内訳ﾘｽﾄ(4～3月)'!I$26:I$973)</f>
        <v>0</v>
      </c>
      <c r="G52" s="160">
        <f>SUMIF('内訳ﾘｽﾄ(4～3月)'!$D$26:$D$973,$B52,'内訳ﾘｽﾄ(4～3月)'!J$26:J$973)</f>
        <v>0</v>
      </c>
      <c r="H52" s="160">
        <f>SUMIF('内訳ﾘｽﾄ(4～3月)'!$D$26:$D$973,$B52,'内訳ﾘｽﾄ(4～3月)'!K$26:K$973)</f>
        <v>0</v>
      </c>
      <c r="I52" s="160">
        <f>SUMIF('内訳ﾘｽﾄ(4～3月)'!$D$26:$D$973,$B52,'内訳ﾘｽﾄ(4～3月)'!L$26:L$973)</f>
        <v>0</v>
      </c>
      <c r="J52" s="160">
        <f>SUMIF('内訳ﾘｽﾄ(4～3月)'!$D$26:$D$973,$B52,'内訳ﾘｽﾄ(4～3月)'!M$26:M$973)</f>
        <v>0</v>
      </c>
      <c r="K52" s="160">
        <f>SUMIF('内訳ﾘｽﾄ(4～3月)'!$D$26:$D$973,$B52,'内訳ﾘｽﾄ(4～3月)'!N$26:N$973)</f>
        <v>0</v>
      </c>
      <c r="L52" s="160">
        <f>SUMIF('内訳ﾘｽﾄ(4～3月)'!$D$26:$D$973,$B52,'内訳ﾘｽﾄ(4～3月)'!O$26:O$973)</f>
        <v>0</v>
      </c>
      <c r="M52" s="160">
        <f>SUMIF('内訳ﾘｽﾄ(4～3月)'!$D$26:$D$973,$B52,'内訳ﾘｽﾄ(4～3月)'!P$26:P$973)</f>
        <v>0</v>
      </c>
      <c r="N52" s="160">
        <f>SUMIF('内訳ﾘｽﾄ(4～3月)'!$D$26:$D$973,$B52,'内訳ﾘｽﾄ(4～3月)'!Q$26:Q$973)</f>
        <v>0</v>
      </c>
      <c r="O52" s="160">
        <f>SUMIF('内訳ﾘｽﾄ(4～3月)'!$D$26:$D$772,'採算表(VND)'!$B52,'内訳ﾘｽﾄ(4～3月)'!R$26:R$772)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SUMIF('内訳ﾘｽﾄ(4～3月)'!$D$26:$D$973,$B53,'内訳ﾘｽﾄ(4～3月)'!F$26:F$973)</f>
        <v>0</v>
      </c>
      <c r="D53" s="160">
        <f>SUMIF('内訳ﾘｽﾄ(4～3月)'!$D$26:$D$973,$B53,'内訳ﾘｽﾄ(4～3月)'!G$26:G$973)</f>
        <v>0</v>
      </c>
      <c r="E53" s="160">
        <f>SUMIF('内訳ﾘｽﾄ(4～3月)'!$D$26:$D$973,$B53,'内訳ﾘｽﾄ(4～3月)'!H$26:H$973)</f>
        <v>0</v>
      </c>
      <c r="F53" s="160">
        <f>SUMIF('内訳ﾘｽﾄ(4～3月)'!$D$26:$D$973,$B53,'内訳ﾘｽﾄ(4～3月)'!I$26:I$973)</f>
        <v>0</v>
      </c>
      <c r="G53" s="160">
        <f>SUMIF('内訳ﾘｽﾄ(4～3月)'!$D$26:$D$973,$B53,'内訳ﾘｽﾄ(4～3月)'!J$26:J$973)</f>
        <v>0</v>
      </c>
      <c r="H53" s="160">
        <f>SUMIF('内訳ﾘｽﾄ(4～3月)'!$D$26:$D$973,$B53,'内訳ﾘｽﾄ(4～3月)'!K$26:K$973)</f>
        <v>0</v>
      </c>
      <c r="I53" s="160">
        <f>SUMIF('内訳ﾘｽﾄ(4～3月)'!$D$26:$D$973,$B53,'内訳ﾘｽﾄ(4～3月)'!L$26:L$973)</f>
        <v>0</v>
      </c>
      <c r="J53" s="160">
        <f>SUMIF('内訳ﾘｽﾄ(4～3月)'!$D$26:$D$973,$B53,'内訳ﾘｽﾄ(4～3月)'!M$26:M$973)</f>
        <v>0</v>
      </c>
      <c r="K53" s="160">
        <f>SUMIF('内訳ﾘｽﾄ(4～3月)'!$D$26:$D$973,$B53,'内訳ﾘｽﾄ(4～3月)'!N$26:N$973)</f>
        <v>0</v>
      </c>
      <c r="L53" s="160">
        <f>SUMIF('内訳ﾘｽﾄ(4～3月)'!$D$26:$D$973,$B53,'内訳ﾘｽﾄ(4～3月)'!O$26:O$973)</f>
        <v>0</v>
      </c>
      <c r="M53" s="160">
        <f>SUMIF('内訳ﾘｽﾄ(4～3月)'!$D$26:$D$973,$B53,'内訳ﾘｽﾄ(4～3月)'!P$26:P$973)</f>
        <v>0</v>
      </c>
      <c r="N53" s="160">
        <f>SUMIF('内訳ﾘｽﾄ(4～3月)'!$D$26:$D$973,$B53,'内訳ﾘｽﾄ(4～3月)'!Q$26:Q$973)</f>
        <v>0</v>
      </c>
      <c r="O53" s="160">
        <f>SUMIF('内訳ﾘｽﾄ(4～3月)'!$D$26:$D$772,'採算表(VND)'!$B53,'内訳ﾘｽﾄ(4～3月)'!R$26:R$772)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SUMIF('内訳ﾘｽﾄ(4～3月)'!$D$26:$D$973,$B54,'内訳ﾘｽﾄ(4～3月)'!F$26:F$973)</f>
        <v>0</v>
      </c>
      <c r="D54" s="160">
        <f>SUMIF('内訳ﾘｽﾄ(4～3月)'!$D$26:$D$973,$B54,'内訳ﾘｽﾄ(4～3月)'!G$26:G$973)</f>
        <v>0</v>
      </c>
      <c r="E54" s="160">
        <f>SUMIF('内訳ﾘｽﾄ(4～3月)'!$D$26:$D$973,$B54,'内訳ﾘｽﾄ(4～3月)'!H$26:H$973)</f>
        <v>0</v>
      </c>
      <c r="F54" s="160">
        <f>SUMIF('内訳ﾘｽﾄ(4～3月)'!$D$26:$D$973,$B54,'内訳ﾘｽﾄ(4～3月)'!I$26:I$973)</f>
        <v>0</v>
      </c>
      <c r="G54" s="160">
        <f>SUMIF('内訳ﾘｽﾄ(4～3月)'!$D$26:$D$973,$B54,'内訳ﾘｽﾄ(4～3月)'!J$26:J$973)</f>
        <v>0</v>
      </c>
      <c r="H54" s="160">
        <f>SUMIF('内訳ﾘｽﾄ(4～3月)'!$D$26:$D$973,$B54,'内訳ﾘｽﾄ(4～3月)'!K$26:K$973)</f>
        <v>0</v>
      </c>
      <c r="I54" s="160">
        <f>SUMIF('内訳ﾘｽﾄ(4～3月)'!$D$26:$D$973,$B54,'内訳ﾘｽﾄ(4～3月)'!L$26:L$973)</f>
        <v>0</v>
      </c>
      <c r="J54" s="160">
        <f>SUMIF('内訳ﾘｽﾄ(4～3月)'!$D$26:$D$973,$B54,'内訳ﾘｽﾄ(4～3月)'!M$26:M$973)</f>
        <v>0</v>
      </c>
      <c r="K54" s="160">
        <f>SUMIF('内訳ﾘｽﾄ(4～3月)'!$D$26:$D$973,$B54,'内訳ﾘｽﾄ(4～3月)'!N$26:N$973)</f>
        <v>0</v>
      </c>
      <c r="L54" s="160">
        <f>SUMIF('内訳ﾘｽﾄ(4～3月)'!$D$26:$D$973,$B54,'内訳ﾘｽﾄ(4～3月)'!O$26:O$973)</f>
        <v>0</v>
      </c>
      <c r="M54" s="160">
        <f>SUMIF('内訳ﾘｽﾄ(4～3月)'!$D$26:$D$973,$B54,'内訳ﾘｽﾄ(4～3月)'!P$26:P$973)</f>
        <v>0</v>
      </c>
      <c r="N54" s="160">
        <f>SUMIF('内訳ﾘｽﾄ(4～3月)'!$D$26:$D$973,$B54,'内訳ﾘｽﾄ(4～3月)'!Q$26:Q$973)</f>
        <v>0</v>
      </c>
      <c r="O54" s="160">
        <f>SUMIF('内訳ﾘｽﾄ(4～3月)'!$D$26:$D$772,'採算表(VND)'!$B54,'内訳ﾘｽﾄ(4～3月)'!R$26:R$772)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SUMIF('内訳ﾘｽﾄ(4～3月)'!$D$26:$D$973,$B55,'内訳ﾘｽﾄ(4～3月)'!F$26:F$973)</f>
        <v>0</v>
      </c>
      <c r="D55" s="160">
        <f>SUMIF('内訳ﾘｽﾄ(4～3月)'!$D$26:$D$973,$B55,'内訳ﾘｽﾄ(4～3月)'!G$26:G$973)</f>
        <v>0</v>
      </c>
      <c r="E55" s="160">
        <f>SUMIF('内訳ﾘｽﾄ(4～3月)'!$D$26:$D$973,$B55,'内訳ﾘｽﾄ(4～3月)'!H$26:H$973)</f>
        <v>0</v>
      </c>
      <c r="F55" s="160">
        <f>SUMIF('内訳ﾘｽﾄ(4～3月)'!$D$26:$D$973,$B55,'内訳ﾘｽﾄ(4～3月)'!I$26:I$973)</f>
        <v>0</v>
      </c>
      <c r="G55" s="160">
        <f>SUMIF('内訳ﾘｽﾄ(4～3月)'!$D$26:$D$973,$B55,'内訳ﾘｽﾄ(4～3月)'!J$26:J$973)</f>
        <v>0</v>
      </c>
      <c r="H55" s="160">
        <f>SUMIF('内訳ﾘｽﾄ(4～3月)'!$D$26:$D$973,$B55,'内訳ﾘｽﾄ(4～3月)'!K$26:K$973)</f>
        <v>0</v>
      </c>
      <c r="I55" s="160">
        <f>SUMIF('内訳ﾘｽﾄ(4～3月)'!$D$26:$D$973,$B55,'内訳ﾘｽﾄ(4～3月)'!L$26:L$973)</f>
        <v>0</v>
      </c>
      <c r="J55" s="160">
        <f>SUMIF('内訳ﾘｽﾄ(4～3月)'!$D$26:$D$973,$B55,'内訳ﾘｽﾄ(4～3月)'!M$26:M$973)</f>
        <v>0</v>
      </c>
      <c r="K55" s="160">
        <f>SUMIF('内訳ﾘｽﾄ(4～3月)'!$D$26:$D$973,$B55,'内訳ﾘｽﾄ(4～3月)'!N$26:N$973)</f>
        <v>0</v>
      </c>
      <c r="L55" s="160">
        <f>SUMIF('内訳ﾘｽﾄ(4～3月)'!$D$26:$D$973,$B55,'内訳ﾘｽﾄ(4～3月)'!O$26:O$973)</f>
        <v>0</v>
      </c>
      <c r="M55" s="160">
        <f>SUMIF('内訳ﾘｽﾄ(4～3月)'!$D$26:$D$973,$B55,'内訳ﾘｽﾄ(4～3月)'!P$26:P$973)</f>
        <v>0</v>
      </c>
      <c r="N55" s="160">
        <f>SUMIF('内訳ﾘｽﾄ(4～3月)'!$D$26:$D$973,$B55,'内訳ﾘｽﾄ(4～3月)'!Q$26:Q$973)</f>
        <v>0</v>
      </c>
      <c r="O55" s="160">
        <f>SUMIF('内訳ﾘｽﾄ(4～3月)'!$D$26:$D$772,'採算表(VND)'!$B55,'内訳ﾘｽﾄ(4～3月)'!R$26:R$772)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SUMIF('内訳ﾘｽﾄ(4～3月)'!$D$26:$D$973,$B56,'内訳ﾘｽﾄ(4～3月)'!F$26:F$973)</f>
        <v>0</v>
      </c>
      <c r="D56" s="160">
        <f>SUMIF('内訳ﾘｽﾄ(4～3月)'!$D$26:$D$973,$B56,'内訳ﾘｽﾄ(4～3月)'!G$26:G$973)</f>
        <v>0</v>
      </c>
      <c r="E56" s="160">
        <f>SUMIF('内訳ﾘｽﾄ(4～3月)'!$D$26:$D$973,$B56,'内訳ﾘｽﾄ(4～3月)'!H$26:H$973)</f>
        <v>0</v>
      </c>
      <c r="F56" s="160">
        <f>SUMIF('内訳ﾘｽﾄ(4～3月)'!$D$26:$D$973,$B56,'内訳ﾘｽﾄ(4～3月)'!I$26:I$973)</f>
        <v>0</v>
      </c>
      <c r="G56" s="160">
        <f>SUMIF('内訳ﾘｽﾄ(4～3月)'!$D$26:$D$973,$B56,'内訳ﾘｽﾄ(4～3月)'!J$26:J$973)</f>
        <v>0</v>
      </c>
      <c r="H56" s="160">
        <f>SUMIF('内訳ﾘｽﾄ(4～3月)'!$D$26:$D$973,$B56,'内訳ﾘｽﾄ(4～3月)'!K$26:K$973)</f>
        <v>0</v>
      </c>
      <c r="I56" s="160">
        <f>SUMIF('内訳ﾘｽﾄ(4～3月)'!$D$26:$D$973,$B56,'内訳ﾘｽﾄ(4～3月)'!L$26:L$973)</f>
        <v>0</v>
      </c>
      <c r="J56" s="160">
        <f>SUMIF('内訳ﾘｽﾄ(4～3月)'!$D$26:$D$973,$B56,'内訳ﾘｽﾄ(4～3月)'!M$26:M$973)</f>
        <v>0</v>
      </c>
      <c r="K56" s="160">
        <f>SUMIF('内訳ﾘｽﾄ(4～3月)'!$D$26:$D$973,$B56,'内訳ﾘｽﾄ(4～3月)'!N$26:N$973)</f>
        <v>0</v>
      </c>
      <c r="L56" s="160">
        <f>SUMIF('内訳ﾘｽﾄ(4～3月)'!$D$26:$D$973,$B56,'内訳ﾘｽﾄ(4～3月)'!O$26:O$973)</f>
        <v>0</v>
      </c>
      <c r="M56" s="160">
        <f>SUMIF('内訳ﾘｽﾄ(4～3月)'!$D$26:$D$973,$B56,'内訳ﾘｽﾄ(4～3月)'!P$26:P$973)</f>
        <v>0</v>
      </c>
      <c r="N56" s="160">
        <f>SUMIF('内訳ﾘｽﾄ(4～3月)'!$D$26:$D$973,$B56,'内訳ﾘｽﾄ(4～3月)'!Q$26:Q$973)</f>
        <v>0</v>
      </c>
      <c r="O56" s="160">
        <f>SUMIF('内訳ﾘｽﾄ(4～3月)'!$D$26:$D$772,'採算表(VND)'!$B56,'内訳ﾘｽﾄ(4～3月)'!R$26:R$772)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SUMIF('内訳ﾘｽﾄ(4～3月)'!$D$26:$D$973,$B57,'内訳ﾘｽﾄ(4～3月)'!F$26:F$973)</f>
        <v>356727471</v>
      </c>
      <c r="D57" s="160">
        <f>SUMIF('内訳ﾘｽﾄ(4～3月)'!$D$26:$D$973,$B57,'内訳ﾘｽﾄ(4～3月)'!G$26:G$973)</f>
        <v>338442608</v>
      </c>
      <c r="E57" s="160">
        <f>SUMIF('内訳ﾘｽﾄ(4～3月)'!$D$26:$D$973,$B57,'内訳ﾘｽﾄ(4～3月)'!H$26:H$973)</f>
        <v>338444386</v>
      </c>
      <c r="F57" s="160">
        <f>SUMIF('内訳ﾘｽﾄ(4～3月)'!$D$26:$D$973,$B57,'内訳ﾘｽﾄ(4～3月)'!I$26:I$973)</f>
        <v>338437784</v>
      </c>
      <c r="G57" s="160">
        <f>SUMIF('内訳ﾘｽﾄ(4～3月)'!$D$26:$D$973,$B57,'内訳ﾘｽﾄ(4～3月)'!J$26:J$973)</f>
        <v>338616022</v>
      </c>
      <c r="H57" s="160">
        <f>SUMIF('内訳ﾘｽﾄ(4～3月)'!$D$26:$D$973,$B57,'内訳ﾘｽﾄ(4～3月)'!K$26:K$973)</f>
        <v>338519794</v>
      </c>
      <c r="I57" s="160">
        <f>SUMIF('内訳ﾘｽﾄ(4～3月)'!$D$26:$D$973,$B57,'内訳ﾘｽﾄ(4～3月)'!L$26:L$973)</f>
        <v>338491865</v>
      </c>
      <c r="J57" s="160">
        <f>SUMIF('内訳ﾘｽﾄ(4～3月)'!$D$26:$D$973,$B57,'内訳ﾘｽﾄ(4～3月)'!M$26:M$973)</f>
        <v>338917655</v>
      </c>
      <c r="K57" s="160">
        <f>SUMIF('内訳ﾘｽﾄ(4～3月)'!$D$26:$D$973,$B57,'内訳ﾘｽﾄ(4～3月)'!N$26:N$973)</f>
        <v>338918163</v>
      </c>
      <c r="L57" s="160">
        <f>SUMIF('内訳ﾘｽﾄ(4～3月)'!$D$26:$D$973,$B57,'内訳ﾘｽﾄ(4～3月)'!O$26:O$973)</f>
        <v>338915878</v>
      </c>
      <c r="M57" s="160">
        <f>SUMIF('内訳ﾘｽﾄ(4～3月)'!$D$26:$D$973,$B57,'内訳ﾘｽﾄ(4～3月)'!P$26:P$973)</f>
        <v>338912222</v>
      </c>
      <c r="N57" s="160">
        <f>SUMIF('内訳ﾘｽﾄ(4～3月)'!$D$26:$D$973,$B57,'内訳ﾘｽﾄ(4～3月)'!Q$26:Q$973)</f>
        <v>338915878</v>
      </c>
      <c r="O57" s="160">
        <f>SUMIF('内訳ﾘｽﾄ(4～3月)'!$D$26:$D$772,'採算表(VND)'!$B57,'内訳ﾘｽﾄ(4～3月)'!R$26:R$772)</f>
        <v>4082259726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SUMIF('内訳ﾘｽﾄ(4～3月)'!$D$26:$D$973,$B58,'内訳ﾘｽﾄ(4～3月)'!F$26:F$973)</f>
        <v>0</v>
      </c>
      <c r="D58" s="160">
        <f>SUMIF('内訳ﾘｽﾄ(4～3月)'!$D$26:$D$973,$B58,'内訳ﾘｽﾄ(4～3月)'!G$26:G$973)</f>
        <v>0</v>
      </c>
      <c r="E58" s="160">
        <f>SUMIF('内訳ﾘｽﾄ(4～3月)'!$D$26:$D$973,$B58,'内訳ﾘｽﾄ(4～3月)'!H$26:H$973)</f>
        <v>0</v>
      </c>
      <c r="F58" s="160">
        <f>SUMIF('内訳ﾘｽﾄ(4～3月)'!$D$26:$D$973,$B58,'内訳ﾘｽﾄ(4～3月)'!I$26:I$973)</f>
        <v>0</v>
      </c>
      <c r="G58" s="160">
        <f>SUMIF('内訳ﾘｽﾄ(4～3月)'!$D$26:$D$973,$B58,'内訳ﾘｽﾄ(4～3月)'!J$26:J$973)</f>
        <v>0</v>
      </c>
      <c r="H58" s="160">
        <f>SUMIF('内訳ﾘｽﾄ(4～3月)'!$D$26:$D$973,$B58,'内訳ﾘｽﾄ(4～3月)'!K$26:K$973)</f>
        <v>0</v>
      </c>
      <c r="I58" s="160">
        <f>SUMIF('内訳ﾘｽﾄ(4～3月)'!$D$26:$D$973,$B58,'内訳ﾘｽﾄ(4～3月)'!L$26:L$973)</f>
        <v>0</v>
      </c>
      <c r="J58" s="160">
        <f>SUMIF('内訳ﾘｽﾄ(4～3月)'!$D$26:$D$973,$B58,'内訳ﾘｽﾄ(4～3月)'!M$26:M$973)</f>
        <v>0</v>
      </c>
      <c r="K58" s="160">
        <f>SUMIF('内訳ﾘｽﾄ(4～3月)'!$D$26:$D$973,$B58,'内訳ﾘｽﾄ(4～3月)'!N$26:N$973)</f>
        <v>0</v>
      </c>
      <c r="L58" s="160">
        <f>SUMIF('内訳ﾘｽﾄ(4～3月)'!$D$26:$D$973,$B58,'内訳ﾘｽﾄ(4～3月)'!O$26:O$973)</f>
        <v>0</v>
      </c>
      <c r="M58" s="160">
        <f>SUMIF('内訳ﾘｽﾄ(4～3月)'!$D$26:$D$973,$B58,'内訳ﾘｽﾄ(4～3月)'!P$26:P$973)</f>
        <v>0</v>
      </c>
      <c r="N58" s="160">
        <f>SUMIF('内訳ﾘｽﾄ(4～3月)'!$D$26:$D$973,$B58,'内訳ﾘｽﾄ(4～3月)'!Q$26:Q$973)</f>
        <v>0</v>
      </c>
      <c r="O58" s="160">
        <f>SUMIF('内訳ﾘｽﾄ(4～3月)'!$D$26:$D$772,'採算表(VND)'!$B58,'内訳ﾘｽﾄ(4～3月)'!R$26:R$772)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SUMIF('内訳ﾘｽﾄ(4～3月)'!$D$26:$D$973,$B59,'内訳ﾘｽﾄ(4～3月)'!F$26:F$973)</f>
        <v>0</v>
      </c>
      <c r="D59" s="160">
        <f>SUMIF('内訳ﾘｽﾄ(4～3月)'!$D$26:$D$973,$B59,'内訳ﾘｽﾄ(4～3月)'!G$26:G$973)</f>
        <v>0</v>
      </c>
      <c r="E59" s="160">
        <f>SUMIF('内訳ﾘｽﾄ(4～3月)'!$D$26:$D$973,$B59,'内訳ﾘｽﾄ(4～3月)'!H$26:H$973)</f>
        <v>0</v>
      </c>
      <c r="F59" s="160">
        <f>SUMIF('内訳ﾘｽﾄ(4～3月)'!$D$26:$D$973,$B59,'内訳ﾘｽﾄ(4～3月)'!I$26:I$973)</f>
        <v>0</v>
      </c>
      <c r="G59" s="160">
        <f>SUMIF('内訳ﾘｽﾄ(4～3月)'!$D$26:$D$973,$B59,'内訳ﾘｽﾄ(4～3月)'!J$26:J$973)</f>
        <v>0</v>
      </c>
      <c r="H59" s="160">
        <f>SUMIF('内訳ﾘｽﾄ(4～3月)'!$D$26:$D$973,$B59,'内訳ﾘｽﾄ(4～3月)'!K$26:K$973)</f>
        <v>0</v>
      </c>
      <c r="I59" s="160">
        <f>SUMIF('内訳ﾘｽﾄ(4～3月)'!$D$26:$D$973,$B59,'内訳ﾘｽﾄ(4～3月)'!L$26:L$973)</f>
        <v>0</v>
      </c>
      <c r="J59" s="160">
        <f>SUMIF('内訳ﾘｽﾄ(4～3月)'!$D$26:$D$973,$B59,'内訳ﾘｽﾄ(4～3月)'!M$26:M$973)</f>
        <v>0</v>
      </c>
      <c r="K59" s="160">
        <f>SUMIF('内訳ﾘｽﾄ(4～3月)'!$D$26:$D$973,$B59,'内訳ﾘｽﾄ(4～3月)'!N$26:N$973)</f>
        <v>0</v>
      </c>
      <c r="L59" s="160">
        <f>SUMIF('内訳ﾘｽﾄ(4～3月)'!$D$26:$D$973,$B59,'内訳ﾘｽﾄ(4～3月)'!O$26:O$973)</f>
        <v>0</v>
      </c>
      <c r="M59" s="160">
        <f>SUMIF('内訳ﾘｽﾄ(4～3月)'!$D$26:$D$973,$B59,'内訳ﾘｽﾄ(4～3月)'!P$26:P$973)</f>
        <v>0</v>
      </c>
      <c r="N59" s="160">
        <f>SUMIF('内訳ﾘｽﾄ(4～3月)'!$D$26:$D$973,$B59,'内訳ﾘｽﾄ(4～3月)'!Q$26:Q$973)</f>
        <v>0</v>
      </c>
      <c r="O59" s="160">
        <f>SUMIF('内訳ﾘｽﾄ(4～3月)'!$D$26:$D$772,'採算表(VND)'!$B59,'内訳ﾘｽﾄ(4～3月)'!R$26:R$772)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SUMIF('内訳ﾘｽﾄ(4～3月)'!$D$26:$D$973,$B60,'内訳ﾘｽﾄ(4～3月)'!F$26:F$973)</f>
        <v>0</v>
      </c>
      <c r="D60" s="160">
        <f>SUMIF('内訳ﾘｽﾄ(4～3月)'!$D$26:$D$973,$B60,'内訳ﾘｽﾄ(4～3月)'!G$26:G$973)</f>
        <v>0</v>
      </c>
      <c r="E60" s="160">
        <f>SUMIF('内訳ﾘｽﾄ(4～3月)'!$D$26:$D$973,$B60,'内訳ﾘｽﾄ(4～3月)'!H$26:H$973)</f>
        <v>0</v>
      </c>
      <c r="F60" s="160">
        <f>SUMIF('内訳ﾘｽﾄ(4～3月)'!$D$26:$D$973,$B60,'内訳ﾘｽﾄ(4～3月)'!I$26:I$973)</f>
        <v>0</v>
      </c>
      <c r="G60" s="160">
        <f>SUMIF('内訳ﾘｽﾄ(4～3月)'!$D$26:$D$973,$B60,'内訳ﾘｽﾄ(4～3月)'!J$26:J$973)</f>
        <v>0</v>
      </c>
      <c r="H60" s="160">
        <f>SUMIF('内訳ﾘｽﾄ(4～3月)'!$D$26:$D$973,$B60,'内訳ﾘｽﾄ(4～3月)'!K$26:K$973)</f>
        <v>0</v>
      </c>
      <c r="I60" s="160">
        <f>SUMIF('内訳ﾘｽﾄ(4～3月)'!$D$26:$D$973,$B60,'内訳ﾘｽﾄ(4～3月)'!L$26:L$973)</f>
        <v>0</v>
      </c>
      <c r="J60" s="160">
        <f>SUMIF('内訳ﾘｽﾄ(4～3月)'!$D$26:$D$973,$B60,'内訳ﾘｽﾄ(4～3月)'!M$26:M$973)</f>
        <v>0</v>
      </c>
      <c r="K60" s="160">
        <f>SUMIF('内訳ﾘｽﾄ(4～3月)'!$D$26:$D$973,$B60,'内訳ﾘｽﾄ(4～3月)'!N$26:N$973)</f>
        <v>0</v>
      </c>
      <c r="L60" s="160">
        <f>SUMIF('内訳ﾘｽﾄ(4～3月)'!$D$26:$D$973,$B60,'内訳ﾘｽﾄ(4～3月)'!O$26:O$973)</f>
        <v>0</v>
      </c>
      <c r="M60" s="160">
        <f>SUMIF('内訳ﾘｽﾄ(4～3月)'!$D$26:$D$973,$B60,'内訳ﾘｽﾄ(4～3月)'!P$26:P$973)</f>
        <v>0</v>
      </c>
      <c r="N60" s="160">
        <f>SUMIF('内訳ﾘｽﾄ(4～3月)'!$D$26:$D$973,$B60,'内訳ﾘｽﾄ(4～3月)'!Q$26:Q$973)</f>
        <v>0</v>
      </c>
      <c r="O60" s="160">
        <f>SUMIF('内訳ﾘｽﾄ(4～3月)'!$D$26:$D$772,'採算表(VND)'!$B60,'内訳ﾘｽﾄ(4～3月)'!R$26:R$772)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IF('内訳ﾘｽﾄ(4～3月)'!$D$5="製造",SUMIF('内訳ﾘｽﾄ(4～3月)'!$D$26:$D$973,$B61,'内訳ﾘｽﾄ(4～3月)'!F$26:F$973),IF('内訳ﾘｽﾄ(4～3月)'!$D$5="部内間接",-SUM(C$14:C$60,C$65),0))</f>
        <v>0</v>
      </c>
      <c r="D61" s="160">
        <f>IF('内訳ﾘｽﾄ(4～3月)'!$D$5="製造",SUMIF('内訳ﾘｽﾄ(4～3月)'!$D$26:$D$973,$B61,'内訳ﾘｽﾄ(4～3月)'!G$26:G$973),IF('内訳ﾘｽﾄ(4～3月)'!$D$5="部内間接",-SUM(D$14:D$60,D$65),0))</f>
        <v>0</v>
      </c>
      <c r="E61" s="160">
        <f>IF('内訳ﾘｽﾄ(4～3月)'!$D$5="製造",SUMIF('内訳ﾘｽﾄ(4～3月)'!$D$26:$D$973,$B61,'内訳ﾘｽﾄ(4～3月)'!H$26:H$973),IF('内訳ﾘｽﾄ(4～3月)'!$D$5="部内間接",-SUM(E$14:E$60,E$65),0))</f>
        <v>0</v>
      </c>
      <c r="F61" s="160">
        <f>IF('内訳ﾘｽﾄ(4～3月)'!$D$5="製造",SUMIF('内訳ﾘｽﾄ(4～3月)'!$D$26:$D$973,$B61,'内訳ﾘｽﾄ(4～3月)'!I$26:I$973),IF('内訳ﾘｽﾄ(4～3月)'!$D$5="部内間接",-SUM(F$14:F$60,F$65),0))</f>
        <v>0</v>
      </c>
      <c r="G61" s="160">
        <f>IF('内訳ﾘｽﾄ(4～3月)'!$D$5="製造",SUMIF('内訳ﾘｽﾄ(4～3月)'!$D$26:$D$973,$B61,'内訳ﾘｽﾄ(4～3月)'!J$26:J$973),IF('内訳ﾘｽﾄ(4～3月)'!$D$5="部内間接",-SUM(G$14:G$60,G$65),0))</f>
        <v>0</v>
      </c>
      <c r="H61" s="160">
        <f>IF('内訳ﾘｽﾄ(4～3月)'!$D$5="製造",SUMIF('内訳ﾘｽﾄ(4～3月)'!$D$26:$D$973,$B61,'内訳ﾘｽﾄ(4～3月)'!K$26:K$973),IF('内訳ﾘｽﾄ(4～3月)'!$D$5="部内間接",-SUM(H$14:H$60,H$65),0))</f>
        <v>0</v>
      </c>
      <c r="I61" s="160">
        <f>IF('内訳ﾘｽﾄ(4～3月)'!$D$5="製造",SUMIF('内訳ﾘｽﾄ(4～3月)'!$D$26:$D$973,$B61,'内訳ﾘｽﾄ(4～3月)'!L$26:L$973),IF('内訳ﾘｽﾄ(4～3月)'!$D$5="部内間接",-SUM(I$14:I$60,I$65),0))</f>
        <v>0</v>
      </c>
      <c r="J61" s="160">
        <f>IF('内訳ﾘｽﾄ(4～3月)'!$D$5="製造",SUMIF('内訳ﾘｽﾄ(4～3月)'!$D$26:$D$973,$B61,'内訳ﾘｽﾄ(4～3月)'!M$26:M$973),IF('内訳ﾘｽﾄ(4～3月)'!$D$5="部内間接",-SUM(J$14:J$60,J$65),0))</f>
        <v>0</v>
      </c>
      <c r="K61" s="160">
        <f>IF('内訳ﾘｽﾄ(4～3月)'!$D$5="製造",SUMIF('内訳ﾘｽﾄ(4～3月)'!$D$26:$D$973,$B61,'内訳ﾘｽﾄ(4～3月)'!N$26:N$973),IF('内訳ﾘｽﾄ(4～3月)'!$D$5="部内間接",-SUM(K$14:K$60,K$65),0))</f>
        <v>0</v>
      </c>
      <c r="L61" s="160">
        <f>IF('内訳ﾘｽﾄ(4～3月)'!$D$5="製造",SUMIF('内訳ﾘｽﾄ(4～3月)'!$D$26:$D$973,$B61,'内訳ﾘｽﾄ(4～3月)'!O$26:O$973),IF('内訳ﾘｽﾄ(4～3月)'!$D$5="部内間接",-SUM(L$14:L$60,L$65),0))</f>
        <v>0</v>
      </c>
      <c r="M61" s="160">
        <f>IF('内訳ﾘｽﾄ(4～3月)'!$D$5="製造",SUMIF('内訳ﾘｽﾄ(4～3月)'!$D$26:$D$973,$B61,'内訳ﾘｽﾄ(4～3月)'!P$26:P$973),IF('内訳ﾘｽﾄ(4～3月)'!$D$5="部内間接",-SUM(M$14:M$60,M$65),0))</f>
        <v>0</v>
      </c>
      <c r="N61" s="160">
        <f>IF('内訳ﾘｽﾄ(4～3月)'!$D$5="製造",SUMIF('内訳ﾘｽﾄ(4～3月)'!$D$26:$D$973,$B61,'内訳ﾘｽﾄ(4～3月)'!Q$26:Q$973),IF('内訳ﾘｽﾄ(4～3月)'!$D$5="部内間接",-SUM(N$14:N$60,N$65),0))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IF('内訳ﾘｽﾄ(4～3月)'!$D$5="部内間接",-SUM(O$65,O$14:O$60),IF('内訳ﾘｽﾄ(4～3月)'!$D$5="製造",SUMIF('内訳ﾘｽﾄ(4～3月)'!$D$26:$D$772,'採算表(VND)'!$B61,'内訳ﾘｽﾄ(4～3月)'!R$26:R$772),0))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IF('内訳ﾘｽﾄ(4～3月)'!$D$5="製造",SUMIF('内訳ﾘｽﾄ(4～3月)'!$D$26:$D$973,$B62,'内訳ﾘｽﾄ(4～3月)'!F$26:F$973),IF('内訳ﾘｽﾄ(4～3月)'!$D$5="部外間接1",-SUM(C$14:C$60,C$65),0))</f>
        <v>0</v>
      </c>
      <c r="D62" s="160">
        <f>IF('内訳ﾘｽﾄ(4～3月)'!$D$5="製造",SUMIF('内訳ﾘｽﾄ(4～3月)'!$D$26:$D$973,$B62,'内訳ﾘｽﾄ(4～3月)'!G$26:G$973),IF('内訳ﾘｽﾄ(4～3月)'!$D$5="部外間接1",-SUM(D$14:D$60,D$65),0))</f>
        <v>0</v>
      </c>
      <c r="E62" s="160">
        <f>IF('内訳ﾘｽﾄ(4～3月)'!$D$5="製造",SUMIF('内訳ﾘｽﾄ(4～3月)'!$D$26:$D$973,$B62,'内訳ﾘｽﾄ(4～3月)'!H$26:H$973),IF('内訳ﾘｽﾄ(4～3月)'!$D$5="部外間接1",-SUM(E$14:E$60,E$65),0))</f>
        <v>0</v>
      </c>
      <c r="F62" s="160">
        <f>IF('内訳ﾘｽﾄ(4～3月)'!$D$5="製造",SUMIF('内訳ﾘｽﾄ(4～3月)'!$D$26:$D$973,$B62,'内訳ﾘｽﾄ(4～3月)'!I$26:I$973),IF('内訳ﾘｽﾄ(4～3月)'!$D$5="部外間接1",-SUM(F$14:F$60,F$65),0))</f>
        <v>0</v>
      </c>
      <c r="G62" s="160">
        <f>IF('内訳ﾘｽﾄ(4～3月)'!$D$5="製造",SUMIF('内訳ﾘｽﾄ(4～3月)'!$D$26:$D$973,$B62,'内訳ﾘｽﾄ(4～3月)'!J$26:J$973),IF('内訳ﾘｽﾄ(4～3月)'!$D$5="部外間接1",-SUM(G$14:G$60,G$65),0))</f>
        <v>0</v>
      </c>
      <c r="H62" s="160">
        <f>IF('内訳ﾘｽﾄ(4～3月)'!$D$5="製造",SUMIF('内訳ﾘｽﾄ(4～3月)'!$D$26:$D$973,$B62,'内訳ﾘｽﾄ(4～3月)'!K$26:K$973),IF('内訳ﾘｽﾄ(4～3月)'!$D$5="部外間接1",-SUM(H$14:H$60,H$65),0))</f>
        <v>0</v>
      </c>
      <c r="I62" s="160">
        <f>IF('内訳ﾘｽﾄ(4～3月)'!$D$5="製造",SUMIF('内訳ﾘｽﾄ(4～3月)'!$D$26:$D$973,$B62,'内訳ﾘｽﾄ(4～3月)'!L$26:L$973),IF('内訳ﾘｽﾄ(4～3月)'!$D$5="部外間接1",-SUM(I$14:I$60,I$65),0))</f>
        <v>0</v>
      </c>
      <c r="J62" s="160">
        <f>IF('内訳ﾘｽﾄ(4～3月)'!$D$5="製造",SUMIF('内訳ﾘｽﾄ(4～3月)'!$D$26:$D$973,$B62,'内訳ﾘｽﾄ(4～3月)'!M$26:M$973),IF('内訳ﾘｽﾄ(4～3月)'!$D$5="部外間接1",-SUM(J$14:J$60,J$65),0))</f>
        <v>0</v>
      </c>
      <c r="K62" s="160">
        <f>IF('内訳ﾘｽﾄ(4～3月)'!$D$5="製造",SUMIF('内訳ﾘｽﾄ(4～3月)'!$D$26:$D$973,$B62,'内訳ﾘｽﾄ(4～3月)'!N$26:N$973),IF('内訳ﾘｽﾄ(4～3月)'!$D$5="部外間接1",-SUM(K$14:K$60,K$65),0))</f>
        <v>0</v>
      </c>
      <c r="L62" s="160">
        <f>IF('内訳ﾘｽﾄ(4～3月)'!$D$5="製造",SUMIF('内訳ﾘｽﾄ(4～3月)'!$D$26:$D$973,$B62,'内訳ﾘｽﾄ(4～3月)'!O$26:O$973),IF('内訳ﾘｽﾄ(4～3月)'!$D$5="部外間接1",-SUM(L$14:L$60,L$65),0))</f>
        <v>0</v>
      </c>
      <c r="M62" s="160">
        <f>IF('内訳ﾘｽﾄ(4～3月)'!$D$5="製造",SUMIF('内訳ﾘｽﾄ(4～3月)'!$D$26:$D$973,$B62,'内訳ﾘｽﾄ(4～3月)'!P$26:P$973),IF('内訳ﾘｽﾄ(4～3月)'!$D$5="部外間接1",-SUM(M$14:M$60,M$65),0))</f>
        <v>0</v>
      </c>
      <c r="N62" s="160">
        <f>IF('内訳ﾘｽﾄ(4～3月)'!$D$5="製造",SUMIF('内訳ﾘｽﾄ(4～3月)'!$D$26:$D$973,$B62,'内訳ﾘｽﾄ(4～3月)'!Q$26:Q$973),IF('内訳ﾘｽﾄ(4～3月)'!$D$5="部外間接1",-SUM(N$14:N$60,N$65),0))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IF('内訳ﾘｽﾄ(4～3月)'!$D$5="部外間接1",-SUM(O$65,O$14:O$60),IF('内訳ﾘｽﾄ(4～3月)'!$D$5="製造",SUMIF('内訳ﾘｽﾄ(4～3月)'!$D$26:$D$772,'採算表(VND)'!$B62,'内訳ﾘｽﾄ(4～3月)'!R$26:R$772),0))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IF('内訳ﾘｽﾄ(4～3月)'!$D$5="製造",SUMIF('内訳ﾘｽﾄ(4～3月)'!$D$26:$D$973,$B63,'内訳ﾘｽﾄ(4～3月)'!F$26:F$973),IF('内訳ﾘｽﾄ(4～3月)'!$D$5="部外間接2",-SUM(C$14:C$60,C$65),0))</f>
        <v>0</v>
      </c>
      <c r="D63" s="160">
        <f>IF('内訳ﾘｽﾄ(4～3月)'!$D$5="製造",SUMIF('内訳ﾘｽﾄ(4～3月)'!$D$26:$D$973,$B63,'内訳ﾘｽﾄ(4～3月)'!G$26:G$973),IF('内訳ﾘｽﾄ(4～3月)'!$D$5="部外間接2",-SUM(D$14:D$60,D$65),0))</f>
        <v>0</v>
      </c>
      <c r="E63" s="160">
        <f>IF('内訳ﾘｽﾄ(4～3月)'!$D$5="製造",SUMIF('内訳ﾘｽﾄ(4～3月)'!$D$26:$D$973,$B63,'内訳ﾘｽﾄ(4～3月)'!H$26:H$973),IF('内訳ﾘｽﾄ(4～3月)'!$D$5="部外間接2",-SUM(E$14:E$60,E$65),0))</f>
        <v>0</v>
      </c>
      <c r="F63" s="160">
        <f>IF('内訳ﾘｽﾄ(4～3月)'!$D$5="製造",SUMIF('内訳ﾘｽﾄ(4～3月)'!$D$26:$D$973,$B63,'内訳ﾘｽﾄ(4～3月)'!I$26:I$973),IF('内訳ﾘｽﾄ(4～3月)'!$D$5="部外間接2",-SUM(F$14:F$60,F$65),0))</f>
        <v>0</v>
      </c>
      <c r="G63" s="160">
        <f>IF('内訳ﾘｽﾄ(4～3月)'!$D$5="製造",SUMIF('内訳ﾘｽﾄ(4～3月)'!$D$26:$D$973,$B63,'内訳ﾘｽﾄ(4～3月)'!J$26:J$973),IF('内訳ﾘｽﾄ(4～3月)'!$D$5="部外間接2",-SUM(G$14:G$60,G$65),0))</f>
        <v>0</v>
      </c>
      <c r="H63" s="160">
        <f>IF('内訳ﾘｽﾄ(4～3月)'!$D$5="製造",SUMIF('内訳ﾘｽﾄ(4～3月)'!$D$26:$D$973,$B63,'内訳ﾘｽﾄ(4～3月)'!K$26:K$973),IF('内訳ﾘｽﾄ(4～3月)'!$D$5="部外間接2",-SUM(H$14:H$60,H$65),0))</f>
        <v>0</v>
      </c>
      <c r="I63" s="160">
        <f>IF('内訳ﾘｽﾄ(4～3月)'!$D$5="製造",SUMIF('内訳ﾘｽﾄ(4～3月)'!$D$26:$D$973,$B63,'内訳ﾘｽﾄ(4～3月)'!L$26:L$973),IF('内訳ﾘｽﾄ(4～3月)'!$D$5="部外間接2",-SUM(I$14:I$60,I$65),0))</f>
        <v>0</v>
      </c>
      <c r="J63" s="160">
        <f>IF('内訳ﾘｽﾄ(4～3月)'!$D$5="製造",SUMIF('内訳ﾘｽﾄ(4～3月)'!$D$26:$D$973,$B63,'内訳ﾘｽﾄ(4～3月)'!M$26:M$973),IF('内訳ﾘｽﾄ(4～3月)'!$D$5="部外間接2",-SUM(J$14:J$60,J$65),0))</f>
        <v>0</v>
      </c>
      <c r="K63" s="160">
        <f>IF('内訳ﾘｽﾄ(4～3月)'!$D$5="製造",SUMIF('内訳ﾘｽﾄ(4～3月)'!$D$26:$D$973,$B63,'内訳ﾘｽﾄ(4～3月)'!N$26:N$973),IF('内訳ﾘｽﾄ(4～3月)'!$D$5="部外間接2",-SUM(K$14:K$60,K$65),0))</f>
        <v>0</v>
      </c>
      <c r="L63" s="160">
        <f>IF('内訳ﾘｽﾄ(4～3月)'!$D$5="製造",SUMIF('内訳ﾘｽﾄ(4～3月)'!$D$26:$D$973,$B63,'内訳ﾘｽﾄ(4～3月)'!O$26:O$973),IF('内訳ﾘｽﾄ(4～3月)'!$D$5="部外間接2",-SUM(L$14:L$60,L$65),0))</f>
        <v>0</v>
      </c>
      <c r="M63" s="160">
        <f>IF('内訳ﾘｽﾄ(4～3月)'!$D$5="製造",SUMIF('内訳ﾘｽﾄ(4～3月)'!$D$26:$D$973,$B63,'内訳ﾘｽﾄ(4～3月)'!P$26:P$973),IF('内訳ﾘｽﾄ(4～3月)'!$D$5="部外間接2",-SUM(M$14:M$60,M$65),0))</f>
        <v>0</v>
      </c>
      <c r="N63" s="160">
        <f>IF('内訳ﾘｽﾄ(4～3月)'!$D$5="製造",SUMIF('内訳ﾘｽﾄ(4～3月)'!$D$26:$D$973,$B63,'内訳ﾘｽﾄ(4～3月)'!Q$26:Q$973),IF('内訳ﾘｽﾄ(4～3月)'!$D$5="部外間接2",-SUM(N$14:N$60,N$65),0))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IF('内訳ﾘｽﾄ(4～3月)'!$D$5="部外間接2",-SUM(O$65,O$14:O$60),IF('内訳ﾘｽﾄ(4～3月)'!$D$5="製造",SUMIF('内訳ﾘｽﾄ(4～3月)'!$D$26:$D$772,'採算表(VND)'!$B63,'内訳ﾘｽﾄ(4～3月)'!R$26:R$772),0))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 ca="1">IF('内訳ﾘｽﾄ(4～3月)'!$D$5="製造",SUMIF('内訳ﾘｽﾄ(4～3月)'!$D$26:$D$973,$B64,'内訳ﾘｽﾄ(4～3月)'!F$26:F$973),IF('内訳ﾘｽﾄ(4～3月)'!$D$5="工場間接",-SUM(C$14:C$60,C$65),0))</f>
        <v>-3232448531</v>
      </c>
      <c r="D64" s="160">
        <f ca="1">IF('内訳ﾘｽﾄ(4～3月)'!$D$5="製造",SUMIF('内訳ﾘｽﾄ(4～3月)'!$D$26:$D$973,$B64,'内訳ﾘｽﾄ(4～3月)'!G$26:G$973),IF('内訳ﾘｽﾄ(4～3月)'!$D$5="工場間接",-SUM(D$14:D$60,D$65),0))</f>
        <v>-1191581278</v>
      </c>
      <c r="E64" s="160">
        <f ca="1">IF('内訳ﾘｽﾄ(4～3月)'!$D$5="製造",SUMIF('内訳ﾘｽﾄ(4～3月)'!$D$26:$D$973,$B64,'内訳ﾘｽﾄ(4～3月)'!H$26:H$973),IF('内訳ﾘｽﾄ(4～3月)'!$D$5="工場間接",-SUM(E$14:E$60,E$65),0))</f>
        <v>-1137648047</v>
      </c>
      <c r="F64" s="160">
        <f ca="1">IF('内訳ﾘｽﾄ(4～3月)'!$D$5="製造",SUMIF('内訳ﾘｽﾄ(4～3月)'!$D$26:$D$973,$B64,'内訳ﾘｽﾄ(4～3月)'!I$26:I$973),IF('内訳ﾘｽﾄ(4～3月)'!$D$5="工場間接",-SUM(F$14:F$60,F$65),0))</f>
        <v>-1140451181</v>
      </c>
      <c r="G64" s="160">
        <f ca="1">IF('内訳ﾘｽﾄ(4～3月)'!$D$5="製造",SUMIF('内訳ﾘｽﾄ(4～3月)'!$D$26:$D$973,$B64,'内訳ﾘｽﾄ(4～3月)'!J$26:J$973),IF('内訳ﾘｽﾄ(4～3月)'!$D$5="工場間接",-SUM(G$14:G$60,G$65),0))</f>
        <v>-1223940850</v>
      </c>
      <c r="H64" s="160">
        <f ca="1">IF('内訳ﾘｽﾄ(4～3月)'!$D$5="製造",SUMIF('内訳ﾘｽﾄ(4～3月)'!$D$26:$D$973,$B64,'内訳ﾘｽﾄ(4～3月)'!K$26:K$973),IF('内訳ﾘｽﾄ(4～3月)'!$D$5="工場間接",-SUM(H$14:H$60,H$65),0))</f>
        <v>-1245870347</v>
      </c>
      <c r="I64" s="160">
        <f ca="1">IF('内訳ﾘｽﾄ(4～3月)'!$D$5="製造",SUMIF('内訳ﾘｽﾄ(4～3月)'!$D$26:$D$973,$B64,'内訳ﾘｽﾄ(4～3月)'!L$26:L$973),IF('内訳ﾘｽﾄ(4～3月)'!$D$5="工場間接",-SUM(I$14:I$60,I$65),0))</f>
        <v>-1039609847</v>
      </c>
      <c r="J64" s="160">
        <f ca="1">IF('内訳ﾘｽﾄ(4～3月)'!$D$5="製造",SUMIF('内訳ﾘｽﾄ(4～3月)'!$D$26:$D$973,$B64,'内訳ﾘｽﾄ(4～3月)'!M$26:M$973),IF('内訳ﾘｽﾄ(4～3月)'!$D$5="工場間接",-SUM(J$14:J$60,J$65),0))</f>
        <v>-1245812344</v>
      </c>
      <c r="K64" s="160">
        <f ca="1">IF('内訳ﾘｽﾄ(4～3月)'!$D$5="製造",SUMIF('内訳ﾘｽﾄ(4～3月)'!$D$26:$D$973,$B64,'内訳ﾘｽﾄ(4～3月)'!N$26:N$973),IF('内訳ﾘｽﾄ(4～3月)'!$D$5="工場間接",-SUM(K$14:K$60,K$65),0))</f>
        <v>-1317263147</v>
      </c>
      <c r="L64" s="160">
        <f ca="1">IF('内訳ﾘｽﾄ(4～3月)'!$D$5="製造",SUMIF('内訳ﾘｽﾄ(4～3月)'!$D$26:$D$973,$B64,'内訳ﾘｽﾄ(4～3月)'!O$26:O$973),IF('内訳ﾘｽﾄ(4～3月)'!$D$5="工場間接",-SUM(L$14:L$60,L$65),0))</f>
        <v>-1279693902</v>
      </c>
      <c r="M64" s="160">
        <f ca="1">IF('内訳ﾘｽﾄ(4～3月)'!$D$5="製造",SUMIF('内訳ﾘｽﾄ(4～3月)'!$D$26:$D$973,$B64,'内訳ﾘｽﾄ(4～3月)'!P$26:P$973),IF('内訳ﾘｽﾄ(4～3月)'!$D$5="工場間接",-SUM(M$14:M$60,M$65),0))</f>
        <v>-1169008930</v>
      </c>
      <c r="N64" s="160">
        <f ca="1">IF('内訳ﾘｽﾄ(4～3月)'!$D$5="製造",SUMIF('内訳ﾘｽﾄ(4～3月)'!$D$26:$D$973,$B64,'内訳ﾘｽﾄ(4～3月)'!Q$26:Q$973),IF('内訳ﾘｽﾄ(4～3月)'!$D$5="工場間接",-SUM(N$14:N$60,N$65),0))</f>
        <v>-1095461921</v>
      </c>
      <c r="O64" s="160">
        <f ca="1">IF('内訳ﾘｽﾄ(4～3月)'!$D$5="工場間接",-SUM(O$65,O$14:O$60),IF('内訳ﾘｽﾄ(4～3月)'!$D$5="製造",SUMIF('内訳ﾘｽﾄ(4～3月)'!$D$26:$D$772,'採算表(VND)'!$B64,'内訳ﾘｽﾄ(4～3月)'!R$26:R$772),0))</f>
        <v>-16318790325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SUMIF('内訳ﾘｽﾄ(4～3月)'!$D$26:$D$973,$B65,'内訳ﾘｽﾄ(4～3月)'!F$26:F$973)</f>
        <v>0</v>
      </c>
      <c r="D65" s="158">
        <f>SUMIF('内訳ﾘｽﾄ(4～3月)'!$D$26:$D$973,$B65,'内訳ﾘｽﾄ(4～3月)'!G$26:G$973)</f>
        <v>0</v>
      </c>
      <c r="E65" s="158">
        <f>SUMIF('内訳ﾘｽﾄ(4～3月)'!$D$26:$D$973,$B65,'内訳ﾘｽﾄ(4～3月)'!H$26:H$973)</f>
        <v>0</v>
      </c>
      <c r="F65" s="158">
        <f>SUMIF('内訳ﾘｽﾄ(4～3月)'!$D$26:$D$973,$B65,'内訳ﾘｽﾄ(4～3月)'!I$26:I$973)</f>
        <v>0</v>
      </c>
      <c r="G65" s="158">
        <f>SUMIF('内訳ﾘｽﾄ(4～3月)'!$D$26:$D$973,$B65,'内訳ﾘｽﾄ(4～3月)'!J$26:J$973)</f>
        <v>0</v>
      </c>
      <c r="H65" s="158">
        <f>SUMIF('内訳ﾘｽﾄ(4～3月)'!$D$26:$D$973,$B65,'内訳ﾘｽﾄ(4～3月)'!K$26:K$973)</f>
        <v>0</v>
      </c>
      <c r="I65" s="158">
        <f>SUMIF('内訳ﾘｽﾄ(4～3月)'!$D$26:$D$973,$B65,'内訳ﾘｽﾄ(4～3月)'!L$26:L$973)</f>
        <v>0</v>
      </c>
      <c r="J65" s="158">
        <f>SUMIF('内訳ﾘｽﾄ(4～3月)'!$D$26:$D$973,$B65,'内訳ﾘｽﾄ(4～3月)'!M$26:M$973)</f>
        <v>0</v>
      </c>
      <c r="K65" s="158">
        <f>SUMIF('内訳ﾘｽﾄ(4～3月)'!$D$26:$D$973,$B65,'内訳ﾘｽﾄ(4～3月)'!N$26:N$973)</f>
        <v>0</v>
      </c>
      <c r="L65" s="158">
        <f>SUMIF('内訳ﾘｽﾄ(4～3月)'!$D$26:$D$973,$B65,'内訳ﾘｽﾄ(4～3月)'!O$26:O$973)</f>
        <v>0</v>
      </c>
      <c r="M65" s="158">
        <f>SUMIF('内訳ﾘｽﾄ(4～3月)'!$D$26:$D$973,$B65,'内訳ﾘｽﾄ(4～3月)'!P$26:P$973)</f>
        <v>0</v>
      </c>
      <c r="N65" s="158">
        <f>SUMIF('内訳ﾘｽﾄ(4～3月)'!$D$26:$D$973,$B65,'内訳ﾘｽﾄ(4～3月)'!Q$26:Q$973)</f>
        <v>0</v>
      </c>
      <c r="O65" s="158">
        <f>SUMIF('内訳ﾘｽﾄ(4～3月)'!$D$26:$D$772,'採算表(VND)'!$B65,'内訳ﾘｽﾄ(4～3月)'!R$26:R$772)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 ca="1">C12-C13</f>
        <v>0</v>
      </c>
      <c r="D66" s="156">
        <f t="shared" ref="D66:N66" ca="1" si="4">D12-D13</f>
        <v>0</v>
      </c>
      <c r="E66" s="156">
        <f t="shared" ca="1" si="4"/>
        <v>0</v>
      </c>
      <c r="F66" s="156">
        <f t="shared" ca="1" si="4"/>
        <v>0</v>
      </c>
      <c r="G66" s="156">
        <f t="shared" ca="1" si="4"/>
        <v>0</v>
      </c>
      <c r="H66" s="156">
        <f t="shared" ca="1" si="4"/>
        <v>0</v>
      </c>
      <c r="I66" s="156">
        <f t="shared" ca="1" si="4"/>
        <v>0</v>
      </c>
      <c r="J66" s="156">
        <f t="shared" ca="1" si="4"/>
        <v>0</v>
      </c>
      <c r="K66" s="156">
        <f t="shared" ca="1" si="4"/>
        <v>0</v>
      </c>
      <c r="L66" s="156">
        <f t="shared" ca="1" si="4"/>
        <v>0</v>
      </c>
      <c r="M66" s="156">
        <f t="shared" ca="1" si="4"/>
        <v>0</v>
      </c>
      <c r="N66" s="156">
        <f t="shared" ca="1" si="4"/>
        <v>0</v>
      </c>
      <c r="O66" s="156">
        <f ca="1"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2767</v>
      </c>
      <c r="D68" s="162">
        <f>SUMIF('内訳ﾘｽﾄ(4～3月)'!$D$8:$D$15,'採算表(VND)'!$B68,'内訳ﾘｽﾄ(4～3月)'!G$8:G$15)</f>
        <v>2709.5</v>
      </c>
      <c r="E68" s="162">
        <f>SUMIF('内訳ﾘｽﾄ(4～3月)'!$D$8:$D$15,'採算表(VND)'!$B68,'内訳ﾘｽﾄ(4～3月)'!H$8:H$15)</f>
        <v>2979.5</v>
      </c>
      <c r="F68" s="162">
        <f>SUMIF('内訳ﾘｽﾄ(4～3月)'!$D$8:$D$15,'採算表(VND)'!$B68,'内訳ﾘｽﾄ(4～3月)'!I$8:I$15)</f>
        <v>3190</v>
      </c>
      <c r="G68" s="162">
        <f>SUMIF('内訳ﾘｽﾄ(4～3月)'!$D$8:$D$15,'採算表(VND)'!$B68,'内訳ﾘｽﾄ(4～3月)'!J$8:J$15)</f>
        <v>2767</v>
      </c>
      <c r="H68" s="162">
        <f>SUMIF('内訳ﾘｽﾄ(4～3月)'!$D$8:$D$15,'採算表(VND)'!$B68,'内訳ﾘｽﾄ(4～3月)'!K$8:K$15)</f>
        <v>2616</v>
      </c>
      <c r="I68" s="162">
        <f>SUMIF('内訳ﾘｽﾄ(4～3月)'!$D$8:$D$15,'採算表(VND)'!$B68,'内訳ﾘｽﾄ(4～3月)'!L$8:L$15)</f>
        <v>3190</v>
      </c>
      <c r="J68" s="162">
        <f>SUMIF('内訳ﾘｽﾄ(4～3月)'!$D$8:$D$15,'採算表(VND)'!$B68,'内訳ﾘｽﾄ(4～3月)'!M$8:M$15)</f>
        <v>2767</v>
      </c>
      <c r="K68" s="162">
        <f>SUMIF('内訳ﾘｽﾄ(4～3月)'!$D$8:$D$15,'採算表(VND)'!$B68,'内訳ﾘｽﾄ(4～3月)'!N$8:N$15)</f>
        <v>3121.5</v>
      </c>
      <c r="L68" s="162">
        <f>SUMIF('内訳ﾘｽﾄ(4～3月)'!$D$8:$D$15,'採算表(VND)'!$B68,'内訳ﾘｽﾄ(4～3月)'!O$8:O$15)</f>
        <v>2909.5</v>
      </c>
      <c r="M68" s="162">
        <f>SUMIF('内訳ﾘｽﾄ(4～3月)'!$D$8:$D$15,'採算表(VND)'!$B68,'内訳ﾘｽﾄ(4～3月)'!P$8:P$15)</f>
        <v>2147</v>
      </c>
      <c r="N68" s="162">
        <f>SUMIF('内訳ﾘｽﾄ(4～3月)'!$D$8:$D$15,'採算表(VND)'!$B68,'内訳ﾘｽﾄ(4～3月)'!Q$8:Q$15)</f>
        <v>2902</v>
      </c>
      <c r="O68" s="162">
        <f>SUMIF('内訳ﾘｽﾄ(4～3月)'!$D$8:$D$15,'採算表(VND)'!$B68,'内訳ﾘｽﾄ(4～3月)'!$R$8:$R$15)</f>
        <v>34066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-2767</v>
      </c>
      <c r="D72" s="165">
        <f>IF('内訳ﾘｽﾄ(4～3月)'!$D$5="製造",SUMIF('内訳ﾘｽﾄ(4～3月)'!$D$8:$D$15,$B72,'内訳ﾘｽﾄ(4～3月)'!G$8:G$15),IF('内訳ﾘｽﾄ(4～3月)'!$D$5="工場間接",-D$68,0))</f>
        <v>-2709.5</v>
      </c>
      <c r="E72" s="165">
        <f>IF('内訳ﾘｽﾄ(4～3月)'!$D$5="製造",SUMIF('内訳ﾘｽﾄ(4～3月)'!$D$8:$D$15,$B72,'内訳ﾘｽﾄ(4～3月)'!H$8:H$15),IF('内訳ﾘｽﾄ(4～3月)'!$D$5="工場間接",-E$68,0))</f>
        <v>-2979.5</v>
      </c>
      <c r="F72" s="165">
        <f>IF('内訳ﾘｽﾄ(4～3月)'!$D$5="製造",SUMIF('内訳ﾘｽﾄ(4～3月)'!$D$8:$D$15,$B72,'内訳ﾘｽﾄ(4～3月)'!I$8:I$15),IF('内訳ﾘｽﾄ(4～3月)'!$D$5="工場間接",-F$68,0))</f>
        <v>-3190</v>
      </c>
      <c r="G72" s="165">
        <f>IF('内訳ﾘｽﾄ(4～3月)'!$D$5="製造",SUMIF('内訳ﾘｽﾄ(4～3月)'!$D$8:$D$15,$B72,'内訳ﾘｽﾄ(4～3月)'!J$8:J$15),IF('内訳ﾘｽﾄ(4～3月)'!$D$5="工場間接",-G$68,0))</f>
        <v>-2767</v>
      </c>
      <c r="H72" s="165">
        <f>IF('内訳ﾘｽﾄ(4～3月)'!$D$5="製造",SUMIF('内訳ﾘｽﾄ(4～3月)'!$D$8:$D$15,$B72,'内訳ﾘｽﾄ(4～3月)'!K$8:K$15),IF('内訳ﾘｽﾄ(4～3月)'!$D$5="工場間接",-H$68,0))</f>
        <v>-2616</v>
      </c>
      <c r="I72" s="165">
        <f>IF('内訳ﾘｽﾄ(4～3月)'!$D$5="製造",SUMIF('内訳ﾘｽﾄ(4～3月)'!$D$8:$D$15,$B72,'内訳ﾘｽﾄ(4～3月)'!L$8:L$15),IF('内訳ﾘｽﾄ(4～3月)'!$D$5="工場間接",-I$68,0))</f>
        <v>-3190</v>
      </c>
      <c r="J72" s="165">
        <f>IF('内訳ﾘｽﾄ(4～3月)'!$D$5="製造",SUMIF('内訳ﾘｽﾄ(4～3月)'!$D$8:$D$15,$B72,'内訳ﾘｽﾄ(4～3月)'!M$8:M$15),IF('内訳ﾘｽﾄ(4～3月)'!$D$5="工場間接",-J$68,0))</f>
        <v>-2767</v>
      </c>
      <c r="K72" s="165">
        <f>IF('内訳ﾘｽﾄ(4～3月)'!$D$5="製造",SUMIF('内訳ﾘｽﾄ(4～3月)'!$D$8:$D$15,$B72,'内訳ﾘｽﾄ(4～3月)'!N$8:N$15),IF('内訳ﾘｽﾄ(4～3月)'!$D$5="工場間接",-K$68,0))</f>
        <v>-3121.5</v>
      </c>
      <c r="L72" s="165">
        <f>IF('内訳ﾘｽﾄ(4～3月)'!$D$5="製造",SUMIF('内訳ﾘｽﾄ(4～3月)'!$D$8:$D$15,$B72,'内訳ﾘｽﾄ(4～3月)'!O$8:O$15),IF('内訳ﾘｽﾄ(4～3月)'!$D$5="工場間接",-L$68,0))</f>
        <v>-2909.5</v>
      </c>
      <c r="M72" s="165">
        <f>IF('内訳ﾘｽﾄ(4～3月)'!$D$5="製造",SUMIF('内訳ﾘｽﾄ(4～3月)'!$D$8:$D$15,$B72,'内訳ﾘｽﾄ(4～3月)'!P$8:P$15),IF('内訳ﾘｽﾄ(4～3月)'!$D$5="工場間接",-M$68,0))</f>
        <v>-2147</v>
      </c>
      <c r="N72" s="165">
        <f>IF('内訳ﾘｽﾄ(4～3月)'!$D$5="製造",SUMIF('内訳ﾘｽﾄ(4～3月)'!$D$8:$D$15,$B72,'内訳ﾘｽﾄ(4～3月)'!Q$8:Q$15),IF('内訳ﾘｽﾄ(4～3月)'!$D$5="工場間接",-N$68,0))</f>
        <v>-2902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-34066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176.5</v>
      </c>
      <c r="D74" s="162">
        <f>SUMIF('内訳ﾘｽﾄ(4～3月)'!$D$16:$D$23,'採算表(VND)'!$B74,'内訳ﾘｽﾄ(4～3月)'!G$16:G$23)</f>
        <v>193.5</v>
      </c>
      <c r="E74" s="162">
        <f>SUMIF('内訳ﾘｽﾄ(4～3月)'!$D$16:$D$23,'採算表(VND)'!$B74,'内訳ﾘｽﾄ(4～3月)'!H$16:H$23)</f>
        <v>185.5</v>
      </c>
      <c r="F74" s="162">
        <f>SUMIF('内訳ﾘｽﾄ(4～3月)'!$D$16:$D$23,'採算表(VND)'!$B74,'内訳ﾘｽﾄ(4～3月)'!I$16:I$23)</f>
        <v>203.5</v>
      </c>
      <c r="G74" s="162">
        <f>SUMIF('内訳ﾘｽﾄ(4～3月)'!$D$16:$D$23,'採算表(VND)'!$B74,'内訳ﾘｽﾄ(4～3月)'!J$16:J$23)</f>
        <v>176.5</v>
      </c>
      <c r="H74" s="162">
        <f>SUMIF('内訳ﾘｽﾄ(4～3月)'!$D$16:$D$23,'採算表(VND)'!$B74,'内訳ﾘｽﾄ(4～3月)'!K$16:K$23)</f>
        <v>251.5</v>
      </c>
      <c r="I74" s="162">
        <f>SUMIF('内訳ﾘｽﾄ(4～3月)'!$D$16:$D$23,'採算表(VND)'!$B74,'内訳ﾘｽﾄ(4～3月)'!L$16:L$23)</f>
        <v>203.5</v>
      </c>
      <c r="J74" s="162">
        <f>SUMIF('内訳ﾘｽﾄ(4～3月)'!$D$16:$D$23,'採算表(VND)'!$B74,'内訳ﾘｽﾄ(4～3月)'!M$16:M$23)</f>
        <v>246.5</v>
      </c>
      <c r="K74" s="162">
        <f>SUMIF('内訳ﾘｽﾄ(4～3月)'!$D$16:$D$23,'採算表(VND)'!$B74,'内訳ﾘｽﾄ(4～3月)'!N$16:N$23)</f>
        <v>194.5</v>
      </c>
      <c r="L74" s="162">
        <f>SUMIF('内訳ﾘｽﾄ(4～3月)'!$D$16:$D$23,'採算表(VND)'!$B74,'内訳ﾘｽﾄ(4～3月)'!O$16:O$23)</f>
        <v>176.5</v>
      </c>
      <c r="M74" s="162">
        <f>SUMIF('内訳ﾘｽﾄ(4～3月)'!$D$16:$D$23,'採算表(VND)'!$B74,'内訳ﾘｽﾄ(4～3月)'!P$16:P$23)</f>
        <v>131.5</v>
      </c>
      <c r="N74" s="162">
        <f>SUMIF('内訳ﾘｽﾄ(4～3月)'!$D$16:$D$23,'採算表(VND)'!$B74,'内訳ﾘｽﾄ(4～3月)'!Q$16:Q$23)</f>
        <v>176.5</v>
      </c>
      <c r="O74" s="162">
        <f>SUMIF('内訳ﾘｽﾄ(4～3月)'!$D$16:$D$23,'採算表(VND)'!$B74,'内訳ﾘｽﾄ(4～3月)'!$R$16:$R$23)</f>
        <v>2316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-176.5</v>
      </c>
      <c r="D78" s="165">
        <f>IF('内訳ﾘｽﾄ(4～3月)'!$D$5="製造",SUMIF('内訳ﾘｽﾄ(4～3月)'!$D$16:$D$23,$B78,'内訳ﾘｽﾄ(4～3月)'!G$16:G$23),IF('内訳ﾘｽﾄ(4～3月)'!$D$5="工場間接",-D$74,0))</f>
        <v>-193.5</v>
      </c>
      <c r="E78" s="165">
        <f>IF('内訳ﾘｽﾄ(4～3月)'!$D$5="製造",SUMIF('内訳ﾘｽﾄ(4～3月)'!$D$16:$D$23,$B78,'内訳ﾘｽﾄ(4～3月)'!H$16:H$23),IF('内訳ﾘｽﾄ(4～3月)'!$D$5="工場間接",-E$74,0))</f>
        <v>-185.5</v>
      </c>
      <c r="F78" s="165">
        <f>IF('内訳ﾘｽﾄ(4～3月)'!$D$5="製造",SUMIF('内訳ﾘｽﾄ(4～3月)'!$D$16:$D$23,$B78,'内訳ﾘｽﾄ(4～3月)'!I$16:I$23),IF('内訳ﾘｽﾄ(4～3月)'!$D$5="工場間接",-F$74,0))</f>
        <v>-203.5</v>
      </c>
      <c r="G78" s="165">
        <f>IF('内訳ﾘｽﾄ(4～3月)'!$D$5="製造",SUMIF('内訳ﾘｽﾄ(4～3月)'!$D$16:$D$23,$B78,'内訳ﾘｽﾄ(4～3月)'!J$16:J$23),IF('内訳ﾘｽﾄ(4～3月)'!$D$5="工場間接",-G$74,0))</f>
        <v>-176.5</v>
      </c>
      <c r="H78" s="165">
        <f>IF('内訳ﾘｽﾄ(4～3月)'!$D$5="製造",SUMIF('内訳ﾘｽﾄ(4～3月)'!$D$16:$D$23,$B78,'内訳ﾘｽﾄ(4～3月)'!K$16:K$23),IF('内訳ﾘｽﾄ(4～3月)'!$D$5="工場間接",-H$74,0))</f>
        <v>-251.5</v>
      </c>
      <c r="I78" s="165">
        <f>IF('内訳ﾘｽﾄ(4～3月)'!$D$5="製造",SUMIF('内訳ﾘｽﾄ(4～3月)'!$D$16:$D$23,$B78,'内訳ﾘｽﾄ(4～3月)'!L$16:L$23),IF('内訳ﾘｽﾄ(4～3月)'!$D$5="工場間接",-I$74,0))</f>
        <v>-203.5</v>
      </c>
      <c r="J78" s="165">
        <f>IF('内訳ﾘｽﾄ(4～3月)'!$D$5="製造",SUMIF('内訳ﾘｽﾄ(4～3月)'!$D$16:$D$23,$B78,'内訳ﾘｽﾄ(4～3月)'!M$16:M$23),IF('内訳ﾘｽﾄ(4～3月)'!$D$5="工場間接",-J$74,0))</f>
        <v>-246.5</v>
      </c>
      <c r="K78" s="165">
        <f>IF('内訳ﾘｽﾄ(4～3月)'!$D$5="製造",SUMIF('内訳ﾘｽﾄ(4～3月)'!$D$16:$D$23,$B78,'内訳ﾘｽﾄ(4～3月)'!N$16:N$23),IF('内訳ﾘｽﾄ(4～3月)'!$D$5="工場間接",-K$74,0))</f>
        <v>-194.5</v>
      </c>
      <c r="L78" s="165">
        <f>IF('内訳ﾘｽﾄ(4～3月)'!$D$5="製造",SUMIF('内訳ﾘｽﾄ(4～3月)'!$D$16:$D$23,$B78,'内訳ﾘｽﾄ(4～3月)'!O$16:O$23),IF('内訳ﾘｽﾄ(4～3月)'!$D$5="工場間接",-L$74,0))</f>
        <v>-176.5</v>
      </c>
      <c r="M78" s="165">
        <f>IF('内訳ﾘｽﾄ(4～3月)'!$D$5="製造",SUMIF('内訳ﾘｽﾄ(4～3月)'!$D$16:$D$23,$B78,'内訳ﾘｽﾄ(4～3月)'!P$16:P$23),IF('内訳ﾘｽﾄ(4～3月)'!$D$5="工場間接",-M$74,0))</f>
        <v>-131.5</v>
      </c>
      <c r="N78" s="165">
        <f>IF('内訳ﾘｽﾄ(4～3月)'!$D$5="製造",SUMIF('内訳ﾘｽﾄ(4～3月)'!$D$16:$D$23,$B78,'内訳ﾘｽﾄ(4～3月)'!Q$16:Q$23),IF('内訳ﾘｽﾄ(4～3月)'!$D$5="工場間接",-N$74,0))</f>
        <v>-176.5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-2316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 ca="1">IFERROR(ROUNDDOWN(C66/C67,0),0)</f>
        <v>0</v>
      </c>
      <c r="D80" s="167">
        <f t="shared" ref="D80:N80" ca="1" si="8">IFERROR(ROUNDDOWN(D66/D67,0),0)</f>
        <v>0</v>
      </c>
      <c r="E80" s="167">
        <f t="shared" ca="1" si="8"/>
        <v>0</v>
      </c>
      <c r="F80" s="167">
        <f t="shared" ca="1" si="8"/>
        <v>0</v>
      </c>
      <c r="G80" s="167">
        <f t="shared" ca="1" si="8"/>
        <v>0</v>
      </c>
      <c r="H80" s="167">
        <f t="shared" ca="1" si="8"/>
        <v>0</v>
      </c>
      <c r="I80" s="167">
        <f t="shared" ca="1" si="8"/>
        <v>0</v>
      </c>
      <c r="J80" s="167">
        <f t="shared" ca="1" si="8"/>
        <v>0</v>
      </c>
      <c r="K80" s="167">
        <f t="shared" ca="1" si="8"/>
        <v>0</v>
      </c>
      <c r="L80" s="167">
        <f t="shared" ca="1" si="8"/>
        <v>0</v>
      </c>
      <c r="M80" s="167">
        <f t="shared" ca="1" si="8"/>
        <v>0</v>
      </c>
      <c r="N80" s="167">
        <f t="shared" ca="1" si="8"/>
        <v>0</v>
      </c>
      <c r="O80" s="167">
        <f ca="1"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16</v>
      </c>
      <c r="D88" s="150">
        <f>SUMIF('内訳ﾘｽﾄ(4～3月)'!$D$24:$D$25,'採算表(VND)'!$B88,'内訳ﾘｽﾄ(4～3月)'!G$24:G$25)</f>
        <v>17</v>
      </c>
      <c r="E88" s="150">
        <f>SUMIF('内訳ﾘｽﾄ(4～3月)'!$D$24:$D$25,'採算表(VND)'!$B88,'内訳ﾘｽﾄ(4～3月)'!H$24:H$25)</f>
        <v>17</v>
      </c>
      <c r="F88" s="150">
        <f>SUMIF('内訳ﾘｽﾄ(4～3月)'!$D$24:$D$25,'採算表(VND)'!$B88,'内訳ﾘｽﾄ(4～3月)'!I$24:I$25)</f>
        <v>17</v>
      </c>
      <c r="G88" s="150">
        <f>SUMIF('内訳ﾘｽﾄ(4～3月)'!$D$24:$D$25,'採算表(VND)'!$B88,'内訳ﾘｽﾄ(4～3月)'!J$24:J$25)</f>
        <v>17</v>
      </c>
      <c r="H88" s="150">
        <f>SUMIF('内訳ﾘｽﾄ(4～3月)'!$D$24:$D$25,'採算表(VND)'!$B88,'内訳ﾘｽﾄ(4～3月)'!K$24:K$25)</f>
        <v>17</v>
      </c>
      <c r="I88" s="150">
        <f>SUMIF('内訳ﾘｽﾄ(4～3月)'!$D$24:$D$25,'採算表(VND)'!$B88,'内訳ﾘｽﾄ(4～3月)'!L$24:L$25)</f>
        <v>17</v>
      </c>
      <c r="J88" s="150">
        <f>SUMIF('内訳ﾘｽﾄ(4～3月)'!$D$24:$D$25,'採算表(VND)'!$B88,'内訳ﾘｽﾄ(4～3月)'!M$24:M$25)</f>
        <v>17</v>
      </c>
      <c r="K88" s="150">
        <f>SUMIF('内訳ﾘｽﾄ(4～3月)'!$D$24:$D$25,'採算表(VND)'!$B88,'内訳ﾘｽﾄ(4～3月)'!N$24:N$25)</f>
        <v>17</v>
      </c>
      <c r="L88" s="150">
        <f>SUMIF('内訳ﾘｽﾄ(4～3月)'!$D$24:$D$25,'採算表(VND)'!$B88,'内訳ﾘｽﾄ(4～3月)'!O$24:O$25)</f>
        <v>17</v>
      </c>
      <c r="M88" s="150">
        <f>SUMIF('内訳ﾘｽﾄ(4～3月)'!$D$24:$D$25,'採算表(VND)'!$B88,'内訳ﾘｽﾄ(4～3月)'!P$24:P$25)</f>
        <v>17</v>
      </c>
      <c r="N88" s="150">
        <f>SUMIF('内訳ﾘｽﾄ(4～3月)'!$D$24:$D$25,'採算表(VND)'!$B88,'内訳ﾘｽﾄ(4～3月)'!Q$24:Q$25)</f>
        <v>17</v>
      </c>
      <c r="O88" s="150">
        <f>SUMIF('内訳ﾘｽﾄ(4～3月)'!$D$24:$D$25,'採算表(VND)'!$B88,'内訳ﾘｽﾄ(4～3月)'!R$24:R$25)</f>
        <v>17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17</v>
      </c>
      <c r="D89" s="151">
        <f t="shared" si="10"/>
        <v>18</v>
      </c>
      <c r="E89" s="151">
        <f t="shared" si="10"/>
        <v>18</v>
      </c>
      <c r="F89" s="151">
        <f t="shared" si="10"/>
        <v>18</v>
      </c>
      <c r="G89" s="151">
        <f t="shared" si="10"/>
        <v>18</v>
      </c>
      <c r="H89" s="151">
        <f t="shared" si="10"/>
        <v>18</v>
      </c>
      <c r="I89" s="151">
        <f t="shared" si="10"/>
        <v>18</v>
      </c>
      <c r="J89" s="151">
        <f t="shared" si="10"/>
        <v>18</v>
      </c>
      <c r="K89" s="151">
        <f t="shared" si="10"/>
        <v>18</v>
      </c>
      <c r="L89" s="151">
        <f t="shared" si="10"/>
        <v>18</v>
      </c>
      <c r="M89" s="151">
        <f t="shared" si="10"/>
        <v>18</v>
      </c>
      <c r="N89" s="151">
        <f t="shared" si="10"/>
        <v>18</v>
      </c>
      <c r="O89" s="151">
        <f>O87+O88</f>
        <v>18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170</v>
      </c>
      <c r="D92" s="161">
        <f>SUMIF('内訳ﾘｽﾄ(4～3月)'!$B$8:$B$15,$B92,'内訳ﾘｽﾄ(4～3月)'!G$8:G$15)</f>
        <v>161.5</v>
      </c>
      <c r="E92" s="161">
        <f>SUMIF('内訳ﾘｽﾄ(4～3月)'!$B$8:$B$15,$B92,'内訳ﾘｽﾄ(4～3月)'!H$8:H$15)</f>
        <v>178.5</v>
      </c>
      <c r="F92" s="161">
        <f>SUMIF('内訳ﾘｽﾄ(4～3月)'!$B$8:$B$15,$B92,'内訳ﾘｽﾄ(4～3月)'!I$8:I$15)</f>
        <v>195.5</v>
      </c>
      <c r="G92" s="161">
        <f>SUMIF('内訳ﾘｽﾄ(4～3月)'!$B$8:$B$15,$B92,'内訳ﾘｽﾄ(4～3月)'!J$8:J$15)</f>
        <v>170</v>
      </c>
      <c r="H92" s="161">
        <f>SUMIF('内訳ﾘｽﾄ(4～3月)'!$B$8:$B$15,$B92,'内訳ﾘｽﾄ(4～3月)'!K$8:K$15)</f>
        <v>161.5</v>
      </c>
      <c r="I92" s="161">
        <f>SUMIF('内訳ﾘｽﾄ(4～3月)'!$B$8:$B$15,$B92,'内訳ﾘｽﾄ(4～3月)'!L$8:L$15)</f>
        <v>195.5</v>
      </c>
      <c r="J92" s="161">
        <f>SUMIF('内訳ﾘｽﾄ(4～3月)'!$B$8:$B$15,$B92,'内訳ﾘｽﾄ(4～3月)'!M$8:M$15)</f>
        <v>170</v>
      </c>
      <c r="K92" s="161">
        <f>SUMIF('内訳ﾘｽﾄ(4～3月)'!$B$8:$B$15,$B92,'内訳ﾘｽﾄ(4～3月)'!N$8:N$15)</f>
        <v>187</v>
      </c>
      <c r="L92" s="161">
        <f>SUMIF('内訳ﾘｽﾄ(4～3月)'!$B$8:$B$15,$B92,'内訳ﾘｽﾄ(4～3月)'!O$8:O$15)</f>
        <v>170</v>
      </c>
      <c r="M92" s="161">
        <f>SUMIF('内訳ﾘｽﾄ(4～3月)'!$B$8:$B$15,$B92,'内訳ﾘｽﾄ(4～3月)'!P$8:P$15)</f>
        <v>127.5</v>
      </c>
      <c r="N92" s="161">
        <f>SUMIF('内訳ﾘｽﾄ(4～3月)'!$B$8:$B$15,$B92,'内訳ﾘｽﾄ(4～3月)'!Q$8:Q$15)</f>
        <v>170</v>
      </c>
      <c r="O92" s="161">
        <f>SUMIF('内訳ﾘｽﾄ(4～3月)'!$B$8:$B$15,$B92,'内訳ﾘｽﾄ(4～3月)'!R$8:R$15)</f>
        <v>2057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2597</v>
      </c>
      <c r="D93" s="161">
        <f>SUMIF('内訳ﾘｽﾄ(4～3月)'!$B$8:$B$15,$B93,'内訳ﾘｽﾄ(4～3月)'!G$8:G$15)</f>
        <v>2548</v>
      </c>
      <c r="E93" s="161">
        <f>SUMIF('内訳ﾘｽﾄ(4～3月)'!$B$8:$B$15,$B93,'内訳ﾘｽﾄ(4～3月)'!H$8:H$15)</f>
        <v>2801</v>
      </c>
      <c r="F93" s="161">
        <f>SUMIF('内訳ﾘｽﾄ(4～3月)'!$B$8:$B$15,$B93,'内訳ﾘｽﾄ(4～3月)'!I$8:I$15)</f>
        <v>2994.5</v>
      </c>
      <c r="G93" s="161">
        <f>SUMIF('内訳ﾘｽﾄ(4～3月)'!$B$8:$B$15,$B93,'内訳ﾘｽﾄ(4～3月)'!J$8:J$15)</f>
        <v>2597</v>
      </c>
      <c r="H93" s="161">
        <f>SUMIF('内訳ﾘｽﾄ(4～3月)'!$B$8:$B$15,$B93,'内訳ﾘｽﾄ(4～3月)'!K$8:K$15)</f>
        <v>2454.5</v>
      </c>
      <c r="I93" s="161">
        <f>SUMIF('内訳ﾘｽﾄ(4～3月)'!$B$8:$B$15,$B93,'内訳ﾘｽﾄ(4～3月)'!L$8:L$15)</f>
        <v>2994.5</v>
      </c>
      <c r="J93" s="161">
        <f>SUMIF('内訳ﾘｽﾄ(4～3月)'!$B$8:$B$15,$B93,'内訳ﾘｽﾄ(4～3月)'!M$8:M$15)</f>
        <v>2597</v>
      </c>
      <c r="K93" s="161">
        <f>SUMIF('内訳ﾘｽﾄ(4～3月)'!$B$8:$B$15,$B93,'内訳ﾘｽﾄ(4～3月)'!N$8:N$15)</f>
        <v>2934.5</v>
      </c>
      <c r="L93" s="161">
        <f>SUMIF('内訳ﾘｽﾄ(4～3月)'!$B$8:$B$15,$B93,'内訳ﾘｽﾄ(4～3月)'!O$8:O$15)</f>
        <v>2739.5</v>
      </c>
      <c r="M93" s="161">
        <f>SUMIF('内訳ﾘｽﾄ(4～3月)'!$B$8:$B$15,$B93,'内訳ﾘｽﾄ(4～3月)'!P$8:P$15)</f>
        <v>2019.5</v>
      </c>
      <c r="N93" s="161">
        <f>SUMIF('内訳ﾘｽﾄ(4～3月)'!$B$8:$B$15,$B93,'内訳ﾘｽﾄ(4～3月)'!Q$8:Q$15)</f>
        <v>2732</v>
      </c>
      <c r="O93" s="161">
        <f>SUMIF('内訳ﾘｽﾄ(4～3月)'!$B$8:$B$15,$B93,'内訳ﾘｽﾄ(4～3月)'!R$8:R$15)</f>
        <v>32009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2767</v>
      </c>
      <c r="D94" s="169">
        <f t="shared" si="11"/>
        <v>2709.5</v>
      </c>
      <c r="E94" s="169">
        <f t="shared" si="11"/>
        <v>2979.5</v>
      </c>
      <c r="F94" s="169">
        <f t="shared" si="11"/>
        <v>3190</v>
      </c>
      <c r="G94" s="169">
        <f t="shared" si="11"/>
        <v>2767</v>
      </c>
      <c r="H94" s="169">
        <f t="shared" si="11"/>
        <v>2616</v>
      </c>
      <c r="I94" s="169">
        <f t="shared" si="11"/>
        <v>3190</v>
      </c>
      <c r="J94" s="169">
        <f t="shared" si="11"/>
        <v>2767</v>
      </c>
      <c r="K94" s="169">
        <f t="shared" si="11"/>
        <v>3121.5</v>
      </c>
      <c r="L94" s="169">
        <f t="shared" si="11"/>
        <v>2909.5</v>
      </c>
      <c r="M94" s="169">
        <f t="shared" si="11"/>
        <v>2147</v>
      </c>
      <c r="N94" s="169">
        <f t="shared" si="11"/>
        <v>2902</v>
      </c>
      <c r="O94" s="169">
        <f>O92+O93</f>
        <v>34066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40</v>
      </c>
      <c r="D97" s="161">
        <f>SUMIF('内訳ﾘｽﾄ(4～3月)'!$B$16:$B$23,$B97,'内訳ﾘｽﾄ(4～3月)'!G$16:G$23)</f>
        <v>38</v>
      </c>
      <c r="E97" s="161">
        <f>SUMIF('内訳ﾘｽﾄ(4～3月)'!$B$16:$B$23,$B97,'内訳ﾘｽﾄ(4～3月)'!H$16:H$23)</f>
        <v>42</v>
      </c>
      <c r="F97" s="161">
        <f>SUMIF('内訳ﾘｽﾄ(4～3月)'!$B$16:$B$23,$B97,'内訳ﾘｽﾄ(4～3月)'!I$16:I$23)</f>
        <v>46</v>
      </c>
      <c r="G97" s="161">
        <f>SUMIF('内訳ﾘｽﾄ(4～3月)'!$B$16:$B$23,$B97,'内訳ﾘｽﾄ(4～3月)'!J$16:J$23)</f>
        <v>40</v>
      </c>
      <c r="H97" s="161">
        <f>SUMIF('内訳ﾘｽﾄ(4～3月)'!$B$16:$B$23,$B97,'内訳ﾘｽﾄ(4～3月)'!K$16:K$23)</f>
        <v>38</v>
      </c>
      <c r="I97" s="161">
        <f>SUMIF('内訳ﾘｽﾄ(4～3月)'!$B$16:$B$23,$B97,'内訳ﾘｽﾄ(4～3月)'!L$16:L$23)</f>
        <v>46</v>
      </c>
      <c r="J97" s="161">
        <f>SUMIF('内訳ﾘｽﾄ(4～3月)'!$B$16:$B$23,$B97,'内訳ﾘｽﾄ(4～3月)'!M$16:M$23)</f>
        <v>40</v>
      </c>
      <c r="K97" s="161">
        <f>SUMIF('内訳ﾘｽﾄ(4～3月)'!$B$16:$B$23,$B97,'内訳ﾘｽﾄ(4～3月)'!N$16:N$23)</f>
        <v>44</v>
      </c>
      <c r="L97" s="161">
        <f>SUMIF('内訳ﾘｽﾄ(4～3月)'!$B$16:$B$23,$B97,'内訳ﾘｽﾄ(4～3月)'!O$16:O$23)</f>
        <v>40</v>
      </c>
      <c r="M97" s="161">
        <f>SUMIF('内訳ﾘｽﾄ(4～3月)'!$B$16:$B$23,$B97,'内訳ﾘｽﾄ(4～3月)'!P$16:P$23)</f>
        <v>30</v>
      </c>
      <c r="N97" s="161">
        <f>SUMIF('内訳ﾘｽﾄ(4～3月)'!$B$16:$B$23,$B97,'内訳ﾘｽﾄ(4～3月)'!Q$16:Q$23)</f>
        <v>40</v>
      </c>
      <c r="O97" s="161">
        <f>SUMIF('内訳ﾘｽﾄ(4～3月)'!$B$16:$B$23,$B97,'内訳ﾘｽﾄ(4～3月)'!R$16:R$23)</f>
        <v>484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136.5</v>
      </c>
      <c r="D98" s="161">
        <f>SUMIF('内訳ﾘｽﾄ(4～3月)'!$B$16:$B$23,$B98,'内訳ﾘｽﾄ(4～3月)'!G$16:G$23)</f>
        <v>155.5</v>
      </c>
      <c r="E98" s="161">
        <f>SUMIF('内訳ﾘｽﾄ(4～3月)'!$B$16:$B$23,$B98,'内訳ﾘｽﾄ(4～3月)'!H$16:H$23)</f>
        <v>143.5</v>
      </c>
      <c r="F98" s="161">
        <f>SUMIF('内訳ﾘｽﾄ(4～3月)'!$B$16:$B$23,$B98,'内訳ﾘｽﾄ(4～3月)'!I$16:I$23)</f>
        <v>157.5</v>
      </c>
      <c r="G98" s="161">
        <f>SUMIF('内訳ﾘｽﾄ(4～3月)'!$B$16:$B$23,$B98,'内訳ﾘｽﾄ(4～3月)'!J$16:J$23)</f>
        <v>136.5</v>
      </c>
      <c r="H98" s="161">
        <f>SUMIF('内訳ﾘｽﾄ(4～3月)'!$B$16:$B$23,$B98,'内訳ﾘｽﾄ(4～3月)'!K$16:K$23)</f>
        <v>213.5</v>
      </c>
      <c r="I98" s="161">
        <f>SUMIF('内訳ﾘｽﾄ(4～3月)'!$B$16:$B$23,$B98,'内訳ﾘｽﾄ(4～3月)'!L$16:L$23)</f>
        <v>157.5</v>
      </c>
      <c r="J98" s="161">
        <f>SUMIF('内訳ﾘｽﾄ(4～3月)'!$B$16:$B$23,$B98,'内訳ﾘｽﾄ(4～3月)'!M$16:M$23)</f>
        <v>206.5</v>
      </c>
      <c r="K98" s="161">
        <f>SUMIF('内訳ﾘｽﾄ(4～3月)'!$B$16:$B$23,$B98,'内訳ﾘｽﾄ(4～3月)'!N$16:N$23)</f>
        <v>150.5</v>
      </c>
      <c r="L98" s="161">
        <f>SUMIF('内訳ﾘｽﾄ(4～3月)'!$B$16:$B$23,$B98,'内訳ﾘｽﾄ(4～3月)'!O$16:O$23)</f>
        <v>136.5</v>
      </c>
      <c r="M98" s="161">
        <f>SUMIF('内訳ﾘｽﾄ(4～3月)'!$B$16:$B$23,$B98,'内訳ﾘｽﾄ(4～3月)'!P$16:P$23)</f>
        <v>101.5</v>
      </c>
      <c r="N98" s="161">
        <f>SUMIF('内訳ﾘｽﾄ(4～3月)'!$B$16:$B$23,$B98,'内訳ﾘｽﾄ(4～3月)'!Q$16:Q$23)</f>
        <v>136.5</v>
      </c>
      <c r="O98" s="161">
        <f>SUMIF('内訳ﾘｽﾄ(4～3月)'!$B$16:$B$23,$B98,'内訳ﾘｽﾄ(4～3月)'!R$16:R$23)</f>
        <v>1832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176.5</v>
      </c>
      <c r="D99" s="169">
        <f t="shared" si="12"/>
        <v>193.5</v>
      </c>
      <c r="E99" s="169">
        <f t="shared" si="12"/>
        <v>185.5</v>
      </c>
      <c r="F99" s="169">
        <f t="shared" si="12"/>
        <v>203.5</v>
      </c>
      <c r="G99" s="169">
        <f t="shared" si="12"/>
        <v>176.5</v>
      </c>
      <c r="H99" s="169">
        <f t="shared" si="12"/>
        <v>251.5</v>
      </c>
      <c r="I99" s="169">
        <f t="shared" si="12"/>
        <v>203.5</v>
      </c>
      <c r="J99" s="169">
        <f t="shared" si="12"/>
        <v>246.5</v>
      </c>
      <c r="K99" s="169">
        <f t="shared" si="12"/>
        <v>194.5</v>
      </c>
      <c r="L99" s="169">
        <f t="shared" si="12"/>
        <v>176.5</v>
      </c>
      <c r="M99" s="169">
        <f t="shared" si="12"/>
        <v>131.5</v>
      </c>
      <c r="N99" s="169">
        <f t="shared" si="12"/>
        <v>176.5</v>
      </c>
      <c r="O99" s="169">
        <f>O97+O98</f>
        <v>2316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4B063131-7E91-4200-9D3F-C773AEEF9ED2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2E57-9C2A-4F9C-BA1D-9917FD0F2E04}">
  <sheetPr codeName="Sheet3">
    <tabColor indexed="13"/>
  </sheetPr>
  <dimension ref="A1:XFC973"/>
  <sheetViews>
    <sheetView tabSelected="1" zoomScale="92" zoomScaleNormal="9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F8" sqref="F8"/>
    </sheetView>
  </sheetViews>
  <sheetFormatPr defaultColWidth="9" defaultRowHeight="11"/>
  <cols>
    <col min="1" max="1" width="2" style="1" customWidth="1"/>
    <col min="2" max="2" width="12.36328125" style="181" customWidth="1"/>
    <col min="3" max="3" width="18.26953125" style="4" customWidth="1"/>
    <col min="4" max="4" width="19.08984375" style="4" customWidth="1"/>
    <col min="5" max="5" width="7.6328125" style="3" customWidth="1"/>
    <col min="6" max="6" width="13" style="124" bestFit="1" customWidth="1"/>
    <col min="7" max="7" width="12.453125" style="125" customWidth="1"/>
    <col min="8" max="9" width="11.6328125" style="125" customWidth="1"/>
    <col min="10" max="10" width="12.26953125" style="125" customWidth="1"/>
    <col min="11" max="17" width="11.6328125" style="125" customWidth="1"/>
    <col min="18" max="18" width="14.6328125" style="126" customWidth="1"/>
    <col min="19" max="19" width="53.7265625" style="4" customWidth="1"/>
    <col min="20" max="20" width="18.90625" style="72" customWidth="1"/>
    <col min="21" max="23" width="9" style="4" customWidth="1"/>
    <col min="24" max="16384" width="9" style="4"/>
  </cols>
  <sheetData>
    <row r="1" spans="1:55" ht="25">
      <c r="A1" s="247" t="s">
        <v>672</v>
      </c>
      <c r="B1" s="248"/>
      <c r="C1" s="249"/>
      <c r="D1" s="2"/>
      <c r="E1" s="49"/>
      <c r="F1" s="85">
        <v>5797</v>
      </c>
      <c r="G1" s="85">
        <v>5753</v>
      </c>
      <c r="H1" s="85">
        <v>5618</v>
      </c>
      <c r="I1" s="85">
        <v>6137</v>
      </c>
      <c r="J1" s="85">
        <v>6325</v>
      </c>
      <c r="K1" s="85">
        <v>6547</v>
      </c>
      <c r="L1" s="85">
        <v>6897</v>
      </c>
      <c r="M1" s="85">
        <v>7003</v>
      </c>
      <c r="N1" s="85">
        <v>6941</v>
      </c>
      <c r="O1" s="85">
        <v>7207</v>
      </c>
      <c r="P1" s="94">
        <v>7661</v>
      </c>
      <c r="Q1" s="85">
        <v>7193</v>
      </c>
      <c r="R1" s="69"/>
      <c r="S1" s="11"/>
      <c r="T1" s="11"/>
    </row>
    <row r="2" spans="1:55" ht="16.5">
      <c r="A2" s="111"/>
      <c r="B2" s="127">
        <v>25390</v>
      </c>
      <c r="C2" s="2"/>
      <c r="D2" s="2"/>
      <c r="E2" s="245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1" t="s">
        <v>579</v>
      </c>
      <c r="F3" s="266" t="str">
        <f t="array" aca="1" ref="F3" ca="1">IF(SUM((F8:F25)-ROUNDDOWN((F8:F25)*4,0)/4)&lt;&gt;0,"時間➝0.25の倍数では無い",IF(SUM(ROUND((F26:F973),0)-ROUND((F26:F973),4))&lt;&gt;0,"経費➝小数点",IF(F5&lt;&gt;IF($D$5="製造",'採算表(VND)'!C13,-VLOOKUP($D$5&amp;"経費",'採算表(VND)'!$B:$N,'採算表(VND)'!C3,0)),"経費➝NG","OK")))</f>
        <v>OK</v>
      </c>
      <c r="G3" s="266" t="str">
        <f t="array" aca="1" ref="G3" ca="1">IF(SUM((G8:G25)-ROUNDDOWN((G8:G25)*4,0)/4)&lt;&gt;0,"時間➝0.25の倍数では無い",IF(SUM(ROUND((G26:G973),0)-ROUND((G26:G973),4))&lt;&gt;0,"経費➝小数点",IF(G5&lt;&gt;IF($D$5="製造",'採算表(VND)'!D13,-VLOOKUP($D$5&amp;"経費",'採算表(VND)'!$B:$N,'採算表(VND)'!D3,0)),"経費➝NG","OK")))</f>
        <v>OK</v>
      </c>
      <c r="H3" s="266" t="str">
        <f t="array" aca="1" ref="H3" ca="1">IF(SUM((H8:H25)-ROUNDDOWN((H8:H25)*4,0)/4)&lt;&gt;0,"時間➝0.25の倍数では無い",IF(SUM(ROUND((H26:H973),0)-ROUND((H26:H973),4))&lt;&gt;0,"経費➝小数点",IF(H5&lt;&gt;IF($D$5="製造",'採算表(VND)'!E13,-VLOOKUP($D$5&amp;"経費",'採算表(VND)'!$B:$N,'採算表(VND)'!E3,0)),"経費➝NG","OK")))</f>
        <v>OK</v>
      </c>
      <c r="I3" s="266" t="str">
        <f t="array" aca="1" ref="I3" ca="1">IF(SUM((I8:I25)-ROUNDDOWN((I8:I25)*4,0)/4)&lt;&gt;0,"時間➝0.25の倍数では無い",IF(SUM(ROUND((I26:I973),0)-ROUND((I26:I973),4))&lt;&gt;0,"経費➝小数点",IF(I5&lt;&gt;IF($D$5="製造",'採算表(VND)'!F13,-VLOOKUP($D$5&amp;"経費",'採算表(VND)'!$B:$N,'採算表(VND)'!F3,0)),"経費➝NG","OK")))</f>
        <v>OK</v>
      </c>
      <c r="J3" s="266" t="str">
        <f t="array" aca="1" ref="J3" ca="1">IF(SUM((J8:J25)-ROUNDDOWN((J8:J25)*4,0)/4)&lt;&gt;0,"時間➝0.25の倍数では無い",IF(SUM(ROUND((J26:J973),0)-ROUND((J26:J973),4))&lt;&gt;0,"経費➝小数点",IF(J5&lt;&gt;IF($D$5="製造",'採算表(VND)'!G13,-VLOOKUP($D$5&amp;"経費",'採算表(VND)'!$B:$N,'採算表(VND)'!G3,0)),"経費➝NG","OK")))</f>
        <v>OK</v>
      </c>
      <c r="K3" s="266" t="str">
        <f t="array" aca="1" ref="K3" ca="1">IF(SUM((K8:K25)-ROUNDDOWN((K8:K25)*4,0)/4)&lt;&gt;0,"時間➝0.25の倍数では無い",IF(SUM(ROUND((K26:K973),0)-ROUND((K26:K973),4))&lt;&gt;0,"経費➝小数点",IF(K5&lt;&gt;IF($D$5="製造",'採算表(VND)'!H13,-VLOOKUP($D$5&amp;"経費",'採算表(VND)'!$B:$N,'採算表(VND)'!H3,0)),"経費➝NG","OK")))</f>
        <v>OK</v>
      </c>
      <c r="L3" s="266" t="str">
        <f t="array" aca="1" ref="L3" ca="1">IF(SUM((L8:L25)-ROUNDDOWN((L8:L25)*4,0)/4)&lt;&gt;0,"時間➝0.25の倍数では無い",IF(SUM(ROUND((L26:L973),0)-ROUND((L26:L973),4))&lt;&gt;0,"経費➝小数点",IF(L5&lt;&gt;IF($D$5="製造",'採算表(VND)'!I13,-VLOOKUP($D$5&amp;"経費",'採算表(VND)'!$B:$N,'採算表(VND)'!I3,0)),"経費➝NG","OK")))</f>
        <v>OK</v>
      </c>
      <c r="M3" s="266" t="str">
        <f t="array" aca="1" ref="M3" ca="1">IF(SUM((M8:M25)-ROUNDDOWN((M8:M25)*4,0)/4)&lt;&gt;0,"時間➝0.25の倍数では無い",IF(SUM(ROUND((M26:M973),0)-ROUND((M26:M973),4))&lt;&gt;0,"経費➝小数点",IF(M5&lt;&gt;IF($D$5="製造",'採算表(VND)'!J13,-VLOOKUP($D$5&amp;"経費",'採算表(VND)'!$B:$N,'採算表(VND)'!J3,0)),"経費➝NG","OK")))</f>
        <v>OK</v>
      </c>
      <c r="N3" s="266" t="str">
        <f t="array" aca="1" ref="N3" ca="1">IF(SUM((N8:N25)-ROUNDDOWN((N8:N25)*4,0)/4)&lt;&gt;0,"時間➝0.25の倍数では無い",IF(SUM(ROUND((N26:N973),0)-ROUND((N26:N973),4))&lt;&gt;0,"経費➝小数点",IF(N5&lt;&gt;IF($D$5="製造",'採算表(VND)'!K13,-VLOOKUP($D$5&amp;"経費",'採算表(VND)'!$B:$N,'採算表(VND)'!K3,0)),"経費➝NG","OK")))</f>
        <v>OK</v>
      </c>
      <c r="O3" s="266" t="str">
        <f t="array" aca="1" ref="O3" ca="1">IF(SUM((O8:O25)-ROUNDDOWN((O8:O25)*4,0)/4)&lt;&gt;0,"時間➝0.25の倍数では無い",IF(SUM(ROUND((O26:O973),0)-ROUND((O26:O973),4))&lt;&gt;0,"経費➝小数点",IF(O5&lt;&gt;IF($D$5="製造",'採算表(VND)'!L13,-VLOOKUP($D$5&amp;"経費",'採算表(VND)'!$B:$N,'採算表(VND)'!L3,0)),"経費➝NG","OK")))</f>
        <v>OK</v>
      </c>
      <c r="P3" s="266" t="str">
        <f t="array" aca="1" ref="P3" ca="1">IF(SUM((P8:P25)-ROUNDDOWN((P8:P25)*4,0)/4)&lt;&gt;0,"時間➝0.25の倍数では無い",IF(SUM(ROUND((P26:P973),0)-ROUND((P26:P973),4))&lt;&gt;0,"経費➝小数点",IF(P5&lt;&gt;IF($D$5="製造",'採算表(VND)'!M13,-VLOOKUP($D$5&amp;"経費",'採算表(VND)'!$B:$N,'採算表(VND)'!M3,0)),"経費➝NG","OK")))</f>
        <v>OK</v>
      </c>
      <c r="Q3" s="266" t="str">
        <f t="array" aca="1" ref="Q3" ca="1">IF(SUM((Q8:Q25)-ROUNDDOWN((Q8:Q25)*4,0)/4)&lt;&gt;0,"時間➝0.25の倍数では無い",IF(SUM(ROUND((Q26:Q973),0)-ROUND((Q26:Q973)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115"/>
      <c r="T4" s="102"/>
    </row>
    <row r="5" spans="1:55" ht="13.5" thickBot="1">
      <c r="B5" s="174">
        <v>1412000024</v>
      </c>
      <c r="C5" s="7" t="str">
        <f>VLOOKUP($B$5,原価センタ!$A:$E,2,0)</f>
        <v>総務課</v>
      </c>
      <c r="D5" s="62" t="str">
        <f>VLOOKUP($B$5,原価センタ!$A:$E,4,0)</f>
        <v>工場間接</v>
      </c>
      <c r="E5" s="62" t="str">
        <f>VLOOKUP($B$5,原価センタ!$A:$E,5,0)</f>
        <v>一般</v>
      </c>
      <c r="F5" s="292">
        <f t="shared" ref="F5:R5" ca="1" si="0">SUM(F29:F973)</f>
        <v>3232448531</v>
      </c>
      <c r="G5" s="292">
        <f t="shared" ca="1" si="0"/>
        <v>1191581278</v>
      </c>
      <c r="H5" s="292">
        <f t="shared" ca="1" si="0"/>
        <v>1137648047</v>
      </c>
      <c r="I5" s="292">
        <f t="shared" ca="1" si="0"/>
        <v>1140451181</v>
      </c>
      <c r="J5" s="292">
        <f t="shared" ca="1" si="0"/>
        <v>1223940850</v>
      </c>
      <c r="K5" s="292">
        <f t="shared" ca="1" si="0"/>
        <v>1245870347</v>
      </c>
      <c r="L5" s="292">
        <f t="shared" ca="1" si="0"/>
        <v>1039609847</v>
      </c>
      <c r="M5" s="292">
        <f t="shared" ca="1" si="0"/>
        <v>1245812344</v>
      </c>
      <c r="N5" s="292">
        <f t="shared" ca="1" si="0"/>
        <v>1317263147</v>
      </c>
      <c r="O5" s="292">
        <f t="shared" ca="1" si="0"/>
        <v>1279693902</v>
      </c>
      <c r="P5" s="292">
        <f t="shared" ca="1" si="0"/>
        <v>1169008930</v>
      </c>
      <c r="Q5" s="292">
        <f t="shared" ca="1" si="0"/>
        <v>1095461921</v>
      </c>
      <c r="R5" s="308">
        <f ca="1">SUM(R29:R973)</f>
        <v>16318790325</v>
      </c>
      <c r="S5" s="246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641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2" t="s">
        <v>324</v>
      </c>
      <c r="C8" s="183" t="s">
        <v>334</v>
      </c>
      <c r="D8" s="184" t="s">
        <v>81</v>
      </c>
      <c r="E8" s="185"/>
      <c r="F8" s="186">
        <v>170</v>
      </c>
      <c r="G8" s="186">
        <v>161.5</v>
      </c>
      <c r="H8" s="186">
        <v>178.5</v>
      </c>
      <c r="I8" s="186">
        <v>195.5</v>
      </c>
      <c r="J8" s="186">
        <v>170</v>
      </c>
      <c r="K8" s="186">
        <v>161.5</v>
      </c>
      <c r="L8" s="186">
        <v>195.5</v>
      </c>
      <c r="M8" s="186">
        <v>170</v>
      </c>
      <c r="N8" s="186">
        <v>187</v>
      </c>
      <c r="O8" s="186">
        <v>170</v>
      </c>
      <c r="P8" s="186">
        <v>127.5</v>
      </c>
      <c r="Q8" s="186">
        <v>170</v>
      </c>
      <c r="R8" s="187">
        <f>SUM(F8:Q8)</f>
        <v>2057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53" t="s">
        <v>325</v>
      </c>
      <c r="C9" s="183" t="s">
        <v>335</v>
      </c>
      <c r="D9" s="192" t="s">
        <v>81</v>
      </c>
      <c r="E9" s="193"/>
      <c r="F9" s="194">
        <v>2597</v>
      </c>
      <c r="G9" s="194">
        <v>2548</v>
      </c>
      <c r="H9" s="194">
        <v>2801</v>
      </c>
      <c r="I9" s="194">
        <v>2994.5</v>
      </c>
      <c r="J9" s="194">
        <v>2597</v>
      </c>
      <c r="K9" s="194">
        <v>2454.5</v>
      </c>
      <c r="L9" s="194">
        <v>2994.5</v>
      </c>
      <c r="M9" s="194">
        <v>2597</v>
      </c>
      <c r="N9" s="194">
        <v>2934.5</v>
      </c>
      <c r="O9" s="194">
        <v>2739.5</v>
      </c>
      <c r="P9" s="194">
        <v>2019.5</v>
      </c>
      <c r="Q9" s="194">
        <v>2732</v>
      </c>
      <c r="R9" s="195">
        <f t="shared" ref="R9:R23" si="1">SUM(F9:Q9)</f>
        <v>32009</v>
      </c>
      <c r="S9" s="196"/>
      <c r="T9" s="197"/>
      <c r="U9" s="190"/>
      <c r="V9" s="190"/>
      <c r="W9" s="190"/>
      <c r="BA9"/>
      <c r="BB9"/>
    </row>
    <row r="10" spans="1:55" s="191" customFormat="1" ht="13">
      <c r="A10" s="182"/>
      <c r="B10" s="254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55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54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691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54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691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55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691</v>
      </c>
      <c r="T14" s="207"/>
      <c r="U14" s="190"/>
      <c r="V14" s="190"/>
      <c r="W14" s="190"/>
      <c r="BA14"/>
      <c r="BB14"/>
    </row>
    <row r="15" spans="1:55" s="208" customFormat="1" ht="13">
      <c r="A15" s="203"/>
      <c r="B15" s="255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691</v>
      </c>
      <c r="T15" s="207"/>
      <c r="U15" s="190"/>
      <c r="V15" s="190"/>
      <c r="W15" s="190"/>
      <c r="BA15"/>
      <c r="BB15"/>
    </row>
    <row r="16" spans="1:55" s="208" customFormat="1" ht="13">
      <c r="A16" s="203"/>
      <c r="B16" s="256" t="s">
        <v>326</v>
      </c>
      <c r="C16" s="183" t="s">
        <v>338</v>
      </c>
      <c r="D16" s="215" t="s">
        <v>86</v>
      </c>
      <c r="E16" s="204"/>
      <c r="F16" s="194">
        <v>40</v>
      </c>
      <c r="G16" s="194">
        <v>38</v>
      </c>
      <c r="H16" s="194">
        <v>42</v>
      </c>
      <c r="I16" s="194">
        <v>46</v>
      </c>
      <c r="J16" s="194">
        <v>40</v>
      </c>
      <c r="K16" s="194">
        <v>38</v>
      </c>
      <c r="L16" s="194">
        <v>46</v>
      </c>
      <c r="M16" s="194">
        <v>40</v>
      </c>
      <c r="N16" s="194">
        <v>44</v>
      </c>
      <c r="O16" s="194">
        <v>40</v>
      </c>
      <c r="P16" s="194">
        <v>30</v>
      </c>
      <c r="Q16" s="194">
        <v>40</v>
      </c>
      <c r="R16" s="205">
        <f t="shared" si="1"/>
        <v>484</v>
      </c>
      <c r="S16" s="206"/>
      <c r="T16" s="207"/>
      <c r="U16" s="190"/>
      <c r="V16" s="190"/>
      <c r="W16" s="190"/>
      <c r="BA16"/>
      <c r="BB16"/>
    </row>
    <row r="17" spans="1:54" s="191" customFormat="1" ht="13">
      <c r="A17" s="182"/>
      <c r="B17" s="256" t="s">
        <v>327</v>
      </c>
      <c r="C17" s="183" t="s">
        <v>339</v>
      </c>
      <c r="D17" s="215" t="s">
        <v>86</v>
      </c>
      <c r="E17" s="204"/>
      <c r="F17" s="194">
        <v>136.5</v>
      </c>
      <c r="G17" s="194">
        <v>155.5</v>
      </c>
      <c r="H17" s="194">
        <v>143.5</v>
      </c>
      <c r="I17" s="194">
        <v>157.5</v>
      </c>
      <c r="J17" s="194">
        <v>136.5</v>
      </c>
      <c r="K17" s="194">
        <v>213.5</v>
      </c>
      <c r="L17" s="194">
        <v>157.5</v>
      </c>
      <c r="M17" s="194">
        <v>206.5</v>
      </c>
      <c r="N17" s="194">
        <v>150.5</v>
      </c>
      <c r="O17" s="194">
        <v>136.5</v>
      </c>
      <c r="P17" s="194">
        <v>101.5</v>
      </c>
      <c r="Q17" s="194">
        <v>136.5</v>
      </c>
      <c r="R17" s="205">
        <f t="shared" si="1"/>
        <v>1832</v>
      </c>
      <c r="S17" s="206"/>
      <c r="T17" s="207"/>
      <c r="U17" s="190"/>
      <c r="V17" s="190"/>
      <c r="W17" s="190"/>
      <c r="BA17"/>
      <c r="BB17"/>
    </row>
    <row r="18" spans="1:54" s="191" customFormat="1" ht="13">
      <c r="A18" s="182"/>
      <c r="B18" s="254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">
      <c r="A19" s="203"/>
      <c r="B19" s="255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194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">
      <c r="A20" s="203"/>
      <c r="B20" s="255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691</v>
      </c>
      <c r="T20" s="207"/>
      <c r="U20" s="190"/>
      <c r="V20" s="190"/>
      <c r="W20" s="190"/>
      <c r="BA20"/>
      <c r="BB20"/>
    </row>
    <row r="21" spans="1:54" s="208" customFormat="1" ht="13">
      <c r="A21" s="203"/>
      <c r="B21" s="255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691</v>
      </c>
      <c r="T21" s="207"/>
      <c r="U21" s="190"/>
      <c r="V21" s="190"/>
      <c r="W21" s="190"/>
      <c r="BA21"/>
      <c r="BB21"/>
    </row>
    <row r="22" spans="1:54" s="208" customFormat="1" ht="13">
      <c r="A22" s="203"/>
      <c r="B22" s="255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691</v>
      </c>
      <c r="T22" s="207"/>
      <c r="U22" s="190"/>
      <c r="V22" s="190"/>
      <c r="W22" s="190"/>
      <c r="BA22"/>
      <c r="BB22"/>
    </row>
    <row r="23" spans="1:54" s="208" customFormat="1" ht="13">
      <c r="A23" s="203"/>
      <c r="B23" s="255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691</v>
      </c>
      <c r="T23" s="207"/>
      <c r="U23" s="190"/>
      <c r="V23" s="190"/>
      <c r="W23" s="190"/>
      <c r="BA23"/>
      <c r="BB23"/>
    </row>
    <row r="24" spans="1:54" s="208" customFormat="1" ht="13">
      <c r="A24" s="203"/>
      <c r="B24" s="257" t="s">
        <v>343</v>
      </c>
      <c r="C24" s="258" t="s">
        <v>343</v>
      </c>
      <c r="D24" s="259" t="s">
        <v>343</v>
      </c>
      <c r="E24" s="240"/>
      <c r="F24" s="296">
        <v>1</v>
      </c>
      <c r="G24" s="296">
        <v>1</v>
      </c>
      <c r="H24" s="296">
        <v>1</v>
      </c>
      <c r="I24" s="296">
        <v>1</v>
      </c>
      <c r="J24" s="296">
        <v>1</v>
      </c>
      <c r="K24" s="296">
        <v>1</v>
      </c>
      <c r="L24" s="296">
        <v>1</v>
      </c>
      <c r="M24" s="296">
        <v>1</v>
      </c>
      <c r="N24" s="296">
        <v>1</v>
      </c>
      <c r="O24" s="296">
        <v>1</v>
      </c>
      <c r="P24" s="296">
        <v>1</v>
      </c>
      <c r="Q24" s="296">
        <v>1</v>
      </c>
      <c r="R24" s="200">
        <f>Q24</f>
        <v>1</v>
      </c>
      <c r="S24" s="201"/>
      <c r="T24" s="202"/>
      <c r="U24" s="260"/>
      <c r="V24" s="190"/>
      <c r="W24" s="190"/>
      <c r="BA24"/>
      <c r="BB24"/>
    </row>
    <row r="25" spans="1:54" s="191" customFormat="1" ht="15" thickBot="1">
      <c r="A25" s="182"/>
      <c r="B25" s="256" t="s">
        <v>344</v>
      </c>
      <c r="C25" s="261" t="s">
        <v>344</v>
      </c>
      <c r="D25" s="215" t="s">
        <v>344</v>
      </c>
      <c r="E25" s="262"/>
      <c r="F25" s="297">
        <v>16</v>
      </c>
      <c r="G25" s="297">
        <v>17</v>
      </c>
      <c r="H25" s="297">
        <v>17</v>
      </c>
      <c r="I25" s="297">
        <v>17</v>
      </c>
      <c r="J25" s="297">
        <v>17</v>
      </c>
      <c r="K25" s="297">
        <v>17</v>
      </c>
      <c r="L25" s="297">
        <v>17</v>
      </c>
      <c r="M25" s="297">
        <v>17</v>
      </c>
      <c r="N25" s="297">
        <v>17</v>
      </c>
      <c r="O25" s="297">
        <v>17</v>
      </c>
      <c r="P25" s="297">
        <v>17</v>
      </c>
      <c r="Q25" s="297">
        <v>17</v>
      </c>
      <c r="R25" s="263">
        <f>Q25</f>
        <v>17</v>
      </c>
      <c r="S25" s="264"/>
      <c r="T25" s="233"/>
      <c r="U25" s="260"/>
      <c r="V25" s="265">
        <v>4</v>
      </c>
      <c r="W25" s="265">
        <v>5</v>
      </c>
      <c r="X25" s="265">
        <v>6</v>
      </c>
      <c r="Y25" s="265">
        <v>7</v>
      </c>
      <c r="Z25" s="265">
        <v>8</v>
      </c>
      <c r="AA25" s="265">
        <v>9</v>
      </c>
      <c r="AB25" s="265">
        <v>10</v>
      </c>
      <c r="AC25" s="265">
        <v>11</v>
      </c>
      <c r="AD25" s="265">
        <v>12</v>
      </c>
      <c r="AE25" s="265">
        <v>1</v>
      </c>
      <c r="AF25" s="265">
        <v>2</v>
      </c>
      <c r="AG25" s="265">
        <v>3</v>
      </c>
      <c r="BA25"/>
      <c r="BB25"/>
    </row>
    <row r="26" spans="1:54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93">
        <f t="shared" ref="F26:Q28" si="2">ROUNDDOWN(V26*$B$2,0)</f>
        <v>0</v>
      </c>
      <c r="G26" s="293">
        <f t="shared" si="2"/>
        <v>0</v>
      </c>
      <c r="H26" s="293">
        <f t="shared" si="2"/>
        <v>0</v>
      </c>
      <c r="I26" s="293">
        <f t="shared" si="2"/>
        <v>0</v>
      </c>
      <c r="J26" s="293">
        <f t="shared" si="2"/>
        <v>0</v>
      </c>
      <c r="K26" s="293">
        <f t="shared" si="2"/>
        <v>0</v>
      </c>
      <c r="L26" s="293">
        <f t="shared" si="2"/>
        <v>0</v>
      </c>
      <c r="M26" s="293">
        <f t="shared" si="2"/>
        <v>0</v>
      </c>
      <c r="N26" s="293">
        <f t="shared" si="2"/>
        <v>0</v>
      </c>
      <c r="O26" s="293">
        <f t="shared" si="2"/>
        <v>0</v>
      </c>
      <c r="P26" s="293">
        <f t="shared" si="2"/>
        <v>0</v>
      </c>
      <c r="Q26" s="293">
        <f t="shared" si="2"/>
        <v>0</v>
      </c>
      <c r="R26" s="293">
        <f t="shared" ref="R26:R100" si="3">SUM(F26:Q26)</f>
        <v>0</v>
      </c>
      <c r="S26" s="220" t="s">
        <v>75</v>
      </c>
      <c r="T26" s="221"/>
      <c r="U26" s="190"/>
      <c r="V26" s="222"/>
      <c r="W26" s="222"/>
      <c r="X26" s="223"/>
      <c r="Y26" s="223"/>
      <c r="Z26" s="223"/>
      <c r="AA26" s="223"/>
      <c r="AB26" s="223"/>
      <c r="AC26" s="223"/>
      <c r="AD26" s="223"/>
      <c r="AE26" s="223"/>
      <c r="AF26" s="223"/>
      <c r="AG26" s="223"/>
      <c r="BA26"/>
      <c r="BB26"/>
    </row>
    <row r="27" spans="1:54" s="191" customFormat="1" ht="13">
      <c r="A27" s="224"/>
      <c r="B27" s="178">
        <v>9114120004</v>
      </c>
      <c r="C27" s="225" t="str">
        <f>IFERROR(IF(VLOOKUP($B27,勘定科目!$A:$H,HLOOKUP($E$5,勘定科目!$F$1:$H$2,2,0),0)="","",VLOOKUP($B27,勘定科目!$A:$E,2,0)),"")</f>
        <v>社内売</v>
      </c>
      <c r="D27" s="226" t="str">
        <f>IF(C27="","",VLOOKUP($B27,勘定科目!$A:$E,4,0))</f>
        <v>社内売</v>
      </c>
      <c r="E27" s="227"/>
      <c r="F27" s="294">
        <f t="shared" si="2"/>
        <v>0</v>
      </c>
      <c r="G27" s="294">
        <f t="shared" si="2"/>
        <v>0</v>
      </c>
      <c r="H27" s="294">
        <f t="shared" si="2"/>
        <v>0</v>
      </c>
      <c r="I27" s="294">
        <f t="shared" si="2"/>
        <v>0</v>
      </c>
      <c r="J27" s="294">
        <f t="shared" si="2"/>
        <v>0</v>
      </c>
      <c r="K27" s="294">
        <f t="shared" si="2"/>
        <v>0</v>
      </c>
      <c r="L27" s="294">
        <f t="shared" si="2"/>
        <v>0</v>
      </c>
      <c r="M27" s="294">
        <f t="shared" si="2"/>
        <v>0</v>
      </c>
      <c r="N27" s="294">
        <f t="shared" si="2"/>
        <v>0</v>
      </c>
      <c r="O27" s="294">
        <f t="shared" si="2"/>
        <v>0</v>
      </c>
      <c r="P27" s="294">
        <f t="shared" si="2"/>
        <v>0</v>
      </c>
      <c r="Q27" s="294">
        <f t="shared" si="2"/>
        <v>0</v>
      </c>
      <c r="R27" s="294">
        <f t="shared" si="3"/>
        <v>0</v>
      </c>
      <c r="S27" s="228" t="s">
        <v>75</v>
      </c>
      <c r="T27" s="202"/>
      <c r="U27" s="190"/>
      <c r="V27" s="222"/>
      <c r="W27" s="222"/>
      <c r="X27" s="223"/>
      <c r="Y27" s="223"/>
      <c r="Z27" s="223"/>
      <c r="AA27" s="223"/>
      <c r="AB27" s="223"/>
      <c r="AC27" s="223"/>
      <c r="AD27" s="223"/>
      <c r="AE27" s="223"/>
      <c r="AF27" s="223"/>
      <c r="AG27" s="223"/>
      <c r="BA27"/>
      <c r="BB27"/>
    </row>
    <row r="28" spans="1:54" s="191" customFormat="1" ht="13">
      <c r="A28" s="224"/>
      <c r="B28" s="178">
        <v>9114120014</v>
      </c>
      <c r="C28" s="225" t="str">
        <f>IFERROR(IF(VLOOKUP($B28,勘定科目!$A:$H,HLOOKUP($E$5,勘定科目!$F$1:$H$2,2,0),0)="","",VLOOKUP($B28,勘定科目!$A:$E,2,0)),"")</f>
        <v>社内買</v>
      </c>
      <c r="D28" s="226" t="str">
        <f>IF(C28="","",VLOOKUP($B28,勘定科目!$A:$E,4,0))</f>
        <v>社内買</v>
      </c>
      <c r="E28" s="227"/>
      <c r="F28" s="294">
        <f t="shared" si="2"/>
        <v>0</v>
      </c>
      <c r="G28" s="294">
        <f t="shared" si="2"/>
        <v>0</v>
      </c>
      <c r="H28" s="294">
        <f t="shared" si="2"/>
        <v>0</v>
      </c>
      <c r="I28" s="294">
        <f t="shared" si="2"/>
        <v>0</v>
      </c>
      <c r="J28" s="294">
        <f t="shared" si="2"/>
        <v>0</v>
      </c>
      <c r="K28" s="294">
        <f t="shared" si="2"/>
        <v>0</v>
      </c>
      <c r="L28" s="294">
        <f t="shared" si="2"/>
        <v>0</v>
      </c>
      <c r="M28" s="294">
        <f t="shared" si="2"/>
        <v>0</v>
      </c>
      <c r="N28" s="294">
        <f t="shared" si="2"/>
        <v>0</v>
      </c>
      <c r="O28" s="294">
        <f t="shared" si="2"/>
        <v>0</v>
      </c>
      <c r="P28" s="294">
        <f t="shared" si="2"/>
        <v>0</v>
      </c>
      <c r="Q28" s="294">
        <f t="shared" si="2"/>
        <v>0</v>
      </c>
      <c r="R28" s="294">
        <f t="shared" si="3"/>
        <v>0</v>
      </c>
      <c r="S28" s="228" t="s">
        <v>75</v>
      </c>
      <c r="T28" s="202"/>
      <c r="U28" s="190"/>
      <c r="V28" s="222"/>
      <c r="W28" s="222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BA28"/>
      <c r="BB28"/>
    </row>
    <row r="29" spans="1:54" s="191" customFormat="1" ht="13.5" thickBot="1">
      <c r="A29" s="224"/>
      <c r="B29" s="179">
        <v>9114120006</v>
      </c>
      <c r="C29" s="229" t="str">
        <f>IFERROR(IF(VLOOKUP($B29,勘定科目!$A:$H,HLOOKUP($E$5,勘定科目!$F$1:$H$2,2,0),0)="","",VLOOKUP($B29,勘定科目!$A:$E,2,0)),"")</f>
        <v>材料費(指図出庫）</v>
      </c>
      <c r="D29" s="230" t="str">
        <f>IF(C29="","",VLOOKUP($B29,勘定科目!$A:$E,4,0))</f>
        <v>材料費</v>
      </c>
      <c r="E29" s="231"/>
      <c r="F29" s="295">
        <f t="shared" ref="F29:Q29" si="4">ROUNDUP(V29*$B$2,0)</f>
        <v>0</v>
      </c>
      <c r="G29" s="295">
        <f t="shared" si="4"/>
        <v>0</v>
      </c>
      <c r="H29" s="295">
        <f t="shared" si="4"/>
        <v>0</v>
      </c>
      <c r="I29" s="295">
        <f t="shared" si="4"/>
        <v>0</v>
      </c>
      <c r="J29" s="295">
        <f t="shared" si="4"/>
        <v>0</v>
      </c>
      <c r="K29" s="295">
        <f t="shared" si="4"/>
        <v>0</v>
      </c>
      <c r="L29" s="295">
        <f t="shared" si="4"/>
        <v>0</v>
      </c>
      <c r="M29" s="295">
        <f t="shared" si="4"/>
        <v>0</v>
      </c>
      <c r="N29" s="295">
        <f t="shared" si="4"/>
        <v>0</v>
      </c>
      <c r="O29" s="295">
        <f t="shared" si="4"/>
        <v>0</v>
      </c>
      <c r="P29" s="295">
        <f t="shared" si="4"/>
        <v>0</v>
      </c>
      <c r="Q29" s="295">
        <f t="shared" si="4"/>
        <v>0</v>
      </c>
      <c r="R29" s="295">
        <f t="shared" si="3"/>
        <v>0</v>
      </c>
      <c r="S29" s="232" t="s">
        <v>75</v>
      </c>
      <c r="T29" s="233"/>
      <c r="U29" s="190"/>
      <c r="V29" s="222"/>
      <c r="W29" s="222"/>
      <c r="X29" s="223"/>
      <c r="Y29" s="223"/>
      <c r="Z29" s="223"/>
      <c r="AA29" s="223"/>
      <c r="AB29" s="223"/>
      <c r="AC29" s="223"/>
      <c r="AD29" s="223"/>
      <c r="AE29" s="223"/>
      <c r="AF29" s="223"/>
      <c r="AG29" s="223"/>
      <c r="BA29"/>
      <c r="BB29"/>
    </row>
    <row r="30" spans="1:54" s="208" customFormat="1" ht="13">
      <c r="B30" s="180"/>
      <c r="C30" s="237" t="str">
        <f>IFERROR(IF(VLOOKUP($B30,勘定科目!$A:$H,HLOOKUP($E$5,勘定科目!$F$1:$H$2,2,0),0)="","",VLOOKUP($B30,勘定科目!$A:$E,2,0)),"")</f>
        <v/>
      </c>
      <c r="D30" s="238" t="str">
        <f>IF(C30="","",VLOOKUP($B30,勘定科目!$A:$E,4,0))</f>
        <v/>
      </c>
      <c r="E30" s="239"/>
      <c r="F30" s="235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00">
        <f t="shared" si="3"/>
        <v>0</v>
      </c>
      <c r="S30" s="201"/>
      <c r="T30" s="202"/>
      <c r="U30" s="190"/>
      <c r="V30" s="190"/>
      <c r="W30" s="190"/>
      <c r="BA30"/>
      <c r="BB30"/>
    </row>
    <row r="31" spans="1:54" s="208" customFormat="1" ht="13">
      <c r="B31" s="180">
        <v>9114120018</v>
      </c>
      <c r="C31" s="237" t="str">
        <f>IFERROR(IF(VLOOKUP($B31,勘定科目!$A:$H,HLOOKUP($E$5,勘定科目!$F$1:$H$2,2,0),0)="","",VLOOKUP($B31,勘定科目!$A:$E,2,0)),"")</f>
        <v>部内間接経費</v>
      </c>
      <c r="D31" s="238" t="str">
        <f>IF(C31="","",VLOOKUP($B31,勘定科目!$A:$E,4,0))</f>
        <v>部内間接経費</v>
      </c>
      <c r="E31" s="239"/>
      <c r="F31" s="235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00">
        <f t="shared" si="3"/>
        <v>0</v>
      </c>
      <c r="S31" s="201" t="s">
        <v>691</v>
      </c>
      <c r="T31" s="202"/>
      <c r="U31" s="190"/>
      <c r="V31" s="190"/>
      <c r="W31" s="190"/>
      <c r="BA31"/>
      <c r="BB31"/>
    </row>
    <row r="32" spans="1:54" s="208" customFormat="1" ht="13">
      <c r="B32" s="180">
        <v>9114120029</v>
      </c>
      <c r="C32" s="237" t="str">
        <f>IFERROR(IF(VLOOKUP($B32,勘定科目!$A:$H,HLOOKUP($E$5,勘定科目!$F$1:$H$2,2,0),0)="","",VLOOKUP($B32,勘定科目!$A:$E,2,0)),"")</f>
        <v>部外間接経費1</v>
      </c>
      <c r="D32" s="238" t="str">
        <f>IF(C32="","",VLOOKUP($B32,勘定科目!$A:$E,4,0))</f>
        <v>部外間接経費1</v>
      </c>
      <c r="E32" s="239"/>
      <c r="F32" s="235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00">
        <f t="shared" si="3"/>
        <v>0</v>
      </c>
      <c r="S32" s="201" t="s">
        <v>691</v>
      </c>
      <c r="T32" s="202"/>
      <c r="U32" s="190"/>
      <c r="V32" s="190"/>
      <c r="W32" s="190"/>
      <c r="BA32"/>
      <c r="BB32"/>
    </row>
    <row r="33" spans="1:54" s="208" customFormat="1" ht="13">
      <c r="B33" s="180">
        <v>9114120030</v>
      </c>
      <c r="C33" s="237" t="str">
        <f>IFERROR(IF(VLOOKUP($B33,勘定科目!$A:$H,HLOOKUP($E$5,勘定科目!$F$1:$H$2,2,0),0)="","",VLOOKUP($B33,勘定科目!$A:$E,2,0)),"")</f>
        <v>部外間接経費2</v>
      </c>
      <c r="D33" s="238" t="str">
        <f>IF(C33="","",VLOOKUP($B33,勘定科目!$A:$E,4,0))</f>
        <v>部外間接経費2</v>
      </c>
      <c r="E33" s="239"/>
      <c r="F33" s="235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00">
        <f t="shared" si="3"/>
        <v>0</v>
      </c>
      <c r="S33" s="201" t="s">
        <v>691</v>
      </c>
      <c r="T33" s="202"/>
      <c r="U33" s="190"/>
      <c r="V33" s="190"/>
      <c r="W33" s="190"/>
      <c r="BA33"/>
      <c r="BB33"/>
    </row>
    <row r="34" spans="1:54" s="208" customFormat="1" ht="13">
      <c r="B34" s="180">
        <v>9114120021</v>
      </c>
      <c r="C34" s="237" t="str">
        <f>IFERROR(IF(VLOOKUP($B34,勘定科目!$A:$H,HLOOKUP($E$5,勘定科目!$F$1:$H$2,2,0),0)="","",VLOOKUP($B34,勘定科目!$A:$E,2,0)),"")</f>
        <v>工場間接経費</v>
      </c>
      <c r="D34" s="238" t="str">
        <f>IF(C34="","",VLOOKUP($B34,勘定科目!$A:$E,4,0))</f>
        <v>工場間接経費</v>
      </c>
      <c r="E34" s="239"/>
      <c r="F34" s="235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00">
        <f t="shared" si="3"/>
        <v>0</v>
      </c>
      <c r="S34" s="201" t="s">
        <v>691</v>
      </c>
      <c r="T34" s="202"/>
      <c r="U34" s="190"/>
      <c r="V34" s="190"/>
      <c r="W34" s="190"/>
      <c r="BA34"/>
      <c r="BB34"/>
    </row>
    <row r="35" spans="1:54" s="208" customFormat="1" ht="13">
      <c r="B35" s="180"/>
      <c r="C35" s="237" t="str">
        <f>IFERROR(IF(VLOOKUP($B35,勘定科目!$A:$H,HLOOKUP($E$5,勘定科目!$F$1:$H$2,2,0),0)="","",VLOOKUP($B35,勘定科目!$A:$E,2,0)),"")</f>
        <v/>
      </c>
      <c r="D35" s="238" t="str">
        <f>IF(C35="","",VLOOKUP($B35,勘定科目!$A:$E,4,0))</f>
        <v/>
      </c>
      <c r="E35" s="239"/>
      <c r="F35" s="235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00">
        <f t="shared" si="3"/>
        <v>0</v>
      </c>
      <c r="S35" s="201"/>
      <c r="T35" s="202"/>
      <c r="U35" s="190"/>
      <c r="V35" s="190"/>
      <c r="W35" s="190"/>
      <c r="BA35"/>
      <c r="BB35"/>
    </row>
    <row r="36" spans="1:54" s="191" customFormat="1" ht="13">
      <c r="A36" s="224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4" t="str">
        <f>IF(C36="","",VLOOKUP($B36,勘定科目!$A:$E,4,0))</f>
        <v>在庫金利</v>
      </c>
      <c r="E36" s="240"/>
      <c r="F36" s="235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00">
        <f t="shared" si="3"/>
        <v>0</v>
      </c>
      <c r="S36" s="201"/>
      <c r="T36" s="202"/>
      <c r="U36" s="241"/>
      <c r="V36" s="241"/>
      <c r="W36" s="241"/>
      <c r="BA36"/>
      <c r="BB36"/>
    </row>
    <row r="37" spans="1:54" s="191" customFormat="1" ht="13">
      <c r="A37" s="224"/>
      <c r="B37" s="178"/>
      <c r="C37" s="183" t="str">
        <f>IFERROR(IF(VLOOKUP($B37,勘定科目!$A:$H,HLOOKUP($E$5,勘定科目!$F$1:$H$2,2,0),0)="","",VLOOKUP($B37,勘定科目!$A:$E,2,0)),"")</f>
        <v/>
      </c>
      <c r="D37" s="234" t="str">
        <f>IF(C37="","",VLOOKUP($B37,勘定科目!$A:$E,4,0))</f>
        <v/>
      </c>
      <c r="E37" s="240"/>
      <c r="F37" s="235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00">
        <f t="shared" si="3"/>
        <v>0</v>
      </c>
      <c r="S37" s="201"/>
      <c r="T37" s="202"/>
      <c r="U37" s="241"/>
      <c r="V37" s="241"/>
      <c r="W37" s="241"/>
      <c r="BA37"/>
      <c r="BB37"/>
    </row>
    <row r="38" spans="1:54" s="191" customFormat="1" ht="13">
      <c r="A38" s="224"/>
      <c r="B38" s="180">
        <v>6006016628</v>
      </c>
      <c r="C38" s="183" t="str">
        <f>IFERROR(IF(VLOOKUP($B38,勘定科目!$A:$H,HLOOKUP($E$5,勘定科目!$F$1:$H$2,2,0),0)="","",VLOOKUP($B38,勘定科目!$A:$E,2,0)),"")</f>
        <v>減価償却費配賦（一般）　建物</v>
      </c>
      <c r="D38" s="234" t="str">
        <f>IF(C38="","",VLOOKUP($B38,勘定科目!$A:$E,4,0))</f>
        <v>減価償却費</v>
      </c>
      <c r="E38" s="240" t="s">
        <v>906</v>
      </c>
      <c r="F38" s="299">
        <f>ROUNDUP(18247.45*$B$2,0)</f>
        <v>463302756</v>
      </c>
      <c r="G38" s="299">
        <f>ROUNDUP(18264.53*$B$2,0)</f>
        <v>463736417</v>
      </c>
      <c r="H38" s="299">
        <f>ROUNDUP(18264.63*$B$2,0)</f>
        <v>463738956</v>
      </c>
      <c r="I38" s="299">
        <f>ROUNDUP(18264.27*$B$2,0)</f>
        <v>463729816</v>
      </c>
      <c r="J38" s="299">
        <f>ROUNDUP(18264.16*$B$2,0)</f>
        <v>463727023</v>
      </c>
      <c r="K38" s="299">
        <f>ROUNDUP(18258.93*$B$2,0)</f>
        <v>463594233</v>
      </c>
      <c r="L38" s="299">
        <f>ROUNDUP(18257.42*$B$2,0)</f>
        <v>463555894</v>
      </c>
      <c r="M38" s="299">
        <f>ROUNDUP(18257.36*$B$2,0)</f>
        <v>463554371</v>
      </c>
      <c r="N38" s="299">
        <f>ROUNDUP(18257.39*$B$2,0)</f>
        <v>463555133</v>
      </c>
      <c r="O38" s="299">
        <f>ROUNDUP(18257.27*$B$2,0)</f>
        <v>463552086</v>
      </c>
      <c r="P38" s="299">
        <f>ROUNDUP(18257.07*$B$2,0)</f>
        <v>463547008</v>
      </c>
      <c r="Q38" s="299">
        <f>ROUNDUP(18257.27*$B$2,0)</f>
        <v>463552086</v>
      </c>
      <c r="R38" s="200">
        <f t="shared" si="3"/>
        <v>5563145779</v>
      </c>
      <c r="S38" s="201" t="s">
        <v>693</v>
      </c>
      <c r="T38" s="202"/>
      <c r="U38" s="241"/>
      <c r="V38" s="241"/>
      <c r="W38" s="241"/>
      <c r="BA38"/>
      <c r="BB38"/>
    </row>
    <row r="39" spans="1:54" s="191" customFormat="1" ht="13">
      <c r="A39" s="224"/>
      <c r="B39" s="180">
        <v>6006016629</v>
      </c>
      <c r="C39" s="183" t="str">
        <f>IFERROR(IF(VLOOKUP($B39,勘定科目!$A:$H,HLOOKUP($E$5,勘定科目!$F$1:$H$2,2,0),0)="","",VLOOKUP($B39,勘定科目!$A:$E,2,0)),"")</f>
        <v>減価償却費配賦（一般）　土地使用権</v>
      </c>
      <c r="D39" s="234" t="str">
        <f>IF(C39="","",VLOOKUP($B39,勘定科目!$A:$E,4,0))</f>
        <v>減価償却費</v>
      </c>
      <c r="E39" s="240" t="s">
        <v>906</v>
      </c>
      <c r="F39" s="299">
        <f>ROUNDUP(1231.63*$B$2,0)</f>
        <v>31271086</v>
      </c>
      <c r="G39" s="299">
        <f>ROUNDUP(1232.78*$B$2,0)</f>
        <v>31300285</v>
      </c>
      <c r="H39" s="299">
        <f>ROUNDUP(1232.79*$B$2,0)</f>
        <v>31300539</v>
      </c>
      <c r="I39" s="299">
        <f>ROUNDUP(1232.77*$B$2,0)</f>
        <v>31300031</v>
      </c>
      <c r="J39" s="299">
        <f>ROUNDUP(1232.76*$B$2,0)</f>
        <v>31299777</v>
      </c>
      <c r="K39" s="299">
        <f>ROUNDUP(1232.41*$B$2,0)</f>
        <v>31290890</v>
      </c>
      <c r="L39" s="299">
        <f>ROUNDUP(1232.3*$B$2,0)</f>
        <v>31288097</v>
      </c>
      <c r="M39" s="299">
        <f t="shared" ref="M39:N39" si="5">ROUNDUP(1232.3*$B$2,0)</f>
        <v>31288097</v>
      </c>
      <c r="N39" s="299">
        <f t="shared" si="5"/>
        <v>31288097</v>
      </c>
      <c r="O39" s="299">
        <f>ROUNDUP(1232.29*$B$2,0)</f>
        <v>31287844</v>
      </c>
      <c r="P39" s="299">
        <f>ROUNDUP(1232.28*$B$2,0)</f>
        <v>31287590</v>
      </c>
      <c r="Q39" s="299">
        <f>ROUNDUP(1232.29*$B$2,0)</f>
        <v>31287844</v>
      </c>
      <c r="R39" s="200">
        <f t="shared" si="3"/>
        <v>375490177</v>
      </c>
      <c r="S39" s="201" t="s">
        <v>694</v>
      </c>
      <c r="T39" s="202"/>
      <c r="U39" s="241"/>
      <c r="V39" s="241"/>
      <c r="W39" s="241"/>
      <c r="BA39"/>
      <c r="BB39"/>
    </row>
    <row r="40" spans="1:54" s="191" customFormat="1" ht="13">
      <c r="A40" s="224"/>
      <c r="B40" s="180">
        <v>9114120007</v>
      </c>
      <c r="C40" s="183" t="str">
        <f>IFERROR(IF(VLOOKUP($B40,勘定科目!$A:$H,HLOOKUP($E$5,勘定科目!$F$1:$H$2,2,0),0)="","",VLOOKUP($B40,勘定科目!$A:$E,2,0)),"")</f>
        <v>社内金利（固定資産）</v>
      </c>
      <c r="D40" s="234" t="str">
        <f>IF(C40="","",VLOOKUP($B40,勘定科目!$A:$E,4,0))</f>
        <v>固定資産金利</v>
      </c>
      <c r="E40" s="240" t="s">
        <v>906</v>
      </c>
      <c r="F40" s="299">
        <f>ROUNDUP(12386.05*$B$2,0)</f>
        <v>314481810</v>
      </c>
      <c r="G40" s="299">
        <f>ROUNDUP(11740.13*$B$2,0)</f>
        <v>298081901</v>
      </c>
      <c r="H40" s="299">
        <f>ROUNDUP(11740.19*$B$2,0)</f>
        <v>298083425</v>
      </c>
      <c r="I40" s="299">
        <f>ROUNDUP(11739.96*$B$2,0)</f>
        <v>298077585</v>
      </c>
      <c r="J40" s="299">
        <f>ROUNDUP(11739.89*$B$2,0)</f>
        <v>298075808</v>
      </c>
      <c r="K40" s="299">
        <f>ROUNDUP(11736.53*$B$2,0)</f>
        <v>297990497</v>
      </c>
      <c r="L40" s="299">
        <f>ROUNDUP(11735.55*$B$2,0)</f>
        <v>297965615</v>
      </c>
      <c r="M40" s="299">
        <f>ROUNDUP(11735.52*$B$2,0)</f>
        <v>297964853</v>
      </c>
      <c r="N40" s="299">
        <f>ROUNDUP(11735.54*$B$2,0)</f>
        <v>297965361</v>
      </c>
      <c r="O40" s="299">
        <f>ROUNDUP(11735.46*$B$2,0)</f>
        <v>297963330</v>
      </c>
      <c r="P40" s="299">
        <f>ROUNDUP(11735.336*$B$2,0)</f>
        <v>297960182</v>
      </c>
      <c r="Q40" s="299">
        <f t="shared" ref="Q40" si="6">ROUNDUP(11735.46*$B$2,0)</f>
        <v>297963330</v>
      </c>
      <c r="R40" s="200">
        <f t="shared" si="3"/>
        <v>3592573697</v>
      </c>
      <c r="S40" s="201" t="s">
        <v>695</v>
      </c>
      <c r="T40" s="202"/>
      <c r="U40" s="241"/>
      <c r="V40" s="241"/>
      <c r="W40" s="241"/>
      <c r="BA40"/>
      <c r="BB40"/>
    </row>
    <row r="41" spans="1:54" s="191" customFormat="1" ht="13">
      <c r="A41" s="224"/>
      <c r="B41" s="180">
        <v>9114120007</v>
      </c>
      <c r="C41" s="183" t="str">
        <f>IFERROR(IF(VLOOKUP($B41,勘定科目!$A:$H,HLOOKUP($E$5,勘定科目!$F$1:$H$2,2,0),0)="","",VLOOKUP($B41,勘定科目!$A:$E,2,0)),"")</f>
        <v>社内金利（固定資産）</v>
      </c>
      <c r="D41" s="234" t="str">
        <f>IF(C41="","",VLOOKUP($B41,勘定科目!$A:$E,4,0))</f>
        <v>固定資産金利</v>
      </c>
      <c r="E41" s="240" t="s">
        <v>906</v>
      </c>
      <c r="F41" s="299">
        <f>ROUNDUP(1531.48*$B$2,0)</f>
        <v>38884278</v>
      </c>
      <c r="G41" s="299">
        <f>ROUNDUP(1488.53*$B$2,0)</f>
        <v>37793777</v>
      </c>
      <c r="H41" s="299">
        <f>ROUNDUP(1488.54*$B$2,0)</f>
        <v>37794031</v>
      </c>
      <c r="I41" s="299">
        <f>ROUNDUP(1488.51*$B$2,0)</f>
        <v>37793269</v>
      </c>
      <c r="J41" s="299">
        <f>ROUNDUP(1488.5*$B$2,0)</f>
        <v>37793015</v>
      </c>
      <c r="K41" s="299">
        <f>ROUNDUP(1488.07*$B$2,0)</f>
        <v>37782098</v>
      </c>
      <c r="L41" s="299">
        <f>ROUNDUP(1487.95*$B$2,0)</f>
        <v>37779051</v>
      </c>
      <c r="M41" s="299">
        <f t="shared" ref="M41:N41" si="7">ROUNDUP(1487.95*$B$2,0)</f>
        <v>37779051</v>
      </c>
      <c r="N41" s="299">
        <f t="shared" si="7"/>
        <v>37779051</v>
      </c>
      <c r="O41" s="299">
        <f>ROUNDUP(1487.94*$B$2,0)</f>
        <v>37778797</v>
      </c>
      <c r="P41" s="299">
        <f>ROUNDUP(1487.92*$B$2,0)</f>
        <v>37778289</v>
      </c>
      <c r="Q41" s="299">
        <f>ROUNDUP(1487.94*$B$2,0)</f>
        <v>37778797</v>
      </c>
      <c r="R41" s="200">
        <f t="shared" si="3"/>
        <v>454513504</v>
      </c>
      <c r="S41" s="201" t="s">
        <v>696</v>
      </c>
      <c r="T41" s="202"/>
      <c r="U41" s="241"/>
      <c r="V41" s="241"/>
      <c r="W41" s="241"/>
      <c r="BA41"/>
      <c r="BB41"/>
    </row>
    <row r="42" spans="1:54" s="191" customFormat="1" ht="13">
      <c r="A42" s="224"/>
      <c r="B42" s="180">
        <v>9114120009</v>
      </c>
      <c r="C42" s="183" t="str">
        <f>IFERROR(IF(VLOOKUP($B42,勘定科目!$A:$H,HLOOKUP($E$5,勘定科目!$F$1:$H$2,2,0),0)="","",VLOOKUP($B42,勘定科目!$A:$E,2,0)),"")</f>
        <v>社内金利（在庫）</v>
      </c>
      <c r="D42" s="234" t="str">
        <f>IF(C42="","",VLOOKUP($B42,勘定科目!$A:$E,4,0))</f>
        <v>在庫金利</v>
      </c>
      <c r="E42" s="240" t="s">
        <v>907</v>
      </c>
      <c r="F42" s="194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00">
        <f t="shared" si="3"/>
        <v>0</v>
      </c>
      <c r="S42" s="201" t="s">
        <v>697</v>
      </c>
      <c r="T42" s="202"/>
      <c r="U42" s="241"/>
      <c r="V42" s="241"/>
      <c r="W42" s="241"/>
      <c r="BA42"/>
      <c r="BB42"/>
    </row>
    <row r="43" spans="1:54" s="191" customFormat="1" ht="13">
      <c r="A43" s="224"/>
      <c r="B43" s="180">
        <v>8001037111</v>
      </c>
      <c r="C43" s="183" t="str">
        <f>IFERROR(IF(VLOOKUP($B43,勘定科目!$A:$H,HLOOKUP($E$5,勘定科目!$F$1:$H$2,2,0),0)="","",VLOOKUP($B43,勘定科目!$A:$E,2,0)),"")</f>
        <v>その他特別利益</v>
      </c>
      <c r="D43" s="234" t="str">
        <f>IF(C43="","",VLOOKUP($B43,勘定科目!$A:$E,4,0))</f>
        <v>特別利益</v>
      </c>
      <c r="E43" s="240" t="s">
        <v>908</v>
      </c>
      <c r="F43" s="194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00">
        <f t="shared" si="3"/>
        <v>0</v>
      </c>
      <c r="S43" s="201" t="s">
        <v>698</v>
      </c>
      <c r="T43" s="202"/>
      <c r="U43" s="241"/>
      <c r="V43" s="241"/>
      <c r="W43" s="241"/>
      <c r="BA43"/>
      <c r="BB43"/>
    </row>
    <row r="44" spans="1:54" s="191" customFormat="1" ht="13">
      <c r="A44" s="224"/>
      <c r="B44" s="180">
        <v>6006016612</v>
      </c>
      <c r="C44" s="183" t="str">
        <f>IFERROR(IF(VLOOKUP($B44,勘定科目!$A:$H,HLOOKUP($E$5,勘定科目!$F$1:$H$2,2,0),0)="","",VLOOKUP($B44,勘定科目!$A:$E,2,0)),"")</f>
        <v>減価償却費（一般）　車輌運搬具</v>
      </c>
      <c r="D44" s="234" t="str">
        <f>IF(C44="","",VLOOKUP($B44,勘定科目!$A:$E,4,0))</f>
        <v>減価償却費</v>
      </c>
      <c r="E44" s="240" t="s">
        <v>909</v>
      </c>
      <c r="F44" s="300">
        <f>ROUNDUP(830.47*$B$2,0)</f>
        <v>21085634</v>
      </c>
      <c r="G44" s="300">
        <f t="shared" ref="G44:Q44" si="8">ROUNDUP(830.47*$B$2,0)</f>
        <v>21085634</v>
      </c>
      <c r="H44" s="300">
        <f t="shared" si="8"/>
        <v>21085634</v>
      </c>
      <c r="I44" s="300">
        <f t="shared" si="8"/>
        <v>21085634</v>
      </c>
      <c r="J44" s="300">
        <f t="shared" si="8"/>
        <v>21085634</v>
      </c>
      <c r="K44" s="300">
        <f t="shared" si="8"/>
        <v>21085634</v>
      </c>
      <c r="L44" s="300">
        <f t="shared" si="8"/>
        <v>21085634</v>
      </c>
      <c r="M44" s="300">
        <f t="shared" si="8"/>
        <v>21085634</v>
      </c>
      <c r="N44" s="300">
        <f t="shared" si="8"/>
        <v>21085634</v>
      </c>
      <c r="O44" s="300">
        <f t="shared" si="8"/>
        <v>21085634</v>
      </c>
      <c r="P44" s="300">
        <f t="shared" si="8"/>
        <v>21085634</v>
      </c>
      <c r="Q44" s="300">
        <f t="shared" si="8"/>
        <v>21085634</v>
      </c>
      <c r="R44" s="304">
        <f t="shared" si="3"/>
        <v>253027608</v>
      </c>
      <c r="S44" s="201" t="s">
        <v>926</v>
      </c>
      <c r="T44" s="202"/>
      <c r="U44" s="241"/>
      <c r="V44" s="241"/>
      <c r="W44" s="241"/>
      <c r="BA44"/>
      <c r="BB44"/>
    </row>
    <row r="45" spans="1:54" s="191" customFormat="1" ht="13">
      <c r="A45" s="224"/>
      <c r="B45" s="180">
        <v>6006016613</v>
      </c>
      <c r="C45" s="183" t="str">
        <f>IFERROR(IF(VLOOKUP($B45,勘定科目!$A:$H,HLOOKUP($E$5,勘定科目!$F$1:$H$2,2,0),0)="","",VLOOKUP($B45,勘定科目!$A:$E,2,0)),"")</f>
        <v>減価償却費（一般）　工具器具備品</v>
      </c>
      <c r="D45" s="234" t="str">
        <f>IF(C45="","",VLOOKUP($B45,勘定科目!$A:$E,4,0))</f>
        <v>減価償却費</v>
      </c>
      <c r="E45" s="240" t="s">
        <v>909</v>
      </c>
      <c r="F45" s="300">
        <f>ROUNDUP(155.56*$B$2,0)</f>
        <v>3949669</v>
      </c>
      <c r="G45" s="300">
        <f>ROUNDUP(155.56*$B$2,0)</f>
        <v>3949669</v>
      </c>
      <c r="H45" s="300">
        <f t="shared" ref="H45:Q46" si="9">ROUNDUP(155.56*$B$2,0)</f>
        <v>3949669</v>
      </c>
      <c r="I45" s="300">
        <f t="shared" si="9"/>
        <v>3949669</v>
      </c>
      <c r="J45" s="300">
        <f t="shared" si="9"/>
        <v>3949669</v>
      </c>
      <c r="K45" s="300">
        <f t="shared" si="9"/>
        <v>3949669</v>
      </c>
      <c r="L45" s="300">
        <f t="shared" si="9"/>
        <v>3949669</v>
      </c>
      <c r="M45" s="300">
        <f t="shared" si="9"/>
        <v>3949669</v>
      </c>
      <c r="N45" s="300">
        <f t="shared" si="9"/>
        <v>3949669</v>
      </c>
      <c r="O45" s="300">
        <f t="shared" si="9"/>
        <v>3949669</v>
      </c>
      <c r="P45" s="300">
        <f t="shared" si="9"/>
        <v>3949669</v>
      </c>
      <c r="Q45" s="300">
        <f t="shared" si="9"/>
        <v>3949669</v>
      </c>
      <c r="R45" s="304">
        <f t="shared" si="3"/>
        <v>47396028</v>
      </c>
      <c r="S45" s="201" t="s">
        <v>942</v>
      </c>
      <c r="T45" s="202"/>
      <c r="U45" s="241"/>
      <c r="V45" s="241"/>
      <c r="W45" s="241"/>
      <c r="BA45"/>
      <c r="BB45"/>
    </row>
    <row r="46" spans="1:54" s="191" customFormat="1" ht="13">
      <c r="A46" s="224"/>
      <c r="B46" s="180">
        <v>6006016613</v>
      </c>
      <c r="C46" s="183" t="str">
        <f>IFERROR(IF(VLOOKUP($B46,勘定科目!$A:$H,HLOOKUP($E$5,勘定科目!$F$1:$H$2,2,0),0)="","",VLOOKUP($B46,勘定科目!$A:$E,2,0)),"")</f>
        <v>減価償却費（一般）　工具器具備品</v>
      </c>
      <c r="D46" s="234" t="str">
        <f>IF(C46="","",VLOOKUP($B46,勘定科目!$A:$E,4,0))</f>
        <v>減価償却費</v>
      </c>
      <c r="E46" s="240" t="s">
        <v>909</v>
      </c>
      <c r="F46" s="194"/>
      <c r="G46" s="242"/>
      <c r="H46" s="242"/>
      <c r="I46" s="242"/>
      <c r="J46" s="242"/>
      <c r="K46" s="242"/>
      <c r="L46" s="300">
        <f t="shared" si="9"/>
        <v>3949669</v>
      </c>
      <c r="M46" s="300">
        <f t="shared" si="9"/>
        <v>3949669</v>
      </c>
      <c r="N46" s="300">
        <f t="shared" si="9"/>
        <v>3949669</v>
      </c>
      <c r="O46" s="300">
        <f t="shared" si="9"/>
        <v>3949669</v>
      </c>
      <c r="P46" s="300">
        <f t="shared" si="9"/>
        <v>3949669</v>
      </c>
      <c r="Q46" s="300">
        <f t="shared" si="9"/>
        <v>3949669</v>
      </c>
      <c r="R46" s="304">
        <f t="shared" si="3"/>
        <v>23698014</v>
      </c>
      <c r="S46" s="201" t="s">
        <v>943</v>
      </c>
      <c r="T46" s="202"/>
      <c r="U46" s="241"/>
      <c r="V46" s="241"/>
      <c r="W46" s="241"/>
      <c r="BA46"/>
      <c r="BB46"/>
    </row>
    <row r="47" spans="1:54" s="191" customFormat="1" ht="13">
      <c r="A47" s="224"/>
      <c r="B47" s="180">
        <v>6006016613</v>
      </c>
      <c r="C47" s="183" t="str">
        <f>IFERROR(IF(VLOOKUP($B47,勘定科目!$A:$H,HLOOKUP($E$5,勘定科目!$F$1:$H$2,2,0),0)="","",VLOOKUP($B47,勘定科目!$A:$E,2,0)),"")</f>
        <v>減価償却費（一般）　工具器具備品</v>
      </c>
      <c r="D47" s="234" t="str">
        <f>IF(C47="","",VLOOKUP($B47,勘定科目!$A:$E,4,0))</f>
        <v>減価償却費</v>
      </c>
      <c r="E47" s="240" t="s">
        <v>909</v>
      </c>
      <c r="F47" s="299">
        <f>ROUNDUP(505.57*$B$2,0)</f>
        <v>12836423</v>
      </c>
      <c r="G47" s="299">
        <f t="shared" ref="G47:Q47" si="10">ROUNDUP(505.57*$B$2,0)</f>
        <v>12836423</v>
      </c>
      <c r="H47" s="299">
        <f t="shared" si="10"/>
        <v>12836423</v>
      </c>
      <c r="I47" s="299">
        <f t="shared" si="10"/>
        <v>12836423</v>
      </c>
      <c r="J47" s="299">
        <f t="shared" si="10"/>
        <v>12836423</v>
      </c>
      <c r="K47" s="299">
        <f t="shared" si="10"/>
        <v>12836423</v>
      </c>
      <c r="L47" s="299">
        <f t="shared" si="10"/>
        <v>12836423</v>
      </c>
      <c r="M47" s="299">
        <f t="shared" si="10"/>
        <v>12836423</v>
      </c>
      <c r="N47" s="299">
        <f t="shared" si="10"/>
        <v>12836423</v>
      </c>
      <c r="O47" s="299">
        <f t="shared" si="10"/>
        <v>12836423</v>
      </c>
      <c r="P47" s="299">
        <f t="shared" si="10"/>
        <v>12836423</v>
      </c>
      <c r="Q47" s="299">
        <f t="shared" si="10"/>
        <v>12836423</v>
      </c>
      <c r="R47" s="304">
        <f t="shared" si="3"/>
        <v>154037076</v>
      </c>
      <c r="S47" s="201" t="s">
        <v>699</v>
      </c>
      <c r="T47" s="202"/>
      <c r="U47" s="241"/>
      <c r="V47" s="241"/>
      <c r="W47" s="241"/>
      <c r="BA47"/>
      <c r="BB47"/>
    </row>
    <row r="48" spans="1:54" s="191" customFormat="1" ht="13">
      <c r="A48" s="224"/>
      <c r="B48" s="180">
        <v>6006016613</v>
      </c>
      <c r="C48" s="183" t="str">
        <f>IFERROR(IF(VLOOKUP($B48,勘定科目!$A:$H,HLOOKUP($E$5,勘定科目!$F$1:$H$2,2,0),0)="","",VLOOKUP($B48,勘定科目!$A:$E,2,0)),"")</f>
        <v>減価償却費（一般）　工具器具備品</v>
      </c>
      <c r="D48" s="234" t="str">
        <f>IF(C48="","",VLOOKUP($B48,勘定科目!$A:$E,4,0))</f>
        <v>減価償却費</v>
      </c>
      <c r="E48" s="240" t="s">
        <v>909</v>
      </c>
      <c r="F48" s="194"/>
      <c r="G48" s="242"/>
      <c r="H48" s="242"/>
      <c r="I48" s="299">
        <f>ROUNDUP(65.75*$B$2,0)</f>
        <v>1669393</v>
      </c>
      <c r="J48" s="299">
        <f>ROUNDUP(65.75*$B$2,0)</f>
        <v>1669393</v>
      </c>
      <c r="K48" s="299">
        <f t="shared" ref="K48:Q48" si="11">ROUNDUP(65.75*$B$2,0)</f>
        <v>1669393</v>
      </c>
      <c r="L48" s="299">
        <f t="shared" si="11"/>
        <v>1669393</v>
      </c>
      <c r="M48" s="299">
        <f t="shared" si="11"/>
        <v>1669393</v>
      </c>
      <c r="N48" s="299">
        <f t="shared" si="11"/>
        <v>1669393</v>
      </c>
      <c r="O48" s="299">
        <f t="shared" si="11"/>
        <v>1669393</v>
      </c>
      <c r="P48" s="299">
        <f t="shared" si="11"/>
        <v>1669393</v>
      </c>
      <c r="Q48" s="299">
        <f t="shared" si="11"/>
        <v>1669393</v>
      </c>
      <c r="R48" s="304">
        <f t="shared" si="3"/>
        <v>15024537</v>
      </c>
      <c r="S48" s="201" t="s">
        <v>944</v>
      </c>
      <c r="T48" s="202"/>
      <c r="U48" s="241"/>
      <c r="V48" s="241"/>
      <c r="W48" s="241"/>
      <c r="BA48"/>
      <c r="BB48"/>
    </row>
    <row r="49" spans="1:54" s="191" customFormat="1" ht="13">
      <c r="A49" s="224"/>
      <c r="B49" s="180">
        <v>9114120007</v>
      </c>
      <c r="C49" s="183" t="str">
        <f>IFERROR(IF(VLOOKUP($B49,勘定科目!$A:$H,HLOOKUP($E$5,勘定科目!$F$1:$H$2,2,0),0)="","",VLOOKUP($B49,勘定科目!$A:$E,2,0)),"")</f>
        <v>社内金利（固定資産）</v>
      </c>
      <c r="D49" s="234" t="str">
        <f>IF(C49="","",VLOOKUP($B49,勘定科目!$A:$E,4,0))</f>
        <v>固定資産金利</v>
      </c>
      <c r="E49" s="240" t="s">
        <v>909</v>
      </c>
      <c r="F49" s="299">
        <f>ROUNDUP(92.9*$B$2,0)</f>
        <v>2358731</v>
      </c>
      <c r="G49" s="299">
        <f>ROUNDUP(63.01*$B$2,0)</f>
        <v>1599824</v>
      </c>
      <c r="H49" s="299">
        <f t="shared" ref="H49:Q49" si="12">ROUNDUP(63.01*$B$2,0)</f>
        <v>1599824</v>
      </c>
      <c r="I49" s="299">
        <f t="shared" si="12"/>
        <v>1599824</v>
      </c>
      <c r="J49" s="299">
        <f t="shared" si="12"/>
        <v>1599824</v>
      </c>
      <c r="K49" s="299">
        <f t="shared" si="12"/>
        <v>1599824</v>
      </c>
      <c r="L49" s="299">
        <f t="shared" si="12"/>
        <v>1599824</v>
      </c>
      <c r="M49" s="299">
        <f t="shared" si="12"/>
        <v>1599824</v>
      </c>
      <c r="N49" s="299">
        <f t="shared" si="12"/>
        <v>1599824</v>
      </c>
      <c r="O49" s="299">
        <f t="shared" si="12"/>
        <v>1599824</v>
      </c>
      <c r="P49" s="299">
        <f t="shared" si="12"/>
        <v>1599824</v>
      </c>
      <c r="Q49" s="299">
        <f t="shared" si="12"/>
        <v>1599824</v>
      </c>
      <c r="R49" s="304">
        <f t="shared" si="3"/>
        <v>19956795</v>
      </c>
      <c r="S49" s="201" t="s">
        <v>700</v>
      </c>
      <c r="T49" s="202"/>
      <c r="U49" s="241"/>
      <c r="V49" s="241"/>
      <c r="W49" s="241"/>
      <c r="BA49"/>
      <c r="BB49"/>
    </row>
    <row r="50" spans="1:54" s="191" customFormat="1" ht="13">
      <c r="A50" s="224"/>
      <c r="B50" s="180">
        <v>9114120007</v>
      </c>
      <c r="C50" s="183" t="str">
        <f>IFERROR(IF(VLOOKUP($B50,勘定科目!$A:$H,HLOOKUP($E$5,勘定科目!$F$1:$H$2,2,0),0)="","",VLOOKUP($B50,勘定科目!$A:$E,2,0)),"")</f>
        <v>社内金利（固定資産）</v>
      </c>
      <c r="D50" s="234" t="str">
        <f>IF(C50="","",VLOOKUP($B50,勘定科目!$A:$E,4,0))</f>
        <v>固定資産金利</v>
      </c>
      <c r="E50" s="240" t="s">
        <v>909</v>
      </c>
      <c r="F50" s="194"/>
      <c r="G50" s="300">
        <f>ROUNDUP(16.8*$B$2,0)</f>
        <v>426552</v>
      </c>
      <c r="H50" s="300">
        <f>ROUNDUP(16.8*$B$2,0)</f>
        <v>426552</v>
      </c>
      <c r="I50" s="300">
        <f t="shared" ref="I50:Q51" si="13">ROUNDUP(16.8*$B$2,0)</f>
        <v>426552</v>
      </c>
      <c r="J50" s="300">
        <f t="shared" si="13"/>
        <v>426552</v>
      </c>
      <c r="K50" s="300">
        <f t="shared" si="13"/>
        <v>426552</v>
      </c>
      <c r="L50" s="300">
        <f t="shared" si="13"/>
        <v>426552</v>
      </c>
      <c r="M50" s="300">
        <f t="shared" si="13"/>
        <v>426552</v>
      </c>
      <c r="N50" s="300">
        <f t="shared" si="13"/>
        <v>426552</v>
      </c>
      <c r="O50" s="300">
        <f t="shared" si="13"/>
        <v>426552</v>
      </c>
      <c r="P50" s="300">
        <f t="shared" si="13"/>
        <v>426552</v>
      </c>
      <c r="Q50" s="300">
        <f t="shared" si="13"/>
        <v>426552</v>
      </c>
      <c r="R50" s="304">
        <f t="shared" si="3"/>
        <v>4692072</v>
      </c>
      <c r="S50" s="201" t="s">
        <v>945</v>
      </c>
      <c r="T50" s="202"/>
      <c r="U50" s="241"/>
      <c r="V50" s="241"/>
      <c r="W50" s="241"/>
      <c r="BA50"/>
      <c r="BB50"/>
    </row>
    <row r="51" spans="1:54" s="191" customFormat="1" ht="13">
      <c r="A51" s="224"/>
      <c r="B51" s="180">
        <v>9114120007</v>
      </c>
      <c r="C51" s="183" t="str">
        <f>IFERROR(IF(VLOOKUP($B51,勘定科目!$A:$H,HLOOKUP($E$5,勘定科目!$F$1:$H$2,2,0),0)="","",VLOOKUP($B51,勘定科目!$A:$E,2,0)),"")</f>
        <v>社内金利（固定資産）</v>
      </c>
      <c r="D51" s="234" t="str">
        <f>IF(C51="","",VLOOKUP($B51,勘定科目!$A:$E,4,0))</f>
        <v>固定資産金利</v>
      </c>
      <c r="E51" s="240" t="s">
        <v>909</v>
      </c>
      <c r="F51" s="194"/>
      <c r="G51" s="242"/>
      <c r="H51" s="242"/>
      <c r="I51" s="242"/>
      <c r="J51" s="242"/>
      <c r="K51" s="300"/>
      <c r="L51" s="300"/>
      <c r="M51" s="300">
        <f t="shared" si="13"/>
        <v>426552</v>
      </c>
      <c r="N51" s="300">
        <f t="shared" si="13"/>
        <v>426552</v>
      </c>
      <c r="O51" s="300">
        <f t="shared" si="13"/>
        <v>426552</v>
      </c>
      <c r="P51" s="300">
        <f t="shared" si="13"/>
        <v>426552</v>
      </c>
      <c r="Q51" s="300">
        <f t="shared" si="13"/>
        <v>426552</v>
      </c>
      <c r="R51" s="304">
        <f t="shared" si="3"/>
        <v>2132760</v>
      </c>
      <c r="S51" s="201" t="s">
        <v>946</v>
      </c>
      <c r="T51" s="202"/>
      <c r="U51" s="241"/>
      <c r="V51" s="241"/>
      <c r="W51" s="241"/>
      <c r="BA51"/>
      <c r="BB51"/>
    </row>
    <row r="52" spans="1:54" s="191" customFormat="1" ht="13">
      <c r="A52" s="224"/>
      <c r="B52" s="180">
        <v>9114120007</v>
      </c>
      <c r="C52" s="183" t="str">
        <f>IFERROR(IF(VLOOKUP($B52,勘定科目!$A:$H,HLOOKUP($E$5,勘定科目!$F$1:$H$2,2,0),0)="","",VLOOKUP($B52,勘定科目!$A:$E,2,0)),"")</f>
        <v>社内金利（固定資産）</v>
      </c>
      <c r="D52" s="234" t="str">
        <f>IF(C52="","",VLOOKUP($B52,勘定科目!$A:$E,4,0))</f>
        <v>固定資産金利</v>
      </c>
      <c r="E52" s="240" t="s">
        <v>909</v>
      </c>
      <c r="F52" s="299">
        <f>ROUNDUP(39.49*$B$2,0)</f>
        <v>1002652</v>
      </c>
      <c r="G52" s="299">
        <f>ROUNDUP(21.29*$B$2,0)</f>
        <v>540554</v>
      </c>
      <c r="H52" s="299">
        <f t="shared" ref="H52:Q52" si="14">ROUNDUP(21.29*$B$2,0)</f>
        <v>540554</v>
      </c>
      <c r="I52" s="299">
        <f t="shared" si="14"/>
        <v>540554</v>
      </c>
      <c r="J52" s="299">
        <f t="shared" si="14"/>
        <v>540554</v>
      </c>
      <c r="K52" s="299">
        <f t="shared" si="14"/>
        <v>540554</v>
      </c>
      <c r="L52" s="299">
        <f t="shared" si="14"/>
        <v>540554</v>
      </c>
      <c r="M52" s="299">
        <f t="shared" si="14"/>
        <v>540554</v>
      </c>
      <c r="N52" s="299">
        <f t="shared" si="14"/>
        <v>540554</v>
      </c>
      <c r="O52" s="299">
        <f t="shared" si="14"/>
        <v>540554</v>
      </c>
      <c r="P52" s="299">
        <f t="shared" si="14"/>
        <v>540554</v>
      </c>
      <c r="Q52" s="299">
        <f t="shared" si="14"/>
        <v>540554</v>
      </c>
      <c r="R52" s="304">
        <f t="shared" si="3"/>
        <v>6948746</v>
      </c>
      <c r="S52" s="201" t="s">
        <v>701</v>
      </c>
      <c r="T52" s="202"/>
      <c r="U52" s="241"/>
      <c r="V52" s="241"/>
      <c r="W52" s="241"/>
      <c r="BA52"/>
      <c r="BB52"/>
    </row>
    <row r="53" spans="1:54" s="191" customFormat="1" ht="13">
      <c r="A53" s="224"/>
      <c r="B53" s="180">
        <v>9114120007</v>
      </c>
      <c r="C53" s="183" t="str">
        <f>IFERROR(IF(VLOOKUP($B53,勘定科目!$A:$H,HLOOKUP($E$5,勘定科目!$F$1:$H$2,2,0),0)="","",VLOOKUP($B53,勘定科目!$A:$E,2,0)),"")</f>
        <v>社内金利（固定資産）</v>
      </c>
      <c r="D53" s="234" t="str">
        <f>IF(C53="","",VLOOKUP($B53,勘定科目!$A:$E,4,0))</f>
        <v>固定資産金利</v>
      </c>
      <c r="E53" s="240" t="s">
        <v>909</v>
      </c>
      <c r="F53" s="194"/>
      <c r="G53" s="242"/>
      <c r="H53" s="242"/>
      <c r="I53" s="242"/>
      <c r="J53" s="299">
        <f>ROUNDUP(7.1*$B$2,0)</f>
        <v>180269</v>
      </c>
      <c r="K53" s="299">
        <f>ROUNDUP(7.1*$B$2,0)</f>
        <v>180269</v>
      </c>
      <c r="L53" s="299">
        <f t="shared" ref="L53:Q53" si="15">ROUNDUP(7.1*$B$2,0)</f>
        <v>180269</v>
      </c>
      <c r="M53" s="299">
        <f t="shared" si="15"/>
        <v>180269</v>
      </c>
      <c r="N53" s="299">
        <f t="shared" si="15"/>
        <v>180269</v>
      </c>
      <c r="O53" s="299">
        <f t="shared" si="15"/>
        <v>180269</v>
      </c>
      <c r="P53" s="299">
        <f t="shared" si="15"/>
        <v>180269</v>
      </c>
      <c r="Q53" s="299">
        <f t="shared" si="15"/>
        <v>180269</v>
      </c>
      <c r="R53" s="304">
        <f t="shared" si="3"/>
        <v>1442152</v>
      </c>
      <c r="S53" s="201" t="s">
        <v>947</v>
      </c>
      <c r="T53" s="202"/>
      <c r="U53" s="241"/>
      <c r="V53" s="241"/>
      <c r="W53" s="241"/>
      <c r="BA53"/>
      <c r="BB53"/>
    </row>
    <row r="54" spans="1:54" s="191" customFormat="1" ht="13">
      <c r="A54" s="224"/>
      <c r="B54" s="180">
        <v>6005226633</v>
      </c>
      <c r="C54" s="183" t="str">
        <f>IFERROR(IF(VLOOKUP($B54,勘定科目!$A:$H,HLOOKUP($E$5,勘定科目!$F$1:$H$2,2,0),0)="","",VLOOKUP($B54,勘定科目!$A:$E,2,0)),"")</f>
        <v>保険料（一般）</v>
      </c>
      <c r="D54" s="234" t="str">
        <f>IF(C54="","",VLOOKUP($B54,勘定科目!$A:$E,4,0))</f>
        <v>保険料</v>
      </c>
      <c r="E54" s="240" t="s">
        <v>910</v>
      </c>
      <c r="F54" s="194"/>
      <c r="G54" s="298">
        <v>55000000</v>
      </c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304">
        <f t="shared" si="3"/>
        <v>55000000</v>
      </c>
      <c r="S54" s="201" t="s">
        <v>702</v>
      </c>
      <c r="T54" s="202"/>
      <c r="U54" s="241"/>
      <c r="V54" s="241"/>
      <c r="W54" s="241"/>
      <c r="BA54"/>
      <c r="BB54"/>
    </row>
    <row r="55" spans="1:54" s="191" customFormat="1" ht="13">
      <c r="A55" s="224"/>
      <c r="B55" s="180">
        <v>6005016422</v>
      </c>
      <c r="C55" s="183" t="str">
        <f>IFERROR(IF(VLOOKUP($B55,勘定科目!$A:$H,HLOOKUP($E$5,勘定科目!$F$1:$H$2,2,0),0)="","",VLOOKUP($B55,勘定科目!$A:$E,2,0)),"")</f>
        <v>消耗品費（一般）</v>
      </c>
      <c r="D55" s="234" t="str">
        <f>IF(C55="","",VLOOKUP($B55,勘定科目!$A:$E,4,0))</f>
        <v>消耗品費</v>
      </c>
      <c r="E55" s="240" t="s">
        <v>911</v>
      </c>
      <c r="F55" s="291">
        <v>6500000</v>
      </c>
      <c r="G55" s="298">
        <v>6500000</v>
      </c>
      <c r="H55" s="298">
        <v>6500000</v>
      </c>
      <c r="I55" s="298">
        <v>6825000</v>
      </c>
      <c r="J55" s="298">
        <v>6825000</v>
      </c>
      <c r="K55" s="298">
        <v>7150000</v>
      </c>
      <c r="L55" s="298">
        <v>7800000</v>
      </c>
      <c r="M55" s="298">
        <v>7800000</v>
      </c>
      <c r="N55" s="298">
        <v>7800000</v>
      </c>
      <c r="O55" s="298">
        <v>8125000</v>
      </c>
      <c r="P55" s="298">
        <v>8775000</v>
      </c>
      <c r="Q55" s="298">
        <v>7800000</v>
      </c>
      <c r="R55" s="304">
        <f t="shared" si="3"/>
        <v>88400000</v>
      </c>
      <c r="S55" s="201" t="s">
        <v>703</v>
      </c>
      <c r="T55" s="202"/>
      <c r="U55" s="241"/>
      <c r="V55" s="241"/>
      <c r="W55" s="241"/>
      <c r="BA55"/>
      <c r="BB55"/>
    </row>
    <row r="56" spans="1:54" s="191" customFormat="1" ht="13">
      <c r="A56" s="224"/>
      <c r="B56" s="180">
        <v>6005016422</v>
      </c>
      <c r="C56" s="183" t="str">
        <f>IFERROR(IF(VLOOKUP($B56,勘定科目!$A:$H,HLOOKUP($E$5,勘定科目!$F$1:$H$2,2,0),0)="","",VLOOKUP($B56,勘定科目!$A:$E,2,0)),"")</f>
        <v>消耗品費（一般）</v>
      </c>
      <c r="D56" s="234" t="str">
        <f>IF(C56="","",VLOOKUP($B56,勘定科目!$A:$E,4,0))</f>
        <v>消耗品費</v>
      </c>
      <c r="E56" s="240" t="s">
        <v>911</v>
      </c>
      <c r="F56" s="291">
        <v>-6504234</v>
      </c>
      <c r="G56" s="291">
        <v>-6500890</v>
      </c>
      <c r="H56" s="291">
        <v>-6500026</v>
      </c>
      <c r="I56" s="291">
        <v>-6830481</v>
      </c>
      <c r="J56" s="291">
        <v>-6831000</v>
      </c>
      <c r="K56" s="291">
        <v>-7155871</v>
      </c>
      <c r="L56" s="291">
        <v>-7800507</v>
      </c>
      <c r="M56" s="291">
        <v>-7801342</v>
      </c>
      <c r="N56" s="291">
        <v>-7801684</v>
      </c>
      <c r="O56" s="291">
        <v>-8129496</v>
      </c>
      <c r="P56" s="291">
        <v>-8779506</v>
      </c>
      <c r="Q56" s="291">
        <v>-7804405</v>
      </c>
      <c r="R56" s="304">
        <f t="shared" si="3"/>
        <v>-88439442</v>
      </c>
      <c r="S56" s="201" t="s">
        <v>704</v>
      </c>
      <c r="T56" s="202"/>
      <c r="U56" s="241"/>
      <c r="V56" s="241"/>
      <c r="W56" s="241"/>
      <c r="BA56"/>
      <c r="BB56"/>
    </row>
    <row r="57" spans="1:54" s="191" customFormat="1" ht="13">
      <c r="A57" s="224"/>
      <c r="B57" s="180">
        <v>6005016422</v>
      </c>
      <c r="C57" s="183" t="str">
        <f>IFERROR(IF(VLOOKUP($B57,勘定科目!$A:$H,HLOOKUP($E$5,勘定科目!$F$1:$H$2,2,0),0)="","",VLOOKUP($B57,勘定科目!$A:$E,2,0)),"")</f>
        <v>消耗品費（一般）</v>
      </c>
      <c r="D57" s="234" t="str">
        <f>IF(C57="","",VLOOKUP($B57,勘定科目!$A:$E,4,0))</f>
        <v>消耗品費</v>
      </c>
      <c r="E57" s="240" t="s">
        <v>912</v>
      </c>
      <c r="F57" s="291">
        <f>1122*17</f>
        <v>19074</v>
      </c>
      <c r="G57" s="298">
        <f>1130*18</f>
        <v>20340</v>
      </c>
      <c r="H57" s="298">
        <f>1157*18</f>
        <v>20826</v>
      </c>
      <c r="I57" s="298">
        <f>1113*18</f>
        <v>20034</v>
      </c>
      <c r="J57" s="298">
        <f>1080*18</f>
        <v>19440</v>
      </c>
      <c r="K57" s="298">
        <f>10938*18</f>
        <v>196884</v>
      </c>
      <c r="L57" s="298">
        <f>1131*L773</f>
        <v>0</v>
      </c>
      <c r="M57" s="298">
        <f>1114*18</f>
        <v>20052</v>
      </c>
      <c r="N57" s="298">
        <f>1124*18</f>
        <v>20232</v>
      </c>
      <c r="O57" s="298">
        <f>1128*18</f>
        <v>20304</v>
      </c>
      <c r="P57" s="298">
        <f>1146*18</f>
        <v>20628</v>
      </c>
      <c r="Q57" s="298">
        <f>1085*18</f>
        <v>19530</v>
      </c>
      <c r="R57" s="200">
        <f t="shared" si="3"/>
        <v>397344</v>
      </c>
      <c r="S57" s="201" t="s">
        <v>705</v>
      </c>
      <c r="T57" s="202"/>
      <c r="U57" s="241"/>
      <c r="V57" s="241"/>
      <c r="W57" s="241"/>
      <c r="BA57"/>
      <c r="BB57"/>
    </row>
    <row r="58" spans="1:54" s="191" customFormat="1" ht="13">
      <c r="A58" s="224"/>
      <c r="B58" s="180">
        <v>6005016422</v>
      </c>
      <c r="C58" s="183" t="str">
        <f>IFERROR(IF(VLOOKUP($B58,勘定科目!$A:$H,HLOOKUP($E$5,勘定科目!$F$1:$H$2,2,0),0)="","",VLOOKUP($B58,勘定科目!$A:$E,2,0)),"")</f>
        <v>消耗品費（一般）</v>
      </c>
      <c r="D58" s="234" t="str">
        <f>IF(C58="","",VLOOKUP($B58,勘定科目!$A:$E,4,0))</f>
        <v>消耗品費</v>
      </c>
      <c r="E58" s="240" t="s">
        <v>911</v>
      </c>
      <c r="F58" s="291">
        <v>106800000</v>
      </c>
      <c r="G58" s="298">
        <v>102030000</v>
      </c>
      <c r="H58" s="298">
        <v>108990000</v>
      </c>
      <c r="I58" s="298">
        <v>129720000</v>
      </c>
      <c r="J58" s="298">
        <v>116400000</v>
      </c>
      <c r="K58" s="298">
        <v>114570000</v>
      </c>
      <c r="L58" s="298">
        <v>145590000</v>
      </c>
      <c r="M58" s="298">
        <v>129000000</v>
      </c>
      <c r="N58" s="298">
        <v>140580000</v>
      </c>
      <c r="O58" s="298">
        <v>132600000</v>
      </c>
      <c r="P58" s="298">
        <v>106200000</v>
      </c>
      <c r="Q58" s="298">
        <v>132600000</v>
      </c>
      <c r="R58" s="304">
        <f t="shared" si="3"/>
        <v>1465080000</v>
      </c>
      <c r="S58" s="201" t="s">
        <v>706</v>
      </c>
      <c r="T58" s="202"/>
      <c r="U58" s="241"/>
      <c r="V58" s="241"/>
      <c r="W58" s="241"/>
      <c r="BA58"/>
      <c r="BB58"/>
    </row>
    <row r="59" spans="1:54" s="191" customFormat="1" ht="13">
      <c r="A59" s="224"/>
      <c r="B59" s="180">
        <v>6005016422</v>
      </c>
      <c r="C59" s="183" t="str">
        <f>IFERROR(IF(VLOOKUP($B59,勘定科目!$A:$H,HLOOKUP($E$5,勘定科目!$F$1:$H$2,2,0),0)="","",VLOOKUP($B59,勘定科目!$A:$E,2,0)),"")</f>
        <v>消耗品費（一般）</v>
      </c>
      <c r="D59" s="234" t="str">
        <f>IF(C59="","",VLOOKUP($B59,勘定科目!$A:$E,4,0))</f>
        <v>消耗品費</v>
      </c>
      <c r="E59" s="240" t="s">
        <v>911</v>
      </c>
      <c r="F59" s="291">
        <v>-106803928</v>
      </c>
      <c r="G59" s="291">
        <v>-102035208</v>
      </c>
      <c r="H59" s="291">
        <v>-108994818</v>
      </c>
      <c r="I59" s="291">
        <v>-129723906</v>
      </c>
      <c r="J59" s="291">
        <v>-116405300</v>
      </c>
      <c r="K59" s="291">
        <v>-114572500</v>
      </c>
      <c r="L59" s="291">
        <v>-145595670</v>
      </c>
      <c r="M59" s="291">
        <v>-129002263</v>
      </c>
      <c r="N59" s="291">
        <v>-140583014</v>
      </c>
      <c r="O59" s="291">
        <v>-132601593</v>
      </c>
      <c r="P59" s="291">
        <v>-106204443</v>
      </c>
      <c r="Q59" s="291">
        <v>-132602955</v>
      </c>
      <c r="R59" s="304">
        <f t="shared" si="3"/>
        <v>-1465125598</v>
      </c>
      <c r="S59" s="201" t="s">
        <v>707</v>
      </c>
      <c r="T59" s="202"/>
      <c r="U59" s="241"/>
      <c r="V59" s="241"/>
      <c r="W59" s="241"/>
      <c r="BA59"/>
      <c r="BB59"/>
    </row>
    <row r="60" spans="1:54" s="191" customFormat="1" ht="13">
      <c r="A60" s="224"/>
      <c r="B60" s="180">
        <v>6005016422</v>
      </c>
      <c r="C60" s="183" t="str">
        <f>IFERROR(IF(VLOOKUP($B60,勘定科目!$A:$H,HLOOKUP($E$5,勘定科目!$F$1:$H$2,2,0),0)="","",VLOOKUP($B60,勘定科目!$A:$E,2,0)),"")</f>
        <v>消耗品費（一般）</v>
      </c>
      <c r="D60" s="234" t="str">
        <f>IF(C60="","",VLOOKUP($B60,勘定科目!$A:$E,4,0))</f>
        <v>消耗品費</v>
      </c>
      <c r="E60" s="240" t="s">
        <v>912</v>
      </c>
      <c r="F60" s="291">
        <v>313208</v>
      </c>
      <c r="G60" s="291">
        <v>319248</v>
      </c>
      <c r="H60" s="291">
        <v>349218</v>
      </c>
      <c r="I60" s="291">
        <v>380484</v>
      </c>
      <c r="J60" s="291">
        <v>331272</v>
      </c>
      <c r="K60" s="291">
        <v>315000</v>
      </c>
      <c r="L60" s="291">
        <v>379980</v>
      </c>
      <c r="M60" s="291">
        <v>331578</v>
      </c>
      <c r="N60" s="291">
        <v>364572</v>
      </c>
      <c r="O60" s="291">
        <v>331182</v>
      </c>
      <c r="P60" s="291">
        <v>249534</v>
      </c>
      <c r="Q60" s="291">
        <v>331830</v>
      </c>
      <c r="R60" s="309">
        <f t="shared" si="3"/>
        <v>3997106</v>
      </c>
      <c r="S60" s="201" t="s">
        <v>708</v>
      </c>
      <c r="T60" s="202"/>
      <c r="U60" s="241"/>
      <c r="V60" s="241"/>
      <c r="W60" s="241"/>
      <c r="BA60"/>
      <c r="BB60"/>
    </row>
    <row r="61" spans="1:54" s="191" customFormat="1" ht="13">
      <c r="A61" s="224"/>
      <c r="B61" s="180">
        <v>6005016422</v>
      </c>
      <c r="C61" s="183" t="str">
        <f>IFERROR(IF(VLOOKUP($B61,勘定科目!$A:$H,HLOOKUP($E$5,勘定科目!$F$1:$H$2,2,0),0)="","",VLOOKUP($B61,勘定科目!$A:$E,2,0)),"")</f>
        <v>消耗品費（一般）</v>
      </c>
      <c r="D61" s="234" t="str">
        <f>IF(C61="","",VLOOKUP($B61,勘定科目!$A:$E,4,0))</f>
        <v>消耗品費</v>
      </c>
      <c r="E61" s="240" t="s">
        <v>911</v>
      </c>
      <c r="F61" s="299">
        <f>540000*4</f>
        <v>2160000</v>
      </c>
      <c r="G61" s="299">
        <f>540000*2</f>
        <v>1080000</v>
      </c>
      <c r="H61" s="299">
        <f>540000*4</f>
        <v>2160000</v>
      </c>
      <c r="I61" s="299">
        <f>540000*2</f>
        <v>1080000</v>
      </c>
      <c r="J61" s="299">
        <f>540000*4</f>
        <v>2160000</v>
      </c>
      <c r="K61" s="299">
        <f>540000*2</f>
        <v>1080000</v>
      </c>
      <c r="L61" s="299">
        <f>540000*4</f>
        <v>2160000</v>
      </c>
      <c r="M61" s="299">
        <f>540000*2</f>
        <v>1080000</v>
      </c>
      <c r="N61" s="299">
        <f>540000*4</f>
        <v>2160000</v>
      </c>
      <c r="O61" s="299">
        <f>540000*2</f>
        <v>1080000</v>
      </c>
      <c r="P61" s="299">
        <f>540000*4</f>
        <v>2160000</v>
      </c>
      <c r="Q61" s="299">
        <f>540000*2</f>
        <v>1080000</v>
      </c>
      <c r="R61" s="304">
        <f t="shared" si="3"/>
        <v>19440000</v>
      </c>
      <c r="S61" s="201" t="s">
        <v>709</v>
      </c>
      <c r="T61" s="202"/>
      <c r="U61" s="241"/>
      <c r="V61" s="241"/>
      <c r="W61" s="241"/>
      <c r="BA61"/>
      <c r="BB61"/>
    </row>
    <row r="62" spans="1:54" s="191" customFormat="1" ht="13">
      <c r="A62" s="224"/>
      <c r="B62" s="180">
        <v>6005016422</v>
      </c>
      <c r="C62" s="183" t="str">
        <f>IFERROR(IF(VLOOKUP($B62,勘定科目!$A:$H,HLOOKUP($E$5,勘定科目!$F$1:$H$2,2,0),0)="","",VLOOKUP($B62,勘定科目!$A:$E,2,0)),"")</f>
        <v>消耗品費（一般）</v>
      </c>
      <c r="D62" s="234" t="str">
        <f>IF(C62="","",VLOOKUP($B62,勘定科目!$A:$E,4,0))</f>
        <v>消耗品費</v>
      </c>
      <c r="E62" s="240" t="s">
        <v>913</v>
      </c>
      <c r="F62" s="291">
        <v>1053000</v>
      </c>
      <c r="G62" s="194">
        <v>1053000</v>
      </c>
      <c r="H62" s="194">
        <v>1053000</v>
      </c>
      <c r="I62" s="291">
        <v>1053000</v>
      </c>
      <c r="J62" s="291">
        <v>1053000</v>
      </c>
      <c r="K62" s="291">
        <v>1053000</v>
      </c>
      <c r="L62" s="291">
        <v>1053000</v>
      </c>
      <c r="M62" s="291">
        <v>1053000</v>
      </c>
      <c r="N62" s="291">
        <v>1053000</v>
      </c>
      <c r="O62" s="291">
        <v>1053000</v>
      </c>
      <c r="P62" s="291">
        <v>1053000</v>
      </c>
      <c r="Q62" s="291">
        <v>1053000</v>
      </c>
      <c r="R62" s="291">
        <f t="shared" si="3"/>
        <v>12636000</v>
      </c>
      <c r="S62" s="201" t="s">
        <v>710</v>
      </c>
      <c r="T62" s="202"/>
      <c r="U62" s="241"/>
      <c r="V62" s="241"/>
      <c r="W62" s="241"/>
      <c r="BA62"/>
      <c r="BB62"/>
    </row>
    <row r="63" spans="1:54" s="191" customFormat="1" ht="13">
      <c r="A63" s="224"/>
      <c r="B63" s="180">
        <v>6005116654</v>
      </c>
      <c r="C63" s="183" t="str">
        <f>IFERROR(IF(VLOOKUP($B63,勘定科目!$A:$H,HLOOKUP($E$5,勘定科目!$F$1:$H$2,2,0),0)="","",VLOOKUP($B63,勘定科目!$A:$E,2,0)),"")</f>
        <v>ベトナム国内交通費（一般）</v>
      </c>
      <c r="D63" s="234" t="str">
        <f>IF(C63="","",VLOOKUP($B63,勘定科目!$A:$E,4,0))</f>
        <v>旅費交通費</v>
      </c>
      <c r="E63" s="240" t="s">
        <v>910</v>
      </c>
      <c r="F63" s="194"/>
      <c r="G63" s="242"/>
      <c r="H63" s="242"/>
      <c r="I63" s="242"/>
      <c r="J63" s="291"/>
      <c r="K63" s="291"/>
      <c r="L63" s="291"/>
      <c r="M63" s="291"/>
      <c r="N63" s="291"/>
      <c r="O63" s="291"/>
      <c r="P63" s="291"/>
      <c r="Q63" s="291"/>
      <c r="R63" s="291">
        <f t="shared" si="3"/>
        <v>0</v>
      </c>
      <c r="S63" s="201" t="s">
        <v>711</v>
      </c>
      <c r="T63" s="202"/>
      <c r="U63" s="241"/>
      <c r="V63" s="241"/>
      <c r="W63" s="241"/>
      <c r="BA63"/>
      <c r="BB63"/>
    </row>
    <row r="64" spans="1:54" s="191" customFormat="1" ht="13">
      <c r="A64" s="224"/>
      <c r="B64" s="180">
        <v>6005116654</v>
      </c>
      <c r="C64" s="183" t="str">
        <f>IFERROR(IF(VLOOKUP($B64,勘定科目!$A:$H,HLOOKUP($E$5,勘定科目!$F$1:$H$2,2,0),0)="","",VLOOKUP($B64,勘定科目!$A:$E,2,0)),"")</f>
        <v>ベトナム国内交通費（一般）</v>
      </c>
      <c r="D64" s="234" t="str">
        <f>IF(C64="","",VLOOKUP($B64,勘定科目!$A:$E,4,0))</f>
        <v>旅費交通費</v>
      </c>
      <c r="E64" s="240" t="s">
        <v>910</v>
      </c>
      <c r="F64" s="301">
        <v>95000</v>
      </c>
      <c r="G64" s="301">
        <v>95000</v>
      </c>
      <c r="H64" s="242">
        <v>-180000</v>
      </c>
      <c r="I64" s="301">
        <v>95000</v>
      </c>
      <c r="J64" s="301">
        <v>95000</v>
      </c>
      <c r="K64" s="242">
        <v>-180000</v>
      </c>
      <c r="L64" s="301">
        <v>95000</v>
      </c>
      <c r="M64" s="301">
        <v>95000</v>
      </c>
      <c r="N64" s="242">
        <v>-180000</v>
      </c>
      <c r="O64" s="301">
        <v>95000</v>
      </c>
      <c r="P64" s="301">
        <v>95000</v>
      </c>
      <c r="Q64" s="242">
        <v>-150000</v>
      </c>
      <c r="R64" s="291">
        <f t="shared" si="3"/>
        <v>70000</v>
      </c>
      <c r="S64" s="201" t="s">
        <v>712</v>
      </c>
      <c r="T64" s="202"/>
      <c r="U64" s="241"/>
      <c r="V64" s="241"/>
      <c r="W64" s="241"/>
      <c r="BA64"/>
      <c r="BB64"/>
    </row>
    <row r="65" spans="1:54" s="191" customFormat="1" ht="13">
      <c r="A65" s="224"/>
      <c r="B65" s="180">
        <v>6005116654</v>
      </c>
      <c r="C65" s="183" t="str">
        <f>IFERROR(IF(VLOOKUP($B65,勘定科目!$A:$H,HLOOKUP($E$5,勘定科目!$F$1:$H$2,2,0),0)="","",VLOOKUP($B65,勘定科目!$A:$E,2,0)),"")</f>
        <v>ベトナム国内交通費（一般）</v>
      </c>
      <c r="D65" s="234" t="str">
        <f>IF(C65="","",VLOOKUP($B65,勘定科目!$A:$E,4,0))</f>
        <v>旅費交通費</v>
      </c>
      <c r="E65" s="240" t="s">
        <v>910</v>
      </c>
      <c r="F65" s="299">
        <f>25*70000</f>
        <v>1750000</v>
      </c>
      <c r="G65" s="299">
        <f t="shared" ref="G65:Q65" si="16">25*70000</f>
        <v>1750000</v>
      </c>
      <c r="H65" s="299">
        <f t="shared" si="16"/>
        <v>1750000</v>
      </c>
      <c r="I65" s="299">
        <f t="shared" si="16"/>
        <v>1750000</v>
      </c>
      <c r="J65" s="299">
        <f t="shared" si="16"/>
        <v>1750000</v>
      </c>
      <c r="K65" s="299">
        <f t="shared" si="16"/>
        <v>1750000</v>
      </c>
      <c r="L65" s="299">
        <f t="shared" si="16"/>
        <v>1750000</v>
      </c>
      <c r="M65" s="299">
        <f t="shared" si="16"/>
        <v>1750000</v>
      </c>
      <c r="N65" s="299">
        <f t="shared" si="16"/>
        <v>1750000</v>
      </c>
      <c r="O65" s="299">
        <f t="shared" si="16"/>
        <v>1750000</v>
      </c>
      <c r="P65" s="299">
        <f t="shared" si="16"/>
        <v>1750000</v>
      </c>
      <c r="Q65" s="299">
        <f t="shared" si="16"/>
        <v>1750000</v>
      </c>
      <c r="R65" s="291">
        <f t="shared" si="3"/>
        <v>21000000</v>
      </c>
      <c r="S65" s="201" t="s">
        <v>713</v>
      </c>
      <c r="T65" s="202"/>
      <c r="U65" s="241"/>
      <c r="V65" s="241"/>
      <c r="W65" s="241"/>
      <c r="BA65"/>
      <c r="BB65"/>
    </row>
    <row r="66" spans="1:54" s="191" customFormat="1" ht="13">
      <c r="A66" s="224"/>
      <c r="B66" s="180">
        <v>6005116654</v>
      </c>
      <c r="C66" s="183" t="str">
        <f>IFERROR(IF(VLOOKUP($B66,勘定科目!$A:$H,HLOOKUP($E$5,勘定科目!$F$1:$H$2,2,0),0)="","",VLOOKUP($B66,勘定科目!$A:$E,2,0)),"")</f>
        <v>ベトナム国内交通費（一般）</v>
      </c>
      <c r="D66" s="234" t="str">
        <f>IF(C66="","",VLOOKUP($B66,勘定科目!$A:$E,4,0))</f>
        <v>旅費交通費</v>
      </c>
      <c r="E66" s="240" t="s">
        <v>910</v>
      </c>
      <c r="F66" s="299">
        <f>8*80000+100000</f>
        <v>740000</v>
      </c>
      <c r="G66" s="299">
        <f t="shared" ref="G66:Q66" si="17">8*80000+100000</f>
        <v>740000</v>
      </c>
      <c r="H66" s="299">
        <f t="shared" si="17"/>
        <v>740000</v>
      </c>
      <c r="I66" s="299">
        <f t="shared" si="17"/>
        <v>740000</v>
      </c>
      <c r="J66" s="299">
        <f t="shared" si="17"/>
        <v>740000</v>
      </c>
      <c r="K66" s="299">
        <f t="shared" si="17"/>
        <v>740000</v>
      </c>
      <c r="L66" s="299">
        <f t="shared" si="17"/>
        <v>740000</v>
      </c>
      <c r="M66" s="299">
        <f t="shared" si="17"/>
        <v>740000</v>
      </c>
      <c r="N66" s="299">
        <f t="shared" si="17"/>
        <v>740000</v>
      </c>
      <c r="O66" s="299">
        <f t="shared" si="17"/>
        <v>740000</v>
      </c>
      <c r="P66" s="299">
        <f t="shared" si="17"/>
        <v>740000</v>
      </c>
      <c r="Q66" s="299">
        <f t="shared" si="17"/>
        <v>740000</v>
      </c>
      <c r="R66" s="291">
        <f t="shared" si="3"/>
        <v>8880000</v>
      </c>
      <c r="S66" s="201" t="s">
        <v>714</v>
      </c>
      <c r="T66" s="202"/>
      <c r="U66" s="241"/>
      <c r="V66" s="241"/>
      <c r="W66" s="241"/>
      <c r="BA66"/>
      <c r="BB66"/>
    </row>
    <row r="67" spans="1:54" s="191" customFormat="1" ht="13">
      <c r="A67" s="224"/>
      <c r="B67" s="180">
        <v>6005116654</v>
      </c>
      <c r="C67" s="183" t="str">
        <f>IFERROR(IF(VLOOKUP($B67,勘定科目!$A:$H,HLOOKUP($E$5,勘定科目!$F$1:$H$2,2,0),0)="","",VLOOKUP($B67,勘定科目!$A:$E,2,0)),"")</f>
        <v>ベトナム国内交通費（一般）</v>
      </c>
      <c r="D67" s="234" t="str">
        <f>IF(C67="","",VLOOKUP($B67,勘定科目!$A:$E,4,0))</f>
        <v>旅費交通費</v>
      </c>
      <c r="E67" s="240" t="s">
        <v>910</v>
      </c>
      <c r="F67" s="299">
        <v>300000</v>
      </c>
      <c r="G67" s="298">
        <v>300000</v>
      </c>
      <c r="H67" s="298">
        <v>500000</v>
      </c>
      <c r="I67" s="298">
        <v>500000</v>
      </c>
      <c r="J67" s="298">
        <v>500000</v>
      </c>
      <c r="K67" s="298">
        <v>500000</v>
      </c>
      <c r="L67" s="298">
        <v>500000</v>
      </c>
      <c r="M67" s="298">
        <v>500000</v>
      </c>
      <c r="N67" s="298">
        <v>500000</v>
      </c>
      <c r="O67" s="298">
        <v>500000</v>
      </c>
      <c r="P67" s="298">
        <v>500000</v>
      </c>
      <c r="Q67" s="298">
        <v>500000</v>
      </c>
      <c r="R67" s="291">
        <f t="shared" si="3"/>
        <v>5600000</v>
      </c>
      <c r="S67" s="201" t="s">
        <v>715</v>
      </c>
      <c r="T67" s="202"/>
      <c r="U67" s="241"/>
      <c r="V67" s="241"/>
      <c r="W67" s="241"/>
      <c r="BA67"/>
      <c r="BB67"/>
    </row>
    <row r="68" spans="1:54" s="191" customFormat="1" ht="13">
      <c r="A68" s="224"/>
      <c r="B68" s="180">
        <v>6005116654</v>
      </c>
      <c r="C68" s="183" t="str">
        <f>IFERROR(IF(VLOOKUP($B68,勘定科目!$A:$H,HLOOKUP($E$5,勘定科目!$F$1:$H$2,2,0),0)="","",VLOOKUP($B68,勘定科目!$A:$E,2,0)),"")</f>
        <v>ベトナム国内交通費（一般）</v>
      </c>
      <c r="D68" s="234" t="str">
        <f>IF(C68="","",VLOOKUP($B68,勘定科目!$A:$E,4,0))</f>
        <v>旅費交通費</v>
      </c>
      <c r="E68" s="240" t="s">
        <v>910</v>
      </c>
      <c r="F68" s="194"/>
      <c r="G68" s="242"/>
      <c r="H68" s="242"/>
      <c r="I68" s="242"/>
      <c r="J68" s="291"/>
      <c r="K68" s="291"/>
      <c r="L68" s="291"/>
      <c r="M68" s="291"/>
      <c r="N68" s="291"/>
      <c r="O68" s="291"/>
      <c r="P68" s="291"/>
      <c r="Q68" s="291"/>
      <c r="R68" s="291">
        <f t="shared" si="3"/>
        <v>0</v>
      </c>
      <c r="S68" s="201" t="s">
        <v>716</v>
      </c>
      <c r="T68" s="202"/>
      <c r="U68" s="241"/>
      <c r="V68" s="241"/>
      <c r="W68" s="241"/>
      <c r="BA68"/>
      <c r="BB68"/>
    </row>
    <row r="69" spans="1:54" s="191" customFormat="1" ht="13">
      <c r="A69" s="224"/>
      <c r="B69" s="180">
        <v>6005116654</v>
      </c>
      <c r="C69" s="183" t="str">
        <f>IFERROR(IF(VLOOKUP($B69,勘定科目!$A:$H,HLOOKUP($E$5,勘定科目!$F$1:$H$2,2,0),0)="","",VLOOKUP($B69,勘定科目!$A:$E,2,0)),"")</f>
        <v>ベトナム国内交通費（一般）</v>
      </c>
      <c r="D69" s="234" t="str">
        <f>IF(C69="","",VLOOKUP($B69,勘定科目!$A:$E,4,0))</f>
        <v>旅費交通費</v>
      </c>
      <c r="E69" s="240" t="s">
        <v>908</v>
      </c>
      <c r="F69" s="194"/>
      <c r="G69" s="242"/>
      <c r="H69" s="242"/>
      <c r="I69" s="242"/>
      <c r="J69" s="291"/>
      <c r="K69" s="291">
        <f>400000*2</f>
        <v>800000</v>
      </c>
      <c r="L69" s="291"/>
      <c r="M69" s="291"/>
      <c r="N69" s="291"/>
      <c r="O69" s="291"/>
      <c r="P69" s="291">
        <f>400000*2</f>
        <v>800000</v>
      </c>
      <c r="Q69" s="291"/>
      <c r="R69" s="291">
        <f t="shared" si="3"/>
        <v>1600000</v>
      </c>
      <c r="S69" s="201" t="s">
        <v>717</v>
      </c>
      <c r="T69" s="202"/>
      <c r="U69" s="241"/>
      <c r="V69" s="241"/>
      <c r="W69" s="241"/>
      <c r="BA69"/>
      <c r="BB69"/>
    </row>
    <row r="70" spans="1:54" s="191" customFormat="1" ht="13">
      <c r="A70" s="224"/>
      <c r="B70" s="180">
        <v>6005046622</v>
      </c>
      <c r="C70" s="183" t="s">
        <v>297</v>
      </c>
      <c r="D70" s="234" t="str">
        <f>IF(C70="","",VLOOKUP($B70,勘定科目!$A:$E,4,0))</f>
        <v>修繕費</v>
      </c>
      <c r="E70" s="240" t="s">
        <v>910</v>
      </c>
      <c r="F70" s="299">
        <v>2000000</v>
      </c>
      <c r="G70" s="299">
        <v>2000000</v>
      </c>
      <c r="H70" s="299">
        <v>2000000</v>
      </c>
      <c r="I70" s="299">
        <v>2000000</v>
      </c>
      <c r="J70" s="299">
        <v>2000000</v>
      </c>
      <c r="K70" s="299">
        <v>2000000</v>
      </c>
      <c r="L70" s="299">
        <v>2000000</v>
      </c>
      <c r="M70" s="299">
        <v>2000000</v>
      </c>
      <c r="N70" s="299">
        <v>2000000</v>
      </c>
      <c r="O70" s="299">
        <v>2000000</v>
      </c>
      <c r="P70" s="299">
        <v>2000000</v>
      </c>
      <c r="Q70" s="299">
        <v>2000000</v>
      </c>
      <c r="R70" s="291">
        <f t="shared" si="3"/>
        <v>24000000</v>
      </c>
      <c r="S70" s="201" t="s">
        <v>729</v>
      </c>
      <c r="T70" s="202"/>
      <c r="U70" s="241"/>
      <c r="V70" s="241"/>
      <c r="W70" s="241"/>
      <c r="BA70"/>
      <c r="BB70"/>
    </row>
    <row r="71" spans="1:54" s="191" customFormat="1" ht="13">
      <c r="A71" s="224"/>
      <c r="B71" s="180">
        <v>6005116654</v>
      </c>
      <c r="C71" s="183" t="str">
        <f>IFERROR(IF(VLOOKUP($B71,勘定科目!$A:$H,HLOOKUP($E$5,勘定科目!$F$1:$H$2,2,0),0)="","",VLOOKUP($B71,勘定科目!$A:$E,2,0)),"")</f>
        <v>ベトナム国内交通費（一般）</v>
      </c>
      <c r="D71" s="234" t="str">
        <f>IF(C71="","",VLOOKUP($B71,勘定科目!$A:$E,4,0))</f>
        <v>旅費交通費</v>
      </c>
      <c r="E71" s="240" t="s">
        <v>908</v>
      </c>
      <c r="F71" s="194"/>
      <c r="G71" s="242"/>
      <c r="H71" s="242"/>
      <c r="I71" s="242"/>
      <c r="J71" s="291"/>
      <c r="K71" s="291"/>
      <c r="L71" s="291"/>
      <c r="M71" s="291"/>
      <c r="N71" s="291"/>
      <c r="O71" s="291"/>
      <c r="P71" s="291"/>
      <c r="Q71" s="291"/>
      <c r="R71" s="291">
        <f t="shared" si="3"/>
        <v>0</v>
      </c>
      <c r="S71" s="201" t="s">
        <v>719</v>
      </c>
      <c r="T71" s="202"/>
      <c r="U71" s="241"/>
      <c r="V71" s="241"/>
      <c r="W71" s="241"/>
      <c r="BA71"/>
      <c r="BB71"/>
    </row>
    <row r="72" spans="1:54" s="191" customFormat="1" ht="13">
      <c r="A72" s="224"/>
      <c r="B72" s="180">
        <v>6005116655</v>
      </c>
      <c r="C72" s="183" t="str">
        <f>IFERROR(IF(VLOOKUP($B72,勘定科目!$A:$H,HLOOKUP($E$5,勘定科目!$F$1:$H$2,2,0),0)="","",VLOOKUP($B72,勘定科目!$A:$E,2,0)),"")</f>
        <v>海外渡航費（一般）</v>
      </c>
      <c r="D72" s="234" t="str">
        <f>IF(C72="","",VLOOKUP($B72,勘定科目!$A:$E,4,0))</f>
        <v>渡航費</v>
      </c>
      <c r="E72" s="240" t="s">
        <v>908</v>
      </c>
      <c r="F72" s="194"/>
      <c r="G72" s="242"/>
      <c r="H72" s="242"/>
      <c r="I72" s="242"/>
      <c r="J72" s="291"/>
      <c r="K72" s="291"/>
      <c r="L72" s="291"/>
      <c r="M72" s="291"/>
      <c r="N72" s="291"/>
      <c r="O72" s="291"/>
      <c r="P72" s="291"/>
      <c r="Q72" s="291"/>
      <c r="R72" s="291">
        <f t="shared" si="3"/>
        <v>0</v>
      </c>
      <c r="S72" s="201" t="s">
        <v>720</v>
      </c>
      <c r="T72" s="202"/>
      <c r="U72" s="241"/>
      <c r="V72" s="241"/>
      <c r="W72" s="241"/>
      <c r="BA72"/>
      <c r="BB72"/>
    </row>
    <row r="73" spans="1:54" s="191" customFormat="1" ht="13">
      <c r="A73" s="224"/>
      <c r="B73" s="180">
        <v>6005116655</v>
      </c>
      <c r="C73" s="183" t="str">
        <f>IFERROR(IF(VLOOKUP($B73,勘定科目!$A:$H,HLOOKUP($E$5,勘定科目!$F$1:$H$2,2,0),0)="","",VLOOKUP($B73,勘定科目!$A:$E,2,0)),"")</f>
        <v>海外渡航費（一般）</v>
      </c>
      <c r="D73" s="234" t="str">
        <f>IF(C73="","",VLOOKUP($B73,勘定科目!$A:$E,4,0))</f>
        <v>渡航費</v>
      </c>
      <c r="E73" s="240" t="s">
        <v>908</v>
      </c>
      <c r="F73" s="194"/>
      <c r="G73" s="242"/>
      <c r="H73" s="242"/>
      <c r="I73" s="242"/>
      <c r="J73" s="291"/>
      <c r="K73" s="291"/>
      <c r="L73" s="291"/>
      <c r="M73" s="291"/>
      <c r="N73" s="291"/>
      <c r="O73" s="291"/>
      <c r="P73" s="291"/>
      <c r="Q73" s="291"/>
      <c r="R73" s="291">
        <f t="shared" si="3"/>
        <v>0</v>
      </c>
      <c r="S73" s="201" t="s">
        <v>721</v>
      </c>
      <c r="T73" s="202"/>
      <c r="U73" s="241"/>
      <c r="V73" s="241"/>
      <c r="W73" s="241"/>
      <c r="BA73"/>
      <c r="BB73"/>
    </row>
    <row r="74" spans="1:54" s="191" customFormat="1" ht="13">
      <c r="A74" s="224"/>
      <c r="B74" s="180">
        <v>6005116655</v>
      </c>
      <c r="C74" s="183" t="str">
        <f>IFERROR(IF(VLOOKUP($B74,勘定科目!$A:$H,HLOOKUP($E$5,勘定科目!$F$1:$H$2,2,0),0)="","",VLOOKUP($B74,勘定科目!$A:$E,2,0)),"")</f>
        <v>海外渡航費（一般）</v>
      </c>
      <c r="D74" s="234" t="str">
        <f>IF(C74="","",VLOOKUP($B74,勘定科目!$A:$E,4,0))</f>
        <v>渡航費</v>
      </c>
      <c r="E74" s="240" t="s">
        <v>908</v>
      </c>
      <c r="F74" s="194"/>
      <c r="G74" s="242"/>
      <c r="H74" s="242"/>
      <c r="I74" s="242"/>
      <c r="J74" s="291"/>
      <c r="K74" s="291"/>
      <c r="L74" s="291"/>
      <c r="M74" s="291"/>
      <c r="N74" s="291"/>
      <c r="O74" s="291"/>
      <c r="P74" s="291"/>
      <c r="Q74" s="291"/>
      <c r="R74" s="291">
        <f t="shared" si="3"/>
        <v>0</v>
      </c>
      <c r="S74" s="201" t="s">
        <v>722</v>
      </c>
      <c r="T74" s="202"/>
      <c r="U74" s="241"/>
      <c r="V74" s="241"/>
      <c r="W74" s="241"/>
      <c r="BA74"/>
      <c r="BB74"/>
    </row>
    <row r="75" spans="1:54" s="191" customFormat="1" ht="13">
      <c r="A75" s="224"/>
      <c r="B75" s="180">
        <v>6005116655</v>
      </c>
      <c r="C75" s="183" t="str">
        <f>IFERROR(IF(VLOOKUP($B75,勘定科目!$A:$H,HLOOKUP($E$5,勘定科目!$F$1:$H$2,2,0),0)="","",VLOOKUP($B75,勘定科目!$A:$E,2,0)),"")</f>
        <v>海外渡航費（一般）</v>
      </c>
      <c r="D75" s="234" t="str">
        <f>IF(C75="","",VLOOKUP($B75,勘定科目!$A:$E,4,0))</f>
        <v>渡航費</v>
      </c>
      <c r="E75" s="240" t="s">
        <v>908</v>
      </c>
      <c r="F75" s="194"/>
      <c r="G75" s="242"/>
      <c r="H75" s="242"/>
      <c r="I75" s="242"/>
      <c r="J75" s="291"/>
      <c r="K75" s="291"/>
      <c r="L75" s="291"/>
      <c r="M75" s="291"/>
      <c r="N75" s="291"/>
      <c r="O75" s="291"/>
      <c r="P75" s="291"/>
      <c r="Q75" s="291"/>
      <c r="R75" s="291">
        <f t="shared" si="3"/>
        <v>0</v>
      </c>
      <c r="S75" s="201" t="s">
        <v>723</v>
      </c>
      <c r="T75" s="202"/>
      <c r="U75" s="241"/>
      <c r="V75" s="241"/>
      <c r="W75" s="241"/>
      <c r="BA75"/>
      <c r="BB75"/>
    </row>
    <row r="76" spans="1:54" s="191" customFormat="1" ht="13">
      <c r="A76" s="224"/>
      <c r="B76" s="180">
        <v>6005056623</v>
      </c>
      <c r="C76" s="183" t="str">
        <f>IFERROR(IF(VLOOKUP($B76,勘定科目!$A:$H,HLOOKUP($E$5,勘定科目!$F$1:$H$2,2,0),0)="","",VLOOKUP($B76,勘定科目!$A:$E,2,0)),"")</f>
        <v>電気代（一般）</v>
      </c>
      <c r="D76" s="234" t="str">
        <f>IF(C76="","",VLOOKUP($B76,勘定科目!$A:$E,4,0))</f>
        <v>水道光熱費</v>
      </c>
      <c r="E76" s="240" t="s">
        <v>906</v>
      </c>
      <c r="F76" s="291">
        <v>118935307</v>
      </c>
      <c r="G76" s="298">
        <v>121902360</v>
      </c>
      <c r="H76" s="298">
        <v>153792013</v>
      </c>
      <c r="I76" s="298">
        <v>165622168</v>
      </c>
      <c r="J76" s="291">
        <v>171537139</v>
      </c>
      <c r="K76" s="291">
        <v>157335827</v>
      </c>
      <c r="L76" s="291">
        <v>156675555</v>
      </c>
      <c r="M76" s="291">
        <v>141957137</v>
      </c>
      <c r="N76" s="291">
        <v>136042256</v>
      </c>
      <c r="O76" s="291">
        <v>121323837</v>
      </c>
      <c r="P76" s="291">
        <v>122777190</v>
      </c>
      <c r="Q76" s="291">
        <v>94638091</v>
      </c>
      <c r="R76" s="291">
        <f t="shared" si="3"/>
        <v>1662538880</v>
      </c>
      <c r="S76" s="201" t="s">
        <v>724</v>
      </c>
      <c r="T76" s="202"/>
      <c r="U76" s="241"/>
      <c r="V76" s="241"/>
      <c r="W76" s="241"/>
      <c r="BA76"/>
      <c r="BB76"/>
    </row>
    <row r="77" spans="1:54" s="191" customFormat="1" ht="13">
      <c r="A77" s="224"/>
      <c r="B77" s="180">
        <v>6005056624</v>
      </c>
      <c r="C77" s="183" t="str">
        <f>IFERROR(IF(VLOOKUP($B77,勘定科目!$A:$H,HLOOKUP($E$5,勘定科目!$F$1:$H$2,2,0),0)="","",VLOOKUP($B77,勘定科目!$A:$E,2,0)),"")</f>
        <v>水道代（一般）</v>
      </c>
      <c r="D77" s="234" t="str">
        <f>IF(C77="","",VLOOKUP($B77,勘定科目!$A:$E,4,0))</f>
        <v>水道光熱費</v>
      </c>
      <c r="E77" s="240" t="s">
        <v>906</v>
      </c>
      <c r="F77" s="291">
        <v>494073</v>
      </c>
      <c r="G77" s="298">
        <v>578150</v>
      </c>
      <c r="H77" s="298">
        <v>652989</v>
      </c>
      <c r="I77" s="298">
        <v>932515</v>
      </c>
      <c r="J77" s="291">
        <v>835198</v>
      </c>
      <c r="K77" s="291">
        <v>724695</v>
      </c>
      <c r="L77" s="291">
        <v>496437</v>
      </c>
      <c r="M77" s="291">
        <v>691476</v>
      </c>
      <c r="N77" s="291">
        <v>690606</v>
      </c>
      <c r="O77" s="291">
        <v>468296</v>
      </c>
      <c r="P77" s="291">
        <v>351159</v>
      </c>
      <c r="Q77" s="291">
        <v>408007</v>
      </c>
      <c r="R77" s="291">
        <f t="shared" si="3"/>
        <v>7323601</v>
      </c>
      <c r="S77" s="201" t="s">
        <v>692</v>
      </c>
      <c r="T77" s="202"/>
      <c r="U77" s="241"/>
      <c r="V77" s="241"/>
      <c r="W77" s="241"/>
      <c r="BA77"/>
      <c r="BB77"/>
    </row>
    <row r="78" spans="1:54" s="191" customFormat="1" ht="13">
      <c r="A78" s="224"/>
      <c r="B78" s="180">
        <v>6005056625</v>
      </c>
      <c r="C78" s="183" t="str">
        <f>IFERROR(IF(VLOOKUP($B78,勘定科目!$A:$H,HLOOKUP($E$5,勘定科目!$F$1:$H$2,2,0),0)="","",VLOOKUP($B78,勘定科目!$A:$E,2,0)),"")</f>
        <v>ガス代（一般）</v>
      </c>
      <c r="D78" s="234" t="str">
        <f>IF(C78="","",VLOOKUP($B78,勘定科目!$A:$E,4,0))</f>
        <v>水道光熱費</v>
      </c>
      <c r="E78" s="240" t="s">
        <v>913</v>
      </c>
      <c r="F78" s="291">
        <v>234000000</v>
      </c>
      <c r="G78" s="298">
        <v>225000000</v>
      </c>
      <c r="H78" s="298">
        <v>252000000</v>
      </c>
      <c r="I78" s="298">
        <v>288000000</v>
      </c>
      <c r="J78" s="291">
        <v>270000000</v>
      </c>
      <c r="K78" s="291">
        <v>252000000</v>
      </c>
      <c r="L78" s="291">
        <v>324000000</v>
      </c>
      <c r="M78" s="291">
        <v>288000000</v>
      </c>
      <c r="N78" s="291">
        <v>306000000</v>
      </c>
      <c r="O78" s="291">
        <v>306000000</v>
      </c>
      <c r="P78" s="291">
        <v>252000000</v>
      </c>
      <c r="Q78" s="291">
        <v>306000000</v>
      </c>
      <c r="R78" s="291">
        <f t="shared" si="3"/>
        <v>3303000000</v>
      </c>
      <c r="S78" s="201" t="s">
        <v>725</v>
      </c>
      <c r="T78" s="202"/>
      <c r="U78" s="241"/>
      <c r="V78" s="241"/>
      <c r="W78" s="241"/>
      <c r="BA78"/>
      <c r="BB78"/>
    </row>
    <row r="79" spans="1:54" s="191" customFormat="1" ht="13">
      <c r="A79" s="224"/>
      <c r="B79" s="180">
        <v>6005056625</v>
      </c>
      <c r="C79" s="183" t="str">
        <f>IFERROR(IF(VLOOKUP($B79,勘定科目!$A:$H,HLOOKUP($E$5,勘定科目!$F$1:$H$2,2,0),0)="","",VLOOKUP($B79,勘定科目!$A:$E,2,0)),"")</f>
        <v>ガス代（一般）</v>
      </c>
      <c r="D79" s="234" t="str">
        <f>IF(C79="","",VLOOKUP($B79,勘定科目!$A:$E,4,0))</f>
        <v>水道光熱費</v>
      </c>
      <c r="E79" s="240" t="s">
        <v>913</v>
      </c>
      <c r="F79" s="291">
        <v>-234001702</v>
      </c>
      <c r="G79" s="291">
        <v>-225005583</v>
      </c>
      <c r="H79" s="291">
        <v>-252001008</v>
      </c>
      <c r="I79" s="291">
        <v>-288003273</v>
      </c>
      <c r="J79" s="291">
        <v>-270001600</v>
      </c>
      <c r="K79" s="291">
        <v>-252000577</v>
      </c>
      <c r="L79" s="291">
        <v>-324000369</v>
      </c>
      <c r="M79" s="291">
        <v>-288005378</v>
      </c>
      <c r="N79" s="291">
        <v>-306000926</v>
      </c>
      <c r="O79" s="291">
        <v>-306002013</v>
      </c>
      <c r="P79" s="291">
        <v>-252000934</v>
      </c>
      <c r="Q79" s="291">
        <v>-306004606</v>
      </c>
      <c r="R79" s="291">
        <f t="shared" si="3"/>
        <v>-3303027969</v>
      </c>
      <c r="S79" s="201" t="s">
        <v>726</v>
      </c>
      <c r="T79" s="202"/>
      <c r="U79" s="241"/>
      <c r="V79" s="241"/>
      <c r="W79" s="241"/>
      <c r="BA79"/>
      <c r="BB79"/>
    </row>
    <row r="80" spans="1:54" s="191" customFormat="1" ht="13">
      <c r="A80" s="224"/>
      <c r="B80" s="180">
        <v>6005056625</v>
      </c>
      <c r="C80" s="183" t="str">
        <f>IFERROR(IF(VLOOKUP($B80,勘定科目!$A:$H,HLOOKUP($E$5,勘定科目!$F$1:$H$2,2,0),0)="","",VLOOKUP($B80,勘定科目!$A:$E,2,0)),"")</f>
        <v>ガス代（一般）</v>
      </c>
      <c r="D80" s="234" t="str">
        <f>IF(C80="","",VLOOKUP($B80,勘定科目!$A:$E,4,0))</f>
        <v>水道光熱費</v>
      </c>
      <c r="E80" s="240" t="s">
        <v>912</v>
      </c>
      <c r="F80" s="291">
        <v>686222</v>
      </c>
      <c r="G80" s="291">
        <v>703998</v>
      </c>
      <c r="H80" s="291">
        <v>807408</v>
      </c>
      <c r="I80" s="291">
        <v>844722</v>
      </c>
      <c r="J80" s="291">
        <v>768384</v>
      </c>
      <c r="K80" s="291">
        <v>692838</v>
      </c>
      <c r="L80" s="291">
        <v>845586</v>
      </c>
      <c r="M80" s="291">
        <v>740268</v>
      </c>
      <c r="N80" s="291">
        <v>793548</v>
      </c>
      <c r="O80" s="291">
        <v>764262</v>
      </c>
      <c r="P80" s="291">
        <v>592092</v>
      </c>
      <c r="Q80" s="291">
        <v>765756</v>
      </c>
      <c r="R80" s="291">
        <f t="shared" si="3"/>
        <v>9005084</v>
      </c>
      <c r="S80" s="201" t="s">
        <v>727</v>
      </c>
      <c r="T80" s="202"/>
      <c r="U80" s="241"/>
      <c r="V80" s="241"/>
      <c r="W80" s="241"/>
      <c r="BA80"/>
      <c r="BB80"/>
    </row>
    <row r="81" spans="1:54" s="191" customFormat="1" ht="13">
      <c r="A81" s="224"/>
      <c r="B81" s="180">
        <v>6005046622</v>
      </c>
      <c r="C81" s="183" t="str">
        <f>IFERROR(IF(VLOOKUP($B81,勘定科目!$A:$H,HLOOKUP($E$5,勘定科目!$F$1:$H$2,2,0),0)="","",VLOOKUP($B81,勘定科目!$A:$E,2,0)),"")</f>
        <v>修繕費（一般）</v>
      </c>
      <c r="D81" s="234" t="str">
        <f>IF(C81="","",VLOOKUP($B81,勘定科目!$A:$E,4,0))</f>
        <v>修繕費</v>
      </c>
      <c r="E81" s="240" t="s">
        <v>911</v>
      </c>
      <c r="F81" s="299"/>
      <c r="G81" s="298"/>
      <c r="H81" s="298">
        <v>500000</v>
      </c>
      <c r="I81" s="298"/>
      <c r="J81" s="298"/>
      <c r="K81" s="298">
        <v>500000</v>
      </c>
      <c r="L81" s="298"/>
      <c r="M81" s="298"/>
      <c r="N81" s="298">
        <v>500000</v>
      </c>
      <c r="O81" s="298"/>
      <c r="P81" s="298"/>
      <c r="Q81" s="298">
        <v>500000</v>
      </c>
      <c r="R81" s="304">
        <f t="shared" si="3"/>
        <v>2000000</v>
      </c>
      <c r="S81" s="201" t="s">
        <v>728</v>
      </c>
      <c r="T81" s="202"/>
      <c r="U81" s="241"/>
      <c r="V81" s="241"/>
      <c r="W81" s="241"/>
      <c r="BA81"/>
      <c r="BB81"/>
    </row>
    <row r="82" spans="1:54" s="191" customFormat="1" ht="13">
      <c r="A82" s="224"/>
      <c r="B82" s="180">
        <v>6005116654</v>
      </c>
      <c r="C82" s="183" t="s">
        <v>317</v>
      </c>
      <c r="D82" s="234" t="str">
        <f>IF(C82="","",VLOOKUP($B82,勘定科目!$A:$E,4,0))</f>
        <v>旅費交通費</v>
      </c>
      <c r="E82" s="240" t="s">
        <v>910</v>
      </c>
      <c r="F82" s="194"/>
      <c r="G82" s="242"/>
      <c r="H82" s="242"/>
      <c r="I82" s="242"/>
      <c r="J82" s="291"/>
      <c r="K82" s="291"/>
      <c r="L82" s="291"/>
      <c r="M82" s="291"/>
      <c r="N82" s="291"/>
      <c r="O82" s="291"/>
      <c r="P82" s="291"/>
      <c r="Q82" s="291"/>
      <c r="R82" s="291">
        <f t="shared" si="3"/>
        <v>0</v>
      </c>
      <c r="S82" s="201" t="s">
        <v>718</v>
      </c>
      <c r="T82" s="202"/>
      <c r="U82" s="241"/>
      <c r="V82" s="241"/>
      <c r="W82" s="241"/>
      <c r="BA82"/>
      <c r="BB82"/>
    </row>
    <row r="83" spans="1:54" s="191" customFormat="1" ht="13">
      <c r="A83" s="224"/>
      <c r="B83" s="180">
        <v>6005046622</v>
      </c>
      <c r="C83" s="183" t="str">
        <f>IFERROR(IF(VLOOKUP($B83,勘定科目!$A:$H,HLOOKUP($E$5,勘定科目!$F$1:$H$2,2,0),0)="","",VLOOKUP($B83,勘定科目!$A:$E,2,0)),"")</f>
        <v>修繕費（一般）</v>
      </c>
      <c r="D83" s="234" t="str">
        <f>IF(C83="","",VLOOKUP($B83,勘定科目!$A:$E,4,0))</f>
        <v>修繕費</v>
      </c>
      <c r="E83" s="240" t="s">
        <v>911</v>
      </c>
      <c r="F83" s="291"/>
      <c r="G83" s="298"/>
      <c r="H83" s="298"/>
      <c r="I83" s="298"/>
      <c r="J83" s="291"/>
      <c r="K83" s="291"/>
      <c r="L83" s="291"/>
      <c r="M83" s="291"/>
      <c r="N83" s="291"/>
      <c r="O83" s="291"/>
      <c r="P83" s="291"/>
      <c r="Q83" s="291"/>
      <c r="R83" s="304">
        <f t="shared" si="3"/>
        <v>0</v>
      </c>
      <c r="S83" s="201" t="s">
        <v>730</v>
      </c>
      <c r="T83" s="202"/>
      <c r="U83" s="241"/>
      <c r="V83" s="241"/>
      <c r="W83" s="241"/>
      <c r="BA83"/>
      <c r="BB83"/>
    </row>
    <row r="84" spans="1:54" s="191" customFormat="1" ht="13">
      <c r="A84" s="224"/>
      <c r="B84" s="180">
        <v>6005046622</v>
      </c>
      <c r="C84" s="183" t="str">
        <f>IFERROR(IF(VLOOKUP($B84,勘定科目!$A:$H,HLOOKUP($E$5,勘定科目!$F$1:$H$2,2,0),0)="","",VLOOKUP($B84,勘定科目!$A:$E,2,0)),"")</f>
        <v>修繕費（一般）</v>
      </c>
      <c r="D84" s="234" t="str">
        <f>IF(C84="","",VLOOKUP($B84,勘定科目!$A:$E,4,0))</f>
        <v>修繕費</v>
      </c>
      <c r="E84" s="240" t="s">
        <v>913</v>
      </c>
      <c r="F84" s="291">
        <v>10000000</v>
      </c>
      <c r="G84" s="291">
        <v>10000000</v>
      </c>
      <c r="H84" s="291">
        <v>10000000</v>
      </c>
      <c r="I84" s="291">
        <v>10000000</v>
      </c>
      <c r="J84" s="291">
        <v>10000000</v>
      </c>
      <c r="K84" s="291">
        <v>10000000</v>
      </c>
      <c r="L84" s="291">
        <v>10000000</v>
      </c>
      <c r="M84" s="291">
        <v>10000000</v>
      </c>
      <c r="N84" s="291">
        <v>10000000</v>
      </c>
      <c r="O84" s="291">
        <v>10000000</v>
      </c>
      <c r="P84" s="291">
        <v>10000000</v>
      </c>
      <c r="Q84" s="291">
        <v>10000000</v>
      </c>
      <c r="R84" s="291">
        <f t="shared" si="3"/>
        <v>120000000</v>
      </c>
      <c r="S84" s="201" t="s">
        <v>731</v>
      </c>
      <c r="T84" s="202"/>
      <c r="U84" s="241"/>
      <c r="V84" s="241"/>
      <c r="W84" s="241"/>
      <c r="BA84"/>
      <c r="BB84"/>
    </row>
    <row r="85" spans="1:54" s="191" customFormat="1" ht="13">
      <c r="A85" s="224"/>
      <c r="B85" s="180">
        <v>6005046622</v>
      </c>
      <c r="C85" s="183" t="str">
        <f>IFERROR(IF(VLOOKUP($B85,勘定科目!$A:$H,HLOOKUP($E$5,勘定科目!$F$1:$H$2,2,0),0)="","",VLOOKUP($B85,勘定科目!$A:$E,2,0)),"")</f>
        <v>修繕費（一般）</v>
      </c>
      <c r="D85" s="234" t="str">
        <f>IF(C85="","",VLOOKUP($B85,勘定科目!$A:$E,4,0))</f>
        <v>修繕費</v>
      </c>
      <c r="E85" s="240" t="s">
        <v>913</v>
      </c>
      <c r="F85" s="291">
        <v>10000000</v>
      </c>
      <c r="G85" s="291">
        <v>10000000</v>
      </c>
      <c r="H85" s="291">
        <v>10000000</v>
      </c>
      <c r="I85" s="291">
        <v>10000000</v>
      </c>
      <c r="J85" s="291">
        <v>10000000</v>
      </c>
      <c r="K85" s="291">
        <v>10000000</v>
      </c>
      <c r="L85" s="291">
        <v>10000000</v>
      </c>
      <c r="M85" s="291">
        <v>10000000</v>
      </c>
      <c r="N85" s="291">
        <v>10000000</v>
      </c>
      <c r="O85" s="291">
        <v>10000000</v>
      </c>
      <c r="P85" s="291">
        <v>10000000</v>
      </c>
      <c r="Q85" s="291">
        <v>10000000</v>
      </c>
      <c r="R85" s="291">
        <f t="shared" si="3"/>
        <v>120000000</v>
      </c>
      <c r="S85" s="201" t="s">
        <v>732</v>
      </c>
      <c r="T85" s="202"/>
      <c r="U85" s="241"/>
      <c r="V85" s="241"/>
      <c r="W85" s="241"/>
      <c r="BA85"/>
      <c r="BB85"/>
    </row>
    <row r="86" spans="1:54" s="191" customFormat="1" ht="13">
      <c r="A86" s="224"/>
      <c r="B86" s="180">
        <v>6005046622</v>
      </c>
      <c r="C86" s="183" t="str">
        <f>IFERROR(IF(VLOOKUP($B86,勘定科目!$A:$H,HLOOKUP($E$5,勘定科目!$F$1:$H$2,2,0),0)="","",VLOOKUP($B86,勘定科目!$A:$E,2,0)),"")</f>
        <v>修繕費（一般）</v>
      </c>
      <c r="D86" s="234" t="str">
        <f>IF(C86="","",VLOOKUP($B86,勘定科目!$A:$E,4,0))</f>
        <v>修繕費</v>
      </c>
      <c r="E86" s="240" t="s">
        <v>913</v>
      </c>
      <c r="F86" s="291">
        <v>255000000</v>
      </c>
      <c r="G86" s="242"/>
      <c r="H86" s="242"/>
      <c r="I86" s="242"/>
      <c r="J86" s="291"/>
      <c r="K86" s="291"/>
      <c r="L86" s="291"/>
      <c r="M86" s="291"/>
      <c r="N86" s="291"/>
      <c r="O86" s="291"/>
      <c r="P86" s="291"/>
      <c r="Q86" s="291"/>
      <c r="R86" s="291">
        <f t="shared" si="3"/>
        <v>255000000</v>
      </c>
      <c r="S86" s="201" t="s">
        <v>733</v>
      </c>
      <c r="T86" s="202"/>
      <c r="U86" s="241"/>
      <c r="V86" s="241"/>
      <c r="W86" s="241"/>
      <c r="BA86"/>
      <c r="BB86"/>
    </row>
    <row r="87" spans="1:54" s="191" customFormat="1" ht="13">
      <c r="A87" s="224"/>
      <c r="B87" s="180">
        <v>6005046622</v>
      </c>
      <c r="C87" s="183" t="str">
        <f>IFERROR(IF(VLOOKUP($B87,勘定科目!$A:$H,HLOOKUP($E$5,勘定科目!$F$1:$H$2,2,0),0)="","",VLOOKUP($B87,勘定科目!$A:$E,2,0)),"")</f>
        <v>修繕費（一般）</v>
      </c>
      <c r="D87" s="234" t="str">
        <f>IF(C87="","",VLOOKUP($B87,勘定科目!$A:$E,4,0))</f>
        <v>修繕費</v>
      </c>
      <c r="E87" s="240" t="s">
        <v>913</v>
      </c>
      <c r="F87" s="194"/>
      <c r="G87" s="242"/>
      <c r="H87" s="242"/>
      <c r="I87" s="242"/>
      <c r="J87" s="291"/>
      <c r="K87" s="291"/>
      <c r="L87" s="291"/>
      <c r="M87" s="291"/>
      <c r="N87" s="291"/>
      <c r="O87" s="291"/>
      <c r="P87" s="291"/>
      <c r="Q87" s="291"/>
      <c r="R87" s="291">
        <f t="shared" si="3"/>
        <v>0</v>
      </c>
      <c r="S87" s="201" t="s">
        <v>734</v>
      </c>
      <c r="T87" s="202"/>
      <c r="U87" s="241"/>
      <c r="V87" s="241"/>
      <c r="W87" s="241"/>
      <c r="BA87"/>
      <c r="BB87"/>
    </row>
    <row r="88" spans="1:54" s="191" customFormat="1" ht="13">
      <c r="A88" s="224"/>
      <c r="B88" s="180">
        <v>6005046622</v>
      </c>
      <c r="C88" s="183" t="str">
        <f>IFERROR(IF(VLOOKUP($B88,勘定科目!$A:$H,HLOOKUP($E$5,勘定科目!$F$1:$H$2,2,0),0)="","",VLOOKUP($B88,勘定科目!$A:$E,2,0)),"")</f>
        <v>修繕費（一般）</v>
      </c>
      <c r="D88" s="234" t="str">
        <f>IF(C88="","",VLOOKUP($B88,勘定科目!$A:$E,4,0))</f>
        <v>修繕費</v>
      </c>
      <c r="E88" s="240" t="s">
        <v>913</v>
      </c>
      <c r="F88" s="291">
        <v>36500000</v>
      </c>
      <c r="G88" s="242"/>
      <c r="H88" s="242"/>
      <c r="I88" s="242"/>
      <c r="J88" s="291"/>
      <c r="K88" s="291"/>
      <c r="L88" s="291"/>
      <c r="M88" s="291"/>
      <c r="N88" s="291"/>
      <c r="O88" s="291"/>
      <c r="P88" s="291"/>
      <c r="Q88" s="291"/>
      <c r="R88" s="291">
        <f t="shared" si="3"/>
        <v>36500000</v>
      </c>
      <c r="S88" s="201" t="s">
        <v>735</v>
      </c>
      <c r="T88" s="202"/>
      <c r="U88" s="241"/>
      <c r="V88" s="241"/>
      <c r="W88" s="241"/>
      <c r="BA88"/>
      <c r="BB88"/>
    </row>
    <row r="89" spans="1:54" s="191" customFormat="1" ht="13">
      <c r="A89" s="224"/>
      <c r="B89" s="180">
        <v>6005046622</v>
      </c>
      <c r="C89" s="183" t="str">
        <f>IFERROR(IF(VLOOKUP($B89,勘定科目!$A:$H,HLOOKUP($E$5,勘定科目!$F$1:$H$2,2,0),0)="","",VLOOKUP($B89,勘定科目!$A:$E,2,0)),"")</f>
        <v>修繕費（一般）</v>
      </c>
      <c r="D89" s="234" t="str">
        <f>IF(C89="","",VLOOKUP($B89,勘定科目!$A:$E,4,0))</f>
        <v>修繕費</v>
      </c>
      <c r="E89" s="240" t="s">
        <v>913</v>
      </c>
      <c r="F89" s="194"/>
      <c r="G89" s="242"/>
      <c r="H89" s="242"/>
      <c r="I89" s="242"/>
      <c r="J89" s="291"/>
      <c r="K89" s="291"/>
      <c r="L89" s="291"/>
      <c r="M89" s="291"/>
      <c r="N89" s="291"/>
      <c r="O89" s="291"/>
      <c r="P89" s="291"/>
      <c r="Q89" s="291"/>
      <c r="R89" s="291">
        <f t="shared" si="3"/>
        <v>0</v>
      </c>
      <c r="S89" s="201" t="s">
        <v>736</v>
      </c>
      <c r="T89" s="202"/>
      <c r="U89" s="241"/>
      <c r="V89" s="241"/>
      <c r="W89" s="241"/>
      <c r="BA89"/>
      <c r="BB89"/>
    </row>
    <row r="90" spans="1:54" s="191" customFormat="1" ht="13">
      <c r="A90" s="224"/>
      <c r="B90" s="180">
        <v>6005046622</v>
      </c>
      <c r="C90" s="183" t="str">
        <f>IFERROR(IF(VLOOKUP($B90,勘定科目!$A:$H,HLOOKUP($E$5,勘定科目!$F$1:$H$2,2,0),0)="","",VLOOKUP($B90,勘定科目!$A:$E,2,0)),"")</f>
        <v>修繕費（一般）</v>
      </c>
      <c r="D90" s="234" t="str">
        <f>IF(C90="","",VLOOKUP($B90,勘定科目!$A:$E,4,0))</f>
        <v>修繕費</v>
      </c>
      <c r="E90" s="240" t="s">
        <v>913</v>
      </c>
      <c r="F90" s="194"/>
      <c r="G90" s="242"/>
      <c r="H90" s="242"/>
      <c r="I90" s="242"/>
      <c r="J90" s="291"/>
      <c r="K90" s="291"/>
      <c r="L90" s="291"/>
      <c r="M90" s="291"/>
      <c r="N90" s="291"/>
      <c r="O90" s="291"/>
      <c r="P90" s="291"/>
      <c r="Q90" s="291"/>
      <c r="R90" s="291">
        <f t="shared" si="3"/>
        <v>0</v>
      </c>
      <c r="S90" s="201" t="s">
        <v>737</v>
      </c>
      <c r="T90" s="202"/>
      <c r="U90" s="241"/>
      <c r="V90" s="241"/>
      <c r="W90" s="241"/>
      <c r="BA90"/>
      <c r="BB90"/>
    </row>
    <row r="91" spans="1:54" s="191" customFormat="1" ht="13">
      <c r="A91" s="224"/>
      <c r="B91" s="180">
        <v>6005046622</v>
      </c>
      <c r="C91" s="183" t="str">
        <f>IFERROR(IF(VLOOKUP($B91,勘定科目!$A:$H,HLOOKUP($E$5,勘定科目!$F$1:$H$2,2,0),0)="","",VLOOKUP($B91,勘定科目!$A:$E,2,0)),"")</f>
        <v>修繕費（一般）</v>
      </c>
      <c r="D91" s="234" t="str">
        <f>IF(C91="","",VLOOKUP($B91,勘定科目!$A:$E,4,0))</f>
        <v>修繕費</v>
      </c>
      <c r="E91" s="240" t="s">
        <v>913</v>
      </c>
      <c r="F91" s="194"/>
      <c r="G91" s="242"/>
      <c r="H91" s="242"/>
      <c r="I91" s="242"/>
      <c r="J91" s="291"/>
      <c r="K91" s="291"/>
      <c r="L91" s="291"/>
      <c r="M91" s="291"/>
      <c r="N91" s="291"/>
      <c r="O91" s="291"/>
      <c r="P91" s="291"/>
      <c r="Q91" s="291"/>
      <c r="R91" s="291">
        <f t="shared" si="3"/>
        <v>0</v>
      </c>
      <c r="S91" s="201" t="s">
        <v>738</v>
      </c>
      <c r="T91" s="202"/>
      <c r="U91" s="241"/>
      <c r="V91" s="241"/>
      <c r="W91" s="241"/>
      <c r="BA91"/>
      <c r="BB91"/>
    </row>
    <row r="92" spans="1:54" s="191" customFormat="1" ht="13">
      <c r="A92" s="224"/>
      <c r="B92" s="180">
        <v>6005046622</v>
      </c>
      <c r="C92" s="183" t="str">
        <f>IFERROR(IF(VLOOKUP($B92,勘定科目!$A:$H,HLOOKUP($E$5,勘定科目!$F$1:$H$2,2,0),0)="","",VLOOKUP($B92,勘定科目!$A:$E,2,0)),"")</f>
        <v>修繕費（一般）</v>
      </c>
      <c r="D92" s="234" t="str">
        <f>IF(C92="","",VLOOKUP($B92,勘定科目!$A:$E,4,0))</f>
        <v>修繕費</v>
      </c>
      <c r="E92" s="240" t="s">
        <v>913</v>
      </c>
      <c r="F92" s="194"/>
      <c r="G92" s="242"/>
      <c r="H92" s="242"/>
      <c r="I92" s="242"/>
      <c r="J92" s="291"/>
      <c r="K92" s="291"/>
      <c r="L92" s="291"/>
      <c r="M92" s="291"/>
      <c r="N92" s="291"/>
      <c r="O92" s="291"/>
      <c r="P92" s="291"/>
      <c r="Q92" s="291"/>
      <c r="R92" s="291">
        <f t="shared" si="3"/>
        <v>0</v>
      </c>
      <c r="S92" s="201" t="s">
        <v>739</v>
      </c>
      <c r="T92" s="202"/>
      <c r="U92" s="241"/>
      <c r="V92" s="241"/>
      <c r="W92" s="241"/>
      <c r="BA92"/>
      <c r="BB92"/>
    </row>
    <row r="93" spans="1:54" s="191" customFormat="1" ht="13">
      <c r="A93" s="224"/>
      <c r="B93" s="180">
        <v>6005046622</v>
      </c>
      <c r="C93" s="183" t="str">
        <f>IFERROR(IF(VLOOKUP($B93,勘定科目!$A:$H,HLOOKUP($E$5,勘定科目!$F$1:$H$2,2,0),0)="","",VLOOKUP($B93,勘定科目!$A:$E,2,0)),"")</f>
        <v>修繕費（一般）</v>
      </c>
      <c r="D93" s="234" t="str">
        <f>IF(C93="","",VLOOKUP($B93,勘定科目!$A:$E,4,0))</f>
        <v>修繕費</v>
      </c>
      <c r="E93" s="240" t="s">
        <v>913</v>
      </c>
      <c r="F93" s="194"/>
      <c r="G93" s="242"/>
      <c r="H93" s="298"/>
      <c r="I93" s="242"/>
      <c r="J93" s="291"/>
      <c r="K93" s="291"/>
      <c r="L93" s="291"/>
      <c r="M93" s="291"/>
      <c r="N93" s="298">
        <v>3950000</v>
      </c>
      <c r="O93" s="291"/>
      <c r="P93" s="291"/>
      <c r="Q93" s="291"/>
      <c r="R93" s="291">
        <f t="shared" si="3"/>
        <v>3950000</v>
      </c>
      <c r="S93" s="201" t="s">
        <v>925</v>
      </c>
      <c r="T93" s="202"/>
      <c r="U93" s="241"/>
      <c r="V93" s="241"/>
      <c r="W93" s="241"/>
      <c r="BA93"/>
      <c r="BB93"/>
    </row>
    <row r="94" spans="1:54" s="191" customFormat="1" ht="13">
      <c r="A94" s="224"/>
      <c r="B94" s="180">
        <v>6005046622</v>
      </c>
      <c r="C94" s="183" t="str">
        <f>IFERROR(IF(VLOOKUP($B94,勘定科目!$A:$H,HLOOKUP($E$5,勘定科目!$F$1:$H$2,2,0),0)="","",VLOOKUP($B94,勘定科目!$A:$E,2,0)),"")</f>
        <v>修繕費（一般）</v>
      </c>
      <c r="D94" s="234" t="str">
        <f>IF(C94="","",VLOOKUP($B94,勘定科目!$A:$E,4,0))</f>
        <v>修繕費</v>
      </c>
      <c r="E94" s="240" t="s">
        <v>913</v>
      </c>
      <c r="F94" s="194"/>
      <c r="G94" s="242"/>
      <c r="H94" s="242"/>
      <c r="I94" s="242"/>
      <c r="J94" s="291"/>
      <c r="K94" s="291"/>
      <c r="L94" s="291"/>
      <c r="M94" s="291"/>
      <c r="N94" s="291"/>
      <c r="O94" s="291"/>
      <c r="P94" s="291"/>
      <c r="Q94" s="291"/>
      <c r="R94" s="291">
        <f t="shared" si="3"/>
        <v>0</v>
      </c>
      <c r="S94" s="201" t="s">
        <v>740</v>
      </c>
      <c r="T94" s="202"/>
      <c r="U94" s="241"/>
      <c r="V94" s="241"/>
      <c r="W94" s="241"/>
      <c r="BA94"/>
      <c r="BB94"/>
    </row>
    <row r="95" spans="1:54" s="191" customFormat="1" ht="13">
      <c r="A95" s="224"/>
      <c r="B95" s="180">
        <v>6005046622</v>
      </c>
      <c r="C95" s="183" t="str">
        <f>IFERROR(IF(VLOOKUP($B95,勘定科目!$A:$H,HLOOKUP($E$5,勘定科目!$F$1:$H$2,2,0),0)="","",VLOOKUP($B95,勘定科目!$A:$E,2,0)),"")</f>
        <v>修繕費（一般）</v>
      </c>
      <c r="D95" s="234" t="str">
        <f>IF(C95="","",VLOOKUP($B95,勘定科目!$A:$E,4,0))</f>
        <v>修繕費</v>
      </c>
      <c r="E95" s="240" t="s">
        <v>908</v>
      </c>
      <c r="F95" s="194"/>
      <c r="G95" s="242"/>
      <c r="H95" s="242"/>
      <c r="I95" s="298">
        <v>1000000</v>
      </c>
      <c r="J95" s="291"/>
      <c r="K95" s="291"/>
      <c r="L95" s="291"/>
      <c r="M95" s="291"/>
      <c r="N95" s="298">
        <v>1000000</v>
      </c>
      <c r="O95" s="291"/>
      <c r="P95" s="291"/>
      <c r="Q95" s="291"/>
      <c r="R95" s="291">
        <f t="shared" si="3"/>
        <v>2000000</v>
      </c>
      <c r="S95" s="201" t="s">
        <v>741</v>
      </c>
      <c r="T95" s="202"/>
      <c r="U95" s="241"/>
      <c r="V95" s="241"/>
      <c r="W95" s="241"/>
      <c r="BA95"/>
      <c r="BB95"/>
    </row>
    <row r="96" spans="1:54" s="191" customFormat="1" ht="13">
      <c r="A96" s="224"/>
      <c r="B96" s="180">
        <v>6005046622</v>
      </c>
      <c r="C96" s="183" t="str">
        <f>IFERROR(IF(VLOOKUP($B96,勘定科目!$A:$H,HLOOKUP($E$5,勘定科目!$F$1:$H$2,2,0),0)="","",VLOOKUP($B96,勘定科目!$A:$E,2,0)),"")</f>
        <v>修繕費（一般）</v>
      </c>
      <c r="D96" s="234" t="str">
        <f>IF(C96="","",VLOOKUP($B96,勘定科目!$A:$E,4,0))</f>
        <v>修繕費</v>
      </c>
      <c r="E96" s="240" t="s">
        <v>913</v>
      </c>
      <c r="F96" s="194"/>
      <c r="G96" s="242"/>
      <c r="H96" s="242"/>
      <c r="I96" s="242"/>
      <c r="J96" s="291"/>
      <c r="K96" s="291"/>
      <c r="L96" s="291"/>
      <c r="M96" s="291"/>
      <c r="N96" s="291"/>
      <c r="O96" s="291"/>
      <c r="P96" s="291"/>
      <c r="Q96" s="291"/>
      <c r="R96" s="291">
        <f t="shared" si="3"/>
        <v>0</v>
      </c>
      <c r="S96" s="201" t="s">
        <v>742</v>
      </c>
      <c r="T96" s="202"/>
      <c r="U96" s="241"/>
      <c r="V96" s="241"/>
      <c r="W96" s="241"/>
      <c r="BA96"/>
      <c r="BB96"/>
    </row>
    <row r="97" spans="1:54" s="191" customFormat="1" ht="13">
      <c r="A97" s="224"/>
      <c r="B97" s="180">
        <v>6005046622</v>
      </c>
      <c r="C97" s="183" t="str">
        <f>IFERROR(IF(VLOOKUP($B97,勘定科目!$A:$H,HLOOKUP($E$5,勘定科目!$F$1:$H$2,2,0),0)="","",VLOOKUP($B97,勘定科目!$A:$E,2,0)),"")</f>
        <v>修繕費（一般）</v>
      </c>
      <c r="D97" s="234" t="str">
        <f>IF(C97="","",VLOOKUP($B97,勘定科目!$A:$E,4,0))</f>
        <v>修繕費</v>
      </c>
      <c r="E97" s="240" t="s">
        <v>913</v>
      </c>
      <c r="F97" s="194"/>
      <c r="G97" s="242"/>
      <c r="H97" s="242"/>
      <c r="I97" s="242"/>
      <c r="J97" s="291"/>
      <c r="K97" s="291"/>
      <c r="L97" s="291"/>
      <c r="M97" s="291"/>
      <c r="N97" s="291"/>
      <c r="O97" s="291"/>
      <c r="P97" s="291"/>
      <c r="Q97" s="291"/>
      <c r="R97" s="291">
        <f t="shared" si="3"/>
        <v>0</v>
      </c>
      <c r="S97" s="201" t="s">
        <v>743</v>
      </c>
      <c r="T97" s="202"/>
      <c r="U97" s="241"/>
      <c r="V97" s="241"/>
      <c r="W97" s="241"/>
      <c r="BA97"/>
      <c r="BB97"/>
    </row>
    <row r="98" spans="1:54" s="191" customFormat="1" ht="13">
      <c r="A98" s="224"/>
      <c r="B98" s="180">
        <v>6005046622</v>
      </c>
      <c r="C98" s="183" t="str">
        <f>IFERROR(IF(VLOOKUP($B98,勘定科目!$A:$H,HLOOKUP($E$5,勘定科目!$F$1:$H$2,2,0),0)="","",VLOOKUP($B98,勘定科目!$A:$E,2,0)),"")</f>
        <v>修繕費（一般）</v>
      </c>
      <c r="D98" s="234" t="str">
        <f>IF(C98="","",VLOOKUP($B98,勘定科目!$A:$E,4,0))</f>
        <v>修繕費</v>
      </c>
      <c r="E98" s="240" t="s">
        <v>913</v>
      </c>
      <c r="F98" s="194"/>
      <c r="G98" s="242"/>
      <c r="H98" s="242"/>
      <c r="I98" s="242"/>
      <c r="J98" s="291"/>
      <c r="K98" s="291"/>
      <c r="L98" s="291"/>
      <c r="M98" s="291"/>
      <c r="N98" s="291"/>
      <c r="O98" s="291"/>
      <c r="P98" s="291"/>
      <c r="Q98" s="291"/>
      <c r="R98" s="291">
        <f t="shared" si="3"/>
        <v>0</v>
      </c>
      <c r="S98" s="201" t="s">
        <v>744</v>
      </c>
      <c r="T98" s="202"/>
      <c r="U98" s="241"/>
      <c r="V98" s="241"/>
      <c r="W98" s="241"/>
      <c r="BA98"/>
      <c r="BB98"/>
    </row>
    <row r="99" spans="1:54" s="191" customFormat="1" ht="13">
      <c r="A99" s="224"/>
      <c r="B99" s="180">
        <v>6005246673</v>
      </c>
      <c r="C99" s="183" t="str">
        <f>IFERROR(IF(VLOOKUP($B99,勘定科目!$A:$H,HLOOKUP($E$5,勘定科目!$F$1:$H$2,2,0),0)="","",VLOOKUP($B99,勘定科目!$A:$E,2,0)),"")</f>
        <v>その他手数料（一般）</v>
      </c>
      <c r="D99" s="234" t="str">
        <f>IF(C99="","",VLOOKUP($B99,勘定科目!$A:$E,4,0))</f>
        <v>手数料</v>
      </c>
      <c r="E99" s="240" t="s">
        <v>911</v>
      </c>
      <c r="F99" s="299">
        <f t="shared" ref="F99:Q99" si="18">(39*7690000)</f>
        <v>299910000</v>
      </c>
      <c r="G99" s="299">
        <f t="shared" si="18"/>
        <v>299910000</v>
      </c>
      <c r="H99" s="299">
        <f t="shared" si="18"/>
        <v>299910000</v>
      </c>
      <c r="I99" s="299">
        <f t="shared" si="18"/>
        <v>299910000</v>
      </c>
      <c r="J99" s="299">
        <f t="shared" si="18"/>
        <v>299910000</v>
      </c>
      <c r="K99" s="299">
        <f t="shared" si="18"/>
        <v>299910000</v>
      </c>
      <c r="L99" s="299">
        <f t="shared" si="18"/>
        <v>299910000</v>
      </c>
      <c r="M99" s="299">
        <f t="shared" si="18"/>
        <v>299910000</v>
      </c>
      <c r="N99" s="299">
        <f t="shared" si="18"/>
        <v>299910000</v>
      </c>
      <c r="O99" s="299">
        <f t="shared" si="18"/>
        <v>299910000</v>
      </c>
      <c r="P99" s="299">
        <f t="shared" si="18"/>
        <v>299910000</v>
      </c>
      <c r="Q99" s="299">
        <f t="shared" si="18"/>
        <v>299910000</v>
      </c>
      <c r="R99" s="304">
        <f t="shared" si="3"/>
        <v>3598920000</v>
      </c>
      <c r="S99" s="201" t="s">
        <v>745</v>
      </c>
      <c r="T99" s="202"/>
      <c r="U99" s="241"/>
      <c r="V99" s="241"/>
      <c r="W99" s="241"/>
      <c r="BA99"/>
      <c r="BB99"/>
    </row>
    <row r="100" spans="1:54" s="191" customFormat="1" ht="13">
      <c r="A100" s="224"/>
      <c r="B100" s="180">
        <v>6005246673</v>
      </c>
      <c r="C100" s="183" t="str">
        <f>IFERROR(IF(VLOOKUP($B100,勘定科目!$A:$H,HLOOKUP($E$5,勘定科目!$F$1:$H$2,2,0),0)="","",VLOOKUP($B100,勘定科目!$A:$E,2,0)),"")</f>
        <v>その他手数料（一般）</v>
      </c>
      <c r="D100" s="234" t="str">
        <f>IF(C100="","",VLOOKUP($B100,勘定科目!$A:$E,4,0))</f>
        <v>手数料</v>
      </c>
      <c r="E100" s="240" t="s">
        <v>911</v>
      </c>
      <c r="F100" s="302">
        <f>27500*951</f>
        <v>26152500</v>
      </c>
      <c r="G100" s="302">
        <f>27500*906</f>
        <v>24915000</v>
      </c>
      <c r="H100" s="302">
        <f>27500*984</f>
        <v>27060000</v>
      </c>
      <c r="I100" s="302">
        <f>27500*990</f>
        <v>27225000</v>
      </c>
      <c r="J100" s="302">
        <f>27500*1029</f>
        <v>28297500</v>
      </c>
      <c r="K100" s="302">
        <f>27500*900</f>
        <v>24750000</v>
      </c>
      <c r="L100" s="302">
        <f>27500*990</f>
        <v>27225000</v>
      </c>
      <c r="M100" s="302">
        <f>27500*1023</f>
        <v>28132500</v>
      </c>
      <c r="N100" s="302">
        <f t="shared" ref="N100:P100" si="19">27500*951</f>
        <v>26152500</v>
      </c>
      <c r="O100" s="302">
        <f>27500*879</f>
        <v>24172500</v>
      </c>
      <c r="P100" s="302">
        <f t="shared" si="19"/>
        <v>26152500</v>
      </c>
      <c r="Q100" s="302">
        <f>27500*744</f>
        <v>20460000</v>
      </c>
      <c r="R100" s="291">
        <f t="shared" si="3"/>
        <v>310695000</v>
      </c>
      <c r="S100" s="201" t="s">
        <v>746</v>
      </c>
      <c r="T100" s="202"/>
      <c r="U100" s="241"/>
      <c r="V100" s="241"/>
      <c r="W100" s="241"/>
      <c r="BA100"/>
      <c r="BB100"/>
    </row>
    <row r="101" spans="1:54" s="191" customFormat="1" ht="13">
      <c r="A101" s="224"/>
      <c r="B101" s="180">
        <v>6005246673</v>
      </c>
      <c r="C101" s="183" t="str">
        <f>IFERROR(IF(VLOOKUP($B101,勘定科目!$A:$H,HLOOKUP($E$5,勘定科目!$F$1:$H$2,2,0),0)="","",VLOOKUP($B101,勘定科目!$A:$E,2,0)),"")</f>
        <v>その他手数料（一般）</v>
      </c>
      <c r="D101" s="234" t="str">
        <f>IF(C101="","",VLOOKUP($B101,勘定科目!$A:$E,4,0))</f>
        <v>手数料</v>
      </c>
      <c r="E101" s="240" t="s">
        <v>911</v>
      </c>
      <c r="F101" s="291">
        <v>-326063859</v>
      </c>
      <c r="G101" s="291">
        <v>-324825886</v>
      </c>
      <c r="H101" s="291">
        <v>-326973218</v>
      </c>
      <c r="I101" s="291">
        <v>-327138922</v>
      </c>
      <c r="J101" s="291">
        <v>-328210575</v>
      </c>
      <c r="K101" s="291">
        <v>-324665730</v>
      </c>
      <c r="L101" s="291">
        <v>-327138504</v>
      </c>
      <c r="M101" s="291">
        <v>-328048532</v>
      </c>
      <c r="N101" s="291">
        <v>-326067357</v>
      </c>
      <c r="O101" s="291">
        <v>-324084376</v>
      </c>
      <c r="P101" s="291">
        <v>-326067482</v>
      </c>
      <c r="Q101" s="291">
        <v>-320376220</v>
      </c>
      <c r="R101" s="291">
        <f t="shared" ref="R101:R159" si="20">SUM(F101:Q101)</f>
        <v>-3909660661</v>
      </c>
      <c r="S101" s="201" t="s">
        <v>747</v>
      </c>
      <c r="T101" s="202"/>
      <c r="U101" s="241"/>
      <c r="V101" s="241"/>
      <c r="W101" s="241"/>
      <c r="BA101"/>
      <c r="BB101"/>
    </row>
    <row r="102" spans="1:54" s="191" customFormat="1" ht="13">
      <c r="A102" s="224"/>
      <c r="B102" s="180">
        <v>6005246673</v>
      </c>
      <c r="C102" s="183" t="str">
        <f>IFERROR(IF(VLOOKUP($B102,勘定科目!$A:$H,HLOOKUP($E$5,勘定科目!$F$1:$H$2,2,0),0)="","",VLOOKUP($B102,勘定科目!$A:$E,2,0)),"")</f>
        <v>その他手数料（一般）</v>
      </c>
      <c r="D102" s="234" t="str">
        <f>IF(C102="","",VLOOKUP($B102,勘定科目!$A:$E,4,0))</f>
        <v>手数料</v>
      </c>
      <c r="E102" s="240" t="s">
        <v>912</v>
      </c>
      <c r="F102" s="291">
        <v>956199</v>
      </c>
      <c r="G102" s="291">
        <v>1016316</v>
      </c>
      <c r="H102" s="291">
        <v>1047618</v>
      </c>
      <c r="I102" s="291">
        <v>959508</v>
      </c>
      <c r="J102" s="291">
        <v>934038</v>
      </c>
      <c r="K102" s="291">
        <v>892620</v>
      </c>
      <c r="L102" s="291">
        <v>853776</v>
      </c>
      <c r="M102" s="291">
        <v>843192</v>
      </c>
      <c r="N102" s="291">
        <v>845586</v>
      </c>
      <c r="O102" s="291">
        <v>809424</v>
      </c>
      <c r="P102" s="291">
        <v>766116</v>
      </c>
      <c r="Q102" s="291">
        <v>801720</v>
      </c>
      <c r="R102" s="291">
        <f t="shared" si="20"/>
        <v>10726113</v>
      </c>
      <c r="S102" s="201" t="s">
        <v>748</v>
      </c>
      <c r="T102" s="202"/>
      <c r="U102" s="241"/>
      <c r="V102" s="241"/>
      <c r="W102" s="241"/>
      <c r="BA102"/>
      <c r="BB102"/>
    </row>
    <row r="103" spans="1:54" s="191" customFormat="1" ht="13">
      <c r="A103" s="224"/>
      <c r="B103" s="180">
        <v>6005246673</v>
      </c>
      <c r="C103" s="183" t="str">
        <f>IFERROR(IF(VLOOKUP($B103,勘定科目!$A:$H,HLOOKUP($E$5,勘定科目!$F$1:$H$2,2,0),0)="","",VLOOKUP($B103,勘定科目!$A:$E,2,0)),"")</f>
        <v>その他手数料（一般）</v>
      </c>
      <c r="D103" s="234" t="str">
        <f>IF(C103="","",VLOOKUP($B103,勘定科目!$A:$E,4,0))</f>
        <v>手数料</v>
      </c>
      <c r="E103" s="240" t="s">
        <v>911</v>
      </c>
      <c r="F103" s="298"/>
      <c r="G103" s="298">
        <v>21000000</v>
      </c>
      <c r="H103" s="298"/>
      <c r="I103" s="298">
        <v>21000000</v>
      </c>
      <c r="J103" s="298"/>
      <c r="K103" s="298">
        <v>21000000</v>
      </c>
      <c r="L103" s="298"/>
      <c r="M103" s="298">
        <v>21000000</v>
      </c>
      <c r="N103" s="298"/>
      <c r="O103" s="298">
        <v>21000000</v>
      </c>
      <c r="P103" s="298"/>
      <c r="Q103" s="298">
        <v>21000000</v>
      </c>
      <c r="R103" s="291">
        <f t="shared" si="20"/>
        <v>126000000</v>
      </c>
      <c r="S103" s="201" t="s">
        <v>749</v>
      </c>
      <c r="T103" s="202"/>
      <c r="U103" s="241"/>
      <c r="V103" s="241"/>
      <c r="W103" s="241"/>
      <c r="BA103"/>
      <c r="BB103"/>
    </row>
    <row r="104" spans="1:54" s="191" customFormat="1" ht="13">
      <c r="A104" s="224"/>
      <c r="B104" s="180">
        <v>6005246673</v>
      </c>
      <c r="C104" s="183" t="str">
        <f>IFERROR(IF(VLOOKUP($B104,勘定科目!$A:$H,HLOOKUP($E$5,勘定科目!$F$1:$H$2,2,0),0)="","",VLOOKUP($B104,勘定科目!$A:$E,2,0)),"")</f>
        <v>その他手数料（一般）</v>
      </c>
      <c r="D104" s="234" t="str">
        <f>IF(C104="","",VLOOKUP($B104,勘定科目!$A:$E,4,0))</f>
        <v>手数料</v>
      </c>
      <c r="E104" s="240" t="s">
        <v>911</v>
      </c>
      <c r="F104" s="298">
        <v>7500000</v>
      </c>
      <c r="G104" s="298">
        <v>7500000</v>
      </c>
      <c r="H104" s="298">
        <v>7500000</v>
      </c>
      <c r="I104" s="298">
        <v>7500000</v>
      </c>
      <c r="J104" s="298">
        <v>7500000</v>
      </c>
      <c r="K104" s="298">
        <v>7500000</v>
      </c>
      <c r="L104" s="298">
        <v>7500000</v>
      </c>
      <c r="M104" s="298">
        <v>7500000</v>
      </c>
      <c r="N104" s="298">
        <v>7500000</v>
      </c>
      <c r="O104" s="298">
        <v>7500000</v>
      </c>
      <c r="P104" s="298">
        <v>7500000</v>
      </c>
      <c r="Q104" s="298">
        <v>7500000</v>
      </c>
      <c r="R104" s="291">
        <f>SUM(F104:Q104)</f>
        <v>90000000</v>
      </c>
      <c r="S104" s="201" t="s">
        <v>750</v>
      </c>
      <c r="T104" s="202"/>
      <c r="U104" s="241"/>
      <c r="V104" s="241"/>
      <c r="W104" s="241"/>
      <c r="BA104"/>
      <c r="BB104"/>
    </row>
    <row r="105" spans="1:54" s="191" customFormat="1" ht="13">
      <c r="A105" s="224"/>
      <c r="B105" s="180">
        <v>6005246673</v>
      </c>
      <c r="C105" s="183" t="str">
        <f>IFERROR(IF(VLOOKUP($B105,勘定科目!$A:$H,HLOOKUP($E$5,勘定科目!$F$1:$H$2,2,0),0)="","",VLOOKUP($B105,勘定科目!$A:$E,2,0)),"")</f>
        <v>その他手数料（一般）</v>
      </c>
      <c r="D105" s="234" t="str">
        <f>IF(C105="","",VLOOKUP($B105,勘定科目!$A:$E,4,0))</f>
        <v>手数料</v>
      </c>
      <c r="E105" s="240" t="s">
        <v>913</v>
      </c>
      <c r="F105" s="194"/>
      <c r="G105" s="242"/>
      <c r="H105" s="242"/>
      <c r="I105" s="242"/>
      <c r="J105" s="291"/>
      <c r="K105" s="291"/>
      <c r="L105" s="291"/>
      <c r="M105" s="291"/>
      <c r="N105" s="291"/>
      <c r="O105" s="291"/>
      <c r="P105" s="291"/>
      <c r="Q105" s="291"/>
      <c r="R105" s="291">
        <f t="shared" si="20"/>
        <v>0</v>
      </c>
      <c r="S105" s="201" t="s">
        <v>751</v>
      </c>
      <c r="T105" s="202"/>
      <c r="U105" s="241"/>
      <c r="V105" s="241"/>
      <c r="W105" s="241"/>
      <c r="BA105"/>
      <c r="BB105"/>
    </row>
    <row r="106" spans="1:54" s="191" customFormat="1" ht="13">
      <c r="A106" s="224"/>
      <c r="B106" s="180">
        <v>6005246673</v>
      </c>
      <c r="C106" s="183" t="str">
        <f>IFERROR(IF(VLOOKUP($B106,勘定科目!$A:$H,HLOOKUP($E$5,勘定科目!$F$1:$H$2,2,0),0)="","",VLOOKUP($B106,勘定科目!$A:$E,2,0)),"")</f>
        <v>その他手数料（一般）</v>
      </c>
      <c r="D106" s="234" t="str">
        <f>IF(C106="","",VLOOKUP($B106,勘定科目!$A:$E,4,0))</f>
        <v>手数料</v>
      </c>
      <c r="E106" s="240" t="s">
        <v>911</v>
      </c>
      <c r="F106" s="291"/>
      <c r="G106" s="298"/>
      <c r="H106" s="298"/>
      <c r="I106" s="298"/>
      <c r="J106" s="291"/>
      <c r="K106" s="291"/>
      <c r="L106" s="291"/>
      <c r="M106" s="291">
        <v>57000000</v>
      </c>
      <c r="N106" s="291">
        <v>112000000</v>
      </c>
      <c r="O106" s="291"/>
      <c r="P106" s="291"/>
      <c r="Q106" s="291"/>
      <c r="R106" s="291">
        <f t="shared" si="20"/>
        <v>169000000</v>
      </c>
      <c r="S106" s="201" t="s">
        <v>752</v>
      </c>
      <c r="T106" s="202"/>
      <c r="U106" s="241"/>
      <c r="V106" s="241"/>
      <c r="W106" s="241"/>
      <c r="BA106"/>
      <c r="BB106"/>
    </row>
    <row r="107" spans="1:54" s="191" customFormat="1" ht="13">
      <c r="A107" s="224"/>
      <c r="B107" s="180">
        <v>6005246673</v>
      </c>
      <c r="C107" s="183" t="str">
        <f>IFERROR(IF(VLOOKUP($B107,勘定科目!$A:$H,HLOOKUP($E$5,勘定科目!$F$1:$H$2,2,0),0)="","",VLOOKUP($B107,勘定科目!$A:$E,2,0)),"")</f>
        <v>その他手数料（一般）</v>
      </c>
      <c r="D107" s="234" t="str">
        <f>IF(C107="","",VLOOKUP($B107,勘定科目!$A:$E,4,0))</f>
        <v>手数料</v>
      </c>
      <c r="E107" s="240" t="s">
        <v>911</v>
      </c>
      <c r="F107" s="291"/>
      <c r="G107" s="298"/>
      <c r="H107" s="298"/>
      <c r="I107" s="298"/>
      <c r="J107" s="291"/>
      <c r="K107" s="291"/>
      <c r="L107" s="291">
        <v>10000000</v>
      </c>
      <c r="M107" s="291"/>
      <c r="N107" s="291"/>
      <c r="O107" s="291"/>
      <c r="P107" s="291"/>
      <c r="Q107" s="291"/>
      <c r="R107" s="291">
        <f t="shared" si="20"/>
        <v>10000000</v>
      </c>
      <c r="S107" s="201" t="s">
        <v>753</v>
      </c>
      <c r="T107" s="202"/>
      <c r="U107" s="241"/>
      <c r="V107" s="241"/>
      <c r="W107" s="241"/>
      <c r="BA107"/>
      <c r="BB107"/>
    </row>
    <row r="108" spans="1:54" s="191" customFormat="1" ht="13">
      <c r="A108" s="224"/>
      <c r="B108" s="180">
        <v>6005246673</v>
      </c>
      <c r="C108" s="183" t="str">
        <f>IFERROR(IF(VLOOKUP($B108,勘定科目!$A:$H,HLOOKUP($E$5,勘定科目!$F$1:$H$2,2,0),0)="","",VLOOKUP($B108,勘定科目!$A:$E,2,0)),"")</f>
        <v>その他手数料（一般）</v>
      </c>
      <c r="D108" s="234" t="str">
        <f>IF(C108="","",VLOOKUP($B108,勘定科目!$A:$E,4,0))</f>
        <v>手数料</v>
      </c>
      <c r="E108" s="240" t="s">
        <v>910</v>
      </c>
      <c r="F108" s="194"/>
      <c r="G108" s="242"/>
      <c r="H108" s="242"/>
      <c r="I108" s="242"/>
      <c r="J108" s="291"/>
      <c r="K108" s="291"/>
      <c r="L108" s="291"/>
      <c r="M108" s="291"/>
      <c r="N108" s="291"/>
      <c r="O108" s="291"/>
      <c r="P108" s="291"/>
      <c r="Q108" s="291"/>
      <c r="R108" s="291">
        <f t="shared" si="20"/>
        <v>0</v>
      </c>
      <c r="S108" s="201" t="s">
        <v>754</v>
      </c>
      <c r="T108" s="202"/>
      <c r="U108" s="241"/>
      <c r="V108" s="241"/>
      <c r="W108" s="241"/>
      <c r="BA108"/>
      <c r="BB108"/>
    </row>
    <row r="109" spans="1:54" s="191" customFormat="1" ht="13">
      <c r="A109" s="224"/>
      <c r="B109" s="180">
        <v>6005246673</v>
      </c>
      <c r="C109" s="183" t="str">
        <f>IFERROR(IF(VLOOKUP($B109,勘定科目!$A:$H,HLOOKUP($E$5,勘定科目!$F$1:$H$2,2,0),0)="","",VLOOKUP($B109,勘定科目!$A:$E,2,0)),"")</f>
        <v>その他手数料（一般）</v>
      </c>
      <c r="D109" s="234" t="str">
        <f>IF(C109="","",VLOOKUP($B109,勘定科目!$A:$E,4,0))</f>
        <v>手数料</v>
      </c>
      <c r="E109" s="240" t="s">
        <v>910</v>
      </c>
      <c r="F109" s="194"/>
      <c r="G109" s="242"/>
      <c r="H109" s="242"/>
      <c r="I109" s="242"/>
      <c r="J109" s="291"/>
      <c r="K109" s="291"/>
      <c r="L109" s="291"/>
      <c r="M109" s="291"/>
      <c r="N109" s="291"/>
      <c r="O109" s="291"/>
      <c r="P109" s="291"/>
      <c r="Q109" s="291"/>
      <c r="R109" s="291">
        <f t="shared" si="20"/>
        <v>0</v>
      </c>
      <c r="S109" s="201" t="s">
        <v>940</v>
      </c>
      <c r="T109" s="202"/>
      <c r="U109" s="241"/>
      <c r="V109" s="241"/>
      <c r="W109" s="241"/>
      <c r="BA109"/>
      <c r="BB109"/>
    </row>
    <row r="110" spans="1:54" s="191" customFormat="1" ht="13">
      <c r="A110" s="224"/>
      <c r="B110" s="180">
        <v>6005246673</v>
      </c>
      <c r="C110" s="183" t="str">
        <f>IFERROR(IF(VLOOKUP($B110,勘定科目!$A:$H,HLOOKUP($E$5,勘定科目!$F$1:$H$2,2,0),0)="","",VLOOKUP($B110,勘定科目!$A:$E,2,0)),"")</f>
        <v>その他手数料（一般）</v>
      </c>
      <c r="D110" s="234" t="str">
        <f>IF(C110="","",VLOOKUP($B110,勘定科目!$A:$E,4,0))</f>
        <v>手数料</v>
      </c>
      <c r="E110" s="240" t="s">
        <v>910</v>
      </c>
      <c r="F110" s="194"/>
      <c r="G110" s="242"/>
      <c r="H110" s="242"/>
      <c r="I110" s="242"/>
      <c r="J110" s="291"/>
      <c r="K110" s="291"/>
      <c r="L110" s="291"/>
      <c r="M110" s="291"/>
      <c r="N110" s="291"/>
      <c r="O110" s="291"/>
      <c r="P110" s="291"/>
      <c r="Q110" s="291"/>
      <c r="R110" s="291">
        <f t="shared" si="20"/>
        <v>0</v>
      </c>
      <c r="S110" s="201" t="s">
        <v>941</v>
      </c>
      <c r="T110" s="202"/>
      <c r="U110" s="241"/>
      <c r="V110" s="241"/>
      <c r="W110" s="241"/>
      <c r="BA110"/>
      <c r="BB110"/>
    </row>
    <row r="111" spans="1:54" s="191" customFormat="1" ht="13">
      <c r="A111" s="224"/>
      <c r="B111" s="180">
        <v>6005246673</v>
      </c>
      <c r="C111" s="183" t="str">
        <f>IFERROR(IF(VLOOKUP($B111,勘定科目!$A:$H,HLOOKUP($E$5,勘定科目!$F$1:$H$2,2,0),0)="","",VLOOKUP($B111,勘定科目!$A:$E,2,0)),"")</f>
        <v>その他手数料（一般）</v>
      </c>
      <c r="D111" s="234" t="str">
        <f>IF(C111="","",VLOOKUP($B111,勘定科目!$A:$E,4,0))</f>
        <v>手数料</v>
      </c>
      <c r="E111" s="240" t="s">
        <v>910</v>
      </c>
      <c r="F111" s="194"/>
      <c r="G111" s="242"/>
      <c r="H111" s="242"/>
      <c r="I111" s="242"/>
      <c r="J111" s="291"/>
      <c r="K111" s="291"/>
      <c r="L111" s="291"/>
      <c r="M111" s="291"/>
      <c r="N111" s="291"/>
      <c r="O111" s="291"/>
      <c r="P111" s="291"/>
      <c r="Q111" s="291"/>
      <c r="R111" s="291">
        <f t="shared" si="20"/>
        <v>0</v>
      </c>
      <c r="S111" s="201" t="s">
        <v>755</v>
      </c>
      <c r="T111" s="202"/>
      <c r="U111" s="241"/>
      <c r="V111" s="241"/>
      <c r="W111" s="241"/>
      <c r="BA111"/>
      <c r="BB111"/>
    </row>
    <row r="112" spans="1:54" s="191" customFormat="1" ht="13">
      <c r="A112" s="224"/>
      <c r="B112" s="180">
        <v>6005246673</v>
      </c>
      <c r="C112" s="183" t="str">
        <f>IFERROR(IF(VLOOKUP($B112,勘定科目!$A:$H,HLOOKUP($E$5,勘定科目!$F$1:$H$2,2,0),0)="","",VLOOKUP($B112,勘定科目!$A:$E,2,0)),"")</f>
        <v>その他手数料（一般）</v>
      </c>
      <c r="D112" s="234" t="str">
        <f>IF(C112="","",VLOOKUP($B112,勘定科目!$A:$E,4,0))</f>
        <v>手数料</v>
      </c>
      <c r="E112" s="240" t="s">
        <v>914</v>
      </c>
      <c r="F112" s="194"/>
      <c r="G112" s="242"/>
      <c r="H112" s="242"/>
      <c r="I112" s="242"/>
      <c r="J112" s="291"/>
      <c r="K112" s="291"/>
      <c r="L112" s="291"/>
      <c r="M112" s="291"/>
      <c r="N112" s="291"/>
      <c r="O112" s="291"/>
      <c r="P112" s="291"/>
      <c r="Q112" s="291"/>
      <c r="R112" s="291">
        <f t="shared" si="20"/>
        <v>0</v>
      </c>
      <c r="S112" s="201" t="s">
        <v>756</v>
      </c>
      <c r="T112" s="202"/>
      <c r="U112" s="241"/>
      <c r="V112" s="241"/>
      <c r="W112" s="241"/>
      <c r="BA112"/>
      <c r="BB112"/>
    </row>
    <row r="113" spans="1:54" s="191" customFormat="1" ht="13">
      <c r="A113" s="224"/>
      <c r="B113" s="180">
        <v>6005246673</v>
      </c>
      <c r="C113" s="183" t="str">
        <f>IFERROR(IF(VLOOKUP($B113,勘定科目!$A:$H,HLOOKUP($E$5,勘定科目!$F$1:$H$2,2,0),0)="","",VLOOKUP($B113,勘定科目!$A:$E,2,0)),"")</f>
        <v>その他手数料（一般）</v>
      </c>
      <c r="D113" s="234" t="str">
        <f>IF(C113="","",VLOOKUP($B113,勘定科目!$A:$E,4,0))</f>
        <v>手数料</v>
      </c>
      <c r="E113" s="240" t="s">
        <v>910</v>
      </c>
      <c r="F113" s="194"/>
      <c r="G113" s="242"/>
      <c r="H113" s="242"/>
      <c r="I113" s="242"/>
      <c r="J113" s="291"/>
      <c r="K113" s="291"/>
      <c r="L113" s="291"/>
      <c r="M113" s="298">
        <f>340000*2</f>
        <v>680000</v>
      </c>
      <c r="N113" s="291"/>
      <c r="O113" s="291"/>
      <c r="P113" s="291"/>
      <c r="Q113" s="291"/>
      <c r="R113" s="291">
        <f t="shared" si="20"/>
        <v>680000</v>
      </c>
      <c r="S113" s="201" t="s">
        <v>757</v>
      </c>
      <c r="T113" s="202"/>
      <c r="U113" s="241"/>
      <c r="V113" s="241"/>
      <c r="W113" s="241"/>
      <c r="BA113"/>
      <c r="BB113"/>
    </row>
    <row r="114" spans="1:54" s="191" customFormat="1" ht="13">
      <c r="A114" s="224"/>
      <c r="B114" s="180">
        <v>6005246673</v>
      </c>
      <c r="C114" s="183" t="str">
        <f>IFERROR(IF(VLOOKUP($B114,勘定科目!$A:$H,HLOOKUP($E$5,勘定科目!$F$1:$H$2,2,0),0)="","",VLOOKUP($B114,勘定科目!$A:$E,2,0)),"")</f>
        <v>その他手数料（一般）</v>
      </c>
      <c r="D114" s="234" t="str">
        <f>IF(C114="","",VLOOKUP($B114,勘定科目!$A:$E,4,0))</f>
        <v>手数料</v>
      </c>
      <c r="E114" s="240" t="s">
        <v>910</v>
      </c>
      <c r="F114" s="194"/>
      <c r="G114" s="298">
        <v>3240000</v>
      </c>
      <c r="H114" s="242"/>
      <c r="I114" s="242"/>
      <c r="J114" s="291"/>
      <c r="K114" s="291"/>
      <c r="L114" s="291"/>
      <c r="M114" s="298">
        <f>24*180000</f>
        <v>4320000</v>
      </c>
      <c r="N114" s="291"/>
      <c r="O114" s="291"/>
      <c r="P114" s="291"/>
      <c r="Q114" s="291"/>
      <c r="R114" s="291">
        <f t="shared" si="20"/>
        <v>7560000</v>
      </c>
      <c r="S114" s="201" t="s">
        <v>758</v>
      </c>
      <c r="T114" s="202"/>
      <c r="U114" s="241"/>
      <c r="V114" s="241"/>
      <c r="W114" s="241"/>
      <c r="BA114"/>
      <c r="BB114"/>
    </row>
    <row r="115" spans="1:54" s="191" customFormat="1" ht="13">
      <c r="A115" s="224"/>
      <c r="B115" s="180">
        <v>6005136626</v>
      </c>
      <c r="C115" s="183" t="str">
        <f>IFERROR(IF(VLOOKUP($B115,勘定科目!$A:$H,HLOOKUP($E$5,勘定科目!$F$1:$H$2,2,0),0)="","",VLOOKUP($B115,勘定科目!$A:$E,2,0)),"")</f>
        <v>通信費（一般）</v>
      </c>
      <c r="D115" s="234" t="str">
        <f>IF(C115="","",VLOOKUP($B115,勘定科目!$A:$E,4,0))</f>
        <v>通信費</v>
      </c>
      <c r="E115" s="240" t="s">
        <v>910</v>
      </c>
      <c r="F115" s="299">
        <v>2500000</v>
      </c>
      <c r="G115" s="299">
        <v>2500000</v>
      </c>
      <c r="H115" s="299">
        <v>2500000</v>
      </c>
      <c r="I115" s="299">
        <v>2500000</v>
      </c>
      <c r="J115" s="299">
        <v>2500000</v>
      </c>
      <c r="K115" s="299">
        <v>2500000</v>
      </c>
      <c r="L115" s="299">
        <v>2500000</v>
      </c>
      <c r="M115" s="299">
        <v>2500000</v>
      </c>
      <c r="N115" s="299">
        <v>2500000</v>
      </c>
      <c r="O115" s="299">
        <v>2500000</v>
      </c>
      <c r="P115" s="299">
        <v>2500000</v>
      </c>
      <c r="Q115" s="299">
        <v>2500000</v>
      </c>
      <c r="R115" s="291">
        <f t="shared" si="20"/>
        <v>30000000</v>
      </c>
      <c r="S115" s="201" t="s">
        <v>759</v>
      </c>
      <c r="T115" s="202"/>
      <c r="U115" s="241"/>
      <c r="V115" s="241"/>
      <c r="W115" s="241"/>
      <c r="BA115"/>
      <c r="BB115"/>
    </row>
    <row r="116" spans="1:54" s="191" customFormat="1" ht="13">
      <c r="A116" s="224"/>
      <c r="B116" s="180">
        <v>6005136626</v>
      </c>
      <c r="C116" s="183" t="str">
        <f>IFERROR(IF(VLOOKUP($B116,勘定科目!$A:$H,HLOOKUP($E$5,勘定科目!$F$1:$H$2,2,0),0)="","",VLOOKUP($B116,勘定科目!$A:$E,2,0)),"")</f>
        <v>通信費（一般）</v>
      </c>
      <c r="D116" s="234" t="str">
        <f>IF(C116="","",VLOOKUP($B116,勘定科目!$A:$E,4,0))</f>
        <v>通信費</v>
      </c>
      <c r="E116" s="240" t="s">
        <v>910</v>
      </c>
      <c r="F116" s="299">
        <v>2350000</v>
      </c>
      <c r="G116" s="299">
        <v>2350000</v>
      </c>
      <c r="H116" s="299">
        <v>2350000</v>
      </c>
      <c r="I116" s="299">
        <v>2350000</v>
      </c>
      <c r="J116" s="299">
        <v>2350000</v>
      </c>
      <c r="K116" s="299">
        <v>2350000</v>
      </c>
      <c r="L116" s="299">
        <v>2350000</v>
      </c>
      <c r="M116" s="299">
        <v>2350000</v>
      </c>
      <c r="N116" s="299">
        <v>2350000</v>
      </c>
      <c r="O116" s="299">
        <v>2350000</v>
      </c>
      <c r="P116" s="299">
        <v>2350000</v>
      </c>
      <c r="Q116" s="299">
        <v>2350000</v>
      </c>
      <c r="R116" s="291">
        <f t="shared" si="20"/>
        <v>28200000</v>
      </c>
      <c r="S116" s="201" t="s">
        <v>760</v>
      </c>
      <c r="T116" s="202"/>
      <c r="U116" s="241"/>
      <c r="V116" s="241"/>
      <c r="W116" s="241"/>
      <c r="BA116"/>
      <c r="BB116"/>
    </row>
    <row r="117" spans="1:54" s="191" customFormat="1" ht="13">
      <c r="A117" s="224"/>
      <c r="B117" s="180">
        <v>6005136626</v>
      </c>
      <c r="C117" s="183" t="str">
        <f>IFERROR(IF(VLOOKUP($B117,勘定科目!$A:$H,HLOOKUP($E$5,勘定科目!$F$1:$H$2,2,0),0)="","",VLOOKUP($B117,勘定科目!$A:$E,2,0)),"")</f>
        <v>通信費（一般）</v>
      </c>
      <c r="D117" s="234" t="str">
        <f>IF(C117="","",VLOOKUP($B117,勘定科目!$A:$E,4,0))</f>
        <v>通信費</v>
      </c>
      <c r="E117" s="240" t="s">
        <v>910</v>
      </c>
      <c r="F117" s="194"/>
      <c r="G117" s="242"/>
      <c r="H117" s="242"/>
      <c r="I117" s="242"/>
      <c r="J117" s="291"/>
      <c r="K117" s="291"/>
      <c r="L117" s="291"/>
      <c r="M117" s="291"/>
      <c r="N117" s="291"/>
      <c r="O117" s="291"/>
      <c r="P117" s="291"/>
      <c r="Q117" s="291"/>
      <c r="R117" s="291">
        <f t="shared" si="20"/>
        <v>0</v>
      </c>
      <c r="S117" s="201" t="s">
        <v>761</v>
      </c>
      <c r="T117" s="202"/>
      <c r="U117" s="241"/>
      <c r="V117" s="241"/>
      <c r="W117" s="241"/>
      <c r="BA117"/>
      <c r="BB117"/>
    </row>
    <row r="118" spans="1:54" s="191" customFormat="1" ht="13">
      <c r="A118" s="224"/>
      <c r="B118" s="180">
        <v>6005136626</v>
      </c>
      <c r="C118" s="183" t="str">
        <f>IFERROR(IF(VLOOKUP($B118,勘定科目!$A:$H,HLOOKUP($E$5,勘定科目!$F$1:$H$2,2,0),0)="","",VLOOKUP($B118,勘定科目!$A:$E,2,0)),"")</f>
        <v>通信費（一般）</v>
      </c>
      <c r="D118" s="234" t="str">
        <f>IF(C118="","",VLOOKUP($B118,勘定科目!$A:$E,4,0))</f>
        <v>通信費</v>
      </c>
      <c r="E118" s="240" t="s">
        <v>910</v>
      </c>
      <c r="F118" s="194"/>
      <c r="G118" s="242"/>
      <c r="H118" s="242"/>
      <c r="I118" s="242"/>
      <c r="J118" s="291"/>
      <c r="K118" s="291"/>
      <c r="L118" s="291"/>
      <c r="M118" s="291"/>
      <c r="N118" s="291"/>
      <c r="O118" s="291"/>
      <c r="P118" s="291"/>
      <c r="Q118" s="291"/>
      <c r="R118" s="291">
        <f t="shared" si="20"/>
        <v>0</v>
      </c>
      <c r="S118" s="201" t="s">
        <v>762</v>
      </c>
      <c r="T118" s="202"/>
      <c r="U118" s="241"/>
      <c r="V118" s="241"/>
      <c r="W118" s="241"/>
      <c r="BA118"/>
      <c r="BB118"/>
    </row>
    <row r="119" spans="1:54" s="191" customFormat="1" ht="13">
      <c r="A119" s="224"/>
      <c r="B119" s="180">
        <v>6005136657</v>
      </c>
      <c r="C119" s="183" t="str">
        <f>IFERROR(IF(VLOOKUP($B119,勘定科目!$A:$H,HLOOKUP($E$5,勘定科目!$F$1:$H$2,2,0),0)="","",VLOOKUP($B119,勘定科目!$A:$E,2,0)),"")</f>
        <v>郵送代（一般）</v>
      </c>
      <c r="D119" s="234" t="str">
        <f>IF(C119="","",VLOOKUP($B119,勘定科目!$A:$E,4,0))</f>
        <v>通信費</v>
      </c>
      <c r="E119" s="240" t="s">
        <v>910</v>
      </c>
      <c r="F119" s="299">
        <v>100000</v>
      </c>
      <c r="G119" s="299">
        <v>100000</v>
      </c>
      <c r="H119" s="299">
        <v>100000</v>
      </c>
      <c r="I119" s="299">
        <v>100000</v>
      </c>
      <c r="J119" s="299">
        <v>100000</v>
      </c>
      <c r="K119" s="299">
        <v>100000</v>
      </c>
      <c r="L119" s="299">
        <v>100000</v>
      </c>
      <c r="M119" s="299">
        <v>100000</v>
      </c>
      <c r="N119" s="299">
        <v>100000</v>
      </c>
      <c r="O119" s="299">
        <v>100000</v>
      </c>
      <c r="P119" s="299">
        <v>100000</v>
      </c>
      <c r="Q119" s="299">
        <v>100000</v>
      </c>
      <c r="R119" s="291">
        <f t="shared" si="20"/>
        <v>1200000</v>
      </c>
      <c r="S119" s="201" t="s">
        <v>763</v>
      </c>
      <c r="T119" s="202"/>
      <c r="U119" s="241"/>
      <c r="V119" s="241"/>
      <c r="W119" s="241"/>
      <c r="BA119"/>
      <c r="BB119"/>
    </row>
    <row r="120" spans="1:54" s="191" customFormat="1" ht="13">
      <c r="A120" s="224"/>
      <c r="B120" s="180">
        <v>6005136657</v>
      </c>
      <c r="C120" s="183" t="str">
        <f>IFERROR(IF(VLOOKUP($B120,勘定科目!$A:$H,HLOOKUP($E$5,勘定科目!$F$1:$H$2,2,0),0)="","",VLOOKUP($B120,勘定科目!$A:$E,2,0)),"")</f>
        <v>郵送代（一般）</v>
      </c>
      <c r="D120" s="234" t="str">
        <f>IF(C120="","",VLOOKUP($B120,勘定科目!$A:$E,4,0))</f>
        <v>通信費</v>
      </c>
      <c r="E120" s="240" t="s">
        <v>908</v>
      </c>
      <c r="F120" s="194"/>
      <c r="G120" s="242"/>
      <c r="H120" s="242"/>
      <c r="I120" s="242"/>
      <c r="J120" s="291"/>
      <c r="K120" s="291"/>
      <c r="L120" s="291"/>
      <c r="M120" s="291"/>
      <c r="N120" s="291"/>
      <c r="O120" s="302">
        <v>4000000</v>
      </c>
      <c r="P120" s="291"/>
      <c r="Q120" s="291"/>
      <c r="R120" s="291">
        <f t="shared" si="20"/>
        <v>4000000</v>
      </c>
      <c r="S120" s="201" t="s">
        <v>764</v>
      </c>
      <c r="T120" s="202"/>
      <c r="U120" s="241"/>
      <c r="V120" s="241"/>
      <c r="W120" s="241"/>
      <c r="BA120"/>
      <c r="BB120"/>
    </row>
    <row r="121" spans="1:54" s="191" customFormat="1" ht="13">
      <c r="A121" s="224"/>
      <c r="B121" s="180">
        <v>6005146628</v>
      </c>
      <c r="C121" s="183" t="str">
        <f>IFERROR(IF(VLOOKUP($B121,勘定科目!$A:$H,HLOOKUP($E$5,勘定科目!$F$1:$H$2,2,0),0)="","",VLOOKUP($B121,勘定科目!$A:$E,2,0)),"")</f>
        <v>ＫＤＣシステム使用料（一般）</v>
      </c>
      <c r="D121" s="234" t="str">
        <f>IF(C121="","",VLOOKUP($B121,勘定科目!$A:$E,4,0))</f>
        <v>図書及び事務費</v>
      </c>
      <c r="E121" s="240" t="s">
        <v>915</v>
      </c>
      <c r="F121" s="291">
        <v>3200663</v>
      </c>
      <c r="G121" s="291">
        <v>3200663</v>
      </c>
      <c r="H121" s="291">
        <v>3491633</v>
      </c>
      <c r="I121" s="291">
        <v>3491633</v>
      </c>
      <c r="J121" s="291">
        <v>3491633</v>
      </c>
      <c r="K121" s="291">
        <v>3491633</v>
      </c>
      <c r="L121" s="291">
        <v>3491633</v>
      </c>
      <c r="M121" s="291">
        <v>3491633</v>
      </c>
      <c r="N121" s="291">
        <v>3491633</v>
      </c>
      <c r="O121" s="291">
        <v>3491633</v>
      </c>
      <c r="P121" s="291">
        <v>3491633</v>
      </c>
      <c r="Q121" s="291">
        <v>3491633</v>
      </c>
      <c r="R121" s="291">
        <f t="shared" si="20"/>
        <v>41317656</v>
      </c>
      <c r="S121" s="201" t="s">
        <v>765</v>
      </c>
      <c r="T121" s="202"/>
      <c r="U121" s="241"/>
      <c r="V121" s="241"/>
      <c r="W121" s="241"/>
      <c r="BA121"/>
      <c r="BB121"/>
    </row>
    <row r="122" spans="1:54" s="191" customFormat="1" ht="13">
      <c r="A122" s="224"/>
      <c r="B122" s="180">
        <v>6005146628</v>
      </c>
      <c r="C122" s="183" t="str">
        <f>IFERROR(IF(VLOOKUP($B122,勘定科目!$A:$H,HLOOKUP($E$5,勘定科目!$F$1:$H$2,2,0),0)="","",VLOOKUP($B122,勘定科目!$A:$E,2,0)),"")</f>
        <v>ＫＤＣシステム使用料（一般）</v>
      </c>
      <c r="D122" s="234" t="str">
        <f>IF(C122="","",VLOOKUP($B122,勘定科目!$A:$E,4,0))</f>
        <v>図書及び事務費</v>
      </c>
      <c r="E122" s="240" t="s">
        <v>915</v>
      </c>
      <c r="F122" s="291">
        <v>161480</v>
      </c>
      <c r="G122" s="291">
        <v>161480</v>
      </c>
      <c r="H122" s="291">
        <v>161480</v>
      </c>
      <c r="I122" s="291">
        <v>161480</v>
      </c>
      <c r="J122" s="291">
        <v>161480</v>
      </c>
      <c r="K122" s="291">
        <v>161480</v>
      </c>
      <c r="L122" s="291">
        <v>161480</v>
      </c>
      <c r="M122" s="291">
        <v>161480</v>
      </c>
      <c r="N122" s="291">
        <v>161480</v>
      </c>
      <c r="O122" s="291">
        <v>161480</v>
      </c>
      <c r="P122" s="291">
        <v>161480</v>
      </c>
      <c r="Q122" s="291">
        <v>161480</v>
      </c>
      <c r="R122" s="291">
        <f t="shared" si="20"/>
        <v>1937760</v>
      </c>
      <c r="S122" s="201" t="s">
        <v>766</v>
      </c>
      <c r="T122" s="202"/>
      <c r="U122" s="241"/>
      <c r="V122" s="241"/>
      <c r="W122" s="241"/>
      <c r="BA122"/>
      <c r="BB122"/>
    </row>
    <row r="123" spans="1:54" s="191" customFormat="1" ht="13">
      <c r="A123" s="224"/>
      <c r="B123" s="180">
        <v>6005146627</v>
      </c>
      <c r="C123" s="183" t="str">
        <f>IFERROR(IF(VLOOKUP($B123,勘定科目!$A:$H,HLOOKUP($E$5,勘定科目!$F$1:$H$2,2,0),0)="","",VLOOKUP($B123,勘定科目!$A:$E,2,0)),"")</f>
        <v>図書印刷費（一般）</v>
      </c>
      <c r="D123" s="234" t="str">
        <f>IF(C123="","",VLOOKUP($B123,勘定科目!$A:$E,4,0))</f>
        <v>図書及び事務費</v>
      </c>
      <c r="E123" s="240" t="s">
        <v>908</v>
      </c>
      <c r="F123" s="194"/>
      <c r="G123" s="242"/>
      <c r="H123" s="242"/>
      <c r="I123" s="242"/>
      <c r="J123" s="291"/>
      <c r="K123" s="302">
        <v>3873417</v>
      </c>
      <c r="L123" s="291"/>
      <c r="M123" s="291"/>
      <c r="N123" s="291"/>
      <c r="O123" s="291"/>
      <c r="P123" s="291"/>
      <c r="Q123" s="291"/>
      <c r="R123" s="291">
        <f t="shared" si="20"/>
        <v>3873417</v>
      </c>
      <c r="S123" s="201" t="s">
        <v>767</v>
      </c>
      <c r="T123" s="202"/>
      <c r="U123" s="241"/>
      <c r="V123" s="241"/>
      <c r="W123" s="241"/>
      <c r="BA123"/>
      <c r="BB123"/>
    </row>
    <row r="124" spans="1:54" s="191" customFormat="1" ht="13">
      <c r="A124" s="224"/>
      <c r="B124" s="180">
        <v>6005146627</v>
      </c>
      <c r="C124" s="183" t="str">
        <f>IFERROR(IF(VLOOKUP($B124,勘定科目!$A:$H,HLOOKUP($E$5,勘定科目!$F$1:$H$2,2,0),0)="","",VLOOKUP($B124,勘定科目!$A:$E,2,0)),"")</f>
        <v>図書印刷費（一般）</v>
      </c>
      <c r="D124" s="234" t="str">
        <f>IF(C124="","",VLOOKUP($B124,勘定科目!$A:$E,4,0))</f>
        <v>図書及び事務費</v>
      </c>
      <c r="E124" s="240" t="s">
        <v>911</v>
      </c>
      <c r="F124" s="299"/>
      <c r="G124" s="298"/>
      <c r="H124" s="298"/>
      <c r="I124" s="298"/>
      <c r="J124" s="298"/>
      <c r="K124" s="298">
        <v>500000</v>
      </c>
      <c r="L124" s="306">
        <f>800*10000</f>
        <v>8000000</v>
      </c>
      <c r="M124" s="298"/>
      <c r="N124" s="298"/>
      <c r="O124" s="298"/>
      <c r="P124" s="298"/>
      <c r="Q124" s="298"/>
      <c r="R124" s="291">
        <f t="shared" si="20"/>
        <v>8500000</v>
      </c>
      <c r="S124" s="201" t="s">
        <v>927</v>
      </c>
      <c r="T124" s="202"/>
      <c r="U124" s="241"/>
      <c r="V124" s="241"/>
      <c r="W124" s="241"/>
      <c r="BA124"/>
      <c r="BB124"/>
    </row>
    <row r="125" spans="1:54" s="191" customFormat="1" ht="13">
      <c r="A125" s="224"/>
      <c r="B125" s="180">
        <v>6005146627</v>
      </c>
      <c r="C125" s="183" t="str">
        <f>IFERROR(IF(VLOOKUP($B125,勘定科目!$A:$H,HLOOKUP($E$5,勘定科目!$F$1:$H$2,2,0),0)="","",VLOOKUP($B125,勘定科目!$A:$E,2,0)),"")</f>
        <v>図書印刷費（一般）</v>
      </c>
      <c r="D125" s="234" t="str">
        <f>IF(C125="","",VLOOKUP($B125,勘定科目!$A:$E,4,0))</f>
        <v>図書及び事務費</v>
      </c>
      <c r="E125" s="240" t="s">
        <v>911</v>
      </c>
      <c r="F125" s="299"/>
      <c r="G125" s="298"/>
      <c r="H125" s="298"/>
      <c r="I125" s="298">
        <f>-519*800</f>
        <v>-415200</v>
      </c>
      <c r="J125" s="298">
        <f>-188*800</f>
        <v>-150400</v>
      </c>
      <c r="K125" s="298">
        <f>-222*800</f>
        <v>-177600</v>
      </c>
      <c r="L125" s="298">
        <f>-350*800</f>
        <v>-280000</v>
      </c>
      <c r="M125" s="298">
        <f>-((106*800)+(7003*800))</f>
        <v>-5687200</v>
      </c>
      <c r="N125" s="298"/>
      <c r="O125" s="298">
        <f>-266*800</f>
        <v>-212800</v>
      </c>
      <c r="P125" s="298">
        <f>-454*800</f>
        <v>-363200</v>
      </c>
      <c r="Q125" s="298"/>
      <c r="R125" s="291">
        <f t="shared" si="20"/>
        <v>-7286400</v>
      </c>
      <c r="S125" s="201" t="s">
        <v>948</v>
      </c>
      <c r="T125" s="202"/>
      <c r="U125" s="241"/>
      <c r="V125" s="241"/>
      <c r="W125" s="241"/>
      <c r="BA125"/>
      <c r="BB125"/>
    </row>
    <row r="126" spans="1:54" s="191" customFormat="1" ht="13">
      <c r="A126" s="224"/>
      <c r="B126" s="180">
        <v>6005146627</v>
      </c>
      <c r="C126" s="183" t="str">
        <f>IFERROR(IF(VLOOKUP($B126,勘定科目!$A:$H,HLOOKUP($E$5,勘定科目!$F$1:$H$2,2,0),0)="","",VLOOKUP($B126,勘定科目!$A:$E,2,0)),"")</f>
        <v>図書印刷費（一般）</v>
      </c>
      <c r="D126" s="234" t="str">
        <f>IF(C126="","",VLOOKUP($B126,勘定科目!$A:$E,4,0))</f>
        <v>図書及び事務費</v>
      </c>
      <c r="E126" s="240" t="s">
        <v>911</v>
      </c>
      <c r="F126" s="299"/>
      <c r="G126" s="298"/>
      <c r="H126" s="298"/>
      <c r="I126" s="298"/>
      <c r="J126" s="298"/>
      <c r="K126" s="298"/>
      <c r="L126" s="298"/>
      <c r="M126" s="298">
        <f>800*18</f>
        <v>14400</v>
      </c>
      <c r="N126" s="298"/>
      <c r="O126" s="298"/>
      <c r="P126" s="298"/>
      <c r="Q126" s="298"/>
      <c r="R126" s="291">
        <f t="shared" si="20"/>
        <v>14400</v>
      </c>
      <c r="S126" s="201" t="s">
        <v>768</v>
      </c>
      <c r="T126" s="202"/>
      <c r="U126" s="241"/>
      <c r="V126" s="241"/>
      <c r="W126" s="241"/>
      <c r="BA126"/>
      <c r="BB126"/>
    </row>
    <row r="127" spans="1:54" s="191" customFormat="1" ht="13">
      <c r="A127" s="224"/>
      <c r="B127" s="180">
        <v>6005146627</v>
      </c>
      <c r="C127" s="183" t="str">
        <f>IFERROR(IF(VLOOKUP($B127,勘定科目!$A:$H,HLOOKUP($E$5,勘定科目!$F$1:$H$2,2,0),0)="","",VLOOKUP($B127,勘定科目!$A:$E,2,0)),"")</f>
        <v>図書印刷費（一般）</v>
      </c>
      <c r="D127" s="234" t="str">
        <f>IF(C127="","",VLOOKUP($B127,勘定科目!$A:$E,4,0))</f>
        <v>図書及び事務費</v>
      </c>
      <c r="E127" s="240" t="s">
        <v>916</v>
      </c>
      <c r="F127" s="194"/>
      <c r="G127" s="242"/>
      <c r="H127" s="242"/>
      <c r="I127" s="242"/>
      <c r="J127" s="291"/>
      <c r="K127" s="291"/>
      <c r="L127" s="291"/>
      <c r="M127" s="291"/>
      <c r="N127" s="291"/>
      <c r="O127" s="291"/>
      <c r="P127" s="291"/>
      <c r="Q127" s="291"/>
      <c r="R127" s="291">
        <f t="shared" si="20"/>
        <v>0</v>
      </c>
      <c r="S127" s="201" t="s">
        <v>769</v>
      </c>
      <c r="T127" s="202"/>
      <c r="U127" s="241"/>
      <c r="V127" s="241"/>
      <c r="W127" s="241"/>
      <c r="BA127"/>
      <c r="BB127"/>
    </row>
    <row r="128" spans="1:54" s="191" customFormat="1" ht="13">
      <c r="A128" s="224"/>
      <c r="B128" s="180">
        <v>6005126423</v>
      </c>
      <c r="C128" s="183" t="str">
        <f>IFERROR(IF(VLOOKUP($B128,勘定科目!$A:$H,HLOOKUP($E$5,勘定科目!$F$1:$H$2,2,0),0)="","",VLOOKUP($B128,勘定科目!$A:$E,2,0)),"")</f>
        <v>事務用品費（一般）</v>
      </c>
      <c r="D128" s="234" t="str">
        <f>IF(C128="","",VLOOKUP($B128,勘定科目!$A:$E,4,0))</f>
        <v>図書及び事務費</v>
      </c>
      <c r="E128" s="240" t="s">
        <v>916</v>
      </c>
      <c r="F128" s="194"/>
      <c r="G128" s="242"/>
      <c r="H128" s="242"/>
      <c r="I128" s="242"/>
      <c r="J128" s="291"/>
      <c r="K128" s="291"/>
      <c r="L128" s="291"/>
      <c r="M128" s="291"/>
      <c r="N128" s="291"/>
      <c r="O128" s="291"/>
      <c r="P128" s="291"/>
      <c r="Q128" s="291"/>
      <c r="R128" s="291">
        <f t="shared" si="20"/>
        <v>0</v>
      </c>
      <c r="S128" s="201" t="s">
        <v>770</v>
      </c>
      <c r="T128" s="202"/>
      <c r="U128" s="241"/>
      <c r="V128" s="241"/>
      <c r="W128" s="241"/>
      <c r="BA128"/>
      <c r="BB128"/>
    </row>
    <row r="129" spans="1:54" s="191" customFormat="1" ht="13">
      <c r="A129" s="224"/>
      <c r="B129" s="180">
        <v>6005126423</v>
      </c>
      <c r="C129" s="183" t="str">
        <f>IFERROR(IF(VLOOKUP($B129,勘定科目!$A:$H,HLOOKUP($E$5,勘定科目!$F$1:$H$2,2,0),0)="","",VLOOKUP($B129,勘定科目!$A:$E,2,0)),"")</f>
        <v>事務用品費（一般）</v>
      </c>
      <c r="D129" s="234" t="str">
        <f>IF(C129="","",VLOOKUP($B129,勘定科目!$A:$E,4,0))</f>
        <v>図書及び事務費</v>
      </c>
      <c r="E129" s="240" t="s">
        <v>911</v>
      </c>
      <c r="F129" s="298">
        <f>51000*100+50*80000</f>
        <v>9100000</v>
      </c>
      <c r="G129" s="298">
        <f t="shared" ref="G129:Q129" si="21">51000*100</f>
        <v>5100000</v>
      </c>
      <c r="H129" s="298">
        <f t="shared" si="21"/>
        <v>5100000</v>
      </c>
      <c r="I129" s="298">
        <f t="shared" si="21"/>
        <v>5100000</v>
      </c>
      <c r="J129" s="298">
        <f>51000*100+50*80000</f>
        <v>9100000</v>
      </c>
      <c r="K129" s="298">
        <f t="shared" si="21"/>
        <v>5100000</v>
      </c>
      <c r="L129" s="298">
        <f t="shared" si="21"/>
        <v>5100000</v>
      </c>
      <c r="M129" s="298">
        <f t="shared" si="21"/>
        <v>5100000</v>
      </c>
      <c r="N129" s="298">
        <f>51000*100+50*80000</f>
        <v>9100000</v>
      </c>
      <c r="O129" s="298">
        <f t="shared" si="21"/>
        <v>5100000</v>
      </c>
      <c r="P129" s="298">
        <f t="shared" si="21"/>
        <v>5100000</v>
      </c>
      <c r="Q129" s="298">
        <f t="shared" si="21"/>
        <v>5100000</v>
      </c>
      <c r="R129" s="291">
        <f t="shared" si="20"/>
        <v>73200000</v>
      </c>
      <c r="S129" s="201" t="s">
        <v>932</v>
      </c>
      <c r="T129" s="202"/>
      <c r="U129" s="241"/>
      <c r="V129" s="241"/>
      <c r="W129" s="241"/>
      <c r="BA129"/>
      <c r="BB129"/>
    </row>
    <row r="130" spans="1:54" s="191" customFormat="1" ht="13">
      <c r="A130" s="224"/>
      <c r="B130" s="180">
        <v>6005126423</v>
      </c>
      <c r="C130" s="183" t="str">
        <f>IFERROR(IF(VLOOKUP($B130,勘定科目!$A:$H,HLOOKUP($E$5,勘定科目!$F$1:$H$2,2,0),0)="","",VLOOKUP($B130,勘定科目!$A:$E,2,0)),"")</f>
        <v>事務用品費（一般）</v>
      </c>
      <c r="D130" s="234" t="str">
        <f>IF(C130="","",VLOOKUP($B130,勘定科目!$A:$E,4,0))</f>
        <v>図書及び事務費</v>
      </c>
      <c r="E130" s="240" t="s">
        <v>911</v>
      </c>
      <c r="F130" s="299"/>
      <c r="G130" s="298">
        <v>242000</v>
      </c>
      <c r="H130" s="298"/>
      <c r="I130" s="298">
        <v>242000</v>
      </c>
      <c r="J130" s="298"/>
      <c r="K130" s="298">
        <v>242000</v>
      </c>
      <c r="L130" s="298"/>
      <c r="M130" s="298">
        <v>242000</v>
      </c>
      <c r="N130" s="298"/>
      <c r="O130" s="298">
        <v>242000</v>
      </c>
      <c r="P130" s="298"/>
      <c r="Q130" s="298">
        <v>242000</v>
      </c>
      <c r="R130" s="291">
        <f t="shared" si="20"/>
        <v>1452000</v>
      </c>
      <c r="S130" s="201" t="s">
        <v>771</v>
      </c>
      <c r="T130" s="202"/>
      <c r="U130" s="241"/>
      <c r="V130" s="241"/>
      <c r="W130" s="241"/>
      <c r="BA130"/>
      <c r="BB130"/>
    </row>
    <row r="131" spans="1:54" s="191" customFormat="1" ht="13">
      <c r="A131" s="224"/>
      <c r="B131" s="180">
        <v>6005126423</v>
      </c>
      <c r="C131" s="183" t="str">
        <f>IFERROR(IF(VLOOKUP($B131,勘定科目!$A:$H,HLOOKUP($E$5,勘定科目!$F$1:$H$2,2,0),0)="","",VLOOKUP($B131,勘定科目!$A:$E,2,0)),"")</f>
        <v>事務用品費（一般）</v>
      </c>
      <c r="D131" s="234" t="str">
        <f>IF(C131="","",VLOOKUP($B131,勘定科目!$A:$E,4,0))</f>
        <v>図書及び事務費</v>
      </c>
      <c r="E131" s="240" t="s">
        <v>913</v>
      </c>
      <c r="F131" s="194"/>
      <c r="G131" s="242"/>
      <c r="H131" s="242"/>
      <c r="I131" s="242"/>
      <c r="J131" s="291"/>
      <c r="K131" s="291"/>
      <c r="L131" s="291"/>
      <c r="M131" s="291">
        <v>1100000</v>
      </c>
      <c r="N131" s="291"/>
      <c r="O131" s="291">
        <v>1100000</v>
      </c>
      <c r="P131" s="291">
        <f>1100000*3</f>
        <v>3300000</v>
      </c>
      <c r="Q131" s="291"/>
      <c r="R131" s="291">
        <f t="shared" si="20"/>
        <v>5500000</v>
      </c>
      <c r="S131" s="201" t="s">
        <v>772</v>
      </c>
      <c r="T131" s="202"/>
      <c r="U131" s="241"/>
      <c r="V131" s="241"/>
      <c r="W131" s="241"/>
      <c r="BA131"/>
      <c r="BB131"/>
    </row>
    <row r="132" spans="1:54" s="191" customFormat="1" ht="13">
      <c r="A132" s="224"/>
      <c r="B132" s="180">
        <v>6005126423</v>
      </c>
      <c r="C132" s="183" t="str">
        <f>IFERROR(IF(VLOOKUP($B132,勘定科目!$A:$H,HLOOKUP($E$5,勘定科目!$F$1:$H$2,2,0),0)="","",VLOOKUP($B132,勘定科目!$A:$E,2,0)),"")</f>
        <v>事務用品費（一般）</v>
      </c>
      <c r="D132" s="234" t="str">
        <f>IF(C132="","",VLOOKUP($B132,勘定科目!$A:$E,4,0))</f>
        <v>図書及び事務費</v>
      </c>
      <c r="E132" s="240" t="s">
        <v>913</v>
      </c>
      <c r="F132" s="194"/>
      <c r="G132" s="242"/>
      <c r="H132" s="242"/>
      <c r="I132" s="242"/>
      <c r="J132" s="291"/>
      <c r="K132" s="291"/>
      <c r="L132" s="291"/>
      <c r="M132" s="291"/>
      <c r="N132" s="291"/>
      <c r="O132" s="291"/>
      <c r="P132" s="291"/>
      <c r="Q132" s="291"/>
      <c r="R132" s="291">
        <f t="shared" si="20"/>
        <v>0</v>
      </c>
      <c r="S132" s="201" t="s">
        <v>773</v>
      </c>
      <c r="T132" s="202"/>
      <c r="U132" s="241"/>
      <c r="V132" s="241"/>
      <c r="W132" s="241"/>
      <c r="BA132"/>
      <c r="BB132"/>
    </row>
    <row r="133" spans="1:54" s="191" customFormat="1" ht="13">
      <c r="A133" s="224"/>
      <c r="B133" s="180">
        <v>6005126423</v>
      </c>
      <c r="C133" s="183" t="str">
        <f>IFERROR(IF(VLOOKUP($B133,勘定科目!$A:$H,HLOOKUP($E$5,勘定科目!$F$1:$H$2,2,0),0)="","",VLOOKUP($B133,勘定科目!$A:$E,2,0)),"")</f>
        <v>事務用品費（一般）</v>
      </c>
      <c r="D133" s="234" t="str">
        <f>IF(C133="","",VLOOKUP($B133,勘定科目!$A:$E,4,0))</f>
        <v>図書及び事務費</v>
      </c>
      <c r="E133" s="240" t="s">
        <v>913</v>
      </c>
      <c r="F133" s="194">
        <f>1250*300</f>
        <v>375000</v>
      </c>
      <c r="G133" s="194">
        <f t="shared" ref="G133:Q133" si="22">1250*300</f>
        <v>375000</v>
      </c>
      <c r="H133" s="194">
        <f t="shared" si="22"/>
        <v>375000</v>
      </c>
      <c r="I133" s="194">
        <f t="shared" si="22"/>
        <v>375000</v>
      </c>
      <c r="J133" s="194">
        <f t="shared" si="22"/>
        <v>375000</v>
      </c>
      <c r="K133" s="194">
        <f t="shared" si="22"/>
        <v>375000</v>
      </c>
      <c r="L133" s="194">
        <f t="shared" si="22"/>
        <v>375000</v>
      </c>
      <c r="M133" s="194">
        <f t="shared" si="22"/>
        <v>375000</v>
      </c>
      <c r="N133" s="194">
        <f t="shared" si="22"/>
        <v>375000</v>
      </c>
      <c r="O133" s="194">
        <f t="shared" si="22"/>
        <v>375000</v>
      </c>
      <c r="P133" s="291">
        <f>1250*400</f>
        <v>500000</v>
      </c>
      <c r="Q133" s="194">
        <f t="shared" si="22"/>
        <v>375000</v>
      </c>
      <c r="R133" s="291">
        <f t="shared" si="20"/>
        <v>4625000</v>
      </c>
      <c r="S133" s="201" t="s">
        <v>774</v>
      </c>
      <c r="T133" s="202"/>
      <c r="U133" s="241"/>
      <c r="V133" s="241"/>
      <c r="W133" s="241"/>
      <c r="BA133"/>
      <c r="BB133"/>
    </row>
    <row r="134" spans="1:54" s="191" customFormat="1" ht="13">
      <c r="A134" s="224"/>
      <c r="B134" s="180">
        <v>6005126423</v>
      </c>
      <c r="C134" s="183" t="str">
        <f>IFERROR(IF(VLOOKUP($B134,勘定科目!$A:$H,HLOOKUP($E$5,勘定科目!$F$1:$H$2,2,0),0)="","",VLOOKUP($B134,勘定科目!$A:$E,2,0)),"")</f>
        <v>事務用品費（一般）</v>
      </c>
      <c r="D134" s="234" t="str">
        <f>IF(C134="","",VLOOKUP($B134,勘定科目!$A:$E,4,0))</f>
        <v>図書及び事務費</v>
      </c>
      <c r="E134" s="240" t="s">
        <v>913</v>
      </c>
      <c r="F134" s="194"/>
      <c r="G134" s="298">
        <f>240000*5</f>
        <v>1200000</v>
      </c>
      <c r="H134" s="242"/>
      <c r="I134" s="242"/>
      <c r="J134" s="298">
        <f>240000*5</f>
        <v>1200000</v>
      </c>
      <c r="K134" s="291"/>
      <c r="L134" s="291"/>
      <c r="M134" s="298">
        <f>240000*5</f>
        <v>1200000</v>
      </c>
      <c r="N134" s="291"/>
      <c r="O134" s="291"/>
      <c r="P134" s="298">
        <f>240000*5</f>
        <v>1200000</v>
      </c>
      <c r="Q134" s="291"/>
      <c r="R134" s="291">
        <f t="shared" si="20"/>
        <v>4800000</v>
      </c>
      <c r="S134" s="201" t="s">
        <v>775</v>
      </c>
      <c r="T134" s="202"/>
      <c r="U134" s="241"/>
      <c r="V134" s="241"/>
      <c r="W134" s="241"/>
      <c r="BA134"/>
      <c r="BB134"/>
    </row>
    <row r="135" spans="1:54" s="191" customFormat="1" ht="13">
      <c r="A135" s="224"/>
      <c r="B135" s="180">
        <v>6005126423</v>
      </c>
      <c r="C135" s="183" t="str">
        <f>IFERROR(IF(VLOOKUP($B135,勘定科目!$A:$H,HLOOKUP($E$5,勘定科目!$F$1:$H$2,2,0),0)="","",VLOOKUP($B135,勘定科目!$A:$E,2,0)),"")</f>
        <v>事務用品費（一般）</v>
      </c>
      <c r="D135" s="234" t="str">
        <f>IF(C135="","",VLOOKUP($B135,勘定科目!$A:$E,4,0))</f>
        <v>図書及び事務費</v>
      </c>
      <c r="E135" s="240" t="s">
        <v>913</v>
      </c>
      <c r="F135" s="291">
        <f>(285000*10)</f>
        <v>2850000</v>
      </c>
      <c r="G135" s="242"/>
      <c r="H135" s="242"/>
      <c r="I135" s="242"/>
      <c r="J135" s="291">
        <f>(285000*10)</f>
        <v>2850000</v>
      </c>
      <c r="K135" s="291"/>
      <c r="L135" s="291"/>
      <c r="M135" s="291">
        <f>(285000*10)</f>
        <v>2850000</v>
      </c>
      <c r="N135" s="291"/>
      <c r="O135" s="291"/>
      <c r="P135" s="291"/>
      <c r="Q135" s="291">
        <f>(285000*10)</f>
        <v>2850000</v>
      </c>
      <c r="R135" s="291">
        <f t="shared" si="20"/>
        <v>11400000</v>
      </c>
      <c r="S135" s="201" t="s">
        <v>776</v>
      </c>
      <c r="T135" s="202"/>
      <c r="U135" s="241"/>
      <c r="V135" s="241"/>
      <c r="W135" s="241"/>
      <c r="BA135"/>
      <c r="BB135"/>
    </row>
    <row r="136" spans="1:54" s="191" customFormat="1" ht="13">
      <c r="A136" s="224"/>
      <c r="B136" s="180">
        <v>6005126423</v>
      </c>
      <c r="C136" s="183" t="str">
        <f>IFERROR(IF(VLOOKUP($B136,勘定科目!$A:$H,HLOOKUP($E$5,勘定科目!$F$1:$H$2,2,0),0)="","",VLOOKUP($B136,勘定科目!$A:$E,2,0)),"")</f>
        <v>事務用品費（一般）</v>
      </c>
      <c r="D136" s="234" t="str">
        <f>IF(C136="","",VLOOKUP($B136,勘定科目!$A:$E,4,0))</f>
        <v>図書及び事務費</v>
      </c>
      <c r="E136" s="240" t="s">
        <v>911</v>
      </c>
      <c r="F136" s="299"/>
      <c r="G136" s="298">
        <v>3600000</v>
      </c>
      <c r="H136" s="298"/>
      <c r="I136" s="298"/>
      <c r="J136" s="298">
        <v>3600000</v>
      </c>
      <c r="K136" s="298"/>
      <c r="L136" s="298"/>
      <c r="M136" s="298">
        <v>3600000</v>
      </c>
      <c r="N136" s="298"/>
      <c r="O136" s="298">
        <v>2000000</v>
      </c>
      <c r="P136" s="298"/>
      <c r="Q136" s="298"/>
      <c r="R136" s="291">
        <f t="shared" si="20"/>
        <v>12800000</v>
      </c>
      <c r="S136" s="201" t="s">
        <v>777</v>
      </c>
      <c r="T136" s="202"/>
      <c r="U136" s="241"/>
      <c r="V136" s="241"/>
      <c r="W136" s="241"/>
      <c r="BA136"/>
      <c r="BB136"/>
    </row>
    <row r="137" spans="1:54" s="191" customFormat="1" ht="13">
      <c r="A137" s="224"/>
      <c r="B137" s="180">
        <v>6005126423</v>
      </c>
      <c r="C137" s="183" t="str">
        <f>IFERROR(IF(VLOOKUP($B137,勘定科目!$A:$H,HLOOKUP($E$5,勘定科目!$F$1:$H$2,2,0),0)="","",VLOOKUP($B137,勘定科目!$A:$E,2,0)),"")</f>
        <v>事務用品費（一般）</v>
      </c>
      <c r="D137" s="234" t="str">
        <f>IF(C137="","",VLOOKUP($B137,勘定科目!$A:$E,4,0))</f>
        <v>図書及び事務費</v>
      </c>
      <c r="E137" s="240" t="s">
        <v>911</v>
      </c>
      <c r="F137" s="291"/>
      <c r="G137" s="298"/>
      <c r="H137" s="298"/>
      <c r="I137" s="298">
        <v>10000000</v>
      </c>
      <c r="J137" s="298"/>
      <c r="K137" s="298">
        <v>8500000</v>
      </c>
      <c r="L137" s="291"/>
      <c r="M137" s="291"/>
      <c r="N137" s="291"/>
      <c r="O137" s="291"/>
      <c r="P137" s="291"/>
      <c r="Q137" s="291"/>
      <c r="R137" s="291">
        <f t="shared" si="20"/>
        <v>18500000</v>
      </c>
      <c r="S137" s="201" t="s">
        <v>778</v>
      </c>
      <c r="T137" s="202"/>
      <c r="U137" s="241"/>
      <c r="V137" s="241"/>
      <c r="W137" s="241"/>
      <c r="BA137"/>
      <c r="BB137"/>
    </row>
    <row r="138" spans="1:54" s="191" customFormat="1" ht="13">
      <c r="A138" s="224"/>
      <c r="B138" s="180">
        <v>6005126423</v>
      </c>
      <c r="C138" s="183" t="str">
        <f>IFERROR(IF(VLOOKUP($B138,勘定科目!$A:$H,HLOOKUP($E$5,勘定科目!$F$1:$H$2,2,0),0)="","",VLOOKUP($B138,勘定科目!$A:$E,2,0)),"")</f>
        <v>事務用品費（一般）</v>
      </c>
      <c r="D138" s="234" t="str">
        <f>IF(C138="","",VLOOKUP($B138,勘定科目!$A:$E,4,0))</f>
        <v>図書及び事務費</v>
      </c>
      <c r="E138" s="240" t="s">
        <v>911</v>
      </c>
      <c r="F138" s="299"/>
      <c r="G138" s="298"/>
      <c r="H138" s="298">
        <v>5000000</v>
      </c>
      <c r="I138" s="298"/>
      <c r="J138" s="298"/>
      <c r="K138" s="298"/>
      <c r="L138" s="298">
        <v>3200000</v>
      </c>
      <c r="M138" s="298"/>
      <c r="N138" s="298"/>
      <c r="O138" s="298"/>
      <c r="P138" s="298">
        <v>3200000</v>
      </c>
      <c r="Q138" s="298"/>
      <c r="R138" s="291">
        <f t="shared" si="20"/>
        <v>11400000</v>
      </c>
      <c r="S138" s="201" t="s">
        <v>779</v>
      </c>
      <c r="T138" s="202"/>
      <c r="U138" s="241"/>
      <c r="V138" s="241"/>
      <c r="W138" s="241"/>
      <c r="BA138"/>
      <c r="BB138"/>
    </row>
    <row r="139" spans="1:54" s="191" customFormat="1" ht="13">
      <c r="A139" s="224"/>
      <c r="B139" s="180">
        <v>6005126423</v>
      </c>
      <c r="C139" s="183" t="str">
        <f>IFERROR(IF(VLOOKUP($B139,勘定科目!$A:$H,HLOOKUP($E$5,勘定科目!$F$1:$H$2,2,0),0)="","",VLOOKUP($B139,勘定科目!$A:$E,2,0)),"")</f>
        <v>事務用品費（一般）</v>
      </c>
      <c r="D139" s="234" t="str">
        <f>IF(C139="","",VLOOKUP($B139,勘定科目!$A:$E,4,0))</f>
        <v>図書及び事務費</v>
      </c>
      <c r="E139" s="240" t="s">
        <v>911</v>
      </c>
      <c r="F139" s="291">
        <v>270000</v>
      </c>
      <c r="G139" s="298">
        <v>270000</v>
      </c>
      <c r="H139" s="298">
        <v>270000</v>
      </c>
      <c r="I139" s="298">
        <v>270000</v>
      </c>
      <c r="J139" s="291">
        <v>270000</v>
      </c>
      <c r="K139" s="291">
        <v>270000</v>
      </c>
      <c r="L139" s="291">
        <v>270000</v>
      </c>
      <c r="M139" s="291">
        <v>270000</v>
      </c>
      <c r="N139" s="291">
        <v>270000</v>
      </c>
      <c r="O139" s="291">
        <v>270000</v>
      </c>
      <c r="P139" s="291">
        <v>270000</v>
      </c>
      <c r="Q139" s="291">
        <v>270000</v>
      </c>
      <c r="R139" s="291">
        <f t="shared" si="20"/>
        <v>3240000</v>
      </c>
      <c r="S139" s="201" t="s">
        <v>780</v>
      </c>
      <c r="T139" s="202"/>
      <c r="U139" s="241"/>
      <c r="V139" s="241"/>
      <c r="W139" s="241"/>
      <c r="BA139"/>
      <c r="BB139"/>
    </row>
    <row r="140" spans="1:54" s="191" customFormat="1" ht="13">
      <c r="A140" s="224"/>
      <c r="B140" s="180">
        <v>6005126423</v>
      </c>
      <c r="C140" s="183" t="str">
        <f>IFERROR(IF(VLOOKUP($B140,勘定科目!$A:$H,HLOOKUP($E$5,勘定科目!$F$1:$H$2,2,0),0)="","",VLOOKUP($B140,勘定科目!$A:$E,2,0)),"")</f>
        <v>事務用品費（一般）</v>
      </c>
      <c r="D140" s="234" t="str">
        <f>IF(C140="","",VLOOKUP($B140,勘定科目!$A:$E,4,0))</f>
        <v>図書及び事務費</v>
      </c>
      <c r="E140" s="240" t="s">
        <v>911</v>
      </c>
      <c r="F140" s="299"/>
      <c r="G140" s="298">
        <f>180000*5</f>
        <v>900000</v>
      </c>
      <c r="H140" s="298"/>
      <c r="I140" s="298"/>
      <c r="J140" s="298"/>
      <c r="K140" s="298">
        <f>180000*5</f>
        <v>900000</v>
      </c>
      <c r="L140" s="298"/>
      <c r="M140" s="298"/>
      <c r="N140" s="298"/>
      <c r="O140" s="298">
        <f>180000*5</f>
        <v>900000</v>
      </c>
      <c r="P140" s="291"/>
      <c r="Q140" s="291"/>
      <c r="R140" s="291">
        <f t="shared" si="20"/>
        <v>2700000</v>
      </c>
      <c r="S140" s="201" t="s">
        <v>781</v>
      </c>
      <c r="T140" s="202"/>
      <c r="U140" s="241"/>
      <c r="V140" s="241"/>
      <c r="W140" s="241"/>
      <c r="BA140"/>
      <c r="BB140"/>
    </row>
    <row r="141" spans="1:54" s="191" customFormat="1" ht="13">
      <c r="A141" s="224"/>
      <c r="B141" s="180">
        <v>6005126423</v>
      </c>
      <c r="C141" s="183" t="str">
        <f>IFERROR(IF(VLOOKUP($B141,勘定科目!$A:$H,HLOOKUP($E$5,勘定科目!$F$1:$H$2,2,0),0)="","",VLOOKUP($B141,勘定科目!$A:$E,2,0)),"")</f>
        <v>事務用品費（一般）</v>
      </c>
      <c r="D141" s="234" t="str">
        <f>IF(C141="","",VLOOKUP($B141,勘定科目!$A:$E,4,0))</f>
        <v>図書及び事務費</v>
      </c>
      <c r="E141" s="240" t="s">
        <v>913</v>
      </c>
      <c r="F141" s="194"/>
      <c r="G141" s="242"/>
      <c r="H141" s="242"/>
      <c r="I141" s="242"/>
      <c r="J141" s="291"/>
      <c r="K141" s="291"/>
      <c r="L141" s="291"/>
      <c r="M141" s="291"/>
      <c r="N141" s="291">
        <v>9500000</v>
      </c>
      <c r="O141" s="291"/>
      <c r="P141" s="291"/>
      <c r="Q141" s="291"/>
      <c r="R141" s="291">
        <f t="shared" si="20"/>
        <v>9500000</v>
      </c>
      <c r="S141" s="201" t="s">
        <v>782</v>
      </c>
      <c r="T141" s="202"/>
      <c r="U141" s="241"/>
      <c r="V141" s="241"/>
      <c r="W141" s="241"/>
      <c r="BA141"/>
      <c r="BB141"/>
    </row>
    <row r="142" spans="1:54" s="191" customFormat="1" ht="13">
      <c r="A142" s="224"/>
      <c r="B142" s="180">
        <v>6005126423</v>
      </c>
      <c r="C142" s="183" t="str">
        <f>IFERROR(IF(VLOOKUP($B142,勘定科目!$A:$H,HLOOKUP($E$5,勘定科目!$F$1:$H$2,2,0),0)="","",VLOOKUP($B142,勘定科目!$A:$E,2,0)),"")</f>
        <v>事務用品費（一般）</v>
      </c>
      <c r="D142" s="234" t="str">
        <f>IF(C142="","",VLOOKUP($B142,勘定科目!$A:$E,4,0))</f>
        <v>図書及び事務費</v>
      </c>
      <c r="E142" s="240" t="s">
        <v>911</v>
      </c>
      <c r="F142" s="299">
        <v>85000</v>
      </c>
      <c r="G142" s="298"/>
      <c r="H142" s="299">
        <v>85000</v>
      </c>
      <c r="I142" s="298"/>
      <c r="J142" s="299">
        <v>85000</v>
      </c>
      <c r="K142" s="298"/>
      <c r="L142" s="299">
        <v>85000</v>
      </c>
      <c r="M142" s="298"/>
      <c r="N142" s="299">
        <v>85000</v>
      </c>
      <c r="O142" s="298"/>
      <c r="P142" s="299">
        <v>85000</v>
      </c>
      <c r="Q142" s="298"/>
      <c r="R142" s="291">
        <f t="shared" si="20"/>
        <v>510000</v>
      </c>
      <c r="S142" s="201" t="s">
        <v>933</v>
      </c>
      <c r="T142" s="202"/>
      <c r="U142" s="241"/>
      <c r="V142" s="241"/>
      <c r="W142" s="241"/>
      <c r="BA142"/>
      <c r="BB142"/>
    </row>
    <row r="143" spans="1:54" s="191" customFormat="1" ht="13">
      <c r="A143" s="224"/>
      <c r="B143" s="180">
        <v>6005126423</v>
      </c>
      <c r="C143" s="183" t="str">
        <f>IFERROR(IF(VLOOKUP($B143,勘定科目!$A:$H,HLOOKUP($E$5,勘定科目!$F$1:$H$2,2,0),0)="","",VLOOKUP($B143,勘定科目!$A:$E,2,0)),"")</f>
        <v>事務用品費（一般）</v>
      </c>
      <c r="D143" s="234" t="str">
        <f>IF(C143="","",VLOOKUP($B143,勘定科目!$A:$E,4,0))</f>
        <v>図書及び事務費</v>
      </c>
      <c r="E143" s="240" t="s">
        <v>911</v>
      </c>
      <c r="F143" s="298">
        <v>1350000</v>
      </c>
      <c r="G143" s="298"/>
      <c r="H143" s="298"/>
      <c r="I143" s="298">
        <v>1350000</v>
      </c>
      <c r="J143" s="298"/>
      <c r="K143" s="298"/>
      <c r="L143" s="298">
        <v>1350000</v>
      </c>
      <c r="M143" s="298"/>
      <c r="N143" s="298"/>
      <c r="O143" s="298">
        <v>1350000</v>
      </c>
      <c r="P143" s="298"/>
      <c r="Q143" s="298"/>
      <c r="R143" s="291">
        <f t="shared" si="20"/>
        <v>5400000</v>
      </c>
      <c r="S143" s="201" t="s">
        <v>783</v>
      </c>
      <c r="T143" s="202"/>
      <c r="U143" s="241"/>
      <c r="V143" s="241"/>
      <c r="W143" s="241"/>
      <c r="BA143"/>
      <c r="BB143"/>
    </row>
    <row r="144" spans="1:54" s="191" customFormat="1" ht="13">
      <c r="A144" s="224"/>
      <c r="B144" s="180">
        <v>6005126423</v>
      </c>
      <c r="C144" s="183" t="str">
        <f>IFERROR(IF(VLOOKUP($B144,勘定科目!$A:$H,HLOOKUP($E$5,勘定科目!$F$1:$H$2,2,0),0)="","",VLOOKUP($B144,勘定科目!$A:$E,2,0)),"")</f>
        <v>事務用品費（一般）</v>
      </c>
      <c r="D144" s="234" t="str">
        <f>IF(C144="","",VLOOKUP($B144,勘定科目!$A:$E,4,0))</f>
        <v>図書及び事務費</v>
      </c>
      <c r="E144" s="240" t="s">
        <v>911</v>
      </c>
      <c r="F144" s="299"/>
      <c r="G144" s="298">
        <f>5184000/2</f>
        <v>2592000</v>
      </c>
      <c r="H144" s="298"/>
      <c r="I144" s="298"/>
      <c r="J144" s="298"/>
      <c r="K144" s="298">
        <f>5184000/2</f>
        <v>2592000</v>
      </c>
      <c r="L144" s="298"/>
      <c r="M144" s="298"/>
      <c r="N144" s="298"/>
      <c r="O144" s="298">
        <f>5184000/2</f>
        <v>2592000</v>
      </c>
      <c r="P144" s="298"/>
      <c r="Q144" s="298"/>
      <c r="R144" s="291">
        <f t="shared" si="20"/>
        <v>7776000</v>
      </c>
      <c r="S144" s="201" t="s">
        <v>784</v>
      </c>
      <c r="T144" s="202"/>
      <c r="U144" s="241"/>
      <c r="V144" s="241"/>
      <c r="W144" s="241"/>
      <c r="BA144"/>
      <c r="BB144"/>
    </row>
    <row r="145" spans="1:16383" s="191" customFormat="1" ht="13">
      <c r="A145" s="224"/>
      <c r="B145" s="180">
        <v>6005126423</v>
      </c>
      <c r="C145" s="183" t="str">
        <f>IFERROR(IF(VLOOKUP($B145,勘定科目!$A:$H,HLOOKUP($E$5,勘定科目!$F$1:$H$2,2,0),0)="","",VLOOKUP($B145,勘定科目!$A:$E,2,0)),"")</f>
        <v>事務用品費（一般）</v>
      </c>
      <c r="D145" s="234" t="str">
        <f>IF(C145="","",VLOOKUP($B145,勘定科目!$A:$E,4,0))</f>
        <v>図書及び事務費</v>
      </c>
      <c r="E145" s="240" t="s">
        <v>911</v>
      </c>
      <c r="F145" s="299"/>
      <c r="G145" s="298">
        <v>1200000</v>
      </c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  <c r="R145" s="291">
        <f t="shared" si="20"/>
        <v>1200000</v>
      </c>
      <c r="S145" s="201" t="s">
        <v>785</v>
      </c>
      <c r="T145" s="202"/>
      <c r="U145" s="241"/>
      <c r="V145" s="241"/>
      <c r="W145" s="241"/>
      <c r="BA145"/>
      <c r="BB145"/>
    </row>
    <row r="146" spans="1:16383" s="191" customFormat="1" ht="13">
      <c r="A146" s="224"/>
      <c r="B146" s="180">
        <v>6005126423</v>
      </c>
      <c r="C146" s="183" t="str">
        <f>IFERROR(IF(VLOOKUP($B146,勘定科目!$A:$H,HLOOKUP($E$5,勘定科目!$F$1:$H$2,2,0),0)="","",VLOOKUP($B146,勘定科目!$A:$E,2,0)),"")</f>
        <v>事務用品費（一般）</v>
      </c>
      <c r="D146" s="234" t="str">
        <f>IF(C146="","",VLOOKUP($B146,勘定科目!$A:$E,4,0))</f>
        <v>図書及び事務費</v>
      </c>
      <c r="E146" s="240" t="s">
        <v>911</v>
      </c>
      <c r="F146" s="298">
        <v>405000</v>
      </c>
      <c r="G146" s="298"/>
      <c r="H146" s="298"/>
      <c r="I146" s="298"/>
      <c r="J146" s="298">
        <v>405000</v>
      </c>
      <c r="K146" s="298"/>
      <c r="L146" s="298"/>
      <c r="M146" s="298"/>
      <c r="N146" s="298">
        <v>405000</v>
      </c>
      <c r="O146" s="298"/>
      <c r="P146" s="298"/>
      <c r="Q146" s="298"/>
      <c r="R146" s="291">
        <f t="shared" si="20"/>
        <v>1215000</v>
      </c>
      <c r="S146" s="201" t="s">
        <v>786</v>
      </c>
      <c r="T146" s="202"/>
      <c r="U146" s="241"/>
      <c r="V146" s="241"/>
      <c r="W146" s="241"/>
      <c r="BA146"/>
      <c r="BB146"/>
    </row>
    <row r="147" spans="1:16383" s="191" customFormat="1" ht="13">
      <c r="A147" s="224"/>
      <c r="B147" s="180">
        <v>6005126423</v>
      </c>
      <c r="C147" s="183" t="str">
        <f>IFERROR(IF(VLOOKUP($B147,勘定科目!$A:$H,HLOOKUP($E$5,勘定科目!$F$1:$H$2,2,0),0)="","",VLOOKUP($B147,勘定科目!$A:$E,2,0)),"")</f>
        <v>事務用品費（一般）</v>
      </c>
      <c r="D147" s="234" t="str">
        <f>IF(C147="","",VLOOKUP($B147,勘定科目!$A:$E,4,0))</f>
        <v>図書及び事務費</v>
      </c>
      <c r="E147" s="240" t="s">
        <v>908</v>
      </c>
      <c r="F147" s="194"/>
      <c r="G147" s="242"/>
      <c r="H147" s="242"/>
      <c r="I147" s="242"/>
      <c r="J147" s="291"/>
      <c r="K147" s="291"/>
      <c r="L147" s="291"/>
      <c r="M147" s="291"/>
      <c r="N147" s="291"/>
      <c r="O147" s="291">
        <v>300000</v>
      </c>
      <c r="P147" s="291"/>
      <c r="Q147" s="291"/>
      <c r="R147" s="291">
        <f t="shared" si="20"/>
        <v>300000</v>
      </c>
      <c r="S147" s="201" t="s">
        <v>787</v>
      </c>
      <c r="T147" s="202"/>
      <c r="U147" s="241"/>
      <c r="V147" s="241"/>
      <c r="W147" s="241"/>
      <c r="BA147"/>
      <c r="BB147"/>
    </row>
    <row r="148" spans="1:16383" s="191" customFormat="1" ht="13">
      <c r="A148" s="224"/>
      <c r="B148" s="180">
        <v>6005126423</v>
      </c>
      <c r="C148" s="183" t="str">
        <f>IFERROR(IF(VLOOKUP($B148,勘定科目!$A:$H,HLOOKUP($E$5,勘定科目!$F$1:$H$2,2,0),0)="","",VLOOKUP($B148,勘定科目!$A:$E,2,0)),"")</f>
        <v>事務用品費（一般）</v>
      </c>
      <c r="D148" s="234" t="str">
        <f>IF(C148="","",VLOOKUP($B148,勘定科目!$A:$E,4,0))</f>
        <v>図書及び事務費</v>
      </c>
      <c r="E148" s="240" t="s">
        <v>911</v>
      </c>
      <c r="F148" s="291"/>
      <c r="G148" s="298"/>
      <c r="H148" s="298">
        <v>64000</v>
      </c>
      <c r="I148" s="298"/>
      <c r="J148" s="291"/>
      <c r="K148" s="291"/>
      <c r="L148" s="291"/>
      <c r="M148" s="291"/>
      <c r="N148" s="291"/>
      <c r="O148" s="291"/>
      <c r="P148" s="291"/>
      <c r="Q148" s="291"/>
      <c r="R148" s="291">
        <f t="shared" si="20"/>
        <v>64000</v>
      </c>
      <c r="S148" s="201" t="s">
        <v>788</v>
      </c>
      <c r="T148" s="202"/>
      <c r="U148" s="241"/>
      <c r="V148" s="241"/>
      <c r="W148" s="241"/>
      <c r="BA148"/>
      <c r="BB148"/>
    </row>
    <row r="149" spans="1:16383" s="191" customFormat="1" ht="13">
      <c r="A149" s="224"/>
      <c r="B149" s="180">
        <v>6005126423</v>
      </c>
      <c r="C149" s="183" t="str">
        <f>IFERROR(IF(VLOOKUP($B149,勘定科目!$A:$H,HLOOKUP($E$5,勘定科目!$F$1:$H$2,2,0),0)="","",VLOOKUP($B149,勘定科目!$A:$E,2,0)),"")</f>
        <v>事務用品費（一般）</v>
      </c>
      <c r="D149" s="234" t="str">
        <f>IF(C149="","",VLOOKUP($B149,勘定科目!$A:$E,4,0))</f>
        <v>図書及び事務費</v>
      </c>
      <c r="E149" s="240" t="s">
        <v>911</v>
      </c>
      <c r="F149" s="299">
        <f>245000*5</f>
        <v>1225000</v>
      </c>
      <c r="G149" s="298"/>
      <c r="H149" s="299">
        <v>130000</v>
      </c>
      <c r="I149" s="299">
        <f>245000*5</f>
        <v>1225000</v>
      </c>
      <c r="J149" s="299"/>
      <c r="K149" s="299">
        <v>130000</v>
      </c>
      <c r="L149" s="299">
        <f>245000*5</f>
        <v>1225000</v>
      </c>
      <c r="M149" s="298"/>
      <c r="N149" s="299">
        <v>130000</v>
      </c>
      <c r="O149" s="299">
        <f>245000*5</f>
        <v>1225000</v>
      </c>
      <c r="P149" s="299"/>
      <c r="Q149" s="299">
        <f>245000*5</f>
        <v>1225000</v>
      </c>
      <c r="R149" s="291">
        <f t="shared" si="20"/>
        <v>6515000</v>
      </c>
      <c r="S149" s="201" t="s">
        <v>789</v>
      </c>
      <c r="T149" s="202"/>
      <c r="U149" s="241"/>
      <c r="V149" s="241"/>
      <c r="W149" s="241"/>
      <c r="BA149"/>
      <c r="BB149"/>
    </row>
    <row r="150" spans="1:16383" s="191" customFormat="1" ht="13">
      <c r="A150" s="224"/>
      <c r="B150" s="180">
        <v>6005126423</v>
      </c>
      <c r="C150" s="183" t="str">
        <f>IFERROR(IF(VLOOKUP($B150,勘定科目!$A:$H,HLOOKUP($E$5,勘定科目!$F$1:$H$2,2,0),0)="","",VLOOKUP($B150,勘定科目!$A:$E,2,0)),"")</f>
        <v>事務用品費（一般）</v>
      </c>
      <c r="D150" s="234" t="str">
        <f>IF(C150="","",VLOOKUP($B150,勘定科目!$A:$E,4,0))</f>
        <v>図書及び事務費</v>
      </c>
      <c r="E150" s="240" t="s">
        <v>911</v>
      </c>
      <c r="F150" s="299"/>
      <c r="G150" s="299">
        <f>245000*5</f>
        <v>1225000</v>
      </c>
      <c r="H150" s="298"/>
      <c r="I150" s="298"/>
      <c r="J150" s="299">
        <f>245000*5</f>
        <v>1225000</v>
      </c>
      <c r="K150" s="298"/>
      <c r="L150" s="298"/>
      <c r="M150" s="299">
        <f>245000*5</f>
        <v>1225000</v>
      </c>
      <c r="N150" s="298"/>
      <c r="O150" s="298"/>
      <c r="P150" s="299">
        <f>245000*5</f>
        <v>1225000</v>
      </c>
      <c r="Q150" s="298"/>
      <c r="R150" s="291">
        <f t="shared" si="20"/>
        <v>4900000</v>
      </c>
      <c r="S150" s="201" t="s">
        <v>790</v>
      </c>
      <c r="T150" s="202"/>
      <c r="U150" s="241"/>
      <c r="V150" s="241"/>
      <c r="W150" s="241"/>
      <c r="BA150"/>
      <c r="BB150"/>
    </row>
    <row r="151" spans="1:16383" s="191" customFormat="1" ht="13">
      <c r="A151" s="224"/>
      <c r="B151" s="180">
        <v>6005126423</v>
      </c>
      <c r="C151" s="183" t="str">
        <f>IFERROR(IF(VLOOKUP($B151,勘定科目!$A:$H,HLOOKUP($E$5,勘定科目!$F$1:$H$2,2,0),0)="","",VLOOKUP($B151,勘定科目!$A:$E,2,0)),"")</f>
        <v>事務用品費（一般）</v>
      </c>
      <c r="D151" s="234" t="str">
        <f>IF(C151="","",VLOOKUP($B151,勘定科目!$A:$E,4,0))</f>
        <v>図書及び事務費</v>
      </c>
      <c r="E151" s="240" t="s">
        <v>911</v>
      </c>
      <c r="F151" s="299">
        <f>15000*100</f>
        <v>1500000</v>
      </c>
      <c r="G151" s="298"/>
      <c r="H151" s="298">
        <f>105000*5</f>
        <v>525000</v>
      </c>
      <c r="I151" s="298"/>
      <c r="J151" s="299">
        <f>15000*100</f>
        <v>1500000</v>
      </c>
      <c r="K151" s="298"/>
      <c r="L151" s="298">
        <f>105000*5</f>
        <v>525000</v>
      </c>
      <c r="M151" s="298"/>
      <c r="N151" s="299">
        <f>15000*100</f>
        <v>1500000</v>
      </c>
      <c r="O151" s="298"/>
      <c r="P151" s="298"/>
      <c r="Q151" s="299"/>
      <c r="R151" s="291">
        <f t="shared" si="20"/>
        <v>5550000</v>
      </c>
      <c r="S151" s="201" t="s">
        <v>791</v>
      </c>
      <c r="T151" s="202"/>
      <c r="U151" s="241"/>
      <c r="V151" s="241"/>
      <c r="W151" s="241"/>
      <c r="BA151"/>
      <c r="BB151"/>
    </row>
    <row r="152" spans="1:16383" s="191" customFormat="1" ht="13">
      <c r="A152" s="224"/>
      <c r="B152" s="180">
        <v>6005126423</v>
      </c>
      <c r="C152" s="183" t="str">
        <f>IFERROR(IF(VLOOKUP($B152,勘定科目!$A:$H,HLOOKUP($E$5,勘定科目!$F$1:$H$2,2,0),0)="","",VLOOKUP($B152,勘定科目!$A:$E,2,0)),"")</f>
        <v>事務用品費（一般）</v>
      </c>
      <c r="D152" s="234" t="str">
        <f>IF(C152="","",VLOOKUP($B152,勘定科目!$A:$E,4,0))</f>
        <v>図書及び事務費</v>
      </c>
      <c r="E152" s="240" t="s">
        <v>911</v>
      </c>
      <c r="F152" s="298">
        <v>500000</v>
      </c>
      <c r="G152" s="298"/>
      <c r="H152" s="298"/>
      <c r="I152" s="298">
        <v>500000</v>
      </c>
      <c r="J152" s="298"/>
      <c r="K152" s="298"/>
      <c r="L152" s="298">
        <v>500000</v>
      </c>
      <c r="M152" s="298"/>
      <c r="N152" s="298"/>
      <c r="O152" s="298">
        <v>500000</v>
      </c>
      <c r="P152" s="298"/>
      <c r="Q152" s="298">
        <v>500000</v>
      </c>
      <c r="R152" s="291">
        <f t="shared" si="20"/>
        <v>2500000</v>
      </c>
      <c r="S152" s="201" t="s">
        <v>792</v>
      </c>
      <c r="T152" s="202"/>
      <c r="U152" s="241"/>
      <c r="V152" s="241"/>
      <c r="W152" s="241"/>
      <c r="BA152"/>
      <c r="BB152"/>
    </row>
    <row r="153" spans="1:16383" s="191" customFormat="1" ht="13">
      <c r="A153" s="224"/>
      <c r="B153" s="180">
        <v>6005126423</v>
      </c>
      <c r="C153" s="183" t="str">
        <f>IFERROR(IF(VLOOKUP($B153,勘定科目!$A:$H,HLOOKUP($E$5,勘定科目!$F$1:$H$2,2,0),0)="","",VLOOKUP($B153,勘定科目!$A:$E,2,0)),"")</f>
        <v>事務用品費（一般）</v>
      </c>
      <c r="D153" s="234" t="str">
        <f>IF(C153="","",VLOOKUP($B153,勘定科目!$A:$E,4,0))</f>
        <v>図書及び事務費</v>
      </c>
      <c r="E153" s="240" t="s">
        <v>908</v>
      </c>
      <c r="F153" s="194"/>
      <c r="G153" s="242"/>
      <c r="H153" s="242"/>
      <c r="I153" s="298">
        <v>350000</v>
      </c>
      <c r="J153" s="291"/>
      <c r="K153" s="291"/>
      <c r="L153" s="291"/>
      <c r="M153" s="291">
        <v>350000</v>
      </c>
      <c r="N153" s="291"/>
      <c r="O153" s="291"/>
      <c r="P153" s="291"/>
      <c r="Q153" s="291">
        <v>350000</v>
      </c>
      <c r="R153" s="291">
        <f t="shared" si="20"/>
        <v>1050000</v>
      </c>
      <c r="S153" s="201" t="s">
        <v>793</v>
      </c>
      <c r="T153" s="202"/>
      <c r="U153" s="241"/>
      <c r="V153" s="241"/>
      <c r="W153" s="241"/>
      <c r="BA153"/>
      <c r="BB153"/>
    </row>
    <row r="154" spans="1:16383" s="191" customFormat="1" ht="13">
      <c r="A154" s="224"/>
      <c r="B154" s="180">
        <v>6005126423</v>
      </c>
      <c r="C154" s="183" t="str">
        <f>IFERROR(IF(VLOOKUP($B154,勘定科目!$A:$H,HLOOKUP($E$5,勘定科目!$F$1:$H$2,2,0),0)="","",VLOOKUP($B154,勘定科目!$A:$E,2,0)),"")</f>
        <v>事務用品費（一般）</v>
      </c>
      <c r="D154" s="234" t="str">
        <f>IF(C154="","",VLOOKUP($B154,勘定科目!$A:$E,4,0))</f>
        <v>図書及び事務費</v>
      </c>
      <c r="E154" s="240" t="s">
        <v>911</v>
      </c>
      <c r="F154" s="298">
        <f>26500*9</f>
        <v>238500</v>
      </c>
      <c r="G154" s="302">
        <f>238500+132500</f>
        <v>371000</v>
      </c>
      <c r="H154" s="298">
        <f>26500*9</f>
        <v>238500</v>
      </c>
      <c r="I154" s="302">
        <f>238500+132500</f>
        <v>371000</v>
      </c>
      <c r="J154" s="298">
        <f>26500*9</f>
        <v>238500</v>
      </c>
      <c r="K154" s="302">
        <f>238500+132500</f>
        <v>371000</v>
      </c>
      <c r="L154" s="298">
        <f>26500*9</f>
        <v>238500</v>
      </c>
      <c r="M154" s="302">
        <f>238500+132500</f>
        <v>371000</v>
      </c>
      <c r="N154" s="298">
        <f>26500*9</f>
        <v>238500</v>
      </c>
      <c r="O154" s="302">
        <f>238500+132500</f>
        <v>371000</v>
      </c>
      <c r="P154" s="298">
        <f>26500*9</f>
        <v>238500</v>
      </c>
      <c r="Q154" s="302">
        <f>238500+132500</f>
        <v>371000</v>
      </c>
      <c r="R154" s="291">
        <f t="shared" si="20"/>
        <v>3657000</v>
      </c>
      <c r="S154" s="201" t="s">
        <v>794</v>
      </c>
      <c r="T154" s="202"/>
      <c r="U154" s="241"/>
      <c r="V154" s="241"/>
      <c r="W154" s="241"/>
      <c r="BA154"/>
      <c r="BB154"/>
    </row>
    <row r="155" spans="1:16383" s="191" customFormat="1" ht="13">
      <c r="A155" s="224"/>
      <c r="B155" s="180">
        <v>6005126423</v>
      </c>
      <c r="C155" s="183" t="str">
        <f>IFERROR(IF(VLOOKUP($B155,勘定科目!$A:$H,HLOOKUP($E$5,勘定科目!$F$1:$H$2,2,0),0)="","",VLOOKUP($B155,勘定科目!$A:$E,2,0)),"")</f>
        <v>事務用品費（一般）</v>
      </c>
      <c r="D155" s="234" t="str">
        <f>IF(C155="","",VLOOKUP($B155,勘定科目!$A:$E,4,0))</f>
        <v>図書及び事務費</v>
      </c>
      <c r="E155" s="240" t="s">
        <v>911</v>
      </c>
      <c r="F155" s="298">
        <v>162000</v>
      </c>
      <c r="G155" s="298"/>
      <c r="H155" s="298">
        <v>162000</v>
      </c>
      <c r="I155" s="298"/>
      <c r="J155" s="298">
        <v>162000</v>
      </c>
      <c r="K155" s="298"/>
      <c r="L155" s="298">
        <v>162000</v>
      </c>
      <c r="M155" s="298"/>
      <c r="N155" s="298">
        <v>162000</v>
      </c>
      <c r="O155" s="298"/>
      <c r="P155" s="298">
        <v>162000</v>
      </c>
      <c r="Q155" s="298"/>
      <c r="R155" s="291">
        <f t="shared" si="20"/>
        <v>972000</v>
      </c>
      <c r="S155" s="201" t="s">
        <v>795</v>
      </c>
      <c r="T155" s="202"/>
      <c r="U155" s="241"/>
      <c r="V155" s="241"/>
      <c r="W155" s="241"/>
      <c r="BA155"/>
      <c r="BB155"/>
    </row>
    <row r="156" spans="1:16383" s="191" customFormat="1" ht="13">
      <c r="A156" s="224"/>
      <c r="B156" s="180">
        <v>6005126423</v>
      </c>
      <c r="C156" s="183" t="str">
        <f>IFERROR(IF(VLOOKUP($B156,勘定科目!$A:$H,HLOOKUP($E$5,勘定科目!$F$1:$H$2,2,0),0)="","",VLOOKUP($B156,勘定科目!$A:$E,2,0)),"")</f>
        <v>事務用品費（一般）</v>
      </c>
      <c r="D156" s="234" t="str">
        <f>IF(C156="","",VLOOKUP($B156,勘定科目!$A:$E,4,0))</f>
        <v>図書及び事務費</v>
      </c>
      <c r="E156" s="240" t="s">
        <v>911</v>
      </c>
      <c r="F156" s="298">
        <v>28802877</v>
      </c>
      <c r="G156" s="298"/>
      <c r="H156" s="298"/>
      <c r="I156" s="298"/>
      <c r="J156" s="298"/>
      <c r="K156" s="298">
        <v>28802877</v>
      </c>
      <c r="L156" s="298"/>
      <c r="M156" s="298"/>
      <c r="N156" s="298"/>
      <c r="O156" s="298"/>
      <c r="P156" s="298">
        <v>28802877</v>
      </c>
      <c r="Q156" s="298"/>
      <c r="R156" s="291">
        <f t="shared" si="20"/>
        <v>86408631</v>
      </c>
      <c r="S156" s="201" t="s">
        <v>796</v>
      </c>
      <c r="T156" s="202"/>
      <c r="U156" s="241"/>
      <c r="V156" s="241"/>
      <c r="W156" s="241"/>
      <c r="BA156"/>
      <c r="BB156"/>
    </row>
    <row r="157" spans="1:16383" s="307" customFormat="1" ht="13">
      <c r="A157" s="224"/>
      <c r="B157" s="180">
        <v>6005016423</v>
      </c>
      <c r="C157" s="183" t="str">
        <f>IFERROR(IF(VLOOKUP($B157,勘定科目!$A:$H,HLOOKUP($E$5,勘定科目!$F$1:$H$2,2,0),0)="","",VLOOKUP($B157,勘定科目!$A:$E,2,0)),"")</f>
        <v>消耗備品費（一般）</v>
      </c>
      <c r="D157" s="240" t="str">
        <f>IF(C157="","",VLOOKUP($B157,勘定科目!$A:$E,4,0))</f>
        <v>消耗工具器具備品費</v>
      </c>
      <c r="E157" s="240" t="s">
        <v>911</v>
      </c>
      <c r="F157" s="298"/>
      <c r="G157" s="298"/>
      <c r="H157" s="298"/>
      <c r="I157" s="298"/>
      <c r="J157" s="298"/>
      <c r="K157" s="298">
        <f>16750000*4</f>
        <v>67000000</v>
      </c>
      <c r="L157" s="298"/>
      <c r="M157" s="298"/>
      <c r="N157" s="298"/>
      <c r="O157" s="298"/>
      <c r="P157" s="298"/>
      <c r="Q157" s="291"/>
      <c r="R157" s="201">
        <f t="shared" si="20"/>
        <v>67000000</v>
      </c>
      <c r="S157" s="201" t="s">
        <v>797</v>
      </c>
      <c r="T157" s="241"/>
      <c r="U157" s="241"/>
      <c r="V157" s="24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1"/>
      <c r="AK157" s="191"/>
      <c r="AL157" s="191"/>
      <c r="AM157" s="191"/>
      <c r="AN157" s="191"/>
      <c r="AO157" s="191"/>
      <c r="AP157" s="191"/>
      <c r="AQ157" s="191"/>
      <c r="AR157" s="191"/>
      <c r="AS157" s="191"/>
      <c r="AT157" s="191"/>
      <c r="AU157" s="191"/>
      <c r="AV157" s="191"/>
      <c r="AW157" s="191"/>
      <c r="AX157" s="191"/>
      <c r="AY157" s="191"/>
      <c r="AZ157"/>
      <c r="BA157"/>
      <c r="BB157" s="191"/>
      <c r="BC157" s="191"/>
      <c r="BD157" s="191"/>
      <c r="BE157" s="191"/>
      <c r="BF157" s="191"/>
      <c r="BG157" s="191"/>
      <c r="BH157" s="191"/>
      <c r="BI157" s="191"/>
      <c r="BJ157" s="191"/>
      <c r="BK157" s="191"/>
      <c r="BL157" s="191"/>
      <c r="BM157" s="191"/>
      <c r="BN157" s="191"/>
      <c r="BO157" s="191"/>
      <c r="BP157" s="191"/>
      <c r="BQ157" s="191"/>
      <c r="BR157" s="191"/>
      <c r="BS157" s="191"/>
      <c r="BT157" s="191"/>
      <c r="BU157" s="191"/>
      <c r="BV157" s="191"/>
      <c r="BW157" s="191"/>
      <c r="BX157" s="191"/>
      <c r="BY157" s="191"/>
      <c r="BZ157" s="191"/>
      <c r="CA157" s="191"/>
      <c r="CB157" s="191"/>
      <c r="CC157" s="191"/>
      <c r="CD157" s="191"/>
      <c r="CE157" s="191"/>
      <c r="CF157" s="191"/>
      <c r="CG157" s="191"/>
      <c r="CH157" s="191"/>
      <c r="CI157" s="191"/>
      <c r="CJ157" s="191"/>
      <c r="CK157" s="191"/>
      <c r="CL157" s="191"/>
      <c r="CM157" s="191"/>
      <c r="CN157" s="191"/>
      <c r="CO157" s="191"/>
      <c r="CP157" s="191"/>
      <c r="CQ157" s="191"/>
      <c r="CR157" s="191"/>
      <c r="CS157" s="191"/>
      <c r="CT157" s="191"/>
      <c r="CU157" s="191"/>
      <c r="CV157" s="191"/>
      <c r="CW157" s="191"/>
      <c r="CX157" s="191"/>
      <c r="CY157" s="191"/>
      <c r="CZ157" s="191"/>
      <c r="DA157" s="191"/>
      <c r="DB157" s="191"/>
      <c r="DC157" s="191"/>
      <c r="DD157" s="191"/>
      <c r="DE157" s="191"/>
      <c r="DF157" s="191"/>
      <c r="DG157" s="191"/>
      <c r="DH157" s="191"/>
      <c r="DI157" s="191"/>
      <c r="DJ157" s="191"/>
      <c r="DK157" s="191"/>
      <c r="DL157" s="191"/>
      <c r="DM157" s="191"/>
      <c r="DN157" s="191"/>
      <c r="DO157" s="191"/>
      <c r="DP157" s="191"/>
      <c r="DQ157" s="191"/>
      <c r="DR157" s="191"/>
      <c r="DS157" s="191"/>
      <c r="DT157" s="191"/>
      <c r="DU157" s="191"/>
      <c r="DV157" s="191"/>
      <c r="DW157" s="191"/>
      <c r="DX157" s="191"/>
      <c r="DY157" s="191"/>
      <c r="DZ157" s="191"/>
      <c r="EA157" s="191"/>
      <c r="EB157" s="191"/>
      <c r="EC157" s="191"/>
      <c r="ED157" s="191"/>
      <c r="EE157" s="191"/>
      <c r="EF157" s="191"/>
      <c r="EG157" s="191"/>
      <c r="EH157" s="191"/>
      <c r="EI157" s="191"/>
      <c r="EJ157" s="191"/>
      <c r="EK157" s="191"/>
      <c r="EL157" s="191"/>
      <c r="EM157" s="191"/>
      <c r="EN157" s="191"/>
      <c r="EO157" s="191"/>
      <c r="EP157" s="191"/>
      <c r="EQ157" s="191"/>
      <c r="ER157" s="191"/>
      <c r="ES157" s="191"/>
      <c r="ET157" s="191"/>
      <c r="EU157" s="191"/>
      <c r="EV157" s="191"/>
      <c r="EW157" s="191"/>
      <c r="EX157" s="191"/>
      <c r="EY157" s="191"/>
      <c r="EZ157" s="191"/>
      <c r="FA157" s="191"/>
      <c r="FB157" s="191"/>
      <c r="FC157" s="191"/>
      <c r="FD157" s="191"/>
      <c r="FE157" s="191"/>
      <c r="FF157" s="191"/>
      <c r="FG157" s="191"/>
      <c r="FH157" s="191"/>
      <c r="FI157" s="191"/>
      <c r="FJ157" s="191"/>
      <c r="FK157" s="191"/>
      <c r="FL157" s="191"/>
      <c r="FM157" s="191"/>
      <c r="FN157" s="191"/>
      <c r="FO157" s="191"/>
      <c r="FP157" s="191"/>
      <c r="FQ157" s="191"/>
      <c r="FR157" s="191"/>
      <c r="FS157" s="191"/>
      <c r="FT157" s="191"/>
      <c r="FU157" s="191"/>
      <c r="FV157" s="191"/>
      <c r="FW157" s="191"/>
      <c r="FX157" s="191"/>
      <c r="FY157" s="191"/>
      <c r="FZ157" s="191"/>
      <c r="GA157" s="191"/>
      <c r="GB157" s="191"/>
      <c r="GC157" s="191"/>
      <c r="GD157" s="191"/>
      <c r="GE157" s="191"/>
      <c r="GF157" s="191"/>
      <c r="GG157" s="191"/>
      <c r="GH157" s="191"/>
      <c r="GI157" s="191"/>
      <c r="GJ157" s="191"/>
      <c r="GK157" s="191"/>
      <c r="GL157" s="191"/>
      <c r="GM157" s="191"/>
      <c r="GN157" s="191"/>
      <c r="GO157" s="191"/>
      <c r="GP157" s="191"/>
      <c r="GQ157" s="191"/>
      <c r="GR157" s="191"/>
      <c r="GS157" s="191"/>
      <c r="GT157" s="191"/>
      <c r="GU157" s="191"/>
      <c r="GV157" s="191"/>
      <c r="GW157" s="191"/>
      <c r="GX157" s="191"/>
      <c r="GY157" s="191"/>
      <c r="GZ157" s="191"/>
      <c r="HA157" s="191"/>
      <c r="HB157" s="191"/>
      <c r="HC157" s="191"/>
      <c r="HD157" s="191"/>
      <c r="HE157" s="191"/>
      <c r="HF157" s="191"/>
      <c r="HG157" s="191"/>
      <c r="HH157" s="191"/>
      <c r="HI157" s="191"/>
      <c r="HJ157" s="191"/>
      <c r="HK157" s="191"/>
      <c r="HL157" s="191"/>
      <c r="HM157" s="191"/>
      <c r="HN157" s="191"/>
      <c r="HO157" s="191"/>
      <c r="HP157" s="191"/>
      <c r="HQ157" s="191"/>
      <c r="HR157" s="191"/>
      <c r="HS157" s="191"/>
      <c r="HT157" s="191"/>
      <c r="HU157" s="191"/>
      <c r="HV157" s="191"/>
      <c r="HW157" s="191"/>
      <c r="HX157" s="191"/>
      <c r="HY157" s="191"/>
      <c r="HZ157" s="191"/>
      <c r="IA157" s="191"/>
      <c r="IB157" s="191"/>
      <c r="IC157" s="191"/>
      <c r="ID157" s="191"/>
      <c r="IE157" s="191"/>
      <c r="IF157" s="191"/>
      <c r="IG157" s="191"/>
      <c r="IH157" s="191"/>
      <c r="II157" s="191"/>
      <c r="IJ157" s="191"/>
      <c r="IK157" s="191"/>
      <c r="IL157" s="191"/>
      <c r="IM157" s="191"/>
      <c r="IN157" s="191"/>
      <c r="IO157" s="191"/>
      <c r="IP157" s="191"/>
      <c r="IQ157" s="191"/>
      <c r="IR157" s="191"/>
      <c r="IS157" s="191"/>
      <c r="IT157" s="191"/>
      <c r="IU157" s="191"/>
      <c r="IV157" s="191"/>
      <c r="IW157" s="191"/>
      <c r="IX157" s="191"/>
      <c r="IY157" s="191"/>
      <c r="IZ157" s="191"/>
      <c r="JA157" s="191"/>
      <c r="JB157" s="191"/>
      <c r="JC157" s="191"/>
      <c r="JD157" s="191"/>
      <c r="JE157" s="191"/>
      <c r="JF157" s="191"/>
      <c r="JG157" s="191"/>
      <c r="JH157" s="191"/>
      <c r="JI157" s="191"/>
      <c r="JJ157" s="191"/>
      <c r="JK157" s="191"/>
      <c r="JL157" s="191"/>
      <c r="JM157" s="191"/>
      <c r="JN157" s="191"/>
      <c r="JO157" s="191"/>
      <c r="JP157" s="191"/>
      <c r="JQ157" s="191"/>
      <c r="JR157" s="191"/>
      <c r="JS157" s="191"/>
      <c r="JT157" s="191"/>
      <c r="JU157" s="191"/>
      <c r="JV157" s="191"/>
      <c r="JW157" s="191"/>
      <c r="JX157" s="191"/>
      <c r="JY157" s="191"/>
      <c r="JZ157" s="191"/>
      <c r="KA157" s="191"/>
      <c r="KB157" s="191"/>
      <c r="KC157" s="191"/>
      <c r="KD157" s="191"/>
      <c r="KE157" s="191"/>
      <c r="KF157" s="191"/>
      <c r="KG157" s="191"/>
      <c r="KH157" s="191"/>
      <c r="KI157" s="191"/>
      <c r="KJ157" s="191"/>
      <c r="KK157" s="191"/>
      <c r="KL157" s="191"/>
      <c r="KM157" s="191"/>
      <c r="KN157" s="191"/>
      <c r="KO157" s="191"/>
      <c r="KP157" s="191"/>
      <c r="KQ157" s="191"/>
      <c r="KR157" s="191"/>
      <c r="KS157" s="191"/>
      <c r="KT157" s="191"/>
      <c r="KU157" s="191"/>
      <c r="KV157" s="191"/>
      <c r="KW157" s="191"/>
      <c r="KX157" s="191"/>
      <c r="KY157" s="191"/>
      <c r="KZ157" s="191"/>
      <c r="LA157" s="191"/>
      <c r="LB157" s="191"/>
      <c r="LC157" s="191"/>
      <c r="LD157" s="191"/>
      <c r="LE157" s="191"/>
      <c r="LF157" s="191"/>
      <c r="LG157" s="191"/>
      <c r="LH157" s="191"/>
      <c r="LI157" s="191"/>
      <c r="LJ157" s="191"/>
      <c r="LK157" s="191"/>
      <c r="LL157" s="191"/>
      <c r="LM157" s="191"/>
      <c r="LN157" s="191"/>
      <c r="LO157" s="191"/>
      <c r="LP157" s="191"/>
      <c r="LQ157" s="191"/>
      <c r="LR157" s="191"/>
      <c r="LS157" s="191"/>
      <c r="LT157" s="191"/>
      <c r="LU157" s="191"/>
      <c r="LV157" s="191"/>
      <c r="LW157" s="191"/>
      <c r="LX157" s="191"/>
      <c r="LY157" s="191"/>
      <c r="LZ157" s="191"/>
      <c r="MA157" s="191"/>
      <c r="MB157" s="191"/>
      <c r="MC157" s="191"/>
      <c r="MD157" s="191"/>
      <c r="ME157" s="191"/>
      <c r="MF157" s="191"/>
      <c r="MG157" s="191"/>
      <c r="MH157" s="191"/>
      <c r="MI157" s="191"/>
      <c r="MJ157" s="191"/>
      <c r="MK157" s="191"/>
      <c r="ML157" s="191"/>
      <c r="MM157" s="191"/>
      <c r="MN157" s="191"/>
      <c r="MO157" s="191"/>
      <c r="MP157" s="191"/>
      <c r="MQ157" s="191"/>
      <c r="MR157" s="191"/>
      <c r="MS157" s="191"/>
      <c r="MT157" s="191"/>
      <c r="MU157" s="191"/>
      <c r="MV157" s="191"/>
      <c r="MW157" s="191"/>
      <c r="MX157" s="191"/>
      <c r="MY157" s="191"/>
      <c r="MZ157" s="191"/>
      <c r="NA157" s="191"/>
      <c r="NB157" s="191"/>
      <c r="NC157" s="191"/>
      <c r="ND157" s="191"/>
      <c r="NE157" s="191"/>
      <c r="NF157" s="191"/>
      <c r="NG157" s="191"/>
      <c r="NH157" s="191"/>
      <c r="NI157" s="191"/>
      <c r="NJ157" s="191"/>
      <c r="NK157" s="191"/>
      <c r="NL157" s="191"/>
      <c r="NM157" s="191"/>
      <c r="NN157" s="191"/>
      <c r="NO157" s="191"/>
      <c r="NP157" s="191"/>
      <c r="NQ157" s="191"/>
      <c r="NR157" s="191"/>
      <c r="NS157" s="191"/>
      <c r="NT157" s="191"/>
      <c r="NU157" s="191"/>
      <c r="NV157" s="191"/>
      <c r="NW157" s="191"/>
      <c r="NX157" s="191"/>
      <c r="NY157" s="191"/>
      <c r="NZ157" s="191"/>
      <c r="OA157" s="191"/>
      <c r="OB157" s="191"/>
      <c r="OC157" s="191"/>
      <c r="OD157" s="191"/>
      <c r="OE157" s="191"/>
      <c r="OF157" s="191"/>
      <c r="OG157" s="191"/>
      <c r="OH157" s="191"/>
      <c r="OI157" s="191"/>
      <c r="OJ157" s="191"/>
      <c r="OK157" s="191"/>
      <c r="OL157" s="191"/>
      <c r="OM157" s="191"/>
      <c r="ON157" s="191"/>
      <c r="OO157" s="191"/>
      <c r="OP157" s="191"/>
      <c r="OQ157" s="191"/>
      <c r="OR157" s="191"/>
      <c r="OS157" s="191"/>
      <c r="OT157" s="191"/>
      <c r="OU157" s="191"/>
      <c r="OV157" s="191"/>
      <c r="OW157" s="191"/>
      <c r="OX157" s="191"/>
      <c r="OY157" s="191"/>
      <c r="OZ157" s="191"/>
      <c r="PA157" s="191"/>
      <c r="PB157" s="191"/>
      <c r="PC157" s="191"/>
      <c r="PD157" s="191"/>
      <c r="PE157" s="191"/>
      <c r="PF157" s="191"/>
      <c r="PG157" s="191"/>
      <c r="PH157" s="191"/>
      <c r="PI157" s="191"/>
      <c r="PJ157" s="191"/>
      <c r="PK157" s="191"/>
      <c r="PL157" s="191"/>
      <c r="PM157" s="191"/>
      <c r="PN157" s="191"/>
      <c r="PO157" s="191"/>
      <c r="PP157" s="191"/>
      <c r="PQ157" s="191"/>
      <c r="PR157" s="191"/>
      <c r="PS157" s="191"/>
      <c r="PT157" s="191"/>
      <c r="PU157" s="191"/>
      <c r="PV157" s="191"/>
      <c r="PW157" s="191"/>
      <c r="PX157" s="191"/>
      <c r="PY157" s="191"/>
      <c r="PZ157" s="191"/>
      <c r="QA157" s="191"/>
      <c r="QB157" s="191"/>
      <c r="QC157" s="191"/>
      <c r="QD157" s="191"/>
      <c r="QE157" s="191"/>
      <c r="QF157" s="191"/>
      <c r="QG157" s="191"/>
      <c r="QH157" s="191"/>
      <c r="QI157" s="191"/>
      <c r="QJ157" s="191"/>
      <c r="QK157" s="191"/>
      <c r="QL157" s="191"/>
      <c r="QM157" s="191"/>
      <c r="QN157" s="191"/>
      <c r="QO157" s="191"/>
      <c r="QP157" s="191"/>
      <c r="QQ157" s="191"/>
      <c r="QR157" s="191"/>
      <c r="QS157" s="191"/>
      <c r="QT157" s="191"/>
      <c r="QU157" s="191"/>
      <c r="QV157" s="191"/>
      <c r="QW157" s="191"/>
      <c r="QX157" s="191"/>
      <c r="QY157" s="191"/>
      <c r="QZ157" s="191"/>
      <c r="RA157" s="191"/>
      <c r="RB157" s="191"/>
      <c r="RC157" s="191"/>
      <c r="RD157" s="191"/>
      <c r="RE157" s="191"/>
      <c r="RF157" s="191"/>
      <c r="RG157" s="191"/>
      <c r="RH157" s="191"/>
      <c r="RI157" s="191"/>
      <c r="RJ157" s="191"/>
      <c r="RK157" s="191"/>
      <c r="RL157" s="191"/>
      <c r="RM157" s="191"/>
      <c r="RN157" s="191"/>
      <c r="RO157" s="191"/>
      <c r="RP157" s="191"/>
      <c r="RQ157" s="191"/>
      <c r="RR157" s="191"/>
      <c r="RS157" s="191"/>
      <c r="RT157" s="191"/>
      <c r="RU157" s="191"/>
      <c r="RV157" s="191"/>
      <c r="RW157" s="191"/>
      <c r="RX157" s="191"/>
      <c r="RY157" s="191"/>
      <c r="RZ157" s="191"/>
      <c r="SA157" s="191"/>
      <c r="SB157" s="191"/>
      <c r="SC157" s="191"/>
      <c r="SD157" s="191"/>
      <c r="SE157" s="191"/>
      <c r="SF157" s="191"/>
      <c r="SG157" s="191"/>
      <c r="SH157" s="191"/>
      <c r="SI157" s="191"/>
      <c r="SJ157" s="191"/>
      <c r="SK157" s="191"/>
      <c r="SL157" s="191"/>
      <c r="SM157" s="191"/>
      <c r="SN157" s="191"/>
      <c r="SO157" s="191"/>
      <c r="SP157" s="191"/>
      <c r="SQ157" s="191"/>
      <c r="SR157" s="191"/>
      <c r="SS157" s="191"/>
      <c r="ST157" s="191"/>
      <c r="SU157" s="191"/>
      <c r="SV157" s="191"/>
      <c r="SW157" s="191"/>
      <c r="SX157" s="191"/>
      <c r="SY157" s="191"/>
      <c r="SZ157" s="191"/>
      <c r="TA157" s="191"/>
      <c r="TB157" s="191"/>
      <c r="TC157" s="191"/>
      <c r="TD157" s="191"/>
      <c r="TE157" s="191"/>
      <c r="TF157" s="191"/>
      <c r="TG157" s="191"/>
      <c r="TH157" s="191"/>
      <c r="TI157" s="191"/>
      <c r="TJ157" s="191"/>
      <c r="TK157" s="191"/>
      <c r="TL157" s="191"/>
      <c r="TM157" s="191"/>
      <c r="TN157" s="191"/>
      <c r="TO157" s="191"/>
      <c r="TP157" s="191"/>
      <c r="TQ157" s="191"/>
      <c r="TR157" s="191"/>
      <c r="TS157" s="191"/>
      <c r="TT157" s="191"/>
      <c r="TU157" s="191"/>
      <c r="TV157" s="191"/>
      <c r="TW157" s="191"/>
      <c r="TX157" s="191"/>
      <c r="TY157" s="191"/>
      <c r="TZ157" s="191"/>
      <c r="UA157" s="191"/>
      <c r="UB157" s="191"/>
      <c r="UC157" s="191"/>
      <c r="UD157" s="191"/>
      <c r="UE157" s="191"/>
      <c r="UF157" s="191"/>
      <c r="UG157" s="191"/>
      <c r="UH157" s="191"/>
      <c r="UI157" s="191"/>
      <c r="UJ157" s="191"/>
      <c r="UK157" s="191"/>
      <c r="UL157" s="191"/>
      <c r="UM157" s="191"/>
      <c r="UN157" s="191"/>
      <c r="UO157" s="191"/>
      <c r="UP157" s="191"/>
      <c r="UQ157" s="191"/>
      <c r="UR157" s="191"/>
      <c r="US157" s="191"/>
      <c r="UT157" s="191"/>
      <c r="UU157" s="191"/>
      <c r="UV157" s="191"/>
      <c r="UW157" s="191"/>
      <c r="UX157" s="191"/>
      <c r="UY157" s="191"/>
      <c r="UZ157" s="191"/>
      <c r="VA157" s="191"/>
      <c r="VB157" s="191"/>
      <c r="VC157" s="191"/>
      <c r="VD157" s="191"/>
      <c r="VE157" s="191"/>
      <c r="VF157" s="191"/>
      <c r="VG157" s="191"/>
      <c r="VH157" s="191"/>
      <c r="VI157" s="191"/>
      <c r="VJ157" s="191"/>
      <c r="VK157" s="191"/>
      <c r="VL157" s="191"/>
      <c r="VM157" s="191"/>
      <c r="VN157" s="191"/>
      <c r="VO157" s="191"/>
      <c r="VP157" s="191"/>
      <c r="VQ157" s="191"/>
      <c r="VR157" s="191"/>
      <c r="VS157" s="191"/>
      <c r="VT157" s="191"/>
      <c r="VU157" s="191"/>
      <c r="VV157" s="191"/>
      <c r="VW157" s="191"/>
      <c r="VX157" s="191"/>
      <c r="VY157" s="191"/>
      <c r="VZ157" s="191"/>
      <c r="WA157" s="191"/>
      <c r="WB157" s="191"/>
      <c r="WC157" s="191"/>
      <c r="WD157" s="191"/>
      <c r="WE157" s="191"/>
      <c r="WF157" s="191"/>
      <c r="WG157" s="191"/>
      <c r="WH157" s="191"/>
      <c r="WI157" s="191"/>
      <c r="WJ157" s="191"/>
      <c r="WK157" s="191"/>
      <c r="WL157" s="191"/>
      <c r="WM157" s="191"/>
      <c r="WN157" s="191"/>
      <c r="WO157" s="191"/>
      <c r="WP157" s="191"/>
      <c r="WQ157" s="191"/>
      <c r="WR157" s="191"/>
      <c r="WS157" s="191"/>
      <c r="WT157" s="191"/>
      <c r="WU157" s="191"/>
      <c r="WV157" s="191"/>
      <c r="WW157" s="191"/>
      <c r="WX157" s="191"/>
      <c r="WY157" s="191"/>
      <c r="WZ157" s="191"/>
      <c r="XA157" s="191"/>
      <c r="XB157" s="191"/>
      <c r="XC157" s="191"/>
      <c r="XD157" s="191"/>
      <c r="XE157" s="191"/>
      <c r="XF157" s="191"/>
      <c r="XG157" s="191"/>
      <c r="XH157" s="191"/>
      <c r="XI157" s="191"/>
      <c r="XJ157" s="191"/>
      <c r="XK157" s="191"/>
      <c r="XL157" s="191"/>
      <c r="XM157" s="191"/>
      <c r="XN157" s="191"/>
      <c r="XO157" s="191"/>
      <c r="XP157" s="191"/>
      <c r="XQ157" s="191"/>
      <c r="XR157" s="191"/>
      <c r="XS157" s="191"/>
      <c r="XT157" s="191"/>
      <c r="XU157" s="191"/>
      <c r="XV157" s="191"/>
      <c r="XW157" s="191"/>
      <c r="XX157" s="191"/>
      <c r="XY157" s="191"/>
      <c r="XZ157" s="191"/>
      <c r="YA157" s="191"/>
      <c r="YB157" s="191"/>
      <c r="YC157" s="191"/>
      <c r="YD157" s="191"/>
      <c r="YE157" s="191"/>
      <c r="YF157" s="191"/>
      <c r="YG157" s="191"/>
      <c r="YH157" s="191"/>
      <c r="YI157" s="191"/>
      <c r="YJ157" s="191"/>
      <c r="YK157" s="191"/>
      <c r="YL157" s="191"/>
      <c r="YM157" s="191"/>
      <c r="YN157" s="191"/>
      <c r="YO157" s="191"/>
      <c r="YP157" s="191"/>
      <c r="YQ157" s="191"/>
      <c r="YR157" s="191"/>
      <c r="YS157" s="191"/>
      <c r="YT157" s="191"/>
      <c r="YU157" s="191"/>
      <c r="YV157" s="191"/>
      <c r="YW157" s="191"/>
      <c r="YX157" s="191"/>
      <c r="YY157" s="191"/>
      <c r="YZ157" s="191"/>
      <c r="ZA157" s="191"/>
      <c r="ZB157" s="191"/>
      <c r="ZC157" s="191"/>
      <c r="ZD157" s="191"/>
      <c r="ZE157" s="191"/>
      <c r="ZF157" s="191"/>
      <c r="ZG157" s="191"/>
      <c r="ZH157" s="191"/>
      <c r="ZI157" s="191"/>
      <c r="ZJ157" s="191"/>
      <c r="ZK157" s="191"/>
      <c r="ZL157" s="191"/>
      <c r="ZM157" s="191"/>
      <c r="ZN157" s="191"/>
      <c r="ZO157" s="191"/>
      <c r="ZP157" s="191"/>
      <c r="ZQ157" s="191"/>
      <c r="ZR157" s="191"/>
      <c r="ZS157" s="191"/>
      <c r="ZT157" s="191"/>
      <c r="ZU157" s="191"/>
      <c r="ZV157" s="191"/>
      <c r="ZW157" s="191"/>
      <c r="ZX157" s="191"/>
      <c r="ZY157" s="191"/>
      <c r="ZZ157" s="191"/>
      <c r="AAA157" s="191"/>
      <c r="AAB157" s="191"/>
      <c r="AAC157" s="191"/>
      <c r="AAD157" s="191"/>
      <c r="AAE157" s="191"/>
      <c r="AAF157" s="191"/>
      <c r="AAG157" s="191"/>
      <c r="AAH157" s="191"/>
      <c r="AAI157" s="191"/>
      <c r="AAJ157" s="191"/>
      <c r="AAK157" s="191"/>
      <c r="AAL157" s="191"/>
      <c r="AAM157" s="191"/>
      <c r="AAN157" s="191"/>
      <c r="AAO157" s="191"/>
      <c r="AAP157" s="191"/>
      <c r="AAQ157" s="191"/>
      <c r="AAR157" s="191"/>
      <c r="AAS157" s="191"/>
      <c r="AAT157" s="191"/>
      <c r="AAU157" s="191"/>
      <c r="AAV157" s="191"/>
      <c r="AAW157" s="191"/>
      <c r="AAX157" s="191"/>
      <c r="AAY157" s="191"/>
      <c r="AAZ157" s="191"/>
      <c r="ABA157" s="191"/>
      <c r="ABB157" s="191"/>
      <c r="ABC157" s="191"/>
      <c r="ABD157" s="191"/>
      <c r="ABE157" s="191"/>
      <c r="ABF157" s="191"/>
      <c r="ABG157" s="191"/>
      <c r="ABH157" s="191"/>
      <c r="ABI157" s="191"/>
      <c r="ABJ157" s="191"/>
      <c r="ABK157" s="191"/>
      <c r="ABL157" s="191"/>
      <c r="ABM157" s="191"/>
      <c r="ABN157" s="191"/>
      <c r="ABO157" s="191"/>
      <c r="ABP157" s="191"/>
      <c r="ABQ157" s="191"/>
      <c r="ABR157" s="191"/>
      <c r="ABS157" s="191"/>
      <c r="ABT157" s="191"/>
      <c r="ABU157" s="191"/>
      <c r="ABV157" s="191"/>
      <c r="ABW157" s="191"/>
      <c r="ABX157" s="191"/>
      <c r="ABY157" s="191"/>
      <c r="ABZ157" s="191"/>
      <c r="ACA157" s="191"/>
      <c r="ACB157" s="191"/>
      <c r="ACC157" s="191"/>
      <c r="ACD157" s="191"/>
      <c r="ACE157" s="191"/>
      <c r="ACF157" s="191"/>
      <c r="ACG157" s="191"/>
      <c r="ACH157" s="191"/>
      <c r="ACI157" s="191"/>
      <c r="ACJ157" s="191"/>
      <c r="ACK157" s="191"/>
      <c r="ACL157" s="191"/>
      <c r="ACM157" s="191"/>
      <c r="ACN157" s="191"/>
      <c r="ACO157" s="191"/>
      <c r="ACP157" s="191"/>
      <c r="ACQ157" s="191"/>
      <c r="ACR157" s="191"/>
      <c r="ACS157" s="191"/>
      <c r="ACT157" s="191"/>
      <c r="ACU157" s="191"/>
      <c r="ACV157" s="191"/>
      <c r="ACW157" s="191"/>
      <c r="ACX157" s="191"/>
      <c r="ACY157" s="191"/>
      <c r="ACZ157" s="191"/>
      <c r="ADA157" s="191"/>
      <c r="ADB157" s="191"/>
      <c r="ADC157" s="191"/>
      <c r="ADD157" s="191"/>
      <c r="ADE157" s="191"/>
      <c r="ADF157" s="191"/>
      <c r="ADG157" s="191"/>
      <c r="ADH157" s="191"/>
      <c r="ADI157" s="191"/>
      <c r="ADJ157" s="191"/>
      <c r="ADK157" s="191"/>
      <c r="ADL157" s="191"/>
      <c r="ADM157" s="191"/>
      <c r="ADN157" s="191"/>
      <c r="ADO157" s="191"/>
      <c r="ADP157" s="191"/>
      <c r="ADQ157" s="191"/>
      <c r="ADR157" s="191"/>
      <c r="ADS157" s="191"/>
      <c r="ADT157" s="191"/>
      <c r="ADU157" s="191"/>
      <c r="ADV157" s="191"/>
      <c r="ADW157" s="191"/>
      <c r="ADX157" s="191"/>
      <c r="ADY157" s="191"/>
      <c r="ADZ157" s="191"/>
      <c r="AEA157" s="191"/>
      <c r="AEB157" s="191"/>
      <c r="AEC157" s="191"/>
      <c r="AED157" s="191"/>
      <c r="AEE157" s="191"/>
      <c r="AEF157" s="191"/>
      <c r="AEG157" s="191"/>
      <c r="AEH157" s="191"/>
      <c r="AEI157" s="191"/>
      <c r="AEJ157" s="191"/>
      <c r="AEK157" s="191"/>
      <c r="AEL157" s="191"/>
      <c r="AEM157" s="191"/>
      <c r="AEN157" s="191"/>
      <c r="AEO157" s="191"/>
      <c r="AEP157" s="191"/>
      <c r="AEQ157" s="191"/>
      <c r="AER157" s="191"/>
      <c r="AES157" s="191"/>
      <c r="AET157" s="191"/>
      <c r="AEU157" s="191"/>
      <c r="AEV157" s="191"/>
      <c r="AEW157" s="191"/>
      <c r="AEX157" s="191"/>
      <c r="AEY157" s="191"/>
      <c r="AEZ157" s="191"/>
      <c r="AFA157" s="191"/>
      <c r="AFB157" s="191"/>
      <c r="AFC157" s="191"/>
      <c r="AFD157" s="191"/>
      <c r="AFE157" s="191"/>
      <c r="AFF157" s="191"/>
      <c r="AFG157" s="191"/>
      <c r="AFH157" s="191"/>
      <c r="AFI157" s="191"/>
      <c r="AFJ157" s="191"/>
      <c r="AFK157" s="191"/>
      <c r="AFL157" s="191"/>
      <c r="AFM157" s="191"/>
      <c r="AFN157" s="191"/>
      <c r="AFO157" s="191"/>
      <c r="AFP157" s="191"/>
      <c r="AFQ157" s="191"/>
      <c r="AFR157" s="191"/>
      <c r="AFS157" s="191"/>
      <c r="AFT157" s="191"/>
      <c r="AFU157" s="191"/>
      <c r="AFV157" s="191"/>
      <c r="AFW157" s="191"/>
      <c r="AFX157" s="191"/>
      <c r="AFY157" s="191"/>
      <c r="AFZ157" s="191"/>
      <c r="AGA157" s="191"/>
      <c r="AGB157" s="191"/>
      <c r="AGC157" s="191"/>
      <c r="AGD157" s="191"/>
      <c r="AGE157" s="191"/>
      <c r="AGF157" s="191"/>
      <c r="AGG157" s="191"/>
      <c r="AGH157" s="191"/>
      <c r="AGI157" s="191"/>
      <c r="AGJ157" s="191"/>
      <c r="AGK157" s="191"/>
      <c r="AGL157" s="191"/>
      <c r="AGM157" s="191"/>
      <c r="AGN157" s="191"/>
      <c r="AGO157" s="191"/>
      <c r="AGP157" s="191"/>
      <c r="AGQ157" s="191"/>
      <c r="AGR157" s="191"/>
      <c r="AGS157" s="191"/>
      <c r="AGT157" s="191"/>
      <c r="AGU157" s="191"/>
      <c r="AGV157" s="191"/>
      <c r="AGW157" s="191"/>
      <c r="AGX157" s="191"/>
      <c r="AGY157" s="191"/>
      <c r="AGZ157" s="191"/>
      <c r="AHA157" s="191"/>
      <c r="AHB157" s="191"/>
      <c r="AHC157" s="191"/>
      <c r="AHD157" s="191"/>
      <c r="AHE157" s="191"/>
      <c r="AHF157" s="191"/>
      <c r="AHG157" s="191"/>
      <c r="AHH157" s="191"/>
      <c r="AHI157" s="191"/>
      <c r="AHJ157" s="191"/>
      <c r="AHK157" s="191"/>
      <c r="AHL157" s="191"/>
      <c r="AHM157" s="191"/>
      <c r="AHN157" s="191"/>
      <c r="AHO157" s="191"/>
      <c r="AHP157" s="191"/>
      <c r="AHQ157" s="191"/>
      <c r="AHR157" s="191"/>
      <c r="AHS157" s="191"/>
      <c r="AHT157" s="191"/>
      <c r="AHU157" s="191"/>
      <c r="AHV157" s="191"/>
      <c r="AHW157" s="191"/>
      <c r="AHX157" s="191"/>
      <c r="AHY157" s="191"/>
      <c r="AHZ157" s="191"/>
      <c r="AIA157" s="191"/>
      <c r="AIB157" s="191"/>
      <c r="AIC157" s="191"/>
      <c r="AID157" s="191"/>
      <c r="AIE157" s="191"/>
      <c r="AIF157" s="191"/>
      <c r="AIG157" s="191"/>
      <c r="AIH157" s="191"/>
      <c r="AII157" s="191"/>
      <c r="AIJ157" s="191"/>
      <c r="AIK157" s="191"/>
      <c r="AIL157" s="191"/>
      <c r="AIM157" s="191"/>
      <c r="AIN157" s="191"/>
      <c r="AIO157" s="191"/>
      <c r="AIP157" s="191"/>
      <c r="AIQ157" s="191"/>
      <c r="AIR157" s="191"/>
      <c r="AIS157" s="191"/>
      <c r="AIT157" s="191"/>
      <c r="AIU157" s="191"/>
      <c r="AIV157" s="191"/>
      <c r="AIW157" s="191"/>
      <c r="AIX157" s="191"/>
      <c r="AIY157" s="191"/>
      <c r="AIZ157" s="191"/>
      <c r="AJA157" s="191"/>
      <c r="AJB157" s="191"/>
      <c r="AJC157" s="191"/>
      <c r="AJD157" s="191"/>
      <c r="AJE157" s="191"/>
      <c r="AJF157" s="191"/>
      <c r="AJG157" s="191"/>
      <c r="AJH157" s="191"/>
      <c r="AJI157" s="191"/>
      <c r="AJJ157" s="191"/>
      <c r="AJK157" s="191"/>
      <c r="AJL157" s="191"/>
      <c r="AJM157" s="191"/>
      <c r="AJN157" s="191"/>
      <c r="AJO157" s="191"/>
      <c r="AJP157" s="191"/>
      <c r="AJQ157" s="191"/>
      <c r="AJR157" s="191"/>
      <c r="AJS157" s="191"/>
      <c r="AJT157" s="191"/>
      <c r="AJU157" s="191"/>
      <c r="AJV157" s="191"/>
      <c r="AJW157" s="191"/>
      <c r="AJX157" s="191"/>
      <c r="AJY157" s="191"/>
      <c r="AJZ157" s="191"/>
      <c r="AKA157" s="191"/>
      <c r="AKB157" s="191"/>
      <c r="AKC157" s="191"/>
      <c r="AKD157" s="191"/>
      <c r="AKE157" s="191"/>
      <c r="AKF157" s="191"/>
      <c r="AKG157" s="191"/>
      <c r="AKH157" s="191"/>
      <c r="AKI157" s="191"/>
      <c r="AKJ157" s="191"/>
      <c r="AKK157" s="191"/>
      <c r="AKL157" s="191"/>
      <c r="AKM157" s="191"/>
      <c r="AKN157" s="191"/>
      <c r="AKO157" s="191"/>
      <c r="AKP157" s="191"/>
      <c r="AKQ157" s="191"/>
      <c r="AKR157" s="191"/>
      <c r="AKS157" s="191"/>
      <c r="AKT157" s="191"/>
      <c r="AKU157" s="191"/>
      <c r="AKV157" s="191"/>
      <c r="AKW157" s="191"/>
      <c r="AKX157" s="191"/>
      <c r="AKY157" s="191"/>
      <c r="AKZ157" s="191"/>
      <c r="ALA157" s="191"/>
      <c r="ALB157" s="191"/>
      <c r="ALC157" s="191"/>
      <c r="ALD157" s="191"/>
      <c r="ALE157" s="191"/>
      <c r="ALF157" s="191"/>
      <c r="ALG157" s="191"/>
      <c r="ALH157" s="191"/>
      <c r="ALI157" s="191"/>
      <c r="ALJ157" s="191"/>
      <c r="ALK157" s="191"/>
      <c r="ALL157" s="191"/>
      <c r="ALM157" s="191"/>
      <c r="ALN157" s="191"/>
      <c r="ALO157" s="191"/>
      <c r="ALP157" s="191"/>
      <c r="ALQ157" s="191"/>
      <c r="ALR157" s="191"/>
      <c r="ALS157" s="191"/>
      <c r="ALT157" s="191"/>
      <c r="ALU157" s="191"/>
      <c r="ALV157" s="191"/>
      <c r="ALW157" s="191"/>
      <c r="ALX157" s="191"/>
      <c r="ALY157" s="191"/>
      <c r="ALZ157" s="191"/>
      <c r="AMA157" s="191"/>
      <c r="AMB157" s="191"/>
      <c r="AMC157" s="191"/>
      <c r="AMD157" s="191"/>
      <c r="AME157" s="191"/>
      <c r="AMF157" s="191"/>
      <c r="AMG157" s="191"/>
      <c r="AMH157" s="191"/>
      <c r="AMI157" s="191"/>
      <c r="AMJ157" s="191"/>
      <c r="AMK157" s="191"/>
      <c r="AML157" s="191"/>
      <c r="AMM157" s="191"/>
      <c r="AMN157" s="191"/>
      <c r="AMO157" s="191"/>
      <c r="AMP157" s="191"/>
      <c r="AMQ157" s="191"/>
      <c r="AMR157" s="191"/>
      <c r="AMS157" s="191"/>
      <c r="AMT157" s="191"/>
      <c r="AMU157" s="191"/>
      <c r="AMV157" s="191"/>
      <c r="AMW157" s="191"/>
      <c r="AMX157" s="191"/>
      <c r="AMY157" s="191"/>
      <c r="AMZ157" s="191"/>
      <c r="ANA157" s="191"/>
      <c r="ANB157" s="191"/>
      <c r="ANC157" s="191"/>
      <c r="AND157" s="191"/>
      <c r="ANE157" s="191"/>
      <c r="ANF157" s="191"/>
      <c r="ANG157" s="191"/>
      <c r="ANH157" s="191"/>
      <c r="ANI157" s="191"/>
      <c r="ANJ157" s="191"/>
      <c r="ANK157" s="191"/>
      <c r="ANL157" s="191"/>
      <c r="ANM157" s="191"/>
      <c r="ANN157" s="191"/>
      <c r="ANO157" s="191"/>
      <c r="ANP157" s="191"/>
      <c r="ANQ157" s="191"/>
      <c r="ANR157" s="191"/>
      <c r="ANS157" s="191"/>
      <c r="ANT157" s="191"/>
      <c r="ANU157" s="191"/>
      <c r="ANV157" s="191"/>
      <c r="ANW157" s="191"/>
      <c r="ANX157" s="191"/>
      <c r="ANY157" s="191"/>
      <c r="ANZ157" s="191"/>
      <c r="AOA157" s="191"/>
      <c r="AOB157" s="191"/>
      <c r="AOC157" s="191"/>
      <c r="AOD157" s="191"/>
      <c r="AOE157" s="191"/>
      <c r="AOF157" s="191"/>
      <c r="AOG157" s="191"/>
      <c r="AOH157" s="191"/>
      <c r="AOI157" s="191"/>
      <c r="AOJ157" s="191"/>
      <c r="AOK157" s="191"/>
      <c r="AOL157" s="191"/>
      <c r="AOM157" s="191"/>
      <c r="AON157" s="191"/>
      <c r="AOO157" s="191"/>
      <c r="AOP157" s="191"/>
      <c r="AOQ157" s="191"/>
      <c r="AOR157" s="191"/>
      <c r="AOS157" s="191"/>
      <c r="AOT157" s="191"/>
      <c r="AOU157" s="191"/>
      <c r="AOV157" s="191"/>
      <c r="AOW157" s="191"/>
      <c r="AOX157" s="191"/>
      <c r="AOY157" s="191"/>
      <c r="AOZ157" s="191"/>
      <c r="APA157" s="191"/>
      <c r="APB157" s="191"/>
      <c r="APC157" s="191"/>
      <c r="APD157" s="191"/>
      <c r="APE157" s="191"/>
      <c r="APF157" s="191"/>
      <c r="APG157" s="191"/>
      <c r="APH157" s="191"/>
      <c r="API157" s="191"/>
      <c r="APJ157" s="191"/>
      <c r="APK157" s="191"/>
      <c r="APL157" s="191"/>
      <c r="APM157" s="191"/>
      <c r="APN157" s="191"/>
      <c r="APO157" s="191"/>
      <c r="APP157" s="191"/>
      <c r="APQ157" s="191"/>
      <c r="APR157" s="191"/>
      <c r="APS157" s="191"/>
      <c r="APT157" s="191"/>
      <c r="APU157" s="191"/>
      <c r="APV157" s="191"/>
      <c r="APW157" s="191"/>
      <c r="APX157" s="191"/>
      <c r="APY157" s="191"/>
      <c r="APZ157" s="191"/>
      <c r="AQA157" s="191"/>
      <c r="AQB157" s="191"/>
      <c r="AQC157" s="191"/>
      <c r="AQD157" s="191"/>
      <c r="AQE157" s="191"/>
      <c r="AQF157" s="191"/>
      <c r="AQG157" s="191"/>
      <c r="AQH157" s="191"/>
      <c r="AQI157" s="191"/>
      <c r="AQJ157" s="191"/>
      <c r="AQK157" s="191"/>
      <c r="AQL157" s="191"/>
      <c r="AQM157" s="191"/>
      <c r="AQN157" s="191"/>
      <c r="AQO157" s="191"/>
      <c r="AQP157" s="191"/>
      <c r="AQQ157" s="191"/>
      <c r="AQR157" s="191"/>
      <c r="AQS157" s="191"/>
      <c r="AQT157" s="191"/>
      <c r="AQU157" s="191"/>
      <c r="AQV157" s="191"/>
      <c r="AQW157" s="191"/>
      <c r="AQX157" s="191"/>
      <c r="AQY157" s="191"/>
      <c r="AQZ157" s="191"/>
      <c r="ARA157" s="191"/>
      <c r="ARB157" s="191"/>
      <c r="ARC157" s="191"/>
      <c r="ARD157" s="191"/>
      <c r="ARE157" s="191"/>
      <c r="ARF157" s="191"/>
      <c r="ARG157" s="191"/>
      <c r="ARH157" s="191"/>
      <c r="ARI157" s="191"/>
      <c r="ARJ157" s="191"/>
      <c r="ARK157" s="191"/>
      <c r="ARL157" s="191"/>
      <c r="ARM157" s="191"/>
      <c r="ARN157" s="191"/>
      <c r="ARO157" s="191"/>
      <c r="ARP157" s="191"/>
      <c r="ARQ157" s="191"/>
      <c r="ARR157" s="191"/>
      <c r="ARS157" s="191"/>
      <c r="ART157" s="191"/>
      <c r="ARU157" s="191"/>
      <c r="ARV157" s="191"/>
      <c r="ARW157" s="191"/>
      <c r="ARX157" s="191"/>
      <c r="ARY157" s="191"/>
      <c r="ARZ157" s="191"/>
      <c r="ASA157" s="191"/>
      <c r="ASB157" s="191"/>
      <c r="ASC157" s="191"/>
      <c r="ASD157" s="191"/>
      <c r="ASE157" s="191"/>
      <c r="ASF157" s="191"/>
      <c r="ASG157" s="191"/>
      <c r="ASH157" s="191"/>
      <c r="ASI157" s="191"/>
      <c r="ASJ157" s="191"/>
      <c r="ASK157" s="191"/>
      <c r="ASL157" s="191"/>
      <c r="ASM157" s="191"/>
      <c r="ASN157" s="191"/>
      <c r="ASO157" s="191"/>
      <c r="ASP157" s="191"/>
      <c r="ASQ157" s="191"/>
      <c r="ASR157" s="191"/>
      <c r="ASS157" s="191"/>
      <c r="AST157" s="191"/>
      <c r="ASU157" s="191"/>
      <c r="ASV157" s="191"/>
      <c r="ASW157" s="191"/>
      <c r="ASX157" s="191"/>
      <c r="ASY157" s="191"/>
      <c r="ASZ157" s="191"/>
      <c r="ATA157" s="191"/>
      <c r="ATB157" s="191"/>
      <c r="ATC157" s="191"/>
      <c r="ATD157" s="191"/>
      <c r="ATE157" s="191"/>
      <c r="ATF157" s="191"/>
      <c r="ATG157" s="191"/>
      <c r="ATH157" s="191"/>
      <c r="ATI157" s="191"/>
      <c r="ATJ157" s="191"/>
      <c r="ATK157" s="191"/>
      <c r="ATL157" s="191"/>
      <c r="ATM157" s="191"/>
      <c r="ATN157" s="191"/>
      <c r="ATO157" s="191"/>
      <c r="ATP157" s="191"/>
      <c r="ATQ157" s="191"/>
      <c r="ATR157" s="191"/>
      <c r="ATS157" s="191"/>
      <c r="ATT157" s="191"/>
      <c r="ATU157" s="191"/>
      <c r="ATV157" s="191"/>
      <c r="ATW157" s="191"/>
      <c r="ATX157" s="191"/>
      <c r="ATY157" s="191"/>
      <c r="ATZ157" s="191"/>
      <c r="AUA157" s="191"/>
      <c r="AUB157" s="191"/>
      <c r="AUC157" s="191"/>
      <c r="AUD157" s="191"/>
      <c r="AUE157" s="191"/>
      <c r="AUF157" s="191"/>
      <c r="AUG157" s="191"/>
      <c r="AUH157" s="191"/>
      <c r="AUI157" s="191"/>
      <c r="AUJ157" s="191"/>
      <c r="AUK157" s="191"/>
      <c r="AUL157" s="191"/>
      <c r="AUM157" s="191"/>
      <c r="AUN157" s="191"/>
      <c r="AUO157" s="191"/>
      <c r="AUP157" s="191"/>
      <c r="AUQ157" s="191"/>
      <c r="AUR157" s="191"/>
      <c r="AUS157" s="191"/>
      <c r="AUT157" s="191"/>
      <c r="AUU157" s="191"/>
      <c r="AUV157" s="191"/>
      <c r="AUW157" s="191"/>
      <c r="AUX157" s="191"/>
      <c r="AUY157" s="191"/>
      <c r="AUZ157" s="191"/>
      <c r="AVA157" s="191"/>
      <c r="AVB157" s="191"/>
      <c r="AVC157" s="191"/>
      <c r="AVD157" s="191"/>
      <c r="AVE157" s="191"/>
      <c r="AVF157" s="191"/>
      <c r="AVG157" s="191"/>
      <c r="AVH157" s="191"/>
      <c r="AVI157" s="191"/>
      <c r="AVJ157" s="191"/>
      <c r="AVK157" s="191"/>
      <c r="AVL157" s="191"/>
      <c r="AVM157" s="191"/>
      <c r="AVN157" s="191"/>
      <c r="AVO157" s="191"/>
      <c r="AVP157" s="191"/>
      <c r="AVQ157" s="191"/>
      <c r="AVR157" s="191"/>
      <c r="AVS157" s="191"/>
      <c r="AVT157" s="191"/>
      <c r="AVU157" s="191"/>
      <c r="AVV157" s="191"/>
      <c r="AVW157" s="191"/>
      <c r="AVX157" s="191"/>
      <c r="AVY157" s="191"/>
      <c r="AVZ157" s="191"/>
      <c r="AWA157" s="191"/>
      <c r="AWB157" s="191"/>
      <c r="AWC157" s="191"/>
      <c r="AWD157" s="191"/>
      <c r="AWE157" s="191"/>
      <c r="AWF157" s="191"/>
      <c r="AWG157" s="191"/>
      <c r="AWH157" s="191"/>
      <c r="AWI157" s="191"/>
      <c r="AWJ157" s="191"/>
      <c r="AWK157" s="191"/>
      <c r="AWL157" s="191"/>
      <c r="AWM157" s="191"/>
      <c r="AWN157" s="191"/>
      <c r="AWO157" s="191"/>
      <c r="AWP157" s="191"/>
      <c r="AWQ157" s="191"/>
      <c r="AWR157" s="191"/>
      <c r="AWS157" s="191"/>
      <c r="AWT157" s="191"/>
      <c r="AWU157" s="191"/>
      <c r="AWV157" s="191"/>
      <c r="AWW157" s="191"/>
      <c r="AWX157" s="191"/>
      <c r="AWY157" s="191"/>
      <c r="AWZ157" s="191"/>
      <c r="AXA157" s="191"/>
      <c r="AXB157" s="191"/>
      <c r="AXC157" s="191"/>
      <c r="AXD157" s="191"/>
      <c r="AXE157" s="191"/>
      <c r="AXF157" s="191"/>
      <c r="AXG157" s="191"/>
      <c r="AXH157" s="191"/>
      <c r="AXI157" s="191"/>
      <c r="AXJ157" s="191"/>
      <c r="AXK157" s="191"/>
      <c r="AXL157" s="191"/>
      <c r="AXM157" s="191"/>
      <c r="AXN157" s="191"/>
      <c r="AXO157" s="191"/>
      <c r="AXP157" s="191"/>
      <c r="AXQ157" s="191"/>
      <c r="AXR157" s="191"/>
      <c r="AXS157" s="191"/>
      <c r="AXT157" s="191"/>
      <c r="AXU157" s="191"/>
      <c r="AXV157" s="191"/>
      <c r="AXW157" s="191"/>
      <c r="AXX157" s="191"/>
      <c r="AXY157" s="191"/>
      <c r="AXZ157" s="191"/>
      <c r="AYA157" s="191"/>
      <c r="AYB157" s="191"/>
      <c r="AYC157" s="191"/>
      <c r="AYD157" s="191"/>
      <c r="AYE157" s="191"/>
      <c r="AYF157" s="191"/>
      <c r="AYG157" s="191"/>
      <c r="AYH157" s="191"/>
      <c r="AYI157" s="191"/>
      <c r="AYJ157" s="191"/>
      <c r="AYK157" s="191"/>
      <c r="AYL157" s="191"/>
      <c r="AYM157" s="191"/>
      <c r="AYN157" s="191"/>
      <c r="AYO157" s="191"/>
      <c r="AYP157" s="191"/>
      <c r="AYQ157" s="191"/>
      <c r="AYR157" s="191"/>
      <c r="AYS157" s="191"/>
      <c r="AYT157" s="191"/>
      <c r="AYU157" s="191"/>
      <c r="AYV157" s="191"/>
      <c r="AYW157" s="191"/>
      <c r="AYX157" s="191"/>
      <c r="AYY157" s="191"/>
      <c r="AYZ157" s="191"/>
      <c r="AZA157" s="191"/>
      <c r="AZB157" s="191"/>
      <c r="AZC157" s="191"/>
      <c r="AZD157" s="191"/>
      <c r="AZE157" s="191"/>
      <c r="AZF157" s="191"/>
      <c r="AZG157" s="191"/>
      <c r="AZH157" s="191"/>
      <c r="AZI157" s="191"/>
      <c r="AZJ157" s="191"/>
      <c r="AZK157" s="191"/>
      <c r="AZL157" s="191"/>
      <c r="AZM157" s="191"/>
      <c r="AZN157" s="191"/>
      <c r="AZO157" s="191"/>
      <c r="AZP157" s="191"/>
      <c r="AZQ157" s="191"/>
      <c r="AZR157" s="191"/>
      <c r="AZS157" s="191"/>
      <c r="AZT157" s="191"/>
      <c r="AZU157" s="191"/>
      <c r="AZV157" s="191"/>
      <c r="AZW157" s="191"/>
      <c r="AZX157" s="191"/>
      <c r="AZY157" s="191"/>
      <c r="AZZ157" s="191"/>
      <c r="BAA157" s="191"/>
      <c r="BAB157" s="191"/>
      <c r="BAC157" s="191"/>
      <c r="BAD157" s="191"/>
      <c r="BAE157" s="191"/>
      <c r="BAF157" s="191"/>
      <c r="BAG157" s="191"/>
      <c r="BAH157" s="191"/>
      <c r="BAI157" s="191"/>
      <c r="BAJ157" s="191"/>
      <c r="BAK157" s="191"/>
      <c r="BAL157" s="191"/>
      <c r="BAM157" s="191"/>
      <c r="BAN157" s="191"/>
      <c r="BAO157" s="191"/>
      <c r="BAP157" s="191"/>
      <c r="BAQ157" s="191"/>
      <c r="BAR157" s="191"/>
      <c r="BAS157" s="191"/>
      <c r="BAT157" s="191"/>
      <c r="BAU157" s="191"/>
      <c r="BAV157" s="191"/>
      <c r="BAW157" s="191"/>
      <c r="BAX157" s="191"/>
      <c r="BAY157" s="191"/>
      <c r="BAZ157" s="191"/>
      <c r="BBA157" s="191"/>
      <c r="BBB157" s="191"/>
      <c r="BBC157" s="191"/>
      <c r="BBD157" s="191"/>
      <c r="BBE157" s="191"/>
      <c r="BBF157" s="191"/>
      <c r="BBG157" s="191"/>
      <c r="BBH157" s="191"/>
      <c r="BBI157" s="191"/>
      <c r="BBJ157" s="191"/>
      <c r="BBK157" s="191"/>
      <c r="BBL157" s="191"/>
      <c r="BBM157" s="191"/>
      <c r="BBN157" s="191"/>
      <c r="BBO157" s="191"/>
      <c r="BBP157" s="191"/>
      <c r="BBQ157" s="191"/>
      <c r="BBR157" s="191"/>
      <c r="BBS157" s="191"/>
      <c r="BBT157" s="191"/>
      <c r="BBU157" s="191"/>
      <c r="BBV157" s="191"/>
      <c r="BBW157" s="191"/>
      <c r="BBX157" s="191"/>
      <c r="BBY157" s="191"/>
      <c r="BBZ157" s="191"/>
      <c r="BCA157" s="191"/>
      <c r="BCB157" s="191"/>
      <c r="BCC157" s="191"/>
      <c r="BCD157" s="191"/>
      <c r="BCE157" s="191"/>
      <c r="BCF157" s="191"/>
      <c r="BCG157" s="191"/>
      <c r="BCH157" s="191"/>
      <c r="BCI157" s="191"/>
      <c r="BCJ157" s="191"/>
      <c r="BCK157" s="191"/>
      <c r="BCL157" s="191"/>
      <c r="BCM157" s="191"/>
      <c r="BCN157" s="191"/>
      <c r="BCO157" s="191"/>
      <c r="BCP157" s="191"/>
      <c r="BCQ157" s="191"/>
      <c r="BCR157" s="191"/>
      <c r="BCS157" s="191"/>
      <c r="BCT157" s="191"/>
      <c r="BCU157" s="191"/>
      <c r="BCV157" s="191"/>
      <c r="BCW157" s="191"/>
      <c r="BCX157" s="191"/>
      <c r="BCY157" s="191"/>
      <c r="BCZ157" s="191"/>
      <c r="BDA157" s="191"/>
      <c r="BDB157" s="191"/>
      <c r="BDC157" s="191"/>
      <c r="BDD157" s="191"/>
      <c r="BDE157" s="191"/>
      <c r="BDF157" s="191"/>
      <c r="BDG157" s="191"/>
      <c r="BDH157" s="191"/>
      <c r="BDI157" s="191"/>
      <c r="BDJ157" s="191"/>
      <c r="BDK157" s="191"/>
      <c r="BDL157" s="191"/>
      <c r="BDM157" s="191"/>
      <c r="BDN157" s="191"/>
      <c r="BDO157" s="191"/>
      <c r="BDP157" s="191"/>
      <c r="BDQ157" s="191"/>
      <c r="BDR157" s="191"/>
      <c r="BDS157" s="191"/>
      <c r="BDT157" s="191"/>
      <c r="BDU157" s="191"/>
      <c r="BDV157" s="191"/>
      <c r="BDW157" s="191"/>
      <c r="BDX157" s="191"/>
      <c r="BDY157" s="191"/>
      <c r="BDZ157" s="191"/>
      <c r="BEA157" s="191"/>
      <c r="BEB157" s="191"/>
      <c r="BEC157" s="191"/>
      <c r="BED157" s="191"/>
      <c r="BEE157" s="191"/>
      <c r="BEF157" s="191"/>
      <c r="BEG157" s="191"/>
      <c r="BEH157" s="191"/>
      <c r="BEI157" s="191"/>
      <c r="BEJ157" s="191"/>
      <c r="BEK157" s="191"/>
      <c r="BEL157" s="191"/>
      <c r="BEM157" s="191"/>
      <c r="BEN157" s="191"/>
      <c r="BEO157" s="191"/>
      <c r="BEP157" s="191"/>
      <c r="BEQ157" s="191"/>
      <c r="BER157" s="191"/>
      <c r="BES157" s="191"/>
      <c r="BET157" s="191"/>
      <c r="BEU157" s="191"/>
      <c r="BEV157" s="191"/>
      <c r="BEW157" s="191"/>
      <c r="BEX157" s="191"/>
      <c r="BEY157" s="191"/>
      <c r="BEZ157" s="191"/>
      <c r="BFA157" s="191"/>
      <c r="BFB157" s="191"/>
      <c r="BFC157" s="191"/>
      <c r="BFD157" s="191"/>
      <c r="BFE157" s="191"/>
      <c r="BFF157" s="191"/>
      <c r="BFG157" s="191"/>
      <c r="BFH157" s="191"/>
      <c r="BFI157" s="191"/>
      <c r="BFJ157" s="191"/>
      <c r="BFK157" s="191"/>
      <c r="BFL157" s="191"/>
      <c r="BFM157" s="191"/>
      <c r="BFN157" s="191"/>
      <c r="BFO157" s="191"/>
      <c r="BFP157" s="191"/>
      <c r="BFQ157" s="191"/>
      <c r="BFR157" s="191"/>
      <c r="BFS157" s="191"/>
      <c r="BFT157" s="191"/>
      <c r="BFU157" s="191"/>
      <c r="BFV157" s="191"/>
      <c r="BFW157" s="191"/>
      <c r="BFX157" s="191"/>
      <c r="BFY157" s="191"/>
      <c r="BFZ157" s="191"/>
      <c r="BGA157" s="191"/>
      <c r="BGB157" s="191"/>
      <c r="BGC157" s="191"/>
      <c r="BGD157" s="191"/>
      <c r="BGE157" s="191"/>
      <c r="BGF157" s="191"/>
      <c r="BGG157" s="191"/>
      <c r="BGH157" s="191"/>
      <c r="BGI157" s="191"/>
      <c r="BGJ157" s="191"/>
      <c r="BGK157" s="191"/>
      <c r="BGL157" s="191"/>
      <c r="BGM157" s="191"/>
      <c r="BGN157" s="191"/>
      <c r="BGO157" s="191"/>
      <c r="BGP157" s="191"/>
      <c r="BGQ157" s="191"/>
      <c r="BGR157" s="191"/>
      <c r="BGS157" s="191"/>
      <c r="BGT157" s="191"/>
      <c r="BGU157" s="191"/>
      <c r="BGV157" s="191"/>
      <c r="BGW157" s="191"/>
      <c r="BGX157" s="191"/>
      <c r="BGY157" s="191"/>
      <c r="BGZ157" s="191"/>
      <c r="BHA157" s="191"/>
      <c r="BHB157" s="191"/>
      <c r="BHC157" s="191"/>
      <c r="BHD157" s="191"/>
      <c r="BHE157" s="191"/>
      <c r="BHF157" s="191"/>
      <c r="BHG157" s="191"/>
      <c r="BHH157" s="191"/>
      <c r="BHI157" s="191"/>
      <c r="BHJ157" s="191"/>
      <c r="BHK157" s="191"/>
      <c r="BHL157" s="191"/>
      <c r="BHM157" s="191"/>
      <c r="BHN157" s="191"/>
      <c r="BHO157" s="191"/>
      <c r="BHP157" s="191"/>
      <c r="BHQ157" s="191"/>
      <c r="BHR157" s="191"/>
      <c r="BHS157" s="191"/>
      <c r="BHT157" s="191"/>
      <c r="BHU157" s="191"/>
      <c r="BHV157" s="191"/>
      <c r="BHW157" s="191"/>
      <c r="BHX157" s="191"/>
      <c r="BHY157" s="191"/>
      <c r="BHZ157" s="191"/>
      <c r="BIA157" s="191"/>
      <c r="BIB157" s="191"/>
      <c r="BIC157" s="191"/>
      <c r="BID157" s="191"/>
      <c r="BIE157" s="191"/>
      <c r="BIF157" s="191"/>
      <c r="BIG157" s="191"/>
      <c r="BIH157" s="191"/>
      <c r="BII157" s="191"/>
      <c r="BIJ157" s="191"/>
      <c r="BIK157" s="191"/>
      <c r="BIL157" s="191"/>
      <c r="BIM157" s="191"/>
      <c r="BIN157" s="191"/>
      <c r="BIO157" s="191"/>
      <c r="BIP157" s="191"/>
      <c r="BIQ157" s="191"/>
      <c r="BIR157" s="191"/>
      <c r="BIS157" s="191"/>
      <c r="BIT157" s="191"/>
      <c r="BIU157" s="191"/>
      <c r="BIV157" s="191"/>
      <c r="BIW157" s="191"/>
      <c r="BIX157" s="191"/>
      <c r="BIY157" s="191"/>
      <c r="BIZ157" s="191"/>
      <c r="BJA157" s="191"/>
      <c r="BJB157" s="191"/>
      <c r="BJC157" s="191"/>
      <c r="BJD157" s="191"/>
      <c r="BJE157" s="191"/>
      <c r="BJF157" s="191"/>
      <c r="BJG157" s="191"/>
      <c r="BJH157" s="191"/>
      <c r="BJI157" s="191"/>
      <c r="BJJ157" s="191"/>
      <c r="BJK157" s="191"/>
      <c r="BJL157" s="191"/>
      <c r="BJM157" s="191"/>
      <c r="BJN157" s="191"/>
      <c r="BJO157" s="191"/>
      <c r="BJP157" s="191"/>
      <c r="BJQ157" s="191"/>
      <c r="BJR157" s="191"/>
      <c r="BJS157" s="191"/>
      <c r="BJT157" s="191"/>
      <c r="BJU157" s="191"/>
      <c r="BJV157" s="191"/>
      <c r="BJW157" s="191"/>
      <c r="BJX157" s="191"/>
      <c r="BJY157" s="191"/>
      <c r="BJZ157" s="191"/>
      <c r="BKA157" s="191"/>
      <c r="BKB157" s="191"/>
      <c r="BKC157" s="191"/>
      <c r="BKD157" s="191"/>
      <c r="BKE157" s="191"/>
      <c r="BKF157" s="191"/>
      <c r="BKG157" s="191"/>
      <c r="BKH157" s="191"/>
      <c r="BKI157" s="191"/>
      <c r="BKJ157" s="191"/>
      <c r="BKK157" s="191"/>
      <c r="BKL157" s="191"/>
      <c r="BKM157" s="191"/>
      <c r="BKN157" s="191"/>
      <c r="BKO157" s="191"/>
      <c r="BKP157" s="191"/>
      <c r="BKQ157" s="191"/>
      <c r="BKR157" s="191"/>
      <c r="BKS157" s="191"/>
      <c r="BKT157" s="191"/>
      <c r="BKU157" s="191"/>
      <c r="BKV157" s="191"/>
      <c r="BKW157" s="191"/>
      <c r="BKX157" s="191"/>
      <c r="BKY157" s="191"/>
      <c r="BKZ157" s="191"/>
      <c r="BLA157" s="191"/>
      <c r="BLB157" s="191"/>
      <c r="BLC157" s="191"/>
      <c r="BLD157" s="191"/>
      <c r="BLE157" s="191"/>
      <c r="BLF157" s="191"/>
      <c r="BLG157" s="191"/>
      <c r="BLH157" s="191"/>
      <c r="BLI157" s="191"/>
      <c r="BLJ157" s="191"/>
      <c r="BLK157" s="191"/>
      <c r="BLL157" s="191"/>
      <c r="BLM157" s="191"/>
      <c r="BLN157" s="191"/>
      <c r="BLO157" s="191"/>
      <c r="BLP157" s="191"/>
      <c r="BLQ157" s="191"/>
      <c r="BLR157" s="191"/>
      <c r="BLS157" s="191"/>
      <c r="BLT157" s="191"/>
      <c r="BLU157" s="191"/>
      <c r="BLV157" s="191"/>
      <c r="BLW157" s="191"/>
      <c r="BLX157" s="191"/>
      <c r="BLY157" s="191"/>
      <c r="BLZ157" s="191"/>
      <c r="BMA157" s="191"/>
      <c r="BMB157" s="191"/>
      <c r="BMC157" s="191"/>
      <c r="BMD157" s="191"/>
      <c r="BME157" s="191"/>
      <c r="BMF157" s="191"/>
      <c r="BMG157" s="191"/>
      <c r="BMH157" s="191"/>
      <c r="BMI157" s="191"/>
      <c r="BMJ157" s="191"/>
      <c r="BMK157" s="191"/>
      <c r="BML157" s="191"/>
      <c r="BMM157" s="191"/>
      <c r="BMN157" s="191"/>
      <c r="BMO157" s="191"/>
      <c r="BMP157" s="191"/>
      <c r="BMQ157" s="191"/>
      <c r="BMR157" s="191"/>
      <c r="BMS157" s="191"/>
      <c r="BMT157" s="191"/>
      <c r="BMU157" s="191"/>
      <c r="BMV157" s="191"/>
      <c r="BMW157" s="191"/>
      <c r="BMX157" s="191"/>
      <c r="BMY157" s="191"/>
      <c r="BMZ157" s="191"/>
      <c r="BNA157" s="191"/>
      <c r="BNB157" s="191"/>
      <c r="BNC157" s="191"/>
      <c r="BND157" s="191"/>
      <c r="BNE157" s="191"/>
      <c r="BNF157" s="191"/>
      <c r="BNG157" s="191"/>
      <c r="BNH157" s="191"/>
      <c r="BNI157" s="191"/>
      <c r="BNJ157" s="191"/>
      <c r="BNK157" s="191"/>
      <c r="BNL157" s="191"/>
      <c r="BNM157" s="191"/>
      <c r="BNN157" s="191"/>
      <c r="BNO157" s="191"/>
      <c r="BNP157" s="191"/>
      <c r="BNQ157" s="191"/>
      <c r="BNR157" s="191"/>
      <c r="BNS157" s="191"/>
      <c r="BNT157" s="191"/>
      <c r="BNU157" s="191"/>
      <c r="BNV157" s="191"/>
      <c r="BNW157" s="191"/>
      <c r="BNX157" s="191"/>
      <c r="BNY157" s="191"/>
      <c r="BNZ157" s="191"/>
      <c r="BOA157" s="191"/>
      <c r="BOB157" s="191"/>
      <c r="BOC157" s="191"/>
      <c r="BOD157" s="191"/>
      <c r="BOE157" s="191"/>
      <c r="BOF157" s="191"/>
      <c r="BOG157" s="191"/>
      <c r="BOH157" s="191"/>
      <c r="BOI157" s="191"/>
      <c r="BOJ157" s="191"/>
      <c r="BOK157" s="191"/>
      <c r="BOL157" s="191"/>
      <c r="BOM157" s="191"/>
      <c r="BON157" s="191"/>
      <c r="BOO157" s="191"/>
      <c r="BOP157" s="191"/>
      <c r="BOQ157" s="191"/>
      <c r="BOR157" s="191"/>
      <c r="BOS157" s="191"/>
      <c r="BOT157" s="191"/>
      <c r="BOU157" s="191"/>
      <c r="BOV157" s="191"/>
      <c r="BOW157" s="191"/>
      <c r="BOX157" s="191"/>
      <c r="BOY157" s="191"/>
      <c r="BOZ157" s="191"/>
      <c r="BPA157" s="191"/>
      <c r="BPB157" s="191"/>
      <c r="BPC157" s="191"/>
      <c r="BPD157" s="191"/>
      <c r="BPE157" s="191"/>
      <c r="BPF157" s="191"/>
      <c r="BPG157" s="191"/>
      <c r="BPH157" s="191"/>
      <c r="BPI157" s="191"/>
      <c r="BPJ157" s="191"/>
      <c r="BPK157" s="191"/>
      <c r="BPL157" s="191"/>
      <c r="BPM157" s="191"/>
      <c r="BPN157" s="191"/>
      <c r="BPO157" s="191"/>
      <c r="BPP157" s="191"/>
      <c r="BPQ157" s="191"/>
      <c r="BPR157" s="191"/>
      <c r="BPS157" s="191"/>
      <c r="BPT157" s="191"/>
      <c r="BPU157" s="191"/>
      <c r="BPV157" s="191"/>
      <c r="BPW157" s="191"/>
      <c r="BPX157" s="191"/>
      <c r="BPY157" s="191"/>
      <c r="BPZ157" s="191"/>
      <c r="BQA157" s="191"/>
      <c r="BQB157" s="191"/>
      <c r="BQC157" s="191"/>
      <c r="BQD157" s="191"/>
      <c r="BQE157" s="191"/>
      <c r="BQF157" s="191"/>
      <c r="BQG157" s="191"/>
      <c r="BQH157" s="191"/>
      <c r="BQI157" s="191"/>
      <c r="BQJ157" s="191"/>
      <c r="BQK157" s="191"/>
      <c r="BQL157" s="191"/>
      <c r="BQM157" s="191"/>
      <c r="BQN157" s="191"/>
      <c r="BQO157" s="191"/>
      <c r="BQP157" s="191"/>
      <c r="BQQ157" s="191"/>
      <c r="BQR157" s="191"/>
      <c r="BQS157" s="191"/>
      <c r="BQT157" s="191"/>
      <c r="BQU157" s="191"/>
      <c r="BQV157" s="191"/>
      <c r="BQW157" s="191"/>
      <c r="BQX157" s="191"/>
      <c r="BQY157" s="191"/>
      <c r="BQZ157" s="191"/>
      <c r="BRA157" s="191"/>
      <c r="BRB157" s="191"/>
      <c r="BRC157" s="191"/>
      <c r="BRD157" s="191"/>
      <c r="BRE157" s="191"/>
      <c r="BRF157" s="191"/>
      <c r="BRG157" s="191"/>
      <c r="BRH157" s="191"/>
      <c r="BRI157" s="191"/>
      <c r="BRJ157" s="191"/>
      <c r="BRK157" s="191"/>
      <c r="BRL157" s="191"/>
      <c r="BRM157" s="191"/>
      <c r="BRN157" s="191"/>
      <c r="BRO157" s="191"/>
      <c r="BRP157" s="191"/>
      <c r="BRQ157" s="191"/>
      <c r="BRR157" s="191"/>
      <c r="BRS157" s="191"/>
      <c r="BRT157" s="191"/>
      <c r="BRU157" s="191"/>
      <c r="BRV157" s="191"/>
      <c r="BRW157" s="191"/>
      <c r="BRX157" s="191"/>
      <c r="BRY157" s="191"/>
      <c r="BRZ157" s="191"/>
      <c r="BSA157" s="191"/>
      <c r="BSB157" s="191"/>
      <c r="BSC157" s="191"/>
      <c r="BSD157" s="191"/>
      <c r="BSE157" s="191"/>
      <c r="BSF157" s="191"/>
      <c r="BSG157" s="191"/>
      <c r="BSH157" s="191"/>
      <c r="BSI157" s="191"/>
      <c r="BSJ157" s="191"/>
      <c r="BSK157" s="191"/>
      <c r="BSL157" s="191"/>
      <c r="BSM157" s="191"/>
      <c r="BSN157" s="191"/>
      <c r="BSO157" s="191"/>
      <c r="BSP157" s="191"/>
      <c r="BSQ157" s="191"/>
      <c r="BSR157" s="191"/>
      <c r="BSS157" s="191"/>
      <c r="BST157" s="191"/>
      <c r="BSU157" s="191"/>
      <c r="BSV157" s="191"/>
      <c r="BSW157" s="191"/>
      <c r="BSX157" s="191"/>
      <c r="BSY157" s="191"/>
      <c r="BSZ157" s="191"/>
      <c r="BTA157" s="191"/>
      <c r="BTB157" s="191"/>
      <c r="BTC157" s="191"/>
      <c r="BTD157" s="191"/>
      <c r="BTE157" s="191"/>
      <c r="BTF157" s="191"/>
      <c r="BTG157" s="191"/>
      <c r="BTH157" s="191"/>
      <c r="BTI157" s="191"/>
      <c r="BTJ157" s="191"/>
      <c r="BTK157" s="191"/>
      <c r="BTL157" s="191"/>
      <c r="BTM157" s="191"/>
      <c r="BTN157" s="191"/>
      <c r="BTO157" s="191"/>
      <c r="BTP157" s="191"/>
      <c r="BTQ157" s="191"/>
      <c r="BTR157" s="191"/>
      <c r="BTS157" s="191"/>
      <c r="BTT157" s="191"/>
      <c r="BTU157" s="191"/>
      <c r="BTV157" s="191"/>
      <c r="BTW157" s="191"/>
      <c r="BTX157" s="191"/>
      <c r="BTY157" s="191"/>
      <c r="BTZ157" s="191"/>
      <c r="BUA157" s="191"/>
      <c r="BUB157" s="191"/>
      <c r="BUC157" s="191"/>
      <c r="BUD157" s="191"/>
      <c r="BUE157" s="191"/>
      <c r="BUF157" s="191"/>
      <c r="BUG157" s="191"/>
      <c r="BUH157" s="191"/>
      <c r="BUI157" s="191"/>
      <c r="BUJ157" s="191"/>
      <c r="BUK157" s="191"/>
      <c r="BUL157" s="191"/>
      <c r="BUM157" s="191"/>
      <c r="BUN157" s="191"/>
      <c r="BUO157" s="191"/>
      <c r="BUP157" s="191"/>
      <c r="BUQ157" s="191"/>
      <c r="BUR157" s="191"/>
      <c r="BUS157" s="191"/>
      <c r="BUT157" s="191"/>
      <c r="BUU157" s="191"/>
      <c r="BUV157" s="191"/>
      <c r="BUW157" s="191"/>
      <c r="BUX157" s="191"/>
      <c r="BUY157" s="191"/>
      <c r="BUZ157" s="191"/>
      <c r="BVA157" s="191"/>
      <c r="BVB157" s="191"/>
      <c r="BVC157" s="191"/>
      <c r="BVD157" s="191"/>
      <c r="BVE157" s="191"/>
      <c r="BVF157" s="191"/>
      <c r="BVG157" s="191"/>
      <c r="BVH157" s="191"/>
      <c r="BVI157" s="191"/>
      <c r="BVJ157" s="191"/>
      <c r="BVK157" s="191"/>
      <c r="BVL157" s="191"/>
      <c r="BVM157" s="191"/>
      <c r="BVN157" s="191"/>
      <c r="BVO157" s="191"/>
      <c r="BVP157" s="191"/>
      <c r="BVQ157" s="191"/>
      <c r="BVR157" s="191"/>
      <c r="BVS157" s="191"/>
      <c r="BVT157" s="191"/>
      <c r="BVU157" s="191"/>
      <c r="BVV157" s="191"/>
      <c r="BVW157" s="191"/>
      <c r="BVX157" s="191"/>
      <c r="BVY157" s="191"/>
      <c r="BVZ157" s="191"/>
      <c r="BWA157" s="191"/>
      <c r="BWB157" s="191"/>
      <c r="BWC157" s="191"/>
      <c r="BWD157" s="191"/>
      <c r="BWE157" s="191"/>
      <c r="BWF157" s="191"/>
      <c r="BWG157" s="191"/>
      <c r="BWH157" s="191"/>
      <c r="BWI157" s="191"/>
      <c r="BWJ157" s="191"/>
      <c r="BWK157" s="191"/>
      <c r="BWL157" s="191"/>
      <c r="BWM157" s="191"/>
      <c r="BWN157" s="191"/>
      <c r="BWO157" s="191"/>
      <c r="BWP157" s="191"/>
      <c r="BWQ157" s="191"/>
      <c r="BWR157" s="191"/>
      <c r="BWS157" s="191"/>
      <c r="BWT157" s="191"/>
      <c r="BWU157" s="191"/>
      <c r="BWV157" s="191"/>
      <c r="BWW157" s="191"/>
      <c r="BWX157" s="191"/>
      <c r="BWY157" s="191"/>
      <c r="BWZ157" s="191"/>
      <c r="BXA157" s="191"/>
      <c r="BXB157" s="191"/>
      <c r="BXC157" s="191"/>
      <c r="BXD157" s="191"/>
      <c r="BXE157" s="191"/>
      <c r="BXF157" s="191"/>
      <c r="BXG157" s="191"/>
      <c r="BXH157" s="191"/>
      <c r="BXI157" s="191"/>
      <c r="BXJ157" s="191"/>
      <c r="BXK157" s="191"/>
      <c r="BXL157" s="191"/>
      <c r="BXM157" s="191"/>
      <c r="BXN157" s="191"/>
      <c r="BXO157" s="191"/>
      <c r="BXP157" s="191"/>
      <c r="BXQ157" s="191"/>
      <c r="BXR157" s="191"/>
      <c r="BXS157" s="191"/>
      <c r="BXT157" s="191"/>
      <c r="BXU157" s="191"/>
      <c r="BXV157" s="191"/>
      <c r="BXW157" s="191"/>
      <c r="BXX157" s="191"/>
      <c r="BXY157" s="191"/>
      <c r="BXZ157" s="191"/>
      <c r="BYA157" s="191"/>
      <c r="BYB157" s="191"/>
      <c r="BYC157" s="191"/>
      <c r="BYD157" s="191"/>
      <c r="BYE157" s="191"/>
      <c r="BYF157" s="191"/>
      <c r="BYG157" s="191"/>
      <c r="BYH157" s="191"/>
      <c r="BYI157" s="191"/>
      <c r="BYJ157" s="191"/>
      <c r="BYK157" s="191"/>
      <c r="BYL157" s="191"/>
      <c r="BYM157" s="191"/>
      <c r="BYN157" s="191"/>
      <c r="BYO157" s="191"/>
      <c r="BYP157" s="191"/>
      <c r="BYQ157" s="191"/>
      <c r="BYR157" s="191"/>
      <c r="BYS157" s="191"/>
      <c r="BYT157" s="191"/>
      <c r="BYU157" s="191"/>
      <c r="BYV157" s="191"/>
      <c r="BYW157" s="191"/>
      <c r="BYX157" s="191"/>
      <c r="BYY157" s="191"/>
      <c r="BYZ157" s="191"/>
      <c r="BZA157" s="191"/>
      <c r="BZB157" s="191"/>
      <c r="BZC157" s="191"/>
      <c r="BZD157" s="191"/>
      <c r="BZE157" s="191"/>
      <c r="BZF157" s="191"/>
      <c r="BZG157" s="191"/>
      <c r="BZH157" s="191"/>
      <c r="BZI157" s="191"/>
      <c r="BZJ157" s="191"/>
      <c r="BZK157" s="191"/>
      <c r="BZL157" s="191"/>
      <c r="BZM157" s="191"/>
      <c r="BZN157" s="191"/>
      <c r="BZO157" s="191"/>
      <c r="BZP157" s="191"/>
      <c r="BZQ157" s="191"/>
      <c r="BZR157" s="191"/>
      <c r="BZS157" s="191"/>
      <c r="BZT157" s="191"/>
      <c r="BZU157" s="191"/>
      <c r="BZV157" s="191"/>
      <c r="BZW157" s="191"/>
      <c r="BZX157" s="191"/>
      <c r="BZY157" s="191"/>
      <c r="BZZ157" s="191"/>
      <c r="CAA157" s="191"/>
      <c r="CAB157" s="191"/>
      <c r="CAC157" s="191"/>
      <c r="CAD157" s="191"/>
      <c r="CAE157" s="191"/>
      <c r="CAF157" s="191"/>
      <c r="CAG157" s="191"/>
      <c r="CAH157" s="191"/>
      <c r="CAI157" s="191"/>
      <c r="CAJ157" s="191"/>
      <c r="CAK157" s="191"/>
      <c r="CAL157" s="191"/>
      <c r="CAM157" s="191"/>
      <c r="CAN157" s="191"/>
      <c r="CAO157" s="191"/>
      <c r="CAP157" s="191"/>
      <c r="CAQ157" s="191"/>
      <c r="CAR157" s="191"/>
      <c r="CAS157" s="191"/>
      <c r="CAT157" s="191"/>
      <c r="CAU157" s="191"/>
      <c r="CAV157" s="191"/>
      <c r="CAW157" s="191"/>
      <c r="CAX157" s="191"/>
      <c r="CAY157" s="191"/>
      <c r="CAZ157" s="191"/>
      <c r="CBA157" s="191"/>
      <c r="CBB157" s="191"/>
      <c r="CBC157" s="191"/>
      <c r="CBD157" s="191"/>
      <c r="CBE157" s="191"/>
      <c r="CBF157" s="191"/>
      <c r="CBG157" s="191"/>
      <c r="CBH157" s="191"/>
      <c r="CBI157" s="191"/>
      <c r="CBJ157" s="191"/>
      <c r="CBK157" s="191"/>
      <c r="CBL157" s="191"/>
      <c r="CBM157" s="191"/>
      <c r="CBN157" s="191"/>
      <c r="CBO157" s="191"/>
      <c r="CBP157" s="191"/>
      <c r="CBQ157" s="191"/>
      <c r="CBR157" s="191"/>
      <c r="CBS157" s="191"/>
      <c r="CBT157" s="191"/>
      <c r="CBU157" s="191"/>
      <c r="CBV157" s="191"/>
      <c r="CBW157" s="191"/>
      <c r="CBX157" s="191"/>
      <c r="CBY157" s="191"/>
      <c r="CBZ157" s="191"/>
      <c r="CCA157" s="191"/>
      <c r="CCB157" s="191"/>
      <c r="CCC157" s="191"/>
      <c r="CCD157" s="191"/>
      <c r="CCE157" s="191"/>
      <c r="CCF157" s="191"/>
      <c r="CCG157" s="191"/>
      <c r="CCH157" s="191"/>
      <c r="CCI157" s="191"/>
      <c r="CCJ157" s="191"/>
      <c r="CCK157" s="191"/>
      <c r="CCL157" s="191"/>
      <c r="CCM157" s="191"/>
      <c r="CCN157" s="191"/>
      <c r="CCO157" s="191"/>
      <c r="CCP157" s="191"/>
      <c r="CCQ157" s="191"/>
      <c r="CCR157" s="191"/>
      <c r="CCS157" s="191"/>
      <c r="CCT157" s="191"/>
      <c r="CCU157" s="191"/>
      <c r="CCV157" s="191"/>
      <c r="CCW157" s="191"/>
      <c r="CCX157" s="191"/>
      <c r="CCY157" s="191"/>
      <c r="CCZ157" s="191"/>
      <c r="CDA157" s="191"/>
      <c r="CDB157" s="191"/>
      <c r="CDC157" s="191"/>
      <c r="CDD157" s="191"/>
      <c r="CDE157" s="191"/>
      <c r="CDF157" s="191"/>
      <c r="CDG157" s="191"/>
      <c r="CDH157" s="191"/>
      <c r="CDI157" s="191"/>
      <c r="CDJ157" s="191"/>
      <c r="CDK157" s="191"/>
      <c r="CDL157" s="191"/>
      <c r="CDM157" s="191"/>
      <c r="CDN157" s="191"/>
      <c r="CDO157" s="191"/>
      <c r="CDP157" s="191"/>
      <c r="CDQ157" s="191"/>
      <c r="CDR157" s="191"/>
      <c r="CDS157" s="191"/>
      <c r="CDT157" s="191"/>
      <c r="CDU157" s="191"/>
      <c r="CDV157" s="191"/>
      <c r="CDW157" s="191"/>
      <c r="CDX157" s="191"/>
      <c r="CDY157" s="191"/>
      <c r="CDZ157" s="191"/>
      <c r="CEA157" s="191"/>
      <c r="CEB157" s="191"/>
      <c r="CEC157" s="191"/>
      <c r="CED157" s="191"/>
      <c r="CEE157" s="191"/>
      <c r="CEF157" s="191"/>
      <c r="CEG157" s="191"/>
      <c r="CEH157" s="191"/>
      <c r="CEI157" s="191"/>
      <c r="CEJ157" s="191"/>
      <c r="CEK157" s="191"/>
      <c r="CEL157" s="191"/>
      <c r="CEM157" s="191"/>
      <c r="CEN157" s="191"/>
      <c r="CEO157" s="191"/>
      <c r="CEP157" s="191"/>
      <c r="CEQ157" s="191"/>
      <c r="CER157" s="191"/>
      <c r="CES157" s="191"/>
      <c r="CET157" s="191"/>
      <c r="CEU157" s="191"/>
      <c r="CEV157" s="191"/>
      <c r="CEW157" s="191"/>
      <c r="CEX157" s="191"/>
      <c r="CEY157" s="191"/>
      <c r="CEZ157" s="191"/>
      <c r="CFA157" s="191"/>
      <c r="CFB157" s="191"/>
      <c r="CFC157" s="191"/>
      <c r="CFD157" s="191"/>
      <c r="CFE157" s="191"/>
      <c r="CFF157" s="191"/>
      <c r="CFG157" s="191"/>
      <c r="CFH157" s="191"/>
      <c r="CFI157" s="191"/>
      <c r="CFJ157" s="191"/>
      <c r="CFK157" s="191"/>
      <c r="CFL157" s="191"/>
      <c r="CFM157" s="191"/>
      <c r="CFN157" s="191"/>
      <c r="CFO157" s="191"/>
      <c r="CFP157" s="191"/>
      <c r="CFQ157" s="191"/>
      <c r="CFR157" s="191"/>
      <c r="CFS157" s="191"/>
      <c r="CFT157" s="191"/>
      <c r="CFU157" s="191"/>
      <c r="CFV157" s="191"/>
      <c r="CFW157" s="191"/>
      <c r="CFX157" s="191"/>
      <c r="CFY157" s="191"/>
      <c r="CFZ157" s="191"/>
      <c r="CGA157" s="191"/>
      <c r="CGB157" s="191"/>
      <c r="CGC157" s="191"/>
      <c r="CGD157" s="191"/>
      <c r="CGE157" s="191"/>
      <c r="CGF157" s="191"/>
      <c r="CGG157" s="191"/>
      <c r="CGH157" s="191"/>
      <c r="CGI157" s="191"/>
      <c r="CGJ157" s="191"/>
      <c r="CGK157" s="191"/>
      <c r="CGL157" s="191"/>
      <c r="CGM157" s="191"/>
      <c r="CGN157" s="191"/>
      <c r="CGO157" s="191"/>
      <c r="CGP157" s="191"/>
      <c r="CGQ157" s="191"/>
      <c r="CGR157" s="191"/>
      <c r="CGS157" s="191"/>
      <c r="CGT157" s="191"/>
      <c r="CGU157" s="191"/>
      <c r="CGV157" s="191"/>
      <c r="CGW157" s="191"/>
      <c r="CGX157" s="191"/>
      <c r="CGY157" s="191"/>
      <c r="CGZ157" s="191"/>
      <c r="CHA157" s="191"/>
      <c r="CHB157" s="191"/>
      <c r="CHC157" s="191"/>
      <c r="CHD157" s="191"/>
      <c r="CHE157" s="191"/>
      <c r="CHF157" s="191"/>
      <c r="CHG157" s="191"/>
      <c r="CHH157" s="191"/>
      <c r="CHI157" s="191"/>
      <c r="CHJ157" s="191"/>
      <c r="CHK157" s="191"/>
      <c r="CHL157" s="191"/>
      <c r="CHM157" s="191"/>
      <c r="CHN157" s="191"/>
      <c r="CHO157" s="191"/>
      <c r="CHP157" s="191"/>
      <c r="CHQ157" s="191"/>
      <c r="CHR157" s="191"/>
      <c r="CHS157" s="191"/>
      <c r="CHT157" s="191"/>
      <c r="CHU157" s="191"/>
      <c r="CHV157" s="191"/>
      <c r="CHW157" s="191"/>
      <c r="CHX157" s="191"/>
      <c r="CHY157" s="191"/>
      <c r="CHZ157" s="191"/>
      <c r="CIA157" s="191"/>
      <c r="CIB157" s="191"/>
      <c r="CIC157" s="191"/>
      <c r="CID157" s="191"/>
      <c r="CIE157" s="191"/>
      <c r="CIF157" s="191"/>
      <c r="CIG157" s="191"/>
      <c r="CIH157" s="191"/>
      <c r="CII157" s="191"/>
      <c r="CIJ157" s="191"/>
      <c r="CIK157" s="191"/>
      <c r="CIL157" s="191"/>
      <c r="CIM157" s="191"/>
      <c r="CIN157" s="191"/>
      <c r="CIO157" s="191"/>
      <c r="CIP157" s="191"/>
      <c r="CIQ157" s="191"/>
      <c r="CIR157" s="191"/>
      <c r="CIS157" s="191"/>
      <c r="CIT157" s="191"/>
      <c r="CIU157" s="191"/>
      <c r="CIV157" s="191"/>
      <c r="CIW157" s="191"/>
      <c r="CIX157" s="191"/>
      <c r="CIY157" s="191"/>
      <c r="CIZ157" s="191"/>
      <c r="CJA157" s="191"/>
      <c r="CJB157" s="191"/>
      <c r="CJC157" s="191"/>
      <c r="CJD157" s="191"/>
      <c r="CJE157" s="191"/>
      <c r="CJF157" s="191"/>
      <c r="CJG157" s="191"/>
      <c r="CJH157" s="191"/>
      <c r="CJI157" s="191"/>
      <c r="CJJ157" s="191"/>
      <c r="CJK157" s="191"/>
      <c r="CJL157" s="191"/>
      <c r="CJM157" s="191"/>
      <c r="CJN157" s="191"/>
      <c r="CJO157" s="191"/>
      <c r="CJP157" s="191"/>
      <c r="CJQ157" s="191"/>
      <c r="CJR157" s="191"/>
      <c r="CJS157" s="191"/>
      <c r="CJT157" s="191"/>
      <c r="CJU157" s="191"/>
      <c r="CJV157" s="191"/>
      <c r="CJW157" s="191"/>
      <c r="CJX157" s="191"/>
      <c r="CJY157" s="191"/>
      <c r="CJZ157" s="191"/>
      <c r="CKA157" s="191"/>
      <c r="CKB157" s="191"/>
      <c r="CKC157" s="191"/>
      <c r="CKD157" s="191"/>
      <c r="CKE157" s="191"/>
      <c r="CKF157" s="191"/>
      <c r="CKG157" s="191"/>
      <c r="CKH157" s="191"/>
      <c r="CKI157" s="191"/>
      <c r="CKJ157" s="191"/>
      <c r="CKK157" s="191"/>
      <c r="CKL157" s="191"/>
      <c r="CKM157" s="191"/>
      <c r="CKN157" s="191"/>
      <c r="CKO157" s="191"/>
      <c r="CKP157" s="191"/>
      <c r="CKQ157" s="191"/>
      <c r="CKR157" s="191"/>
      <c r="CKS157" s="191"/>
      <c r="CKT157" s="191"/>
      <c r="CKU157" s="191"/>
      <c r="CKV157" s="191"/>
      <c r="CKW157" s="191"/>
      <c r="CKX157" s="191"/>
      <c r="CKY157" s="191"/>
      <c r="CKZ157" s="191"/>
      <c r="CLA157" s="191"/>
      <c r="CLB157" s="191"/>
      <c r="CLC157" s="191"/>
      <c r="CLD157" s="191"/>
      <c r="CLE157" s="191"/>
      <c r="CLF157" s="191"/>
      <c r="CLG157" s="191"/>
      <c r="CLH157" s="191"/>
      <c r="CLI157" s="191"/>
      <c r="CLJ157" s="191"/>
      <c r="CLK157" s="191"/>
      <c r="CLL157" s="191"/>
      <c r="CLM157" s="191"/>
      <c r="CLN157" s="191"/>
      <c r="CLO157" s="191"/>
      <c r="CLP157" s="191"/>
      <c r="CLQ157" s="191"/>
      <c r="CLR157" s="191"/>
      <c r="CLS157" s="191"/>
      <c r="CLT157" s="191"/>
      <c r="CLU157" s="191"/>
      <c r="CLV157" s="191"/>
      <c r="CLW157" s="191"/>
      <c r="CLX157" s="191"/>
      <c r="CLY157" s="191"/>
      <c r="CLZ157" s="191"/>
      <c r="CMA157" s="191"/>
      <c r="CMB157" s="191"/>
      <c r="CMC157" s="191"/>
      <c r="CMD157" s="191"/>
      <c r="CME157" s="191"/>
      <c r="CMF157" s="191"/>
      <c r="CMG157" s="191"/>
      <c r="CMH157" s="191"/>
      <c r="CMI157" s="191"/>
      <c r="CMJ157" s="191"/>
      <c r="CMK157" s="191"/>
      <c r="CML157" s="191"/>
      <c r="CMM157" s="191"/>
      <c r="CMN157" s="191"/>
      <c r="CMO157" s="191"/>
      <c r="CMP157" s="191"/>
      <c r="CMQ157" s="191"/>
      <c r="CMR157" s="191"/>
      <c r="CMS157" s="191"/>
      <c r="CMT157" s="191"/>
      <c r="CMU157" s="191"/>
      <c r="CMV157" s="191"/>
      <c r="CMW157" s="191"/>
      <c r="CMX157" s="191"/>
      <c r="CMY157" s="191"/>
      <c r="CMZ157" s="191"/>
      <c r="CNA157" s="191"/>
      <c r="CNB157" s="191"/>
      <c r="CNC157" s="191"/>
      <c r="CND157" s="191"/>
      <c r="CNE157" s="191"/>
      <c r="CNF157" s="191"/>
      <c r="CNG157" s="191"/>
      <c r="CNH157" s="191"/>
      <c r="CNI157" s="191"/>
      <c r="CNJ157" s="191"/>
      <c r="CNK157" s="191"/>
      <c r="CNL157" s="191"/>
      <c r="CNM157" s="191"/>
      <c r="CNN157" s="191"/>
      <c r="CNO157" s="191"/>
      <c r="CNP157" s="191"/>
      <c r="CNQ157" s="191"/>
      <c r="CNR157" s="191"/>
      <c r="CNS157" s="191"/>
      <c r="CNT157" s="191"/>
      <c r="CNU157" s="191"/>
      <c r="CNV157" s="191"/>
      <c r="CNW157" s="191"/>
      <c r="CNX157" s="191"/>
      <c r="CNY157" s="191"/>
      <c r="CNZ157" s="191"/>
      <c r="COA157" s="191"/>
      <c r="COB157" s="191"/>
      <c r="COC157" s="191"/>
      <c r="COD157" s="191"/>
      <c r="COE157" s="191"/>
      <c r="COF157" s="191"/>
      <c r="COG157" s="191"/>
      <c r="COH157" s="191"/>
      <c r="COI157" s="191"/>
      <c r="COJ157" s="191"/>
      <c r="COK157" s="191"/>
      <c r="COL157" s="191"/>
      <c r="COM157" s="191"/>
      <c r="CON157" s="191"/>
      <c r="COO157" s="191"/>
      <c r="COP157" s="191"/>
      <c r="COQ157" s="191"/>
      <c r="COR157" s="191"/>
      <c r="COS157" s="191"/>
      <c r="COT157" s="191"/>
      <c r="COU157" s="191"/>
      <c r="COV157" s="191"/>
      <c r="COW157" s="191"/>
      <c r="COX157" s="191"/>
      <c r="COY157" s="191"/>
      <c r="COZ157" s="191"/>
      <c r="CPA157" s="191"/>
      <c r="CPB157" s="191"/>
      <c r="CPC157" s="191"/>
      <c r="CPD157" s="191"/>
      <c r="CPE157" s="191"/>
      <c r="CPF157" s="191"/>
      <c r="CPG157" s="191"/>
      <c r="CPH157" s="191"/>
      <c r="CPI157" s="191"/>
      <c r="CPJ157" s="191"/>
      <c r="CPK157" s="191"/>
      <c r="CPL157" s="191"/>
      <c r="CPM157" s="191"/>
      <c r="CPN157" s="191"/>
      <c r="CPO157" s="191"/>
      <c r="CPP157" s="191"/>
      <c r="CPQ157" s="191"/>
      <c r="CPR157" s="191"/>
      <c r="CPS157" s="191"/>
      <c r="CPT157" s="191"/>
      <c r="CPU157" s="191"/>
      <c r="CPV157" s="191"/>
      <c r="CPW157" s="191"/>
      <c r="CPX157" s="191"/>
      <c r="CPY157" s="191"/>
      <c r="CPZ157" s="191"/>
      <c r="CQA157" s="191"/>
      <c r="CQB157" s="191"/>
      <c r="CQC157" s="191"/>
      <c r="CQD157" s="191"/>
      <c r="CQE157" s="191"/>
      <c r="CQF157" s="191"/>
      <c r="CQG157" s="191"/>
      <c r="CQH157" s="191"/>
      <c r="CQI157" s="191"/>
      <c r="CQJ157" s="191"/>
      <c r="CQK157" s="191"/>
      <c r="CQL157" s="191"/>
      <c r="CQM157" s="191"/>
      <c r="CQN157" s="191"/>
      <c r="CQO157" s="191"/>
      <c r="CQP157" s="191"/>
      <c r="CQQ157" s="191"/>
      <c r="CQR157" s="191"/>
      <c r="CQS157" s="191"/>
      <c r="CQT157" s="191"/>
      <c r="CQU157" s="191"/>
      <c r="CQV157" s="191"/>
      <c r="CQW157" s="191"/>
      <c r="CQX157" s="191"/>
      <c r="CQY157" s="191"/>
      <c r="CQZ157" s="191"/>
      <c r="CRA157" s="191"/>
      <c r="CRB157" s="191"/>
      <c r="CRC157" s="191"/>
      <c r="CRD157" s="191"/>
      <c r="CRE157" s="191"/>
      <c r="CRF157" s="191"/>
      <c r="CRG157" s="191"/>
      <c r="CRH157" s="191"/>
      <c r="CRI157" s="191"/>
      <c r="CRJ157" s="191"/>
      <c r="CRK157" s="191"/>
      <c r="CRL157" s="191"/>
      <c r="CRM157" s="191"/>
      <c r="CRN157" s="191"/>
      <c r="CRO157" s="191"/>
      <c r="CRP157" s="191"/>
      <c r="CRQ157" s="191"/>
      <c r="CRR157" s="191"/>
      <c r="CRS157" s="191"/>
      <c r="CRT157" s="191"/>
      <c r="CRU157" s="191"/>
      <c r="CRV157" s="191"/>
      <c r="CRW157" s="191"/>
      <c r="CRX157" s="191"/>
      <c r="CRY157" s="191"/>
      <c r="CRZ157" s="191"/>
      <c r="CSA157" s="191"/>
      <c r="CSB157" s="191"/>
      <c r="CSC157" s="191"/>
      <c r="CSD157" s="191"/>
      <c r="CSE157" s="191"/>
      <c r="CSF157" s="191"/>
      <c r="CSG157" s="191"/>
      <c r="CSH157" s="191"/>
      <c r="CSI157" s="191"/>
      <c r="CSJ157" s="191"/>
      <c r="CSK157" s="191"/>
      <c r="CSL157" s="191"/>
      <c r="CSM157" s="191"/>
      <c r="CSN157" s="191"/>
      <c r="CSO157" s="191"/>
      <c r="CSP157" s="191"/>
      <c r="CSQ157" s="191"/>
      <c r="CSR157" s="191"/>
      <c r="CSS157" s="191"/>
      <c r="CST157" s="191"/>
      <c r="CSU157" s="191"/>
      <c r="CSV157" s="191"/>
      <c r="CSW157" s="191"/>
      <c r="CSX157" s="191"/>
      <c r="CSY157" s="191"/>
      <c r="CSZ157" s="191"/>
      <c r="CTA157" s="191"/>
      <c r="CTB157" s="191"/>
      <c r="CTC157" s="191"/>
      <c r="CTD157" s="191"/>
      <c r="CTE157" s="191"/>
      <c r="CTF157" s="191"/>
      <c r="CTG157" s="191"/>
      <c r="CTH157" s="191"/>
      <c r="CTI157" s="191"/>
      <c r="CTJ157" s="191"/>
      <c r="CTK157" s="191"/>
      <c r="CTL157" s="191"/>
      <c r="CTM157" s="191"/>
      <c r="CTN157" s="191"/>
      <c r="CTO157" s="191"/>
      <c r="CTP157" s="191"/>
      <c r="CTQ157" s="191"/>
      <c r="CTR157" s="191"/>
      <c r="CTS157" s="191"/>
      <c r="CTT157" s="191"/>
      <c r="CTU157" s="191"/>
      <c r="CTV157" s="191"/>
      <c r="CTW157" s="191"/>
      <c r="CTX157" s="191"/>
      <c r="CTY157" s="191"/>
      <c r="CTZ157" s="191"/>
      <c r="CUA157" s="191"/>
      <c r="CUB157" s="191"/>
      <c r="CUC157" s="191"/>
      <c r="CUD157" s="191"/>
      <c r="CUE157" s="191"/>
      <c r="CUF157" s="191"/>
      <c r="CUG157" s="191"/>
      <c r="CUH157" s="191"/>
      <c r="CUI157" s="191"/>
      <c r="CUJ157" s="191"/>
      <c r="CUK157" s="191"/>
      <c r="CUL157" s="191"/>
      <c r="CUM157" s="191"/>
      <c r="CUN157" s="191"/>
      <c r="CUO157" s="191"/>
      <c r="CUP157" s="191"/>
      <c r="CUQ157" s="191"/>
      <c r="CUR157" s="191"/>
      <c r="CUS157" s="191"/>
      <c r="CUT157" s="191"/>
      <c r="CUU157" s="191"/>
      <c r="CUV157" s="191"/>
      <c r="CUW157" s="191"/>
      <c r="CUX157" s="191"/>
      <c r="CUY157" s="191"/>
      <c r="CUZ157" s="191"/>
      <c r="CVA157" s="191"/>
      <c r="CVB157" s="191"/>
      <c r="CVC157" s="191"/>
      <c r="CVD157" s="191"/>
      <c r="CVE157" s="191"/>
      <c r="CVF157" s="191"/>
      <c r="CVG157" s="191"/>
      <c r="CVH157" s="191"/>
      <c r="CVI157" s="191"/>
      <c r="CVJ157" s="191"/>
      <c r="CVK157" s="191"/>
      <c r="CVL157" s="191"/>
      <c r="CVM157" s="191"/>
      <c r="CVN157" s="191"/>
      <c r="CVO157" s="191"/>
      <c r="CVP157" s="191"/>
      <c r="CVQ157" s="191"/>
      <c r="CVR157" s="191"/>
      <c r="CVS157" s="191"/>
      <c r="CVT157" s="191"/>
      <c r="CVU157" s="191"/>
      <c r="CVV157" s="191"/>
      <c r="CVW157" s="191"/>
      <c r="CVX157" s="191"/>
      <c r="CVY157" s="191"/>
      <c r="CVZ157" s="191"/>
      <c r="CWA157" s="191"/>
      <c r="CWB157" s="191"/>
      <c r="CWC157" s="191"/>
      <c r="CWD157" s="191"/>
      <c r="CWE157" s="191"/>
      <c r="CWF157" s="191"/>
      <c r="CWG157" s="191"/>
      <c r="CWH157" s="191"/>
      <c r="CWI157" s="191"/>
      <c r="CWJ157" s="191"/>
      <c r="CWK157" s="191"/>
      <c r="CWL157" s="191"/>
      <c r="CWM157" s="191"/>
      <c r="CWN157" s="191"/>
      <c r="CWO157" s="191"/>
      <c r="CWP157" s="191"/>
      <c r="CWQ157" s="191"/>
      <c r="CWR157" s="191"/>
      <c r="CWS157" s="191"/>
      <c r="CWT157" s="191"/>
      <c r="CWU157" s="191"/>
      <c r="CWV157" s="191"/>
      <c r="CWW157" s="191"/>
      <c r="CWX157" s="191"/>
      <c r="CWY157" s="191"/>
      <c r="CWZ157" s="191"/>
      <c r="CXA157" s="191"/>
      <c r="CXB157" s="191"/>
      <c r="CXC157" s="191"/>
      <c r="CXD157" s="191"/>
      <c r="CXE157" s="191"/>
      <c r="CXF157" s="191"/>
      <c r="CXG157" s="191"/>
      <c r="CXH157" s="191"/>
      <c r="CXI157" s="191"/>
      <c r="CXJ157" s="191"/>
      <c r="CXK157" s="191"/>
      <c r="CXL157" s="191"/>
      <c r="CXM157" s="191"/>
      <c r="CXN157" s="191"/>
      <c r="CXO157" s="191"/>
      <c r="CXP157" s="191"/>
      <c r="CXQ157" s="191"/>
      <c r="CXR157" s="191"/>
      <c r="CXS157" s="191"/>
      <c r="CXT157" s="191"/>
      <c r="CXU157" s="191"/>
      <c r="CXV157" s="191"/>
      <c r="CXW157" s="191"/>
      <c r="CXX157" s="191"/>
      <c r="CXY157" s="191"/>
      <c r="CXZ157" s="191"/>
      <c r="CYA157" s="191"/>
      <c r="CYB157" s="191"/>
      <c r="CYC157" s="191"/>
      <c r="CYD157" s="191"/>
      <c r="CYE157" s="191"/>
      <c r="CYF157" s="191"/>
      <c r="CYG157" s="191"/>
      <c r="CYH157" s="191"/>
      <c r="CYI157" s="191"/>
      <c r="CYJ157" s="191"/>
      <c r="CYK157" s="191"/>
      <c r="CYL157" s="191"/>
      <c r="CYM157" s="191"/>
      <c r="CYN157" s="191"/>
      <c r="CYO157" s="191"/>
      <c r="CYP157" s="191"/>
      <c r="CYQ157" s="191"/>
      <c r="CYR157" s="191"/>
      <c r="CYS157" s="191"/>
      <c r="CYT157" s="191"/>
      <c r="CYU157" s="191"/>
      <c r="CYV157" s="191"/>
      <c r="CYW157" s="191"/>
      <c r="CYX157" s="191"/>
      <c r="CYY157" s="191"/>
      <c r="CYZ157" s="191"/>
      <c r="CZA157" s="191"/>
      <c r="CZB157" s="191"/>
      <c r="CZC157" s="191"/>
      <c r="CZD157" s="191"/>
      <c r="CZE157" s="191"/>
      <c r="CZF157" s="191"/>
      <c r="CZG157" s="191"/>
      <c r="CZH157" s="191"/>
      <c r="CZI157" s="191"/>
      <c r="CZJ157" s="191"/>
      <c r="CZK157" s="191"/>
      <c r="CZL157" s="191"/>
      <c r="CZM157" s="191"/>
      <c r="CZN157" s="191"/>
      <c r="CZO157" s="191"/>
      <c r="CZP157" s="191"/>
      <c r="CZQ157" s="191"/>
      <c r="CZR157" s="191"/>
      <c r="CZS157" s="191"/>
      <c r="CZT157" s="191"/>
      <c r="CZU157" s="191"/>
      <c r="CZV157" s="191"/>
      <c r="CZW157" s="191"/>
      <c r="CZX157" s="191"/>
      <c r="CZY157" s="191"/>
      <c r="CZZ157" s="191"/>
      <c r="DAA157" s="191"/>
      <c r="DAB157" s="191"/>
      <c r="DAC157" s="191"/>
      <c r="DAD157" s="191"/>
      <c r="DAE157" s="191"/>
      <c r="DAF157" s="191"/>
      <c r="DAG157" s="191"/>
      <c r="DAH157" s="191"/>
      <c r="DAI157" s="191"/>
      <c r="DAJ157" s="191"/>
      <c r="DAK157" s="191"/>
      <c r="DAL157" s="191"/>
      <c r="DAM157" s="191"/>
      <c r="DAN157" s="191"/>
      <c r="DAO157" s="191"/>
      <c r="DAP157" s="191"/>
      <c r="DAQ157" s="191"/>
      <c r="DAR157" s="191"/>
      <c r="DAS157" s="191"/>
      <c r="DAT157" s="191"/>
      <c r="DAU157" s="191"/>
      <c r="DAV157" s="191"/>
      <c r="DAW157" s="191"/>
      <c r="DAX157" s="191"/>
      <c r="DAY157" s="191"/>
      <c r="DAZ157" s="191"/>
      <c r="DBA157" s="191"/>
      <c r="DBB157" s="191"/>
      <c r="DBC157" s="191"/>
      <c r="DBD157" s="191"/>
      <c r="DBE157" s="191"/>
      <c r="DBF157" s="191"/>
      <c r="DBG157" s="191"/>
      <c r="DBH157" s="191"/>
      <c r="DBI157" s="191"/>
      <c r="DBJ157" s="191"/>
      <c r="DBK157" s="191"/>
      <c r="DBL157" s="191"/>
      <c r="DBM157" s="191"/>
      <c r="DBN157" s="191"/>
      <c r="DBO157" s="191"/>
      <c r="DBP157" s="191"/>
      <c r="DBQ157" s="191"/>
      <c r="DBR157" s="191"/>
      <c r="DBS157" s="191"/>
      <c r="DBT157" s="191"/>
      <c r="DBU157" s="191"/>
      <c r="DBV157" s="191"/>
      <c r="DBW157" s="191"/>
      <c r="DBX157" s="191"/>
      <c r="DBY157" s="191"/>
      <c r="DBZ157" s="191"/>
      <c r="DCA157" s="191"/>
      <c r="DCB157" s="191"/>
      <c r="DCC157" s="191"/>
      <c r="DCD157" s="191"/>
      <c r="DCE157" s="191"/>
      <c r="DCF157" s="191"/>
      <c r="DCG157" s="191"/>
      <c r="DCH157" s="191"/>
      <c r="DCI157" s="191"/>
      <c r="DCJ157" s="191"/>
      <c r="DCK157" s="191"/>
      <c r="DCL157" s="191"/>
      <c r="DCM157" s="191"/>
      <c r="DCN157" s="191"/>
      <c r="DCO157" s="191"/>
      <c r="DCP157" s="191"/>
      <c r="DCQ157" s="191"/>
      <c r="DCR157" s="191"/>
      <c r="DCS157" s="191"/>
      <c r="DCT157" s="191"/>
      <c r="DCU157" s="191"/>
      <c r="DCV157" s="191"/>
      <c r="DCW157" s="191"/>
      <c r="DCX157" s="191"/>
      <c r="DCY157" s="191"/>
      <c r="DCZ157" s="191"/>
      <c r="DDA157" s="191"/>
      <c r="DDB157" s="191"/>
      <c r="DDC157" s="191"/>
      <c r="DDD157" s="191"/>
      <c r="DDE157" s="191"/>
      <c r="DDF157" s="191"/>
      <c r="DDG157" s="191"/>
      <c r="DDH157" s="191"/>
      <c r="DDI157" s="191"/>
      <c r="DDJ157" s="191"/>
      <c r="DDK157" s="191"/>
      <c r="DDL157" s="191"/>
      <c r="DDM157" s="191"/>
      <c r="DDN157" s="191"/>
      <c r="DDO157" s="191"/>
      <c r="DDP157" s="191"/>
      <c r="DDQ157" s="191"/>
      <c r="DDR157" s="191"/>
      <c r="DDS157" s="191"/>
      <c r="DDT157" s="191"/>
      <c r="DDU157" s="191"/>
      <c r="DDV157" s="191"/>
      <c r="DDW157" s="191"/>
      <c r="DDX157" s="191"/>
      <c r="DDY157" s="191"/>
      <c r="DDZ157" s="191"/>
      <c r="DEA157" s="191"/>
      <c r="DEB157" s="191"/>
      <c r="DEC157" s="191"/>
      <c r="DED157" s="191"/>
      <c r="DEE157" s="191"/>
      <c r="DEF157" s="191"/>
      <c r="DEG157" s="191"/>
      <c r="DEH157" s="191"/>
      <c r="DEI157" s="191"/>
      <c r="DEJ157" s="191"/>
      <c r="DEK157" s="191"/>
      <c r="DEL157" s="191"/>
      <c r="DEM157" s="191"/>
      <c r="DEN157" s="191"/>
      <c r="DEO157" s="191"/>
      <c r="DEP157" s="191"/>
      <c r="DEQ157" s="191"/>
      <c r="DER157" s="191"/>
      <c r="DES157" s="191"/>
      <c r="DET157" s="191"/>
      <c r="DEU157" s="191"/>
      <c r="DEV157" s="191"/>
      <c r="DEW157" s="191"/>
      <c r="DEX157" s="191"/>
      <c r="DEY157" s="191"/>
      <c r="DEZ157" s="191"/>
      <c r="DFA157" s="191"/>
      <c r="DFB157" s="191"/>
      <c r="DFC157" s="191"/>
      <c r="DFD157" s="191"/>
      <c r="DFE157" s="191"/>
      <c r="DFF157" s="191"/>
      <c r="DFG157" s="191"/>
      <c r="DFH157" s="191"/>
      <c r="DFI157" s="191"/>
      <c r="DFJ157" s="191"/>
      <c r="DFK157" s="191"/>
      <c r="DFL157" s="191"/>
      <c r="DFM157" s="191"/>
      <c r="DFN157" s="191"/>
      <c r="DFO157" s="191"/>
      <c r="DFP157" s="191"/>
      <c r="DFQ157" s="191"/>
      <c r="DFR157" s="191"/>
      <c r="DFS157" s="191"/>
      <c r="DFT157" s="191"/>
      <c r="DFU157" s="191"/>
      <c r="DFV157" s="191"/>
      <c r="DFW157" s="191"/>
      <c r="DFX157" s="191"/>
      <c r="DFY157" s="191"/>
      <c r="DFZ157" s="191"/>
      <c r="DGA157" s="191"/>
      <c r="DGB157" s="191"/>
      <c r="DGC157" s="191"/>
      <c r="DGD157" s="191"/>
      <c r="DGE157" s="191"/>
      <c r="DGF157" s="191"/>
      <c r="DGG157" s="191"/>
      <c r="DGH157" s="191"/>
      <c r="DGI157" s="191"/>
      <c r="DGJ157" s="191"/>
      <c r="DGK157" s="191"/>
      <c r="DGL157" s="191"/>
      <c r="DGM157" s="191"/>
      <c r="DGN157" s="191"/>
      <c r="DGO157" s="191"/>
      <c r="DGP157" s="191"/>
      <c r="DGQ157" s="191"/>
      <c r="DGR157" s="191"/>
      <c r="DGS157" s="191"/>
      <c r="DGT157" s="191"/>
      <c r="DGU157" s="191"/>
      <c r="DGV157" s="191"/>
      <c r="DGW157" s="191"/>
      <c r="DGX157" s="191"/>
      <c r="DGY157" s="191"/>
      <c r="DGZ157" s="191"/>
      <c r="DHA157" s="191"/>
      <c r="DHB157" s="191"/>
      <c r="DHC157" s="191"/>
      <c r="DHD157" s="191"/>
      <c r="DHE157" s="191"/>
      <c r="DHF157" s="191"/>
      <c r="DHG157" s="191"/>
      <c r="DHH157" s="191"/>
      <c r="DHI157" s="191"/>
      <c r="DHJ157" s="191"/>
      <c r="DHK157" s="191"/>
      <c r="DHL157" s="191"/>
      <c r="DHM157" s="191"/>
      <c r="DHN157" s="191"/>
      <c r="DHO157" s="191"/>
      <c r="DHP157" s="191"/>
      <c r="DHQ157" s="191"/>
      <c r="DHR157" s="191"/>
      <c r="DHS157" s="191"/>
      <c r="DHT157" s="191"/>
      <c r="DHU157" s="191"/>
      <c r="DHV157" s="191"/>
      <c r="DHW157" s="191"/>
      <c r="DHX157" s="191"/>
      <c r="DHY157" s="191"/>
      <c r="DHZ157" s="191"/>
      <c r="DIA157" s="191"/>
      <c r="DIB157" s="191"/>
      <c r="DIC157" s="191"/>
      <c r="DID157" s="191"/>
      <c r="DIE157" s="191"/>
      <c r="DIF157" s="191"/>
      <c r="DIG157" s="191"/>
      <c r="DIH157" s="191"/>
      <c r="DII157" s="191"/>
      <c r="DIJ157" s="191"/>
      <c r="DIK157" s="191"/>
      <c r="DIL157" s="191"/>
      <c r="DIM157" s="191"/>
      <c r="DIN157" s="191"/>
      <c r="DIO157" s="191"/>
      <c r="DIP157" s="191"/>
      <c r="DIQ157" s="191"/>
      <c r="DIR157" s="191"/>
      <c r="DIS157" s="191"/>
      <c r="DIT157" s="191"/>
      <c r="DIU157" s="191"/>
      <c r="DIV157" s="191"/>
      <c r="DIW157" s="191"/>
      <c r="DIX157" s="191"/>
      <c r="DIY157" s="191"/>
      <c r="DIZ157" s="191"/>
      <c r="DJA157" s="191"/>
      <c r="DJB157" s="191"/>
      <c r="DJC157" s="191"/>
      <c r="DJD157" s="191"/>
      <c r="DJE157" s="191"/>
      <c r="DJF157" s="191"/>
      <c r="DJG157" s="191"/>
      <c r="DJH157" s="191"/>
      <c r="DJI157" s="191"/>
      <c r="DJJ157" s="191"/>
      <c r="DJK157" s="191"/>
      <c r="DJL157" s="191"/>
      <c r="DJM157" s="191"/>
      <c r="DJN157" s="191"/>
      <c r="DJO157" s="191"/>
      <c r="DJP157" s="191"/>
      <c r="DJQ157" s="191"/>
      <c r="DJR157" s="191"/>
      <c r="DJS157" s="191"/>
      <c r="DJT157" s="191"/>
      <c r="DJU157" s="191"/>
      <c r="DJV157" s="191"/>
      <c r="DJW157" s="191"/>
      <c r="DJX157" s="191"/>
      <c r="DJY157" s="191"/>
      <c r="DJZ157" s="191"/>
      <c r="DKA157" s="191"/>
      <c r="DKB157" s="191"/>
      <c r="DKC157" s="191"/>
      <c r="DKD157" s="191"/>
      <c r="DKE157" s="191"/>
      <c r="DKF157" s="191"/>
      <c r="DKG157" s="191"/>
      <c r="DKH157" s="191"/>
      <c r="DKI157" s="191"/>
      <c r="DKJ157" s="191"/>
      <c r="DKK157" s="191"/>
      <c r="DKL157" s="191"/>
      <c r="DKM157" s="191"/>
      <c r="DKN157" s="191"/>
      <c r="DKO157" s="191"/>
      <c r="DKP157" s="191"/>
      <c r="DKQ157" s="191"/>
      <c r="DKR157" s="191"/>
      <c r="DKS157" s="191"/>
      <c r="DKT157" s="191"/>
      <c r="DKU157" s="191"/>
      <c r="DKV157" s="191"/>
      <c r="DKW157" s="191"/>
      <c r="DKX157" s="191"/>
      <c r="DKY157" s="191"/>
      <c r="DKZ157" s="191"/>
      <c r="DLA157" s="191"/>
      <c r="DLB157" s="191"/>
      <c r="DLC157" s="191"/>
      <c r="DLD157" s="191"/>
      <c r="DLE157" s="191"/>
      <c r="DLF157" s="191"/>
      <c r="DLG157" s="191"/>
      <c r="DLH157" s="191"/>
      <c r="DLI157" s="191"/>
      <c r="DLJ157" s="191"/>
      <c r="DLK157" s="191"/>
      <c r="DLL157" s="191"/>
      <c r="DLM157" s="191"/>
      <c r="DLN157" s="191"/>
      <c r="DLO157" s="191"/>
      <c r="DLP157" s="191"/>
      <c r="DLQ157" s="191"/>
      <c r="DLR157" s="191"/>
      <c r="DLS157" s="191"/>
      <c r="DLT157" s="191"/>
      <c r="DLU157" s="191"/>
      <c r="DLV157" s="191"/>
      <c r="DLW157" s="191"/>
      <c r="DLX157" s="191"/>
      <c r="DLY157" s="191"/>
      <c r="DLZ157" s="191"/>
      <c r="DMA157" s="191"/>
      <c r="DMB157" s="191"/>
      <c r="DMC157" s="191"/>
      <c r="DMD157" s="191"/>
      <c r="DME157" s="191"/>
      <c r="DMF157" s="191"/>
      <c r="DMG157" s="191"/>
      <c r="DMH157" s="191"/>
      <c r="DMI157" s="191"/>
      <c r="DMJ157" s="191"/>
      <c r="DMK157" s="191"/>
      <c r="DML157" s="191"/>
      <c r="DMM157" s="191"/>
      <c r="DMN157" s="191"/>
      <c r="DMO157" s="191"/>
      <c r="DMP157" s="191"/>
      <c r="DMQ157" s="191"/>
      <c r="DMR157" s="191"/>
      <c r="DMS157" s="191"/>
      <c r="DMT157" s="191"/>
      <c r="DMU157" s="191"/>
      <c r="DMV157" s="191"/>
      <c r="DMW157" s="191"/>
      <c r="DMX157" s="191"/>
      <c r="DMY157" s="191"/>
      <c r="DMZ157" s="191"/>
      <c r="DNA157" s="191"/>
      <c r="DNB157" s="191"/>
      <c r="DNC157" s="191"/>
      <c r="DND157" s="191"/>
      <c r="DNE157" s="191"/>
      <c r="DNF157" s="191"/>
      <c r="DNG157" s="191"/>
      <c r="DNH157" s="191"/>
      <c r="DNI157" s="191"/>
      <c r="DNJ157" s="191"/>
      <c r="DNK157" s="191"/>
      <c r="DNL157" s="191"/>
      <c r="DNM157" s="191"/>
      <c r="DNN157" s="191"/>
      <c r="DNO157" s="191"/>
      <c r="DNP157" s="191"/>
      <c r="DNQ157" s="191"/>
      <c r="DNR157" s="191"/>
      <c r="DNS157" s="191"/>
      <c r="DNT157" s="191"/>
      <c r="DNU157" s="191"/>
      <c r="DNV157" s="191"/>
      <c r="DNW157" s="191"/>
      <c r="DNX157" s="191"/>
      <c r="DNY157" s="191"/>
      <c r="DNZ157" s="191"/>
      <c r="DOA157" s="191"/>
      <c r="DOB157" s="191"/>
      <c r="DOC157" s="191"/>
      <c r="DOD157" s="191"/>
      <c r="DOE157" s="191"/>
      <c r="DOF157" s="191"/>
      <c r="DOG157" s="191"/>
      <c r="DOH157" s="191"/>
      <c r="DOI157" s="191"/>
      <c r="DOJ157" s="191"/>
      <c r="DOK157" s="191"/>
      <c r="DOL157" s="191"/>
      <c r="DOM157" s="191"/>
      <c r="DON157" s="191"/>
      <c r="DOO157" s="191"/>
      <c r="DOP157" s="191"/>
      <c r="DOQ157" s="191"/>
      <c r="DOR157" s="191"/>
      <c r="DOS157" s="191"/>
      <c r="DOT157" s="191"/>
      <c r="DOU157" s="191"/>
      <c r="DOV157" s="191"/>
      <c r="DOW157" s="191"/>
      <c r="DOX157" s="191"/>
      <c r="DOY157" s="191"/>
      <c r="DOZ157" s="191"/>
      <c r="DPA157" s="191"/>
      <c r="DPB157" s="191"/>
      <c r="DPC157" s="191"/>
      <c r="DPD157" s="191"/>
      <c r="DPE157" s="191"/>
      <c r="DPF157" s="191"/>
      <c r="DPG157" s="191"/>
      <c r="DPH157" s="191"/>
      <c r="DPI157" s="191"/>
      <c r="DPJ157" s="191"/>
      <c r="DPK157" s="191"/>
      <c r="DPL157" s="191"/>
      <c r="DPM157" s="191"/>
      <c r="DPN157" s="191"/>
      <c r="DPO157" s="191"/>
      <c r="DPP157" s="191"/>
      <c r="DPQ157" s="191"/>
      <c r="DPR157" s="191"/>
      <c r="DPS157" s="191"/>
      <c r="DPT157" s="191"/>
      <c r="DPU157" s="191"/>
      <c r="DPV157" s="191"/>
      <c r="DPW157" s="191"/>
      <c r="DPX157" s="191"/>
      <c r="DPY157" s="191"/>
      <c r="DPZ157" s="191"/>
      <c r="DQA157" s="191"/>
      <c r="DQB157" s="191"/>
      <c r="DQC157" s="191"/>
      <c r="DQD157" s="191"/>
      <c r="DQE157" s="191"/>
      <c r="DQF157" s="191"/>
      <c r="DQG157" s="191"/>
      <c r="DQH157" s="191"/>
      <c r="DQI157" s="191"/>
      <c r="DQJ157" s="191"/>
      <c r="DQK157" s="191"/>
      <c r="DQL157" s="191"/>
      <c r="DQM157" s="191"/>
      <c r="DQN157" s="191"/>
      <c r="DQO157" s="191"/>
      <c r="DQP157" s="191"/>
      <c r="DQQ157" s="191"/>
      <c r="DQR157" s="191"/>
      <c r="DQS157" s="191"/>
      <c r="DQT157" s="191"/>
      <c r="DQU157" s="191"/>
      <c r="DQV157" s="191"/>
      <c r="DQW157" s="191"/>
      <c r="DQX157" s="191"/>
      <c r="DQY157" s="191"/>
      <c r="DQZ157" s="191"/>
      <c r="DRA157" s="191"/>
      <c r="DRB157" s="191"/>
      <c r="DRC157" s="191"/>
      <c r="DRD157" s="191"/>
      <c r="DRE157" s="191"/>
      <c r="DRF157" s="191"/>
      <c r="DRG157" s="191"/>
      <c r="DRH157" s="191"/>
      <c r="DRI157" s="191"/>
      <c r="DRJ157" s="191"/>
      <c r="DRK157" s="191"/>
      <c r="DRL157" s="191"/>
      <c r="DRM157" s="191"/>
      <c r="DRN157" s="191"/>
      <c r="DRO157" s="191"/>
      <c r="DRP157" s="191"/>
      <c r="DRQ157" s="191"/>
      <c r="DRR157" s="191"/>
      <c r="DRS157" s="191"/>
      <c r="DRT157" s="191"/>
      <c r="DRU157" s="191"/>
      <c r="DRV157" s="191"/>
      <c r="DRW157" s="191"/>
      <c r="DRX157" s="191"/>
      <c r="DRY157" s="191"/>
      <c r="DRZ157" s="191"/>
      <c r="DSA157" s="191"/>
      <c r="DSB157" s="191"/>
      <c r="DSC157" s="191"/>
      <c r="DSD157" s="191"/>
      <c r="DSE157" s="191"/>
      <c r="DSF157" s="191"/>
      <c r="DSG157" s="191"/>
      <c r="DSH157" s="191"/>
      <c r="DSI157" s="191"/>
      <c r="DSJ157" s="191"/>
      <c r="DSK157" s="191"/>
      <c r="DSL157" s="191"/>
      <c r="DSM157" s="191"/>
      <c r="DSN157" s="191"/>
      <c r="DSO157" s="191"/>
      <c r="DSP157" s="191"/>
      <c r="DSQ157" s="191"/>
      <c r="DSR157" s="191"/>
      <c r="DSS157" s="191"/>
      <c r="DST157" s="191"/>
      <c r="DSU157" s="191"/>
      <c r="DSV157" s="191"/>
      <c r="DSW157" s="191"/>
      <c r="DSX157" s="191"/>
      <c r="DSY157" s="191"/>
      <c r="DSZ157" s="191"/>
      <c r="DTA157" s="191"/>
      <c r="DTB157" s="191"/>
      <c r="DTC157" s="191"/>
      <c r="DTD157" s="191"/>
      <c r="DTE157" s="191"/>
      <c r="DTF157" s="191"/>
      <c r="DTG157" s="191"/>
      <c r="DTH157" s="191"/>
      <c r="DTI157" s="191"/>
      <c r="DTJ157" s="191"/>
      <c r="DTK157" s="191"/>
      <c r="DTL157" s="191"/>
      <c r="DTM157" s="191"/>
      <c r="DTN157" s="191"/>
      <c r="DTO157" s="191"/>
      <c r="DTP157" s="191"/>
      <c r="DTQ157" s="191"/>
      <c r="DTR157" s="191"/>
      <c r="DTS157" s="191"/>
      <c r="DTT157" s="191"/>
      <c r="DTU157" s="191"/>
      <c r="DTV157" s="191"/>
      <c r="DTW157" s="191"/>
      <c r="DTX157" s="191"/>
      <c r="DTY157" s="191"/>
      <c r="DTZ157" s="191"/>
      <c r="DUA157" s="191"/>
      <c r="DUB157" s="191"/>
      <c r="DUC157" s="191"/>
      <c r="DUD157" s="191"/>
      <c r="DUE157" s="191"/>
      <c r="DUF157" s="191"/>
      <c r="DUG157" s="191"/>
      <c r="DUH157" s="191"/>
      <c r="DUI157" s="191"/>
      <c r="DUJ157" s="191"/>
      <c r="DUK157" s="191"/>
      <c r="DUL157" s="191"/>
      <c r="DUM157" s="191"/>
      <c r="DUN157" s="191"/>
      <c r="DUO157" s="191"/>
      <c r="DUP157" s="191"/>
      <c r="DUQ157" s="191"/>
      <c r="DUR157" s="191"/>
      <c r="DUS157" s="191"/>
      <c r="DUT157" s="191"/>
      <c r="DUU157" s="191"/>
      <c r="DUV157" s="191"/>
      <c r="DUW157" s="191"/>
      <c r="DUX157" s="191"/>
      <c r="DUY157" s="191"/>
      <c r="DUZ157" s="191"/>
      <c r="DVA157" s="191"/>
      <c r="DVB157" s="191"/>
      <c r="DVC157" s="191"/>
      <c r="DVD157" s="191"/>
      <c r="DVE157" s="191"/>
      <c r="DVF157" s="191"/>
      <c r="DVG157" s="191"/>
      <c r="DVH157" s="191"/>
      <c r="DVI157" s="191"/>
      <c r="DVJ157" s="191"/>
      <c r="DVK157" s="191"/>
      <c r="DVL157" s="191"/>
      <c r="DVM157" s="191"/>
      <c r="DVN157" s="191"/>
      <c r="DVO157" s="191"/>
      <c r="DVP157" s="191"/>
      <c r="DVQ157" s="191"/>
      <c r="DVR157" s="191"/>
      <c r="DVS157" s="191"/>
      <c r="DVT157" s="191"/>
      <c r="DVU157" s="191"/>
      <c r="DVV157" s="191"/>
      <c r="DVW157" s="191"/>
      <c r="DVX157" s="191"/>
      <c r="DVY157" s="191"/>
      <c r="DVZ157" s="191"/>
      <c r="DWA157" s="191"/>
      <c r="DWB157" s="191"/>
      <c r="DWC157" s="191"/>
      <c r="DWD157" s="191"/>
      <c r="DWE157" s="191"/>
      <c r="DWF157" s="191"/>
      <c r="DWG157" s="191"/>
      <c r="DWH157" s="191"/>
      <c r="DWI157" s="191"/>
      <c r="DWJ157" s="191"/>
      <c r="DWK157" s="191"/>
      <c r="DWL157" s="191"/>
      <c r="DWM157" s="191"/>
      <c r="DWN157" s="191"/>
      <c r="DWO157" s="191"/>
      <c r="DWP157" s="191"/>
      <c r="DWQ157" s="191"/>
      <c r="DWR157" s="191"/>
      <c r="DWS157" s="191"/>
      <c r="DWT157" s="191"/>
      <c r="DWU157" s="191"/>
      <c r="DWV157" s="191"/>
      <c r="DWW157" s="191"/>
      <c r="DWX157" s="191"/>
      <c r="DWY157" s="191"/>
      <c r="DWZ157" s="191"/>
      <c r="DXA157" s="191"/>
      <c r="DXB157" s="191"/>
      <c r="DXC157" s="191"/>
      <c r="DXD157" s="191"/>
      <c r="DXE157" s="191"/>
      <c r="DXF157" s="191"/>
      <c r="DXG157" s="191"/>
      <c r="DXH157" s="191"/>
      <c r="DXI157" s="191"/>
      <c r="DXJ157" s="191"/>
      <c r="DXK157" s="191"/>
      <c r="DXL157" s="191"/>
      <c r="DXM157" s="191"/>
      <c r="DXN157" s="191"/>
      <c r="DXO157" s="191"/>
      <c r="DXP157" s="191"/>
      <c r="DXQ157" s="191"/>
      <c r="DXR157" s="191"/>
      <c r="DXS157" s="191"/>
      <c r="DXT157" s="191"/>
      <c r="DXU157" s="191"/>
      <c r="DXV157" s="191"/>
      <c r="DXW157" s="191"/>
      <c r="DXX157" s="191"/>
      <c r="DXY157" s="191"/>
      <c r="DXZ157" s="191"/>
      <c r="DYA157" s="191"/>
      <c r="DYB157" s="191"/>
      <c r="DYC157" s="191"/>
      <c r="DYD157" s="191"/>
      <c r="DYE157" s="191"/>
      <c r="DYF157" s="191"/>
      <c r="DYG157" s="191"/>
      <c r="DYH157" s="191"/>
      <c r="DYI157" s="191"/>
      <c r="DYJ157" s="191"/>
      <c r="DYK157" s="191"/>
      <c r="DYL157" s="191"/>
      <c r="DYM157" s="191"/>
      <c r="DYN157" s="191"/>
      <c r="DYO157" s="191"/>
      <c r="DYP157" s="191"/>
      <c r="DYQ157" s="191"/>
      <c r="DYR157" s="191"/>
      <c r="DYS157" s="191"/>
      <c r="DYT157" s="191"/>
      <c r="DYU157" s="191"/>
      <c r="DYV157" s="191"/>
      <c r="DYW157" s="191"/>
      <c r="DYX157" s="191"/>
      <c r="DYY157" s="191"/>
      <c r="DYZ157" s="191"/>
      <c r="DZA157" s="191"/>
      <c r="DZB157" s="191"/>
      <c r="DZC157" s="191"/>
      <c r="DZD157" s="191"/>
      <c r="DZE157" s="191"/>
      <c r="DZF157" s="191"/>
      <c r="DZG157" s="191"/>
      <c r="DZH157" s="191"/>
      <c r="DZI157" s="191"/>
      <c r="DZJ157" s="191"/>
      <c r="DZK157" s="191"/>
      <c r="DZL157" s="191"/>
      <c r="DZM157" s="191"/>
      <c r="DZN157" s="191"/>
      <c r="DZO157" s="191"/>
      <c r="DZP157" s="191"/>
      <c r="DZQ157" s="191"/>
      <c r="DZR157" s="191"/>
      <c r="DZS157" s="191"/>
      <c r="DZT157" s="191"/>
      <c r="DZU157" s="191"/>
      <c r="DZV157" s="191"/>
      <c r="DZW157" s="191"/>
      <c r="DZX157" s="191"/>
      <c r="DZY157" s="191"/>
      <c r="DZZ157" s="191"/>
      <c r="EAA157" s="191"/>
      <c r="EAB157" s="191"/>
      <c r="EAC157" s="191"/>
      <c r="EAD157" s="191"/>
      <c r="EAE157" s="191"/>
      <c r="EAF157" s="191"/>
      <c r="EAG157" s="191"/>
      <c r="EAH157" s="191"/>
      <c r="EAI157" s="191"/>
      <c r="EAJ157" s="191"/>
      <c r="EAK157" s="191"/>
      <c r="EAL157" s="191"/>
      <c r="EAM157" s="191"/>
      <c r="EAN157" s="191"/>
      <c r="EAO157" s="191"/>
      <c r="EAP157" s="191"/>
      <c r="EAQ157" s="191"/>
      <c r="EAR157" s="191"/>
      <c r="EAS157" s="191"/>
      <c r="EAT157" s="191"/>
      <c r="EAU157" s="191"/>
      <c r="EAV157" s="191"/>
      <c r="EAW157" s="191"/>
      <c r="EAX157" s="191"/>
      <c r="EAY157" s="191"/>
      <c r="EAZ157" s="191"/>
      <c r="EBA157" s="191"/>
      <c r="EBB157" s="191"/>
      <c r="EBC157" s="191"/>
      <c r="EBD157" s="191"/>
      <c r="EBE157" s="191"/>
      <c r="EBF157" s="191"/>
      <c r="EBG157" s="191"/>
      <c r="EBH157" s="191"/>
      <c r="EBI157" s="191"/>
      <c r="EBJ157" s="191"/>
      <c r="EBK157" s="191"/>
      <c r="EBL157" s="191"/>
      <c r="EBM157" s="191"/>
      <c r="EBN157" s="191"/>
      <c r="EBO157" s="191"/>
      <c r="EBP157" s="191"/>
      <c r="EBQ157" s="191"/>
      <c r="EBR157" s="191"/>
      <c r="EBS157" s="191"/>
      <c r="EBT157" s="191"/>
      <c r="EBU157" s="191"/>
      <c r="EBV157" s="191"/>
      <c r="EBW157" s="191"/>
      <c r="EBX157" s="191"/>
      <c r="EBY157" s="191"/>
      <c r="EBZ157" s="191"/>
      <c r="ECA157" s="191"/>
      <c r="ECB157" s="191"/>
      <c r="ECC157" s="191"/>
      <c r="ECD157" s="191"/>
      <c r="ECE157" s="191"/>
      <c r="ECF157" s="191"/>
      <c r="ECG157" s="191"/>
      <c r="ECH157" s="191"/>
      <c r="ECI157" s="191"/>
      <c r="ECJ157" s="191"/>
      <c r="ECK157" s="191"/>
      <c r="ECL157" s="191"/>
      <c r="ECM157" s="191"/>
      <c r="ECN157" s="191"/>
      <c r="ECO157" s="191"/>
      <c r="ECP157" s="191"/>
      <c r="ECQ157" s="191"/>
      <c r="ECR157" s="191"/>
      <c r="ECS157" s="191"/>
      <c r="ECT157" s="191"/>
      <c r="ECU157" s="191"/>
      <c r="ECV157" s="191"/>
      <c r="ECW157" s="191"/>
      <c r="ECX157" s="191"/>
      <c r="ECY157" s="191"/>
      <c r="ECZ157" s="191"/>
      <c r="EDA157" s="191"/>
      <c r="EDB157" s="191"/>
      <c r="EDC157" s="191"/>
      <c r="EDD157" s="191"/>
      <c r="EDE157" s="191"/>
      <c r="EDF157" s="191"/>
      <c r="EDG157" s="191"/>
      <c r="EDH157" s="191"/>
      <c r="EDI157" s="191"/>
      <c r="EDJ157" s="191"/>
      <c r="EDK157" s="191"/>
      <c r="EDL157" s="191"/>
      <c r="EDM157" s="191"/>
      <c r="EDN157" s="191"/>
      <c r="EDO157" s="191"/>
      <c r="EDP157" s="191"/>
      <c r="EDQ157" s="191"/>
      <c r="EDR157" s="191"/>
      <c r="EDS157" s="191"/>
      <c r="EDT157" s="191"/>
      <c r="EDU157" s="191"/>
      <c r="EDV157" s="191"/>
      <c r="EDW157" s="191"/>
      <c r="EDX157" s="191"/>
      <c r="EDY157" s="191"/>
      <c r="EDZ157" s="191"/>
      <c r="EEA157" s="191"/>
      <c r="EEB157" s="191"/>
      <c r="EEC157" s="191"/>
      <c r="EED157" s="191"/>
      <c r="EEE157" s="191"/>
      <c r="EEF157" s="191"/>
      <c r="EEG157" s="191"/>
      <c r="EEH157" s="191"/>
      <c r="EEI157" s="191"/>
      <c r="EEJ157" s="191"/>
      <c r="EEK157" s="191"/>
      <c r="EEL157" s="191"/>
      <c r="EEM157" s="191"/>
      <c r="EEN157" s="191"/>
      <c r="EEO157" s="191"/>
      <c r="EEP157" s="191"/>
      <c r="EEQ157" s="191"/>
      <c r="EER157" s="191"/>
      <c r="EES157" s="191"/>
      <c r="EET157" s="191"/>
      <c r="EEU157" s="191"/>
      <c r="EEV157" s="191"/>
      <c r="EEW157" s="191"/>
      <c r="EEX157" s="191"/>
      <c r="EEY157" s="191"/>
      <c r="EEZ157" s="191"/>
      <c r="EFA157" s="191"/>
      <c r="EFB157" s="191"/>
      <c r="EFC157" s="191"/>
      <c r="EFD157" s="191"/>
      <c r="EFE157" s="191"/>
      <c r="EFF157" s="191"/>
      <c r="EFG157" s="191"/>
      <c r="EFH157" s="191"/>
      <c r="EFI157" s="191"/>
      <c r="EFJ157" s="191"/>
      <c r="EFK157" s="191"/>
      <c r="EFL157" s="191"/>
      <c r="EFM157" s="191"/>
      <c r="EFN157" s="191"/>
      <c r="EFO157" s="191"/>
      <c r="EFP157" s="191"/>
      <c r="EFQ157" s="191"/>
      <c r="EFR157" s="191"/>
      <c r="EFS157" s="191"/>
      <c r="EFT157" s="191"/>
      <c r="EFU157" s="191"/>
      <c r="EFV157" s="191"/>
      <c r="EFW157" s="191"/>
      <c r="EFX157" s="191"/>
      <c r="EFY157" s="191"/>
      <c r="EFZ157" s="191"/>
      <c r="EGA157" s="191"/>
      <c r="EGB157" s="191"/>
      <c r="EGC157" s="191"/>
      <c r="EGD157" s="191"/>
      <c r="EGE157" s="191"/>
      <c r="EGF157" s="191"/>
      <c r="EGG157" s="191"/>
      <c r="EGH157" s="191"/>
      <c r="EGI157" s="191"/>
      <c r="EGJ157" s="191"/>
      <c r="EGK157" s="191"/>
      <c r="EGL157" s="191"/>
      <c r="EGM157" s="191"/>
      <c r="EGN157" s="191"/>
      <c r="EGO157" s="191"/>
      <c r="EGP157" s="191"/>
      <c r="EGQ157" s="191"/>
      <c r="EGR157" s="191"/>
      <c r="EGS157" s="191"/>
      <c r="EGT157" s="191"/>
      <c r="EGU157" s="191"/>
      <c r="EGV157" s="191"/>
      <c r="EGW157" s="191"/>
      <c r="EGX157" s="191"/>
      <c r="EGY157" s="191"/>
      <c r="EGZ157" s="191"/>
      <c r="EHA157" s="191"/>
      <c r="EHB157" s="191"/>
      <c r="EHC157" s="191"/>
      <c r="EHD157" s="191"/>
      <c r="EHE157" s="191"/>
      <c r="EHF157" s="191"/>
      <c r="EHG157" s="191"/>
      <c r="EHH157" s="191"/>
      <c r="EHI157" s="191"/>
      <c r="EHJ157" s="191"/>
      <c r="EHK157" s="191"/>
      <c r="EHL157" s="191"/>
      <c r="EHM157" s="191"/>
      <c r="EHN157" s="191"/>
      <c r="EHO157" s="191"/>
      <c r="EHP157" s="191"/>
      <c r="EHQ157" s="191"/>
      <c r="EHR157" s="191"/>
      <c r="EHS157" s="191"/>
      <c r="EHT157" s="191"/>
      <c r="EHU157" s="191"/>
      <c r="EHV157" s="191"/>
      <c r="EHW157" s="191"/>
      <c r="EHX157" s="191"/>
      <c r="EHY157" s="191"/>
      <c r="EHZ157" s="191"/>
      <c r="EIA157" s="191"/>
      <c r="EIB157" s="191"/>
      <c r="EIC157" s="191"/>
      <c r="EID157" s="191"/>
      <c r="EIE157" s="191"/>
      <c r="EIF157" s="191"/>
      <c r="EIG157" s="191"/>
      <c r="EIH157" s="191"/>
      <c r="EII157" s="191"/>
      <c r="EIJ157" s="191"/>
      <c r="EIK157" s="191"/>
      <c r="EIL157" s="191"/>
      <c r="EIM157" s="191"/>
      <c r="EIN157" s="191"/>
      <c r="EIO157" s="191"/>
      <c r="EIP157" s="191"/>
      <c r="EIQ157" s="191"/>
      <c r="EIR157" s="191"/>
      <c r="EIS157" s="191"/>
      <c r="EIT157" s="191"/>
      <c r="EIU157" s="191"/>
      <c r="EIV157" s="191"/>
      <c r="EIW157" s="191"/>
      <c r="EIX157" s="191"/>
      <c r="EIY157" s="191"/>
      <c r="EIZ157" s="191"/>
      <c r="EJA157" s="191"/>
      <c r="EJB157" s="191"/>
      <c r="EJC157" s="191"/>
      <c r="EJD157" s="191"/>
      <c r="EJE157" s="191"/>
      <c r="EJF157" s="191"/>
      <c r="EJG157" s="191"/>
      <c r="EJH157" s="191"/>
      <c r="EJI157" s="191"/>
      <c r="EJJ157" s="191"/>
      <c r="EJK157" s="191"/>
      <c r="EJL157" s="191"/>
      <c r="EJM157" s="191"/>
      <c r="EJN157" s="191"/>
      <c r="EJO157" s="191"/>
      <c r="EJP157" s="191"/>
      <c r="EJQ157" s="191"/>
      <c r="EJR157" s="191"/>
      <c r="EJS157" s="191"/>
      <c r="EJT157" s="191"/>
      <c r="EJU157" s="191"/>
      <c r="EJV157" s="191"/>
      <c r="EJW157" s="191"/>
      <c r="EJX157" s="191"/>
      <c r="EJY157" s="191"/>
      <c r="EJZ157" s="191"/>
      <c r="EKA157" s="191"/>
      <c r="EKB157" s="191"/>
      <c r="EKC157" s="191"/>
      <c r="EKD157" s="191"/>
      <c r="EKE157" s="191"/>
      <c r="EKF157" s="191"/>
      <c r="EKG157" s="191"/>
      <c r="EKH157" s="191"/>
      <c r="EKI157" s="191"/>
      <c r="EKJ157" s="191"/>
      <c r="EKK157" s="191"/>
      <c r="EKL157" s="191"/>
      <c r="EKM157" s="191"/>
      <c r="EKN157" s="191"/>
      <c r="EKO157" s="191"/>
      <c r="EKP157" s="191"/>
      <c r="EKQ157" s="191"/>
      <c r="EKR157" s="191"/>
      <c r="EKS157" s="191"/>
      <c r="EKT157" s="191"/>
      <c r="EKU157" s="191"/>
      <c r="EKV157" s="191"/>
      <c r="EKW157" s="191"/>
      <c r="EKX157" s="191"/>
      <c r="EKY157" s="191"/>
      <c r="EKZ157" s="191"/>
      <c r="ELA157" s="191"/>
      <c r="ELB157" s="191"/>
      <c r="ELC157" s="191"/>
      <c r="ELD157" s="191"/>
      <c r="ELE157" s="191"/>
      <c r="ELF157" s="191"/>
      <c r="ELG157" s="191"/>
      <c r="ELH157" s="191"/>
      <c r="ELI157" s="191"/>
      <c r="ELJ157" s="191"/>
      <c r="ELK157" s="191"/>
      <c r="ELL157" s="191"/>
      <c r="ELM157" s="191"/>
      <c r="ELN157" s="191"/>
      <c r="ELO157" s="191"/>
      <c r="ELP157" s="191"/>
      <c r="ELQ157" s="191"/>
      <c r="ELR157" s="191"/>
      <c r="ELS157" s="191"/>
      <c r="ELT157" s="191"/>
      <c r="ELU157" s="191"/>
      <c r="ELV157" s="191"/>
      <c r="ELW157" s="191"/>
      <c r="ELX157" s="191"/>
      <c r="ELY157" s="191"/>
      <c r="ELZ157" s="191"/>
      <c r="EMA157" s="191"/>
      <c r="EMB157" s="191"/>
      <c r="EMC157" s="191"/>
      <c r="EMD157" s="191"/>
      <c r="EME157" s="191"/>
      <c r="EMF157" s="191"/>
      <c r="EMG157" s="191"/>
      <c r="EMH157" s="191"/>
      <c r="EMI157" s="191"/>
      <c r="EMJ157" s="191"/>
      <c r="EMK157" s="191"/>
      <c r="EML157" s="191"/>
      <c r="EMM157" s="191"/>
      <c r="EMN157" s="191"/>
      <c r="EMO157" s="191"/>
      <c r="EMP157" s="191"/>
      <c r="EMQ157" s="191"/>
      <c r="EMR157" s="191"/>
      <c r="EMS157" s="191"/>
      <c r="EMT157" s="191"/>
      <c r="EMU157" s="191"/>
      <c r="EMV157" s="191"/>
      <c r="EMW157" s="191"/>
      <c r="EMX157" s="191"/>
      <c r="EMY157" s="191"/>
      <c r="EMZ157" s="191"/>
      <c r="ENA157" s="191"/>
      <c r="ENB157" s="191"/>
      <c r="ENC157" s="191"/>
      <c r="END157" s="191"/>
      <c r="ENE157" s="191"/>
      <c r="ENF157" s="191"/>
      <c r="ENG157" s="191"/>
      <c r="ENH157" s="191"/>
      <c r="ENI157" s="191"/>
      <c r="ENJ157" s="191"/>
      <c r="ENK157" s="191"/>
      <c r="ENL157" s="191"/>
      <c r="ENM157" s="191"/>
      <c r="ENN157" s="191"/>
      <c r="ENO157" s="191"/>
      <c r="ENP157" s="191"/>
      <c r="ENQ157" s="191"/>
      <c r="ENR157" s="191"/>
      <c r="ENS157" s="191"/>
      <c r="ENT157" s="191"/>
      <c r="ENU157" s="191"/>
      <c r="ENV157" s="191"/>
      <c r="ENW157" s="191"/>
      <c r="ENX157" s="191"/>
      <c r="ENY157" s="191"/>
      <c r="ENZ157" s="191"/>
      <c r="EOA157" s="191"/>
      <c r="EOB157" s="191"/>
      <c r="EOC157" s="191"/>
      <c r="EOD157" s="191"/>
      <c r="EOE157" s="191"/>
      <c r="EOF157" s="191"/>
      <c r="EOG157" s="191"/>
      <c r="EOH157" s="191"/>
      <c r="EOI157" s="191"/>
      <c r="EOJ157" s="191"/>
      <c r="EOK157" s="191"/>
      <c r="EOL157" s="191"/>
      <c r="EOM157" s="191"/>
      <c r="EON157" s="191"/>
      <c r="EOO157" s="191"/>
      <c r="EOP157" s="191"/>
      <c r="EOQ157" s="191"/>
      <c r="EOR157" s="191"/>
      <c r="EOS157" s="191"/>
      <c r="EOT157" s="191"/>
      <c r="EOU157" s="191"/>
      <c r="EOV157" s="191"/>
      <c r="EOW157" s="191"/>
      <c r="EOX157" s="191"/>
      <c r="EOY157" s="191"/>
      <c r="EOZ157" s="191"/>
      <c r="EPA157" s="191"/>
      <c r="EPB157" s="191"/>
      <c r="EPC157" s="191"/>
      <c r="EPD157" s="191"/>
      <c r="EPE157" s="191"/>
      <c r="EPF157" s="191"/>
      <c r="EPG157" s="191"/>
      <c r="EPH157" s="191"/>
      <c r="EPI157" s="191"/>
      <c r="EPJ157" s="191"/>
      <c r="EPK157" s="191"/>
      <c r="EPL157" s="191"/>
      <c r="EPM157" s="191"/>
      <c r="EPN157" s="191"/>
      <c r="EPO157" s="191"/>
      <c r="EPP157" s="191"/>
      <c r="EPQ157" s="191"/>
      <c r="EPR157" s="191"/>
      <c r="EPS157" s="191"/>
      <c r="EPT157" s="191"/>
      <c r="EPU157" s="191"/>
      <c r="EPV157" s="191"/>
      <c r="EPW157" s="191"/>
      <c r="EPX157" s="191"/>
      <c r="EPY157" s="191"/>
      <c r="EPZ157" s="191"/>
      <c r="EQA157" s="191"/>
      <c r="EQB157" s="191"/>
      <c r="EQC157" s="191"/>
      <c r="EQD157" s="191"/>
      <c r="EQE157" s="191"/>
      <c r="EQF157" s="191"/>
      <c r="EQG157" s="191"/>
      <c r="EQH157" s="191"/>
      <c r="EQI157" s="191"/>
      <c r="EQJ157" s="191"/>
      <c r="EQK157" s="191"/>
      <c r="EQL157" s="191"/>
      <c r="EQM157" s="191"/>
      <c r="EQN157" s="191"/>
      <c r="EQO157" s="191"/>
      <c r="EQP157" s="191"/>
      <c r="EQQ157" s="191"/>
      <c r="EQR157" s="191"/>
      <c r="EQS157" s="191"/>
      <c r="EQT157" s="191"/>
      <c r="EQU157" s="191"/>
      <c r="EQV157" s="191"/>
      <c r="EQW157" s="191"/>
      <c r="EQX157" s="191"/>
      <c r="EQY157" s="191"/>
      <c r="EQZ157" s="191"/>
      <c r="ERA157" s="191"/>
      <c r="ERB157" s="191"/>
      <c r="ERC157" s="191"/>
      <c r="ERD157" s="191"/>
      <c r="ERE157" s="191"/>
      <c r="ERF157" s="191"/>
      <c r="ERG157" s="191"/>
      <c r="ERH157" s="191"/>
      <c r="ERI157" s="191"/>
      <c r="ERJ157" s="191"/>
      <c r="ERK157" s="191"/>
      <c r="ERL157" s="191"/>
      <c r="ERM157" s="191"/>
      <c r="ERN157" s="191"/>
      <c r="ERO157" s="191"/>
      <c r="ERP157" s="191"/>
      <c r="ERQ157" s="191"/>
      <c r="ERR157" s="191"/>
      <c r="ERS157" s="191"/>
      <c r="ERT157" s="191"/>
      <c r="ERU157" s="191"/>
      <c r="ERV157" s="191"/>
      <c r="ERW157" s="191"/>
      <c r="ERX157" s="191"/>
      <c r="ERY157" s="191"/>
      <c r="ERZ157" s="191"/>
      <c r="ESA157" s="191"/>
      <c r="ESB157" s="191"/>
      <c r="ESC157" s="191"/>
      <c r="ESD157" s="191"/>
      <c r="ESE157" s="191"/>
      <c r="ESF157" s="191"/>
      <c r="ESG157" s="191"/>
      <c r="ESH157" s="191"/>
      <c r="ESI157" s="191"/>
      <c r="ESJ157" s="191"/>
      <c r="ESK157" s="191"/>
      <c r="ESL157" s="191"/>
      <c r="ESM157" s="191"/>
      <c r="ESN157" s="191"/>
      <c r="ESO157" s="191"/>
      <c r="ESP157" s="191"/>
      <c r="ESQ157" s="191"/>
      <c r="ESR157" s="191"/>
      <c r="ESS157" s="191"/>
      <c r="EST157" s="191"/>
      <c r="ESU157" s="191"/>
      <c r="ESV157" s="191"/>
      <c r="ESW157" s="191"/>
      <c r="ESX157" s="191"/>
      <c r="ESY157" s="191"/>
      <c r="ESZ157" s="191"/>
      <c r="ETA157" s="191"/>
      <c r="ETB157" s="191"/>
      <c r="ETC157" s="191"/>
      <c r="ETD157" s="191"/>
      <c r="ETE157" s="191"/>
      <c r="ETF157" s="191"/>
      <c r="ETG157" s="191"/>
      <c r="ETH157" s="191"/>
      <c r="ETI157" s="191"/>
      <c r="ETJ157" s="191"/>
      <c r="ETK157" s="191"/>
      <c r="ETL157" s="191"/>
      <c r="ETM157" s="191"/>
      <c r="ETN157" s="191"/>
      <c r="ETO157" s="191"/>
      <c r="ETP157" s="191"/>
      <c r="ETQ157" s="191"/>
      <c r="ETR157" s="191"/>
      <c r="ETS157" s="191"/>
      <c r="ETT157" s="191"/>
      <c r="ETU157" s="191"/>
      <c r="ETV157" s="191"/>
      <c r="ETW157" s="191"/>
      <c r="ETX157" s="191"/>
      <c r="ETY157" s="191"/>
      <c r="ETZ157" s="191"/>
      <c r="EUA157" s="191"/>
      <c r="EUB157" s="191"/>
      <c r="EUC157" s="191"/>
      <c r="EUD157" s="191"/>
      <c r="EUE157" s="191"/>
      <c r="EUF157" s="191"/>
      <c r="EUG157" s="191"/>
      <c r="EUH157" s="191"/>
      <c r="EUI157" s="191"/>
      <c r="EUJ157" s="191"/>
      <c r="EUK157" s="191"/>
      <c r="EUL157" s="191"/>
      <c r="EUM157" s="191"/>
      <c r="EUN157" s="191"/>
      <c r="EUO157" s="191"/>
      <c r="EUP157" s="191"/>
      <c r="EUQ157" s="191"/>
      <c r="EUR157" s="191"/>
      <c r="EUS157" s="191"/>
      <c r="EUT157" s="191"/>
      <c r="EUU157" s="191"/>
      <c r="EUV157" s="191"/>
      <c r="EUW157" s="191"/>
      <c r="EUX157" s="191"/>
      <c r="EUY157" s="191"/>
      <c r="EUZ157" s="191"/>
      <c r="EVA157" s="191"/>
      <c r="EVB157" s="191"/>
      <c r="EVC157" s="191"/>
      <c r="EVD157" s="191"/>
      <c r="EVE157" s="191"/>
      <c r="EVF157" s="191"/>
      <c r="EVG157" s="191"/>
      <c r="EVH157" s="191"/>
      <c r="EVI157" s="191"/>
      <c r="EVJ157" s="191"/>
      <c r="EVK157" s="191"/>
      <c r="EVL157" s="191"/>
      <c r="EVM157" s="191"/>
      <c r="EVN157" s="191"/>
      <c r="EVO157" s="191"/>
      <c r="EVP157" s="191"/>
      <c r="EVQ157" s="191"/>
      <c r="EVR157" s="191"/>
      <c r="EVS157" s="191"/>
      <c r="EVT157" s="191"/>
      <c r="EVU157" s="191"/>
      <c r="EVV157" s="191"/>
      <c r="EVW157" s="191"/>
      <c r="EVX157" s="191"/>
      <c r="EVY157" s="191"/>
      <c r="EVZ157" s="191"/>
      <c r="EWA157" s="191"/>
      <c r="EWB157" s="191"/>
      <c r="EWC157" s="191"/>
      <c r="EWD157" s="191"/>
      <c r="EWE157" s="191"/>
      <c r="EWF157" s="191"/>
      <c r="EWG157" s="191"/>
      <c r="EWH157" s="191"/>
      <c r="EWI157" s="191"/>
      <c r="EWJ157" s="191"/>
      <c r="EWK157" s="191"/>
      <c r="EWL157" s="191"/>
      <c r="EWM157" s="191"/>
      <c r="EWN157" s="191"/>
      <c r="EWO157" s="191"/>
      <c r="EWP157" s="191"/>
      <c r="EWQ157" s="191"/>
      <c r="EWR157" s="191"/>
      <c r="EWS157" s="191"/>
      <c r="EWT157" s="191"/>
      <c r="EWU157" s="191"/>
      <c r="EWV157" s="191"/>
      <c r="EWW157" s="191"/>
      <c r="EWX157" s="191"/>
      <c r="EWY157" s="191"/>
      <c r="EWZ157" s="191"/>
      <c r="EXA157" s="191"/>
      <c r="EXB157" s="191"/>
      <c r="EXC157" s="191"/>
      <c r="EXD157" s="191"/>
      <c r="EXE157" s="191"/>
      <c r="EXF157" s="191"/>
      <c r="EXG157" s="191"/>
      <c r="EXH157" s="191"/>
      <c r="EXI157" s="191"/>
      <c r="EXJ157" s="191"/>
      <c r="EXK157" s="191"/>
      <c r="EXL157" s="191"/>
      <c r="EXM157" s="191"/>
      <c r="EXN157" s="191"/>
      <c r="EXO157" s="191"/>
      <c r="EXP157" s="191"/>
      <c r="EXQ157" s="191"/>
      <c r="EXR157" s="191"/>
      <c r="EXS157" s="191"/>
      <c r="EXT157" s="191"/>
      <c r="EXU157" s="191"/>
      <c r="EXV157" s="191"/>
      <c r="EXW157" s="191"/>
      <c r="EXX157" s="191"/>
      <c r="EXY157" s="191"/>
      <c r="EXZ157" s="191"/>
      <c r="EYA157" s="191"/>
      <c r="EYB157" s="191"/>
      <c r="EYC157" s="191"/>
      <c r="EYD157" s="191"/>
      <c r="EYE157" s="191"/>
      <c r="EYF157" s="191"/>
      <c r="EYG157" s="191"/>
      <c r="EYH157" s="191"/>
      <c r="EYI157" s="191"/>
      <c r="EYJ157" s="191"/>
      <c r="EYK157" s="191"/>
      <c r="EYL157" s="191"/>
      <c r="EYM157" s="191"/>
      <c r="EYN157" s="191"/>
      <c r="EYO157" s="191"/>
      <c r="EYP157" s="191"/>
      <c r="EYQ157" s="191"/>
      <c r="EYR157" s="191"/>
      <c r="EYS157" s="191"/>
      <c r="EYT157" s="191"/>
      <c r="EYU157" s="191"/>
      <c r="EYV157" s="191"/>
      <c r="EYW157" s="191"/>
      <c r="EYX157" s="191"/>
      <c r="EYY157" s="191"/>
      <c r="EYZ157" s="191"/>
      <c r="EZA157" s="191"/>
      <c r="EZB157" s="191"/>
      <c r="EZC157" s="191"/>
      <c r="EZD157" s="191"/>
      <c r="EZE157" s="191"/>
      <c r="EZF157" s="191"/>
      <c r="EZG157" s="191"/>
      <c r="EZH157" s="191"/>
      <c r="EZI157" s="191"/>
      <c r="EZJ157" s="191"/>
      <c r="EZK157" s="191"/>
      <c r="EZL157" s="191"/>
      <c r="EZM157" s="191"/>
      <c r="EZN157" s="191"/>
      <c r="EZO157" s="191"/>
      <c r="EZP157" s="191"/>
      <c r="EZQ157" s="191"/>
      <c r="EZR157" s="191"/>
      <c r="EZS157" s="191"/>
      <c r="EZT157" s="191"/>
      <c r="EZU157" s="191"/>
      <c r="EZV157" s="191"/>
      <c r="EZW157" s="191"/>
      <c r="EZX157" s="191"/>
      <c r="EZY157" s="191"/>
      <c r="EZZ157" s="191"/>
      <c r="FAA157" s="191"/>
      <c r="FAB157" s="191"/>
      <c r="FAC157" s="191"/>
      <c r="FAD157" s="191"/>
      <c r="FAE157" s="191"/>
      <c r="FAF157" s="191"/>
      <c r="FAG157" s="191"/>
      <c r="FAH157" s="191"/>
      <c r="FAI157" s="191"/>
      <c r="FAJ157" s="191"/>
      <c r="FAK157" s="191"/>
      <c r="FAL157" s="191"/>
      <c r="FAM157" s="191"/>
      <c r="FAN157" s="191"/>
      <c r="FAO157" s="191"/>
      <c r="FAP157" s="191"/>
      <c r="FAQ157" s="191"/>
      <c r="FAR157" s="191"/>
      <c r="FAS157" s="191"/>
      <c r="FAT157" s="191"/>
      <c r="FAU157" s="191"/>
      <c r="FAV157" s="191"/>
      <c r="FAW157" s="191"/>
      <c r="FAX157" s="191"/>
      <c r="FAY157" s="191"/>
      <c r="FAZ157" s="191"/>
      <c r="FBA157" s="191"/>
      <c r="FBB157" s="191"/>
      <c r="FBC157" s="191"/>
      <c r="FBD157" s="191"/>
      <c r="FBE157" s="191"/>
      <c r="FBF157" s="191"/>
      <c r="FBG157" s="191"/>
      <c r="FBH157" s="191"/>
      <c r="FBI157" s="191"/>
      <c r="FBJ157" s="191"/>
      <c r="FBK157" s="191"/>
      <c r="FBL157" s="191"/>
      <c r="FBM157" s="191"/>
      <c r="FBN157" s="191"/>
      <c r="FBO157" s="191"/>
      <c r="FBP157" s="191"/>
      <c r="FBQ157" s="191"/>
      <c r="FBR157" s="191"/>
      <c r="FBS157" s="191"/>
      <c r="FBT157" s="191"/>
      <c r="FBU157" s="191"/>
      <c r="FBV157" s="191"/>
      <c r="FBW157" s="191"/>
      <c r="FBX157" s="191"/>
      <c r="FBY157" s="191"/>
      <c r="FBZ157" s="191"/>
      <c r="FCA157" s="191"/>
      <c r="FCB157" s="191"/>
      <c r="FCC157" s="191"/>
      <c r="FCD157" s="191"/>
      <c r="FCE157" s="191"/>
      <c r="FCF157" s="191"/>
      <c r="FCG157" s="191"/>
      <c r="FCH157" s="191"/>
      <c r="FCI157" s="191"/>
      <c r="FCJ157" s="191"/>
      <c r="FCK157" s="191"/>
      <c r="FCL157" s="191"/>
      <c r="FCM157" s="191"/>
      <c r="FCN157" s="191"/>
      <c r="FCO157" s="191"/>
      <c r="FCP157" s="191"/>
      <c r="FCQ157" s="191"/>
      <c r="FCR157" s="191"/>
      <c r="FCS157" s="191"/>
      <c r="FCT157" s="191"/>
      <c r="FCU157" s="191"/>
      <c r="FCV157" s="191"/>
      <c r="FCW157" s="191"/>
      <c r="FCX157" s="191"/>
      <c r="FCY157" s="191"/>
      <c r="FCZ157" s="191"/>
      <c r="FDA157" s="191"/>
      <c r="FDB157" s="191"/>
      <c r="FDC157" s="191"/>
      <c r="FDD157" s="191"/>
      <c r="FDE157" s="191"/>
      <c r="FDF157" s="191"/>
      <c r="FDG157" s="191"/>
      <c r="FDH157" s="191"/>
      <c r="FDI157" s="191"/>
      <c r="FDJ157" s="191"/>
      <c r="FDK157" s="191"/>
      <c r="FDL157" s="191"/>
      <c r="FDM157" s="191"/>
      <c r="FDN157" s="191"/>
      <c r="FDO157" s="191"/>
      <c r="FDP157" s="191"/>
      <c r="FDQ157" s="191"/>
      <c r="FDR157" s="191"/>
      <c r="FDS157" s="191"/>
      <c r="FDT157" s="191"/>
      <c r="FDU157" s="191"/>
      <c r="FDV157" s="191"/>
      <c r="FDW157" s="191"/>
      <c r="FDX157" s="191"/>
      <c r="FDY157" s="191"/>
      <c r="FDZ157" s="191"/>
      <c r="FEA157" s="191"/>
      <c r="FEB157" s="191"/>
      <c r="FEC157" s="191"/>
      <c r="FED157" s="191"/>
      <c r="FEE157" s="191"/>
      <c r="FEF157" s="191"/>
      <c r="FEG157" s="191"/>
      <c r="FEH157" s="191"/>
      <c r="FEI157" s="191"/>
      <c r="FEJ157" s="191"/>
      <c r="FEK157" s="191"/>
      <c r="FEL157" s="191"/>
      <c r="FEM157" s="191"/>
      <c r="FEN157" s="191"/>
      <c r="FEO157" s="191"/>
      <c r="FEP157" s="191"/>
      <c r="FEQ157" s="191"/>
      <c r="FER157" s="191"/>
      <c r="FES157" s="191"/>
      <c r="FET157" s="191"/>
      <c r="FEU157" s="191"/>
      <c r="FEV157" s="191"/>
      <c r="FEW157" s="191"/>
      <c r="FEX157" s="191"/>
      <c r="FEY157" s="191"/>
      <c r="FEZ157" s="191"/>
      <c r="FFA157" s="191"/>
      <c r="FFB157" s="191"/>
      <c r="FFC157" s="191"/>
      <c r="FFD157" s="191"/>
      <c r="FFE157" s="191"/>
      <c r="FFF157" s="191"/>
      <c r="FFG157" s="191"/>
      <c r="FFH157" s="191"/>
      <c r="FFI157" s="191"/>
      <c r="FFJ157" s="191"/>
      <c r="FFK157" s="191"/>
      <c r="FFL157" s="191"/>
      <c r="FFM157" s="191"/>
      <c r="FFN157" s="191"/>
      <c r="FFO157" s="191"/>
      <c r="FFP157" s="191"/>
      <c r="FFQ157" s="191"/>
      <c r="FFR157" s="191"/>
      <c r="FFS157" s="191"/>
      <c r="FFT157" s="191"/>
      <c r="FFU157" s="191"/>
      <c r="FFV157" s="191"/>
      <c r="FFW157" s="191"/>
      <c r="FFX157" s="191"/>
      <c r="FFY157" s="191"/>
      <c r="FFZ157" s="191"/>
      <c r="FGA157" s="191"/>
      <c r="FGB157" s="191"/>
      <c r="FGC157" s="191"/>
      <c r="FGD157" s="191"/>
      <c r="FGE157" s="191"/>
      <c r="FGF157" s="191"/>
      <c r="FGG157" s="191"/>
      <c r="FGH157" s="191"/>
      <c r="FGI157" s="191"/>
      <c r="FGJ157" s="191"/>
      <c r="FGK157" s="191"/>
      <c r="FGL157" s="191"/>
      <c r="FGM157" s="191"/>
      <c r="FGN157" s="191"/>
      <c r="FGO157" s="191"/>
      <c r="FGP157" s="191"/>
      <c r="FGQ157" s="191"/>
      <c r="FGR157" s="191"/>
      <c r="FGS157" s="191"/>
      <c r="FGT157" s="191"/>
      <c r="FGU157" s="191"/>
      <c r="FGV157" s="191"/>
      <c r="FGW157" s="191"/>
      <c r="FGX157" s="191"/>
      <c r="FGY157" s="191"/>
      <c r="FGZ157" s="191"/>
      <c r="FHA157" s="191"/>
      <c r="FHB157" s="191"/>
      <c r="FHC157" s="191"/>
      <c r="FHD157" s="191"/>
      <c r="FHE157" s="191"/>
      <c r="FHF157" s="191"/>
      <c r="FHG157" s="191"/>
      <c r="FHH157" s="191"/>
      <c r="FHI157" s="191"/>
      <c r="FHJ157" s="191"/>
      <c r="FHK157" s="191"/>
      <c r="FHL157" s="191"/>
      <c r="FHM157" s="191"/>
      <c r="FHN157" s="191"/>
      <c r="FHO157" s="191"/>
      <c r="FHP157" s="191"/>
      <c r="FHQ157" s="191"/>
      <c r="FHR157" s="191"/>
      <c r="FHS157" s="191"/>
      <c r="FHT157" s="191"/>
      <c r="FHU157" s="191"/>
      <c r="FHV157" s="191"/>
      <c r="FHW157" s="191"/>
      <c r="FHX157" s="191"/>
      <c r="FHY157" s="191"/>
      <c r="FHZ157" s="191"/>
      <c r="FIA157" s="191"/>
      <c r="FIB157" s="191"/>
      <c r="FIC157" s="191"/>
      <c r="FID157" s="191"/>
      <c r="FIE157" s="191"/>
      <c r="FIF157" s="191"/>
      <c r="FIG157" s="191"/>
      <c r="FIH157" s="191"/>
      <c r="FII157" s="191"/>
      <c r="FIJ157" s="191"/>
      <c r="FIK157" s="191"/>
      <c r="FIL157" s="191"/>
      <c r="FIM157" s="191"/>
      <c r="FIN157" s="191"/>
      <c r="FIO157" s="191"/>
      <c r="FIP157" s="191"/>
      <c r="FIQ157" s="191"/>
      <c r="FIR157" s="191"/>
      <c r="FIS157" s="191"/>
      <c r="FIT157" s="191"/>
      <c r="FIU157" s="191"/>
      <c r="FIV157" s="191"/>
      <c r="FIW157" s="191"/>
      <c r="FIX157" s="191"/>
      <c r="FIY157" s="191"/>
      <c r="FIZ157" s="191"/>
      <c r="FJA157" s="191"/>
      <c r="FJB157" s="191"/>
      <c r="FJC157" s="191"/>
      <c r="FJD157" s="191"/>
      <c r="FJE157" s="191"/>
      <c r="FJF157" s="191"/>
      <c r="FJG157" s="191"/>
      <c r="FJH157" s="191"/>
      <c r="FJI157" s="191"/>
      <c r="FJJ157" s="191"/>
      <c r="FJK157" s="191"/>
      <c r="FJL157" s="191"/>
      <c r="FJM157" s="191"/>
      <c r="FJN157" s="191"/>
      <c r="FJO157" s="191"/>
      <c r="FJP157" s="191"/>
      <c r="FJQ157" s="191"/>
      <c r="FJR157" s="191"/>
      <c r="FJS157" s="191"/>
      <c r="FJT157" s="191"/>
      <c r="FJU157" s="191"/>
      <c r="FJV157" s="191"/>
      <c r="FJW157" s="191"/>
      <c r="FJX157" s="191"/>
      <c r="FJY157" s="191"/>
      <c r="FJZ157" s="191"/>
      <c r="FKA157" s="191"/>
      <c r="FKB157" s="191"/>
      <c r="FKC157" s="191"/>
      <c r="FKD157" s="191"/>
      <c r="FKE157" s="191"/>
      <c r="FKF157" s="191"/>
      <c r="FKG157" s="191"/>
      <c r="FKH157" s="191"/>
      <c r="FKI157" s="191"/>
      <c r="FKJ157" s="191"/>
      <c r="FKK157" s="191"/>
      <c r="FKL157" s="191"/>
      <c r="FKM157" s="191"/>
      <c r="FKN157" s="191"/>
      <c r="FKO157" s="191"/>
      <c r="FKP157" s="191"/>
      <c r="FKQ157" s="191"/>
      <c r="FKR157" s="191"/>
      <c r="FKS157" s="191"/>
      <c r="FKT157" s="191"/>
      <c r="FKU157" s="191"/>
      <c r="FKV157" s="191"/>
      <c r="FKW157" s="191"/>
      <c r="FKX157" s="191"/>
      <c r="FKY157" s="191"/>
      <c r="FKZ157" s="191"/>
      <c r="FLA157" s="191"/>
      <c r="FLB157" s="191"/>
      <c r="FLC157" s="191"/>
      <c r="FLD157" s="191"/>
      <c r="FLE157" s="191"/>
      <c r="FLF157" s="191"/>
      <c r="FLG157" s="191"/>
      <c r="FLH157" s="191"/>
      <c r="FLI157" s="191"/>
      <c r="FLJ157" s="191"/>
      <c r="FLK157" s="191"/>
      <c r="FLL157" s="191"/>
      <c r="FLM157" s="191"/>
      <c r="FLN157" s="191"/>
      <c r="FLO157" s="191"/>
      <c r="FLP157" s="191"/>
      <c r="FLQ157" s="191"/>
      <c r="FLR157" s="191"/>
      <c r="FLS157" s="191"/>
      <c r="FLT157" s="191"/>
      <c r="FLU157" s="191"/>
      <c r="FLV157" s="191"/>
      <c r="FLW157" s="191"/>
      <c r="FLX157" s="191"/>
      <c r="FLY157" s="191"/>
      <c r="FLZ157" s="191"/>
      <c r="FMA157" s="191"/>
      <c r="FMB157" s="191"/>
      <c r="FMC157" s="191"/>
      <c r="FMD157" s="191"/>
      <c r="FME157" s="191"/>
      <c r="FMF157" s="191"/>
      <c r="FMG157" s="191"/>
      <c r="FMH157" s="191"/>
      <c r="FMI157" s="191"/>
      <c r="FMJ157" s="191"/>
      <c r="FMK157" s="191"/>
      <c r="FML157" s="191"/>
      <c r="FMM157" s="191"/>
      <c r="FMN157" s="191"/>
      <c r="FMO157" s="191"/>
      <c r="FMP157" s="191"/>
      <c r="FMQ157" s="191"/>
      <c r="FMR157" s="191"/>
      <c r="FMS157" s="191"/>
      <c r="FMT157" s="191"/>
      <c r="FMU157" s="191"/>
      <c r="FMV157" s="191"/>
      <c r="FMW157" s="191"/>
      <c r="FMX157" s="191"/>
      <c r="FMY157" s="191"/>
      <c r="FMZ157" s="191"/>
      <c r="FNA157" s="191"/>
      <c r="FNB157" s="191"/>
      <c r="FNC157" s="191"/>
      <c r="FND157" s="191"/>
      <c r="FNE157" s="191"/>
      <c r="FNF157" s="191"/>
      <c r="FNG157" s="191"/>
      <c r="FNH157" s="191"/>
      <c r="FNI157" s="191"/>
      <c r="FNJ157" s="191"/>
      <c r="FNK157" s="191"/>
      <c r="FNL157" s="191"/>
      <c r="FNM157" s="191"/>
      <c r="FNN157" s="191"/>
      <c r="FNO157" s="191"/>
      <c r="FNP157" s="191"/>
      <c r="FNQ157" s="191"/>
      <c r="FNR157" s="191"/>
      <c r="FNS157" s="191"/>
      <c r="FNT157" s="191"/>
      <c r="FNU157" s="191"/>
      <c r="FNV157" s="191"/>
      <c r="FNW157" s="191"/>
      <c r="FNX157" s="191"/>
      <c r="FNY157" s="191"/>
      <c r="FNZ157" s="191"/>
      <c r="FOA157" s="191"/>
      <c r="FOB157" s="191"/>
      <c r="FOC157" s="191"/>
      <c r="FOD157" s="191"/>
      <c r="FOE157" s="191"/>
      <c r="FOF157" s="191"/>
      <c r="FOG157" s="191"/>
      <c r="FOH157" s="191"/>
      <c r="FOI157" s="191"/>
      <c r="FOJ157" s="191"/>
      <c r="FOK157" s="191"/>
      <c r="FOL157" s="191"/>
      <c r="FOM157" s="191"/>
      <c r="FON157" s="191"/>
      <c r="FOO157" s="191"/>
      <c r="FOP157" s="191"/>
      <c r="FOQ157" s="191"/>
      <c r="FOR157" s="191"/>
      <c r="FOS157" s="191"/>
      <c r="FOT157" s="191"/>
      <c r="FOU157" s="191"/>
      <c r="FOV157" s="191"/>
      <c r="FOW157" s="191"/>
      <c r="FOX157" s="191"/>
      <c r="FOY157" s="191"/>
      <c r="FOZ157" s="191"/>
      <c r="FPA157" s="191"/>
      <c r="FPB157" s="191"/>
      <c r="FPC157" s="191"/>
      <c r="FPD157" s="191"/>
      <c r="FPE157" s="191"/>
      <c r="FPF157" s="191"/>
      <c r="FPG157" s="191"/>
      <c r="FPH157" s="191"/>
      <c r="FPI157" s="191"/>
      <c r="FPJ157" s="191"/>
      <c r="FPK157" s="191"/>
      <c r="FPL157" s="191"/>
      <c r="FPM157" s="191"/>
      <c r="FPN157" s="191"/>
      <c r="FPO157" s="191"/>
      <c r="FPP157" s="191"/>
      <c r="FPQ157" s="191"/>
      <c r="FPR157" s="191"/>
      <c r="FPS157" s="191"/>
      <c r="FPT157" s="191"/>
      <c r="FPU157" s="191"/>
      <c r="FPV157" s="191"/>
      <c r="FPW157" s="191"/>
      <c r="FPX157" s="191"/>
      <c r="FPY157" s="191"/>
      <c r="FPZ157" s="191"/>
      <c r="FQA157" s="191"/>
      <c r="FQB157" s="191"/>
      <c r="FQC157" s="191"/>
      <c r="FQD157" s="191"/>
      <c r="FQE157" s="191"/>
      <c r="FQF157" s="191"/>
      <c r="FQG157" s="191"/>
      <c r="FQH157" s="191"/>
      <c r="FQI157" s="191"/>
      <c r="FQJ157" s="191"/>
      <c r="FQK157" s="191"/>
      <c r="FQL157" s="191"/>
      <c r="FQM157" s="191"/>
      <c r="FQN157" s="191"/>
      <c r="FQO157" s="191"/>
      <c r="FQP157" s="191"/>
      <c r="FQQ157" s="191"/>
      <c r="FQR157" s="191"/>
      <c r="FQS157" s="191"/>
      <c r="FQT157" s="191"/>
      <c r="FQU157" s="191"/>
      <c r="FQV157" s="191"/>
      <c r="FQW157" s="191"/>
      <c r="FQX157" s="191"/>
      <c r="FQY157" s="191"/>
      <c r="FQZ157" s="191"/>
      <c r="FRA157" s="191"/>
      <c r="FRB157" s="191"/>
      <c r="FRC157" s="191"/>
      <c r="FRD157" s="191"/>
      <c r="FRE157" s="191"/>
      <c r="FRF157" s="191"/>
      <c r="FRG157" s="191"/>
      <c r="FRH157" s="191"/>
      <c r="FRI157" s="191"/>
      <c r="FRJ157" s="191"/>
      <c r="FRK157" s="191"/>
      <c r="FRL157" s="191"/>
      <c r="FRM157" s="191"/>
      <c r="FRN157" s="191"/>
      <c r="FRO157" s="191"/>
      <c r="FRP157" s="191"/>
      <c r="FRQ157" s="191"/>
      <c r="FRR157" s="191"/>
      <c r="FRS157" s="191"/>
      <c r="FRT157" s="191"/>
      <c r="FRU157" s="191"/>
      <c r="FRV157" s="191"/>
      <c r="FRW157" s="191"/>
      <c r="FRX157" s="191"/>
      <c r="FRY157" s="191"/>
      <c r="FRZ157" s="191"/>
      <c r="FSA157" s="191"/>
      <c r="FSB157" s="191"/>
      <c r="FSC157" s="191"/>
      <c r="FSD157" s="191"/>
      <c r="FSE157" s="191"/>
      <c r="FSF157" s="191"/>
      <c r="FSG157" s="191"/>
      <c r="FSH157" s="191"/>
      <c r="FSI157" s="191"/>
      <c r="FSJ157" s="191"/>
      <c r="FSK157" s="191"/>
      <c r="FSL157" s="191"/>
      <c r="FSM157" s="191"/>
      <c r="FSN157" s="191"/>
      <c r="FSO157" s="191"/>
      <c r="FSP157" s="191"/>
      <c r="FSQ157" s="191"/>
      <c r="FSR157" s="191"/>
      <c r="FSS157" s="191"/>
      <c r="FST157" s="191"/>
      <c r="FSU157" s="191"/>
      <c r="FSV157" s="191"/>
      <c r="FSW157" s="191"/>
      <c r="FSX157" s="191"/>
      <c r="FSY157" s="191"/>
      <c r="FSZ157" s="191"/>
      <c r="FTA157" s="191"/>
      <c r="FTB157" s="191"/>
      <c r="FTC157" s="191"/>
      <c r="FTD157" s="191"/>
      <c r="FTE157" s="191"/>
      <c r="FTF157" s="191"/>
      <c r="FTG157" s="191"/>
      <c r="FTH157" s="191"/>
      <c r="FTI157" s="191"/>
      <c r="FTJ157" s="191"/>
      <c r="FTK157" s="191"/>
      <c r="FTL157" s="191"/>
      <c r="FTM157" s="191"/>
      <c r="FTN157" s="191"/>
      <c r="FTO157" s="191"/>
      <c r="FTP157" s="191"/>
      <c r="FTQ157" s="191"/>
      <c r="FTR157" s="191"/>
      <c r="FTS157" s="191"/>
      <c r="FTT157" s="191"/>
      <c r="FTU157" s="191"/>
      <c r="FTV157" s="191"/>
      <c r="FTW157" s="191"/>
      <c r="FTX157" s="191"/>
      <c r="FTY157" s="191"/>
      <c r="FTZ157" s="191"/>
      <c r="FUA157" s="191"/>
      <c r="FUB157" s="191"/>
      <c r="FUC157" s="191"/>
      <c r="FUD157" s="191"/>
      <c r="FUE157" s="191"/>
      <c r="FUF157" s="191"/>
      <c r="FUG157" s="191"/>
      <c r="FUH157" s="191"/>
      <c r="FUI157" s="191"/>
      <c r="FUJ157" s="191"/>
      <c r="FUK157" s="191"/>
      <c r="FUL157" s="191"/>
      <c r="FUM157" s="191"/>
      <c r="FUN157" s="191"/>
      <c r="FUO157" s="191"/>
      <c r="FUP157" s="191"/>
      <c r="FUQ157" s="191"/>
      <c r="FUR157" s="191"/>
      <c r="FUS157" s="191"/>
      <c r="FUT157" s="191"/>
      <c r="FUU157" s="191"/>
      <c r="FUV157" s="191"/>
      <c r="FUW157" s="191"/>
      <c r="FUX157" s="191"/>
      <c r="FUY157" s="191"/>
      <c r="FUZ157" s="191"/>
      <c r="FVA157" s="191"/>
      <c r="FVB157" s="191"/>
      <c r="FVC157" s="191"/>
      <c r="FVD157" s="191"/>
      <c r="FVE157" s="191"/>
      <c r="FVF157" s="191"/>
      <c r="FVG157" s="191"/>
      <c r="FVH157" s="191"/>
      <c r="FVI157" s="191"/>
      <c r="FVJ157" s="191"/>
      <c r="FVK157" s="191"/>
      <c r="FVL157" s="191"/>
      <c r="FVM157" s="191"/>
      <c r="FVN157" s="191"/>
      <c r="FVO157" s="191"/>
      <c r="FVP157" s="191"/>
      <c r="FVQ157" s="191"/>
      <c r="FVR157" s="191"/>
      <c r="FVS157" s="191"/>
      <c r="FVT157" s="191"/>
      <c r="FVU157" s="191"/>
      <c r="FVV157" s="191"/>
      <c r="FVW157" s="191"/>
      <c r="FVX157" s="191"/>
      <c r="FVY157" s="191"/>
      <c r="FVZ157" s="191"/>
      <c r="FWA157" s="191"/>
      <c r="FWB157" s="191"/>
      <c r="FWC157" s="191"/>
      <c r="FWD157" s="191"/>
      <c r="FWE157" s="191"/>
      <c r="FWF157" s="191"/>
      <c r="FWG157" s="191"/>
      <c r="FWH157" s="191"/>
      <c r="FWI157" s="191"/>
      <c r="FWJ157" s="191"/>
      <c r="FWK157" s="191"/>
      <c r="FWL157" s="191"/>
      <c r="FWM157" s="191"/>
      <c r="FWN157" s="191"/>
      <c r="FWO157" s="191"/>
      <c r="FWP157" s="191"/>
      <c r="FWQ157" s="191"/>
      <c r="FWR157" s="191"/>
      <c r="FWS157" s="191"/>
      <c r="FWT157" s="191"/>
      <c r="FWU157" s="191"/>
      <c r="FWV157" s="191"/>
      <c r="FWW157" s="191"/>
      <c r="FWX157" s="191"/>
      <c r="FWY157" s="191"/>
      <c r="FWZ157" s="191"/>
      <c r="FXA157" s="191"/>
      <c r="FXB157" s="191"/>
      <c r="FXC157" s="191"/>
      <c r="FXD157" s="191"/>
      <c r="FXE157" s="191"/>
      <c r="FXF157" s="191"/>
      <c r="FXG157" s="191"/>
      <c r="FXH157" s="191"/>
      <c r="FXI157" s="191"/>
      <c r="FXJ157" s="191"/>
      <c r="FXK157" s="191"/>
      <c r="FXL157" s="191"/>
      <c r="FXM157" s="191"/>
      <c r="FXN157" s="191"/>
      <c r="FXO157" s="191"/>
      <c r="FXP157" s="191"/>
      <c r="FXQ157" s="191"/>
      <c r="FXR157" s="191"/>
      <c r="FXS157" s="191"/>
      <c r="FXT157" s="191"/>
      <c r="FXU157" s="191"/>
      <c r="FXV157" s="191"/>
      <c r="FXW157" s="191"/>
      <c r="FXX157" s="191"/>
      <c r="FXY157" s="191"/>
      <c r="FXZ157" s="191"/>
      <c r="FYA157" s="191"/>
      <c r="FYB157" s="191"/>
      <c r="FYC157" s="191"/>
      <c r="FYD157" s="191"/>
      <c r="FYE157" s="191"/>
      <c r="FYF157" s="191"/>
      <c r="FYG157" s="191"/>
      <c r="FYH157" s="191"/>
      <c r="FYI157" s="191"/>
      <c r="FYJ157" s="191"/>
      <c r="FYK157" s="191"/>
      <c r="FYL157" s="191"/>
      <c r="FYM157" s="191"/>
      <c r="FYN157" s="191"/>
      <c r="FYO157" s="191"/>
      <c r="FYP157" s="191"/>
      <c r="FYQ157" s="191"/>
      <c r="FYR157" s="191"/>
      <c r="FYS157" s="191"/>
      <c r="FYT157" s="191"/>
      <c r="FYU157" s="191"/>
      <c r="FYV157" s="191"/>
      <c r="FYW157" s="191"/>
      <c r="FYX157" s="191"/>
      <c r="FYY157" s="191"/>
      <c r="FYZ157" s="191"/>
      <c r="FZA157" s="191"/>
      <c r="FZB157" s="191"/>
      <c r="FZC157" s="191"/>
      <c r="FZD157" s="191"/>
      <c r="FZE157" s="191"/>
      <c r="FZF157" s="191"/>
      <c r="FZG157" s="191"/>
      <c r="FZH157" s="191"/>
      <c r="FZI157" s="191"/>
      <c r="FZJ157" s="191"/>
      <c r="FZK157" s="191"/>
      <c r="FZL157" s="191"/>
      <c r="FZM157" s="191"/>
      <c r="FZN157" s="191"/>
      <c r="FZO157" s="191"/>
      <c r="FZP157" s="191"/>
      <c r="FZQ157" s="191"/>
      <c r="FZR157" s="191"/>
      <c r="FZS157" s="191"/>
      <c r="FZT157" s="191"/>
      <c r="FZU157" s="191"/>
      <c r="FZV157" s="191"/>
      <c r="FZW157" s="191"/>
      <c r="FZX157" s="191"/>
      <c r="FZY157" s="191"/>
      <c r="FZZ157" s="191"/>
      <c r="GAA157" s="191"/>
      <c r="GAB157" s="191"/>
      <c r="GAC157" s="191"/>
      <c r="GAD157" s="191"/>
      <c r="GAE157" s="191"/>
      <c r="GAF157" s="191"/>
      <c r="GAG157" s="191"/>
      <c r="GAH157" s="191"/>
      <c r="GAI157" s="191"/>
      <c r="GAJ157" s="191"/>
      <c r="GAK157" s="191"/>
      <c r="GAL157" s="191"/>
      <c r="GAM157" s="191"/>
      <c r="GAN157" s="191"/>
      <c r="GAO157" s="191"/>
      <c r="GAP157" s="191"/>
      <c r="GAQ157" s="191"/>
      <c r="GAR157" s="191"/>
      <c r="GAS157" s="191"/>
      <c r="GAT157" s="191"/>
      <c r="GAU157" s="191"/>
      <c r="GAV157" s="191"/>
      <c r="GAW157" s="191"/>
      <c r="GAX157" s="191"/>
      <c r="GAY157" s="191"/>
      <c r="GAZ157" s="191"/>
      <c r="GBA157" s="191"/>
      <c r="GBB157" s="191"/>
      <c r="GBC157" s="191"/>
      <c r="GBD157" s="191"/>
      <c r="GBE157" s="191"/>
      <c r="GBF157" s="191"/>
      <c r="GBG157" s="191"/>
      <c r="GBH157" s="191"/>
      <c r="GBI157" s="191"/>
      <c r="GBJ157" s="191"/>
      <c r="GBK157" s="191"/>
      <c r="GBL157" s="191"/>
      <c r="GBM157" s="191"/>
      <c r="GBN157" s="191"/>
      <c r="GBO157" s="191"/>
      <c r="GBP157" s="191"/>
      <c r="GBQ157" s="191"/>
      <c r="GBR157" s="191"/>
      <c r="GBS157" s="191"/>
      <c r="GBT157" s="191"/>
      <c r="GBU157" s="191"/>
      <c r="GBV157" s="191"/>
      <c r="GBW157" s="191"/>
      <c r="GBX157" s="191"/>
      <c r="GBY157" s="191"/>
      <c r="GBZ157" s="191"/>
      <c r="GCA157" s="191"/>
      <c r="GCB157" s="191"/>
      <c r="GCC157" s="191"/>
      <c r="GCD157" s="191"/>
      <c r="GCE157" s="191"/>
      <c r="GCF157" s="191"/>
      <c r="GCG157" s="191"/>
      <c r="GCH157" s="191"/>
      <c r="GCI157" s="191"/>
      <c r="GCJ157" s="191"/>
      <c r="GCK157" s="191"/>
      <c r="GCL157" s="191"/>
      <c r="GCM157" s="191"/>
      <c r="GCN157" s="191"/>
      <c r="GCO157" s="191"/>
      <c r="GCP157" s="191"/>
      <c r="GCQ157" s="191"/>
      <c r="GCR157" s="191"/>
      <c r="GCS157" s="191"/>
      <c r="GCT157" s="191"/>
      <c r="GCU157" s="191"/>
      <c r="GCV157" s="191"/>
      <c r="GCW157" s="191"/>
      <c r="GCX157" s="191"/>
      <c r="GCY157" s="191"/>
      <c r="GCZ157" s="191"/>
      <c r="GDA157" s="191"/>
      <c r="GDB157" s="191"/>
      <c r="GDC157" s="191"/>
      <c r="GDD157" s="191"/>
      <c r="GDE157" s="191"/>
      <c r="GDF157" s="191"/>
      <c r="GDG157" s="191"/>
      <c r="GDH157" s="191"/>
      <c r="GDI157" s="191"/>
      <c r="GDJ157" s="191"/>
      <c r="GDK157" s="191"/>
      <c r="GDL157" s="191"/>
      <c r="GDM157" s="191"/>
      <c r="GDN157" s="191"/>
      <c r="GDO157" s="191"/>
      <c r="GDP157" s="191"/>
      <c r="GDQ157" s="191"/>
      <c r="GDR157" s="191"/>
      <c r="GDS157" s="191"/>
      <c r="GDT157" s="191"/>
      <c r="GDU157" s="191"/>
      <c r="GDV157" s="191"/>
      <c r="GDW157" s="191"/>
      <c r="GDX157" s="191"/>
      <c r="GDY157" s="191"/>
      <c r="GDZ157" s="191"/>
      <c r="GEA157" s="191"/>
      <c r="GEB157" s="191"/>
      <c r="GEC157" s="191"/>
      <c r="GED157" s="191"/>
      <c r="GEE157" s="191"/>
      <c r="GEF157" s="191"/>
      <c r="GEG157" s="191"/>
      <c r="GEH157" s="191"/>
      <c r="GEI157" s="191"/>
      <c r="GEJ157" s="191"/>
      <c r="GEK157" s="191"/>
      <c r="GEL157" s="191"/>
      <c r="GEM157" s="191"/>
      <c r="GEN157" s="191"/>
      <c r="GEO157" s="191"/>
      <c r="GEP157" s="191"/>
      <c r="GEQ157" s="191"/>
      <c r="GER157" s="191"/>
      <c r="GES157" s="191"/>
      <c r="GET157" s="191"/>
      <c r="GEU157" s="191"/>
      <c r="GEV157" s="191"/>
      <c r="GEW157" s="191"/>
      <c r="GEX157" s="191"/>
      <c r="GEY157" s="191"/>
      <c r="GEZ157" s="191"/>
      <c r="GFA157" s="191"/>
      <c r="GFB157" s="191"/>
      <c r="GFC157" s="191"/>
      <c r="GFD157" s="191"/>
      <c r="GFE157" s="191"/>
      <c r="GFF157" s="191"/>
      <c r="GFG157" s="191"/>
      <c r="GFH157" s="191"/>
      <c r="GFI157" s="191"/>
      <c r="GFJ157" s="191"/>
      <c r="GFK157" s="191"/>
      <c r="GFL157" s="191"/>
      <c r="GFM157" s="191"/>
      <c r="GFN157" s="191"/>
      <c r="GFO157" s="191"/>
      <c r="GFP157" s="191"/>
      <c r="GFQ157" s="191"/>
      <c r="GFR157" s="191"/>
      <c r="GFS157" s="191"/>
      <c r="GFT157" s="191"/>
      <c r="GFU157" s="191"/>
      <c r="GFV157" s="191"/>
      <c r="GFW157" s="191"/>
      <c r="GFX157" s="191"/>
      <c r="GFY157" s="191"/>
      <c r="GFZ157" s="191"/>
      <c r="GGA157" s="191"/>
      <c r="GGB157" s="191"/>
      <c r="GGC157" s="191"/>
      <c r="GGD157" s="191"/>
      <c r="GGE157" s="191"/>
      <c r="GGF157" s="191"/>
      <c r="GGG157" s="191"/>
      <c r="GGH157" s="191"/>
      <c r="GGI157" s="191"/>
      <c r="GGJ157" s="191"/>
      <c r="GGK157" s="191"/>
      <c r="GGL157" s="191"/>
      <c r="GGM157" s="191"/>
      <c r="GGN157" s="191"/>
      <c r="GGO157" s="191"/>
      <c r="GGP157" s="191"/>
      <c r="GGQ157" s="191"/>
      <c r="GGR157" s="191"/>
      <c r="GGS157" s="191"/>
      <c r="GGT157" s="191"/>
      <c r="GGU157" s="191"/>
      <c r="GGV157" s="191"/>
      <c r="GGW157" s="191"/>
      <c r="GGX157" s="191"/>
      <c r="GGY157" s="191"/>
      <c r="GGZ157" s="191"/>
      <c r="GHA157" s="191"/>
      <c r="GHB157" s="191"/>
      <c r="GHC157" s="191"/>
      <c r="GHD157" s="191"/>
      <c r="GHE157" s="191"/>
      <c r="GHF157" s="191"/>
      <c r="GHG157" s="191"/>
      <c r="GHH157" s="191"/>
      <c r="GHI157" s="191"/>
      <c r="GHJ157" s="191"/>
      <c r="GHK157" s="191"/>
      <c r="GHL157" s="191"/>
      <c r="GHM157" s="191"/>
      <c r="GHN157" s="191"/>
      <c r="GHO157" s="191"/>
      <c r="GHP157" s="191"/>
      <c r="GHQ157" s="191"/>
      <c r="GHR157" s="191"/>
      <c r="GHS157" s="191"/>
      <c r="GHT157" s="191"/>
      <c r="GHU157" s="191"/>
      <c r="GHV157" s="191"/>
      <c r="GHW157" s="191"/>
      <c r="GHX157" s="191"/>
      <c r="GHY157" s="191"/>
      <c r="GHZ157" s="191"/>
      <c r="GIA157" s="191"/>
      <c r="GIB157" s="191"/>
      <c r="GIC157" s="191"/>
      <c r="GID157" s="191"/>
      <c r="GIE157" s="191"/>
      <c r="GIF157" s="191"/>
      <c r="GIG157" s="191"/>
      <c r="GIH157" s="191"/>
      <c r="GII157" s="191"/>
      <c r="GIJ157" s="191"/>
      <c r="GIK157" s="191"/>
      <c r="GIL157" s="191"/>
      <c r="GIM157" s="191"/>
      <c r="GIN157" s="191"/>
      <c r="GIO157" s="191"/>
      <c r="GIP157" s="191"/>
      <c r="GIQ157" s="191"/>
      <c r="GIR157" s="191"/>
      <c r="GIS157" s="191"/>
      <c r="GIT157" s="191"/>
      <c r="GIU157" s="191"/>
      <c r="GIV157" s="191"/>
      <c r="GIW157" s="191"/>
      <c r="GIX157" s="191"/>
      <c r="GIY157" s="191"/>
      <c r="GIZ157" s="191"/>
      <c r="GJA157" s="191"/>
      <c r="GJB157" s="191"/>
      <c r="GJC157" s="191"/>
      <c r="GJD157" s="191"/>
      <c r="GJE157" s="191"/>
      <c r="GJF157" s="191"/>
      <c r="GJG157" s="191"/>
      <c r="GJH157" s="191"/>
      <c r="GJI157" s="191"/>
      <c r="GJJ157" s="191"/>
      <c r="GJK157" s="191"/>
      <c r="GJL157" s="191"/>
      <c r="GJM157" s="191"/>
      <c r="GJN157" s="191"/>
      <c r="GJO157" s="191"/>
      <c r="GJP157" s="191"/>
      <c r="GJQ157" s="191"/>
      <c r="GJR157" s="191"/>
      <c r="GJS157" s="191"/>
      <c r="GJT157" s="191"/>
      <c r="GJU157" s="191"/>
      <c r="GJV157" s="191"/>
      <c r="GJW157" s="191"/>
      <c r="GJX157" s="191"/>
      <c r="GJY157" s="191"/>
      <c r="GJZ157" s="191"/>
      <c r="GKA157" s="191"/>
      <c r="GKB157" s="191"/>
      <c r="GKC157" s="191"/>
      <c r="GKD157" s="191"/>
      <c r="GKE157" s="191"/>
      <c r="GKF157" s="191"/>
      <c r="GKG157" s="191"/>
      <c r="GKH157" s="191"/>
      <c r="GKI157" s="191"/>
      <c r="GKJ157" s="191"/>
      <c r="GKK157" s="191"/>
      <c r="GKL157" s="191"/>
      <c r="GKM157" s="191"/>
      <c r="GKN157" s="191"/>
      <c r="GKO157" s="191"/>
      <c r="GKP157" s="191"/>
      <c r="GKQ157" s="191"/>
      <c r="GKR157" s="191"/>
      <c r="GKS157" s="191"/>
      <c r="GKT157" s="191"/>
      <c r="GKU157" s="191"/>
      <c r="GKV157" s="191"/>
      <c r="GKW157" s="191"/>
      <c r="GKX157" s="191"/>
      <c r="GKY157" s="191"/>
      <c r="GKZ157" s="191"/>
      <c r="GLA157" s="191"/>
      <c r="GLB157" s="191"/>
      <c r="GLC157" s="191"/>
      <c r="GLD157" s="191"/>
      <c r="GLE157" s="191"/>
      <c r="GLF157" s="191"/>
      <c r="GLG157" s="191"/>
      <c r="GLH157" s="191"/>
      <c r="GLI157" s="191"/>
      <c r="GLJ157" s="191"/>
      <c r="GLK157" s="191"/>
      <c r="GLL157" s="191"/>
      <c r="GLM157" s="191"/>
      <c r="GLN157" s="191"/>
      <c r="GLO157" s="191"/>
      <c r="GLP157" s="191"/>
      <c r="GLQ157" s="191"/>
      <c r="GLR157" s="191"/>
      <c r="GLS157" s="191"/>
      <c r="GLT157" s="191"/>
      <c r="GLU157" s="191"/>
      <c r="GLV157" s="191"/>
      <c r="GLW157" s="191"/>
      <c r="GLX157" s="191"/>
      <c r="GLY157" s="191"/>
      <c r="GLZ157" s="191"/>
      <c r="GMA157" s="191"/>
      <c r="GMB157" s="191"/>
      <c r="GMC157" s="191"/>
      <c r="GMD157" s="191"/>
      <c r="GME157" s="191"/>
      <c r="GMF157" s="191"/>
      <c r="GMG157" s="191"/>
      <c r="GMH157" s="191"/>
      <c r="GMI157" s="191"/>
      <c r="GMJ157" s="191"/>
      <c r="GMK157" s="191"/>
      <c r="GML157" s="191"/>
      <c r="GMM157" s="191"/>
      <c r="GMN157" s="191"/>
      <c r="GMO157" s="191"/>
      <c r="GMP157" s="191"/>
      <c r="GMQ157" s="191"/>
      <c r="GMR157" s="191"/>
      <c r="GMS157" s="191"/>
      <c r="GMT157" s="191"/>
      <c r="GMU157" s="191"/>
      <c r="GMV157" s="191"/>
      <c r="GMW157" s="191"/>
      <c r="GMX157" s="191"/>
      <c r="GMY157" s="191"/>
      <c r="GMZ157" s="191"/>
      <c r="GNA157" s="191"/>
      <c r="GNB157" s="191"/>
      <c r="GNC157" s="191"/>
      <c r="GND157" s="191"/>
      <c r="GNE157" s="191"/>
      <c r="GNF157" s="191"/>
      <c r="GNG157" s="191"/>
      <c r="GNH157" s="191"/>
      <c r="GNI157" s="191"/>
      <c r="GNJ157" s="191"/>
      <c r="GNK157" s="191"/>
      <c r="GNL157" s="191"/>
      <c r="GNM157" s="191"/>
      <c r="GNN157" s="191"/>
      <c r="GNO157" s="191"/>
      <c r="GNP157" s="191"/>
      <c r="GNQ157" s="191"/>
      <c r="GNR157" s="191"/>
      <c r="GNS157" s="191"/>
      <c r="GNT157" s="191"/>
      <c r="GNU157" s="191"/>
      <c r="GNV157" s="191"/>
      <c r="GNW157" s="191"/>
      <c r="GNX157" s="191"/>
      <c r="GNY157" s="191"/>
      <c r="GNZ157" s="191"/>
      <c r="GOA157" s="191"/>
      <c r="GOB157" s="191"/>
      <c r="GOC157" s="191"/>
      <c r="GOD157" s="191"/>
      <c r="GOE157" s="191"/>
      <c r="GOF157" s="191"/>
      <c r="GOG157" s="191"/>
      <c r="GOH157" s="191"/>
      <c r="GOI157" s="191"/>
      <c r="GOJ157" s="191"/>
      <c r="GOK157" s="191"/>
      <c r="GOL157" s="191"/>
      <c r="GOM157" s="191"/>
      <c r="GON157" s="191"/>
      <c r="GOO157" s="191"/>
      <c r="GOP157" s="191"/>
      <c r="GOQ157" s="191"/>
      <c r="GOR157" s="191"/>
      <c r="GOS157" s="191"/>
      <c r="GOT157" s="191"/>
      <c r="GOU157" s="191"/>
      <c r="GOV157" s="191"/>
      <c r="GOW157" s="191"/>
      <c r="GOX157" s="191"/>
      <c r="GOY157" s="191"/>
      <c r="GOZ157" s="191"/>
      <c r="GPA157" s="191"/>
      <c r="GPB157" s="191"/>
      <c r="GPC157" s="191"/>
      <c r="GPD157" s="191"/>
      <c r="GPE157" s="191"/>
      <c r="GPF157" s="191"/>
      <c r="GPG157" s="191"/>
      <c r="GPH157" s="191"/>
      <c r="GPI157" s="191"/>
      <c r="GPJ157" s="191"/>
      <c r="GPK157" s="191"/>
      <c r="GPL157" s="191"/>
      <c r="GPM157" s="191"/>
      <c r="GPN157" s="191"/>
      <c r="GPO157" s="191"/>
      <c r="GPP157" s="191"/>
      <c r="GPQ157" s="191"/>
      <c r="GPR157" s="191"/>
      <c r="GPS157" s="191"/>
      <c r="GPT157" s="191"/>
      <c r="GPU157" s="191"/>
      <c r="GPV157" s="191"/>
      <c r="GPW157" s="191"/>
      <c r="GPX157" s="191"/>
      <c r="GPY157" s="191"/>
      <c r="GPZ157" s="191"/>
      <c r="GQA157" s="191"/>
      <c r="GQB157" s="191"/>
      <c r="GQC157" s="191"/>
      <c r="GQD157" s="191"/>
      <c r="GQE157" s="191"/>
      <c r="GQF157" s="191"/>
      <c r="GQG157" s="191"/>
      <c r="GQH157" s="191"/>
      <c r="GQI157" s="191"/>
      <c r="GQJ157" s="191"/>
      <c r="GQK157" s="191"/>
      <c r="GQL157" s="191"/>
      <c r="GQM157" s="191"/>
      <c r="GQN157" s="191"/>
      <c r="GQO157" s="191"/>
      <c r="GQP157" s="191"/>
      <c r="GQQ157" s="191"/>
      <c r="GQR157" s="191"/>
      <c r="GQS157" s="191"/>
      <c r="GQT157" s="191"/>
      <c r="GQU157" s="191"/>
      <c r="GQV157" s="191"/>
      <c r="GQW157" s="191"/>
      <c r="GQX157" s="191"/>
      <c r="GQY157" s="191"/>
      <c r="GQZ157" s="191"/>
      <c r="GRA157" s="191"/>
      <c r="GRB157" s="191"/>
      <c r="GRC157" s="191"/>
      <c r="GRD157" s="191"/>
      <c r="GRE157" s="191"/>
      <c r="GRF157" s="191"/>
      <c r="GRG157" s="191"/>
      <c r="GRH157" s="191"/>
      <c r="GRI157" s="191"/>
      <c r="GRJ157" s="191"/>
      <c r="GRK157" s="191"/>
      <c r="GRL157" s="191"/>
      <c r="GRM157" s="191"/>
      <c r="GRN157" s="191"/>
      <c r="GRO157" s="191"/>
      <c r="GRP157" s="191"/>
      <c r="GRQ157" s="191"/>
      <c r="GRR157" s="191"/>
      <c r="GRS157" s="191"/>
      <c r="GRT157" s="191"/>
      <c r="GRU157" s="191"/>
      <c r="GRV157" s="191"/>
      <c r="GRW157" s="191"/>
      <c r="GRX157" s="191"/>
      <c r="GRY157" s="191"/>
      <c r="GRZ157" s="191"/>
      <c r="GSA157" s="191"/>
      <c r="GSB157" s="191"/>
      <c r="GSC157" s="191"/>
      <c r="GSD157" s="191"/>
      <c r="GSE157" s="191"/>
      <c r="GSF157" s="191"/>
      <c r="GSG157" s="191"/>
      <c r="GSH157" s="191"/>
      <c r="GSI157" s="191"/>
      <c r="GSJ157" s="191"/>
      <c r="GSK157" s="191"/>
      <c r="GSL157" s="191"/>
      <c r="GSM157" s="191"/>
      <c r="GSN157" s="191"/>
      <c r="GSO157" s="191"/>
      <c r="GSP157" s="191"/>
      <c r="GSQ157" s="191"/>
      <c r="GSR157" s="191"/>
      <c r="GSS157" s="191"/>
      <c r="GST157" s="191"/>
      <c r="GSU157" s="191"/>
      <c r="GSV157" s="191"/>
      <c r="GSW157" s="191"/>
      <c r="GSX157" s="191"/>
      <c r="GSY157" s="191"/>
      <c r="GSZ157" s="191"/>
      <c r="GTA157" s="191"/>
      <c r="GTB157" s="191"/>
      <c r="GTC157" s="191"/>
      <c r="GTD157" s="191"/>
      <c r="GTE157" s="191"/>
      <c r="GTF157" s="191"/>
      <c r="GTG157" s="191"/>
      <c r="GTH157" s="191"/>
      <c r="GTI157" s="191"/>
      <c r="GTJ157" s="191"/>
      <c r="GTK157" s="191"/>
      <c r="GTL157" s="191"/>
      <c r="GTM157" s="191"/>
      <c r="GTN157" s="191"/>
      <c r="GTO157" s="191"/>
      <c r="GTP157" s="191"/>
      <c r="GTQ157" s="191"/>
      <c r="GTR157" s="191"/>
      <c r="GTS157" s="191"/>
      <c r="GTT157" s="191"/>
      <c r="GTU157" s="191"/>
      <c r="GTV157" s="191"/>
      <c r="GTW157" s="191"/>
      <c r="GTX157" s="191"/>
      <c r="GTY157" s="191"/>
      <c r="GTZ157" s="191"/>
      <c r="GUA157" s="191"/>
      <c r="GUB157" s="191"/>
      <c r="GUC157" s="191"/>
      <c r="GUD157" s="191"/>
      <c r="GUE157" s="191"/>
      <c r="GUF157" s="191"/>
      <c r="GUG157" s="191"/>
      <c r="GUH157" s="191"/>
      <c r="GUI157" s="191"/>
      <c r="GUJ157" s="191"/>
      <c r="GUK157" s="191"/>
      <c r="GUL157" s="191"/>
      <c r="GUM157" s="191"/>
      <c r="GUN157" s="191"/>
      <c r="GUO157" s="191"/>
      <c r="GUP157" s="191"/>
      <c r="GUQ157" s="191"/>
      <c r="GUR157" s="191"/>
      <c r="GUS157" s="191"/>
      <c r="GUT157" s="191"/>
      <c r="GUU157" s="191"/>
      <c r="GUV157" s="191"/>
      <c r="GUW157" s="191"/>
      <c r="GUX157" s="191"/>
      <c r="GUY157" s="191"/>
      <c r="GUZ157" s="191"/>
      <c r="GVA157" s="191"/>
      <c r="GVB157" s="191"/>
      <c r="GVC157" s="191"/>
      <c r="GVD157" s="191"/>
      <c r="GVE157" s="191"/>
      <c r="GVF157" s="191"/>
      <c r="GVG157" s="191"/>
      <c r="GVH157" s="191"/>
      <c r="GVI157" s="191"/>
      <c r="GVJ157" s="191"/>
      <c r="GVK157" s="191"/>
      <c r="GVL157" s="191"/>
      <c r="GVM157" s="191"/>
      <c r="GVN157" s="191"/>
      <c r="GVO157" s="191"/>
      <c r="GVP157" s="191"/>
      <c r="GVQ157" s="191"/>
      <c r="GVR157" s="191"/>
      <c r="GVS157" s="191"/>
      <c r="GVT157" s="191"/>
      <c r="GVU157" s="191"/>
      <c r="GVV157" s="191"/>
      <c r="GVW157" s="191"/>
      <c r="GVX157" s="191"/>
      <c r="GVY157" s="191"/>
      <c r="GVZ157" s="191"/>
      <c r="GWA157" s="191"/>
      <c r="GWB157" s="191"/>
      <c r="GWC157" s="191"/>
      <c r="GWD157" s="191"/>
      <c r="GWE157" s="191"/>
      <c r="GWF157" s="191"/>
      <c r="GWG157" s="191"/>
      <c r="GWH157" s="191"/>
      <c r="GWI157" s="191"/>
      <c r="GWJ157" s="191"/>
      <c r="GWK157" s="191"/>
      <c r="GWL157" s="191"/>
      <c r="GWM157" s="191"/>
      <c r="GWN157" s="191"/>
      <c r="GWO157" s="191"/>
      <c r="GWP157" s="191"/>
      <c r="GWQ157" s="191"/>
      <c r="GWR157" s="191"/>
      <c r="GWS157" s="191"/>
      <c r="GWT157" s="191"/>
      <c r="GWU157" s="191"/>
      <c r="GWV157" s="191"/>
      <c r="GWW157" s="191"/>
      <c r="GWX157" s="191"/>
      <c r="GWY157" s="191"/>
      <c r="GWZ157" s="191"/>
      <c r="GXA157" s="191"/>
      <c r="GXB157" s="191"/>
      <c r="GXC157" s="191"/>
      <c r="GXD157" s="191"/>
      <c r="GXE157" s="191"/>
      <c r="GXF157" s="191"/>
      <c r="GXG157" s="191"/>
      <c r="GXH157" s="191"/>
      <c r="GXI157" s="191"/>
      <c r="GXJ157" s="191"/>
      <c r="GXK157" s="191"/>
      <c r="GXL157" s="191"/>
      <c r="GXM157" s="191"/>
      <c r="GXN157" s="191"/>
      <c r="GXO157" s="191"/>
      <c r="GXP157" s="191"/>
      <c r="GXQ157" s="191"/>
      <c r="GXR157" s="191"/>
      <c r="GXS157" s="191"/>
      <c r="GXT157" s="191"/>
      <c r="GXU157" s="191"/>
      <c r="GXV157" s="191"/>
      <c r="GXW157" s="191"/>
      <c r="GXX157" s="191"/>
      <c r="GXY157" s="191"/>
      <c r="GXZ157" s="191"/>
      <c r="GYA157" s="191"/>
      <c r="GYB157" s="191"/>
      <c r="GYC157" s="191"/>
      <c r="GYD157" s="191"/>
      <c r="GYE157" s="191"/>
      <c r="GYF157" s="191"/>
      <c r="GYG157" s="191"/>
      <c r="GYH157" s="191"/>
      <c r="GYI157" s="191"/>
      <c r="GYJ157" s="191"/>
      <c r="GYK157" s="191"/>
      <c r="GYL157" s="191"/>
      <c r="GYM157" s="191"/>
      <c r="GYN157" s="191"/>
      <c r="GYO157" s="191"/>
      <c r="GYP157" s="191"/>
      <c r="GYQ157" s="191"/>
      <c r="GYR157" s="191"/>
      <c r="GYS157" s="191"/>
      <c r="GYT157" s="191"/>
      <c r="GYU157" s="191"/>
      <c r="GYV157" s="191"/>
      <c r="GYW157" s="191"/>
      <c r="GYX157" s="191"/>
      <c r="GYY157" s="191"/>
      <c r="GYZ157" s="191"/>
      <c r="GZA157" s="191"/>
      <c r="GZB157" s="191"/>
      <c r="GZC157" s="191"/>
      <c r="GZD157" s="191"/>
      <c r="GZE157" s="191"/>
      <c r="GZF157" s="191"/>
      <c r="GZG157" s="191"/>
      <c r="GZH157" s="191"/>
      <c r="GZI157" s="191"/>
      <c r="GZJ157" s="191"/>
      <c r="GZK157" s="191"/>
      <c r="GZL157" s="191"/>
      <c r="GZM157" s="191"/>
      <c r="GZN157" s="191"/>
      <c r="GZO157" s="191"/>
      <c r="GZP157" s="191"/>
      <c r="GZQ157" s="191"/>
      <c r="GZR157" s="191"/>
      <c r="GZS157" s="191"/>
      <c r="GZT157" s="191"/>
      <c r="GZU157" s="191"/>
      <c r="GZV157" s="191"/>
      <c r="GZW157" s="191"/>
      <c r="GZX157" s="191"/>
      <c r="GZY157" s="191"/>
      <c r="GZZ157" s="191"/>
      <c r="HAA157" s="191"/>
      <c r="HAB157" s="191"/>
      <c r="HAC157" s="191"/>
      <c r="HAD157" s="191"/>
      <c r="HAE157" s="191"/>
      <c r="HAF157" s="191"/>
      <c r="HAG157" s="191"/>
      <c r="HAH157" s="191"/>
      <c r="HAI157" s="191"/>
      <c r="HAJ157" s="191"/>
      <c r="HAK157" s="191"/>
      <c r="HAL157" s="191"/>
      <c r="HAM157" s="191"/>
      <c r="HAN157" s="191"/>
      <c r="HAO157" s="191"/>
      <c r="HAP157" s="191"/>
      <c r="HAQ157" s="191"/>
      <c r="HAR157" s="191"/>
      <c r="HAS157" s="191"/>
      <c r="HAT157" s="191"/>
      <c r="HAU157" s="191"/>
      <c r="HAV157" s="191"/>
      <c r="HAW157" s="191"/>
      <c r="HAX157" s="191"/>
      <c r="HAY157" s="191"/>
      <c r="HAZ157" s="191"/>
      <c r="HBA157" s="191"/>
      <c r="HBB157" s="191"/>
      <c r="HBC157" s="191"/>
      <c r="HBD157" s="191"/>
      <c r="HBE157" s="191"/>
      <c r="HBF157" s="191"/>
      <c r="HBG157" s="191"/>
      <c r="HBH157" s="191"/>
      <c r="HBI157" s="191"/>
      <c r="HBJ157" s="191"/>
      <c r="HBK157" s="191"/>
      <c r="HBL157" s="191"/>
      <c r="HBM157" s="191"/>
      <c r="HBN157" s="191"/>
      <c r="HBO157" s="191"/>
      <c r="HBP157" s="191"/>
      <c r="HBQ157" s="191"/>
      <c r="HBR157" s="191"/>
      <c r="HBS157" s="191"/>
      <c r="HBT157" s="191"/>
      <c r="HBU157" s="191"/>
      <c r="HBV157" s="191"/>
      <c r="HBW157" s="191"/>
      <c r="HBX157" s="191"/>
      <c r="HBY157" s="191"/>
      <c r="HBZ157" s="191"/>
      <c r="HCA157" s="191"/>
      <c r="HCB157" s="191"/>
      <c r="HCC157" s="191"/>
      <c r="HCD157" s="191"/>
      <c r="HCE157" s="191"/>
      <c r="HCF157" s="191"/>
      <c r="HCG157" s="191"/>
      <c r="HCH157" s="191"/>
      <c r="HCI157" s="191"/>
      <c r="HCJ157" s="191"/>
      <c r="HCK157" s="191"/>
      <c r="HCL157" s="191"/>
      <c r="HCM157" s="191"/>
      <c r="HCN157" s="191"/>
      <c r="HCO157" s="191"/>
      <c r="HCP157" s="191"/>
      <c r="HCQ157" s="191"/>
      <c r="HCR157" s="191"/>
      <c r="HCS157" s="191"/>
      <c r="HCT157" s="191"/>
      <c r="HCU157" s="191"/>
      <c r="HCV157" s="191"/>
      <c r="HCW157" s="191"/>
      <c r="HCX157" s="191"/>
      <c r="HCY157" s="191"/>
      <c r="HCZ157" s="191"/>
      <c r="HDA157" s="191"/>
      <c r="HDB157" s="191"/>
      <c r="HDC157" s="191"/>
      <c r="HDD157" s="191"/>
      <c r="HDE157" s="191"/>
      <c r="HDF157" s="191"/>
      <c r="HDG157" s="191"/>
      <c r="HDH157" s="191"/>
      <c r="HDI157" s="191"/>
      <c r="HDJ157" s="191"/>
      <c r="HDK157" s="191"/>
      <c r="HDL157" s="191"/>
      <c r="HDM157" s="191"/>
      <c r="HDN157" s="191"/>
      <c r="HDO157" s="191"/>
      <c r="HDP157" s="191"/>
      <c r="HDQ157" s="191"/>
      <c r="HDR157" s="191"/>
      <c r="HDS157" s="191"/>
      <c r="HDT157" s="191"/>
      <c r="HDU157" s="191"/>
      <c r="HDV157" s="191"/>
      <c r="HDW157" s="191"/>
      <c r="HDX157" s="191"/>
      <c r="HDY157" s="191"/>
      <c r="HDZ157" s="191"/>
      <c r="HEA157" s="191"/>
      <c r="HEB157" s="191"/>
      <c r="HEC157" s="191"/>
      <c r="HED157" s="191"/>
      <c r="HEE157" s="191"/>
      <c r="HEF157" s="191"/>
      <c r="HEG157" s="191"/>
      <c r="HEH157" s="191"/>
      <c r="HEI157" s="191"/>
      <c r="HEJ157" s="191"/>
      <c r="HEK157" s="191"/>
      <c r="HEL157" s="191"/>
      <c r="HEM157" s="191"/>
      <c r="HEN157" s="191"/>
      <c r="HEO157" s="191"/>
      <c r="HEP157" s="191"/>
      <c r="HEQ157" s="191"/>
      <c r="HER157" s="191"/>
      <c r="HES157" s="191"/>
      <c r="HET157" s="191"/>
      <c r="HEU157" s="191"/>
      <c r="HEV157" s="191"/>
      <c r="HEW157" s="191"/>
      <c r="HEX157" s="191"/>
      <c r="HEY157" s="191"/>
      <c r="HEZ157" s="191"/>
      <c r="HFA157" s="191"/>
      <c r="HFB157" s="191"/>
      <c r="HFC157" s="191"/>
      <c r="HFD157" s="191"/>
      <c r="HFE157" s="191"/>
      <c r="HFF157" s="191"/>
      <c r="HFG157" s="191"/>
      <c r="HFH157" s="191"/>
      <c r="HFI157" s="191"/>
      <c r="HFJ157" s="191"/>
      <c r="HFK157" s="191"/>
      <c r="HFL157" s="191"/>
      <c r="HFM157" s="191"/>
      <c r="HFN157" s="191"/>
      <c r="HFO157" s="191"/>
      <c r="HFP157" s="191"/>
      <c r="HFQ157" s="191"/>
      <c r="HFR157" s="191"/>
      <c r="HFS157" s="191"/>
      <c r="HFT157" s="191"/>
      <c r="HFU157" s="191"/>
      <c r="HFV157" s="191"/>
      <c r="HFW157" s="191"/>
      <c r="HFX157" s="191"/>
      <c r="HFY157" s="191"/>
      <c r="HFZ157" s="191"/>
      <c r="HGA157" s="191"/>
      <c r="HGB157" s="191"/>
      <c r="HGC157" s="191"/>
      <c r="HGD157" s="191"/>
      <c r="HGE157" s="191"/>
      <c r="HGF157" s="191"/>
      <c r="HGG157" s="191"/>
      <c r="HGH157" s="191"/>
      <c r="HGI157" s="191"/>
      <c r="HGJ157" s="191"/>
      <c r="HGK157" s="191"/>
      <c r="HGL157" s="191"/>
      <c r="HGM157" s="191"/>
      <c r="HGN157" s="191"/>
      <c r="HGO157" s="191"/>
      <c r="HGP157" s="191"/>
      <c r="HGQ157" s="191"/>
      <c r="HGR157" s="191"/>
      <c r="HGS157" s="191"/>
      <c r="HGT157" s="191"/>
      <c r="HGU157" s="191"/>
      <c r="HGV157" s="191"/>
      <c r="HGW157" s="191"/>
      <c r="HGX157" s="191"/>
      <c r="HGY157" s="191"/>
      <c r="HGZ157" s="191"/>
      <c r="HHA157" s="191"/>
      <c r="HHB157" s="191"/>
      <c r="HHC157" s="191"/>
      <c r="HHD157" s="191"/>
      <c r="HHE157" s="191"/>
      <c r="HHF157" s="191"/>
      <c r="HHG157" s="191"/>
      <c r="HHH157" s="191"/>
      <c r="HHI157" s="191"/>
      <c r="HHJ157" s="191"/>
      <c r="HHK157" s="191"/>
      <c r="HHL157" s="191"/>
      <c r="HHM157" s="191"/>
      <c r="HHN157" s="191"/>
      <c r="HHO157" s="191"/>
      <c r="HHP157" s="191"/>
      <c r="HHQ157" s="191"/>
      <c r="HHR157" s="191"/>
      <c r="HHS157" s="191"/>
      <c r="HHT157" s="191"/>
      <c r="HHU157" s="191"/>
      <c r="HHV157" s="191"/>
      <c r="HHW157" s="191"/>
      <c r="HHX157" s="191"/>
      <c r="HHY157" s="191"/>
      <c r="HHZ157" s="191"/>
      <c r="HIA157" s="191"/>
      <c r="HIB157" s="191"/>
      <c r="HIC157" s="191"/>
      <c r="HID157" s="191"/>
      <c r="HIE157" s="191"/>
      <c r="HIF157" s="191"/>
      <c r="HIG157" s="191"/>
      <c r="HIH157" s="191"/>
      <c r="HII157" s="191"/>
      <c r="HIJ157" s="191"/>
      <c r="HIK157" s="191"/>
      <c r="HIL157" s="191"/>
      <c r="HIM157" s="191"/>
      <c r="HIN157" s="191"/>
      <c r="HIO157" s="191"/>
      <c r="HIP157" s="191"/>
      <c r="HIQ157" s="191"/>
      <c r="HIR157" s="191"/>
      <c r="HIS157" s="191"/>
      <c r="HIT157" s="191"/>
      <c r="HIU157" s="191"/>
      <c r="HIV157" s="191"/>
      <c r="HIW157" s="191"/>
      <c r="HIX157" s="191"/>
      <c r="HIY157" s="191"/>
      <c r="HIZ157" s="191"/>
      <c r="HJA157" s="191"/>
      <c r="HJB157" s="191"/>
      <c r="HJC157" s="191"/>
      <c r="HJD157" s="191"/>
      <c r="HJE157" s="191"/>
      <c r="HJF157" s="191"/>
      <c r="HJG157" s="191"/>
      <c r="HJH157" s="191"/>
      <c r="HJI157" s="191"/>
      <c r="HJJ157" s="191"/>
      <c r="HJK157" s="191"/>
      <c r="HJL157" s="191"/>
      <c r="HJM157" s="191"/>
      <c r="HJN157" s="191"/>
      <c r="HJO157" s="191"/>
      <c r="HJP157" s="191"/>
      <c r="HJQ157" s="191"/>
      <c r="HJR157" s="191"/>
      <c r="HJS157" s="191"/>
      <c r="HJT157" s="191"/>
      <c r="HJU157" s="191"/>
      <c r="HJV157" s="191"/>
      <c r="HJW157" s="191"/>
      <c r="HJX157" s="191"/>
      <c r="HJY157" s="191"/>
      <c r="HJZ157" s="191"/>
      <c r="HKA157" s="191"/>
      <c r="HKB157" s="191"/>
      <c r="HKC157" s="191"/>
      <c r="HKD157" s="191"/>
      <c r="HKE157" s="191"/>
      <c r="HKF157" s="191"/>
      <c r="HKG157" s="191"/>
      <c r="HKH157" s="191"/>
      <c r="HKI157" s="191"/>
      <c r="HKJ157" s="191"/>
      <c r="HKK157" s="191"/>
      <c r="HKL157" s="191"/>
      <c r="HKM157" s="191"/>
      <c r="HKN157" s="191"/>
      <c r="HKO157" s="191"/>
      <c r="HKP157" s="191"/>
      <c r="HKQ157" s="191"/>
      <c r="HKR157" s="191"/>
      <c r="HKS157" s="191"/>
      <c r="HKT157" s="191"/>
      <c r="HKU157" s="191"/>
      <c r="HKV157" s="191"/>
      <c r="HKW157" s="191"/>
      <c r="HKX157" s="191"/>
      <c r="HKY157" s="191"/>
      <c r="HKZ157" s="191"/>
      <c r="HLA157" s="191"/>
      <c r="HLB157" s="191"/>
      <c r="HLC157" s="191"/>
      <c r="HLD157" s="191"/>
      <c r="HLE157" s="191"/>
      <c r="HLF157" s="191"/>
      <c r="HLG157" s="191"/>
      <c r="HLH157" s="191"/>
      <c r="HLI157" s="191"/>
      <c r="HLJ157" s="191"/>
      <c r="HLK157" s="191"/>
      <c r="HLL157" s="191"/>
      <c r="HLM157" s="191"/>
      <c r="HLN157" s="191"/>
      <c r="HLO157" s="191"/>
      <c r="HLP157" s="191"/>
      <c r="HLQ157" s="191"/>
      <c r="HLR157" s="191"/>
      <c r="HLS157" s="191"/>
      <c r="HLT157" s="191"/>
      <c r="HLU157" s="191"/>
      <c r="HLV157" s="191"/>
      <c r="HLW157" s="191"/>
      <c r="HLX157" s="191"/>
      <c r="HLY157" s="191"/>
      <c r="HLZ157" s="191"/>
      <c r="HMA157" s="191"/>
      <c r="HMB157" s="191"/>
      <c r="HMC157" s="191"/>
      <c r="HMD157" s="191"/>
      <c r="HME157" s="191"/>
      <c r="HMF157" s="191"/>
      <c r="HMG157" s="191"/>
      <c r="HMH157" s="191"/>
      <c r="HMI157" s="191"/>
      <c r="HMJ157" s="191"/>
      <c r="HMK157" s="191"/>
      <c r="HML157" s="191"/>
      <c r="HMM157" s="191"/>
      <c r="HMN157" s="191"/>
      <c r="HMO157" s="191"/>
      <c r="HMP157" s="191"/>
      <c r="HMQ157" s="191"/>
      <c r="HMR157" s="191"/>
      <c r="HMS157" s="191"/>
      <c r="HMT157" s="191"/>
      <c r="HMU157" s="191"/>
      <c r="HMV157" s="191"/>
      <c r="HMW157" s="191"/>
      <c r="HMX157" s="191"/>
      <c r="HMY157" s="191"/>
      <c r="HMZ157" s="191"/>
      <c r="HNA157" s="191"/>
      <c r="HNB157" s="191"/>
      <c r="HNC157" s="191"/>
      <c r="HND157" s="191"/>
      <c r="HNE157" s="191"/>
      <c r="HNF157" s="191"/>
      <c r="HNG157" s="191"/>
      <c r="HNH157" s="191"/>
      <c r="HNI157" s="191"/>
      <c r="HNJ157" s="191"/>
      <c r="HNK157" s="191"/>
      <c r="HNL157" s="191"/>
      <c r="HNM157" s="191"/>
      <c r="HNN157" s="191"/>
      <c r="HNO157" s="191"/>
      <c r="HNP157" s="191"/>
      <c r="HNQ157" s="191"/>
      <c r="HNR157" s="191"/>
      <c r="HNS157" s="191"/>
      <c r="HNT157" s="191"/>
      <c r="HNU157" s="191"/>
      <c r="HNV157" s="191"/>
      <c r="HNW157" s="191"/>
      <c r="HNX157" s="191"/>
      <c r="HNY157" s="191"/>
      <c r="HNZ157" s="191"/>
      <c r="HOA157" s="191"/>
      <c r="HOB157" s="191"/>
      <c r="HOC157" s="191"/>
      <c r="HOD157" s="191"/>
      <c r="HOE157" s="191"/>
      <c r="HOF157" s="191"/>
      <c r="HOG157" s="191"/>
      <c r="HOH157" s="191"/>
      <c r="HOI157" s="191"/>
      <c r="HOJ157" s="191"/>
      <c r="HOK157" s="191"/>
      <c r="HOL157" s="191"/>
      <c r="HOM157" s="191"/>
      <c r="HON157" s="191"/>
      <c r="HOO157" s="191"/>
      <c r="HOP157" s="191"/>
      <c r="HOQ157" s="191"/>
      <c r="HOR157" s="191"/>
      <c r="HOS157" s="191"/>
      <c r="HOT157" s="191"/>
      <c r="HOU157" s="191"/>
      <c r="HOV157" s="191"/>
      <c r="HOW157" s="191"/>
      <c r="HOX157" s="191"/>
      <c r="HOY157" s="191"/>
      <c r="HOZ157" s="191"/>
      <c r="HPA157" s="191"/>
      <c r="HPB157" s="191"/>
      <c r="HPC157" s="191"/>
      <c r="HPD157" s="191"/>
      <c r="HPE157" s="191"/>
      <c r="HPF157" s="191"/>
      <c r="HPG157" s="191"/>
      <c r="HPH157" s="191"/>
      <c r="HPI157" s="191"/>
      <c r="HPJ157" s="191"/>
      <c r="HPK157" s="191"/>
      <c r="HPL157" s="191"/>
      <c r="HPM157" s="191"/>
      <c r="HPN157" s="191"/>
      <c r="HPO157" s="191"/>
      <c r="HPP157" s="191"/>
      <c r="HPQ157" s="191"/>
      <c r="HPR157" s="191"/>
      <c r="HPS157" s="191"/>
      <c r="HPT157" s="191"/>
      <c r="HPU157" s="191"/>
      <c r="HPV157" s="191"/>
      <c r="HPW157" s="191"/>
      <c r="HPX157" s="191"/>
      <c r="HPY157" s="191"/>
      <c r="HPZ157" s="191"/>
      <c r="HQA157" s="191"/>
      <c r="HQB157" s="191"/>
      <c r="HQC157" s="191"/>
      <c r="HQD157" s="191"/>
      <c r="HQE157" s="191"/>
      <c r="HQF157" s="191"/>
      <c r="HQG157" s="191"/>
      <c r="HQH157" s="191"/>
      <c r="HQI157" s="191"/>
      <c r="HQJ157" s="191"/>
      <c r="HQK157" s="191"/>
      <c r="HQL157" s="191"/>
      <c r="HQM157" s="191"/>
      <c r="HQN157" s="191"/>
      <c r="HQO157" s="191"/>
      <c r="HQP157" s="191"/>
      <c r="HQQ157" s="191"/>
      <c r="HQR157" s="191"/>
      <c r="HQS157" s="191"/>
      <c r="HQT157" s="191"/>
      <c r="HQU157" s="191"/>
      <c r="HQV157" s="191"/>
      <c r="HQW157" s="191"/>
      <c r="HQX157" s="191"/>
      <c r="HQY157" s="191"/>
      <c r="HQZ157" s="191"/>
      <c r="HRA157" s="191"/>
      <c r="HRB157" s="191"/>
      <c r="HRC157" s="191"/>
      <c r="HRD157" s="191"/>
      <c r="HRE157" s="191"/>
      <c r="HRF157" s="191"/>
      <c r="HRG157" s="191"/>
      <c r="HRH157" s="191"/>
      <c r="HRI157" s="191"/>
      <c r="HRJ157" s="191"/>
      <c r="HRK157" s="191"/>
      <c r="HRL157" s="191"/>
      <c r="HRM157" s="191"/>
      <c r="HRN157" s="191"/>
      <c r="HRO157" s="191"/>
      <c r="HRP157" s="191"/>
      <c r="HRQ157" s="191"/>
      <c r="HRR157" s="191"/>
      <c r="HRS157" s="191"/>
      <c r="HRT157" s="191"/>
      <c r="HRU157" s="191"/>
      <c r="HRV157" s="191"/>
      <c r="HRW157" s="191"/>
      <c r="HRX157" s="191"/>
      <c r="HRY157" s="191"/>
      <c r="HRZ157" s="191"/>
      <c r="HSA157" s="191"/>
      <c r="HSB157" s="191"/>
      <c r="HSC157" s="191"/>
      <c r="HSD157" s="191"/>
      <c r="HSE157" s="191"/>
      <c r="HSF157" s="191"/>
      <c r="HSG157" s="191"/>
      <c r="HSH157" s="191"/>
      <c r="HSI157" s="191"/>
      <c r="HSJ157" s="191"/>
      <c r="HSK157" s="191"/>
      <c r="HSL157" s="191"/>
      <c r="HSM157" s="191"/>
      <c r="HSN157" s="191"/>
      <c r="HSO157" s="191"/>
      <c r="HSP157" s="191"/>
      <c r="HSQ157" s="191"/>
      <c r="HSR157" s="191"/>
      <c r="HSS157" s="191"/>
      <c r="HST157" s="191"/>
      <c r="HSU157" s="191"/>
      <c r="HSV157" s="191"/>
      <c r="HSW157" s="191"/>
      <c r="HSX157" s="191"/>
      <c r="HSY157" s="191"/>
      <c r="HSZ157" s="191"/>
      <c r="HTA157" s="191"/>
      <c r="HTB157" s="191"/>
      <c r="HTC157" s="191"/>
      <c r="HTD157" s="191"/>
      <c r="HTE157" s="191"/>
      <c r="HTF157" s="191"/>
      <c r="HTG157" s="191"/>
      <c r="HTH157" s="191"/>
      <c r="HTI157" s="191"/>
      <c r="HTJ157" s="191"/>
      <c r="HTK157" s="191"/>
      <c r="HTL157" s="191"/>
      <c r="HTM157" s="191"/>
      <c r="HTN157" s="191"/>
      <c r="HTO157" s="191"/>
      <c r="HTP157" s="191"/>
      <c r="HTQ157" s="191"/>
      <c r="HTR157" s="191"/>
      <c r="HTS157" s="191"/>
      <c r="HTT157" s="191"/>
      <c r="HTU157" s="191"/>
      <c r="HTV157" s="191"/>
      <c r="HTW157" s="191"/>
      <c r="HTX157" s="191"/>
      <c r="HTY157" s="191"/>
      <c r="HTZ157" s="191"/>
      <c r="HUA157" s="191"/>
      <c r="HUB157" s="191"/>
      <c r="HUC157" s="191"/>
      <c r="HUD157" s="191"/>
      <c r="HUE157" s="191"/>
      <c r="HUF157" s="191"/>
      <c r="HUG157" s="191"/>
      <c r="HUH157" s="191"/>
      <c r="HUI157" s="191"/>
      <c r="HUJ157" s="191"/>
      <c r="HUK157" s="191"/>
      <c r="HUL157" s="191"/>
      <c r="HUM157" s="191"/>
      <c r="HUN157" s="191"/>
      <c r="HUO157" s="191"/>
      <c r="HUP157" s="191"/>
      <c r="HUQ157" s="191"/>
      <c r="HUR157" s="191"/>
      <c r="HUS157" s="191"/>
      <c r="HUT157" s="191"/>
      <c r="HUU157" s="191"/>
      <c r="HUV157" s="191"/>
      <c r="HUW157" s="191"/>
      <c r="HUX157" s="191"/>
      <c r="HUY157" s="191"/>
      <c r="HUZ157" s="191"/>
      <c r="HVA157" s="191"/>
      <c r="HVB157" s="191"/>
      <c r="HVC157" s="191"/>
      <c r="HVD157" s="191"/>
      <c r="HVE157" s="191"/>
      <c r="HVF157" s="191"/>
      <c r="HVG157" s="191"/>
      <c r="HVH157" s="191"/>
      <c r="HVI157" s="191"/>
      <c r="HVJ157" s="191"/>
      <c r="HVK157" s="191"/>
      <c r="HVL157" s="191"/>
      <c r="HVM157" s="191"/>
      <c r="HVN157" s="191"/>
      <c r="HVO157" s="191"/>
      <c r="HVP157" s="191"/>
      <c r="HVQ157" s="191"/>
      <c r="HVR157" s="191"/>
      <c r="HVS157" s="191"/>
      <c r="HVT157" s="191"/>
      <c r="HVU157" s="191"/>
      <c r="HVV157" s="191"/>
      <c r="HVW157" s="191"/>
      <c r="HVX157" s="191"/>
      <c r="HVY157" s="191"/>
      <c r="HVZ157" s="191"/>
      <c r="HWA157" s="191"/>
      <c r="HWB157" s="191"/>
      <c r="HWC157" s="191"/>
      <c r="HWD157" s="191"/>
      <c r="HWE157" s="191"/>
      <c r="HWF157" s="191"/>
      <c r="HWG157" s="191"/>
      <c r="HWH157" s="191"/>
      <c r="HWI157" s="191"/>
      <c r="HWJ157" s="191"/>
      <c r="HWK157" s="191"/>
      <c r="HWL157" s="191"/>
      <c r="HWM157" s="191"/>
      <c r="HWN157" s="191"/>
      <c r="HWO157" s="191"/>
      <c r="HWP157" s="191"/>
      <c r="HWQ157" s="191"/>
      <c r="HWR157" s="191"/>
      <c r="HWS157" s="191"/>
      <c r="HWT157" s="191"/>
      <c r="HWU157" s="191"/>
      <c r="HWV157" s="191"/>
      <c r="HWW157" s="191"/>
      <c r="HWX157" s="191"/>
      <c r="HWY157" s="191"/>
      <c r="HWZ157" s="191"/>
      <c r="HXA157" s="191"/>
      <c r="HXB157" s="191"/>
      <c r="HXC157" s="191"/>
      <c r="HXD157" s="191"/>
      <c r="HXE157" s="191"/>
      <c r="HXF157" s="191"/>
      <c r="HXG157" s="191"/>
      <c r="HXH157" s="191"/>
      <c r="HXI157" s="191"/>
      <c r="HXJ157" s="191"/>
      <c r="HXK157" s="191"/>
      <c r="HXL157" s="191"/>
      <c r="HXM157" s="191"/>
      <c r="HXN157" s="191"/>
      <c r="HXO157" s="191"/>
      <c r="HXP157" s="191"/>
      <c r="HXQ157" s="191"/>
      <c r="HXR157" s="191"/>
      <c r="HXS157" s="191"/>
      <c r="HXT157" s="191"/>
      <c r="HXU157" s="191"/>
      <c r="HXV157" s="191"/>
      <c r="HXW157" s="191"/>
      <c r="HXX157" s="191"/>
      <c r="HXY157" s="191"/>
      <c r="HXZ157" s="191"/>
      <c r="HYA157" s="191"/>
      <c r="HYB157" s="191"/>
      <c r="HYC157" s="191"/>
      <c r="HYD157" s="191"/>
      <c r="HYE157" s="191"/>
      <c r="HYF157" s="191"/>
      <c r="HYG157" s="191"/>
      <c r="HYH157" s="191"/>
      <c r="HYI157" s="191"/>
      <c r="HYJ157" s="191"/>
      <c r="HYK157" s="191"/>
      <c r="HYL157" s="191"/>
      <c r="HYM157" s="191"/>
      <c r="HYN157" s="191"/>
      <c r="HYO157" s="191"/>
      <c r="HYP157" s="191"/>
      <c r="HYQ157" s="191"/>
      <c r="HYR157" s="191"/>
      <c r="HYS157" s="191"/>
      <c r="HYT157" s="191"/>
      <c r="HYU157" s="191"/>
      <c r="HYV157" s="191"/>
      <c r="HYW157" s="191"/>
      <c r="HYX157" s="191"/>
      <c r="HYY157" s="191"/>
      <c r="HYZ157" s="191"/>
      <c r="HZA157" s="191"/>
      <c r="HZB157" s="191"/>
      <c r="HZC157" s="191"/>
      <c r="HZD157" s="191"/>
      <c r="HZE157" s="191"/>
      <c r="HZF157" s="191"/>
      <c r="HZG157" s="191"/>
      <c r="HZH157" s="191"/>
      <c r="HZI157" s="191"/>
      <c r="HZJ157" s="191"/>
      <c r="HZK157" s="191"/>
      <c r="HZL157" s="191"/>
      <c r="HZM157" s="191"/>
      <c r="HZN157" s="191"/>
      <c r="HZO157" s="191"/>
      <c r="HZP157" s="191"/>
      <c r="HZQ157" s="191"/>
      <c r="HZR157" s="191"/>
      <c r="HZS157" s="191"/>
      <c r="HZT157" s="191"/>
      <c r="HZU157" s="191"/>
      <c r="HZV157" s="191"/>
      <c r="HZW157" s="191"/>
      <c r="HZX157" s="191"/>
      <c r="HZY157" s="191"/>
      <c r="HZZ157" s="191"/>
      <c r="IAA157" s="191"/>
      <c r="IAB157" s="191"/>
      <c r="IAC157" s="191"/>
      <c r="IAD157" s="191"/>
      <c r="IAE157" s="191"/>
      <c r="IAF157" s="191"/>
      <c r="IAG157" s="191"/>
      <c r="IAH157" s="191"/>
      <c r="IAI157" s="191"/>
      <c r="IAJ157" s="191"/>
      <c r="IAK157" s="191"/>
      <c r="IAL157" s="191"/>
      <c r="IAM157" s="191"/>
      <c r="IAN157" s="191"/>
      <c r="IAO157" s="191"/>
      <c r="IAP157" s="191"/>
      <c r="IAQ157" s="191"/>
      <c r="IAR157" s="191"/>
      <c r="IAS157" s="191"/>
      <c r="IAT157" s="191"/>
      <c r="IAU157" s="191"/>
      <c r="IAV157" s="191"/>
      <c r="IAW157" s="191"/>
      <c r="IAX157" s="191"/>
      <c r="IAY157" s="191"/>
      <c r="IAZ157" s="191"/>
      <c r="IBA157" s="191"/>
      <c r="IBB157" s="191"/>
      <c r="IBC157" s="191"/>
      <c r="IBD157" s="191"/>
      <c r="IBE157" s="191"/>
      <c r="IBF157" s="191"/>
      <c r="IBG157" s="191"/>
      <c r="IBH157" s="191"/>
      <c r="IBI157" s="191"/>
      <c r="IBJ157" s="191"/>
      <c r="IBK157" s="191"/>
      <c r="IBL157" s="191"/>
      <c r="IBM157" s="191"/>
      <c r="IBN157" s="191"/>
      <c r="IBO157" s="191"/>
      <c r="IBP157" s="191"/>
      <c r="IBQ157" s="191"/>
      <c r="IBR157" s="191"/>
      <c r="IBS157" s="191"/>
      <c r="IBT157" s="191"/>
      <c r="IBU157" s="191"/>
      <c r="IBV157" s="191"/>
      <c r="IBW157" s="191"/>
      <c r="IBX157" s="191"/>
      <c r="IBY157" s="191"/>
      <c r="IBZ157" s="191"/>
      <c r="ICA157" s="191"/>
      <c r="ICB157" s="191"/>
      <c r="ICC157" s="191"/>
      <c r="ICD157" s="191"/>
      <c r="ICE157" s="191"/>
      <c r="ICF157" s="191"/>
      <c r="ICG157" s="191"/>
      <c r="ICH157" s="191"/>
      <c r="ICI157" s="191"/>
      <c r="ICJ157" s="191"/>
      <c r="ICK157" s="191"/>
      <c r="ICL157" s="191"/>
      <c r="ICM157" s="191"/>
      <c r="ICN157" s="191"/>
      <c r="ICO157" s="191"/>
      <c r="ICP157" s="191"/>
      <c r="ICQ157" s="191"/>
      <c r="ICR157" s="191"/>
      <c r="ICS157" s="191"/>
      <c r="ICT157" s="191"/>
      <c r="ICU157" s="191"/>
      <c r="ICV157" s="191"/>
      <c r="ICW157" s="191"/>
      <c r="ICX157" s="191"/>
      <c r="ICY157" s="191"/>
      <c r="ICZ157" s="191"/>
      <c r="IDA157" s="191"/>
      <c r="IDB157" s="191"/>
      <c r="IDC157" s="191"/>
      <c r="IDD157" s="191"/>
      <c r="IDE157" s="191"/>
      <c r="IDF157" s="191"/>
      <c r="IDG157" s="191"/>
      <c r="IDH157" s="191"/>
      <c r="IDI157" s="191"/>
      <c r="IDJ157" s="191"/>
      <c r="IDK157" s="191"/>
      <c r="IDL157" s="191"/>
      <c r="IDM157" s="191"/>
      <c r="IDN157" s="191"/>
      <c r="IDO157" s="191"/>
      <c r="IDP157" s="191"/>
      <c r="IDQ157" s="191"/>
      <c r="IDR157" s="191"/>
      <c r="IDS157" s="191"/>
      <c r="IDT157" s="191"/>
      <c r="IDU157" s="191"/>
      <c r="IDV157" s="191"/>
      <c r="IDW157" s="191"/>
      <c r="IDX157" s="191"/>
      <c r="IDY157" s="191"/>
      <c r="IDZ157" s="191"/>
      <c r="IEA157" s="191"/>
      <c r="IEB157" s="191"/>
      <c r="IEC157" s="191"/>
      <c r="IED157" s="191"/>
      <c r="IEE157" s="191"/>
      <c r="IEF157" s="191"/>
      <c r="IEG157" s="191"/>
      <c r="IEH157" s="191"/>
      <c r="IEI157" s="191"/>
      <c r="IEJ157" s="191"/>
      <c r="IEK157" s="191"/>
      <c r="IEL157" s="191"/>
      <c r="IEM157" s="191"/>
      <c r="IEN157" s="191"/>
      <c r="IEO157" s="191"/>
      <c r="IEP157" s="191"/>
      <c r="IEQ157" s="191"/>
      <c r="IER157" s="191"/>
      <c r="IES157" s="191"/>
      <c r="IET157" s="191"/>
      <c r="IEU157" s="191"/>
      <c r="IEV157" s="191"/>
      <c r="IEW157" s="191"/>
      <c r="IEX157" s="191"/>
      <c r="IEY157" s="191"/>
      <c r="IEZ157" s="191"/>
      <c r="IFA157" s="191"/>
      <c r="IFB157" s="191"/>
      <c r="IFC157" s="191"/>
      <c r="IFD157" s="191"/>
      <c r="IFE157" s="191"/>
      <c r="IFF157" s="191"/>
      <c r="IFG157" s="191"/>
      <c r="IFH157" s="191"/>
      <c r="IFI157" s="191"/>
      <c r="IFJ157" s="191"/>
      <c r="IFK157" s="191"/>
      <c r="IFL157" s="191"/>
      <c r="IFM157" s="191"/>
      <c r="IFN157" s="191"/>
      <c r="IFO157" s="191"/>
      <c r="IFP157" s="191"/>
      <c r="IFQ157" s="191"/>
      <c r="IFR157" s="191"/>
      <c r="IFS157" s="191"/>
      <c r="IFT157" s="191"/>
      <c r="IFU157" s="191"/>
      <c r="IFV157" s="191"/>
      <c r="IFW157" s="191"/>
      <c r="IFX157" s="191"/>
      <c r="IFY157" s="191"/>
      <c r="IFZ157" s="191"/>
      <c r="IGA157" s="191"/>
      <c r="IGB157" s="191"/>
      <c r="IGC157" s="191"/>
      <c r="IGD157" s="191"/>
      <c r="IGE157" s="191"/>
      <c r="IGF157" s="191"/>
      <c r="IGG157" s="191"/>
      <c r="IGH157" s="191"/>
      <c r="IGI157" s="191"/>
      <c r="IGJ157" s="191"/>
      <c r="IGK157" s="191"/>
      <c r="IGL157" s="191"/>
      <c r="IGM157" s="191"/>
      <c r="IGN157" s="191"/>
      <c r="IGO157" s="191"/>
      <c r="IGP157" s="191"/>
      <c r="IGQ157" s="191"/>
      <c r="IGR157" s="191"/>
      <c r="IGS157" s="191"/>
      <c r="IGT157" s="191"/>
      <c r="IGU157" s="191"/>
      <c r="IGV157" s="191"/>
      <c r="IGW157" s="191"/>
      <c r="IGX157" s="191"/>
      <c r="IGY157" s="191"/>
      <c r="IGZ157" s="191"/>
      <c r="IHA157" s="191"/>
      <c r="IHB157" s="191"/>
      <c r="IHC157" s="191"/>
      <c r="IHD157" s="191"/>
      <c r="IHE157" s="191"/>
      <c r="IHF157" s="191"/>
      <c r="IHG157" s="191"/>
      <c r="IHH157" s="191"/>
      <c r="IHI157" s="191"/>
      <c r="IHJ157" s="191"/>
      <c r="IHK157" s="191"/>
      <c r="IHL157" s="191"/>
      <c r="IHM157" s="191"/>
      <c r="IHN157" s="191"/>
      <c r="IHO157" s="191"/>
      <c r="IHP157" s="191"/>
      <c r="IHQ157" s="191"/>
      <c r="IHR157" s="191"/>
      <c r="IHS157" s="191"/>
      <c r="IHT157" s="191"/>
      <c r="IHU157" s="191"/>
      <c r="IHV157" s="191"/>
      <c r="IHW157" s="191"/>
      <c r="IHX157" s="191"/>
      <c r="IHY157" s="191"/>
      <c r="IHZ157" s="191"/>
      <c r="IIA157" s="191"/>
      <c r="IIB157" s="191"/>
      <c r="IIC157" s="191"/>
      <c r="IID157" s="191"/>
      <c r="IIE157" s="191"/>
      <c r="IIF157" s="191"/>
      <c r="IIG157" s="191"/>
      <c r="IIH157" s="191"/>
      <c r="III157" s="191"/>
      <c r="IIJ157" s="191"/>
      <c r="IIK157" s="191"/>
      <c r="IIL157" s="191"/>
      <c r="IIM157" s="191"/>
      <c r="IIN157" s="191"/>
      <c r="IIO157" s="191"/>
      <c r="IIP157" s="191"/>
      <c r="IIQ157" s="191"/>
      <c r="IIR157" s="191"/>
      <c r="IIS157" s="191"/>
      <c r="IIT157" s="191"/>
      <c r="IIU157" s="191"/>
      <c r="IIV157" s="191"/>
      <c r="IIW157" s="191"/>
      <c r="IIX157" s="191"/>
      <c r="IIY157" s="191"/>
      <c r="IIZ157" s="191"/>
      <c r="IJA157" s="191"/>
      <c r="IJB157" s="191"/>
      <c r="IJC157" s="191"/>
      <c r="IJD157" s="191"/>
      <c r="IJE157" s="191"/>
      <c r="IJF157" s="191"/>
      <c r="IJG157" s="191"/>
      <c r="IJH157" s="191"/>
      <c r="IJI157" s="191"/>
      <c r="IJJ157" s="191"/>
      <c r="IJK157" s="191"/>
      <c r="IJL157" s="191"/>
      <c r="IJM157" s="191"/>
      <c r="IJN157" s="191"/>
      <c r="IJO157" s="191"/>
      <c r="IJP157" s="191"/>
      <c r="IJQ157" s="191"/>
      <c r="IJR157" s="191"/>
      <c r="IJS157" s="191"/>
      <c r="IJT157" s="191"/>
      <c r="IJU157" s="191"/>
      <c r="IJV157" s="191"/>
      <c r="IJW157" s="191"/>
      <c r="IJX157" s="191"/>
      <c r="IJY157" s="191"/>
      <c r="IJZ157" s="191"/>
      <c r="IKA157" s="191"/>
      <c r="IKB157" s="191"/>
      <c r="IKC157" s="191"/>
      <c r="IKD157" s="191"/>
      <c r="IKE157" s="191"/>
      <c r="IKF157" s="191"/>
      <c r="IKG157" s="191"/>
      <c r="IKH157" s="191"/>
      <c r="IKI157" s="191"/>
      <c r="IKJ157" s="191"/>
      <c r="IKK157" s="191"/>
      <c r="IKL157" s="191"/>
      <c r="IKM157" s="191"/>
      <c r="IKN157" s="191"/>
      <c r="IKO157" s="191"/>
      <c r="IKP157" s="191"/>
      <c r="IKQ157" s="191"/>
      <c r="IKR157" s="191"/>
      <c r="IKS157" s="191"/>
      <c r="IKT157" s="191"/>
      <c r="IKU157" s="191"/>
      <c r="IKV157" s="191"/>
      <c r="IKW157" s="191"/>
      <c r="IKX157" s="191"/>
      <c r="IKY157" s="191"/>
      <c r="IKZ157" s="191"/>
      <c r="ILA157" s="191"/>
      <c r="ILB157" s="191"/>
      <c r="ILC157" s="191"/>
      <c r="ILD157" s="191"/>
      <c r="ILE157" s="191"/>
      <c r="ILF157" s="191"/>
      <c r="ILG157" s="191"/>
      <c r="ILH157" s="191"/>
      <c r="ILI157" s="191"/>
      <c r="ILJ157" s="191"/>
      <c r="ILK157" s="191"/>
      <c r="ILL157" s="191"/>
      <c r="ILM157" s="191"/>
      <c r="ILN157" s="191"/>
      <c r="ILO157" s="191"/>
      <c r="ILP157" s="191"/>
      <c r="ILQ157" s="191"/>
      <c r="ILR157" s="191"/>
      <c r="ILS157" s="191"/>
      <c r="ILT157" s="191"/>
      <c r="ILU157" s="191"/>
      <c r="ILV157" s="191"/>
      <c r="ILW157" s="191"/>
      <c r="ILX157" s="191"/>
      <c r="ILY157" s="191"/>
      <c r="ILZ157" s="191"/>
      <c r="IMA157" s="191"/>
      <c r="IMB157" s="191"/>
      <c r="IMC157" s="191"/>
      <c r="IMD157" s="191"/>
      <c r="IME157" s="191"/>
      <c r="IMF157" s="191"/>
      <c r="IMG157" s="191"/>
      <c r="IMH157" s="191"/>
      <c r="IMI157" s="191"/>
      <c r="IMJ157" s="191"/>
      <c r="IMK157" s="191"/>
      <c r="IML157" s="191"/>
      <c r="IMM157" s="191"/>
      <c r="IMN157" s="191"/>
      <c r="IMO157" s="191"/>
      <c r="IMP157" s="191"/>
      <c r="IMQ157" s="191"/>
      <c r="IMR157" s="191"/>
      <c r="IMS157" s="191"/>
      <c r="IMT157" s="191"/>
      <c r="IMU157" s="191"/>
      <c r="IMV157" s="191"/>
      <c r="IMW157" s="191"/>
      <c r="IMX157" s="191"/>
      <c r="IMY157" s="191"/>
      <c r="IMZ157" s="191"/>
      <c r="INA157" s="191"/>
      <c r="INB157" s="191"/>
      <c r="INC157" s="191"/>
      <c r="IND157" s="191"/>
      <c r="INE157" s="191"/>
      <c r="INF157" s="191"/>
      <c r="ING157" s="191"/>
      <c r="INH157" s="191"/>
      <c r="INI157" s="191"/>
      <c r="INJ157" s="191"/>
      <c r="INK157" s="191"/>
      <c r="INL157" s="191"/>
      <c r="INM157" s="191"/>
      <c r="INN157" s="191"/>
      <c r="INO157" s="191"/>
      <c r="INP157" s="191"/>
      <c r="INQ157" s="191"/>
      <c r="INR157" s="191"/>
      <c r="INS157" s="191"/>
      <c r="INT157" s="191"/>
      <c r="INU157" s="191"/>
      <c r="INV157" s="191"/>
      <c r="INW157" s="191"/>
      <c r="INX157" s="191"/>
      <c r="INY157" s="191"/>
      <c r="INZ157" s="191"/>
      <c r="IOA157" s="191"/>
      <c r="IOB157" s="191"/>
      <c r="IOC157" s="191"/>
      <c r="IOD157" s="191"/>
      <c r="IOE157" s="191"/>
      <c r="IOF157" s="191"/>
      <c r="IOG157" s="191"/>
      <c r="IOH157" s="191"/>
      <c r="IOI157" s="191"/>
      <c r="IOJ157" s="191"/>
      <c r="IOK157" s="191"/>
      <c r="IOL157" s="191"/>
      <c r="IOM157" s="191"/>
      <c r="ION157" s="191"/>
      <c r="IOO157" s="191"/>
      <c r="IOP157" s="191"/>
      <c r="IOQ157" s="191"/>
      <c r="IOR157" s="191"/>
      <c r="IOS157" s="191"/>
      <c r="IOT157" s="191"/>
      <c r="IOU157" s="191"/>
      <c r="IOV157" s="191"/>
      <c r="IOW157" s="191"/>
      <c r="IOX157" s="191"/>
      <c r="IOY157" s="191"/>
      <c r="IOZ157" s="191"/>
      <c r="IPA157" s="191"/>
      <c r="IPB157" s="191"/>
      <c r="IPC157" s="191"/>
      <c r="IPD157" s="191"/>
      <c r="IPE157" s="191"/>
      <c r="IPF157" s="191"/>
      <c r="IPG157" s="191"/>
      <c r="IPH157" s="191"/>
      <c r="IPI157" s="191"/>
      <c r="IPJ157" s="191"/>
      <c r="IPK157" s="191"/>
      <c r="IPL157" s="191"/>
      <c r="IPM157" s="191"/>
      <c r="IPN157" s="191"/>
      <c r="IPO157" s="191"/>
      <c r="IPP157" s="191"/>
      <c r="IPQ157" s="191"/>
      <c r="IPR157" s="191"/>
      <c r="IPS157" s="191"/>
      <c r="IPT157" s="191"/>
      <c r="IPU157" s="191"/>
      <c r="IPV157" s="191"/>
      <c r="IPW157" s="191"/>
      <c r="IPX157" s="191"/>
      <c r="IPY157" s="191"/>
      <c r="IPZ157" s="191"/>
      <c r="IQA157" s="191"/>
      <c r="IQB157" s="191"/>
      <c r="IQC157" s="191"/>
      <c r="IQD157" s="191"/>
      <c r="IQE157" s="191"/>
      <c r="IQF157" s="191"/>
      <c r="IQG157" s="191"/>
      <c r="IQH157" s="191"/>
      <c r="IQI157" s="191"/>
      <c r="IQJ157" s="191"/>
      <c r="IQK157" s="191"/>
      <c r="IQL157" s="191"/>
      <c r="IQM157" s="191"/>
      <c r="IQN157" s="191"/>
      <c r="IQO157" s="191"/>
      <c r="IQP157" s="191"/>
      <c r="IQQ157" s="191"/>
      <c r="IQR157" s="191"/>
      <c r="IQS157" s="191"/>
      <c r="IQT157" s="191"/>
      <c r="IQU157" s="191"/>
      <c r="IQV157" s="191"/>
      <c r="IQW157" s="191"/>
      <c r="IQX157" s="191"/>
      <c r="IQY157" s="191"/>
      <c r="IQZ157" s="191"/>
      <c r="IRA157" s="191"/>
      <c r="IRB157" s="191"/>
      <c r="IRC157" s="191"/>
      <c r="IRD157" s="191"/>
      <c r="IRE157" s="191"/>
      <c r="IRF157" s="191"/>
      <c r="IRG157" s="191"/>
      <c r="IRH157" s="191"/>
      <c r="IRI157" s="191"/>
      <c r="IRJ157" s="191"/>
      <c r="IRK157" s="191"/>
      <c r="IRL157" s="191"/>
      <c r="IRM157" s="191"/>
      <c r="IRN157" s="191"/>
      <c r="IRO157" s="191"/>
      <c r="IRP157" s="191"/>
      <c r="IRQ157" s="191"/>
      <c r="IRR157" s="191"/>
      <c r="IRS157" s="191"/>
      <c r="IRT157" s="191"/>
      <c r="IRU157" s="191"/>
      <c r="IRV157" s="191"/>
      <c r="IRW157" s="191"/>
      <c r="IRX157" s="191"/>
      <c r="IRY157" s="191"/>
      <c r="IRZ157" s="191"/>
      <c r="ISA157" s="191"/>
      <c r="ISB157" s="191"/>
      <c r="ISC157" s="191"/>
      <c r="ISD157" s="191"/>
      <c r="ISE157" s="191"/>
      <c r="ISF157" s="191"/>
      <c r="ISG157" s="191"/>
      <c r="ISH157" s="191"/>
      <c r="ISI157" s="191"/>
      <c r="ISJ157" s="191"/>
      <c r="ISK157" s="191"/>
      <c r="ISL157" s="191"/>
      <c r="ISM157" s="191"/>
      <c r="ISN157" s="191"/>
      <c r="ISO157" s="191"/>
      <c r="ISP157" s="191"/>
      <c r="ISQ157" s="191"/>
      <c r="ISR157" s="191"/>
      <c r="ISS157" s="191"/>
      <c r="IST157" s="191"/>
      <c r="ISU157" s="191"/>
      <c r="ISV157" s="191"/>
      <c r="ISW157" s="191"/>
      <c r="ISX157" s="191"/>
      <c r="ISY157" s="191"/>
      <c r="ISZ157" s="191"/>
      <c r="ITA157" s="191"/>
      <c r="ITB157" s="191"/>
      <c r="ITC157" s="191"/>
      <c r="ITD157" s="191"/>
      <c r="ITE157" s="191"/>
      <c r="ITF157" s="191"/>
      <c r="ITG157" s="191"/>
      <c r="ITH157" s="191"/>
      <c r="ITI157" s="191"/>
      <c r="ITJ157" s="191"/>
      <c r="ITK157" s="191"/>
      <c r="ITL157" s="191"/>
      <c r="ITM157" s="191"/>
      <c r="ITN157" s="191"/>
      <c r="ITO157" s="191"/>
      <c r="ITP157" s="191"/>
      <c r="ITQ157" s="191"/>
      <c r="ITR157" s="191"/>
      <c r="ITS157" s="191"/>
      <c r="ITT157" s="191"/>
      <c r="ITU157" s="191"/>
      <c r="ITV157" s="191"/>
      <c r="ITW157" s="191"/>
      <c r="ITX157" s="191"/>
      <c r="ITY157" s="191"/>
      <c r="ITZ157" s="191"/>
      <c r="IUA157" s="191"/>
      <c r="IUB157" s="191"/>
      <c r="IUC157" s="191"/>
      <c r="IUD157" s="191"/>
      <c r="IUE157" s="191"/>
      <c r="IUF157" s="191"/>
      <c r="IUG157" s="191"/>
      <c r="IUH157" s="191"/>
      <c r="IUI157" s="191"/>
      <c r="IUJ157" s="191"/>
      <c r="IUK157" s="191"/>
      <c r="IUL157" s="191"/>
      <c r="IUM157" s="191"/>
      <c r="IUN157" s="191"/>
      <c r="IUO157" s="191"/>
      <c r="IUP157" s="191"/>
      <c r="IUQ157" s="191"/>
      <c r="IUR157" s="191"/>
      <c r="IUS157" s="191"/>
      <c r="IUT157" s="191"/>
      <c r="IUU157" s="191"/>
      <c r="IUV157" s="191"/>
      <c r="IUW157" s="191"/>
      <c r="IUX157" s="191"/>
      <c r="IUY157" s="191"/>
      <c r="IUZ157" s="191"/>
      <c r="IVA157" s="191"/>
      <c r="IVB157" s="191"/>
      <c r="IVC157" s="191"/>
      <c r="IVD157" s="191"/>
      <c r="IVE157" s="191"/>
      <c r="IVF157" s="191"/>
      <c r="IVG157" s="191"/>
      <c r="IVH157" s="191"/>
      <c r="IVI157" s="191"/>
      <c r="IVJ157" s="191"/>
      <c r="IVK157" s="191"/>
      <c r="IVL157" s="191"/>
      <c r="IVM157" s="191"/>
      <c r="IVN157" s="191"/>
      <c r="IVO157" s="191"/>
      <c r="IVP157" s="191"/>
      <c r="IVQ157" s="191"/>
      <c r="IVR157" s="191"/>
      <c r="IVS157" s="191"/>
      <c r="IVT157" s="191"/>
      <c r="IVU157" s="191"/>
      <c r="IVV157" s="191"/>
      <c r="IVW157" s="191"/>
      <c r="IVX157" s="191"/>
      <c r="IVY157" s="191"/>
      <c r="IVZ157" s="191"/>
      <c r="IWA157" s="191"/>
      <c r="IWB157" s="191"/>
      <c r="IWC157" s="191"/>
      <c r="IWD157" s="191"/>
      <c r="IWE157" s="191"/>
      <c r="IWF157" s="191"/>
      <c r="IWG157" s="191"/>
      <c r="IWH157" s="191"/>
      <c r="IWI157" s="191"/>
      <c r="IWJ157" s="191"/>
      <c r="IWK157" s="191"/>
      <c r="IWL157" s="191"/>
      <c r="IWM157" s="191"/>
      <c r="IWN157" s="191"/>
      <c r="IWO157" s="191"/>
      <c r="IWP157" s="191"/>
      <c r="IWQ157" s="191"/>
      <c r="IWR157" s="191"/>
      <c r="IWS157" s="191"/>
      <c r="IWT157" s="191"/>
      <c r="IWU157" s="191"/>
      <c r="IWV157" s="191"/>
      <c r="IWW157" s="191"/>
      <c r="IWX157" s="191"/>
      <c r="IWY157" s="191"/>
      <c r="IWZ157" s="191"/>
      <c r="IXA157" s="191"/>
      <c r="IXB157" s="191"/>
      <c r="IXC157" s="191"/>
      <c r="IXD157" s="191"/>
      <c r="IXE157" s="191"/>
      <c r="IXF157" s="191"/>
      <c r="IXG157" s="191"/>
      <c r="IXH157" s="191"/>
      <c r="IXI157" s="191"/>
      <c r="IXJ157" s="191"/>
      <c r="IXK157" s="191"/>
      <c r="IXL157" s="191"/>
      <c r="IXM157" s="191"/>
      <c r="IXN157" s="191"/>
      <c r="IXO157" s="191"/>
      <c r="IXP157" s="191"/>
      <c r="IXQ157" s="191"/>
      <c r="IXR157" s="191"/>
      <c r="IXS157" s="191"/>
      <c r="IXT157" s="191"/>
      <c r="IXU157" s="191"/>
      <c r="IXV157" s="191"/>
      <c r="IXW157" s="191"/>
      <c r="IXX157" s="191"/>
      <c r="IXY157" s="191"/>
      <c r="IXZ157" s="191"/>
      <c r="IYA157" s="191"/>
      <c r="IYB157" s="191"/>
      <c r="IYC157" s="191"/>
      <c r="IYD157" s="191"/>
      <c r="IYE157" s="191"/>
      <c r="IYF157" s="191"/>
      <c r="IYG157" s="191"/>
      <c r="IYH157" s="191"/>
      <c r="IYI157" s="191"/>
      <c r="IYJ157" s="191"/>
      <c r="IYK157" s="191"/>
      <c r="IYL157" s="191"/>
      <c r="IYM157" s="191"/>
      <c r="IYN157" s="191"/>
      <c r="IYO157" s="191"/>
      <c r="IYP157" s="191"/>
      <c r="IYQ157" s="191"/>
      <c r="IYR157" s="191"/>
      <c r="IYS157" s="191"/>
      <c r="IYT157" s="191"/>
      <c r="IYU157" s="191"/>
      <c r="IYV157" s="191"/>
      <c r="IYW157" s="191"/>
      <c r="IYX157" s="191"/>
      <c r="IYY157" s="191"/>
      <c r="IYZ157" s="191"/>
      <c r="IZA157" s="191"/>
      <c r="IZB157" s="191"/>
      <c r="IZC157" s="191"/>
      <c r="IZD157" s="191"/>
      <c r="IZE157" s="191"/>
      <c r="IZF157" s="191"/>
      <c r="IZG157" s="191"/>
      <c r="IZH157" s="191"/>
      <c r="IZI157" s="191"/>
      <c r="IZJ157" s="191"/>
      <c r="IZK157" s="191"/>
      <c r="IZL157" s="191"/>
      <c r="IZM157" s="191"/>
      <c r="IZN157" s="191"/>
      <c r="IZO157" s="191"/>
      <c r="IZP157" s="191"/>
      <c r="IZQ157" s="191"/>
      <c r="IZR157" s="191"/>
      <c r="IZS157" s="191"/>
      <c r="IZT157" s="191"/>
      <c r="IZU157" s="191"/>
      <c r="IZV157" s="191"/>
      <c r="IZW157" s="191"/>
      <c r="IZX157" s="191"/>
      <c r="IZY157" s="191"/>
      <c r="IZZ157" s="191"/>
      <c r="JAA157" s="191"/>
      <c r="JAB157" s="191"/>
      <c r="JAC157" s="191"/>
      <c r="JAD157" s="191"/>
      <c r="JAE157" s="191"/>
      <c r="JAF157" s="191"/>
      <c r="JAG157" s="191"/>
      <c r="JAH157" s="191"/>
      <c r="JAI157" s="191"/>
      <c r="JAJ157" s="191"/>
      <c r="JAK157" s="191"/>
      <c r="JAL157" s="191"/>
      <c r="JAM157" s="191"/>
      <c r="JAN157" s="191"/>
      <c r="JAO157" s="191"/>
      <c r="JAP157" s="191"/>
      <c r="JAQ157" s="191"/>
      <c r="JAR157" s="191"/>
      <c r="JAS157" s="191"/>
      <c r="JAT157" s="191"/>
      <c r="JAU157" s="191"/>
      <c r="JAV157" s="191"/>
      <c r="JAW157" s="191"/>
      <c r="JAX157" s="191"/>
      <c r="JAY157" s="191"/>
      <c r="JAZ157" s="191"/>
      <c r="JBA157" s="191"/>
      <c r="JBB157" s="191"/>
      <c r="JBC157" s="191"/>
      <c r="JBD157" s="191"/>
      <c r="JBE157" s="191"/>
      <c r="JBF157" s="191"/>
      <c r="JBG157" s="191"/>
      <c r="JBH157" s="191"/>
      <c r="JBI157" s="191"/>
      <c r="JBJ157" s="191"/>
      <c r="JBK157" s="191"/>
      <c r="JBL157" s="191"/>
      <c r="JBM157" s="191"/>
      <c r="JBN157" s="191"/>
      <c r="JBO157" s="191"/>
      <c r="JBP157" s="191"/>
      <c r="JBQ157" s="191"/>
      <c r="JBR157" s="191"/>
      <c r="JBS157" s="191"/>
      <c r="JBT157" s="191"/>
      <c r="JBU157" s="191"/>
      <c r="JBV157" s="191"/>
      <c r="JBW157" s="191"/>
      <c r="JBX157" s="191"/>
      <c r="JBY157" s="191"/>
      <c r="JBZ157" s="191"/>
      <c r="JCA157" s="191"/>
      <c r="JCB157" s="191"/>
      <c r="JCC157" s="191"/>
      <c r="JCD157" s="191"/>
      <c r="JCE157" s="191"/>
      <c r="JCF157" s="191"/>
      <c r="JCG157" s="191"/>
      <c r="JCH157" s="191"/>
      <c r="JCI157" s="191"/>
      <c r="JCJ157" s="191"/>
      <c r="JCK157" s="191"/>
      <c r="JCL157" s="191"/>
      <c r="JCM157" s="191"/>
      <c r="JCN157" s="191"/>
      <c r="JCO157" s="191"/>
      <c r="JCP157" s="191"/>
      <c r="JCQ157" s="191"/>
      <c r="JCR157" s="191"/>
      <c r="JCS157" s="191"/>
      <c r="JCT157" s="191"/>
      <c r="JCU157" s="191"/>
      <c r="JCV157" s="191"/>
      <c r="JCW157" s="191"/>
      <c r="JCX157" s="191"/>
      <c r="JCY157" s="191"/>
      <c r="JCZ157" s="191"/>
      <c r="JDA157" s="191"/>
      <c r="JDB157" s="191"/>
      <c r="JDC157" s="191"/>
      <c r="JDD157" s="191"/>
      <c r="JDE157" s="191"/>
      <c r="JDF157" s="191"/>
      <c r="JDG157" s="191"/>
      <c r="JDH157" s="191"/>
      <c r="JDI157" s="191"/>
      <c r="JDJ157" s="191"/>
      <c r="JDK157" s="191"/>
      <c r="JDL157" s="191"/>
      <c r="JDM157" s="191"/>
      <c r="JDN157" s="191"/>
      <c r="JDO157" s="191"/>
      <c r="JDP157" s="191"/>
      <c r="JDQ157" s="191"/>
      <c r="JDR157" s="191"/>
      <c r="JDS157" s="191"/>
      <c r="JDT157" s="191"/>
      <c r="JDU157" s="191"/>
      <c r="JDV157" s="191"/>
      <c r="JDW157" s="191"/>
      <c r="JDX157" s="191"/>
      <c r="JDY157" s="191"/>
      <c r="JDZ157" s="191"/>
      <c r="JEA157" s="191"/>
      <c r="JEB157" s="191"/>
      <c r="JEC157" s="191"/>
      <c r="JED157" s="191"/>
      <c r="JEE157" s="191"/>
      <c r="JEF157" s="191"/>
      <c r="JEG157" s="191"/>
      <c r="JEH157" s="191"/>
      <c r="JEI157" s="191"/>
      <c r="JEJ157" s="191"/>
      <c r="JEK157" s="191"/>
      <c r="JEL157" s="191"/>
      <c r="JEM157" s="191"/>
      <c r="JEN157" s="191"/>
      <c r="JEO157" s="191"/>
      <c r="JEP157" s="191"/>
      <c r="JEQ157" s="191"/>
      <c r="JER157" s="191"/>
      <c r="JES157" s="191"/>
      <c r="JET157" s="191"/>
      <c r="JEU157" s="191"/>
      <c r="JEV157" s="191"/>
      <c r="JEW157" s="191"/>
      <c r="JEX157" s="191"/>
      <c r="JEY157" s="191"/>
      <c r="JEZ157" s="191"/>
      <c r="JFA157" s="191"/>
      <c r="JFB157" s="191"/>
      <c r="JFC157" s="191"/>
      <c r="JFD157" s="191"/>
      <c r="JFE157" s="191"/>
      <c r="JFF157" s="191"/>
      <c r="JFG157" s="191"/>
      <c r="JFH157" s="191"/>
      <c r="JFI157" s="191"/>
      <c r="JFJ157" s="191"/>
      <c r="JFK157" s="191"/>
      <c r="JFL157" s="191"/>
      <c r="JFM157" s="191"/>
      <c r="JFN157" s="191"/>
      <c r="JFO157" s="191"/>
      <c r="JFP157" s="191"/>
      <c r="JFQ157" s="191"/>
      <c r="JFR157" s="191"/>
      <c r="JFS157" s="191"/>
      <c r="JFT157" s="191"/>
      <c r="JFU157" s="191"/>
      <c r="JFV157" s="191"/>
      <c r="JFW157" s="191"/>
      <c r="JFX157" s="191"/>
      <c r="JFY157" s="191"/>
      <c r="JFZ157" s="191"/>
      <c r="JGA157" s="191"/>
      <c r="JGB157" s="191"/>
      <c r="JGC157" s="191"/>
      <c r="JGD157" s="191"/>
      <c r="JGE157" s="191"/>
      <c r="JGF157" s="191"/>
      <c r="JGG157" s="191"/>
      <c r="JGH157" s="191"/>
      <c r="JGI157" s="191"/>
      <c r="JGJ157" s="191"/>
      <c r="JGK157" s="191"/>
      <c r="JGL157" s="191"/>
      <c r="JGM157" s="191"/>
      <c r="JGN157" s="191"/>
      <c r="JGO157" s="191"/>
      <c r="JGP157" s="191"/>
      <c r="JGQ157" s="191"/>
      <c r="JGR157" s="191"/>
      <c r="JGS157" s="191"/>
      <c r="JGT157" s="191"/>
      <c r="JGU157" s="191"/>
      <c r="JGV157" s="191"/>
      <c r="JGW157" s="191"/>
      <c r="JGX157" s="191"/>
      <c r="JGY157" s="191"/>
      <c r="JGZ157" s="191"/>
      <c r="JHA157" s="191"/>
      <c r="JHB157" s="191"/>
      <c r="JHC157" s="191"/>
      <c r="JHD157" s="191"/>
      <c r="JHE157" s="191"/>
      <c r="JHF157" s="191"/>
      <c r="JHG157" s="191"/>
      <c r="JHH157" s="191"/>
      <c r="JHI157" s="191"/>
      <c r="JHJ157" s="191"/>
      <c r="JHK157" s="191"/>
      <c r="JHL157" s="191"/>
      <c r="JHM157" s="191"/>
      <c r="JHN157" s="191"/>
      <c r="JHO157" s="191"/>
      <c r="JHP157" s="191"/>
      <c r="JHQ157" s="191"/>
      <c r="JHR157" s="191"/>
      <c r="JHS157" s="191"/>
      <c r="JHT157" s="191"/>
      <c r="JHU157" s="191"/>
      <c r="JHV157" s="191"/>
      <c r="JHW157" s="191"/>
      <c r="JHX157" s="191"/>
      <c r="JHY157" s="191"/>
      <c r="JHZ157" s="191"/>
      <c r="JIA157" s="191"/>
      <c r="JIB157" s="191"/>
      <c r="JIC157" s="191"/>
      <c r="JID157" s="191"/>
      <c r="JIE157" s="191"/>
      <c r="JIF157" s="191"/>
      <c r="JIG157" s="191"/>
      <c r="JIH157" s="191"/>
      <c r="JII157" s="191"/>
      <c r="JIJ157" s="191"/>
      <c r="JIK157" s="191"/>
      <c r="JIL157" s="191"/>
      <c r="JIM157" s="191"/>
      <c r="JIN157" s="191"/>
      <c r="JIO157" s="191"/>
      <c r="JIP157" s="191"/>
      <c r="JIQ157" s="191"/>
      <c r="JIR157" s="191"/>
      <c r="JIS157" s="191"/>
      <c r="JIT157" s="191"/>
      <c r="JIU157" s="191"/>
      <c r="JIV157" s="191"/>
      <c r="JIW157" s="191"/>
      <c r="JIX157" s="191"/>
      <c r="JIY157" s="191"/>
      <c r="JIZ157" s="191"/>
      <c r="JJA157" s="191"/>
      <c r="JJB157" s="191"/>
      <c r="JJC157" s="191"/>
      <c r="JJD157" s="191"/>
      <c r="JJE157" s="191"/>
      <c r="JJF157" s="191"/>
      <c r="JJG157" s="191"/>
      <c r="JJH157" s="191"/>
      <c r="JJI157" s="191"/>
      <c r="JJJ157" s="191"/>
      <c r="JJK157" s="191"/>
      <c r="JJL157" s="191"/>
      <c r="JJM157" s="191"/>
      <c r="JJN157" s="191"/>
      <c r="JJO157" s="191"/>
      <c r="JJP157" s="191"/>
      <c r="JJQ157" s="191"/>
      <c r="JJR157" s="191"/>
      <c r="JJS157" s="191"/>
      <c r="JJT157" s="191"/>
      <c r="JJU157" s="191"/>
      <c r="JJV157" s="191"/>
      <c r="JJW157" s="191"/>
      <c r="JJX157" s="191"/>
      <c r="JJY157" s="191"/>
      <c r="JJZ157" s="191"/>
      <c r="JKA157" s="191"/>
      <c r="JKB157" s="191"/>
      <c r="JKC157" s="191"/>
      <c r="JKD157" s="191"/>
      <c r="JKE157" s="191"/>
      <c r="JKF157" s="191"/>
      <c r="JKG157" s="191"/>
      <c r="JKH157" s="191"/>
      <c r="JKI157" s="191"/>
      <c r="JKJ157" s="191"/>
      <c r="JKK157" s="191"/>
      <c r="JKL157" s="191"/>
      <c r="JKM157" s="191"/>
      <c r="JKN157" s="191"/>
      <c r="JKO157" s="191"/>
      <c r="JKP157" s="191"/>
      <c r="JKQ157" s="191"/>
      <c r="JKR157" s="191"/>
      <c r="JKS157" s="191"/>
      <c r="JKT157" s="191"/>
      <c r="JKU157" s="191"/>
      <c r="JKV157" s="191"/>
      <c r="JKW157" s="191"/>
      <c r="JKX157" s="191"/>
      <c r="JKY157" s="191"/>
      <c r="JKZ157" s="191"/>
      <c r="JLA157" s="191"/>
      <c r="JLB157" s="191"/>
      <c r="JLC157" s="191"/>
      <c r="JLD157" s="191"/>
      <c r="JLE157" s="191"/>
      <c r="JLF157" s="191"/>
      <c r="JLG157" s="191"/>
      <c r="JLH157" s="191"/>
      <c r="JLI157" s="191"/>
      <c r="JLJ157" s="191"/>
      <c r="JLK157" s="191"/>
      <c r="JLL157" s="191"/>
      <c r="JLM157" s="191"/>
      <c r="JLN157" s="191"/>
      <c r="JLO157" s="191"/>
      <c r="JLP157" s="191"/>
      <c r="JLQ157" s="191"/>
      <c r="JLR157" s="191"/>
      <c r="JLS157" s="191"/>
      <c r="JLT157" s="191"/>
      <c r="JLU157" s="191"/>
      <c r="JLV157" s="191"/>
      <c r="JLW157" s="191"/>
      <c r="JLX157" s="191"/>
      <c r="JLY157" s="191"/>
      <c r="JLZ157" s="191"/>
      <c r="JMA157" s="191"/>
      <c r="JMB157" s="191"/>
      <c r="JMC157" s="191"/>
      <c r="JMD157" s="191"/>
      <c r="JME157" s="191"/>
      <c r="JMF157" s="191"/>
      <c r="JMG157" s="191"/>
      <c r="JMH157" s="191"/>
      <c r="JMI157" s="191"/>
      <c r="JMJ157" s="191"/>
      <c r="JMK157" s="191"/>
      <c r="JML157" s="191"/>
      <c r="JMM157" s="191"/>
      <c r="JMN157" s="191"/>
      <c r="JMO157" s="191"/>
      <c r="JMP157" s="191"/>
      <c r="JMQ157" s="191"/>
      <c r="JMR157" s="191"/>
      <c r="JMS157" s="191"/>
      <c r="JMT157" s="191"/>
      <c r="JMU157" s="191"/>
      <c r="JMV157" s="191"/>
      <c r="JMW157" s="191"/>
      <c r="JMX157" s="191"/>
      <c r="JMY157" s="191"/>
      <c r="JMZ157" s="191"/>
      <c r="JNA157" s="191"/>
      <c r="JNB157" s="191"/>
      <c r="JNC157" s="191"/>
      <c r="JND157" s="191"/>
      <c r="JNE157" s="191"/>
      <c r="JNF157" s="191"/>
      <c r="JNG157" s="191"/>
      <c r="JNH157" s="191"/>
      <c r="JNI157" s="191"/>
      <c r="JNJ157" s="191"/>
      <c r="JNK157" s="191"/>
      <c r="JNL157" s="191"/>
      <c r="JNM157" s="191"/>
      <c r="JNN157" s="191"/>
      <c r="JNO157" s="191"/>
      <c r="JNP157" s="191"/>
      <c r="JNQ157" s="191"/>
      <c r="JNR157" s="191"/>
      <c r="JNS157" s="191"/>
      <c r="JNT157" s="191"/>
      <c r="JNU157" s="191"/>
      <c r="JNV157" s="191"/>
      <c r="JNW157" s="191"/>
      <c r="JNX157" s="191"/>
      <c r="JNY157" s="191"/>
      <c r="JNZ157" s="191"/>
      <c r="JOA157" s="191"/>
      <c r="JOB157" s="191"/>
      <c r="JOC157" s="191"/>
      <c r="JOD157" s="191"/>
      <c r="JOE157" s="191"/>
      <c r="JOF157" s="191"/>
      <c r="JOG157" s="191"/>
      <c r="JOH157" s="191"/>
      <c r="JOI157" s="191"/>
      <c r="JOJ157" s="191"/>
      <c r="JOK157" s="191"/>
      <c r="JOL157" s="191"/>
      <c r="JOM157" s="191"/>
      <c r="JON157" s="191"/>
      <c r="JOO157" s="191"/>
      <c r="JOP157" s="191"/>
      <c r="JOQ157" s="191"/>
      <c r="JOR157" s="191"/>
      <c r="JOS157" s="191"/>
      <c r="JOT157" s="191"/>
      <c r="JOU157" s="191"/>
      <c r="JOV157" s="191"/>
      <c r="JOW157" s="191"/>
      <c r="JOX157" s="191"/>
      <c r="JOY157" s="191"/>
      <c r="JOZ157" s="191"/>
      <c r="JPA157" s="191"/>
      <c r="JPB157" s="191"/>
      <c r="JPC157" s="191"/>
      <c r="JPD157" s="191"/>
      <c r="JPE157" s="191"/>
      <c r="JPF157" s="191"/>
      <c r="JPG157" s="191"/>
      <c r="JPH157" s="191"/>
      <c r="JPI157" s="191"/>
      <c r="JPJ157" s="191"/>
      <c r="JPK157" s="191"/>
      <c r="JPL157" s="191"/>
      <c r="JPM157" s="191"/>
      <c r="JPN157" s="191"/>
      <c r="JPO157" s="191"/>
      <c r="JPP157" s="191"/>
      <c r="JPQ157" s="191"/>
      <c r="JPR157" s="191"/>
      <c r="JPS157" s="191"/>
      <c r="JPT157" s="191"/>
      <c r="JPU157" s="191"/>
      <c r="JPV157" s="191"/>
      <c r="JPW157" s="191"/>
      <c r="JPX157" s="191"/>
      <c r="JPY157" s="191"/>
      <c r="JPZ157" s="191"/>
      <c r="JQA157" s="191"/>
      <c r="JQB157" s="191"/>
      <c r="JQC157" s="191"/>
      <c r="JQD157" s="191"/>
      <c r="JQE157" s="191"/>
      <c r="JQF157" s="191"/>
      <c r="JQG157" s="191"/>
      <c r="JQH157" s="191"/>
      <c r="JQI157" s="191"/>
      <c r="JQJ157" s="191"/>
      <c r="JQK157" s="191"/>
      <c r="JQL157" s="191"/>
      <c r="JQM157" s="191"/>
      <c r="JQN157" s="191"/>
      <c r="JQO157" s="191"/>
      <c r="JQP157" s="191"/>
      <c r="JQQ157" s="191"/>
      <c r="JQR157" s="191"/>
      <c r="JQS157" s="191"/>
      <c r="JQT157" s="191"/>
      <c r="JQU157" s="191"/>
      <c r="JQV157" s="191"/>
      <c r="JQW157" s="191"/>
      <c r="JQX157" s="191"/>
      <c r="JQY157" s="191"/>
      <c r="JQZ157" s="191"/>
      <c r="JRA157" s="191"/>
      <c r="JRB157" s="191"/>
      <c r="JRC157" s="191"/>
      <c r="JRD157" s="191"/>
      <c r="JRE157" s="191"/>
      <c r="JRF157" s="191"/>
      <c r="JRG157" s="191"/>
      <c r="JRH157" s="191"/>
      <c r="JRI157" s="191"/>
      <c r="JRJ157" s="191"/>
      <c r="JRK157" s="191"/>
      <c r="JRL157" s="191"/>
      <c r="JRM157" s="191"/>
      <c r="JRN157" s="191"/>
      <c r="JRO157" s="191"/>
      <c r="JRP157" s="191"/>
      <c r="JRQ157" s="191"/>
      <c r="JRR157" s="191"/>
      <c r="JRS157" s="191"/>
      <c r="JRT157" s="191"/>
      <c r="JRU157" s="191"/>
      <c r="JRV157" s="191"/>
      <c r="JRW157" s="191"/>
      <c r="JRX157" s="191"/>
      <c r="JRY157" s="191"/>
      <c r="JRZ157" s="191"/>
      <c r="JSA157" s="191"/>
      <c r="JSB157" s="191"/>
      <c r="JSC157" s="191"/>
      <c r="JSD157" s="191"/>
      <c r="JSE157" s="191"/>
      <c r="JSF157" s="191"/>
      <c r="JSG157" s="191"/>
      <c r="JSH157" s="191"/>
      <c r="JSI157" s="191"/>
      <c r="JSJ157" s="191"/>
      <c r="JSK157" s="191"/>
      <c r="JSL157" s="191"/>
      <c r="JSM157" s="191"/>
      <c r="JSN157" s="191"/>
      <c r="JSO157" s="191"/>
      <c r="JSP157" s="191"/>
      <c r="JSQ157" s="191"/>
      <c r="JSR157" s="191"/>
      <c r="JSS157" s="191"/>
      <c r="JST157" s="191"/>
      <c r="JSU157" s="191"/>
      <c r="JSV157" s="191"/>
      <c r="JSW157" s="191"/>
      <c r="JSX157" s="191"/>
      <c r="JSY157" s="191"/>
      <c r="JSZ157" s="191"/>
      <c r="JTA157" s="191"/>
      <c r="JTB157" s="191"/>
      <c r="JTC157" s="191"/>
      <c r="JTD157" s="191"/>
      <c r="JTE157" s="191"/>
      <c r="JTF157" s="191"/>
      <c r="JTG157" s="191"/>
      <c r="JTH157" s="191"/>
      <c r="JTI157" s="191"/>
      <c r="JTJ157" s="191"/>
      <c r="JTK157" s="191"/>
      <c r="JTL157" s="191"/>
      <c r="JTM157" s="191"/>
      <c r="JTN157" s="191"/>
      <c r="JTO157" s="191"/>
      <c r="JTP157" s="191"/>
      <c r="JTQ157" s="191"/>
      <c r="JTR157" s="191"/>
      <c r="JTS157" s="191"/>
      <c r="JTT157" s="191"/>
      <c r="JTU157" s="191"/>
      <c r="JTV157" s="191"/>
      <c r="JTW157" s="191"/>
      <c r="JTX157" s="191"/>
      <c r="JTY157" s="191"/>
      <c r="JTZ157" s="191"/>
      <c r="JUA157" s="191"/>
      <c r="JUB157" s="191"/>
      <c r="JUC157" s="191"/>
      <c r="JUD157" s="191"/>
      <c r="JUE157" s="191"/>
      <c r="JUF157" s="191"/>
      <c r="JUG157" s="191"/>
      <c r="JUH157" s="191"/>
      <c r="JUI157" s="191"/>
      <c r="JUJ157" s="191"/>
      <c r="JUK157" s="191"/>
      <c r="JUL157" s="191"/>
      <c r="JUM157" s="191"/>
      <c r="JUN157" s="191"/>
      <c r="JUO157" s="191"/>
      <c r="JUP157" s="191"/>
      <c r="JUQ157" s="191"/>
      <c r="JUR157" s="191"/>
      <c r="JUS157" s="191"/>
      <c r="JUT157" s="191"/>
      <c r="JUU157" s="191"/>
      <c r="JUV157" s="191"/>
      <c r="JUW157" s="191"/>
      <c r="JUX157" s="191"/>
      <c r="JUY157" s="191"/>
      <c r="JUZ157" s="191"/>
      <c r="JVA157" s="191"/>
      <c r="JVB157" s="191"/>
      <c r="JVC157" s="191"/>
      <c r="JVD157" s="191"/>
      <c r="JVE157" s="191"/>
      <c r="JVF157" s="191"/>
      <c r="JVG157" s="191"/>
      <c r="JVH157" s="191"/>
      <c r="JVI157" s="191"/>
      <c r="JVJ157" s="191"/>
      <c r="JVK157" s="191"/>
      <c r="JVL157" s="191"/>
      <c r="JVM157" s="191"/>
      <c r="JVN157" s="191"/>
      <c r="JVO157" s="191"/>
      <c r="JVP157" s="191"/>
      <c r="JVQ157" s="191"/>
      <c r="JVR157" s="191"/>
      <c r="JVS157" s="191"/>
      <c r="JVT157" s="191"/>
      <c r="JVU157" s="191"/>
      <c r="JVV157" s="191"/>
      <c r="JVW157" s="191"/>
      <c r="JVX157" s="191"/>
      <c r="JVY157" s="191"/>
      <c r="JVZ157" s="191"/>
      <c r="JWA157" s="191"/>
      <c r="JWB157" s="191"/>
      <c r="JWC157" s="191"/>
      <c r="JWD157" s="191"/>
      <c r="JWE157" s="191"/>
      <c r="JWF157" s="191"/>
      <c r="JWG157" s="191"/>
      <c r="JWH157" s="191"/>
      <c r="JWI157" s="191"/>
      <c r="JWJ157" s="191"/>
      <c r="JWK157" s="191"/>
      <c r="JWL157" s="191"/>
      <c r="JWM157" s="191"/>
      <c r="JWN157" s="191"/>
      <c r="JWO157" s="191"/>
      <c r="JWP157" s="191"/>
      <c r="JWQ157" s="191"/>
      <c r="JWR157" s="191"/>
      <c r="JWS157" s="191"/>
      <c r="JWT157" s="191"/>
      <c r="JWU157" s="191"/>
      <c r="JWV157" s="191"/>
      <c r="JWW157" s="191"/>
      <c r="JWX157" s="191"/>
      <c r="JWY157" s="191"/>
      <c r="JWZ157" s="191"/>
      <c r="JXA157" s="191"/>
      <c r="JXB157" s="191"/>
      <c r="JXC157" s="191"/>
      <c r="JXD157" s="191"/>
      <c r="JXE157" s="191"/>
      <c r="JXF157" s="191"/>
      <c r="JXG157" s="191"/>
      <c r="JXH157" s="191"/>
      <c r="JXI157" s="191"/>
      <c r="JXJ157" s="191"/>
      <c r="JXK157" s="191"/>
      <c r="JXL157" s="191"/>
      <c r="JXM157" s="191"/>
      <c r="JXN157" s="191"/>
      <c r="JXO157" s="191"/>
      <c r="JXP157" s="191"/>
      <c r="JXQ157" s="191"/>
      <c r="JXR157" s="191"/>
      <c r="JXS157" s="191"/>
      <c r="JXT157" s="191"/>
      <c r="JXU157" s="191"/>
      <c r="JXV157" s="191"/>
      <c r="JXW157" s="191"/>
      <c r="JXX157" s="191"/>
      <c r="JXY157" s="191"/>
      <c r="JXZ157" s="191"/>
      <c r="JYA157" s="191"/>
      <c r="JYB157" s="191"/>
      <c r="JYC157" s="191"/>
      <c r="JYD157" s="191"/>
      <c r="JYE157" s="191"/>
      <c r="JYF157" s="191"/>
      <c r="JYG157" s="191"/>
      <c r="JYH157" s="191"/>
      <c r="JYI157" s="191"/>
      <c r="JYJ157" s="191"/>
      <c r="JYK157" s="191"/>
      <c r="JYL157" s="191"/>
      <c r="JYM157" s="191"/>
      <c r="JYN157" s="191"/>
      <c r="JYO157" s="191"/>
      <c r="JYP157" s="191"/>
      <c r="JYQ157" s="191"/>
      <c r="JYR157" s="191"/>
      <c r="JYS157" s="191"/>
      <c r="JYT157" s="191"/>
      <c r="JYU157" s="191"/>
      <c r="JYV157" s="191"/>
      <c r="JYW157" s="191"/>
      <c r="JYX157" s="191"/>
      <c r="JYY157" s="191"/>
      <c r="JYZ157" s="191"/>
      <c r="JZA157" s="191"/>
      <c r="JZB157" s="191"/>
      <c r="JZC157" s="191"/>
      <c r="JZD157" s="191"/>
      <c r="JZE157" s="191"/>
      <c r="JZF157" s="191"/>
      <c r="JZG157" s="191"/>
      <c r="JZH157" s="191"/>
      <c r="JZI157" s="191"/>
      <c r="JZJ157" s="191"/>
      <c r="JZK157" s="191"/>
      <c r="JZL157" s="191"/>
      <c r="JZM157" s="191"/>
      <c r="JZN157" s="191"/>
      <c r="JZO157" s="191"/>
      <c r="JZP157" s="191"/>
      <c r="JZQ157" s="191"/>
      <c r="JZR157" s="191"/>
      <c r="JZS157" s="191"/>
      <c r="JZT157" s="191"/>
      <c r="JZU157" s="191"/>
      <c r="JZV157" s="191"/>
      <c r="JZW157" s="191"/>
      <c r="JZX157" s="191"/>
      <c r="JZY157" s="191"/>
      <c r="JZZ157" s="191"/>
      <c r="KAA157" s="191"/>
      <c r="KAB157" s="191"/>
      <c r="KAC157" s="191"/>
      <c r="KAD157" s="191"/>
      <c r="KAE157" s="191"/>
      <c r="KAF157" s="191"/>
      <c r="KAG157" s="191"/>
      <c r="KAH157" s="191"/>
      <c r="KAI157" s="191"/>
      <c r="KAJ157" s="191"/>
      <c r="KAK157" s="191"/>
      <c r="KAL157" s="191"/>
      <c r="KAM157" s="191"/>
      <c r="KAN157" s="191"/>
      <c r="KAO157" s="191"/>
      <c r="KAP157" s="191"/>
      <c r="KAQ157" s="191"/>
      <c r="KAR157" s="191"/>
      <c r="KAS157" s="191"/>
      <c r="KAT157" s="191"/>
      <c r="KAU157" s="191"/>
      <c r="KAV157" s="191"/>
      <c r="KAW157" s="191"/>
      <c r="KAX157" s="191"/>
      <c r="KAY157" s="191"/>
      <c r="KAZ157" s="191"/>
      <c r="KBA157" s="191"/>
      <c r="KBB157" s="191"/>
      <c r="KBC157" s="191"/>
      <c r="KBD157" s="191"/>
      <c r="KBE157" s="191"/>
      <c r="KBF157" s="191"/>
      <c r="KBG157" s="191"/>
      <c r="KBH157" s="191"/>
      <c r="KBI157" s="191"/>
      <c r="KBJ157" s="191"/>
      <c r="KBK157" s="191"/>
      <c r="KBL157" s="191"/>
      <c r="KBM157" s="191"/>
      <c r="KBN157" s="191"/>
      <c r="KBO157" s="191"/>
      <c r="KBP157" s="191"/>
      <c r="KBQ157" s="191"/>
      <c r="KBR157" s="191"/>
      <c r="KBS157" s="191"/>
      <c r="KBT157" s="191"/>
      <c r="KBU157" s="191"/>
      <c r="KBV157" s="191"/>
      <c r="KBW157" s="191"/>
      <c r="KBX157" s="191"/>
      <c r="KBY157" s="191"/>
      <c r="KBZ157" s="191"/>
      <c r="KCA157" s="191"/>
      <c r="KCB157" s="191"/>
      <c r="KCC157" s="191"/>
      <c r="KCD157" s="191"/>
      <c r="KCE157" s="191"/>
      <c r="KCF157" s="191"/>
      <c r="KCG157" s="191"/>
      <c r="KCH157" s="191"/>
      <c r="KCI157" s="191"/>
      <c r="KCJ157" s="191"/>
      <c r="KCK157" s="191"/>
      <c r="KCL157" s="191"/>
      <c r="KCM157" s="191"/>
      <c r="KCN157" s="191"/>
      <c r="KCO157" s="191"/>
      <c r="KCP157" s="191"/>
      <c r="KCQ157" s="191"/>
      <c r="KCR157" s="191"/>
      <c r="KCS157" s="191"/>
      <c r="KCT157" s="191"/>
      <c r="KCU157" s="191"/>
      <c r="KCV157" s="191"/>
      <c r="KCW157" s="191"/>
      <c r="KCX157" s="191"/>
      <c r="KCY157" s="191"/>
      <c r="KCZ157" s="191"/>
      <c r="KDA157" s="191"/>
      <c r="KDB157" s="191"/>
      <c r="KDC157" s="191"/>
      <c r="KDD157" s="191"/>
      <c r="KDE157" s="191"/>
      <c r="KDF157" s="191"/>
      <c r="KDG157" s="191"/>
      <c r="KDH157" s="191"/>
      <c r="KDI157" s="191"/>
      <c r="KDJ157" s="191"/>
      <c r="KDK157" s="191"/>
      <c r="KDL157" s="191"/>
      <c r="KDM157" s="191"/>
      <c r="KDN157" s="191"/>
      <c r="KDO157" s="191"/>
      <c r="KDP157" s="191"/>
      <c r="KDQ157" s="191"/>
      <c r="KDR157" s="191"/>
      <c r="KDS157" s="191"/>
      <c r="KDT157" s="191"/>
      <c r="KDU157" s="191"/>
      <c r="KDV157" s="191"/>
      <c r="KDW157" s="191"/>
      <c r="KDX157" s="191"/>
      <c r="KDY157" s="191"/>
      <c r="KDZ157" s="191"/>
      <c r="KEA157" s="191"/>
      <c r="KEB157" s="191"/>
      <c r="KEC157" s="191"/>
      <c r="KED157" s="191"/>
      <c r="KEE157" s="191"/>
      <c r="KEF157" s="191"/>
      <c r="KEG157" s="191"/>
      <c r="KEH157" s="191"/>
      <c r="KEI157" s="191"/>
      <c r="KEJ157" s="191"/>
      <c r="KEK157" s="191"/>
      <c r="KEL157" s="191"/>
      <c r="KEM157" s="191"/>
      <c r="KEN157" s="191"/>
      <c r="KEO157" s="191"/>
      <c r="KEP157" s="191"/>
      <c r="KEQ157" s="191"/>
      <c r="KER157" s="191"/>
      <c r="KES157" s="191"/>
      <c r="KET157" s="191"/>
      <c r="KEU157" s="191"/>
      <c r="KEV157" s="191"/>
      <c r="KEW157" s="191"/>
      <c r="KEX157" s="191"/>
      <c r="KEY157" s="191"/>
      <c r="KEZ157" s="191"/>
      <c r="KFA157" s="191"/>
      <c r="KFB157" s="191"/>
      <c r="KFC157" s="191"/>
      <c r="KFD157" s="191"/>
      <c r="KFE157" s="191"/>
      <c r="KFF157" s="191"/>
      <c r="KFG157" s="191"/>
      <c r="KFH157" s="191"/>
      <c r="KFI157" s="191"/>
      <c r="KFJ157" s="191"/>
      <c r="KFK157" s="191"/>
      <c r="KFL157" s="191"/>
      <c r="KFM157" s="191"/>
      <c r="KFN157" s="191"/>
      <c r="KFO157" s="191"/>
      <c r="KFP157" s="191"/>
      <c r="KFQ157" s="191"/>
      <c r="KFR157" s="191"/>
      <c r="KFS157" s="191"/>
      <c r="KFT157" s="191"/>
      <c r="KFU157" s="191"/>
      <c r="KFV157" s="191"/>
      <c r="KFW157" s="191"/>
      <c r="KFX157" s="191"/>
      <c r="KFY157" s="191"/>
      <c r="KFZ157" s="191"/>
      <c r="KGA157" s="191"/>
      <c r="KGB157" s="191"/>
      <c r="KGC157" s="191"/>
      <c r="KGD157" s="191"/>
      <c r="KGE157" s="191"/>
      <c r="KGF157" s="191"/>
      <c r="KGG157" s="191"/>
      <c r="KGH157" s="191"/>
      <c r="KGI157" s="191"/>
      <c r="KGJ157" s="191"/>
      <c r="KGK157" s="191"/>
      <c r="KGL157" s="191"/>
      <c r="KGM157" s="191"/>
      <c r="KGN157" s="191"/>
      <c r="KGO157" s="191"/>
      <c r="KGP157" s="191"/>
      <c r="KGQ157" s="191"/>
      <c r="KGR157" s="191"/>
      <c r="KGS157" s="191"/>
      <c r="KGT157" s="191"/>
      <c r="KGU157" s="191"/>
      <c r="KGV157" s="191"/>
      <c r="KGW157" s="191"/>
      <c r="KGX157" s="191"/>
      <c r="KGY157" s="191"/>
      <c r="KGZ157" s="191"/>
      <c r="KHA157" s="191"/>
      <c r="KHB157" s="191"/>
      <c r="KHC157" s="191"/>
      <c r="KHD157" s="191"/>
      <c r="KHE157" s="191"/>
      <c r="KHF157" s="191"/>
      <c r="KHG157" s="191"/>
      <c r="KHH157" s="191"/>
      <c r="KHI157" s="191"/>
      <c r="KHJ157" s="191"/>
      <c r="KHK157" s="191"/>
      <c r="KHL157" s="191"/>
      <c r="KHM157" s="191"/>
      <c r="KHN157" s="191"/>
      <c r="KHO157" s="191"/>
      <c r="KHP157" s="191"/>
      <c r="KHQ157" s="191"/>
      <c r="KHR157" s="191"/>
      <c r="KHS157" s="191"/>
      <c r="KHT157" s="191"/>
      <c r="KHU157" s="191"/>
      <c r="KHV157" s="191"/>
      <c r="KHW157" s="191"/>
      <c r="KHX157" s="191"/>
      <c r="KHY157" s="191"/>
      <c r="KHZ157" s="191"/>
      <c r="KIA157" s="191"/>
      <c r="KIB157" s="191"/>
      <c r="KIC157" s="191"/>
      <c r="KID157" s="191"/>
      <c r="KIE157" s="191"/>
      <c r="KIF157" s="191"/>
      <c r="KIG157" s="191"/>
      <c r="KIH157" s="191"/>
      <c r="KII157" s="191"/>
      <c r="KIJ157" s="191"/>
      <c r="KIK157" s="191"/>
      <c r="KIL157" s="191"/>
      <c r="KIM157" s="191"/>
      <c r="KIN157" s="191"/>
      <c r="KIO157" s="191"/>
      <c r="KIP157" s="191"/>
      <c r="KIQ157" s="191"/>
      <c r="KIR157" s="191"/>
      <c r="KIS157" s="191"/>
      <c r="KIT157" s="191"/>
      <c r="KIU157" s="191"/>
      <c r="KIV157" s="191"/>
      <c r="KIW157" s="191"/>
      <c r="KIX157" s="191"/>
      <c r="KIY157" s="191"/>
      <c r="KIZ157" s="191"/>
      <c r="KJA157" s="191"/>
      <c r="KJB157" s="191"/>
      <c r="KJC157" s="191"/>
      <c r="KJD157" s="191"/>
      <c r="KJE157" s="191"/>
      <c r="KJF157" s="191"/>
      <c r="KJG157" s="191"/>
      <c r="KJH157" s="191"/>
      <c r="KJI157" s="191"/>
      <c r="KJJ157" s="191"/>
      <c r="KJK157" s="191"/>
      <c r="KJL157" s="191"/>
      <c r="KJM157" s="191"/>
      <c r="KJN157" s="191"/>
      <c r="KJO157" s="191"/>
      <c r="KJP157" s="191"/>
      <c r="KJQ157" s="191"/>
      <c r="KJR157" s="191"/>
      <c r="KJS157" s="191"/>
      <c r="KJT157" s="191"/>
      <c r="KJU157" s="191"/>
      <c r="KJV157" s="191"/>
      <c r="KJW157" s="191"/>
      <c r="KJX157" s="191"/>
      <c r="KJY157" s="191"/>
      <c r="KJZ157" s="191"/>
      <c r="KKA157" s="191"/>
      <c r="KKB157" s="191"/>
      <c r="KKC157" s="191"/>
      <c r="KKD157" s="191"/>
      <c r="KKE157" s="191"/>
      <c r="KKF157" s="191"/>
      <c r="KKG157" s="191"/>
      <c r="KKH157" s="191"/>
      <c r="KKI157" s="191"/>
      <c r="KKJ157" s="191"/>
      <c r="KKK157" s="191"/>
      <c r="KKL157" s="191"/>
      <c r="KKM157" s="191"/>
      <c r="KKN157" s="191"/>
      <c r="KKO157" s="191"/>
      <c r="KKP157" s="191"/>
      <c r="KKQ157" s="191"/>
      <c r="KKR157" s="191"/>
      <c r="KKS157" s="191"/>
      <c r="KKT157" s="191"/>
      <c r="KKU157" s="191"/>
      <c r="KKV157" s="191"/>
      <c r="KKW157" s="191"/>
      <c r="KKX157" s="191"/>
      <c r="KKY157" s="191"/>
      <c r="KKZ157" s="191"/>
      <c r="KLA157" s="191"/>
      <c r="KLB157" s="191"/>
      <c r="KLC157" s="191"/>
      <c r="KLD157" s="191"/>
      <c r="KLE157" s="191"/>
      <c r="KLF157" s="191"/>
      <c r="KLG157" s="191"/>
      <c r="KLH157" s="191"/>
      <c r="KLI157" s="191"/>
      <c r="KLJ157" s="191"/>
      <c r="KLK157" s="191"/>
      <c r="KLL157" s="191"/>
      <c r="KLM157" s="191"/>
      <c r="KLN157" s="191"/>
      <c r="KLO157" s="191"/>
      <c r="KLP157" s="191"/>
      <c r="KLQ157" s="191"/>
      <c r="KLR157" s="191"/>
      <c r="KLS157" s="191"/>
      <c r="KLT157" s="191"/>
      <c r="KLU157" s="191"/>
      <c r="KLV157" s="191"/>
      <c r="KLW157" s="191"/>
      <c r="KLX157" s="191"/>
      <c r="KLY157" s="191"/>
      <c r="KLZ157" s="191"/>
      <c r="KMA157" s="191"/>
      <c r="KMB157" s="191"/>
      <c r="KMC157" s="191"/>
      <c r="KMD157" s="191"/>
      <c r="KME157" s="191"/>
      <c r="KMF157" s="191"/>
      <c r="KMG157" s="191"/>
      <c r="KMH157" s="191"/>
      <c r="KMI157" s="191"/>
      <c r="KMJ157" s="191"/>
      <c r="KMK157" s="191"/>
      <c r="KML157" s="191"/>
      <c r="KMM157" s="191"/>
      <c r="KMN157" s="191"/>
      <c r="KMO157" s="191"/>
      <c r="KMP157" s="191"/>
      <c r="KMQ157" s="191"/>
      <c r="KMR157" s="191"/>
      <c r="KMS157" s="191"/>
      <c r="KMT157" s="191"/>
      <c r="KMU157" s="191"/>
      <c r="KMV157" s="191"/>
      <c r="KMW157" s="191"/>
      <c r="KMX157" s="191"/>
      <c r="KMY157" s="191"/>
      <c r="KMZ157" s="191"/>
      <c r="KNA157" s="191"/>
      <c r="KNB157" s="191"/>
      <c r="KNC157" s="191"/>
      <c r="KND157" s="191"/>
      <c r="KNE157" s="191"/>
      <c r="KNF157" s="191"/>
      <c r="KNG157" s="191"/>
      <c r="KNH157" s="191"/>
      <c r="KNI157" s="191"/>
      <c r="KNJ157" s="191"/>
      <c r="KNK157" s="191"/>
      <c r="KNL157" s="191"/>
      <c r="KNM157" s="191"/>
      <c r="KNN157" s="191"/>
      <c r="KNO157" s="191"/>
      <c r="KNP157" s="191"/>
      <c r="KNQ157" s="191"/>
      <c r="KNR157" s="191"/>
      <c r="KNS157" s="191"/>
      <c r="KNT157" s="191"/>
      <c r="KNU157" s="191"/>
      <c r="KNV157" s="191"/>
      <c r="KNW157" s="191"/>
      <c r="KNX157" s="191"/>
      <c r="KNY157" s="191"/>
      <c r="KNZ157" s="191"/>
      <c r="KOA157" s="191"/>
      <c r="KOB157" s="191"/>
      <c r="KOC157" s="191"/>
      <c r="KOD157" s="191"/>
      <c r="KOE157" s="191"/>
      <c r="KOF157" s="191"/>
      <c r="KOG157" s="191"/>
      <c r="KOH157" s="191"/>
      <c r="KOI157" s="191"/>
      <c r="KOJ157" s="191"/>
      <c r="KOK157" s="191"/>
      <c r="KOL157" s="191"/>
      <c r="KOM157" s="191"/>
      <c r="KON157" s="191"/>
      <c r="KOO157" s="191"/>
      <c r="KOP157" s="191"/>
      <c r="KOQ157" s="191"/>
      <c r="KOR157" s="191"/>
      <c r="KOS157" s="191"/>
      <c r="KOT157" s="191"/>
      <c r="KOU157" s="191"/>
      <c r="KOV157" s="191"/>
      <c r="KOW157" s="191"/>
      <c r="KOX157" s="191"/>
      <c r="KOY157" s="191"/>
      <c r="KOZ157" s="191"/>
      <c r="KPA157" s="191"/>
      <c r="KPB157" s="191"/>
      <c r="KPC157" s="191"/>
      <c r="KPD157" s="191"/>
      <c r="KPE157" s="191"/>
      <c r="KPF157" s="191"/>
      <c r="KPG157" s="191"/>
      <c r="KPH157" s="191"/>
      <c r="KPI157" s="191"/>
      <c r="KPJ157" s="191"/>
      <c r="KPK157" s="191"/>
      <c r="KPL157" s="191"/>
      <c r="KPM157" s="191"/>
      <c r="KPN157" s="191"/>
      <c r="KPO157" s="191"/>
      <c r="KPP157" s="191"/>
      <c r="KPQ157" s="191"/>
      <c r="KPR157" s="191"/>
      <c r="KPS157" s="191"/>
      <c r="KPT157" s="191"/>
      <c r="KPU157" s="191"/>
      <c r="KPV157" s="191"/>
      <c r="KPW157" s="191"/>
      <c r="KPX157" s="191"/>
      <c r="KPY157" s="191"/>
      <c r="KPZ157" s="191"/>
      <c r="KQA157" s="191"/>
      <c r="KQB157" s="191"/>
      <c r="KQC157" s="191"/>
      <c r="KQD157" s="191"/>
      <c r="KQE157" s="191"/>
      <c r="KQF157" s="191"/>
      <c r="KQG157" s="191"/>
      <c r="KQH157" s="191"/>
      <c r="KQI157" s="191"/>
      <c r="KQJ157" s="191"/>
      <c r="KQK157" s="191"/>
      <c r="KQL157" s="191"/>
      <c r="KQM157" s="191"/>
      <c r="KQN157" s="191"/>
      <c r="KQO157" s="191"/>
      <c r="KQP157" s="191"/>
      <c r="KQQ157" s="191"/>
      <c r="KQR157" s="191"/>
      <c r="KQS157" s="191"/>
      <c r="KQT157" s="191"/>
      <c r="KQU157" s="191"/>
      <c r="KQV157" s="191"/>
      <c r="KQW157" s="191"/>
      <c r="KQX157" s="191"/>
      <c r="KQY157" s="191"/>
      <c r="KQZ157" s="191"/>
      <c r="KRA157" s="191"/>
      <c r="KRB157" s="191"/>
      <c r="KRC157" s="191"/>
      <c r="KRD157" s="191"/>
      <c r="KRE157" s="191"/>
      <c r="KRF157" s="191"/>
      <c r="KRG157" s="191"/>
      <c r="KRH157" s="191"/>
      <c r="KRI157" s="191"/>
      <c r="KRJ157" s="191"/>
      <c r="KRK157" s="191"/>
      <c r="KRL157" s="191"/>
      <c r="KRM157" s="191"/>
      <c r="KRN157" s="191"/>
      <c r="KRO157" s="191"/>
      <c r="KRP157" s="191"/>
      <c r="KRQ157" s="191"/>
      <c r="KRR157" s="191"/>
      <c r="KRS157" s="191"/>
      <c r="KRT157" s="191"/>
      <c r="KRU157" s="191"/>
      <c r="KRV157" s="191"/>
      <c r="KRW157" s="191"/>
      <c r="KRX157" s="191"/>
      <c r="KRY157" s="191"/>
      <c r="KRZ157" s="191"/>
      <c r="KSA157" s="191"/>
      <c r="KSB157" s="191"/>
      <c r="KSC157" s="191"/>
      <c r="KSD157" s="191"/>
      <c r="KSE157" s="191"/>
      <c r="KSF157" s="191"/>
      <c r="KSG157" s="191"/>
      <c r="KSH157" s="191"/>
      <c r="KSI157" s="191"/>
      <c r="KSJ157" s="191"/>
      <c r="KSK157" s="191"/>
      <c r="KSL157" s="191"/>
      <c r="KSM157" s="191"/>
      <c r="KSN157" s="191"/>
      <c r="KSO157" s="191"/>
      <c r="KSP157" s="191"/>
      <c r="KSQ157" s="191"/>
      <c r="KSR157" s="191"/>
      <c r="KSS157" s="191"/>
      <c r="KST157" s="191"/>
      <c r="KSU157" s="191"/>
      <c r="KSV157" s="191"/>
      <c r="KSW157" s="191"/>
      <c r="KSX157" s="191"/>
      <c r="KSY157" s="191"/>
      <c r="KSZ157" s="191"/>
      <c r="KTA157" s="191"/>
      <c r="KTB157" s="191"/>
      <c r="KTC157" s="191"/>
      <c r="KTD157" s="191"/>
      <c r="KTE157" s="191"/>
      <c r="KTF157" s="191"/>
      <c r="KTG157" s="191"/>
      <c r="KTH157" s="191"/>
      <c r="KTI157" s="191"/>
      <c r="KTJ157" s="191"/>
      <c r="KTK157" s="191"/>
      <c r="KTL157" s="191"/>
      <c r="KTM157" s="191"/>
      <c r="KTN157" s="191"/>
      <c r="KTO157" s="191"/>
      <c r="KTP157" s="191"/>
      <c r="KTQ157" s="191"/>
      <c r="KTR157" s="191"/>
      <c r="KTS157" s="191"/>
      <c r="KTT157" s="191"/>
      <c r="KTU157" s="191"/>
      <c r="KTV157" s="191"/>
      <c r="KTW157" s="191"/>
      <c r="KTX157" s="191"/>
      <c r="KTY157" s="191"/>
      <c r="KTZ157" s="191"/>
      <c r="KUA157" s="191"/>
      <c r="KUB157" s="191"/>
      <c r="KUC157" s="191"/>
      <c r="KUD157" s="191"/>
      <c r="KUE157" s="191"/>
      <c r="KUF157" s="191"/>
      <c r="KUG157" s="191"/>
      <c r="KUH157" s="191"/>
      <c r="KUI157" s="191"/>
      <c r="KUJ157" s="191"/>
      <c r="KUK157" s="191"/>
      <c r="KUL157" s="191"/>
      <c r="KUM157" s="191"/>
      <c r="KUN157" s="191"/>
      <c r="KUO157" s="191"/>
      <c r="KUP157" s="191"/>
      <c r="KUQ157" s="191"/>
      <c r="KUR157" s="191"/>
      <c r="KUS157" s="191"/>
      <c r="KUT157" s="191"/>
      <c r="KUU157" s="191"/>
      <c r="KUV157" s="191"/>
      <c r="KUW157" s="191"/>
      <c r="KUX157" s="191"/>
      <c r="KUY157" s="191"/>
      <c r="KUZ157" s="191"/>
      <c r="KVA157" s="191"/>
      <c r="KVB157" s="191"/>
      <c r="KVC157" s="191"/>
      <c r="KVD157" s="191"/>
      <c r="KVE157" s="191"/>
      <c r="KVF157" s="191"/>
      <c r="KVG157" s="191"/>
      <c r="KVH157" s="191"/>
      <c r="KVI157" s="191"/>
      <c r="KVJ157" s="191"/>
      <c r="KVK157" s="191"/>
      <c r="KVL157" s="191"/>
      <c r="KVM157" s="191"/>
      <c r="KVN157" s="191"/>
      <c r="KVO157" s="191"/>
      <c r="KVP157" s="191"/>
      <c r="KVQ157" s="191"/>
      <c r="KVR157" s="191"/>
      <c r="KVS157" s="191"/>
      <c r="KVT157" s="191"/>
      <c r="KVU157" s="191"/>
      <c r="KVV157" s="191"/>
      <c r="KVW157" s="191"/>
      <c r="KVX157" s="191"/>
      <c r="KVY157" s="191"/>
      <c r="KVZ157" s="191"/>
      <c r="KWA157" s="191"/>
      <c r="KWB157" s="191"/>
      <c r="KWC157" s="191"/>
      <c r="KWD157" s="191"/>
      <c r="KWE157" s="191"/>
      <c r="KWF157" s="191"/>
      <c r="KWG157" s="191"/>
      <c r="KWH157" s="191"/>
      <c r="KWI157" s="191"/>
      <c r="KWJ157" s="191"/>
      <c r="KWK157" s="191"/>
      <c r="KWL157" s="191"/>
      <c r="KWM157" s="191"/>
      <c r="KWN157" s="191"/>
      <c r="KWO157" s="191"/>
      <c r="KWP157" s="191"/>
      <c r="KWQ157" s="191"/>
      <c r="KWR157" s="191"/>
      <c r="KWS157" s="191"/>
      <c r="KWT157" s="191"/>
      <c r="KWU157" s="191"/>
      <c r="KWV157" s="191"/>
      <c r="KWW157" s="191"/>
      <c r="KWX157" s="191"/>
      <c r="KWY157" s="191"/>
      <c r="KWZ157" s="191"/>
      <c r="KXA157" s="191"/>
      <c r="KXB157" s="191"/>
      <c r="KXC157" s="191"/>
      <c r="KXD157" s="191"/>
      <c r="KXE157" s="191"/>
      <c r="KXF157" s="191"/>
      <c r="KXG157" s="191"/>
      <c r="KXH157" s="191"/>
      <c r="KXI157" s="191"/>
      <c r="KXJ157" s="191"/>
      <c r="KXK157" s="191"/>
      <c r="KXL157" s="191"/>
      <c r="KXM157" s="191"/>
      <c r="KXN157" s="191"/>
      <c r="KXO157" s="191"/>
      <c r="KXP157" s="191"/>
      <c r="KXQ157" s="191"/>
      <c r="KXR157" s="191"/>
      <c r="KXS157" s="191"/>
      <c r="KXT157" s="191"/>
      <c r="KXU157" s="191"/>
      <c r="KXV157" s="191"/>
      <c r="KXW157" s="191"/>
      <c r="KXX157" s="191"/>
      <c r="KXY157" s="191"/>
      <c r="KXZ157" s="191"/>
      <c r="KYA157" s="191"/>
      <c r="KYB157" s="191"/>
      <c r="KYC157" s="191"/>
      <c r="KYD157" s="191"/>
      <c r="KYE157" s="191"/>
      <c r="KYF157" s="191"/>
      <c r="KYG157" s="191"/>
      <c r="KYH157" s="191"/>
      <c r="KYI157" s="191"/>
      <c r="KYJ157" s="191"/>
      <c r="KYK157" s="191"/>
      <c r="KYL157" s="191"/>
      <c r="KYM157" s="191"/>
      <c r="KYN157" s="191"/>
      <c r="KYO157" s="191"/>
      <c r="KYP157" s="191"/>
      <c r="KYQ157" s="191"/>
      <c r="KYR157" s="191"/>
      <c r="KYS157" s="191"/>
      <c r="KYT157" s="191"/>
      <c r="KYU157" s="191"/>
      <c r="KYV157" s="191"/>
      <c r="KYW157" s="191"/>
      <c r="KYX157" s="191"/>
      <c r="KYY157" s="191"/>
      <c r="KYZ157" s="191"/>
      <c r="KZA157" s="191"/>
      <c r="KZB157" s="191"/>
      <c r="KZC157" s="191"/>
      <c r="KZD157" s="191"/>
      <c r="KZE157" s="191"/>
      <c r="KZF157" s="191"/>
      <c r="KZG157" s="191"/>
      <c r="KZH157" s="191"/>
      <c r="KZI157" s="191"/>
      <c r="KZJ157" s="191"/>
      <c r="KZK157" s="191"/>
      <c r="KZL157" s="191"/>
      <c r="KZM157" s="191"/>
      <c r="KZN157" s="191"/>
      <c r="KZO157" s="191"/>
      <c r="KZP157" s="191"/>
      <c r="KZQ157" s="191"/>
      <c r="KZR157" s="191"/>
      <c r="KZS157" s="191"/>
      <c r="KZT157" s="191"/>
      <c r="KZU157" s="191"/>
      <c r="KZV157" s="191"/>
      <c r="KZW157" s="191"/>
      <c r="KZX157" s="191"/>
      <c r="KZY157" s="191"/>
      <c r="KZZ157" s="191"/>
      <c r="LAA157" s="191"/>
      <c r="LAB157" s="191"/>
      <c r="LAC157" s="191"/>
      <c r="LAD157" s="191"/>
      <c r="LAE157" s="191"/>
      <c r="LAF157" s="191"/>
      <c r="LAG157" s="191"/>
      <c r="LAH157" s="191"/>
      <c r="LAI157" s="191"/>
      <c r="LAJ157" s="191"/>
      <c r="LAK157" s="191"/>
      <c r="LAL157" s="191"/>
      <c r="LAM157" s="191"/>
      <c r="LAN157" s="191"/>
      <c r="LAO157" s="191"/>
      <c r="LAP157" s="191"/>
      <c r="LAQ157" s="191"/>
      <c r="LAR157" s="191"/>
      <c r="LAS157" s="191"/>
      <c r="LAT157" s="191"/>
      <c r="LAU157" s="191"/>
      <c r="LAV157" s="191"/>
      <c r="LAW157" s="191"/>
      <c r="LAX157" s="191"/>
      <c r="LAY157" s="191"/>
      <c r="LAZ157" s="191"/>
      <c r="LBA157" s="191"/>
      <c r="LBB157" s="191"/>
      <c r="LBC157" s="191"/>
      <c r="LBD157" s="191"/>
      <c r="LBE157" s="191"/>
      <c r="LBF157" s="191"/>
      <c r="LBG157" s="191"/>
      <c r="LBH157" s="191"/>
      <c r="LBI157" s="191"/>
      <c r="LBJ157" s="191"/>
      <c r="LBK157" s="191"/>
      <c r="LBL157" s="191"/>
      <c r="LBM157" s="191"/>
      <c r="LBN157" s="191"/>
      <c r="LBO157" s="191"/>
      <c r="LBP157" s="191"/>
      <c r="LBQ157" s="191"/>
      <c r="LBR157" s="191"/>
      <c r="LBS157" s="191"/>
      <c r="LBT157" s="191"/>
      <c r="LBU157" s="191"/>
      <c r="LBV157" s="191"/>
      <c r="LBW157" s="191"/>
      <c r="LBX157" s="191"/>
      <c r="LBY157" s="191"/>
      <c r="LBZ157" s="191"/>
      <c r="LCA157" s="191"/>
      <c r="LCB157" s="191"/>
      <c r="LCC157" s="191"/>
      <c r="LCD157" s="191"/>
      <c r="LCE157" s="191"/>
      <c r="LCF157" s="191"/>
      <c r="LCG157" s="191"/>
      <c r="LCH157" s="191"/>
      <c r="LCI157" s="191"/>
      <c r="LCJ157" s="191"/>
      <c r="LCK157" s="191"/>
      <c r="LCL157" s="191"/>
      <c r="LCM157" s="191"/>
      <c r="LCN157" s="191"/>
      <c r="LCO157" s="191"/>
      <c r="LCP157" s="191"/>
      <c r="LCQ157" s="191"/>
      <c r="LCR157" s="191"/>
      <c r="LCS157" s="191"/>
      <c r="LCT157" s="191"/>
      <c r="LCU157" s="191"/>
      <c r="LCV157" s="191"/>
      <c r="LCW157" s="191"/>
      <c r="LCX157" s="191"/>
      <c r="LCY157" s="191"/>
      <c r="LCZ157" s="191"/>
      <c r="LDA157" s="191"/>
      <c r="LDB157" s="191"/>
      <c r="LDC157" s="191"/>
      <c r="LDD157" s="191"/>
      <c r="LDE157" s="191"/>
      <c r="LDF157" s="191"/>
      <c r="LDG157" s="191"/>
      <c r="LDH157" s="191"/>
      <c r="LDI157" s="191"/>
      <c r="LDJ157" s="191"/>
      <c r="LDK157" s="191"/>
      <c r="LDL157" s="191"/>
      <c r="LDM157" s="191"/>
      <c r="LDN157" s="191"/>
      <c r="LDO157" s="191"/>
      <c r="LDP157" s="191"/>
      <c r="LDQ157" s="191"/>
      <c r="LDR157" s="191"/>
      <c r="LDS157" s="191"/>
      <c r="LDT157" s="191"/>
      <c r="LDU157" s="191"/>
      <c r="LDV157" s="191"/>
      <c r="LDW157" s="191"/>
      <c r="LDX157" s="191"/>
      <c r="LDY157" s="191"/>
      <c r="LDZ157" s="191"/>
      <c r="LEA157" s="191"/>
      <c r="LEB157" s="191"/>
      <c r="LEC157" s="191"/>
      <c r="LED157" s="191"/>
      <c r="LEE157" s="191"/>
      <c r="LEF157" s="191"/>
      <c r="LEG157" s="191"/>
      <c r="LEH157" s="191"/>
      <c r="LEI157" s="191"/>
      <c r="LEJ157" s="191"/>
      <c r="LEK157" s="191"/>
      <c r="LEL157" s="191"/>
      <c r="LEM157" s="191"/>
      <c r="LEN157" s="191"/>
      <c r="LEO157" s="191"/>
      <c r="LEP157" s="191"/>
      <c r="LEQ157" s="191"/>
      <c r="LER157" s="191"/>
      <c r="LES157" s="191"/>
      <c r="LET157" s="191"/>
      <c r="LEU157" s="191"/>
      <c r="LEV157" s="191"/>
      <c r="LEW157" s="191"/>
      <c r="LEX157" s="191"/>
      <c r="LEY157" s="191"/>
      <c r="LEZ157" s="191"/>
      <c r="LFA157" s="191"/>
      <c r="LFB157" s="191"/>
      <c r="LFC157" s="191"/>
      <c r="LFD157" s="191"/>
      <c r="LFE157" s="191"/>
      <c r="LFF157" s="191"/>
      <c r="LFG157" s="191"/>
      <c r="LFH157" s="191"/>
      <c r="LFI157" s="191"/>
      <c r="LFJ157" s="191"/>
      <c r="LFK157" s="191"/>
      <c r="LFL157" s="191"/>
      <c r="LFM157" s="191"/>
      <c r="LFN157" s="191"/>
      <c r="LFO157" s="191"/>
      <c r="LFP157" s="191"/>
      <c r="LFQ157" s="191"/>
      <c r="LFR157" s="191"/>
      <c r="LFS157" s="191"/>
      <c r="LFT157" s="191"/>
      <c r="LFU157" s="191"/>
      <c r="LFV157" s="191"/>
      <c r="LFW157" s="191"/>
      <c r="LFX157" s="191"/>
      <c r="LFY157" s="191"/>
      <c r="LFZ157" s="191"/>
      <c r="LGA157" s="191"/>
      <c r="LGB157" s="191"/>
      <c r="LGC157" s="191"/>
      <c r="LGD157" s="191"/>
      <c r="LGE157" s="191"/>
      <c r="LGF157" s="191"/>
      <c r="LGG157" s="191"/>
      <c r="LGH157" s="191"/>
      <c r="LGI157" s="191"/>
      <c r="LGJ157" s="191"/>
      <c r="LGK157" s="191"/>
      <c r="LGL157" s="191"/>
      <c r="LGM157" s="191"/>
      <c r="LGN157" s="191"/>
      <c r="LGO157" s="191"/>
      <c r="LGP157" s="191"/>
      <c r="LGQ157" s="191"/>
      <c r="LGR157" s="191"/>
      <c r="LGS157" s="191"/>
      <c r="LGT157" s="191"/>
      <c r="LGU157" s="191"/>
      <c r="LGV157" s="191"/>
      <c r="LGW157" s="191"/>
      <c r="LGX157" s="191"/>
      <c r="LGY157" s="191"/>
      <c r="LGZ157" s="191"/>
      <c r="LHA157" s="191"/>
      <c r="LHB157" s="191"/>
      <c r="LHC157" s="191"/>
      <c r="LHD157" s="191"/>
      <c r="LHE157" s="191"/>
      <c r="LHF157" s="191"/>
      <c r="LHG157" s="191"/>
      <c r="LHH157" s="191"/>
      <c r="LHI157" s="191"/>
      <c r="LHJ157" s="191"/>
      <c r="LHK157" s="191"/>
      <c r="LHL157" s="191"/>
      <c r="LHM157" s="191"/>
      <c r="LHN157" s="191"/>
      <c r="LHO157" s="191"/>
      <c r="LHP157" s="191"/>
      <c r="LHQ157" s="191"/>
      <c r="LHR157" s="191"/>
      <c r="LHS157" s="191"/>
      <c r="LHT157" s="191"/>
      <c r="LHU157" s="191"/>
      <c r="LHV157" s="191"/>
      <c r="LHW157" s="191"/>
      <c r="LHX157" s="191"/>
      <c r="LHY157" s="191"/>
      <c r="LHZ157" s="191"/>
      <c r="LIA157" s="191"/>
      <c r="LIB157" s="191"/>
      <c r="LIC157" s="191"/>
      <c r="LID157" s="191"/>
      <c r="LIE157" s="191"/>
      <c r="LIF157" s="191"/>
      <c r="LIG157" s="191"/>
      <c r="LIH157" s="191"/>
      <c r="LII157" s="191"/>
      <c r="LIJ157" s="191"/>
      <c r="LIK157" s="191"/>
      <c r="LIL157" s="191"/>
      <c r="LIM157" s="191"/>
      <c r="LIN157" s="191"/>
      <c r="LIO157" s="191"/>
      <c r="LIP157" s="191"/>
      <c r="LIQ157" s="191"/>
      <c r="LIR157" s="191"/>
      <c r="LIS157" s="191"/>
      <c r="LIT157" s="191"/>
      <c r="LIU157" s="191"/>
      <c r="LIV157" s="191"/>
      <c r="LIW157" s="191"/>
      <c r="LIX157" s="191"/>
      <c r="LIY157" s="191"/>
      <c r="LIZ157" s="191"/>
      <c r="LJA157" s="191"/>
      <c r="LJB157" s="191"/>
      <c r="LJC157" s="191"/>
      <c r="LJD157" s="191"/>
      <c r="LJE157" s="191"/>
      <c r="LJF157" s="191"/>
      <c r="LJG157" s="191"/>
      <c r="LJH157" s="191"/>
      <c r="LJI157" s="191"/>
      <c r="LJJ157" s="191"/>
      <c r="LJK157" s="191"/>
      <c r="LJL157" s="191"/>
      <c r="LJM157" s="191"/>
      <c r="LJN157" s="191"/>
      <c r="LJO157" s="191"/>
      <c r="LJP157" s="191"/>
      <c r="LJQ157" s="191"/>
      <c r="LJR157" s="191"/>
      <c r="LJS157" s="191"/>
      <c r="LJT157" s="191"/>
      <c r="LJU157" s="191"/>
      <c r="LJV157" s="191"/>
      <c r="LJW157" s="191"/>
      <c r="LJX157" s="191"/>
      <c r="LJY157" s="191"/>
      <c r="LJZ157" s="191"/>
      <c r="LKA157" s="191"/>
      <c r="LKB157" s="191"/>
      <c r="LKC157" s="191"/>
      <c r="LKD157" s="191"/>
      <c r="LKE157" s="191"/>
      <c r="LKF157" s="191"/>
      <c r="LKG157" s="191"/>
      <c r="LKH157" s="191"/>
      <c r="LKI157" s="191"/>
      <c r="LKJ157" s="191"/>
      <c r="LKK157" s="191"/>
      <c r="LKL157" s="191"/>
      <c r="LKM157" s="191"/>
      <c r="LKN157" s="191"/>
      <c r="LKO157" s="191"/>
      <c r="LKP157" s="191"/>
      <c r="LKQ157" s="191"/>
      <c r="LKR157" s="191"/>
      <c r="LKS157" s="191"/>
      <c r="LKT157" s="191"/>
      <c r="LKU157" s="191"/>
      <c r="LKV157" s="191"/>
      <c r="LKW157" s="191"/>
      <c r="LKX157" s="191"/>
      <c r="LKY157" s="191"/>
      <c r="LKZ157" s="191"/>
      <c r="LLA157" s="191"/>
      <c r="LLB157" s="191"/>
      <c r="LLC157" s="191"/>
      <c r="LLD157" s="191"/>
      <c r="LLE157" s="191"/>
      <c r="LLF157" s="191"/>
      <c r="LLG157" s="191"/>
      <c r="LLH157" s="191"/>
      <c r="LLI157" s="191"/>
      <c r="LLJ157" s="191"/>
      <c r="LLK157" s="191"/>
      <c r="LLL157" s="191"/>
      <c r="LLM157" s="191"/>
      <c r="LLN157" s="191"/>
      <c r="LLO157" s="191"/>
      <c r="LLP157" s="191"/>
      <c r="LLQ157" s="191"/>
      <c r="LLR157" s="191"/>
      <c r="LLS157" s="191"/>
      <c r="LLT157" s="191"/>
      <c r="LLU157" s="191"/>
      <c r="LLV157" s="191"/>
      <c r="LLW157" s="191"/>
      <c r="LLX157" s="191"/>
      <c r="LLY157" s="191"/>
      <c r="LLZ157" s="191"/>
      <c r="LMA157" s="191"/>
      <c r="LMB157" s="191"/>
      <c r="LMC157" s="191"/>
      <c r="LMD157" s="191"/>
      <c r="LME157" s="191"/>
      <c r="LMF157" s="191"/>
      <c r="LMG157" s="191"/>
      <c r="LMH157" s="191"/>
      <c r="LMI157" s="191"/>
      <c r="LMJ157" s="191"/>
      <c r="LMK157" s="191"/>
      <c r="LML157" s="191"/>
      <c r="LMM157" s="191"/>
      <c r="LMN157" s="191"/>
      <c r="LMO157" s="191"/>
      <c r="LMP157" s="191"/>
      <c r="LMQ157" s="191"/>
      <c r="LMR157" s="191"/>
      <c r="LMS157" s="191"/>
      <c r="LMT157" s="191"/>
      <c r="LMU157" s="191"/>
      <c r="LMV157" s="191"/>
      <c r="LMW157" s="191"/>
      <c r="LMX157" s="191"/>
      <c r="LMY157" s="191"/>
      <c r="LMZ157" s="191"/>
      <c r="LNA157" s="191"/>
      <c r="LNB157" s="191"/>
      <c r="LNC157" s="191"/>
      <c r="LND157" s="191"/>
      <c r="LNE157" s="191"/>
      <c r="LNF157" s="191"/>
      <c r="LNG157" s="191"/>
      <c r="LNH157" s="191"/>
      <c r="LNI157" s="191"/>
      <c r="LNJ157" s="191"/>
      <c r="LNK157" s="191"/>
      <c r="LNL157" s="191"/>
      <c r="LNM157" s="191"/>
      <c r="LNN157" s="191"/>
      <c r="LNO157" s="191"/>
      <c r="LNP157" s="191"/>
      <c r="LNQ157" s="191"/>
      <c r="LNR157" s="191"/>
      <c r="LNS157" s="191"/>
      <c r="LNT157" s="191"/>
      <c r="LNU157" s="191"/>
      <c r="LNV157" s="191"/>
      <c r="LNW157" s="191"/>
      <c r="LNX157" s="191"/>
      <c r="LNY157" s="191"/>
      <c r="LNZ157" s="191"/>
      <c r="LOA157" s="191"/>
      <c r="LOB157" s="191"/>
      <c r="LOC157" s="191"/>
      <c r="LOD157" s="191"/>
      <c r="LOE157" s="191"/>
      <c r="LOF157" s="191"/>
      <c r="LOG157" s="191"/>
      <c r="LOH157" s="191"/>
      <c r="LOI157" s="191"/>
      <c r="LOJ157" s="191"/>
      <c r="LOK157" s="191"/>
      <c r="LOL157" s="191"/>
      <c r="LOM157" s="191"/>
      <c r="LON157" s="191"/>
      <c r="LOO157" s="191"/>
      <c r="LOP157" s="191"/>
      <c r="LOQ157" s="191"/>
      <c r="LOR157" s="191"/>
      <c r="LOS157" s="191"/>
      <c r="LOT157" s="191"/>
      <c r="LOU157" s="191"/>
      <c r="LOV157" s="191"/>
      <c r="LOW157" s="191"/>
      <c r="LOX157" s="191"/>
      <c r="LOY157" s="191"/>
      <c r="LOZ157" s="191"/>
      <c r="LPA157" s="191"/>
      <c r="LPB157" s="191"/>
      <c r="LPC157" s="191"/>
      <c r="LPD157" s="191"/>
      <c r="LPE157" s="191"/>
      <c r="LPF157" s="191"/>
      <c r="LPG157" s="191"/>
      <c r="LPH157" s="191"/>
      <c r="LPI157" s="191"/>
      <c r="LPJ157" s="191"/>
      <c r="LPK157" s="191"/>
      <c r="LPL157" s="191"/>
      <c r="LPM157" s="191"/>
      <c r="LPN157" s="191"/>
      <c r="LPO157" s="191"/>
      <c r="LPP157" s="191"/>
      <c r="LPQ157" s="191"/>
      <c r="LPR157" s="191"/>
      <c r="LPS157" s="191"/>
      <c r="LPT157" s="191"/>
      <c r="LPU157" s="191"/>
      <c r="LPV157" s="191"/>
      <c r="LPW157" s="191"/>
      <c r="LPX157" s="191"/>
      <c r="LPY157" s="191"/>
      <c r="LPZ157" s="191"/>
      <c r="LQA157" s="191"/>
      <c r="LQB157" s="191"/>
      <c r="LQC157" s="191"/>
      <c r="LQD157" s="191"/>
      <c r="LQE157" s="191"/>
      <c r="LQF157" s="191"/>
      <c r="LQG157" s="191"/>
      <c r="LQH157" s="191"/>
      <c r="LQI157" s="191"/>
      <c r="LQJ157" s="191"/>
      <c r="LQK157" s="191"/>
      <c r="LQL157" s="191"/>
      <c r="LQM157" s="191"/>
      <c r="LQN157" s="191"/>
      <c r="LQO157" s="191"/>
      <c r="LQP157" s="191"/>
      <c r="LQQ157" s="191"/>
      <c r="LQR157" s="191"/>
      <c r="LQS157" s="191"/>
      <c r="LQT157" s="191"/>
      <c r="LQU157" s="191"/>
      <c r="LQV157" s="191"/>
      <c r="LQW157" s="191"/>
      <c r="LQX157" s="191"/>
      <c r="LQY157" s="191"/>
      <c r="LQZ157" s="191"/>
      <c r="LRA157" s="191"/>
      <c r="LRB157" s="191"/>
      <c r="LRC157" s="191"/>
      <c r="LRD157" s="191"/>
      <c r="LRE157" s="191"/>
      <c r="LRF157" s="191"/>
      <c r="LRG157" s="191"/>
      <c r="LRH157" s="191"/>
      <c r="LRI157" s="191"/>
      <c r="LRJ157" s="191"/>
      <c r="LRK157" s="191"/>
      <c r="LRL157" s="191"/>
      <c r="LRM157" s="191"/>
      <c r="LRN157" s="191"/>
      <c r="LRO157" s="191"/>
      <c r="LRP157" s="191"/>
      <c r="LRQ157" s="191"/>
      <c r="LRR157" s="191"/>
      <c r="LRS157" s="191"/>
      <c r="LRT157" s="191"/>
      <c r="LRU157" s="191"/>
      <c r="LRV157" s="191"/>
      <c r="LRW157" s="191"/>
      <c r="LRX157" s="191"/>
      <c r="LRY157" s="191"/>
      <c r="LRZ157" s="191"/>
      <c r="LSA157" s="191"/>
      <c r="LSB157" s="191"/>
      <c r="LSC157" s="191"/>
      <c r="LSD157" s="191"/>
      <c r="LSE157" s="191"/>
      <c r="LSF157" s="191"/>
      <c r="LSG157" s="191"/>
      <c r="LSH157" s="191"/>
      <c r="LSI157" s="191"/>
      <c r="LSJ157" s="191"/>
      <c r="LSK157" s="191"/>
      <c r="LSL157" s="191"/>
      <c r="LSM157" s="191"/>
      <c r="LSN157" s="191"/>
      <c r="LSO157" s="191"/>
      <c r="LSP157" s="191"/>
      <c r="LSQ157" s="191"/>
      <c r="LSR157" s="191"/>
      <c r="LSS157" s="191"/>
      <c r="LST157" s="191"/>
      <c r="LSU157" s="191"/>
      <c r="LSV157" s="191"/>
      <c r="LSW157" s="191"/>
      <c r="LSX157" s="191"/>
      <c r="LSY157" s="191"/>
      <c r="LSZ157" s="191"/>
      <c r="LTA157" s="191"/>
      <c r="LTB157" s="191"/>
      <c r="LTC157" s="191"/>
      <c r="LTD157" s="191"/>
      <c r="LTE157" s="191"/>
      <c r="LTF157" s="191"/>
      <c r="LTG157" s="191"/>
      <c r="LTH157" s="191"/>
      <c r="LTI157" s="191"/>
      <c r="LTJ157" s="191"/>
      <c r="LTK157" s="191"/>
      <c r="LTL157" s="191"/>
      <c r="LTM157" s="191"/>
      <c r="LTN157" s="191"/>
      <c r="LTO157" s="191"/>
      <c r="LTP157" s="191"/>
      <c r="LTQ157" s="191"/>
      <c r="LTR157" s="191"/>
      <c r="LTS157" s="191"/>
      <c r="LTT157" s="191"/>
      <c r="LTU157" s="191"/>
      <c r="LTV157" s="191"/>
      <c r="LTW157" s="191"/>
      <c r="LTX157" s="191"/>
      <c r="LTY157" s="191"/>
      <c r="LTZ157" s="191"/>
      <c r="LUA157" s="191"/>
      <c r="LUB157" s="191"/>
      <c r="LUC157" s="191"/>
      <c r="LUD157" s="191"/>
      <c r="LUE157" s="191"/>
      <c r="LUF157" s="191"/>
      <c r="LUG157" s="191"/>
      <c r="LUH157" s="191"/>
      <c r="LUI157" s="191"/>
      <c r="LUJ157" s="191"/>
      <c r="LUK157" s="191"/>
      <c r="LUL157" s="191"/>
      <c r="LUM157" s="191"/>
      <c r="LUN157" s="191"/>
      <c r="LUO157" s="191"/>
      <c r="LUP157" s="191"/>
      <c r="LUQ157" s="191"/>
      <c r="LUR157" s="191"/>
      <c r="LUS157" s="191"/>
      <c r="LUT157" s="191"/>
      <c r="LUU157" s="191"/>
      <c r="LUV157" s="191"/>
      <c r="LUW157" s="191"/>
      <c r="LUX157" s="191"/>
      <c r="LUY157" s="191"/>
      <c r="LUZ157" s="191"/>
      <c r="LVA157" s="191"/>
      <c r="LVB157" s="191"/>
      <c r="LVC157" s="191"/>
      <c r="LVD157" s="191"/>
      <c r="LVE157" s="191"/>
      <c r="LVF157" s="191"/>
      <c r="LVG157" s="191"/>
      <c r="LVH157" s="191"/>
      <c r="LVI157" s="191"/>
      <c r="LVJ157" s="191"/>
      <c r="LVK157" s="191"/>
      <c r="LVL157" s="191"/>
      <c r="LVM157" s="191"/>
      <c r="LVN157" s="191"/>
      <c r="LVO157" s="191"/>
      <c r="LVP157" s="191"/>
      <c r="LVQ157" s="191"/>
      <c r="LVR157" s="191"/>
      <c r="LVS157" s="191"/>
      <c r="LVT157" s="191"/>
      <c r="LVU157" s="191"/>
      <c r="LVV157" s="191"/>
      <c r="LVW157" s="191"/>
      <c r="LVX157" s="191"/>
      <c r="LVY157" s="191"/>
      <c r="LVZ157" s="191"/>
      <c r="LWA157" s="191"/>
      <c r="LWB157" s="191"/>
      <c r="LWC157" s="191"/>
      <c r="LWD157" s="191"/>
      <c r="LWE157" s="191"/>
      <c r="LWF157" s="191"/>
      <c r="LWG157" s="191"/>
      <c r="LWH157" s="191"/>
      <c r="LWI157" s="191"/>
      <c r="LWJ157" s="191"/>
      <c r="LWK157" s="191"/>
      <c r="LWL157" s="191"/>
      <c r="LWM157" s="191"/>
      <c r="LWN157" s="191"/>
      <c r="LWO157" s="191"/>
      <c r="LWP157" s="191"/>
      <c r="LWQ157" s="191"/>
      <c r="LWR157" s="191"/>
      <c r="LWS157" s="191"/>
      <c r="LWT157" s="191"/>
      <c r="LWU157" s="191"/>
      <c r="LWV157" s="191"/>
      <c r="LWW157" s="191"/>
      <c r="LWX157" s="191"/>
      <c r="LWY157" s="191"/>
      <c r="LWZ157" s="191"/>
      <c r="LXA157" s="191"/>
      <c r="LXB157" s="191"/>
      <c r="LXC157" s="191"/>
      <c r="LXD157" s="191"/>
      <c r="LXE157" s="191"/>
      <c r="LXF157" s="191"/>
      <c r="LXG157" s="191"/>
      <c r="LXH157" s="191"/>
      <c r="LXI157" s="191"/>
      <c r="LXJ157" s="191"/>
      <c r="LXK157" s="191"/>
      <c r="LXL157" s="191"/>
      <c r="LXM157" s="191"/>
      <c r="LXN157" s="191"/>
      <c r="LXO157" s="191"/>
      <c r="LXP157" s="191"/>
      <c r="LXQ157" s="191"/>
      <c r="LXR157" s="191"/>
      <c r="LXS157" s="191"/>
      <c r="LXT157" s="191"/>
      <c r="LXU157" s="191"/>
      <c r="LXV157" s="191"/>
      <c r="LXW157" s="191"/>
      <c r="LXX157" s="191"/>
      <c r="LXY157" s="191"/>
      <c r="LXZ157" s="191"/>
      <c r="LYA157" s="191"/>
      <c r="LYB157" s="191"/>
      <c r="LYC157" s="191"/>
      <c r="LYD157" s="191"/>
      <c r="LYE157" s="191"/>
      <c r="LYF157" s="191"/>
      <c r="LYG157" s="191"/>
      <c r="LYH157" s="191"/>
      <c r="LYI157" s="191"/>
      <c r="LYJ157" s="191"/>
      <c r="LYK157" s="191"/>
      <c r="LYL157" s="191"/>
      <c r="LYM157" s="191"/>
      <c r="LYN157" s="191"/>
      <c r="LYO157" s="191"/>
      <c r="LYP157" s="191"/>
      <c r="LYQ157" s="191"/>
      <c r="LYR157" s="191"/>
      <c r="LYS157" s="191"/>
      <c r="LYT157" s="191"/>
      <c r="LYU157" s="191"/>
      <c r="LYV157" s="191"/>
      <c r="LYW157" s="191"/>
      <c r="LYX157" s="191"/>
      <c r="LYY157" s="191"/>
      <c r="LYZ157" s="191"/>
      <c r="LZA157" s="191"/>
      <c r="LZB157" s="191"/>
      <c r="LZC157" s="191"/>
      <c r="LZD157" s="191"/>
      <c r="LZE157" s="191"/>
      <c r="LZF157" s="191"/>
      <c r="LZG157" s="191"/>
      <c r="LZH157" s="191"/>
      <c r="LZI157" s="191"/>
      <c r="LZJ157" s="191"/>
      <c r="LZK157" s="191"/>
      <c r="LZL157" s="191"/>
      <c r="LZM157" s="191"/>
      <c r="LZN157" s="191"/>
      <c r="LZO157" s="191"/>
      <c r="LZP157" s="191"/>
      <c r="LZQ157" s="191"/>
      <c r="LZR157" s="191"/>
      <c r="LZS157" s="191"/>
      <c r="LZT157" s="191"/>
      <c r="LZU157" s="191"/>
      <c r="LZV157" s="191"/>
      <c r="LZW157" s="191"/>
      <c r="LZX157" s="191"/>
      <c r="LZY157" s="191"/>
      <c r="LZZ157" s="191"/>
      <c r="MAA157" s="191"/>
      <c r="MAB157" s="191"/>
      <c r="MAC157" s="191"/>
      <c r="MAD157" s="191"/>
      <c r="MAE157" s="191"/>
      <c r="MAF157" s="191"/>
      <c r="MAG157" s="191"/>
      <c r="MAH157" s="191"/>
      <c r="MAI157" s="191"/>
      <c r="MAJ157" s="191"/>
      <c r="MAK157" s="191"/>
      <c r="MAL157" s="191"/>
      <c r="MAM157" s="191"/>
      <c r="MAN157" s="191"/>
      <c r="MAO157" s="191"/>
      <c r="MAP157" s="191"/>
      <c r="MAQ157" s="191"/>
      <c r="MAR157" s="191"/>
      <c r="MAS157" s="191"/>
      <c r="MAT157" s="191"/>
      <c r="MAU157" s="191"/>
      <c r="MAV157" s="191"/>
      <c r="MAW157" s="191"/>
      <c r="MAX157" s="191"/>
      <c r="MAY157" s="191"/>
      <c r="MAZ157" s="191"/>
      <c r="MBA157" s="191"/>
      <c r="MBB157" s="191"/>
      <c r="MBC157" s="191"/>
      <c r="MBD157" s="191"/>
      <c r="MBE157" s="191"/>
      <c r="MBF157" s="191"/>
      <c r="MBG157" s="191"/>
      <c r="MBH157" s="191"/>
      <c r="MBI157" s="191"/>
      <c r="MBJ157" s="191"/>
      <c r="MBK157" s="191"/>
      <c r="MBL157" s="191"/>
      <c r="MBM157" s="191"/>
      <c r="MBN157" s="191"/>
      <c r="MBO157" s="191"/>
      <c r="MBP157" s="191"/>
      <c r="MBQ157" s="191"/>
      <c r="MBR157" s="191"/>
      <c r="MBS157" s="191"/>
      <c r="MBT157" s="191"/>
      <c r="MBU157" s="191"/>
      <c r="MBV157" s="191"/>
      <c r="MBW157" s="191"/>
      <c r="MBX157" s="191"/>
      <c r="MBY157" s="191"/>
      <c r="MBZ157" s="191"/>
      <c r="MCA157" s="191"/>
      <c r="MCB157" s="191"/>
      <c r="MCC157" s="191"/>
      <c r="MCD157" s="191"/>
      <c r="MCE157" s="191"/>
      <c r="MCF157" s="191"/>
      <c r="MCG157" s="191"/>
      <c r="MCH157" s="191"/>
      <c r="MCI157" s="191"/>
      <c r="MCJ157" s="191"/>
      <c r="MCK157" s="191"/>
      <c r="MCL157" s="191"/>
      <c r="MCM157" s="191"/>
      <c r="MCN157" s="191"/>
      <c r="MCO157" s="191"/>
      <c r="MCP157" s="191"/>
      <c r="MCQ157" s="191"/>
      <c r="MCR157" s="191"/>
      <c r="MCS157" s="191"/>
      <c r="MCT157" s="191"/>
      <c r="MCU157" s="191"/>
      <c r="MCV157" s="191"/>
      <c r="MCW157" s="191"/>
      <c r="MCX157" s="191"/>
      <c r="MCY157" s="191"/>
      <c r="MCZ157" s="191"/>
      <c r="MDA157" s="191"/>
      <c r="MDB157" s="191"/>
      <c r="MDC157" s="191"/>
      <c r="MDD157" s="191"/>
      <c r="MDE157" s="191"/>
      <c r="MDF157" s="191"/>
      <c r="MDG157" s="191"/>
      <c r="MDH157" s="191"/>
      <c r="MDI157" s="191"/>
      <c r="MDJ157" s="191"/>
      <c r="MDK157" s="191"/>
      <c r="MDL157" s="191"/>
      <c r="MDM157" s="191"/>
      <c r="MDN157" s="191"/>
      <c r="MDO157" s="191"/>
      <c r="MDP157" s="191"/>
      <c r="MDQ157" s="191"/>
      <c r="MDR157" s="191"/>
      <c r="MDS157" s="191"/>
      <c r="MDT157" s="191"/>
      <c r="MDU157" s="191"/>
      <c r="MDV157" s="191"/>
      <c r="MDW157" s="191"/>
      <c r="MDX157" s="191"/>
      <c r="MDY157" s="191"/>
      <c r="MDZ157" s="191"/>
      <c r="MEA157" s="191"/>
      <c r="MEB157" s="191"/>
      <c r="MEC157" s="191"/>
      <c r="MED157" s="191"/>
      <c r="MEE157" s="191"/>
      <c r="MEF157" s="191"/>
      <c r="MEG157" s="191"/>
      <c r="MEH157" s="191"/>
      <c r="MEI157" s="191"/>
      <c r="MEJ157" s="191"/>
      <c r="MEK157" s="191"/>
      <c r="MEL157" s="191"/>
      <c r="MEM157" s="191"/>
      <c r="MEN157" s="191"/>
      <c r="MEO157" s="191"/>
      <c r="MEP157" s="191"/>
      <c r="MEQ157" s="191"/>
      <c r="MER157" s="191"/>
      <c r="MES157" s="191"/>
      <c r="MET157" s="191"/>
      <c r="MEU157" s="191"/>
      <c r="MEV157" s="191"/>
      <c r="MEW157" s="191"/>
      <c r="MEX157" s="191"/>
      <c r="MEY157" s="191"/>
      <c r="MEZ157" s="191"/>
      <c r="MFA157" s="191"/>
      <c r="MFB157" s="191"/>
      <c r="MFC157" s="191"/>
      <c r="MFD157" s="191"/>
      <c r="MFE157" s="191"/>
      <c r="MFF157" s="191"/>
      <c r="MFG157" s="191"/>
      <c r="MFH157" s="191"/>
      <c r="MFI157" s="191"/>
      <c r="MFJ157" s="191"/>
      <c r="MFK157" s="191"/>
      <c r="MFL157" s="191"/>
      <c r="MFM157" s="191"/>
      <c r="MFN157" s="191"/>
      <c r="MFO157" s="191"/>
      <c r="MFP157" s="191"/>
      <c r="MFQ157" s="191"/>
      <c r="MFR157" s="191"/>
      <c r="MFS157" s="191"/>
      <c r="MFT157" s="191"/>
      <c r="MFU157" s="191"/>
      <c r="MFV157" s="191"/>
      <c r="MFW157" s="191"/>
      <c r="MFX157" s="191"/>
      <c r="MFY157" s="191"/>
      <c r="MFZ157" s="191"/>
      <c r="MGA157" s="191"/>
      <c r="MGB157" s="191"/>
      <c r="MGC157" s="191"/>
      <c r="MGD157" s="191"/>
      <c r="MGE157" s="191"/>
      <c r="MGF157" s="191"/>
      <c r="MGG157" s="191"/>
      <c r="MGH157" s="191"/>
      <c r="MGI157" s="191"/>
      <c r="MGJ157" s="191"/>
      <c r="MGK157" s="191"/>
      <c r="MGL157" s="191"/>
      <c r="MGM157" s="191"/>
      <c r="MGN157" s="191"/>
      <c r="MGO157" s="191"/>
      <c r="MGP157" s="191"/>
      <c r="MGQ157" s="191"/>
      <c r="MGR157" s="191"/>
      <c r="MGS157" s="191"/>
      <c r="MGT157" s="191"/>
      <c r="MGU157" s="191"/>
      <c r="MGV157" s="191"/>
      <c r="MGW157" s="191"/>
      <c r="MGX157" s="191"/>
      <c r="MGY157" s="191"/>
      <c r="MGZ157" s="191"/>
      <c r="MHA157" s="191"/>
      <c r="MHB157" s="191"/>
      <c r="MHC157" s="191"/>
      <c r="MHD157" s="191"/>
      <c r="MHE157" s="191"/>
      <c r="MHF157" s="191"/>
      <c r="MHG157" s="191"/>
      <c r="MHH157" s="191"/>
      <c r="MHI157" s="191"/>
      <c r="MHJ157" s="191"/>
      <c r="MHK157" s="191"/>
      <c r="MHL157" s="191"/>
      <c r="MHM157" s="191"/>
      <c r="MHN157" s="191"/>
      <c r="MHO157" s="191"/>
      <c r="MHP157" s="191"/>
      <c r="MHQ157" s="191"/>
      <c r="MHR157" s="191"/>
      <c r="MHS157" s="191"/>
      <c r="MHT157" s="191"/>
      <c r="MHU157" s="191"/>
      <c r="MHV157" s="191"/>
      <c r="MHW157" s="191"/>
      <c r="MHX157" s="191"/>
      <c r="MHY157" s="191"/>
      <c r="MHZ157" s="191"/>
      <c r="MIA157" s="191"/>
      <c r="MIB157" s="191"/>
      <c r="MIC157" s="191"/>
      <c r="MID157" s="191"/>
      <c r="MIE157" s="191"/>
      <c r="MIF157" s="191"/>
      <c r="MIG157" s="191"/>
      <c r="MIH157" s="191"/>
      <c r="MII157" s="191"/>
      <c r="MIJ157" s="191"/>
      <c r="MIK157" s="191"/>
      <c r="MIL157" s="191"/>
      <c r="MIM157" s="191"/>
      <c r="MIN157" s="191"/>
      <c r="MIO157" s="191"/>
      <c r="MIP157" s="191"/>
      <c r="MIQ157" s="191"/>
      <c r="MIR157" s="191"/>
      <c r="MIS157" s="191"/>
      <c r="MIT157" s="191"/>
      <c r="MIU157" s="191"/>
      <c r="MIV157" s="191"/>
      <c r="MIW157" s="191"/>
      <c r="MIX157" s="191"/>
      <c r="MIY157" s="191"/>
      <c r="MIZ157" s="191"/>
      <c r="MJA157" s="191"/>
      <c r="MJB157" s="191"/>
      <c r="MJC157" s="191"/>
      <c r="MJD157" s="191"/>
      <c r="MJE157" s="191"/>
      <c r="MJF157" s="191"/>
      <c r="MJG157" s="191"/>
      <c r="MJH157" s="191"/>
      <c r="MJI157" s="191"/>
      <c r="MJJ157" s="191"/>
      <c r="MJK157" s="191"/>
      <c r="MJL157" s="191"/>
      <c r="MJM157" s="191"/>
      <c r="MJN157" s="191"/>
      <c r="MJO157" s="191"/>
      <c r="MJP157" s="191"/>
      <c r="MJQ157" s="191"/>
      <c r="MJR157" s="191"/>
      <c r="MJS157" s="191"/>
      <c r="MJT157" s="191"/>
      <c r="MJU157" s="191"/>
      <c r="MJV157" s="191"/>
      <c r="MJW157" s="191"/>
      <c r="MJX157" s="191"/>
      <c r="MJY157" s="191"/>
      <c r="MJZ157" s="191"/>
      <c r="MKA157" s="191"/>
      <c r="MKB157" s="191"/>
      <c r="MKC157" s="191"/>
      <c r="MKD157" s="191"/>
      <c r="MKE157" s="191"/>
      <c r="MKF157" s="191"/>
      <c r="MKG157" s="191"/>
      <c r="MKH157" s="191"/>
      <c r="MKI157" s="191"/>
      <c r="MKJ157" s="191"/>
      <c r="MKK157" s="191"/>
      <c r="MKL157" s="191"/>
      <c r="MKM157" s="191"/>
      <c r="MKN157" s="191"/>
      <c r="MKO157" s="191"/>
      <c r="MKP157" s="191"/>
      <c r="MKQ157" s="191"/>
      <c r="MKR157" s="191"/>
      <c r="MKS157" s="191"/>
      <c r="MKT157" s="191"/>
      <c r="MKU157" s="191"/>
      <c r="MKV157" s="191"/>
      <c r="MKW157" s="191"/>
      <c r="MKX157" s="191"/>
      <c r="MKY157" s="191"/>
      <c r="MKZ157" s="191"/>
      <c r="MLA157" s="191"/>
      <c r="MLB157" s="191"/>
      <c r="MLC157" s="191"/>
      <c r="MLD157" s="191"/>
      <c r="MLE157" s="191"/>
      <c r="MLF157" s="191"/>
      <c r="MLG157" s="191"/>
      <c r="MLH157" s="191"/>
      <c r="MLI157" s="191"/>
      <c r="MLJ157" s="191"/>
      <c r="MLK157" s="191"/>
      <c r="MLL157" s="191"/>
      <c r="MLM157" s="191"/>
      <c r="MLN157" s="191"/>
      <c r="MLO157" s="191"/>
      <c r="MLP157" s="191"/>
      <c r="MLQ157" s="191"/>
      <c r="MLR157" s="191"/>
      <c r="MLS157" s="191"/>
      <c r="MLT157" s="191"/>
      <c r="MLU157" s="191"/>
      <c r="MLV157" s="191"/>
      <c r="MLW157" s="191"/>
      <c r="MLX157" s="191"/>
      <c r="MLY157" s="191"/>
      <c r="MLZ157" s="191"/>
      <c r="MMA157" s="191"/>
      <c r="MMB157" s="191"/>
      <c r="MMC157" s="191"/>
      <c r="MMD157" s="191"/>
      <c r="MME157" s="191"/>
      <c r="MMF157" s="191"/>
      <c r="MMG157" s="191"/>
      <c r="MMH157" s="191"/>
      <c r="MMI157" s="191"/>
      <c r="MMJ157" s="191"/>
      <c r="MMK157" s="191"/>
      <c r="MML157" s="191"/>
      <c r="MMM157" s="191"/>
      <c r="MMN157" s="191"/>
      <c r="MMO157" s="191"/>
      <c r="MMP157" s="191"/>
      <c r="MMQ157" s="191"/>
      <c r="MMR157" s="191"/>
      <c r="MMS157" s="191"/>
      <c r="MMT157" s="191"/>
      <c r="MMU157" s="191"/>
      <c r="MMV157" s="191"/>
      <c r="MMW157" s="191"/>
      <c r="MMX157" s="191"/>
      <c r="MMY157" s="191"/>
      <c r="MMZ157" s="191"/>
      <c r="MNA157" s="191"/>
      <c r="MNB157" s="191"/>
      <c r="MNC157" s="191"/>
      <c r="MND157" s="191"/>
      <c r="MNE157" s="191"/>
      <c r="MNF157" s="191"/>
      <c r="MNG157" s="191"/>
      <c r="MNH157" s="191"/>
      <c r="MNI157" s="191"/>
      <c r="MNJ157" s="191"/>
      <c r="MNK157" s="191"/>
      <c r="MNL157" s="191"/>
      <c r="MNM157" s="191"/>
      <c r="MNN157" s="191"/>
      <c r="MNO157" s="191"/>
      <c r="MNP157" s="191"/>
      <c r="MNQ157" s="191"/>
      <c r="MNR157" s="191"/>
      <c r="MNS157" s="191"/>
      <c r="MNT157" s="191"/>
      <c r="MNU157" s="191"/>
      <c r="MNV157" s="191"/>
      <c r="MNW157" s="191"/>
      <c r="MNX157" s="191"/>
      <c r="MNY157" s="191"/>
      <c r="MNZ157" s="191"/>
      <c r="MOA157" s="191"/>
      <c r="MOB157" s="191"/>
      <c r="MOC157" s="191"/>
      <c r="MOD157" s="191"/>
      <c r="MOE157" s="191"/>
      <c r="MOF157" s="191"/>
      <c r="MOG157" s="191"/>
      <c r="MOH157" s="191"/>
      <c r="MOI157" s="191"/>
      <c r="MOJ157" s="191"/>
      <c r="MOK157" s="191"/>
      <c r="MOL157" s="191"/>
      <c r="MOM157" s="191"/>
      <c r="MON157" s="191"/>
      <c r="MOO157" s="191"/>
      <c r="MOP157" s="191"/>
      <c r="MOQ157" s="191"/>
      <c r="MOR157" s="191"/>
      <c r="MOS157" s="191"/>
      <c r="MOT157" s="191"/>
      <c r="MOU157" s="191"/>
      <c r="MOV157" s="191"/>
      <c r="MOW157" s="191"/>
      <c r="MOX157" s="191"/>
      <c r="MOY157" s="191"/>
      <c r="MOZ157" s="191"/>
      <c r="MPA157" s="191"/>
      <c r="MPB157" s="191"/>
      <c r="MPC157" s="191"/>
      <c r="MPD157" s="191"/>
      <c r="MPE157" s="191"/>
      <c r="MPF157" s="191"/>
      <c r="MPG157" s="191"/>
      <c r="MPH157" s="191"/>
      <c r="MPI157" s="191"/>
      <c r="MPJ157" s="191"/>
      <c r="MPK157" s="191"/>
      <c r="MPL157" s="191"/>
      <c r="MPM157" s="191"/>
      <c r="MPN157" s="191"/>
      <c r="MPO157" s="191"/>
      <c r="MPP157" s="191"/>
      <c r="MPQ157" s="191"/>
      <c r="MPR157" s="191"/>
      <c r="MPS157" s="191"/>
      <c r="MPT157" s="191"/>
      <c r="MPU157" s="191"/>
      <c r="MPV157" s="191"/>
      <c r="MPW157" s="191"/>
      <c r="MPX157" s="191"/>
      <c r="MPY157" s="191"/>
      <c r="MPZ157" s="191"/>
      <c r="MQA157" s="191"/>
      <c r="MQB157" s="191"/>
      <c r="MQC157" s="191"/>
      <c r="MQD157" s="191"/>
      <c r="MQE157" s="191"/>
      <c r="MQF157" s="191"/>
      <c r="MQG157" s="191"/>
      <c r="MQH157" s="191"/>
      <c r="MQI157" s="191"/>
      <c r="MQJ157" s="191"/>
      <c r="MQK157" s="191"/>
      <c r="MQL157" s="191"/>
      <c r="MQM157" s="191"/>
      <c r="MQN157" s="191"/>
      <c r="MQO157" s="191"/>
      <c r="MQP157" s="191"/>
      <c r="MQQ157" s="191"/>
      <c r="MQR157" s="191"/>
      <c r="MQS157" s="191"/>
      <c r="MQT157" s="191"/>
      <c r="MQU157" s="191"/>
      <c r="MQV157" s="191"/>
      <c r="MQW157" s="191"/>
      <c r="MQX157" s="191"/>
      <c r="MQY157" s="191"/>
      <c r="MQZ157" s="191"/>
      <c r="MRA157" s="191"/>
      <c r="MRB157" s="191"/>
      <c r="MRC157" s="191"/>
      <c r="MRD157" s="191"/>
      <c r="MRE157" s="191"/>
      <c r="MRF157" s="191"/>
      <c r="MRG157" s="191"/>
      <c r="MRH157" s="191"/>
      <c r="MRI157" s="191"/>
      <c r="MRJ157" s="191"/>
      <c r="MRK157" s="191"/>
      <c r="MRL157" s="191"/>
      <c r="MRM157" s="191"/>
      <c r="MRN157" s="191"/>
      <c r="MRO157" s="191"/>
      <c r="MRP157" s="191"/>
      <c r="MRQ157" s="191"/>
      <c r="MRR157" s="191"/>
      <c r="MRS157" s="191"/>
      <c r="MRT157" s="191"/>
      <c r="MRU157" s="191"/>
      <c r="MRV157" s="191"/>
      <c r="MRW157" s="191"/>
      <c r="MRX157" s="191"/>
      <c r="MRY157" s="191"/>
      <c r="MRZ157" s="191"/>
      <c r="MSA157" s="191"/>
      <c r="MSB157" s="191"/>
      <c r="MSC157" s="191"/>
      <c r="MSD157" s="191"/>
      <c r="MSE157" s="191"/>
      <c r="MSF157" s="191"/>
      <c r="MSG157" s="191"/>
      <c r="MSH157" s="191"/>
      <c r="MSI157" s="191"/>
      <c r="MSJ157" s="191"/>
      <c r="MSK157" s="191"/>
      <c r="MSL157" s="191"/>
      <c r="MSM157" s="191"/>
      <c r="MSN157" s="191"/>
      <c r="MSO157" s="191"/>
      <c r="MSP157" s="191"/>
      <c r="MSQ157" s="191"/>
      <c r="MSR157" s="191"/>
      <c r="MSS157" s="191"/>
      <c r="MST157" s="191"/>
      <c r="MSU157" s="191"/>
      <c r="MSV157" s="191"/>
      <c r="MSW157" s="191"/>
      <c r="MSX157" s="191"/>
      <c r="MSY157" s="191"/>
      <c r="MSZ157" s="191"/>
      <c r="MTA157" s="191"/>
      <c r="MTB157" s="191"/>
      <c r="MTC157" s="191"/>
      <c r="MTD157" s="191"/>
      <c r="MTE157" s="191"/>
      <c r="MTF157" s="191"/>
      <c r="MTG157" s="191"/>
      <c r="MTH157" s="191"/>
      <c r="MTI157" s="191"/>
      <c r="MTJ157" s="191"/>
      <c r="MTK157" s="191"/>
      <c r="MTL157" s="191"/>
      <c r="MTM157" s="191"/>
      <c r="MTN157" s="191"/>
      <c r="MTO157" s="191"/>
      <c r="MTP157" s="191"/>
      <c r="MTQ157" s="191"/>
      <c r="MTR157" s="191"/>
      <c r="MTS157" s="191"/>
      <c r="MTT157" s="191"/>
      <c r="MTU157" s="191"/>
      <c r="MTV157" s="191"/>
      <c r="MTW157" s="191"/>
      <c r="MTX157" s="191"/>
      <c r="MTY157" s="191"/>
      <c r="MTZ157" s="191"/>
      <c r="MUA157" s="191"/>
      <c r="MUB157" s="191"/>
      <c r="MUC157" s="191"/>
      <c r="MUD157" s="191"/>
      <c r="MUE157" s="191"/>
      <c r="MUF157" s="191"/>
      <c r="MUG157" s="191"/>
      <c r="MUH157" s="191"/>
      <c r="MUI157" s="191"/>
      <c r="MUJ157" s="191"/>
      <c r="MUK157" s="191"/>
      <c r="MUL157" s="191"/>
      <c r="MUM157" s="191"/>
      <c r="MUN157" s="191"/>
      <c r="MUO157" s="191"/>
      <c r="MUP157" s="191"/>
      <c r="MUQ157" s="191"/>
      <c r="MUR157" s="191"/>
      <c r="MUS157" s="191"/>
      <c r="MUT157" s="191"/>
      <c r="MUU157" s="191"/>
      <c r="MUV157" s="191"/>
      <c r="MUW157" s="191"/>
      <c r="MUX157" s="191"/>
      <c r="MUY157" s="191"/>
      <c r="MUZ157" s="191"/>
      <c r="MVA157" s="191"/>
      <c r="MVB157" s="191"/>
      <c r="MVC157" s="191"/>
      <c r="MVD157" s="191"/>
      <c r="MVE157" s="191"/>
      <c r="MVF157" s="191"/>
      <c r="MVG157" s="191"/>
      <c r="MVH157" s="191"/>
      <c r="MVI157" s="191"/>
      <c r="MVJ157" s="191"/>
      <c r="MVK157" s="191"/>
      <c r="MVL157" s="191"/>
      <c r="MVM157" s="191"/>
      <c r="MVN157" s="191"/>
      <c r="MVO157" s="191"/>
      <c r="MVP157" s="191"/>
      <c r="MVQ157" s="191"/>
      <c r="MVR157" s="191"/>
      <c r="MVS157" s="191"/>
      <c r="MVT157" s="191"/>
      <c r="MVU157" s="191"/>
      <c r="MVV157" s="191"/>
      <c r="MVW157" s="191"/>
      <c r="MVX157" s="191"/>
      <c r="MVY157" s="191"/>
      <c r="MVZ157" s="191"/>
      <c r="MWA157" s="191"/>
      <c r="MWB157" s="191"/>
      <c r="MWC157" s="191"/>
      <c r="MWD157" s="191"/>
      <c r="MWE157" s="191"/>
      <c r="MWF157" s="191"/>
      <c r="MWG157" s="191"/>
      <c r="MWH157" s="191"/>
      <c r="MWI157" s="191"/>
      <c r="MWJ157" s="191"/>
      <c r="MWK157" s="191"/>
      <c r="MWL157" s="191"/>
      <c r="MWM157" s="191"/>
      <c r="MWN157" s="191"/>
      <c r="MWO157" s="191"/>
      <c r="MWP157" s="191"/>
      <c r="MWQ157" s="191"/>
      <c r="MWR157" s="191"/>
      <c r="MWS157" s="191"/>
      <c r="MWT157" s="191"/>
      <c r="MWU157" s="191"/>
      <c r="MWV157" s="191"/>
      <c r="MWW157" s="191"/>
      <c r="MWX157" s="191"/>
      <c r="MWY157" s="191"/>
      <c r="MWZ157" s="191"/>
      <c r="MXA157" s="191"/>
      <c r="MXB157" s="191"/>
      <c r="MXC157" s="191"/>
      <c r="MXD157" s="191"/>
      <c r="MXE157" s="191"/>
      <c r="MXF157" s="191"/>
      <c r="MXG157" s="191"/>
      <c r="MXH157" s="191"/>
      <c r="MXI157" s="191"/>
      <c r="MXJ157" s="191"/>
      <c r="MXK157" s="191"/>
      <c r="MXL157" s="191"/>
      <c r="MXM157" s="191"/>
      <c r="MXN157" s="191"/>
      <c r="MXO157" s="191"/>
      <c r="MXP157" s="191"/>
      <c r="MXQ157" s="191"/>
      <c r="MXR157" s="191"/>
      <c r="MXS157" s="191"/>
      <c r="MXT157" s="191"/>
      <c r="MXU157" s="191"/>
      <c r="MXV157" s="191"/>
      <c r="MXW157" s="191"/>
      <c r="MXX157" s="191"/>
      <c r="MXY157" s="191"/>
      <c r="MXZ157" s="191"/>
      <c r="MYA157" s="191"/>
      <c r="MYB157" s="191"/>
      <c r="MYC157" s="191"/>
      <c r="MYD157" s="191"/>
      <c r="MYE157" s="191"/>
      <c r="MYF157" s="191"/>
      <c r="MYG157" s="191"/>
      <c r="MYH157" s="191"/>
      <c r="MYI157" s="191"/>
      <c r="MYJ157" s="191"/>
      <c r="MYK157" s="191"/>
      <c r="MYL157" s="191"/>
      <c r="MYM157" s="191"/>
      <c r="MYN157" s="191"/>
      <c r="MYO157" s="191"/>
      <c r="MYP157" s="191"/>
      <c r="MYQ157" s="191"/>
      <c r="MYR157" s="191"/>
      <c r="MYS157" s="191"/>
      <c r="MYT157" s="191"/>
      <c r="MYU157" s="191"/>
      <c r="MYV157" s="191"/>
      <c r="MYW157" s="191"/>
      <c r="MYX157" s="191"/>
      <c r="MYY157" s="191"/>
      <c r="MYZ157" s="191"/>
      <c r="MZA157" s="191"/>
      <c r="MZB157" s="191"/>
      <c r="MZC157" s="191"/>
      <c r="MZD157" s="191"/>
      <c r="MZE157" s="191"/>
      <c r="MZF157" s="191"/>
      <c r="MZG157" s="191"/>
      <c r="MZH157" s="191"/>
      <c r="MZI157" s="191"/>
      <c r="MZJ157" s="191"/>
      <c r="MZK157" s="191"/>
      <c r="MZL157" s="191"/>
      <c r="MZM157" s="191"/>
      <c r="MZN157" s="191"/>
      <c r="MZO157" s="191"/>
      <c r="MZP157" s="191"/>
      <c r="MZQ157" s="191"/>
      <c r="MZR157" s="191"/>
      <c r="MZS157" s="191"/>
      <c r="MZT157" s="191"/>
      <c r="MZU157" s="191"/>
      <c r="MZV157" s="191"/>
      <c r="MZW157" s="191"/>
      <c r="MZX157" s="191"/>
      <c r="MZY157" s="191"/>
      <c r="MZZ157" s="191"/>
      <c r="NAA157" s="191"/>
      <c r="NAB157" s="191"/>
      <c r="NAC157" s="191"/>
      <c r="NAD157" s="191"/>
      <c r="NAE157" s="191"/>
      <c r="NAF157" s="191"/>
      <c r="NAG157" s="191"/>
      <c r="NAH157" s="191"/>
      <c r="NAI157" s="191"/>
      <c r="NAJ157" s="191"/>
      <c r="NAK157" s="191"/>
      <c r="NAL157" s="191"/>
      <c r="NAM157" s="191"/>
      <c r="NAN157" s="191"/>
      <c r="NAO157" s="191"/>
      <c r="NAP157" s="191"/>
      <c r="NAQ157" s="191"/>
      <c r="NAR157" s="191"/>
      <c r="NAS157" s="191"/>
      <c r="NAT157" s="191"/>
      <c r="NAU157" s="191"/>
      <c r="NAV157" s="191"/>
      <c r="NAW157" s="191"/>
      <c r="NAX157" s="191"/>
      <c r="NAY157" s="191"/>
      <c r="NAZ157" s="191"/>
      <c r="NBA157" s="191"/>
      <c r="NBB157" s="191"/>
      <c r="NBC157" s="191"/>
      <c r="NBD157" s="191"/>
      <c r="NBE157" s="191"/>
      <c r="NBF157" s="191"/>
      <c r="NBG157" s="191"/>
      <c r="NBH157" s="191"/>
      <c r="NBI157" s="191"/>
      <c r="NBJ157" s="191"/>
      <c r="NBK157" s="191"/>
      <c r="NBL157" s="191"/>
      <c r="NBM157" s="191"/>
      <c r="NBN157" s="191"/>
      <c r="NBO157" s="191"/>
      <c r="NBP157" s="191"/>
      <c r="NBQ157" s="191"/>
      <c r="NBR157" s="191"/>
      <c r="NBS157" s="191"/>
      <c r="NBT157" s="191"/>
      <c r="NBU157" s="191"/>
      <c r="NBV157" s="191"/>
      <c r="NBW157" s="191"/>
      <c r="NBX157" s="191"/>
      <c r="NBY157" s="191"/>
      <c r="NBZ157" s="191"/>
      <c r="NCA157" s="191"/>
      <c r="NCB157" s="191"/>
      <c r="NCC157" s="191"/>
      <c r="NCD157" s="191"/>
      <c r="NCE157" s="191"/>
      <c r="NCF157" s="191"/>
      <c r="NCG157" s="191"/>
      <c r="NCH157" s="191"/>
      <c r="NCI157" s="191"/>
      <c r="NCJ157" s="191"/>
      <c r="NCK157" s="191"/>
      <c r="NCL157" s="191"/>
      <c r="NCM157" s="191"/>
      <c r="NCN157" s="191"/>
      <c r="NCO157" s="191"/>
      <c r="NCP157" s="191"/>
      <c r="NCQ157" s="191"/>
      <c r="NCR157" s="191"/>
      <c r="NCS157" s="191"/>
      <c r="NCT157" s="191"/>
      <c r="NCU157" s="191"/>
      <c r="NCV157" s="191"/>
      <c r="NCW157" s="191"/>
      <c r="NCX157" s="191"/>
      <c r="NCY157" s="191"/>
      <c r="NCZ157" s="191"/>
      <c r="NDA157" s="191"/>
      <c r="NDB157" s="191"/>
      <c r="NDC157" s="191"/>
      <c r="NDD157" s="191"/>
      <c r="NDE157" s="191"/>
      <c r="NDF157" s="191"/>
      <c r="NDG157" s="191"/>
      <c r="NDH157" s="191"/>
      <c r="NDI157" s="191"/>
      <c r="NDJ157" s="191"/>
      <c r="NDK157" s="191"/>
      <c r="NDL157" s="191"/>
      <c r="NDM157" s="191"/>
      <c r="NDN157" s="191"/>
      <c r="NDO157" s="191"/>
      <c r="NDP157" s="191"/>
      <c r="NDQ157" s="191"/>
      <c r="NDR157" s="191"/>
      <c r="NDS157" s="191"/>
      <c r="NDT157" s="191"/>
      <c r="NDU157" s="191"/>
      <c r="NDV157" s="191"/>
      <c r="NDW157" s="191"/>
      <c r="NDX157" s="191"/>
      <c r="NDY157" s="191"/>
      <c r="NDZ157" s="191"/>
      <c r="NEA157" s="191"/>
      <c r="NEB157" s="191"/>
      <c r="NEC157" s="191"/>
      <c r="NED157" s="191"/>
      <c r="NEE157" s="191"/>
      <c r="NEF157" s="191"/>
      <c r="NEG157" s="191"/>
      <c r="NEH157" s="191"/>
      <c r="NEI157" s="191"/>
      <c r="NEJ157" s="191"/>
      <c r="NEK157" s="191"/>
      <c r="NEL157" s="191"/>
      <c r="NEM157" s="191"/>
      <c r="NEN157" s="191"/>
      <c r="NEO157" s="191"/>
      <c r="NEP157" s="191"/>
      <c r="NEQ157" s="191"/>
      <c r="NER157" s="191"/>
      <c r="NES157" s="191"/>
      <c r="NET157" s="191"/>
      <c r="NEU157" s="191"/>
      <c r="NEV157" s="191"/>
      <c r="NEW157" s="191"/>
      <c r="NEX157" s="191"/>
      <c r="NEY157" s="191"/>
      <c r="NEZ157" s="191"/>
      <c r="NFA157" s="191"/>
      <c r="NFB157" s="191"/>
      <c r="NFC157" s="191"/>
      <c r="NFD157" s="191"/>
      <c r="NFE157" s="191"/>
      <c r="NFF157" s="191"/>
      <c r="NFG157" s="191"/>
      <c r="NFH157" s="191"/>
      <c r="NFI157" s="191"/>
      <c r="NFJ157" s="191"/>
      <c r="NFK157" s="191"/>
      <c r="NFL157" s="191"/>
      <c r="NFM157" s="191"/>
      <c r="NFN157" s="191"/>
      <c r="NFO157" s="191"/>
      <c r="NFP157" s="191"/>
      <c r="NFQ157" s="191"/>
      <c r="NFR157" s="191"/>
      <c r="NFS157" s="191"/>
      <c r="NFT157" s="191"/>
      <c r="NFU157" s="191"/>
      <c r="NFV157" s="191"/>
      <c r="NFW157" s="191"/>
      <c r="NFX157" s="191"/>
      <c r="NFY157" s="191"/>
      <c r="NFZ157" s="191"/>
      <c r="NGA157" s="191"/>
      <c r="NGB157" s="191"/>
      <c r="NGC157" s="191"/>
      <c r="NGD157" s="191"/>
      <c r="NGE157" s="191"/>
      <c r="NGF157" s="191"/>
      <c r="NGG157" s="191"/>
      <c r="NGH157" s="191"/>
      <c r="NGI157" s="191"/>
      <c r="NGJ157" s="191"/>
      <c r="NGK157" s="191"/>
      <c r="NGL157" s="191"/>
      <c r="NGM157" s="191"/>
      <c r="NGN157" s="191"/>
      <c r="NGO157" s="191"/>
      <c r="NGP157" s="191"/>
      <c r="NGQ157" s="191"/>
      <c r="NGR157" s="191"/>
      <c r="NGS157" s="191"/>
      <c r="NGT157" s="191"/>
      <c r="NGU157" s="191"/>
      <c r="NGV157" s="191"/>
      <c r="NGW157" s="191"/>
      <c r="NGX157" s="191"/>
      <c r="NGY157" s="191"/>
      <c r="NGZ157" s="191"/>
      <c r="NHA157" s="191"/>
      <c r="NHB157" s="191"/>
      <c r="NHC157" s="191"/>
      <c r="NHD157" s="191"/>
      <c r="NHE157" s="191"/>
      <c r="NHF157" s="191"/>
      <c r="NHG157" s="191"/>
      <c r="NHH157" s="191"/>
      <c r="NHI157" s="191"/>
      <c r="NHJ157" s="191"/>
      <c r="NHK157" s="191"/>
      <c r="NHL157" s="191"/>
      <c r="NHM157" s="191"/>
      <c r="NHN157" s="191"/>
      <c r="NHO157" s="191"/>
      <c r="NHP157" s="191"/>
      <c r="NHQ157" s="191"/>
      <c r="NHR157" s="191"/>
      <c r="NHS157" s="191"/>
      <c r="NHT157" s="191"/>
      <c r="NHU157" s="191"/>
      <c r="NHV157" s="191"/>
      <c r="NHW157" s="191"/>
      <c r="NHX157" s="191"/>
      <c r="NHY157" s="191"/>
      <c r="NHZ157" s="191"/>
      <c r="NIA157" s="191"/>
      <c r="NIB157" s="191"/>
      <c r="NIC157" s="191"/>
      <c r="NID157" s="191"/>
      <c r="NIE157" s="191"/>
      <c r="NIF157" s="191"/>
      <c r="NIG157" s="191"/>
      <c r="NIH157" s="191"/>
      <c r="NII157" s="191"/>
      <c r="NIJ157" s="191"/>
      <c r="NIK157" s="191"/>
      <c r="NIL157" s="191"/>
      <c r="NIM157" s="191"/>
      <c r="NIN157" s="191"/>
      <c r="NIO157" s="191"/>
      <c r="NIP157" s="191"/>
      <c r="NIQ157" s="191"/>
      <c r="NIR157" s="191"/>
      <c r="NIS157" s="191"/>
      <c r="NIT157" s="191"/>
      <c r="NIU157" s="191"/>
      <c r="NIV157" s="191"/>
      <c r="NIW157" s="191"/>
      <c r="NIX157" s="191"/>
      <c r="NIY157" s="191"/>
      <c r="NIZ157" s="191"/>
      <c r="NJA157" s="191"/>
      <c r="NJB157" s="191"/>
      <c r="NJC157" s="191"/>
      <c r="NJD157" s="191"/>
      <c r="NJE157" s="191"/>
      <c r="NJF157" s="191"/>
      <c r="NJG157" s="191"/>
      <c r="NJH157" s="191"/>
      <c r="NJI157" s="191"/>
      <c r="NJJ157" s="191"/>
      <c r="NJK157" s="191"/>
      <c r="NJL157" s="191"/>
      <c r="NJM157" s="191"/>
      <c r="NJN157" s="191"/>
      <c r="NJO157" s="191"/>
      <c r="NJP157" s="191"/>
      <c r="NJQ157" s="191"/>
      <c r="NJR157" s="191"/>
      <c r="NJS157" s="191"/>
      <c r="NJT157" s="191"/>
      <c r="NJU157" s="191"/>
      <c r="NJV157" s="191"/>
      <c r="NJW157" s="191"/>
      <c r="NJX157" s="191"/>
      <c r="NJY157" s="191"/>
      <c r="NJZ157" s="191"/>
      <c r="NKA157" s="191"/>
      <c r="NKB157" s="191"/>
      <c r="NKC157" s="191"/>
      <c r="NKD157" s="191"/>
      <c r="NKE157" s="191"/>
      <c r="NKF157" s="191"/>
      <c r="NKG157" s="191"/>
      <c r="NKH157" s="191"/>
      <c r="NKI157" s="191"/>
      <c r="NKJ157" s="191"/>
      <c r="NKK157" s="191"/>
      <c r="NKL157" s="191"/>
      <c r="NKM157" s="191"/>
      <c r="NKN157" s="191"/>
      <c r="NKO157" s="191"/>
      <c r="NKP157" s="191"/>
      <c r="NKQ157" s="191"/>
      <c r="NKR157" s="191"/>
      <c r="NKS157" s="191"/>
      <c r="NKT157" s="191"/>
      <c r="NKU157" s="191"/>
      <c r="NKV157" s="191"/>
      <c r="NKW157" s="191"/>
      <c r="NKX157" s="191"/>
      <c r="NKY157" s="191"/>
      <c r="NKZ157" s="191"/>
      <c r="NLA157" s="191"/>
      <c r="NLB157" s="191"/>
      <c r="NLC157" s="191"/>
      <c r="NLD157" s="191"/>
      <c r="NLE157" s="191"/>
      <c r="NLF157" s="191"/>
      <c r="NLG157" s="191"/>
      <c r="NLH157" s="191"/>
      <c r="NLI157" s="191"/>
      <c r="NLJ157" s="191"/>
      <c r="NLK157" s="191"/>
      <c r="NLL157" s="191"/>
      <c r="NLM157" s="191"/>
      <c r="NLN157" s="191"/>
      <c r="NLO157" s="191"/>
      <c r="NLP157" s="191"/>
      <c r="NLQ157" s="191"/>
      <c r="NLR157" s="191"/>
      <c r="NLS157" s="191"/>
      <c r="NLT157" s="191"/>
      <c r="NLU157" s="191"/>
      <c r="NLV157" s="191"/>
      <c r="NLW157" s="191"/>
      <c r="NLX157" s="191"/>
      <c r="NLY157" s="191"/>
      <c r="NLZ157" s="191"/>
      <c r="NMA157" s="191"/>
      <c r="NMB157" s="191"/>
      <c r="NMC157" s="191"/>
      <c r="NMD157" s="191"/>
      <c r="NME157" s="191"/>
      <c r="NMF157" s="191"/>
      <c r="NMG157" s="191"/>
      <c r="NMH157" s="191"/>
      <c r="NMI157" s="191"/>
      <c r="NMJ157" s="191"/>
      <c r="NMK157" s="191"/>
      <c r="NML157" s="191"/>
      <c r="NMM157" s="191"/>
      <c r="NMN157" s="191"/>
      <c r="NMO157" s="191"/>
      <c r="NMP157" s="191"/>
      <c r="NMQ157" s="191"/>
      <c r="NMR157" s="191"/>
      <c r="NMS157" s="191"/>
      <c r="NMT157" s="191"/>
      <c r="NMU157" s="191"/>
      <c r="NMV157" s="191"/>
      <c r="NMW157" s="191"/>
      <c r="NMX157" s="191"/>
      <c r="NMY157" s="191"/>
      <c r="NMZ157" s="191"/>
      <c r="NNA157" s="191"/>
      <c r="NNB157" s="191"/>
      <c r="NNC157" s="191"/>
      <c r="NND157" s="191"/>
      <c r="NNE157" s="191"/>
      <c r="NNF157" s="191"/>
      <c r="NNG157" s="191"/>
      <c r="NNH157" s="191"/>
      <c r="NNI157" s="191"/>
      <c r="NNJ157" s="191"/>
      <c r="NNK157" s="191"/>
      <c r="NNL157" s="191"/>
      <c r="NNM157" s="191"/>
      <c r="NNN157" s="191"/>
      <c r="NNO157" s="191"/>
      <c r="NNP157" s="191"/>
      <c r="NNQ157" s="191"/>
      <c r="NNR157" s="191"/>
      <c r="NNS157" s="191"/>
      <c r="NNT157" s="191"/>
      <c r="NNU157" s="191"/>
      <c r="NNV157" s="191"/>
      <c r="NNW157" s="191"/>
      <c r="NNX157" s="191"/>
      <c r="NNY157" s="191"/>
      <c r="NNZ157" s="191"/>
      <c r="NOA157" s="191"/>
      <c r="NOB157" s="191"/>
      <c r="NOC157" s="191"/>
      <c r="NOD157" s="191"/>
      <c r="NOE157" s="191"/>
      <c r="NOF157" s="191"/>
      <c r="NOG157" s="191"/>
      <c r="NOH157" s="191"/>
      <c r="NOI157" s="191"/>
      <c r="NOJ157" s="191"/>
      <c r="NOK157" s="191"/>
      <c r="NOL157" s="191"/>
      <c r="NOM157" s="191"/>
      <c r="NON157" s="191"/>
      <c r="NOO157" s="191"/>
      <c r="NOP157" s="191"/>
      <c r="NOQ157" s="191"/>
      <c r="NOR157" s="191"/>
      <c r="NOS157" s="191"/>
      <c r="NOT157" s="191"/>
      <c r="NOU157" s="191"/>
      <c r="NOV157" s="191"/>
      <c r="NOW157" s="191"/>
      <c r="NOX157" s="191"/>
      <c r="NOY157" s="191"/>
      <c r="NOZ157" s="191"/>
      <c r="NPA157" s="191"/>
      <c r="NPB157" s="191"/>
      <c r="NPC157" s="191"/>
      <c r="NPD157" s="191"/>
      <c r="NPE157" s="191"/>
      <c r="NPF157" s="191"/>
      <c r="NPG157" s="191"/>
      <c r="NPH157" s="191"/>
      <c r="NPI157" s="191"/>
      <c r="NPJ157" s="191"/>
      <c r="NPK157" s="191"/>
      <c r="NPL157" s="191"/>
      <c r="NPM157" s="191"/>
      <c r="NPN157" s="191"/>
      <c r="NPO157" s="191"/>
      <c r="NPP157" s="191"/>
      <c r="NPQ157" s="191"/>
      <c r="NPR157" s="191"/>
      <c r="NPS157" s="191"/>
      <c r="NPT157" s="191"/>
      <c r="NPU157" s="191"/>
      <c r="NPV157" s="191"/>
      <c r="NPW157" s="191"/>
      <c r="NPX157" s="191"/>
      <c r="NPY157" s="191"/>
      <c r="NPZ157" s="191"/>
      <c r="NQA157" s="191"/>
      <c r="NQB157" s="191"/>
      <c r="NQC157" s="191"/>
      <c r="NQD157" s="191"/>
      <c r="NQE157" s="191"/>
      <c r="NQF157" s="191"/>
      <c r="NQG157" s="191"/>
      <c r="NQH157" s="191"/>
      <c r="NQI157" s="191"/>
      <c r="NQJ157" s="191"/>
      <c r="NQK157" s="191"/>
      <c r="NQL157" s="191"/>
      <c r="NQM157" s="191"/>
      <c r="NQN157" s="191"/>
      <c r="NQO157" s="191"/>
      <c r="NQP157" s="191"/>
      <c r="NQQ157" s="191"/>
      <c r="NQR157" s="191"/>
      <c r="NQS157" s="191"/>
      <c r="NQT157" s="191"/>
      <c r="NQU157" s="191"/>
      <c r="NQV157" s="191"/>
      <c r="NQW157" s="191"/>
      <c r="NQX157" s="191"/>
      <c r="NQY157" s="191"/>
      <c r="NQZ157" s="191"/>
      <c r="NRA157" s="191"/>
      <c r="NRB157" s="191"/>
      <c r="NRC157" s="191"/>
      <c r="NRD157" s="191"/>
      <c r="NRE157" s="191"/>
      <c r="NRF157" s="191"/>
      <c r="NRG157" s="191"/>
      <c r="NRH157" s="191"/>
      <c r="NRI157" s="191"/>
      <c r="NRJ157" s="191"/>
      <c r="NRK157" s="191"/>
      <c r="NRL157" s="191"/>
      <c r="NRM157" s="191"/>
      <c r="NRN157" s="191"/>
      <c r="NRO157" s="191"/>
      <c r="NRP157" s="191"/>
      <c r="NRQ157" s="191"/>
      <c r="NRR157" s="191"/>
      <c r="NRS157" s="191"/>
      <c r="NRT157" s="191"/>
      <c r="NRU157" s="191"/>
      <c r="NRV157" s="191"/>
      <c r="NRW157" s="191"/>
      <c r="NRX157" s="191"/>
      <c r="NRY157" s="191"/>
      <c r="NRZ157" s="191"/>
      <c r="NSA157" s="191"/>
      <c r="NSB157" s="191"/>
      <c r="NSC157" s="191"/>
      <c r="NSD157" s="191"/>
      <c r="NSE157" s="191"/>
      <c r="NSF157" s="191"/>
      <c r="NSG157" s="191"/>
      <c r="NSH157" s="191"/>
      <c r="NSI157" s="191"/>
      <c r="NSJ157" s="191"/>
      <c r="NSK157" s="191"/>
      <c r="NSL157" s="191"/>
      <c r="NSM157" s="191"/>
      <c r="NSN157" s="191"/>
      <c r="NSO157" s="191"/>
      <c r="NSP157" s="191"/>
      <c r="NSQ157" s="191"/>
      <c r="NSR157" s="191"/>
      <c r="NSS157" s="191"/>
      <c r="NST157" s="191"/>
      <c r="NSU157" s="191"/>
      <c r="NSV157" s="191"/>
      <c r="NSW157" s="191"/>
      <c r="NSX157" s="191"/>
      <c r="NSY157" s="191"/>
      <c r="NSZ157" s="191"/>
      <c r="NTA157" s="191"/>
      <c r="NTB157" s="191"/>
      <c r="NTC157" s="191"/>
      <c r="NTD157" s="191"/>
      <c r="NTE157" s="191"/>
      <c r="NTF157" s="191"/>
      <c r="NTG157" s="191"/>
      <c r="NTH157" s="191"/>
      <c r="NTI157" s="191"/>
      <c r="NTJ157" s="191"/>
      <c r="NTK157" s="191"/>
      <c r="NTL157" s="191"/>
      <c r="NTM157" s="191"/>
      <c r="NTN157" s="191"/>
      <c r="NTO157" s="191"/>
      <c r="NTP157" s="191"/>
      <c r="NTQ157" s="191"/>
      <c r="NTR157" s="191"/>
      <c r="NTS157" s="191"/>
      <c r="NTT157" s="191"/>
      <c r="NTU157" s="191"/>
      <c r="NTV157" s="191"/>
      <c r="NTW157" s="191"/>
      <c r="NTX157" s="191"/>
      <c r="NTY157" s="191"/>
      <c r="NTZ157" s="191"/>
      <c r="NUA157" s="191"/>
      <c r="NUB157" s="191"/>
      <c r="NUC157" s="191"/>
      <c r="NUD157" s="191"/>
      <c r="NUE157" s="191"/>
      <c r="NUF157" s="191"/>
      <c r="NUG157" s="191"/>
      <c r="NUH157" s="191"/>
      <c r="NUI157" s="191"/>
      <c r="NUJ157" s="191"/>
      <c r="NUK157" s="191"/>
      <c r="NUL157" s="191"/>
      <c r="NUM157" s="191"/>
      <c r="NUN157" s="191"/>
      <c r="NUO157" s="191"/>
      <c r="NUP157" s="191"/>
      <c r="NUQ157" s="191"/>
      <c r="NUR157" s="191"/>
      <c r="NUS157" s="191"/>
      <c r="NUT157" s="191"/>
      <c r="NUU157" s="191"/>
      <c r="NUV157" s="191"/>
      <c r="NUW157" s="191"/>
      <c r="NUX157" s="191"/>
      <c r="NUY157" s="191"/>
      <c r="NUZ157" s="191"/>
      <c r="NVA157" s="191"/>
      <c r="NVB157" s="191"/>
      <c r="NVC157" s="191"/>
      <c r="NVD157" s="191"/>
      <c r="NVE157" s="191"/>
      <c r="NVF157" s="191"/>
      <c r="NVG157" s="191"/>
      <c r="NVH157" s="191"/>
      <c r="NVI157" s="191"/>
      <c r="NVJ157" s="191"/>
      <c r="NVK157" s="191"/>
      <c r="NVL157" s="191"/>
      <c r="NVM157" s="191"/>
      <c r="NVN157" s="191"/>
      <c r="NVO157" s="191"/>
      <c r="NVP157" s="191"/>
      <c r="NVQ157" s="191"/>
      <c r="NVR157" s="191"/>
      <c r="NVS157" s="191"/>
      <c r="NVT157" s="191"/>
      <c r="NVU157" s="191"/>
      <c r="NVV157" s="191"/>
      <c r="NVW157" s="191"/>
      <c r="NVX157" s="191"/>
      <c r="NVY157" s="191"/>
      <c r="NVZ157" s="191"/>
      <c r="NWA157" s="191"/>
      <c r="NWB157" s="191"/>
      <c r="NWC157" s="191"/>
      <c r="NWD157" s="191"/>
      <c r="NWE157" s="191"/>
      <c r="NWF157" s="191"/>
      <c r="NWG157" s="191"/>
      <c r="NWH157" s="191"/>
      <c r="NWI157" s="191"/>
      <c r="NWJ157" s="191"/>
      <c r="NWK157" s="191"/>
      <c r="NWL157" s="191"/>
      <c r="NWM157" s="191"/>
      <c r="NWN157" s="191"/>
      <c r="NWO157" s="191"/>
      <c r="NWP157" s="191"/>
      <c r="NWQ157" s="191"/>
      <c r="NWR157" s="191"/>
      <c r="NWS157" s="191"/>
      <c r="NWT157" s="191"/>
      <c r="NWU157" s="191"/>
      <c r="NWV157" s="191"/>
      <c r="NWW157" s="191"/>
      <c r="NWX157" s="191"/>
      <c r="NWY157" s="191"/>
      <c r="NWZ157" s="191"/>
      <c r="NXA157" s="191"/>
      <c r="NXB157" s="191"/>
      <c r="NXC157" s="191"/>
      <c r="NXD157" s="191"/>
      <c r="NXE157" s="191"/>
      <c r="NXF157" s="191"/>
      <c r="NXG157" s="191"/>
      <c r="NXH157" s="191"/>
      <c r="NXI157" s="191"/>
      <c r="NXJ157" s="191"/>
      <c r="NXK157" s="191"/>
      <c r="NXL157" s="191"/>
      <c r="NXM157" s="191"/>
      <c r="NXN157" s="191"/>
      <c r="NXO157" s="191"/>
      <c r="NXP157" s="191"/>
      <c r="NXQ157" s="191"/>
      <c r="NXR157" s="191"/>
      <c r="NXS157" s="191"/>
      <c r="NXT157" s="191"/>
      <c r="NXU157" s="191"/>
      <c r="NXV157" s="191"/>
      <c r="NXW157" s="191"/>
      <c r="NXX157" s="191"/>
      <c r="NXY157" s="191"/>
      <c r="NXZ157" s="191"/>
      <c r="NYA157" s="191"/>
      <c r="NYB157" s="191"/>
      <c r="NYC157" s="191"/>
      <c r="NYD157" s="191"/>
      <c r="NYE157" s="191"/>
      <c r="NYF157" s="191"/>
      <c r="NYG157" s="191"/>
      <c r="NYH157" s="191"/>
      <c r="NYI157" s="191"/>
      <c r="NYJ157" s="191"/>
      <c r="NYK157" s="191"/>
      <c r="NYL157" s="191"/>
      <c r="NYM157" s="191"/>
      <c r="NYN157" s="191"/>
      <c r="NYO157" s="191"/>
      <c r="NYP157" s="191"/>
      <c r="NYQ157" s="191"/>
      <c r="NYR157" s="191"/>
      <c r="NYS157" s="191"/>
      <c r="NYT157" s="191"/>
      <c r="NYU157" s="191"/>
      <c r="NYV157" s="191"/>
      <c r="NYW157" s="191"/>
      <c r="NYX157" s="191"/>
      <c r="NYY157" s="191"/>
      <c r="NYZ157" s="191"/>
      <c r="NZA157" s="191"/>
      <c r="NZB157" s="191"/>
      <c r="NZC157" s="191"/>
      <c r="NZD157" s="191"/>
      <c r="NZE157" s="191"/>
      <c r="NZF157" s="191"/>
      <c r="NZG157" s="191"/>
      <c r="NZH157" s="191"/>
      <c r="NZI157" s="191"/>
      <c r="NZJ157" s="191"/>
      <c r="NZK157" s="191"/>
      <c r="NZL157" s="191"/>
      <c r="NZM157" s="191"/>
      <c r="NZN157" s="191"/>
      <c r="NZO157" s="191"/>
      <c r="NZP157" s="191"/>
      <c r="NZQ157" s="191"/>
      <c r="NZR157" s="191"/>
      <c r="NZS157" s="191"/>
      <c r="NZT157" s="191"/>
      <c r="NZU157" s="191"/>
      <c r="NZV157" s="191"/>
      <c r="NZW157" s="191"/>
      <c r="NZX157" s="191"/>
      <c r="NZY157" s="191"/>
      <c r="NZZ157" s="191"/>
      <c r="OAA157" s="191"/>
      <c r="OAB157" s="191"/>
      <c r="OAC157" s="191"/>
      <c r="OAD157" s="191"/>
      <c r="OAE157" s="191"/>
      <c r="OAF157" s="191"/>
      <c r="OAG157" s="191"/>
      <c r="OAH157" s="191"/>
      <c r="OAI157" s="191"/>
      <c r="OAJ157" s="191"/>
      <c r="OAK157" s="191"/>
      <c r="OAL157" s="191"/>
      <c r="OAM157" s="191"/>
      <c r="OAN157" s="191"/>
      <c r="OAO157" s="191"/>
      <c r="OAP157" s="191"/>
      <c r="OAQ157" s="191"/>
      <c r="OAR157" s="191"/>
      <c r="OAS157" s="191"/>
      <c r="OAT157" s="191"/>
      <c r="OAU157" s="191"/>
      <c r="OAV157" s="191"/>
      <c r="OAW157" s="191"/>
      <c r="OAX157" s="191"/>
      <c r="OAY157" s="191"/>
      <c r="OAZ157" s="191"/>
      <c r="OBA157" s="191"/>
      <c r="OBB157" s="191"/>
      <c r="OBC157" s="191"/>
      <c r="OBD157" s="191"/>
      <c r="OBE157" s="191"/>
      <c r="OBF157" s="191"/>
      <c r="OBG157" s="191"/>
      <c r="OBH157" s="191"/>
      <c r="OBI157" s="191"/>
      <c r="OBJ157" s="191"/>
      <c r="OBK157" s="191"/>
      <c r="OBL157" s="191"/>
      <c r="OBM157" s="191"/>
      <c r="OBN157" s="191"/>
      <c r="OBO157" s="191"/>
      <c r="OBP157" s="191"/>
      <c r="OBQ157" s="191"/>
      <c r="OBR157" s="191"/>
      <c r="OBS157" s="191"/>
      <c r="OBT157" s="191"/>
      <c r="OBU157" s="191"/>
      <c r="OBV157" s="191"/>
      <c r="OBW157" s="191"/>
      <c r="OBX157" s="191"/>
      <c r="OBY157" s="191"/>
      <c r="OBZ157" s="191"/>
      <c r="OCA157" s="191"/>
      <c r="OCB157" s="191"/>
      <c r="OCC157" s="191"/>
      <c r="OCD157" s="191"/>
      <c r="OCE157" s="191"/>
      <c r="OCF157" s="191"/>
      <c r="OCG157" s="191"/>
      <c r="OCH157" s="191"/>
      <c r="OCI157" s="191"/>
      <c r="OCJ157" s="191"/>
      <c r="OCK157" s="191"/>
      <c r="OCL157" s="191"/>
      <c r="OCM157" s="191"/>
      <c r="OCN157" s="191"/>
      <c r="OCO157" s="191"/>
      <c r="OCP157" s="191"/>
      <c r="OCQ157" s="191"/>
      <c r="OCR157" s="191"/>
      <c r="OCS157" s="191"/>
      <c r="OCT157" s="191"/>
      <c r="OCU157" s="191"/>
      <c r="OCV157" s="191"/>
      <c r="OCW157" s="191"/>
      <c r="OCX157" s="191"/>
      <c r="OCY157" s="191"/>
      <c r="OCZ157" s="191"/>
      <c r="ODA157" s="191"/>
      <c r="ODB157" s="191"/>
      <c r="ODC157" s="191"/>
      <c r="ODD157" s="191"/>
      <c r="ODE157" s="191"/>
      <c r="ODF157" s="191"/>
      <c r="ODG157" s="191"/>
      <c r="ODH157" s="191"/>
      <c r="ODI157" s="191"/>
      <c r="ODJ157" s="191"/>
      <c r="ODK157" s="191"/>
      <c r="ODL157" s="191"/>
      <c r="ODM157" s="191"/>
      <c r="ODN157" s="191"/>
      <c r="ODO157" s="191"/>
      <c r="ODP157" s="191"/>
      <c r="ODQ157" s="191"/>
      <c r="ODR157" s="191"/>
      <c r="ODS157" s="191"/>
      <c r="ODT157" s="191"/>
      <c r="ODU157" s="191"/>
      <c r="ODV157" s="191"/>
      <c r="ODW157" s="191"/>
      <c r="ODX157" s="191"/>
      <c r="ODY157" s="191"/>
      <c r="ODZ157" s="191"/>
      <c r="OEA157" s="191"/>
      <c r="OEB157" s="191"/>
      <c r="OEC157" s="191"/>
      <c r="OED157" s="191"/>
      <c r="OEE157" s="191"/>
      <c r="OEF157" s="191"/>
      <c r="OEG157" s="191"/>
      <c r="OEH157" s="191"/>
      <c r="OEI157" s="191"/>
      <c r="OEJ157" s="191"/>
      <c r="OEK157" s="191"/>
      <c r="OEL157" s="191"/>
      <c r="OEM157" s="191"/>
      <c r="OEN157" s="191"/>
      <c r="OEO157" s="191"/>
      <c r="OEP157" s="191"/>
      <c r="OEQ157" s="191"/>
      <c r="OER157" s="191"/>
      <c r="OES157" s="191"/>
      <c r="OET157" s="191"/>
      <c r="OEU157" s="191"/>
      <c r="OEV157" s="191"/>
      <c r="OEW157" s="191"/>
      <c r="OEX157" s="191"/>
      <c r="OEY157" s="191"/>
      <c r="OEZ157" s="191"/>
      <c r="OFA157" s="191"/>
      <c r="OFB157" s="191"/>
      <c r="OFC157" s="191"/>
      <c r="OFD157" s="191"/>
      <c r="OFE157" s="191"/>
      <c r="OFF157" s="191"/>
      <c r="OFG157" s="191"/>
      <c r="OFH157" s="191"/>
      <c r="OFI157" s="191"/>
      <c r="OFJ157" s="191"/>
      <c r="OFK157" s="191"/>
      <c r="OFL157" s="191"/>
      <c r="OFM157" s="191"/>
      <c r="OFN157" s="191"/>
      <c r="OFO157" s="191"/>
      <c r="OFP157" s="191"/>
      <c r="OFQ157" s="191"/>
      <c r="OFR157" s="191"/>
      <c r="OFS157" s="191"/>
      <c r="OFT157" s="191"/>
      <c r="OFU157" s="191"/>
      <c r="OFV157" s="191"/>
      <c r="OFW157" s="191"/>
      <c r="OFX157" s="191"/>
      <c r="OFY157" s="191"/>
      <c r="OFZ157" s="191"/>
      <c r="OGA157" s="191"/>
      <c r="OGB157" s="191"/>
      <c r="OGC157" s="191"/>
      <c r="OGD157" s="191"/>
      <c r="OGE157" s="191"/>
      <c r="OGF157" s="191"/>
      <c r="OGG157" s="191"/>
      <c r="OGH157" s="191"/>
      <c r="OGI157" s="191"/>
      <c r="OGJ157" s="191"/>
      <c r="OGK157" s="191"/>
      <c r="OGL157" s="191"/>
      <c r="OGM157" s="191"/>
      <c r="OGN157" s="191"/>
      <c r="OGO157" s="191"/>
      <c r="OGP157" s="191"/>
      <c r="OGQ157" s="191"/>
      <c r="OGR157" s="191"/>
      <c r="OGS157" s="191"/>
      <c r="OGT157" s="191"/>
      <c r="OGU157" s="191"/>
      <c r="OGV157" s="191"/>
      <c r="OGW157" s="191"/>
      <c r="OGX157" s="191"/>
      <c r="OGY157" s="191"/>
      <c r="OGZ157" s="191"/>
      <c r="OHA157" s="191"/>
      <c r="OHB157" s="191"/>
      <c r="OHC157" s="191"/>
      <c r="OHD157" s="191"/>
      <c r="OHE157" s="191"/>
      <c r="OHF157" s="191"/>
      <c r="OHG157" s="191"/>
      <c r="OHH157" s="191"/>
      <c r="OHI157" s="191"/>
      <c r="OHJ157" s="191"/>
      <c r="OHK157" s="191"/>
      <c r="OHL157" s="191"/>
      <c r="OHM157" s="191"/>
      <c r="OHN157" s="191"/>
      <c r="OHO157" s="191"/>
      <c r="OHP157" s="191"/>
      <c r="OHQ157" s="191"/>
      <c r="OHR157" s="191"/>
      <c r="OHS157" s="191"/>
      <c r="OHT157" s="191"/>
      <c r="OHU157" s="191"/>
      <c r="OHV157" s="191"/>
      <c r="OHW157" s="191"/>
      <c r="OHX157" s="191"/>
      <c r="OHY157" s="191"/>
      <c r="OHZ157" s="191"/>
      <c r="OIA157" s="191"/>
      <c r="OIB157" s="191"/>
      <c r="OIC157" s="191"/>
      <c r="OID157" s="191"/>
      <c r="OIE157" s="191"/>
      <c r="OIF157" s="191"/>
      <c r="OIG157" s="191"/>
      <c r="OIH157" s="191"/>
      <c r="OII157" s="191"/>
      <c r="OIJ157" s="191"/>
      <c r="OIK157" s="191"/>
      <c r="OIL157" s="191"/>
      <c r="OIM157" s="191"/>
      <c r="OIN157" s="191"/>
      <c r="OIO157" s="191"/>
      <c r="OIP157" s="191"/>
      <c r="OIQ157" s="191"/>
      <c r="OIR157" s="191"/>
      <c r="OIS157" s="191"/>
      <c r="OIT157" s="191"/>
      <c r="OIU157" s="191"/>
      <c r="OIV157" s="191"/>
      <c r="OIW157" s="191"/>
      <c r="OIX157" s="191"/>
      <c r="OIY157" s="191"/>
      <c r="OIZ157" s="191"/>
      <c r="OJA157" s="191"/>
      <c r="OJB157" s="191"/>
      <c r="OJC157" s="191"/>
      <c r="OJD157" s="191"/>
      <c r="OJE157" s="191"/>
      <c r="OJF157" s="191"/>
      <c r="OJG157" s="191"/>
      <c r="OJH157" s="191"/>
      <c r="OJI157" s="191"/>
      <c r="OJJ157" s="191"/>
      <c r="OJK157" s="191"/>
      <c r="OJL157" s="191"/>
      <c r="OJM157" s="191"/>
      <c r="OJN157" s="191"/>
      <c r="OJO157" s="191"/>
      <c r="OJP157" s="191"/>
      <c r="OJQ157" s="191"/>
      <c r="OJR157" s="191"/>
      <c r="OJS157" s="191"/>
      <c r="OJT157" s="191"/>
      <c r="OJU157" s="191"/>
      <c r="OJV157" s="191"/>
      <c r="OJW157" s="191"/>
      <c r="OJX157" s="191"/>
      <c r="OJY157" s="191"/>
      <c r="OJZ157" s="191"/>
      <c r="OKA157" s="191"/>
      <c r="OKB157" s="191"/>
      <c r="OKC157" s="191"/>
      <c r="OKD157" s="191"/>
      <c r="OKE157" s="191"/>
      <c r="OKF157" s="191"/>
      <c r="OKG157" s="191"/>
      <c r="OKH157" s="191"/>
      <c r="OKI157" s="191"/>
      <c r="OKJ157" s="191"/>
      <c r="OKK157" s="191"/>
      <c r="OKL157" s="191"/>
      <c r="OKM157" s="191"/>
      <c r="OKN157" s="191"/>
      <c r="OKO157" s="191"/>
      <c r="OKP157" s="191"/>
      <c r="OKQ157" s="191"/>
      <c r="OKR157" s="191"/>
      <c r="OKS157" s="191"/>
      <c r="OKT157" s="191"/>
      <c r="OKU157" s="191"/>
      <c r="OKV157" s="191"/>
      <c r="OKW157" s="191"/>
      <c r="OKX157" s="191"/>
      <c r="OKY157" s="191"/>
      <c r="OKZ157" s="191"/>
      <c r="OLA157" s="191"/>
      <c r="OLB157" s="191"/>
      <c r="OLC157" s="191"/>
      <c r="OLD157" s="191"/>
      <c r="OLE157" s="191"/>
      <c r="OLF157" s="191"/>
      <c r="OLG157" s="191"/>
      <c r="OLH157" s="191"/>
      <c r="OLI157" s="191"/>
      <c r="OLJ157" s="191"/>
      <c r="OLK157" s="191"/>
      <c r="OLL157" s="191"/>
      <c r="OLM157" s="191"/>
      <c r="OLN157" s="191"/>
      <c r="OLO157" s="191"/>
      <c r="OLP157" s="191"/>
      <c r="OLQ157" s="191"/>
      <c r="OLR157" s="191"/>
      <c r="OLS157" s="191"/>
      <c r="OLT157" s="191"/>
      <c r="OLU157" s="191"/>
      <c r="OLV157" s="191"/>
      <c r="OLW157" s="191"/>
      <c r="OLX157" s="191"/>
      <c r="OLY157" s="191"/>
      <c r="OLZ157" s="191"/>
      <c r="OMA157" s="191"/>
      <c r="OMB157" s="191"/>
      <c r="OMC157" s="191"/>
      <c r="OMD157" s="191"/>
      <c r="OME157" s="191"/>
      <c r="OMF157" s="191"/>
      <c r="OMG157" s="191"/>
      <c r="OMH157" s="191"/>
      <c r="OMI157" s="191"/>
      <c r="OMJ157" s="191"/>
      <c r="OMK157" s="191"/>
      <c r="OML157" s="191"/>
      <c r="OMM157" s="191"/>
      <c r="OMN157" s="191"/>
      <c r="OMO157" s="191"/>
      <c r="OMP157" s="191"/>
      <c r="OMQ157" s="191"/>
      <c r="OMR157" s="191"/>
      <c r="OMS157" s="191"/>
      <c r="OMT157" s="191"/>
      <c r="OMU157" s="191"/>
      <c r="OMV157" s="191"/>
      <c r="OMW157" s="191"/>
      <c r="OMX157" s="191"/>
      <c r="OMY157" s="191"/>
      <c r="OMZ157" s="191"/>
      <c r="ONA157" s="191"/>
      <c r="ONB157" s="191"/>
      <c r="ONC157" s="191"/>
      <c r="OND157" s="191"/>
      <c r="ONE157" s="191"/>
      <c r="ONF157" s="191"/>
      <c r="ONG157" s="191"/>
      <c r="ONH157" s="191"/>
      <c r="ONI157" s="191"/>
      <c r="ONJ157" s="191"/>
      <c r="ONK157" s="191"/>
      <c r="ONL157" s="191"/>
      <c r="ONM157" s="191"/>
      <c r="ONN157" s="191"/>
      <c r="ONO157" s="191"/>
      <c r="ONP157" s="191"/>
      <c r="ONQ157" s="191"/>
      <c r="ONR157" s="191"/>
      <c r="ONS157" s="191"/>
      <c r="ONT157" s="191"/>
      <c r="ONU157" s="191"/>
      <c r="ONV157" s="191"/>
      <c r="ONW157" s="191"/>
      <c r="ONX157" s="191"/>
      <c r="ONY157" s="191"/>
      <c r="ONZ157" s="191"/>
      <c r="OOA157" s="191"/>
      <c r="OOB157" s="191"/>
      <c r="OOC157" s="191"/>
      <c r="OOD157" s="191"/>
      <c r="OOE157" s="191"/>
      <c r="OOF157" s="191"/>
      <c r="OOG157" s="191"/>
      <c r="OOH157" s="191"/>
      <c r="OOI157" s="191"/>
      <c r="OOJ157" s="191"/>
      <c r="OOK157" s="191"/>
      <c r="OOL157" s="191"/>
      <c r="OOM157" s="191"/>
      <c r="OON157" s="191"/>
      <c r="OOO157" s="191"/>
      <c r="OOP157" s="191"/>
      <c r="OOQ157" s="191"/>
      <c r="OOR157" s="191"/>
      <c r="OOS157" s="191"/>
      <c r="OOT157" s="191"/>
      <c r="OOU157" s="191"/>
      <c r="OOV157" s="191"/>
      <c r="OOW157" s="191"/>
      <c r="OOX157" s="191"/>
      <c r="OOY157" s="191"/>
      <c r="OOZ157" s="191"/>
      <c r="OPA157" s="191"/>
      <c r="OPB157" s="191"/>
      <c r="OPC157" s="191"/>
      <c r="OPD157" s="191"/>
      <c r="OPE157" s="191"/>
      <c r="OPF157" s="191"/>
      <c r="OPG157" s="191"/>
      <c r="OPH157" s="191"/>
      <c r="OPI157" s="191"/>
      <c r="OPJ157" s="191"/>
      <c r="OPK157" s="191"/>
      <c r="OPL157" s="191"/>
      <c r="OPM157" s="191"/>
      <c r="OPN157" s="191"/>
      <c r="OPO157" s="191"/>
      <c r="OPP157" s="191"/>
      <c r="OPQ157" s="191"/>
      <c r="OPR157" s="191"/>
      <c r="OPS157" s="191"/>
      <c r="OPT157" s="191"/>
      <c r="OPU157" s="191"/>
      <c r="OPV157" s="191"/>
      <c r="OPW157" s="191"/>
      <c r="OPX157" s="191"/>
      <c r="OPY157" s="191"/>
      <c r="OPZ157" s="191"/>
      <c r="OQA157" s="191"/>
      <c r="OQB157" s="191"/>
      <c r="OQC157" s="191"/>
      <c r="OQD157" s="191"/>
      <c r="OQE157" s="191"/>
      <c r="OQF157" s="191"/>
      <c r="OQG157" s="191"/>
      <c r="OQH157" s="191"/>
      <c r="OQI157" s="191"/>
      <c r="OQJ157" s="191"/>
      <c r="OQK157" s="191"/>
      <c r="OQL157" s="191"/>
      <c r="OQM157" s="191"/>
      <c r="OQN157" s="191"/>
      <c r="OQO157" s="191"/>
      <c r="OQP157" s="191"/>
      <c r="OQQ157" s="191"/>
      <c r="OQR157" s="191"/>
      <c r="OQS157" s="191"/>
      <c r="OQT157" s="191"/>
      <c r="OQU157" s="191"/>
      <c r="OQV157" s="191"/>
      <c r="OQW157" s="191"/>
      <c r="OQX157" s="191"/>
      <c r="OQY157" s="191"/>
      <c r="OQZ157" s="191"/>
      <c r="ORA157" s="191"/>
      <c r="ORB157" s="191"/>
      <c r="ORC157" s="191"/>
      <c r="ORD157" s="191"/>
      <c r="ORE157" s="191"/>
      <c r="ORF157" s="191"/>
      <c r="ORG157" s="191"/>
      <c r="ORH157" s="191"/>
      <c r="ORI157" s="191"/>
      <c r="ORJ157" s="191"/>
      <c r="ORK157" s="191"/>
      <c r="ORL157" s="191"/>
      <c r="ORM157" s="191"/>
      <c r="ORN157" s="191"/>
      <c r="ORO157" s="191"/>
      <c r="ORP157" s="191"/>
      <c r="ORQ157" s="191"/>
      <c r="ORR157" s="191"/>
      <c r="ORS157" s="191"/>
      <c r="ORT157" s="191"/>
      <c r="ORU157" s="191"/>
      <c r="ORV157" s="191"/>
      <c r="ORW157" s="191"/>
      <c r="ORX157" s="191"/>
      <c r="ORY157" s="191"/>
      <c r="ORZ157" s="191"/>
      <c r="OSA157" s="191"/>
      <c r="OSB157" s="191"/>
      <c r="OSC157" s="191"/>
      <c r="OSD157" s="191"/>
      <c r="OSE157" s="191"/>
      <c r="OSF157" s="191"/>
      <c r="OSG157" s="191"/>
      <c r="OSH157" s="191"/>
      <c r="OSI157" s="191"/>
      <c r="OSJ157" s="191"/>
      <c r="OSK157" s="191"/>
      <c r="OSL157" s="191"/>
      <c r="OSM157" s="191"/>
      <c r="OSN157" s="191"/>
      <c r="OSO157" s="191"/>
      <c r="OSP157" s="191"/>
      <c r="OSQ157" s="191"/>
      <c r="OSR157" s="191"/>
      <c r="OSS157" s="191"/>
      <c r="OST157" s="191"/>
      <c r="OSU157" s="191"/>
      <c r="OSV157" s="191"/>
      <c r="OSW157" s="191"/>
      <c r="OSX157" s="191"/>
      <c r="OSY157" s="191"/>
      <c r="OSZ157" s="191"/>
      <c r="OTA157" s="191"/>
      <c r="OTB157" s="191"/>
      <c r="OTC157" s="191"/>
      <c r="OTD157" s="191"/>
      <c r="OTE157" s="191"/>
      <c r="OTF157" s="191"/>
      <c r="OTG157" s="191"/>
      <c r="OTH157" s="191"/>
      <c r="OTI157" s="191"/>
      <c r="OTJ157" s="191"/>
      <c r="OTK157" s="191"/>
      <c r="OTL157" s="191"/>
      <c r="OTM157" s="191"/>
      <c r="OTN157" s="191"/>
      <c r="OTO157" s="191"/>
      <c r="OTP157" s="191"/>
      <c r="OTQ157" s="191"/>
      <c r="OTR157" s="191"/>
      <c r="OTS157" s="191"/>
      <c r="OTT157" s="191"/>
      <c r="OTU157" s="191"/>
      <c r="OTV157" s="191"/>
      <c r="OTW157" s="191"/>
      <c r="OTX157" s="191"/>
      <c r="OTY157" s="191"/>
      <c r="OTZ157" s="191"/>
      <c r="OUA157" s="191"/>
      <c r="OUB157" s="191"/>
      <c r="OUC157" s="191"/>
      <c r="OUD157" s="191"/>
      <c r="OUE157" s="191"/>
      <c r="OUF157" s="191"/>
      <c r="OUG157" s="191"/>
      <c r="OUH157" s="191"/>
      <c r="OUI157" s="191"/>
      <c r="OUJ157" s="191"/>
      <c r="OUK157" s="191"/>
      <c r="OUL157" s="191"/>
      <c r="OUM157" s="191"/>
      <c r="OUN157" s="191"/>
      <c r="OUO157" s="191"/>
      <c r="OUP157" s="191"/>
      <c r="OUQ157" s="191"/>
      <c r="OUR157" s="191"/>
      <c r="OUS157" s="191"/>
      <c r="OUT157" s="191"/>
      <c r="OUU157" s="191"/>
      <c r="OUV157" s="191"/>
      <c r="OUW157" s="191"/>
      <c r="OUX157" s="191"/>
      <c r="OUY157" s="191"/>
      <c r="OUZ157" s="191"/>
      <c r="OVA157" s="191"/>
      <c r="OVB157" s="191"/>
      <c r="OVC157" s="191"/>
      <c r="OVD157" s="191"/>
      <c r="OVE157" s="191"/>
      <c r="OVF157" s="191"/>
      <c r="OVG157" s="191"/>
      <c r="OVH157" s="191"/>
      <c r="OVI157" s="191"/>
      <c r="OVJ157" s="191"/>
      <c r="OVK157" s="191"/>
      <c r="OVL157" s="191"/>
      <c r="OVM157" s="191"/>
      <c r="OVN157" s="191"/>
      <c r="OVO157" s="191"/>
      <c r="OVP157" s="191"/>
      <c r="OVQ157" s="191"/>
      <c r="OVR157" s="191"/>
      <c r="OVS157" s="191"/>
      <c r="OVT157" s="191"/>
      <c r="OVU157" s="191"/>
      <c r="OVV157" s="191"/>
      <c r="OVW157" s="191"/>
      <c r="OVX157" s="191"/>
      <c r="OVY157" s="191"/>
      <c r="OVZ157" s="191"/>
      <c r="OWA157" s="191"/>
      <c r="OWB157" s="191"/>
      <c r="OWC157" s="191"/>
      <c r="OWD157" s="191"/>
      <c r="OWE157" s="191"/>
      <c r="OWF157" s="191"/>
      <c r="OWG157" s="191"/>
      <c r="OWH157" s="191"/>
      <c r="OWI157" s="191"/>
      <c r="OWJ157" s="191"/>
      <c r="OWK157" s="191"/>
      <c r="OWL157" s="191"/>
      <c r="OWM157" s="191"/>
      <c r="OWN157" s="191"/>
      <c r="OWO157" s="191"/>
      <c r="OWP157" s="191"/>
      <c r="OWQ157" s="191"/>
      <c r="OWR157" s="191"/>
      <c r="OWS157" s="191"/>
      <c r="OWT157" s="191"/>
      <c r="OWU157" s="191"/>
      <c r="OWV157" s="191"/>
      <c r="OWW157" s="191"/>
      <c r="OWX157" s="191"/>
      <c r="OWY157" s="191"/>
      <c r="OWZ157" s="191"/>
      <c r="OXA157" s="191"/>
      <c r="OXB157" s="191"/>
      <c r="OXC157" s="191"/>
      <c r="OXD157" s="191"/>
      <c r="OXE157" s="191"/>
      <c r="OXF157" s="191"/>
      <c r="OXG157" s="191"/>
      <c r="OXH157" s="191"/>
      <c r="OXI157" s="191"/>
      <c r="OXJ157" s="191"/>
      <c r="OXK157" s="191"/>
      <c r="OXL157" s="191"/>
      <c r="OXM157" s="191"/>
      <c r="OXN157" s="191"/>
      <c r="OXO157" s="191"/>
      <c r="OXP157" s="191"/>
      <c r="OXQ157" s="191"/>
      <c r="OXR157" s="191"/>
      <c r="OXS157" s="191"/>
      <c r="OXT157" s="191"/>
      <c r="OXU157" s="191"/>
      <c r="OXV157" s="191"/>
      <c r="OXW157" s="191"/>
      <c r="OXX157" s="191"/>
      <c r="OXY157" s="191"/>
      <c r="OXZ157" s="191"/>
      <c r="OYA157" s="191"/>
      <c r="OYB157" s="191"/>
      <c r="OYC157" s="191"/>
      <c r="OYD157" s="191"/>
      <c r="OYE157" s="191"/>
      <c r="OYF157" s="191"/>
      <c r="OYG157" s="191"/>
      <c r="OYH157" s="191"/>
      <c r="OYI157" s="191"/>
      <c r="OYJ157" s="191"/>
      <c r="OYK157" s="191"/>
      <c r="OYL157" s="191"/>
      <c r="OYM157" s="191"/>
      <c r="OYN157" s="191"/>
      <c r="OYO157" s="191"/>
      <c r="OYP157" s="191"/>
      <c r="OYQ157" s="191"/>
      <c r="OYR157" s="191"/>
      <c r="OYS157" s="191"/>
      <c r="OYT157" s="191"/>
      <c r="OYU157" s="191"/>
      <c r="OYV157" s="191"/>
      <c r="OYW157" s="191"/>
      <c r="OYX157" s="191"/>
      <c r="OYY157" s="191"/>
      <c r="OYZ157" s="191"/>
      <c r="OZA157" s="191"/>
      <c r="OZB157" s="191"/>
      <c r="OZC157" s="191"/>
      <c r="OZD157" s="191"/>
      <c r="OZE157" s="191"/>
      <c r="OZF157" s="191"/>
      <c r="OZG157" s="191"/>
      <c r="OZH157" s="191"/>
      <c r="OZI157" s="191"/>
      <c r="OZJ157" s="191"/>
      <c r="OZK157" s="191"/>
      <c r="OZL157" s="191"/>
      <c r="OZM157" s="191"/>
      <c r="OZN157" s="191"/>
      <c r="OZO157" s="191"/>
      <c r="OZP157" s="191"/>
      <c r="OZQ157" s="191"/>
      <c r="OZR157" s="191"/>
      <c r="OZS157" s="191"/>
      <c r="OZT157" s="191"/>
      <c r="OZU157" s="191"/>
      <c r="OZV157" s="191"/>
      <c r="OZW157" s="191"/>
      <c r="OZX157" s="191"/>
      <c r="OZY157" s="191"/>
      <c r="OZZ157" s="191"/>
      <c r="PAA157" s="191"/>
      <c r="PAB157" s="191"/>
      <c r="PAC157" s="191"/>
      <c r="PAD157" s="191"/>
      <c r="PAE157" s="191"/>
      <c r="PAF157" s="191"/>
      <c r="PAG157" s="191"/>
      <c r="PAH157" s="191"/>
      <c r="PAI157" s="191"/>
      <c r="PAJ157" s="191"/>
      <c r="PAK157" s="191"/>
      <c r="PAL157" s="191"/>
      <c r="PAM157" s="191"/>
      <c r="PAN157" s="191"/>
      <c r="PAO157" s="191"/>
      <c r="PAP157" s="191"/>
      <c r="PAQ157" s="191"/>
      <c r="PAR157" s="191"/>
      <c r="PAS157" s="191"/>
      <c r="PAT157" s="191"/>
      <c r="PAU157" s="191"/>
      <c r="PAV157" s="191"/>
      <c r="PAW157" s="191"/>
      <c r="PAX157" s="191"/>
      <c r="PAY157" s="191"/>
      <c r="PAZ157" s="191"/>
      <c r="PBA157" s="191"/>
      <c r="PBB157" s="191"/>
      <c r="PBC157" s="191"/>
      <c r="PBD157" s="191"/>
      <c r="PBE157" s="191"/>
      <c r="PBF157" s="191"/>
      <c r="PBG157" s="191"/>
      <c r="PBH157" s="191"/>
      <c r="PBI157" s="191"/>
      <c r="PBJ157" s="191"/>
      <c r="PBK157" s="191"/>
      <c r="PBL157" s="191"/>
      <c r="PBM157" s="191"/>
      <c r="PBN157" s="191"/>
      <c r="PBO157" s="191"/>
      <c r="PBP157" s="191"/>
      <c r="PBQ157" s="191"/>
      <c r="PBR157" s="191"/>
      <c r="PBS157" s="191"/>
      <c r="PBT157" s="191"/>
      <c r="PBU157" s="191"/>
      <c r="PBV157" s="191"/>
      <c r="PBW157" s="191"/>
      <c r="PBX157" s="191"/>
      <c r="PBY157" s="191"/>
      <c r="PBZ157" s="191"/>
      <c r="PCA157" s="191"/>
      <c r="PCB157" s="191"/>
      <c r="PCC157" s="191"/>
      <c r="PCD157" s="191"/>
      <c r="PCE157" s="191"/>
      <c r="PCF157" s="191"/>
      <c r="PCG157" s="191"/>
      <c r="PCH157" s="191"/>
      <c r="PCI157" s="191"/>
      <c r="PCJ157" s="191"/>
      <c r="PCK157" s="191"/>
      <c r="PCL157" s="191"/>
      <c r="PCM157" s="191"/>
      <c r="PCN157" s="191"/>
      <c r="PCO157" s="191"/>
      <c r="PCP157" s="191"/>
      <c r="PCQ157" s="191"/>
      <c r="PCR157" s="191"/>
      <c r="PCS157" s="191"/>
      <c r="PCT157" s="191"/>
      <c r="PCU157" s="191"/>
      <c r="PCV157" s="191"/>
      <c r="PCW157" s="191"/>
      <c r="PCX157" s="191"/>
      <c r="PCY157" s="191"/>
      <c r="PCZ157" s="191"/>
      <c r="PDA157" s="191"/>
      <c r="PDB157" s="191"/>
      <c r="PDC157" s="191"/>
      <c r="PDD157" s="191"/>
      <c r="PDE157" s="191"/>
      <c r="PDF157" s="191"/>
      <c r="PDG157" s="191"/>
      <c r="PDH157" s="191"/>
      <c r="PDI157" s="191"/>
      <c r="PDJ157" s="191"/>
      <c r="PDK157" s="191"/>
      <c r="PDL157" s="191"/>
      <c r="PDM157" s="191"/>
      <c r="PDN157" s="191"/>
      <c r="PDO157" s="191"/>
      <c r="PDP157" s="191"/>
      <c r="PDQ157" s="191"/>
      <c r="PDR157" s="191"/>
      <c r="PDS157" s="191"/>
      <c r="PDT157" s="191"/>
      <c r="PDU157" s="191"/>
      <c r="PDV157" s="191"/>
      <c r="PDW157" s="191"/>
      <c r="PDX157" s="191"/>
      <c r="PDY157" s="191"/>
      <c r="PDZ157" s="191"/>
      <c r="PEA157" s="191"/>
      <c r="PEB157" s="191"/>
      <c r="PEC157" s="191"/>
      <c r="PED157" s="191"/>
      <c r="PEE157" s="191"/>
      <c r="PEF157" s="191"/>
      <c r="PEG157" s="191"/>
      <c r="PEH157" s="191"/>
      <c r="PEI157" s="191"/>
      <c r="PEJ157" s="191"/>
      <c r="PEK157" s="191"/>
      <c r="PEL157" s="191"/>
      <c r="PEM157" s="191"/>
      <c r="PEN157" s="191"/>
      <c r="PEO157" s="191"/>
      <c r="PEP157" s="191"/>
      <c r="PEQ157" s="191"/>
      <c r="PER157" s="191"/>
      <c r="PES157" s="191"/>
      <c r="PET157" s="191"/>
      <c r="PEU157" s="191"/>
      <c r="PEV157" s="191"/>
      <c r="PEW157" s="191"/>
      <c r="PEX157" s="191"/>
      <c r="PEY157" s="191"/>
      <c r="PEZ157" s="191"/>
      <c r="PFA157" s="191"/>
      <c r="PFB157" s="191"/>
      <c r="PFC157" s="191"/>
      <c r="PFD157" s="191"/>
      <c r="PFE157" s="191"/>
      <c r="PFF157" s="191"/>
      <c r="PFG157" s="191"/>
      <c r="PFH157" s="191"/>
      <c r="PFI157" s="191"/>
      <c r="PFJ157" s="191"/>
      <c r="PFK157" s="191"/>
      <c r="PFL157" s="191"/>
      <c r="PFM157" s="191"/>
      <c r="PFN157" s="191"/>
      <c r="PFO157" s="191"/>
      <c r="PFP157" s="191"/>
      <c r="PFQ157" s="191"/>
      <c r="PFR157" s="191"/>
      <c r="PFS157" s="191"/>
      <c r="PFT157" s="191"/>
      <c r="PFU157" s="191"/>
      <c r="PFV157" s="191"/>
      <c r="PFW157" s="191"/>
      <c r="PFX157" s="191"/>
      <c r="PFY157" s="191"/>
      <c r="PFZ157" s="191"/>
      <c r="PGA157" s="191"/>
      <c r="PGB157" s="191"/>
      <c r="PGC157" s="191"/>
      <c r="PGD157" s="191"/>
      <c r="PGE157" s="191"/>
      <c r="PGF157" s="191"/>
      <c r="PGG157" s="191"/>
      <c r="PGH157" s="191"/>
      <c r="PGI157" s="191"/>
      <c r="PGJ157" s="191"/>
      <c r="PGK157" s="191"/>
      <c r="PGL157" s="191"/>
      <c r="PGM157" s="191"/>
      <c r="PGN157" s="191"/>
      <c r="PGO157" s="191"/>
      <c r="PGP157" s="191"/>
      <c r="PGQ157" s="191"/>
      <c r="PGR157" s="191"/>
      <c r="PGS157" s="191"/>
      <c r="PGT157" s="191"/>
      <c r="PGU157" s="191"/>
      <c r="PGV157" s="191"/>
      <c r="PGW157" s="191"/>
      <c r="PGX157" s="191"/>
      <c r="PGY157" s="191"/>
      <c r="PGZ157" s="191"/>
      <c r="PHA157" s="191"/>
      <c r="PHB157" s="191"/>
      <c r="PHC157" s="191"/>
      <c r="PHD157" s="191"/>
      <c r="PHE157" s="191"/>
      <c r="PHF157" s="191"/>
      <c r="PHG157" s="191"/>
      <c r="PHH157" s="191"/>
      <c r="PHI157" s="191"/>
      <c r="PHJ157" s="191"/>
      <c r="PHK157" s="191"/>
      <c r="PHL157" s="191"/>
      <c r="PHM157" s="191"/>
      <c r="PHN157" s="191"/>
      <c r="PHO157" s="191"/>
      <c r="PHP157" s="191"/>
      <c r="PHQ157" s="191"/>
      <c r="PHR157" s="191"/>
      <c r="PHS157" s="191"/>
      <c r="PHT157" s="191"/>
      <c r="PHU157" s="191"/>
      <c r="PHV157" s="191"/>
      <c r="PHW157" s="191"/>
      <c r="PHX157" s="191"/>
      <c r="PHY157" s="191"/>
      <c r="PHZ157" s="191"/>
      <c r="PIA157" s="191"/>
      <c r="PIB157" s="191"/>
      <c r="PIC157" s="191"/>
      <c r="PID157" s="191"/>
      <c r="PIE157" s="191"/>
      <c r="PIF157" s="191"/>
      <c r="PIG157" s="191"/>
      <c r="PIH157" s="191"/>
      <c r="PII157" s="191"/>
      <c r="PIJ157" s="191"/>
      <c r="PIK157" s="191"/>
      <c r="PIL157" s="191"/>
      <c r="PIM157" s="191"/>
      <c r="PIN157" s="191"/>
      <c r="PIO157" s="191"/>
      <c r="PIP157" s="191"/>
      <c r="PIQ157" s="191"/>
      <c r="PIR157" s="191"/>
      <c r="PIS157" s="191"/>
      <c r="PIT157" s="191"/>
      <c r="PIU157" s="191"/>
      <c r="PIV157" s="191"/>
      <c r="PIW157" s="191"/>
      <c r="PIX157" s="191"/>
      <c r="PIY157" s="191"/>
      <c r="PIZ157" s="191"/>
      <c r="PJA157" s="191"/>
      <c r="PJB157" s="191"/>
      <c r="PJC157" s="191"/>
      <c r="PJD157" s="191"/>
      <c r="PJE157" s="191"/>
      <c r="PJF157" s="191"/>
      <c r="PJG157" s="191"/>
      <c r="PJH157" s="191"/>
      <c r="PJI157" s="191"/>
      <c r="PJJ157" s="191"/>
      <c r="PJK157" s="191"/>
      <c r="PJL157" s="191"/>
      <c r="PJM157" s="191"/>
      <c r="PJN157" s="191"/>
      <c r="PJO157" s="191"/>
      <c r="PJP157" s="191"/>
      <c r="PJQ157" s="191"/>
      <c r="PJR157" s="191"/>
      <c r="PJS157" s="191"/>
      <c r="PJT157" s="191"/>
      <c r="PJU157" s="191"/>
      <c r="PJV157" s="191"/>
      <c r="PJW157" s="191"/>
      <c r="PJX157" s="191"/>
      <c r="PJY157" s="191"/>
      <c r="PJZ157" s="191"/>
      <c r="PKA157" s="191"/>
      <c r="PKB157" s="191"/>
      <c r="PKC157" s="191"/>
      <c r="PKD157" s="191"/>
      <c r="PKE157" s="191"/>
      <c r="PKF157" s="191"/>
      <c r="PKG157" s="191"/>
      <c r="PKH157" s="191"/>
      <c r="PKI157" s="191"/>
      <c r="PKJ157" s="191"/>
      <c r="PKK157" s="191"/>
      <c r="PKL157" s="191"/>
      <c r="PKM157" s="191"/>
      <c r="PKN157" s="191"/>
      <c r="PKO157" s="191"/>
      <c r="PKP157" s="191"/>
      <c r="PKQ157" s="191"/>
      <c r="PKR157" s="191"/>
      <c r="PKS157" s="191"/>
      <c r="PKT157" s="191"/>
      <c r="PKU157" s="191"/>
      <c r="PKV157" s="191"/>
      <c r="PKW157" s="191"/>
      <c r="PKX157" s="191"/>
      <c r="PKY157" s="191"/>
      <c r="PKZ157" s="191"/>
      <c r="PLA157" s="191"/>
      <c r="PLB157" s="191"/>
      <c r="PLC157" s="191"/>
      <c r="PLD157" s="191"/>
      <c r="PLE157" s="191"/>
      <c r="PLF157" s="191"/>
      <c r="PLG157" s="191"/>
      <c r="PLH157" s="191"/>
      <c r="PLI157" s="191"/>
      <c r="PLJ157" s="191"/>
      <c r="PLK157" s="191"/>
      <c r="PLL157" s="191"/>
      <c r="PLM157" s="191"/>
      <c r="PLN157" s="191"/>
      <c r="PLO157" s="191"/>
      <c r="PLP157" s="191"/>
      <c r="PLQ157" s="191"/>
      <c r="PLR157" s="191"/>
      <c r="PLS157" s="191"/>
      <c r="PLT157" s="191"/>
      <c r="PLU157" s="191"/>
      <c r="PLV157" s="191"/>
      <c r="PLW157" s="191"/>
      <c r="PLX157" s="191"/>
      <c r="PLY157" s="191"/>
      <c r="PLZ157" s="191"/>
      <c r="PMA157" s="191"/>
      <c r="PMB157" s="191"/>
      <c r="PMC157" s="191"/>
      <c r="PMD157" s="191"/>
      <c r="PME157" s="191"/>
      <c r="PMF157" s="191"/>
      <c r="PMG157" s="191"/>
      <c r="PMH157" s="191"/>
      <c r="PMI157" s="191"/>
      <c r="PMJ157" s="191"/>
      <c r="PMK157" s="191"/>
      <c r="PML157" s="191"/>
      <c r="PMM157" s="191"/>
      <c r="PMN157" s="191"/>
      <c r="PMO157" s="191"/>
      <c r="PMP157" s="191"/>
      <c r="PMQ157" s="191"/>
      <c r="PMR157" s="191"/>
      <c r="PMS157" s="191"/>
      <c r="PMT157" s="191"/>
      <c r="PMU157" s="191"/>
      <c r="PMV157" s="191"/>
      <c r="PMW157" s="191"/>
      <c r="PMX157" s="191"/>
      <c r="PMY157" s="191"/>
      <c r="PMZ157" s="191"/>
      <c r="PNA157" s="191"/>
      <c r="PNB157" s="191"/>
      <c r="PNC157" s="191"/>
      <c r="PND157" s="191"/>
      <c r="PNE157" s="191"/>
      <c r="PNF157" s="191"/>
      <c r="PNG157" s="191"/>
      <c r="PNH157" s="191"/>
      <c r="PNI157" s="191"/>
      <c r="PNJ157" s="191"/>
      <c r="PNK157" s="191"/>
      <c r="PNL157" s="191"/>
      <c r="PNM157" s="191"/>
      <c r="PNN157" s="191"/>
      <c r="PNO157" s="191"/>
      <c r="PNP157" s="191"/>
      <c r="PNQ157" s="191"/>
      <c r="PNR157" s="191"/>
      <c r="PNS157" s="191"/>
      <c r="PNT157" s="191"/>
      <c r="PNU157" s="191"/>
      <c r="PNV157" s="191"/>
      <c r="PNW157" s="191"/>
      <c r="PNX157" s="191"/>
      <c r="PNY157" s="191"/>
      <c r="PNZ157" s="191"/>
      <c r="POA157" s="191"/>
      <c r="POB157" s="191"/>
      <c r="POC157" s="191"/>
      <c r="POD157" s="191"/>
      <c r="POE157" s="191"/>
      <c r="POF157" s="191"/>
      <c r="POG157" s="191"/>
      <c r="POH157" s="191"/>
      <c r="POI157" s="191"/>
      <c r="POJ157" s="191"/>
      <c r="POK157" s="191"/>
      <c r="POL157" s="191"/>
      <c r="POM157" s="191"/>
      <c r="PON157" s="191"/>
      <c r="POO157" s="191"/>
      <c r="POP157" s="191"/>
      <c r="POQ157" s="191"/>
      <c r="POR157" s="191"/>
      <c r="POS157" s="191"/>
      <c r="POT157" s="191"/>
      <c r="POU157" s="191"/>
      <c r="POV157" s="191"/>
      <c r="POW157" s="191"/>
      <c r="POX157" s="191"/>
      <c r="POY157" s="191"/>
      <c r="POZ157" s="191"/>
      <c r="PPA157" s="191"/>
      <c r="PPB157" s="191"/>
      <c r="PPC157" s="191"/>
      <c r="PPD157" s="191"/>
      <c r="PPE157" s="191"/>
      <c r="PPF157" s="191"/>
      <c r="PPG157" s="191"/>
      <c r="PPH157" s="191"/>
      <c r="PPI157" s="191"/>
      <c r="PPJ157" s="191"/>
      <c r="PPK157" s="191"/>
      <c r="PPL157" s="191"/>
      <c r="PPM157" s="191"/>
      <c r="PPN157" s="191"/>
      <c r="PPO157" s="191"/>
      <c r="PPP157" s="191"/>
      <c r="PPQ157" s="191"/>
      <c r="PPR157" s="191"/>
      <c r="PPS157" s="191"/>
      <c r="PPT157" s="191"/>
      <c r="PPU157" s="191"/>
      <c r="PPV157" s="191"/>
      <c r="PPW157" s="191"/>
      <c r="PPX157" s="191"/>
      <c r="PPY157" s="191"/>
      <c r="PPZ157" s="191"/>
      <c r="PQA157" s="191"/>
      <c r="PQB157" s="191"/>
      <c r="PQC157" s="191"/>
      <c r="PQD157" s="191"/>
      <c r="PQE157" s="191"/>
      <c r="PQF157" s="191"/>
      <c r="PQG157" s="191"/>
      <c r="PQH157" s="191"/>
      <c r="PQI157" s="191"/>
      <c r="PQJ157" s="191"/>
      <c r="PQK157" s="191"/>
      <c r="PQL157" s="191"/>
      <c r="PQM157" s="191"/>
      <c r="PQN157" s="191"/>
      <c r="PQO157" s="191"/>
      <c r="PQP157" s="191"/>
      <c r="PQQ157" s="191"/>
      <c r="PQR157" s="191"/>
      <c r="PQS157" s="191"/>
      <c r="PQT157" s="191"/>
      <c r="PQU157" s="191"/>
      <c r="PQV157" s="191"/>
      <c r="PQW157" s="191"/>
      <c r="PQX157" s="191"/>
      <c r="PQY157" s="191"/>
      <c r="PQZ157" s="191"/>
      <c r="PRA157" s="191"/>
      <c r="PRB157" s="191"/>
      <c r="PRC157" s="191"/>
      <c r="PRD157" s="191"/>
      <c r="PRE157" s="191"/>
      <c r="PRF157" s="191"/>
      <c r="PRG157" s="191"/>
      <c r="PRH157" s="191"/>
      <c r="PRI157" s="191"/>
      <c r="PRJ157" s="191"/>
      <c r="PRK157" s="191"/>
      <c r="PRL157" s="191"/>
      <c r="PRM157" s="191"/>
      <c r="PRN157" s="191"/>
      <c r="PRO157" s="191"/>
      <c r="PRP157" s="191"/>
      <c r="PRQ157" s="191"/>
      <c r="PRR157" s="191"/>
      <c r="PRS157" s="191"/>
      <c r="PRT157" s="191"/>
      <c r="PRU157" s="191"/>
      <c r="PRV157" s="191"/>
      <c r="PRW157" s="191"/>
      <c r="PRX157" s="191"/>
      <c r="PRY157" s="191"/>
      <c r="PRZ157" s="191"/>
      <c r="PSA157" s="191"/>
      <c r="PSB157" s="191"/>
      <c r="PSC157" s="191"/>
      <c r="PSD157" s="191"/>
      <c r="PSE157" s="191"/>
      <c r="PSF157" s="191"/>
      <c r="PSG157" s="191"/>
      <c r="PSH157" s="191"/>
      <c r="PSI157" s="191"/>
      <c r="PSJ157" s="191"/>
      <c r="PSK157" s="191"/>
      <c r="PSL157" s="191"/>
      <c r="PSM157" s="191"/>
      <c r="PSN157" s="191"/>
      <c r="PSO157" s="191"/>
      <c r="PSP157" s="191"/>
      <c r="PSQ157" s="191"/>
      <c r="PSR157" s="191"/>
      <c r="PSS157" s="191"/>
      <c r="PST157" s="191"/>
      <c r="PSU157" s="191"/>
      <c r="PSV157" s="191"/>
      <c r="PSW157" s="191"/>
      <c r="PSX157" s="191"/>
      <c r="PSY157" s="191"/>
      <c r="PSZ157" s="191"/>
      <c r="PTA157" s="191"/>
      <c r="PTB157" s="191"/>
      <c r="PTC157" s="191"/>
      <c r="PTD157" s="191"/>
      <c r="PTE157" s="191"/>
      <c r="PTF157" s="191"/>
      <c r="PTG157" s="191"/>
      <c r="PTH157" s="191"/>
      <c r="PTI157" s="191"/>
      <c r="PTJ157" s="191"/>
      <c r="PTK157" s="191"/>
      <c r="PTL157" s="191"/>
      <c r="PTM157" s="191"/>
      <c r="PTN157" s="191"/>
      <c r="PTO157" s="191"/>
      <c r="PTP157" s="191"/>
      <c r="PTQ157" s="191"/>
      <c r="PTR157" s="191"/>
      <c r="PTS157" s="191"/>
      <c r="PTT157" s="191"/>
      <c r="PTU157" s="191"/>
      <c r="PTV157" s="191"/>
      <c r="PTW157" s="191"/>
      <c r="PTX157" s="191"/>
      <c r="PTY157" s="191"/>
      <c r="PTZ157" s="191"/>
      <c r="PUA157" s="191"/>
      <c r="PUB157" s="191"/>
      <c r="PUC157" s="191"/>
      <c r="PUD157" s="191"/>
      <c r="PUE157" s="191"/>
      <c r="PUF157" s="191"/>
      <c r="PUG157" s="191"/>
      <c r="PUH157" s="191"/>
      <c r="PUI157" s="191"/>
      <c r="PUJ157" s="191"/>
      <c r="PUK157" s="191"/>
      <c r="PUL157" s="191"/>
      <c r="PUM157" s="191"/>
      <c r="PUN157" s="191"/>
      <c r="PUO157" s="191"/>
      <c r="PUP157" s="191"/>
      <c r="PUQ157" s="191"/>
      <c r="PUR157" s="191"/>
      <c r="PUS157" s="191"/>
      <c r="PUT157" s="191"/>
      <c r="PUU157" s="191"/>
      <c r="PUV157" s="191"/>
      <c r="PUW157" s="191"/>
      <c r="PUX157" s="191"/>
      <c r="PUY157" s="191"/>
      <c r="PUZ157" s="191"/>
      <c r="PVA157" s="191"/>
      <c r="PVB157" s="191"/>
      <c r="PVC157" s="191"/>
      <c r="PVD157" s="191"/>
      <c r="PVE157" s="191"/>
      <c r="PVF157" s="191"/>
      <c r="PVG157" s="191"/>
      <c r="PVH157" s="191"/>
      <c r="PVI157" s="191"/>
      <c r="PVJ157" s="191"/>
      <c r="PVK157" s="191"/>
      <c r="PVL157" s="191"/>
      <c r="PVM157" s="191"/>
      <c r="PVN157" s="191"/>
      <c r="PVO157" s="191"/>
      <c r="PVP157" s="191"/>
      <c r="PVQ157" s="191"/>
      <c r="PVR157" s="191"/>
      <c r="PVS157" s="191"/>
      <c r="PVT157" s="191"/>
      <c r="PVU157" s="191"/>
      <c r="PVV157" s="191"/>
      <c r="PVW157" s="191"/>
      <c r="PVX157" s="191"/>
      <c r="PVY157" s="191"/>
      <c r="PVZ157" s="191"/>
      <c r="PWA157" s="191"/>
      <c r="PWB157" s="191"/>
      <c r="PWC157" s="191"/>
      <c r="PWD157" s="191"/>
      <c r="PWE157" s="191"/>
      <c r="PWF157" s="191"/>
      <c r="PWG157" s="191"/>
      <c r="PWH157" s="191"/>
      <c r="PWI157" s="191"/>
      <c r="PWJ157" s="191"/>
      <c r="PWK157" s="191"/>
      <c r="PWL157" s="191"/>
      <c r="PWM157" s="191"/>
      <c r="PWN157" s="191"/>
      <c r="PWO157" s="191"/>
      <c r="PWP157" s="191"/>
      <c r="PWQ157" s="191"/>
      <c r="PWR157" s="191"/>
      <c r="PWS157" s="191"/>
      <c r="PWT157" s="191"/>
      <c r="PWU157" s="191"/>
      <c r="PWV157" s="191"/>
      <c r="PWW157" s="191"/>
      <c r="PWX157" s="191"/>
      <c r="PWY157" s="191"/>
      <c r="PWZ157" s="191"/>
      <c r="PXA157" s="191"/>
      <c r="PXB157" s="191"/>
      <c r="PXC157" s="191"/>
      <c r="PXD157" s="191"/>
      <c r="PXE157" s="191"/>
      <c r="PXF157" s="191"/>
      <c r="PXG157" s="191"/>
      <c r="PXH157" s="191"/>
      <c r="PXI157" s="191"/>
      <c r="PXJ157" s="191"/>
      <c r="PXK157" s="191"/>
      <c r="PXL157" s="191"/>
      <c r="PXM157" s="191"/>
      <c r="PXN157" s="191"/>
      <c r="PXO157" s="191"/>
      <c r="PXP157" s="191"/>
      <c r="PXQ157" s="191"/>
      <c r="PXR157" s="191"/>
      <c r="PXS157" s="191"/>
      <c r="PXT157" s="191"/>
      <c r="PXU157" s="191"/>
      <c r="PXV157" s="191"/>
      <c r="PXW157" s="191"/>
      <c r="PXX157" s="191"/>
      <c r="PXY157" s="191"/>
      <c r="PXZ157" s="191"/>
      <c r="PYA157" s="191"/>
      <c r="PYB157" s="191"/>
      <c r="PYC157" s="191"/>
      <c r="PYD157" s="191"/>
      <c r="PYE157" s="191"/>
      <c r="PYF157" s="191"/>
      <c r="PYG157" s="191"/>
      <c r="PYH157" s="191"/>
      <c r="PYI157" s="191"/>
      <c r="PYJ157" s="191"/>
      <c r="PYK157" s="191"/>
      <c r="PYL157" s="191"/>
      <c r="PYM157" s="191"/>
      <c r="PYN157" s="191"/>
      <c r="PYO157" s="191"/>
      <c r="PYP157" s="191"/>
      <c r="PYQ157" s="191"/>
      <c r="PYR157" s="191"/>
      <c r="PYS157" s="191"/>
      <c r="PYT157" s="191"/>
      <c r="PYU157" s="191"/>
      <c r="PYV157" s="191"/>
      <c r="PYW157" s="191"/>
      <c r="PYX157" s="191"/>
      <c r="PYY157" s="191"/>
      <c r="PYZ157" s="191"/>
      <c r="PZA157" s="191"/>
      <c r="PZB157" s="191"/>
      <c r="PZC157" s="191"/>
      <c r="PZD157" s="191"/>
      <c r="PZE157" s="191"/>
      <c r="PZF157" s="191"/>
      <c r="PZG157" s="191"/>
      <c r="PZH157" s="191"/>
      <c r="PZI157" s="191"/>
      <c r="PZJ157" s="191"/>
      <c r="PZK157" s="191"/>
      <c r="PZL157" s="191"/>
      <c r="PZM157" s="191"/>
      <c r="PZN157" s="191"/>
      <c r="PZO157" s="191"/>
      <c r="PZP157" s="191"/>
      <c r="PZQ157" s="191"/>
      <c r="PZR157" s="191"/>
      <c r="PZS157" s="191"/>
      <c r="PZT157" s="191"/>
      <c r="PZU157" s="191"/>
      <c r="PZV157" s="191"/>
      <c r="PZW157" s="191"/>
      <c r="PZX157" s="191"/>
      <c r="PZY157" s="191"/>
      <c r="PZZ157" s="191"/>
      <c r="QAA157" s="191"/>
      <c r="QAB157" s="191"/>
      <c r="QAC157" s="191"/>
      <c r="QAD157" s="191"/>
      <c r="QAE157" s="191"/>
      <c r="QAF157" s="191"/>
      <c r="QAG157" s="191"/>
      <c r="QAH157" s="191"/>
      <c r="QAI157" s="191"/>
      <c r="QAJ157" s="191"/>
      <c r="QAK157" s="191"/>
      <c r="QAL157" s="191"/>
      <c r="QAM157" s="191"/>
      <c r="QAN157" s="191"/>
      <c r="QAO157" s="191"/>
      <c r="QAP157" s="191"/>
      <c r="QAQ157" s="191"/>
      <c r="QAR157" s="191"/>
      <c r="QAS157" s="191"/>
      <c r="QAT157" s="191"/>
      <c r="QAU157" s="191"/>
      <c r="QAV157" s="191"/>
      <c r="QAW157" s="191"/>
      <c r="QAX157" s="191"/>
      <c r="QAY157" s="191"/>
      <c r="QAZ157" s="191"/>
      <c r="QBA157" s="191"/>
      <c r="QBB157" s="191"/>
      <c r="QBC157" s="191"/>
      <c r="QBD157" s="191"/>
      <c r="QBE157" s="191"/>
      <c r="QBF157" s="191"/>
      <c r="QBG157" s="191"/>
      <c r="QBH157" s="191"/>
      <c r="QBI157" s="191"/>
      <c r="QBJ157" s="191"/>
      <c r="QBK157" s="191"/>
      <c r="QBL157" s="191"/>
      <c r="QBM157" s="191"/>
      <c r="QBN157" s="191"/>
      <c r="QBO157" s="191"/>
      <c r="QBP157" s="191"/>
      <c r="QBQ157" s="191"/>
      <c r="QBR157" s="191"/>
      <c r="QBS157" s="191"/>
      <c r="QBT157" s="191"/>
      <c r="QBU157" s="191"/>
      <c r="QBV157" s="191"/>
      <c r="QBW157" s="191"/>
      <c r="QBX157" s="191"/>
      <c r="QBY157" s="191"/>
      <c r="QBZ157" s="191"/>
      <c r="QCA157" s="191"/>
      <c r="QCB157" s="191"/>
      <c r="QCC157" s="191"/>
      <c r="QCD157" s="191"/>
      <c r="QCE157" s="191"/>
      <c r="QCF157" s="191"/>
      <c r="QCG157" s="191"/>
      <c r="QCH157" s="191"/>
      <c r="QCI157" s="191"/>
      <c r="QCJ157" s="191"/>
      <c r="QCK157" s="191"/>
      <c r="QCL157" s="191"/>
      <c r="QCM157" s="191"/>
      <c r="QCN157" s="191"/>
      <c r="QCO157" s="191"/>
      <c r="QCP157" s="191"/>
      <c r="QCQ157" s="191"/>
      <c r="QCR157" s="191"/>
      <c r="QCS157" s="191"/>
      <c r="QCT157" s="191"/>
      <c r="QCU157" s="191"/>
      <c r="QCV157" s="191"/>
      <c r="QCW157" s="191"/>
      <c r="QCX157" s="191"/>
      <c r="QCY157" s="191"/>
      <c r="QCZ157" s="191"/>
      <c r="QDA157" s="191"/>
      <c r="QDB157" s="191"/>
      <c r="QDC157" s="191"/>
      <c r="QDD157" s="191"/>
      <c r="QDE157" s="191"/>
      <c r="QDF157" s="191"/>
      <c r="QDG157" s="191"/>
      <c r="QDH157" s="191"/>
      <c r="QDI157" s="191"/>
      <c r="QDJ157" s="191"/>
      <c r="QDK157" s="191"/>
      <c r="QDL157" s="191"/>
      <c r="QDM157" s="191"/>
      <c r="QDN157" s="191"/>
      <c r="QDO157" s="191"/>
      <c r="QDP157" s="191"/>
      <c r="QDQ157" s="191"/>
      <c r="QDR157" s="191"/>
      <c r="QDS157" s="191"/>
      <c r="QDT157" s="191"/>
      <c r="QDU157" s="191"/>
      <c r="QDV157" s="191"/>
      <c r="QDW157" s="191"/>
      <c r="QDX157" s="191"/>
      <c r="QDY157" s="191"/>
      <c r="QDZ157" s="191"/>
      <c r="QEA157" s="191"/>
      <c r="QEB157" s="191"/>
      <c r="QEC157" s="191"/>
      <c r="QED157" s="191"/>
      <c r="QEE157" s="191"/>
      <c r="QEF157" s="191"/>
      <c r="QEG157" s="191"/>
      <c r="QEH157" s="191"/>
      <c r="QEI157" s="191"/>
      <c r="QEJ157" s="191"/>
      <c r="QEK157" s="191"/>
      <c r="QEL157" s="191"/>
      <c r="QEM157" s="191"/>
      <c r="QEN157" s="191"/>
      <c r="QEO157" s="191"/>
      <c r="QEP157" s="191"/>
      <c r="QEQ157" s="191"/>
      <c r="QER157" s="191"/>
      <c r="QES157" s="191"/>
      <c r="QET157" s="191"/>
      <c r="QEU157" s="191"/>
      <c r="QEV157" s="191"/>
      <c r="QEW157" s="191"/>
      <c r="QEX157" s="191"/>
      <c r="QEY157" s="191"/>
      <c r="QEZ157" s="191"/>
      <c r="QFA157" s="191"/>
      <c r="QFB157" s="191"/>
      <c r="QFC157" s="191"/>
      <c r="QFD157" s="191"/>
      <c r="QFE157" s="191"/>
      <c r="QFF157" s="191"/>
      <c r="QFG157" s="191"/>
      <c r="QFH157" s="191"/>
      <c r="QFI157" s="191"/>
      <c r="QFJ157" s="191"/>
      <c r="QFK157" s="191"/>
      <c r="QFL157" s="191"/>
      <c r="QFM157" s="191"/>
      <c r="QFN157" s="191"/>
      <c r="QFO157" s="191"/>
      <c r="QFP157" s="191"/>
      <c r="QFQ157" s="191"/>
      <c r="QFR157" s="191"/>
      <c r="QFS157" s="191"/>
      <c r="QFT157" s="191"/>
      <c r="QFU157" s="191"/>
      <c r="QFV157" s="191"/>
      <c r="QFW157" s="191"/>
      <c r="QFX157" s="191"/>
      <c r="QFY157" s="191"/>
      <c r="QFZ157" s="191"/>
      <c r="QGA157" s="191"/>
      <c r="QGB157" s="191"/>
      <c r="QGC157" s="191"/>
      <c r="QGD157" s="191"/>
      <c r="QGE157" s="191"/>
      <c r="QGF157" s="191"/>
      <c r="QGG157" s="191"/>
      <c r="QGH157" s="191"/>
      <c r="QGI157" s="191"/>
      <c r="QGJ157" s="191"/>
      <c r="QGK157" s="191"/>
      <c r="QGL157" s="191"/>
      <c r="QGM157" s="191"/>
      <c r="QGN157" s="191"/>
      <c r="QGO157" s="191"/>
      <c r="QGP157" s="191"/>
      <c r="QGQ157" s="191"/>
      <c r="QGR157" s="191"/>
      <c r="QGS157" s="191"/>
      <c r="QGT157" s="191"/>
      <c r="QGU157" s="191"/>
      <c r="QGV157" s="191"/>
      <c r="QGW157" s="191"/>
      <c r="QGX157" s="191"/>
      <c r="QGY157" s="191"/>
      <c r="QGZ157" s="191"/>
      <c r="QHA157" s="191"/>
      <c r="QHB157" s="191"/>
      <c r="QHC157" s="191"/>
      <c r="QHD157" s="191"/>
      <c r="QHE157" s="191"/>
      <c r="QHF157" s="191"/>
      <c r="QHG157" s="191"/>
      <c r="QHH157" s="191"/>
      <c r="QHI157" s="191"/>
      <c r="QHJ157" s="191"/>
      <c r="QHK157" s="191"/>
      <c r="QHL157" s="191"/>
      <c r="QHM157" s="191"/>
      <c r="QHN157" s="191"/>
      <c r="QHO157" s="191"/>
      <c r="QHP157" s="191"/>
      <c r="QHQ157" s="191"/>
      <c r="QHR157" s="191"/>
      <c r="QHS157" s="191"/>
      <c r="QHT157" s="191"/>
      <c r="QHU157" s="191"/>
      <c r="QHV157" s="191"/>
      <c r="QHW157" s="191"/>
      <c r="QHX157" s="191"/>
      <c r="QHY157" s="191"/>
      <c r="QHZ157" s="191"/>
      <c r="QIA157" s="191"/>
      <c r="QIB157" s="191"/>
      <c r="QIC157" s="191"/>
      <c r="QID157" s="191"/>
      <c r="QIE157" s="191"/>
      <c r="QIF157" s="191"/>
      <c r="QIG157" s="191"/>
      <c r="QIH157" s="191"/>
      <c r="QII157" s="191"/>
      <c r="QIJ157" s="191"/>
      <c r="QIK157" s="191"/>
      <c r="QIL157" s="191"/>
      <c r="QIM157" s="191"/>
      <c r="QIN157" s="191"/>
      <c r="QIO157" s="191"/>
      <c r="QIP157" s="191"/>
      <c r="QIQ157" s="191"/>
      <c r="QIR157" s="191"/>
      <c r="QIS157" s="191"/>
      <c r="QIT157" s="191"/>
      <c r="QIU157" s="191"/>
      <c r="QIV157" s="191"/>
      <c r="QIW157" s="191"/>
      <c r="QIX157" s="191"/>
      <c r="QIY157" s="191"/>
      <c r="QIZ157" s="191"/>
      <c r="QJA157" s="191"/>
      <c r="QJB157" s="191"/>
      <c r="QJC157" s="191"/>
      <c r="QJD157" s="191"/>
      <c r="QJE157" s="191"/>
      <c r="QJF157" s="191"/>
      <c r="QJG157" s="191"/>
      <c r="QJH157" s="191"/>
      <c r="QJI157" s="191"/>
      <c r="QJJ157" s="191"/>
      <c r="QJK157" s="191"/>
      <c r="QJL157" s="191"/>
      <c r="QJM157" s="191"/>
      <c r="QJN157" s="191"/>
      <c r="QJO157" s="191"/>
      <c r="QJP157" s="191"/>
      <c r="QJQ157" s="191"/>
      <c r="QJR157" s="191"/>
      <c r="QJS157" s="191"/>
      <c r="QJT157" s="191"/>
      <c r="QJU157" s="191"/>
      <c r="QJV157" s="191"/>
      <c r="QJW157" s="191"/>
      <c r="QJX157" s="191"/>
      <c r="QJY157" s="191"/>
      <c r="QJZ157" s="191"/>
      <c r="QKA157" s="191"/>
      <c r="QKB157" s="191"/>
      <c r="QKC157" s="191"/>
      <c r="QKD157" s="191"/>
      <c r="QKE157" s="191"/>
      <c r="QKF157" s="191"/>
      <c r="QKG157" s="191"/>
      <c r="QKH157" s="191"/>
      <c r="QKI157" s="191"/>
      <c r="QKJ157" s="191"/>
      <c r="QKK157" s="191"/>
      <c r="QKL157" s="191"/>
      <c r="QKM157" s="191"/>
      <c r="QKN157" s="191"/>
      <c r="QKO157" s="191"/>
      <c r="QKP157" s="191"/>
      <c r="QKQ157" s="191"/>
      <c r="QKR157" s="191"/>
      <c r="QKS157" s="191"/>
      <c r="QKT157" s="191"/>
      <c r="QKU157" s="191"/>
      <c r="QKV157" s="191"/>
      <c r="QKW157" s="191"/>
      <c r="QKX157" s="191"/>
      <c r="QKY157" s="191"/>
      <c r="QKZ157" s="191"/>
      <c r="QLA157" s="191"/>
      <c r="QLB157" s="191"/>
      <c r="QLC157" s="191"/>
      <c r="QLD157" s="191"/>
      <c r="QLE157" s="191"/>
      <c r="QLF157" s="191"/>
      <c r="QLG157" s="191"/>
      <c r="QLH157" s="191"/>
      <c r="QLI157" s="191"/>
      <c r="QLJ157" s="191"/>
      <c r="QLK157" s="191"/>
      <c r="QLL157" s="191"/>
      <c r="QLM157" s="191"/>
      <c r="QLN157" s="191"/>
      <c r="QLO157" s="191"/>
      <c r="QLP157" s="191"/>
      <c r="QLQ157" s="191"/>
      <c r="QLR157" s="191"/>
      <c r="QLS157" s="191"/>
      <c r="QLT157" s="191"/>
      <c r="QLU157" s="191"/>
      <c r="QLV157" s="191"/>
      <c r="QLW157" s="191"/>
      <c r="QLX157" s="191"/>
      <c r="QLY157" s="191"/>
      <c r="QLZ157" s="191"/>
      <c r="QMA157" s="191"/>
      <c r="QMB157" s="191"/>
      <c r="QMC157" s="191"/>
      <c r="QMD157" s="191"/>
      <c r="QME157" s="191"/>
      <c r="QMF157" s="191"/>
      <c r="QMG157" s="191"/>
      <c r="QMH157" s="191"/>
      <c r="QMI157" s="191"/>
      <c r="QMJ157" s="191"/>
      <c r="QMK157" s="191"/>
      <c r="QML157" s="191"/>
      <c r="QMM157" s="191"/>
      <c r="QMN157" s="191"/>
      <c r="QMO157" s="191"/>
      <c r="QMP157" s="191"/>
      <c r="QMQ157" s="191"/>
      <c r="QMR157" s="191"/>
      <c r="QMS157" s="191"/>
      <c r="QMT157" s="191"/>
      <c r="QMU157" s="191"/>
      <c r="QMV157" s="191"/>
      <c r="QMW157" s="191"/>
      <c r="QMX157" s="191"/>
      <c r="QMY157" s="191"/>
      <c r="QMZ157" s="191"/>
      <c r="QNA157" s="191"/>
      <c r="QNB157" s="191"/>
      <c r="QNC157" s="191"/>
      <c r="QND157" s="191"/>
      <c r="QNE157" s="191"/>
      <c r="QNF157" s="191"/>
      <c r="QNG157" s="191"/>
      <c r="QNH157" s="191"/>
      <c r="QNI157" s="191"/>
      <c r="QNJ157" s="191"/>
      <c r="QNK157" s="191"/>
      <c r="QNL157" s="191"/>
      <c r="QNM157" s="191"/>
      <c r="QNN157" s="191"/>
      <c r="QNO157" s="191"/>
      <c r="QNP157" s="191"/>
      <c r="QNQ157" s="191"/>
      <c r="QNR157" s="191"/>
      <c r="QNS157" s="191"/>
      <c r="QNT157" s="191"/>
      <c r="QNU157" s="191"/>
      <c r="QNV157" s="191"/>
      <c r="QNW157" s="191"/>
      <c r="QNX157" s="191"/>
      <c r="QNY157" s="191"/>
      <c r="QNZ157" s="191"/>
      <c r="QOA157" s="191"/>
      <c r="QOB157" s="191"/>
      <c r="QOC157" s="191"/>
      <c r="QOD157" s="191"/>
      <c r="QOE157" s="191"/>
      <c r="QOF157" s="191"/>
      <c r="QOG157" s="191"/>
      <c r="QOH157" s="191"/>
      <c r="QOI157" s="191"/>
      <c r="QOJ157" s="191"/>
      <c r="QOK157" s="191"/>
      <c r="QOL157" s="191"/>
      <c r="QOM157" s="191"/>
      <c r="QON157" s="191"/>
      <c r="QOO157" s="191"/>
      <c r="QOP157" s="191"/>
      <c r="QOQ157" s="191"/>
      <c r="QOR157" s="191"/>
      <c r="QOS157" s="191"/>
      <c r="QOT157" s="191"/>
      <c r="QOU157" s="191"/>
      <c r="QOV157" s="191"/>
      <c r="QOW157" s="191"/>
      <c r="QOX157" s="191"/>
      <c r="QOY157" s="191"/>
      <c r="QOZ157" s="191"/>
      <c r="QPA157" s="191"/>
      <c r="QPB157" s="191"/>
      <c r="QPC157" s="191"/>
      <c r="QPD157" s="191"/>
      <c r="QPE157" s="191"/>
      <c r="QPF157" s="191"/>
      <c r="QPG157" s="191"/>
      <c r="QPH157" s="191"/>
      <c r="QPI157" s="191"/>
      <c r="QPJ157" s="191"/>
      <c r="QPK157" s="191"/>
      <c r="QPL157" s="191"/>
      <c r="QPM157" s="191"/>
      <c r="QPN157" s="191"/>
      <c r="QPO157" s="191"/>
      <c r="QPP157" s="191"/>
      <c r="QPQ157" s="191"/>
      <c r="QPR157" s="191"/>
      <c r="QPS157" s="191"/>
      <c r="QPT157" s="191"/>
      <c r="QPU157" s="191"/>
      <c r="QPV157" s="191"/>
      <c r="QPW157" s="191"/>
      <c r="QPX157" s="191"/>
      <c r="QPY157" s="191"/>
      <c r="QPZ157" s="191"/>
      <c r="QQA157" s="191"/>
      <c r="QQB157" s="191"/>
      <c r="QQC157" s="191"/>
      <c r="QQD157" s="191"/>
      <c r="QQE157" s="191"/>
      <c r="QQF157" s="191"/>
      <c r="QQG157" s="191"/>
      <c r="QQH157" s="191"/>
      <c r="QQI157" s="191"/>
      <c r="QQJ157" s="191"/>
      <c r="QQK157" s="191"/>
      <c r="QQL157" s="191"/>
      <c r="QQM157" s="191"/>
      <c r="QQN157" s="191"/>
      <c r="QQO157" s="191"/>
      <c r="QQP157" s="191"/>
      <c r="QQQ157" s="191"/>
      <c r="QQR157" s="191"/>
      <c r="QQS157" s="191"/>
      <c r="QQT157" s="191"/>
      <c r="QQU157" s="191"/>
      <c r="QQV157" s="191"/>
      <c r="QQW157" s="191"/>
      <c r="QQX157" s="191"/>
      <c r="QQY157" s="191"/>
      <c r="QQZ157" s="191"/>
      <c r="QRA157" s="191"/>
      <c r="QRB157" s="191"/>
      <c r="QRC157" s="191"/>
      <c r="QRD157" s="191"/>
      <c r="QRE157" s="191"/>
      <c r="QRF157" s="191"/>
      <c r="QRG157" s="191"/>
      <c r="QRH157" s="191"/>
      <c r="QRI157" s="191"/>
      <c r="QRJ157" s="191"/>
      <c r="QRK157" s="191"/>
      <c r="QRL157" s="191"/>
      <c r="QRM157" s="191"/>
      <c r="QRN157" s="191"/>
      <c r="QRO157" s="191"/>
      <c r="QRP157" s="191"/>
      <c r="QRQ157" s="191"/>
      <c r="QRR157" s="191"/>
      <c r="QRS157" s="191"/>
      <c r="QRT157" s="191"/>
      <c r="QRU157" s="191"/>
      <c r="QRV157" s="191"/>
      <c r="QRW157" s="191"/>
      <c r="QRX157" s="191"/>
      <c r="QRY157" s="191"/>
      <c r="QRZ157" s="191"/>
      <c r="QSA157" s="191"/>
      <c r="QSB157" s="191"/>
      <c r="QSC157" s="191"/>
      <c r="QSD157" s="191"/>
      <c r="QSE157" s="191"/>
      <c r="QSF157" s="191"/>
      <c r="QSG157" s="191"/>
      <c r="QSH157" s="191"/>
      <c r="QSI157" s="191"/>
      <c r="QSJ157" s="191"/>
      <c r="QSK157" s="191"/>
      <c r="QSL157" s="191"/>
      <c r="QSM157" s="191"/>
      <c r="QSN157" s="191"/>
      <c r="QSO157" s="191"/>
      <c r="QSP157" s="191"/>
      <c r="QSQ157" s="191"/>
      <c r="QSR157" s="191"/>
      <c r="QSS157" s="191"/>
      <c r="QST157" s="191"/>
      <c r="QSU157" s="191"/>
      <c r="QSV157" s="191"/>
      <c r="QSW157" s="191"/>
      <c r="QSX157" s="191"/>
      <c r="QSY157" s="191"/>
      <c r="QSZ157" s="191"/>
      <c r="QTA157" s="191"/>
      <c r="QTB157" s="191"/>
      <c r="QTC157" s="191"/>
      <c r="QTD157" s="191"/>
      <c r="QTE157" s="191"/>
      <c r="QTF157" s="191"/>
      <c r="QTG157" s="191"/>
      <c r="QTH157" s="191"/>
      <c r="QTI157" s="191"/>
      <c r="QTJ157" s="191"/>
      <c r="QTK157" s="191"/>
      <c r="QTL157" s="191"/>
      <c r="QTM157" s="191"/>
      <c r="QTN157" s="191"/>
      <c r="QTO157" s="191"/>
      <c r="QTP157" s="191"/>
      <c r="QTQ157" s="191"/>
      <c r="QTR157" s="191"/>
      <c r="QTS157" s="191"/>
      <c r="QTT157" s="191"/>
      <c r="QTU157" s="191"/>
      <c r="QTV157" s="191"/>
      <c r="QTW157" s="191"/>
      <c r="QTX157" s="191"/>
      <c r="QTY157" s="191"/>
      <c r="QTZ157" s="191"/>
      <c r="QUA157" s="191"/>
      <c r="QUB157" s="191"/>
      <c r="QUC157" s="191"/>
      <c r="QUD157" s="191"/>
      <c r="QUE157" s="191"/>
      <c r="QUF157" s="191"/>
      <c r="QUG157" s="191"/>
      <c r="QUH157" s="191"/>
      <c r="QUI157" s="191"/>
      <c r="QUJ157" s="191"/>
      <c r="QUK157" s="191"/>
      <c r="QUL157" s="191"/>
      <c r="QUM157" s="191"/>
      <c r="QUN157" s="191"/>
      <c r="QUO157" s="191"/>
      <c r="QUP157" s="191"/>
      <c r="QUQ157" s="191"/>
      <c r="QUR157" s="191"/>
      <c r="QUS157" s="191"/>
      <c r="QUT157" s="191"/>
      <c r="QUU157" s="191"/>
      <c r="QUV157" s="191"/>
      <c r="QUW157" s="191"/>
      <c r="QUX157" s="191"/>
      <c r="QUY157" s="191"/>
      <c r="QUZ157" s="191"/>
      <c r="QVA157" s="191"/>
      <c r="QVB157" s="191"/>
      <c r="QVC157" s="191"/>
      <c r="QVD157" s="191"/>
      <c r="QVE157" s="191"/>
      <c r="QVF157" s="191"/>
      <c r="QVG157" s="191"/>
      <c r="QVH157" s="191"/>
      <c r="QVI157" s="191"/>
      <c r="QVJ157" s="191"/>
      <c r="QVK157" s="191"/>
      <c r="QVL157" s="191"/>
      <c r="QVM157" s="191"/>
      <c r="QVN157" s="191"/>
      <c r="QVO157" s="191"/>
      <c r="QVP157" s="191"/>
      <c r="QVQ157" s="191"/>
      <c r="QVR157" s="191"/>
      <c r="QVS157" s="191"/>
      <c r="QVT157" s="191"/>
      <c r="QVU157" s="191"/>
      <c r="QVV157" s="191"/>
      <c r="QVW157" s="191"/>
      <c r="QVX157" s="191"/>
      <c r="QVY157" s="191"/>
      <c r="QVZ157" s="191"/>
      <c r="QWA157" s="191"/>
      <c r="QWB157" s="191"/>
      <c r="QWC157" s="191"/>
      <c r="QWD157" s="191"/>
      <c r="QWE157" s="191"/>
      <c r="QWF157" s="191"/>
      <c r="QWG157" s="191"/>
      <c r="QWH157" s="191"/>
      <c r="QWI157" s="191"/>
      <c r="QWJ157" s="191"/>
      <c r="QWK157" s="191"/>
      <c r="QWL157" s="191"/>
      <c r="QWM157" s="191"/>
      <c r="QWN157" s="191"/>
      <c r="QWO157" s="191"/>
      <c r="QWP157" s="191"/>
      <c r="QWQ157" s="191"/>
      <c r="QWR157" s="191"/>
      <c r="QWS157" s="191"/>
      <c r="QWT157" s="191"/>
      <c r="QWU157" s="191"/>
      <c r="QWV157" s="191"/>
      <c r="QWW157" s="191"/>
      <c r="QWX157" s="191"/>
      <c r="QWY157" s="191"/>
      <c r="QWZ157" s="191"/>
      <c r="QXA157" s="191"/>
      <c r="QXB157" s="191"/>
      <c r="QXC157" s="191"/>
      <c r="QXD157" s="191"/>
      <c r="QXE157" s="191"/>
      <c r="QXF157" s="191"/>
      <c r="QXG157" s="191"/>
      <c r="QXH157" s="191"/>
      <c r="QXI157" s="191"/>
      <c r="QXJ157" s="191"/>
      <c r="QXK157" s="191"/>
      <c r="QXL157" s="191"/>
      <c r="QXM157" s="191"/>
      <c r="QXN157" s="191"/>
      <c r="QXO157" s="191"/>
      <c r="QXP157" s="191"/>
      <c r="QXQ157" s="191"/>
      <c r="QXR157" s="191"/>
      <c r="QXS157" s="191"/>
      <c r="QXT157" s="191"/>
      <c r="QXU157" s="191"/>
      <c r="QXV157" s="191"/>
      <c r="QXW157" s="191"/>
      <c r="QXX157" s="191"/>
      <c r="QXY157" s="191"/>
      <c r="QXZ157" s="191"/>
      <c r="QYA157" s="191"/>
      <c r="QYB157" s="191"/>
      <c r="QYC157" s="191"/>
      <c r="QYD157" s="191"/>
      <c r="QYE157" s="191"/>
      <c r="QYF157" s="191"/>
      <c r="QYG157" s="191"/>
      <c r="QYH157" s="191"/>
      <c r="QYI157" s="191"/>
      <c r="QYJ157" s="191"/>
      <c r="QYK157" s="191"/>
      <c r="QYL157" s="191"/>
      <c r="QYM157" s="191"/>
      <c r="QYN157" s="191"/>
      <c r="QYO157" s="191"/>
      <c r="QYP157" s="191"/>
      <c r="QYQ157" s="191"/>
      <c r="QYR157" s="191"/>
      <c r="QYS157" s="191"/>
      <c r="QYT157" s="191"/>
      <c r="QYU157" s="191"/>
      <c r="QYV157" s="191"/>
      <c r="QYW157" s="191"/>
      <c r="QYX157" s="191"/>
      <c r="QYY157" s="191"/>
      <c r="QYZ157" s="191"/>
      <c r="QZA157" s="191"/>
      <c r="QZB157" s="191"/>
      <c r="QZC157" s="191"/>
      <c r="QZD157" s="191"/>
      <c r="QZE157" s="191"/>
      <c r="QZF157" s="191"/>
      <c r="QZG157" s="191"/>
      <c r="QZH157" s="191"/>
      <c r="QZI157" s="191"/>
      <c r="QZJ157" s="191"/>
      <c r="QZK157" s="191"/>
      <c r="QZL157" s="191"/>
      <c r="QZM157" s="191"/>
      <c r="QZN157" s="191"/>
      <c r="QZO157" s="191"/>
      <c r="QZP157" s="191"/>
      <c r="QZQ157" s="191"/>
      <c r="QZR157" s="191"/>
      <c r="QZS157" s="191"/>
      <c r="QZT157" s="191"/>
      <c r="QZU157" s="191"/>
      <c r="QZV157" s="191"/>
      <c r="QZW157" s="191"/>
      <c r="QZX157" s="191"/>
      <c r="QZY157" s="191"/>
      <c r="QZZ157" s="191"/>
      <c r="RAA157" s="191"/>
      <c r="RAB157" s="191"/>
      <c r="RAC157" s="191"/>
      <c r="RAD157" s="191"/>
      <c r="RAE157" s="191"/>
      <c r="RAF157" s="191"/>
      <c r="RAG157" s="191"/>
      <c r="RAH157" s="191"/>
      <c r="RAI157" s="191"/>
      <c r="RAJ157" s="191"/>
      <c r="RAK157" s="191"/>
      <c r="RAL157" s="191"/>
      <c r="RAM157" s="191"/>
      <c r="RAN157" s="191"/>
      <c r="RAO157" s="191"/>
      <c r="RAP157" s="191"/>
      <c r="RAQ157" s="191"/>
      <c r="RAR157" s="191"/>
      <c r="RAS157" s="191"/>
      <c r="RAT157" s="191"/>
      <c r="RAU157" s="191"/>
      <c r="RAV157" s="191"/>
      <c r="RAW157" s="191"/>
      <c r="RAX157" s="191"/>
      <c r="RAY157" s="191"/>
      <c r="RAZ157" s="191"/>
      <c r="RBA157" s="191"/>
      <c r="RBB157" s="191"/>
      <c r="RBC157" s="191"/>
      <c r="RBD157" s="191"/>
      <c r="RBE157" s="191"/>
      <c r="RBF157" s="191"/>
      <c r="RBG157" s="191"/>
      <c r="RBH157" s="191"/>
      <c r="RBI157" s="191"/>
      <c r="RBJ157" s="191"/>
      <c r="RBK157" s="191"/>
      <c r="RBL157" s="191"/>
      <c r="RBM157" s="191"/>
      <c r="RBN157" s="191"/>
      <c r="RBO157" s="191"/>
      <c r="RBP157" s="191"/>
      <c r="RBQ157" s="191"/>
      <c r="RBR157" s="191"/>
      <c r="RBS157" s="191"/>
      <c r="RBT157" s="191"/>
      <c r="RBU157" s="191"/>
      <c r="RBV157" s="191"/>
      <c r="RBW157" s="191"/>
      <c r="RBX157" s="191"/>
      <c r="RBY157" s="191"/>
      <c r="RBZ157" s="191"/>
      <c r="RCA157" s="191"/>
      <c r="RCB157" s="191"/>
      <c r="RCC157" s="191"/>
      <c r="RCD157" s="191"/>
      <c r="RCE157" s="191"/>
      <c r="RCF157" s="191"/>
      <c r="RCG157" s="191"/>
      <c r="RCH157" s="191"/>
      <c r="RCI157" s="191"/>
      <c r="RCJ157" s="191"/>
      <c r="RCK157" s="191"/>
      <c r="RCL157" s="191"/>
      <c r="RCM157" s="191"/>
      <c r="RCN157" s="191"/>
      <c r="RCO157" s="191"/>
      <c r="RCP157" s="191"/>
      <c r="RCQ157" s="191"/>
      <c r="RCR157" s="191"/>
      <c r="RCS157" s="191"/>
      <c r="RCT157" s="191"/>
      <c r="RCU157" s="191"/>
      <c r="RCV157" s="191"/>
      <c r="RCW157" s="191"/>
      <c r="RCX157" s="191"/>
      <c r="RCY157" s="191"/>
      <c r="RCZ157" s="191"/>
      <c r="RDA157" s="191"/>
      <c r="RDB157" s="191"/>
      <c r="RDC157" s="191"/>
      <c r="RDD157" s="191"/>
      <c r="RDE157" s="191"/>
      <c r="RDF157" s="191"/>
      <c r="RDG157" s="191"/>
      <c r="RDH157" s="191"/>
      <c r="RDI157" s="191"/>
      <c r="RDJ157" s="191"/>
      <c r="RDK157" s="191"/>
      <c r="RDL157" s="191"/>
      <c r="RDM157" s="191"/>
      <c r="RDN157" s="191"/>
      <c r="RDO157" s="191"/>
      <c r="RDP157" s="191"/>
      <c r="RDQ157" s="191"/>
      <c r="RDR157" s="191"/>
      <c r="RDS157" s="191"/>
      <c r="RDT157" s="191"/>
      <c r="RDU157" s="191"/>
      <c r="RDV157" s="191"/>
      <c r="RDW157" s="191"/>
      <c r="RDX157" s="191"/>
      <c r="RDY157" s="191"/>
      <c r="RDZ157" s="191"/>
      <c r="REA157" s="191"/>
      <c r="REB157" s="191"/>
      <c r="REC157" s="191"/>
      <c r="RED157" s="191"/>
      <c r="REE157" s="191"/>
      <c r="REF157" s="191"/>
      <c r="REG157" s="191"/>
      <c r="REH157" s="191"/>
      <c r="REI157" s="191"/>
      <c r="REJ157" s="191"/>
      <c r="REK157" s="191"/>
      <c r="REL157" s="191"/>
      <c r="REM157" s="191"/>
      <c r="REN157" s="191"/>
      <c r="REO157" s="191"/>
      <c r="REP157" s="191"/>
      <c r="REQ157" s="191"/>
      <c r="RER157" s="191"/>
      <c r="RES157" s="191"/>
      <c r="RET157" s="191"/>
      <c r="REU157" s="191"/>
      <c r="REV157" s="191"/>
      <c r="REW157" s="191"/>
      <c r="REX157" s="191"/>
      <c r="REY157" s="191"/>
      <c r="REZ157" s="191"/>
      <c r="RFA157" s="191"/>
      <c r="RFB157" s="191"/>
      <c r="RFC157" s="191"/>
      <c r="RFD157" s="191"/>
      <c r="RFE157" s="191"/>
      <c r="RFF157" s="191"/>
      <c r="RFG157" s="191"/>
      <c r="RFH157" s="191"/>
      <c r="RFI157" s="191"/>
      <c r="RFJ157" s="191"/>
      <c r="RFK157" s="191"/>
      <c r="RFL157" s="191"/>
      <c r="RFM157" s="191"/>
      <c r="RFN157" s="191"/>
      <c r="RFO157" s="191"/>
      <c r="RFP157" s="191"/>
      <c r="RFQ157" s="191"/>
      <c r="RFR157" s="191"/>
      <c r="RFS157" s="191"/>
      <c r="RFT157" s="191"/>
      <c r="RFU157" s="191"/>
      <c r="RFV157" s="191"/>
      <c r="RFW157" s="191"/>
      <c r="RFX157" s="191"/>
      <c r="RFY157" s="191"/>
      <c r="RFZ157" s="191"/>
      <c r="RGA157" s="191"/>
      <c r="RGB157" s="191"/>
      <c r="RGC157" s="191"/>
      <c r="RGD157" s="191"/>
      <c r="RGE157" s="191"/>
      <c r="RGF157" s="191"/>
      <c r="RGG157" s="191"/>
      <c r="RGH157" s="191"/>
      <c r="RGI157" s="191"/>
      <c r="RGJ157" s="191"/>
      <c r="RGK157" s="191"/>
      <c r="RGL157" s="191"/>
      <c r="RGM157" s="191"/>
      <c r="RGN157" s="191"/>
      <c r="RGO157" s="191"/>
      <c r="RGP157" s="191"/>
      <c r="RGQ157" s="191"/>
      <c r="RGR157" s="191"/>
      <c r="RGS157" s="191"/>
      <c r="RGT157" s="191"/>
      <c r="RGU157" s="191"/>
      <c r="RGV157" s="191"/>
      <c r="RGW157" s="191"/>
      <c r="RGX157" s="191"/>
      <c r="RGY157" s="191"/>
      <c r="RGZ157" s="191"/>
      <c r="RHA157" s="191"/>
      <c r="RHB157" s="191"/>
      <c r="RHC157" s="191"/>
      <c r="RHD157" s="191"/>
      <c r="RHE157" s="191"/>
      <c r="RHF157" s="191"/>
      <c r="RHG157" s="191"/>
      <c r="RHH157" s="191"/>
      <c r="RHI157" s="191"/>
      <c r="RHJ157" s="191"/>
      <c r="RHK157" s="191"/>
      <c r="RHL157" s="191"/>
      <c r="RHM157" s="191"/>
      <c r="RHN157" s="191"/>
      <c r="RHO157" s="191"/>
      <c r="RHP157" s="191"/>
      <c r="RHQ157" s="191"/>
      <c r="RHR157" s="191"/>
      <c r="RHS157" s="191"/>
      <c r="RHT157" s="191"/>
      <c r="RHU157" s="191"/>
      <c r="RHV157" s="191"/>
      <c r="RHW157" s="191"/>
      <c r="RHX157" s="191"/>
      <c r="RHY157" s="191"/>
      <c r="RHZ157" s="191"/>
      <c r="RIA157" s="191"/>
      <c r="RIB157" s="191"/>
      <c r="RIC157" s="191"/>
      <c r="RID157" s="191"/>
      <c r="RIE157" s="191"/>
      <c r="RIF157" s="191"/>
      <c r="RIG157" s="191"/>
      <c r="RIH157" s="191"/>
      <c r="RII157" s="191"/>
      <c r="RIJ157" s="191"/>
      <c r="RIK157" s="191"/>
      <c r="RIL157" s="191"/>
      <c r="RIM157" s="191"/>
      <c r="RIN157" s="191"/>
      <c r="RIO157" s="191"/>
      <c r="RIP157" s="191"/>
      <c r="RIQ157" s="191"/>
      <c r="RIR157" s="191"/>
      <c r="RIS157" s="191"/>
      <c r="RIT157" s="191"/>
      <c r="RIU157" s="191"/>
      <c r="RIV157" s="191"/>
      <c r="RIW157" s="191"/>
      <c r="RIX157" s="191"/>
      <c r="RIY157" s="191"/>
      <c r="RIZ157" s="191"/>
      <c r="RJA157" s="191"/>
      <c r="RJB157" s="191"/>
      <c r="RJC157" s="191"/>
      <c r="RJD157" s="191"/>
      <c r="RJE157" s="191"/>
      <c r="RJF157" s="191"/>
      <c r="RJG157" s="191"/>
      <c r="RJH157" s="191"/>
      <c r="RJI157" s="191"/>
      <c r="RJJ157" s="191"/>
      <c r="RJK157" s="191"/>
      <c r="RJL157" s="191"/>
      <c r="RJM157" s="191"/>
      <c r="RJN157" s="191"/>
      <c r="RJO157" s="191"/>
      <c r="RJP157" s="191"/>
      <c r="RJQ157" s="191"/>
      <c r="RJR157" s="191"/>
      <c r="RJS157" s="191"/>
      <c r="RJT157" s="191"/>
      <c r="RJU157" s="191"/>
      <c r="RJV157" s="191"/>
      <c r="RJW157" s="191"/>
      <c r="RJX157" s="191"/>
      <c r="RJY157" s="191"/>
      <c r="RJZ157" s="191"/>
      <c r="RKA157" s="191"/>
      <c r="RKB157" s="191"/>
      <c r="RKC157" s="191"/>
      <c r="RKD157" s="191"/>
      <c r="RKE157" s="191"/>
      <c r="RKF157" s="191"/>
      <c r="RKG157" s="191"/>
      <c r="RKH157" s="191"/>
      <c r="RKI157" s="191"/>
      <c r="RKJ157" s="191"/>
      <c r="RKK157" s="191"/>
      <c r="RKL157" s="191"/>
      <c r="RKM157" s="191"/>
      <c r="RKN157" s="191"/>
      <c r="RKO157" s="191"/>
      <c r="RKP157" s="191"/>
      <c r="RKQ157" s="191"/>
      <c r="RKR157" s="191"/>
      <c r="RKS157" s="191"/>
      <c r="RKT157" s="191"/>
      <c r="RKU157" s="191"/>
      <c r="RKV157" s="191"/>
      <c r="RKW157" s="191"/>
      <c r="RKX157" s="191"/>
      <c r="RKY157" s="191"/>
      <c r="RKZ157" s="191"/>
      <c r="RLA157" s="191"/>
      <c r="RLB157" s="191"/>
      <c r="RLC157" s="191"/>
      <c r="RLD157" s="191"/>
      <c r="RLE157" s="191"/>
      <c r="RLF157" s="191"/>
      <c r="RLG157" s="191"/>
      <c r="RLH157" s="191"/>
      <c r="RLI157" s="191"/>
      <c r="RLJ157" s="191"/>
      <c r="RLK157" s="191"/>
      <c r="RLL157" s="191"/>
      <c r="RLM157" s="191"/>
      <c r="RLN157" s="191"/>
      <c r="RLO157" s="191"/>
      <c r="RLP157" s="191"/>
      <c r="RLQ157" s="191"/>
      <c r="RLR157" s="191"/>
      <c r="RLS157" s="191"/>
      <c r="RLT157" s="191"/>
      <c r="RLU157" s="191"/>
      <c r="RLV157" s="191"/>
      <c r="RLW157" s="191"/>
      <c r="RLX157" s="191"/>
      <c r="RLY157" s="191"/>
      <c r="RLZ157" s="191"/>
      <c r="RMA157" s="191"/>
      <c r="RMB157" s="191"/>
      <c r="RMC157" s="191"/>
      <c r="RMD157" s="191"/>
      <c r="RME157" s="191"/>
      <c r="RMF157" s="191"/>
      <c r="RMG157" s="191"/>
      <c r="RMH157" s="191"/>
      <c r="RMI157" s="191"/>
      <c r="RMJ157" s="191"/>
      <c r="RMK157" s="191"/>
      <c r="RML157" s="191"/>
      <c r="RMM157" s="191"/>
      <c r="RMN157" s="191"/>
      <c r="RMO157" s="191"/>
      <c r="RMP157" s="191"/>
      <c r="RMQ157" s="191"/>
      <c r="RMR157" s="191"/>
      <c r="RMS157" s="191"/>
      <c r="RMT157" s="191"/>
      <c r="RMU157" s="191"/>
      <c r="RMV157" s="191"/>
      <c r="RMW157" s="191"/>
      <c r="RMX157" s="191"/>
      <c r="RMY157" s="191"/>
      <c r="RMZ157" s="191"/>
      <c r="RNA157" s="191"/>
      <c r="RNB157" s="191"/>
      <c r="RNC157" s="191"/>
      <c r="RND157" s="191"/>
      <c r="RNE157" s="191"/>
      <c r="RNF157" s="191"/>
      <c r="RNG157" s="191"/>
      <c r="RNH157" s="191"/>
      <c r="RNI157" s="191"/>
      <c r="RNJ157" s="191"/>
      <c r="RNK157" s="191"/>
      <c r="RNL157" s="191"/>
      <c r="RNM157" s="191"/>
      <c r="RNN157" s="191"/>
      <c r="RNO157" s="191"/>
      <c r="RNP157" s="191"/>
      <c r="RNQ157" s="191"/>
      <c r="RNR157" s="191"/>
      <c r="RNS157" s="191"/>
      <c r="RNT157" s="191"/>
      <c r="RNU157" s="191"/>
      <c r="RNV157" s="191"/>
      <c r="RNW157" s="191"/>
      <c r="RNX157" s="191"/>
      <c r="RNY157" s="191"/>
      <c r="RNZ157" s="191"/>
      <c r="ROA157" s="191"/>
      <c r="ROB157" s="191"/>
      <c r="ROC157" s="191"/>
      <c r="ROD157" s="191"/>
      <c r="ROE157" s="191"/>
      <c r="ROF157" s="191"/>
      <c r="ROG157" s="191"/>
      <c r="ROH157" s="191"/>
      <c r="ROI157" s="191"/>
      <c r="ROJ157" s="191"/>
      <c r="ROK157" s="191"/>
      <c r="ROL157" s="191"/>
      <c r="ROM157" s="191"/>
      <c r="RON157" s="191"/>
      <c r="ROO157" s="191"/>
      <c r="ROP157" s="191"/>
      <c r="ROQ157" s="191"/>
      <c r="ROR157" s="191"/>
      <c r="ROS157" s="191"/>
      <c r="ROT157" s="191"/>
      <c r="ROU157" s="191"/>
      <c r="ROV157" s="191"/>
      <c r="ROW157" s="191"/>
      <c r="ROX157" s="191"/>
      <c r="ROY157" s="191"/>
      <c r="ROZ157" s="191"/>
      <c r="RPA157" s="191"/>
      <c r="RPB157" s="191"/>
      <c r="RPC157" s="191"/>
      <c r="RPD157" s="191"/>
      <c r="RPE157" s="191"/>
      <c r="RPF157" s="191"/>
      <c r="RPG157" s="191"/>
      <c r="RPH157" s="191"/>
      <c r="RPI157" s="191"/>
      <c r="RPJ157" s="191"/>
      <c r="RPK157" s="191"/>
      <c r="RPL157" s="191"/>
      <c r="RPM157" s="191"/>
      <c r="RPN157" s="191"/>
      <c r="RPO157" s="191"/>
      <c r="RPP157" s="191"/>
      <c r="RPQ157" s="191"/>
      <c r="RPR157" s="191"/>
      <c r="RPS157" s="191"/>
      <c r="RPT157" s="191"/>
      <c r="RPU157" s="191"/>
      <c r="RPV157" s="191"/>
      <c r="RPW157" s="191"/>
      <c r="RPX157" s="191"/>
      <c r="RPY157" s="191"/>
      <c r="RPZ157" s="191"/>
      <c r="RQA157" s="191"/>
      <c r="RQB157" s="191"/>
      <c r="RQC157" s="191"/>
      <c r="RQD157" s="191"/>
      <c r="RQE157" s="191"/>
      <c r="RQF157" s="191"/>
      <c r="RQG157" s="191"/>
      <c r="RQH157" s="191"/>
      <c r="RQI157" s="191"/>
      <c r="RQJ157" s="191"/>
      <c r="RQK157" s="191"/>
      <c r="RQL157" s="191"/>
      <c r="RQM157" s="191"/>
      <c r="RQN157" s="191"/>
      <c r="RQO157" s="191"/>
      <c r="RQP157" s="191"/>
      <c r="RQQ157" s="191"/>
      <c r="RQR157" s="191"/>
      <c r="RQS157" s="191"/>
      <c r="RQT157" s="191"/>
      <c r="RQU157" s="191"/>
      <c r="RQV157" s="191"/>
      <c r="RQW157" s="191"/>
      <c r="RQX157" s="191"/>
      <c r="RQY157" s="191"/>
      <c r="RQZ157" s="191"/>
      <c r="RRA157" s="191"/>
      <c r="RRB157" s="191"/>
      <c r="RRC157" s="191"/>
      <c r="RRD157" s="191"/>
      <c r="RRE157" s="191"/>
      <c r="RRF157" s="191"/>
      <c r="RRG157" s="191"/>
      <c r="RRH157" s="191"/>
      <c r="RRI157" s="191"/>
      <c r="RRJ157" s="191"/>
      <c r="RRK157" s="191"/>
      <c r="RRL157" s="191"/>
      <c r="RRM157" s="191"/>
      <c r="RRN157" s="191"/>
      <c r="RRO157" s="191"/>
      <c r="RRP157" s="191"/>
      <c r="RRQ157" s="191"/>
      <c r="RRR157" s="191"/>
      <c r="RRS157" s="191"/>
      <c r="RRT157" s="191"/>
      <c r="RRU157" s="191"/>
      <c r="RRV157" s="191"/>
      <c r="RRW157" s="191"/>
      <c r="RRX157" s="191"/>
      <c r="RRY157" s="191"/>
      <c r="RRZ157" s="191"/>
      <c r="RSA157" s="191"/>
      <c r="RSB157" s="191"/>
      <c r="RSC157" s="191"/>
      <c r="RSD157" s="191"/>
      <c r="RSE157" s="191"/>
      <c r="RSF157" s="191"/>
      <c r="RSG157" s="191"/>
      <c r="RSH157" s="191"/>
      <c r="RSI157" s="191"/>
      <c r="RSJ157" s="191"/>
      <c r="RSK157" s="191"/>
      <c r="RSL157" s="191"/>
      <c r="RSM157" s="191"/>
      <c r="RSN157" s="191"/>
      <c r="RSO157" s="191"/>
      <c r="RSP157" s="191"/>
      <c r="RSQ157" s="191"/>
      <c r="RSR157" s="191"/>
      <c r="RSS157" s="191"/>
      <c r="RST157" s="191"/>
      <c r="RSU157" s="191"/>
      <c r="RSV157" s="191"/>
      <c r="RSW157" s="191"/>
      <c r="RSX157" s="191"/>
      <c r="RSY157" s="191"/>
      <c r="RSZ157" s="191"/>
      <c r="RTA157" s="191"/>
      <c r="RTB157" s="191"/>
      <c r="RTC157" s="191"/>
      <c r="RTD157" s="191"/>
      <c r="RTE157" s="191"/>
      <c r="RTF157" s="191"/>
      <c r="RTG157" s="191"/>
      <c r="RTH157" s="191"/>
      <c r="RTI157" s="191"/>
      <c r="RTJ157" s="191"/>
      <c r="RTK157" s="191"/>
      <c r="RTL157" s="191"/>
      <c r="RTM157" s="191"/>
      <c r="RTN157" s="191"/>
      <c r="RTO157" s="191"/>
      <c r="RTP157" s="191"/>
      <c r="RTQ157" s="191"/>
      <c r="RTR157" s="191"/>
      <c r="RTS157" s="191"/>
      <c r="RTT157" s="191"/>
      <c r="RTU157" s="191"/>
      <c r="RTV157" s="191"/>
      <c r="RTW157" s="191"/>
      <c r="RTX157" s="191"/>
      <c r="RTY157" s="191"/>
      <c r="RTZ157" s="191"/>
      <c r="RUA157" s="191"/>
      <c r="RUB157" s="191"/>
      <c r="RUC157" s="191"/>
      <c r="RUD157" s="191"/>
      <c r="RUE157" s="191"/>
      <c r="RUF157" s="191"/>
      <c r="RUG157" s="191"/>
      <c r="RUH157" s="191"/>
      <c r="RUI157" s="191"/>
      <c r="RUJ157" s="191"/>
      <c r="RUK157" s="191"/>
      <c r="RUL157" s="191"/>
      <c r="RUM157" s="191"/>
      <c r="RUN157" s="191"/>
      <c r="RUO157" s="191"/>
      <c r="RUP157" s="191"/>
      <c r="RUQ157" s="191"/>
      <c r="RUR157" s="191"/>
      <c r="RUS157" s="191"/>
      <c r="RUT157" s="191"/>
      <c r="RUU157" s="191"/>
      <c r="RUV157" s="191"/>
      <c r="RUW157" s="191"/>
      <c r="RUX157" s="191"/>
      <c r="RUY157" s="191"/>
      <c r="RUZ157" s="191"/>
      <c r="RVA157" s="191"/>
      <c r="RVB157" s="191"/>
      <c r="RVC157" s="191"/>
      <c r="RVD157" s="191"/>
      <c r="RVE157" s="191"/>
      <c r="RVF157" s="191"/>
      <c r="RVG157" s="191"/>
      <c r="RVH157" s="191"/>
      <c r="RVI157" s="191"/>
      <c r="RVJ157" s="191"/>
      <c r="RVK157" s="191"/>
      <c r="RVL157" s="191"/>
      <c r="RVM157" s="191"/>
      <c r="RVN157" s="191"/>
      <c r="RVO157" s="191"/>
      <c r="RVP157" s="191"/>
      <c r="RVQ157" s="191"/>
      <c r="RVR157" s="191"/>
      <c r="RVS157" s="191"/>
      <c r="RVT157" s="191"/>
      <c r="RVU157" s="191"/>
      <c r="RVV157" s="191"/>
      <c r="RVW157" s="191"/>
      <c r="RVX157" s="191"/>
      <c r="RVY157" s="191"/>
      <c r="RVZ157" s="191"/>
      <c r="RWA157" s="191"/>
      <c r="RWB157" s="191"/>
      <c r="RWC157" s="191"/>
      <c r="RWD157" s="191"/>
      <c r="RWE157" s="191"/>
      <c r="RWF157" s="191"/>
      <c r="RWG157" s="191"/>
      <c r="RWH157" s="191"/>
      <c r="RWI157" s="191"/>
      <c r="RWJ157" s="191"/>
      <c r="RWK157" s="191"/>
      <c r="RWL157" s="191"/>
      <c r="RWM157" s="191"/>
      <c r="RWN157" s="191"/>
      <c r="RWO157" s="191"/>
      <c r="RWP157" s="191"/>
      <c r="RWQ157" s="191"/>
      <c r="RWR157" s="191"/>
      <c r="RWS157" s="191"/>
      <c r="RWT157" s="191"/>
      <c r="RWU157" s="191"/>
      <c r="RWV157" s="191"/>
      <c r="RWW157" s="191"/>
      <c r="RWX157" s="191"/>
      <c r="RWY157" s="191"/>
      <c r="RWZ157" s="191"/>
      <c r="RXA157" s="191"/>
      <c r="RXB157" s="191"/>
      <c r="RXC157" s="191"/>
      <c r="RXD157" s="191"/>
      <c r="RXE157" s="191"/>
      <c r="RXF157" s="191"/>
      <c r="RXG157" s="191"/>
      <c r="RXH157" s="191"/>
      <c r="RXI157" s="191"/>
      <c r="RXJ157" s="191"/>
      <c r="RXK157" s="191"/>
      <c r="RXL157" s="191"/>
      <c r="RXM157" s="191"/>
      <c r="RXN157" s="191"/>
      <c r="RXO157" s="191"/>
      <c r="RXP157" s="191"/>
      <c r="RXQ157" s="191"/>
      <c r="RXR157" s="191"/>
      <c r="RXS157" s="191"/>
      <c r="RXT157" s="191"/>
      <c r="RXU157" s="191"/>
      <c r="RXV157" s="191"/>
      <c r="RXW157" s="191"/>
      <c r="RXX157" s="191"/>
      <c r="RXY157" s="191"/>
      <c r="RXZ157" s="191"/>
      <c r="RYA157" s="191"/>
      <c r="RYB157" s="191"/>
      <c r="RYC157" s="191"/>
      <c r="RYD157" s="191"/>
      <c r="RYE157" s="191"/>
      <c r="RYF157" s="191"/>
      <c r="RYG157" s="191"/>
      <c r="RYH157" s="191"/>
      <c r="RYI157" s="191"/>
      <c r="RYJ157" s="191"/>
      <c r="RYK157" s="191"/>
      <c r="RYL157" s="191"/>
      <c r="RYM157" s="191"/>
      <c r="RYN157" s="191"/>
      <c r="RYO157" s="191"/>
      <c r="RYP157" s="191"/>
      <c r="RYQ157" s="191"/>
      <c r="RYR157" s="191"/>
      <c r="RYS157" s="191"/>
      <c r="RYT157" s="191"/>
      <c r="RYU157" s="191"/>
      <c r="RYV157" s="191"/>
      <c r="RYW157" s="191"/>
      <c r="RYX157" s="191"/>
      <c r="RYY157" s="191"/>
      <c r="RYZ157" s="191"/>
      <c r="RZA157" s="191"/>
      <c r="RZB157" s="191"/>
      <c r="RZC157" s="191"/>
      <c r="RZD157" s="191"/>
      <c r="RZE157" s="191"/>
      <c r="RZF157" s="191"/>
      <c r="RZG157" s="191"/>
      <c r="RZH157" s="191"/>
      <c r="RZI157" s="191"/>
      <c r="RZJ157" s="191"/>
      <c r="RZK157" s="191"/>
      <c r="RZL157" s="191"/>
      <c r="RZM157" s="191"/>
      <c r="RZN157" s="191"/>
      <c r="RZO157" s="191"/>
      <c r="RZP157" s="191"/>
      <c r="RZQ157" s="191"/>
      <c r="RZR157" s="191"/>
      <c r="RZS157" s="191"/>
      <c r="RZT157" s="191"/>
      <c r="RZU157" s="191"/>
      <c r="RZV157" s="191"/>
      <c r="RZW157" s="191"/>
      <c r="RZX157" s="191"/>
      <c r="RZY157" s="191"/>
      <c r="RZZ157" s="191"/>
      <c r="SAA157" s="191"/>
      <c r="SAB157" s="191"/>
      <c r="SAC157" s="191"/>
      <c r="SAD157" s="191"/>
      <c r="SAE157" s="191"/>
      <c r="SAF157" s="191"/>
      <c r="SAG157" s="191"/>
      <c r="SAH157" s="191"/>
      <c r="SAI157" s="191"/>
      <c r="SAJ157" s="191"/>
      <c r="SAK157" s="191"/>
      <c r="SAL157" s="191"/>
      <c r="SAM157" s="191"/>
      <c r="SAN157" s="191"/>
      <c r="SAO157" s="191"/>
      <c r="SAP157" s="191"/>
      <c r="SAQ157" s="191"/>
      <c r="SAR157" s="191"/>
      <c r="SAS157" s="191"/>
      <c r="SAT157" s="191"/>
      <c r="SAU157" s="191"/>
      <c r="SAV157" s="191"/>
      <c r="SAW157" s="191"/>
      <c r="SAX157" s="191"/>
      <c r="SAY157" s="191"/>
      <c r="SAZ157" s="191"/>
      <c r="SBA157" s="191"/>
      <c r="SBB157" s="191"/>
      <c r="SBC157" s="191"/>
      <c r="SBD157" s="191"/>
      <c r="SBE157" s="191"/>
      <c r="SBF157" s="191"/>
      <c r="SBG157" s="191"/>
      <c r="SBH157" s="191"/>
      <c r="SBI157" s="191"/>
      <c r="SBJ157" s="191"/>
      <c r="SBK157" s="191"/>
      <c r="SBL157" s="191"/>
      <c r="SBM157" s="191"/>
      <c r="SBN157" s="191"/>
      <c r="SBO157" s="191"/>
      <c r="SBP157" s="191"/>
      <c r="SBQ157" s="191"/>
      <c r="SBR157" s="191"/>
      <c r="SBS157" s="191"/>
      <c r="SBT157" s="191"/>
      <c r="SBU157" s="191"/>
      <c r="SBV157" s="191"/>
      <c r="SBW157" s="191"/>
      <c r="SBX157" s="191"/>
      <c r="SBY157" s="191"/>
      <c r="SBZ157" s="191"/>
      <c r="SCA157" s="191"/>
      <c r="SCB157" s="191"/>
      <c r="SCC157" s="191"/>
      <c r="SCD157" s="191"/>
      <c r="SCE157" s="191"/>
      <c r="SCF157" s="191"/>
      <c r="SCG157" s="191"/>
      <c r="SCH157" s="191"/>
      <c r="SCI157" s="191"/>
      <c r="SCJ157" s="191"/>
      <c r="SCK157" s="191"/>
      <c r="SCL157" s="191"/>
      <c r="SCM157" s="191"/>
      <c r="SCN157" s="191"/>
      <c r="SCO157" s="191"/>
      <c r="SCP157" s="191"/>
      <c r="SCQ157" s="191"/>
      <c r="SCR157" s="191"/>
      <c r="SCS157" s="191"/>
      <c r="SCT157" s="191"/>
      <c r="SCU157" s="191"/>
      <c r="SCV157" s="191"/>
      <c r="SCW157" s="191"/>
      <c r="SCX157" s="191"/>
      <c r="SCY157" s="191"/>
      <c r="SCZ157" s="191"/>
      <c r="SDA157" s="191"/>
      <c r="SDB157" s="191"/>
      <c r="SDC157" s="191"/>
      <c r="SDD157" s="191"/>
      <c r="SDE157" s="191"/>
      <c r="SDF157" s="191"/>
      <c r="SDG157" s="191"/>
      <c r="SDH157" s="191"/>
      <c r="SDI157" s="191"/>
      <c r="SDJ157" s="191"/>
      <c r="SDK157" s="191"/>
      <c r="SDL157" s="191"/>
      <c r="SDM157" s="191"/>
      <c r="SDN157" s="191"/>
      <c r="SDO157" s="191"/>
      <c r="SDP157" s="191"/>
      <c r="SDQ157" s="191"/>
      <c r="SDR157" s="191"/>
      <c r="SDS157" s="191"/>
      <c r="SDT157" s="191"/>
      <c r="SDU157" s="191"/>
      <c r="SDV157" s="191"/>
      <c r="SDW157" s="191"/>
      <c r="SDX157" s="191"/>
      <c r="SDY157" s="191"/>
      <c r="SDZ157" s="191"/>
      <c r="SEA157" s="191"/>
      <c r="SEB157" s="191"/>
      <c r="SEC157" s="191"/>
      <c r="SED157" s="191"/>
      <c r="SEE157" s="191"/>
      <c r="SEF157" s="191"/>
      <c r="SEG157" s="191"/>
      <c r="SEH157" s="191"/>
      <c r="SEI157" s="191"/>
      <c r="SEJ157" s="191"/>
      <c r="SEK157" s="191"/>
      <c r="SEL157" s="191"/>
      <c r="SEM157" s="191"/>
      <c r="SEN157" s="191"/>
      <c r="SEO157" s="191"/>
      <c r="SEP157" s="191"/>
      <c r="SEQ157" s="191"/>
      <c r="SER157" s="191"/>
      <c r="SES157" s="191"/>
      <c r="SET157" s="191"/>
      <c r="SEU157" s="191"/>
      <c r="SEV157" s="191"/>
      <c r="SEW157" s="191"/>
      <c r="SEX157" s="191"/>
      <c r="SEY157" s="191"/>
      <c r="SEZ157" s="191"/>
      <c r="SFA157" s="191"/>
      <c r="SFB157" s="191"/>
      <c r="SFC157" s="191"/>
      <c r="SFD157" s="191"/>
      <c r="SFE157" s="191"/>
      <c r="SFF157" s="191"/>
      <c r="SFG157" s="191"/>
      <c r="SFH157" s="191"/>
      <c r="SFI157" s="191"/>
      <c r="SFJ157" s="191"/>
      <c r="SFK157" s="191"/>
      <c r="SFL157" s="191"/>
      <c r="SFM157" s="191"/>
      <c r="SFN157" s="191"/>
      <c r="SFO157" s="191"/>
      <c r="SFP157" s="191"/>
      <c r="SFQ157" s="191"/>
      <c r="SFR157" s="191"/>
      <c r="SFS157" s="191"/>
      <c r="SFT157" s="191"/>
      <c r="SFU157" s="191"/>
      <c r="SFV157" s="191"/>
      <c r="SFW157" s="191"/>
      <c r="SFX157" s="191"/>
      <c r="SFY157" s="191"/>
      <c r="SFZ157" s="191"/>
      <c r="SGA157" s="191"/>
      <c r="SGB157" s="191"/>
      <c r="SGC157" s="191"/>
      <c r="SGD157" s="191"/>
      <c r="SGE157" s="191"/>
      <c r="SGF157" s="191"/>
      <c r="SGG157" s="191"/>
      <c r="SGH157" s="191"/>
      <c r="SGI157" s="191"/>
      <c r="SGJ157" s="191"/>
      <c r="SGK157" s="191"/>
      <c r="SGL157" s="191"/>
      <c r="SGM157" s="191"/>
      <c r="SGN157" s="191"/>
      <c r="SGO157" s="191"/>
      <c r="SGP157" s="191"/>
      <c r="SGQ157" s="191"/>
      <c r="SGR157" s="191"/>
      <c r="SGS157" s="191"/>
      <c r="SGT157" s="191"/>
      <c r="SGU157" s="191"/>
      <c r="SGV157" s="191"/>
      <c r="SGW157" s="191"/>
      <c r="SGX157" s="191"/>
      <c r="SGY157" s="191"/>
      <c r="SGZ157" s="191"/>
      <c r="SHA157" s="191"/>
      <c r="SHB157" s="191"/>
      <c r="SHC157" s="191"/>
      <c r="SHD157" s="191"/>
      <c r="SHE157" s="191"/>
      <c r="SHF157" s="191"/>
      <c r="SHG157" s="191"/>
      <c r="SHH157" s="191"/>
      <c r="SHI157" s="191"/>
      <c r="SHJ157" s="191"/>
      <c r="SHK157" s="191"/>
      <c r="SHL157" s="191"/>
      <c r="SHM157" s="191"/>
      <c r="SHN157" s="191"/>
      <c r="SHO157" s="191"/>
      <c r="SHP157" s="191"/>
      <c r="SHQ157" s="191"/>
      <c r="SHR157" s="191"/>
      <c r="SHS157" s="191"/>
      <c r="SHT157" s="191"/>
      <c r="SHU157" s="191"/>
      <c r="SHV157" s="191"/>
      <c r="SHW157" s="191"/>
      <c r="SHX157" s="191"/>
      <c r="SHY157" s="191"/>
      <c r="SHZ157" s="191"/>
      <c r="SIA157" s="191"/>
      <c r="SIB157" s="191"/>
      <c r="SIC157" s="191"/>
      <c r="SID157" s="191"/>
      <c r="SIE157" s="191"/>
      <c r="SIF157" s="191"/>
      <c r="SIG157" s="191"/>
      <c r="SIH157" s="191"/>
      <c r="SII157" s="191"/>
      <c r="SIJ157" s="191"/>
      <c r="SIK157" s="191"/>
      <c r="SIL157" s="191"/>
      <c r="SIM157" s="191"/>
      <c r="SIN157" s="191"/>
      <c r="SIO157" s="191"/>
      <c r="SIP157" s="191"/>
      <c r="SIQ157" s="191"/>
      <c r="SIR157" s="191"/>
      <c r="SIS157" s="191"/>
      <c r="SIT157" s="191"/>
      <c r="SIU157" s="191"/>
      <c r="SIV157" s="191"/>
      <c r="SIW157" s="191"/>
      <c r="SIX157" s="191"/>
      <c r="SIY157" s="191"/>
      <c r="SIZ157" s="191"/>
      <c r="SJA157" s="191"/>
      <c r="SJB157" s="191"/>
      <c r="SJC157" s="191"/>
      <c r="SJD157" s="191"/>
      <c r="SJE157" s="191"/>
      <c r="SJF157" s="191"/>
      <c r="SJG157" s="191"/>
      <c r="SJH157" s="191"/>
      <c r="SJI157" s="191"/>
      <c r="SJJ157" s="191"/>
      <c r="SJK157" s="191"/>
      <c r="SJL157" s="191"/>
      <c r="SJM157" s="191"/>
      <c r="SJN157" s="191"/>
      <c r="SJO157" s="191"/>
      <c r="SJP157" s="191"/>
      <c r="SJQ157" s="191"/>
      <c r="SJR157" s="191"/>
      <c r="SJS157" s="191"/>
      <c r="SJT157" s="191"/>
      <c r="SJU157" s="191"/>
      <c r="SJV157" s="191"/>
      <c r="SJW157" s="191"/>
      <c r="SJX157" s="191"/>
      <c r="SJY157" s="191"/>
      <c r="SJZ157" s="191"/>
      <c r="SKA157" s="191"/>
      <c r="SKB157" s="191"/>
      <c r="SKC157" s="191"/>
      <c r="SKD157" s="191"/>
      <c r="SKE157" s="191"/>
      <c r="SKF157" s="191"/>
      <c r="SKG157" s="191"/>
      <c r="SKH157" s="191"/>
      <c r="SKI157" s="191"/>
      <c r="SKJ157" s="191"/>
      <c r="SKK157" s="191"/>
      <c r="SKL157" s="191"/>
      <c r="SKM157" s="191"/>
      <c r="SKN157" s="191"/>
      <c r="SKO157" s="191"/>
      <c r="SKP157" s="191"/>
      <c r="SKQ157" s="191"/>
      <c r="SKR157" s="191"/>
      <c r="SKS157" s="191"/>
      <c r="SKT157" s="191"/>
      <c r="SKU157" s="191"/>
      <c r="SKV157" s="191"/>
      <c r="SKW157" s="191"/>
      <c r="SKX157" s="191"/>
      <c r="SKY157" s="191"/>
      <c r="SKZ157" s="191"/>
      <c r="SLA157" s="191"/>
      <c r="SLB157" s="191"/>
      <c r="SLC157" s="191"/>
      <c r="SLD157" s="191"/>
      <c r="SLE157" s="191"/>
      <c r="SLF157" s="191"/>
      <c r="SLG157" s="191"/>
      <c r="SLH157" s="191"/>
      <c r="SLI157" s="191"/>
      <c r="SLJ157" s="191"/>
      <c r="SLK157" s="191"/>
      <c r="SLL157" s="191"/>
      <c r="SLM157" s="191"/>
      <c r="SLN157" s="191"/>
      <c r="SLO157" s="191"/>
      <c r="SLP157" s="191"/>
      <c r="SLQ157" s="191"/>
      <c r="SLR157" s="191"/>
      <c r="SLS157" s="191"/>
      <c r="SLT157" s="191"/>
      <c r="SLU157" s="191"/>
      <c r="SLV157" s="191"/>
      <c r="SLW157" s="191"/>
      <c r="SLX157" s="191"/>
      <c r="SLY157" s="191"/>
      <c r="SLZ157" s="191"/>
      <c r="SMA157" s="191"/>
      <c r="SMB157" s="191"/>
      <c r="SMC157" s="191"/>
      <c r="SMD157" s="191"/>
      <c r="SME157" s="191"/>
      <c r="SMF157" s="191"/>
      <c r="SMG157" s="191"/>
      <c r="SMH157" s="191"/>
      <c r="SMI157" s="191"/>
      <c r="SMJ157" s="191"/>
      <c r="SMK157" s="191"/>
      <c r="SML157" s="191"/>
      <c r="SMM157" s="191"/>
      <c r="SMN157" s="191"/>
      <c r="SMO157" s="191"/>
      <c r="SMP157" s="191"/>
      <c r="SMQ157" s="191"/>
      <c r="SMR157" s="191"/>
      <c r="SMS157" s="191"/>
      <c r="SMT157" s="191"/>
      <c r="SMU157" s="191"/>
      <c r="SMV157" s="191"/>
      <c r="SMW157" s="191"/>
      <c r="SMX157" s="191"/>
      <c r="SMY157" s="191"/>
      <c r="SMZ157" s="191"/>
      <c r="SNA157" s="191"/>
      <c r="SNB157" s="191"/>
      <c r="SNC157" s="191"/>
      <c r="SND157" s="191"/>
      <c r="SNE157" s="191"/>
      <c r="SNF157" s="191"/>
      <c r="SNG157" s="191"/>
      <c r="SNH157" s="191"/>
      <c r="SNI157" s="191"/>
      <c r="SNJ157" s="191"/>
      <c r="SNK157" s="191"/>
      <c r="SNL157" s="191"/>
      <c r="SNM157" s="191"/>
      <c r="SNN157" s="191"/>
      <c r="SNO157" s="191"/>
      <c r="SNP157" s="191"/>
      <c r="SNQ157" s="191"/>
      <c r="SNR157" s="191"/>
      <c r="SNS157" s="191"/>
      <c r="SNT157" s="191"/>
      <c r="SNU157" s="191"/>
      <c r="SNV157" s="191"/>
      <c r="SNW157" s="191"/>
      <c r="SNX157" s="191"/>
      <c r="SNY157" s="191"/>
      <c r="SNZ157" s="191"/>
      <c r="SOA157" s="191"/>
      <c r="SOB157" s="191"/>
      <c r="SOC157" s="191"/>
      <c r="SOD157" s="191"/>
      <c r="SOE157" s="191"/>
      <c r="SOF157" s="191"/>
      <c r="SOG157" s="191"/>
      <c r="SOH157" s="191"/>
      <c r="SOI157" s="191"/>
      <c r="SOJ157" s="191"/>
      <c r="SOK157" s="191"/>
      <c r="SOL157" s="191"/>
      <c r="SOM157" s="191"/>
      <c r="SON157" s="191"/>
      <c r="SOO157" s="191"/>
      <c r="SOP157" s="191"/>
      <c r="SOQ157" s="191"/>
      <c r="SOR157" s="191"/>
      <c r="SOS157" s="191"/>
      <c r="SOT157" s="191"/>
      <c r="SOU157" s="191"/>
      <c r="SOV157" s="191"/>
      <c r="SOW157" s="191"/>
      <c r="SOX157" s="191"/>
      <c r="SOY157" s="191"/>
      <c r="SOZ157" s="191"/>
      <c r="SPA157" s="191"/>
      <c r="SPB157" s="191"/>
      <c r="SPC157" s="191"/>
      <c r="SPD157" s="191"/>
      <c r="SPE157" s="191"/>
      <c r="SPF157" s="191"/>
      <c r="SPG157" s="191"/>
      <c r="SPH157" s="191"/>
      <c r="SPI157" s="191"/>
      <c r="SPJ157" s="191"/>
      <c r="SPK157" s="191"/>
      <c r="SPL157" s="191"/>
      <c r="SPM157" s="191"/>
      <c r="SPN157" s="191"/>
      <c r="SPO157" s="191"/>
      <c r="SPP157" s="191"/>
      <c r="SPQ157" s="191"/>
      <c r="SPR157" s="191"/>
      <c r="SPS157" s="191"/>
      <c r="SPT157" s="191"/>
      <c r="SPU157" s="191"/>
      <c r="SPV157" s="191"/>
      <c r="SPW157" s="191"/>
      <c r="SPX157" s="191"/>
      <c r="SPY157" s="191"/>
      <c r="SPZ157" s="191"/>
      <c r="SQA157" s="191"/>
      <c r="SQB157" s="191"/>
      <c r="SQC157" s="191"/>
      <c r="SQD157" s="191"/>
      <c r="SQE157" s="191"/>
      <c r="SQF157" s="191"/>
      <c r="SQG157" s="191"/>
      <c r="SQH157" s="191"/>
      <c r="SQI157" s="191"/>
      <c r="SQJ157" s="191"/>
      <c r="SQK157" s="191"/>
      <c r="SQL157" s="191"/>
      <c r="SQM157" s="191"/>
      <c r="SQN157" s="191"/>
      <c r="SQO157" s="191"/>
      <c r="SQP157" s="191"/>
      <c r="SQQ157" s="191"/>
      <c r="SQR157" s="191"/>
      <c r="SQS157" s="191"/>
      <c r="SQT157" s="191"/>
      <c r="SQU157" s="191"/>
      <c r="SQV157" s="191"/>
      <c r="SQW157" s="191"/>
      <c r="SQX157" s="191"/>
      <c r="SQY157" s="191"/>
      <c r="SQZ157" s="191"/>
      <c r="SRA157" s="191"/>
      <c r="SRB157" s="191"/>
      <c r="SRC157" s="191"/>
      <c r="SRD157" s="191"/>
      <c r="SRE157" s="191"/>
      <c r="SRF157" s="191"/>
      <c r="SRG157" s="191"/>
      <c r="SRH157" s="191"/>
      <c r="SRI157" s="191"/>
      <c r="SRJ157" s="191"/>
      <c r="SRK157" s="191"/>
      <c r="SRL157" s="191"/>
      <c r="SRM157" s="191"/>
      <c r="SRN157" s="191"/>
      <c r="SRO157" s="191"/>
      <c r="SRP157" s="191"/>
      <c r="SRQ157" s="191"/>
      <c r="SRR157" s="191"/>
      <c r="SRS157" s="191"/>
      <c r="SRT157" s="191"/>
      <c r="SRU157" s="191"/>
      <c r="SRV157" s="191"/>
      <c r="SRW157" s="191"/>
      <c r="SRX157" s="191"/>
      <c r="SRY157" s="191"/>
      <c r="SRZ157" s="191"/>
      <c r="SSA157" s="191"/>
      <c r="SSB157" s="191"/>
      <c r="SSC157" s="191"/>
      <c r="SSD157" s="191"/>
      <c r="SSE157" s="191"/>
      <c r="SSF157" s="191"/>
      <c r="SSG157" s="191"/>
      <c r="SSH157" s="191"/>
      <c r="SSI157" s="191"/>
      <c r="SSJ157" s="191"/>
      <c r="SSK157" s="191"/>
      <c r="SSL157" s="191"/>
      <c r="SSM157" s="191"/>
      <c r="SSN157" s="191"/>
      <c r="SSO157" s="191"/>
      <c r="SSP157" s="191"/>
      <c r="SSQ157" s="191"/>
      <c r="SSR157" s="191"/>
      <c r="SSS157" s="191"/>
      <c r="SST157" s="191"/>
      <c r="SSU157" s="191"/>
      <c r="SSV157" s="191"/>
      <c r="SSW157" s="191"/>
      <c r="SSX157" s="191"/>
      <c r="SSY157" s="191"/>
      <c r="SSZ157" s="191"/>
      <c r="STA157" s="191"/>
      <c r="STB157" s="191"/>
      <c r="STC157" s="191"/>
      <c r="STD157" s="191"/>
      <c r="STE157" s="191"/>
      <c r="STF157" s="191"/>
      <c r="STG157" s="191"/>
      <c r="STH157" s="191"/>
      <c r="STI157" s="191"/>
      <c r="STJ157" s="191"/>
      <c r="STK157" s="191"/>
      <c r="STL157" s="191"/>
      <c r="STM157" s="191"/>
      <c r="STN157" s="191"/>
      <c r="STO157" s="191"/>
      <c r="STP157" s="191"/>
      <c r="STQ157" s="191"/>
      <c r="STR157" s="191"/>
      <c r="STS157" s="191"/>
      <c r="STT157" s="191"/>
      <c r="STU157" s="191"/>
      <c r="STV157" s="191"/>
      <c r="STW157" s="191"/>
      <c r="STX157" s="191"/>
      <c r="STY157" s="191"/>
      <c r="STZ157" s="191"/>
      <c r="SUA157" s="191"/>
      <c r="SUB157" s="191"/>
      <c r="SUC157" s="191"/>
      <c r="SUD157" s="191"/>
      <c r="SUE157" s="191"/>
      <c r="SUF157" s="191"/>
      <c r="SUG157" s="191"/>
      <c r="SUH157" s="191"/>
      <c r="SUI157" s="191"/>
      <c r="SUJ157" s="191"/>
      <c r="SUK157" s="191"/>
      <c r="SUL157" s="191"/>
      <c r="SUM157" s="191"/>
      <c r="SUN157" s="191"/>
      <c r="SUO157" s="191"/>
      <c r="SUP157" s="191"/>
      <c r="SUQ157" s="191"/>
      <c r="SUR157" s="191"/>
      <c r="SUS157" s="191"/>
      <c r="SUT157" s="191"/>
      <c r="SUU157" s="191"/>
      <c r="SUV157" s="191"/>
      <c r="SUW157" s="191"/>
      <c r="SUX157" s="191"/>
      <c r="SUY157" s="191"/>
      <c r="SUZ157" s="191"/>
      <c r="SVA157" s="191"/>
      <c r="SVB157" s="191"/>
      <c r="SVC157" s="191"/>
      <c r="SVD157" s="191"/>
      <c r="SVE157" s="191"/>
      <c r="SVF157" s="191"/>
      <c r="SVG157" s="191"/>
      <c r="SVH157" s="191"/>
      <c r="SVI157" s="191"/>
      <c r="SVJ157" s="191"/>
      <c r="SVK157" s="191"/>
      <c r="SVL157" s="191"/>
      <c r="SVM157" s="191"/>
      <c r="SVN157" s="191"/>
      <c r="SVO157" s="191"/>
      <c r="SVP157" s="191"/>
      <c r="SVQ157" s="191"/>
      <c r="SVR157" s="191"/>
      <c r="SVS157" s="191"/>
      <c r="SVT157" s="191"/>
      <c r="SVU157" s="191"/>
      <c r="SVV157" s="191"/>
      <c r="SVW157" s="191"/>
      <c r="SVX157" s="191"/>
      <c r="SVY157" s="191"/>
      <c r="SVZ157" s="191"/>
      <c r="SWA157" s="191"/>
      <c r="SWB157" s="191"/>
      <c r="SWC157" s="191"/>
      <c r="SWD157" s="191"/>
      <c r="SWE157" s="191"/>
      <c r="SWF157" s="191"/>
      <c r="SWG157" s="191"/>
      <c r="SWH157" s="191"/>
      <c r="SWI157" s="191"/>
      <c r="SWJ157" s="191"/>
      <c r="SWK157" s="191"/>
      <c r="SWL157" s="191"/>
      <c r="SWM157" s="191"/>
      <c r="SWN157" s="191"/>
      <c r="SWO157" s="191"/>
      <c r="SWP157" s="191"/>
      <c r="SWQ157" s="191"/>
      <c r="SWR157" s="191"/>
      <c r="SWS157" s="191"/>
      <c r="SWT157" s="191"/>
      <c r="SWU157" s="191"/>
      <c r="SWV157" s="191"/>
      <c r="SWW157" s="191"/>
      <c r="SWX157" s="191"/>
      <c r="SWY157" s="191"/>
      <c r="SWZ157" s="191"/>
      <c r="SXA157" s="191"/>
      <c r="SXB157" s="191"/>
      <c r="SXC157" s="191"/>
      <c r="SXD157" s="191"/>
      <c r="SXE157" s="191"/>
      <c r="SXF157" s="191"/>
      <c r="SXG157" s="191"/>
      <c r="SXH157" s="191"/>
      <c r="SXI157" s="191"/>
      <c r="SXJ157" s="191"/>
      <c r="SXK157" s="191"/>
      <c r="SXL157" s="191"/>
      <c r="SXM157" s="191"/>
      <c r="SXN157" s="191"/>
      <c r="SXO157" s="191"/>
      <c r="SXP157" s="191"/>
      <c r="SXQ157" s="191"/>
      <c r="SXR157" s="191"/>
      <c r="SXS157" s="191"/>
      <c r="SXT157" s="191"/>
      <c r="SXU157" s="191"/>
      <c r="SXV157" s="191"/>
      <c r="SXW157" s="191"/>
      <c r="SXX157" s="191"/>
      <c r="SXY157" s="191"/>
      <c r="SXZ157" s="191"/>
      <c r="SYA157" s="191"/>
      <c r="SYB157" s="191"/>
      <c r="SYC157" s="191"/>
      <c r="SYD157" s="191"/>
      <c r="SYE157" s="191"/>
      <c r="SYF157" s="191"/>
      <c r="SYG157" s="191"/>
      <c r="SYH157" s="191"/>
      <c r="SYI157" s="191"/>
      <c r="SYJ157" s="191"/>
      <c r="SYK157" s="191"/>
      <c r="SYL157" s="191"/>
      <c r="SYM157" s="191"/>
      <c r="SYN157" s="191"/>
      <c r="SYO157" s="191"/>
      <c r="SYP157" s="191"/>
      <c r="SYQ157" s="191"/>
      <c r="SYR157" s="191"/>
      <c r="SYS157" s="191"/>
      <c r="SYT157" s="191"/>
      <c r="SYU157" s="191"/>
      <c r="SYV157" s="191"/>
      <c r="SYW157" s="191"/>
      <c r="SYX157" s="191"/>
      <c r="SYY157" s="191"/>
      <c r="SYZ157" s="191"/>
      <c r="SZA157" s="191"/>
      <c r="SZB157" s="191"/>
      <c r="SZC157" s="191"/>
      <c r="SZD157" s="191"/>
      <c r="SZE157" s="191"/>
      <c r="SZF157" s="191"/>
      <c r="SZG157" s="191"/>
      <c r="SZH157" s="191"/>
      <c r="SZI157" s="191"/>
      <c r="SZJ157" s="191"/>
      <c r="SZK157" s="191"/>
      <c r="SZL157" s="191"/>
      <c r="SZM157" s="191"/>
      <c r="SZN157" s="191"/>
      <c r="SZO157" s="191"/>
      <c r="SZP157" s="191"/>
      <c r="SZQ157" s="191"/>
      <c r="SZR157" s="191"/>
      <c r="SZS157" s="191"/>
      <c r="SZT157" s="191"/>
      <c r="SZU157" s="191"/>
      <c r="SZV157" s="191"/>
      <c r="SZW157" s="191"/>
      <c r="SZX157" s="191"/>
      <c r="SZY157" s="191"/>
      <c r="SZZ157" s="191"/>
      <c r="TAA157" s="191"/>
      <c r="TAB157" s="191"/>
      <c r="TAC157" s="191"/>
      <c r="TAD157" s="191"/>
      <c r="TAE157" s="191"/>
      <c r="TAF157" s="191"/>
      <c r="TAG157" s="191"/>
      <c r="TAH157" s="191"/>
      <c r="TAI157" s="191"/>
      <c r="TAJ157" s="191"/>
      <c r="TAK157" s="191"/>
      <c r="TAL157" s="191"/>
      <c r="TAM157" s="191"/>
      <c r="TAN157" s="191"/>
      <c r="TAO157" s="191"/>
      <c r="TAP157" s="191"/>
      <c r="TAQ157" s="191"/>
      <c r="TAR157" s="191"/>
      <c r="TAS157" s="191"/>
      <c r="TAT157" s="191"/>
      <c r="TAU157" s="191"/>
      <c r="TAV157" s="191"/>
      <c r="TAW157" s="191"/>
      <c r="TAX157" s="191"/>
      <c r="TAY157" s="191"/>
      <c r="TAZ157" s="191"/>
      <c r="TBA157" s="191"/>
      <c r="TBB157" s="191"/>
      <c r="TBC157" s="191"/>
      <c r="TBD157" s="191"/>
      <c r="TBE157" s="191"/>
      <c r="TBF157" s="191"/>
      <c r="TBG157" s="191"/>
      <c r="TBH157" s="191"/>
      <c r="TBI157" s="191"/>
      <c r="TBJ157" s="191"/>
      <c r="TBK157" s="191"/>
      <c r="TBL157" s="191"/>
      <c r="TBM157" s="191"/>
      <c r="TBN157" s="191"/>
      <c r="TBO157" s="191"/>
      <c r="TBP157" s="191"/>
      <c r="TBQ157" s="191"/>
      <c r="TBR157" s="191"/>
      <c r="TBS157" s="191"/>
      <c r="TBT157" s="191"/>
      <c r="TBU157" s="191"/>
      <c r="TBV157" s="191"/>
      <c r="TBW157" s="191"/>
      <c r="TBX157" s="191"/>
      <c r="TBY157" s="191"/>
      <c r="TBZ157" s="191"/>
      <c r="TCA157" s="191"/>
      <c r="TCB157" s="191"/>
      <c r="TCC157" s="191"/>
      <c r="TCD157" s="191"/>
      <c r="TCE157" s="191"/>
      <c r="TCF157" s="191"/>
      <c r="TCG157" s="191"/>
      <c r="TCH157" s="191"/>
      <c r="TCI157" s="191"/>
      <c r="TCJ157" s="191"/>
      <c r="TCK157" s="191"/>
      <c r="TCL157" s="191"/>
      <c r="TCM157" s="191"/>
      <c r="TCN157" s="191"/>
      <c r="TCO157" s="191"/>
      <c r="TCP157" s="191"/>
      <c r="TCQ157" s="191"/>
      <c r="TCR157" s="191"/>
      <c r="TCS157" s="191"/>
      <c r="TCT157" s="191"/>
      <c r="TCU157" s="191"/>
      <c r="TCV157" s="191"/>
      <c r="TCW157" s="191"/>
      <c r="TCX157" s="191"/>
      <c r="TCY157" s="191"/>
      <c r="TCZ157" s="191"/>
      <c r="TDA157" s="191"/>
      <c r="TDB157" s="191"/>
      <c r="TDC157" s="191"/>
      <c r="TDD157" s="191"/>
      <c r="TDE157" s="191"/>
      <c r="TDF157" s="191"/>
      <c r="TDG157" s="191"/>
      <c r="TDH157" s="191"/>
      <c r="TDI157" s="191"/>
      <c r="TDJ157" s="191"/>
      <c r="TDK157" s="191"/>
      <c r="TDL157" s="191"/>
      <c r="TDM157" s="191"/>
      <c r="TDN157" s="191"/>
      <c r="TDO157" s="191"/>
      <c r="TDP157" s="191"/>
      <c r="TDQ157" s="191"/>
      <c r="TDR157" s="191"/>
      <c r="TDS157" s="191"/>
      <c r="TDT157" s="191"/>
      <c r="TDU157" s="191"/>
      <c r="TDV157" s="191"/>
      <c r="TDW157" s="191"/>
      <c r="TDX157" s="191"/>
      <c r="TDY157" s="191"/>
      <c r="TDZ157" s="191"/>
      <c r="TEA157" s="191"/>
      <c r="TEB157" s="191"/>
      <c r="TEC157" s="191"/>
      <c r="TED157" s="191"/>
      <c r="TEE157" s="191"/>
      <c r="TEF157" s="191"/>
      <c r="TEG157" s="191"/>
      <c r="TEH157" s="191"/>
      <c r="TEI157" s="191"/>
      <c r="TEJ157" s="191"/>
      <c r="TEK157" s="191"/>
      <c r="TEL157" s="191"/>
      <c r="TEM157" s="191"/>
      <c r="TEN157" s="191"/>
      <c r="TEO157" s="191"/>
      <c r="TEP157" s="191"/>
      <c r="TEQ157" s="191"/>
      <c r="TER157" s="191"/>
      <c r="TES157" s="191"/>
      <c r="TET157" s="191"/>
      <c r="TEU157" s="191"/>
      <c r="TEV157" s="191"/>
      <c r="TEW157" s="191"/>
      <c r="TEX157" s="191"/>
      <c r="TEY157" s="191"/>
      <c r="TEZ157" s="191"/>
      <c r="TFA157" s="191"/>
      <c r="TFB157" s="191"/>
      <c r="TFC157" s="191"/>
      <c r="TFD157" s="191"/>
      <c r="TFE157" s="191"/>
      <c r="TFF157" s="191"/>
      <c r="TFG157" s="191"/>
      <c r="TFH157" s="191"/>
      <c r="TFI157" s="191"/>
      <c r="TFJ157" s="191"/>
      <c r="TFK157" s="191"/>
      <c r="TFL157" s="191"/>
      <c r="TFM157" s="191"/>
      <c r="TFN157" s="191"/>
      <c r="TFO157" s="191"/>
      <c r="TFP157" s="191"/>
      <c r="TFQ157" s="191"/>
      <c r="TFR157" s="191"/>
      <c r="TFS157" s="191"/>
      <c r="TFT157" s="191"/>
      <c r="TFU157" s="191"/>
      <c r="TFV157" s="191"/>
      <c r="TFW157" s="191"/>
      <c r="TFX157" s="191"/>
      <c r="TFY157" s="191"/>
      <c r="TFZ157" s="191"/>
      <c r="TGA157" s="191"/>
      <c r="TGB157" s="191"/>
      <c r="TGC157" s="191"/>
      <c r="TGD157" s="191"/>
      <c r="TGE157" s="191"/>
      <c r="TGF157" s="191"/>
      <c r="TGG157" s="191"/>
      <c r="TGH157" s="191"/>
      <c r="TGI157" s="191"/>
      <c r="TGJ157" s="191"/>
      <c r="TGK157" s="191"/>
      <c r="TGL157" s="191"/>
      <c r="TGM157" s="191"/>
      <c r="TGN157" s="191"/>
      <c r="TGO157" s="191"/>
      <c r="TGP157" s="191"/>
      <c r="TGQ157" s="191"/>
      <c r="TGR157" s="191"/>
      <c r="TGS157" s="191"/>
      <c r="TGT157" s="191"/>
      <c r="TGU157" s="191"/>
      <c r="TGV157" s="191"/>
      <c r="TGW157" s="191"/>
      <c r="TGX157" s="191"/>
      <c r="TGY157" s="191"/>
      <c r="TGZ157" s="191"/>
      <c r="THA157" s="191"/>
      <c r="THB157" s="191"/>
      <c r="THC157" s="191"/>
      <c r="THD157" s="191"/>
      <c r="THE157" s="191"/>
      <c r="THF157" s="191"/>
      <c r="THG157" s="191"/>
      <c r="THH157" s="191"/>
      <c r="THI157" s="191"/>
      <c r="THJ157" s="191"/>
      <c r="THK157" s="191"/>
      <c r="THL157" s="191"/>
      <c r="THM157" s="191"/>
      <c r="THN157" s="191"/>
      <c r="THO157" s="191"/>
      <c r="THP157" s="191"/>
      <c r="THQ157" s="191"/>
      <c r="THR157" s="191"/>
      <c r="THS157" s="191"/>
      <c r="THT157" s="191"/>
      <c r="THU157" s="191"/>
      <c r="THV157" s="191"/>
      <c r="THW157" s="191"/>
      <c r="THX157" s="191"/>
      <c r="THY157" s="191"/>
      <c r="THZ157" s="191"/>
      <c r="TIA157" s="191"/>
      <c r="TIB157" s="191"/>
      <c r="TIC157" s="191"/>
      <c r="TID157" s="191"/>
      <c r="TIE157" s="191"/>
      <c r="TIF157" s="191"/>
      <c r="TIG157" s="191"/>
      <c r="TIH157" s="191"/>
      <c r="TII157" s="191"/>
      <c r="TIJ157" s="191"/>
      <c r="TIK157" s="191"/>
      <c r="TIL157" s="191"/>
      <c r="TIM157" s="191"/>
      <c r="TIN157" s="191"/>
      <c r="TIO157" s="191"/>
      <c r="TIP157" s="191"/>
      <c r="TIQ157" s="191"/>
      <c r="TIR157" s="191"/>
      <c r="TIS157" s="191"/>
      <c r="TIT157" s="191"/>
      <c r="TIU157" s="191"/>
      <c r="TIV157" s="191"/>
      <c r="TIW157" s="191"/>
      <c r="TIX157" s="191"/>
      <c r="TIY157" s="191"/>
      <c r="TIZ157" s="191"/>
      <c r="TJA157" s="191"/>
      <c r="TJB157" s="191"/>
      <c r="TJC157" s="191"/>
      <c r="TJD157" s="191"/>
      <c r="TJE157" s="191"/>
      <c r="TJF157" s="191"/>
      <c r="TJG157" s="191"/>
      <c r="TJH157" s="191"/>
      <c r="TJI157" s="191"/>
      <c r="TJJ157" s="191"/>
      <c r="TJK157" s="191"/>
      <c r="TJL157" s="191"/>
      <c r="TJM157" s="191"/>
      <c r="TJN157" s="191"/>
      <c r="TJO157" s="191"/>
      <c r="TJP157" s="191"/>
      <c r="TJQ157" s="191"/>
      <c r="TJR157" s="191"/>
      <c r="TJS157" s="191"/>
      <c r="TJT157" s="191"/>
      <c r="TJU157" s="191"/>
      <c r="TJV157" s="191"/>
      <c r="TJW157" s="191"/>
      <c r="TJX157" s="191"/>
      <c r="TJY157" s="191"/>
      <c r="TJZ157" s="191"/>
      <c r="TKA157" s="191"/>
      <c r="TKB157" s="191"/>
      <c r="TKC157" s="191"/>
      <c r="TKD157" s="191"/>
      <c r="TKE157" s="191"/>
      <c r="TKF157" s="191"/>
      <c r="TKG157" s="191"/>
      <c r="TKH157" s="191"/>
      <c r="TKI157" s="191"/>
      <c r="TKJ157" s="191"/>
      <c r="TKK157" s="191"/>
      <c r="TKL157" s="191"/>
      <c r="TKM157" s="191"/>
      <c r="TKN157" s="191"/>
      <c r="TKO157" s="191"/>
      <c r="TKP157" s="191"/>
      <c r="TKQ157" s="191"/>
      <c r="TKR157" s="191"/>
      <c r="TKS157" s="191"/>
      <c r="TKT157" s="191"/>
      <c r="TKU157" s="191"/>
      <c r="TKV157" s="191"/>
      <c r="TKW157" s="191"/>
      <c r="TKX157" s="191"/>
      <c r="TKY157" s="191"/>
      <c r="TKZ157" s="191"/>
      <c r="TLA157" s="191"/>
      <c r="TLB157" s="191"/>
      <c r="TLC157" s="191"/>
      <c r="TLD157" s="191"/>
      <c r="TLE157" s="191"/>
      <c r="TLF157" s="191"/>
      <c r="TLG157" s="191"/>
      <c r="TLH157" s="191"/>
      <c r="TLI157" s="191"/>
      <c r="TLJ157" s="191"/>
      <c r="TLK157" s="191"/>
      <c r="TLL157" s="191"/>
      <c r="TLM157" s="191"/>
      <c r="TLN157" s="191"/>
      <c r="TLO157" s="191"/>
      <c r="TLP157" s="191"/>
      <c r="TLQ157" s="191"/>
      <c r="TLR157" s="191"/>
      <c r="TLS157" s="191"/>
      <c r="TLT157" s="191"/>
      <c r="TLU157" s="191"/>
      <c r="TLV157" s="191"/>
      <c r="TLW157" s="191"/>
      <c r="TLX157" s="191"/>
      <c r="TLY157" s="191"/>
      <c r="TLZ157" s="191"/>
      <c r="TMA157" s="191"/>
      <c r="TMB157" s="191"/>
      <c r="TMC157" s="191"/>
      <c r="TMD157" s="191"/>
      <c r="TME157" s="191"/>
      <c r="TMF157" s="191"/>
      <c r="TMG157" s="191"/>
      <c r="TMH157" s="191"/>
      <c r="TMI157" s="191"/>
      <c r="TMJ157" s="191"/>
      <c r="TMK157" s="191"/>
      <c r="TML157" s="191"/>
      <c r="TMM157" s="191"/>
      <c r="TMN157" s="191"/>
      <c r="TMO157" s="191"/>
      <c r="TMP157" s="191"/>
      <c r="TMQ157" s="191"/>
      <c r="TMR157" s="191"/>
      <c r="TMS157" s="191"/>
      <c r="TMT157" s="191"/>
      <c r="TMU157" s="191"/>
      <c r="TMV157" s="191"/>
      <c r="TMW157" s="191"/>
      <c r="TMX157" s="191"/>
      <c r="TMY157" s="191"/>
      <c r="TMZ157" s="191"/>
      <c r="TNA157" s="191"/>
      <c r="TNB157" s="191"/>
      <c r="TNC157" s="191"/>
      <c r="TND157" s="191"/>
      <c r="TNE157" s="191"/>
      <c r="TNF157" s="191"/>
      <c r="TNG157" s="191"/>
      <c r="TNH157" s="191"/>
      <c r="TNI157" s="191"/>
      <c r="TNJ157" s="191"/>
      <c r="TNK157" s="191"/>
      <c r="TNL157" s="191"/>
      <c r="TNM157" s="191"/>
      <c r="TNN157" s="191"/>
      <c r="TNO157" s="191"/>
      <c r="TNP157" s="191"/>
      <c r="TNQ157" s="191"/>
      <c r="TNR157" s="191"/>
      <c r="TNS157" s="191"/>
      <c r="TNT157" s="191"/>
      <c r="TNU157" s="191"/>
      <c r="TNV157" s="191"/>
      <c r="TNW157" s="191"/>
      <c r="TNX157" s="191"/>
      <c r="TNY157" s="191"/>
      <c r="TNZ157" s="191"/>
      <c r="TOA157" s="191"/>
      <c r="TOB157" s="191"/>
      <c r="TOC157" s="191"/>
      <c r="TOD157" s="191"/>
      <c r="TOE157" s="191"/>
      <c r="TOF157" s="191"/>
      <c r="TOG157" s="191"/>
      <c r="TOH157" s="191"/>
      <c r="TOI157" s="191"/>
      <c r="TOJ157" s="191"/>
      <c r="TOK157" s="191"/>
      <c r="TOL157" s="191"/>
      <c r="TOM157" s="191"/>
      <c r="TON157" s="191"/>
      <c r="TOO157" s="191"/>
      <c r="TOP157" s="191"/>
      <c r="TOQ157" s="191"/>
      <c r="TOR157" s="191"/>
      <c r="TOS157" s="191"/>
      <c r="TOT157" s="191"/>
      <c r="TOU157" s="191"/>
      <c r="TOV157" s="191"/>
      <c r="TOW157" s="191"/>
      <c r="TOX157" s="191"/>
      <c r="TOY157" s="191"/>
      <c r="TOZ157" s="191"/>
      <c r="TPA157" s="191"/>
      <c r="TPB157" s="191"/>
      <c r="TPC157" s="191"/>
      <c r="TPD157" s="191"/>
      <c r="TPE157" s="191"/>
      <c r="TPF157" s="191"/>
      <c r="TPG157" s="191"/>
      <c r="TPH157" s="191"/>
      <c r="TPI157" s="191"/>
      <c r="TPJ157" s="191"/>
      <c r="TPK157" s="191"/>
      <c r="TPL157" s="191"/>
      <c r="TPM157" s="191"/>
      <c r="TPN157" s="191"/>
      <c r="TPO157" s="191"/>
      <c r="TPP157" s="191"/>
      <c r="TPQ157" s="191"/>
      <c r="TPR157" s="191"/>
      <c r="TPS157" s="191"/>
      <c r="TPT157" s="191"/>
      <c r="TPU157" s="191"/>
      <c r="TPV157" s="191"/>
      <c r="TPW157" s="191"/>
      <c r="TPX157" s="191"/>
      <c r="TPY157" s="191"/>
      <c r="TPZ157" s="191"/>
      <c r="TQA157" s="191"/>
      <c r="TQB157" s="191"/>
      <c r="TQC157" s="191"/>
      <c r="TQD157" s="191"/>
      <c r="TQE157" s="191"/>
      <c r="TQF157" s="191"/>
      <c r="TQG157" s="191"/>
      <c r="TQH157" s="191"/>
      <c r="TQI157" s="191"/>
      <c r="TQJ157" s="191"/>
      <c r="TQK157" s="191"/>
      <c r="TQL157" s="191"/>
      <c r="TQM157" s="191"/>
      <c r="TQN157" s="191"/>
      <c r="TQO157" s="191"/>
      <c r="TQP157" s="191"/>
      <c r="TQQ157" s="191"/>
      <c r="TQR157" s="191"/>
      <c r="TQS157" s="191"/>
      <c r="TQT157" s="191"/>
      <c r="TQU157" s="191"/>
      <c r="TQV157" s="191"/>
      <c r="TQW157" s="191"/>
      <c r="TQX157" s="191"/>
      <c r="TQY157" s="191"/>
      <c r="TQZ157" s="191"/>
      <c r="TRA157" s="191"/>
      <c r="TRB157" s="191"/>
      <c r="TRC157" s="191"/>
      <c r="TRD157" s="191"/>
      <c r="TRE157" s="191"/>
      <c r="TRF157" s="191"/>
      <c r="TRG157" s="191"/>
      <c r="TRH157" s="191"/>
      <c r="TRI157" s="191"/>
      <c r="TRJ157" s="191"/>
      <c r="TRK157" s="191"/>
      <c r="TRL157" s="191"/>
      <c r="TRM157" s="191"/>
      <c r="TRN157" s="191"/>
      <c r="TRO157" s="191"/>
      <c r="TRP157" s="191"/>
      <c r="TRQ157" s="191"/>
      <c r="TRR157" s="191"/>
      <c r="TRS157" s="191"/>
      <c r="TRT157" s="191"/>
      <c r="TRU157" s="191"/>
      <c r="TRV157" s="191"/>
      <c r="TRW157" s="191"/>
      <c r="TRX157" s="191"/>
      <c r="TRY157" s="191"/>
      <c r="TRZ157" s="191"/>
      <c r="TSA157" s="191"/>
      <c r="TSB157" s="191"/>
      <c r="TSC157" s="191"/>
      <c r="TSD157" s="191"/>
      <c r="TSE157" s="191"/>
      <c r="TSF157" s="191"/>
      <c r="TSG157" s="191"/>
      <c r="TSH157" s="191"/>
      <c r="TSI157" s="191"/>
      <c r="TSJ157" s="191"/>
      <c r="TSK157" s="191"/>
      <c r="TSL157" s="191"/>
      <c r="TSM157" s="191"/>
      <c r="TSN157" s="191"/>
      <c r="TSO157" s="191"/>
      <c r="TSP157" s="191"/>
      <c r="TSQ157" s="191"/>
      <c r="TSR157" s="191"/>
      <c r="TSS157" s="191"/>
      <c r="TST157" s="191"/>
      <c r="TSU157" s="191"/>
      <c r="TSV157" s="191"/>
      <c r="TSW157" s="191"/>
      <c r="TSX157" s="191"/>
      <c r="TSY157" s="191"/>
      <c r="TSZ157" s="191"/>
      <c r="TTA157" s="191"/>
      <c r="TTB157" s="191"/>
      <c r="TTC157" s="191"/>
      <c r="TTD157" s="191"/>
      <c r="TTE157" s="191"/>
      <c r="TTF157" s="191"/>
      <c r="TTG157" s="191"/>
      <c r="TTH157" s="191"/>
      <c r="TTI157" s="191"/>
      <c r="TTJ157" s="191"/>
      <c r="TTK157" s="191"/>
      <c r="TTL157" s="191"/>
      <c r="TTM157" s="191"/>
      <c r="TTN157" s="191"/>
      <c r="TTO157" s="191"/>
      <c r="TTP157" s="191"/>
      <c r="TTQ157" s="191"/>
      <c r="TTR157" s="191"/>
      <c r="TTS157" s="191"/>
      <c r="TTT157" s="191"/>
      <c r="TTU157" s="191"/>
      <c r="TTV157" s="191"/>
      <c r="TTW157" s="191"/>
      <c r="TTX157" s="191"/>
      <c r="TTY157" s="191"/>
      <c r="TTZ157" s="191"/>
      <c r="TUA157" s="191"/>
      <c r="TUB157" s="191"/>
      <c r="TUC157" s="191"/>
      <c r="TUD157" s="191"/>
      <c r="TUE157" s="191"/>
      <c r="TUF157" s="191"/>
      <c r="TUG157" s="191"/>
      <c r="TUH157" s="191"/>
      <c r="TUI157" s="191"/>
      <c r="TUJ157" s="191"/>
      <c r="TUK157" s="191"/>
      <c r="TUL157" s="191"/>
      <c r="TUM157" s="191"/>
      <c r="TUN157" s="191"/>
      <c r="TUO157" s="191"/>
      <c r="TUP157" s="191"/>
      <c r="TUQ157" s="191"/>
      <c r="TUR157" s="191"/>
      <c r="TUS157" s="191"/>
      <c r="TUT157" s="191"/>
      <c r="TUU157" s="191"/>
      <c r="TUV157" s="191"/>
      <c r="TUW157" s="191"/>
      <c r="TUX157" s="191"/>
      <c r="TUY157" s="191"/>
      <c r="TUZ157" s="191"/>
      <c r="TVA157" s="191"/>
      <c r="TVB157" s="191"/>
      <c r="TVC157" s="191"/>
      <c r="TVD157" s="191"/>
      <c r="TVE157" s="191"/>
      <c r="TVF157" s="191"/>
      <c r="TVG157" s="191"/>
      <c r="TVH157" s="191"/>
      <c r="TVI157" s="191"/>
      <c r="TVJ157" s="191"/>
      <c r="TVK157" s="191"/>
      <c r="TVL157" s="191"/>
      <c r="TVM157" s="191"/>
      <c r="TVN157" s="191"/>
      <c r="TVO157" s="191"/>
      <c r="TVP157" s="191"/>
      <c r="TVQ157" s="191"/>
      <c r="TVR157" s="191"/>
      <c r="TVS157" s="191"/>
      <c r="TVT157" s="191"/>
      <c r="TVU157" s="191"/>
      <c r="TVV157" s="191"/>
      <c r="TVW157" s="191"/>
      <c r="TVX157" s="191"/>
      <c r="TVY157" s="191"/>
      <c r="TVZ157" s="191"/>
      <c r="TWA157" s="191"/>
      <c r="TWB157" s="191"/>
      <c r="TWC157" s="191"/>
      <c r="TWD157" s="191"/>
      <c r="TWE157" s="191"/>
      <c r="TWF157" s="191"/>
      <c r="TWG157" s="191"/>
      <c r="TWH157" s="191"/>
      <c r="TWI157" s="191"/>
      <c r="TWJ157" s="191"/>
      <c r="TWK157" s="191"/>
      <c r="TWL157" s="191"/>
      <c r="TWM157" s="191"/>
      <c r="TWN157" s="191"/>
      <c r="TWO157" s="191"/>
      <c r="TWP157" s="191"/>
      <c r="TWQ157" s="191"/>
      <c r="TWR157" s="191"/>
      <c r="TWS157" s="191"/>
      <c r="TWT157" s="191"/>
      <c r="TWU157" s="191"/>
      <c r="TWV157" s="191"/>
      <c r="TWW157" s="191"/>
      <c r="TWX157" s="191"/>
      <c r="TWY157" s="191"/>
      <c r="TWZ157" s="191"/>
      <c r="TXA157" s="191"/>
      <c r="TXB157" s="191"/>
      <c r="TXC157" s="191"/>
      <c r="TXD157" s="191"/>
      <c r="TXE157" s="191"/>
      <c r="TXF157" s="191"/>
      <c r="TXG157" s="191"/>
      <c r="TXH157" s="191"/>
      <c r="TXI157" s="191"/>
      <c r="TXJ157" s="191"/>
      <c r="TXK157" s="191"/>
      <c r="TXL157" s="191"/>
      <c r="TXM157" s="191"/>
      <c r="TXN157" s="191"/>
      <c r="TXO157" s="191"/>
      <c r="TXP157" s="191"/>
      <c r="TXQ157" s="191"/>
      <c r="TXR157" s="191"/>
      <c r="TXS157" s="191"/>
      <c r="TXT157" s="191"/>
      <c r="TXU157" s="191"/>
      <c r="TXV157" s="191"/>
      <c r="TXW157" s="191"/>
      <c r="TXX157" s="191"/>
      <c r="TXY157" s="191"/>
      <c r="TXZ157" s="191"/>
      <c r="TYA157" s="191"/>
      <c r="TYB157" s="191"/>
      <c r="TYC157" s="191"/>
      <c r="TYD157" s="191"/>
      <c r="TYE157" s="191"/>
      <c r="TYF157" s="191"/>
      <c r="TYG157" s="191"/>
      <c r="TYH157" s="191"/>
      <c r="TYI157" s="191"/>
      <c r="TYJ157" s="191"/>
      <c r="TYK157" s="191"/>
      <c r="TYL157" s="191"/>
      <c r="TYM157" s="191"/>
      <c r="TYN157" s="191"/>
      <c r="TYO157" s="191"/>
      <c r="TYP157" s="191"/>
      <c r="TYQ157" s="191"/>
      <c r="TYR157" s="191"/>
      <c r="TYS157" s="191"/>
      <c r="TYT157" s="191"/>
      <c r="TYU157" s="191"/>
      <c r="TYV157" s="191"/>
      <c r="TYW157" s="191"/>
      <c r="TYX157" s="191"/>
      <c r="TYY157" s="191"/>
      <c r="TYZ157" s="191"/>
      <c r="TZA157" s="191"/>
      <c r="TZB157" s="191"/>
      <c r="TZC157" s="191"/>
      <c r="TZD157" s="191"/>
      <c r="TZE157" s="191"/>
      <c r="TZF157" s="191"/>
      <c r="TZG157" s="191"/>
      <c r="TZH157" s="191"/>
      <c r="TZI157" s="191"/>
      <c r="TZJ157" s="191"/>
      <c r="TZK157" s="191"/>
      <c r="TZL157" s="191"/>
      <c r="TZM157" s="191"/>
      <c r="TZN157" s="191"/>
      <c r="TZO157" s="191"/>
      <c r="TZP157" s="191"/>
      <c r="TZQ157" s="191"/>
      <c r="TZR157" s="191"/>
      <c r="TZS157" s="191"/>
      <c r="TZT157" s="191"/>
      <c r="TZU157" s="191"/>
      <c r="TZV157" s="191"/>
      <c r="TZW157" s="191"/>
      <c r="TZX157" s="191"/>
      <c r="TZY157" s="191"/>
      <c r="TZZ157" s="191"/>
      <c r="UAA157" s="191"/>
      <c r="UAB157" s="191"/>
      <c r="UAC157" s="191"/>
      <c r="UAD157" s="191"/>
      <c r="UAE157" s="191"/>
      <c r="UAF157" s="191"/>
      <c r="UAG157" s="191"/>
      <c r="UAH157" s="191"/>
      <c r="UAI157" s="191"/>
      <c r="UAJ157" s="191"/>
      <c r="UAK157" s="191"/>
      <c r="UAL157" s="191"/>
      <c r="UAM157" s="191"/>
      <c r="UAN157" s="191"/>
      <c r="UAO157" s="191"/>
      <c r="UAP157" s="191"/>
      <c r="UAQ157" s="191"/>
      <c r="UAR157" s="191"/>
      <c r="UAS157" s="191"/>
      <c r="UAT157" s="191"/>
      <c r="UAU157" s="191"/>
      <c r="UAV157" s="191"/>
      <c r="UAW157" s="191"/>
      <c r="UAX157" s="191"/>
      <c r="UAY157" s="191"/>
      <c r="UAZ157" s="191"/>
      <c r="UBA157" s="191"/>
      <c r="UBB157" s="191"/>
      <c r="UBC157" s="191"/>
      <c r="UBD157" s="191"/>
      <c r="UBE157" s="191"/>
      <c r="UBF157" s="191"/>
      <c r="UBG157" s="191"/>
      <c r="UBH157" s="191"/>
      <c r="UBI157" s="191"/>
      <c r="UBJ157" s="191"/>
      <c r="UBK157" s="191"/>
      <c r="UBL157" s="191"/>
      <c r="UBM157" s="191"/>
      <c r="UBN157" s="191"/>
      <c r="UBO157" s="191"/>
      <c r="UBP157" s="191"/>
      <c r="UBQ157" s="191"/>
      <c r="UBR157" s="191"/>
      <c r="UBS157" s="191"/>
      <c r="UBT157" s="191"/>
      <c r="UBU157" s="191"/>
      <c r="UBV157" s="191"/>
      <c r="UBW157" s="191"/>
      <c r="UBX157" s="191"/>
      <c r="UBY157" s="191"/>
      <c r="UBZ157" s="191"/>
      <c r="UCA157" s="191"/>
      <c r="UCB157" s="191"/>
      <c r="UCC157" s="191"/>
      <c r="UCD157" s="191"/>
      <c r="UCE157" s="191"/>
      <c r="UCF157" s="191"/>
      <c r="UCG157" s="191"/>
      <c r="UCH157" s="191"/>
      <c r="UCI157" s="191"/>
      <c r="UCJ157" s="191"/>
      <c r="UCK157" s="191"/>
      <c r="UCL157" s="191"/>
      <c r="UCM157" s="191"/>
      <c r="UCN157" s="191"/>
      <c r="UCO157" s="191"/>
      <c r="UCP157" s="191"/>
      <c r="UCQ157" s="191"/>
      <c r="UCR157" s="191"/>
      <c r="UCS157" s="191"/>
      <c r="UCT157" s="191"/>
      <c r="UCU157" s="191"/>
      <c r="UCV157" s="191"/>
      <c r="UCW157" s="191"/>
      <c r="UCX157" s="191"/>
      <c r="UCY157" s="191"/>
      <c r="UCZ157" s="191"/>
      <c r="UDA157" s="191"/>
      <c r="UDB157" s="191"/>
      <c r="UDC157" s="191"/>
      <c r="UDD157" s="191"/>
      <c r="UDE157" s="191"/>
      <c r="UDF157" s="191"/>
      <c r="UDG157" s="191"/>
      <c r="UDH157" s="191"/>
      <c r="UDI157" s="191"/>
      <c r="UDJ157" s="191"/>
      <c r="UDK157" s="191"/>
      <c r="UDL157" s="191"/>
      <c r="UDM157" s="191"/>
      <c r="UDN157" s="191"/>
      <c r="UDO157" s="191"/>
      <c r="UDP157" s="191"/>
      <c r="UDQ157" s="191"/>
      <c r="UDR157" s="191"/>
      <c r="UDS157" s="191"/>
      <c r="UDT157" s="191"/>
      <c r="UDU157" s="191"/>
      <c r="UDV157" s="191"/>
      <c r="UDW157" s="191"/>
      <c r="UDX157" s="191"/>
      <c r="UDY157" s="191"/>
      <c r="UDZ157" s="191"/>
      <c r="UEA157" s="191"/>
      <c r="UEB157" s="191"/>
      <c r="UEC157" s="191"/>
      <c r="UED157" s="191"/>
      <c r="UEE157" s="191"/>
      <c r="UEF157" s="191"/>
      <c r="UEG157" s="191"/>
      <c r="UEH157" s="191"/>
      <c r="UEI157" s="191"/>
      <c r="UEJ157" s="191"/>
      <c r="UEK157" s="191"/>
      <c r="UEL157" s="191"/>
      <c r="UEM157" s="191"/>
      <c r="UEN157" s="191"/>
      <c r="UEO157" s="191"/>
      <c r="UEP157" s="191"/>
      <c r="UEQ157" s="191"/>
      <c r="UER157" s="191"/>
      <c r="UES157" s="191"/>
      <c r="UET157" s="191"/>
      <c r="UEU157" s="191"/>
      <c r="UEV157" s="191"/>
      <c r="UEW157" s="191"/>
      <c r="UEX157" s="191"/>
      <c r="UEY157" s="191"/>
      <c r="UEZ157" s="191"/>
      <c r="UFA157" s="191"/>
      <c r="UFB157" s="191"/>
      <c r="UFC157" s="191"/>
      <c r="UFD157" s="191"/>
      <c r="UFE157" s="191"/>
      <c r="UFF157" s="191"/>
      <c r="UFG157" s="191"/>
      <c r="UFH157" s="191"/>
      <c r="UFI157" s="191"/>
      <c r="UFJ157" s="191"/>
      <c r="UFK157" s="191"/>
      <c r="UFL157" s="191"/>
      <c r="UFM157" s="191"/>
      <c r="UFN157" s="191"/>
      <c r="UFO157" s="191"/>
      <c r="UFP157" s="191"/>
      <c r="UFQ157" s="191"/>
      <c r="UFR157" s="191"/>
      <c r="UFS157" s="191"/>
      <c r="UFT157" s="191"/>
      <c r="UFU157" s="191"/>
      <c r="UFV157" s="191"/>
      <c r="UFW157" s="191"/>
      <c r="UFX157" s="191"/>
      <c r="UFY157" s="191"/>
      <c r="UFZ157" s="191"/>
      <c r="UGA157" s="191"/>
      <c r="UGB157" s="191"/>
      <c r="UGC157" s="191"/>
      <c r="UGD157" s="191"/>
      <c r="UGE157" s="191"/>
      <c r="UGF157" s="191"/>
      <c r="UGG157" s="191"/>
      <c r="UGH157" s="191"/>
      <c r="UGI157" s="191"/>
      <c r="UGJ157" s="191"/>
      <c r="UGK157" s="191"/>
      <c r="UGL157" s="191"/>
      <c r="UGM157" s="191"/>
      <c r="UGN157" s="191"/>
      <c r="UGO157" s="191"/>
      <c r="UGP157" s="191"/>
      <c r="UGQ157" s="191"/>
      <c r="UGR157" s="191"/>
      <c r="UGS157" s="191"/>
      <c r="UGT157" s="191"/>
      <c r="UGU157" s="191"/>
      <c r="UGV157" s="191"/>
      <c r="UGW157" s="191"/>
      <c r="UGX157" s="191"/>
      <c r="UGY157" s="191"/>
      <c r="UGZ157" s="191"/>
      <c r="UHA157" s="191"/>
      <c r="UHB157" s="191"/>
      <c r="UHC157" s="191"/>
      <c r="UHD157" s="191"/>
      <c r="UHE157" s="191"/>
      <c r="UHF157" s="191"/>
      <c r="UHG157" s="191"/>
      <c r="UHH157" s="191"/>
      <c r="UHI157" s="191"/>
      <c r="UHJ157" s="191"/>
      <c r="UHK157" s="191"/>
      <c r="UHL157" s="191"/>
      <c r="UHM157" s="191"/>
      <c r="UHN157" s="191"/>
      <c r="UHO157" s="191"/>
      <c r="UHP157" s="191"/>
      <c r="UHQ157" s="191"/>
      <c r="UHR157" s="191"/>
      <c r="UHS157" s="191"/>
      <c r="UHT157" s="191"/>
      <c r="UHU157" s="191"/>
      <c r="UHV157" s="191"/>
      <c r="UHW157" s="191"/>
      <c r="UHX157" s="191"/>
      <c r="UHY157" s="191"/>
      <c r="UHZ157" s="191"/>
      <c r="UIA157" s="191"/>
      <c r="UIB157" s="191"/>
      <c r="UIC157" s="191"/>
      <c r="UID157" s="191"/>
      <c r="UIE157" s="191"/>
      <c r="UIF157" s="191"/>
      <c r="UIG157" s="191"/>
      <c r="UIH157" s="191"/>
      <c r="UII157" s="191"/>
      <c r="UIJ157" s="191"/>
      <c r="UIK157" s="191"/>
      <c r="UIL157" s="191"/>
      <c r="UIM157" s="191"/>
      <c r="UIN157" s="191"/>
      <c r="UIO157" s="191"/>
      <c r="UIP157" s="191"/>
      <c r="UIQ157" s="191"/>
      <c r="UIR157" s="191"/>
      <c r="UIS157" s="191"/>
      <c r="UIT157" s="191"/>
      <c r="UIU157" s="191"/>
      <c r="UIV157" s="191"/>
      <c r="UIW157" s="191"/>
      <c r="UIX157" s="191"/>
      <c r="UIY157" s="191"/>
      <c r="UIZ157" s="191"/>
      <c r="UJA157" s="191"/>
      <c r="UJB157" s="191"/>
      <c r="UJC157" s="191"/>
      <c r="UJD157" s="191"/>
      <c r="UJE157" s="191"/>
      <c r="UJF157" s="191"/>
      <c r="UJG157" s="191"/>
      <c r="UJH157" s="191"/>
      <c r="UJI157" s="191"/>
      <c r="UJJ157" s="191"/>
      <c r="UJK157" s="191"/>
      <c r="UJL157" s="191"/>
      <c r="UJM157" s="191"/>
      <c r="UJN157" s="191"/>
      <c r="UJO157" s="191"/>
      <c r="UJP157" s="191"/>
      <c r="UJQ157" s="191"/>
      <c r="UJR157" s="191"/>
      <c r="UJS157" s="191"/>
      <c r="UJT157" s="191"/>
      <c r="UJU157" s="191"/>
      <c r="UJV157" s="191"/>
      <c r="UJW157" s="191"/>
      <c r="UJX157" s="191"/>
      <c r="UJY157" s="191"/>
      <c r="UJZ157" s="191"/>
      <c r="UKA157" s="191"/>
      <c r="UKB157" s="191"/>
      <c r="UKC157" s="191"/>
      <c r="UKD157" s="191"/>
      <c r="UKE157" s="191"/>
      <c r="UKF157" s="191"/>
      <c r="UKG157" s="191"/>
      <c r="UKH157" s="191"/>
      <c r="UKI157" s="191"/>
      <c r="UKJ157" s="191"/>
      <c r="UKK157" s="191"/>
      <c r="UKL157" s="191"/>
      <c r="UKM157" s="191"/>
      <c r="UKN157" s="191"/>
      <c r="UKO157" s="191"/>
      <c r="UKP157" s="191"/>
      <c r="UKQ157" s="191"/>
      <c r="UKR157" s="191"/>
      <c r="UKS157" s="191"/>
      <c r="UKT157" s="191"/>
      <c r="UKU157" s="191"/>
      <c r="UKV157" s="191"/>
      <c r="UKW157" s="191"/>
      <c r="UKX157" s="191"/>
      <c r="UKY157" s="191"/>
      <c r="UKZ157" s="191"/>
      <c r="ULA157" s="191"/>
      <c r="ULB157" s="191"/>
      <c r="ULC157" s="191"/>
      <c r="ULD157" s="191"/>
      <c r="ULE157" s="191"/>
      <c r="ULF157" s="191"/>
      <c r="ULG157" s="191"/>
      <c r="ULH157" s="191"/>
      <c r="ULI157" s="191"/>
      <c r="ULJ157" s="191"/>
      <c r="ULK157" s="191"/>
      <c r="ULL157" s="191"/>
      <c r="ULM157" s="191"/>
      <c r="ULN157" s="191"/>
      <c r="ULO157" s="191"/>
      <c r="ULP157" s="191"/>
      <c r="ULQ157" s="191"/>
      <c r="ULR157" s="191"/>
      <c r="ULS157" s="191"/>
      <c r="ULT157" s="191"/>
      <c r="ULU157" s="191"/>
      <c r="ULV157" s="191"/>
      <c r="ULW157" s="191"/>
      <c r="ULX157" s="191"/>
      <c r="ULY157" s="191"/>
      <c r="ULZ157" s="191"/>
      <c r="UMA157" s="191"/>
      <c r="UMB157" s="191"/>
      <c r="UMC157" s="191"/>
      <c r="UMD157" s="191"/>
      <c r="UME157" s="191"/>
      <c r="UMF157" s="191"/>
      <c r="UMG157" s="191"/>
      <c r="UMH157" s="191"/>
      <c r="UMI157" s="191"/>
      <c r="UMJ157" s="191"/>
      <c r="UMK157" s="191"/>
      <c r="UML157" s="191"/>
      <c r="UMM157" s="191"/>
      <c r="UMN157" s="191"/>
      <c r="UMO157" s="191"/>
      <c r="UMP157" s="191"/>
      <c r="UMQ157" s="191"/>
      <c r="UMR157" s="191"/>
      <c r="UMS157" s="191"/>
      <c r="UMT157" s="191"/>
      <c r="UMU157" s="191"/>
      <c r="UMV157" s="191"/>
      <c r="UMW157" s="191"/>
      <c r="UMX157" s="191"/>
      <c r="UMY157" s="191"/>
      <c r="UMZ157" s="191"/>
      <c r="UNA157" s="191"/>
      <c r="UNB157" s="191"/>
      <c r="UNC157" s="191"/>
      <c r="UND157" s="191"/>
      <c r="UNE157" s="191"/>
      <c r="UNF157" s="191"/>
      <c r="UNG157" s="191"/>
      <c r="UNH157" s="191"/>
      <c r="UNI157" s="191"/>
      <c r="UNJ157" s="191"/>
      <c r="UNK157" s="191"/>
      <c r="UNL157" s="191"/>
      <c r="UNM157" s="191"/>
      <c r="UNN157" s="191"/>
      <c r="UNO157" s="191"/>
      <c r="UNP157" s="191"/>
      <c r="UNQ157" s="191"/>
      <c r="UNR157" s="191"/>
      <c r="UNS157" s="191"/>
      <c r="UNT157" s="191"/>
      <c r="UNU157" s="191"/>
      <c r="UNV157" s="191"/>
      <c r="UNW157" s="191"/>
      <c r="UNX157" s="191"/>
      <c r="UNY157" s="191"/>
      <c r="UNZ157" s="191"/>
      <c r="UOA157" s="191"/>
      <c r="UOB157" s="191"/>
      <c r="UOC157" s="191"/>
      <c r="UOD157" s="191"/>
      <c r="UOE157" s="191"/>
      <c r="UOF157" s="191"/>
      <c r="UOG157" s="191"/>
      <c r="UOH157" s="191"/>
      <c r="UOI157" s="191"/>
      <c r="UOJ157" s="191"/>
      <c r="UOK157" s="191"/>
      <c r="UOL157" s="191"/>
      <c r="UOM157" s="191"/>
      <c r="UON157" s="191"/>
      <c r="UOO157" s="191"/>
      <c r="UOP157" s="191"/>
      <c r="UOQ157" s="191"/>
      <c r="UOR157" s="191"/>
      <c r="UOS157" s="191"/>
      <c r="UOT157" s="191"/>
      <c r="UOU157" s="191"/>
      <c r="UOV157" s="191"/>
      <c r="UOW157" s="191"/>
      <c r="UOX157" s="191"/>
      <c r="UOY157" s="191"/>
      <c r="UOZ157" s="191"/>
      <c r="UPA157" s="191"/>
      <c r="UPB157" s="191"/>
      <c r="UPC157" s="191"/>
      <c r="UPD157" s="191"/>
      <c r="UPE157" s="191"/>
      <c r="UPF157" s="191"/>
      <c r="UPG157" s="191"/>
      <c r="UPH157" s="191"/>
      <c r="UPI157" s="191"/>
      <c r="UPJ157" s="191"/>
      <c r="UPK157" s="191"/>
      <c r="UPL157" s="191"/>
      <c r="UPM157" s="191"/>
      <c r="UPN157" s="191"/>
      <c r="UPO157" s="191"/>
      <c r="UPP157" s="191"/>
      <c r="UPQ157" s="191"/>
      <c r="UPR157" s="191"/>
      <c r="UPS157" s="191"/>
      <c r="UPT157" s="191"/>
      <c r="UPU157" s="191"/>
      <c r="UPV157" s="191"/>
      <c r="UPW157" s="191"/>
      <c r="UPX157" s="191"/>
      <c r="UPY157" s="191"/>
      <c r="UPZ157" s="191"/>
      <c r="UQA157" s="191"/>
      <c r="UQB157" s="191"/>
      <c r="UQC157" s="191"/>
      <c r="UQD157" s="191"/>
      <c r="UQE157" s="191"/>
      <c r="UQF157" s="191"/>
      <c r="UQG157" s="191"/>
      <c r="UQH157" s="191"/>
      <c r="UQI157" s="191"/>
      <c r="UQJ157" s="191"/>
      <c r="UQK157" s="191"/>
      <c r="UQL157" s="191"/>
      <c r="UQM157" s="191"/>
      <c r="UQN157" s="191"/>
      <c r="UQO157" s="191"/>
      <c r="UQP157" s="191"/>
      <c r="UQQ157" s="191"/>
      <c r="UQR157" s="191"/>
      <c r="UQS157" s="191"/>
      <c r="UQT157" s="191"/>
      <c r="UQU157" s="191"/>
      <c r="UQV157" s="191"/>
      <c r="UQW157" s="191"/>
      <c r="UQX157" s="191"/>
      <c r="UQY157" s="191"/>
      <c r="UQZ157" s="191"/>
      <c r="URA157" s="191"/>
      <c r="URB157" s="191"/>
      <c r="URC157" s="191"/>
      <c r="URD157" s="191"/>
      <c r="URE157" s="191"/>
      <c r="URF157" s="191"/>
      <c r="URG157" s="191"/>
      <c r="URH157" s="191"/>
      <c r="URI157" s="191"/>
      <c r="URJ157" s="191"/>
      <c r="URK157" s="191"/>
      <c r="URL157" s="191"/>
      <c r="URM157" s="191"/>
      <c r="URN157" s="191"/>
      <c r="URO157" s="191"/>
      <c r="URP157" s="191"/>
      <c r="URQ157" s="191"/>
      <c r="URR157" s="191"/>
      <c r="URS157" s="191"/>
      <c r="URT157" s="191"/>
      <c r="URU157" s="191"/>
      <c r="URV157" s="191"/>
      <c r="URW157" s="191"/>
      <c r="URX157" s="191"/>
      <c r="URY157" s="191"/>
      <c r="URZ157" s="191"/>
      <c r="USA157" s="191"/>
      <c r="USB157" s="191"/>
      <c r="USC157" s="191"/>
      <c r="USD157" s="191"/>
      <c r="USE157" s="191"/>
      <c r="USF157" s="191"/>
      <c r="USG157" s="191"/>
      <c r="USH157" s="191"/>
      <c r="USI157" s="191"/>
      <c r="USJ157" s="191"/>
      <c r="USK157" s="191"/>
      <c r="USL157" s="191"/>
      <c r="USM157" s="191"/>
      <c r="USN157" s="191"/>
      <c r="USO157" s="191"/>
      <c r="USP157" s="191"/>
      <c r="USQ157" s="191"/>
      <c r="USR157" s="191"/>
      <c r="USS157" s="191"/>
      <c r="UST157" s="191"/>
      <c r="USU157" s="191"/>
      <c r="USV157" s="191"/>
      <c r="USW157" s="191"/>
      <c r="USX157" s="191"/>
      <c r="USY157" s="191"/>
      <c r="USZ157" s="191"/>
      <c r="UTA157" s="191"/>
      <c r="UTB157" s="191"/>
      <c r="UTC157" s="191"/>
      <c r="UTD157" s="191"/>
      <c r="UTE157" s="191"/>
      <c r="UTF157" s="191"/>
      <c r="UTG157" s="191"/>
      <c r="UTH157" s="191"/>
      <c r="UTI157" s="191"/>
      <c r="UTJ157" s="191"/>
      <c r="UTK157" s="191"/>
      <c r="UTL157" s="191"/>
      <c r="UTM157" s="191"/>
      <c r="UTN157" s="191"/>
      <c r="UTO157" s="191"/>
      <c r="UTP157" s="191"/>
      <c r="UTQ157" s="191"/>
      <c r="UTR157" s="191"/>
      <c r="UTS157" s="191"/>
      <c r="UTT157" s="191"/>
      <c r="UTU157" s="191"/>
      <c r="UTV157" s="191"/>
      <c r="UTW157" s="191"/>
      <c r="UTX157" s="191"/>
      <c r="UTY157" s="191"/>
      <c r="UTZ157" s="191"/>
      <c r="UUA157" s="191"/>
      <c r="UUB157" s="191"/>
      <c r="UUC157" s="191"/>
      <c r="UUD157" s="191"/>
      <c r="UUE157" s="191"/>
      <c r="UUF157" s="191"/>
      <c r="UUG157" s="191"/>
      <c r="UUH157" s="191"/>
      <c r="UUI157" s="191"/>
      <c r="UUJ157" s="191"/>
      <c r="UUK157" s="191"/>
      <c r="UUL157" s="191"/>
      <c r="UUM157" s="191"/>
      <c r="UUN157" s="191"/>
      <c r="UUO157" s="191"/>
      <c r="UUP157" s="191"/>
      <c r="UUQ157" s="191"/>
      <c r="UUR157" s="191"/>
      <c r="UUS157" s="191"/>
      <c r="UUT157" s="191"/>
      <c r="UUU157" s="191"/>
      <c r="UUV157" s="191"/>
      <c r="UUW157" s="191"/>
      <c r="UUX157" s="191"/>
      <c r="UUY157" s="191"/>
      <c r="UUZ157" s="191"/>
      <c r="UVA157" s="191"/>
      <c r="UVB157" s="191"/>
      <c r="UVC157" s="191"/>
      <c r="UVD157" s="191"/>
      <c r="UVE157" s="191"/>
      <c r="UVF157" s="191"/>
      <c r="UVG157" s="191"/>
      <c r="UVH157" s="191"/>
      <c r="UVI157" s="191"/>
      <c r="UVJ157" s="191"/>
      <c r="UVK157" s="191"/>
      <c r="UVL157" s="191"/>
      <c r="UVM157" s="191"/>
      <c r="UVN157" s="191"/>
      <c r="UVO157" s="191"/>
      <c r="UVP157" s="191"/>
      <c r="UVQ157" s="191"/>
      <c r="UVR157" s="191"/>
      <c r="UVS157" s="191"/>
      <c r="UVT157" s="191"/>
      <c r="UVU157" s="191"/>
      <c r="UVV157" s="191"/>
      <c r="UVW157" s="191"/>
      <c r="UVX157" s="191"/>
      <c r="UVY157" s="191"/>
      <c r="UVZ157" s="191"/>
      <c r="UWA157" s="191"/>
      <c r="UWB157" s="191"/>
      <c r="UWC157" s="191"/>
      <c r="UWD157" s="191"/>
      <c r="UWE157" s="191"/>
      <c r="UWF157" s="191"/>
      <c r="UWG157" s="191"/>
      <c r="UWH157" s="191"/>
      <c r="UWI157" s="191"/>
      <c r="UWJ157" s="191"/>
      <c r="UWK157" s="191"/>
      <c r="UWL157" s="191"/>
      <c r="UWM157" s="191"/>
      <c r="UWN157" s="191"/>
      <c r="UWO157" s="191"/>
      <c r="UWP157" s="191"/>
      <c r="UWQ157" s="191"/>
      <c r="UWR157" s="191"/>
      <c r="UWS157" s="191"/>
      <c r="UWT157" s="191"/>
      <c r="UWU157" s="191"/>
      <c r="UWV157" s="191"/>
      <c r="UWW157" s="191"/>
      <c r="UWX157" s="191"/>
      <c r="UWY157" s="191"/>
      <c r="UWZ157" s="191"/>
      <c r="UXA157" s="191"/>
      <c r="UXB157" s="191"/>
      <c r="UXC157" s="191"/>
      <c r="UXD157" s="191"/>
      <c r="UXE157" s="191"/>
      <c r="UXF157" s="191"/>
      <c r="UXG157" s="191"/>
      <c r="UXH157" s="191"/>
      <c r="UXI157" s="191"/>
      <c r="UXJ157" s="191"/>
      <c r="UXK157" s="191"/>
      <c r="UXL157" s="191"/>
      <c r="UXM157" s="191"/>
      <c r="UXN157" s="191"/>
      <c r="UXO157" s="191"/>
      <c r="UXP157" s="191"/>
      <c r="UXQ157" s="191"/>
      <c r="UXR157" s="191"/>
      <c r="UXS157" s="191"/>
      <c r="UXT157" s="191"/>
      <c r="UXU157" s="191"/>
      <c r="UXV157" s="191"/>
      <c r="UXW157" s="191"/>
      <c r="UXX157" s="191"/>
      <c r="UXY157" s="191"/>
      <c r="UXZ157" s="191"/>
      <c r="UYA157" s="191"/>
      <c r="UYB157" s="191"/>
      <c r="UYC157" s="191"/>
      <c r="UYD157" s="191"/>
      <c r="UYE157" s="191"/>
      <c r="UYF157" s="191"/>
      <c r="UYG157" s="191"/>
      <c r="UYH157" s="191"/>
      <c r="UYI157" s="191"/>
      <c r="UYJ157" s="191"/>
      <c r="UYK157" s="191"/>
      <c r="UYL157" s="191"/>
      <c r="UYM157" s="191"/>
      <c r="UYN157" s="191"/>
      <c r="UYO157" s="191"/>
      <c r="UYP157" s="191"/>
      <c r="UYQ157" s="191"/>
      <c r="UYR157" s="191"/>
      <c r="UYS157" s="191"/>
      <c r="UYT157" s="191"/>
      <c r="UYU157" s="191"/>
      <c r="UYV157" s="191"/>
      <c r="UYW157" s="191"/>
      <c r="UYX157" s="191"/>
      <c r="UYY157" s="191"/>
      <c r="UYZ157" s="191"/>
      <c r="UZA157" s="191"/>
      <c r="UZB157" s="191"/>
      <c r="UZC157" s="191"/>
      <c r="UZD157" s="191"/>
      <c r="UZE157" s="191"/>
      <c r="UZF157" s="191"/>
      <c r="UZG157" s="191"/>
      <c r="UZH157" s="191"/>
      <c r="UZI157" s="191"/>
      <c r="UZJ157" s="191"/>
      <c r="UZK157" s="191"/>
      <c r="UZL157" s="191"/>
      <c r="UZM157" s="191"/>
      <c r="UZN157" s="191"/>
      <c r="UZO157" s="191"/>
      <c r="UZP157" s="191"/>
      <c r="UZQ157" s="191"/>
      <c r="UZR157" s="191"/>
      <c r="UZS157" s="191"/>
      <c r="UZT157" s="191"/>
      <c r="UZU157" s="191"/>
      <c r="UZV157" s="191"/>
      <c r="UZW157" s="191"/>
      <c r="UZX157" s="191"/>
      <c r="UZY157" s="191"/>
      <c r="UZZ157" s="191"/>
      <c r="VAA157" s="191"/>
      <c r="VAB157" s="191"/>
      <c r="VAC157" s="191"/>
      <c r="VAD157" s="191"/>
      <c r="VAE157" s="191"/>
      <c r="VAF157" s="191"/>
      <c r="VAG157" s="191"/>
      <c r="VAH157" s="191"/>
      <c r="VAI157" s="191"/>
      <c r="VAJ157" s="191"/>
      <c r="VAK157" s="191"/>
      <c r="VAL157" s="191"/>
      <c r="VAM157" s="191"/>
      <c r="VAN157" s="191"/>
      <c r="VAO157" s="191"/>
      <c r="VAP157" s="191"/>
      <c r="VAQ157" s="191"/>
      <c r="VAR157" s="191"/>
      <c r="VAS157" s="191"/>
      <c r="VAT157" s="191"/>
      <c r="VAU157" s="191"/>
      <c r="VAV157" s="191"/>
      <c r="VAW157" s="191"/>
      <c r="VAX157" s="191"/>
      <c r="VAY157" s="191"/>
      <c r="VAZ157" s="191"/>
      <c r="VBA157" s="191"/>
      <c r="VBB157" s="191"/>
      <c r="VBC157" s="191"/>
      <c r="VBD157" s="191"/>
      <c r="VBE157" s="191"/>
      <c r="VBF157" s="191"/>
      <c r="VBG157" s="191"/>
      <c r="VBH157" s="191"/>
      <c r="VBI157" s="191"/>
      <c r="VBJ157" s="191"/>
      <c r="VBK157" s="191"/>
      <c r="VBL157" s="191"/>
      <c r="VBM157" s="191"/>
      <c r="VBN157" s="191"/>
      <c r="VBO157" s="191"/>
      <c r="VBP157" s="191"/>
      <c r="VBQ157" s="191"/>
      <c r="VBR157" s="191"/>
      <c r="VBS157" s="191"/>
      <c r="VBT157" s="191"/>
      <c r="VBU157" s="191"/>
      <c r="VBV157" s="191"/>
      <c r="VBW157" s="191"/>
      <c r="VBX157" s="191"/>
      <c r="VBY157" s="191"/>
      <c r="VBZ157" s="191"/>
      <c r="VCA157" s="191"/>
      <c r="VCB157" s="191"/>
      <c r="VCC157" s="191"/>
      <c r="VCD157" s="191"/>
      <c r="VCE157" s="191"/>
      <c r="VCF157" s="191"/>
      <c r="VCG157" s="191"/>
      <c r="VCH157" s="191"/>
      <c r="VCI157" s="191"/>
      <c r="VCJ157" s="191"/>
      <c r="VCK157" s="191"/>
      <c r="VCL157" s="191"/>
      <c r="VCM157" s="191"/>
      <c r="VCN157" s="191"/>
      <c r="VCO157" s="191"/>
      <c r="VCP157" s="191"/>
      <c r="VCQ157" s="191"/>
      <c r="VCR157" s="191"/>
      <c r="VCS157" s="191"/>
      <c r="VCT157" s="191"/>
      <c r="VCU157" s="191"/>
      <c r="VCV157" s="191"/>
      <c r="VCW157" s="191"/>
      <c r="VCX157" s="191"/>
      <c r="VCY157" s="191"/>
      <c r="VCZ157" s="191"/>
      <c r="VDA157" s="191"/>
      <c r="VDB157" s="191"/>
      <c r="VDC157" s="191"/>
      <c r="VDD157" s="191"/>
      <c r="VDE157" s="191"/>
      <c r="VDF157" s="191"/>
      <c r="VDG157" s="191"/>
      <c r="VDH157" s="191"/>
      <c r="VDI157" s="191"/>
      <c r="VDJ157" s="191"/>
      <c r="VDK157" s="191"/>
      <c r="VDL157" s="191"/>
      <c r="VDM157" s="191"/>
      <c r="VDN157" s="191"/>
      <c r="VDO157" s="191"/>
      <c r="VDP157" s="191"/>
      <c r="VDQ157" s="191"/>
      <c r="VDR157" s="191"/>
      <c r="VDS157" s="191"/>
      <c r="VDT157" s="191"/>
      <c r="VDU157" s="191"/>
      <c r="VDV157" s="191"/>
      <c r="VDW157" s="191"/>
      <c r="VDX157" s="191"/>
      <c r="VDY157" s="191"/>
      <c r="VDZ157" s="191"/>
      <c r="VEA157" s="191"/>
      <c r="VEB157" s="191"/>
      <c r="VEC157" s="191"/>
      <c r="VED157" s="191"/>
      <c r="VEE157" s="191"/>
      <c r="VEF157" s="191"/>
      <c r="VEG157" s="191"/>
      <c r="VEH157" s="191"/>
      <c r="VEI157" s="191"/>
      <c r="VEJ157" s="191"/>
      <c r="VEK157" s="191"/>
      <c r="VEL157" s="191"/>
      <c r="VEM157" s="191"/>
      <c r="VEN157" s="191"/>
      <c r="VEO157" s="191"/>
      <c r="VEP157" s="191"/>
      <c r="VEQ157" s="191"/>
      <c r="VER157" s="191"/>
      <c r="VES157" s="191"/>
      <c r="VET157" s="191"/>
      <c r="VEU157" s="191"/>
      <c r="VEV157" s="191"/>
      <c r="VEW157" s="191"/>
      <c r="VEX157" s="191"/>
      <c r="VEY157" s="191"/>
      <c r="VEZ157" s="191"/>
      <c r="VFA157" s="191"/>
      <c r="VFB157" s="191"/>
      <c r="VFC157" s="191"/>
      <c r="VFD157" s="191"/>
      <c r="VFE157" s="191"/>
      <c r="VFF157" s="191"/>
      <c r="VFG157" s="191"/>
      <c r="VFH157" s="191"/>
      <c r="VFI157" s="191"/>
      <c r="VFJ157" s="191"/>
      <c r="VFK157" s="191"/>
      <c r="VFL157" s="191"/>
      <c r="VFM157" s="191"/>
      <c r="VFN157" s="191"/>
      <c r="VFO157" s="191"/>
      <c r="VFP157" s="191"/>
      <c r="VFQ157" s="191"/>
      <c r="VFR157" s="191"/>
      <c r="VFS157" s="191"/>
      <c r="VFT157" s="191"/>
      <c r="VFU157" s="191"/>
      <c r="VFV157" s="191"/>
      <c r="VFW157" s="191"/>
      <c r="VFX157" s="191"/>
      <c r="VFY157" s="191"/>
      <c r="VFZ157" s="191"/>
      <c r="VGA157" s="191"/>
      <c r="VGB157" s="191"/>
      <c r="VGC157" s="191"/>
      <c r="VGD157" s="191"/>
      <c r="VGE157" s="191"/>
      <c r="VGF157" s="191"/>
      <c r="VGG157" s="191"/>
      <c r="VGH157" s="191"/>
      <c r="VGI157" s="191"/>
      <c r="VGJ157" s="191"/>
      <c r="VGK157" s="191"/>
      <c r="VGL157" s="191"/>
      <c r="VGM157" s="191"/>
      <c r="VGN157" s="191"/>
      <c r="VGO157" s="191"/>
      <c r="VGP157" s="191"/>
      <c r="VGQ157" s="191"/>
      <c r="VGR157" s="191"/>
      <c r="VGS157" s="191"/>
      <c r="VGT157" s="191"/>
      <c r="VGU157" s="191"/>
      <c r="VGV157" s="191"/>
      <c r="VGW157" s="191"/>
      <c r="VGX157" s="191"/>
      <c r="VGY157" s="191"/>
      <c r="VGZ157" s="191"/>
      <c r="VHA157" s="191"/>
      <c r="VHB157" s="191"/>
      <c r="VHC157" s="191"/>
      <c r="VHD157" s="191"/>
      <c r="VHE157" s="191"/>
      <c r="VHF157" s="191"/>
      <c r="VHG157" s="191"/>
      <c r="VHH157" s="191"/>
      <c r="VHI157" s="191"/>
      <c r="VHJ157" s="191"/>
      <c r="VHK157" s="191"/>
      <c r="VHL157" s="191"/>
      <c r="VHM157" s="191"/>
      <c r="VHN157" s="191"/>
      <c r="VHO157" s="191"/>
      <c r="VHP157" s="191"/>
      <c r="VHQ157" s="191"/>
      <c r="VHR157" s="191"/>
      <c r="VHS157" s="191"/>
      <c r="VHT157" s="191"/>
      <c r="VHU157" s="191"/>
      <c r="VHV157" s="191"/>
      <c r="VHW157" s="191"/>
      <c r="VHX157" s="191"/>
      <c r="VHY157" s="191"/>
      <c r="VHZ157" s="191"/>
      <c r="VIA157" s="191"/>
      <c r="VIB157" s="191"/>
      <c r="VIC157" s="191"/>
      <c r="VID157" s="191"/>
      <c r="VIE157" s="191"/>
      <c r="VIF157" s="191"/>
      <c r="VIG157" s="191"/>
      <c r="VIH157" s="191"/>
      <c r="VII157" s="191"/>
      <c r="VIJ157" s="191"/>
      <c r="VIK157" s="191"/>
      <c r="VIL157" s="191"/>
      <c r="VIM157" s="191"/>
      <c r="VIN157" s="191"/>
      <c r="VIO157" s="191"/>
      <c r="VIP157" s="191"/>
      <c r="VIQ157" s="191"/>
      <c r="VIR157" s="191"/>
      <c r="VIS157" s="191"/>
      <c r="VIT157" s="191"/>
      <c r="VIU157" s="191"/>
      <c r="VIV157" s="191"/>
      <c r="VIW157" s="191"/>
      <c r="VIX157" s="191"/>
      <c r="VIY157" s="191"/>
      <c r="VIZ157" s="191"/>
      <c r="VJA157" s="191"/>
      <c r="VJB157" s="191"/>
      <c r="VJC157" s="191"/>
      <c r="VJD157" s="191"/>
      <c r="VJE157" s="191"/>
      <c r="VJF157" s="191"/>
      <c r="VJG157" s="191"/>
      <c r="VJH157" s="191"/>
      <c r="VJI157" s="191"/>
      <c r="VJJ157" s="191"/>
      <c r="VJK157" s="191"/>
      <c r="VJL157" s="191"/>
      <c r="VJM157" s="191"/>
      <c r="VJN157" s="191"/>
      <c r="VJO157" s="191"/>
      <c r="VJP157" s="191"/>
      <c r="VJQ157" s="191"/>
      <c r="VJR157" s="191"/>
      <c r="VJS157" s="191"/>
      <c r="VJT157" s="191"/>
      <c r="VJU157" s="191"/>
      <c r="VJV157" s="191"/>
      <c r="VJW157" s="191"/>
      <c r="VJX157" s="191"/>
      <c r="VJY157" s="191"/>
      <c r="VJZ157" s="191"/>
      <c r="VKA157" s="191"/>
      <c r="VKB157" s="191"/>
      <c r="VKC157" s="191"/>
      <c r="VKD157" s="191"/>
      <c r="VKE157" s="191"/>
      <c r="VKF157" s="191"/>
      <c r="VKG157" s="191"/>
      <c r="VKH157" s="191"/>
      <c r="VKI157" s="191"/>
      <c r="VKJ157" s="191"/>
      <c r="VKK157" s="191"/>
      <c r="VKL157" s="191"/>
      <c r="VKM157" s="191"/>
      <c r="VKN157" s="191"/>
      <c r="VKO157" s="191"/>
      <c r="VKP157" s="191"/>
      <c r="VKQ157" s="191"/>
      <c r="VKR157" s="191"/>
      <c r="VKS157" s="191"/>
      <c r="VKT157" s="191"/>
      <c r="VKU157" s="191"/>
      <c r="VKV157" s="191"/>
      <c r="VKW157" s="191"/>
      <c r="VKX157" s="191"/>
      <c r="VKY157" s="191"/>
      <c r="VKZ157" s="191"/>
      <c r="VLA157" s="191"/>
      <c r="VLB157" s="191"/>
      <c r="VLC157" s="191"/>
      <c r="VLD157" s="191"/>
      <c r="VLE157" s="191"/>
      <c r="VLF157" s="191"/>
      <c r="VLG157" s="191"/>
      <c r="VLH157" s="191"/>
      <c r="VLI157" s="191"/>
      <c r="VLJ157" s="191"/>
      <c r="VLK157" s="191"/>
      <c r="VLL157" s="191"/>
      <c r="VLM157" s="191"/>
      <c r="VLN157" s="191"/>
      <c r="VLO157" s="191"/>
      <c r="VLP157" s="191"/>
      <c r="VLQ157" s="191"/>
      <c r="VLR157" s="191"/>
      <c r="VLS157" s="191"/>
      <c r="VLT157" s="191"/>
      <c r="VLU157" s="191"/>
      <c r="VLV157" s="191"/>
      <c r="VLW157" s="191"/>
      <c r="VLX157" s="191"/>
      <c r="VLY157" s="191"/>
      <c r="VLZ157" s="191"/>
      <c r="VMA157" s="191"/>
      <c r="VMB157" s="191"/>
      <c r="VMC157" s="191"/>
      <c r="VMD157" s="191"/>
      <c r="VME157" s="191"/>
      <c r="VMF157" s="191"/>
      <c r="VMG157" s="191"/>
      <c r="VMH157" s="191"/>
      <c r="VMI157" s="191"/>
      <c r="VMJ157" s="191"/>
      <c r="VMK157" s="191"/>
      <c r="VML157" s="191"/>
      <c r="VMM157" s="191"/>
      <c r="VMN157" s="191"/>
      <c r="VMO157" s="191"/>
      <c r="VMP157" s="191"/>
      <c r="VMQ157" s="191"/>
      <c r="VMR157" s="191"/>
      <c r="VMS157" s="191"/>
      <c r="VMT157" s="191"/>
      <c r="VMU157" s="191"/>
      <c r="VMV157" s="191"/>
      <c r="VMW157" s="191"/>
      <c r="VMX157" s="191"/>
      <c r="VMY157" s="191"/>
      <c r="VMZ157" s="191"/>
      <c r="VNA157" s="191"/>
      <c r="VNB157" s="191"/>
      <c r="VNC157" s="191"/>
      <c r="VND157" s="191"/>
      <c r="VNE157" s="191"/>
      <c r="VNF157" s="191"/>
      <c r="VNG157" s="191"/>
      <c r="VNH157" s="191"/>
      <c r="VNI157" s="191"/>
      <c r="VNJ157" s="191"/>
      <c r="VNK157" s="191"/>
      <c r="VNL157" s="191"/>
      <c r="VNM157" s="191"/>
      <c r="VNN157" s="191"/>
      <c r="VNO157" s="191"/>
      <c r="VNP157" s="191"/>
      <c r="VNQ157" s="191"/>
      <c r="VNR157" s="191"/>
      <c r="VNS157" s="191"/>
      <c r="VNT157" s="191"/>
      <c r="VNU157" s="191"/>
      <c r="VNV157" s="191"/>
      <c r="VNW157" s="191"/>
      <c r="VNX157" s="191"/>
      <c r="VNY157" s="191"/>
      <c r="VNZ157" s="191"/>
      <c r="VOA157" s="191"/>
      <c r="VOB157" s="191"/>
      <c r="VOC157" s="191"/>
      <c r="VOD157" s="191"/>
      <c r="VOE157" s="191"/>
      <c r="VOF157" s="191"/>
      <c r="VOG157" s="191"/>
      <c r="VOH157" s="191"/>
      <c r="VOI157" s="191"/>
      <c r="VOJ157" s="191"/>
      <c r="VOK157" s="191"/>
      <c r="VOL157" s="191"/>
      <c r="VOM157" s="191"/>
      <c r="VON157" s="191"/>
      <c r="VOO157" s="191"/>
      <c r="VOP157" s="191"/>
      <c r="VOQ157" s="191"/>
      <c r="VOR157" s="191"/>
      <c r="VOS157" s="191"/>
      <c r="VOT157" s="191"/>
      <c r="VOU157" s="191"/>
      <c r="VOV157" s="191"/>
      <c r="VOW157" s="191"/>
      <c r="VOX157" s="191"/>
      <c r="VOY157" s="191"/>
      <c r="VOZ157" s="191"/>
      <c r="VPA157" s="191"/>
      <c r="VPB157" s="191"/>
      <c r="VPC157" s="191"/>
      <c r="VPD157" s="191"/>
      <c r="VPE157" s="191"/>
      <c r="VPF157" s="191"/>
      <c r="VPG157" s="191"/>
      <c r="VPH157" s="191"/>
      <c r="VPI157" s="191"/>
      <c r="VPJ157" s="191"/>
      <c r="VPK157" s="191"/>
      <c r="VPL157" s="191"/>
      <c r="VPM157" s="191"/>
      <c r="VPN157" s="191"/>
      <c r="VPO157" s="191"/>
      <c r="VPP157" s="191"/>
      <c r="VPQ157" s="191"/>
      <c r="VPR157" s="191"/>
      <c r="VPS157" s="191"/>
      <c r="VPT157" s="191"/>
      <c r="VPU157" s="191"/>
      <c r="VPV157" s="191"/>
      <c r="VPW157" s="191"/>
      <c r="VPX157" s="191"/>
      <c r="VPY157" s="191"/>
      <c r="VPZ157" s="191"/>
      <c r="VQA157" s="191"/>
      <c r="VQB157" s="191"/>
      <c r="VQC157" s="191"/>
      <c r="VQD157" s="191"/>
      <c r="VQE157" s="191"/>
      <c r="VQF157" s="191"/>
      <c r="VQG157" s="191"/>
      <c r="VQH157" s="191"/>
      <c r="VQI157" s="191"/>
      <c r="VQJ157" s="191"/>
      <c r="VQK157" s="191"/>
      <c r="VQL157" s="191"/>
      <c r="VQM157" s="191"/>
      <c r="VQN157" s="191"/>
      <c r="VQO157" s="191"/>
      <c r="VQP157" s="191"/>
      <c r="VQQ157" s="191"/>
      <c r="VQR157" s="191"/>
      <c r="VQS157" s="191"/>
      <c r="VQT157" s="191"/>
      <c r="VQU157" s="191"/>
      <c r="VQV157" s="191"/>
      <c r="VQW157" s="191"/>
      <c r="VQX157" s="191"/>
      <c r="VQY157" s="191"/>
      <c r="VQZ157" s="191"/>
      <c r="VRA157" s="191"/>
      <c r="VRB157" s="191"/>
      <c r="VRC157" s="191"/>
      <c r="VRD157" s="191"/>
      <c r="VRE157" s="191"/>
      <c r="VRF157" s="191"/>
      <c r="VRG157" s="191"/>
      <c r="VRH157" s="191"/>
      <c r="VRI157" s="191"/>
      <c r="VRJ157" s="191"/>
      <c r="VRK157" s="191"/>
      <c r="VRL157" s="191"/>
      <c r="VRM157" s="191"/>
      <c r="VRN157" s="191"/>
      <c r="VRO157" s="191"/>
      <c r="VRP157" s="191"/>
      <c r="VRQ157" s="191"/>
      <c r="VRR157" s="191"/>
      <c r="VRS157" s="191"/>
      <c r="VRT157" s="191"/>
      <c r="VRU157" s="191"/>
      <c r="VRV157" s="191"/>
      <c r="VRW157" s="191"/>
      <c r="VRX157" s="191"/>
      <c r="VRY157" s="191"/>
      <c r="VRZ157" s="191"/>
      <c r="VSA157" s="191"/>
      <c r="VSB157" s="191"/>
      <c r="VSC157" s="191"/>
      <c r="VSD157" s="191"/>
      <c r="VSE157" s="191"/>
      <c r="VSF157" s="191"/>
      <c r="VSG157" s="191"/>
      <c r="VSH157" s="191"/>
      <c r="VSI157" s="191"/>
      <c r="VSJ157" s="191"/>
      <c r="VSK157" s="191"/>
      <c r="VSL157" s="191"/>
      <c r="VSM157" s="191"/>
      <c r="VSN157" s="191"/>
      <c r="VSO157" s="191"/>
      <c r="VSP157" s="191"/>
      <c r="VSQ157" s="191"/>
      <c r="VSR157" s="191"/>
      <c r="VSS157" s="191"/>
      <c r="VST157" s="191"/>
      <c r="VSU157" s="191"/>
      <c r="VSV157" s="191"/>
      <c r="VSW157" s="191"/>
      <c r="VSX157" s="191"/>
      <c r="VSY157" s="191"/>
      <c r="VSZ157" s="191"/>
      <c r="VTA157" s="191"/>
      <c r="VTB157" s="191"/>
      <c r="VTC157" s="191"/>
      <c r="VTD157" s="191"/>
      <c r="VTE157" s="191"/>
      <c r="VTF157" s="191"/>
      <c r="VTG157" s="191"/>
      <c r="VTH157" s="191"/>
      <c r="VTI157" s="191"/>
      <c r="VTJ157" s="191"/>
      <c r="VTK157" s="191"/>
      <c r="VTL157" s="191"/>
      <c r="VTM157" s="191"/>
      <c r="VTN157" s="191"/>
      <c r="VTO157" s="191"/>
      <c r="VTP157" s="191"/>
      <c r="VTQ157" s="191"/>
      <c r="VTR157" s="191"/>
      <c r="VTS157" s="191"/>
      <c r="VTT157" s="191"/>
      <c r="VTU157" s="191"/>
      <c r="VTV157" s="191"/>
      <c r="VTW157" s="191"/>
      <c r="VTX157" s="191"/>
      <c r="VTY157" s="191"/>
      <c r="VTZ157" s="191"/>
      <c r="VUA157" s="191"/>
      <c r="VUB157" s="191"/>
      <c r="VUC157" s="191"/>
      <c r="VUD157" s="191"/>
      <c r="VUE157" s="191"/>
      <c r="VUF157" s="191"/>
      <c r="VUG157" s="191"/>
      <c r="VUH157" s="191"/>
      <c r="VUI157" s="191"/>
      <c r="VUJ157" s="191"/>
      <c r="VUK157" s="191"/>
      <c r="VUL157" s="191"/>
      <c r="VUM157" s="191"/>
      <c r="VUN157" s="191"/>
      <c r="VUO157" s="191"/>
      <c r="VUP157" s="191"/>
      <c r="VUQ157" s="191"/>
      <c r="VUR157" s="191"/>
      <c r="VUS157" s="191"/>
      <c r="VUT157" s="191"/>
      <c r="VUU157" s="191"/>
      <c r="VUV157" s="191"/>
      <c r="VUW157" s="191"/>
      <c r="VUX157" s="191"/>
      <c r="VUY157" s="191"/>
      <c r="VUZ157" s="191"/>
      <c r="VVA157" s="191"/>
      <c r="VVB157" s="191"/>
      <c r="VVC157" s="191"/>
      <c r="VVD157" s="191"/>
      <c r="VVE157" s="191"/>
      <c r="VVF157" s="191"/>
      <c r="VVG157" s="191"/>
      <c r="VVH157" s="191"/>
      <c r="VVI157" s="191"/>
      <c r="VVJ157" s="191"/>
      <c r="VVK157" s="191"/>
      <c r="VVL157" s="191"/>
      <c r="VVM157" s="191"/>
      <c r="VVN157" s="191"/>
      <c r="VVO157" s="191"/>
      <c r="VVP157" s="191"/>
      <c r="VVQ157" s="191"/>
      <c r="VVR157" s="191"/>
      <c r="VVS157" s="191"/>
      <c r="VVT157" s="191"/>
      <c r="VVU157" s="191"/>
      <c r="VVV157" s="191"/>
      <c r="VVW157" s="191"/>
      <c r="VVX157" s="191"/>
      <c r="VVY157" s="191"/>
      <c r="VVZ157" s="191"/>
      <c r="VWA157" s="191"/>
      <c r="VWB157" s="191"/>
      <c r="VWC157" s="191"/>
      <c r="VWD157" s="191"/>
      <c r="VWE157" s="191"/>
      <c r="VWF157" s="191"/>
      <c r="VWG157" s="191"/>
      <c r="VWH157" s="191"/>
      <c r="VWI157" s="191"/>
      <c r="VWJ157" s="191"/>
      <c r="VWK157" s="191"/>
      <c r="VWL157" s="191"/>
      <c r="VWM157" s="191"/>
      <c r="VWN157" s="191"/>
      <c r="VWO157" s="191"/>
      <c r="VWP157" s="191"/>
      <c r="VWQ157" s="191"/>
      <c r="VWR157" s="191"/>
      <c r="VWS157" s="191"/>
      <c r="VWT157" s="191"/>
      <c r="VWU157" s="191"/>
      <c r="VWV157" s="191"/>
      <c r="VWW157" s="191"/>
      <c r="VWX157" s="191"/>
      <c r="VWY157" s="191"/>
      <c r="VWZ157" s="191"/>
      <c r="VXA157" s="191"/>
      <c r="VXB157" s="191"/>
      <c r="VXC157" s="191"/>
      <c r="VXD157" s="191"/>
      <c r="VXE157" s="191"/>
      <c r="VXF157" s="191"/>
      <c r="VXG157" s="191"/>
      <c r="VXH157" s="191"/>
      <c r="VXI157" s="191"/>
      <c r="VXJ157" s="191"/>
      <c r="VXK157" s="191"/>
      <c r="VXL157" s="191"/>
      <c r="VXM157" s="191"/>
      <c r="VXN157" s="191"/>
      <c r="VXO157" s="191"/>
      <c r="VXP157" s="191"/>
      <c r="VXQ157" s="191"/>
      <c r="VXR157" s="191"/>
      <c r="VXS157" s="191"/>
      <c r="VXT157" s="191"/>
      <c r="VXU157" s="191"/>
      <c r="VXV157" s="191"/>
      <c r="VXW157" s="191"/>
      <c r="VXX157" s="191"/>
      <c r="VXY157" s="191"/>
      <c r="VXZ157" s="191"/>
      <c r="VYA157" s="191"/>
      <c r="VYB157" s="191"/>
      <c r="VYC157" s="191"/>
      <c r="VYD157" s="191"/>
      <c r="VYE157" s="191"/>
      <c r="VYF157" s="191"/>
      <c r="VYG157" s="191"/>
      <c r="VYH157" s="191"/>
      <c r="VYI157" s="191"/>
      <c r="VYJ157" s="191"/>
      <c r="VYK157" s="191"/>
      <c r="VYL157" s="191"/>
      <c r="VYM157" s="191"/>
      <c r="VYN157" s="191"/>
      <c r="VYO157" s="191"/>
      <c r="VYP157" s="191"/>
      <c r="VYQ157" s="191"/>
      <c r="VYR157" s="191"/>
      <c r="VYS157" s="191"/>
      <c r="VYT157" s="191"/>
      <c r="VYU157" s="191"/>
      <c r="VYV157" s="191"/>
      <c r="VYW157" s="191"/>
      <c r="VYX157" s="191"/>
      <c r="VYY157" s="191"/>
      <c r="VYZ157" s="191"/>
      <c r="VZA157" s="191"/>
      <c r="VZB157" s="191"/>
      <c r="VZC157" s="191"/>
      <c r="VZD157" s="191"/>
      <c r="VZE157" s="191"/>
      <c r="VZF157" s="191"/>
      <c r="VZG157" s="191"/>
      <c r="VZH157" s="191"/>
      <c r="VZI157" s="191"/>
      <c r="VZJ157" s="191"/>
      <c r="VZK157" s="191"/>
      <c r="VZL157" s="191"/>
      <c r="VZM157" s="191"/>
      <c r="VZN157" s="191"/>
      <c r="VZO157" s="191"/>
      <c r="VZP157" s="191"/>
      <c r="VZQ157" s="191"/>
      <c r="VZR157" s="191"/>
      <c r="VZS157" s="191"/>
      <c r="VZT157" s="191"/>
      <c r="VZU157" s="191"/>
      <c r="VZV157" s="191"/>
      <c r="VZW157" s="191"/>
      <c r="VZX157" s="191"/>
      <c r="VZY157" s="191"/>
      <c r="VZZ157" s="191"/>
      <c r="WAA157" s="191"/>
      <c r="WAB157" s="191"/>
      <c r="WAC157" s="191"/>
      <c r="WAD157" s="191"/>
      <c r="WAE157" s="191"/>
      <c r="WAF157" s="191"/>
      <c r="WAG157" s="191"/>
      <c r="WAH157" s="191"/>
      <c r="WAI157" s="191"/>
      <c r="WAJ157" s="191"/>
      <c r="WAK157" s="191"/>
      <c r="WAL157" s="191"/>
      <c r="WAM157" s="191"/>
      <c r="WAN157" s="191"/>
      <c r="WAO157" s="191"/>
      <c r="WAP157" s="191"/>
      <c r="WAQ157" s="191"/>
      <c r="WAR157" s="191"/>
      <c r="WAS157" s="191"/>
      <c r="WAT157" s="191"/>
      <c r="WAU157" s="191"/>
      <c r="WAV157" s="191"/>
      <c r="WAW157" s="191"/>
      <c r="WAX157" s="191"/>
      <c r="WAY157" s="191"/>
      <c r="WAZ157" s="191"/>
      <c r="WBA157" s="191"/>
      <c r="WBB157" s="191"/>
      <c r="WBC157" s="191"/>
      <c r="WBD157" s="191"/>
      <c r="WBE157" s="191"/>
      <c r="WBF157" s="191"/>
      <c r="WBG157" s="191"/>
      <c r="WBH157" s="191"/>
      <c r="WBI157" s="191"/>
      <c r="WBJ157" s="191"/>
      <c r="WBK157" s="191"/>
      <c r="WBL157" s="191"/>
      <c r="WBM157" s="191"/>
      <c r="WBN157" s="191"/>
      <c r="WBO157" s="191"/>
      <c r="WBP157" s="191"/>
      <c r="WBQ157" s="191"/>
      <c r="WBR157" s="191"/>
      <c r="WBS157" s="191"/>
      <c r="WBT157" s="191"/>
      <c r="WBU157" s="191"/>
      <c r="WBV157" s="191"/>
      <c r="WBW157" s="191"/>
      <c r="WBX157" s="191"/>
      <c r="WBY157" s="191"/>
      <c r="WBZ157" s="191"/>
      <c r="WCA157" s="191"/>
      <c r="WCB157" s="191"/>
      <c r="WCC157" s="191"/>
      <c r="WCD157" s="191"/>
      <c r="WCE157" s="191"/>
      <c r="WCF157" s="191"/>
      <c r="WCG157" s="191"/>
      <c r="WCH157" s="191"/>
      <c r="WCI157" s="191"/>
      <c r="WCJ157" s="191"/>
      <c r="WCK157" s="191"/>
      <c r="WCL157" s="191"/>
      <c r="WCM157" s="191"/>
      <c r="WCN157" s="191"/>
      <c r="WCO157" s="191"/>
      <c r="WCP157" s="191"/>
      <c r="WCQ157" s="191"/>
      <c r="WCR157" s="191"/>
      <c r="WCS157" s="191"/>
      <c r="WCT157" s="191"/>
      <c r="WCU157" s="191"/>
      <c r="WCV157" s="191"/>
      <c r="WCW157" s="191"/>
      <c r="WCX157" s="191"/>
      <c r="WCY157" s="191"/>
      <c r="WCZ157" s="191"/>
      <c r="WDA157" s="191"/>
      <c r="WDB157" s="191"/>
      <c r="WDC157" s="191"/>
      <c r="WDD157" s="191"/>
      <c r="WDE157" s="191"/>
      <c r="WDF157" s="191"/>
      <c r="WDG157" s="191"/>
      <c r="WDH157" s="191"/>
      <c r="WDI157" s="191"/>
      <c r="WDJ157" s="191"/>
      <c r="WDK157" s="191"/>
      <c r="WDL157" s="191"/>
      <c r="WDM157" s="191"/>
      <c r="WDN157" s="191"/>
      <c r="WDO157" s="191"/>
      <c r="WDP157" s="191"/>
      <c r="WDQ157" s="191"/>
      <c r="WDR157" s="191"/>
      <c r="WDS157" s="191"/>
      <c r="WDT157" s="191"/>
      <c r="WDU157" s="191"/>
      <c r="WDV157" s="191"/>
      <c r="WDW157" s="191"/>
      <c r="WDX157" s="191"/>
      <c r="WDY157" s="191"/>
      <c r="WDZ157" s="191"/>
      <c r="WEA157" s="191"/>
      <c r="WEB157" s="191"/>
      <c r="WEC157" s="191"/>
      <c r="WED157" s="191"/>
      <c r="WEE157" s="191"/>
      <c r="WEF157" s="191"/>
      <c r="WEG157" s="191"/>
      <c r="WEH157" s="191"/>
      <c r="WEI157" s="191"/>
      <c r="WEJ157" s="191"/>
      <c r="WEK157" s="191"/>
      <c r="WEL157" s="191"/>
      <c r="WEM157" s="191"/>
      <c r="WEN157" s="191"/>
      <c r="WEO157" s="191"/>
      <c r="WEP157" s="191"/>
      <c r="WEQ157" s="191"/>
      <c r="WER157" s="191"/>
      <c r="WES157" s="191"/>
      <c r="WET157" s="191"/>
      <c r="WEU157" s="191"/>
      <c r="WEV157" s="191"/>
      <c r="WEW157" s="191"/>
      <c r="WEX157" s="191"/>
      <c r="WEY157" s="191"/>
      <c r="WEZ157" s="191"/>
      <c r="WFA157" s="191"/>
      <c r="WFB157" s="191"/>
      <c r="WFC157" s="191"/>
      <c r="WFD157" s="191"/>
      <c r="WFE157" s="191"/>
      <c r="WFF157" s="191"/>
      <c r="WFG157" s="191"/>
      <c r="WFH157" s="191"/>
      <c r="WFI157" s="191"/>
      <c r="WFJ157" s="191"/>
      <c r="WFK157" s="191"/>
      <c r="WFL157" s="191"/>
      <c r="WFM157" s="191"/>
      <c r="WFN157" s="191"/>
      <c r="WFO157" s="191"/>
      <c r="WFP157" s="191"/>
      <c r="WFQ157" s="191"/>
      <c r="WFR157" s="191"/>
      <c r="WFS157" s="191"/>
      <c r="WFT157" s="191"/>
      <c r="WFU157" s="191"/>
      <c r="WFV157" s="191"/>
      <c r="WFW157" s="191"/>
      <c r="WFX157" s="191"/>
      <c r="WFY157" s="191"/>
      <c r="WFZ157" s="191"/>
      <c r="WGA157" s="191"/>
      <c r="WGB157" s="191"/>
      <c r="WGC157" s="191"/>
      <c r="WGD157" s="191"/>
      <c r="WGE157" s="191"/>
      <c r="WGF157" s="191"/>
      <c r="WGG157" s="191"/>
      <c r="WGH157" s="191"/>
      <c r="WGI157" s="191"/>
      <c r="WGJ157" s="191"/>
      <c r="WGK157" s="191"/>
      <c r="WGL157" s="191"/>
      <c r="WGM157" s="191"/>
      <c r="WGN157" s="191"/>
      <c r="WGO157" s="191"/>
      <c r="WGP157" s="191"/>
      <c r="WGQ157" s="191"/>
      <c r="WGR157" s="191"/>
      <c r="WGS157" s="191"/>
      <c r="WGT157" s="191"/>
      <c r="WGU157" s="191"/>
      <c r="WGV157" s="191"/>
      <c r="WGW157" s="191"/>
      <c r="WGX157" s="191"/>
      <c r="WGY157" s="191"/>
      <c r="WGZ157" s="191"/>
      <c r="WHA157" s="191"/>
      <c r="WHB157" s="191"/>
      <c r="WHC157" s="191"/>
      <c r="WHD157" s="191"/>
      <c r="WHE157" s="191"/>
      <c r="WHF157" s="191"/>
      <c r="WHG157" s="191"/>
      <c r="WHH157" s="191"/>
      <c r="WHI157" s="191"/>
      <c r="WHJ157" s="191"/>
      <c r="WHK157" s="191"/>
      <c r="WHL157" s="191"/>
      <c r="WHM157" s="191"/>
      <c r="WHN157" s="191"/>
      <c r="WHO157" s="191"/>
      <c r="WHP157" s="191"/>
      <c r="WHQ157" s="191"/>
      <c r="WHR157" s="191"/>
      <c r="WHS157" s="191"/>
      <c r="WHT157" s="191"/>
      <c r="WHU157" s="191"/>
      <c r="WHV157" s="191"/>
      <c r="WHW157" s="191"/>
      <c r="WHX157" s="191"/>
      <c r="WHY157" s="191"/>
      <c r="WHZ157" s="191"/>
      <c r="WIA157" s="191"/>
      <c r="WIB157" s="191"/>
      <c r="WIC157" s="191"/>
      <c r="WID157" s="191"/>
      <c r="WIE157" s="191"/>
      <c r="WIF157" s="191"/>
      <c r="WIG157" s="191"/>
      <c r="WIH157" s="191"/>
      <c r="WII157" s="191"/>
      <c r="WIJ157" s="191"/>
      <c r="WIK157" s="191"/>
      <c r="WIL157" s="191"/>
      <c r="WIM157" s="191"/>
      <c r="WIN157" s="191"/>
      <c r="WIO157" s="191"/>
      <c r="WIP157" s="191"/>
      <c r="WIQ157" s="191"/>
      <c r="WIR157" s="191"/>
      <c r="WIS157" s="191"/>
      <c r="WIT157" s="191"/>
      <c r="WIU157" s="191"/>
      <c r="WIV157" s="191"/>
      <c r="WIW157" s="191"/>
      <c r="WIX157" s="191"/>
      <c r="WIY157" s="191"/>
      <c r="WIZ157" s="191"/>
      <c r="WJA157" s="191"/>
      <c r="WJB157" s="191"/>
      <c r="WJC157" s="191"/>
      <c r="WJD157" s="191"/>
      <c r="WJE157" s="191"/>
      <c r="WJF157" s="191"/>
      <c r="WJG157" s="191"/>
      <c r="WJH157" s="191"/>
      <c r="WJI157" s="191"/>
      <c r="WJJ157" s="191"/>
      <c r="WJK157" s="191"/>
      <c r="WJL157" s="191"/>
      <c r="WJM157" s="191"/>
      <c r="WJN157" s="191"/>
      <c r="WJO157" s="191"/>
      <c r="WJP157" s="191"/>
      <c r="WJQ157" s="191"/>
      <c r="WJR157" s="191"/>
      <c r="WJS157" s="191"/>
      <c r="WJT157" s="191"/>
      <c r="WJU157" s="191"/>
      <c r="WJV157" s="191"/>
      <c r="WJW157" s="191"/>
      <c r="WJX157" s="191"/>
      <c r="WJY157" s="191"/>
      <c r="WJZ157" s="191"/>
      <c r="WKA157" s="191"/>
      <c r="WKB157" s="191"/>
      <c r="WKC157" s="191"/>
      <c r="WKD157" s="191"/>
      <c r="WKE157" s="191"/>
      <c r="WKF157" s="191"/>
      <c r="WKG157" s="191"/>
      <c r="WKH157" s="191"/>
      <c r="WKI157" s="191"/>
      <c r="WKJ157" s="191"/>
      <c r="WKK157" s="191"/>
      <c r="WKL157" s="191"/>
      <c r="WKM157" s="191"/>
      <c r="WKN157" s="191"/>
      <c r="WKO157" s="191"/>
      <c r="WKP157" s="191"/>
      <c r="WKQ157" s="191"/>
      <c r="WKR157" s="191"/>
      <c r="WKS157" s="191"/>
      <c r="WKT157" s="191"/>
      <c r="WKU157" s="191"/>
      <c r="WKV157" s="191"/>
      <c r="WKW157" s="191"/>
      <c r="WKX157" s="191"/>
      <c r="WKY157" s="191"/>
      <c r="WKZ157" s="191"/>
      <c r="WLA157" s="191"/>
      <c r="WLB157" s="191"/>
      <c r="WLC157" s="191"/>
      <c r="WLD157" s="191"/>
      <c r="WLE157" s="191"/>
      <c r="WLF157" s="191"/>
      <c r="WLG157" s="191"/>
      <c r="WLH157" s="191"/>
      <c r="WLI157" s="191"/>
      <c r="WLJ157" s="191"/>
      <c r="WLK157" s="191"/>
      <c r="WLL157" s="191"/>
      <c r="WLM157" s="191"/>
      <c r="WLN157" s="191"/>
      <c r="WLO157" s="191"/>
      <c r="WLP157" s="191"/>
      <c r="WLQ157" s="191"/>
      <c r="WLR157" s="191"/>
      <c r="WLS157" s="191"/>
      <c r="WLT157" s="191"/>
      <c r="WLU157" s="191"/>
      <c r="WLV157" s="191"/>
      <c r="WLW157" s="191"/>
      <c r="WLX157" s="191"/>
      <c r="WLY157" s="191"/>
      <c r="WLZ157" s="191"/>
      <c r="WMA157" s="191"/>
      <c r="WMB157" s="191"/>
      <c r="WMC157" s="191"/>
      <c r="WMD157" s="191"/>
      <c r="WME157" s="191"/>
      <c r="WMF157" s="191"/>
      <c r="WMG157" s="191"/>
      <c r="WMH157" s="191"/>
      <c r="WMI157" s="191"/>
      <c r="WMJ157" s="191"/>
      <c r="WMK157" s="191"/>
      <c r="WML157" s="191"/>
      <c r="WMM157" s="191"/>
      <c r="WMN157" s="191"/>
      <c r="WMO157" s="191"/>
      <c r="WMP157" s="191"/>
      <c r="WMQ157" s="191"/>
      <c r="WMR157" s="191"/>
      <c r="WMS157" s="191"/>
      <c r="WMT157" s="191"/>
      <c r="WMU157" s="191"/>
      <c r="WMV157" s="191"/>
      <c r="WMW157" s="191"/>
      <c r="WMX157" s="191"/>
      <c r="WMY157" s="191"/>
      <c r="WMZ157" s="191"/>
      <c r="WNA157" s="191"/>
      <c r="WNB157" s="191"/>
      <c r="WNC157" s="191"/>
      <c r="WND157" s="191"/>
      <c r="WNE157" s="191"/>
      <c r="WNF157" s="191"/>
      <c r="WNG157" s="191"/>
      <c r="WNH157" s="191"/>
      <c r="WNI157" s="191"/>
      <c r="WNJ157" s="191"/>
      <c r="WNK157" s="191"/>
      <c r="WNL157" s="191"/>
      <c r="WNM157" s="191"/>
      <c r="WNN157" s="191"/>
      <c r="WNO157" s="191"/>
      <c r="WNP157" s="191"/>
      <c r="WNQ157" s="191"/>
      <c r="WNR157" s="191"/>
      <c r="WNS157" s="191"/>
      <c r="WNT157" s="191"/>
      <c r="WNU157" s="191"/>
      <c r="WNV157" s="191"/>
      <c r="WNW157" s="191"/>
      <c r="WNX157" s="191"/>
      <c r="WNY157" s="191"/>
      <c r="WNZ157" s="191"/>
      <c r="WOA157" s="191"/>
      <c r="WOB157" s="191"/>
      <c r="WOC157" s="191"/>
      <c r="WOD157" s="191"/>
      <c r="WOE157" s="191"/>
      <c r="WOF157" s="191"/>
      <c r="WOG157" s="191"/>
      <c r="WOH157" s="191"/>
      <c r="WOI157" s="191"/>
      <c r="WOJ157" s="191"/>
      <c r="WOK157" s="191"/>
      <c r="WOL157" s="191"/>
      <c r="WOM157" s="191"/>
      <c r="WON157" s="191"/>
      <c r="WOO157" s="191"/>
      <c r="WOP157" s="191"/>
      <c r="WOQ157" s="191"/>
      <c r="WOR157" s="191"/>
      <c r="WOS157" s="191"/>
      <c r="WOT157" s="191"/>
      <c r="WOU157" s="191"/>
      <c r="WOV157" s="191"/>
      <c r="WOW157" s="191"/>
      <c r="WOX157" s="191"/>
      <c r="WOY157" s="191"/>
      <c r="WOZ157" s="191"/>
      <c r="WPA157" s="191"/>
      <c r="WPB157" s="191"/>
      <c r="WPC157" s="191"/>
      <c r="WPD157" s="191"/>
      <c r="WPE157" s="191"/>
      <c r="WPF157" s="191"/>
      <c r="WPG157" s="191"/>
      <c r="WPH157" s="191"/>
      <c r="WPI157" s="191"/>
      <c r="WPJ157" s="191"/>
      <c r="WPK157" s="191"/>
      <c r="WPL157" s="191"/>
      <c r="WPM157" s="191"/>
      <c r="WPN157" s="191"/>
      <c r="WPO157" s="191"/>
      <c r="WPP157" s="191"/>
      <c r="WPQ157" s="191"/>
      <c r="WPR157" s="191"/>
      <c r="WPS157" s="191"/>
      <c r="WPT157" s="191"/>
      <c r="WPU157" s="191"/>
      <c r="WPV157" s="191"/>
      <c r="WPW157" s="191"/>
      <c r="WPX157" s="191"/>
      <c r="WPY157" s="191"/>
      <c r="WPZ157" s="191"/>
      <c r="WQA157" s="191"/>
      <c r="WQB157" s="191"/>
      <c r="WQC157" s="191"/>
      <c r="WQD157" s="191"/>
      <c r="WQE157" s="191"/>
      <c r="WQF157" s="191"/>
      <c r="WQG157" s="191"/>
      <c r="WQH157" s="191"/>
      <c r="WQI157" s="191"/>
      <c r="WQJ157" s="191"/>
      <c r="WQK157" s="191"/>
      <c r="WQL157" s="191"/>
      <c r="WQM157" s="191"/>
      <c r="WQN157" s="191"/>
      <c r="WQO157" s="191"/>
      <c r="WQP157" s="191"/>
      <c r="WQQ157" s="191"/>
      <c r="WQR157" s="191"/>
      <c r="WQS157" s="191"/>
      <c r="WQT157" s="191"/>
      <c r="WQU157" s="191"/>
      <c r="WQV157" s="191"/>
      <c r="WQW157" s="191"/>
      <c r="WQX157" s="191"/>
      <c r="WQY157" s="191"/>
      <c r="WQZ157" s="191"/>
      <c r="WRA157" s="191"/>
      <c r="WRB157" s="191"/>
      <c r="WRC157" s="191"/>
      <c r="WRD157" s="191"/>
      <c r="WRE157" s="191"/>
      <c r="WRF157" s="191"/>
      <c r="WRG157" s="191"/>
      <c r="WRH157" s="191"/>
      <c r="WRI157" s="191"/>
      <c r="WRJ157" s="191"/>
      <c r="WRK157" s="191"/>
      <c r="WRL157" s="191"/>
      <c r="WRM157" s="191"/>
      <c r="WRN157" s="191"/>
      <c r="WRO157" s="191"/>
      <c r="WRP157" s="191"/>
      <c r="WRQ157" s="191"/>
      <c r="WRR157" s="191"/>
      <c r="WRS157" s="191"/>
      <c r="WRT157" s="191"/>
      <c r="WRU157" s="191"/>
      <c r="WRV157" s="191"/>
      <c r="WRW157" s="191"/>
      <c r="WRX157" s="191"/>
      <c r="WRY157" s="191"/>
      <c r="WRZ157" s="191"/>
      <c r="WSA157" s="191"/>
      <c r="WSB157" s="191"/>
      <c r="WSC157" s="191"/>
      <c r="WSD157" s="191"/>
      <c r="WSE157" s="191"/>
      <c r="WSF157" s="191"/>
      <c r="WSG157" s="191"/>
      <c r="WSH157" s="191"/>
      <c r="WSI157" s="191"/>
      <c r="WSJ157" s="191"/>
      <c r="WSK157" s="191"/>
      <c r="WSL157" s="191"/>
      <c r="WSM157" s="191"/>
      <c r="WSN157" s="191"/>
      <c r="WSO157" s="191"/>
      <c r="WSP157" s="191"/>
      <c r="WSQ157" s="191"/>
      <c r="WSR157" s="191"/>
      <c r="WSS157" s="191"/>
      <c r="WST157" s="191"/>
      <c r="WSU157" s="191"/>
      <c r="WSV157" s="191"/>
      <c r="WSW157" s="191"/>
      <c r="WSX157" s="191"/>
      <c r="WSY157" s="191"/>
      <c r="WSZ157" s="191"/>
      <c r="WTA157" s="191"/>
      <c r="WTB157" s="191"/>
      <c r="WTC157" s="191"/>
      <c r="WTD157" s="191"/>
      <c r="WTE157" s="191"/>
      <c r="WTF157" s="191"/>
      <c r="WTG157" s="191"/>
      <c r="WTH157" s="191"/>
      <c r="WTI157" s="191"/>
      <c r="WTJ157" s="191"/>
      <c r="WTK157" s="191"/>
      <c r="WTL157" s="191"/>
      <c r="WTM157" s="191"/>
      <c r="WTN157" s="191"/>
      <c r="WTO157" s="191"/>
      <c r="WTP157" s="191"/>
      <c r="WTQ157" s="191"/>
      <c r="WTR157" s="191"/>
      <c r="WTS157" s="191"/>
      <c r="WTT157" s="191"/>
      <c r="WTU157" s="191"/>
      <c r="WTV157" s="191"/>
      <c r="WTW157" s="191"/>
      <c r="WTX157" s="191"/>
      <c r="WTY157" s="191"/>
      <c r="WTZ157" s="191"/>
      <c r="WUA157" s="191"/>
      <c r="WUB157" s="191"/>
      <c r="WUC157" s="191"/>
      <c r="WUD157" s="191"/>
      <c r="WUE157" s="191"/>
      <c r="WUF157" s="191"/>
      <c r="WUG157" s="191"/>
      <c r="WUH157" s="191"/>
      <c r="WUI157" s="191"/>
      <c r="WUJ157" s="191"/>
      <c r="WUK157" s="191"/>
      <c r="WUL157" s="191"/>
      <c r="WUM157" s="191"/>
      <c r="WUN157" s="191"/>
      <c r="WUO157" s="191"/>
      <c r="WUP157" s="191"/>
      <c r="WUQ157" s="191"/>
      <c r="WUR157" s="191"/>
      <c r="WUS157" s="191"/>
      <c r="WUT157" s="191"/>
      <c r="WUU157" s="191"/>
      <c r="WUV157" s="191"/>
      <c r="WUW157" s="191"/>
      <c r="WUX157" s="191"/>
      <c r="WUY157" s="191"/>
      <c r="WUZ157" s="191"/>
      <c r="WVA157" s="191"/>
      <c r="WVB157" s="191"/>
      <c r="WVC157" s="191"/>
      <c r="WVD157" s="191"/>
      <c r="WVE157" s="191"/>
      <c r="WVF157" s="191"/>
      <c r="WVG157" s="191"/>
      <c r="WVH157" s="191"/>
      <c r="WVI157" s="191"/>
      <c r="WVJ157" s="191"/>
      <c r="WVK157" s="191"/>
      <c r="WVL157" s="191"/>
      <c r="WVM157" s="191"/>
      <c r="WVN157" s="191"/>
      <c r="WVO157" s="191"/>
      <c r="WVP157" s="191"/>
      <c r="WVQ157" s="191"/>
      <c r="WVR157" s="191"/>
      <c r="WVS157" s="191"/>
      <c r="WVT157" s="191"/>
      <c r="WVU157" s="191"/>
      <c r="WVV157" s="191"/>
      <c r="WVW157" s="191"/>
      <c r="WVX157" s="191"/>
      <c r="WVY157" s="191"/>
      <c r="WVZ157" s="191"/>
      <c r="WWA157" s="191"/>
      <c r="WWB157" s="191"/>
      <c r="WWC157" s="191"/>
      <c r="WWD157" s="191"/>
      <c r="WWE157" s="191"/>
      <c r="WWF157" s="191"/>
      <c r="WWG157" s="191"/>
      <c r="WWH157" s="191"/>
      <c r="WWI157" s="191"/>
      <c r="WWJ157" s="191"/>
      <c r="WWK157" s="191"/>
      <c r="WWL157" s="191"/>
      <c r="WWM157" s="191"/>
      <c r="WWN157" s="191"/>
      <c r="WWO157" s="191"/>
      <c r="WWP157" s="191"/>
      <c r="WWQ157" s="191"/>
      <c r="WWR157" s="191"/>
      <c r="WWS157" s="191"/>
      <c r="WWT157" s="191"/>
      <c r="WWU157" s="191"/>
      <c r="WWV157" s="191"/>
      <c r="WWW157" s="191"/>
      <c r="WWX157" s="191"/>
      <c r="WWY157" s="191"/>
      <c r="WWZ157" s="191"/>
      <c r="WXA157" s="191"/>
      <c r="WXB157" s="191"/>
      <c r="WXC157" s="191"/>
      <c r="WXD157" s="191"/>
      <c r="WXE157" s="191"/>
      <c r="WXF157" s="191"/>
      <c r="WXG157" s="191"/>
      <c r="WXH157" s="191"/>
      <c r="WXI157" s="191"/>
      <c r="WXJ157" s="191"/>
      <c r="WXK157" s="191"/>
      <c r="WXL157" s="191"/>
      <c r="WXM157" s="191"/>
      <c r="WXN157" s="191"/>
      <c r="WXO157" s="191"/>
      <c r="WXP157" s="191"/>
      <c r="WXQ157" s="191"/>
      <c r="WXR157" s="191"/>
      <c r="WXS157" s="191"/>
      <c r="WXT157" s="191"/>
      <c r="WXU157" s="191"/>
      <c r="WXV157" s="191"/>
      <c r="WXW157" s="191"/>
      <c r="WXX157" s="191"/>
      <c r="WXY157" s="191"/>
      <c r="WXZ157" s="191"/>
      <c r="WYA157" s="191"/>
      <c r="WYB157" s="191"/>
      <c r="WYC157" s="191"/>
      <c r="WYD157" s="191"/>
      <c r="WYE157" s="191"/>
      <c r="WYF157" s="191"/>
      <c r="WYG157" s="191"/>
      <c r="WYH157" s="191"/>
      <c r="WYI157" s="191"/>
      <c r="WYJ157" s="191"/>
      <c r="WYK157" s="191"/>
      <c r="WYL157" s="191"/>
      <c r="WYM157" s="191"/>
      <c r="WYN157" s="191"/>
      <c r="WYO157" s="191"/>
      <c r="WYP157" s="191"/>
      <c r="WYQ157" s="191"/>
      <c r="WYR157" s="191"/>
      <c r="WYS157" s="191"/>
      <c r="WYT157" s="191"/>
      <c r="WYU157" s="191"/>
      <c r="WYV157" s="191"/>
      <c r="WYW157" s="191"/>
      <c r="WYX157" s="191"/>
      <c r="WYY157" s="191"/>
      <c r="WYZ157" s="191"/>
      <c r="WZA157" s="191"/>
      <c r="WZB157" s="191"/>
      <c r="WZC157" s="191"/>
      <c r="WZD157" s="191"/>
      <c r="WZE157" s="191"/>
      <c r="WZF157" s="191"/>
      <c r="WZG157" s="191"/>
      <c r="WZH157" s="191"/>
      <c r="WZI157" s="191"/>
      <c r="WZJ157" s="191"/>
      <c r="WZK157" s="191"/>
      <c r="WZL157" s="191"/>
      <c r="WZM157" s="191"/>
      <c r="WZN157" s="191"/>
      <c r="WZO157" s="191"/>
      <c r="WZP157" s="191"/>
      <c r="WZQ157" s="191"/>
      <c r="WZR157" s="191"/>
      <c r="WZS157" s="191"/>
      <c r="WZT157" s="191"/>
      <c r="WZU157" s="191"/>
      <c r="WZV157" s="191"/>
      <c r="WZW157" s="191"/>
      <c r="WZX157" s="191"/>
      <c r="WZY157" s="191"/>
      <c r="WZZ157" s="191"/>
      <c r="XAA157" s="191"/>
      <c r="XAB157" s="191"/>
      <c r="XAC157" s="191"/>
      <c r="XAD157" s="191"/>
      <c r="XAE157" s="191"/>
      <c r="XAF157" s="191"/>
      <c r="XAG157" s="191"/>
      <c r="XAH157" s="191"/>
      <c r="XAI157" s="191"/>
      <c r="XAJ157" s="191"/>
      <c r="XAK157" s="191"/>
      <c r="XAL157" s="191"/>
      <c r="XAM157" s="191"/>
      <c r="XAN157" s="191"/>
      <c r="XAO157" s="191"/>
      <c r="XAP157" s="191"/>
      <c r="XAQ157" s="191"/>
      <c r="XAR157" s="191"/>
      <c r="XAS157" s="191"/>
      <c r="XAT157" s="191"/>
      <c r="XAU157" s="191"/>
      <c r="XAV157" s="191"/>
      <c r="XAW157" s="191"/>
      <c r="XAX157" s="191"/>
      <c r="XAY157" s="191"/>
      <c r="XAZ157" s="191"/>
      <c r="XBA157" s="191"/>
      <c r="XBB157" s="191"/>
      <c r="XBC157" s="191"/>
      <c r="XBD157" s="191"/>
      <c r="XBE157" s="191"/>
      <c r="XBF157" s="191"/>
      <c r="XBG157" s="191"/>
      <c r="XBH157" s="191"/>
      <c r="XBI157" s="191"/>
      <c r="XBJ157" s="191"/>
      <c r="XBK157" s="191"/>
      <c r="XBL157" s="191"/>
      <c r="XBM157" s="191"/>
      <c r="XBN157" s="191"/>
      <c r="XBO157" s="191"/>
      <c r="XBP157" s="191"/>
      <c r="XBQ157" s="191"/>
      <c r="XBR157" s="191"/>
      <c r="XBS157" s="191"/>
      <c r="XBT157" s="191"/>
      <c r="XBU157" s="191"/>
      <c r="XBV157" s="191"/>
      <c r="XBW157" s="191"/>
      <c r="XBX157" s="191"/>
      <c r="XBY157" s="191"/>
      <c r="XBZ157" s="191"/>
      <c r="XCA157" s="191"/>
      <c r="XCB157" s="191"/>
      <c r="XCC157" s="191"/>
      <c r="XCD157" s="191"/>
      <c r="XCE157" s="191"/>
      <c r="XCF157" s="191"/>
      <c r="XCG157" s="191"/>
      <c r="XCH157" s="191"/>
      <c r="XCI157" s="191"/>
      <c r="XCJ157" s="191"/>
      <c r="XCK157" s="191"/>
      <c r="XCL157" s="191"/>
      <c r="XCM157" s="191"/>
      <c r="XCN157" s="191"/>
      <c r="XCO157" s="191"/>
      <c r="XCP157" s="191"/>
      <c r="XCQ157" s="191"/>
      <c r="XCR157" s="191"/>
      <c r="XCS157" s="191"/>
      <c r="XCT157" s="191"/>
      <c r="XCU157" s="191"/>
      <c r="XCV157" s="191"/>
      <c r="XCW157" s="191"/>
      <c r="XCX157" s="191"/>
      <c r="XCY157" s="191"/>
      <c r="XCZ157" s="191"/>
      <c r="XDA157" s="191"/>
      <c r="XDB157" s="191"/>
      <c r="XDC157" s="191"/>
      <c r="XDD157" s="191"/>
      <c r="XDE157" s="191"/>
      <c r="XDF157" s="191"/>
      <c r="XDG157" s="191"/>
      <c r="XDH157" s="191"/>
      <c r="XDI157" s="191"/>
      <c r="XDJ157" s="191"/>
      <c r="XDK157" s="191"/>
      <c r="XDL157" s="191"/>
      <c r="XDM157" s="191"/>
      <c r="XDN157" s="191"/>
      <c r="XDO157" s="191"/>
      <c r="XDP157" s="191"/>
      <c r="XDQ157" s="191"/>
      <c r="XDR157" s="191"/>
      <c r="XDS157" s="191"/>
      <c r="XDT157" s="191"/>
      <c r="XDU157" s="191"/>
      <c r="XDV157" s="191"/>
      <c r="XDW157" s="191"/>
      <c r="XDX157" s="191"/>
      <c r="XDY157" s="191"/>
      <c r="XDZ157" s="191"/>
      <c r="XEA157" s="191"/>
      <c r="XEB157" s="191"/>
      <c r="XEC157" s="191"/>
      <c r="XED157" s="191"/>
      <c r="XEE157" s="191"/>
      <c r="XEF157" s="191"/>
      <c r="XEG157" s="191"/>
      <c r="XEH157" s="191"/>
      <c r="XEI157" s="191"/>
      <c r="XEJ157" s="191"/>
      <c r="XEK157" s="191"/>
      <c r="XEL157" s="191"/>
      <c r="XEM157" s="191"/>
      <c r="XEN157" s="191"/>
      <c r="XEO157" s="191"/>
      <c r="XEP157" s="191"/>
      <c r="XEQ157" s="191"/>
      <c r="XER157" s="191"/>
      <c r="XES157" s="191"/>
      <c r="XET157" s="191"/>
      <c r="XEU157" s="191"/>
      <c r="XEV157" s="191"/>
      <c r="XEW157" s="191"/>
      <c r="XEX157" s="191"/>
      <c r="XEY157" s="191"/>
      <c r="XEZ157" s="191"/>
      <c r="XFA157" s="191"/>
      <c r="XFB157" s="191"/>
      <c r="XFC157" s="191"/>
    </row>
    <row r="158" spans="1:16383" s="191" customFormat="1" ht="13">
      <c r="A158" s="224"/>
      <c r="B158" s="180">
        <v>6005016423</v>
      </c>
      <c r="C158" s="183" t="str">
        <f>IFERROR(IF(VLOOKUP($B158,勘定科目!$A:$H,HLOOKUP($E$5,勘定科目!$F$1:$H$2,2,0),0)="","",VLOOKUP($B158,勘定科目!$A:$E,2,0)),"")</f>
        <v>消耗備品費（一般）</v>
      </c>
      <c r="D158" s="234" t="str">
        <f>IF(C158="","",VLOOKUP($B158,勘定科目!$A:$E,4,0))</f>
        <v>消耗工具器具備品費</v>
      </c>
      <c r="E158" s="240" t="s">
        <v>908</v>
      </c>
      <c r="F158" s="194"/>
      <c r="G158" s="242"/>
      <c r="H158" s="242"/>
      <c r="I158" s="242"/>
      <c r="J158" s="291"/>
      <c r="K158" s="291"/>
      <c r="L158" s="291"/>
      <c r="M158" s="291"/>
      <c r="N158" s="291"/>
      <c r="O158" s="291"/>
      <c r="P158" s="291"/>
      <c r="Q158" s="291"/>
      <c r="R158" s="291">
        <f t="shared" si="20"/>
        <v>0</v>
      </c>
      <c r="S158" s="201" t="s">
        <v>798</v>
      </c>
      <c r="T158" s="202"/>
      <c r="U158" s="241"/>
      <c r="V158" s="241"/>
      <c r="W158" s="241"/>
      <c r="BA158"/>
      <c r="BB158"/>
    </row>
    <row r="159" spans="1:16383" s="191" customFormat="1" ht="13">
      <c r="A159" s="224"/>
      <c r="B159" s="180">
        <v>6005016423</v>
      </c>
      <c r="C159" s="183" t="str">
        <f>IFERROR(IF(VLOOKUP($B159,勘定科目!$A:$H,HLOOKUP($E$5,勘定科目!$F$1:$H$2,2,0),0)="","",VLOOKUP($B159,勘定科目!$A:$E,2,0)),"")</f>
        <v>消耗備品費（一般）</v>
      </c>
      <c r="D159" s="234" t="str">
        <f>IF(C159="","",VLOOKUP($B159,勘定科目!$A:$E,4,0))</f>
        <v>消耗工具器具備品費</v>
      </c>
      <c r="E159" s="240" t="s">
        <v>913</v>
      </c>
      <c r="F159" s="194"/>
      <c r="G159" s="242"/>
      <c r="H159" s="242"/>
      <c r="I159" s="242"/>
      <c r="J159" s="291"/>
      <c r="K159" s="291"/>
      <c r="L159" s="291"/>
      <c r="M159" s="291"/>
      <c r="N159" s="291"/>
      <c r="O159" s="291"/>
      <c r="P159" s="291"/>
      <c r="Q159" s="291"/>
      <c r="R159" s="291">
        <f t="shared" si="20"/>
        <v>0</v>
      </c>
      <c r="S159" s="201" t="s">
        <v>799</v>
      </c>
      <c r="T159" s="202"/>
      <c r="U159" s="241"/>
      <c r="V159" s="241"/>
      <c r="W159" s="241"/>
      <c r="BA159"/>
      <c r="BB159"/>
    </row>
    <row r="160" spans="1:16383" s="191" customFormat="1" ht="13">
      <c r="A160" s="224"/>
      <c r="B160" s="180">
        <v>6005016423</v>
      </c>
      <c r="C160" s="183" t="str">
        <f>IFERROR(IF(VLOOKUP($B160,勘定科目!$A:$H,HLOOKUP($E$5,勘定科目!$F$1:$H$2,2,0),0)="","",VLOOKUP($B160,勘定科目!$A:$E,2,0)),"")</f>
        <v>消耗備品費（一般）</v>
      </c>
      <c r="D160" s="234" t="str">
        <f>IF(C160="","",VLOOKUP($B160,勘定科目!$A:$E,4,0))</f>
        <v>消耗工具器具備品費</v>
      </c>
      <c r="E160" s="240" t="s">
        <v>911</v>
      </c>
      <c r="F160" s="299"/>
      <c r="G160" s="298">
        <v>5000000</v>
      </c>
      <c r="H160" s="298"/>
      <c r="I160" s="298"/>
      <c r="J160" s="298"/>
      <c r="K160" s="298"/>
      <c r="L160" s="298">
        <v>5000000</v>
      </c>
      <c r="M160" s="298"/>
      <c r="N160" s="298"/>
      <c r="O160" s="298"/>
      <c r="P160" s="298"/>
      <c r="Q160" s="298">
        <v>5000000</v>
      </c>
      <c r="R160" s="291">
        <f t="shared" ref="R160:R223" si="23">SUM(F160:Q160)</f>
        <v>15000000</v>
      </c>
      <c r="S160" s="201" t="s">
        <v>800</v>
      </c>
      <c r="T160" s="202"/>
      <c r="U160" s="241"/>
      <c r="V160" s="241"/>
      <c r="W160" s="241"/>
      <c r="BA160"/>
      <c r="BB160"/>
    </row>
    <row r="161" spans="1:54" s="191" customFormat="1" ht="13">
      <c r="A161" s="224"/>
      <c r="B161" s="180">
        <v>6005016423</v>
      </c>
      <c r="C161" s="183" t="str">
        <f>IFERROR(IF(VLOOKUP($B161,勘定科目!$A:$H,HLOOKUP($E$5,勘定科目!$F$1:$H$2,2,0),0)="","",VLOOKUP($B161,勘定科目!$A:$E,2,0)),"")</f>
        <v>消耗備品費（一般）</v>
      </c>
      <c r="D161" s="234" t="str">
        <f>IF(C161="","",VLOOKUP($B161,勘定科目!$A:$E,4,0))</f>
        <v>消耗工具器具備品費</v>
      </c>
      <c r="E161" s="240" t="s">
        <v>910</v>
      </c>
      <c r="F161" s="194"/>
      <c r="G161" s="242"/>
      <c r="H161" s="242"/>
      <c r="I161" s="242"/>
      <c r="J161" s="291"/>
      <c r="K161" s="291"/>
      <c r="L161" s="291"/>
      <c r="M161" s="291"/>
      <c r="N161" s="291"/>
      <c r="O161" s="291"/>
      <c r="P161" s="291"/>
      <c r="Q161" s="291"/>
      <c r="R161" s="291">
        <f t="shared" si="23"/>
        <v>0</v>
      </c>
      <c r="S161" s="201" t="s">
        <v>801</v>
      </c>
      <c r="T161" s="202"/>
      <c r="U161" s="241"/>
      <c r="V161" s="241"/>
      <c r="W161" s="241"/>
      <c r="BA161"/>
      <c r="BB161"/>
    </row>
    <row r="162" spans="1:54" s="191" customFormat="1" ht="13">
      <c r="A162" s="224"/>
      <c r="B162" s="180">
        <v>6005206631</v>
      </c>
      <c r="C162" s="183" t="str">
        <f>IFERROR(IF(VLOOKUP($B162,勘定科目!$A:$H,HLOOKUP($E$5,勘定科目!$F$1:$H$2,2,0),0)="","",VLOOKUP($B162,勘定科目!$A:$E,2,0)),"")</f>
        <v>会費（一般）</v>
      </c>
      <c r="D162" s="234" t="str">
        <f>IF(C162="","",VLOOKUP($B162,勘定科目!$A:$E,4,0))</f>
        <v>会費及び会議費</v>
      </c>
      <c r="E162" s="240" t="s">
        <v>908</v>
      </c>
      <c r="F162" s="302">
        <v>500000</v>
      </c>
      <c r="G162" s="302">
        <v>500000</v>
      </c>
      <c r="H162" s="302">
        <v>500000</v>
      </c>
      <c r="I162" s="302">
        <v>500000</v>
      </c>
      <c r="J162" s="302">
        <v>1000000</v>
      </c>
      <c r="K162" s="302">
        <v>500000</v>
      </c>
      <c r="L162" s="302">
        <v>500000</v>
      </c>
      <c r="M162" s="302">
        <v>1000000</v>
      </c>
      <c r="N162" s="302">
        <v>500000</v>
      </c>
      <c r="O162" s="302">
        <v>1000000</v>
      </c>
      <c r="P162" s="302">
        <v>500000</v>
      </c>
      <c r="Q162" s="302">
        <v>500000</v>
      </c>
      <c r="R162" s="291">
        <f t="shared" si="23"/>
        <v>7500000</v>
      </c>
      <c r="S162" s="201" t="s">
        <v>802</v>
      </c>
      <c r="T162" s="202"/>
      <c r="U162" s="241"/>
      <c r="V162" s="241"/>
      <c r="W162" s="241"/>
      <c r="BA162"/>
      <c r="BB162"/>
    </row>
    <row r="163" spans="1:54" s="191" customFormat="1" ht="13">
      <c r="A163" s="224"/>
      <c r="B163" s="180">
        <v>6005206631</v>
      </c>
      <c r="C163" s="183" t="str">
        <f>IFERROR(IF(VLOOKUP($B163,勘定科目!$A:$H,HLOOKUP($E$5,勘定科目!$F$1:$H$2,2,0),0)="","",VLOOKUP($B163,勘定科目!$A:$E,2,0)),"")</f>
        <v>会費（一般）</v>
      </c>
      <c r="D163" s="234" t="str">
        <f>IF(C163="","",VLOOKUP($B163,勘定科目!$A:$E,4,0))</f>
        <v>会費及び会議費</v>
      </c>
      <c r="E163" s="240" t="s">
        <v>908</v>
      </c>
      <c r="F163" s="301"/>
      <c r="G163" s="302">
        <v>27500000</v>
      </c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91">
        <f t="shared" si="23"/>
        <v>27500000</v>
      </c>
      <c r="S163" s="201" t="s">
        <v>803</v>
      </c>
      <c r="T163" s="202"/>
      <c r="U163" s="241"/>
      <c r="V163" s="241"/>
      <c r="W163" s="241"/>
      <c r="BA163"/>
      <c r="BB163"/>
    </row>
    <row r="164" spans="1:54" s="191" customFormat="1" ht="13">
      <c r="A164" s="224"/>
      <c r="B164" s="180">
        <v>6005246675</v>
      </c>
      <c r="C164" s="183" t="str">
        <f>IFERROR(IF(VLOOKUP($B164,勘定科目!$A:$H,HLOOKUP($E$5,勘定科目!$F$1:$H$2,2,0),0)="","",VLOOKUP($B164,勘定科目!$A:$E,2,0)),"")</f>
        <v>会議費（一般）</v>
      </c>
      <c r="D164" s="234" t="str">
        <f>IF(C164="","",VLOOKUP($B164,勘定科目!$A:$E,4,0))</f>
        <v>会費及び会議費</v>
      </c>
      <c r="E164" s="240" t="s">
        <v>908</v>
      </c>
      <c r="F164" s="298">
        <f>25*80000+63000*5</f>
        <v>2315000</v>
      </c>
      <c r="G164" s="298">
        <f>25*80000</f>
        <v>2000000</v>
      </c>
      <c r="H164" s="298">
        <f>20*80000</f>
        <v>1600000</v>
      </c>
      <c r="I164" s="298">
        <f>15*80000</f>
        <v>1200000</v>
      </c>
      <c r="J164" s="298">
        <f>25*80000+63000*5</f>
        <v>2315000</v>
      </c>
      <c r="K164" s="302">
        <f>40*80000</f>
        <v>3200000</v>
      </c>
      <c r="L164" s="302">
        <f>23*80000</f>
        <v>1840000</v>
      </c>
      <c r="M164" s="302">
        <f>35*80000</f>
        <v>2800000</v>
      </c>
      <c r="N164" s="302">
        <f>5*63000</f>
        <v>315000</v>
      </c>
      <c r="O164" s="302">
        <v>1200000</v>
      </c>
      <c r="P164" s="302">
        <v>1200000</v>
      </c>
      <c r="Q164" s="302">
        <v>1200000</v>
      </c>
      <c r="R164" s="291">
        <f t="shared" si="23"/>
        <v>21185000</v>
      </c>
      <c r="S164" s="201" t="s">
        <v>804</v>
      </c>
      <c r="T164" s="202"/>
      <c r="U164" s="241"/>
      <c r="V164" s="241"/>
      <c r="W164" s="241"/>
      <c r="BA164"/>
      <c r="BB164"/>
    </row>
    <row r="165" spans="1:54" s="191" customFormat="1" ht="13">
      <c r="A165" s="224"/>
      <c r="B165" s="180">
        <v>6005246675</v>
      </c>
      <c r="C165" s="183" t="str">
        <f>IFERROR(IF(VLOOKUP($B165,勘定科目!$A:$H,HLOOKUP($E$5,勘定科目!$F$1:$H$2,2,0),0)="","",VLOOKUP($B165,勘定科目!$A:$E,2,0)),"")</f>
        <v>会議費（一般）</v>
      </c>
      <c r="D165" s="234" t="str">
        <f>IF(C165="","",VLOOKUP($B165,勘定科目!$A:$E,4,0))</f>
        <v>会費及び会議費</v>
      </c>
      <c r="E165" s="240" t="s">
        <v>908</v>
      </c>
      <c r="F165" s="298">
        <f>75000*2</f>
        <v>150000</v>
      </c>
      <c r="G165" s="298"/>
      <c r="H165" s="298">
        <f>75000*2</f>
        <v>150000</v>
      </c>
      <c r="I165" s="302"/>
      <c r="J165" s="298"/>
      <c r="K165" s="298">
        <f>75000*2</f>
        <v>150000</v>
      </c>
      <c r="L165" s="298"/>
      <c r="M165" s="298">
        <f>75000*2</f>
        <v>150000</v>
      </c>
      <c r="N165" s="298"/>
      <c r="O165" s="298">
        <f>75000*2</f>
        <v>150000</v>
      </c>
      <c r="P165" s="298"/>
      <c r="Q165" s="298">
        <v>150000</v>
      </c>
      <c r="R165" s="291">
        <f t="shared" si="23"/>
        <v>900000</v>
      </c>
      <c r="S165" s="201" t="s">
        <v>805</v>
      </c>
      <c r="T165" s="202"/>
      <c r="U165" s="241"/>
      <c r="V165" s="241"/>
      <c r="W165" s="241"/>
      <c r="BA165"/>
      <c r="BB165"/>
    </row>
    <row r="166" spans="1:54" s="191" customFormat="1" ht="13">
      <c r="A166" s="224"/>
      <c r="B166" s="180">
        <v>6005246675</v>
      </c>
      <c r="C166" s="183" t="str">
        <f>IFERROR(IF(VLOOKUP($B166,勘定科目!$A:$H,HLOOKUP($E$5,勘定科目!$F$1:$H$2,2,0),0)="","",VLOOKUP($B166,勘定科目!$A:$E,2,0)),"")</f>
        <v>会議費（一般）</v>
      </c>
      <c r="D166" s="234" t="str">
        <f>IF(C166="","",VLOOKUP($B166,勘定科目!$A:$E,4,0))</f>
        <v>会費及び会議費</v>
      </c>
      <c r="E166" s="240" t="s">
        <v>908</v>
      </c>
      <c r="F166" s="298">
        <f>(138000*3)+(40000*2)</f>
        <v>494000</v>
      </c>
      <c r="G166" s="298">
        <f>138000*3+75000*2</f>
        <v>564000</v>
      </c>
      <c r="H166" s="298">
        <f>138000*2</f>
        <v>276000</v>
      </c>
      <c r="I166" s="298">
        <f>138000*3+95000*1+80000</f>
        <v>589000</v>
      </c>
      <c r="J166" s="298">
        <f>138000*3+75000*2</f>
        <v>564000</v>
      </c>
      <c r="K166" s="298">
        <f>138000*3</f>
        <v>414000</v>
      </c>
      <c r="L166" s="298">
        <f>95000+414000+620000+80000</f>
        <v>1209000</v>
      </c>
      <c r="M166" s="298">
        <f>138000*3+95000</f>
        <v>509000</v>
      </c>
      <c r="N166" s="298">
        <f>138000*3+95000</f>
        <v>509000</v>
      </c>
      <c r="O166" s="298">
        <f>138000*5+2*40000</f>
        <v>770000</v>
      </c>
      <c r="P166" s="298">
        <v>509000</v>
      </c>
      <c r="Q166" s="298">
        <v>509000</v>
      </c>
      <c r="R166" s="291">
        <f t="shared" si="23"/>
        <v>6916000</v>
      </c>
      <c r="S166" s="201" t="s">
        <v>806</v>
      </c>
      <c r="T166" s="202"/>
      <c r="U166" s="241"/>
      <c r="V166" s="241"/>
      <c r="W166" s="241"/>
      <c r="BA166"/>
      <c r="BB166"/>
    </row>
    <row r="167" spans="1:54" s="191" customFormat="1" ht="13">
      <c r="A167" s="224"/>
      <c r="B167" s="180">
        <v>6005246675</v>
      </c>
      <c r="C167" s="183" t="str">
        <f>IFERROR(IF(VLOOKUP($B167,勘定科目!$A:$H,HLOOKUP($E$5,勘定科目!$F$1:$H$2,2,0),0)="","",VLOOKUP($B167,勘定科目!$A:$E,2,0)),"")</f>
        <v>会議費（一般）</v>
      </c>
      <c r="D167" s="234" t="str">
        <f>IF(C167="","",VLOOKUP($B167,勘定科目!$A:$E,4,0))</f>
        <v>会費及び会議費</v>
      </c>
      <c r="E167" s="240" t="s">
        <v>908</v>
      </c>
      <c r="F167" s="298">
        <f>74000*3</f>
        <v>222000</v>
      </c>
      <c r="G167" s="298">
        <f>74000*4</f>
        <v>296000</v>
      </c>
      <c r="H167" s="298">
        <f>74000*4</f>
        <v>296000</v>
      </c>
      <c r="I167" s="298">
        <f>74000*2</f>
        <v>148000</v>
      </c>
      <c r="J167" s="298">
        <f>74000*4</f>
        <v>296000</v>
      </c>
      <c r="K167" s="298">
        <f>74000*2</f>
        <v>148000</v>
      </c>
      <c r="L167" s="298">
        <v>296000</v>
      </c>
      <c r="M167" s="298">
        <f>74000*4</f>
        <v>296000</v>
      </c>
      <c r="N167" s="298">
        <f>74000*4</f>
        <v>296000</v>
      </c>
      <c r="O167" s="298">
        <f>74000*4</f>
        <v>296000</v>
      </c>
      <c r="P167" s="298">
        <v>296000</v>
      </c>
      <c r="Q167" s="298">
        <v>296000</v>
      </c>
      <c r="R167" s="291">
        <f t="shared" si="23"/>
        <v>3182000</v>
      </c>
      <c r="S167" s="201" t="s">
        <v>807</v>
      </c>
      <c r="T167" s="202"/>
      <c r="U167" s="241"/>
      <c r="V167" s="241"/>
      <c r="W167" s="241"/>
      <c r="BA167"/>
      <c r="BB167"/>
    </row>
    <row r="168" spans="1:54" s="191" customFormat="1" ht="13">
      <c r="A168" s="224"/>
      <c r="B168" s="180">
        <v>6005246675</v>
      </c>
      <c r="C168" s="183" t="str">
        <f>IFERROR(IF(VLOOKUP($B168,勘定科目!$A:$H,HLOOKUP($E$5,勘定科目!$F$1:$H$2,2,0),0)="","",VLOOKUP($B168,勘定科目!$A:$E,2,0)),"")</f>
        <v>会議費（一般）</v>
      </c>
      <c r="D168" s="234" t="str">
        <f>IF(C168="","",VLOOKUP($B168,勘定科目!$A:$E,4,0))</f>
        <v>会費及び会議費</v>
      </c>
      <c r="E168" s="240" t="s">
        <v>908</v>
      </c>
      <c r="F168" s="298">
        <f>5000000</f>
        <v>5000000</v>
      </c>
      <c r="G168" s="242"/>
      <c r="H168" s="298">
        <f>25000*30</f>
        <v>750000</v>
      </c>
      <c r="I168" s="242"/>
      <c r="J168" s="291"/>
      <c r="K168" s="291"/>
      <c r="L168" s="291"/>
      <c r="M168" s="298">
        <f>25000*30</f>
        <v>750000</v>
      </c>
      <c r="N168" s="291"/>
      <c r="O168" s="291"/>
      <c r="P168" s="291"/>
      <c r="Q168" s="291"/>
      <c r="R168" s="291">
        <f t="shared" si="23"/>
        <v>6500000</v>
      </c>
      <c r="S168" s="201" t="s">
        <v>808</v>
      </c>
      <c r="T168" s="202"/>
      <c r="U168" s="241"/>
      <c r="V168" s="241"/>
      <c r="W168" s="241"/>
      <c r="BA168"/>
      <c r="BB168"/>
    </row>
    <row r="169" spans="1:54" s="191" customFormat="1" ht="13">
      <c r="A169" s="224"/>
      <c r="B169" s="180">
        <v>6005246675</v>
      </c>
      <c r="C169" s="183" t="str">
        <f>IFERROR(IF(VLOOKUP($B169,勘定科目!$A:$H,HLOOKUP($E$5,勘定科目!$F$1:$H$2,2,0),0)="","",VLOOKUP($B169,勘定科目!$A:$E,2,0)),"")</f>
        <v>会議費（一般）</v>
      </c>
      <c r="D169" s="234" t="str">
        <f>IF(C169="","",VLOOKUP($B169,勘定科目!$A:$E,4,0))</f>
        <v>会費及び会議費</v>
      </c>
      <c r="E169" s="240" t="s">
        <v>908</v>
      </c>
      <c r="F169" s="194"/>
      <c r="G169" s="242"/>
      <c r="H169" s="242"/>
      <c r="I169" s="242"/>
      <c r="J169" s="291"/>
      <c r="K169" s="291"/>
      <c r="L169" s="291"/>
      <c r="M169" s="291"/>
      <c r="N169" s="291"/>
      <c r="O169" s="291"/>
      <c r="P169" s="291"/>
      <c r="Q169" s="291"/>
      <c r="R169" s="291">
        <f t="shared" si="23"/>
        <v>0</v>
      </c>
      <c r="S169" s="201" t="s">
        <v>809</v>
      </c>
      <c r="T169" s="202"/>
      <c r="U169" s="241"/>
      <c r="V169" s="241"/>
      <c r="W169" s="241"/>
      <c r="BA169"/>
      <c r="BB169"/>
    </row>
    <row r="170" spans="1:54" s="191" customFormat="1" ht="13">
      <c r="A170" s="224"/>
      <c r="B170" s="180">
        <v>6005246675</v>
      </c>
      <c r="C170" s="183" t="str">
        <f>IFERROR(IF(VLOOKUP($B170,勘定科目!$A:$H,HLOOKUP($E$5,勘定科目!$F$1:$H$2,2,0),0)="","",VLOOKUP($B170,勘定科目!$A:$E,2,0)),"")</f>
        <v>会議費（一般）</v>
      </c>
      <c r="D170" s="234" t="str">
        <f>IF(C170="","",VLOOKUP($B170,勘定科目!$A:$E,4,0))</f>
        <v>会費及び会議費</v>
      </c>
      <c r="E170" s="240" t="s">
        <v>911</v>
      </c>
      <c r="F170" s="298">
        <v>45000000</v>
      </c>
      <c r="G170" s="298"/>
      <c r="H170" s="298"/>
      <c r="I170" s="298">
        <v>45000000</v>
      </c>
      <c r="J170" s="291"/>
      <c r="K170" s="291"/>
      <c r="L170" s="298">
        <v>45000000</v>
      </c>
      <c r="M170" s="298"/>
      <c r="N170" s="298"/>
      <c r="O170" s="298">
        <v>45000000</v>
      </c>
      <c r="P170" s="291"/>
      <c r="Q170" s="291"/>
      <c r="R170" s="291">
        <f t="shared" si="23"/>
        <v>180000000</v>
      </c>
      <c r="S170" s="201" t="s">
        <v>938</v>
      </c>
      <c r="T170" s="202"/>
      <c r="U170" s="241"/>
      <c r="V170" s="241"/>
      <c r="W170" s="241"/>
      <c r="BA170"/>
      <c r="BB170"/>
    </row>
    <row r="171" spans="1:54" s="191" customFormat="1" ht="13">
      <c r="A171" s="224"/>
      <c r="B171" s="180">
        <v>6005246675</v>
      </c>
      <c r="C171" s="183" t="str">
        <f>IFERROR(IF(VLOOKUP($B171,勘定科目!$A:$H,HLOOKUP($E$5,勘定科目!$F$1:$H$2,2,0),0)="","",VLOOKUP($B171,勘定科目!$A:$E,2,0)),"")</f>
        <v>会議費（一般）</v>
      </c>
      <c r="D171" s="234" t="str">
        <f>IF(C171="","",VLOOKUP($B171,勘定科目!$A:$E,4,0))</f>
        <v>会費及び会議費</v>
      </c>
      <c r="E171" s="240" t="s">
        <v>908</v>
      </c>
      <c r="F171" s="194"/>
      <c r="G171" s="242"/>
      <c r="H171" s="242"/>
      <c r="I171" s="242"/>
      <c r="J171" s="291"/>
      <c r="K171" s="291"/>
      <c r="L171" s="291"/>
      <c r="M171" s="291"/>
      <c r="N171" s="291"/>
      <c r="O171" s="291"/>
      <c r="P171" s="291"/>
      <c r="Q171" s="291"/>
      <c r="R171" s="291">
        <f t="shared" si="23"/>
        <v>0</v>
      </c>
      <c r="S171" s="201" t="s">
        <v>810</v>
      </c>
      <c r="T171" s="202"/>
      <c r="U171" s="241"/>
      <c r="V171" s="241"/>
      <c r="W171" s="241"/>
      <c r="BA171"/>
      <c r="BB171"/>
    </row>
    <row r="172" spans="1:54" s="191" customFormat="1" ht="13">
      <c r="A172" s="224"/>
      <c r="B172" s="180">
        <v>6004086651</v>
      </c>
      <c r="C172" s="183" t="str">
        <f>IFERROR(IF(VLOOKUP($B172,勘定科目!$A:$H,HLOOKUP($E$5,勘定科目!$F$1:$H$2,2,0),0)="","",VLOOKUP($B172,勘定科目!$A:$E,2,0)),"")</f>
        <v>福利厚生費（一般）</v>
      </c>
      <c r="D172" s="234" t="str">
        <f>IF(C172="","",VLOOKUP($B172,勘定科目!$A:$E,4,0))</f>
        <v>福利厚生費</v>
      </c>
      <c r="E172" s="240" t="s">
        <v>910</v>
      </c>
      <c r="F172" s="299">
        <v>35600000</v>
      </c>
      <c r="G172" s="299">
        <v>35600000</v>
      </c>
      <c r="H172" s="299">
        <v>34500000</v>
      </c>
      <c r="I172" s="299">
        <v>34500000</v>
      </c>
      <c r="J172" s="299">
        <v>37800000</v>
      </c>
      <c r="K172" s="299">
        <v>35600000</v>
      </c>
      <c r="L172" s="299">
        <v>35600000</v>
      </c>
      <c r="M172" s="299">
        <v>37800000</v>
      </c>
      <c r="N172" s="299">
        <v>35600000</v>
      </c>
      <c r="O172" s="299">
        <v>35600000</v>
      </c>
      <c r="P172" s="299">
        <v>35600000</v>
      </c>
      <c r="Q172" s="299">
        <v>21600000</v>
      </c>
      <c r="R172" s="291">
        <f t="shared" si="23"/>
        <v>415400000</v>
      </c>
      <c r="S172" s="201" t="s">
        <v>811</v>
      </c>
      <c r="T172" s="202"/>
      <c r="U172" s="241"/>
      <c r="V172" s="241"/>
      <c r="W172" s="241"/>
      <c r="BA172"/>
      <c r="BB172"/>
    </row>
    <row r="173" spans="1:54" s="191" customFormat="1" ht="13">
      <c r="A173" s="224"/>
      <c r="B173" s="180">
        <v>6004086651</v>
      </c>
      <c r="C173" s="183" t="str">
        <f>IFERROR(IF(VLOOKUP($B173,勘定科目!$A:$H,HLOOKUP($E$5,勘定科目!$F$1:$H$2,2,0),0)="","",VLOOKUP($B173,勘定科目!$A:$E,2,0)),"")</f>
        <v>福利厚生費（一般）</v>
      </c>
      <c r="D173" s="234" t="str">
        <f>IF(C173="","",VLOOKUP($B173,勘定科目!$A:$E,4,0))</f>
        <v>福利厚生費</v>
      </c>
      <c r="E173" s="240" t="s">
        <v>910</v>
      </c>
      <c r="F173" s="299">
        <v>1800000</v>
      </c>
      <c r="G173" s="299">
        <v>1800000</v>
      </c>
      <c r="H173" s="299">
        <v>1800000</v>
      </c>
      <c r="I173" s="299">
        <v>1800000</v>
      </c>
      <c r="J173" s="299">
        <v>1800000</v>
      </c>
      <c r="K173" s="299">
        <v>1800000</v>
      </c>
      <c r="L173" s="299">
        <v>1800000</v>
      </c>
      <c r="M173" s="299">
        <v>1800000</v>
      </c>
      <c r="N173" s="299">
        <v>1800000</v>
      </c>
      <c r="O173" s="299">
        <v>1800000</v>
      </c>
      <c r="P173" s="299">
        <v>1800000</v>
      </c>
      <c r="Q173" s="299">
        <v>1800000</v>
      </c>
      <c r="R173" s="291">
        <f t="shared" si="23"/>
        <v>21600000</v>
      </c>
      <c r="S173" s="201" t="s">
        <v>812</v>
      </c>
      <c r="T173" s="202"/>
      <c r="U173" s="241"/>
      <c r="V173" s="241"/>
      <c r="W173" s="241"/>
      <c r="BA173"/>
      <c r="BB173"/>
    </row>
    <row r="174" spans="1:54" s="191" customFormat="1" ht="13">
      <c r="A174" s="224"/>
      <c r="B174" s="180">
        <v>6004086651</v>
      </c>
      <c r="C174" s="183" t="str">
        <f>IFERROR(IF(VLOOKUP($B174,勘定科目!$A:$H,HLOOKUP($E$5,勘定科目!$F$1:$H$2,2,0),0)="","",VLOOKUP($B174,勘定科目!$A:$E,2,0)),"")</f>
        <v>福利厚生費（一般）</v>
      </c>
      <c r="D174" s="234" t="str">
        <f>IF(C174="","",VLOOKUP($B174,勘定科目!$A:$E,4,0))</f>
        <v>福利厚生費</v>
      </c>
      <c r="E174" s="240" t="s">
        <v>910</v>
      </c>
      <c r="F174" s="194"/>
      <c r="G174" s="242"/>
      <c r="H174" s="242"/>
      <c r="I174" s="242"/>
      <c r="J174" s="291"/>
      <c r="K174" s="291"/>
      <c r="L174" s="291"/>
      <c r="M174" s="291"/>
      <c r="N174" s="291"/>
      <c r="O174" s="291"/>
      <c r="P174" s="291"/>
      <c r="Q174" s="291"/>
      <c r="R174" s="291">
        <f t="shared" si="23"/>
        <v>0</v>
      </c>
      <c r="S174" s="201" t="s">
        <v>813</v>
      </c>
      <c r="T174" s="202"/>
      <c r="U174" s="241"/>
      <c r="V174" s="241"/>
      <c r="W174" s="241"/>
      <c r="BA174"/>
      <c r="BB174"/>
    </row>
    <row r="175" spans="1:54" s="191" customFormat="1" ht="13">
      <c r="A175" s="224"/>
      <c r="B175" s="180">
        <v>6004086651</v>
      </c>
      <c r="C175" s="183" t="str">
        <f>IFERROR(IF(VLOOKUP($B175,勘定科目!$A:$H,HLOOKUP($E$5,勘定科目!$F$1:$H$2,2,0),0)="","",VLOOKUP($B175,勘定科目!$A:$E,2,0)),"")</f>
        <v>福利厚生費（一般）</v>
      </c>
      <c r="D175" s="234" t="str">
        <f>IF(C175="","",VLOOKUP($B175,勘定科目!$A:$E,4,0))</f>
        <v>福利厚生費</v>
      </c>
      <c r="E175" s="240" t="s">
        <v>910</v>
      </c>
      <c r="F175" s="299">
        <f t="shared" ref="F175:Q175" si="24">-SUM(F172:F174)</f>
        <v>-37400000</v>
      </c>
      <c r="G175" s="299">
        <f t="shared" si="24"/>
        <v>-37400000</v>
      </c>
      <c r="H175" s="299">
        <f t="shared" si="24"/>
        <v>-36300000</v>
      </c>
      <c r="I175" s="299">
        <f t="shared" si="24"/>
        <v>-36300000</v>
      </c>
      <c r="J175" s="299">
        <f t="shared" si="24"/>
        <v>-39600000</v>
      </c>
      <c r="K175" s="299">
        <f t="shared" si="24"/>
        <v>-37400000</v>
      </c>
      <c r="L175" s="299">
        <f t="shared" si="24"/>
        <v>-37400000</v>
      </c>
      <c r="M175" s="299">
        <f t="shared" si="24"/>
        <v>-39600000</v>
      </c>
      <c r="N175" s="299">
        <f t="shared" si="24"/>
        <v>-37400000</v>
      </c>
      <c r="O175" s="299">
        <f t="shared" si="24"/>
        <v>-37400000</v>
      </c>
      <c r="P175" s="299">
        <f t="shared" si="24"/>
        <v>-37400000</v>
      </c>
      <c r="Q175" s="299">
        <f t="shared" si="24"/>
        <v>-23400000</v>
      </c>
      <c r="R175" s="291">
        <f t="shared" si="23"/>
        <v>-437000000</v>
      </c>
      <c r="S175" s="201" t="s">
        <v>814</v>
      </c>
      <c r="T175" s="202"/>
      <c r="U175" s="241"/>
      <c r="V175" s="241"/>
      <c r="W175" s="241"/>
      <c r="BA175"/>
      <c r="BB175"/>
    </row>
    <row r="176" spans="1:54" s="191" customFormat="1" ht="13">
      <c r="A176" s="224"/>
      <c r="B176" s="180">
        <v>6004086651</v>
      </c>
      <c r="C176" s="183" t="str">
        <f>IFERROR(IF(VLOOKUP($B176,勘定科目!$A:$H,HLOOKUP($E$5,勘定科目!$F$1:$H$2,2,0),0)="","",VLOOKUP($B176,勘定科目!$A:$E,2,0)),"")</f>
        <v>福利厚生費（一般）</v>
      </c>
      <c r="D176" s="234" t="str">
        <f>IF(C176="","",VLOOKUP($B176,勘定科目!$A:$E,4,0))</f>
        <v>福利厚生費</v>
      </c>
      <c r="E176" s="240" t="s">
        <v>917</v>
      </c>
      <c r="F176" s="299">
        <v>162192000</v>
      </c>
      <c r="G176" s="299">
        <v>184224000</v>
      </c>
      <c r="H176" s="299">
        <v>162192000</v>
      </c>
      <c r="I176" s="299">
        <v>184224000</v>
      </c>
      <c r="J176" s="299">
        <v>216568000</v>
      </c>
      <c r="K176" s="299">
        <v>223912000</v>
      </c>
      <c r="L176" s="299">
        <v>184848000</v>
      </c>
      <c r="M176" s="299">
        <v>221568000</v>
      </c>
      <c r="N176" s="299">
        <v>221568000</v>
      </c>
      <c r="O176" s="299">
        <v>224224000</v>
      </c>
      <c r="P176" s="299">
        <v>216880000</v>
      </c>
      <c r="Q176" s="299">
        <v>201880000</v>
      </c>
      <c r="R176" s="291">
        <f t="shared" si="23"/>
        <v>2404280000</v>
      </c>
      <c r="S176" s="201" t="s">
        <v>930</v>
      </c>
      <c r="T176" s="202"/>
      <c r="U176" s="241"/>
      <c r="V176" s="241"/>
      <c r="W176" s="241"/>
      <c r="BA176"/>
      <c r="BB176"/>
    </row>
    <row r="177" spans="1:54" s="191" customFormat="1" ht="13">
      <c r="A177" s="224"/>
      <c r="B177" s="180">
        <v>6004086651</v>
      </c>
      <c r="C177" s="183" t="str">
        <f>IFERROR(IF(VLOOKUP($B177,勘定科目!$A:$H,HLOOKUP($E$5,勘定科目!$F$1:$H$2,2,0),0)="","",VLOOKUP($B177,勘定科目!$A:$E,2,0)),"")</f>
        <v>福利厚生費（一般）</v>
      </c>
      <c r="D177" s="234" t="str">
        <f>IF(C177="","",VLOOKUP($B177,勘定科目!$A:$E,4,0))</f>
        <v>福利厚生費</v>
      </c>
      <c r="E177" s="240" t="s">
        <v>917</v>
      </c>
      <c r="F177" s="299">
        <v>862397920</v>
      </c>
      <c r="G177" s="298">
        <v>989464240</v>
      </c>
      <c r="H177" s="298">
        <v>862397920</v>
      </c>
      <c r="I177" s="298">
        <v>989464240</v>
      </c>
      <c r="J177" s="298">
        <v>1081819680</v>
      </c>
      <c r="K177" s="298">
        <v>1124175120</v>
      </c>
      <c r="L177" s="298">
        <v>880042480</v>
      </c>
      <c r="M177" s="298">
        <v>1091819680</v>
      </c>
      <c r="N177" s="298">
        <v>1091819680</v>
      </c>
      <c r="O177" s="298">
        <v>1059464240</v>
      </c>
      <c r="P177" s="298">
        <v>1027108800</v>
      </c>
      <c r="Q177" s="298">
        <v>1002108800</v>
      </c>
      <c r="R177" s="291">
        <f t="shared" si="23"/>
        <v>12062082800</v>
      </c>
      <c r="S177" s="201" t="s">
        <v>815</v>
      </c>
      <c r="T177" s="202"/>
      <c r="U177" s="241"/>
      <c r="V177" s="241"/>
      <c r="W177" s="241"/>
      <c r="BA177"/>
      <c r="BB177"/>
    </row>
    <row r="178" spans="1:54" s="191" customFormat="1" ht="13">
      <c r="A178" s="224"/>
      <c r="B178" s="180">
        <v>6004086651</v>
      </c>
      <c r="C178" s="183" t="str">
        <f>IFERROR(IF(VLOOKUP($B178,勘定科目!$A:$H,HLOOKUP($E$5,勘定科目!$F$1:$H$2,2,0),0)="","",VLOOKUP($B178,勘定科目!$A:$E,2,0)),"")</f>
        <v>福利厚生費（一般）</v>
      </c>
      <c r="D178" s="234" t="str">
        <f>IF(C178="","",VLOOKUP($B178,勘定科目!$A:$E,4,0))</f>
        <v>福利厚生費</v>
      </c>
      <c r="E178" s="240" t="s">
        <v>917</v>
      </c>
      <c r="F178" s="299">
        <v>550790080</v>
      </c>
      <c r="G178" s="298">
        <v>630921760</v>
      </c>
      <c r="H178" s="298">
        <v>550790080</v>
      </c>
      <c r="I178" s="298">
        <v>630921760</v>
      </c>
      <c r="J178" s="298">
        <v>687632320</v>
      </c>
      <c r="K178" s="298">
        <v>714342880</v>
      </c>
      <c r="L178" s="298">
        <v>564079520</v>
      </c>
      <c r="M178" s="298">
        <v>697632320</v>
      </c>
      <c r="N178" s="298">
        <v>697632320</v>
      </c>
      <c r="O178" s="298">
        <v>680921760</v>
      </c>
      <c r="P178" s="298">
        <v>654211200</v>
      </c>
      <c r="Q178" s="298">
        <v>639211200</v>
      </c>
      <c r="R178" s="291">
        <f t="shared" si="23"/>
        <v>7699087200</v>
      </c>
      <c r="S178" s="201" t="s">
        <v>816</v>
      </c>
      <c r="T178" s="202"/>
      <c r="U178" s="241"/>
      <c r="V178" s="241"/>
      <c r="W178" s="241"/>
      <c r="BA178"/>
      <c r="BB178"/>
    </row>
    <row r="179" spans="1:54" s="191" customFormat="1" ht="13">
      <c r="A179" s="224"/>
      <c r="B179" s="180">
        <v>6004086651</v>
      </c>
      <c r="C179" s="183" t="str">
        <f>IFERROR(IF(VLOOKUP($B179,勘定科目!$A:$H,HLOOKUP($E$5,勘定科目!$F$1:$H$2,2,0),0)="","",VLOOKUP($B179,勘定科目!$A:$E,2,0)),"")</f>
        <v>福利厚生費（一般）</v>
      </c>
      <c r="D179" s="234" t="str">
        <f>IF(C179="","",VLOOKUP($B179,勘定科目!$A:$E,4,0))</f>
        <v>福利厚生費</v>
      </c>
      <c r="E179" s="240" t="s">
        <v>917</v>
      </c>
      <c r="F179" s="194"/>
      <c r="G179" s="242"/>
      <c r="H179" s="242"/>
      <c r="I179" s="242"/>
      <c r="J179" s="291"/>
      <c r="K179" s="291"/>
      <c r="L179" s="291"/>
      <c r="M179" s="291"/>
      <c r="N179" s="291"/>
      <c r="O179" s="291"/>
      <c r="P179" s="291"/>
      <c r="Q179" s="291"/>
      <c r="R179" s="291">
        <f t="shared" si="23"/>
        <v>0</v>
      </c>
      <c r="S179" s="201" t="s">
        <v>817</v>
      </c>
      <c r="T179" s="202"/>
      <c r="U179" s="241"/>
      <c r="V179" s="241"/>
      <c r="W179" s="241"/>
      <c r="BA179"/>
      <c r="BB179"/>
    </row>
    <row r="180" spans="1:54" s="191" customFormat="1" ht="13">
      <c r="A180" s="224"/>
      <c r="B180" s="180">
        <v>6004086651</v>
      </c>
      <c r="C180" s="183" t="str">
        <f>IFERROR(IF(VLOOKUP($B180,勘定科目!$A:$H,HLOOKUP($E$5,勘定科目!$F$1:$H$2,2,0),0)="","",VLOOKUP($B180,勘定科目!$A:$E,2,0)),"")</f>
        <v>福利厚生費（一般）</v>
      </c>
      <c r="D180" s="234" t="str">
        <f>IF(C180="","",VLOOKUP($B180,勘定科目!$A:$E,4,0))</f>
        <v>福利厚生費</v>
      </c>
      <c r="E180" s="240" t="s">
        <v>917</v>
      </c>
      <c r="F180" s="194"/>
      <c r="G180" s="242"/>
      <c r="H180" s="242"/>
      <c r="I180" s="242"/>
      <c r="J180" s="291"/>
      <c r="K180" s="291"/>
      <c r="L180" s="291"/>
      <c r="M180" s="291"/>
      <c r="N180" s="291"/>
      <c r="O180" s="291"/>
      <c r="P180" s="291"/>
      <c r="Q180" s="291"/>
      <c r="R180" s="291">
        <f t="shared" si="23"/>
        <v>0</v>
      </c>
      <c r="S180" s="201" t="s">
        <v>818</v>
      </c>
      <c r="T180" s="202"/>
      <c r="U180" s="241"/>
      <c r="V180" s="241"/>
      <c r="W180" s="241"/>
      <c r="BA180"/>
      <c r="BB180"/>
    </row>
    <row r="181" spans="1:54" s="191" customFormat="1" ht="13">
      <c r="A181" s="224"/>
      <c r="B181" s="180">
        <v>6004086651</v>
      </c>
      <c r="C181" s="183" t="str">
        <f>IFERROR(IF(VLOOKUP($B181,勘定科目!$A:$H,HLOOKUP($E$5,勘定科目!$F$1:$H$2,2,0),0)="","",VLOOKUP($B181,勘定科目!$A:$E,2,0)),"")</f>
        <v>福利厚生費（一般）</v>
      </c>
      <c r="D181" s="234" t="str">
        <f>IF(C181="","",VLOOKUP($B181,勘定科目!$A:$E,4,0))</f>
        <v>福利厚生費</v>
      </c>
      <c r="E181" s="240" t="s">
        <v>917</v>
      </c>
      <c r="F181" s="194"/>
      <c r="G181" s="242"/>
      <c r="H181" s="242"/>
      <c r="I181" s="242"/>
      <c r="J181" s="291"/>
      <c r="K181" s="291"/>
      <c r="L181" s="291"/>
      <c r="M181" s="291"/>
      <c r="N181" s="291"/>
      <c r="O181" s="291"/>
      <c r="P181" s="291"/>
      <c r="Q181" s="291"/>
      <c r="R181" s="291">
        <f t="shared" si="23"/>
        <v>0</v>
      </c>
      <c r="S181" s="201" t="s">
        <v>931</v>
      </c>
      <c r="T181" s="202"/>
      <c r="U181" s="241"/>
      <c r="V181" s="241"/>
      <c r="W181" s="241"/>
      <c r="BA181"/>
      <c r="BB181"/>
    </row>
    <row r="182" spans="1:54" s="191" customFormat="1" ht="13">
      <c r="A182" s="224"/>
      <c r="B182" s="180">
        <v>6004086651</v>
      </c>
      <c r="C182" s="183" t="str">
        <f>IFERROR(IF(VLOOKUP($B182,勘定科目!$A:$H,HLOOKUP($E$5,勘定科目!$F$1:$H$2,2,0),0)="","",VLOOKUP($B182,勘定科目!$A:$E,2,0)),"")</f>
        <v>福利厚生費（一般）</v>
      </c>
      <c r="D182" s="234" t="str">
        <f>IF(C182="","",VLOOKUP($B182,勘定科目!$A:$E,4,0))</f>
        <v>福利厚生費</v>
      </c>
      <c r="E182" s="240" t="s">
        <v>917</v>
      </c>
      <c r="F182" s="299">
        <f>-SUM(F176:F181)</f>
        <v>-1575380000</v>
      </c>
      <c r="G182" s="299">
        <f t="shared" ref="G182:Q182" si="25">-SUM(G176:G181)</f>
        <v>-1804610000</v>
      </c>
      <c r="H182" s="299">
        <f t="shared" si="25"/>
        <v>-1575380000</v>
      </c>
      <c r="I182" s="299">
        <f t="shared" si="25"/>
        <v>-1804610000</v>
      </c>
      <c r="J182" s="299">
        <f t="shared" si="25"/>
        <v>-1986020000</v>
      </c>
      <c r="K182" s="299">
        <f t="shared" si="25"/>
        <v>-2062430000</v>
      </c>
      <c r="L182" s="299">
        <f t="shared" si="25"/>
        <v>-1628970000</v>
      </c>
      <c r="M182" s="299">
        <f t="shared" si="25"/>
        <v>-2011020000</v>
      </c>
      <c r="N182" s="299">
        <f t="shared" si="25"/>
        <v>-2011020000</v>
      </c>
      <c r="O182" s="299">
        <f t="shared" si="25"/>
        <v>-1964610000</v>
      </c>
      <c r="P182" s="299">
        <f t="shared" si="25"/>
        <v>-1898200000</v>
      </c>
      <c r="Q182" s="299">
        <f t="shared" si="25"/>
        <v>-1843200000</v>
      </c>
      <c r="R182" s="291">
        <f t="shared" si="23"/>
        <v>-22165450000</v>
      </c>
      <c r="S182" s="201" t="s">
        <v>819</v>
      </c>
      <c r="T182" s="202"/>
      <c r="U182" s="241"/>
      <c r="V182" s="241"/>
      <c r="W182" s="241"/>
      <c r="BA182"/>
      <c r="BB182"/>
    </row>
    <row r="183" spans="1:54" s="191" customFormat="1" ht="13">
      <c r="A183" s="224"/>
      <c r="B183" s="180">
        <v>6004086651</v>
      </c>
      <c r="C183" s="183" t="str">
        <f>IFERROR(IF(VLOOKUP($B183,勘定科目!$A:$H,HLOOKUP($E$5,勘定科目!$F$1:$H$2,2,0),0)="","",VLOOKUP($B183,勘定科目!$A:$E,2,0)),"")</f>
        <v>福利厚生費（一般）</v>
      </c>
      <c r="D183" s="234" t="str">
        <f>IF(C183="","",VLOOKUP($B183,勘定科目!$A:$E,4,0))</f>
        <v>福利厚生費</v>
      </c>
      <c r="E183" s="240" t="s">
        <v>912</v>
      </c>
      <c r="F183" s="291">
        <v>748000</v>
      </c>
      <c r="G183" s="298">
        <v>763266</v>
      </c>
      <c r="H183" s="298">
        <v>740817</v>
      </c>
      <c r="I183" s="298">
        <v>740817</v>
      </c>
      <c r="J183" s="291">
        <v>808164</v>
      </c>
      <c r="K183" s="291">
        <v>763266</v>
      </c>
      <c r="L183" s="291">
        <v>763266</v>
      </c>
      <c r="M183" s="291">
        <v>808164</v>
      </c>
      <c r="N183" s="291">
        <v>763266</v>
      </c>
      <c r="O183" s="291">
        <v>763266</v>
      </c>
      <c r="P183" s="291">
        <v>763266</v>
      </c>
      <c r="Q183" s="291">
        <v>477552</v>
      </c>
      <c r="R183" s="291">
        <f t="shared" si="23"/>
        <v>8903110</v>
      </c>
      <c r="S183" s="201" t="s">
        <v>820</v>
      </c>
      <c r="T183" s="202"/>
      <c r="U183" s="241"/>
      <c r="V183" s="241"/>
      <c r="W183" s="241"/>
      <c r="BA183"/>
      <c r="BB183"/>
    </row>
    <row r="184" spans="1:54" s="191" customFormat="1" ht="13">
      <c r="A184" s="224"/>
      <c r="B184" s="180">
        <v>6004086651</v>
      </c>
      <c r="C184" s="183" t="str">
        <f>IFERROR(IF(VLOOKUP($B184,勘定科目!$A:$H,HLOOKUP($E$5,勘定科目!$F$1:$H$2,2,0),0)="","",VLOOKUP($B184,勘定科目!$A:$E,2,0)),"")</f>
        <v>福利厚生費（一般）</v>
      </c>
      <c r="D184" s="234" t="str">
        <f>IF(C184="","",VLOOKUP($B184,勘定科目!$A:$E,4,0))</f>
        <v>福利厚生費</v>
      </c>
      <c r="E184" s="240" t="s">
        <v>912</v>
      </c>
      <c r="F184" s="291">
        <f>(1374678*4)+(303000*2)</f>
        <v>6104712</v>
      </c>
      <c r="G184" s="298">
        <f>(1586747*4)+(303000*2)</f>
        <v>6952988</v>
      </c>
      <c r="H184" s="298">
        <f>(1418477*4)+(303000*2)</f>
        <v>6279908</v>
      </c>
      <c r="I184" s="298">
        <f>(1487463*4)+(303000*2)</f>
        <v>6555852</v>
      </c>
      <c r="J184" s="291">
        <f>(1588334*4)+(303000*2)</f>
        <v>6959336</v>
      </c>
      <c r="K184" s="291">
        <f>(1593513*4)+(303000*2)</f>
        <v>6980052</v>
      </c>
      <c r="L184" s="291">
        <f>(1194735*4)+(303000*2)</f>
        <v>5384940</v>
      </c>
      <c r="M184" s="291">
        <f>(1452617*4)+(303000*2)</f>
        <v>6416468</v>
      </c>
      <c r="N184" s="291">
        <f>(1465592*4)+(303000*2)</f>
        <v>6468368</v>
      </c>
      <c r="O184" s="291">
        <f>(1378925*4)+(303000*2)</f>
        <v>6121700</v>
      </c>
      <c r="P184" s="291">
        <f>(1253359*4)+(303000*2)</f>
        <v>5619436</v>
      </c>
      <c r="Q184" s="291">
        <f>(1296228*4)+(303000*2)</f>
        <v>5790912</v>
      </c>
      <c r="R184" s="291">
        <f t="shared" si="23"/>
        <v>75634672</v>
      </c>
      <c r="S184" s="201" t="s">
        <v>821</v>
      </c>
      <c r="T184" s="202"/>
      <c r="U184" s="241"/>
      <c r="V184" s="241"/>
      <c r="W184" s="241"/>
      <c r="BA184"/>
      <c r="BB184"/>
    </row>
    <row r="185" spans="1:54" s="191" customFormat="1" ht="13">
      <c r="A185" s="224"/>
      <c r="B185" s="180">
        <v>6004086651</v>
      </c>
      <c r="C185" s="183" t="str">
        <f>IFERROR(IF(VLOOKUP($B185,勘定科目!$A:$H,HLOOKUP($E$5,勘定科目!$F$1:$H$2,2,0),0)="","",VLOOKUP($B185,勘定科目!$A:$E,2,0)),"")</f>
        <v>福利厚生費（一般）</v>
      </c>
      <c r="D185" s="234" t="str">
        <f>IF(C185="","",VLOOKUP($B185,勘定科目!$A:$E,4,0))</f>
        <v>福利厚生費</v>
      </c>
      <c r="E185" s="240" t="s">
        <v>913</v>
      </c>
      <c r="F185" s="291">
        <v>5000000</v>
      </c>
      <c r="G185" s="291">
        <v>5000000</v>
      </c>
      <c r="H185" s="291">
        <v>5000000</v>
      </c>
      <c r="I185" s="291">
        <v>5000000</v>
      </c>
      <c r="J185" s="291">
        <v>5000000</v>
      </c>
      <c r="K185" s="291">
        <v>5000000</v>
      </c>
      <c r="L185" s="291">
        <v>5000000</v>
      </c>
      <c r="M185" s="291">
        <v>5000000</v>
      </c>
      <c r="N185" s="291">
        <v>5000000</v>
      </c>
      <c r="O185" s="291">
        <v>5000000</v>
      </c>
      <c r="P185" s="291">
        <v>5000000</v>
      </c>
      <c r="Q185" s="291">
        <v>5000000</v>
      </c>
      <c r="R185" s="291">
        <f t="shared" si="23"/>
        <v>60000000</v>
      </c>
      <c r="S185" s="201" t="s">
        <v>949</v>
      </c>
      <c r="T185" s="202"/>
      <c r="U185" s="241"/>
      <c r="V185" s="241"/>
      <c r="W185" s="241"/>
      <c r="BA185"/>
      <c r="BB185"/>
    </row>
    <row r="186" spans="1:54" s="191" customFormat="1" ht="13">
      <c r="A186" s="224"/>
      <c r="B186" s="180">
        <v>6004086651</v>
      </c>
      <c r="C186" s="183" t="str">
        <f>IFERROR(IF(VLOOKUP($B186,勘定科目!$A:$H,HLOOKUP($E$5,勘定科目!$F$1:$H$2,2,0),0)="","",VLOOKUP($B186,勘定科目!$A:$E,2,0)),"")</f>
        <v>福利厚生費（一般）</v>
      </c>
      <c r="D186" s="234" t="str">
        <f>IF(C186="","",VLOOKUP($B186,勘定科目!$A:$E,4,0))</f>
        <v>福利厚生費</v>
      </c>
      <c r="E186" s="240" t="s">
        <v>913</v>
      </c>
      <c r="F186" s="291">
        <f t="shared" ref="F186:Q186" ca="1" si="26">F1*F2*200</f>
        <v>23188000</v>
      </c>
      <c r="G186" s="291">
        <f t="shared" ca="1" si="26"/>
        <v>21861400</v>
      </c>
      <c r="H186" s="291">
        <f t="shared" ca="1" si="26"/>
        <v>23595600</v>
      </c>
      <c r="I186" s="291">
        <f t="shared" ca="1" si="26"/>
        <v>28230200</v>
      </c>
      <c r="J186" s="291">
        <f t="shared" ca="1" si="26"/>
        <v>25300000</v>
      </c>
      <c r="K186" s="291">
        <f t="shared" ca="1" si="26"/>
        <v>24878600</v>
      </c>
      <c r="L186" s="291">
        <f t="shared" ca="1" si="26"/>
        <v>31726200</v>
      </c>
      <c r="M186" s="291">
        <f t="shared" ca="1" si="26"/>
        <v>28012000</v>
      </c>
      <c r="N186" s="291">
        <f t="shared" ca="1" si="26"/>
        <v>30540400</v>
      </c>
      <c r="O186" s="291">
        <f t="shared" ca="1" si="26"/>
        <v>28828000</v>
      </c>
      <c r="P186" s="291">
        <f t="shared" ca="1" si="26"/>
        <v>22983000</v>
      </c>
      <c r="Q186" s="291">
        <f t="shared" ca="1" si="26"/>
        <v>28772000</v>
      </c>
      <c r="R186" s="291">
        <f t="shared" ca="1" si="23"/>
        <v>317915400</v>
      </c>
      <c r="S186" s="201" t="s">
        <v>822</v>
      </c>
      <c r="T186" s="202"/>
      <c r="U186" s="241"/>
      <c r="V186" s="241"/>
      <c r="W186" s="241"/>
      <c r="BA186"/>
      <c r="BB186"/>
    </row>
    <row r="187" spans="1:54" s="191" customFormat="1" ht="13">
      <c r="A187" s="224"/>
      <c r="B187" s="180">
        <v>6004086651</v>
      </c>
      <c r="C187" s="183" t="str">
        <f>IFERROR(IF(VLOOKUP($B187,勘定科目!$A:$H,HLOOKUP($E$5,勘定科目!$F$1:$H$2,2,0),0)="","",VLOOKUP($B187,勘定科目!$A:$E,2,0)),"")</f>
        <v>福利厚生費（一般）</v>
      </c>
      <c r="D187" s="234" t="str">
        <f>IF(C187="","",VLOOKUP($B187,勘定科目!$A:$E,4,0))</f>
        <v>福利厚生費</v>
      </c>
      <c r="E187" s="240" t="s">
        <v>911</v>
      </c>
      <c r="F187" s="298">
        <f>(13194+3084)*165000</f>
        <v>2685870000</v>
      </c>
      <c r="G187" s="298"/>
      <c r="H187" s="298"/>
      <c r="I187" s="298">
        <f>(165000*519)</f>
        <v>85635000</v>
      </c>
      <c r="J187" s="298">
        <f>(165000*2*188)+(80*165000)</f>
        <v>75240000</v>
      </c>
      <c r="K187" s="298">
        <f>(165000*2*222)+(80*165000)</f>
        <v>86460000</v>
      </c>
      <c r="L187" s="298">
        <f>(165000*245*2)+(80*165000)</f>
        <v>94050000</v>
      </c>
      <c r="M187" s="298">
        <f>(165000*2*106)+(80*165000)</f>
        <v>48180000</v>
      </c>
      <c r="N187" s="298">
        <f>(100*165000)</f>
        <v>16500000</v>
      </c>
      <c r="O187" s="298">
        <f>165000*150</f>
        <v>24750000</v>
      </c>
      <c r="P187" s="298">
        <f>(165000*2*500)</f>
        <v>165000000</v>
      </c>
      <c r="Q187" s="298">
        <f>165000*100</f>
        <v>16500000</v>
      </c>
      <c r="R187" s="291">
        <f t="shared" si="23"/>
        <v>3298185000</v>
      </c>
      <c r="S187" s="201" t="s">
        <v>934</v>
      </c>
      <c r="T187" s="202"/>
      <c r="U187" s="241"/>
      <c r="V187" s="241"/>
      <c r="W187" s="241"/>
      <c r="BA187"/>
      <c r="BB187"/>
    </row>
    <row r="188" spans="1:54" s="191" customFormat="1" ht="13">
      <c r="A188" s="224"/>
      <c r="B188" s="180">
        <v>6004086651</v>
      </c>
      <c r="C188" s="183" t="str">
        <f>IFERROR(IF(VLOOKUP($B188,勘定科目!$A:$H,HLOOKUP($E$5,勘定科目!$F$1:$H$2,2,0),0)="","",VLOOKUP($B188,勘定科目!$A:$E,2,0)),"")</f>
        <v>福利厚生費（一般）</v>
      </c>
      <c r="D188" s="234" t="str">
        <f>IF(C188="","",VLOOKUP($B188,勘定科目!$A:$E,4,0))</f>
        <v>福利厚生費</v>
      </c>
      <c r="E188" s="240" t="s">
        <v>911</v>
      </c>
      <c r="F188" s="298">
        <f>(13194+1084)*175000</f>
        <v>2498650000</v>
      </c>
      <c r="G188" s="298"/>
      <c r="H188" s="298"/>
      <c r="I188" s="298"/>
      <c r="J188" s="298"/>
      <c r="K188" s="298"/>
      <c r="L188" s="298">
        <f>(175000*896)</f>
        <v>156800000</v>
      </c>
      <c r="M188" s="298">
        <f>(175000*2*106)+(175000*80)</f>
        <v>51100000</v>
      </c>
      <c r="N188" s="298">
        <f>(175000*100)</f>
        <v>17500000</v>
      </c>
      <c r="O188" s="298">
        <f>(175000*2*266)+(175000*80)</f>
        <v>107100000</v>
      </c>
      <c r="P188" s="298">
        <f>(175000*454)</f>
        <v>79450000</v>
      </c>
      <c r="Q188" s="298">
        <f>175000*100</f>
        <v>17500000</v>
      </c>
      <c r="R188" s="291">
        <f t="shared" si="23"/>
        <v>2928100000</v>
      </c>
      <c r="S188" s="201" t="s">
        <v>935</v>
      </c>
      <c r="T188" s="202"/>
      <c r="U188" s="241"/>
      <c r="V188" s="241"/>
      <c r="W188" s="241"/>
      <c r="BA188"/>
      <c r="BB188"/>
    </row>
    <row r="189" spans="1:54" s="191" customFormat="1" ht="13">
      <c r="A189" s="224"/>
      <c r="B189" s="180">
        <v>6004086651</v>
      </c>
      <c r="C189" s="183" t="str">
        <f>IFERROR(IF(VLOOKUP($B189,勘定科目!$A:$H,HLOOKUP($E$5,勘定科目!$F$1:$H$2,2,0),0)="","",VLOOKUP($B189,勘定科目!$A:$E,2,0)),"")</f>
        <v>福利厚生費（一般）</v>
      </c>
      <c r="D189" s="234" t="str">
        <f>IF(C189="","",VLOOKUP($B189,勘定科目!$A:$E,4,0))</f>
        <v>福利厚生費</v>
      </c>
      <c r="E189" s="240" t="s">
        <v>911</v>
      </c>
      <c r="F189" s="298">
        <f>116000*500</f>
        <v>58000000</v>
      </c>
      <c r="G189" s="298"/>
      <c r="H189" s="298">
        <f>116000*210</f>
        <v>24360000</v>
      </c>
      <c r="I189" s="298">
        <f>(116000*519*2)</f>
        <v>120408000</v>
      </c>
      <c r="J189" s="298">
        <f>(116000*188*2)+(116000*210)</f>
        <v>67976000</v>
      </c>
      <c r="K189" s="298">
        <f>(116000*222*2)+(116000*210)</f>
        <v>75864000</v>
      </c>
      <c r="L189" s="298">
        <f>(116000*350*2)</f>
        <v>81200000</v>
      </c>
      <c r="M189" s="298">
        <f>(116000*106*2)+(116000*210)</f>
        <v>48952000</v>
      </c>
      <c r="N189" s="298">
        <f>(116000*250)</f>
        <v>29000000</v>
      </c>
      <c r="O189" s="298">
        <f>(116000*266*2)+(116000*210)</f>
        <v>86072000</v>
      </c>
      <c r="P189" s="298">
        <f>(116000*454*2)+(116000*210)</f>
        <v>129688000</v>
      </c>
      <c r="Q189" s="298">
        <f>(116000*210)</f>
        <v>24360000</v>
      </c>
      <c r="R189" s="291">
        <f t="shared" si="23"/>
        <v>745880000</v>
      </c>
      <c r="S189" s="201" t="s">
        <v>823</v>
      </c>
      <c r="T189" s="202"/>
      <c r="U189" s="241"/>
      <c r="V189" s="241"/>
      <c r="W189" s="241"/>
      <c r="BA189"/>
      <c r="BB189"/>
    </row>
    <row r="190" spans="1:54" s="191" customFormat="1" ht="13">
      <c r="A190" s="224"/>
      <c r="B190" s="180">
        <v>6004086651</v>
      </c>
      <c r="C190" s="183" t="str">
        <f>IFERROR(IF(VLOOKUP($B190,勘定科目!$A:$H,HLOOKUP($E$5,勘定科目!$F$1:$H$2,2,0),0)="","",VLOOKUP($B190,勘定科目!$A:$E,2,0)),"")</f>
        <v>福利厚生費（一般）</v>
      </c>
      <c r="D190" s="234" t="str">
        <f>IF(C190="","",VLOOKUP($B190,勘定科目!$A:$E,4,0))</f>
        <v>福利厚生費</v>
      </c>
      <c r="E190" s="240" t="s">
        <v>911</v>
      </c>
      <c r="F190" s="298">
        <f>124500*50</f>
        <v>6225000</v>
      </c>
      <c r="G190" s="298">
        <f>124500*60</f>
        <v>7470000</v>
      </c>
      <c r="H190" s="298">
        <f t="shared" ref="H190:Q190" si="27">124500*50</f>
        <v>6225000</v>
      </c>
      <c r="I190" s="298">
        <f>124500*60</f>
        <v>7470000</v>
      </c>
      <c r="J190" s="298">
        <f t="shared" si="27"/>
        <v>6225000</v>
      </c>
      <c r="K190" s="298">
        <f>124500*60</f>
        <v>7470000</v>
      </c>
      <c r="L190" s="298">
        <f t="shared" si="27"/>
        <v>6225000</v>
      </c>
      <c r="M190" s="298">
        <f>124500*60</f>
        <v>7470000</v>
      </c>
      <c r="N190" s="298">
        <f t="shared" si="27"/>
        <v>6225000</v>
      </c>
      <c r="O190" s="298">
        <f>124500*60</f>
        <v>7470000</v>
      </c>
      <c r="P190" s="298">
        <f t="shared" si="27"/>
        <v>6225000</v>
      </c>
      <c r="Q190" s="298">
        <f t="shared" si="27"/>
        <v>6225000</v>
      </c>
      <c r="R190" s="291">
        <f t="shared" si="23"/>
        <v>80925000</v>
      </c>
      <c r="S190" s="201" t="s">
        <v>824</v>
      </c>
      <c r="T190" s="202"/>
      <c r="U190" s="241"/>
      <c r="V190" s="241"/>
      <c r="W190" s="241"/>
      <c r="BA190"/>
      <c r="BB190"/>
    </row>
    <row r="191" spans="1:54" s="191" customFormat="1" ht="13">
      <c r="A191" s="224"/>
      <c r="B191" s="180">
        <v>6004086651</v>
      </c>
      <c r="C191" s="183" t="str">
        <f>IFERROR(IF(VLOOKUP($B191,勘定科目!$A:$H,HLOOKUP($E$5,勘定科目!$F$1:$H$2,2,0),0)="","",VLOOKUP($B191,勘定科目!$A:$E,2,0)),"")</f>
        <v>福利厚生費（一般）</v>
      </c>
      <c r="D191" s="234" t="str">
        <f>IF(C191="","",VLOOKUP($B191,勘定科目!$A:$E,4,0))</f>
        <v>福利厚生費</v>
      </c>
      <c r="E191" s="240" t="s">
        <v>911</v>
      </c>
      <c r="F191" s="298">
        <f>33500*400</f>
        <v>13400000</v>
      </c>
      <c r="G191" s="298">
        <f>(33500*100)</f>
        <v>3350000</v>
      </c>
      <c r="H191" s="298">
        <f t="shared" ref="H191:Q191" si="28">(33500*100)</f>
        <v>3350000</v>
      </c>
      <c r="I191" s="298">
        <f>(33500*519*2)+(33500*100)</f>
        <v>38123000</v>
      </c>
      <c r="J191" s="298">
        <f>(33500*188*2)+(33500*100)</f>
        <v>15946000</v>
      </c>
      <c r="K191" s="298">
        <f>(33500*222*2)+(33500*100)</f>
        <v>18224000</v>
      </c>
      <c r="L191" s="298">
        <f>(33500*350*2)+(33500*100)</f>
        <v>26800000</v>
      </c>
      <c r="M191" s="298">
        <f>(33500*106*2)+(33500*100)</f>
        <v>10452000</v>
      </c>
      <c r="N191" s="298">
        <f t="shared" si="28"/>
        <v>3350000</v>
      </c>
      <c r="O191" s="298">
        <f>(33500*266*2)+(33500*100)</f>
        <v>21172000</v>
      </c>
      <c r="P191" s="298">
        <f>(33500*454*2)+(33500*100)</f>
        <v>33768000</v>
      </c>
      <c r="Q191" s="298">
        <f t="shared" si="28"/>
        <v>3350000</v>
      </c>
      <c r="R191" s="291">
        <f t="shared" si="23"/>
        <v>191285000</v>
      </c>
      <c r="S191" s="201" t="s">
        <v>825</v>
      </c>
      <c r="T191" s="202"/>
      <c r="U191" s="241"/>
      <c r="V191" s="241"/>
      <c r="W191" s="241"/>
      <c r="BA191"/>
      <c r="BB191"/>
    </row>
    <row r="192" spans="1:54" s="191" customFormat="1" ht="13">
      <c r="A192" s="224"/>
      <c r="B192" s="180">
        <v>6004086651</v>
      </c>
      <c r="C192" s="183" t="str">
        <f>IFERROR(IF(VLOOKUP($B192,勘定科目!$A:$H,HLOOKUP($E$5,勘定科目!$F$1:$H$2,2,0),0)="","",VLOOKUP($B192,勘定科目!$A:$E,2,0)),"")</f>
        <v>福利厚生費（一般）</v>
      </c>
      <c r="D192" s="234" t="str">
        <f>IF(C192="","",VLOOKUP($B192,勘定科目!$A:$E,4,0))</f>
        <v>福利厚生費</v>
      </c>
      <c r="E192" s="240" t="s">
        <v>911</v>
      </c>
      <c r="F192" s="298">
        <f>39000*50</f>
        <v>1950000</v>
      </c>
      <c r="G192" s="298">
        <f>39000*56</f>
        <v>2184000</v>
      </c>
      <c r="H192" s="298">
        <f>39000*200</f>
        <v>7800000</v>
      </c>
      <c r="I192" s="298">
        <f>39000*55</f>
        <v>2145000</v>
      </c>
      <c r="J192" s="298">
        <f>39000*60</f>
        <v>2340000</v>
      </c>
      <c r="K192" s="298">
        <f>39000*58</f>
        <v>2262000</v>
      </c>
      <c r="L192" s="298">
        <f>39000*52</f>
        <v>2028000</v>
      </c>
      <c r="M192" s="298">
        <f>39000*50</f>
        <v>1950000</v>
      </c>
      <c r="N192" s="298">
        <f>39000*52</f>
        <v>2028000</v>
      </c>
      <c r="O192" s="298">
        <f>39000*200</f>
        <v>7800000</v>
      </c>
      <c r="P192" s="298">
        <f>3900076</f>
        <v>3900076</v>
      </c>
      <c r="Q192" s="298">
        <f>39000*52</f>
        <v>2028000</v>
      </c>
      <c r="R192" s="291">
        <f t="shared" si="23"/>
        <v>38415076</v>
      </c>
      <c r="S192" s="201" t="s">
        <v>826</v>
      </c>
      <c r="T192" s="202"/>
      <c r="U192" s="241"/>
      <c r="V192" s="241"/>
      <c r="W192" s="241"/>
      <c r="BA192"/>
      <c r="BB192"/>
    </row>
    <row r="193" spans="1:54" s="191" customFormat="1" ht="13">
      <c r="A193" s="224"/>
      <c r="B193" s="180">
        <v>6004086651</v>
      </c>
      <c r="C193" s="183" t="str">
        <f>IFERROR(IF(VLOOKUP($B193,勘定科目!$A:$H,HLOOKUP($E$5,勘定科目!$F$1:$H$2,2,0),0)="","",VLOOKUP($B193,勘定科目!$A:$E,2,0)),"")</f>
        <v>福利厚生費（一般）</v>
      </c>
      <c r="D193" s="234" t="str">
        <f>IF(C193="","",VLOOKUP($B193,勘定科目!$A:$E,4,0))</f>
        <v>福利厚生費</v>
      </c>
      <c r="E193" s="240" t="s">
        <v>911</v>
      </c>
      <c r="F193" s="298">
        <f>47000*2</f>
        <v>94000</v>
      </c>
      <c r="G193" s="298">
        <f>47000*4</f>
        <v>188000</v>
      </c>
      <c r="H193" s="298">
        <f>47000*2</f>
        <v>94000</v>
      </c>
      <c r="I193" s="298">
        <f>47000*4</f>
        <v>188000</v>
      </c>
      <c r="J193" s="298">
        <f>47000*2</f>
        <v>94000</v>
      </c>
      <c r="K193" s="298">
        <f>47000*4</f>
        <v>188000</v>
      </c>
      <c r="L193" s="298">
        <f>47000*2</f>
        <v>94000</v>
      </c>
      <c r="M193" s="298">
        <f>47000*4</f>
        <v>188000</v>
      </c>
      <c r="N193" s="298">
        <f>47000*2</f>
        <v>94000</v>
      </c>
      <c r="O193" s="298">
        <f>47000*4</f>
        <v>188000</v>
      </c>
      <c r="P193" s="298">
        <f>47000*2</f>
        <v>94000</v>
      </c>
      <c r="Q193" s="298">
        <f>47000*4</f>
        <v>188000</v>
      </c>
      <c r="R193" s="291">
        <f t="shared" si="23"/>
        <v>1692000</v>
      </c>
      <c r="S193" s="201" t="s">
        <v>827</v>
      </c>
      <c r="T193" s="202"/>
      <c r="U193" s="241"/>
      <c r="V193" s="241"/>
      <c r="W193" s="241"/>
      <c r="BA193"/>
      <c r="BB193"/>
    </row>
    <row r="194" spans="1:54" s="191" customFormat="1" ht="13">
      <c r="A194" s="224"/>
      <c r="B194" s="180">
        <v>6004086651</v>
      </c>
      <c r="C194" s="183" t="str">
        <f>IFERROR(IF(VLOOKUP($B194,勘定科目!$A:$H,HLOOKUP($E$5,勘定科目!$F$1:$H$2,2,0),0)="","",VLOOKUP($B194,勘定科目!$A:$E,2,0)),"")</f>
        <v>福利厚生費（一般）</v>
      </c>
      <c r="D194" s="234" t="str">
        <f>IF(C194="","",VLOOKUP($B194,勘定科目!$A:$E,4,0))</f>
        <v>福利厚生費</v>
      </c>
      <c r="E194" s="240" t="s">
        <v>911</v>
      </c>
      <c r="F194" s="298">
        <f>82000*200</f>
        <v>16400000</v>
      </c>
      <c r="G194" s="298">
        <f>82000*100</f>
        <v>8200000</v>
      </c>
      <c r="H194" s="298">
        <f>82000*100</f>
        <v>8200000</v>
      </c>
      <c r="I194" s="298">
        <f>(82000*100)+(82000*260)</f>
        <v>29520000</v>
      </c>
      <c r="J194" s="298">
        <f>(82000*100)+(82000*94)</f>
        <v>15908000</v>
      </c>
      <c r="K194" s="298">
        <f>(82000*100)+(82000*111)</f>
        <v>17302000</v>
      </c>
      <c r="L194" s="298">
        <f>(82000*100)+(82000*175)</f>
        <v>22550000</v>
      </c>
      <c r="M194" s="298">
        <f>(82000*100)+(82000*53)</f>
        <v>12546000</v>
      </c>
      <c r="N194" s="298">
        <f>(82000*100)</f>
        <v>8200000</v>
      </c>
      <c r="O194" s="298">
        <f>(82000*100)+(82000*133)</f>
        <v>19106000</v>
      </c>
      <c r="P194" s="298">
        <f>(82000*100)+(82000*227)</f>
        <v>26814000</v>
      </c>
      <c r="Q194" s="298">
        <f>(82000*100)</f>
        <v>8200000</v>
      </c>
      <c r="R194" s="291">
        <f t="shared" si="23"/>
        <v>192946000</v>
      </c>
      <c r="S194" s="201" t="s">
        <v>828</v>
      </c>
      <c r="T194" s="202"/>
      <c r="U194" s="241"/>
      <c r="V194" s="241"/>
      <c r="W194" s="241"/>
      <c r="BA194"/>
      <c r="BB194"/>
    </row>
    <row r="195" spans="1:54" s="191" customFormat="1" ht="13">
      <c r="A195" s="224"/>
      <c r="B195" s="180">
        <v>6004086651</v>
      </c>
      <c r="C195" s="183" t="str">
        <f>IFERROR(IF(VLOOKUP($B195,勘定科目!$A:$H,HLOOKUP($E$5,勘定科目!$F$1:$H$2,2,0),0)="","",VLOOKUP($B195,勘定科目!$A:$E,2,0)),"")</f>
        <v>福利厚生費（一般）</v>
      </c>
      <c r="D195" s="234" t="str">
        <f>IF(C195="","",VLOOKUP($B195,勘定科目!$A:$E,4,0))</f>
        <v>福利厚生費</v>
      </c>
      <c r="E195" s="240" t="s">
        <v>911</v>
      </c>
      <c r="F195" s="298">
        <f>84000*200</f>
        <v>16800000</v>
      </c>
      <c r="G195" s="298">
        <f>84000*100</f>
        <v>8400000</v>
      </c>
      <c r="H195" s="298">
        <f>84000*100</f>
        <v>8400000</v>
      </c>
      <c r="I195" s="298">
        <f>(84000*70+84000*260)</f>
        <v>27720000</v>
      </c>
      <c r="J195" s="298">
        <f>(84000*70+84000*94)</f>
        <v>13776000</v>
      </c>
      <c r="K195" s="298">
        <f>(84000*70+84000*111)</f>
        <v>15204000</v>
      </c>
      <c r="L195" s="298">
        <f>(84000*70+84000*175)</f>
        <v>20580000</v>
      </c>
      <c r="M195" s="298">
        <f>(84000*70+84000*53)</f>
        <v>10332000</v>
      </c>
      <c r="N195" s="298">
        <f>(84000*70)</f>
        <v>5880000</v>
      </c>
      <c r="O195" s="298">
        <f>(84000*70+84000*133)</f>
        <v>17052000</v>
      </c>
      <c r="P195" s="298">
        <f>(84000*70+84000*227)</f>
        <v>24948000</v>
      </c>
      <c r="Q195" s="298">
        <f>(84000*70)</f>
        <v>5880000</v>
      </c>
      <c r="R195" s="291">
        <f t="shared" si="23"/>
        <v>174972000</v>
      </c>
      <c r="S195" s="201" t="s">
        <v>829</v>
      </c>
      <c r="T195" s="202"/>
      <c r="U195" s="241"/>
      <c r="V195" s="241"/>
      <c r="W195" s="241"/>
      <c r="BA195"/>
      <c r="BB195"/>
    </row>
    <row r="196" spans="1:54" s="191" customFormat="1" ht="13">
      <c r="A196" s="224"/>
      <c r="B196" s="180">
        <v>6004086651</v>
      </c>
      <c r="C196" s="183" t="str">
        <f>IFERROR(IF(VLOOKUP($B196,勘定科目!$A:$H,HLOOKUP($E$5,勘定科目!$F$1:$H$2,2,0),0)="","",VLOOKUP($B196,勘定科目!$A:$E,2,0)),"")</f>
        <v>福利厚生費（一般）</v>
      </c>
      <c r="D196" s="234" t="str">
        <f>IF(C196="","",VLOOKUP($B196,勘定科目!$A:$E,4,0))</f>
        <v>福利厚生費</v>
      </c>
      <c r="E196" s="240" t="s">
        <v>911</v>
      </c>
      <c r="F196" s="298">
        <f>410000*20+120000*10</f>
        <v>9400000</v>
      </c>
      <c r="G196" s="298">
        <f>410000+120000</f>
        <v>530000</v>
      </c>
      <c r="H196" s="298">
        <f t="shared" ref="H196:Q196" si="29">410000+120000</f>
        <v>530000</v>
      </c>
      <c r="I196" s="298">
        <f t="shared" si="29"/>
        <v>530000</v>
      </c>
      <c r="J196" s="298">
        <f t="shared" si="29"/>
        <v>530000</v>
      </c>
      <c r="K196" s="298">
        <f t="shared" si="29"/>
        <v>530000</v>
      </c>
      <c r="L196" s="298">
        <f t="shared" si="29"/>
        <v>530000</v>
      </c>
      <c r="M196" s="298">
        <f t="shared" si="29"/>
        <v>530000</v>
      </c>
      <c r="N196" s="298">
        <f t="shared" si="29"/>
        <v>530000</v>
      </c>
      <c r="O196" s="298">
        <f t="shared" si="29"/>
        <v>530000</v>
      </c>
      <c r="P196" s="298">
        <f t="shared" si="29"/>
        <v>530000</v>
      </c>
      <c r="Q196" s="298">
        <f t="shared" si="29"/>
        <v>530000</v>
      </c>
      <c r="R196" s="291">
        <f t="shared" si="23"/>
        <v>15230000</v>
      </c>
      <c r="S196" s="201" t="s">
        <v>830</v>
      </c>
      <c r="T196" s="202"/>
      <c r="U196" s="241"/>
      <c r="V196" s="241"/>
      <c r="W196" s="241"/>
      <c r="BA196"/>
      <c r="BB196"/>
    </row>
    <row r="197" spans="1:54" s="191" customFormat="1" ht="13">
      <c r="A197" s="224"/>
      <c r="B197" s="180">
        <v>6004086651</v>
      </c>
      <c r="C197" s="183" t="str">
        <f>IFERROR(IF(VLOOKUP($B197,勘定科目!$A:$H,HLOOKUP($E$5,勘定科目!$F$1:$H$2,2,0),0)="","",VLOOKUP($B197,勘定科目!$A:$E,2,0)),"")</f>
        <v>福利厚生費（一般）</v>
      </c>
      <c r="D197" s="234" t="str">
        <f>IF(C197="","",VLOOKUP($B197,勘定科目!$A:$E,4,0))</f>
        <v>福利厚生費</v>
      </c>
      <c r="E197" s="240" t="s">
        <v>911</v>
      </c>
      <c r="F197" s="298">
        <f>139000*2+240000*5</f>
        <v>1478000</v>
      </c>
      <c r="G197" s="298">
        <f>139000*10</f>
        <v>1390000</v>
      </c>
      <c r="H197" s="298">
        <f>139000*5+240000*2</f>
        <v>1175000</v>
      </c>
      <c r="I197" s="298">
        <f t="shared" ref="I197:Q197" si="30">139000*10</f>
        <v>1390000</v>
      </c>
      <c r="J197" s="298">
        <f>139000*5+240000*2</f>
        <v>1175000</v>
      </c>
      <c r="K197" s="298">
        <f t="shared" si="30"/>
        <v>1390000</v>
      </c>
      <c r="L197" s="298">
        <f>139000*5+240000*2</f>
        <v>1175000</v>
      </c>
      <c r="M197" s="298">
        <f t="shared" si="30"/>
        <v>1390000</v>
      </c>
      <c r="N197" s="298">
        <f>139000*5+240000*2</f>
        <v>1175000</v>
      </c>
      <c r="O197" s="298">
        <f>(139000*10)+(139000*16)</f>
        <v>3614000</v>
      </c>
      <c r="P197" s="298">
        <f>139000*5+240000*2+(139000*15)</f>
        <v>3260000</v>
      </c>
      <c r="Q197" s="298">
        <f t="shared" si="30"/>
        <v>1390000</v>
      </c>
      <c r="R197" s="291">
        <f t="shared" si="23"/>
        <v>20002000</v>
      </c>
      <c r="S197" s="201" t="s">
        <v>831</v>
      </c>
      <c r="T197" s="202"/>
      <c r="U197" s="241"/>
      <c r="V197" s="241"/>
      <c r="W197" s="241"/>
      <c r="BA197"/>
      <c r="BB197"/>
    </row>
    <row r="198" spans="1:54" s="191" customFormat="1" ht="13">
      <c r="A198" s="224"/>
      <c r="B198" s="180">
        <v>6004086651</v>
      </c>
      <c r="C198" s="183" t="str">
        <f>IFERROR(IF(VLOOKUP($B198,勘定科目!$A:$H,HLOOKUP($E$5,勘定科目!$F$1:$H$2,2,0),0)="","",VLOOKUP($B198,勘定科目!$A:$E,2,0)),"")</f>
        <v>福利厚生費（一般）</v>
      </c>
      <c r="D198" s="234" t="str">
        <f>IF(C198="","",VLOOKUP($B198,勘定科目!$A:$E,4,0))</f>
        <v>福利厚生費</v>
      </c>
      <c r="E198" s="240" t="s">
        <v>911</v>
      </c>
      <c r="F198" s="298">
        <f>27000*30</f>
        <v>810000</v>
      </c>
      <c r="G198" s="298">
        <f>27000*20</f>
        <v>540000</v>
      </c>
      <c r="H198" s="298">
        <f>27000*30</f>
        <v>810000</v>
      </c>
      <c r="I198" s="298">
        <f t="shared" ref="I198:Q198" si="31">27000*20</f>
        <v>540000</v>
      </c>
      <c r="J198" s="298">
        <f>27000*30</f>
        <v>810000</v>
      </c>
      <c r="K198" s="298">
        <f t="shared" si="31"/>
        <v>540000</v>
      </c>
      <c r="L198" s="298">
        <f>27000*30</f>
        <v>810000</v>
      </c>
      <c r="M198" s="298">
        <f t="shared" si="31"/>
        <v>540000</v>
      </c>
      <c r="N198" s="298">
        <f>27000*30</f>
        <v>810000</v>
      </c>
      <c r="O198" s="298">
        <f t="shared" si="31"/>
        <v>540000</v>
      </c>
      <c r="P198" s="298">
        <f>27000*30</f>
        <v>810000</v>
      </c>
      <c r="Q198" s="298">
        <f t="shared" si="31"/>
        <v>540000</v>
      </c>
      <c r="R198" s="291">
        <f t="shared" si="23"/>
        <v>8100000</v>
      </c>
      <c r="S198" s="201" t="s">
        <v>832</v>
      </c>
      <c r="T198" s="202"/>
      <c r="U198" s="241"/>
      <c r="V198" s="241"/>
      <c r="W198" s="241"/>
      <c r="BA198"/>
      <c r="BB198"/>
    </row>
    <row r="199" spans="1:54" s="191" customFormat="1" ht="13">
      <c r="A199" s="224"/>
      <c r="B199" s="180">
        <v>6004086651</v>
      </c>
      <c r="C199" s="183" t="str">
        <f>IFERROR(IF(VLOOKUP($B199,勘定科目!$A:$H,HLOOKUP($E$5,勘定科目!$F$1:$H$2,2,0),0)="","",VLOOKUP($B199,勘定科目!$A:$E,2,0)),"")</f>
        <v>福利厚生費（一般）</v>
      </c>
      <c r="D199" s="234" t="str">
        <f>IF(C199="","",VLOOKUP($B199,勘定科目!$A:$E,4,0))</f>
        <v>福利厚生費</v>
      </c>
      <c r="E199" s="240" t="s">
        <v>911</v>
      </c>
      <c r="F199" s="299"/>
      <c r="G199" s="298">
        <f>250500*2</f>
        <v>501000</v>
      </c>
      <c r="H199" s="298"/>
      <c r="I199" s="298"/>
      <c r="J199" s="298">
        <f>250500*2</f>
        <v>501000</v>
      </c>
      <c r="K199" s="298"/>
      <c r="L199" s="298"/>
      <c r="M199" s="298">
        <f>250500*2</f>
        <v>501000</v>
      </c>
      <c r="N199" s="298"/>
      <c r="O199" s="298"/>
      <c r="P199" s="298">
        <f>250500*2</f>
        <v>501000</v>
      </c>
      <c r="Q199" s="298"/>
      <c r="R199" s="291">
        <f t="shared" si="23"/>
        <v>2004000</v>
      </c>
      <c r="S199" s="201" t="s">
        <v>833</v>
      </c>
      <c r="T199" s="202"/>
      <c r="U199" s="241"/>
      <c r="V199" s="241"/>
      <c r="W199" s="241"/>
      <c r="BA199"/>
      <c r="BB199"/>
    </row>
    <row r="200" spans="1:54" s="191" customFormat="1" ht="13">
      <c r="A200" s="224"/>
      <c r="B200" s="180">
        <v>6004086651</v>
      </c>
      <c r="C200" s="183" t="str">
        <f>IFERROR(IF(VLOOKUP($B200,勘定科目!$A:$H,HLOOKUP($E$5,勘定科目!$F$1:$H$2,2,0),0)="","",VLOOKUP($B200,勘定科目!$A:$E,2,0)),"")</f>
        <v>福利厚生費（一般）</v>
      </c>
      <c r="D200" s="234" t="str">
        <f>IF(C200="","",VLOOKUP($B200,勘定科目!$A:$E,4,0))</f>
        <v>福利厚生費</v>
      </c>
      <c r="E200" s="240" t="s">
        <v>911</v>
      </c>
      <c r="F200" s="299"/>
      <c r="G200" s="299">
        <f>265000*2</f>
        <v>530000</v>
      </c>
      <c r="H200" s="298"/>
      <c r="I200" s="299"/>
      <c r="J200" s="299">
        <f>265000*2</f>
        <v>530000</v>
      </c>
      <c r="K200" s="298"/>
      <c r="L200" s="298"/>
      <c r="M200" s="299">
        <f>265000*2</f>
        <v>530000</v>
      </c>
      <c r="N200" s="298"/>
      <c r="O200" s="298"/>
      <c r="P200" s="299">
        <f>265000*2</f>
        <v>530000</v>
      </c>
      <c r="Q200" s="298"/>
      <c r="R200" s="291">
        <f t="shared" si="23"/>
        <v>2120000</v>
      </c>
      <c r="S200" s="201" t="s">
        <v>834</v>
      </c>
      <c r="T200" s="202"/>
      <c r="U200" s="241"/>
      <c r="V200" s="241"/>
      <c r="W200" s="241"/>
      <c r="BA200"/>
      <c r="BB200"/>
    </row>
    <row r="201" spans="1:54" s="191" customFormat="1" ht="13">
      <c r="A201" s="224"/>
      <c r="B201" s="180">
        <v>6004086651</v>
      </c>
      <c r="C201" s="183" t="str">
        <f>IFERROR(IF(VLOOKUP($B201,勘定科目!$A:$H,HLOOKUP($E$5,勘定科目!$F$1:$H$2,2,0),0)="","",VLOOKUP($B201,勘定科目!$A:$E,2,0)),"")</f>
        <v>福利厚生費（一般）</v>
      </c>
      <c r="D201" s="234" t="str">
        <f>IF(C201="","",VLOOKUP($B201,勘定科目!$A:$E,4,0))</f>
        <v>福利厚生費</v>
      </c>
      <c r="E201" s="240" t="s">
        <v>911</v>
      </c>
      <c r="F201" s="299"/>
      <c r="G201" s="298">
        <f>129500*2</f>
        <v>259000</v>
      </c>
      <c r="H201" s="298"/>
      <c r="I201" s="298"/>
      <c r="J201" s="298">
        <f>129500*2</f>
        <v>259000</v>
      </c>
      <c r="K201" s="298"/>
      <c r="L201" s="298"/>
      <c r="M201" s="298">
        <f>129500*2</f>
        <v>259000</v>
      </c>
      <c r="N201" s="298"/>
      <c r="O201" s="298"/>
      <c r="P201" s="298">
        <f>129500*2</f>
        <v>259000</v>
      </c>
      <c r="Q201" s="298"/>
      <c r="R201" s="291">
        <f t="shared" si="23"/>
        <v>1036000</v>
      </c>
      <c r="S201" s="201" t="s">
        <v>835</v>
      </c>
      <c r="T201" s="202"/>
      <c r="U201" s="241"/>
      <c r="V201" s="241"/>
      <c r="W201" s="241"/>
      <c r="BA201"/>
      <c r="BB201"/>
    </row>
    <row r="202" spans="1:54" s="191" customFormat="1" ht="13">
      <c r="A202" s="224"/>
      <c r="B202" s="180">
        <v>6004086651</v>
      </c>
      <c r="C202" s="183" t="str">
        <f>IFERROR(IF(VLOOKUP($B202,勘定科目!$A:$H,HLOOKUP($E$5,勘定科目!$F$1:$H$2,2,0),0)="","",VLOOKUP($B202,勘定科目!$A:$E,2,0)),"")</f>
        <v>福利厚生費（一般）</v>
      </c>
      <c r="D202" s="234" t="str">
        <f>IF(C202="","",VLOOKUP($B202,勘定科目!$A:$E,4,0))</f>
        <v>福利厚生費</v>
      </c>
      <c r="E202" s="240" t="s">
        <v>911</v>
      </c>
      <c r="F202" s="299"/>
      <c r="G202" s="298">
        <f>297600*2</f>
        <v>595200</v>
      </c>
      <c r="H202" s="298"/>
      <c r="I202" s="298"/>
      <c r="J202" s="298">
        <f>297600*2</f>
        <v>595200</v>
      </c>
      <c r="K202" s="298"/>
      <c r="L202" s="298"/>
      <c r="M202" s="298">
        <f>297600*2</f>
        <v>595200</v>
      </c>
      <c r="N202" s="298"/>
      <c r="O202" s="298"/>
      <c r="P202" s="298">
        <f>297600*2</f>
        <v>595200</v>
      </c>
      <c r="Q202" s="298"/>
      <c r="R202" s="291">
        <f t="shared" si="23"/>
        <v>2380800</v>
      </c>
      <c r="S202" s="201" t="s">
        <v>836</v>
      </c>
      <c r="T202" s="202"/>
      <c r="U202" s="241"/>
      <c r="V202" s="241"/>
      <c r="W202" s="241"/>
      <c r="BA202"/>
      <c r="BB202"/>
    </row>
    <row r="203" spans="1:54" s="191" customFormat="1" ht="13">
      <c r="A203" s="224"/>
      <c r="B203" s="180">
        <v>6004086651</v>
      </c>
      <c r="C203" s="183" t="str">
        <f>IFERROR(IF(VLOOKUP($B203,勘定科目!$A:$H,HLOOKUP($E$5,勘定科目!$F$1:$H$2,2,0),0)="","",VLOOKUP($B203,勘定科目!$A:$E,2,0)),"")</f>
        <v>福利厚生費（一般）</v>
      </c>
      <c r="D203" s="234" t="str">
        <f>IF(C203="","",VLOOKUP($B203,勘定科目!$A:$E,4,0))</f>
        <v>福利厚生費</v>
      </c>
      <c r="E203" s="240" t="s">
        <v>911</v>
      </c>
      <c r="F203" s="299"/>
      <c r="G203" s="298">
        <f>43200*2</f>
        <v>86400</v>
      </c>
      <c r="H203" s="298"/>
      <c r="I203" s="298"/>
      <c r="J203" s="298">
        <f>43200*2</f>
        <v>86400</v>
      </c>
      <c r="K203" s="298"/>
      <c r="L203" s="298"/>
      <c r="M203" s="298">
        <f>43200*2</f>
        <v>86400</v>
      </c>
      <c r="N203" s="298"/>
      <c r="O203" s="298"/>
      <c r="P203" s="298">
        <f>43200*2</f>
        <v>86400</v>
      </c>
      <c r="Q203" s="298"/>
      <c r="R203" s="291">
        <f t="shared" si="23"/>
        <v>345600</v>
      </c>
      <c r="S203" s="201" t="s">
        <v>837</v>
      </c>
      <c r="T203" s="202"/>
      <c r="U203" s="241"/>
      <c r="V203" s="241"/>
      <c r="W203" s="241"/>
      <c r="BA203"/>
      <c r="BB203"/>
    </row>
    <row r="204" spans="1:54" s="191" customFormat="1" ht="13">
      <c r="A204" s="224"/>
      <c r="B204" s="180">
        <v>6004086651</v>
      </c>
      <c r="C204" s="183" t="str">
        <f>IFERROR(IF(VLOOKUP($B204,勘定科目!$A:$H,HLOOKUP($E$5,勘定科目!$F$1:$H$2,2,0),0)="","",VLOOKUP($B204,勘定科目!$A:$E,2,0)),"")</f>
        <v>福利厚生費（一般）</v>
      </c>
      <c r="D204" s="234" t="str">
        <f>IF(C204="","",VLOOKUP($B204,勘定科目!$A:$E,4,0))</f>
        <v>福利厚生費</v>
      </c>
      <c r="E204" s="240" t="s">
        <v>911</v>
      </c>
      <c r="F204" s="299">
        <f>-((5797*(165000+175000)*2)+85000000+20000000)</f>
        <v>-4046960000</v>
      </c>
      <c r="G204" s="298">
        <f>-105000000</f>
        <v>-105000000</v>
      </c>
      <c r="H204" s="298">
        <f>-105000000</f>
        <v>-105000000</v>
      </c>
      <c r="I204" s="298">
        <f>-((711000*519)+105000000)</f>
        <v>-474009000</v>
      </c>
      <c r="J204" s="298">
        <f>-((711000*188)+105000000)</f>
        <v>-238668000</v>
      </c>
      <c r="K204" s="298">
        <f>-((711000*222)+105000000)</f>
        <v>-262842000</v>
      </c>
      <c r="L204" s="298">
        <f>-(((711000*350)+125000000)+(896*175000*2))</f>
        <v>-687450000</v>
      </c>
      <c r="M204" s="298">
        <f>-((1061000*106)+105000000)</f>
        <v>-217466000</v>
      </c>
      <c r="N204" s="298">
        <f>-105000000</f>
        <v>-105000000</v>
      </c>
      <c r="O204" s="298">
        <f>-((731000*266)+105000000)</f>
        <v>-299446000</v>
      </c>
      <c r="P204" s="298">
        <f>-(((731000*454)+105000000)+(165000*720))</f>
        <v>-555674000</v>
      </c>
      <c r="Q204" s="298">
        <f>-105000000</f>
        <v>-105000000</v>
      </c>
      <c r="R204" s="291">
        <f t="shared" si="23"/>
        <v>-7202515000</v>
      </c>
      <c r="S204" s="201" t="s">
        <v>838</v>
      </c>
      <c r="T204" s="202"/>
      <c r="U204" s="241"/>
      <c r="V204" s="241"/>
      <c r="W204" s="241"/>
      <c r="BA204"/>
      <c r="BB204"/>
    </row>
    <row r="205" spans="1:54" s="191" customFormat="1" ht="13">
      <c r="A205" s="224"/>
      <c r="B205" s="180">
        <v>6004086651</v>
      </c>
      <c r="C205" s="183" t="str">
        <f>IFERROR(IF(VLOOKUP($B205,勘定科目!$A:$H,HLOOKUP($E$5,勘定科目!$F$1:$H$2,2,0),0)="","",VLOOKUP($B205,勘定科目!$A:$E,2,0)),"")</f>
        <v>福利厚生費（一般）</v>
      </c>
      <c r="D205" s="234" t="str">
        <f>IF(C205="","",VLOOKUP($B205,勘定科目!$A:$E,4,0))</f>
        <v>福利厚生費</v>
      </c>
      <c r="E205" s="240" t="s">
        <v>911</v>
      </c>
      <c r="F205" s="299"/>
      <c r="G205" s="298"/>
      <c r="H205" s="298"/>
      <c r="I205" s="298"/>
      <c r="J205" s="298">
        <f>6800*3000</f>
        <v>20400000</v>
      </c>
      <c r="K205" s="298">
        <f>6800*2900</f>
        <v>19720000</v>
      </c>
      <c r="L205" s="298"/>
      <c r="M205" s="298"/>
      <c r="N205" s="298"/>
      <c r="O205" s="298">
        <f>6800*3000</f>
        <v>20400000</v>
      </c>
      <c r="P205" s="298">
        <f>6800*2900</f>
        <v>19720000</v>
      </c>
      <c r="Q205" s="298"/>
      <c r="R205" s="291">
        <f t="shared" si="23"/>
        <v>80240000</v>
      </c>
      <c r="S205" s="201" t="s">
        <v>839</v>
      </c>
      <c r="T205" s="202"/>
      <c r="U205" s="241"/>
      <c r="V205" s="241"/>
      <c r="W205" s="241"/>
      <c r="BA205"/>
      <c r="BB205"/>
    </row>
    <row r="206" spans="1:54" s="191" customFormat="1" ht="13">
      <c r="A206" s="224"/>
      <c r="B206" s="180">
        <v>6004086651</v>
      </c>
      <c r="C206" s="183" t="str">
        <f>IFERROR(IF(VLOOKUP($B206,勘定科目!$A:$H,HLOOKUP($E$5,勘定科目!$F$1:$H$2,2,0),0)="","",VLOOKUP($B206,勘定科目!$A:$E,2,0)),"")</f>
        <v>福利厚生費（一般）</v>
      </c>
      <c r="D206" s="234" t="str">
        <f>IF(C206="","",VLOOKUP($B206,勘定科目!$A:$E,4,0))</f>
        <v>福利厚生費</v>
      </c>
      <c r="E206" s="240" t="s">
        <v>911</v>
      </c>
      <c r="F206" s="298"/>
      <c r="G206" s="298"/>
      <c r="H206" s="298"/>
      <c r="I206" s="298">
        <f>-519*6800</f>
        <v>-3529200</v>
      </c>
      <c r="J206" s="298">
        <f>-188*6800</f>
        <v>-1278400</v>
      </c>
      <c r="K206" s="298">
        <f>-(6800*(4835+122))</f>
        <v>-33707600</v>
      </c>
      <c r="L206" s="298">
        <f>-350*6800</f>
        <v>-2380000</v>
      </c>
      <c r="M206" s="298">
        <f>-106*6800</f>
        <v>-720800</v>
      </c>
      <c r="N206" s="298"/>
      <c r="O206" s="298">
        <f>-266*6800</f>
        <v>-1808800</v>
      </c>
      <c r="P206" s="298">
        <f>-(6800*(4835+454))</f>
        <v>-35965200</v>
      </c>
      <c r="Q206" s="304"/>
      <c r="R206" s="291">
        <f t="shared" si="23"/>
        <v>-79390000</v>
      </c>
      <c r="S206" s="201" t="s">
        <v>840</v>
      </c>
      <c r="T206" s="202"/>
      <c r="U206" s="241"/>
      <c r="V206" s="241"/>
      <c r="W206" s="241"/>
      <c r="BA206"/>
      <c r="BB206"/>
    </row>
    <row r="207" spans="1:54" s="191" customFormat="1" ht="13">
      <c r="A207" s="224"/>
      <c r="B207" s="180">
        <v>6004086651</v>
      </c>
      <c r="C207" s="183" t="str">
        <f>IFERROR(IF(VLOOKUP($B207,勘定科目!$A:$H,HLOOKUP($E$5,勘定科目!$F$1:$H$2,2,0),0)="","",VLOOKUP($B207,勘定科目!$A:$E,2,0)),"")</f>
        <v>福利厚生費（一般）</v>
      </c>
      <c r="D207" s="234" t="str">
        <f>IF(C207="","",VLOOKUP($B207,勘定科目!$A:$E,4,0))</f>
        <v>福利厚生費</v>
      </c>
      <c r="E207" s="240" t="s">
        <v>911</v>
      </c>
      <c r="F207" s="291">
        <f>(165000+175000)*17</f>
        <v>5780000</v>
      </c>
      <c r="G207" s="298"/>
      <c r="H207" s="298"/>
      <c r="I207" s="298"/>
      <c r="J207" s="291"/>
      <c r="K207" s="291"/>
      <c r="L207" s="291"/>
      <c r="M207" s="291"/>
      <c r="N207" s="291"/>
      <c r="O207" s="291"/>
      <c r="P207" s="291"/>
      <c r="Q207" s="291"/>
      <c r="R207" s="291">
        <f t="shared" si="23"/>
        <v>5780000</v>
      </c>
      <c r="S207" s="201" t="s">
        <v>841</v>
      </c>
      <c r="T207" s="202"/>
      <c r="U207" s="241"/>
      <c r="V207" s="241"/>
      <c r="W207" s="241"/>
      <c r="BA207"/>
      <c r="BB207"/>
    </row>
    <row r="208" spans="1:54" s="191" customFormat="1" ht="13">
      <c r="A208" s="224"/>
      <c r="B208" s="180">
        <v>6004086651</v>
      </c>
      <c r="C208" s="183" t="str">
        <f>IFERROR(IF(VLOOKUP($B208,勘定科目!$A:$H,HLOOKUP($E$5,勘定科目!$F$1:$H$2,2,0),0)="","",VLOOKUP($B208,勘定科目!$A:$E,2,0)),"")</f>
        <v>福利厚生費（一般）</v>
      </c>
      <c r="D208" s="234" t="str">
        <f>IF(C208="","",VLOOKUP($B208,勘定科目!$A:$E,4,0))</f>
        <v>福利厚生費</v>
      </c>
      <c r="E208" s="240" t="s">
        <v>908</v>
      </c>
      <c r="F208" s="194"/>
      <c r="G208" s="242"/>
      <c r="H208" s="242"/>
      <c r="I208" s="242"/>
      <c r="J208" s="291"/>
      <c r="K208" s="291"/>
      <c r="L208" s="291"/>
      <c r="M208" s="291"/>
      <c r="N208" s="303">
        <v>3786000</v>
      </c>
      <c r="O208" s="291"/>
      <c r="P208" s="291"/>
      <c r="Q208" s="291"/>
      <c r="R208" s="291">
        <f t="shared" si="23"/>
        <v>3786000</v>
      </c>
      <c r="S208" s="201" t="s">
        <v>842</v>
      </c>
      <c r="T208" s="202"/>
      <c r="U208" s="241"/>
      <c r="V208" s="241"/>
      <c r="W208" s="241"/>
      <c r="BA208"/>
      <c r="BB208"/>
    </row>
    <row r="209" spans="1:54" s="191" customFormat="1" ht="13">
      <c r="A209" s="224"/>
      <c r="B209" s="180">
        <v>6004086651</v>
      </c>
      <c r="C209" s="183" t="str">
        <f>IFERROR(IF(VLOOKUP($B209,勘定科目!$A:$H,HLOOKUP($E$5,勘定科目!$F$1:$H$2,2,0),0)="","",VLOOKUP($B209,勘定科目!$A:$E,2,0)),"")</f>
        <v>福利厚生費（一般）</v>
      </c>
      <c r="D209" s="234" t="str">
        <f>IF(C209="","",VLOOKUP($B209,勘定科目!$A:$E,4,0))</f>
        <v>福利厚生費</v>
      </c>
      <c r="E209" s="240" t="s">
        <v>916</v>
      </c>
      <c r="F209" s="194"/>
      <c r="G209" s="242"/>
      <c r="H209" s="242"/>
      <c r="I209" s="242"/>
      <c r="J209" s="291"/>
      <c r="K209" s="291"/>
      <c r="L209" s="291"/>
      <c r="M209" s="291"/>
      <c r="N209" s="291"/>
      <c r="O209" s="291"/>
      <c r="P209" s="291"/>
      <c r="Q209" s="291"/>
      <c r="R209" s="291">
        <f t="shared" si="23"/>
        <v>0</v>
      </c>
      <c r="S209" s="201" t="s">
        <v>843</v>
      </c>
      <c r="T209" s="202"/>
      <c r="U209" s="241"/>
      <c r="V209" s="241"/>
      <c r="W209" s="241"/>
      <c r="BA209"/>
      <c r="BB209"/>
    </row>
    <row r="210" spans="1:54" s="191" customFormat="1" ht="13">
      <c r="A210" s="224"/>
      <c r="B210" s="180">
        <v>6004086651</v>
      </c>
      <c r="C210" s="183" t="str">
        <f>IFERROR(IF(VLOOKUP($B210,勘定科目!$A:$H,HLOOKUP($E$5,勘定科目!$F$1:$H$2,2,0),0)="","",VLOOKUP($B210,勘定科目!$A:$E,2,0)),"")</f>
        <v>福利厚生費（一般）</v>
      </c>
      <c r="D210" s="234" t="str">
        <f>IF(C210="","",VLOOKUP($B210,勘定科目!$A:$E,4,0))</f>
        <v>福利厚生費</v>
      </c>
      <c r="E210" s="240" t="s">
        <v>908</v>
      </c>
      <c r="F210" s="194"/>
      <c r="G210" s="242"/>
      <c r="H210" s="242"/>
      <c r="I210" s="298">
        <v>300000</v>
      </c>
      <c r="J210" s="291"/>
      <c r="K210" s="291"/>
      <c r="L210" s="291"/>
      <c r="M210" s="291"/>
      <c r="N210" s="291"/>
      <c r="O210" s="291"/>
      <c r="P210" s="291"/>
      <c r="Q210" s="291"/>
      <c r="R210" s="291">
        <f t="shared" si="23"/>
        <v>300000</v>
      </c>
      <c r="S210" s="201" t="s">
        <v>844</v>
      </c>
      <c r="T210" s="202"/>
      <c r="U210" s="241"/>
      <c r="V210" s="241"/>
      <c r="W210" s="241"/>
      <c r="BA210"/>
      <c r="BB210"/>
    </row>
    <row r="211" spans="1:54" s="191" customFormat="1" ht="13">
      <c r="A211" s="224"/>
      <c r="B211" s="180">
        <v>6004086651</v>
      </c>
      <c r="C211" s="183" t="str">
        <f>IFERROR(IF(VLOOKUP($B211,勘定科目!$A:$H,HLOOKUP($E$5,勘定科目!$F$1:$H$2,2,0),0)="","",VLOOKUP($B211,勘定科目!$A:$E,2,0)),"")</f>
        <v>福利厚生費（一般）</v>
      </c>
      <c r="D211" s="234" t="str">
        <f>IF(C211="","",VLOOKUP($B211,勘定科目!$A:$E,4,0))</f>
        <v>福利厚生費</v>
      </c>
      <c r="E211" s="240" t="s">
        <v>908</v>
      </c>
      <c r="F211" s="194"/>
      <c r="G211" s="242"/>
      <c r="H211" s="242"/>
      <c r="I211" s="303">
        <f>100000*16</f>
        <v>1600000</v>
      </c>
      <c r="J211" s="291"/>
      <c r="K211" s="291"/>
      <c r="L211" s="291"/>
      <c r="M211" s="291"/>
      <c r="N211" s="291"/>
      <c r="O211" s="291"/>
      <c r="P211" s="291"/>
      <c r="Q211" s="291"/>
      <c r="R211" s="291">
        <f t="shared" si="23"/>
        <v>1600000</v>
      </c>
      <c r="S211" s="201" t="s">
        <v>845</v>
      </c>
      <c r="T211" s="202"/>
      <c r="U211" s="241"/>
      <c r="V211" s="241"/>
      <c r="W211" s="241"/>
      <c r="BA211"/>
      <c r="BB211"/>
    </row>
    <row r="212" spans="1:54" s="191" customFormat="1" ht="13">
      <c r="A212" s="224"/>
      <c r="B212" s="180">
        <v>6004086651</v>
      </c>
      <c r="C212" s="183" t="str">
        <f>IFERROR(IF(VLOOKUP($B212,勘定科目!$A:$H,HLOOKUP($E$5,勘定科目!$F$1:$H$2,2,0),0)="","",VLOOKUP($B212,勘定科目!$A:$E,2,0)),"")</f>
        <v>福利厚生費（一般）</v>
      </c>
      <c r="D212" s="234" t="str">
        <f>IF(C212="","",VLOOKUP($B212,勘定科目!$A:$E,4,0))</f>
        <v>福利厚生費</v>
      </c>
      <c r="E212" s="240" t="s">
        <v>913</v>
      </c>
      <c r="F212" s="194">
        <v>950400</v>
      </c>
      <c r="G212" s="242"/>
      <c r="H212" s="242"/>
      <c r="I212" s="242"/>
      <c r="J212" s="291"/>
      <c r="K212" s="291"/>
      <c r="L212" s="194">
        <v>950400</v>
      </c>
      <c r="M212" s="291"/>
      <c r="N212" s="291"/>
      <c r="O212" s="291"/>
      <c r="P212" s="291"/>
      <c r="Q212" s="291"/>
      <c r="R212" s="291">
        <f t="shared" si="23"/>
        <v>1900800</v>
      </c>
      <c r="S212" s="201" t="s">
        <v>922</v>
      </c>
      <c r="T212" s="202"/>
      <c r="U212" s="241"/>
      <c r="V212" s="241"/>
      <c r="W212" s="241"/>
      <c r="BA212"/>
      <c r="BB212"/>
    </row>
    <row r="213" spans="1:54" s="191" customFormat="1" ht="13">
      <c r="A213" s="224"/>
      <c r="B213" s="180">
        <v>6004086651</v>
      </c>
      <c r="C213" s="183" t="str">
        <f>IFERROR(IF(VLOOKUP($B213,勘定科目!$A:$H,HLOOKUP($E$5,勘定科目!$F$1:$H$2,2,0),0)="","",VLOOKUP($B213,勘定科目!$A:$E,2,0)),"")</f>
        <v>福利厚生費（一般）</v>
      </c>
      <c r="D213" s="234" t="str">
        <f>IF(C213="","",VLOOKUP($B213,勘定科目!$A:$E,4,0))</f>
        <v>福利厚生費</v>
      </c>
      <c r="E213" s="240" t="s">
        <v>911</v>
      </c>
      <c r="F213" s="299"/>
      <c r="G213" s="298"/>
      <c r="H213" s="298">
        <v>20000000</v>
      </c>
      <c r="I213" s="298"/>
      <c r="J213" s="298"/>
      <c r="K213" s="298"/>
      <c r="L213" s="298"/>
      <c r="M213" s="298"/>
      <c r="N213" s="298">
        <v>20000000</v>
      </c>
      <c r="O213" s="291"/>
      <c r="P213" s="291"/>
      <c r="Q213" s="291"/>
      <c r="R213" s="291">
        <f t="shared" si="23"/>
        <v>40000000</v>
      </c>
      <c r="S213" s="201" t="s">
        <v>846</v>
      </c>
      <c r="T213" s="202"/>
      <c r="U213" s="241"/>
      <c r="V213" s="241"/>
      <c r="W213" s="241"/>
      <c r="BA213"/>
      <c r="BB213"/>
    </row>
    <row r="214" spans="1:54" s="191" customFormat="1" ht="13">
      <c r="A214" s="224"/>
      <c r="B214" s="180">
        <v>6004086651</v>
      </c>
      <c r="C214" s="183" t="str">
        <f>IFERROR(IF(VLOOKUP($B214,勘定科目!$A:$H,HLOOKUP($E$5,勘定科目!$F$1:$H$2,2,0),0)="","",VLOOKUP($B214,勘定科目!$A:$E,2,0)),"")</f>
        <v>福利厚生費（一般）</v>
      </c>
      <c r="D214" s="234" t="str">
        <f>IF(C214="","",VLOOKUP($B214,勘定科目!$A:$E,4,0))</f>
        <v>福利厚生費</v>
      </c>
      <c r="E214" s="240" t="s">
        <v>911</v>
      </c>
      <c r="F214" s="303">
        <f>3*3700000</f>
        <v>11100000</v>
      </c>
      <c r="G214" s="298"/>
      <c r="H214" s="298"/>
      <c r="I214" s="303">
        <f>3*3700000</f>
        <v>11100000</v>
      </c>
      <c r="J214" s="303"/>
      <c r="K214" s="298"/>
      <c r="L214" s="303">
        <f>3*3700000</f>
        <v>11100000</v>
      </c>
      <c r="M214" s="303">
        <f>3*3700000</f>
        <v>11100000</v>
      </c>
      <c r="N214" s="303">
        <f>3*3700000</f>
        <v>11100000</v>
      </c>
      <c r="O214" s="303">
        <f>5*3700000</f>
        <v>18500000</v>
      </c>
      <c r="P214" s="303">
        <f>5*3700000</f>
        <v>18500000</v>
      </c>
      <c r="Q214" s="298"/>
      <c r="R214" s="291">
        <f t="shared" si="23"/>
        <v>92500000</v>
      </c>
      <c r="S214" s="201" t="s">
        <v>847</v>
      </c>
      <c r="T214" s="202"/>
      <c r="U214" s="241"/>
      <c r="V214" s="241"/>
      <c r="W214" s="241"/>
      <c r="BA214"/>
      <c r="BB214"/>
    </row>
    <row r="215" spans="1:54" s="191" customFormat="1" ht="13">
      <c r="A215" s="224"/>
      <c r="B215" s="180">
        <v>6004086651</v>
      </c>
      <c r="C215" s="183" t="str">
        <f>IFERROR(IF(VLOOKUP($B215,勘定科目!$A:$H,HLOOKUP($E$5,勘定科目!$F$1:$H$2,2,0),0)="","",VLOOKUP($B215,勘定科目!$A:$E,2,0)),"")</f>
        <v>福利厚生費（一般）</v>
      </c>
      <c r="D215" s="234" t="str">
        <f>IF(C215="","",VLOOKUP($B215,勘定科目!$A:$E,4,0))</f>
        <v>福利厚生費</v>
      </c>
      <c r="E215" s="240" t="s">
        <v>911</v>
      </c>
      <c r="F215" s="303">
        <f>(6*3530000)</f>
        <v>21180000</v>
      </c>
      <c r="G215" s="298"/>
      <c r="H215" s="298"/>
      <c r="I215" s="303">
        <f>(6*3530000)</f>
        <v>21180000</v>
      </c>
      <c r="J215" s="303"/>
      <c r="K215" s="298"/>
      <c r="L215" s="303">
        <f>(6*3530000)</f>
        <v>21180000</v>
      </c>
      <c r="M215" s="303">
        <f>(6*3530000)</f>
        <v>21180000</v>
      </c>
      <c r="N215" s="303">
        <f>(6*3530000)</f>
        <v>21180000</v>
      </c>
      <c r="O215" s="303">
        <f>(10*3530000)</f>
        <v>35300000</v>
      </c>
      <c r="P215" s="303">
        <f>(15*3530000)</f>
        <v>52950000</v>
      </c>
      <c r="Q215" s="291"/>
      <c r="R215" s="291">
        <f t="shared" si="23"/>
        <v>194150000</v>
      </c>
      <c r="S215" s="201" t="s">
        <v>848</v>
      </c>
      <c r="T215" s="202"/>
      <c r="U215" s="241"/>
      <c r="V215" s="241"/>
      <c r="W215" s="241"/>
      <c r="BA215"/>
      <c r="BB215"/>
    </row>
    <row r="216" spans="1:54" s="191" customFormat="1" ht="13">
      <c r="A216" s="224"/>
      <c r="B216" s="180">
        <v>6004086651</v>
      </c>
      <c r="C216" s="183" t="str">
        <f>IFERROR(IF(VLOOKUP($B216,勘定科目!$A:$H,HLOOKUP($E$5,勘定科目!$F$1:$H$2,2,0),0)="","",VLOOKUP($B216,勘定科目!$A:$E,2,0)),"")</f>
        <v>福利厚生費（一般）</v>
      </c>
      <c r="D216" s="234" t="str">
        <f>IF(C216="","",VLOOKUP($B216,勘定科目!$A:$E,4,0))</f>
        <v>福利厚生費</v>
      </c>
      <c r="E216" s="240" t="s">
        <v>911</v>
      </c>
      <c r="F216" s="303">
        <f>18000*50+45000*100</f>
        <v>5400000</v>
      </c>
      <c r="G216" s="298"/>
      <c r="H216" s="303">
        <f>18000*50+45000*100</f>
        <v>5400000</v>
      </c>
      <c r="I216" s="298"/>
      <c r="J216" s="303">
        <f>18000*50+45000*100</f>
        <v>5400000</v>
      </c>
      <c r="K216" s="298"/>
      <c r="L216" s="303">
        <f>18000*50+45000*100</f>
        <v>5400000</v>
      </c>
      <c r="M216" s="298"/>
      <c r="N216" s="303">
        <f>18000*50+45000*100</f>
        <v>5400000</v>
      </c>
      <c r="O216" s="298"/>
      <c r="P216" s="303">
        <f>18000*50+45000*100</f>
        <v>5400000</v>
      </c>
      <c r="Q216" s="291"/>
      <c r="R216" s="291">
        <f t="shared" si="23"/>
        <v>32400000</v>
      </c>
      <c r="S216" s="201" t="s">
        <v>849</v>
      </c>
      <c r="T216" s="202"/>
      <c r="U216" s="241"/>
      <c r="V216" s="241"/>
      <c r="W216" s="241"/>
      <c r="BA216"/>
      <c r="BB216"/>
    </row>
    <row r="217" spans="1:54" s="191" customFormat="1" ht="13">
      <c r="A217" s="224"/>
      <c r="B217" s="180">
        <v>6004086651</v>
      </c>
      <c r="C217" s="183" t="str">
        <f>IFERROR(IF(VLOOKUP($B217,勘定科目!$A:$H,HLOOKUP($E$5,勘定科目!$F$1:$H$2,2,0),0)="","",VLOOKUP($B217,勘定科目!$A:$E,2,0)),"")</f>
        <v>福利厚生費（一般）</v>
      </c>
      <c r="D217" s="234" t="str">
        <f>IF(C217="","",VLOOKUP($B217,勘定科目!$A:$E,4,0))</f>
        <v>福利厚生費</v>
      </c>
      <c r="E217" s="240" t="s">
        <v>911</v>
      </c>
      <c r="F217" s="299">
        <f>416*163000</f>
        <v>67808000</v>
      </c>
      <c r="G217" s="298">
        <f>427*163000</f>
        <v>69601000</v>
      </c>
      <c r="H217" s="298">
        <f>508*163000</f>
        <v>82804000</v>
      </c>
      <c r="I217" s="298">
        <f>556*163000</f>
        <v>90628000</v>
      </c>
      <c r="J217" s="298">
        <f>637*163000</f>
        <v>103831000</v>
      </c>
      <c r="K217" s="298">
        <f>636*163000</f>
        <v>103668000</v>
      </c>
      <c r="L217" s="298">
        <f>712*163000</f>
        <v>116056000</v>
      </c>
      <c r="M217" s="298">
        <f>573*163000</f>
        <v>93399000</v>
      </c>
      <c r="N217" s="298">
        <f>548*163000</f>
        <v>89324000</v>
      </c>
      <c r="O217" s="298">
        <f>599*163000</f>
        <v>97637000</v>
      </c>
      <c r="P217" s="298">
        <f>513*163000</f>
        <v>83619000</v>
      </c>
      <c r="Q217" s="298">
        <f>516*163000</f>
        <v>84108000</v>
      </c>
      <c r="R217" s="291">
        <f t="shared" si="23"/>
        <v>1082483000</v>
      </c>
      <c r="S217" s="201" t="s">
        <v>850</v>
      </c>
      <c r="T217" s="202"/>
      <c r="U217" s="241"/>
      <c r="V217" s="241"/>
      <c r="W217" s="241"/>
      <c r="BA217"/>
      <c r="BB217"/>
    </row>
    <row r="218" spans="1:54" s="191" customFormat="1" ht="13">
      <c r="A218" s="224"/>
      <c r="B218" s="180">
        <v>6004086651</v>
      </c>
      <c r="C218" s="183" t="str">
        <f>IFERROR(IF(VLOOKUP($B218,勘定科目!$A:$H,HLOOKUP($E$5,勘定科目!$F$1:$H$2,2,0),0)="","",VLOOKUP($B218,勘定科目!$A:$E,2,0)),"")</f>
        <v>福利厚生費（一般）</v>
      </c>
      <c r="D218" s="234" t="str">
        <f>IF(C218="","",VLOOKUP($B218,勘定科目!$A:$E,4,0))</f>
        <v>福利厚生費</v>
      </c>
      <c r="E218" s="240" t="s">
        <v>911</v>
      </c>
      <c r="F218" s="299">
        <f>-F217</f>
        <v>-67808000</v>
      </c>
      <c r="G218" s="299">
        <f t="shared" ref="G218:P218" si="32">-G217</f>
        <v>-69601000</v>
      </c>
      <c r="H218" s="299">
        <f t="shared" si="32"/>
        <v>-82804000</v>
      </c>
      <c r="I218" s="299">
        <f t="shared" si="32"/>
        <v>-90628000</v>
      </c>
      <c r="J218" s="299">
        <f t="shared" si="32"/>
        <v>-103831000</v>
      </c>
      <c r="K218" s="299">
        <f t="shared" si="32"/>
        <v>-103668000</v>
      </c>
      <c r="L218" s="299">
        <f t="shared" si="32"/>
        <v>-116056000</v>
      </c>
      <c r="M218" s="299">
        <f t="shared" si="32"/>
        <v>-93399000</v>
      </c>
      <c r="N218" s="299">
        <f t="shared" si="32"/>
        <v>-89324000</v>
      </c>
      <c r="O218" s="299">
        <f t="shared" si="32"/>
        <v>-97637000</v>
      </c>
      <c r="P218" s="299">
        <f t="shared" si="32"/>
        <v>-83619000</v>
      </c>
      <c r="Q218" s="298">
        <f>-Q217</f>
        <v>-84108000</v>
      </c>
      <c r="R218" s="291">
        <f t="shared" si="23"/>
        <v>-1082483000</v>
      </c>
      <c r="S218" s="201" t="s">
        <v>851</v>
      </c>
      <c r="T218" s="202"/>
      <c r="U218" s="241"/>
      <c r="V218" s="241"/>
      <c r="W218" s="241"/>
      <c r="BA218"/>
      <c r="BB218"/>
    </row>
    <row r="219" spans="1:54" s="191" customFormat="1" ht="13">
      <c r="A219" s="224"/>
      <c r="B219" s="180">
        <v>6004086651</v>
      </c>
      <c r="C219" s="183" t="str">
        <f>IFERROR(IF(VLOOKUP($B219,勘定科目!$A:$H,HLOOKUP($E$5,勘定科目!$F$1:$H$2,2,0),0)="","",VLOOKUP($B219,勘定科目!$A:$E,2,0)),"")</f>
        <v>福利厚生費（一般）</v>
      </c>
      <c r="D219" s="234" t="str">
        <f>IF(C219="","",VLOOKUP($B219,勘定科目!$A:$E,4,0))</f>
        <v>福利厚生費</v>
      </c>
      <c r="E219" s="240" t="s">
        <v>911</v>
      </c>
      <c r="F219" s="303"/>
      <c r="G219" s="303">
        <f>163000*2</f>
        <v>326000</v>
      </c>
      <c r="H219" s="303">
        <f>163000*2</f>
        <v>326000</v>
      </c>
      <c r="I219" s="303">
        <f>163000*2</f>
        <v>326000</v>
      </c>
      <c r="J219" s="303">
        <f>163000*2</f>
        <v>326000</v>
      </c>
      <c r="K219" s="303"/>
      <c r="L219" s="303">
        <f>163000*2</f>
        <v>326000</v>
      </c>
      <c r="M219" s="303">
        <f>163000*3</f>
        <v>489000</v>
      </c>
      <c r="N219" s="303">
        <f t="shared" ref="N219:Q219" si="33">163000</f>
        <v>163000</v>
      </c>
      <c r="O219" s="303">
        <f>163000*2</f>
        <v>326000</v>
      </c>
      <c r="P219" s="303">
        <f t="shared" si="33"/>
        <v>163000</v>
      </c>
      <c r="Q219" s="303">
        <f t="shared" si="33"/>
        <v>163000</v>
      </c>
      <c r="R219" s="291">
        <f t="shared" si="23"/>
        <v>2934000</v>
      </c>
      <c r="S219" s="201" t="s">
        <v>852</v>
      </c>
      <c r="T219" s="202"/>
      <c r="U219" s="241"/>
      <c r="V219" s="241"/>
      <c r="W219" s="241"/>
      <c r="BA219"/>
      <c r="BB219"/>
    </row>
    <row r="220" spans="1:54" s="191" customFormat="1" ht="13">
      <c r="A220" s="224"/>
      <c r="B220" s="180">
        <v>6004086651</v>
      </c>
      <c r="C220" s="183" t="str">
        <f>IFERROR(IF(VLOOKUP($B220,勘定科目!$A:$H,HLOOKUP($E$5,勘定科目!$F$1:$H$2,2,0),0)="","",VLOOKUP($B220,勘定科目!$A:$E,2,0)),"")</f>
        <v>福利厚生費（一般）</v>
      </c>
      <c r="D220" s="234" t="str">
        <f>IF(C220="","",VLOOKUP($B220,勘定科目!$A:$E,4,0))</f>
        <v>福利厚生費</v>
      </c>
      <c r="E220" s="240" t="s">
        <v>911</v>
      </c>
      <c r="F220" s="298">
        <v>100000000</v>
      </c>
      <c r="G220" s="298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  <c r="R220" s="291">
        <f t="shared" si="23"/>
        <v>100000000</v>
      </c>
      <c r="S220" s="201" t="s">
        <v>853</v>
      </c>
      <c r="T220" s="202"/>
      <c r="U220" s="241"/>
      <c r="V220" s="241"/>
      <c r="W220" s="241"/>
      <c r="BA220"/>
      <c r="BB220"/>
    </row>
    <row r="221" spans="1:54" s="191" customFormat="1" ht="13">
      <c r="A221" s="224"/>
      <c r="B221" s="180">
        <v>6004086651</v>
      </c>
      <c r="C221" s="183" t="str">
        <f>IFERROR(IF(VLOOKUP($B221,勘定科目!$A:$H,HLOOKUP($E$5,勘定科目!$F$1:$H$2,2,0),0)="","",VLOOKUP($B221,勘定科目!$A:$E,2,0)),"")</f>
        <v>福利厚生費（一般）</v>
      </c>
      <c r="D221" s="234" t="str">
        <f>IF(C221="","",VLOOKUP($B221,勘定科目!$A:$E,4,0))</f>
        <v>福利厚生費</v>
      </c>
      <c r="E221" s="240" t="s">
        <v>911</v>
      </c>
      <c r="F221" s="299"/>
      <c r="G221" s="298">
        <f>200000*18</f>
        <v>3600000</v>
      </c>
      <c r="H221" s="298"/>
      <c r="I221" s="298"/>
      <c r="J221" s="298"/>
      <c r="K221" s="298"/>
      <c r="L221" s="298"/>
      <c r="M221" s="298"/>
      <c r="N221" s="298"/>
      <c r="O221" s="298"/>
      <c r="P221" s="298"/>
      <c r="Q221" s="298"/>
      <c r="R221" s="291">
        <f t="shared" si="23"/>
        <v>3600000</v>
      </c>
      <c r="S221" s="201" t="s">
        <v>854</v>
      </c>
      <c r="T221" s="202"/>
      <c r="U221" s="241"/>
      <c r="V221" s="241"/>
      <c r="W221" s="241"/>
      <c r="BA221"/>
      <c r="BB221"/>
    </row>
    <row r="222" spans="1:54" s="191" customFormat="1" ht="13">
      <c r="A222" s="224"/>
      <c r="B222" s="180">
        <v>6004086651</v>
      </c>
      <c r="C222" s="183" t="str">
        <f>IFERROR(IF(VLOOKUP($B222,勘定科目!$A:$H,HLOOKUP($E$5,勘定科目!$F$1:$H$2,2,0),0)="","",VLOOKUP($B222,勘定科目!$A:$E,2,0)),"")</f>
        <v>福利厚生費（一般）</v>
      </c>
      <c r="D222" s="234" t="str">
        <f>IF(C222="","",VLOOKUP($B222,勘定科目!$A:$E,4,0))</f>
        <v>福利厚生費</v>
      </c>
      <c r="E222" s="240" t="s">
        <v>911</v>
      </c>
      <c r="F222" s="299"/>
      <c r="G222" s="298">
        <v>10374595000</v>
      </c>
      <c r="H222" s="298"/>
      <c r="I222" s="298"/>
      <c r="J222" s="298"/>
      <c r="K222" s="298"/>
      <c r="L222" s="298"/>
      <c r="M222" s="298"/>
      <c r="N222" s="298"/>
      <c r="O222" s="298"/>
      <c r="P222" s="298"/>
      <c r="Q222" s="298"/>
      <c r="R222" s="291">
        <f t="shared" si="23"/>
        <v>10374595000</v>
      </c>
      <c r="S222" s="201" t="s">
        <v>929</v>
      </c>
      <c r="T222" s="202"/>
      <c r="U222" s="241"/>
      <c r="V222" s="241"/>
      <c r="W222" s="241"/>
      <c r="BA222"/>
      <c r="BB222"/>
    </row>
    <row r="223" spans="1:54" s="191" customFormat="1" ht="13">
      <c r="A223" s="224"/>
      <c r="B223" s="180">
        <v>6004086651</v>
      </c>
      <c r="C223" s="183" t="str">
        <f>IFERROR(IF(VLOOKUP($B223,勘定科目!$A:$H,HLOOKUP($E$5,勘定科目!$F$1:$H$2,2,0),0)="","",VLOOKUP($B223,勘定科目!$A:$E,2,0)),"")</f>
        <v>福利厚生費（一般）</v>
      </c>
      <c r="D223" s="234" t="str">
        <f>IF(C223="","",VLOOKUP($B223,勘定科目!$A:$E,4,0))</f>
        <v>福利厚生費</v>
      </c>
      <c r="E223" s="240" t="s">
        <v>911</v>
      </c>
      <c r="F223" s="299"/>
      <c r="G223" s="298">
        <f>-9274595000</f>
        <v>-9274595000</v>
      </c>
      <c r="H223" s="298"/>
      <c r="I223" s="298"/>
      <c r="J223" s="298"/>
      <c r="K223" s="298"/>
      <c r="L223" s="298"/>
      <c r="M223" s="298"/>
      <c r="N223" s="298"/>
      <c r="O223" s="298"/>
      <c r="P223" s="298"/>
      <c r="Q223" s="298"/>
      <c r="R223" s="291">
        <f t="shared" si="23"/>
        <v>-9274595000</v>
      </c>
      <c r="S223" s="201" t="s">
        <v>855</v>
      </c>
      <c r="T223" s="202"/>
      <c r="U223" s="241"/>
      <c r="V223" s="241"/>
      <c r="W223" s="241"/>
      <c r="BA223"/>
      <c r="BB223"/>
    </row>
    <row r="224" spans="1:54" s="191" customFormat="1" ht="13">
      <c r="A224" s="224"/>
      <c r="B224" s="180">
        <v>6004086651</v>
      </c>
      <c r="C224" s="183" t="str">
        <f>IFERROR(IF(VLOOKUP($B224,勘定科目!$A:$H,HLOOKUP($E$5,勘定科目!$F$1:$H$2,2,0),0)="","",VLOOKUP($B224,勘定科目!$A:$E,2,0)),"")</f>
        <v>福利厚生費（一般）</v>
      </c>
      <c r="D224" s="234" t="str">
        <f>IF(C224="","",VLOOKUP($B224,勘定科目!$A:$E,4,0))</f>
        <v>福利厚生費</v>
      </c>
      <c r="E224" s="240" t="s">
        <v>911</v>
      </c>
      <c r="F224" s="299"/>
      <c r="G224" s="298">
        <f>-1100000000</f>
        <v>-1100000000</v>
      </c>
      <c r="H224" s="298"/>
      <c r="I224" s="298"/>
      <c r="J224" s="298"/>
      <c r="K224" s="298"/>
      <c r="L224" s="298"/>
      <c r="M224" s="298"/>
      <c r="N224" s="298"/>
      <c r="O224" s="298"/>
      <c r="P224" s="298"/>
      <c r="Q224" s="298"/>
      <c r="R224" s="291">
        <f t="shared" ref="R224:R283" si="34">SUM(F224:Q224)</f>
        <v>-1100000000</v>
      </c>
      <c r="S224" s="201" t="s">
        <v>856</v>
      </c>
      <c r="T224" s="202"/>
      <c r="U224" s="241"/>
      <c r="V224" s="241"/>
      <c r="W224" s="241"/>
      <c r="BA224"/>
      <c r="BB224"/>
    </row>
    <row r="225" spans="1:54" s="191" customFormat="1" ht="13">
      <c r="A225" s="224"/>
      <c r="B225" s="180">
        <v>6004086651</v>
      </c>
      <c r="C225" s="183" t="str">
        <f>IFERROR(IF(VLOOKUP($B225,勘定科目!$A:$H,HLOOKUP($E$5,勘定科目!$F$1:$H$2,2,0),0)="","",VLOOKUP($B225,勘定科目!$A:$E,2,0)),"")</f>
        <v>福利厚生費（一般）</v>
      </c>
      <c r="D225" s="234" t="str">
        <f>IF(C225="","",VLOOKUP($B225,勘定科目!$A:$E,4,0))</f>
        <v>福利厚生費</v>
      </c>
      <c r="E225" s="240" t="s">
        <v>911</v>
      </c>
      <c r="F225" s="299"/>
      <c r="G225" s="298">
        <f>1890000*18</f>
        <v>34020000</v>
      </c>
      <c r="H225" s="298"/>
      <c r="I225" s="298"/>
      <c r="J225" s="298"/>
      <c r="K225" s="298"/>
      <c r="L225" s="298"/>
      <c r="M225" s="298"/>
      <c r="N225" s="298"/>
      <c r="O225" s="298"/>
      <c r="P225" s="298"/>
      <c r="Q225" s="298"/>
      <c r="R225" s="291">
        <f t="shared" si="34"/>
        <v>34020000</v>
      </c>
      <c r="S225" s="201" t="s">
        <v>857</v>
      </c>
      <c r="T225" s="202"/>
      <c r="U225" s="241"/>
      <c r="V225" s="241"/>
      <c r="W225" s="241"/>
      <c r="BA225"/>
      <c r="BB225"/>
    </row>
    <row r="226" spans="1:54" s="191" customFormat="1" ht="13">
      <c r="A226" s="224"/>
      <c r="B226" s="180">
        <v>6004086651</v>
      </c>
      <c r="C226" s="183" t="str">
        <f>IFERROR(IF(VLOOKUP($B226,勘定科目!$A:$H,HLOOKUP($E$5,勘定科目!$F$1:$H$2,2,0),0)="","",VLOOKUP($B226,勘定科目!$A:$E,2,0)),"")</f>
        <v>福利厚生費（一般）</v>
      </c>
      <c r="D226" s="234" t="str">
        <f>IF(C226="","",VLOOKUP($B226,勘定科目!$A:$E,4,0))</f>
        <v>福利厚生費</v>
      </c>
      <c r="E226" s="240" t="s">
        <v>911</v>
      </c>
      <c r="F226" s="299"/>
      <c r="G226" s="298"/>
      <c r="H226" s="298"/>
      <c r="I226" s="298"/>
      <c r="J226" s="298"/>
      <c r="K226" s="298">
        <v>1042535000</v>
      </c>
      <c r="L226" s="298"/>
      <c r="M226" s="298"/>
      <c r="N226" s="298"/>
      <c r="O226" s="298"/>
      <c r="P226" s="298"/>
      <c r="Q226" s="298"/>
      <c r="R226" s="291">
        <f t="shared" si="34"/>
        <v>1042535000</v>
      </c>
      <c r="S226" s="201" t="s">
        <v>858</v>
      </c>
      <c r="T226" s="202"/>
      <c r="U226" s="241"/>
      <c r="V226" s="241"/>
      <c r="W226" s="241"/>
      <c r="BA226"/>
      <c r="BB226"/>
    </row>
    <row r="227" spans="1:54" s="191" customFormat="1" ht="13">
      <c r="A227" s="224"/>
      <c r="B227" s="180">
        <v>6004086651</v>
      </c>
      <c r="C227" s="183" t="str">
        <f>IFERROR(IF(VLOOKUP($B227,勘定科目!$A:$H,HLOOKUP($E$5,勘定科目!$F$1:$H$2,2,0),0)="","",VLOOKUP($B227,勘定科目!$A:$E,2,0)),"")</f>
        <v>福利厚生費（一般）</v>
      </c>
      <c r="D227" s="234" t="str">
        <f>IF(C227="","",VLOOKUP($B227,勘定科目!$A:$E,4,0))</f>
        <v>福利厚生費</v>
      </c>
      <c r="E227" s="240" t="s">
        <v>911</v>
      </c>
      <c r="F227" s="299"/>
      <c r="G227" s="298"/>
      <c r="H227" s="298"/>
      <c r="I227" s="298"/>
      <c r="J227" s="298"/>
      <c r="K227" s="298">
        <f>-K226-K228</f>
        <v>-792535000</v>
      </c>
      <c r="L227" s="298"/>
      <c r="M227" s="298"/>
      <c r="N227" s="298"/>
      <c r="O227" s="298"/>
      <c r="P227" s="298"/>
      <c r="Q227" s="298"/>
      <c r="R227" s="291">
        <f t="shared" si="34"/>
        <v>-792535000</v>
      </c>
      <c r="S227" s="201" t="s">
        <v>859</v>
      </c>
      <c r="T227" s="202"/>
      <c r="U227" s="241"/>
      <c r="V227" s="241"/>
      <c r="W227" s="241"/>
      <c r="BA227"/>
      <c r="BB227"/>
    </row>
    <row r="228" spans="1:54" s="191" customFormat="1" ht="13">
      <c r="A228" s="224"/>
      <c r="B228" s="180">
        <v>6004086651</v>
      </c>
      <c r="C228" s="183" t="str">
        <f>IFERROR(IF(VLOOKUP($B228,勘定科目!$A:$H,HLOOKUP($E$5,勘定科目!$F$1:$H$2,2,0),0)="","",VLOOKUP($B228,勘定科目!$A:$E,2,0)),"")</f>
        <v>福利厚生費（一般）</v>
      </c>
      <c r="D228" s="234" t="str">
        <f>IF(C228="","",VLOOKUP($B228,勘定科目!$A:$E,4,0))</f>
        <v>福利厚生費</v>
      </c>
      <c r="E228" s="240" t="s">
        <v>911</v>
      </c>
      <c r="F228" s="299"/>
      <c r="G228" s="298"/>
      <c r="H228" s="298"/>
      <c r="I228" s="298"/>
      <c r="J228" s="298"/>
      <c r="K228" s="298">
        <v>-250000000</v>
      </c>
      <c r="L228" s="298"/>
      <c r="M228" s="298"/>
      <c r="N228" s="298"/>
      <c r="O228" s="298"/>
      <c r="P228" s="298"/>
      <c r="Q228" s="298"/>
      <c r="R228" s="291">
        <f t="shared" si="34"/>
        <v>-250000000</v>
      </c>
      <c r="S228" s="201" t="s">
        <v>860</v>
      </c>
      <c r="T228" s="202"/>
      <c r="U228" s="241"/>
      <c r="V228" s="241"/>
      <c r="W228" s="241"/>
      <c r="BA228"/>
      <c r="BB228"/>
    </row>
    <row r="229" spans="1:54" s="191" customFormat="1" ht="13">
      <c r="A229" s="224"/>
      <c r="B229" s="180">
        <v>6004086651</v>
      </c>
      <c r="C229" s="183" t="str">
        <f>IFERROR(IF(VLOOKUP($B229,勘定科目!$A:$H,HLOOKUP($E$5,勘定科目!$F$1:$H$2,2,0),0)="","",VLOOKUP($B229,勘定科目!$A:$E,2,0)),"")</f>
        <v>福利厚生費（一般）</v>
      </c>
      <c r="D229" s="234" t="str">
        <f>IF(C229="","",VLOOKUP($B229,勘定科目!$A:$E,4,0))</f>
        <v>福利厚生費</v>
      </c>
      <c r="E229" s="240" t="s">
        <v>911</v>
      </c>
      <c r="F229" s="299"/>
      <c r="G229" s="298"/>
      <c r="H229" s="298"/>
      <c r="I229" s="298"/>
      <c r="J229" s="298"/>
      <c r="K229" s="298">
        <f>126000*18</f>
        <v>2268000</v>
      </c>
      <c r="L229" s="298"/>
      <c r="M229" s="298"/>
      <c r="N229" s="298"/>
      <c r="O229" s="298"/>
      <c r="P229" s="298"/>
      <c r="Q229" s="298"/>
      <c r="R229" s="291">
        <f t="shared" si="34"/>
        <v>2268000</v>
      </c>
      <c r="S229" s="201" t="s">
        <v>861</v>
      </c>
      <c r="T229" s="202"/>
      <c r="U229" s="241"/>
      <c r="V229" s="241"/>
      <c r="W229" s="241"/>
      <c r="BA229"/>
      <c r="BB229"/>
    </row>
    <row r="230" spans="1:54" s="191" customFormat="1" ht="13">
      <c r="A230" s="224"/>
      <c r="B230" s="180">
        <v>6004086651</v>
      </c>
      <c r="C230" s="183" t="str">
        <f>IFERROR(IF(VLOOKUP($B230,勘定科目!$A:$H,HLOOKUP($E$5,勘定科目!$F$1:$H$2,2,0),0)="","",VLOOKUP($B230,勘定科目!$A:$E,2,0)),"")</f>
        <v>福利厚生費（一般）</v>
      </c>
      <c r="D230" s="234" t="str">
        <f>IF(C230="","",VLOOKUP($B230,勘定科目!$A:$E,4,0))</f>
        <v>福利厚生費</v>
      </c>
      <c r="E230" s="240" t="s">
        <v>911</v>
      </c>
      <c r="F230" s="299"/>
      <c r="G230" s="298"/>
      <c r="H230" s="298"/>
      <c r="I230" s="298"/>
      <c r="J230" s="298"/>
      <c r="K230" s="298"/>
      <c r="L230" s="298">
        <f>156000*6897</f>
        <v>1075932000</v>
      </c>
      <c r="M230" s="298"/>
      <c r="N230" s="298"/>
      <c r="O230" s="298"/>
      <c r="P230" s="298"/>
      <c r="Q230" s="298"/>
      <c r="R230" s="291">
        <f t="shared" si="34"/>
        <v>1075932000</v>
      </c>
      <c r="S230" s="201" t="s">
        <v>862</v>
      </c>
      <c r="T230" s="202"/>
      <c r="U230" s="241"/>
      <c r="V230" s="241"/>
      <c r="W230" s="241"/>
      <c r="BA230"/>
      <c r="BB230"/>
    </row>
    <row r="231" spans="1:54" s="191" customFormat="1" ht="13">
      <c r="A231" s="224"/>
      <c r="B231" s="180">
        <v>6004086651</v>
      </c>
      <c r="C231" s="183" t="str">
        <f>IFERROR(IF(VLOOKUP($B231,勘定科目!$A:$H,HLOOKUP($E$5,勘定科目!$F$1:$H$2,2,0),0)="","",VLOOKUP($B231,勘定科目!$A:$E,2,0)),"")</f>
        <v>福利厚生費（一般）</v>
      </c>
      <c r="D231" s="234" t="str">
        <f>IF(C231="","",VLOOKUP($B231,勘定科目!$A:$E,4,0))</f>
        <v>福利厚生費</v>
      </c>
      <c r="E231" s="240" t="s">
        <v>911</v>
      </c>
      <c r="F231" s="299"/>
      <c r="G231" s="298"/>
      <c r="H231" s="298"/>
      <c r="I231" s="298"/>
      <c r="J231" s="298"/>
      <c r="K231" s="298"/>
      <c r="L231" s="298">
        <f>-(100000*6897)</f>
        <v>-689700000</v>
      </c>
      <c r="M231" s="298"/>
      <c r="N231" s="298"/>
      <c r="O231" s="298"/>
      <c r="P231" s="298"/>
      <c r="Q231" s="298"/>
      <c r="R231" s="291">
        <f t="shared" si="34"/>
        <v>-689700000</v>
      </c>
      <c r="S231" s="201" t="s">
        <v>863</v>
      </c>
      <c r="T231" s="202"/>
      <c r="U231" s="241"/>
      <c r="V231" s="241"/>
      <c r="W231" s="241"/>
      <c r="BA231"/>
      <c r="BB231"/>
    </row>
    <row r="232" spans="1:54" s="191" customFormat="1" ht="13">
      <c r="A232" s="224"/>
      <c r="B232" s="180">
        <v>6004086651</v>
      </c>
      <c r="C232" s="183" t="str">
        <f>IFERROR(IF(VLOOKUP($B232,勘定科目!$A:$H,HLOOKUP($E$5,勘定科目!$F$1:$H$2,2,0),0)="","",VLOOKUP($B232,勘定科目!$A:$E,2,0)),"")</f>
        <v>福利厚生費（一般）</v>
      </c>
      <c r="D232" s="234" t="str">
        <f>IF(C232="","",VLOOKUP($B232,勘定科目!$A:$E,4,0))</f>
        <v>福利厚生費</v>
      </c>
      <c r="E232" s="240" t="s">
        <v>911</v>
      </c>
      <c r="F232" s="299"/>
      <c r="G232" s="298"/>
      <c r="H232" s="298"/>
      <c r="I232" s="298"/>
      <c r="J232" s="298"/>
      <c r="K232" s="298"/>
      <c r="L232" s="298">
        <f>-(56000*6897)</f>
        <v>-386232000</v>
      </c>
      <c r="M232" s="298"/>
      <c r="N232" s="298"/>
      <c r="O232" s="298"/>
      <c r="P232" s="298"/>
      <c r="Q232" s="298"/>
      <c r="R232" s="291">
        <f t="shared" si="34"/>
        <v>-386232000</v>
      </c>
      <c r="S232" s="201" t="s">
        <v>864</v>
      </c>
      <c r="T232" s="202"/>
      <c r="U232" s="241"/>
      <c r="V232" s="241"/>
      <c r="W232" s="241"/>
      <c r="BA232"/>
      <c r="BB232"/>
    </row>
    <row r="233" spans="1:54" s="191" customFormat="1" ht="13">
      <c r="A233" s="224"/>
      <c r="B233" s="180">
        <v>6004086651</v>
      </c>
      <c r="C233" s="183" t="str">
        <f>IFERROR(IF(VLOOKUP($B233,勘定科目!$A:$H,HLOOKUP($E$5,勘定科目!$F$1:$H$2,2,0),0)="","",VLOOKUP($B233,勘定科目!$A:$E,2,0)),"")</f>
        <v>福利厚生費（一般）</v>
      </c>
      <c r="D233" s="234" t="str">
        <f>IF(C233="","",VLOOKUP($B233,勘定科目!$A:$E,4,0))</f>
        <v>福利厚生費</v>
      </c>
      <c r="E233" s="240" t="s">
        <v>911</v>
      </c>
      <c r="F233" s="299"/>
      <c r="G233" s="298"/>
      <c r="H233" s="298"/>
      <c r="I233" s="298"/>
      <c r="J233" s="298"/>
      <c r="K233" s="298"/>
      <c r="L233" s="298">
        <f>(18*56000)</f>
        <v>1008000</v>
      </c>
      <c r="M233" s="298"/>
      <c r="N233" s="298"/>
      <c r="O233" s="298"/>
      <c r="P233" s="298"/>
      <c r="Q233" s="298"/>
      <c r="R233" s="291">
        <f t="shared" si="34"/>
        <v>1008000</v>
      </c>
      <c r="S233" s="201" t="s">
        <v>865</v>
      </c>
      <c r="T233" s="202"/>
      <c r="U233" s="241"/>
      <c r="V233" s="241"/>
      <c r="W233" s="241"/>
      <c r="BA233"/>
      <c r="BB233"/>
    </row>
    <row r="234" spans="1:54" s="191" customFormat="1" ht="13">
      <c r="A234" s="224"/>
      <c r="B234" s="180">
        <v>6004086651</v>
      </c>
      <c r="C234" s="183" t="str">
        <f>IFERROR(IF(VLOOKUP($B234,勘定科目!$A:$H,HLOOKUP($E$5,勘定科目!$F$1:$H$2,2,0),0)="","",VLOOKUP($B234,勘定科目!$A:$E,2,0)),"")</f>
        <v>福利厚生費（一般）</v>
      </c>
      <c r="D234" s="234" t="str">
        <f>IF(C234="","",VLOOKUP($B234,勘定科目!$A:$E,4,0))</f>
        <v>福利厚生費</v>
      </c>
      <c r="E234" s="240" t="s">
        <v>911</v>
      </c>
      <c r="F234" s="299"/>
      <c r="G234" s="298"/>
      <c r="H234" s="298"/>
      <c r="I234" s="298"/>
      <c r="J234" s="298"/>
      <c r="K234" s="298">
        <f>26000*200</f>
        <v>5200000</v>
      </c>
      <c r="L234" s="298"/>
      <c r="M234" s="298"/>
      <c r="N234" s="298"/>
      <c r="O234" s="298"/>
      <c r="P234" s="298"/>
      <c r="Q234" s="298"/>
      <c r="R234" s="291">
        <f t="shared" si="34"/>
        <v>5200000</v>
      </c>
      <c r="S234" s="201" t="s">
        <v>866</v>
      </c>
      <c r="T234" s="202"/>
      <c r="U234" s="241"/>
      <c r="V234" s="241"/>
      <c r="W234" s="241"/>
      <c r="BA234"/>
      <c r="BB234"/>
    </row>
    <row r="235" spans="1:54" s="191" customFormat="1" ht="13">
      <c r="A235" s="224"/>
      <c r="B235" s="180">
        <v>6004086651</v>
      </c>
      <c r="C235" s="183" t="str">
        <f>IFERROR(IF(VLOOKUP($B235,勘定科目!$A:$H,HLOOKUP($E$5,勘定科目!$F$1:$H$2,2,0),0)="","",VLOOKUP($B235,勘定科目!$A:$E,2,0)),"")</f>
        <v>福利厚生費（一般）</v>
      </c>
      <c r="D235" s="234" t="str">
        <f>IF(C235="","",VLOOKUP($B235,勘定科目!$A:$E,4,0))</f>
        <v>福利厚生費</v>
      </c>
      <c r="E235" s="240" t="s">
        <v>911</v>
      </c>
      <c r="F235" s="299"/>
      <c r="G235" s="298"/>
      <c r="H235" s="298"/>
      <c r="I235" s="298"/>
      <c r="J235" s="298"/>
      <c r="K235" s="298"/>
      <c r="L235" s="298">
        <f>(382000*195)+(549000*195)+(40*549000)+5000000</f>
        <v>208505000</v>
      </c>
      <c r="M235" s="298"/>
      <c r="N235" s="298"/>
      <c r="O235" s="298"/>
      <c r="P235" s="298"/>
      <c r="Q235" s="298"/>
      <c r="R235" s="291">
        <f t="shared" si="34"/>
        <v>208505000</v>
      </c>
      <c r="S235" s="201" t="s">
        <v>867</v>
      </c>
      <c r="T235" s="202"/>
      <c r="U235" s="241"/>
      <c r="V235" s="241"/>
      <c r="W235" s="241"/>
      <c r="BA235"/>
      <c r="BB235"/>
    </row>
    <row r="236" spans="1:54" s="191" customFormat="1" ht="13">
      <c r="A236" s="224"/>
      <c r="B236" s="180">
        <v>6004086651</v>
      </c>
      <c r="C236" s="183" t="str">
        <f>IFERROR(IF(VLOOKUP($B236,勘定科目!$A:$H,HLOOKUP($E$5,勘定科目!$F$1:$H$2,2,0),0)="","",VLOOKUP($B236,勘定科目!$A:$E,2,0)),"")</f>
        <v>福利厚生費（一般）</v>
      </c>
      <c r="D236" s="234" t="str">
        <f>IF(C236="","",VLOOKUP($B236,勘定科目!$A:$E,4,0))</f>
        <v>福利厚生費</v>
      </c>
      <c r="E236" s="240" t="s">
        <v>911</v>
      </c>
      <c r="F236" s="299"/>
      <c r="G236" s="298"/>
      <c r="H236" s="298"/>
      <c r="I236" s="298"/>
      <c r="J236" s="298"/>
      <c r="K236" s="298"/>
      <c r="L236" s="298">
        <f>-L235</f>
        <v>-208505000</v>
      </c>
      <c r="M236" s="298"/>
      <c r="N236" s="298"/>
      <c r="O236" s="298"/>
      <c r="P236" s="298"/>
      <c r="Q236" s="298"/>
      <c r="R236" s="291">
        <f t="shared" si="34"/>
        <v>-208505000</v>
      </c>
      <c r="S236" s="201" t="s">
        <v>868</v>
      </c>
      <c r="T236" s="202"/>
      <c r="U236" s="241"/>
      <c r="V236" s="241"/>
      <c r="W236" s="241"/>
      <c r="BA236"/>
      <c r="BB236"/>
    </row>
    <row r="237" spans="1:54" s="191" customFormat="1" ht="13">
      <c r="A237" s="224"/>
      <c r="B237" s="180">
        <v>6004086651</v>
      </c>
      <c r="C237" s="183" t="str">
        <f>IFERROR(IF(VLOOKUP($B237,勘定科目!$A:$H,HLOOKUP($E$5,勘定科目!$F$1:$H$2,2,0),0)="","",VLOOKUP($B237,勘定科目!$A:$E,2,0)),"")</f>
        <v>福利厚生費（一般）</v>
      </c>
      <c r="D237" s="234" t="str">
        <f>IF(C237="","",VLOOKUP($B237,勘定科目!$A:$E,4,0))</f>
        <v>福利厚生費</v>
      </c>
      <c r="E237" s="240" t="s">
        <v>911</v>
      </c>
      <c r="F237" s="299"/>
      <c r="G237" s="298"/>
      <c r="H237" s="298"/>
      <c r="I237" s="298"/>
      <c r="J237" s="298"/>
      <c r="K237" s="298"/>
      <c r="L237" s="298">
        <f>549000*3</f>
        <v>1647000</v>
      </c>
      <c r="M237" s="298"/>
      <c r="N237" s="298"/>
      <c r="O237" s="298"/>
      <c r="P237" s="298"/>
      <c r="Q237" s="298"/>
      <c r="R237" s="291">
        <f t="shared" si="34"/>
        <v>1647000</v>
      </c>
      <c r="S237" s="201" t="s">
        <v>869</v>
      </c>
      <c r="T237" s="202"/>
      <c r="U237" s="241"/>
      <c r="V237" s="241"/>
      <c r="W237" s="241"/>
      <c r="BA237"/>
      <c r="BB237"/>
    </row>
    <row r="238" spans="1:54" s="191" customFormat="1" ht="13">
      <c r="A238" s="224"/>
      <c r="B238" s="180">
        <v>6004086651</v>
      </c>
      <c r="C238" s="183" t="str">
        <f>IFERROR(IF(VLOOKUP($B238,勘定科目!$A:$H,HLOOKUP($E$5,勘定科目!$F$1:$H$2,2,0),0)="","",VLOOKUP($B238,勘定科目!$A:$E,2,0)),"")</f>
        <v>福利厚生費（一般）</v>
      </c>
      <c r="D238" s="234" t="str">
        <f>IF(C238="","",VLOOKUP($B238,勘定科目!$A:$E,4,0))</f>
        <v>福利厚生費</v>
      </c>
      <c r="E238" s="240" t="s">
        <v>911</v>
      </c>
      <c r="F238" s="299"/>
      <c r="G238" s="298"/>
      <c r="H238" s="298"/>
      <c r="I238" s="298"/>
      <c r="J238" s="298"/>
      <c r="K238" s="298"/>
      <c r="L238" s="298"/>
      <c r="M238" s="298">
        <v>1025740500</v>
      </c>
      <c r="N238" s="298"/>
      <c r="O238" s="298"/>
      <c r="P238" s="298"/>
      <c r="Q238" s="298"/>
      <c r="R238" s="291">
        <f t="shared" si="34"/>
        <v>1025740500</v>
      </c>
      <c r="S238" s="201" t="s">
        <v>870</v>
      </c>
      <c r="T238" s="202"/>
      <c r="U238" s="241"/>
      <c r="V238" s="241"/>
      <c r="W238" s="241"/>
      <c r="BA238"/>
      <c r="BB238"/>
    </row>
    <row r="239" spans="1:54" s="191" customFormat="1" ht="13">
      <c r="A239" s="224"/>
      <c r="B239" s="180">
        <v>6004086651</v>
      </c>
      <c r="C239" s="183" t="str">
        <f>IFERROR(IF(VLOOKUP($B239,勘定科目!$A:$H,HLOOKUP($E$5,勘定科目!$F$1:$H$2,2,0),0)="","",VLOOKUP($B239,勘定科目!$A:$E,2,0)),"")</f>
        <v>福利厚生費（一般）</v>
      </c>
      <c r="D239" s="234" t="str">
        <f>IF(C239="","",VLOOKUP($B239,勘定科目!$A:$E,4,0))</f>
        <v>福利厚生費</v>
      </c>
      <c r="E239" s="240" t="s">
        <v>911</v>
      </c>
      <c r="F239" s="299"/>
      <c r="G239" s="298"/>
      <c r="H239" s="298"/>
      <c r="I239" s="298"/>
      <c r="J239" s="298"/>
      <c r="K239" s="298"/>
      <c r="L239" s="298"/>
      <c r="M239" s="298">
        <f>-M238-M240</f>
        <v>-725740500</v>
      </c>
      <c r="N239" s="298"/>
      <c r="O239" s="298"/>
      <c r="P239" s="298"/>
      <c r="Q239" s="298"/>
      <c r="R239" s="291">
        <f t="shared" si="34"/>
        <v>-725740500</v>
      </c>
      <c r="S239" s="201" t="s">
        <v>871</v>
      </c>
      <c r="T239" s="202"/>
      <c r="U239" s="241"/>
      <c r="V239" s="241"/>
      <c r="W239" s="241"/>
      <c r="BA239"/>
      <c r="BB239"/>
    </row>
    <row r="240" spans="1:54" s="191" customFormat="1" ht="13">
      <c r="A240" s="224"/>
      <c r="B240" s="180">
        <v>6004086651</v>
      </c>
      <c r="C240" s="183" t="str">
        <f>IFERROR(IF(VLOOKUP($B240,勘定科目!$A:$H,HLOOKUP($E$5,勘定科目!$F$1:$H$2,2,0),0)="","",VLOOKUP($B240,勘定科目!$A:$E,2,0)),"")</f>
        <v>福利厚生費（一般）</v>
      </c>
      <c r="D240" s="234" t="str">
        <f>IF(C240="","",VLOOKUP($B240,勘定科目!$A:$E,4,0))</f>
        <v>福利厚生費</v>
      </c>
      <c r="E240" s="240" t="s">
        <v>911</v>
      </c>
      <c r="F240" s="299"/>
      <c r="G240" s="298"/>
      <c r="H240" s="298"/>
      <c r="I240" s="298"/>
      <c r="J240" s="298"/>
      <c r="K240" s="298"/>
      <c r="L240" s="298"/>
      <c r="M240" s="298">
        <f>-300000000</f>
        <v>-300000000</v>
      </c>
      <c r="N240" s="298"/>
      <c r="O240" s="298"/>
      <c r="P240" s="298"/>
      <c r="Q240" s="298"/>
      <c r="R240" s="291">
        <f t="shared" si="34"/>
        <v>-300000000</v>
      </c>
      <c r="S240" s="201" t="s">
        <v>872</v>
      </c>
      <c r="T240" s="202"/>
      <c r="U240" s="241"/>
      <c r="V240" s="241"/>
      <c r="W240" s="241"/>
      <c r="BA240"/>
      <c r="BB240"/>
    </row>
    <row r="241" spans="1:54" s="191" customFormat="1" ht="13">
      <c r="A241" s="224"/>
      <c r="B241" s="180">
        <v>6004086651</v>
      </c>
      <c r="C241" s="183" t="str">
        <f>IFERROR(IF(VLOOKUP($B241,勘定科目!$A:$H,HLOOKUP($E$5,勘定科目!$F$1:$H$2,2,0),0)="","",VLOOKUP($B241,勘定科目!$A:$E,2,0)),"")</f>
        <v>福利厚生費（一般）</v>
      </c>
      <c r="D241" s="234" t="str">
        <f>IF(C241="","",VLOOKUP($B241,勘定科目!$A:$E,4,0))</f>
        <v>福利厚生費</v>
      </c>
      <c r="E241" s="240" t="s">
        <v>911</v>
      </c>
      <c r="F241" s="299"/>
      <c r="G241" s="298"/>
      <c r="H241" s="298"/>
      <c r="I241" s="298"/>
      <c r="J241" s="298"/>
      <c r="K241" s="298"/>
      <c r="L241" s="298"/>
      <c r="M241" s="298">
        <f>107000*18</f>
        <v>1926000</v>
      </c>
      <c r="N241" s="298"/>
      <c r="O241" s="298"/>
      <c r="P241" s="298"/>
      <c r="Q241" s="298"/>
      <c r="R241" s="291">
        <f t="shared" si="34"/>
        <v>1926000</v>
      </c>
      <c r="S241" s="201" t="s">
        <v>873</v>
      </c>
      <c r="T241" s="202"/>
      <c r="U241" s="241"/>
      <c r="V241" s="241"/>
      <c r="W241" s="241"/>
      <c r="BA241"/>
      <c r="BB241"/>
    </row>
    <row r="242" spans="1:54" s="191" customFormat="1" ht="13">
      <c r="A242" s="224"/>
      <c r="B242" s="180">
        <v>6004086651</v>
      </c>
      <c r="C242" s="183" t="str">
        <f>IFERROR(IF(VLOOKUP($B242,勘定科目!$A:$H,HLOOKUP($E$5,勘定科目!$F$1:$H$2,2,0),0)="","",VLOOKUP($B242,勘定科目!$A:$E,2,0)),"")</f>
        <v>福利厚生費（一般）</v>
      </c>
      <c r="D242" s="234" t="str">
        <f>IF(C242="","",VLOOKUP($B242,勘定科目!$A:$E,4,0))</f>
        <v>福利厚生費</v>
      </c>
      <c r="E242" s="240" t="s">
        <v>911</v>
      </c>
      <c r="F242" s="299"/>
      <c r="G242" s="298"/>
      <c r="H242" s="298"/>
      <c r="I242" s="298"/>
      <c r="J242" s="298"/>
      <c r="K242" s="298"/>
      <c r="L242" s="298"/>
      <c r="M242" s="298"/>
      <c r="N242" s="298"/>
      <c r="O242" s="298"/>
      <c r="P242" s="298"/>
      <c r="Q242" s="298">
        <f>300000*18</f>
        <v>5400000</v>
      </c>
      <c r="R242" s="291">
        <f t="shared" si="34"/>
        <v>5400000</v>
      </c>
      <c r="S242" s="201" t="s">
        <v>928</v>
      </c>
      <c r="T242" s="202"/>
      <c r="U242" s="241"/>
      <c r="V242" s="241"/>
      <c r="W242" s="241"/>
      <c r="BA242"/>
      <c r="BB242"/>
    </row>
    <row r="243" spans="1:54" s="191" customFormat="1" ht="13">
      <c r="A243" s="224"/>
      <c r="B243" s="180">
        <v>6004086651</v>
      </c>
      <c r="C243" s="183" t="str">
        <f>IFERROR(IF(VLOOKUP($B243,勘定科目!$A:$H,HLOOKUP($E$5,勘定科目!$F$1:$H$2,2,0),0)="","",VLOOKUP($B243,勘定科目!$A:$E,2,0)),"")</f>
        <v>福利厚生費（一般）</v>
      </c>
      <c r="D243" s="234" t="str">
        <f>IF(C243="","",VLOOKUP($B243,勘定科目!$A:$E,4,0))</f>
        <v>福利厚生費</v>
      </c>
      <c r="E243" s="240" t="s">
        <v>911</v>
      </c>
      <c r="F243" s="299"/>
      <c r="G243" s="298"/>
      <c r="H243" s="298"/>
      <c r="I243" s="298"/>
      <c r="J243" s="298"/>
      <c r="K243" s="298"/>
      <c r="L243" s="298"/>
      <c r="M243" s="298"/>
      <c r="N243" s="298"/>
      <c r="O243" s="298"/>
      <c r="P243" s="298">
        <f>7661*100000</f>
        <v>766100000</v>
      </c>
      <c r="Q243" s="298"/>
      <c r="R243" s="291">
        <f t="shared" si="34"/>
        <v>766100000</v>
      </c>
      <c r="S243" s="201" t="s">
        <v>874</v>
      </c>
      <c r="T243" s="202"/>
      <c r="U243" s="241"/>
      <c r="V243" s="241"/>
      <c r="W243" s="241"/>
      <c r="BA243"/>
      <c r="BB243"/>
    </row>
    <row r="244" spans="1:54" s="191" customFormat="1" ht="13">
      <c r="A244" s="224"/>
      <c r="B244" s="180">
        <v>6004086651</v>
      </c>
      <c r="C244" s="183" t="str">
        <f>IFERROR(IF(VLOOKUP($B244,勘定科目!$A:$H,HLOOKUP($E$5,勘定科目!$F$1:$H$2,2,0),0)="","",VLOOKUP($B244,勘定科目!$A:$E,2,0)),"")</f>
        <v>福利厚生費（一般）</v>
      </c>
      <c r="D244" s="234" t="str">
        <f>IF(C244="","",VLOOKUP($B244,勘定科目!$A:$E,4,0))</f>
        <v>福利厚生費</v>
      </c>
      <c r="E244" s="240" t="s">
        <v>911</v>
      </c>
      <c r="F244" s="299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>
        <f>-P243</f>
        <v>-766100000</v>
      </c>
      <c r="Q244" s="298"/>
      <c r="R244" s="291">
        <f t="shared" si="34"/>
        <v>-766100000</v>
      </c>
      <c r="S244" s="201" t="s">
        <v>875</v>
      </c>
      <c r="T244" s="202"/>
      <c r="U244" s="241"/>
      <c r="V244" s="241"/>
      <c r="W244" s="241"/>
      <c r="BA244"/>
      <c r="BB244"/>
    </row>
    <row r="245" spans="1:54" s="191" customFormat="1" ht="13">
      <c r="A245" s="224"/>
      <c r="B245" s="180">
        <v>6004086651</v>
      </c>
      <c r="C245" s="183" t="str">
        <f>IFERROR(IF(VLOOKUP($B245,勘定科目!$A:$H,HLOOKUP($E$5,勘定科目!$F$1:$H$2,2,0),0)="","",VLOOKUP($B245,勘定科目!$A:$E,2,0)),"")</f>
        <v>福利厚生費（一般）</v>
      </c>
      <c r="D245" s="234" t="str">
        <f>IF(C245="","",VLOOKUP($B245,勘定科目!$A:$E,4,0))</f>
        <v>福利厚生費</v>
      </c>
      <c r="E245" s="240" t="s">
        <v>911</v>
      </c>
      <c r="F245" s="299"/>
      <c r="G245" s="298"/>
      <c r="H245" s="298"/>
      <c r="I245" s="298"/>
      <c r="J245" s="298"/>
      <c r="K245" s="298"/>
      <c r="L245" s="298"/>
      <c r="M245" s="298"/>
      <c r="N245" s="298"/>
      <c r="O245" s="298"/>
      <c r="P245" s="298">
        <f>17*100000</f>
        <v>1700000</v>
      </c>
      <c r="Q245" s="298"/>
      <c r="R245" s="291">
        <f t="shared" si="34"/>
        <v>1700000</v>
      </c>
      <c r="S245" s="201" t="s">
        <v>876</v>
      </c>
      <c r="T245" s="202"/>
      <c r="U245" s="241"/>
      <c r="V245" s="241"/>
      <c r="W245" s="241"/>
      <c r="BA245"/>
      <c r="BB245"/>
    </row>
    <row r="246" spans="1:54" s="191" customFormat="1" ht="13">
      <c r="A246" s="224"/>
      <c r="B246" s="180">
        <v>6004086651</v>
      </c>
      <c r="C246" s="183" t="str">
        <f>IFERROR(IF(VLOOKUP($B246,勘定科目!$A:$H,HLOOKUP($E$5,勘定科目!$F$1:$H$2,2,0),0)="","",VLOOKUP($B246,勘定科目!$A:$E,2,0)),"")</f>
        <v>福利厚生費（一般）</v>
      </c>
      <c r="D246" s="234" t="str">
        <f>IF(C246="","",VLOOKUP($B246,勘定科目!$A:$E,4,0))</f>
        <v>福利厚生費</v>
      </c>
      <c r="E246" s="240" t="s">
        <v>911</v>
      </c>
      <c r="F246" s="299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1">
        <f t="shared" si="34"/>
        <v>0</v>
      </c>
      <c r="S246" s="201" t="s">
        <v>936</v>
      </c>
      <c r="T246" s="202"/>
      <c r="U246" s="241"/>
      <c r="V246" s="241"/>
      <c r="W246" s="241"/>
      <c r="BA246"/>
      <c r="BB246"/>
    </row>
    <row r="247" spans="1:54" s="191" customFormat="1" ht="13">
      <c r="A247" s="224"/>
      <c r="B247" s="180">
        <v>6004086651</v>
      </c>
      <c r="C247" s="183" t="str">
        <f>IFERROR(IF(VLOOKUP($B247,勘定科目!$A:$H,HLOOKUP($E$5,勘定科目!$F$1:$H$2,2,0),0)="","",VLOOKUP($B247,勘定科目!$A:$E,2,0)),"")</f>
        <v>福利厚生費（一般）</v>
      </c>
      <c r="D247" s="234" t="str">
        <f>IF(C247="","",VLOOKUP($B247,勘定科目!$A:$E,4,0))</f>
        <v>福利厚生費</v>
      </c>
      <c r="E247" s="240" t="s">
        <v>913</v>
      </c>
      <c r="F247" s="194"/>
      <c r="G247" s="298"/>
      <c r="H247" s="242"/>
      <c r="I247" s="298">
        <f>50*330000</f>
        <v>16500000</v>
      </c>
      <c r="J247" s="298">
        <f>35*330000</f>
        <v>11550000</v>
      </c>
      <c r="K247" s="291"/>
      <c r="L247" s="291"/>
      <c r="M247" s="291"/>
      <c r="N247" s="291"/>
      <c r="O247" s="291"/>
      <c r="P247" s="291"/>
      <c r="Q247" s="291"/>
      <c r="R247" s="291">
        <f t="shared" si="34"/>
        <v>28050000</v>
      </c>
      <c r="S247" s="201" t="s">
        <v>877</v>
      </c>
      <c r="T247" s="202"/>
      <c r="U247" s="241"/>
      <c r="V247" s="241"/>
      <c r="W247" s="241"/>
      <c r="BA247"/>
      <c r="BB247"/>
    </row>
    <row r="248" spans="1:54" s="191" customFormat="1" ht="13">
      <c r="A248" s="224"/>
      <c r="B248" s="180">
        <v>6004086651</v>
      </c>
      <c r="C248" s="183" t="str">
        <f>IFERROR(IF(VLOOKUP($B248,勘定科目!$A:$H,HLOOKUP($E$5,勘定科目!$F$1:$H$2,2,0),0)="","",VLOOKUP($B248,勘定科目!$A:$E,2,0)),"")</f>
        <v>福利厚生費（一般）</v>
      </c>
      <c r="D248" s="234" t="str">
        <f>IF(C248="","",VLOOKUP($B248,勘定科目!$A:$E,4,0))</f>
        <v>福利厚生費</v>
      </c>
      <c r="E248" s="240" t="s">
        <v>913</v>
      </c>
      <c r="F248" s="194"/>
      <c r="G248" s="242"/>
      <c r="H248" s="242"/>
      <c r="I248" s="242"/>
      <c r="J248" s="291"/>
      <c r="K248" s="291"/>
      <c r="L248" s="291"/>
      <c r="M248" s="291"/>
      <c r="N248" s="291"/>
      <c r="O248" s="291"/>
      <c r="P248" s="291"/>
      <c r="Q248" s="291"/>
      <c r="R248" s="291">
        <f t="shared" si="34"/>
        <v>0</v>
      </c>
      <c r="S248" s="201" t="s">
        <v>878</v>
      </c>
      <c r="T248" s="202"/>
      <c r="U248" s="241"/>
      <c r="V248" s="241"/>
      <c r="W248" s="241"/>
      <c r="BA248"/>
      <c r="BB248"/>
    </row>
    <row r="249" spans="1:54" s="191" customFormat="1" ht="13">
      <c r="A249" s="224"/>
      <c r="B249" s="180">
        <v>6004086651</v>
      </c>
      <c r="C249" s="183" t="str">
        <f>IFERROR(IF(VLOOKUP($B249,勘定科目!$A:$H,HLOOKUP($E$5,勘定科目!$F$1:$H$2,2,0),0)="","",VLOOKUP($B249,勘定科目!$A:$E,2,0)),"")</f>
        <v>福利厚生費（一般）</v>
      </c>
      <c r="D249" s="234" t="str">
        <f>IF(C249="","",VLOOKUP($B249,勘定科目!$A:$E,4,0))</f>
        <v>福利厚生費</v>
      </c>
      <c r="E249" s="240" t="s">
        <v>913</v>
      </c>
      <c r="F249" s="194"/>
      <c r="G249" s="242"/>
      <c r="H249" s="291">
        <f>16800*250</f>
        <v>4200000</v>
      </c>
      <c r="I249" s="242"/>
      <c r="J249" s="291">
        <f>16800*250</f>
        <v>4200000</v>
      </c>
      <c r="K249" s="291"/>
      <c r="L249" s="291">
        <f>16800*250</f>
        <v>4200000</v>
      </c>
      <c r="M249" s="291"/>
      <c r="N249" s="291"/>
      <c r="O249" s="291">
        <f>16800*250</f>
        <v>4200000</v>
      </c>
      <c r="P249" s="291"/>
      <c r="Q249" s="291"/>
      <c r="R249" s="291">
        <f t="shared" si="34"/>
        <v>16800000</v>
      </c>
      <c r="S249" s="201" t="s">
        <v>879</v>
      </c>
      <c r="T249" s="202"/>
      <c r="U249" s="241"/>
      <c r="V249" s="241"/>
      <c r="W249" s="241"/>
      <c r="BA249"/>
      <c r="BB249"/>
    </row>
    <row r="250" spans="1:54" s="191" customFormat="1" ht="13">
      <c r="A250" s="224"/>
      <c r="B250" s="180">
        <v>6004086651</v>
      </c>
      <c r="C250" s="183" t="str">
        <f>IFERROR(IF(VLOOKUP($B250,勘定科目!$A:$H,HLOOKUP($E$5,勘定科目!$F$1:$H$2,2,0),0)="","",VLOOKUP($B250,勘定科目!$A:$E,2,0)),"")</f>
        <v>福利厚生費（一般）</v>
      </c>
      <c r="D250" s="234" t="str">
        <f>IF(C250="","",VLOOKUP($B250,勘定科目!$A:$E,4,0))</f>
        <v>福利厚生費</v>
      </c>
      <c r="E250" s="240" t="s">
        <v>913</v>
      </c>
      <c r="F250" s="194"/>
      <c r="G250" s="242"/>
      <c r="H250" s="298">
        <f>42000*250</f>
        <v>10500000</v>
      </c>
      <c r="I250" s="298"/>
      <c r="J250" s="298">
        <f>42000*250</f>
        <v>10500000</v>
      </c>
      <c r="K250" s="291"/>
      <c r="L250" s="298">
        <f>42000*250</f>
        <v>10500000</v>
      </c>
      <c r="M250" s="291"/>
      <c r="N250" s="291"/>
      <c r="O250" s="298">
        <f>42000*250</f>
        <v>10500000</v>
      </c>
      <c r="P250" s="291"/>
      <c r="Q250" s="291"/>
      <c r="R250" s="291">
        <f t="shared" si="34"/>
        <v>42000000</v>
      </c>
      <c r="S250" s="201" t="s">
        <v>880</v>
      </c>
      <c r="T250" s="202"/>
      <c r="U250" s="241"/>
      <c r="V250" s="241"/>
      <c r="W250" s="241"/>
      <c r="BA250"/>
      <c r="BB250"/>
    </row>
    <row r="251" spans="1:54" s="191" customFormat="1" ht="13">
      <c r="A251" s="224"/>
      <c r="B251" s="180">
        <v>6004086651</v>
      </c>
      <c r="C251" s="183" t="str">
        <f>IFERROR(IF(VLOOKUP($B251,勘定科目!$A:$H,HLOOKUP($E$5,勘定科目!$F$1:$H$2,2,0),0)="","",VLOOKUP($B251,勘定科目!$A:$E,2,0)),"")</f>
        <v>福利厚生費（一般）</v>
      </c>
      <c r="D251" s="234" t="str">
        <f>IF(C251="","",VLOOKUP($B251,勘定科目!$A:$E,4,0))</f>
        <v>福利厚生費</v>
      </c>
      <c r="E251" s="240" t="s">
        <v>913</v>
      </c>
      <c r="F251" s="291"/>
      <c r="G251" s="242"/>
      <c r="H251" s="291">
        <f>2300*500</f>
        <v>1150000</v>
      </c>
      <c r="I251" s="242"/>
      <c r="J251" s="291">
        <f>2300*500</f>
        <v>1150000</v>
      </c>
      <c r="K251" s="291"/>
      <c r="L251" s="291">
        <f>2300*500</f>
        <v>1150000</v>
      </c>
      <c r="M251" s="291"/>
      <c r="N251" s="291"/>
      <c r="O251" s="291">
        <f>2300*500</f>
        <v>1150000</v>
      </c>
      <c r="P251" s="291"/>
      <c r="Q251" s="291"/>
      <c r="R251" s="291">
        <f t="shared" si="34"/>
        <v>4600000</v>
      </c>
      <c r="S251" s="201" t="s">
        <v>881</v>
      </c>
      <c r="T251" s="202"/>
      <c r="U251" s="241"/>
      <c r="V251" s="241"/>
      <c r="W251" s="241"/>
      <c r="BA251"/>
      <c r="BB251"/>
    </row>
    <row r="252" spans="1:54" s="191" customFormat="1" ht="13">
      <c r="A252" s="224"/>
      <c r="B252" s="180">
        <v>6004086651</v>
      </c>
      <c r="C252" s="183" t="str">
        <f>IFERROR(IF(VLOOKUP($B252,勘定科目!$A:$H,HLOOKUP($E$5,勘定科目!$F$1:$H$2,2,0),0)="","",VLOOKUP($B252,勘定科目!$A:$E,2,0)),"")</f>
        <v>福利厚生費（一般）</v>
      </c>
      <c r="D252" s="234" t="str">
        <f>IF(C252="","",VLOOKUP($B252,勘定科目!$A:$E,4,0))</f>
        <v>福利厚生費</v>
      </c>
      <c r="E252" s="240" t="s">
        <v>913</v>
      </c>
      <c r="F252" s="194"/>
      <c r="G252" s="242"/>
      <c r="H252" s="291">
        <f>2500*500</f>
        <v>1250000</v>
      </c>
      <c r="I252" s="242"/>
      <c r="J252" s="291">
        <f>2500*500</f>
        <v>1250000</v>
      </c>
      <c r="K252" s="291"/>
      <c r="L252" s="291">
        <f>2500*500</f>
        <v>1250000</v>
      </c>
      <c r="M252" s="291"/>
      <c r="N252" s="291"/>
      <c r="O252" s="291">
        <f>2500*500</f>
        <v>1250000</v>
      </c>
      <c r="P252" s="291"/>
      <c r="Q252" s="291"/>
      <c r="R252" s="291">
        <f t="shared" si="34"/>
        <v>5000000</v>
      </c>
      <c r="S252" s="201" t="s">
        <v>882</v>
      </c>
      <c r="T252" s="202"/>
      <c r="U252" s="241"/>
      <c r="V252" s="241"/>
      <c r="W252" s="241"/>
      <c r="BA252"/>
      <c r="BB252"/>
    </row>
    <row r="253" spans="1:54" s="191" customFormat="1" ht="13">
      <c r="A253" s="224"/>
      <c r="B253" s="180">
        <v>6004086651</v>
      </c>
      <c r="C253" s="183" t="str">
        <f>IFERROR(IF(VLOOKUP($B253,勘定科目!$A:$H,HLOOKUP($E$5,勘定科目!$F$1:$H$2,2,0),0)="","",VLOOKUP($B253,勘定科目!$A:$E,2,0)),"")</f>
        <v>福利厚生費（一般）</v>
      </c>
      <c r="D253" s="234" t="str">
        <f>IF(C253="","",VLOOKUP($B253,勘定科目!$A:$E,4,0))</f>
        <v>福利厚生費</v>
      </c>
      <c r="E253" s="240" t="s">
        <v>913</v>
      </c>
      <c r="F253" s="194"/>
      <c r="G253" s="242"/>
      <c r="H253" s="291">
        <f>13650*250</f>
        <v>3412500</v>
      </c>
      <c r="I253" s="298"/>
      <c r="J253" s="291">
        <f>13650*250</f>
        <v>3412500</v>
      </c>
      <c r="K253" s="291"/>
      <c r="L253" s="291">
        <f>13650*250</f>
        <v>3412500</v>
      </c>
      <c r="M253" s="291"/>
      <c r="N253" s="291"/>
      <c r="O253" s="291">
        <f>13650*250</f>
        <v>3412500</v>
      </c>
      <c r="P253" s="291"/>
      <c r="Q253" s="291"/>
      <c r="R253" s="291">
        <f t="shared" si="34"/>
        <v>13650000</v>
      </c>
      <c r="S253" s="201" t="s">
        <v>883</v>
      </c>
      <c r="T253" s="202"/>
      <c r="U253" s="241"/>
      <c r="V253" s="241"/>
      <c r="W253" s="241"/>
      <c r="BA253"/>
      <c r="BB253"/>
    </row>
    <row r="254" spans="1:54" s="191" customFormat="1" ht="13">
      <c r="A254" s="224"/>
      <c r="B254" s="180">
        <v>6004086651</v>
      </c>
      <c r="C254" s="183" t="str">
        <f>IFERROR(IF(VLOOKUP($B254,勘定科目!$A:$H,HLOOKUP($E$5,勘定科目!$F$1:$H$2,2,0),0)="","",VLOOKUP($B254,勘定科目!$A:$E,2,0)),"")</f>
        <v>福利厚生費（一般）</v>
      </c>
      <c r="D254" s="234" t="str">
        <f>IF(C254="","",VLOOKUP($B254,勘定科目!$A:$E,4,0))</f>
        <v>福利厚生費</v>
      </c>
      <c r="E254" s="240" t="s">
        <v>913</v>
      </c>
      <c r="F254" s="194"/>
      <c r="G254" s="242"/>
      <c r="H254" s="242"/>
      <c r="I254" s="242"/>
      <c r="J254" s="291"/>
      <c r="K254" s="291"/>
      <c r="L254" s="291"/>
      <c r="M254" s="291"/>
      <c r="N254" s="291"/>
      <c r="O254" s="291"/>
      <c r="P254" s="291"/>
      <c r="Q254" s="291"/>
      <c r="R254" s="291">
        <f t="shared" si="34"/>
        <v>0</v>
      </c>
      <c r="S254" s="201" t="s">
        <v>884</v>
      </c>
      <c r="T254" s="202"/>
      <c r="U254" s="241"/>
      <c r="V254" s="241"/>
      <c r="W254" s="241"/>
      <c r="BA254"/>
      <c r="BB254"/>
    </row>
    <row r="255" spans="1:54" s="191" customFormat="1" ht="13">
      <c r="A255" s="224"/>
      <c r="B255" s="180">
        <v>6004086651</v>
      </c>
      <c r="C255" s="183" t="str">
        <f>IFERROR(IF(VLOOKUP($B255,勘定科目!$A:$H,HLOOKUP($E$5,勘定科目!$F$1:$H$2,2,0),0)="","",VLOOKUP($B255,勘定科目!$A:$E,2,0)),"")</f>
        <v>福利厚生費（一般）</v>
      </c>
      <c r="D255" s="234" t="str">
        <f>IF(C255="","",VLOOKUP($B255,勘定科目!$A:$E,4,0))</f>
        <v>福利厚生費</v>
      </c>
      <c r="E255" s="240" t="s">
        <v>913</v>
      </c>
      <c r="F255" s="194"/>
      <c r="G255" s="242"/>
      <c r="H255" s="242"/>
      <c r="I255" s="242"/>
      <c r="J255" s="291"/>
      <c r="K255" s="291"/>
      <c r="L255" s="291"/>
      <c r="M255" s="291"/>
      <c r="N255" s="291"/>
      <c r="O255" s="291"/>
      <c r="P255" s="291"/>
      <c r="Q255" s="291"/>
      <c r="R255" s="291">
        <f t="shared" si="34"/>
        <v>0</v>
      </c>
      <c r="S255" s="201" t="s">
        <v>885</v>
      </c>
      <c r="T255" s="202"/>
      <c r="U255" s="241"/>
      <c r="V255" s="241"/>
      <c r="W255" s="241"/>
      <c r="BA255"/>
      <c r="BB255"/>
    </row>
    <row r="256" spans="1:54" s="191" customFormat="1" ht="13">
      <c r="A256" s="224"/>
      <c r="B256" s="180">
        <v>6004086651</v>
      </c>
      <c r="C256" s="183" t="str">
        <f>IFERROR(IF(VLOOKUP($B256,勘定科目!$A:$H,HLOOKUP($E$5,勘定科目!$F$1:$H$2,2,0),0)="","",VLOOKUP($B256,勘定科目!$A:$E,2,0)),"")</f>
        <v>福利厚生費（一般）</v>
      </c>
      <c r="D256" s="234" t="str">
        <f>IF(C256="","",VLOOKUP($B256,勘定科目!$A:$E,4,0))</f>
        <v>福利厚生費</v>
      </c>
      <c r="E256" s="240" t="s">
        <v>913</v>
      </c>
      <c r="F256" s="194"/>
      <c r="G256" s="242"/>
      <c r="H256" s="242"/>
      <c r="I256" s="242"/>
      <c r="J256" s="291"/>
      <c r="K256" s="291"/>
      <c r="L256" s="291"/>
      <c r="M256" s="291"/>
      <c r="N256" s="291"/>
      <c r="O256" s="291"/>
      <c r="P256" s="291"/>
      <c r="Q256" s="291"/>
      <c r="R256" s="291">
        <f t="shared" si="34"/>
        <v>0</v>
      </c>
      <c r="S256" s="201" t="s">
        <v>886</v>
      </c>
      <c r="T256" s="202"/>
      <c r="U256" s="241"/>
      <c r="V256" s="241"/>
      <c r="W256" s="241"/>
      <c r="BA256"/>
      <c r="BB256"/>
    </row>
    <row r="257" spans="1:54" s="191" customFormat="1" ht="13">
      <c r="A257" s="224"/>
      <c r="B257" s="180">
        <v>6004086651</v>
      </c>
      <c r="C257" s="183" t="str">
        <f>IFERROR(IF(VLOOKUP($B257,勘定科目!$A:$H,HLOOKUP($E$5,勘定科目!$F$1:$H$2,2,0),0)="","",VLOOKUP($B257,勘定科目!$A:$E,2,0)),"")</f>
        <v>福利厚生費（一般）</v>
      </c>
      <c r="D257" s="234" t="str">
        <f>IF(C257="","",VLOOKUP($B257,勘定科目!$A:$E,4,0))</f>
        <v>福利厚生費</v>
      </c>
      <c r="E257" s="240" t="s">
        <v>913</v>
      </c>
      <c r="F257" s="194"/>
      <c r="G257" s="242"/>
      <c r="H257" s="242"/>
      <c r="I257" s="242"/>
      <c r="J257" s="291"/>
      <c r="K257" s="291"/>
      <c r="L257" s="291"/>
      <c r="M257" s="291"/>
      <c r="N257" s="291"/>
      <c r="O257" s="291"/>
      <c r="P257" s="291"/>
      <c r="Q257" s="291"/>
      <c r="R257" s="291">
        <f t="shared" si="34"/>
        <v>0</v>
      </c>
      <c r="S257" s="201" t="s">
        <v>887</v>
      </c>
      <c r="T257" s="202"/>
      <c r="U257" s="241"/>
      <c r="V257" s="241"/>
      <c r="W257" s="241"/>
      <c r="BA257"/>
      <c r="BB257"/>
    </row>
    <row r="258" spans="1:54" s="191" customFormat="1" ht="13">
      <c r="A258" s="224"/>
      <c r="B258" s="180">
        <v>6004086651</v>
      </c>
      <c r="C258" s="183" t="str">
        <f>IFERROR(IF(VLOOKUP($B258,勘定科目!$A:$H,HLOOKUP($E$5,勘定科目!$F$1:$H$2,2,0),0)="","",VLOOKUP($B258,勘定科目!$A:$E,2,0)),"")</f>
        <v>福利厚生費（一般）</v>
      </c>
      <c r="D258" s="234" t="str">
        <f>IF(C258="","",VLOOKUP($B258,勘定科目!$A:$E,4,0))</f>
        <v>福利厚生費</v>
      </c>
      <c r="E258" s="240" t="s">
        <v>913</v>
      </c>
      <c r="F258" s="194"/>
      <c r="G258" s="242"/>
      <c r="H258" s="242"/>
      <c r="I258" s="242"/>
      <c r="J258" s="291"/>
      <c r="K258" s="291"/>
      <c r="L258" s="291"/>
      <c r="M258" s="291"/>
      <c r="N258" s="291"/>
      <c r="O258" s="291"/>
      <c r="P258" s="291"/>
      <c r="Q258" s="291"/>
      <c r="R258" s="291">
        <f t="shared" si="34"/>
        <v>0</v>
      </c>
      <c r="S258" s="201" t="s">
        <v>888</v>
      </c>
      <c r="T258" s="202"/>
      <c r="U258" s="241"/>
      <c r="V258" s="241"/>
      <c r="W258" s="241"/>
      <c r="BA258"/>
      <c r="BB258"/>
    </row>
    <row r="259" spans="1:54" s="191" customFormat="1" ht="13">
      <c r="A259" s="224"/>
      <c r="B259" s="180">
        <v>6004086651</v>
      </c>
      <c r="C259" s="183" t="str">
        <f>IFERROR(IF(VLOOKUP($B259,勘定科目!$A:$H,HLOOKUP($E$5,勘定科目!$F$1:$H$2,2,0),0)="","",VLOOKUP($B259,勘定科目!$A:$E,2,0)),"")</f>
        <v>福利厚生費（一般）</v>
      </c>
      <c r="D259" s="234" t="str">
        <f>IF(C259="","",VLOOKUP($B259,勘定科目!$A:$E,4,0))</f>
        <v>福利厚生費</v>
      </c>
      <c r="E259" s="240" t="s">
        <v>913</v>
      </c>
      <c r="F259" s="310">
        <v>4850000</v>
      </c>
      <c r="G259" s="242"/>
      <c r="H259" s="242"/>
      <c r="I259" s="194">
        <v>4850000</v>
      </c>
      <c r="J259" s="291"/>
      <c r="K259" s="291"/>
      <c r="L259" s="194">
        <v>4850000</v>
      </c>
      <c r="M259" s="291"/>
      <c r="N259" s="291"/>
      <c r="O259" s="194">
        <v>4850000</v>
      </c>
      <c r="P259" s="291"/>
      <c r="Q259" s="291"/>
      <c r="R259" s="291">
        <f t="shared" si="34"/>
        <v>19400000</v>
      </c>
      <c r="S259" s="201" t="s">
        <v>919</v>
      </c>
      <c r="T259" s="202"/>
      <c r="U259" s="241"/>
      <c r="V259" s="241"/>
      <c r="W259" s="241"/>
      <c r="BA259"/>
      <c r="BB259"/>
    </row>
    <row r="260" spans="1:54" s="191" customFormat="1" ht="13">
      <c r="A260" s="224"/>
      <c r="B260" s="180">
        <v>6004086651</v>
      </c>
      <c r="C260" s="183" t="str">
        <f>IFERROR(IF(VLOOKUP($B260,勘定科目!$A:$H,HLOOKUP($E$5,勘定科目!$F$1:$H$2,2,0),0)="","",VLOOKUP($B260,勘定科目!$A:$E,2,0)),"")</f>
        <v>福利厚生費（一般）</v>
      </c>
      <c r="D260" s="234" t="str">
        <f>IF(C260="","",VLOOKUP($B260,勘定科目!$A:$E,4,0))</f>
        <v>福利厚生費</v>
      </c>
      <c r="E260" s="240" t="s">
        <v>913</v>
      </c>
      <c r="F260" s="194"/>
      <c r="G260" s="298">
        <f>78000*100</f>
        <v>7800000</v>
      </c>
      <c r="H260" s="242"/>
      <c r="I260" s="298">
        <f>51000*100</f>
        <v>5100000</v>
      </c>
      <c r="J260" s="291"/>
      <c r="K260" s="291"/>
      <c r="L260" s="291"/>
      <c r="M260" s="298">
        <f>35000*100</f>
        <v>3500000</v>
      </c>
      <c r="N260" s="291"/>
      <c r="O260" s="291"/>
      <c r="P260" s="291"/>
      <c r="Q260" s="291"/>
      <c r="R260" s="291">
        <f t="shared" si="34"/>
        <v>16400000</v>
      </c>
      <c r="S260" s="201" t="s">
        <v>889</v>
      </c>
      <c r="T260" s="202"/>
      <c r="U260" s="241"/>
      <c r="V260" s="241"/>
      <c r="W260" s="241"/>
      <c r="BA260"/>
      <c r="BB260"/>
    </row>
    <row r="261" spans="1:54" s="191" customFormat="1" ht="13">
      <c r="A261" s="224"/>
      <c r="B261" s="180">
        <v>6004086651</v>
      </c>
      <c r="C261" s="183" t="str">
        <f>IFERROR(IF(VLOOKUP($B261,勘定科目!$A:$H,HLOOKUP($E$5,勘定科目!$F$1:$H$2,2,0),0)="","",VLOOKUP($B261,勘定科目!$A:$E,2,0)),"")</f>
        <v>福利厚生費（一般）</v>
      </c>
      <c r="D261" s="234" t="str">
        <f>IF(C261="","",VLOOKUP($B261,勘定科目!$A:$E,4,0))</f>
        <v>福利厚生費</v>
      </c>
      <c r="E261" s="240" t="s">
        <v>913</v>
      </c>
      <c r="F261" s="291"/>
      <c r="G261" s="242"/>
      <c r="H261" s="242"/>
      <c r="I261" s="298">
        <v>18500000</v>
      </c>
      <c r="J261" s="291"/>
      <c r="K261" s="291"/>
      <c r="L261" s="291"/>
      <c r="M261" s="291"/>
      <c r="N261" s="291"/>
      <c r="O261" s="291"/>
      <c r="P261" s="291"/>
      <c r="Q261" s="291"/>
      <c r="R261" s="291">
        <f t="shared" si="34"/>
        <v>18500000</v>
      </c>
      <c r="S261" s="201" t="s">
        <v>920</v>
      </c>
      <c r="T261" s="202"/>
      <c r="U261" s="241"/>
      <c r="V261" s="241"/>
      <c r="W261" s="241"/>
      <c r="BA261"/>
      <c r="BB261"/>
    </row>
    <row r="262" spans="1:54" s="191" customFormat="1" ht="13">
      <c r="A262" s="224"/>
      <c r="B262" s="180">
        <v>6004086651</v>
      </c>
      <c r="C262" s="183" t="str">
        <f>IFERROR(IF(VLOOKUP($B262,勘定科目!$A:$H,HLOOKUP($E$5,勘定科目!$F$1:$H$2,2,0),0)="","",VLOOKUP($B262,勘定科目!$A:$E,2,0)),"")</f>
        <v>福利厚生費（一般）</v>
      </c>
      <c r="D262" s="234" t="str">
        <f>IF(C262="","",VLOOKUP($B262,勘定科目!$A:$E,4,0))</f>
        <v>福利厚生費</v>
      </c>
      <c r="E262" s="240" t="s">
        <v>913</v>
      </c>
      <c r="F262" s="194"/>
      <c r="G262" s="242"/>
      <c r="H262" s="242"/>
      <c r="I262" s="242"/>
      <c r="J262" s="291"/>
      <c r="K262" s="291"/>
      <c r="L262" s="291"/>
      <c r="M262" s="291"/>
      <c r="N262" s="291"/>
      <c r="O262" s="291"/>
      <c r="P262" s="291"/>
      <c r="Q262" s="291"/>
      <c r="R262" s="291">
        <f t="shared" si="34"/>
        <v>0</v>
      </c>
      <c r="S262" s="201" t="s">
        <v>890</v>
      </c>
      <c r="T262" s="202"/>
      <c r="U262" s="241"/>
      <c r="V262" s="241"/>
      <c r="W262" s="241"/>
      <c r="BA262"/>
      <c r="BB262"/>
    </row>
    <row r="263" spans="1:54" s="191" customFormat="1" ht="13">
      <c r="A263" s="224"/>
      <c r="B263" s="180">
        <v>6004086651</v>
      </c>
      <c r="C263" s="183" t="str">
        <f>IFERROR(IF(VLOOKUP($B263,勘定科目!$A:$H,HLOOKUP($E$5,勘定科目!$F$1:$H$2,2,0),0)="","",VLOOKUP($B263,勘定科目!$A:$E,2,0)),"")</f>
        <v>福利厚生費（一般）</v>
      </c>
      <c r="D263" s="234" t="str">
        <f>IF(C263="","",VLOOKUP($B263,勘定科目!$A:$E,4,0))</f>
        <v>福利厚生費</v>
      </c>
      <c r="E263" s="240" t="s">
        <v>913</v>
      </c>
      <c r="F263" s="194"/>
      <c r="G263" s="242"/>
      <c r="H263" s="242"/>
      <c r="I263" s="242"/>
      <c r="J263" s="291"/>
      <c r="K263" s="291"/>
      <c r="L263" s="291"/>
      <c r="M263" s="291"/>
      <c r="N263" s="291"/>
      <c r="O263" s="291"/>
      <c r="P263" s="291"/>
      <c r="Q263" s="291"/>
      <c r="R263" s="291">
        <f t="shared" si="34"/>
        <v>0</v>
      </c>
      <c r="S263" s="201" t="s">
        <v>891</v>
      </c>
      <c r="T263" s="202"/>
      <c r="U263" s="241"/>
      <c r="V263" s="241"/>
      <c r="W263" s="241"/>
      <c r="BA263"/>
      <c r="BB263"/>
    </row>
    <row r="264" spans="1:54" s="191" customFormat="1" ht="13">
      <c r="A264" s="224"/>
      <c r="B264" s="180">
        <v>6004086651</v>
      </c>
      <c r="C264" s="183" t="str">
        <f>IFERROR(IF(VLOOKUP($B264,勘定科目!$A:$H,HLOOKUP($E$5,勘定科目!$F$1:$H$2,2,0),0)="","",VLOOKUP($B264,勘定科目!$A:$E,2,0)),"")</f>
        <v>福利厚生費（一般）</v>
      </c>
      <c r="D264" s="234" t="str">
        <f>IF(C264="","",VLOOKUP($B264,勘定科目!$A:$E,4,0))</f>
        <v>福利厚生費</v>
      </c>
      <c r="E264" s="240" t="s">
        <v>913</v>
      </c>
      <c r="F264" s="291">
        <v>8500000</v>
      </c>
      <c r="G264" s="242"/>
      <c r="H264" s="242"/>
      <c r="I264" s="242"/>
      <c r="J264" s="291"/>
      <c r="K264" s="291"/>
      <c r="L264" s="291"/>
      <c r="M264" s="291"/>
      <c r="N264" s="291"/>
      <c r="O264" s="291"/>
      <c r="P264" s="291"/>
      <c r="Q264" s="291"/>
      <c r="R264" s="291">
        <f t="shared" si="34"/>
        <v>8500000</v>
      </c>
      <c r="S264" s="201" t="s">
        <v>892</v>
      </c>
      <c r="T264" s="202"/>
      <c r="U264" s="241"/>
      <c r="V264" s="241"/>
      <c r="W264" s="241"/>
      <c r="BA264"/>
      <c r="BB264"/>
    </row>
    <row r="265" spans="1:54" s="191" customFormat="1" ht="13">
      <c r="A265" s="224"/>
      <c r="B265" s="180">
        <v>6004086651</v>
      </c>
      <c r="C265" s="183" t="str">
        <f>IFERROR(IF(VLOOKUP($B265,勘定科目!$A:$H,HLOOKUP($E$5,勘定科目!$F$1:$H$2,2,0),0)="","",VLOOKUP($B265,勘定科目!$A:$E,2,0)),"")</f>
        <v>福利厚生費（一般）</v>
      </c>
      <c r="D265" s="234" t="str">
        <f>IF(C265="","",VLOOKUP($B265,勘定科目!$A:$E,4,0))</f>
        <v>福利厚生費</v>
      </c>
      <c r="E265" s="240" t="s">
        <v>913</v>
      </c>
      <c r="F265" s="194"/>
      <c r="G265" s="242"/>
      <c r="H265" s="242"/>
      <c r="I265" s="242"/>
      <c r="J265" s="291"/>
      <c r="K265" s="291"/>
      <c r="L265" s="291"/>
      <c r="M265" s="291"/>
      <c r="N265" s="291"/>
      <c r="O265" s="291"/>
      <c r="P265" s="291"/>
      <c r="Q265" s="291"/>
      <c r="R265" s="291">
        <f t="shared" si="34"/>
        <v>0</v>
      </c>
      <c r="S265" s="201" t="s">
        <v>893</v>
      </c>
      <c r="T265" s="202"/>
      <c r="U265" s="241"/>
      <c r="V265" s="241"/>
      <c r="W265" s="241"/>
      <c r="BA265"/>
      <c r="BB265"/>
    </row>
    <row r="266" spans="1:54" s="191" customFormat="1" ht="13">
      <c r="A266" s="224"/>
      <c r="B266" s="180">
        <v>6004086651</v>
      </c>
      <c r="C266" s="183" t="str">
        <f>IFERROR(IF(VLOOKUP($B266,勘定科目!$A:$H,HLOOKUP($E$5,勘定科目!$F$1:$H$2,2,0),0)="","",VLOOKUP($B266,勘定科目!$A:$E,2,0)),"")</f>
        <v>福利厚生費（一般）</v>
      </c>
      <c r="D266" s="234" t="str">
        <f>IF(C266="","",VLOOKUP($B266,勘定科目!$A:$E,4,0))</f>
        <v>福利厚生費</v>
      </c>
      <c r="E266" s="240" t="s">
        <v>913</v>
      </c>
      <c r="F266" s="291">
        <f>19500000*6</f>
        <v>117000000</v>
      </c>
      <c r="G266" s="242"/>
      <c r="H266" s="242"/>
      <c r="I266" s="242"/>
      <c r="J266" s="291"/>
      <c r="K266" s="291"/>
      <c r="L266" s="291"/>
      <c r="M266" s="291"/>
      <c r="N266" s="291"/>
      <c r="O266" s="291"/>
      <c r="P266" s="291"/>
      <c r="Q266" s="291"/>
      <c r="R266" s="291">
        <f t="shared" si="34"/>
        <v>117000000</v>
      </c>
      <c r="S266" s="201" t="s">
        <v>921</v>
      </c>
      <c r="T266" s="202"/>
      <c r="U266" s="241"/>
      <c r="V266" s="241"/>
      <c r="W266" s="241"/>
      <c r="BA266"/>
      <c r="BB266"/>
    </row>
    <row r="267" spans="1:54" s="191" customFormat="1" ht="13">
      <c r="A267" s="224"/>
      <c r="B267" s="180">
        <v>6004086651</v>
      </c>
      <c r="C267" s="183" t="str">
        <f>IFERROR(IF(VLOOKUP($B267,勘定科目!$A:$H,HLOOKUP($E$5,勘定科目!$F$1:$H$2,2,0),0)="","",VLOOKUP($B267,勘定科目!$A:$E,2,0)),"")</f>
        <v>福利厚生費（一般）</v>
      </c>
      <c r="D267" s="234" t="str">
        <f>IF(C267="","",VLOOKUP($B267,勘定科目!$A:$E,4,0))</f>
        <v>福利厚生費</v>
      </c>
      <c r="E267" s="240" t="s">
        <v>913</v>
      </c>
      <c r="F267" s="291">
        <f>4600000*4</f>
        <v>18400000</v>
      </c>
      <c r="G267" s="242"/>
      <c r="H267" s="242"/>
      <c r="I267" s="242"/>
      <c r="J267" s="291"/>
      <c r="K267" s="291">
        <f>4600000*4</f>
        <v>18400000</v>
      </c>
      <c r="L267" s="291"/>
      <c r="M267" s="291"/>
      <c r="N267" s="291"/>
      <c r="O267" s="291"/>
      <c r="P267" s="291"/>
      <c r="Q267" s="291"/>
      <c r="R267" s="291">
        <f t="shared" si="34"/>
        <v>36800000</v>
      </c>
      <c r="S267" s="201" t="s">
        <v>924</v>
      </c>
      <c r="T267" s="202"/>
      <c r="U267" s="241"/>
      <c r="V267" s="241"/>
      <c r="W267" s="241"/>
      <c r="BA267"/>
      <c r="BB267"/>
    </row>
    <row r="268" spans="1:54" s="191" customFormat="1" ht="13">
      <c r="A268" s="224"/>
      <c r="B268" s="180">
        <v>6004086651</v>
      </c>
      <c r="C268" s="183" t="str">
        <f>IFERROR(IF(VLOOKUP($B268,勘定科目!$A:$H,HLOOKUP($E$5,勘定科目!$F$1:$H$2,2,0),0)="","",VLOOKUP($B268,勘定科目!$A:$E,2,0)),"")</f>
        <v>福利厚生費（一般）</v>
      </c>
      <c r="D268" s="234" t="str">
        <f>IF(C268="","",VLOOKUP($B268,勘定科目!$A:$E,4,0))</f>
        <v>福利厚生費</v>
      </c>
      <c r="E268" s="240" t="s">
        <v>913</v>
      </c>
      <c r="F268" s="194"/>
      <c r="G268" s="242"/>
      <c r="H268" s="242"/>
      <c r="I268" s="242"/>
      <c r="J268" s="291"/>
      <c r="K268" s="291"/>
      <c r="L268" s="291"/>
      <c r="M268" s="291"/>
      <c r="N268" s="291"/>
      <c r="O268" s="291"/>
      <c r="P268" s="291"/>
      <c r="Q268" s="291"/>
      <c r="R268" s="291">
        <f t="shared" si="34"/>
        <v>0</v>
      </c>
      <c r="S268" s="201" t="s">
        <v>894</v>
      </c>
      <c r="T268" s="202"/>
      <c r="U268" s="241"/>
      <c r="V268" s="241"/>
      <c r="W268" s="241"/>
      <c r="BA268"/>
      <c r="BB268"/>
    </row>
    <row r="269" spans="1:54" s="191" customFormat="1" ht="13">
      <c r="A269" s="224"/>
      <c r="B269" s="180">
        <v>6004086651</v>
      </c>
      <c r="C269" s="183" t="str">
        <f>IFERROR(IF(VLOOKUP($B269,勘定科目!$A:$H,HLOOKUP($E$5,勘定科目!$F$1:$H$2,2,0),0)="","",VLOOKUP($B269,勘定科目!$A:$E,2,0)),"")</f>
        <v>福利厚生費（一般）</v>
      </c>
      <c r="D269" s="234" t="str">
        <f>IF(C269="","",VLOOKUP($B269,勘定科目!$A:$E,4,0))</f>
        <v>福利厚生費</v>
      </c>
      <c r="E269" s="240" t="s">
        <v>911</v>
      </c>
      <c r="F269" s="303">
        <f>30*24500</f>
        <v>735000</v>
      </c>
      <c r="G269" s="303">
        <f t="shared" ref="G269:Q269" si="35">30*24500</f>
        <v>735000</v>
      </c>
      <c r="H269" s="303">
        <f t="shared" si="35"/>
        <v>735000</v>
      </c>
      <c r="I269" s="303">
        <f t="shared" si="35"/>
        <v>735000</v>
      </c>
      <c r="J269" s="303">
        <f t="shared" si="35"/>
        <v>735000</v>
      </c>
      <c r="K269" s="303">
        <f t="shared" si="35"/>
        <v>735000</v>
      </c>
      <c r="L269" s="303">
        <f t="shared" si="35"/>
        <v>735000</v>
      </c>
      <c r="M269" s="303">
        <f t="shared" si="35"/>
        <v>735000</v>
      </c>
      <c r="N269" s="303">
        <f t="shared" si="35"/>
        <v>735000</v>
      </c>
      <c r="O269" s="303">
        <f t="shared" si="35"/>
        <v>735000</v>
      </c>
      <c r="P269" s="303">
        <f t="shared" si="35"/>
        <v>735000</v>
      </c>
      <c r="Q269" s="303">
        <f t="shared" si="35"/>
        <v>735000</v>
      </c>
      <c r="R269" s="291">
        <f t="shared" si="34"/>
        <v>8820000</v>
      </c>
      <c r="S269" s="201" t="s">
        <v>895</v>
      </c>
      <c r="T269" s="202"/>
      <c r="U269" s="241"/>
      <c r="V269" s="241"/>
      <c r="W269" s="241"/>
      <c r="BA269"/>
      <c r="BB269"/>
    </row>
    <row r="270" spans="1:54" s="191" customFormat="1" ht="13">
      <c r="A270" s="224"/>
      <c r="B270" s="180">
        <v>6004086651</v>
      </c>
      <c r="C270" s="183" t="str">
        <f>IFERROR(IF(VLOOKUP($B270,勘定科目!$A:$H,HLOOKUP($E$5,勘定科目!$F$1:$H$2,2,0),0)="","",VLOOKUP($B270,勘定科目!$A:$E,2,0)),"")</f>
        <v>福利厚生費（一般）</v>
      </c>
      <c r="D270" s="234" t="str">
        <f>IF(C270="","",VLOOKUP($B270,勘定科目!$A:$E,4,0))</f>
        <v>福利厚生費</v>
      </c>
      <c r="E270" s="240" t="s">
        <v>911</v>
      </c>
      <c r="F270" s="300">
        <f>160000*2</f>
        <v>320000</v>
      </c>
      <c r="G270" s="300">
        <f t="shared" ref="G270:Q270" si="36">160000*2</f>
        <v>320000</v>
      </c>
      <c r="H270" s="300">
        <f t="shared" si="36"/>
        <v>320000</v>
      </c>
      <c r="I270" s="300">
        <f t="shared" si="36"/>
        <v>320000</v>
      </c>
      <c r="J270" s="300">
        <f t="shared" si="36"/>
        <v>320000</v>
      </c>
      <c r="K270" s="300">
        <f t="shared" si="36"/>
        <v>320000</v>
      </c>
      <c r="L270" s="300">
        <f t="shared" si="36"/>
        <v>320000</v>
      </c>
      <c r="M270" s="300">
        <f t="shared" si="36"/>
        <v>320000</v>
      </c>
      <c r="N270" s="300">
        <f t="shared" si="36"/>
        <v>320000</v>
      </c>
      <c r="O270" s="300">
        <f t="shared" si="36"/>
        <v>320000</v>
      </c>
      <c r="P270" s="300">
        <f t="shared" si="36"/>
        <v>320000</v>
      </c>
      <c r="Q270" s="300">
        <f t="shared" si="36"/>
        <v>320000</v>
      </c>
      <c r="R270" s="291">
        <f t="shared" si="34"/>
        <v>3840000</v>
      </c>
      <c r="S270" s="201" t="s">
        <v>896</v>
      </c>
      <c r="T270" s="202"/>
      <c r="U270" s="241"/>
      <c r="V270" s="241"/>
      <c r="W270" s="241"/>
      <c r="BA270"/>
      <c r="BB270"/>
    </row>
    <row r="271" spans="1:54" s="191" customFormat="1" ht="13">
      <c r="A271" s="224"/>
      <c r="B271" s="180">
        <v>6004086651</v>
      </c>
      <c r="C271" s="183" t="str">
        <f>IFERROR(IF(VLOOKUP($B271,勘定科目!$A:$H,HLOOKUP($E$5,勘定科目!$F$1:$H$2,2,0),0)="","",VLOOKUP($B271,勘定科目!$A:$E,2,0)),"")</f>
        <v>福利厚生費（一般）</v>
      </c>
      <c r="D271" s="234" t="str">
        <f>IF(C271="","",VLOOKUP($B271,勘定科目!$A:$E,4,0))</f>
        <v>福利厚生費</v>
      </c>
      <c r="E271" s="240" t="s">
        <v>911</v>
      </c>
      <c r="F271" s="299">
        <f>475000*3</f>
        <v>1425000</v>
      </c>
      <c r="G271" s="298">
        <f>23000*30</f>
        <v>690000</v>
      </c>
      <c r="H271" s="298"/>
      <c r="I271" s="298"/>
      <c r="J271" s="299">
        <f>475000*3</f>
        <v>1425000</v>
      </c>
      <c r="K271" s="298">
        <f>23000*30</f>
        <v>690000</v>
      </c>
      <c r="L271" s="298"/>
      <c r="M271" s="298"/>
      <c r="N271" s="299">
        <f>475000*3</f>
        <v>1425000</v>
      </c>
      <c r="O271" s="298">
        <f>23000*30</f>
        <v>690000</v>
      </c>
      <c r="P271" s="298"/>
      <c r="Q271" s="298"/>
      <c r="R271" s="291">
        <f t="shared" si="34"/>
        <v>6345000</v>
      </c>
      <c r="S271" s="201" t="s">
        <v>897</v>
      </c>
      <c r="T271" s="202"/>
      <c r="U271" s="241"/>
      <c r="V271" s="241"/>
      <c r="W271" s="241"/>
      <c r="BA271"/>
      <c r="BB271"/>
    </row>
    <row r="272" spans="1:54" s="191" customFormat="1" ht="13">
      <c r="A272" s="224"/>
      <c r="B272" s="180">
        <v>6004086651</v>
      </c>
      <c r="C272" s="183" t="str">
        <f>IFERROR(IF(VLOOKUP($B272,勘定科目!$A:$H,HLOOKUP($E$5,勘定科目!$F$1:$H$2,2,0),0)="","",VLOOKUP($B272,勘定科目!$A:$E,2,0)),"")</f>
        <v>福利厚生費（一般）</v>
      </c>
      <c r="D272" s="234" t="str">
        <f>IF(C272="","",VLOOKUP($B272,勘定科目!$A:$E,4,0))</f>
        <v>福利厚生費</v>
      </c>
      <c r="E272" s="240" t="s">
        <v>911</v>
      </c>
      <c r="F272" s="299">
        <v>12500000</v>
      </c>
      <c r="G272" s="298"/>
      <c r="H272" s="298"/>
      <c r="I272" s="298"/>
      <c r="J272" s="299">
        <v>12500000</v>
      </c>
      <c r="K272" s="298"/>
      <c r="L272" s="298"/>
      <c r="M272" s="298"/>
      <c r="N272" s="299">
        <v>12500000</v>
      </c>
      <c r="O272" s="298"/>
      <c r="P272" s="298"/>
      <c r="Q272" s="298"/>
      <c r="R272" s="291">
        <f t="shared" si="34"/>
        <v>37500000</v>
      </c>
      <c r="S272" s="201" t="s">
        <v>898</v>
      </c>
      <c r="T272" s="202"/>
      <c r="U272" s="241"/>
      <c r="V272" s="241"/>
      <c r="W272" s="241"/>
      <c r="BA272"/>
      <c r="BB272"/>
    </row>
    <row r="273" spans="1:54" s="191" customFormat="1" ht="13">
      <c r="A273" s="224"/>
      <c r="B273" s="180">
        <v>6004086651</v>
      </c>
      <c r="C273" s="183" t="str">
        <f>IFERROR(IF(VLOOKUP($B273,勘定科目!$A:$H,HLOOKUP($E$5,勘定科目!$F$1:$H$2,2,0),0)="","",VLOOKUP($B273,勘定科目!$A:$E,2,0)),"")</f>
        <v>福利厚生費（一般）</v>
      </c>
      <c r="D273" s="234" t="str">
        <f>IF(C273="","",VLOOKUP($B273,勘定科目!$A:$E,4,0))</f>
        <v>福利厚生費</v>
      </c>
      <c r="E273" s="240" t="s">
        <v>911</v>
      </c>
      <c r="F273" s="303">
        <v>170000000</v>
      </c>
      <c r="G273" s="298"/>
      <c r="H273" s="298"/>
      <c r="I273" s="298"/>
      <c r="J273" s="298">
        <v>23000000</v>
      </c>
      <c r="K273" s="298"/>
      <c r="L273" s="298">
        <v>30000000</v>
      </c>
      <c r="M273" s="298"/>
      <c r="N273" s="298"/>
      <c r="O273" s="298"/>
      <c r="P273" s="298"/>
      <c r="Q273" s="298"/>
      <c r="R273" s="291">
        <f t="shared" si="34"/>
        <v>223000000</v>
      </c>
      <c r="S273" s="201" t="s">
        <v>937</v>
      </c>
      <c r="T273" s="202"/>
      <c r="U273" s="241"/>
      <c r="V273" s="241"/>
      <c r="W273" s="241"/>
      <c r="BA273"/>
      <c r="BB273"/>
    </row>
    <row r="274" spans="1:54" s="191" customFormat="1" ht="13">
      <c r="A274" s="224"/>
      <c r="B274" s="180">
        <v>6004086651</v>
      </c>
      <c r="C274" s="183" t="str">
        <f>IFERROR(IF(VLOOKUP($B274,勘定科目!$A:$H,HLOOKUP($E$5,勘定科目!$F$1:$H$2,2,0),0)="","",VLOOKUP($B274,勘定科目!$A:$E,2,0)),"")</f>
        <v>福利厚生費（一般）</v>
      </c>
      <c r="D274" s="234" t="str">
        <f>IF(C274="","",VLOOKUP($B274,勘定科目!$A:$E,4,0))</f>
        <v>福利厚生費</v>
      </c>
      <c r="E274" s="240" t="s">
        <v>911</v>
      </c>
      <c r="F274" s="303">
        <f>17000*(460+50)</f>
        <v>8670000</v>
      </c>
      <c r="G274" s="303">
        <f>17000*(460+50)</f>
        <v>8670000</v>
      </c>
      <c r="H274" s="303">
        <f t="shared" ref="H274:Q274" si="37">17000*(460+50)</f>
        <v>8670000</v>
      </c>
      <c r="I274" s="303">
        <f t="shared" si="37"/>
        <v>8670000</v>
      </c>
      <c r="J274" s="303">
        <f t="shared" si="37"/>
        <v>8670000</v>
      </c>
      <c r="K274" s="303">
        <f t="shared" si="37"/>
        <v>8670000</v>
      </c>
      <c r="L274" s="303">
        <f t="shared" si="37"/>
        <v>8670000</v>
      </c>
      <c r="M274" s="303">
        <f t="shared" si="37"/>
        <v>8670000</v>
      </c>
      <c r="N274" s="303">
        <f t="shared" si="37"/>
        <v>8670000</v>
      </c>
      <c r="O274" s="303">
        <f t="shared" si="37"/>
        <v>8670000</v>
      </c>
      <c r="P274" s="303">
        <f t="shared" si="37"/>
        <v>8670000</v>
      </c>
      <c r="Q274" s="303">
        <f t="shared" si="37"/>
        <v>8670000</v>
      </c>
      <c r="R274" s="291">
        <f t="shared" si="34"/>
        <v>104040000</v>
      </c>
      <c r="S274" s="201" t="s">
        <v>899</v>
      </c>
      <c r="T274" s="202"/>
      <c r="U274" s="241"/>
      <c r="V274" s="241"/>
      <c r="W274" s="241"/>
      <c r="BA274"/>
      <c r="BB274"/>
    </row>
    <row r="275" spans="1:54" s="191" customFormat="1" ht="13">
      <c r="A275" s="224"/>
      <c r="B275" s="180">
        <v>6004086651</v>
      </c>
      <c r="C275" s="183" t="str">
        <f>IFERROR(IF(VLOOKUP($B275,勘定科目!$A:$H,HLOOKUP($E$5,勘定科目!$F$1:$H$2,2,0),0)="","",VLOOKUP($B275,勘定科目!$A:$E,2,0)),"")</f>
        <v>福利厚生費（一般）</v>
      </c>
      <c r="D275" s="234" t="str">
        <f>IF(C275="","",VLOOKUP($B275,勘定科目!$A:$E,4,0))</f>
        <v>福利厚生費</v>
      </c>
      <c r="E275" s="240" t="s">
        <v>911</v>
      </c>
      <c r="F275" s="299">
        <f>245000*3</f>
        <v>735000</v>
      </c>
      <c r="G275" s="299">
        <f t="shared" ref="G275:Q275" si="38">245000*3</f>
        <v>735000</v>
      </c>
      <c r="H275" s="299">
        <f t="shared" si="38"/>
        <v>735000</v>
      </c>
      <c r="I275" s="299">
        <f t="shared" si="38"/>
        <v>735000</v>
      </c>
      <c r="J275" s="299">
        <f t="shared" si="38"/>
        <v>735000</v>
      </c>
      <c r="K275" s="299">
        <f t="shared" si="38"/>
        <v>735000</v>
      </c>
      <c r="L275" s="299">
        <f t="shared" si="38"/>
        <v>735000</v>
      </c>
      <c r="M275" s="299">
        <f t="shared" si="38"/>
        <v>735000</v>
      </c>
      <c r="N275" s="299">
        <f t="shared" si="38"/>
        <v>735000</v>
      </c>
      <c r="O275" s="299">
        <f t="shared" si="38"/>
        <v>735000</v>
      </c>
      <c r="P275" s="299">
        <f t="shared" si="38"/>
        <v>735000</v>
      </c>
      <c r="Q275" s="299">
        <f t="shared" si="38"/>
        <v>735000</v>
      </c>
      <c r="R275" s="291">
        <f t="shared" si="34"/>
        <v>8820000</v>
      </c>
      <c r="S275" s="201" t="s">
        <v>900</v>
      </c>
      <c r="T275" s="202"/>
      <c r="U275" s="241"/>
      <c r="V275" s="241"/>
      <c r="W275" s="241"/>
      <c r="BA275"/>
      <c r="BB275"/>
    </row>
    <row r="276" spans="1:54" s="191" customFormat="1" ht="13">
      <c r="A276" s="224"/>
      <c r="B276" s="180">
        <v>6004086651</v>
      </c>
      <c r="C276" s="183" t="str">
        <f>IFERROR(IF(VLOOKUP($B276,勘定科目!$A:$H,HLOOKUP($E$5,勘定科目!$F$1:$H$2,2,0),0)="","",VLOOKUP($B276,勘定科目!$A:$E,2,0)),"")</f>
        <v>福利厚生費（一般）</v>
      </c>
      <c r="D276" s="234" t="str">
        <f>IF(C276="","",VLOOKUP($B276,勘定科目!$A:$E,4,0))</f>
        <v>福利厚生費</v>
      </c>
      <c r="E276" s="240" t="s">
        <v>911</v>
      </c>
      <c r="F276" s="299">
        <f>245000*5</f>
        <v>1225000</v>
      </c>
      <c r="G276" s="299"/>
      <c r="H276" s="299">
        <f t="shared" ref="H276:P276" si="39">245000*5</f>
        <v>1225000</v>
      </c>
      <c r="I276" s="299"/>
      <c r="J276" s="299">
        <f t="shared" si="39"/>
        <v>1225000</v>
      </c>
      <c r="K276" s="299"/>
      <c r="L276" s="299">
        <f t="shared" si="39"/>
        <v>1225000</v>
      </c>
      <c r="M276" s="299"/>
      <c r="N276" s="299">
        <f t="shared" si="39"/>
        <v>1225000</v>
      </c>
      <c r="O276" s="299"/>
      <c r="P276" s="299">
        <f t="shared" si="39"/>
        <v>1225000</v>
      </c>
      <c r="Q276" s="299"/>
      <c r="R276" s="291">
        <f t="shared" si="34"/>
        <v>7350000</v>
      </c>
      <c r="S276" s="201" t="s">
        <v>901</v>
      </c>
      <c r="T276" s="202"/>
      <c r="U276" s="241"/>
      <c r="V276" s="241"/>
      <c r="W276" s="241"/>
      <c r="BA276"/>
      <c r="BB276"/>
    </row>
    <row r="277" spans="1:54" s="191" customFormat="1" ht="13">
      <c r="A277" s="224"/>
      <c r="B277" s="180">
        <v>6004086651</v>
      </c>
      <c r="C277" s="183" t="str">
        <f>IFERROR(IF(VLOOKUP($B277,勘定科目!$A:$H,HLOOKUP($E$5,勘定科目!$F$1:$H$2,2,0),0)="","",VLOOKUP($B277,勘定科目!$A:$E,2,0)),"")</f>
        <v>福利厚生費（一般）</v>
      </c>
      <c r="D277" s="234" t="str">
        <f>IF(C277="","",VLOOKUP($B277,勘定科目!$A:$E,4,0))</f>
        <v>福利厚生費</v>
      </c>
      <c r="E277" s="240" t="s">
        <v>913</v>
      </c>
      <c r="F277" s="194"/>
      <c r="G277" s="242"/>
      <c r="H277" s="242"/>
      <c r="I277" s="242"/>
      <c r="J277" s="291"/>
      <c r="K277" s="291"/>
      <c r="L277" s="291"/>
      <c r="M277" s="291"/>
      <c r="N277" s="291"/>
      <c r="O277" s="291"/>
      <c r="P277" s="291"/>
      <c r="Q277" s="291"/>
      <c r="R277" s="291">
        <f t="shared" si="34"/>
        <v>0</v>
      </c>
      <c r="S277" s="201" t="s">
        <v>923</v>
      </c>
      <c r="T277" s="202"/>
      <c r="U277" s="241"/>
      <c r="V277" s="241"/>
      <c r="W277" s="241"/>
      <c r="BA277"/>
      <c r="BB277"/>
    </row>
    <row r="278" spans="1:54" s="191" customFormat="1" ht="13">
      <c r="A278" s="224"/>
      <c r="B278" s="180">
        <v>6005176659</v>
      </c>
      <c r="C278" s="183" t="str">
        <f>IFERROR(IF(VLOOKUP($B278,勘定科目!$A:$H,HLOOKUP($E$5,勘定科目!$F$1:$H$2,2,0),0)="","",VLOOKUP($B278,勘定科目!$A:$E,2,0)),"")</f>
        <v>寄付金（一般）</v>
      </c>
      <c r="D278" s="234" t="str">
        <f>IF(C278="","",VLOOKUP($B278,勘定科目!$A:$E,4,0))</f>
        <v>雑費</v>
      </c>
      <c r="E278" s="240" t="s">
        <v>911</v>
      </c>
      <c r="F278" s="291"/>
      <c r="G278" s="298"/>
      <c r="H278" s="298"/>
      <c r="I278" s="298"/>
      <c r="J278" s="291"/>
      <c r="K278" s="291"/>
      <c r="L278" s="291"/>
      <c r="M278" s="291"/>
      <c r="N278" s="291"/>
      <c r="O278" s="291"/>
      <c r="P278" s="298">
        <v>45000000</v>
      </c>
      <c r="Q278" s="291"/>
      <c r="R278" s="291">
        <f t="shared" si="34"/>
        <v>45000000</v>
      </c>
      <c r="S278" s="201" t="s">
        <v>902</v>
      </c>
      <c r="T278" s="202"/>
      <c r="U278" s="241"/>
      <c r="V278" s="241"/>
      <c r="W278" s="241"/>
      <c r="BA278"/>
      <c r="BB278"/>
    </row>
    <row r="279" spans="1:54" s="191" customFormat="1" ht="13">
      <c r="A279" s="224"/>
      <c r="B279" s="180">
        <v>6005246671</v>
      </c>
      <c r="C279" s="183" t="str">
        <f>IFERROR(IF(VLOOKUP($B279,勘定科目!$A:$H,HLOOKUP($E$5,勘定科目!$F$1:$H$2,2,0),0)="","",VLOOKUP($B279,勘定科目!$A:$E,2,0)),"")</f>
        <v>雑費（一般）</v>
      </c>
      <c r="D279" s="234" t="str">
        <f>IF(C279="","",VLOOKUP($B279,勘定科目!$A:$E,4,0))</f>
        <v>雑費</v>
      </c>
      <c r="E279" s="240" t="s">
        <v>910</v>
      </c>
      <c r="F279" s="194"/>
      <c r="G279" s="242"/>
      <c r="H279" s="242"/>
      <c r="I279" s="242"/>
      <c r="J279" s="291"/>
      <c r="K279" s="291"/>
      <c r="L279" s="291"/>
      <c r="M279" s="291"/>
      <c r="N279" s="291"/>
      <c r="O279" s="291"/>
      <c r="P279" s="291"/>
      <c r="Q279" s="291"/>
      <c r="R279" s="291">
        <f t="shared" si="34"/>
        <v>0</v>
      </c>
      <c r="S279" s="201" t="s">
        <v>903</v>
      </c>
      <c r="T279" s="202"/>
      <c r="U279" s="241"/>
      <c r="V279" s="241"/>
      <c r="W279" s="241"/>
      <c r="BA279"/>
      <c r="BB279"/>
    </row>
    <row r="280" spans="1:54" s="191" customFormat="1" ht="13">
      <c r="A280" s="224"/>
      <c r="B280" s="180">
        <v>6004086653</v>
      </c>
      <c r="C280" s="183" t="s">
        <v>316</v>
      </c>
      <c r="D280" s="234" t="s">
        <v>115</v>
      </c>
      <c r="E280" s="240" t="s">
        <v>908</v>
      </c>
      <c r="F280" s="194"/>
      <c r="G280" s="242"/>
      <c r="H280" s="242"/>
      <c r="I280" s="242"/>
      <c r="J280" s="291"/>
      <c r="K280" s="291">
        <v>1300000</v>
      </c>
      <c r="L280" s="291"/>
      <c r="M280" s="291"/>
      <c r="N280" s="291"/>
      <c r="O280" s="291"/>
      <c r="P280" s="291">
        <v>1300000</v>
      </c>
      <c r="Q280" s="291"/>
      <c r="R280" s="291">
        <f t="shared" si="34"/>
        <v>2600000</v>
      </c>
      <c r="S280" s="201"/>
      <c r="T280" s="202"/>
      <c r="U280" s="241"/>
      <c r="V280" s="241"/>
      <c r="W280" s="241"/>
      <c r="BA280"/>
      <c r="BB280"/>
    </row>
    <row r="281" spans="1:54" s="191" customFormat="1" ht="13">
      <c r="A281" s="224"/>
      <c r="B281" s="180">
        <v>6004086653</v>
      </c>
      <c r="C281" s="183" t="str">
        <f>IFERROR(IF(VLOOKUP($B281,勘定科目!$A:$H,HLOOKUP($E$5,勘定科目!$F$1:$H$2,2,0),0)="","",VLOOKUP($B281,勘定科目!$A:$E,2,0)),"")</f>
        <v>教育訓練費（一般）</v>
      </c>
      <c r="D281" s="234" t="str">
        <f>IF(C281="","",VLOOKUP($B281,勘定科目!$A:$E,4,0))</f>
        <v>募集教育費</v>
      </c>
      <c r="E281" s="240" t="s">
        <v>913</v>
      </c>
      <c r="F281" s="194"/>
      <c r="G281" s="242"/>
      <c r="H281" s="242"/>
      <c r="I281" s="242"/>
      <c r="J281" s="291"/>
      <c r="K281" s="291"/>
      <c r="L281" s="291"/>
      <c r="M281" s="303">
        <f>225000*(41+25)</f>
        <v>14850000</v>
      </c>
      <c r="N281" s="291"/>
      <c r="O281" s="291"/>
      <c r="P281" s="291"/>
      <c r="Q281" s="291"/>
      <c r="R281" s="291">
        <f t="shared" si="34"/>
        <v>14850000</v>
      </c>
      <c r="S281" s="201" t="s">
        <v>939</v>
      </c>
      <c r="T281" s="202"/>
      <c r="U281" s="241"/>
      <c r="V281" s="241"/>
      <c r="W281" s="241"/>
      <c r="BA281"/>
      <c r="BB281"/>
    </row>
    <row r="282" spans="1:54" s="191" customFormat="1" ht="13">
      <c r="A282" s="224"/>
      <c r="B282" s="180">
        <v>6005186429</v>
      </c>
      <c r="C282" s="183" t="str">
        <f>IFERROR(IF(VLOOKUP($B282,勘定科目!$A:$H,HLOOKUP($E$5,勘定科目!$F$1:$H$2,2,0),0)="","",VLOOKUP($B282,勘定科目!$A:$E,2,0)),"")</f>
        <v>その他税金（一般）</v>
      </c>
      <c r="D282" s="234" t="str">
        <f>IF(C282="","",VLOOKUP($B282,勘定科目!$A:$E,4,0))</f>
        <v>公租公課</v>
      </c>
      <c r="E282" s="240" t="s">
        <v>918</v>
      </c>
      <c r="F282" s="194"/>
      <c r="G282" s="242"/>
      <c r="H282" s="242"/>
      <c r="I282" s="242"/>
      <c r="J282" s="291"/>
      <c r="K282" s="291"/>
      <c r="L282" s="291"/>
      <c r="M282" s="291"/>
      <c r="N282" s="291"/>
      <c r="O282" s="291"/>
      <c r="P282" s="291"/>
      <c r="Q282" s="291"/>
      <c r="R282" s="291">
        <f t="shared" si="34"/>
        <v>0</v>
      </c>
      <c r="S282" s="201" t="s">
        <v>904</v>
      </c>
      <c r="T282" s="202"/>
      <c r="U282" s="241"/>
      <c r="V282" s="241"/>
      <c r="W282" s="241"/>
      <c r="BA282"/>
      <c r="BB282"/>
    </row>
    <row r="283" spans="1:54" s="191" customFormat="1" ht="13">
      <c r="A283" s="224"/>
      <c r="B283" s="180">
        <v>6005146629</v>
      </c>
      <c r="C283" s="183" t="str">
        <f>IFERROR(IF(VLOOKUP($B283,勘定科目!$A:$H,HLOOKUP($E$5,勘定科目!$F$1:$H$2,2,0),0)="","",VLOOKUP($B283,勘定科目!$A:$E,2,0)),"")</f>
        <v>ライセンス料（一般）</v>
      </c>
      <c r="D283" s="234" t="str">
        <f>IF(C283="","",VLOOKUP($B283,勘定科目!$A:$E,4,0))</f>
        <v>図書及び事務費</v>
      </c>
      <c r="E283" s="240" t="s">
        <v>908</v>
      </c>
      <c r="F283" s="194"/>
      <c r="G283" s="242"/>
      <c r="H283" s="242"/>
      <c r="I283" s="242"/>
      <c r="J283" s="291"/>
      <c r="K283" s="291"/>
      <c r="L283" s="291"/>
      <c r="M283" s="291"/>
      <c r="N283" s="291"/>
      <c r="O283" s="291"/>
      <c r="P283" s="291"/>
      <c r="Q283" s="291"/>
      <c r="R283" s="291">
        <f t="shared" si="34"/>
        <v>0</v>
      </c>
      <c r="S283" s="201" t="s">
        <v>905</v>
      </c>
      <c r="T283" s="202"/>
      <c r="U283" s="241"/>
      <c r="V283" s="241"/>
      <c r="W283" s="241"/>
      <c r="BA283"/>
      <c r="BB283"/>
    </row>
    <row r="284" spans="1:54" s="191" customFormat="1" ht="13">
      <c r="A284" s="224"/>
      <c r="B284" s="180"/>
      <c r="C284" s="183" t="str">
        <f>IFERROR(IF(VLOOKUP($B284,勘定科目!$A:$H,HLOOKUP($E$5,勘定科目!$F$1:$H$2,2,0),0)="","",VLOOKUP($B284,勘定科目!$A:$E,2,0)),"")</f>
        <v/>
      </c>
      <c r="D284" s="234" t="str">
        <f>IF(C284="","",VLOOKUP($B284,勘定科目!$A:$E,4,0))</f>
        <v/>
      </c>
      <c r="E284" s="240"/>
      <c r="F284" s="194"/>
      <c r="G284" s="242"/>
      <c r="H284" s="242"/>
      <c r="I284" s="242"/>
      <c r="J284" s="291"/>
      <c r="K284" s="291"/>
      <c r="L284" s="291"/>
      <c r="M284" s="291"/>
      <c r="N284" s="291"/>
      <c r="O284" s="291"/>
      <c r="P284" s="291"/>
      <c r="Q284" s="291"/>
      <c r="R284" s="291">
        <f t="shared" ref="R284:R347" si="40">SUM(F284:Q284)</f>
        <v>0</v>
      </c>
      <c r="S284" s="201"/>
      <c r="T284" s="202"/>
      <c r="U284" s="241"/>
      <c r="V284" s="241"/>
      <c r="W284" s="241"/>
      <c r="BA284"/>
      <c r="BB284"/>
    </row>
    <row r="285" spans="1:54" s="191" customFormat="1" ht="13">
      <c r="A285" s="224"/>
      <c r="B285" s="180"/>
      <c r="C285" s="183" t="str">
        <f>IFERROR(IF(VLOOKUP($B285,勘定科目!$A:$H,HLOOKUP($E$5,勘定科目!$F$1:$H$2,2,0),0)="","",VLOOKUP($B285,勘定科目!$A:$E,2,0)),"")</f>
        <v/>
      </c>
      <c r="D285" s="234" t="str">
        <f>IF(C285="","",VLOOKUP($B285,勘定科目!$A:$E,4,0))</f>
        <v/>
      </c>
      <c r="E285" s="240"/>
      <c r="F285" s="194"/>
      <c r="G285" s="242"/>
      <c r="H285" s="242"/>
      <c r="I285" s="242"/>
      <c r="J285" s="291"/>
      <c r="K285" s="291"/>
      <c r="L285" s="291"/>
      <c r="M285" s="291"/>
      <c r="N285" s="291"/>
      <c r="O285" s="291"/>
      <c r="P285" s="291"/>
      <c r="Q285" s="291"/>
      <c r="R285" s="291">
        <f t="shared" si="40"/>
        <v>0</v>
      </c>
      <c r="S285" s="201"/>
      <c r="T285" s="202"/>
      <c r="U285" s="241"/>
      <c r="V285" s="241"/>
      <c r="W285" s="241"/>
      <c r="BA285"/>
      <c r="BB285"/>
    </row>
    <row r="286" spans="1:54" s="191" customFormat="1" ht="13">
      <c r="A286" s="224"/>
      <c r="B286" s="180"/>
      <c r="C286" s="183" t="str">
        <f>IFERROR(IF(VLOOKUP($B286,勘定科目!$A:$H,HLOOKUP($E$5,勘定科目!$F$1:$H$2,2,0),0)="","",VLOOKUP($B286,勘定科目!$A:$E,2,0)),"")</f>
        <v/>
      </c>
      <c r="D286" s="234" t="str">
        <f>IF(C286="","",VLOOKUP($B286,勘定科目!$A:$E,4,0))</f>
        <v/>
      </c>
      <c r="E286" s="240"/>
      <c r="F286" s="194"/>
      <c r="G286" s="242"/>
      <c r="H286" s="242"/>
      <c r="I286" s="242"/>
      <c r="J286" s="291"/>
      <c r="K286" s="291"/>
      <c r="L286" s="291"/>
      <c r="M286" s="291"/>
      <c r="N286" s="291"/>
      <c r="O286" s="291"/>
      <c r="P286" s="291"/>
      <c r="Q286" s="291"/>
      <c r="R286" s="291">
        <f t="shared" si="40"/>
        <v>0</v>
      </c>
      <c r="S286" s="201"/>
      <c r="T286" s="202"/>
      <c r="U286" s="241"/>
      <c r="V286" s="241"/>
      <c r="W286" s="241"/>
      <c r="BA286"/>
      <c r="BB286"/>
    </row>
    <row r="287" spans="1:54" s="191" customFormat="1" ht="13">
      <c r="A287" s="224"/>
      <c r="B287" s="180"/>
      <c r="C287" s="183" t="str">
        <f>IFERROR(IF(VLOOKUP($B287,勘定科目!$A:$H,HLOOKUP($E$5,勘定科目!$F$1:$H$2,2,0),0)="","",VLOOKUP($B287,勘定科目!$A:$E,2,0)),"")</f>
        <v/>
      </c>
      <c r="D287" s="234" t="str">
        <f>IF(C287="","",VLOOKUP($B287,勘定科目!$A:$E,4,0))</f>
        <v/>
      </c>
      <c r="E287" s="240"/>
      <c r="F287" s="194"/>
      <c r="G287" s="242"/>
      <c r="H287" s="242"/>
      <c r="I287" s="242"/>
      <c r="J287" s="291"/>
      <c r="K287" s="291"/>
      <c r="L287" s="291"/>
      <c r="M287" s="291"/>
      <c r="N287" s="291"/>
      <c r="O287" s="291"/>
      <c r="P287" s="291"/>
      <c r="Q287" s="291"/>
      <c r="R287" s="291">
        <f t="shared" si="40"/>
        <v>0</v>
      </c>
      <c r="S287" s="201"/>
      <c r="T287" s="202"/>
      <c r="U287" s="241"/>
      <c r="V287" s="241"/>
      <c r="W287" s="241"/>
      <c r="BA287"/>
      <c r="BB287"/>
    </row>
    <row r="288" spans="1:54" s="191" customFormat="1" ht="13">
      <c r="A288" s="224"/>
      <c r="B288" s="180"/>
      <c r="C288" s="183" t="str">
        <f>IFERROR(IF(VLOOKUP($B288,勘定科目!$A:$H,HLOOKUP($E$5,勘定科目!$F$1:$H$2,2,0),0)="","",VLOOKUP($B288,勘定科目!$A:$E,2,0)),"")</f>
        <v/>
      </c>
      <c r="D288" s="234" t="str">
        <f>IF(C288="","",VLOOKUP($B288,勘定科目!$A:$E,4,0))</f>
        <v/>
      </c>
      <c r="E288" s="240"/>
      <c r="F288" s="194"/>
      <c r="G288" s="242"/>
      <c r="H288" s="242"/>
      <c r="I288" s="242"/>
      <c r="J288" s="291"/>
      <c r="K288" s="291"/>
      <c r="L288" s="291"/>
      <c r="M288" s="291"/>
      <c r="N288" s="291"/>
      <c r="O288" s="291"/>
      <c r="P288" s="291"/>
      <c r="Q288" s="291"/>
      <c r="R288" s="291">
        <f t="shared" si="40"/>
        <v>0</v>
      </c>
      <c r="S288" s="201"/>
      <c r="T288" s="202"/>
      <c r="U288" s="241"/>
      <c r="V288" s="241"/>
      <c r="W288" s="241"/>
      <c r="BA288"/>
      <c r="BB288"/>
    </row>
    <row r="289" spans="1:54" s="191" customFormat="1" ht="13">
      <c r="A289" s="224"/>
      <c r="B289" s="180"/>
      <c r="C289" s="183" t="str">
        <f>IFERROR(IF(VLOOKUP($B289,勘定科目!$A:$H,HLOOKUP($E$5,勘定科目!$F$1:$H$2,2,0),0)="","",VLOOKUP($B289,勘定科目!$A:$E,2,0)),"")</f>
        <v/>
      </c>
      <c r="D289" s="234" t="str">
        <f>IF(C289="","",VLOOKUP($B289,勘定科目!$A:$E,4,0))</f>
        <v/>
      </c>
      <c r="E289" s="240"/>
      <c r="F289" s="194"/>
      <c r="G289" s="242"/>
      <c r="H289" s="242"/>
      <c r="I289" s="242"/>
      <c r="J289" s="291"/>
      <c r="K289" s="291"/>
      <c r="L289" s="291"/>
      <c r="M289" s="291"/>
      <c r="N289" s="291"/>
      <c r="O289" s="291"/>
      <c r="P289" s="291"/>
      <c r="Q289" s="291"/>
      <c r="R289" s="291">
        <f t="shared" si="40"/>
        <v>0</v>
      </c>
      <c r="S289" s="201"/>
      <c r="T289" s="202"/>
      <c r="U289" s="241"/>
      <c r="V289" s="241"/>
      <c r="W289" s="241"/>
      <c r="BA289"/>
      <c r="BB289"/>
    </row>
    <row r="290" spans="1:54" s="191" customFormat="1" ht="13">
      <c r="A290" s="224"/>
      <c r="B290" s="180"/>
      <c r="C290" s="183" t="str">
        <f>IFERROR(IF(VLOOKUP($B290,勘定科目!$A:$H,HLOOKUP($E$5,勘定科目!$F$1:$H$2,2,0),0)="","",VLOOKUP($B290,勘定科目!$A:$E,2,0)),"")</f>
        <v/>
      </c>
      <c r="D290" s="234" t="str">
        <f>IF(C290="","",VLOOKUP($B290,勘定科目!$A:$E,4,0))</f>
        <v/>
      </c>
      <c r="E290" s="240"/>
      <c r="F290" s="194"/>
      <c r="G290" s="242"/>
      <c r="H290" s="242"/>
      <c r="I290" s="242"/>
      <c r="J290" s="291"/>
      <c r="K290" s="291"/>
      <c r="L290" s="291"/>
      <c r="M290" s="291"/>
      <c r="N290" s="291"/>
      <c r="O290" s="291"/>
      <c r="P290" s="291"/>
      <c r="Q290" s="291"/>
      <c r="R290" s="291">
        <f t="shared" si="40"/>
        <v>0</v>
      </c>
      <c r="S290" s="201"/>
      <c r="T290" s="202"/>
      <c r="U290" s="241"/>
      <c r="V290" s="241"/>
      <c r="W290" s="241"/>
      <c r="BA290"/>
      <c r="BB290"/>
    </row>
    <row r="291" spans="1:54" s="191" customFormat="1" ht="13">
      <c r="A291" s="182"/>
      <c r="B291" s="178"/>
      <c r="C291" s="183" t="str">
        <f>IFERROR(IF(VLOOKUP($B291,勘定科目!$A:$H,HLOOKUP($E$5,勘定科目!$F$1:$H$2,2,0),0)="","",VLOOKUP($B291,勘定科目!$A:$E,2,0)),"")</f>
        <v/>
      </c>
      <c r="D291" s="234" t="str">
        <f>IF(C291="","",VLOOKUP($B291,勘定科目!$A:$E,4,0))</f>
        <v/>
      </c>
      <c r="E291" s="240"/>
      <c r="F291" s="235"/>
      <c r="G291" s="236"/>
      <c r="H291" s="236"/>
      <c r="I291" s="236"/>
      <c r="J291" s="291"/>
      <c r="K291" s="291"/>
      <c r="L291" s="291"/>
      <c r="M291" s="291"/>
      <c r="N291" s="291"/>
      <c r="O291" s="291"/>
      <c r="P291" s="291"/>
      <c r="Q291" s="291"/>
      <c r="R291" s="291">
        <f t="shared" si="40"/>
        <v>0</v>
      </c>
      <c r="S291" s="201"/>
      <c r="T291" s="202"/>
      <c r="U291" s="241"/>
      <c r="V291" s="241"/>
      <c r="W291" s="241"/>
      <c r="BA291"/>
      <c r="BB291"/>
    </row>
    <row r="292" spans="1:54" s="191" customFormat="1" ht="13">
      <c r="A292" s="182"/>
      <c r="B292" s="178"/>
      <c r="C292" s="183" t="str">
        <f>IFERROR(IF(VLOOKUP($B292,勘定科目!$A:$H,HLOOKUP($E$5,勘定科目!$F$1:$H$2,2,0),0)="","",VLOOKUP($B292,勘定科目!$A:$E,2,0)),"")</f>
        <v/>
      </c>
      <c r="D292" s="234" t="str">
        <f>IF(C292="","",VLOOKUP($B292,勘定科目!$A:$E,4,0))</f>
        <v/>
      </c>
      <c r="E292" s="240"/>
      <c r="F292" s="235"/>
      <c r="G292" s="236"/>
      <c r="H292" s="236"/>
      <c r="I292" s="236"/>
      <c r="J292" s="291"/>
      <c r="K292" s="291"/>
      <c r="L292" s="291"/>
      <c r="M292" s="291"/>
      <c r="N292" s="291"/>
      <c r="O292" s="291"/>
      <c r="P292" s="291"/>
      <c r="Q292" s="291"/>
      <c r="R292" s="291">
        <f t="shared" si="40"/>
        <v>0</v>
      </c>
      <c r="S292" s="201"/>
      <c r="T292" s="202"/>
      <c r="U292" s="241"/>
      <c r="V292" s="241"/>
      <c r="W292" s="241"/>
      <c r="BA292"/>
      <c r="BB292"/>
    </row>
    <row r="293" spans="1:54" s="191" customFormat="1" ht="13">
      <c r="A293" s="182"/>
      <c r="B293" s="178"/>
      <c r="C293" s="183" t="str">
        <f>IFERROR(IF(VLOOKUP($B293,勘定科目!$A:$H,HLOOKUP($E$5,勘定科目!$F$1:$H$2,2,0),0)="","",VLOOKUP($B293,勘定科目!$A:$E,2,0)),"")</f>
        <v/>
      </c>
      <c r="D293" s="234" t="str">
        <f>IF(C293="","",VLOOKUP($B293,勘定科目!$A:$E,4,0))</f>
        <v/>
      </c>
      <c r="E293" s="240"/>
      <c r="F293" s="235"/>
      <c r="G293" s="236"/>
      <c r="H293" s="236"/>
      <c r="I293" s="236"/>
      <c r="J293" s="291"/>
      <c r="K293" s="291"/>
      <c r="L293" s="291"/>
      <c r="M293" s="291"/>
      <c r="N293" s="291"/>
      <c r="O293" s="291"/>
      <c r="P293" s="291"/>
      <c r="Q293" s="291"/>
      <c r="R293" s="291">
        <f t="shared" si="40"/>
        <v>0</v>
      </c>
      <c r="S293" s="201"/>
      <c r="T293" s="202"/>
      <c r="U293" s="241"/>
      <c r="V293" s="241"/>
      <c r="W293" s="241"/>
      <c r="BA293"/>
      <c r="BB293"/>
    </row>
    <row r="294" spans="1:54" s="191" customFormat="1" ht="13">
      <c r="A294" s="182"/>
      <c r="B294" s="178"/>
      <c r="C294" s="183" t="str">
        <f>IFERROR(IF(VLOOKUP($B294,勘定科目!$A:$H,HLOOKUP($E$5,勘定科目!$F$1:$H$2,2,0),0)="","",VLOOKUP($B294,勘定科目!$A:$E,2,0)),"")</f>
        <v/>
      </c>
      <c r="D294" s="234" t="str">
        <f>IF(C294="","",VLOOKUP($B294,勘定科目!$A:$E,4,0))</f>
        <v/>
      </c>
      <c r="E294" s="240"/>
      <c r="F294" s="235"/>
      <c r="G294" s="236"/>
      <c r="H294" s="236"/>
      <c r="I294" s="236"/>
      <c r="J294" s="291"/>
      <c r="K294" s="291"/>
      <c r="L294" s="291"/>
      <c r="M294" s="291"/>
      <c r="N294" s="291"/>
      <c r="O294" s="291"/>
      <c r="P294" s="291"/>
      <c r="Q294" s="291"/>
      <c r="R294" s="291">
        <f t="shared" si="40"/>
        <v>0</v>
      </c>
      <c r="S294" s="201"/>
      <c r="T294" s="202"/>
      <c r="U294" s="241"/>
      <c r="V294" s="241"/>
      <c r="W294" s="241"/>
      <c r="BA294"/>
      <c r="BB294"/>
    </row>
    <row r="295" spans="1:54" s="191" customFormat="1" ht="13">
      <c r="A295" s="182"/>
      <c r="B295" s="178"/>
      <c r="C295" s="183" t="str">
        <f>IFERROR(IF(VLOOKUP($B295,勘定科目!$A:$H,HLOOKUP($E$5,勘定科目!$F$1:$H$2,2,0),0)="","",VLOOKUP($B295,勘定科目!$A:$E,2,0)),"")</f>
        <v/>
      </c>
      <c r="D295" s="234" t="str">
        <f>IF(C295="","",VLOOKUP($B295,勘定科目!$A:$E,4,0))</f>
        <v/>
      </c>
      <c r="E295" s="240"/>
      <c r="F295" s="235"/>
      <c r="G295" s="236"/>
      <c r="H295" s="236"/>
      <c r="I295" s="236"/>
      <c r="J295" s="291"/>
      <c r="K295" s="291"/>
      <c r="L295" s="291"/>
      <c r="M295" s="291"/>
      <c r="N295" s="291"/>
      <c r="O295" s="291"/>
      <c r="P295" s="291"/>
      <c r="Q295" s="291"/>
      <c r="R295" s="291">
        <f t="shared" si="40"/>
        <v>0</v>
      </c>
      <c r="S295" s="201"/>
      <c r="T295" s="202"/>
      <c r="U295" s="241"/>
      <c r="V295" s="241"/>
      <c r="W295" s="241"/>
      <c r="BA295"/>
      <c r="BB295"/>
    </row>
    <row r="296" spans="1:54" s="191" customFormat="1" ht="13">
      <c r="A296" s="182"/>
      <c r="B296" s="178"/>
      <c r="C296" s="183" t="str">
        <f>IFERROR(IF(VLOOKUP($B296,勘定科目!$A:$H,HLOOKUP($E$5,勘定科目!$F$1:$H$2,2,0),0)="","",VLOOKUP($B296,勘定科目!$A:$E,2,0)),"")</f>
        <v/>
      </c>
      <c r="D296" s="234" t="str">
        <f>IF(C296="","",VLOOKUP($B296,勘定科目!$A:$E,4,0))</f>
        <v/>
      </c>
      <c r="E296" s="240"/>
      <c r="F296" s="235"/>
      <c r="G296" s="236"/>
      <c r="H296" s="236"/>
      <c r="I296" s="236"/>
      <c r="J296" s="291"/>
      <c r="K296" s="291"/>
      <c r="L296" s="291"/>
      <c r="M296" s="291"/>
      <c r="N296" s="291"/>
      <c r="O296" s="291"/>
      <c r="P296" s="291"/>
      <c r="Q296" s="291"/>
      <c r="R296" s="291">
        <f t="shared" si="40"/>
        <v>0</v>
      </c>
      <c r="S296" s="201"/>
      <c r="T296" s="202"/>
      <c r="U296" s="241"/>
      <c r="V296" s="241"/>
      <c r="W296" s="241"/>
      <c r="BA296"/>
      <c r="BB296"/>
    </row>
    <row r="297" spans="1:54" s="191" customFormat="1" ht="13">
      <c r="A297" s="182"/>
      <c r="B297" s="178"/>
      <c r="C297" s="183" t="str">
        <f>IFERROR(IF(VLOOKUP($B297,勘定科目!$A:$H,HLOOKUP($E$5,勘定科目!$F$1:$H$2,2,0),0)="","",VLOOKUP($B297,勘定科目!$A:$E,2,0)),"")</f>
        <v/>
      </c>
      <c r="D297" s="234" t="str">
        <f>IF(C297="","",VLOOKUP($B297,勘定科目!$A:$E,4,0))</f>
        <v/>
      </c>
      <c r="E297" s="240"/>
      <c r="F297" s="235"/>
      <c r="G297" s="236"/>
      <c r="H297" s="236"/>
      <c r="I297" s="236"/>
      <c r="J297" s="291"/>
      <c r="K297" s="291"/>
      <c r="L297" s="291"/>
      <c r="M297" s="291"/>
      <c r="N297" s="291"/>
      <c r="O297" s="291"/>
      <c r="P297" s="291"/>
      <c r="Q297" s="291"/>
      <c r="R297" s="291">
        <f t="shared" si="40"/>
        <v>0</v>
      </c>
      <c r="S297" s="201"/>
      <c r="T297" s="202"/>
      <c r="U297" s="241"/>
      <c r="V297" s="241"/>
      <c r="W297" s="241"/>
      <c r="BA297"/>
      <c r="BB297"/>
    </row>
    <row r="298" spans="1:54" s="191" customFormat="1" ht="13">
      <c r="A298" s="182"/>
      <c r="B298" s="178"/>
      <c r="C298" s="183" t="str">
        <f>IFERROR(IF(VLOOKUP($B298,勘定科目!$A:$H,HLOOKUP($E$5,勘定科目!$F$1:$H$2,2,0),0)="","",VLOOKUP($B298,勘定科目!$A:$E,2,0)),"")</f>
        <v/>
      </c>
      <c r="D298" s="234" t="str">
        <f>IF(C298="","",VLOOKUP($B298,勘定科目!$A:$E,4,0))</f>
        <v/>
      </c>
      <c r="E298" s="240"/>
      <c r="F298" s="235"/>
      <c r="G298" s="236"/>
      <c r="H298" s="236"/>
      <c r="I298" s="236"/>
      <c r="J298" s="291"/>
      <c r="K298" s="291"/>
      <c r="L298" s="291"/>
      <c r="M298" s="291"/>
      <c r="N298" s="291"/>
      <c r="O298" s="291"/>
      <c r="P298" s="291"/>
      <c r="Q298" s="291"/>
      <c r="R298" s="291">
        <f t="shared" si="40"/>
        <v>0</v>
      </c>
      <c r="S298" s="201"/>
      <c r="T298" s="202"/>
      <c r="U298" s="241"/>
      <c r="V298" s="241"/>
      <c r="W298" s="241"/>
      <c r="BA298"/>
      <c r="BB298"/>
    </row>
    <row r="299" spans="1:54" s="191" customFormat="1" ht="13">
      <c r="A299" s="182"/>
      <c r="B299" s="178"/>
      <c r="C299" s="183" t="str">
        <f>IFERROR(IF(VLOOKUP($B299,勘定科目!$A:$H,HLOOKUP($E$5,勘定科目!$F$1:$H$2,2,0),0)="","",VLOOKUP($B299,勘定科目!$A:$E,2,0)),"")</f>
        <v/>
      </c>
      <c r="D299" s="234" t="str">
        <f>IF(C299="","",VLOOKUP($B299,勘定科目!$A:$E,4,0))</f>
        <v/>
      </c>
      <c r="E299" s="240"/>
      <c r="F299" s="235"/>
      <c r="G299" s="236"/>
      <c r="H299" s="236"/>
      <c r="I299" s="236"/>
      <c r="J299" s="291"/>
      <c r="K299" s="291"/>
      <c r="L299" s="291"/>
      <c r="M299" s="291"/>
      <c r="N299" s="291"/>
      <c r="O299" s="291"/>
      <c r="P299" s="291"/>
      <c r="Q299" s="291"/>
      <c r="R299" s="291">
        <f t="shared" si="40"/>
        <v>0</v>
      </c>
      <c r="S299" s="201"/>
      <c r="T299" s="202"/>
      <c r="U299" s="241"/>
      <c r="V299" s="241"/>
      <c r="W299" s="241"/>
      <c r="BA299"/>
      <c r="BB299"/>
    </row>
    <row r="300" spans="1:54" s="191" customFormat="1" ht="13">
      <c r="A300" s="182"/>
      <c r="B300" s="178"/>
      <c r="C300" s="183" t="str">
        <f>IFERROR(IF(VLOOKUP($B300,勘定科目!$A:$H,HLOOKUP($E$5,勘定科目!$F$1:$H$2,2,0),0)="","",VLOOKUP($B300,勘定科目!$A:$E,2,0)),"")</f>
        <v/>
      </c>
      <c r="D300" s="234" t="str">
        <f>IF(C300="","",VLOOKUP($B300,勘定科目!$A:$E,4,0))</f>
        <v/>
      </c>
      <c r="E300" s="240"/>
      <c r="F300" s="235"/>
      <c r="G300" s="236"/>
      <c r="H300" s="236"/>
      <c r="I300" s="236"/>
      <c r="J300" s="291"/>
      <c r="K300" s="291"/>
      <c r="L300" s="291"/>
      <c r="M300" s="291"/>
      <c r="N300" s="291"/>
      <c r="O300" s="291"/>
      <c r="P300" s="291"/>
      <c r="Q300" s="291"/>
      <c r="R300" s="291">
        <f t="shared" si="40"/>
        <v>0</v>
      </c>
      <c r="S300" s="201"/>
      <c r="T300" s="202"/>
      <c r="U300" s="241"/>
      <c r="V300" s="241"/>
      <c r="W300" s="241"/>
      <c r="BA300"/>
      <c r="BB300"/>
    </row>
    <row r="301" spans="1:54" s="191" customFormat="1" ht="13">
      <c r="A301" s="182"/>
      <c r="B301" s="178"/>
      <c r="C301" s="183" t="str">
        <f>IFERROR(IF(VLOOKUP($B301,勘定科目!$A:$H,HLOOKUP($E$5,勘定科目!$F$1:$H$2,2,0),0)="","",VLOOKUP($B301,勘定科目!$A:$E,2,0)),"")</f>
        <v/>
      </c>
      <c r="D301" s="234" t="str">
        <f>IF(C301="","",VLOOKUP($B301,勘定科目!$A:$E,4,0))</f>
        <v/>
      </c>
      <c r="E301" s="240"/>
      <c r="F301" s="235"/>
      <c r="G301" s="236"/>
      <c r="H301" s="236"/>
      <c r="I301" s="236"/>
      <c r="J301" s="291"/>
      <c r="K301" s="291"/>
      <c r="L301" s="291"/>
      <c r="M301" s="291"/>
      <c r="N301" s="291"/>
      <c r="O301" s="291"/>
      <c r="P301" s="291"/>
      <c r="Q301" s="291"/>
      <c r="R301" s="291">
        <f t="shared" si="40"/>
        <v>0</v>
      </c>
      <c r="S301" s="201"/>
      <c r="T301" s="202"/>
      <c r="U301" s="241"/>
      <c r="V301" s="241"/>
      <c r="W301" s="241"/>
      <c r="BA301"/>
      <c r="BB301"/>
    </row>
    <row r="302" spans="1:54" s="191" customFormat="1" ht="13">
      <c r="A302" s="182"/>
      <c r="B302" s="178"/>
      <c r="C302" s="183" t="str">
        <f>IFERROR(IF(VLOOKUP($B302,勘定科目!$A:$H,HLOOKUP($E$5,勘定科目!$F$1:$H$2,2,0),0)="","",VLOOKUP($B302,勘定科目!$A:$E,2,0)),"")</f>
        <v/>
      </c>
      <c r="D302" s="234" t="str">
        <f>IF(C302="","",VLOOKUP($B302,勘定科目!$A:$E,4,0))</f>
        <v/>
      </c>
      <c r="E302" s="240"/>
      <c r="F302" s="235"/>
      <c r="G302" s="236"/>
      <c r="H302" s="236"/>
      <c r="I302" s="236"/>
      <c r="J302" s="291"/>
      <c r="K302" s="291"/>
      <c r="L302" s="291"/>
      <c r="M302" s="291"/>
      <c r="N302" s="291"/>
      <c r="O302" s="291"/>
      <c r="P302" s="291"/>
      <c r="Q302" s="291"/>
      <c r="R302" s="291">
        <f t="shared" si="40"/>
        <v>0</v>
      </c>
      <c r="S302" s="201"/>
      <c r="T302" s="202"/>
      <c r="U302" s="241"/>
      <c r="V302" s="241"/>
      <c r="W302" s="241"/>
      <c r="BA302"/>
      <c r="BB302"/>
    </row>
    <row r="303" spans="1:54" s="191" customFormat="1" ht="13">
      <c r="A303" s="182"/>
      <c r="B303" s="178"/>
      <c r="C303" s="183" t="str">
        <f>IFERROR(IF(VLOOKUP($B303,勘定科目!$A:$H,HLOOKUP($E$5,勘定科目!$F$1:$H$2,2,0),0)="","",VLOOKUP($B303,勘定科目!$A:$E,2,0)),"")</f>
        <v/>
      </c>
      <c r="D303" s="234" t="str">
        <f>IF(C303="","",VLOOKUP($B303,勘定科目!$A:$E,4,0))</f>
        <v/>
      </c>
      <c r="E303" s="240"/>
      <c r="F303" s="235"/>
      <c r="G303" s="236"/>
      <c r="H303" s="236"/>
      <c r="I303" s="236"/>
      <c r="J303" s="291"/>
      <c r="K303" s="291"/>
      <c r="L303" s="291"/>
      <c r="M303" s="291"/>
      <c r="N303" s="291"/>
      <c r="O303" s="291"/>
      <c r="P303" s="291"/>
      <c r="Q303" s="291"/>
      <c r="R303" s="291">
        <f t="shared" si="40"/>
        <v>0</v>
      </c>
      <c r="S303" s="201"/>
      <c r="T303" s="202"/>
      <c r="U303" s="241"/>
      <c r="V303" s="241"/>
      <c r="W303" s="241"/>
      <c r="BA303"/>
      <c r="BB303"/>
    </row>
    <row r="304" spans="1:54" s="191" customFormat="1" ht="13">
      <c r="A304" s="182"/>
      <c r="B304" s="178"/>
      <c r="C304" s="183" t="str">
        <f>IFERROR(IF(VLOOKUP($B304,勘定科目!$A:$H,HLOOKUP($E$5,勘定科目!$F$1:$H$2,2,0),0)="","",VLOOKUP($B304,勘定科目!$A:$E,2,0)),"")</f>
        <v/>
      </c>
      <c r="D304" s="234" t="str">
        <f>IF(C304="","",VLOOKUP($B304,勘定科目!$A:$E,4,0))</f>
        <v/>
      </c>
      <c r="E304" s="240"/>
      <c r="F304" s="235"/>
      <c r="G304" s="236"/>
      <c r="H304" s="236"/>
      <c r="I304" s="236"/>
      <c r="J304" s="291"/>
      <c r="K304" s="291"/>
      <c r="L304" s="291"/>
      <c r="M304" s="291"/>
      <c r="N304" s="291"/>
      <c r="O304" s="291"/>
      <c r="P304" s="291"/>
      <c r="Q304" s="291"/>
      <c r="R304" s="291">
        <f t="shared" si="40"/>
        <v>0</v>
      </c>
      <c r="S304" s="201"/>
      <c r="T304" s="202"/>
      <c r="U304" s="241"/>
      <c r="V304" s="241"/>
      <c r="W304" s="241"/>
      <c r="BA304"/>
      <c r="BB304"/>
    </row>
    <row r="305" spans="1:54" s="191" customFormat="1" ht="13">
      <c r="A305" s="182"/>
      <c r="B305" s="178"/>
      <c r="C305" s="183" t="str">
        <f>IFERROR(IF(VLOOKUP($B305,勘定科目!$A:$H,HLOOKUP($E$5,勘定科目!$F$1:$H$2,2,0),0)="","",VLOOKUP($B305,勘定科目!$A:$E,2,0)),"")</f>
        <v/>
      </c>
      <c r="D305" s="234" t="str">
        <f>IF(C305="","",VLOOKUP($B305,勘定科目!$A:$E,4,0))</f>
        <v/>
      </c>
      <c r="E305" s="240"/>
      <c r="F305" s="235"/>
      <c r="G305" s="236"/>
      <c r="H305" s="236"/>
      <c r="I305" s="236"/>
      <c r="J305" s="291"/>
      <c r="K305" s="291"/>
      <c r="L305" s="291"/>
      <c r="M305" s="291"/>
      <c r="N305" s="291"/>
      <c r="O305" s="291"/>
      <c r="P305" s="291"/>
      <c r="Q305" s="291"/>
      <c r="R305" s="291">
        <f t="shared" si="40"/>
        <v>0</v>
      </c>
      <c r="S305" s="201"/>
      <c r="T305" s="202"/>
      <c r="U305" s="241"/>
      <c r="V305" s="241"/>
      <c r="W305" s="241"/>
      <c r="BA305"/>
      <c r="BB305"/>
    </row>
    <row r="306" spans="1:54" s="191" customFormat="1" ht="13">
      <c r="A306" s="182"/>
      <c r="B306" s="178"/>
      <c r="C306" s="183" t="str">
        <f>IFERROR(IF(VLOOKUP($B306,勘定科目!$A:$H,HLOOKUP($E$5,勘定科目!$F$1:$H$2,2,0),0)="","",VLOOKUP($B306,勘定科目!$A:$E,2,0)),"")</f>
        <v/>
      </c>
      <c r="D306" s="234" t="str">
        <f>IF(C306="","",VLOOKUP($B306,勘定科目!$A:$E,4,0))</f>
        <v/>
      </c>
      <c r="E306" s="240"/>
      <c r="F306" s="235"/>
      <c r="G306" s="236"/>
      <c r="H306" s="236"/>
      <c r="I306" s="236"/>
      <c r="J306" s="291"/>
      <c r="K306" s="291"/>
      <c r="L306" s="291"/>
      <c r="M306" s="291"/>
      <c r="N306" s="291"/>
      <c r="O306" s="291"/>
      <c r="P306" s="291"/>
      <c r="Q306" s="291"/>
      <c r="R306" s="291">
        <f t="shared" si="40"/>
        <v>0</v>
      </c>
      <c r="S306" s="201"/>
      <c r="T306" s="202"/>
      <c r="U306" s="241"/>
      <c r="V306" s="241"/>
      <c r="W306" s="241"/>
      <c r="BA306"/>
      <c r="BB306"/>
    </row>
    <row r="307" spans="1:54" s="191" customFormat="1" ht="13">
      <c r="A307" s="182"/>
      <c r="B307" s="178"/>
      <c r="C307" s="183" t="str">
        <f>IFERROR(IF(VLOOKUP($B307,勘定科目!$A:$H,HLOOKUP($E$5,勘定科目!$F$1:$H$2,2,0),0)="","",VLOOKUP($B307,勘定科目!$A:$E,2,0)),"")</f>
        <v/>
      </c>
      <c r="D307" s="234" t="str">
        <f>IF(C307="","",VLOOKUP($B307,勘定科目!$A:$E,4,0))</f>
        <v/>
      </c>
      <c r="E307" s="240"/>
      <c r="F307" s="235"/>
      <c r="G307" s="236"/>
      <c r="H307" s="236"/>
      <c r="I307" s="236"/>
      <c r="J307" s="291"/>
      <c r="K307" s="291"/>
      <c r="L307" s="291"/>
      <c r="M307" s="291"/>
      <c r="N307" s="291"/>
      <c r="O307" s="291"/>
      <c r="P307" s="291"/>
      <c r="Q307" s="291"/>
      <c r="R307" s="291">
        <f t="shared" si="40"/>
        <v>0</v>
      </c>
      <c r="S307" s="201"/>
      <c r="T307" s="202"/>
      <c r="U307" s="241"/>
      <c r="V307" s="241"/>
      <c r="W307" s="241"/>
      <c r="BA307"/>
      <c r="BB307"/>
    </row>
    <row r="308" spans="1:54" s="191" customFormat="1" ht="13">
      <c r="A308" s="182"/>
      <c r="B308" s="178"/>
      <c r="C308" s="183" t="str">
        <f>IFERROR(IF(VLOOKUP($B308,勘定科目!$A:$H,HLOOKUP($E$5,勘定科目!$F$1:$H$2,2,0),0)="","",VLOOKUP($B308,勘定科目!$A:$E,2,0)),"")</f>
        <v/>
      </c>
      <c r="D308" s="234" t="str">
        <f>IF(C308="","",VLOOKUP($B308,勘定科目!$A:$E,4,0))</f>
        <v/>
      </c>
      <c r="E308" s="240"/>
      <c r="F308" s="235"/>
      <c r="G308" s="236"/>
      <c r="H308" s="236"/>
      <c r="I308" s="236"/>
      <c r="J308" s="291"/>
      <c r="K308" s="291"/>
      <c r="L308" s="291"/>
      <c r="M308" s="291"/>
      <c r="N308" s="291"/>
      <c r="O308" s="291"/>
      <c r="P308" s="291"/>
      <c r="Q308" s="291"/>
      <c r="R308" s="291">
        <f t="shared" si="40"/>
        <v>0</v>
      </c>
      <c r="S308" s="201"/>
      <c r="T308" s="202"/>
      <c r="U308" s="241"/>
      <c r="V308" s="241"/>
      <c r="W308" s="241"/>
      <c r="BA308"/>
      <c r="BB308"/>
    </row>
    <row r="309" spans="1:54" s="191" customFormat="1" ht="13">
      <c r="A309" s="182"/>
      <c r="B309" s="178"/>
      <c r="C309" s="183" t="str">
        <f>IFERROR(IF(VLOOKUP($B309,勘定科目!$A:$H,HLOOKUP($E$5,勘定科目!$F$1:$H$2,2,0),0)="","",VLOOKUP($B309,勘定科目!$A:$E,2,0)),"")</f>
        <v/>
      </c>
      <c r="D309" s="234" t="str">
        <f>IF(C309="","",VLOOKUP($B309,勘定科目!$A:$E,4,0))</f>
        <v/>
      </c>
      <c r="E309" s="240"/>
      <c r="F309" s="235"/>
      <c r="G309" s="236"/>
      <c r="H309" s="236"/>
      <c r="I309" s="236"/>
      <c r="J309" s="291"/>
      <c r="K309" s="291"/>
      <c r="L309" s="291"/>
      <c r="M309" s="291"/>
      <c r="N309" s="291"/>
      <c r="O309" s="291"/>
      <c r="P309" s="291"/>
      <c r="Q309" s="291"/>
      <c r="R309" s="291">
        <f t="shared" si="40"/>
        <v>0</v>
      </c>
      <c r="S309" s="201"/>
      <c r="T309" s="202"/>
      <c r="U309" s="241"/>
      <c r="V309" s="241"/>
      <c r="W309" s="241"/>
      <c r="BA309"/>
      <c r="BB309"/>
    </row>
    <row r="310" spans="1:54" s="191" customFormat="1" ht="13">
      <c r="A310" s="182"/>
      <c r="B310" s="178"/>
      <c r="C310" s="183" t="str">
        <f>IFERROR(IF(VLOOKUP($B310,勘定科目!$A:$H,HLOOKUP($E$5,勘定科目!$F$1:$H$2,2,0),0)="","",VLOOKUP($B310,勘定科目!$A:$E,2,0)),"")</f>
        <v/>
      </c>
      <c r="D310" s="234" t="str">
        <f>IF(C310="","",VLOOKUP($B310,勘定科目!$A:$E,4,0))</f>
        <v/>
      </c>
      <c r="E310" s="240"/>
      <c r="F310" s="235"/>
      <c r="G310" s="236"/>
      <c r="H310" s="236"/>
      <c r="I310" s="236"/>
      <c r="J310" s="291"/>
      <c r="K310" s="291"/>
      <c r="L310" s="291"/>
      <c r="M310" s="291"/>
      <c r="N310" s="291"/>
      <c r="O310" s="291"/>
      <c r="P310" s="291"/>
      <c r="Q310" s="291"/>
      <c r="R310" s="291">
        <f t="shared" si="40"/>
        <v>0</v>
      </c>
      <c r="S310" s="201"/>
      <c r="T310" s="202"/>
      <c r="U310" s="241"/>
      <c r="V310" s="241"/>
      <c r="W310" s="241"/>
      <c r="BA310"/>
      <c r="BB310"/>
    </row>
    <row r="311" spans="1:54" s="191" customFormat="1" ht="13">
      <c r="A311" s="182"/>
      <c r="B311" s="178"/>
      <c r="C311" s="183" t="str">
        <f>IFERROR(IF(VLOOKUP($B311,勘定科目!$A:$H,HLOOKUP($E$5,勘定科目!$F$1:$H$2,2,0),0)="","",VLOOKUP($B311,勘定科目!$A:$E,2,0)),"")</f>
        <v/>
      </c>
      <c r="D311" s="234" t="str">
        <f>IF(C311="","",VLOOKUP($B311,勘定科目!$A:$E,4,0))</f>
        <v/>
      </c>
      <c r="E311" s="240"/>
      <c r="F311" s="235"/>
      <c r="G311" s="236"/>
      <c r="H311" s="236"/>
      <c r="I311" s="236"/>
      <c r="J311" s="291"/>
      <c r="K311" s="291"/>
      <c r="L311" s="291"/>
      <c r="M311" s="291"/>
      <c r="N311" s="291"/>
      <c r="O311" s="291"/>
      <c r="P311" s="291"/>
      <c r="Q311" s="291"/>
      <c r="R311" s="291">
        <f t="shared" si="40"/>
        <v>0</v>
      </c>
      <c r="S311" s="201"/>
      <c r="T311" s="202"/>
      <c r="U311" s="241"/>
      <c r="V311" s="241"/>
      <c r="W311" s="241"/>
      <c r="BA311"/>
      <c r="BB311"/>
    </row>
    <row r="312" spans="1:54" s="191" customFormat="1" ht="13">
      <c r="A312" s="182"/>
      <c r="B312" s="178"/>
      <c r="C312" s="183" t="str">
        <f>IFERROR(IF(VLOOKUP($B312,勘定科目!$A:$H,HLOOKUP($E$5,勘定科目!$F$1:$H$2,2,0),0)="","",VLOOKUP($B312,勘定科目!$A:$E,2,0)),"")</f>
        <v/>
      </c>
      <c r="D312" s="234" t="str">
        <f>IF(C312="","",VLOOKUP($B312,勘定科目!$A:$E,4,0))</f>
        <v/>
      </c>
      <c r="E312" s="240"/>
      <c r="F312" s="235"/>
      <c r="G312" s="236"/>
      <c r="H312" s="236"/>
      <c r="I312" s="236"/>
      <c r="J312" s="291"/>
      <c r="K312" s="291"/>
      <c r="L312" s="291"/>
      <c r="M312" s="291"/>
      <c r="N312" s="291"/>
      <c r="O312" s="291"/>
      <c r="P312" s="291"/>
      <c r="Q312" s="291"/>
      <c r="R312" s="291">
        <f t="shared" si="40"/>
        <v>0</v>
      </c>
      <c r="S312" s="201"/>
      <c r="T312" s="202"/>
      <c r="U312" s="241"/>
      <c r="V312" s="241"/>
      <c r="W312" s="241"/>
      <c r="BA312"/>
      <c r="BB312"/>
    </row>
    <row r="313" spans="1:54" s="191" customFormat="1" ht="13">
      <c r="A313" s="182"/>
      <c r="B313" s="178"/>
      <c r="C313" s="183" t="str">
        <f>IFERROR(IF(VLOOKUP($B313,勘定科目!$A:$H,HLOOKUP($E$5,勘定科目!$F$1:$H$2,2,0),0)="","",VLOOKUP($B313,勘定科目!$A:$E,2,0)),"")</f>
        <v/>
      </c>
      <c r="D313" s="234" t="str">
        <f>IF(C313="","",VLOOKUP($B313,勘定科目!$A:$E,4,0))</f>
        <v/>
      </c>
      <c r="E313" s="240"/>
      <c r="F313" s="235"/>
      <c r="G313" s="236"/>
      <c r="H313" s="236"/>
      <c r="I313" s="236"/>
      <c r="J313" s="291"/>
      <c r="K313" s="291"/>
      <c r="L313" s="291"/>
      <c r="M313" s="291"/>
      <c r="N313" s="291"/>
      <c r="O313" s="291"/>
      <c r="P313" s="291"/>
      <c r="Q313" s="291"/>
      <c r="R313" s="291">
        <f t="shared" si="40"/>
        <v>0</v>
      </c>
      <c r="S313" s="201"/>
      <c r="T313" s="202"/>
      <c r="U313" s="241"/>
      <c r="V313" s="241"/>
      <c r="W313" s="241"/>
      <c r="BA313"/>
      <c r="BB313"/>
    </row>
    <row r="314" spans="1:54" s="191" customFormat="1" ht="13">
      <c r="A314" s="182"/>
      <c r="B314" s="178"/>
      <c r="C314" s="183" t="str">
        <f>IFERROR(IF(VLOOKUP($B314,勘定科目!$A:$H,HLOOKUP($E$5,勘定科目!$F$1:$H$2,2,0),0)="","",VLOOKUP($B314,勘定科目!$A:$E,2,0)),"")</f>
        <v/>
      </c>
      <c r="D314" s="234" t="str">
        <f>IF(C314="","",VLOOKUP($B314,勘定科目!$A:$E,4,0))</f>
        <v/>
      </c>
      <c r="E314" s="240"/>
      <c r="F314" s="235"/>
      <c r="G314" s="236"/>
      <c r="H314" s="236"/>
      <c r="I314" s="236"/>
      <c r="J314" s="291"/>
      <c r="K314" s="291"/>
      <c r="L314" s="291"/>
      <c r="M314" s="291"/>
      <c r="N314" s="291"/>
      <c r="O314" s="291"/>
      <c r="P314" s="291"/>
      <c r="Q314" s="291"/>
      <c r="R314" s="291">
        <f t="shared" si="40"/>
        <v>0</v>
      </c>
      <c r="S314" s="201"/>
      <c r="T314" s="202"/>
      <c r="U314" s="241"/>
      <c r="V314" s="241"/>
      <c r="W314" s="241"/>
      <c r="BA314"/>
      <c r="BB314"/>
    </row>
    <row r="315" spans="1:54" s="191" customFormat="1" ht="13">
      <c r="A315" s="182"/>
      <c r="B315" s="178"/>
      <c r="C315" s="183" t="str">
        <f>IFERROR(IF(VLOOKUP($B315,勘定科目!$A:$H,HLOOKUP($E$5,勘定科目!$F$1:$H$2,2,0),0)="","",VLOOKUP($B315,勘定科目!$A:$E,2,0)),"")</f>
        <v/>
      </c>
      <c r="D315" s="234" t="str">
        <f>IF(C315="","",VLOOKUP($B315,勘定科目!$A:$E,4,0))</f>
        <v/>
      </c>
      <c r="E315" s="240"/>
      <c r="F315" s="235"/>
      <c r="G315" s="236"/>
      <c r="H315" s="236"/>
      <c r="I315" s="236"/>
      <c r="J315" s="291"/>
      <c r="K315" s="291"/>
      <c r="L315" s="291"/>
      <c r="M315" s="291"/>
      <c r="N315" s="291"/>
      <c r="O315" s="291"/>
      <c r="P315" s="291"/>
      <c r="Q315" s="291"/>
      <c r="R315" s="291">
        <f t="shared" si="40"/>
        <v>0</v>
      </c>
      <c r="S315" s="201"/>
      <c r="T315" s="202"/>
      <c r="U315" s="241"/>
      <c r="V315" s="241"/>
      <c r="W315" s="241"/>
      <c r="BA315"/>
      <c r="BB315"/>
    </row>
    <row r="316" spans="1:54" s="191" customFormat="1" ht="13">
      <c r="A316" s="182"/>
      <c r="B316" s="178"/>
      <c r="C316" s="183" t="str">
        <f>IFERROR(IF(VLOOKUP($B316,勘定科目!$A:$H,HLOOKUP($E$5,勘定科目!$F$1:$H$2,2,0),0)="","",VLOOKUP($B316,勘定科目!$A:$E,2,0)),"")</f>
        <v/>
      </c>
      <c r="D316" s="234" t="str">
        <f>IF(C316="","",VLOOKUP($B316,勘定科目!$A:$E,4,0))</f>
        <v/>
      </c>
      <c r="E316" s="240"/>
      <c r="F316" s="235"/>
      <c r="G316" s="236"/>
      <c r="H316" s="236"/>
      <c r="I316" s="236"/>
      <c r="J316" s="291"/>
      <c r="K316" s="291"/>
      <c r="L316" s="291"/>
      <c r="M316" s="291"/>
      <c r="N316" s="291"/>
      <c r="O316" s="291"/>
      <c r="P316" s="291"/>
      <c r="Q316" s="291"/>
      <c r="R316" s="291">
        <f t="shared" si="40"/>
        <v>0</v>
      </c>
      <c r="S316" s="201"/>
      <c r="T316" s="202"/>
      <c r="U316" s="241"/>
      <c r="V316" s="241"/>
      <c r="W316" s="241"/>
      <c r="BA316"/>
      <c r="BB316"/>
    </row>
    <row r="317" spans="1:54" s="191" customFormat="1" ht="13">
      <c r="A317" s="182"/>
      <c r="B317" s="178"/>
      <c r="C317" s="183" t="str">
        <f>IFERROR(IF(VLOOKUP($B317,勘定科目!$A:$H,HLOOKUP($E$5,勘定科目!$F$1:$H$2,2,0),0)="","",VLOOKUP($B317,勘定科目!$A:$E,2,0)),"")</f>
        <v/>
      </c>
      <c r="D317" s="234" t="str">
        <f>IF(C317="","",VLOOKUP($B317,勘定科目!$A:$E,4,0))</f>
        <v/>
      </c>
      <c r="E317" s="240"/>
      <c r="F317" s="235"/>
      <c r="G317" s="236"/>
      <c r="H317" s="236"/>
      <c r="I317" s="236"/>
      <c r="J317" s="291"/>
      <c r="K317" s="291"/>
      <c r="L317" s="291"/>
      <c r="M317" s="291"/>
      <c r="N317" s="291"/>
      <c r="O317" s="291"/>
      <c r="P317" s="291"/>
      <c r="Q317" s="291"/>
      <c r="R317" s="291">
        <f t="shared" si="40"/>
        <v>0</v>
      </c>
      <c r="S317" s="201"/>
      <c r="T317" s="202"/>
      <c r="U317" s="241"/>
      <c r="V317" s="241"/>
      <c r="W317" s="241"/>
      <c r="BA317"/>
      <c r="BB317"/>
    </row>
    <row r="318" spans="1:54" s="191" customFormat="1" ht="13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4" t="str">
        <f>IF(C318="","",VLOOKUP($B318,勘定科目!$A:$E,4,0))</f>
        <v/>
      </c>
      <c r="E318" s="240"/>
      <c r="F318" s="235"/>
      <c r="G318" s="236"/>
      <c r="H318" s="236"/>
      <c r="I318" s="236"/>
      <c r="J318" s="291"/>
      <c r="K318" s="291"/>
      <c r="L318" s="291"/>
      <c r="M318" s="291"/>
      <c r="N318" s="291"/>
      <c r="O318" s="291"/>
      <c r="P318" s="291"/>
      <c r="Q318" s="291"/>
      <c r="R318" s="291">
        <f t="shared" si="40"/>
        <v>0</v>
      </c>
      <c r="S318" s="201"/>
      <c r="T318" s="202"/>
      <c r="U318" s="241"/>
      <c r="V318" s="241"/>
      <c r="W318" s="241"/>
      <c r="BA318"/>
      <c r="BB318"/>
    </row>
    <row r="319" spans="1:54" s="191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4" t="str">
        <f>IF(C319="","",VLOOKUP($B319,勘定科目!$A:$E,4,0))</f>
        <v/>
      </c>
      <c r="E319" s="240"/>
      <c r="F319" s="235"/>
      <c r="G319" s="236"/>
      <c r="H319" s="236"/>
      <c r="I319" s="236"/>
      <c r="J319" s="291"/>
      <c r="K319" s="291"/>
      <c r="L319" s="291"/>
      <c r="M319" s="291"/>
      <c r="N319" s="291"/>
      <c r="O319" s="291"/>
      <c r="P319" s="291"/>
      <c r="Q319" s="291"/>
      <c r="R319" s="291">
        <f t="shared" si="40"/>
        <v>0</v>
      </c>
      <c r="S319" s="201"/>
      <c r="T319" s="202"/>
      <c r="U319" s="241"/>
      <c r="V319" s="241"/>
      <c r="W319" s="241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4" t="str">
        <f>IF(C320="","",VLOOKUP($B320,勘定科目!$A:$E,4,0))</f>
        <v/>
      </c>
      <c r="E320" s="240"/>
      <c r="F320" s="235"/>
      <c r="G320" s="236"/>
      <c r="H320" s="236"/>
      <c r="I320" s="236"/>
      <c r="J320" s="291"/>
      <c r="K320" s="291"/>
      <c r="L320" s="291"/>
      <c r="M320" s="291"/>
      <c r="N320" s="291"/>
      <c r="O320" s="291"/>
      <c r="P320" s="291"/>
      <c r="Q320" s="291"/>
      <c r="R320" s="291">
        <f t="shared" si="40"/>
        <v>0</v>
      </c>
      <c r="S320" s="201"/>
      <c r="T320" s="202"/>
      <c r="U320" s="241"/>
      <c r="V320" s="241"/>
      <c r="W320" s="241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4" t="str">
        <f>IF(C321="","",VLOOKUP($B321,勘定科目!$A:$E,4,0))</f>
        <v/>
      </c>
      <c r="E321" s="240"/>
      <c r="F321" s="235"/>
      <c r="G321" s="236"/>
      <c r="H321" s="236"/>
      <c r="I321" s="236"/>
      <c r="J321" s="291"/>
      <c r="K321" s="291"/>
      <c r="L321" s="291"/>
      <c r="M321" s="291"/>
      <c r="N321" s="291"/>
      <c r="O321" s="291"/>
      <c r="P321" s="291"/>
      <c r="Q321" s="291"/>
      <c r="R321" s="291">
        <f t="shared" si="40"/>
        <v>0</v>
      </c>
      <c r="S321" s="201"/>
      <c r="T321" s="202"/>
      <c r="U321" s="241"/>
      <c r="V321" s="241"/>
      <c r="W321" s="241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4" t="str">
        <f>IF(C322="","",VLOOKUP($B322,勘定科目!$A:$E,4,0))</f>
        <v/>
      </c>
      <c r="E322" s="240"/>
      <c r="F322" s="235"/>
      <c r="G322" s="236"/>
      <c r="H322" s="236"/>
      <c r="I322" s="236"/>
      <c r="J322" s="291"/>
      <c r="K322" s="291"/>
      <c r="L322" s="291"/>
      <c r="M322" s="291"/>
      <c r="N322" s="291"/>
      <c r="O322" s="291"/>
      <c r="P322" s="291"/>
      <c r="Q322" s="291"/>
      <c r="R322" s="291">
        <f t="shared" si="40"/>
        <v>0</v>
      </c>
      <c r="S322" s="201"/>
      <c r="T322" s="202"/>
      <c r="U322" s="241"/>
      <c r="V322" s="241"/>
      <c r="W322" s="241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4" t="str">
        <f>IF(C323="","",VLOOKUP($B323,勘定科目!$A:$E,4,0))</f>
        <v/>
      </c>
      <c r="E323" s="240"/>
      <c r="F323" s="235"/>
      <c r="G323" s="236"/>
      <c r="H323" s="236"/>
      <c r="I323" s="236"/>
      <c r="J323" s="291"/>
      <c r="K323" s="291"/>
      <c r="L323" s="291"/>
      <c r="M323" s="291"/>
      <c r="N323" s="291"/>
      <c r="O323" s="291"/>
      <c r="P323" s="291"/>
      <c r="Q323" s="291"/>
      <c r="R323" s="291">
        <f t="shared" si="40"/>
        <v>0</v>
      </c>
      <c r="S323" s="201"/>
      <c r="T323" s="202"/>
      <c r="U323" s="241"/>
      <c r="V323" s="241"/>
      <c r="W323" s="241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4" t="str">
        <f>IF(C324="","",VLOOKUP($B324,勘定科目!$A:$E,4,0))</f>
        <v/>
      </c>
      <c r="E324" s="240"/>
      <c r="F324" s="235"/>
      <c r="G324" s="236"/>
      <c r="H324" s="236"/>
      <c r="I324" s="236"/>
      <c r="J324" s="291"/>
      <c r="K324" s="291"/>
      <c r="L324" s="291"/>
      <c r="M324" s="291"/>
      <c r="N324" s="291"/>
      <c r="O324" s="291"/>
      <c r="P324" s="291"/>
      <c r="Q324" s="291"/>
      <c r="R324" s="291">
        <f t="shared" si="40"/>
        <v>0</v>
      </c>
      <c r="S324" s="201"/>
      <c r="T324" s="202"/>
      <c r="U324" s="241"/>
      <c r="V324" s="241"/>
      <c r="W324" s="241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4" t="str">
        <f>IF(C325="","",VLOOKUP($B325,勘定科目!$A:$E,4,0))</f>
        <v/>
      </c>
      <c r="E325" s="240"/>
      <c r="F325" s="235"/>
      <c r="G325" s="236"/>
      <c r="H325" s="236"/>
      <c r="I325" s="236"/>
      <c r="J325" s="291"/>
      <c r="K325" s="291"/>
      <c r="L325" s="291"/>
      <c r="M325" s="291"/>
      <c r="N325" s="291"/>
      <c r="O325" s="291"/>
      <c r="P325" s="291"/>
      <c r="Q325" s="291"/>
      <c r="R325" s="291">
        <f t="shared" si="40"/>
        <v>0</v>
      </c>
      <c r="S325" s="201"/>
      <c r="T325" s="202"/>
      <c r="U325" s="241"/>
      <c r="V325" s="241"/>
      <c r="W325" s="241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4" t="str">
        <f>IF(C326="","",VLOOKUP($B326,勘定科目!$A:$E,4,0))</f>
        <v/>
      </c>
      <c r="E326" s="240"/>
      <c r="F326" s="235"/>
      <c r="G326" s="236"/>
      <c r="H326" s="236"/>
      <c r="I326" s="236"/>
      <c r="J326" s="291"/>
      <c r="K326" s="291"/>
      <c r="L326" s="291"/>
      <c r="M326" s="291"/>
      <c r="N326" s="291"/>
      <c r="O326" s="291"/>
      <c r="P326" s="291"/>
      <c r="Q326" s="291"/>
      <c r="R326" s="291">
        <f t="shared" si="40"/>
        <v>0</v>
      </c>
      <c r="S326" s="201"/>
      <c r="T326" s="202"/>
      <c r="U326" s="241"/>
      <c r="V326" s="241"/>
      <c r="W326" s="241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4" t="str">
        <f>IF(C327="","",VLOOKUP($B327,勘定科目!$A:$E,4,0))</f>
        <v/>
      </c>
      <c r="E327" s="240"/>
      <c r="F327" s="235"/>
      <c r="G327" s="236"/>
      <c r="H327" s="236"/>
      <c r="I327" s="236"/>
      <c r="J327" s="291"/>
      <c r="K327" s="291"/>
      <c r="L327" s="291"/>
      <c r="M327" s="291"/>
      <c r="N327" s="291"/>
      <c r="O327" s="291"/>
      <c r="P327" s="291"/>
      <c r="Q327" s="291"/>
      <c r="R327" s="291">
        <f t="shared" si="40"/>
        <v>0</v>
      </c>
      <c r="S327" s="201"/>
      <c r="T327" s="202"/>
      <c r="U327" s="241"/>
      <c r="V327" s="241"/>
      <c r="W327" s="241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4" t="str">
        <f>IF(C328="","",VLOOKUP($B328,勘定科目!$A:$E,4,0))</f>
        <v/>
      </c>
      <c r="E328" s="240"/>
      <c r="F328" s="235"/>
      <c r="G328" s="236"/>
      <c r="H328" s="236"/>
      <c r="I328" s="236"/>
      <c r="J328" s="291"/>
      <c r="K328" s="291"/>
      <c r="L328" s="291"/>
      <c r="M328" s="291"/>
      <c r="N328" s="291"/>
      <c r="O328" s="291"/>
      <c r="P328" s="291"/>
      <c r="Q328" s="291"/>
      <c r="R328" s="291">
        <f t="shared" si="40"/>
        <v>0</v>
      </c>
      <c r="S328" s="201"/>
      <c r="T328" s="202"/>
      <c r="U328" s="241"/>
      <c r="V328" s="241"/>
      <c r="W328" s="241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4" t="str">
        <f>IF(C329="","",VLOOKUP($B329,勘定科目!$A:$E,4,0))</f>
        <v/>
      </c>
      <c r="E329" s="240"/>
      <c r="F329" s="235"/>
      <c r="G329" s="236"/>
      <c r="H329" s="236"/>
      <c r="I329" s="236"/>
      <c r="J329" s="291"/>
      <c r="K329" s="291"/>
      <c r="L329" s="291"/>
      <c r="M329" s="291"/>
      <c r="N329" s="291"/>
      <c r="O329" s="291"/>
      <c r="P329" s="291"/>
      <c r="Q329" s="291"/>
      <c r="R329" s="291">
        <f t="shared" si="40"/>
        <v>0</v>
      </c>
      <c r="S329" s="201"/>
      <c r="T329" s="202"/>
      <c r="U329" s="241"/>
      <c r="V329" s="241"/>
      <c r="W329" s="241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4" t="str">
        <f>IF(C330="","",VLOOKUP($B330,勘定科目!$A:$E,4,0))</f>
        <v/>
      </c>
      <c r="E330" s="240"/>
      <c r="F330" s="235"/>
      <c r="G330" s="236"/>
      <c r="H330" s="236"/>
      <c r="I330" s="236"/>
      <c r="J330" s="291"/>
      <c r="K330" s="291"/>
      <c r="L330" s="291"/>
      <c r="M330" s="291"/>
      <c r="N330" s="291"/>
      <c r="O330" s="291"/>
      <c r="P330" s="291"/>
      <c r="Q330" s="291"/>
      <c r="R330" s="291">
        <f t="shared" si="40"/>
        <v>0</v>
      </c>
      <c r="S330" s="201"/>
      <c r="T330" s="202"/>
      <c r="U330" s="241"/>
      <c r="V330" s="241"/>
      <c r="W330" s="241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4" t="str">
        <f>IF(C331="","",VLOOKUP($B331,勘定科目!$A:$E,4,0))</f>
        <v/>
      </c>
      <c r="E331" s="240"/>
      <c r="F331" s="235"/>
      <c r="G331" s="236"/>
      <c r="H331" s="236"/>
      <c r="I331" s="236"/>
      <c r="J331" s="291"/>
      <c r="K331" s="291"/>
      <c r="L331" s="291"/>
      <c r="M331" s="291"/>
      <c r="N331" s="291"/>
      <c r="O331" s="291"/>
      <c r="P331" s="291"/>
      <c r="Q331" s="291"/>
      <c r="R331" s="291">
        <f t="shared" si="40"/>
        <v>0</v>
      </c>
      <c r="S331" s="201"/>
      <c r="T331" s="202"/>
      <c r="U331" s="241"/>
      <c r="V331" s="241"/>
      <c r="W331" s="241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4" t="str">
        <f>IF(C332="","",VLOOKUP($B332,勘定科目!$A:$E,4,0))</f>
        <v/>
      </c>
      <c r="E332" s="240"/>
      <c r="F332" s="235"/>
      <c r="G332" s="236"/>
      <c r="H332" s="236"/>
      <c r="I332" s="236"/>
      <c r="J332" s="291"/>
      <c r="K332" s="291"/>
      <c r="L332" s="291"/>
      <c r="M332" s="291"/>
      <c r="N332" s="291"/>
      <c r="O332" s="291"/>
      <c r="P332" s="291"/>
      <c r="Q332" s="291"/>
      <c r="R332" s="291">
        <f t="shared" si="40"/>
        <v>0</v>
      </c>
      <c r="S332" s="201"/>
      <c r="T332" s="202"/>
      <c r="U332" s="241"/>
      <c r="V332" s="241"/>
      <c r="W332" s="241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4" t="str">
        <f>IF(C333="","",VLOOKUP($B333,勘定科目!$A:$E,4,0))</f>
        <v/>
      </c>
      <c r="E333" s="240"/>
      <c r="F333" s="235"/>
      <c r="G333" s="236"/>
      <c r="H333" s="236"/>
      <c r="I333" s="236"/>
      <c r="J333" s="291"/>
      <c r="K333" s="291"/>
      <c r="L333" s="291"/>
      <c r="M333" s="291"/>
      <c r="N333" s="291"/>
      <c r="O333" s="291"/>
      <c r="P333" s="291"/>
      <c r="Q333" s="291"/>
      <c r="R333" s="291">
        <f t="shared" si="40"/>
        <v>0</v>
      </c>
      <c r="S333" s="201"/>
      <c r="T333" s="202"/>
      <c r="U333" s="241"/>
      <c r="V333" s="241"/>
      <c r="W333" s="241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4" t="str">
        <f>IF(C334="","",VLOOKUP($B334,勘定科目!$A:$E,4,0))</f>
        <v/>
      </c>
      <c r="E334" s="240"/>
      <c r="F334" s="235"/>
      <c r="G334" s="236"/>
      <c r="H334" s="236"/>
      <c r="I334" s="236"/>
      <c r="J334" s="291"/>
      <c r="K334" s="291"/>
      <c r="L334" s="291"/>
      <c r="M334" s="291"/>
      <c r="N334" s="291"/>
      <c r="O334" s="291"/>
      <c r="P334" s="291"/>
      <c r="Q334" s="291"/>
      <c r="R334" s="291">
        <f t="shared" si="40"/>
        <v>0</v>
      </c>
      <c r="S334" s="201"/>
      <c r="T334" s="202"/>
      <c r="U334" s="241"/>
      <c r="V334" s="241"/>
      <c r="W334" s="241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4" t="str">
        <f>IF(C335="","",VLOOKUP($B335,勘定科目!$A:$E,4,0))</f>
        <v/>
      </c>
      <c r="E335" s="240"/>
      <c r="F335" s="235"/>
      <c r="G335" s="236"/>
      <c r="H335" s="236"/>
      <c r="I335" s="236"/>
      <c r="J335" s="291"/>
      <c r="K335" s="291"/>
      <c r="L335" s="291"/>
      <c r="M335" s="291"/>
      <c r="N335" s="291"/>
      <c r="O335" s="291"/>
      <c r="P335" s="291"/>
      <c r="Q335" s="291"/>
      <c r="R335" s="291">
        <f t="shared" si="40"/>
        <v>0</v>
      </c>
      <c r="S335" s="201"/>
      <c r="T335" s="202"/>
      <c r="U335" s="241"/>
      <c r="V335" s="241"/>
      <c r="W335" s="241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4" t="str">
        <f>IF(C336="","",VLOOKUP($B336,勘定科目!$A:$E,4,0))</f>
        <v/>
      </c>
      <c r="E336" s="240"/>
      <c r="F336" s="235"/>
      <c r="G336" s="236"/>
      <c r="H336" s="236"/>
      <c r="I336" s="236"/>
      <c r="J336" s="291"/>
      <c r="K336" s="291"/>
      <c r="L336" s="291"/>
      <c r="M336" s="291"/>
      <c r="N336" s="291"/>
      <c r="O336" s="291"/>
      <c r="P336" s="291"/>
      <c r="Q336" s="291"/>
      <c r="R336" s="291">
        <f t="shared" si="40"/>
        <v>0</v>
      </c>
      <c r="S336" s="201"/>
      <c r="T336" s="202"/>
      <c r="U336" s="241"/>
      <c r="V336" s="241"/>
      <c r="W336" s="241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4" t="str">
        <f>IF(C337="","",VLOOKUP($B337,勘定科目!$A:$E,4,0))</f>
        <v/>
      </c>
      <c r="E337" s="240"/>
      <c r="F337" s="235"/>
      <c r="G337" s="236"/>
      <c r="H337" s="236"/>
      <c r="I337" s="236"/>
      <c r="J337" s="291"/>
      <c r="K337" s="291"/>
      <c r="L337" s="291"/>
      <c r="M337" s="291"/>
      <c r="N337" s="291"/>
      <c r="O337" s="291"/>
      <c r="P337" s="291"/>
      <c r="Q337" s="291"/>
      <c r="R337" s="291">
        <f t="shared" si="40"/>
        <v>0</v>
      </c>
      <c r="S337" s="201"/>
      <c r="T337" s="202"/>
      <c r="U337" s="241"/>
      <c r="V337" s="241"/>
      <c r="W337" s="241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4" t="str">
        <f>IF(C338="","",VLOOKUP($B338,勘定科目!$A:$E,4,0))</f>
        <v/>
      </c>
      <c r="E338" s="240"/>
      <c r="F338" s="235"/>
      <c r="G338" s="236"/>
      <c r="H338" s="236"/>
      <c r="I338" s="236"/>
      <c r="J338" s="291"/>
      <c r="K338" s="291"/>
      <c r="L338" s="291"/>
      <c r="M338" s="291"/>
      <c r="N338" s="291"/>
      <c r="O338" s="291"/>
      <c r="P338" s="291"/>
      <c r="Q338" s="291"/>
      <c r="R338" s="291">
        <f t="shared" si="40"/>
        <v>0</v>
      </c>
      <c r="S338" s="201"/>
      <c r="T338" s="202"/>
      <c r="U338" s="241"/>
      <c r="V338" s="241"/>
      <c r="W338" s="241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4" t="str">
        <f>IF(C339="","",VLOOKUP($B339,勘定科目!$A:$E,4,0))</f>
        <v/>
      </c>
      <c r="E339" s="240"/>
      <c r="F339" s="235"/>
      <c r="G339" s="236"/>
      <c r="H339" s="236"/>
      <c r="I339" s="236"/>
      <c r="J339" s="291"/>
      <c r="K339" s="291"/>
      <c r="L339" s="291"/>
      <c r="M339" s="291"/>
      <c r="N339" s="291"/>
      <c r="O339" s="291"/>
      <c r="P339" s="291"/>
      <c r="Q339" s="291"/>
      <c r="R339" s="291">
        <f t="shared" si="40"/>
        <v>0</v>
      </c>
      <c r="S339" s="201"/>
      <c r="T339" s="202"/>
      <c r="U339" s="241"/>
      <c r="V339" s="241"/>
      <c r="W339" s="241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4" t="str">
        <f>IF(C340="","",VLOOKUP($B340,勘定科目!$A:$E,4,0))</f>
        <v/>
      </c>
      <c r="E340" s="240"/>
      <c r="F340" s="235"/>
      <c r="G340" s="236"/>
      <c r="H340" s="236"/>
      <c r="I340" s="236"/>
      <c r="J340" s="291"/>
      <c r="K340" s="291"/>
      <c r="L340" s="291"/>
      <c r="M340" s="291"/>
      <c r="N340" s="291"/>
      <c r="O340" s="291"/>
      <c r="P340" s="291"/>
      <c r="Q340" s="291"/>
      <c r="R340" s="291">
        <f t="shared" si="40"/>
        <v>0</v>
      </c>
      <c r="S340" s="201"/>
      <c r="T340" s="202"/>
      <c r="U340" s="241"/>
      <c r="V340" s="241"/>
      <c r="W340" s="241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4" t="str">
        <f>IF(C341="","",VLOOKUP($B341,勘定科目!$A:$E,4,0))</f>
        <v/>
      </c>
      <c r="E341" s="240"/>
      <c r="F341" s="235"/>
      <c r="G341" s="236"/>
      <c r="H341" s="236"/>
      <c r="I341" s="236"/>
      <c r="J341" s="291"/>
      <c r="K341" s="291"/>
      <c r="L341" s="291"/>
      <c r="M341" s="291"/>
      <c r="N341" s="291"/>
      <c r="O341" s="291"/>
      <c r="P341" s="291"/>
      <c r="Q341" s="291"/>
      <c r="R341" s="291">
        <f t="shared" si="40"/>
        <v>0</v>
      </c>
      <c r="S341" s="201"/>
      <c r="T341" s="202"/>
      <c r="U341" s="241"/>
      <c r="V341" s="241"/>
      <c r="W341" s="241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4" t="str">
        <f>IF(C342="","",VLOOKUP($B342,勘定科目!$A:$E,4,0))</f>
        <v/>
      </c>
      <c r="E342" s="240"/>
      <c r="F342" s="235"/>
      <c r="G342" s="236"/>
      <c r="H342" s="236"/>
      <c r="I342" s="236"/>
      <c r="J342" s="291"/>
      <c r="K342" s="291"/>
      <c r="L342" s="291"/>
      <c r="M342" s="291"/>
      <c r="N342" s="291"/>
      <c r="O342" s="291"/>
      <c r="P342" s="291"/>
      <c r="Q342" s="291"/>
      <c r="R342" s="291">
        <f t="shared" si="40"/>
        <v>0</v>
      </c>
      <c r="S342" s="201"/>
      <c r="T342" s="202"/>
      <c r="U342" s="241"/>
      <c r="V342" s="241"/>
      <c r="W342" s="241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4" t="str">
        <f>IF(C343="","",VLOOKUP($B343,勘定科目!$A:$E,4,0))</f>
        <v/>
      </c>
      <c r="E343" s="240"/>
      <c r="F343" s="235"/>
      <c r="G343" s="236"/>
      <c r="H343" s="236"/>
      <c r="I343" s="236"/>
      <c r="J343" s="291"/>
      <c r="K343" s="291"/>
      <c r="L343" s="291"/>
      <c r="M343" s="291"/>
      <c r="N343" s="291"/>
      <c r="O343" s="291"/>
      <c r="P343" s="291"/>
      <c r="Q343" s="291"/>
      <c r="R343" s="291">
        <f t="shared" si="40"/>
        <v>0</v>
      </c>
      <c r="S343" s="201"/>
      <c r="T343" s="202"/>
      <c r="U343" s="241"/>
      <c r="V343" s="241"/>
      <c r="W343" s="241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4" t="str">
        <f>IF(C344="","",VLOOKUP($B344,勘定科目!$A:$E,4,0))</f>
        <v/>
      </c>
      <c r="E344" s="240"/>
      <c r="F344" s="235"/>
      <c r="G344" s="236"/>
      <c r="H344" s="236"/>
      <c r="I344" s="236"/>
      <c r="J344" s="291"/>
      <c r="K344" s="291"/>
      <c r="L344" s="291"/>
      <c r="M344" s="291"/>
      <c r="N344" s="291"/>
      <c r="O344" s="291"/>
      <c r="P344" s="291"/>
      <c r="Q344" s="291"/>
      <c r="R344" s="291">
        <f t="shared" si="40"/>
        <v>0</v>
      </c>
      <c r="S344" s="201"/>
      <c r="T344" s="202"/>
      <c r="U344" s="241"/>
      <c r="V344" s="241"/>
      <c r="W344" s="241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4" t="str">
        <f>IF(C345="","",VLOOKUP($B345,勘定科目!$A:$E,4,0))</f>
        <v/>
      </c>
      <c r="E345" s="240"/>
      <c r="F345" s="235"/>
      <c r="G345" s="236"/>
      <c r="H345" s="236"/>
      <c r="I345" s="236"/>
      <c r="J345" s="291"/>
      <c r="K345" s="291"/>
      <c r="L345" s="291"/>
      <c r="M345" s="291"/>
      <c r="N345" s="291"/>
      <c r="O345" s="291"/>
      <c r="P345" s="291"/>
      <c r="Q345" s="291"/>
      <c r="R345" s="291">
        <f t="shared" si="40"/>
        <v>0</v>
      </c>
      <c r="S345" s="201"/>
      <c r="T345" s="202"/>
      <c r="U345" s="241"/>
      <c r="V345" s="241"/>
      <c r="W345" s="241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4" t="str">
        <f>IF(C346="","",VLOOKUP($B346,勘定科目!$A:$E,4,0))</f>
        <v/>
      </c>
      <c r="E346" s="240"/>
      <c r="F346" s="235"/>
      <c r="G346" s="236"/>
      <c r="H346" s="236"/>
      <c r="I346" s="236"/>
      <c r="J346" s="291"/>
      <c r="K346" s="291"/>
      <c r="L346" s="291"/>
      <c r="M346" s="291"/>
      <c r="N346" s="291"/>
      <c r="O346" s="291"/>
      <c r="P346" s="291"/>
      <c r="Q346" s="291"/>
      <c r="R346" s="291">
        <f t="shared" si="40"/>
        <v>0</v>
      </c>
      <c r="S346" s="201"/>
      <c r="T346" s="202"/>
      <c r="U346" s="241"/>
      <c r="V346" s="241"/>
      <c r="W346" s="241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4" t="str">
        <f>IF(C347="","",VLOOKUP($B347,勘定科目!$A:$E,4,0))</f>
        <v/>
      </c>
      <c r="E347" s="240"/>
      <c r="F347" s="235"/>
      <c r="G347" s="236"/>
      <c r="H347" s="236"/>
      <c r="I347" s="236"/>
      <c r="J347" s="291"/>
      <c r="K347" s="291"/>
      <c r="L347" s="291"/>
      <c r="M347" s="291"/>
      <c r="N347" s="291"/>
      <c r="O347" s="291"/>
      <c r="P347" s="291"/>
      <c r="Q347" s="291"/>
      <c r="R347" s="291">
        <f t="shared" si="40"/>
        <v>0</v>
      </c>
      <c r="S347" s="201"/>
      <c r="T347" s="202"/>
      <c r="U347" s="241"/>
      <c r="V347" s="241"/>
      <c r="W347" s="241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4" t="str">
        <f>IF(C348="","",VLOOKUP($B348,勘定科目!$A:$E,4,0))</f>
        <v/>
      </c>
      <c r="E348" s="240"/>
      <c r="F348" s="235"/>
      <c r="G348" s="236"/>
      <c r="H348" s="236"/>
      <c r="I348" s="236"/>
      <c r="J348" s="291"/>
      <c r="K348" s="291"/>
      <c r="L348" s="291"/>
      <c r="M348" s="291"/>
      <c r="N348" s="291"/>
      <c r="O348" s="291"/>
      <c r="P348" s="291"/>
      <c r="Q348" s="291"/>
      <c r="R348" s="291">
        <f t="shared" ref="R348:R411" si="41">SUM(F348:Q348)</f>
        <v>0</v>
      </c>
      <c r="S348" s="201"/>
      <c r="T348" s="202"/>
      <c r="U348" s="241"/>
      <c r="V348" s="241"/>
      <c r="W348" s="241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4" t="str">
        <f>IF(C349="","",VLOOKUP($B349,勘定科目!$A:$E,4,0))</f>
        <v/>
      </c>
      <c r="E349" s="240"/>
      <c r="F349" s="235"/>
      <c r="G349" s="236"/>
      <c r="H349" s="236"/>
      <c r="I349" s="236"/>
      <c r="J349" s="291"/>
      <c r="K349" s="291"/>
      <c r="L349" s="291"/>
      <c r="M349" s="291"/>
      <c r="N349" s="291"/>
      <c r="O349" s="291"/>
      <c r="P349" s="291"/>
      <c r="Q349" s="291"/>
      <c r="R349" s="291">
        <f t="shared" si="41"/>
        <v>0</v>
      </c>
      <c r="S349" s="201"/>
      <c r="T349" s="202"/>
      <c r="U349" s="241"/>
      <c r="V349" s="241"/>
      <c r="W349" s="241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4" t="str">
        <f>IF(C350="","",VLOOKUP($B350,勘定科目!$A:$E,4,0))</f>
        <v/>
      </c>
      <c r="E350" s="240"/>
      <c r="F350" s="235"/>
      <c r="G350" s="236"/>
      <c r="H350" s="236"/>
      <c r="I350" s="236"/>
      <c r="J350" s="291"/>
      <c r="K350" s="291"/>
      <c r="L350" s="291"/>
      <c r="M350" s="291"/>
      <c r="N350" s="291"/>
      <c r="O350" s="291"/>
      <c r="P350" s="291"/>
      <c r="Q350" s="291"/>
      <c r="R350" s="291">
        <f t="shared" si="41"/>
        <v>0</v>
      </c>
      <c r="S350" s="201"/>
      <c r="T350" s="202"/>
      <c r="U350" s="241"/>
      <c r="V350" s="241"/>
      <c r="W350" s="241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4" t="str">
        <f>IF(C351="","",VLOOKUP($B351,勘定科目!$A:$E,4,0))</f>
        <v/>
      </c>
      <c r="E351" s="240"/>
      <c r="F351" s="235"/>
      <c r="G351" s="236"/>
      <c r="H351" s="236"/>
      <c r="I351" s="236"/>
      <c r="J351" s="291"/>
      <c r="K351" s="291"/>
      <c r="L351" s="291"/>
      <c r="M351" s="291"/>
      <c r="N351" s="291"/>
      <c r="O351" s="291"/>
      <c r="P351" s="291"/>
      <c r="Q351" s="291"/>
      <c r="R351" s="291">
        <f t="shared" si="41"/>
        <v>0</v>
      </c>
      <c r="S351" s="201"/>
      <c r="T351" s="202"/>
      <c r="U351" s="241"/>
      <c r="V351" s="241"/>
      <c r="W351" s="241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4" t="str">
        <f>IF(C352="","",VLOOKUP($B352,勘定科目!$A:$E,4,0))</f>
        <v/>
      </c>
      <c r="E352" s="240"/>
      <c r="F352" s="235"/>
      <c r="G352" s="236"/>
      <c r="H352" s="236"/>
      <c r="I352" s="236"/>
      <c r="J352" s="291"/>
      <c r="K352" s="291"/>
      <c r="L352" s="291"/>
      <c r="M352" s="291"/>
      <c r="N352" s="291"/>
      <c r="O352" s="291"/>
      <c r="P352" s="291"/>
      <c r="Q352" s="291"/>
      <c r="R352" s="291">
        <f t="shared" si="41"/>
        <v>0</v>
      </c>
      <c r="S352" s="201"/>
      <c r="T352" s="202"/>
      <c r="U352" s="241"/>
      <c r="V352" s="241"/>
      <c r="W352" s="241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4" t="str">
        <f>IF(C353="","",VLOOKUP($B353,勘定科目!$A:$E,4,0))</f>
        <v/>
      </c>
      <c r="E353" s="240"/>
      <c r="F353" s="235"/>
      <c r="G353" s="236"/>
      <c r="H353" s="236"/>
      <c r="I353" s="236"/>
      <c r="J353" s="291"/>
      <c r="K353" s="291"/>
      <c r="L353" s="291"/>
      <c r="M353" s="291"/>
      <c r="N353" s="291"/>
      <c r="O353" s="291"/>
      <c r="P353" s="291"/>
      <c r="Q353" s="291"/>
      <c r="R353" s="291">
        <f t="shared" si="41"/>
        <v>0</v>
      </c>
      <c r="S353" s="201"/>
      <c r="T353" s="202"/>
      <c r="U353" s="241"/>
      <c r="V353" s="241"/>
      <c r="W353" s="241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4" t="str">
        <f>IF(C354="","",VLOOKUP($B354,勘定科目!$A:$E,4,0))</f>
        <v/>
      </c>
      <c r="E354" s="240"/>
      <c r="F354" s="235"/>
      <c r="G354" s="236"/>
      <c r="H354" s="236"/>
      <c r="I354" s="236"/>
      <c r="J354" s="291"/>
      <c r="K354" s="291"/>
      <c r="L354" s="291"/>
      <c r="M354" s="291"/>
      <c r="N354" s="291"/>
      <c r="O354" s="291"/>
      <c r="P354" s="291"/>
      <c r="Q354" s="291"/>
      <c r="R354" s="291">
        <f t="shared" si="41"/>
        <v>0</v>
      </c>
      <c r="S354" s="201"/>
      <c r="T354" s="202"/>
      <c r="U354" s="241"/>
      <c r="V354" s="241"/>
      <c r="W354" s="241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4" t="str">
        <f>IF(C355="","",VLOOKUP($B355,勘定科目!$A:$E,4,0))</f>
        <v/>
      </c>
      <c r="E355" s="240"/>
      <c r="F355" s="235"/>
      <c r="G355" s="236"/>
      <c r="H355" s="236"/>
      <c r="I355" s="236"/>
      <c r="J355" s="291"/>
      <c r="K355" s="291"/>
      <c r="L355" s="291"/>
      <c r="M355" s="291"/>
      <c r="N355" s="291"/>
      <c r="O355" s="291"/>
      <c r="P355" s="291"/>
      <c r="Q355" s="291"/>
      <c r="R355" s="291">
        <f t="shared" si="41"/>
        <v>0</v>
      </c>
      <c r="S355" s="201"/>
      <c r="T355" s="202"/>
      <c r="U355" s="241"/>
      <c r="V355" s="241"/>
      <c r="W355" s="241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4" t="str">
        <f>IF(C356="","",VLOOKUP($B356,勘定科目!$A:$E,4,0))</f>
        <v/>
      </c>
      <c r="E356" s="240"/>
      <c r="F356" s="235"/>
      <c r="G356" s="236"/>
      <c r="H356" s="236"/>
      <c r="I356" s="236"/>
      <c r="J356" s="291"/>
      <c r="K356" s="291"/>
      <c r="L356" s="291"/>
      <c r="M356" s="291"/>
      <c r="N356" s="291"/>
      <c r="O356" s="291"/>
      <c r="P356" s="291"/>
      <c r="Q356" s="291"/>
      <c r="R356" s="291">
        <f t="shared" si="41"/>
        <v>0</v>
      </c>
      <c r="S356" s="201"/>
      <c r="T356" s="202"/>
      <c r="U356" s="241"/>
      <c r="V356" s="241"/>
      <c r="W356" s="241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4" t="str">
        <f>IF(C357="","",VLOOKUP($B357,勘定科目!$A:$E,4,0))</f>
        <v/>
      </c>
      <c r="E357" s="240"/>
      <c r="F357" s="235"/>
      <c r="G357" s="236"/>
      <c r="H357" s="236"/>
      <c r="I357" s="236"/>
      <c r="J357" s="291"/>
      <c r="K357" s="291"/>
      <c r="L357" s="291"/>
      <c r="M357" s="291"/>
      <c r="N357" s="291"/>
      <c r="O357" s="291"/>
      <c r="P357" s="291"/>
      <c r="Q357" s="291"/>
      <c r="R357" s="291">
        <f t="shared" si="41"/>
        <v>0</v>
      </c>
      <c r="S357" s="201"/>
      <c r="T357" s="202"/>
      <c r="U357" s="241"/>
      <c r="V357" s="241"/>
      <c r="W357" s="241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4" t="str">
        <f>IF(C358="","",VLOOKUP($B358,勘定科目!$A:$E,4,0))</f>
        <v/>
      </c>
      <c r="E358" s="240"/>
      <c r="F358" s="235"/>
      <c r="G358" s="236"/>
      <c r="H358" s="236"/>
      <c r="I358" s="236"/>
      <c r="J358" s="291"/>
      <c r="K358" s="291"/>
      <c r="L358" s="291"/>
      <c r="M358" s="291"/>
      <c r="N358" s="291"/>
      <c r="O358" s="291"/>
      <c r="P358" s="291"/>
      <c r="Q358" s="291"/>
      <c r="R358" s="291">
        <f t="shared" si="41"/>
        <v>0</v>
      </c>
      <c r="S358" s="201"/>
      <c r="T358" s="202"/>
      <c r="U358" s="241"/>
      <c r="V358" s="241"/>
      <c r="W358" s="241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4" t="str">
        <f>IF(C359="","",VLOOKUP($B359,勘定科目!$A:$E,4,0))</f>
        <v/>
      </c>
      <c r="E359" s="240"/>
      <c r="F359" s="235"/>
      <c r="G359" s="236"/>
      <c r="H359" s="236"/>
      <c r="I359" s="236"/>
      <c r="J359" s="291"/>
      <c r="K359" s="291"/>
      <c r="L359" s="291"/>
      <c r="M359" s="291"/>
      <c r="N359" s="291"/>
      <c r="O359" s="291"/>
      <c r="P359" s="291"/>
      <c r="Q359" s="291"/>
      <c r="R359" s="291">
        <f t="shared" si="41"/>
        <v>0</v>
      </c>
      <c r="S359" s="201"/>
      <c r="T359" s="202"/>
      <c r="U359" s="241"/>
      <c r="V359" s="241"/>
      <c r="W359" s="241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4" t="str">
        <f>IF(C360="","",VLOOKUP($B360,勘定科目!$A:$E,4,0))</f>
        <v/>
      </c>
      <c r="E360" s="240"/>
      <c r="F360" s="235"/>
      <c r="G360" s="236"/>
      <c r="H360" s="236"/>
      <c r="I360" s="236"/>
      <c r="J360" s="291"/>
      <c r="K360" s="291"/>
      <c r="L360" s="291"/>
      <c r="M360" s="291"/>
      <c r="N360" s="291"/>
      <c r="O360" s="291"/>
      <c r="P360" s="291"/>
      <c r="Q360" s="291"/>
      <c r="R360" s="291">
        <f t="shared" si="41"/>
        <v>0</v>
      </c>
      <c r="S360" s="201"/>
      <c r="T360" s="202"/>
      <c r="U360" s="241"/>
      <c r="V360" s="241"/>
      <c r="W360" s="241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4" t="str">
        <f>IF(C361="","",VLOOKUP($B361,勘定科目!$A:$E,4,0))</f>
        <v/>
      </c>
      <c r="E361" s="240"/>
      <c r="F361" s="235"/>
      <c r="G361" s="236"/>
      <c r="H361" s="236"/>
      <c r="I361" s="236"/>
      <c r="J361" s="291"/>
      <c r="K361" s="291"/>
      <c r="L361" s="291"/>
      <c r="M361" s="291"/>
      <c r="N361" s="291"/>
      <c r="O361" s="291"/>
      <c r="P361" s="291"/>
      <c r="Q361" s="291"/>
      <c r="R361" s="291">
        <f t="shared" si="41"/>
        <v>0</v>
      </c>
      <c r="S361" s="201"/>
      <c r="T361" s="202"/>
      <c r="U361" s="241"/>
      <c r="V361" s="241"/>
      <c r="W361" s="241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4" t="str">
        <f>IF(C362="","",VLOOKUP($B362,勘定科目!$A:$E,4,0))</f>
        <v/>
      </c>
      <c r="E362" s="240"/>
      <c r="F362" s="235"/>
      <c r="G362" s="236"/>
      <c r="H362" s="236"/>
      <c r="I362" s="236"/>
      <c r="J362" s="291"/>
      <c r="K362" s="291"/>
      <c r="L362" s="291"/>
      <c r="M362" s="291"/>
      <c r="N362" s="291"/>
      <c r="O362" s="291"/>
      <c r="P362" s="291"/>
      <c r="Q362" s="291"/>
      <c r="R362" s="291">
        <f t="shared" si="41"/>
        <v>0</v>
      </c>
      <c r="S362" s="201"/>
      <c r="T362" s="202"/>
      <c r="U362" s="241"/>
      <c r="V362" s="241"/>
      <c r="W362" s="241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4" t="str">
        <f>IF(C363="","",VLOOKUP($B363,勘定科目!$A:$E,4,0))</f>
        <v/>
      </c>
      <c r="E363" s="240"/>
      <c r="F363" s="235"/>
      <c r="G363" s="236"/>
      <c r="H363" s="236"/>
      <c r="I363" s="236"/>
      <c r="J363" s="291"/>
      <c r="K363" s="291"/>
      <c r="L363" s="291"/>
      <c r="M363" s="291"/>
      <c r="N363" s="291"/>
      <c r="O363" s="291"/>
      <c r="P363" s="291"/>
      <c r="Q363" s="291"/>
      <c r="R363" s="291">
        <f t="shared" si="41"/>
        <v>0</v>
      </c>
      <c r="S363" s="201"/>
      <c r="T363" s="202"/>
      <c r="U363" s="241"/>
      <c r="V363" s="241"/>
      <c r="W363" s="241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4" t="str">
        <f>IF(C364="","",VLOOKUP($B364,勘定科目!$A:$E,4,0))</f>
        <v/>
      </c>
      <c r="E364" s="240"/>
      <c r="F364" s="235"/>
      <c r="G364" s="236"/>
      <c r="H364" s="236"/>
      <c r="I364" s="236"/>
      <c r="J364" s="291"/>
      <c r="K364" s="291"/>
      <c r="L364" s="291"/>
      <c r="M364" s="291"/>
      <c r="N364" s="291"/>
      <c r="O364" s="291"/>
      <c r="P364" s="291"/>
      <c r="Q364" s="291"/>
      <c r="R364" s="291">
        <f t="shared" si="41"/>
        <v>0</v>
      </c>
      <c r="S364" s="201"/>
      <c r="T364" s="202"/>
      <c r="U364" s="241"/>
      <c r="V364" s="241"/>
      <c r="W364" s="241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4" t="str">
        <f>IF(C365="","",VLOOKUP($B365,勘定科目!$A:$E,4,0))</f>
        <v/>
      </c>
      <c r="E365" s="240"/>
      <c r="F365" s="235"/>
      <c r="G365" s="236"/>
      <c r="H365" s="236"/>
      <c r="I365" s="236"/>
      <c r="J365" s="291"/>
      <c r="K365" s="291"/>
      <c r="L365" s="291"/>
      <c r="M365" s="291"/>
      <c r="N365" s="291"/>
      <c r="O365" s="291"/>
      <c r="P365" s="291"/>
      <c r="Q365" s="291"/>
      <c r="R365" s="291">
        <f t="shared" si="41"/>
        <v>0</v>
      </c>
      <c r="S365" s="201"/>
      <c r="T365" s="202"/>
      <c r="U365" s="241"/>
      <c r="V365" s="241"/>
      <c r="W365" s="241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4" t="str">
        <f>IF(C366="","",VLOOKUP($B366,勘定科目!$A:$E,4,0))</f>
        <v/>
      </c>
      <c r="E366" s="240"/>
      <c r="F366" s="235"/>
      <c r="G366" s="236"/>
      <c r="H366" s="236"/>
      <c r="I366" s="236"/>
      <c r="J366" s="291"/>
      <c r="K366" s="291"/>
      <c r="L366" s="291"/>
      <c r="M366" s="291"/>
      <c r="N366" s="291"/>
      <c r="O366" s="291"/>
      <c r="P366" s="291"/>
      <c r="Q366" s="291"/>
      <c r="R366" s="291">
        <f t="shared" si="41"/>
        <v>0</v>
      </c>
      <c r="S366" s="201"/>
      <c r="T366" s="202"/>
      <c r="U366" s="241"/>
      <c r="V366" s="241"/>
      <c r="W366" s="241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4" t="str">
        <f>IF(C367="","",VLOOKUP($B367,勘定科目!$A:$E,4,0))</f>
        <v/>
      </c>
      <c r="E367" s="240"/>
      <c r="F367" s="235"/>
      <c r="G367" s="236"/>
      <c r="H367" s="236"/>
      <c r="I367" s="236"/>
      <c r="J367" s="291"/>
      <c r="K367" s="291"/>
      <c r="L367" s="291"/>
      <c r="M367" s="291"/>
      <c r="N367" s="291"/>
      <c r="O367" s="291"/>
      <c r="P367" s="291"/>
      <c r="Q367" s="291"/>
      <c r="R367" s="291">
        <f t="shared" si="41"/>
        <v>0</v>
      </c>
      <c r="S367" s="201"/>
      <c r="T367" s="202"/>
      <c r="U367" s="241"/>
      <c r="V367" s="241"/>
      <c r="W367" s="241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4" t="str">
        <f>IF(C368="","",VLOOKUP($B368,勘定科目!$A:$E,4,0))</f>
        <v/>
      </c>
      <c r="E368" s="240"/>
      <c r="F368" s="235"/>
      <c r="G368" s="236"/>
      <c r="H368" s="236"/>
      <c r="I368" s="236"/>
      <c r="J368" s="291"/>
      <c r="K368" s="291"/>
      <c r="L368" s="291"/>
      <c r="M368" s="291"/>
      <c r="N368" s="291"/>
      <c r="O368" s="291"/>
      <c r="P368" s="291"/>
      <c r="Q368" s="291"/>
      <c r="R368" s="291">
        <f t="shared" si="41"/>
        <v>0</v>
      </c>
      <c r="S368" s="201"/>
      <c r="T368" s="202"/>
      <c r="U368" s="241"/>
      <c r="V368" s="241"/>
      <c r="W368" s="241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4" t="str">
        <f>IF(C369="","",VLOOKUP($B369,勘定科目!$A:$E,4,0))</f>
        <v/>
      </c>
      <c r="E369" s="240"/>
      <c r="F369" s="235"/>
      <c r="G369" s="236"/>
      <c r="H369" s="236"/>
      <c r="I369" s="236"/>
      <c r="J369" s="291"/>
      <c r="K369" s="291"/>
      <c r="L369" s="291"/>
      <c r="M369" s="291"/>
      <c r="N369" s="291"/>
      <c r="O369" s="291"/>
      <c r="P369" s="291"/>
      <c r="Q369" s="291"/>
      <c r="R369" s="291">
        <f t="shared" si="41"/>
        <v>0</v>
      </c>
      <c r="S369" s="201"/>
      <c r="T369" s="202"/>
      <c r="U369" s="241"/>
      <c r="V369" s="241"/>
      <c r="W369" s="241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4" t="str">
        <f>IF(C370="","",VLOOKUP($B370,勘定科目!$A:$E,4,0))</f>
        <v/>
      </c>
      <c r="E370" s="240"/>
      <c r="F370" s="235"/>
      <c r="G370" s="236"/>
      <c r="H370" s="236"/>
      <c r="I370" s="236"/>
      <c r="J370" s="291"/>
      <c r="K370" s="291"/>
      <c r="L370" s="291"/>
      <c r="M370" s="291"/>
      <c r="N370" s="291"/>
      <c r="O370" s="291"/>
      <c r="P370" s="291"/>
      <c r="Q370" s="291"/>
      <c r="R370" s="291">
        <f t="shared" si="41"/>
        <v>0</v>
      </c>
      <c r="S370" s="201"/>
      <c r="T370" s="202"/>
      <c r="U370" s="241"/>
      <c r="V370" s="241"/>
      <c r="W370" s="241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4" t="str">
        <f>IF(C371="","",VLOOKUP($B371,勘定科目!$A:$E,4,0))</f>
        <v/>
      </c>
      <c r="E371" s="240"/>
      <c r="F371" s="235"/>
      <c r="G371" s="236"/>
      <c r="H371" s="236"/>
      <c r="I371" s="236"/>
      <c r="J371" s="291"/>
      <c r="K371" s="291"/>
      <c r="L371" s="291"/>
      <c r="M371" s="291"/>
      <c r="N371" s="291"/>
      <c r="O371" s="291"/>
      <c r="P371" s="291"/>
      <c r="Q371" s="291"/>
      <c r="R371" s="291">
        <f t="shared" si="41"/>
        <v>0</v>
      </c>
      <c r="S371" s="201"/>
      <c r="T371" s="202"/>
      <c r="U371" s="241"/>
      <c r="V371" s="241"/>
      <c r="W371" s="241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4" t="str">
        <f>IF(C372="","",VLOOKUP($B372,勘定科目!$A:$E,4,0))</f>
        <v/>
      </c>
      <c r="E372" s="240"/>
      <c r="F372" s="235"/>
      <c r="G372" s="236"/>
      <c r="H372" s="236"/>
      <c r="I372" s="236"/>
      <c r="J372" s="291"/>
      <c r="K372" s="291"/>
      <c r="L372" s="291"/>
      <c r="M372" s="291"/>
      <c r="N372" s="291"/>
      <c r="O372" s="291"/>
      <c r="P372" s="291"/>
      <c r="Q372" s="291"/>
      <c r="R372" s="291">
        <f t="shared" si="41"/>
        <v>0</v>
      </c>
      <c r="S372" s="201"/>
      <c r="T372" s="202"/>
      <c r="U372" s="241"/>
      <c r="V372" s="241"/>
      <c r="W372" s="241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4" t="str">
        <f>IF(C373="","",VLOOKUP($B373,勘定科目!$A:$E,4,0))</f>
        <v/>
      </c>
      <c r="E373" s="240"/>
      <c r="F373" s="235"/>
      <c r="G373" s="236"/>
      <c r="H373" s="236"/>
      <c r="I373" s="236"/>
      <c r="J373" s="291"/>
      <c r="K373" s="291"/>
      <c r="L373" s="291"/>
      <c r="M373" s="291"/>
      <c r="N373" s="291"/>
      <c r="O373" s="291"/>
      <c r="P373" s="291"/>
      <c r="Q373" s="291"/>
      <c r="R373" s="291">
        <f t="shared" si="41"/>
        <v>0</v>
      </c>
      <c r="S373" s="201"/>
      <c r="T373" s="202"/>
      <c r="U373" s="241"/>
      <c r="V373" s="241"/>
      <c r="W373" s="241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4" t="str">
        <f>IF(C374="","",VLOOKUP($B374,勘定科目!$A:$E,4,0))</f>
        <v/>
      </c>
      <c r="E374" s="240"/>
      <c r="F374" s="235"/>
      <c r="G374" s="236"/>
      <c r="H374" s="236"/>
      <c r="I374" s="236"/>
      <c r="J374" s="291"/>
      <c r="K374" s="291"/>
      <c r="L374" s="291"/>
      <c r="M374" s="291"/>
      <c r="N374" s="291"/>
      <c r="O374" s="291"/>
      <c r="P374" s="291"/>
      <c r="Q374" s="291"/>
      <c r="R374" s="291">
        <f t="shared" si="41"/>
        <v>0</v>
      </c>
      <c r="S374" s="201"/>
      <c r="T374" s="202"/>
      <c r="U374" s="241"/>
      <c r="V374" s="241"/>
      <c r="W374" s="241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4" t="str">
        <f>IF(C375="","",VLOOKUP($B375,勘定科目!$A:$E,4,0))</f>
        <v/>
      </c>
      <c r="E375" s="240"/>
      <c r="F375" s="235"/>
      <c r="G375" s="236"/>
      <c r="H375" s="236"/>
      <c r="I375" s="236"/>
      <c r="J375" s="291"/>
      <c r="K375" s="291"/>
      <c r="L375" s="291"/>
      <c r="M375" s="291"/>
      <c r="N375" s="291"/>
      <c r="O375" s="291"/>
      <c r="P375" s="291"/>
      <c r="Q375" s="291"/>
      <c r="R375" s="291">
        <f t="shared" si="41"/>
        <v>0</v>
      </c>
      <c r="S375" s="201"/>
      <c r="T375" s="202"/>
      <c r="U375" s="241"/>
      <c r="V375" s="241"/>
      <c r="W375" s="241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4" t="str">
        <f>IF(C376="","",VLOOKUP($B376,勘定科目!$A:$E,4,0))</f>
        <v/>
      </c>
      <c r="E376" s="240"/>
      <c r="F376" s="235"/>
      <c r="G376" s="236"/>
      <c r="H376" s="236"/>
      <c r="I376" s="236"/>
      <c r="J376" s="291"/>
      <c r="K376" s="291"/>
      <c r="L376" s="291"/>
      <c r="M376" s="291"/>
      <c r="N376" s="291"/>
      <c r="O376" s="291"/>
      <c r="P376" s="291"/>
      <c r="Q376" s="291"/>
      <c r="R376" s="291">
        <f t="shared" si="41"/>
        <v>0</v>
      </c>
      <c r="S376" s="201"/>
      <c r="T376" s="202"/>
      <c r="U376" s="241"/>
      <c r="V376" s="241"/>
      <c r="W376" s="241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4" t="str">
        <f>IF(C377="","",VLOOKUP($B377,勘定科目!$A:$E,4,0))</f>
        <v/>
      </c>
      <c r="E377" s="240"/>
      <c r="F377" s="235"/>
      <c r="G377" s="236"/>
      <c r="H377" s="236"/>
      <c r="I377" s="236"/>
      <c r="J377" s="291"/>
      <c r="K377" s="291"/>
      <c r="L377" s="291"/>
      <c r="M377" s="291"/>
      <c r="N377" s="291"/>
      <c r="O377" s="291"/>
      <c r="P377" s="291"/>
      <c r="Q377" s="291"/>
      <c r="R377" s="291">
        <f t="shared" si="41"/>
        <v>0</v>
      </c>
      <c r="S377" s="201"/>
      <c r="T377" s="202"/>
      <c r="U377" s="241"/>
      <c r="V377" s="241"/>
      <c r="W377" s="241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4" t="str">
        <f>IF(C378="","",VLOOKUP($B378,勘定科目!$A:$E,4,0))</f>
        <v/>
      </c>
      <c r="E378" s="240"/>
      <c r="F378" s="235"/>
      <c r="G378" s="236"/>
      <c r="H378" s="236"/>
      <c r="I378" s="236"/>
      <c r="J378" s="291"/>
      <c r="K378" s="291"/>
      <c r="L378" s="291"/>
      <c r="M378" s="291"/>
      <c r="N378" s="291"/>
      <c r="O378" s="291"/>
      <c r="P378" s="291"/>
      <c r="Q378" s="291"/>
      <c r="R378" s="291">
        <f t="shared" si="41"/>
        <v>0</v>
      </c>
      <c r="S378" s="201"/>
      <c r="T378" s="202"/>
      <c r="U378" s="241"/>
      <c r="V378" s="241"/>
      <c r="W378" s="241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4" t="str">
        <f>IF(C379="","",VLOOKUP($B379,勘定科目!$A:$E,4,0))</f>
        <v/>
      </c>
      <c r="E379" s="240"/>
      <c r="F379" s="235"/>
      <c r="G379" s="236"/>
      <c r="H379" s="236"/>
      <c r="I379" s="236"/>
      <c r="J379" s="291"/>
      <c r="K379" s="291"/>
      <c r="L379" s="291"/>
      <c r="M379" s="291"/>
      <c r="N379" s="291"/>
      <c r="O379" s="291"/>
      <c r="P379" s="291"/>
      <c r="Q379" s="291"/>
      <c r="R379" s="291">
        <f t="shared" si="41"/>
        <v>0</v>
      </c>
      <c r="S379" s="201"/>
      <c r="T379" s="202"/>
      <c r="U379" s="241"/>
      <c r="V379" s="241"/>
      <c r="W379" s="241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4" t="str">
        <f>IF(C380="","",VLOOKUP($B380,勘定科目!$A:$E,4,0))</f>
        <v/>
      </c>
      <c r="E380" s="240"/>
      <c r="F380" s="235"/>
      <c r="G380" s="236"/>
      <c r="H380" s="236"/>
      <c r="I380" s="236"/>
      <c r="J380" s="291"/>
      <c r="K380" s="291"/>
      <c r="L380" s="291"/>
      <c r="M380" s="291"/>
      <c r="N380" s="291"/>
      <c r="O380" s="291"/>
      <c r="P380" s="291"/>
      <c r="Q380" s="291"/>
      <c r="R380" s="291">
        <f t="shared" si="41"/>
        <v>0</v>
      </c>
      <c r="S380" s="201"/>
      <c r="T380" s="202"/>
      <c r="U380" s="241"/>
      <c r="V380" s="241"/>
      <c r="W380" s="241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4" t="str">
        <f>IF(C381="","",VLOOKUP($B381,勘定科目!$A:$E,4,0))</f>
        <v/>
      </c>
      <c r="E381" s="240"/>
      <c r="F381" s="235"/>
      <c r="G381" s="236"/>
      <c r="H381" s="236"/>
      <c r="I381" s="236"/>
      <c r="J381" s="291"/>
      <c r="K381" s="291"/>
      <c r="L381" s="291"/>
      <c r="M381" s="291"/>
      <c r="N381" s="291"/>
      <c r="O381" s="291"/>
      <c r="P381" s="291"/>
      <c r="Q381" s="291"/>
      <c r="R381" s="291">
        <f t="shared" si="41"/>
        <v>0</v>
      </c>
      <c r="S381" s="201"/>
      <c r="T381" s="202"/>
      <c r="U381" s="241"/>
      <c r="V381" s="241"/>
      <c r="W381" s="241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4" t="str">
        <f>IF(C382="","",VLOOKUP($B382,勘定科目!$A:$E,4,0))</f>
        <v/>
      </c>
      <c r="E382" s="240"/>
      <c r="F382" s="235"/>
      <c r="G382" s="236"/>
      <c r="H382" s="236"/>
      <c r="I382" s="236"/>
      <c r="J382" s="291"/>
      <c r="K382" s="291"/>
      <c r="L382" s="291"/>
      <c r="M382" s="291"/>
      <c r="N382" s="291"/>
      <c r="O382" s="291"/>
      <c r="P382" s="291"/>
      <c r="Q382" s="291"/>
      <c r="R382" s="291">
        <f t="shared" si="41"/>
        <v>0</v>
      </c>
      <c r="S382" s="201"/>
      <c r="T382" s="202"/>
      <c r="U382" s="241"/>
      <c r="V382" s="241"/>
      <c r="W382" s="241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4" t="str">
        <f>IF(C383="","",VLOOKUP($B383,勘定科目!$A:$E,4,0))</f>
        <v/>
      </c>
      <c r="E383" s="240"/>
      <c r="F383" s="235"/>
      <c r="G383" s="236"/>
      <c r="H383" s="236"/>
      <c r="I383" s="236"/>
      <c r="J383" s="291"/>
      <c r="K383" s="291"/>
      <c r="L383" s="291"/>
      <c r="M383" s="291"/>
      <c r="N383" s="291"/>
      <c r="O383" s="291"/>
      <c r="P383" s="291"/>
      <c r="Q383" s="291"/>
      <c r="R383" s="291">
        <f t="shared" si="41"/>
        <v>0</v>
      </c>
      <c r="S383" s="201"/>
      <c r="T383" s="202"/>
      <c r="U383" s="241"/>
      <c r="V383" s="241"/>
      <c r="W383" s="241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4" t="str">
        <f>IF(C384="","",VLOOKUP($B384,勘定科目!$A:$E,4,0))</f>
        <v/>
      </c>
      <c r="E384" s="240"/>
      <c r="F384" s="235"/>
      <c r="G384" s="236"/>
      <c r="H384" s="236"/>
      <c r="I384" s="236"/>
      <c r="J384" s="291"/>
      <c r="K384" s="291"/>
      <c r="L384" s="291"/>
      <c r="M384" s="291"/>
      <c r="N384" s="291"/>
      <c r="O384" s="291"/>
      <c r="P384" s="291"/>
      <c r="Q384" s="291"/>
      <c r="R384" s="291">
        <f t="shared" si="41"/>
        <v>0</v>
      </c>
      <c r="S384" s="201"/>
      <c r="T384" s="202"/>
      <c r="U384" s="241"/>
      <c r="V384" s="241"/>
      <c r="W384" s="241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4" t="str">
        <f>IF(C385="","",VLOOKUP($B385,勘定科目!$A:$E,4,0))</f>
        <v/>
      </c>
      <c r="E385" s="240"/>
      <c r="F385" s="235"/>
      <c r="G385" s="236"/>
      <c r="H385" s="236"/>
      <c r="I385" s="236"/>
      <c r="J385" s="291"/>
      <c r="K385" s="291"/>
      <c r="L385" s="291"/>
      <c r="M385" s="291"/>
      <c r="N385" s="291"/>
      <c r="O385" s="291"/>
      <c r="P385" s="291"/>
      <c r="Q385" s="291"/>
      <c r="R385" s="291">
        <f t="shared" si="41"/>
        <v>0</v>
      </c>
      <c r="S385" s="201"/>
      <c r="T385" s="202"/>
      <c r="U385" s="241"/>
      <c r="V385" s="241"/>
      <c r="W385" s="241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4" t="str">
        <f>IF(C386="","",VLOOKUP($B386,勘定科目!$A:$E,4,0))</f>
        <v/>
      </c>
      <c r="E386" s="240"/>
      <c r="F386" s="235"/>
      <c r="G386" s="236"/>
      <c r="H386" s="236"/>
      <c r="I386" s="236"/>
      <c r="J386" s="291"/>
      <c r="K386" s="291"/>
      <c r="L386" s="291"/>
      <c r="M386" s="291"/>
      <c r="N386" s="291"/>
      <c r="O386" s="291"/>
      <c r="P386" s="291"/>
      <c r="Q386" s="291"/>
      <c r="R386" s="291">
        <f t="shared" si="41"/>
        <v>0</v>
      </c>
      <c r="S386" s="201"/>
      <c r="T386" s="202"/>
      <c r="U386" s="241"/>
      <c r="V386" s="241"/>
      <c r="W386" s="241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4" t="str">
        <f>IF(C387="","",VLOOKUP($B387,勘定科目!$A:$E,4,0))</f>
        <v/>
      </c>
      <c r="E387" s="240"/>
      <c r="F387" s="235"/>
      <c r="G387" s="236"/>
      <c r="H387" s="236"/>
      <c r="I387" s="236"/>
      <c r="J387" s="291"/>
      <c r="K387" s="291"/>
      <c r="L387" s="291"/>
      <c r="M387" s="291"/>
      <c r="N387" s="291"/>
      <c r="O387" s="291"/>
      <c r="P387" s="291"/>
      <c r="Q387" s="291"/>
      <c r="R387" s="291">
        <f t="shared" si="41"/>
        <v>0</v>
      </c>
      <c r="S387" s="201"/>
      <c r="T387" s="202"/>
      <c r="U387" s="241"/>
      <c r="V387" s="241"/>
      <c r="W387" s="241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4" t="str">
        <f>IF(C388="","",VLOOKUP($B388,勘定科目!$A:$E,4,0))</f>
        <v/>
      </c>
      <c r="E388" s="240"/>
      <c r="F388" s="235"/>
      <c r="G388" s="236"/>
      <c r="H388" s="236"/>
      <c r="I388" s="236"/>
      <c r="J388" s="291"/>
      <c r="K388" s="291"/>
      <c r="L388" s="291"/>
      <c r="M388" s="291"/>
      <c r="N388" s="291"/>
      <c r="O388" s="291"/>
      <c r="P388" s="291"/>
      <c r="Q388" s="291"/>
      <c r="R388" s="291">
        <f t="shared" si="41"/>
        <v>0</v>
      </c>
      <c r="S388" s="201"/>
      <c r="T388" s="202"/>
      <c r="U388" s="241"/>
      <c r="V388" s="241"/>
      <c r="W388" s="241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4" t="str">
        <f>IF(C389="","",VLOOKUP($B389,勘定科目!$A:$E,4,0))</f>
        <v/>
      </c>
      <c r="E389" s="240"/>
      <c r="F389" s="235"/>
      <c r="G389" s="236"/>
      <c r="H389" s="236"/>
      <c r="I389" s="236"/>
      <c r="J389" s="291"/>
      <c r="K389" s="291"/>
      <c r="L389" s="291"/>
      <c r="M389" s="291"/>
      <c r="N389" s="291"/>
      <c r="O389" s="291"/>
      <c r="P389" s="291"/>
      <c r="Q389" s="291"/>
      <c r="R389" s="291">
        <f t="shared" si="41"/>
        <v>0</v>
      </c>
      <c r="S389" s="201"/>
      <c r="T389" s="202"/>
      <c r="U389" s="241"/>
      <c r="V389" s="241"/>
      <c r="W389" s="241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4" t="str">
        <f>IF(C390="","",VLOOKUP($B390,勘定科目!$A:$E,4,0))</f>
        <v/>
      </c>
      <c r="E390" s="240"/>
      <c r="F390" s="235"/>
      <c r="G390" s="236"/>
      <c r="H390" s="236"/>
      <c r="I390" s="236"/>
      <c r="J390" s="291"/>
      <c r="K390" s="291"/>
      <c r="L390" s="291"/>
      <c r="M390" s="291"/>
      <c r="N390" s="291"/>
      <c r="O390" s="291"/>
      <c r="P390" s="291"/>
      <c r="Q390" s="291"/>
      <c r="R390" s="291">
        <f t="shared" si="41"/>
        <v>0</v>
      </c>
      <c r="S390" s="201"/>
      <c r="T390" s="202"/>
      <c r="U390" s="241"/>
      <c r="V390" s="241"/>
      <c r="W390" s="241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4" t="str">
        <f>IF(C391="","",VLOOKUP($B391,勘定科目!$A:$E,4,0))</f>
        <v/>
      </c>
      <c r="E391" s="240"/>
      <c r="F391" s="235"/>
      <c r="G391" s="236"/>
      <c r="H391" s="236"/>
      <c r="I391" s="236"/>
      <c r="J391" s="291"/>
      <c r="K391" s="291"/>
      <c r="L391" s="291"/>
      <c r="M391" s="291"/>
      <c r="N391" s="291"/>
      <c r="O391" s="291"/>
      <c r="P391" s="291"/>
      <c r="Q391" s="291"/>
      <c r="R391" s="291">
        <f t="shared" si="41"/>
        <v>0</v>
      </c>
      <c r="S391" s="201"/>
      <c r="T391" s="202"/>
      <c r="U391" s="241"/>
      <c r="V391" s="241"/>
      <c r="W391" s="241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4" t="str">
        <f>IF(C392="","",VLOOKUP($B392,勘定科目!$A:$E,4,0))</f>
        <v/>
      </c>
      <c r="E392" s="240"/>
      <c r="F392" s="235"/>
      <c r="G392" s="236"/>
      <c r="H392" s="236"/>
      <c r="I392" s="236"/>
      <c r="J392" s="291"/>
      <c r="K392" s="291"/>
      <c r="L392" s="291"/>
      <c r="M392" s="291"/>
      <c r="N392" s="291"/>
      <c r="O392" s="291"/>
      <c r="P392" s="291"/>
      <c r="Q392" s="291"/>
      <c r="R392" s="291">
        <f t="shared" si="41"/>
        <v>0</v>
      </c>
      <c r="S392" s="201"/>
      <c r="T392" s="202"/>
      <c r="U392" s="241"/>
      <c r="V392" s="241"/>
      <c r="W392" s="241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4" t="str">
        <f>IF(C393="","",VLOOKUP($B393,勘定科目!$A:$E,4,0))</f>
        <v/>
      </c>
      <c r="E393" s="240"/>
      <c r="F393" s="235"/>
      <c r="G393" s="236"/>
      <c r="H393" s="236"/>
      <c r="I393" s="236"/>
      <c r="J393" s="291"/>
      <c r="K393" s="291"/>
      <c r="L393" s="291"/>
      <c r="M393" s="291"/>
      <c r="N393" s="291"/>
      <c r="O393" s="291"/>
      <c r="P393" s="291"/>
      <c r="Q393" s="291"/>
      <c r="R393" s="291">
        <f t="shared" si="41"/>
        <v>0</v>
      </c>
      <c r="S393" s="201"/>
      <c r="T393" s="202"/>
      <c r="U393" s="241"/>
      <c r="V393" s="241"/>
      <c r="W393" s="241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4" t="str">
        <f>IF(C394="","",VLOOKUP($B394,勘定科目!$A:$E,4,0))</f>
        <v/>
      </c>
      <c r="E394" s="240"/>
      <c r="F394" s="235"/>
      <c r="G394" s="236"/>
      <c r="H394" s="236"/>
      <c r="I394" s="236"/>
      <c r="J394" s="291"/>
      <c r="K394" s="291"/>
      <c r="L394" s="291"/>
      <c r="M394" s="291"/>
      <c r="N394" s="291"/>
      <c r="O394" s="291"/>
      <c r="P394" s="291"/>
      <c r="Q394" s="291"/>
      <c r="R394" s="291">
        <f t="shared" si="41"/>
        <v>0</v>
      </c>
      <c r="S394" s="201"/>
      <c r="T394" s="202"/>
      <c r="U394" s="241"/>
      <c r="V394" s="241"/>
      <c r="W394" s="241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4" t="str">
        <f>IF(C395="","",VLOOKUP($B395,勘定科目!$A:$E,4,0))</f>
        <v/>
      </c>
      <c r="E395" s="240"/>
      <c r="F395" s="235"/>
      <c r="G395" s="236"/>
      <c r="H395" s="236"/>
      <c r="I395" s="236"/>
      <c r="J395" s="291"/>
      <c r="K395" s="291"/>
      <c r="L395" s="291"/>
      <c r="M395" s="291"/>
      <c r="N395" s="291"/>
      <c r="O395" s="291"/>
      <c r="P395" s="291"/>
      <c r="Q395" s="291"/>
      <c r="R395" s="291">
        <f t="shared" si="41"/>
        <v>0</v>
      </c>
      <c r="S395" s="201"/>
      <c r="T395" s="202"/>
      <c r="U395" s="241"/>
      <c r="V395" s="241"/>
      <c r="W395" s="241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4" t="str">
        <f>IF(C396="","",VLOOKUP($B396,勘定科目!$A:$E,4,0))</f>
        <v/>
      </c>
      <c r="E396" s="240"/>
      <c r="F396" s="235"/>
      <c r="G396" s="236"/>
      <c r="H396" s="236"/>
      <c r="I396" s="236"/>
      <c r="J396" s="291"/>
      <c r="K396" s="291"/>
      <c r="L396" s="291"/>
      <c r="M396" s="291"/>
      <c r="N396" s="291"/>
      <c r="O396" s="291"/>
      <c r="P396" s="291"/>
      <c r="Q396" s="291"/>
      <c r="R396" s="291">
        <f t="shared" si="41"/>
        <v>0</v>
      </c>
      <c r="S396" s="201"/>
      <c r="T396" s="202"/>
      <c r="U396" s="241"/>
      <c r="V396" s="241"/>
      <c r="W396" s="241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4" t="str">
        <f>IF(C397="","",VLOOKUP($B397,勘定科目!$A:$E,4,0))</f>
        <v/>
      </c>
      <c r="E397" s="240"/>
      <c r="F397" s="235"/>
      <c r="G397" s="236"/>
      <c r="H397" s="236"/>
      <c r="I397" s="236"/>
      <c r="J397" s="291"/>
      <c r="K397" s="291"/>
      <c r="L397" s="291"/>
      <c r="M397" s="291"/>
      <c r="N397" s="291"/>
      <c r="O397" s="291"/>
      <c r="P397" s="291"/>
      <c r="Q397" s="291"/>
      <c r="R397" s="291">
        <f t="shared" si="41"/>
        <v>0</v>
      </c>
      <c r="S397" s="201"/>
      <c r="T397" s="202"/>
      <c r="U397" s="241"/>
      <c r="V397" s="241"/>
      <c r="W397" s="241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4" t="str">
        <f>IF(C398="","",VLOOKUP($B398,勘定科目!$A:$E,4,0))</f>
        <v/>
      </c>
      <c r="E398" s="240"/>
      <c r="F398" s="235"/>
      <c r="G398" s="236"/>
      <c r="H398" s="236"/>
      <c r="I398" s="236"/>
      <c r="J398" s="291"/>
      <c r="K398" s="291"/>
      <c r="L398" s="291"/>
      <c r="M398" s="291"/>
      <c r="N398" s="291"/>
      <c r="O398" s="291"/>
      <c r="P398" s="291"/>
      <c r="Q398" s="291"/>
      <c r="R398" s="291">
        <f t="shared" si="41"/>
        <v>0</v>
      </c>
      <c r="S398" s="201"/>
      <c r="T398" s="202"/>
      <c r="U398" s="241"/>
      <c r="V398" s="241"/>
      <c r="W398" s="241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4" t="str">
        <f>IF(C399="","",VLOOKUP($B399,勘定科目!$A:$E,4,0))</f>
        <v/>
      </c>
      <c r="E399" s="240"/>
      <c r="F399" s="235"/>
      <c r="G399" s="236"/>
      <c r="H399" s="236"/>
      <c r="I399" s="236"/>
      <c r="J399" s="291"/>
      <c r="K399" s="291"/>
      <c r="L399" s="291"/>
      <c r="M399" s="291"/>
      <c r="N399" s="291"/>
      <c r="O399" s="291"/>
      <c r="P399" s="291"/>
      <c r="Q399" s="291"/>
      <c r="R399" s="291">
        <f t="shared" si="41"/>
        <v>0</v>
      </c>
      <c r="S399" s="201"/>
      <c r="T399" s="202"/>
      <c r="U399" s="241"/>
      <c r="V399" s="241"/>
      <c r="W399" s="241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4" t="str">
        <f>IF(C400="","",VLOOKUP($B400,勘定科目!$A:$E,4,0))</f>
        <v/>
      </c>
      <c r="E400" s="240"/>
      <c r="F400" s="235"/>
      <c r="G400" s="236"/>
      <c r="H400" s="236"/>
      <c r="I400" s="236"/>
      <c r="J400" s="291"/>
      <c r="K400" s="291"/>
      <c r="L400" s="291"/>
      <c r="M400" s="291"/>
      <c r="N400" s="291"/>
      <c r="O400" s="291"/>
      <c r="P400" s="291"/>
      <c r="Q400" s="291"/>
      <c r="R400" s="291">
        <f t="shared" si="41"/>
        <v>0</v>
      </c>
      <c r="S400" s="201"/>
      <c r="T400" s="202"/>
      <c r="U400" s="241"/>
      <c r="V400" s="241"/>
      <c r="W400" s="241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4" t="str">
        <f>IF(C401="","",VLOOKUP($B401,勘定科目!$A:$E,4,0))</f>
        <v/>
      </c>
      <c r="E401" s="240"/>
      <c r="F401" s="235"/>
      <c r="G401" s="236"/>
      <c r="H401" s="236"/>
      <c r="I401" s="236"/>
      <c r="J401" s="291"/>
      <c r="K401" s="291"/>
      <c r="L401" s="291"/>
      <c r="M401" s="291"/>
      <c r="N401" s="291"/>
      <c r="O401" s="291"/>
      <c r="P401" s="291"/>
      <c r="Q401" s="291"/>
      <c r="R401" s="291">
        <f t="shared" si="41"/>
        <v>0</v>
      </c>
      <c r="S401" s="201"/>
      <c r="T401" s="202"/>
      <c r="U401" s="241"/>
      <c r="V401" s="241"/>
      <c r="W401" s="241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4" t="str">
        <f>IF(C402="","",VLOOKUP($B402,勘定科目!$A:$E,4,0))</f>
        <v/>
      </c>
      <c r="E402" s="240"/>
      <c r="F402" s="235"/>
      <c r="G402" s="236"/>
      <c r="H402" s="236"/>
      <c r="I402" s="236"/>
      <c r="J402" s="291"/>
      <c r="K402" s="291"/>
      <c r="L402" s="291"/>
      <c r="M402" s="291"/>
      <c r="N402" s="291"/>
      <c r="O402" s="291"/>
      <c r="P402" s="291"/>
      <c r="Q402" s="291"/>
      <c r="R402" s="291">
        <f t="shared" si="41"/>
        <v>0</v>
      </c>
      <c r="S402" s="201"/>
      <c r="T402" s="202"/>
      <c r="U402" s="241"/>
      <c r="V402" s="241"/>
      <c r="W402" s="241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4" t="str">
        <f>IF(C403="","",VLOOKUP($B403,勘定科目!$A:$E,4,0))</f>
        <v/>
      </c>
      <c r="E403" s="240"/>
      <c r="F403" s="235"/>
      <c r="G403" s="236"/>
      <c r="H403" s="236"/>
      <c r="I403" s="236"/>
      <c r="J403" s="291"/>
      <c r="K403" s="291"/>
      <c r="L403" s="291"/>
      <c r="M403" s="291"/>
      <c r="N403" s="291"/>
      <c r="O403" s="291"/>
      <c r="P403" s="291"/>
      <c r="Q403" s="291"/>
      <c r="R403" s="291">
        <f t="shared" si="41"/>
        <v>0</v>
      </c>
      <c r="S403" s="201"/>
      <c r="T403" s="202"/>
      <c r="U403" s="241"/>
      <c r="V403" s="241"/>
      <c r="W403" s="241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4" t="str">
        <f>IF(C404="","",VLOOKUP($B404,勘定科目!$A:$E,4,0))</f>
        <v/>
      </c>
      <c r="E404" s="240"/>
      <c r="F404" s="235"/>
      <c r="G404" s="236"/>
      <c r="H404" s="236"/>
      <c r="I404" s="236"/>
      <c r="J404" s="291"/>
      <c r="K404" s="291"/>
      <c r="L404" s="291"/>
      <c r="M404" s="291"/>
      <c r="N404" s="291"/>
      <c r="O404" s="291"/>
      <c r="P404" s="291"/>
      <c r="Q404" s="291"/>
      <c r="R404" s="291">
        <f t="shared" si="41"/>
        <v>0</v>
      </c>
      <c r="S404" s="201"/>
      <c r="T404" s="202"/>
      <c r="U404" s="241"/>
      <c r="V404" s="241"/>
      <c r="W404" s="241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4" t="str">
        <f>IF(C405="","",VLOOKUP($B405,勘定科目!$A:$E,4,0))</f>
        <v/>
      </c>
      <c r="E405" s="240"/>
      <c r="F405" s="235"/>
      <c r="G405" s="236"/>
      <c r="H405" s="236"/>
      <c r="I405" s="236"/>
      <c r="J405" s="291"/>
      <c r="K405" s="291"/>
      <c r="L405" s="291"/>
      <c r="M405" s="291"/>
      <c r="N405" s="291"/>
      <c r="O405" s="291"/>
      <c r="P405" s="291"/>
      <c r="Q405" s="291"/>
      <c r="R405" s="291">
        <f t="shared" si="41"/>
        <v>0</v>
      </c>
      <c r="S405" s="201"/>
      <c r="T405" s="202"/>
      <c r="U405" s="241"/>
      <c r="V405" s="241"/>
      <c r="W405" s="241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4" t="str">
        <f>IF(C406="","",VLOOKUP($B406,勘定科目!$A:$E,4,0))</f>
        <v/>
      </c>
      <c r="E406" s="240"/>
      <c r="F406" s="235"/>
      <c r="G406" s="236"/>
      <c r="H406" s="236"/>
      <c r="I406" s="236"/>
      <c r="J406" s="291"/>
      <c r="K406" s="291"/>
      <c r="L406" s="291"/>
      <c r="M406" s="291"/>
      <c r="N406" s="291"/>
      <c r="O406" s="291"/>
      <c r="P406" s="291"/>
      <c r="Q406" s="291"/>
      <c r="R406" s="291">
        <f t="shared" si="41"/>
        <v>0</v>
      </c>
      <c r="S406" s="201"/>
      <c r="T406" s="202"/>
      <c r="U406" s="241"/>
      <c r="V406" s="241"/>
      <c r="W406" s="241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4" t="str">
        <f>IF(C407="","",VLOOKUP($B407,勘定科目!$A:$E,4,0))</f>
        <v/>
      </c>
      <c r="E407" s="240"/>
      <c r="F407" s="235"/>
      <c r="G407" s="236"/>
      <c r="H407" s="236"/>
      <c r="I407" s="236"/>
      <c r="J407" s="291"/>
      <c r="K407" s="291"/>
      <c r="L407" s="291"/>
      <c r="M407" s="291"/>
      <c r="N407" s="291"/>
      <c r="O407" s="291"/>
      <c r="P407" s="291"/>
      <c r="Q407" s="291"/>
      <c r="R407" s="291">
        <f t="shared" si="41"/>
        <v>0</v>
      </c>
      <c r="S407" s="201"/>
      <c r="T407" s="202"/>
      <c r="U407" s="241"/>
      <c r="V407" s="241"/>
      <c r="W407" s="241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4" t="str">
        <f>IF(C408="","",VLOOKUP($B408,勘定科目!$A:$E,4,0))</f>
        <v/>
      </c>
      <c r="E408" s="240"/>
      <c r="F408" s="235"/>
      <c r="G408" s="236"/>
      <c r="H408" s="236"/>
      <c r="I408" s="236"/>
      <c r="J408" s="291"/>
      <c r="K408" s="291"/>
      <c r="L408" s="291"/>
      <c r="M408" s="291"/>
      <c r="N408" s="291"/>
      <c r="O408" s="291"/>
      <c r="P408" s="291"/>
      <c r="Q408" s="291"/>
      <c r="R408" s="291">
        <f t="shared" si="41"/>
        <v>0</v>
      </c>
      <c r="S408" s="201"/>
      <c r="T408" s="202"/>
      <c r="U408" s="241"/>
      <c r="V408" s="241"/>
      <c r="W408" s="241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4" t="str">
        <f>IF(C409="","",VLOOKUP($B409,勘定科目!$A:$E,4,0))</f>
        <v/>
      </c>
      <c r="E409" s="240"/>
      <c r="F409" s="235"/>
      <c r="G409" s="236"/>
      <c r="H409" s="236"/>
      <c r="I409" s="236"/>
      <c r="J409" s="291"/>
      <c r="K409" s="291"/>
      <c r="L409" s="291"/>
      <c r="M409" s="291"/>
      <c r="N409" s="291"/>
      <c r="O409" s="291"/>
      <c r="P409" s="291"/>
      <c r="Q409" s="291"/>
      <c r="R409" s="291">
        <f t="shared" si="41"/>
        <v>0</v>
      </c>
      <c r="S409" s="201"/>
      <c r="T409" s="202"/>
      <c r="U409" s="241"/>
      <c r="V409" s="241"/>
      <c r="W409" s="241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4" t="str">
        <f>IF(C410="","",VLOOKUP($B410,勘定科目!$A:$E,4,0))</f>
        <v/>
      </c>
      <c r="E410" s="240"/>
      <c r="F410" s="235"/>
      <c r="G410" s="236"/>
      <c r="H410" s="236"/>
      <c r="I410" s="236"/>
      <c r="J410" s="291"/>
      <c r="K410" s="291"/>
      <c r="L410" s="291"/>
      <c r="M410" s="291"/>
      <c r="N410" s="291"/>
      <c r="O410" s="291"/>
      <c r="P410" s="291"/>
      <c r="Q410" s="291"/>
      <c r="R410" s="291">
        <f t="shared" si="41"/>
        <v>0</v>
      </c>
      <c r="S410" s="201"/>
      <c r="T410" s="202"/>
      <c r="U410" s="241"/>
      <c r="V410" s="241"/>
      <c r="W410" s="241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4" t="str">
        <f>IF(C411="","",VLOOKUP($B411,勘定科目!$A:$E,4,0))</f>
        <v/>
      </c>
      <c r="E411" s="240"/>
      <c r="F411" s="235"/>
      <c r="G411" s="236"/>
      <c r="H411" s="236"/>
      <c r="I411" s="236"/>
      <c r="J411" s="291"/>
      <c r="K411" s="291"/>
      <c r="L411" s="291"/>
      <c r="M411" s="291"/>
      <c r="N411" s="291"/>
      <c r="O411" s="291"/>
      <c r="P411" s="291"/>
      <c r="Q411" s="291"/>
      <c r="R411" s="291">
        <f t="shared" si="41"/>
        <v>0</v>
      </c>
      <c r="S411" s="201"/>
      <c r="T411" s="202"/>
      <c r="U411" s="241"/>
      <c r="V411" s="241"/>
      <c r="W411" s="241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4" t="str">
        <f>IF(C412="","",VLOOKUP($B412,勘定科目!$A:$E,4,0))</f>
        <v/>
      </c>
      <c r="E412" s="240"/>
      <c r="F412" s="235"/>
      <c r="G412" s="236"/>
      <c r="H412" s="236"/>
      <c r="I412" s="236"/>
      <c r="J412" s="291"/>
      <c r="K412" s="291"/>
      <c r="L412" s="291"/>
      <c r="M412" s="291"/>
      <c r="N412" s="291"/>
      <c r="O412" s="291"/>
      <c r="P412" s="291"/>
      <c r="Q412" s="291"/>
      <c r="R412" s="291">
        <f t="shared" ref="R412:R475" si="42">SUM(F412:Q412)</f>
        <v>0</v>
      </c>
      <c r="S412" s="201"/>
      <c r="T412" s="202"/>
      <c r="U412" s="241"/>
      <c r="V412" s="241"/>
      <c r="W412" s="241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4" t="str">
        <f>IF(C413="","",VLOOKUP($B413,勘定科目!$A:$E,4,0))</f>
        <v/>
      </c>
      <c r="E413" s="240"/>
      <c r="F413" s="235"/>
      <c r="G413" s="236"/>
      <c r="H413" s="236"/>
      <c r="I413" s="236"/>
      <c r="J413" s="291"/>
      <c r="K413" s="291"/>
      <c r="L413" s="291"/>
      <c r="M413" s="291"/>
      <c r="N413" s="291"/>
      <c r="O413" s="291"/>
      <c r="P413" s="291"/>
      <c r="Q413" s="291"/>
      <c r="R413" s="291">
        <f t="shared" si="42"/>
        <v>0</v>
      </c>
      <c r="S413" s="201"/>
      <c r="T413" s="202"/>
      <c r="U413" s="241"/>
      <c r="V413" s="241"/>
      <c r="W413" s="241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4" t="str">
        <f>IF(C414="","",VLOOKUP($B414,勘定科目!$A:$E,4,0))</f>
        <v/>
      </c>
      <c r="E414" s="240"/>
      <c r="F414" s="235"/>
      <c r="G414" s="236"/>
      <c r="H414" s="236"/>
      <c r="I414" s="236"/>
      <c r="J414" s="291"/>
      <c r="K414" s="291"/>
      <c r="L414" s="291"/>
      <c r="M414" s="291"/>
      <c r="N414" s="291"/>
      <c r="O414" s="291"/>
      <c r="P414" s="291"/>
      <c r="Q414" s="291"/>
      <c r="R414" s="291">
        <f t="shared" si="42"/>
        <v>0</v>
      </c>
      <c r="S414" s="201"/>
      <c r="T414" s="202"/>
      <c r="U414" s="241"/>
      <c r="V414" s="241"/>
      <c r="W414" s="241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4" t="str">
        <f>IF(C415="","",VLOOKUP($B415,勘定科目!$A:$E,4,0))</f>
        <v/>
      </c>
      <c r="E415" s="240"/>
      <c r="F415" s="235"/>
      <c r="G415" s="236"/>
      <c r="H415" s="236"/>
      <c r="I415" s="236"/>
      <c r="J415" s="291"/>
      <c r="K415" s="291"/>
      <c r="L415" s="291"/>
      <c r="M415" s="291"/>
      <c r="N415" s="291"/>
      <c r="O415" s="291"/>
      <c r="P415" s="291"/>
      <c r="Q415" s="291"/>
      <c r="R415" s="291">
        <f t="shared" si="42"/>
        <v>0</v>
      </c>
      <c r="S415" s="201"/>
      <c r="T415" s="202"/>
      <c r="U415" s="241"/>
      <c r="V415" s="241"/>
      <c r="W415" s="241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4" t="str">
        <f>IF(C416="","",VLOOKUP($B416,勘定科目!$A:$E,4,0))</f>
        <v/>
      </c>
      <c r="E416" s="240"/>
      <c r="F416" s="235"/>
      <c r="G416" s="236"/>
      <c r="H416" s="236"/>
      <c r="I416" s="236"/>
      <c r="J416" s="291"/>
      <c r="K416" s="291"/>
      <c r="L416" s="291"/>
      <c r="M416" s="291"/>
      <c r="N416" s="291"/>
      <c r="O416" s="291"/>
      <c r="P416" s="291"/>
      <c r="Q416" s="291"/>
      <c r="R416" s="291">
        <f t="shared" si="42"/>
        <v>0</v>
      </c>
      <c r="S416" s="201"/>
      <c r="T416" s="202"/>
      <c r="U416" s="241"/>
      <c r="V416" s="241"/>
      <c r="W416" s="241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4" t="str">
        <f>IF(C417="","",VLOOKUP($B417,勘定科目!$A:$E,4,0))</f>
        <v/>
      </c>
      <c r="E417" s="240"/>
      <c r="F417" s="235"/>
      <c r="G417" s="236"/>
      <c r="H417" s="236"/>
      <c r="I417" s="236"/>
      <c r="J417" s="291"/>
      <c r="K417" s="291"/>
      <c r="L417" s="291"/>
      <c r="M417" s="291"/>
      <c r="N417" s="291"/>
      <c r="O417" s="291"/>
      <c r="P417" s="291"/>
      <c r="Q417" s="291"/>
      <c r="R417" s="291">
        <f t="shared" si="42"/>
        <v>0</v>
      </c>
      <c r="S417" s="201"/>
      <c r="T417" s="202"/>
      <c r="U417" s="241"/>
      <c r="V417" s="241"/>
      <c r="W417" s="241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4" t="str">
        <f>IF(C418="","",VLOOKUP($B418,勘定科目!$A:$E,4,0))</f>
        <v/>
      </c>
      <c r="E418" s="240"/>
      <c r="F418" s="235"/>
      <c r="G418" s="236"/>
      <c r="H418" s="236"/>
      <c r="I418" s="236"/>
      <c r="J418" s="291"/>
      <c r="K418" s="291"/>
      <c r="L418" s="291"/>
      <c r="M418" s="291"/>
      <c r="N418" s="291"/>
      <c r="O418" s="291"/>
      <c r="P418" s="291"/>
      <c r="Q418" s="291"/>
      <c r="R418" s="291">
        <f t="shared" si="42"/>
        <v>0</v>
      </c>
      <c r="S418" s="201"/>
      <c r="T418" s="202"/>
      <c r="U418" s="241"/>
      <c r="V418" s="241"/>
      <c r="W418" s="241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4" t="str">
        <f>IF(C419="","",VLOOKUP($B419,勘定科目!$A:$E,4,0))</f>
        <v/>
      </c>
      <c r="E419" s="240"/>
      <c r="F419" s="235"/>
      <c r="G419" s="236"/>
      <c r="H419" s="236"/>
      <c r="I419" s="236"/>
      <c r="J419" s="291"/>
      <c r="K419" s="291"/>
      <c r="L419" s="291"/>
      <c r="M419" s="291"/>
      <c r="N419" s="291"/>
      <c r="O419" s="291"/>
      <c r="P419" s="291"/>
      <c r="Q419" s="291"/>
      <c r="R419" s="291">
        <f t="shared" si="42"/>
        <v>0</v>
      </c>
      <c r="S419" s="201"/>
      <c r="T419" s="202"/>
      <c r="U419" s="241"/>
      <c r="V419" s="241"/>
      <c r="W419" s="241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4" t="str">
        <f>IF(C420="","",VLOOKUP($B420,勘定科目!$A:$E,4,0))</f>
        <v/>
      </c>
      <c r="E420" s="240"/>
      <c r="F420" s="235"/>
      <c r="G420" s="236"/>
      <c r="H420" s="236"/>
      <c r="I420" s="236"/>
      <c r="J420" s="291"/>
      <c r="K420" s="291"/>
      <c r="L420" s="291"/>
      <c r="M420" s="291"/>
      <c r="N420" s="291"/>
      <c r="O420" s="291"/>
      <c r="P420" s="291"/>
      <c r="Q420" s="291"/>
      <c r="R420" s="291">
        <f t="shared" si="42"/>
        <v>0</v>
      </c>
      <c r="S420" s="201"/>
      <c r="T420" s="202"/>
      <c r="U420" s="241"/>
      <c r="V420" s="241"/>
      <c r="W420" s="241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4" t="str">
        <f>IF(C421="","",VLOOKUP($B421,勘定科目!$A:$E,4,0))</f>
        <v/>
      </c>
      <c r="E421" s="240"/>
      <c r="F421" s="235"/>
      <c r="G421" s="236"/>
      <c r="H421" s="236"/>
      <c r="I421" s="236"/>
      <c r="J421" s="291"/>
      <c r="K421" s="291"/>
      <c r="L421" s="291"/>
      <c r="M421" s="291"/>
      <c r="N421" s="291"/>
      <c r="O421" s="291"/>
      <c r="P421" s="291"/>
      <c r="Q421" s="291"/>
      <c r="R421" s="291">
        <f t="shared" si="42"/>
        <v>0</v>
      </c>
      <c r="S421" s="201"/>
      <c r="T421" s="202"/>
      <c r="U421" s="241"/>
      <c r="V421" s="241"/>
      <c r="W421" s="241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4" t="str">
        <f>IF(C422="","",VLOOKUP($B422,勘定科目!$A:$E,4,0))</f>
        <v/>
      </c>
      <c r="E422" s="240"/>
      <c r="F422" s="235"/>
      <c r="G422" s="236"/>
      <c r="H422" s="236"/>
      <c r="I422" s="236"/>
      <c r="J422" s="291"/>
      <c r="K422" s="291"/>
      <c r="L422" s="291"/>
      <c r="M422" s="291"/>
      <c r="N422" s="291"/>
      <c r="O422" s="291"/>
      <c r="P422" s="291"/>
      <c r="Q422" s="291"/>
      <c r="R422" s="291">
        <f t="shared" si="42"/>
        <v>0</v>
      </c>
      <c r="S422" s="201"/>
      <c r="T422" s="202"/>
      <c r="U422" s="241"/>
      <c r="V422" s="241"/>
      <c r="W422" s="241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4" t="str">
        <f>IF(C423="","",VLOOKUP($B423,勘定科目!$A:$E,4,0))</f>
        <v/>
      </c>
      <c r="E423" s="240"/>
      <c r="F423" s="235"/>
      <c r="G423" s="236"/>
      <c r="H423" s="236"/>
      <c r="I423" s="236"/>
      <c r="J423" s="291"/>
      <c r="K423" s="291"/>
      <c r="L423" s="291"/>
      <c r="M423" s="291"/>
      <c r="N423" s="291"/>
      <c r="O423" s="291"/>
      <c r="P423" s="291"/>
      <c r="Q423" s="291"/>
      <c r="R423" s="291">
        <f t="shared" si="42"/>
        <v>0</v>
      </c>
      <c r="S423" s="201"/>
      <c r="T423" s="202"/>
      <c r="U423" s="241"/>
      <c r="V423" s="241"/>
      <c r="W423" s="241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4" t="str">
        <f>IF(C424="","",VLOOKUP($B424,勘定科目!$A:$E,4,0))</f>
        <v/>
      </c>
      <c r="E424" s="240"/>
      <c r="F424" s="235"/>
      <c r="G424" s="236"/>
      <c r="H424" s="236"/>
      <c r="I424" s="236"/>
      <c r="J424" s="291"/>
      <c r="K424" s="291"/>
      <c r="L424" s="291"/>
      <c r="M424" s="291"/>
      <c r="N424" s="291"/>
      <c r="O424" s="291"/>
      <c r="P424" s="291"/>
      <c r="Q424" s="291"/>
      <c r="R424" s="291">
        <f t="shared" si="42"/>
        <v>0</v>
      </c>
      <c r="S424" s="201"/>
      <c r="T424" s="202"/>
      <c r="U424" s="241"/>
      <c r="V424" s="241"/>
      <c r="W424" s="241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4" t="str">
        <f>IF(C425="","",VLOOKUP($B425,勘定科目!$A:$E,4,0))</f>
        <v/>
      </c>
      <c r="E425" s="240"/>
      <c r="F425" s="235"/>
      <c r="G425" s="236"/>
      <c r="H425" s="236"/>
      <c r="I425" s="236"/>
      <c r="J425" s="291"/>
      <c r="K425" s="291"/>
      <c r="L425" s="291"/>
      <c r="M425" s="291"/>
      <c r="N425" s="291"/>
      <c r="O425" s="291"/>
      <c r="P425" s="291"/>
      <c r="Q425" s="291"/>
      <c r="R425" s="291">
        <f t="shared" si="42"/>
        <v>0</v>
      </c>
      <c r="S425" s="201"/>
      <c r="T425" s="202"/>
      <c r="U425" s="241"/>
      <c r="V425" s="241"/>
      <c r="W425" s="241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4" t="str">
        <f>IF(C426="","",VLOOKUP($B426,勘定科目!$A:$E,4,0))</f>
        <v/>
      </c>
      <c r="E426" s="240"/>
      <c r="F426" s="235"/>
      <c r="G426" s="236"/>
      <c r="H426" s="236"/>
      <c r="I426" s="236"/>
      <c r="J426" s="291"/>
      <c r="K426" s="291"/>
      <c r="L426" s="291"/>
      <c r="M426" s="291"/>
      <c r="N426" s="291"/>
      <c r="O426" s="291"/>
      <c r="P426" s="291"/>
      <c r="Q426" s="291"/>
      <c r="R426" s="291">
        <f t="shared" si="42"/>
        <v>0</v>
      </c>
      <c r="S426" s="201"/>
      <c r="T426" s="202"/>
      <c r="U426" s="241"/>
      <c r="V426" s="241"/>
      <c r="W426" s="241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4" t="str">
        <f>IF(C427="","",VLOOKUP($B427,勘定科目!$A:$E,4,0))</f>
        <v/>
      </c>
      <c r="E427" s="240"/>
      <c r="F427" s="235"/>
      <c r="G427" s="236"/>
      <c r="H427" s="236"/>
      <c r="I427" s="236"/>
      <c r="J427" s="291"/>
      <c r="K427" s="291"/>
      <c r="L427" s="291"/>
      <c r="M427" s="291"/>
      <c r="N427" s="291"/>
      <c r="O427" s="291"/>
      <c r="P427" s="291"/>
      <c r="Q427" s="291"/>
      <c r="R427" s="291">
        <f t="shared" si="42"/>
        <v>0</v>
      </c>
      <c r="S427" s="201"/>
      <c r="T427" s="202"/>
      <c r="U427" s="241"/>
      <c r="V427" s="241"/>
      <c r="W427" s="241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4" t="str">
        <f>IF(C428="","",VLOOKUP($B428,勘定科目!$A:$E,4,0))</f>
        <v/>
      </c>
      <c r="E428" s="240"/>
      <c r="F428" s="235"/>
      <c r="G428" s="236"/>
      <c r="H428" s="236"/>
      <c r="I428" s="236"/>
      <c r="J428" s="291"/>
      <c r="K428" s="291"/>
      <c r="L428" s="291"/>
      <c r="M428" s="291"/>
      <c r="N428" s="291"/>
      <c r="O428" s="291"/>
      <c r="P428" s="291"/>
      <c r="Q428" s="291"/>
      <c r="R428" s="291">
        <f t="shared" si="42"/>
        <v>0</v>
      </c>
      <c r="S428" s="201"/>
      <c r="T428" s="202"/>
      <c r="U428" s="241"/>
      <c r="V428" s="241"/>
      <c r="W428" s="241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4" t="str">
        <f>IF(C429="","",VLOOKUP($B429,勘定科目!$A:$E,4,0))</f>
        <v/>
      </c>
      <c r="E429" s="240"/>
      <c r="F429" s="235"/>
      <c r="G429" s="236"/>
      <c r="H429" s="236"/>
      <c r="I429" s="236"/>
      <c r="J429" s="291"/>
      <c r="K429" s="291"/>
      <c r="L429" s="291"/>
      <c r="M429" s="291"/>
      <c r="N429" s="291"/>
      <c r="O429" s="291"/>
      <c r="P429" s="291"/>
      <c r="Q429" s="291"/>
      <c r="R429" s="291">
        <f t="shared" si="42"/>
        <v>0</v>
      </c>
      <c r="S429" s="201"/>
      <c r="T429" s="202"/>
      <c r="U429" s="241"/>
      <c r="V429" s="241"/>
      <c r="W429" s="241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4" t="str">
        <f>IF(C430="","",VLOOKUP($B430,勘定科目!$A:$E,4,0))</f>
        <v/>
      </c>
      <c r="E430" s="240"/>
      <c r="F430" s="235"/>
      <c r="G430" s="236"/>
      <c r="H430" s="236"/>
      <c r="I430" s="236"/>
      <c r="J430" s="291"/>
      <c r="K430" s="291"/>
      <c r="L430" s="291"/>
      <c r="M430" s="291"/>
      <c r="N430" s="291"/>
      <c r="O430" s="291"/>
      <c r="P430" s="291"/>
      <c r="Q430" s="291"/>
      <c r="R430" s="291">
        <f t="shared" si="42"/>
        <v>0</v>
      </c>
      <c r="S430" s="201"/>
      <c r="T430" s="202"/>
      <c r="U430" s="241"/>
      <c r="V430" s="241"/>
      <c r="W430" s="241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4" t="str">
        <f>IF(C431="","",VLOOKUP($B431,勘定科目!$A:$E,4,0))</f>
        <v/>
      </c>
      <c r="E431" s="240"/>
      <c r="F431" s="235"/>
      <c r="G431" s="236"/>
      <c r="H431" s="236"/>
      <c r="I431" s="236"/>
      <c r="J431" s="291"/>
      <c r="K431" s="291"/>
      <c r="L431" s="291"/>
      <c r="M431" s="291"/>
      <c r="N431" s="291"/>
      <c r="O431" s="291"/>
      <c r="P431" s="291"/>
      <c r="Q431" s="291"/>
      <c r="R431" s="291">
        <f t="shared" si="42"/>
        <v>0</v>
      </c>
      <c r="S431" s="201"/>
      <c r="T431" s="202"/>
      <c r="U431" s="241"/>
      <c r="V431" s="241"/>
      <c r="W431" s="241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4" t="str">
        <f>IF(C432="","",VLOOKUP($B432,勘定科目!$A:$E,4,0))</f>
        <v/>
      </c>
      <c r="E432" s="240"/>
      <c r="F432" s="235"/>
      <c r="G432" s="236"/>
      <c r="H432" s="236"/>
      <c r="I432" s="236"/>
      <c r="J432" s="291"/>
      <c r="K432" s="291"/>
      <c r="L432" s="291"/>
      <c r="M432" s="291"/>
      <c r="N432" s="291"/>
      <c r="O432" s="291"/>
      <c r="P432" s="291"/>
      <c r="Q432" s="291"/>
      <c r="R432" s="291">
        <f t="shared" si="42"/>
        <v>0</v>
      </c>
      <c r="S432" s="201"/>
      <c r="T432" s="202"/>
      <c r="U432" s="241"/>
      <c r="V432" s="241"/>
      <c r="W432" s="241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4" t="str">
        <f>IF(C433="","",VLOOKUP($B433,勘定科目!$A:$E,4,0))</f>
        <v/>
      </c>
      <c r="E433" s="240"/>
      <c r="F433" s="235"/>
      <c r="G433" s="236"/>
      <c r="H433" s="236"/>
      <c r="I433" s="236"/>
      <c r="J433" s="236"/>
      <c r="K433" s="236"/>
      <c r="L433" s="236"/>
      <c r="M433" s="236"/>
      <c r="N433" s="236"/>
      <c r="O433" s="236"/>
      <c r="P433" s="236"/>
      <c r="Q433" s="236"/>
      <c r="R433" s="200">
        <f t="shared" si="42"/>
        <v>0</v>
      </c>
      <c r="S433" s="201"/>
      <c r="T433" s="202"/>
      <c r="U433" s="241"/>
      <c r="V433" s="241"/>
      <c r="W433" s="241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4" t="str">
        <f>IF(C434="","",VLOOKUP($B434,勘定科目!$A:$E,4,0))</f>
        <v/>
      </c>
      <c r="E434" s="240"/>
      <c r="F434" s="235"/>
      <c r="G434" s="236"/>
      <c r="H434" s="236"/>
      <c r="I434" s="236"/>
      <c r="J434" s="236"/>
      <c r="K434" s="236"/>
      <c r="L434" s="236"/>
      <c r="M434" s="236"/>
      <c r="N434" s="236"/>
      <c r="O434" s="236"/>
      <c r="P434" s="236"/>
      <c r="Q434" s="236"/>
      <c r="R434" s="200">
        <f t="shared" si="42"/>
        <v>0</v>
      </c>
      <c r="S434" s="201"/>
      <c r="T434" s="202"/>
      <c r="U434" s="241"/>
      <c r="V434" s="241"/>
      <c r="W434" s="241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4" t="str">
        <f>IF(C435="","",VLOOKUP($B435,勘定科目!$A:$E,4,0))</f>
        <v/>
      </c>
      <c r="E435" s="240"/>
      <c r="F435" s="235"/>
      <c r="G435" s="236"/>
      <c r="H435" s="236"/>
      <c r="I435" s="236"/>
      <c r="J435" s="236"/>
      <c r="K435" s="236"/>
      <c r="L435" s="236"/>
      <c r="M435" s="236"/>
      <c r="N435" s="236"/>
      <c r="O435" s="236"/>
      <c r="P435" s="236"/>
      <c r="Q435" s="236"/>
      <c r="R435" s="200">
        <f t="shared" si="42"/>
        <v>0</v>
      </c>
      <c r="S435" s="201"/>
      <c r="T435" s="202"/>
      <c r="U435" s="241"/>
      <c r="V435" s="241"/>
      <c r="W435" s="241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4" t="str">
        <f>IF(C436="","",VLOOKUP($B436,勘定科目!$A:$E,4,0))</f>
        <v/>
      </c>
      <c r="E436" s="240"/>
      <c r="F436" s="235"/>
      <c r="G436" s="236"/>
      <c r="H436" s="236"/>
      <c r="I436" s="236"/>
      <c r="J436" s="236"/>
      <c r="K436" s="236"/>
      <c r="L436" s="236"/>
      <c r="M436" s="236"/>
      <c r="N436" s="236"/>
      <c r="O436" s="236"/>
      <c r="P436" s="236"/>
      <c r="Q436" s="236"/>
      <c r="R436" s="200">
        <f t="shared" si="42"/>
        <v>0</v>
      </c>
      <c r="S436" s="201"/>
      <c r="T436" s="202"/>
      <c r="U436" s="241"/>
      <c r="V436" s="241"/>
      <c r="W436" s="241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4" t="str">
        <f>IF(C437="","",VLOOKUP($B437,勘定科目!$A:$E,4,0))</f>
        <v/>
      </c>
      <c r="E437" s="240"/>
      <c r="F437" s="235"/>
      <c r="G437" s="236"/>
      <c r="H437" s="236"/>
      <c r="I437" s="236"/>
      <c r="J437" s="236"/>
      <c r="K437" s="236"/>
      <c r="L437" s="236"/>
      <c r="M437" s="236"/>
      <c r="N437" s="236"/>
      <c r="O437" s="236"/>
      <c r="P437" s="236"/>
      <c r="Q437" s="236"/>
      <c r="R437" s="200">
        <f t="shared" si="42"/>
        <v>0</v>
      </c>
      <c r="S437" s="201"/>
      <c r="T437" s="202"/>
      <c r="U437" s="241"/>
      <c r="V437" s="241"/>
      <c r="W437" s="241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4" t="str">
        <f>IF(C438="","",VLOOKUP($B438,勘定科目!$A:$E,4,0))</f>
        <v/>
      </c>
      <c r="E438" s="240"/>
      <c r="F438" s="235"/>
      <c r="G438" s="236"/>
      <c r="H438" s="236"/>
      <c r="I438" s="236"/>
      <c r="J438" s="236"/>
      <c r="K438" s="236"/>
      <c r="L438" s="236"/>
      <c r="M438" s="236"/>
      <c r="N438" s="236"/>
      <c r="O438" s="236"/>
      <c r="P438" s="236"/>
      <c r="Q438" s="236"/>
      <c r="R438" s="200">
        <f t="shared" si="42"/>
        <v>0</v>
      </c>
      <c r="S438" s="201"/>
      <c r="T438" s="202"/>
      <c r="U438" s="241"/>
      <c r="V438" s="241"/>
      <c r="W438" s="241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4" t="str">
        <f>IF(C439="","",VLOOKUP($B439,勘定科目!$A:$E,4,0))</f>
        <v/>
      </c>
      <c r="E439" s="240"/>
      <c r="F439" s="235"/>
      <c r="G439" s="236"/>
      <c r="H439" s="236"/>
      <c r="I439" s="236"/>
      <c r="J439" s="236"/>
      <c r="K439" s="236"/>
      <c r="L439" s="236"/>
      <c r="M439" s="236"/>
      <c r="N439" s="236"/>
      <c r="O439" s="236"/>
      <c r="P439" s="236"/>
      <c r="Q439" s="236"/>
      <c r="R439" s="200">
        <f t="shared" si="42"/>
        <v>0</v>
      </c>
      <c r="S439" s="201"/>
      <c r="T439" s="202"/>
      <c r="U439" s="241"/>
      <c r="V439" s="241"/>
      <c r="W439" s="241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4" t="str">
        <f>IF(C440="","",VLOOKUP($B440,勘定科目!$A:$E,4,0))</f>
        <v/>
      </c>
      <c r="E440" s="240"/>
      <c r="F440" s="235"/>
      <c r="G440" s="236"/>
      <c r="H440" s="236"/>
      <c r="I440" s="236"/>
      <c r="J440" s="236"/>
      <c r="K440" s="236"/>
      <c r="L440" s="236"/>
      <c r="M440" s="236"/>
      <c r="N440" s="236"/>
      <c r="O440" s="236"/>
      <c r="P440" s="236"/>
      <c r="Q440" s="236"/>
      <c r="R440" s="200">
        <f t="shared" si="42"/>
        <v>0</v>
      </c>
      <c r="S440" s="201"/>
      <c r="T440" s="202"/>
      <c r="U440" s="241"/>
      <c r="V440" s="241"/>
      <c r="W440" s="241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4" t="str">
        <f>IF(C441="","",VLOOKUP($B441,勘定科目!$A:$E,4,0))</f>
        <v/>
      </c>
      <c r="E441" s="240"/>
      <c r="F441" s="235"/>
      <c r="G441" s="236"/>
      <c r="H441" s="236"/>
      <c r="I441" s="236"/>
      <c r="J441" s="236"/>
      <c r="K441" s="236"/>
      <c r="L441" s="236"/>
      <c r="M441" s="236"/>
      <c r="N441" s="236"/>
      <c r="O441" s="236"/>
      <c r="P441" s="236"/>
      <c r="Q441" s="236"/>
      <c r="R441" s="200">
        <f t="shared" si="42"/>
        <v>0</v>
      </c>
      <c r="S441" s="201"/>
      <c r="T441" s="202"/>
      <c r="U441" s="241"/>
      <c r="V441" s="241"/>
      <c r="W441" s="241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4" t="str">
        <f>IF(C442="","",VLOOKUP($B442,勘定科目!$A:$E,4,0))</f>
        <v/>
      </c>
      <c r="E442" s="240"/>
      <c r="F442" s="235"/>
      <c r="G442" s="236"/>
      <c r="H442" s="236"/>
      <c r="I442" s="236"/>
      <c r="J442" s="236"/>
      <c r="K442" s="236"/>
      <c r="L442" s="236"/>
      <c r="M442" s="236"/>
      <c r="N442" s="236"/>
      <c r="O442" s="236"/>
      <c r="P442" s="236"/>
      <c r="Q442" s="236"/>
      <c r="R442" s="200">
        <f t="shared" si="42"/>
        <v>0</v>
      </c>
      <c r="S442" s="201"/>
      <c r="T442" s="202"/>
      <c r="U442" s="241"/>
      <c r="V442" s="241"/>
      <c r="W442" s="241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4" t="str">
        <f>IF(C443="","",VLOOKUP($B443,勘定科目!$A:$E,4,0))</f>
        <v/>
      </c>
      <c r="E443" s="240"/>
      <c r="F443" s="235"/>
      <c r="G443" s="236"/>
      <c r="H443" s="236"/>
      <c r="I443" s="236"/>
      <c r="J443" s="236"/>
      <c r="K443" s="236"/>
      <c r="L443" s="236"/>
      <c r="M443" s="236"/>
      <c r="N443" s="236"/>
      <c r="O443" s="236"/>
      <c r="P443" s="236"/>
      <c r="Q443" s="236"/>
      <c r="R443" s="200">
        <f t="shared" si="42"/>
        <v>0</v>
      </c>
      <c r="S443" s="201"/>
      <c r="T443" s="202"/>
      <c r="U443" s="241"/>
      <c r="V443" s="241"/>
      <c r="W443" s="241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4" t="str">
        <f>IF(C444="","",VLOOKUP($B444,勘定科目!$A:$E,4,0))</f>
        <v/>
      </c>
      <c r="E444" s="240"/>
      <c r="F444" s="235"/>
      <c r="G444" s="236"/>
      <c r="H444" s="236"/>
      <c r="I444" s="236"/>
      <c r="J444" s="236"/>
      <c r="K444" s="236"/>
      <c r="L444" s="236"/>
      <c r="M444" s="236"/>
      <c r="N444" s="236"/>
      <c r="O444" s="236"/>
      <c r="P444" s="236"/>
      <c r="Q444" s="236"/>
      <c r="R444" s="200">
        <f t="shared" si="42"/>
        <v>0</v>
      </c>
      <c r="S444" s="201"/>
      <c r="T444" s="202"/>
      <c r="U444" s="241"/>
      <c r="V444" s="241"/>
      <c r="W444" s="241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4" t="str">
        <f>IF(C445="","",VLOOKUP($B445,勘定科目!$A:$E,4,0))</f>
        <v/>
      </c>
      <c r="E445" s="240"/>
      <c r="F445" s="235"/>
      <c r="G445" s="236"/>
      <c r="H445" s="236"/>
      <c r="I445" s="236"/>
      <c r="J445" s="236"/>
      <c r="K445" s="236"/>
      <c r="L445" s="236"/>
      <c r="M445" s="236"/>
      <c r="N445" s="236"/>
      <c r="O445" s="236"/>
      <c r="P445" s="236"/>
      <c r="Q445" s="236"/>
      <c r="R445" s="200">
        <f t="shared" si="42"/>
        <v>0</v>
      </c>
      <c r="S445" s="201"/>
      <c r="T445" s="202"/>
      <c r="U445" s="241"/>
      <c r="V445" s="241"/>
      <c r="W445" s="241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4" t="str">
        <f>IF(C446="","",VLOOKUP($B446,勘定科目!$A:$E,4,0))</f>
        <v/>
      </c>
      <c r="E446" s="240"/>
      <c r="F446" s="235"/>
      <c r="G446" s="236"/>
      <c r="H446" s="236"/>
      <c r="I446" s="236"/>
      <c r="J446" s="236"/>
      <c r="K446" s="236"/>
      <c r="L446" s="236"/>
      <c r="M446" s="236"/>
      <c r="N446" s="236"/>
      <c r="O446" s="236"/>
      <c r="P446" s="236"/>
      <c r="Q446" s="236"/>
      <c r="R446" s="200">
        <f t="shared" si="42"/>
        <v>0</v>
      </c>
      <c r="S446" s="201"/>
      <c r="T446" s="202"/>
      <c r="U446" s="241"/>
      <c r="V446" s="241"/>
      <c r="W446" s="241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4" t="str">
        <f>IF(C447="","",VLOOKUP($B447,勘定科目!$A:$E,4,0))</f>
        <v/>
      </c>
      <c r="E447" s="240"/>
      <c r="F447" s="235"/>
      <c r="G447" s="236"/>
      <c r="H447" s="236"/>
      <c r="I447" s="236"/>
      <c r="J447" s="236"/>
      <c r="K447" s="236"/>
      <c r="L447" s="236"/>
      <c r="M447" s="236"/>
      <c r="N447" s="236"/>
      <c r="O447" s="236"/>
      <c r="P447" s="236"/>
      <c r="Q447" s="236"/>
      <c r="R447" s="200">
        <f t="shared" si="42"/>
        <v>0</v>
      </c>
      <c r="S447" s="201"/>
      <c r="T447" s="202"/>
      <c r="U447" s="241"/>
      <c r="V447" s="241"/>
      <c r="W447" s="241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4" t="str">
        <f>IF(C448="","",VLOOKUP($B448,勘定科目!$A:$E,4,0))</f>
        <v/>
      </c>
      <c r="E448" s="240"/>
      <c r="F448" s="235"/>
      <c r="G448" s="236"/>
      <c r="H448" s="236"/>
      <c r="I448" s="236"/>
      <c r="J448" s="236"/>
      <c r="K448" s="236"/>
      <c r="L448" s="236"/>
      <c r="M448" s="236"/>
      <c r="N448" s="236"/>
      <c r="O448" s="236"/>
      <c r="P448" s="236"/>
      <c r="Q448" s="236"/>
      <c r="R448" s="200">
        <f t="shared" si="42"/>
        <v>0</v>
      </c>
      <c r="S448" s="201"/>
      <c r="T448" s="202"/>
      <c r="U448" s="241"/>
      <c r="V448" s="241"/>
      <c r="W448" s="241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4" t="str">
        <f>IF(C449="","",VLOOKUP($B449,勘定科目!$A:$E,4,0))</f>
        <v/>
      </c>
      <c r="E449" s="240"/>
      <c r="F449" s="235"/>
      <c r="G449" s="236"/>
      <c r="H449" s="236"/>
      <c r="I449" s="236"/>
      <c r="J449" s="236"/>
      <c r="K449" s="236"/>
      <c r="L449" s="236"/>
      <c r="M449" s="236"/>
      <c r="N449" s="236"/>
      <c r="O449" s="236"/>
      <c r="P449" s="236"/>
      <c r="Q449" s="236"/>
      <c r="R449" s="200">
        <f t="shared" si="42"/>
        <v>0</v>
      </c>
      <c r="S449" s="201"/>
      <c r="T449" s="202"/>
      <c r="U449" s="241"/>
      <c r="V449" s="241"/>
      <c r="W449" s="241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4" t="str">
        <f>IF(C450="","",VLOOKUP($B450,勘定科目!$A:$E,4,0))</f>
        <v/>
      </c>
      <c r="E450" s="240"/>
      <c r="F450" s="235"/>
      <c r="G450" s="236"/>
      <c r="H450" s="236"/>
      <c r="I450" s="236"/>
      <c r="J450" s="236"/>
      <c r="K450" s="236"/>
      <c r="L450" s="236"/>
      <c r="M450" s="236"/>
      <c r="N450" s="236"/>
      <c r="O450" s="236"/>
      <c r="P450" s="236"/>
      <c r="Q450" s="236"/>
      <c r="R450" s="200">
        <f t="shared" si="42"/>
        <v>0</v>
      </c>
      <c r="S450" s="201"/>
      <c r="T450" s="202"/>
      <c r="U450" s="241"/>
      <c r="V450" s="241"/>
      <c r="W450" s="241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4" t="str">
        <f>IF(C451="","",VLOOKUP($B451,勘定科目!$A:$E,4,0))</f>
        <v/>
      </c>
      <c r="E451" s="240"/>
      <c r="F451" s="235"/>
      <c r="G451" s="236"/>
      <c r="H451" s="236"/>
      <c r="I451" s="236"/>
      <c r="J451" s="236"/>
      <c r="K451" s="236"/>
      <c r="L451" s="236"/>
      <c r="M451" s="236"/>
      <c r="N451" s="236"/>
      <c r="O451" s="236"/>
      <c r="P451" s="236"/>
      <c r="Q451" s="236"/>
      <c r="R451" s="200">
        <f t="shared" si="42"/>
        <v>0</v>
      </c>
      <c r="S451" s="201"/>
      <c r="T451" s="202"/>
      <c r="U451" s="241"/>
      <c r="V451" s="241"/>
      <c r="W451" s="241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4" t="str">
        <f>IF(C452="","",VLOOKUP($B452,勘定科目!$A:$E,4,0))</f>
        <v/>
      </c>
      <c r="E452" s="240"/>
      <c r="F452" s="235"/>
      <c r="G452" s="236"/>
      <c r="H452" s="236"/>
      <c r="I452" s="236"/>
      <c r="J452" s="236"/>
      <c r="K452" s="236"/>
      <c r="L452" s="236"/>
      <c r="M452" s="236"/>
      <c r="N452" s="236"/>
      <c r="O452" s="236"/>
      <c r="P452" s="236"/>
      <c r="Q452" s="236"/>
      <c r="R452" s="200">
        <f t="shared" si="42"/>
        <v>0</v>
      </c>
      <c r="S452" s="201"/>
      <c r="T452" s="202"/>
      <c r="U452" s="241"/>
      <c r="V452" s="241"/>
      <c r="W452" s="241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4" t="str">
        <f>IF(C453="","",VLOOKUP($B453,勘定科目!$A:$E,4,0))</f>
        <v/>
      </c>
      <c r="E453" s="240"/>
      <c r="F453" s="235"/>
      <c r="G453" s="236"/>
      <c r="H453" s="236"/>
      <c r="I453" s="236"/>
      <c r="J453" s="236"/>
      <c r="K453" s="236"/>
      <c r="L453" s="236"/>
      <c r="M453" s="236"/>
      <c r="N453" s="236"/>
      <c r="O453" s="236"/>
      <c r="P453" s="236"/>
      <c r="Q453" s="236"/>
      <c r="R453" s="200">
        <f t="shared" si="42"/>
        <v>0</v>
      </c>
      <c r="S453" s="201"/>
      <c r="T453" s="202"/>
      <c r="U453" s="241"/>
      <c r="V453" s="241"/>
      <c r="W453" s="241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4" t="str">
        <f>IF(C454="","",VLOOKUP($B454,勘定科目!$A:$E,4,0))</f>
        <v/>
      </c>
      <c r="E454" s="240"/>
      <c r="F454" s="235"/>
      <c r="G454" s="236"/>
      <c r="H454" s="236"/>
      <c r="I454" s="236"/>
      <c r="J454" s="236"/>
      <c r="K454" s="236"/>
      <c r="L454" s="236"/>
      <c r="M454" s="236"/>
      <c r="N454" s="236"/>
      <c r="O454" s="236"/>
      <c r="P454" s="236"/>
      <c r="Q454" s="236"/>
      <c r="R454" s="200">
        <f t="shared" si="42"/>
        <v>0</v>
      </c>
      <c r="S454" s="201"/>
      <c r="T454" s="202"/>
      <c r="U454" s="241"/>
      <c r="V454" s="241"/>
      <c r="W454" s="241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4" t="str">
        <f>IF(C455="","",VLOOKUP($B455,勘定科目!$A:$E,4,0))</f>
        <v/>
      </c>
      <c r="E455" s="240"/>
      <c r="F455" s="235"/>
      <c r="G455" s="236"/>
      <c r="H455" s="236"/>
      <c r="I455" s="236"/>
      <c r="J455" s="236"/>
      <c r="K455" s="236"/>
      <c r="L455" s="236"/>
      <c r="M455" s="236"/>
      <c r="N455" s="236"/>
      <c r="O455" s="236"/>
      <c r="P455" s="236"/>
      <c r="Q455" s="236"/>
      <c r="R455" s="200">
        <f t="shared" si="42"/>
        <v>0</v>
      </c>
      <c r="S455" s="201"/>
      <c r="T455" s="202"/>
      <c r="U455" s="241"/>
      <c r="V455" s="241"/>
      <c r="W455" s="241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4" t="str">
        <f>IF(C456="","",VLOOKUP($B456,勘定科目!$A:$E,4,0))</f>
        <v/>
      </c>
      <c r="E456" s="240"/>
      <c r="F456" s="235"/>
      <c r="G456" s="236"/>
      <c r="H456" s="236"/>
      <c r="I456" s="236"/>
      <c r="J456" s="236"/>
      <c r="K456" s="236"/>
      <c r="L456" s="236"/>
      <c r="M456" s="236"/>
      <c r="N456" s="236"/>
      <c r="O456" s="236"/>
      <c r="P456" s="236"/>
      <c r="Q456" s="236"/>
      <c r="R456" s="200">
        <f t="shared" si="42"/>
        <v>0</v>
      </c>
      <c r="S456" s="201"/>
      <c r="T456" s="202"/>
      <c r="U456" s="241"/>
      <c r="V456" s="241"/>
      <c r="W456" s="241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4" t="str">
        <f>IF(C457="","",VLOOKUP($B457,勘定科目!$A:$E,4,0))</f>
        <v/>
      </c>
      <c r="E457" s="240"/>
      <c r="F457" s="235"/>
      <c r="G457" s="236"/>
      <c r="H457" s="236"/>
      <c r="I457" s="236"/>
      <c r="J457" s="236"/>
      <c r="K457" s="236"/>
      <c r="L457" s="236"/>
      <c r="M457" s="236"/>
      <c r="N457" s="236"/>
      <c r="O457" s="236"/>
      <c r="P457" s="236"/>
      <c r="Q457" s="236"/>
      <c r="R457" s="200">
        <f t="shared" si="42"/>
        <v>0</v>
      </c>
      <c r="S457" s="201"/>
      <c r="T457" s="202"/>
      <c r="U457" s="241"/>
      <c r="V457" s="241"/>
      <c r="W457" s="241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4" t="str">
        <f>IF(C458="","",VLOOKUP($B458,勘定科目!$A:$E,4,0))</f>
        <v/>
      </c>
      <c r="E458" s="240"/>
      <c r="F458" s="235"/>
      <c r="G458" s="236"/>
      <c r="H458" s="236"/>
      <c r="I458" s="236"/>
      <c r="J458" s="236"/>
      <c r="K458" s="236"/>
      <c r="L458" s="236"/>
      <c r="M458" s="236"/>
      <c r="N458" s="236"/>
      <c r="O458" s="236"/>
      <c r="P458" s="236"/>
      <c r="Q458" s="236"/>
      <c r="R458" s="200">
        <f t="shared" si="42"/>
        <v>0</v>
      </c>
      <c r="S458" s="201"/>
      <c r="T458" s="202"/>
      <c r="U458" s="241"/>
      <c r="V458" s="241"/>
      <c r="W458" s="241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4" t="str">
        <f>IF(C459="","",VLOOKUP($B459,勘定科目!$A:$E,4,0))</f>
        <v/>
      </c>
      <c r="E459" s="240"/>
      <c r="F459" s="235"/>
      <c r="G459" s="236"/>
      <c r="H459" s="236"/>
      <c r="I459" s="236"/>
      <c r="J459" s="236"/>
      <c r="K459" s="236"/>
      <c r="L459" s="236"/>
      <c r="M459" s="236"/>
      <c r="N459" s="236"/>
      <c r="O459" s="236"/>
      <c r="P459" s="236"/>
      <c r="Q459" s="236"/>
      <c r="R459" s="200">
        <f t="shared" si="42"/>
        <v>0</v>
      </c>
      <c r="S459" s="201"/>
      <c r="T459" s="202"/>
      <c r="U459" s="241"/>
      <c r="V459" s="241"/>
      <c r="W459" s="241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4" t="str">
        <f>IF(C460="","",VLOOKUP($B460,勘定科目!$A:$E,4,0))</f>
        <v/>
      </c>
      <c r="E460" s="240"/>
      <c r="F460" s="235"/>
      <c r="G460" s="236"/>
      <c r="H460" s="236"/>
      <c r="I460" s="236"/>
      <c r="J460" s="236"/>
      <c r="K460" s="236"/>
      <c r="L460" s="236"/>
      <c r="M460" s="236"/>
      <c r="N460" s="236"/>
      <c r="O460" s="236"/>
      <c r="P460" s="236"/>
      <c r="Q460" s="236"/>
      <c r="R460" s="200">
        <f t="shared" si="42"/>
        <v>0</v>
      </c>
      <c r="S460" s="201"/>
      <c r="T460" s="202"/>
      <c r="U460" s="241"/>
      <c r="V460" s="241"/>
      <c r="W460" s="241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4" t="str">
        <f>IF(C461="","",VLOOKUP($B461,勘定科目!$A:$E,4,0))</f>
        <v/>
      </c>
      <c r="E461" s="240"/>
      <c r="F461" s="235"/>
      <c r="G461" s="236"/>
      <c r="H461" s="236"/>
      <c r="I461" s="236"/>
      <c r="J461" s="236"/>
      <c r="K461" s="236"/>
      <c r="L461" s="236"/>
      <c r="M461" s="236"/>
      <c r="N461" s="236"/>
      <c r="O461" s="236"/>
      <c r="P461" s="236"/>
      <c r="Q461" s="236"/>
      <c r="R461" s="200">
        <f t="shared" si="42"/>
        <v>0</v>
      </c>
      <c r="S461" s="201"/>
      <c r="T461" s="202"/>
      <c r="U461" s="241"/>
      <c r="V461" s="241"/>
      <c r="W461" s="241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4" t="str">
        <f>IF(C462="","",VLOOKUP($B462,勘定科目!$A:$E,4,0))</f>
        <v/>
      </c>
      <c r="E462" s="240"/>
      <c r="F462" s="235"/>
      <c r="G462" s="236"/>
      <c r="H462" s="236"/>
      <c r="I462" s="236"/>
      <c r="J462" s="236"/>
      <c r="K462" s="236"/>
      <c r="L462" s="236"/>
      <c r="M462" s="236"/>
      <c r="N462" s="236"/>
      <c r="O462" s="236"/>
      <c r="P462" s="236"/>
      <c r="Q462" s="236"/>
      <c r="R462" s="200">
        <f t="shared" si="42"/>
        <v>0</v>
      </c>
      <c r="S462" s="201"/>
      <c r="T462" s="202"/>
      <c r="U462" s="241"/>
      <c r="V462" s="241"/>
      <c r="W462" s="241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4" t="str">
        <f>IF(C463="","",VLOOKUP($B463,勘定科目!$A:$E,4,0))</f>
        <v/>
      </c>
      <c r="E463" s="240"/>
      <c r="F463" s="235"/>
      <c r="G463" s="236"/>
      <c r="H463" s="236"/>
      <c r="I463" s="236"/>
      <c r="J463" s="236"/>
      <c r="K463" s="236"/>
      <c r="L463" s="236"/>
      <c r="M463" s="236"/>
      <c r="N463" s="236"/>
      <c r="O463" s="236"/>
      <c r="P463" s="236"/>
      <c r="Q463" s="236"/>
      <c r="R463" s="200">
        <f t="shared" si="42"/>
        <v>0</v>
      </c>
      <c r="S463" s="201"/>
      <c r="T463" s="202"/>
      <c r="U463" s="241"/>
      <c r="V463" s="241"/>
      <c r="W463" s="241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4" t="str">
        <f>IF(C464="","",VLOOKUP($B464,勘定科目!$A:$E,4,0))</f>
        <v/>
      </c>
      <c r="E464" s="240"/>
      <c r="F464" s="235"/>
      <c r="G464" s="236"/>
      <c r="H464" s="236"/>
      <c r="I464" s="236"/>
      <c r="J464" s="236"/>
      <c r="K464" s="236"/>
      <c r="L464" s="236"/>
      <c r="M464" s="236"/>
      <c r="N464" s="236"/>
      <c r="O464" s="236"/>
      <c r="P464" s="236"/>
      <c r="Q464" s="236"/>
      <c r="R464" s="200">
        <f t="shared" si="42"/>
        <v>0</v>
      </c>
      <c r="S464" s="201"/>
      <c r="T464" s="202"/>
      <c r="U464" s="241"/>
      <c r="V464" s="241"/>
      <c r="W464" s="241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4" t="str">
        <f>IF(C465="","",VLOOKUP($B465,勘定科目!$A:$E,4,0))</f>
        <v/>
      </c>
      <c r="E465" s="240"/>
      <c r="F465" s="235"/>
      <c r="G465" s="236"/>
      <c r="H465" s="236"/>
      <c r="I465" s="236"/>
      <c r="J465" s="236"/>
      <c r="K465" s="236"/>
      <c r="L465" s="236"/>
      <c r="M465" s="236"/>
      <c r="N465" s="236"/>
      <c r="O465" s="236"/>
      <c r="P465" s="236"/>
      <c r="Q465" s="236"/>
      <c r="R465" s="200">
        <f t="shared" si="42"/>
        <v>0</v>
      </c>
      <c r="S465" s="201"/>
      <c r="T465" s="202"/>
      <c r="U465" s="241"/>
      <c r="V465" s="241"/>
      <c r="W465" s="241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4" t="str">
        <f>IF(C466="","",VLOOKUP($B466,勘定科目!$A:$E,4,0))</f>
        <v/>
      </c>
      <c r="E466" s="240"/>
      <c r="F466" s="235"/>
      <c r="G466" s="236"/>
      <c r="H466" s="236"/>
      <c r="I466" s="236"/>
      <c r="J466" s="236"/>
      <c r="K466" s="236"/>
      <c r="L466" s="236"/>
      <c r="M466" s="236"/>
      <c r="N466" s="236"/>
      <c r="O466" s="236"/>
      <c r="P466" s="236"/>
      <c r="Q466" s="236"/>
      <c r="R466" s="200">
        <f t="shared" si="42"/>
        <v>0</v>
      </c>
      <c r="S466" s="201"/>
      <c r="T466" s="202"/>
      <c r="U466" s="241"/>
      <c r="V466" s="241"/>
      <c r="W466" s="241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4" t="str">
        <f>IF(C467="","",VLOOKUP($B467,勘定科目!$A:$E,4,0))</f>
        <v/>
      </c>
      <c r="E467" s="240"/>
      <c r="F467" s="235"/>
      <c r="G467" s="236"/>
      <c r="H467" s="236"/>
      <c r="I467" s="236"/>
      <c r="J467" s="236"/>
      <c r="K467" s="236"/>
      <c r="L467" s="236"/>
      <c r="M467" s="236"/>
      <c r="N467" s="236"/>
      <c r="O467" s="236"/>
      <c r="P467" s="236"/>
      <c r="Q467" s="236"/>
      <c r="R467" s="200">
        <f t="shared" si="42"/>
        <v>0</v>
      </c>
      <c r="S467" s="201"/>
      <c r="T467" s="202"/>
      <c r="U467" s="241"/>
      <c r="V467" s="241"/>
      <c r="W467" s="241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4" t="str">
        <f>IF(C468="","",VLOOKUP($B468,勘定科目!$A:$E,4,0))</f>
        <v/>
      </c>
      <c r="E468" s="240"/>
      <c r="F468" s="235"/>
      <c r="G468" s="236"/>
      <c r="H468" s="236"/>
      <c r="I468" s="236"/>
      <c r="J468" s="236"/>
      <c r="K468" s="236"/>
      <c r="L468" s="236"/>
      <c r="M468" s="236"/>
      <c r="N468" s="236"/>
      <c r="O468" s="236"/>
      <c r="P468" s="236"/>
      <c r="Q468" s="236"/>
      <c r="R468" s="200">
        <f t="shared" si="42"/>
        <v>0</v>
      </c>
      <c r="S468" s="201"/>
      <c r="T468" s="202"/>
      <c r="U468" s="241"/>
      <c r="V468" s="241"/>
      <c r="W468" s="241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4" t="str">
        <f>IF(C469="","",VLOOKUP($B469,勘定科目!$A:$E,4,0))</f>
        <v/>
      </c>
      <c r="E469" s="240"/>
      <c r="F469" s="235"/>
      <c r="G469" s="236"/>
      <c r="H469" s="236"/>
      <c r="I469" s="236"/>
      <c r="J469" s="236"/>
      <c r="K469" s="236"/>
      <c r="L469" s="236"/>
      <c r="M469" s="236"/>
      <c r="N469" s="236"/>
      <c r="O469" s="236"/>
      <c r="P469" s="236"/>
      <c r="Q469" s="236"/>
      <c r="R469" s="200">
        <f t="shared" si="42"/>
        <v>0</v>
      </c>
      <c r="S469" s="201"/>
      <c r="T469" s="202"/>
      <c r="U469" s="241"/>
      <c r="V469" s="241"/>
      <c r="W469" s="241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4" t="str">
        <f>IF(C470="","",VLOOKUP($B470,勘定科目!$A:$E,4,0))</f>
        <v/>
      </c>
      <c r="E470" s="240"/>
      <c r="F470" s="235"/>
      <c r="G470" s="236"/>
      <c r="H470" s="236"/>
      <c r="I470" s="236"/>
      <c r="J470" s="236"/>
      <c r="K470" s="236"/>
      <c r="L470" s="236"/>
      <c r="M470" s="236"/>
      <c r="N470" s="236"/>
      <c r="O470" s="236"/>
      <c r="P470" s="236"/>
      <c r="Q470" s="236"/>
      <c r="R470" s="200">
        <f t="shared" si="42"/>
        <v>0</v>
      </c>
      <c r="S470" s="201"/>
      <c r="T470" s="202"/>
      <c r="U470" s="241"/>
      <c r="V470" s="241"/>
      <c r="W470" s="241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4" t="str">
        <f>IF(C471="","",VLOOKUP($B471,勘定科目!$A:$E,4,0))</f>
        <v/>
      </c>
      <c r="E471" s="240"/>
      <c r="F471" s="235"/>
      <c r="G471" s="236"/>
      <c r="H471" s="236"/>
      <c r="I471" s="236"/>
      <c r="J471" s="236"/>
      <c r="K471" s="236"/>
      <c r="L471" s="236"/>
      <c r="M471" s="236"/>
      <c r="N471" s="236"/>
      <c r="O471" s="236"/>
      <c r="P471" s="236"/>
      <c r="Q471" s="236"/>
      <c r="R471" s="200">
        <f t="shared" si="42"/>
        <v>0</v>
      </c>
      <c r="S471" s="201"/>
      <c r="T471" s="202"/>
      <c r="U471" s="241"/>
      <c r="V471" s="241"/>
      <c r="W471" s="241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4" t="str">
        <f>IF(C472="","",VLOOKUP($B472,勘定科目!$A:$E,4,0))</f>
        <v/>
      </c>
      <c r="E472" s="240"/>
      <c r="F472" s="235"/>
      <c r="G472" s="236"/>
      <c r="H472" s="236"/>
      <c r="I472" s="236"/>
      <c r="J472" s="236"/>
      <c r="K472" s="236"/>
      <c r="L472" s="236"/>
      <c r="M472" s="236"/>
      <c r="N472" s="236"/>
      <c r="O472" s="236"/>
      <c r="P472" s="236"/>
      <c r="Q472" s="236"/>
      <c r="R472" s="200">
        <f t="shared" si="42"/>
        <v>0</v>
      </c>
      <c r="S472" s="201"/>
      <c r="T472" s="202"/>
      <c r="U472" s="241"/>
      <c r="V472" s="241"/>
      <c r="W472" s="241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4" t="str">
        <f>IF(C473="","",VLOOKUP($B473,勘定科目!$A:$E,4,0))</f>
        <v/>
      </c>
      <c r="E473" s="240"/>
      <c r="F473" s="235"/>
      <c r="G473" s="236"/>
      <c r="H473" s="236"/>
      <c r="I473" s="236"/>
      <c r="J473" s="236"/>
      <c r="K473" s="236"/>
      <c r="L473" s="236"/>
      <c r="M473" s="236"/>
      <c r="N473" s="236"/>
      <c r="O473" s="236"/>
      <c r="P473" s="236"/>
      <c r="Q473" s="236"/>
      <c r="R473" s="200">
        <f t="shared" si="42"/>
        <v>0</v>
      </c>
      <c r="S473" s="201"/>
      <c r="T473" s="202"/>
      <c r="U473" s="241"/>
      <c r="V473" s="241"/>
      <c r="W473" s="241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4" t="str">
        <f>IF(C474="","",VLOOKUP($B474,勘定科目!$A:$E,4,0))</f>
        <v/>
      </c>
      <c r="E474" s="240"/>
      <c r="F474" s="235"/>
      <c r="G474" s="236"/>
      <c r="H474" s="236"/>
      <c r="I474" s="236"/>
      <c r="J474" s="236"/>
      <c r="K474" s="236"/>
      <c r="L474" s="236"/>
      <c r="M474" s="236"/>
      <c r="N474" s="236"/>
      <c r="O474" s="236"/>
      <c r="P474" s="236"/>
      <c r="Q474" s="236"/>
      <c r="R474" s="200">
        <f t="shared" si="42"/>
        <v>0</v>
      </c>
      <c r="S474" s="201"/>
      <c r="T474" s="202"/>
      <c r="U474" s="241"/>
      <c r="V474" s="241"/>
      <c r="W474" s="241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4" t="str">
        <f>IF(C475="","",VLOOKUP($B475,勘定科目!$A:$E,4,0))</f>
        <v/>
      </c>
      <c r="E475" s="240"/>
      <c r="F475" s="235"/>
      <c r="G475" s="236"/>
      <c r="H475" s="236"/>
      <c r="I475" s="236"/>
      <c r="J475" s="236"/>
      <c r="K475" s="236"/>
      <c r="L475" s="236"/>
      <c r="M475" s="236"/>
      <c r="N475" s="236"/>
      <c r="O475" s="236"/>
      <c r="P475" s="236"/>
      <c r="Q475" s="236"/>
      <c r="R475" s="200">
        <f t="shared" si="42"/>
        <v>0</v>
      </c>
      <c r="S475" s="201"/>
      <c r="T475" s="202"/>
      <c r="U475" s="241"/>
      <c r="V475" s="241"/>
      <c r="W475" s="241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4" t="str">
        <f>IF(C476="","",VLOOKUP($B476,勘定科目!$A:$E,4,0))</f>
        <v/>
      </c>
      <c r="E476" s="240"/>
      <c r="F476" s="235"/>
      <c r="G476" s="236"/>
      <c r="H476" s="236"/>
      <c r="I476" s="236"/>
      <c r="J476" s="236"/>
      <c r="K476" s="236"/>
      <c r="L476" s="236"/>
      <c r="M476" s="236"/>
      <c r="N476" s="236"/>
      <c r="O476" s="236"/>
      <c r="P476" s="236"/>
      <c r="Q476" s="236"/>
      <c r="R476" s="200">
        <f t="shared" ref="R476:R539" si="43">SUM(F476:Q476)</f>
        <v>0</v>
      </c>
      <c r="S476" s="201"/>
      <c r="T476" s="202"/>
      <c r="U476" s="241"/>
      <c r="V476" s="241"/>
      <c r="W476" s="241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4" t="str">
        <f>IF(C477="","",VLOOKUP($B477,勘定科目!$A:$E,4,0))</f>
        <v/>
      </c>
      <c r="E477" s="240"/>
      <c r="F477" s="235"/>
      <c r="G477" s="236"/>
      <c r="H477" s="236"/>
      <c r="I477" s="236"/>
      <c r="J477" s="236"/>
      <c r="K477" s="236"/>
      <c r="L477" s="236"/>
      <c r="M477" s="236"/>
      <c r="N477" s="236"/>
      <c r="O477" s="236"/>
      <c r="P477" s="236"/>
      <c r="Q477" s="236"/>
      <c r="R477" s="200">
        <f t="shared" si="43"/>
        <v>0</v>
      </c>
      <c r="S477" s="201"/>
      <c r="T477" s="202"/>
      <c r="U477" s="241"/>
      <c r="V477" s="241"/>
      <c r="W477" s="241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4" t="str">
        <f>IF(C478="","",VLOOKUP($B478,勘定科目!$A:$E,4,0))</f>
        <v/>
      </c>
      <c r="E478" s="240"/>
      <c r="F478" s="235"/>
      <c r="G478" s="236"/>
      <c r="H478" s="236"/>
      <c r="I478" s="236"/>
      <c r="J478" s="236"/>
      <c r="K478" s="236"/>
      <c r="L478" s="236"/>
      <c r="M478" s="236"/>
      <c r="N478" s="236"/>
      <c r="O478" s="236"/>
      <c r="P478" s="236"/>
      <c r="Q478" s="236"/>
      <c r="R478" s="200">
        <f t="shared" si="43"/>
        <v>0</v>
      </c>
      <c r="S478" s="201"/>
      <c r="T478" s="202"/>
      <c r="U478" s="241"/>
      <c r="V478" s="241"/>
      <c r="W478" s="241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4" t="str">
        <f>IF(C479="","",VLOOKUP($B479,勘定科目!$A:$E,4,0))</f>
        <v/>
      </c>
      <c r="E479" s="240"/>
      <c r="F479" s="235"/>
      <c r="G479" s="236"/>
      <c r="H479" s="236"/>
      <c r="I479" s="236"/>
      <c r="J479" s="236"/>
      <c r="K479" s="236"/>
      <c r="L479" s="236"/>
      <c r="M479" s="236"/>
      <c r="N479" s="236"/>
      <c r="O479" s="236"/>
      <c r="P479" s="236"/>
      <c r="Q479" s="236"/>
      <c r="R479" s="200">
        <f t="shared" si="43"/>
        <v>0</v>
      </c>
      <c r="S479" s="201"/>
      <c r="T479" s="202"/>
      <c r="U479" s="241"/>
      <c r="V479" s="241"/>
      <c r="W479" s="241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4" t="str">
        <f>IF(C480="","",VLOOKUP($B480,勘定科目!$A:$E,4,0))</f>
        <v/>
      </c>
      <c r="E480" s="240"/>
      <c r="F480" s="235"/>
      <c r="G480" s="236"/>
      <c r="H480" s="236"/>
      <c r="I480" s="236"/>
      <c r="J480" s="236"/>
      <c r="K480" s="236"/>
      <c r="L480" s="236"/>
      <c r="M480" s="236"/>
      <c r="N480" s="236"/>
      <c r="O480" s="236"/>
      <c r="P480" s="236"/>
      <c r="Q480" s="236"/>
      <c r="R480" s="200">
        <f t="shared" si="43"/>
        <v>0</v>
      </c>
      <c r="S480" s="201"/>
      <c r="T480" s="202"/>
      <c r="U480" s="241"/>
      <c r="V480" s="241"/>
      <c r="W480" s="241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4" t="str">
        <f>IF(C481="","",VLOOKUP($B481,勘定科目!$A:$E,4,0))</f>
        <v/>
      </c>
      <c r="E481" s="240"/>
      <c r="F481" s="235"/>
      <c r="G481" s="236"/>
      <c r="H481" s="236"/>
      <c r="I481" s="236"/>
      <c r="J481" s="236"/>
      <c r="K481" s="236"/>
      <c r="L481" s="236"/>
      <c r="M481" s="236"/>
      <c r="N481" s="236"/>
      <c r="O481" s="236"/>
      <c r="P481" s="236"/>
      <c r="Q481" s="236"/>
      <c r="R481" s="200">
        <f t="shared" si="43"/>
        <v>0</v>
      </c>
      <c r="S481" s="201"/>
      <c r="T481" s="202"/>
      <c r="U481" s="241"/>
      <c r="V481" s="241"/>
      <c r="W481" s="241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4" t="str">
        <f>IF(C482="","",VLOOKUP($B482,勘定科目!$A:$E,4,0))</f>
        <v/>
      </c>
      <c r="E482" s="240"/>
      <c r="F482" s="235"/>
      <c r="G482" s="236"/>
      <c r="H482" s="236"/>
      <c r="I482" s="236"/>
      <c r="J482" s="236"/>
      <c r="K482" s="236"/>
      <c r="L482" s="236"/>
      <c r="M482" s="236"/>
      <c r="N482" s="236"/>
      <c r="O482" s="236"/>
      <c r="P482" s="236"/>
      <c r="Q482" s="236"/>
      <c r="R482" s="200">
        <f t="shared" si="43"/>
        <v>0</v>
      </c>
      <c r="S482" s="201"/>
      <c r="T482" s="202"/>
      <c r="U482" s="241"/>
      <c r="V482" s="241"/>
      <c r="W482" s="241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4" t="str">
        <f>IF(C483="","",VLOOKUP($B483,勘定科目!$A:$E,4,0))</f>
        <v/>
      </c>
      <c r="E483" s="240"/>
      <c r="F483" s="235"/>
      <c r="G483" s="236"/>
      <c r="H483" s="236"/>
      <c r="I483" s="236"/>
      <c r="J483" s="236"/>
      <c r="K483" s="236"/>
      <c r="L483" s="236"/>
      <c r="M483" s="236"/>
      <c r="N483" s="236"/>
      <c r="O483" s="236"/>
      <c r="P483" s="236"/>
      <c r="Q483" s="236"/>
      <c r="R483" s="200">
        <f t="shared" si="43"/>
        <v>0</v>
      </c>
      <c r="S483" s="201"/>
      <c r="T483" s="202"/>
      <c r="U483" s="241"/>
      <c r="V483" s="241"/>
      <c r="W483" s="241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4" t="str">
        <f>IF(C484="","",VLOOKUP($B484,勘定科目!$A:$E,4,0))</f>
        <v/>
      </c>
      <c r="E484" s="240"/>
      <c r="F484" s="235"/>
      <c r="G484" s="236"/>
      <c r="H484" s="236"/>
      <c r="I484" s="236"/>
      <c r="J484" s="236"/>
      <c r="K484" s="236"/>
      <c r="L484" s="236"/>
      <c r="M484" s="236"/>
      <c r="N484" s="236"/>
      <c r="O484" s="236"/>
      <c r="P484" s="236"/>
      <c r="Q484" s="236"/>
      <c r="R484" s="200">
        <f t="shared" si="43"/>
        <v>0</v>
      </c>
      <c r="S484" s="201"/>
      <c r="T484" s="202"/>
      <c r="U484" s="241"/>
      <c r="V484" s="241"/>
      <c r="W484" s="241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4" t="str">
        <f>IF(C485="","",VLOOKUP($B485,勘定科目!$A:$E,4,0))</f>
        <v/>
      </c>
      <c r="E485" s="240"/>
      <c r="F485" s="235"/>
      <c r="G485" s="236"/>
      <c r="H485" s="236"/>
      <c r="I485" s="236"/>
      <c r="J485" s="236"/>
      <c r="K485" s="236"/>
      <c r="L485" s="236"/>
      <c r="M485" s="236"/>
      <c r="N485" s="236"/>
      <c r="O485" s="236"/>
      <c r="P485" s="236"/>
      <c r="Q485" s="236"/>
      <c r="R485" s="200">
        <f t="shared" si="43"/>
        <v>0</v>
      </c>
      <c r="S485" s="201"/>
      <c r="T485" s="202"/>
      <c r="U485" s="241"/>
      <c r="V485" s="241"/>
      <c r="W485" s="241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4" t="str">
        <f>IF(C486="","",VLOOKUP($B486,勘定科目!$A:$E,4,0))</f>
        <v/>
      </c>
      <c r="E486" s="240"/>
      <c r="F486" s="235"/>
      <c r="G486" s="236"/>
      <c r="H486" s="236"/>
      <c r="I486" s="236"/>
      <c r="J486" s="236"/>
      <c r="K486" s="236"/>
      <c r="L486" s="236"/>
      <c r="M486" s="236"/>
      <c r="N486" s="236"/>
      <c r="O486" s="236"/>
      <c r="P486" s="236"/>
      <c r="Q486" s="236"/>
      <c r="R486" s="200">
        <f t="shared" si="43"/>
        <v>0</v>
      </c>
      <c r="S486" s="201"/>
      <c r="T486" s="202"/>
      <c r="U486" s="241"/>
      <c r="V486" s="241"/>
      <c r="W486" s="241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4" t="str">
        <f>IF(C487="","",VLOOKUP($B487,勘定科目!$A:$E,4,0))</f>
        <v/>
      </c>
      <c r="E487" s="240"/>
      <c r="F487" s="235"/>
      <c r="G487" s="236"/>
      <c r="H487" s="236"/>
      <c r="I487" s="236"/>
      <c r="J487" s="236"/>
      <c r="K487" s="236"/>
      <c r="L487" s="236"/>
      <c r="M487" s="236"/>
      <c r="N487" s="236"/>
      <c r="O487" s="236"/>
      <c r="P487" s="236"/>
      <c r="Q487" s="236"/>
      <c r="R487" s="200">
        <f t="shared" si="43"/>
        <v>0</v>
      </c>
      <c r="S487" s="201"/>
      <c r="T487" s="202"/>
      <c r="U487" s="241"/>
      <c r="V487" s="241"/>
      <c r="W487" s="241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4" t="str">
        <f>IF(C488="","",VLOOKUP($B488,勘定科目!$A:$E,4,0))</f>
        <v/>
      </c>
      <c r="E488" s="240"/>
      <c r="F488" s="235"/>
      <c r="G488" s="236"/>
      <c r="H488" s="236"/>
      <c r="I488" s="236"/>
      <c r="J488" s="236"/>
      <c r="K488" s="236"/>
      <c r="L488" s="236"/>
      <c r="M488" s="236"/>
      <c r="N488" s="236"/>
      <c r="O488" s="236"/>
      <c r="P488" s="236"/>
      <c r="Q488" s="236"/>
      <c r="R488" s="200">
        <f t="shared" si="43"/>
        <v>0</v>
      </c>
      <c r="S488" s="201"/>
      <c r="T488" s="202"/>
      <c r="U488" s="241"/>
      <c r="V488" s="241"/>
      <c r="W488" s="241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4" t="str">
        <f>IF(C489="","",VLOOKUP($B489,勘定科目!$A:$E,4,0))</f>
        <v/>
      </c>
      <c r="E489" s="240"/>
      <c r="F489" s="235"/>
      <c r="G489" s="236"/>
      <c r="H489" s="236"/>
      <c r="I489" s="236"/>
      <c r="J489" s="236"/>
      <c r="K489" s="236"/>
      <c r="L489" s="236"/>
      <c r="M489" s="236"/>
      <c r="N489" s="236"/>
      <c r="O489" s="236"/>
      <c r="P489" s="236"/>
      <c r="Q489" s="236"/>
      <c r="R489" s="200">
        <f t="shared" si="43"/>
        <v>0</v>
      </c>
      <c r="S489" s="201"/>
      <c r="T489" s="202"/>
      <c r="U489" s="241"/>
      <c r="V489" s="241"/>
      <c r="W489" s="241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4" t="str">
        <f>IF(C490="","",VLOOKUP($B490,勘定科目!$A:$E,4,0))</f>
        <v/>
      </c>
      <c r="E490" s="240"/>
      <c r="F490" s="235"/>
      <c r="G490" s="236"/>
      <c r="H490" s="236"/>
      <c r="I490" s="236"/>
      <c r="J490" s="236"/>
      <c r="K490" s="236"/>
      <c r="L490" s="236"/>
      <c r="M490" s="236"/>
      <c r="N490" s="236"/>
      <c r="O490" s="236"/>
      <c r="P490" s="236"/>
      <c r="Q490" s="236"/>
      <c r="R490" s="200">
        <f t="shared" si="43"/>
        <v>0</v>
      </c>
      <c r="S490" s="201"/>
      <c r="T490" s="202"/>
      <c r="U490" s="241"/>
      <c r="V490" s="241"/>
      <c r="W490" s="241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4" t="str">
        <f>IF(C491="","",VLOOKUP($B491,勘定科目!$A:$E,4,0))</f>
        <v/>
      </c>
      <c r="E491" s="240"/>
      <c r="F491" s="235"/>
      <c r="G491" s="236"/>
      <c r="H491" s="236"/>
      <c r="I491" s="236"/>
      <c r="J491" s="236"/>
      <c r="K491" s="236"/>
      <c r="L491" s="236"/>
      <c r="M491" s="236"/>
      <c r="N491" s="236"/>
      <c r="O491" s="236"/>
      <c r="P491" s="236"/>
      <c r="Q491" s="236"/>
      <c r="R491" s="200">
        <f t="shared" si="43"/>
        <v>0</v>
      </c>
      <c r="S491" s="201"/>
      <c r="T491" s="202"/>
      <c r="U491" s="241"/>
      <c r="V491" s="241"/>
      <c r="W491" s="241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4" t="str">
        <f>IF(C492="","",VLOOKUP($B492,勘定科目!$A:$E,4,0))</f>
        <v/>
      </c>
      <c r="E492" s="240"/>
      <c r="F492" s="235"/>
      <c r="G492" s="236"/>
      <c r="H492" s="236"/>
      <c r="I492" s="236"/>
      <c r="J492" s="236"/>
      <c r="K492" s="236"/>
      <c r="L492" s="236"/>
      <c r="M492" s="236"/>
      <c r="N492" s="236"/>
      <c r="O492" s="236"/>
      <c r="P492" s="236"/>
      <c r="Q492" s="236"/>
      <c r="R492" s="200">
        <f t="shared" si="43"/>
        <v>0</v>
      </c>
      <c r="S492" s="201"/>
      <c r="T492" s="202"/>
      <c r="U492" s="241"/>
      <c r="V492" s="241"/>
      <c r="W492" s="241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4" t="str">
        <f>IF(C493="","",VLOOKUP($B493,勘定科目!$A:$E,4,0))</f>
        <v/>
      </c>
      <c r="E493" s="240"/>
      <c r="F493" s="235"/>
      <c r="G493" s="236"/>
      <c r="H493" s="236"/>
      <c r="I493" s="236"/>
      <c r="J493" s="236"/>
      <c r="K493" s="236"/>
      <c r="L493" s="236"/>
      <c r="M493" s="236"/>
      <c r="N493" s="236"/>
      <c r="O493" s="236"/>
      <c r="P493" s="236"/>
      <c r="Q493" s="236"/>
      <c r="R493" s="200">
        <f t="shared" si="43"/>
        <v>0</v>
      </c>
      <c r="S493" s="201"/>
      <c r="T493" s="202"/>
      <c r="U493" s="241"/>
      <c r="V493" s="241"/>
      <c r="W493" s="241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4" t="str">
        <f>IF(C494="","",VLOOKUP($B494,勘定科目!$A:$E,4,0))</f>
        <v/>
      </c>
      <c r="E494" s="240"/>
      <c r="F494" s="235"/>
      <c r="G494" s="236"/>
      <c r="H494" s="236"/>
      <c r="I494" s="236"/>
      <c r="J494" s="236"/>
      <c r="K494" s="236"/>
      <c r="L494" s="236"/>
      <c r="M494" s="236"/>
      <c r="N494" s="236"/>
      <c r="O494" s="236"/>
      <c r="P494" s="236"/>
      <c r="Q494" s="236"/>
      <c r="R494" s="200">
        <f t="shared" si="43"/>
        <v>0</v>
      </c>
      <c r="S494" s="201"/>
      <c r="T494" s="202"/>
      <c r="U494" s="241"/>
      <c r="V494" s="241"/>
      <c r="W494" s="241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4" t="str">
        <f>IF(C495="","",VLOOKUP($B495,勘定科目!$A:$E,4,0))</f>
        <v/>
      </c>
      <c r="E495" s="240"/>
      <c r="F495" s="235"/>
      <c r="G495" s="236"/>
      <c r="H495" s="236"/>
      <c r="I495" s="236"/>
      <c r="J495" s="236"/>
      <c r="K495" s="236"/>
      <c r="L495" s="236"/>
      <c r="M495" s="236"/>
      <c r="N495" s="236"/>
      <c r="O495" s="236"/>
      <c r="P495" s="236"/>
      <c r="Q495" s="236"/>
      <c r="R495" s="200">
        <f t="shared" si="43"/>
        <v>0</v>
      </c>
      <c r="S495" s="201"/>
      <c r="T495" s="202"/>
      <c r="U495" s="241"/>
      <c r="V495" s="241"/>
      <c r="W495" s="241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4" t="str">
        <f>IF(C496="","",VLOOKUP($B496,勘定科目!$A:$E,4,0))</f>
        <v/>
      </c>
      <c r="E496" s="240"/>
      <c r="F496" s="235"/>
      <c r="G496" s="236"/>
      <c r="H496" s="236"/>
      <c r="I496" s="236"/>
      <c r="J496" s="236"/>
      <c r="K496" s="236"/>
      <c r="L496" s="236"/>
      <c r="M496" s="236"/>
      <c r="N496" s="236"/>
      <c r="O496" s="236"/>
      <c r="P496" s="236"/>
      <c r="Q496" s="236"/>
      <c r="R496" s="200">
        <f t="shared" si="43"/>
        <v>0</v>
      </c>
      <c r="S496" s="201"/>
      <c r="T496" s="202"/>
      <c r="U496" s="241"/>
      <c r="V496" s="241"/>
      <c r="W496" s="241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4" t="str">
        <f>IF(C497="","",VLOOKUP($B497,勘定科目!$A:$E,4,0))</f>
        <v/>
      </c>
      <c r="E497" s="240"/>
      <c r="F497" s="235"/>
      <c r="G497" s="236"/>
      <c r="H497" s="236"/>
      <c r="I497" s="236"/>
      <c r="J497" s="236"/>
      <c r="K497" s="236"/>
      <c r="L497" s="236"/>
      <c r="M497" s="236"/>
      <c r="N497" s="236"/>
      <c r="O497" s="236"/>
      <c r="P497" s="236"/>
      <c r="Q497" s="236"/>
      <c r="R497" s="200">
        <f t="shared" si="43"/>
        <v>0</v>
      </c>
      <c r="S497" s="201"/>
      <c r="T497" s="202"/>
      <c r="U497" s="241"/>
      <c r="V497" s="241"/>
      <c r="W497" s="241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4" t="str">
        <f>IF(C498="","",VLOOKUP($B498,勘定科目!$A:$E,4,0))</f>
        <v/>
      </c>
      <c r="E498" s="240"/>
      <c r="F498" s="235"/>
      <c r="G498" s="236"/>
      <c r="H498" s="236"/>
      <c r="I498" s="236"/>
      <c r="J498" s="236"/>
      <c r="K498" s="236"/>
      <c r="L498" s="236"/>
      <c r="M498" s="236"/>
      <c r="N498" s="236"/>
      <c r="O498" s="236"/>
      <c r="P498" s="236"/>
      <c r="Q498" s="236"/>
      <c r="R498" s="200">
        <f t="shared" si="43"/>
        <v>0</v>
      </c>
      <c r="S498" s="201"/>
      <c r="T498" s="202"/>
      <c r="U498" s="241"/>
      <c r="V498" s="241"/>
      <c r="W498" s="241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4" t="str">
        <f>IF(C499="","",VLOOKUP($B499,勘定科目!$A:$E,4,0))</f>
        <v/>
      </c>
      <c r="E499" s="240"/>
      <c r="F499" s="235"/>
      <c r="G499" s="236"/>
      <c r="H499" s="236"/>
      <c r="I499" s="236"/>
      <c r="J499" s="236"/>
      <c r="K499" s="236"/>
      <c r="L499" s="236"/>
      <c r="M499" s="236"/>
      <c r="N499" s="236"/>
      <c r="O499" s="236"/>
      <c r="P499" s="236"/>
      <c r="Q499" s="236"/>
      <c r="R499" s="200">
        <f t="shared" si="43"/>
        <v>0</v>
      </c>
      <c r="S499" s="201"/>
      <c r="T499" s="202"/>
      <c r="U499" s="241"/>
      <c r="V499" s="241"/>
      <c r="W499" s="241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4" t="str">
        <f>IF(C500="","",VLOOKUP($B500,勘定科目!$A:$E,4,0))</f>
        <v/>
      </c>
      <c r="E500" s="240"/>
      <c r="F500" s="235"/>
      <c r="G500" s="236"/>
      <c r="H500" s="236"/>
      <c r="I500" s="236"/>
      <c r="J500" s="236"/>
      <c r="K500" s="236"/>
      <c r="L500" s="236"/>
      <c r="M500" s="236"/>
      <c r="N500" s="236"/>
      <c r="O500" s="236"/>
      <c r="P500" s="236"/>
      <c r="Q500" s="236"/>
      <c r="R500" s="200">
        <f t="shared" si="43"/>
        <v>0</v>
      </c>
      <c r="S500" s="201"/>
      <c r="T500" s="202"/>
      <c r="U500" s="241"/>
      <c r="V500" s="241"/>
      <c r="W500" s="241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4" t="str">
        <f>IF(C501="","",VLOOKUP($B501,勘定科目!$A:$E,4,0))</f>
        <v/>
      </c>
      <c r="E501" s="240"/>
      <c r="F501" s="235"/>
      <c r="G501" s="236"/>
      <c r="H501" s="236"/>
      <c r="I501" s="236"/>
      <c r="J501" s="236"/>
      <c r="K501" s="236"/>
      <c r="L501" s="236"/>
      <c r="M501" s="236"/>
      <c r="N501" s="236"/>
      <c r="O501" s="236"/>
      <c r="P501" s="236"/>
      <c r="Q501" s="236"/>
      <c r="R501" s="200">
        <f t="shared" si="43"/>
        <v>0</v>
      </c>
      <c r="S501" s="201"/>
      <c r="T501" s="202"/>
      <c r="U501" s="241"/>
      <c r="V501" s="241"/>
      <c r="W501" s="241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4" t="str">
        <f>IF(C502="","",VLOOKUP($B502,勘定科目!$A:$E,4,0))</f>
        <v/>
      </c>
      <c r="E502" s="240"/>
      <c r="F502" s="235"/>
      <c r="G502" s="236"/>
      <c r="H502" s="236"/>
      <c r="I502" s="236"/>
      <c r="J502" s="236"/>
      <c r="K502" s="236"/>
      <c r="L502" s="236"/>
      <c r="M502" s="236"/>
      <c r="N502" s="236"/>
      <c r="O502" s="236"/>
      <c r="P502" s="236"/>
      <c r="Q502" s="236"/>
      <c r="R502" s="200">
        <f t="shared" si="43"/>
        <v>0</v>
      </c>
      <c r="S502" s="201"/>
      <c r="T502" s="202"/>
      <c r="U502" s="241"/>
      <c r="V502" s="241"/>
      <c r="W502" s="241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4" t="str">
        <f>IF(C503="","",VLOOKUP($B503,勘定科目!$A:$E,4,0))</f>
        <v/>
      </c>
      <c r="E503" s="240"/>
      <c r="F503" s="235"/>
      <c r="G503" s="236"/>
      <c r="H503" s="236"/>
      <c r="I503" s="236"/>
      <c r="J503" s="236"/>
      <c r="K503" s="236"/>
      <c r="L503" s="236"/>
      <c r="M503" s="236"/>
      <c r="N503" s="236"/>
      <c r="O503" s="236"/>
      <c r="P503" s="236"/>
      <c r="Q503" s="236"/>
      <c r="R503" s="200">
        <f t="shared" si="43"/>
        <v>0</v>
      </c>
      <c r="S503" s="201"/>
      <c r="T503" s="202"/>
      <c r="U503" s="241"/>
      <c r="V503" s="241"/>
      <c r="W503" s="241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4" t="str">
        <f>IF(C504="","",VLOOKUP($B504,勘定科目!$A:$E,4,0))</f>
        <v/>
      </c>
      <c r="E504" s="240"/>
      <c r="F504" s="235"/>
      <c r="G504" s="236"/>
      <c r="H504" s="236"/>
      <c r="I504" s="236"/>
      <c r="J504" s="236"/>
      <c r="K504" s="236"/>
      <c r="L504" s="236"/>
      <c r="M504" s="236"/>
      <c r="N504" s="236"/>
      <c r="O504" s="236"/>
      <c r="P504" s="236"/>
      <c r="Q504" s="236"/>
      <c r="R504" s="200">
        <f t="shared" si="43"/>
        <v>0</v>
      </c>
      <c r="S504" s="201"/>
      <c r="T504" s="202"/>
      <c r="U504" s="241"/>
      <c r="V504" s="241"/>
      <c r="W504" s="241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4" t="str">
        <f>IF(C505="","",VLOOKUP($B505,勘定科目!$A:$E,4,0))</f>
        <v/>
      </c>
      <c r="E505" s="240"/>
      <c r="F505" s="235"/>
      <c r="G505" s="236"/>
      <c r="H505" s="236"/>
      <c r="I505" s="236"/>
      <c r="J505" s="236"/>
      <c r="K505" s="236"/>
      <c r="L505" s="236"/>
      <c r="M505" s="236"/>
      <c r="N505" s="236"/>
      <c r="O505" s="236"/>
      <c r="P505" s="236"/>
      <c r="Q505" s="236"/>
      <c r="R505" s="200">
        <f t="shared" si="43"/>
        <v>0</v>
      </c>
      <c r="S505" s="201"/>
      <c r="T505" s="202"/>
      <c r="U505" s="241"/>
      <c r="V505" s="241"/>
      <c r="W505" s="241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4" t="str">
        <f>IF(C506="","",VLOOKUP($B506,勘定科目!$A:$E,4,0))</f>
        <v/>
      </c>
      <c r="E506" s="240"/>
      <c r="F506" s="235"/>
      <c r="G506" s="236"/>
      <c r="H506" s="236"/>
      <c r="I506" s="236"/>
      <c r="J506" s="236"/>
      <c r="K506" s="236"/>
      <c r="L506" s="236"/>
      <c r="M506" s="236"/>
      <c r="N506" s="236"/>
      <c r="O506" s="236"/>
      <c r="P506" s="236"/>
      <c r="Q506" s="236"/>
      <c r="R506" s="200">
        <f t="shared" si="43"/>
        <v>0</v>
      </c>
      <c r="S506" s="201"/>
      <c r="T506" s="202"/>
      <c r="U506" s="241"/>
      <c r="V506" s="241"/>
      <c r="W506" s="241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4" t="str">
        <f>IF(C507="","",VLOOKUP($B507,勘定科目!$A:$E,4,0))</f>
        <v/>
      </c>
      <c r="E507" s="240"/>
      <c r="F507" s="235"/>
      <c r="G507" s="236"/>
      <c r="H507" s="236"/>
      <c r="I507" s="236"/>
      <c r="J507" s="236"/>
      <c r="K507" s="236"/>
      <c r="L507" s="236"/>
      <c r="M507" s="236"/>
      <c r="N507" s="236"/>
      <c r="O507" s="236"/>
      <c r="P507" s="236"/>
      <c r="Q507" s="236"/>
      <c r="R507" s="200">
        <f t="shared" si="43"/>
        <v>0</v>
      </c>
      <c r="S507" s="201"/>
      <c r="T507" s="202"/>
      <c r="U507" s="241"/>
      <c r="V507" s="241"/>
      <c r="W507" s="241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4" t="str">
        <f>IF(C508="","",VLOOKUP($B508,勘定科目!$A:$E,4,0))</f>
        <v/>
      </c>
      <c r="E508" s="240"/>
      <c r="F508" s="235"/>
      <c r="G508" s="236"/>
      <c r="H508" s="236"/>
      <c r="I508" s="236"/>
      <c r="J508" s="236"/>
      <c r="K508" s="236"/>
      <c r="L508" s="236"/>
      <c r="M508" s="236"/>
      <c r="N508" s="236"/>
      <c r="O508" s="236"/>
      <c r="P508" s="236"/>
      <c r="Q508" s="236"/>
      <c r="R508" s="200">
        <f t="shared" si="43"/>
        <v>0</v>
      </c>
      <c r="S508" s="201"/>
      <c r="T508" s="202"/>
      <c r="U508" s="241"/>
      <c r="V508" s="241"/>
      <c r="W508" s="241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4" t="str">
        <f>IF(C509="","",VLOOKUP($B509,勘定科目!$A:$E,4,0))</f>
        <v/>
      </c>
      <c r="E509" s="240"/>
      <c r="F509" s="235"/>
      <c r="G509" s="236"/>
      <c r="H509" s="236"/>
      <c r="I509" s="236"/>
      <c r="J509" s="236"/>
      <c r="K509" s="236"/>
      <c r="L509" s="236"/>
      <c r="M509" s="236"/>
      <c r="N509" s="236"/>
      <c r="O509" s="236"/>
      <c r="P509" s="236"/>
      <c r="Q509" s="236"/>
      <c r="R509" s="200">
        <f t="shared" si="43"/>
        <v>0</v>
      </c>
      <c r="S509" s="201"/>
      <c r="T509" s="202"/>
      <c r="U509" s="241"/>
      <c r="V509" s="241"/>
      <c r="W509" s="241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4" t="str">
        <f>IF(C510="","",VLOOKUP($B510,勘定科目!$A:$E,4,0))</f>
        <v/>
      </c>
      <c r="E510" s="240"/>
      <c r="F510" s="235"/>
      <c r="G510" s="236"/>
      <c r="H510" s="236"/>
      <c r="I510" s="236"/>
      <c r="J510" s="236"/>
      <c r="K510" s="236"/>
      <c r="L510" s="236"/>
      <c r="M510" s="236"/>
      <c r="N510" s="236"/>
      <c r="O510" s="236"/>
      <c r="P510" s="236"/>
      <c r="Q510" s="236"/>
      <c r="R510" s="200">
        <f t="shared" si="43"/>
        <v>0</v>
      </c>
      <c r="S510" s="201"/>
      <c r="T510" s="202"/>
      <c r="U510" s="241"/>
      <c r="V510" s="241"/>
      <c r="W510" s="241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4" t="str">
        <f>IF(C511="","",VLOOKUP($B511,勘定科目!$A:$E,4,0))</f>
        <v/>
      </c>
      <c r="E511" s="240"/>
      <c r="F511" s="235"/>
      <c r="G511" s="236"/>
      <c r="H511" s="236"/>
      <c r="I511" s="236"/>
      <c r="J511" s="236"/>
      <c r="K511" s="236"/>
      <c r="L511" s="236"/>
      <c r="M511" s="236"/>
      <c r="N511" s="236"/>
      <c r="O511" s="236"/>
      <c r="P511" s="236"/>
      <c r="Q511" s="236"/>
      <c r="R511" s="200">
        <f t="shared" si="43"/>
        <v>0</v>
      </c>
      <c r="S511" s="201"/>
      <c r="T511" s="202"/>
      <c r="U511" s="241"/>
      <c r="V511" s="241"/>
      <c r="W511" s="241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4" t="str">
        <f>IF(C512="","",VLOOKUP($B512,勘定科目!$A:$E,4,0))</f>
        <v/>
      </c>
      <c r="E512" s="240"/>
      <c r="F512" s="235"/>
      <c r="G512" s="236"/>
      <c r="H512" s="236"/>
      <c r="I512" s="236"/>
      <c r="J512" s="236"/>
      <c r="K512" s="236"/>
      <c r="L512" s="236"/>
      <c r="M512" s="236"/>
      <c r="N512" s="236"/>
      <c r="O512" s="236"/>
      <c r="P512" s="236"/>
      <c r="Q512" s="236"/>
      <c r="R512" s="200">
        <f t="shared" si="43"/>
        <v>0</v>
      </c>
      <c r="S512" s="201"/>
      <c r="T512" s="202"/>
      <c r="U512" s="241"/>
      <c r="V512" s="241"/>
      <c r="W512" s="241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4" t="str">
        <f>IF(C513="","",VLOOKUP($B513,勘定科目!$A:$E,4,0))</f>
        <v/>
      </c>
      <c r="E513" s="240"/>
      <c r="F513" s="235"/>
      <c r="G513" s="236"/>
      <c r="H513" s="236"/>
      <c r="I513" s="236"/>
      <c r="J513" s="236"/>
      <c r="K513" s="236"/>
      <c r="L513" s="236"/>
      <c r="M513" s="236"/>
      <c r="N513" s="236"/>
      <c r="O513" s="236"/>
      <c r="P513" s="236"/>
      <c r="Q513" s="236"/>
      <c r="R513" s="200">
        <f t="shared" si="43"/>
        <v>0</v>
      </c>
      <c r="S513" s="201"/>
      <c r="T513" s="202"/>
      <c r="U513" s="241"/>
      <c r="V513" s="241"/>
      <c r="W513" s="241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4" t="str">
        <f>IF(C514="","",VLOOKUP($B514,勘定科目!$A:$E,4,0))</f>
        <v/>
      </c>
      <c r="E514" s="240"/>
      <c r="F514" s="235"/>
      <c r="G514" s="236"/>
      <c r="H514" s="236"/>
      <c r="I514" s="236"/>
      <c r="J514" s="236"/>
      <c r="K514" s="236"/>
      <c r="L514" s="236"/>
      <c r="M514" s="236"/>
      <c r="N514" s="236"/>
      <c r="O514" s="236"/>
      <c r="P514" s="236"/>
      <c r="Q514" s="236"/>
      <c r="R514" s="200">
        <f t="shared" si="43"/>
        <v>0</v>
      </c>
      <c r="S514" s="201"/>
      <c r="T514" s="202"/>
      <c r="U514" s="241"/>
      <c r="V514" s="241"/>
      <c r="W514" s="241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4" t="str">
        <f>IF(C515="","",VLOOKUP($B515,勘定科目!$A:$E,4,0))</f>
        <v/>
      </c>
      <c r="E515" s="240"/>
      <c r="F515" s="235"/>
      <c r="G515" s="236"/>
      <c r="H515" s="236"/>
      <c r="I515" s="236"/>
      <c r="J515" s="236"/>
      <c r="K515" s="236"/>
      <c r="L515" s="236"/>
      <c r="M515" s="236"/>
      <c r="N515" s="236"/>
      <c r="O515" s="236"/>
      <c r="P515" s="236"/>
      <c r="Q515" s="236"/>
      <c r="R515" s="200">
        <f t="shared" si="43"/>
        <v>0</v>
      </c>
      <c r="S515" s="201"/>
      <c r="T515" s="202"/>
      <c r="U515" s="241"/>
      <c r="V515" s="241"/>
      <c r="W515" s="241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4" t="str">
        <f>IF(C516="","",VLOOKUP($B516,勘定科目!$A:$E,4,0))</f>
        <v/>
      </c>
      <c r="E516" s="240"/>
      <c r="F516" s="235"/>
      <c r="G516" s="236"/>
      <c r="H516" s="236"/>
      <c r="I516" s="236"/>
      <c r="J516" s="236"/>
      <c r="K516" s="236"/>
      <c r="L516" s="236"/>
      <c r="M516" s="236"/>
      <c r="N516" s="236"/>
      <c r="O516" s="236"/>
      <c r="P516" s="236"/>
      <c r="Q516" s="236"/>
      <c r="R516" s="200">
        <f t="shared" si="43"/>
        <v>0</v>
      </c>
      <c r="S516" s="201"/>
      <c r="T516" s="202"/>
      <c r="U516" s="241"/>
      <c r="V516" s="241"/>
      <c r="W516" s="241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4" t="str">
        <f>IF(C517="","",VLOOKUP($B517,勘定科目!$A:$E,4,0))</f>
        <v/>
      </c>
      <c r="E517" s="240"/>
      <c r="F517" s="235"/>
      <c r="G517" s="236"/>
      <c r="H517" s="236"/>
      <c r="I517" s="236"/>
      <c r="J517" s="236"/>
      <c r="K517" s="236"/>
      <c r="L517" s="236"/>
      <c r="M517" s="236"/>
      <c r="N517" s="236"/>
      <c r="O517" s="236"/>
      <c r="P517" s="236"/>
      <c r="Q517" s="236"/>
      <c r="R517" s="200">
        <f t="shared" si="43"/>
        <v>0</v>
      </c>
      <c r="S517" s="201"/>
      <c r="T517" s="202"/>
      <c r="U517" s="241"/>
      <c r="V517" s="241"/>
      <c r="W517" s="241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4" t="str">
        <f>IF(C518="","",VLOOKUP($B518,勘定科目!$A:$E,4,0))</f>
        <v/>
      </c>
      <c r="E518" s="240"/>
      <c r="F518" s="235"/>
      <c r="G518" s="236"/>
      <c r="H518" s="236"/>
      <c r="I518" s="236"/>
      <c r="J518" s="236"/>
      <c r="K518" s="236"/>
      <c r="L518" s="236"/>
      <c r="M518" s="236"/>
      <c r="N518" s="236"/>
      <c r="O518" s="236"/>
      <c r="P518" s="236"/>
      <c r="Q518" s="236"/>
      <c r="R518" s="200">
        <f t="shared" si="43"/>
        <v>0</v>
      </c>
      <c r="S518" s="201"/>
      <c r="T518" s="202"/>
      <c r="U518" s="241"/>
      <c r="V518" s="241"/>
      <c r="W518" s="241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4" t="str">
        <f>IF(C519="","",VLOOKUP($B519,勘定科目!$A:$E,4,0))</f>
        <v/>
      </c>
      <c r="E519" s="240"/>
      <c r="F519" s="235"/>
      <c r="G519" s="236"/>
      <c r="H519" s="236"/>
      <c r="I519" s="236"/>
      <c r="J519" s="236"/>
      <c r="K519" s="236"/>
      <c r="L519" s="236"/>
      <c r="M519" s="236"/>
      <c r="N519" s="236"/>
      <c r="O519" s="236"/>
      <c r="P519" s="236"/>
      <c r="Q519" s="236"/>
      <c r="R519" s="200">
        <f t="shared" si="43"/>
        <v>0</v>
      </c>
      <c r="S519" s="201"/>
      <c r="T519" s="202"/>
      <c r="U519" s="241"/>
      <c r="V519" s="241"/>
      <c r="W519" s="241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4" t="str">
        <f>IF(C520="","",VLOOKUP($B520,勘定科目!$A:$E,4,0))</f>
        <v/>
      </c>
      <c r="E520" s="240"/>
      <c r="F520" s="235"/>
      <c r="G520" s="236"/>
      <c r="H520" s="236"/>
      <c r="I520" s="236"/>
      <c r="J520" s="236"/>
      <c r="K520" s="236"/>
      <c r="L520" s="236"/>
      <c r="M520" s="236"/>
      <c r="N520" s="236"/>
      <c r="O520" s="236"/>
      <c r="P520" s="236"/>
      <c r="Q520" s="236"/>
      <c r="R520" s="200">
        <f t="shared" si="43"/>
        <v>0</v>
      </c>
      <c r="S520" s="201"/>
      <c r="T520" s="202"/>
      <c r="U520" s="241"/>
      <c r="V520" s="241"/>
      <c r="W520" s="241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4" t="str">
        <f>IF(C521="","",VLOOKUP($B521,勘定科目!$A:$E,4,0))</f>
        <v/>
      </c>
      <c r="E521" s="240"/>
      <c r="F521" s="235"/>
      <c r="G521" s="236"/>
      <c r="H521" s="236"/>
      <c r="I521" s="236"/>
      <c r="J521" s="236"/>
      <c r="K521" s="236"/>
      <c r="L521" s="236"/>
      <c r="M521" s="236"/>
      <c r="N521" s="236"/>
      <c r="O521" s="236"/>
      <c r="P521" s="236"/>
      <c r="Q521" s="236"/>
      <c r="R521" s="200">
        <f t="shared" si="43"/>
        <v>0</v>
      </c>
      <c r="S521" s="201"/>
      <c r="T521" s="202"/>
      <c r="U521" s="241"/>
      <c r="V521" s="241"/>
      <c r="W521" s="241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4" t="str">
        <f>IF(C522="","",VLOOKUP($B522,勘定科目!$A:$E,4,0))</f>
        <v/>
      </c>
      <c r="E522" s="240"/>
      <c r="F522" s="235"/>
      <c r="G522" s="236"/>
      <c r="H522" s="236"/>
      <c r="I522" s="236"/>
      <c r="J522" s="236"/>
      <c r="K522" s="236"/>
      <c r="L522" s="236"/>
      <c r="M522" s="236"/>
      <c r="N522" s="236"/>
      <c r="O522" s="236"/>
      <c r="P522" s="236"/>
      <c r="Q522" s="236"/>
      <c r="R522" s="200">
        <f t="shared" si="43"/>
        <v>0</v>
      </c>
      <c r="S522" s="201"/>
      <c r="T522" s="202"/>
      <c r="U522" s="241"/>
      <c r="V522" s="241"/>
      <c r="W522" s="241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4" t="str">
        <f>IF(C523="","",VLOOKUP($B523,勘定科目!$A:$E,4,0))</f>
        <v/>
      </c>
      <c r="E523" s="240"/>
      <c r="F523" s="235"/>
      <c r="G523" s="236"/>
      <c r="H523" s="236"/>
      <c r="I523" s="236"/>
      <c r="J523" s="236"/>
      <c r="K523" s="236"/>
      <c r="L523" s="236"/>
      <c r="M523" s="236"/>
      <c r="N523" s="236"/>
      <c r="O523" s="236"/>
      <c r="P523" s="236"/>
      <c r="Q523" s="236"/>
      <c r="R523" s="200">
        <f t="shared" si="43"/>
        <v>0</v>
      </c>
      <c r="S523" s="201"/>
      <c r="T523" s="202"/>
      <c r="U523" s="241"/>
      <c r="V523" s="241"/>
      <c r="W523" s="241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4" t="str">
        <f>IF(C524="","",VLOOKUP($B524,勘定科目!$A:$E,4,0))</f>
        <v/>
      </c>
      <c r="E524" s="240"/>
      <c r="F524" s="235"/>
      <c r="G524" s="236"/>
      <c r="H524" s="236"/>
      <c r="I524" s="236"/>
      <c r="J524" s="236"/>
      <c r="K524" s="236"/>
      <c r="L524" s="236"/>
      <c r="M524" s="236"/>
      <c r="N524" s="236"/>
      <c r="O524" s="236"/>
      <c r="P524" s="236"/>
      <c r="Q524" s="236"/>
      <c r="R524" s="200">
        <f t="shared" si="43"/>
        <v>0</v>
      </c>
      <c r="S524" s="201"/>
      <c r="T524" s="202"/>
      <c r="U524" s="241"/>
      <c r="V524" s="241"/>
      <c r="W524" s="241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4" t="str">
        <f>IF(C525="","",VLOOKUP($B525,勘定科目!$A:$E,4,0))</f>
        <v/>
      </c>
      <c r="E525" s="240"/>
      <c r="F525" s="235"/>
      <c r="G525" s="236"/>
      <c r="H525" s="236"/>
      <c r="I525" s="236"/>
      <c r="J525" s="236"/>
      <c r="K525" s="236"/>
      <c r="L525" s="236"/>
      <c r="M525" s="236"/>
      <c r="N525" s="236"/>
      <c r="O525" s="236"/>
      <c r="P525" s="236"/>
      <c r="Q525" s="236"/>
      <c r="R525" s="200">
        <f t="shared" si="43"/>
        <v>0</v>
      </c>
      <c r="S525" s="201"/>
      <c r="T525" s="202"/>
      <c r="U525" s="241"/>
      <c r="V525" s="241"/>
      <c r="W525" s="241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4" t="str">
        <f>IF(C526="","",VLOOKUP($B526,勘定科目!$A:$E,4,0))</f>
        <v/>
      </c>
      <c r="E526" s="240"/>
      <c r="F526" s="235"/>
      <c r="G526" s="236"/>
      <c r="H526" s="236"/>
      <c r="I526" s="236"/>
      <c r="J526" s="236"/>
      <c r="K526" s="236"/>
      <c r="L526" s="236"/>
      <c r="M526" s="236"/>
      <c r="N526" s="236"/>
      <c r="O526" s="236"/>
      <c r="P526" s="236"/>
      <c r="Q526" s="236"/>
      <c r="R526" s="200">
        <f t="shared" si="43"/>
        <v>0</v>
      </c>
      <c r="S526" s="201"/>
      <c r="T526" s="202"/>
      <c r="U526" s="241"/>
      <c r="V526" s="241"/>
      <c r="W526" s="241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4" t="str">
        <f>IF(C527="","",VLOOKUP($B527,勘定科目!$A:$E,4,0))</f>
        <v/>
      </c>
      <c r="E527" s="240"/>
      <c r="F527" s="235"/>
      <c r="G527" s="236"/>
      <c r="H527" s="236"/>
      <c r="I527" s="236"/>
      <c r="J527" s="236"/>
      <c r="K527" s="236"/>
      <c r="L527" s="236"/>
      <c r="M527" s="236"/>
      <c r="N527" s="236"/>
      <c r="O527" s="236"/>
      <c r="P527" s="236"/>
      <c r="Q527" s="236"/>
      <c r="R527" s="200">
        <f t="shared" si="43"/>
        <v>0</v>
      </c>
      <c r="S527" s="201"/>
      <c r="T527" s="202"/>
      <c r="U527" s="241"/>
      <c r="V527" s="241"/>
      <c r="W527" s="241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4" t="str">
        <f>IF(C528="","",VLOOKUP($B528,勘定科目!$A:$E,4,0))</f>
        <v/>
      </c>
      <c r="E528" s="240"/>
      <c r="F528" s="235"/>
      <c r="G528" s="236"/>
      <c r="H528" s="236"/>
      <c r="I528" s="236"/>
      <c r="J528" s="236"/>
      <c r="K528" s="236"/>
      <c r="L528" s="236"/>
      <c r="M528" s="236"/>
      <c r="N528" s="236"/>
      <c r="O528" s="236"/>
      <c r="P528" s="236"/>
      <c r="Q528" s="236"/>
      <c r="R528" s="200">
        <f t="shared" si="43"/>
        <v>0</v>
      </c>
      <c r="S528" s="201"/>
      <c r="T528" s="202"/>
      <c r="U528" s="241"/>
      <c r="V528" s="241"/>
      <c r="W528" s="241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4" t="str">
        <f>IF(C529="","",VLOOKUP($B529,勘定科目!$A:$E,4,0))</f>
        <v/>
      </c>
      <c r="E529" s="240"/>
      <c r="F529" s="235"/>
      <c r="G529" s="236"/>
      <c r="H529" s="236"/>
      <c r="I529" s="236"/>
      <c r="J529" s="236"/>
      <c r="K529" s="236"/>
      <c r="L529" s="236"/>
      <c r="M529" s="236"/>
      <c r="N529" s="236"/>
      <c r="O529" s="236"/>
      <c r="P529" s="236"/>
      <c r="Q529" s="236"/>
      <c r="R529" s="200">
        <f t="shared" si="43"/>
        <v>0</v>
      </c>
      <c r="S529" s="201"/>
      <c r="T529" s="202"/>
      <c r="U529" s="241"/>
      <c r="V529" s="241"/>
      <c r="W529" s="241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4" t="str">
        <f>IF(C530="","",VLOOKUP($B530,勘定科目!$A:$E,4,0))</f>
        <v/>
      </c>
      <c r="E530" s="240"/>
      <c r="F530" s="235"/>
      <c r="G530" s="236"/>
      <c r="H530" s="236"/>
      <c r="I530" s="236"/>
      <c r="J530" s="236"/>
      <c r="K530" s="236"/>
      <c r="L530" s="236"/>
      <c r="M530" s="236"/>
      <c r="N530" s="236"/>
      <c r="O530" s="236"/>
      <c r="P530" s="236"/>
      <c r="Q530" s="236"/>
      <c r="R530" s="200">
        <f t="shared" si="43"/>
        <v>0</v>
      </c>
      <c r="S530" s="201"/>
      <c r="T530" s="202"/>
      <c r="U530" s="241"/>
      <c r="V530" s="241"/>
      <c r="W530" s="241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4" t="str">
        <f>IF(C531="","",VLOOKUP($B531,勘定科目!$A:$E,4,0))</f>
        <v/>
      </c>
      <c r="E531" s="240"/>
      <c r="F531" s="235"/>
      <c r="G531" s="236"/>
      <c r="H531" s="236"/>
      <c r="I531" s="236"/>
      <c r="J531" s="236"/>
      <c r="K531" s="236"/>
      <c r="L531" s="236"/>
      <c r="M531" s="236"/>
      <c r="N531" s="236"/>
      <c r="O531" s="236"/>
      <c r="P531" s="236"/>
      <c r="Q531" s="236"/>
      <c r="R531" s="200">
        <f t="shared" si="43"/>
        <v>0</v>
      </c>
      <c r="S531" s="201"/>
      <c r="T531" s="202"/>
      <c r="U531" s="241"/>
      <c r="V531" s="241"/>
      <c r="W531" s="241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4" t="str">
        <f>IF(C532="","",VLOOKUP($B532,勘定科目!$A:$E,4,0))</f>
        <v/>
      </c>
      <c r="E532" s="240"/>
      <c r="F532" s="235"/>
      <c r="G532" s="236"/>
      <c r="H532" s="236"/>
      <c r="I532" s="236"/>
      <c r="J532" s="236"/>
      <c r="K532" s="236"/>
      <c r="L532" s="236"/>
      <c r="M532" s="236"/>
      <c r="N532" s="236"/>
      <c r="O532" s="236"/>
      <c r="P532" s="236"/>
      <c r="Q532" s="236"/>
      <c r="R532" s="200">
        <f t="shared" si="43"/>
        <v>0</v>
      </c>
      <c r="S532" s="201"/>
      <c r="T532" s="202"/>
      <c r="U532" s="241"/>
      <c r="V532" s="241"/>
      <c r="W532" s="241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4" t="str">
        <f>IF(C533="","",VLOOKUP($B533,勘定科目!$A:$E,4,0))</f>
        <v/>
      </c>
      <c r="E533" s="240"/>
      <c r="F533" s="235"/>
      <c r="G533" s="236"/>
      <c r="H533" s="236"/>
      <c r="I533" s="236"/>
      <c r="J533" s="236"/>
      <c r="K533" s="236"/>
      <c r="L533" s="236"/>
      <c r="M533" s="236"/>
      <c r="N533" s="236"/>
      <c r="O533" s="236"/>
      <c r="P533" s="236"/>
      <c r="Q533" s="236"/>
      <c r="R533" s="200">
        <f t="shared" si="43"/>
        <v>0</v>
      </c>
      <c r="S533" s="201"/>
      <c r="T533" s="202"/>
      <c r="U533" s="241"/>
      <c r="V533" s="241"/>
      <c r="W533" s="241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4" t="str">
        <f>IF(C534="","",VLOOKUP($B534,勘定科目!$A:$E,4,0))</f>
        <v/>
      </c>
      <c r="E534" s="240"/>
      <c r="F534" s="235"/>
      <c r="G534" s="236"/>
      <c r="H534" s="236"/>
      <c r="I534" s="236"/>
      <c r="J534" s="236"/>
      <c r="K534" s="236"/>
      <c r="L534" s="236"/>
      <c r="M534" s="236"/>
      <c r="N534" s="236"/>
      <c r="O534" s="236"/>
      <c r="P534" s="236"/>
      <c r="Q534" s="236"/>
      <c r="R534" s="200">
        <f t="shared" si="43"/>
        <v>0</v>
      </c>
      <c r="S534" s="201"/>
      <c r="T534" s="202"/>
      <c r="U534" s="241"/>
      <c r="V534" s="241"/>
      <c r="W534" s="241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4" t="str">
        <f>IF(C535="","",VLOOKUP($B535,勘定科目!$A:$E,4,0))</f>
        <v/>
      </c>
      <c r="E535" s="240"/>
      <c r="F535" s="235"/>
      <c r="G535" s="236"/>
      <c r="H535" s="236"/>
      <c r="I535" s="236"/>
      <c r="J535" s="236"/>
      <c r="K535" s="236"/>
      <c r="L535" s="236"/>
      <c r="M535" s="236"/>
      <c r="N535" s="236"/>
      <c r="O535" s="236"/>
      <c r="P535" s="236"/>
      <c r="Q535" s="236"/>
      <c r="R535" s="200">
        <f t="shared" si="43"/>
        <v>0</v>
      </c>
      <c r="S535" s="201"/>
      <c r="T535" s="202"/>
      <c r="U535" s="241"/>
      <c r="V535" s="241"/>
      <c r="W535" s="241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4" t="str">
        <f>IF(C536="","",VLOOKUP($B536,勘定科目!$A:$E,4,0))</f>
        <v/>
      </c>
      <c r="E536" s="240"/>
      <c r="F536" s="235"/>
      <c r="G536" s="236"/>
      <c r="H536" s="236"/>
      <c r="I536" s="236"/>
      <c r="J536" s="236"/>
      <c r="K536" s="236"/>
      <c r="L536" s="236"/>
      <c r="M536" s="236"/>
      <c r="N536" s="236"/>
      <c r="O536" s="236"/>
      <c r="P536" s="236"/>
      <c r="Q536" s="236"/>
      <c r="R536" s="200">
        <f t="shared" si="43"/>
        <v>0</v>
      </c>
      <c r="S536" s="201"/>
      <c r="T536" s="202"/>
      <c r="U536" s="241"/>
      <c r="V536" s="241"/>
      <c r="W536" s="241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4" t="str">
        <f>IF(C537="","",VLOOKUP($B537,勘定科目!$A:$E,4,0))</f>
        <v/>
      </c>
      <c r="E537" s="240"/>
      <c r="F537" s="235"/>
      <c r="G537" s="236"/>
      <c r="H537" s="236"/>
      <c r="I537" s="236"/>
      <c r="J537" s="236"/>
      <c r="K537" s="236"/>
      <c r="L537" s="236"/>
      <c r="M537" s="236"/>
      <c r="N537" s="236"/>
      <c r="O537" s="236"/>
      <c r="P537" s="236"/>
      <c r="Q537" s="236"/>
      <c r="R537" s="200">
        <f t="shared" si="43"/>
        <v>0</v>
      </c>
      <c r="S537" s="201"/>
      <c r="T537" s="202"/>
      <c r="U537" s="241"/>
      <c r="V537" s="241"/>
      <c r="W537" s="241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4" t="str">
        <f>IF(C538="","",VLOOKUP($B538,勘定科目!$A:$E,4,0))</f>
        <v/>
      </c>
      <c r="E538" s="240"/>
      <c r="F538" s="235"/>
      <c r="G538" s="236"/>
      <c r="H538" s="236"/>
      <c r="I538" s="236"/>
      <c r="J538" s="236"/>
      <c r="K538" s="236"/>
      <c r="L538" s="236"/>
      <c r="M538" s="236"/>
      <c r="N538" s="236"/>
      <c r="O538" s="236"/>
      <c r="P538" s="236"/>
      <c r="Q538" s="236"/>
      <c r="R538" s="200">
        <f t="shared" si="43"/>
        <v>0</v>
      </c>
      <c r="S538" s="201"/>
      <c r="T538" s="202"/>
      <c r="U538" s="241"/>
      <c r="V538" s="241"/>
      <c r="W538" s="241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4" t="str">
        <f>IF(C539="","",VLOOKUP($B539,勘定科目!$A:$E,4,0))</f>
        <v/>
      </c>
      <c r="E539" s="240"/>
      <c r="F539" s="235"/>
      <c r="G539" s="236"/>
      <c r="H539" s="236"/>
      <c r="I539" s="236"/>
      <c r="J539" s="236"/>
      <c r="K539" s="236"/>
      <c r="L539" s="236"/>
      <c r="M539" s="236"/>
      <c r="N539" s="236"/>
      <c r="O539" s="236"/>
      <c r="P539" s="236"/>
      <c r="Q539" s="236"/>
      <c r="R539" s="200">
        <f t="shared" si="43"/>
        <v>0</v>
      </c>
      <c r="S539" s="201"/>
      <c r="T539" s="202"/>
      <c r="U539" s="241"/>
      <c r="V539" s="241"/>
      <c r="W539" s="241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4" t="str">
        <f>IF(C540="","",VLOOKUP($B540,勘定科目!$A:$E,4,0))</f>
        <v/>
      </c>
      <c r="E540" s="240"/>
      <c r="F540" s="235"/>
      <c r="G540" s="236"/>
      <c r="H540" s="236"/>
      <c r="I540" s="236"/>
      <c r="J540" s="236"/>
      <c r="K540" s="236"/>
      <c r="L540" s="236"/>
      <c r="M540" s="236"/>
      <c r="N540" s="236"/>
      <c r="O540" s="236"/>
      <c r="P540" s="236"/>
      <c r="Q540" s="236"/>
      <c r="R540" s="200">
        <f t="shared" ref="R540:R603" si="44">SUM(F540:Q540)</f>
        <v>0</v>
      </c>
      <c r="S540" s="201"/>
      <c r="T540" s="202"/>
      <c r="U540" s="241"/>
      <c r="V540" s="241"/>
      <c r="W540" s="241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4" t="str">
        <f>IF(C541="","",VLOOKUP($B541,勘定科目!$A:$E,4,0))</f>
        <v/>
      </c>
      <c r="E541" s="240"/>
      <c r="F541" s="235"/>
      <c r="G541" s="236"/>
      <c r="H541" s="236"/>
      <c r="I541" s="236"/>
      <c r="J541" s="236"/>
      <c r="K541" s="236"/>
      <c r="L541" s="236"/>
      <c r="M541" s="236"/>
      <c r="N541" s="236"/>
      <c r="O541" s="236"/>
      <c r="P541" s="236"/>
      <c r="Q541" s="236"/>
      <c r="R541" s="200">
        <f t="shared" si="44"/>
        <v>0</v>
      </c>
      <c r="S541" s="201"/>
      <c r="T541" s="202"/>
      <c r="U541" s="241"/>
      <c r="V541" s="241"/>
      <c r="W541" s="241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4" t="str">
        <f>IF(C542="","",VLOOKUP($B542,勘定科目!$A:$E,4,0))</f>
        <v/>
      </c>
      <c r="E542" s="240"/>
      <c r="F542" s="235"/>
      <c r="G542" s="236"/>
      <c r="H542" s="236"/>
      <c r="I542" s="236"/>
      <c r="J542" s="236"/>
      <c r="K542" s="236"/>
      <c r="L542" s="236"/>
      <c r="M542" s="236"/>
      <c r="N542" s="236"/>
      <c r="O542" s="236"/>
      <c r="P542" s="236"/>
      <c r="Q542" s="236"/>
      <c r="R542" s="200">
        <f t="shared" si="44"/>
        <v>0</v>
      </c>
      <c r="S542" s="201"/>
      <c r="T542" s="202"/>
      <c r="U542" s="241"/>
      <c r="V542" s="241"/>
      <c r="W542" s="241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4" t="str">
        <f>IF(C543="","",VLOOKUP($B543,勘定科目!$A:$E,4,0))</f>
        <v/>
      </c>
      <c r="E543" s="240"/>
      <c r="F543" s="235"/>
      <c r="G543" s="236"/>
      <c r="H543" s="236"/>
      <c r="I543" s="236"/>
      <c r="J543" s="236"/>
      <c r="K543" s="236"/>
      <c r="L543" s="236"/>
      <c r="M543" s="236"/>
      <c r="N543" s="236"/>
      <c r="O543" s="236"/>
      <c r="P543" s="236"/>
      <c r="Q543" s="236"/>
      <c r="R543" s="200">
        <f t="shared" si="44"/>
        <v>0</v>
      </c>
      <c r="S543" s="201"/>
      <c r="T543" s="202"/>
      <c r="U543" s="241"/>
      <c r="V543" s="241"/>
      <c r="W543" s="241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4" t="str">
        <f>IF(C544="","",VLOOKUP($B544,勘定科目!$A:$E,4,0))</f>
        <v/>
      </c>
      <c r="E544" s="240"/>
      <c r="F544" s="235"/>
      <c r="G544" s="236"/>
      <c r="H544" s="236"/>
      <c r="I544" s="236"/>
      <c r="J544" s="236"/>
      <c r="K544" s="236"/>
      <c r="L544" s="236"/>
      <c r="M544" s="236"/>
      <c r="N544" s="236"/>
      <c r="O544" s="236"/>
      <c r="P544" s="236"/>
      <c r="Q544" s="236"/>
      <c r="R544" s="200">
        <f t="shared" si="44"/>
        <v>0</v>
      </c>
      <c r="S544" s="201"/>
      <c r="T544" s="202"/>
      <c r="U544" s="241"/>
      <c r="V544" s="241"/>
      <c r="W544" s="241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4" t="str">
        <f>IF(C545="","",VLOOKUP($B545,勘定科目!$A:$E,4,0))</f>
        <v/>
      </c>
      <c r="E545" s="240"/>
      <c r="F545" s="235"/>
      <c r="G545" s="236"/>
      <c r="H545" s="236"/>
      <c r="I545" s="236"/>
      <c r="J545" s="236"/>
      <c r="K545" s="236"/>
      <c r="L545" s="236"/>
      <c r="M545" s="236"/>
      <c r="N545" s="236"/>
      <c r="O545" s="236"/>
      <c r="P545" s="236"/>
      <c r="Q545" s="236"/>
      <c r="R545" s="200">
        <f t="shared" si="44"/>
        <v>0</v>
      </c>
      <c r="S545" s="201"/>
      <c r="T545" s="202"/>
      <c r="U545" s="241"/>
      <c r="V545" s="241"/>
      <c r="W545" s="241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4" t="str">
        <f>IF(C546="","",VLOOKUP($B546,勘定科目!$A:$E,4,0))</f>
        <v/>
      </c>
      <c r="E546" s="240"/>
      <c r="F546" s="235"/>
      <c r="G546" s="236"/>
      <c r="H546" s="236"/>
      <c r="I546" s="236"/>
      <c r="J546" s="236"/>
      <c r="K546" s="236"/>
      <c r="L546" s="236"/>
      <c r="M546" s="236"/>
      <c r="N546" s="236"/>
      <c r="O546" s="236"/>
      <c r="P546" s="236"/>
      <c r="Q546" s="236"/>
      <c r="R546" s="200">
        <f t="shared" si="44"/>
        <v>0</v>
      </c>
      <c r="S546" s="201"/>
      <c r="T546" s="202"/>
      <c r="U546" s="241"/>
      <c r="V546" s="241"/>
      <c r="W546" s="241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4" t="str">
        <f>IF(C547="","",VLOOKUP($B547,勘定科目!$A:$E,4,0))</f>
        <v/>
      </c>
      <c r="E547" s="240"/>
      <c r="F547" s="235"/>
      <c r="G547" s="236"/>
      <c r="H547" s="236"/>
      <c r="I547" s="236"/>
      <c r="J547" s="236"/>
      <c r="K547" s="236"/>
      <c r="L547" s="236"/>
      <c r="M547" s="236"/>
      <c r="N547" s="236"/>
      <c r="O547" s="236"/>
      <c r="P547" s="236"/>
      <c r="Q547" s="236"/>
      <c r="R547" s="200">
        <f t="shared" si="44"/>
        <v>0</v>
      </c>
      <c r="S547" s="201"/>
      <c r="T547" s="202"/>
      <c r="U547" s="241"/>
      <c r="V547" s="241"/>
      <c r="W547" s="241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4" t="str">
        <f>IF(C548="","",VLOOKUP($B548,勘定科目!$A:$E,4,0))</f>
        <v/>
      </c>
      <c r="E548" s="240"/>
      <c r="F548" s="235"/>
      <c r="G548" s="236"/>
      <c r="H548" s="236"/>
      <c r="I548" s="236"/>
      <c r="J548" s="236"/>
      <c r="K548" s="236"/>
      <c r="L548" s="236"/>
      <c r="M548" s="236"/>
      <c r="N548" s="236"/>
      <c r="O548" s="236"/>
      <c r="P548" s="236"/>
      <c r="Q548" s="236"/>
      <c r="R548" s="200">
        <f t="shared" si="44"/>
        <v>0</v>
      </c>
      <c r="S548" s="201"/>
      <c r="T548" s="202"/>
      <c r="U548" s="241"/>
      <c r="V548" s="241"/>
      <c r="W548" s="241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4" t="str">
        <f>IF(C549="","",VLOOKUP($B549,勘定科目!$A:$E,4,0))</f>
        <v/>
      </c>
      <c r="E549" s="240"/>
      <c r="F549" s="235"/>
      <c r="G549" s="236"/>
      <c r="H549" s="236"/>
      <c r="I549" s="236"/>
      <c r="J549" s="236"/>
      <c r="K549" s="236"/>
      <c r="L549" s="236"/>
      <c r="M549" s="236"/>
      <c r="N549" s="236"/>
      <c r="O549" s="236"/>
      <c r="P549" s="236"/>
      <c r="Q549" s="236"/>
      <c r="R549" s="200">
        <f t="shared" si="44"/>
        <v>0</v>
      </c>
      <c r="S549" s="201"/>
      <c r="T549" s="202"/>
      <c r="U549" s="241"/>
      <c r="V549" s="241"/>
      <c r="W549" s="241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4" t="str">
        <f>IF(C550="","",VLOOKUP($B550,勘定科目!$A:$E,4,0))</f>
        <v/>
      </c>
      <c r="E550" s="240"/>
      <c r="F550" s="235"/>
      <c r="G550" s="236"/>
      <c r="H550" s="236"/>
      <c r="I550" s="236"/>
      <c r="J550" s="236"/>
      <c r="K550" s="236"/>
      <c r="L550" s="236"/>
      <c r="M550" s="236"/>
      <c r="N550" s="236"/>
      <c r="O550" s="236"/>
      <c r="P550" s="236"/>
      <c r="Q550" s="236"/>
      <c r="R550" s="200">
        <f t="shared" si="44"/>
        <v>0</v>
      </c>
      <c r="S550" s="201"/>
      <c r="T550" s="202"/>
      <c r="U550" s="241"/>
      <c r="V550" s="241"/>
      <c r="W550" s="241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4" t="str">
        <f>IF(C551="","",VLOOKUP($B551,勘定科目!$A:$E,4,0))</f>
        <v/>
      </c>
      <c r="E551" s="240"/>
      <c r="F551" s="235"/>
      <c r="G551" s="236"/>
      <c r="H551" s="236"/>
      <c r="I551" s="236"/>
      <c r="J551" s="236"/>
      <c r="K551" s="236"/>
      <c r="L551" s="236"/>
      <c r="M551" s="236"/>
      <c r="N551" s="236"/>
      <c r="O551" s="236"/>
      <c r="P551" s="236"/>
      <c r="Q551" s="236"/>
      <c r="R551" s="200">
        <f t="shared" si="44"/>
        <v>0</v>
      </c>
      <c r="S551" s="201"/>
      <c r="T551" s="202"/>
      <c r="U551" s="241"/>
      <c r="V551" s="241"/>
      <c r="W551" s="241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4" t="str">
        <f>IF(C552="","",VLOOKUP($B552,勘定科目!$A:$E,4,0))</f>
        <v/>
      </c>
      <c r="E552" s="240"/>
      <c r="F552" s="235"/>
      <c r="G552" s="236"/>
      <c r="H552" s="236"/>
      <c r="I552" s="236"/>
      <c r="J552" s="236"/>
      <c r="K552" s="236"/>
      <c r="L552" s="236"/>
      <c r="M552" s="236"/>
      <c r="N552" s="236"/>
      <c r="O552" s="236"/>
      <c r="P552" s="236"/>
      <c r="Q552" s="236"/>
      <c r="R552" s="200">
        <f t="shared" si="44"/>
        <v>0</v>
      </c>
      <c r="S552" s="201"/>
      <c r="T552" s="202"/>
      <c r="U552" s="241"/>
      <c r="V552" s="241"/>
      <c r="W552" s="241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4" t="str">
        <f>IF(C553="","",VLOOKUP($B553,勘定科目!$A:$E,4,0))</f>
        <v/>
      </c>
      <c r="E553" s="240"/>
      <c r="F553" s="235"/>
      <c r="G553" s="236"/>
      <c r="H553" s="236"/>
      <c r="I553" s="236"/>
      <c r="J553" s="236"/>
      <c r="K553" s="236"/>
      <c r="L553" s="236"/>
      <c r="M553" s="236"/>
      <c r="N553" s="236"/>
      <c r="O553" s="236"/>
      <c r="P553" s="236"/>
      <c r="Q553" s="236"/>
      <c r="R553" s="200">
        <f t="shared" si="44"/>
        <v>0</v>
      </c>
      <c r="S553" s="201"/>
      <c r="T553" s="202"/>
      <c r="U553" s="241"/>
      <c r="V553" s="241"/>
      <c r="W553" s="241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4" t="str">
        <f>IF(C554="","",VLOOKUP($B554,勘定科目!$A:$E,4,0))</f>
        <v/>
      </c>
      <c r="E554" s="240"/>
      <c r="F554" s="235"/>
      <c r="G554" s="236"/>
      <c r="H554" s="236"/>
      <c r="I554" s="236"/>
      <c r="J554" s="236"/>
      <c r="K554" s="236"/>
      <c r="L554" s="236"/>
      <c r="M554" s="236"/>
      <c r="N554" s="236"/>
      <c r="O554" s="236"/>
      <c r="P554" s="236"/>
      <c r="Q554" s="236"/>
      <c r="R554" s="200">
        <f t="shared" si="44"/>
        <v>0</v>
      </c>
      <c r="S554" s="201"/>
      <c r="T554" s="202"/>
      <c r="U554" s="241"/>
      <c r="V554" s="241"/>
      <c r="W554" s="241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4" t="str">
        <f>IF(C555="","",VLOOKUP($B555,勘定科目!$A:$E,4,0))</f>
        <v/>
      </c>
      <c r="E555" s="240"/>
      <c r="F555" s="235"/>
      <c r="G555" s="236"/>
      <c r="H555" s="236"/>
      <c r="I555" s="236"/>
      <c r="J555" s="236"/>
      <c r="K555" s="236"/>
      <c r="L555" s="236"/>
      <c r="M555" s="236"/>
      <c r="N555" s="236"/>
      <c r="O555" s="236"/>
      <c r="P555" s="236"/>
      <c r="Q555" s="236"/>
      <c r="R555" s="200">
        <f t="shared" si="44"/>
        <v>0</v>
      </c>
      <c r="S555" s="201"/>
      <c r="T555" s="202"/>
      <c r="U555" s="241"/>
      <c r="V555" s="241"/>
      <c r="W555" s="241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4" t="str">
        <f>IF(C556="","",VLOOKUP($B556,勘定科目!$A:$E,4,0))</f>
        <v/>
      </c>
      <c r="E556" s="240"/>
      <c r="F556" s="235"/>
      <c r="G556" s="236"/>
      <c r="H556" s="236"/>
      <c r="I556" s="236"/>
      <c r="J556" s="236"/>
      <c r="K556" s="236"/>
      <c r="L556" s="236"/>
      <c r="M556" s="236"/>
      <c r="N556" s="236"/>
      <c r="O556" s="236"/>
      <c r="P556" s="236"/>
      <c r="Q556" s="236"/>
      <c r="R556" s="200">
        <f t="shared" si="44"/>
        <v>0</v>
      </c>
      <c r="S556" s="201"/>
      <c r="T556" s="202"/>
      <c r="U556" s="241"/>
      <c r="V556" s="241"/>
      <c r="W556" s="241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4" t="str">
        <f>IF(C557="","",VLOOKUP($B557,勘定科目!$A:$E,4,0))</f>
        <v/>
      </c>
      <c r="E557" s="240"/>
      <c r="F557" s="235"/>
      <c r="G557" s="236"/>
      <c r="H557" s="236"/>
      <c r="I557" s="236"/>
      <c r="J557" s="236"/>
      <c r="K557" s="236"/>
      <c r="L557" s="236"/>
      <c r="M557" s="236"/>
      <c r="N557" s="236"/>
      <c r="O557" s="236"/>
      <c r="P557" s="236"/>
      <c r="Q557" s="236"/>
      <c r="R557" s="200">
        <f t="shared" si="44"/>
        <v>0</v>
      </c>
      <c r="S557" s="201"/>
      <c r="T557" s="202"/>
      <c r="U557" s="241"/>
      <c r="V557" s="241"/>
      <c r="W557" s="241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4" t="str">
        <f>IF(C558="","",VLOOKUP($B558,勘定科目!$A:$E,4,0))</f>
        <v/>
      </c>
      <c r="E558" s="240"/>
      <c r="F558" s="235"/>
      <c r="G558" s="236"/>
      <c r="H558" s="236"/>
      <c r="I558" s="236"/>
      <c r="J558" s="236"/>
      <c r="K558" s="236"/>
      <c r="L558" s="236"/>
      <c r="M558" s="236"/>
      <c r="N558" s="236"/>
      <c r="O558" s="236"/>
      <c r="P558" s="236"/>
      <c r="Q558" s="236"/>
      <c r="R558" s="200">
        <f t="shared" si="44"/>
        <v>0</v>
      </c>
      <c r="S558" s="201"/>
      <c r="T558" s="202"/>
      <c r="U558" s="241"/>
      <c r="V558" s="241"/>
      <c r="W558" s="241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4" t="str">
        <f>IF(C559="","",VLOOKUP($B559,勘定科目!$A:$E,4,0))</f>
        <v/>
      </c>
      <c r="E559" s="240"/>
      <c r="F559" s="235"/>
      <c r="G559" s="236"/>
      <c r="H559" s="236"/>
      <c r="I559" s="236"/>
      <c r="J559" s="236"/>
      <c r="K559" s="236"/>
      <c r="L559" s="236"/>
      <c r="M559" s="236"/>
      <c r="N559" s="236"/>
      <c r="O559" s="236"/>
      <c r="P559" s="236"/>
      <c r="Q559" s="236"/>
      <c r="R559" s="200">
        <f t="shared" si="44"/>
        <v>0</v>
      </c>
      <c r="S559" s="201"/>
      <c r="T559" s="202"/>
      <c r="U559" s="241"/>
      <c r="V559" s="241"/>
      <c r="W559" s="241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4" t="str">
        <f>IF(C560="","",VLOOKUP($B560,勘定科目!$A:$E,4,0))</f>
        <v/>
      </c>
      <c r="E560" s="240"/>
      <c r="F560" s="235"/>
      <c r="G560" s="236"/>
      <c r="H560" s="236"/>
      <c r="I560" s="236"/>
      <c r="J560" s="236"/>
      <c r="K560" s="236"/>
      <c r="L560" s="236"/>
      <c r="M560" s="236"/>
      <c r="N560" s="236"/>
      <c r="O560" s="236"/>
      <c r="P560" s="236"/>
      <c r="Q560" s="236"/>
      <c r="R560" s="200">
        <f t="shared" si="44"/>
        <v>0</v>
      </c>
      <c r="S560" s="201"/>
      <c r="T560" s="202"/>
      <c r="U560" s="241"/>
      <c r="V560" s="241"/>
      <c r="W560" s="241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4" t="str">
        <f>IF(C561="","",VLOOKUP($B561,勘定科目!$A:$E,4,0))</f>
        <v/>
      </c>
      <c r="E561" s="240"/>
      <c r="F561" s="235"/>
      <c r="G561" s="236"/>
      <c r="H561" s="236"/>
      <c r="I561" s="236"/>
      <c r="J561" s="236"/>
      <c r="K561" s="236"/>
      <c r="L561" s="236"/>
      <c r="M561" s="236"/>
      <c r="N561" s="236"/>
      <c r="O561" s="236"/>
      <c r="P561" s="236"/>
      <c r="Q561" s="236"/>
      <c r="R561" s="200">
        <f t="shared" si="44"/>
        <v>0</v>
      </c>
      <c r="S561" s="201"/>
      <c r="T561" s="202"/>
      <c r="U561" s="241"/>
      <c r="V561" s="241"/>
      <c r="W561" s="241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4" t="str">
        <f>IF(C562="","",VLOOKUP($B562,勘定科目!$A:$E,4,0))</f>
        <v/>
      </c>
      <c r="E562" s="240"/>
      <c r="F562" s="235"/>
      <c r="G562" s="236"/>
      <c r="H562" s="236"/>
      <c r="I562" s="236"/>
      <c r="J562" s="236"/>
      <c r="K562" s="236"/>
      <c r="L562" s="236"/>
      <c r="M562" s="236"/>
      <c r="N562" s="236"/>
      <c r="O562" s="236"/>
      <c r="P562" s="236"/>
      <c r="Q562" s="236"/>
      <c r="R562" s="200">
        <f t="shared" si="44"/>
        <v>0</v>
      </c>
      <c r="S562" s="201"/>
      <c r="T562" s="202"/>
      <c r="U562" s="241"/>
      <c r="V562" s="241"/>
      <c r="W562" s="241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4" t="str">
        <f>IF(C563="","",VLOOKUP($B563,勘定科目!$A:$E,4,0))</f>
        <v/>
      </c>
      <c r="E563" s="240"/>
      <c r="F563" s="235"/>
      <c r="G563" s="236"/>
      <c r="H563" s="236"/>
      <c r="I563" s="236"/>
      <c r="J563" s="236"/>
      <c r="K563" s="236"/>
      <c r="L563" s="236"/>
      <c r="M563" s="236"/>
      <c r="N563" s="236"/>
      <c r="O563" s="236"/>
      <c r="P563" s="236"/>
      <c r="Q563" s="236"/>
      <c r="R563" s="200">
        <f t="shared" si="44"/>
        <v>0</v>
      </c>
      <c r="S563" s="201"/>
      <c r="T563" s="202"/>
      <c r="U563" s="241"/>
      <c r="V563" s="241"/>
      <c r="W563" s="241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4" t="str">
        <f>IF(C564="","",VLOOKUP($B564,勘定科目!$A:$E,4,0))</f>
        <v/>
      </c>
      <c r="E564" s="240"/>
      <c r="F564" s="235"/>
      <c r="G564" s="236"/>
      <c r="H564" s="236"/>
      <c r="I564" s="236"/>
      <c r="J564" s="236"/>
      <c r="K564" s="236"/>
      <c r="L564" s="236"/>
      <c r="M564" s="236"/>
      <c r="N564" s="236"/>
      <c r="O564" s="236"/>
      <c r="P564" s="236"/>
      <c r="Q564" s="236"/>
      <c r="R564" s="200">
        <f t="shared" si="44"/>
        <v>0</v>
      </c>
      <c r="S564" s="201"/>
      <c r="T564" s="202"/>
      <c r="U564" s="241"/>
      <c r="V564" s="241"/>
      <c r="W564" s="241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4" t="str">
        <f>IF(C565="","",VLOOKUP($B565,勘定科目!$A:$E,4,0))</f>
        <v/>
      </c>
      <c r="E565" s="240"/>
      <c r="F565" s="235"/>
      <c r="G565" s="236"/>
      <c r="H565" s="236"/>
      <c r="I565" s="236"/>
      <c r="J565" s="236"/>
      <c r="K565" s="236"/>
      <c r="L565" s="236"/>
      <c r="M565" s="236"/>
      <c r="N565" s="236"/>
      <c r="O565" s="236"/>
      <c r="P565" s="236"/>
      <c r="Q565" s="236"/>
      <c r="R565" s="200">
        <f t="shared" si="44"/>
        <v>0</v>
      </c>
      <c r="S565" s="201"/>
      <c r="T565" s="202"/>
      <c r="U565" s="241"/>
      <c r="V565" s="241"/>
      <c r="W565" s="241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4" t="str">
        <f>IF(C566="","",VLOOKUP($B566,勘定科目!$A:$E,4,0))</f>
        <v/>
      </c>
      <c r="E566" s="240"/>
      <c r="F566" s="235"/>
      <c r="G566" s="236"/>
      <c r="H566" s="236"/>
      <c r="I566" s="236"/>
      <c r="J566" s="236"/>
      <c r="K566" s="236"/>
      <c r="L566" s="236"/>
      <c r="M566" s="236"/>
      <c r="N566" s="236"/>
      <c r="O566" s="236"/>
      <c r="P566" s="236"/>
      <c r="Q566" s="236"/>
      <c r="R566" s="200">
        <f t="shared" si="44"/>
        <v>0</v>
      </c>
      <c r="S566" s="201"/>
      <c r="T566" s="202"/>
      <c r="U566" s="241"/>
      <c r="V566" s="241"/>
      <c r="W566" s="241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4" t="str">
        <f>IF(C567="","",VLOOKUP($B567,勘定科目!$A:$E,4,0))</f>
        <v/>
      </c>
      <c r="E567" s="240"/>
      <c r="F567" s="235"/>
      <c r="G567" s="236"/>
      <c r="H567" s="236"/>
      <c r="I567" s="236"/>
      <c r="J567" s="236"/>
      <c r="K567" s="236"/>
      <c r="L567" s="236"/>
      <c r="M567" s="236"/>
      <c r="N567" s="236"/>
      <c r="O567" s="236"/>
      <c r="P567" s="236"/>
      <c r="Q567" s="236"/>
      <c r="R567" s="200">
        <f t="shared" si="44"/>
        <v>0</v>
      </c>
      <c r="S567" s="201"/>
      <c r="T567" s="202"/>
      <c r="U567" s="241"/>
      <c r="V567" s="241"/>
      <c r="W567" s="241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4" t="str">
        <f>IF(C568="","",VLOOKUP($B568,勘定科目!$A:$E,4,0))</f>
        <v/>
      </c>
      <c r="E568" s="240"/>
      <c r="F568" s="235"/>
      <c r="G568" s="236"/>
      <c r="H568" s="236"/>
      <c r="I568" s="236"/>
      <c r="J568" s="236"/>
      <c r="K568" s="236"/>
      <c r="L568" s="236"/>
      <c r="M568" s="236"/>
      <c r="N568" s="236"/>
      <c r="O568" s="236"/>
      <c r="P568" s="236"/>
      <c r="Q568" s="236"/>
      <c r="R568" s="200">
        <f t="shared" si="44"/>
        <v>0</v>
      </c>
      <c r="S568" s="201"/>
      <c r="T568" s="202"/>
      <c r="U568" s="241"/>
      <c r="V568" s="241"/>
      <c r="W568" s="241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4" t="str">
        <f>IF(C569="","",VLOOKUP($B569,勘定科目!$A:$E,4,0))</f>
        <v/>
      </c>
      <c r="E569" s="240"/>
      <c r="F569" s="235"/>
      <c r="G569" s="236"/>
      <c r="H569" s="236"/>
      <c r="I569" s="236"/>
      <c r="J569" s="236"/>
      <c r="K569" s="236"/>
      <c r="L569" s="236"/>
      <c r="M569" s="236"/>
      <c r="N569" s="236"/>
      <c r="O569" s="236"/>
      <c r="P569" s="236"/>
      <c r="Q569" s="236"/>
      <c r="R569" s="200">
        <f t="shared" si="44"/>
        <v>0</v>
      </c>
      <c r="S569" s="201"/>
      <c r="T569" s="202"/>
      <c r="U569" s="241"/>
      <c r="V569" s="241"/>
      <c r="W569" s="241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4" t="str">
        <f>IF(C570="","",VLOOKUP($B570,勘定科目!$A:$E,4,0))</f>
        <v/>
      </c>
      <c r="E570" s="240"/>
      <c r="F570" s="235"/>
      <c r="G570" s="236"/>
      <c r="H570" s="236"/>
      <c r="I570" s="236"/>
      <c r="J570" s="236"/>
      <c r="K570" s="236"/>
      <c r="L570" s="236"/>
      <c r="M570" s="236"/>
      <c r="N570" s="236"/>
      <c r="O570" s="236"/>
      <c r="P570" s="236"/>
      <c r="Q570" s="236"/>
      <c r="R570" s="200">
        <f t="shared" si="44"/>
        <v>0</v>
      </c>
      <c r="S570" s="201"/>
      <c r="T570" s="202"/>
      <c r="U570" s="241"/>
      <c r="V570" s="241"/>
      <c r="W570" s="241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4" t="str">
        <f>IF(C571="","",VLOOKUP($B571,勘定科目!$A:$E,4,0))</f>
        <v/>
      </c>
      <c r="E571" s="240"/>
      <c r="F571" s="235"/>
      <c r="G571" s="236"/>
      <c r="H571" s="236"/>
      <c r="I571" s="236"/>
      <c r="J571" s="236"/>
      <c r="K571" s="236"/>
      <c r="L571" s="236"/>
      <c r="M571" s="236"/>
      <c r="N571" s="236"/>
      <c r="O571" s="236"/>
      <c r="P571" s="236"/>
      <c r="Q571" s="236"/>
      <c r="R571" s="200">
        <f t="shared" si="44"/>
        <v>0</v>
      </c>
      <c r="S571" s="201"/>
      <c r="T571" s="202"/>
      <c r="U571" s="241"/>
      <c r="V571" s="241"/>
      <c r="W571" s="241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4" t="str">
        <f>IF(C572="","",VLOOKUP($B572,勘定科目!$A:$E,4,0))</f>
        <v/>
      </c>
      <c r="E572" s="240"/>
      <c r="F572" s="235"/>
      <c r="G572" s="236"/>
      <c r="H572" s="236"/>
      <c r="I572" s="236"/>
      <c r="J572" s="236"/>
      <c r="K572" s="236"/>
      <c r="L572" s="236"/>
      <c r="M572" s="236"/>
      <c r="N572" s="236"/>
      <c r="O572" s="236"/>
      <c r="P572" s="236"/>
      <c r="Q572" s="236"/>
      <c r="R572" s="200">
        <f t="shared" si="44"/>
        <v>0</v>
      </c>
      <c r="S572" s="201"/>
      <c r="T572" s="202"/>
      <c r="U572" s="241"/>
      <c r="V572" s="241"/>
      <c r="W572" s="241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4" t="str">
        <f>IF(C573="","",VLOOKUP($B573,勘定科目!$A:$E,4,0))</f>
        <v/>
      </c>
      <c r="E573" s="240"/>
      <c r="F573" s="235"/>
      <c r="G573" s="236"/>
      <c r="H573" s="236"/>
      <c r="I573" s="236"/>
      <c r="J573" s="236"/>
      <c r="K573" s="236"/>
      <c r="L573" s="236"/>
      <c r="M573" s="236"/>
      <c r="N573" s="236"/>
      <c r="O573" s="236"/>
      <c r="P573" s="236"/>
      <c r="Q573" s="236"/>
      <c r="R573" s="200">
        <f t="shared" si="44"/>
        <v>0</v>
      </c>
      <c r="S573" s="201"/>
      <c r="T573" s="202"/>
      <c r="U573" s="241"/>
      <c r="V573" s="241"/>
      <c r="W573" s="241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4" t="str">
        <f>IF(C574="","",VLOOKUP($B574,勘定科目!$A:$E,4,0))</f>
        <v/>
      </c>
      <c r="E574" s="240"/>
      <c r="F574" s="235"/>
      <c r="G574" s="236"/>
      <c r="H574" s="236"/>
      <c r="I574" s="236"/>
      <c r="J574" s="236"/>
      <c r="K574" s="236"/>
      <c r="L574" s="236"/>
      <c r="M574" s="236"/>
      <c r="N574" s="236"/>
      <c r="O574" s="236"/>
      <c r="P574" s="236"/>
      <c r="Q574" s="236"/>
      <c r="R574" s="200">
        <f t="shared" si="44"/>
        <v>0</v>
      </c>
      <c r="S574" s="201"/>
      <c r="T574" s="202"/>
      <c r="U574" s="241"/>
      <c r="V574" s="241"/>
      <c r="W574" s="241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4" t="str">
        <f>IF(C575="","",VLOOKUP($B575,勘定科目!$A:$E,4,0))</f>
        <v/>
      </c>
      <c r="E575" s="240"/>
      <c r="F575" s="235"/>
      <c r="G575" s="236"/>
      <c r="H575" s="236"/>
      <c r="I575" s="236"/>
      <c r="J575" s="236"/>
      <c r="K575" s="236"/>
      <c r="L575" s="236"/>
      <c r="M575" s="236"/>
      <c r="N575" s="236"/>
      <c r="O575" s="236"/>
      <c r="P575" s="236"/>
      <c r="Q575" s="236"/>
      <c r="R575" s="200">
        <f t="shared" si="44"/>
        <v>0</v>
      </c>
      <c r="S575" s="201"/>
      <c r="T575" s="202"/>
      <c r="U575" s="241"/>
      <c r="V575" s="241"/>
      <c r="W575" s="241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4" t="str">
        <f>IF(C576="","",VLOOKUP($B576,勘定科目!$A:$E,4,0))</f>
        <v/>
      </c>
      <c r="E576" s="240"/>
      <c r="F576" s="235"/>
      <c r="G576" s="236"/>
      <c r="H576" s="236"/>
      <c r="I576" s="236"/>
      <c r="J576" s="236"/>
      <c r="K576" s="236"/>
      <c r="L576" s="236"/>
      <c r="M576" s="236"/>
      <c r="N576" s="236"/>
      <c r="O576" s="236"/>
      <c r="P576" s="236"/>
      <c r="Q576" s="236"/>
      <c r="R576" s="200">
        <f t="shared" si="44"/>
        <v>0</v>
      </c>
      <c r="S576" s="201"/>
      <c r="T576" s="202"/>
      <c r="U576" s="241"/>
      <c r="V576" s="241"/>
      <c r="W576" s="241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4" t="str">
        <f>IF(C577="","",VLOOKUP($B577,勘定科目!$A:$E,4,0))</f>
        <v/>
      </c>
      <c r="E577" s="240"/>
      <c r="F577" s="235"/>
      <c r="G577" s="236"/>
      <c r="H577" s="236"/>
      <c r="I577" s="236"/>
      <c r="J577" s="236"/>
      <c r="K577" s="236"/>
      <c r="L577" s="236"/>
      <c r="M577" s="236"/>
      <c r="N577" s="236"/>
      <c r="O577" s="236"/>
      <c r="P577" s="236"/>
      <c r="Q577" s="236"/>
      <c r="R577" s="200">
        <f t="shared" si="44"/>
        <v>0</v>
      </c>
      <c r="S577" s="201"/>
      <c r="T577" s="202"/>
      <c r="U577" s="241"/>
      <c r="V577" s="241"/>
      <c r="W577" s="241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4" t="str">
        <f>IF(C578="","",VLOOKUP($B578,勘定科目!$A:$E,4,0))</f>
        <v/>
      </c>
      <c r="E578" s="240"/>
      <c r="F578" s="235"/>
      <c r="G578" s="236"/>
      <c r="H578" s="236"/>
      <c r="I578" s="236"/>
      <c r="J578" s="236"/>
      <c r="K578" s="236"/>
      <c r="L578" s="236"/>
      <c r="M578" s="236"/>
      <c r="N578" s="236"/>
      <c r="O578" s="236"/>
      <c r="P578" s="236"/>
      <c r="Q578" s="236"/>
      <c r="R578" s="200">
        <f t="shared" si="44"/>
        <v>0</v>
      </c>
      <c r="S578" s="201"/>
      <c r="T578" s="202"/>
      <c r="U578" s="241"/>
      <c r="V578" s="241"/>
      <c r="W578" s="241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4" t="str">
        <f>IF(C579="","",VLOOKUP($B579,勘定科目!$A:$E,4,0))</f>
        <v/>
      </c>
      <c r="E579" s="240"/>
      <c r="F579" s="235"/>
      <c r="G579" s="236"/>
      <c r="H579" s="236"/>
      <c r="I579" s="236"/>
      <c r="J579" s="236"/>
      <c r="K579" s="236"/>
      <c r="L579" s="236"/>
      <c r="M579" s="236"/>
      <c r="N579" s="236"/>
      <c r="O579" s="236"/>
      <c r="P579" s="236"/>
      <c r="Q579" s="236"/>
      <c r="R579" s="200">
        <f t="shared" si="44"/>
        <v>0</v>
      </c>
      <c r="S579" s="201"/>
      <c r="T579" s="202"/>
      <c r="U579" s="241"/>
      <c r="V579" s="241"/>
      <c r="W579" s="241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4" t="str">
        <f>IF(C580="","",VLOOKUP($B580,勘定科目!$A:$E,4,0))</f>
        <v/>
      </c>
      <c r="E580" s="240"/>
      <c r="F580" s="235"/>
      <c r="G580" s="236"/>
      <c r="H580" s="236"/>
      <c r="I580" s="236"/>
      <c r="J580" s="236"/>
      <c r="K580" s="236"/>
      <c r="L580" s="236"/>
      <c r="M580" s="236"/>
      <c r="N580" s="236"/>
      <c r="O580" s="236"/>
      <c r="P580" s="236"/>
      <c r="Q580" s="236"/>
      <c r="R580" s="200">
        <f t="shared" si="44"/>
        <v>0</v>
      </c>
      <c r="S580" s="201"/>
      <c r="T580" s="202"/>
      <c r="U580" s="241"/>
      <c r="V580" s="241"/>
      <c r="W580" s="241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4" t="str">
        <f>IF(C581="","",VLOOKUP($B581,勘定科目!$A:$E,4,0))</f>
        <v/>
      </c>
      <c r="E581" s="240"/>
      <c r="F581" s="235"/>
      <c r="G581" s="236"/>
      <c r="H581" s="236"/>
      <c r="I581" s="236"/>
      <c r="J581" s="236"/>
      <c r="K581" s="236"/>
      <c r="L581" s="236"/>
      <c r="M581" s="236"/>
      <c r="N581" s="236"/>
      <c r="O581" s="236"/>
      <c r="P581" s="236"/>
      <c r="Q581" s="236"/>
      <c r="R581" s="200">
        <f t="shared" si="44"/>
        <v>0</v>
      </c>
      <c r="S581" s="201"/>
      <c r="T581" s="202"/>
      <c r="U581" s="241"/>
      <c r="V581" s="241"/>
      <c r="W581" s="241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4" t="str">
        <f>IF(C582="","",VLOOKUP($B582,勘定科目!$A:$E,4,0))</f>
        <v/>
      </c>
      <c r="E582" s="240"/>
      <c r="F582" s="235"/>
      <c r="G582" s="236"/>
      <c r="H582" s="236"/>
      <c r="I582" s="236"/>
      <c r="J582" s="236"/>
      <c r="K582" s="236"/>
      <c r="L582" s="236"/>
      <c r="M582" s="236"/>
      <c r="N582" s="236"/>
      <c r="O582" s="236"/>
      <c r="P582" s="236"/>
      <c r="Q582" s="236"/>
      <c r="R582" s="200">
        <f t="shared" si="44"/>
        <v>0</v>
      </c>
      <c r="S582" s="201"/>
      <c r="T582" s="202"/>
      <c r="U582" s="241"/>
      <c r="V582" s="241"/>
      <c r="W582" s="241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4" t="str">
        <f>IF(C583="","",VLOOKUP($B583,勘定科目!$A:$E,4,0))</f>
        <v/>
      </c>
      <c r="E583" s="240"/>
      <c r="F583" s="235"/>
      <c r="G583" s="236"/>
      <c r="H583" s="236"/>
      <c r="I583" s="236"/>
      <c r="J583" s="236"/>
      <c r="K583" s="236"/>
      <c r="L583" s="236"/>
      <c r="M583" s="236"/>
      <c r="N583" s="236"/>
      <c r="O583" s="236"/>
      <c r="P583" s="236"/>
      <c r="Q583" s="236"/>
      <c r="R583" s="200">
        <f t="shared" si="44"/>
        <v>0</v>
      </c>
      <c r="S583" s="201"/>
      <c r="T583" s="202"/>
      <c r="U583" s="241"/>
      <c r="V583" s="241"/>
      <c r="W583" s="241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4" t="str">
        <f>IF(C584="","",VLOOKUP($B584,勘定科目!$A:$E,4,0))</f>
        <v/>
      </c>
      <c r="E584" s="240"/>
      <c r="F584" s="235"/>
      <c r="G584" s="236"/>
      <c r="H584" s="236"/>
      <c r="I584" s="236"/>
      <c r="J584" s="236"/>
      <c r="K584" s="236"/>
      <c r="L584" s="236"/>
      <c r="M584" s="236"/>
      <c r="N584" s="236"/>
      <c r="O584" s="236"/>
      <c r="P584" s="236"/>
      <c r="Q584" s="236"/>
      <c r="R584" s="200">
        <f t="shared" si="44"/>
        <v>0</v>
      </c>
      <c r="S584" s="201"/>
      <c r="T584" s="202"/>
      <c r="U584" s="241"/>
      <c r="V584" s="241"/>
      <c r="W584" s="241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4" t="str">
        <f>IF(C585="","",VLOOKUP($B585,勘定科目!$A:$E,4,0))</f>
        <v/>
      </c>
      <c r="E585" s="240"/>
      <c r="F585" s="235"/>
      <c r="G585" s="236"/>
      <c r="H585" s="236"/>
      <c r="I585" s="236"/>
      <c r="J585" s="236"/>
      <c r="K585" s="236"/>
      <c r="L585" s="236"/>
      <c r="M585" s="236"/>
      <c r="N585" s="236"/>
      <c r="O585" s="236"/>
      <c r="P585" s="236"/>
      <c r="Q585" s="236"/>
      <c r="R585" s="200">
        <f t="shared" si="44"/>
        <v>0</v>
      </c>
      <c r="S585" s="201"/>
      <c r="T585" s="202"/>
      <c r="U585" s="241"/>
      <c r="V585" s="241"/>
      <c r="W585" s="241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4" t="str">
        <f>IF(C586="","",VLOOKUP($B586,勘定科目!$A:$E,4,0))</f>
        <v/>
      </c>
      <c r="E586" s="240"/>
      <c r="F586" s="235"/>
      <c r="G586" s="236"/>
      <c r="H586" s="236"/>
      <c r="I586" s="236"/>
      <c r="J586" s="236"/>
      <c r="K586" s="236"/>
      <c r="L586" s="236"/>
      <c r="M586" s="236"/>
      <c r="N586" s="236"/>
      <c r="O586" s="236"/>
      <c r="P586" s="236"/>
      <c r="Q586" s="236"/>
      <c r="R586" s="200">
        <f t="shared" si="44"/>
        <v>0</v>
      </c>
      <c r="S586" s="201"/>
      <c r="T586" s="202"/>
      <c r="U586" s="241"/>
      <c r="V586" s="241"/>
      <c r="W586" s="241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4" t="str">
        <f>IF(C587="","",VLOOKUP($B587,勘定科目!$A:$E,4,0))</f>
        <v/>
      </c>
      <c r="E587" s="240"/>
      <c r="F587" s="235"/>
      <c r="G587" s="236"/>
      <c r="H587" s="236"/>
      <c r="I587" s="236"/>
      <c r="J587" s="236"/>
      <c r="K587" s="236"/>
      <c r="L587" s="236"/>
      <c r="M587" s="236"/>
      <c r="N587" s="236"/>
      <c r="O587" s="236"/>
      <c r="P587" s="236"/>
      <c r="Q587" s="236"/>
      <c r="R587" s="200">
        <f t="shared" si="44"/>
        <v>0</v>
      </c>
      <c r="S587" s="201"/>
      <c r="T587" s="202"/>
      <c r="U587" s="241"/>
      <c r="V587" s="241"/>
      <c r="W587" s="241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4" t="str">
        <f>IF(C588="","",VLOOKUP($B588,勘定科目!$A:$E,4,0))</f>
        <v/>
      </c>
      <c r="E588" s="240"/>
      <c r="F588" s="235"/>
      <c r="G588" s="236"/>
      <c r="H588" s="236"/>
      <c r="I588" s="236"/>
      <c r="J588" s="236"/>
      <c r="K588" s="236"/>
      <c r="L588" s="236"/>
      <c r="M588" s="236"/>
      <c r="N588" s="236"/>
      <c r="O588" s="236"/>
      <c r="P588" s="236"/>
      <c r="Q588" s="236"/>
      <c r="R588" s="200">
        <f t="shared" si="44"/>
        <v>0</v>
      </c>
      <c r="S588" s="201"/>
      <c r="T588" s="202"/>
      <c r="U588" s="241"/>
      <c r="V588" s="241"/>
      <c r="W588" s="241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4" t="str">
        <f>IF(C589="","",VLOOKUP($B589,勘定科目!$A:$E,4,0))</f>
        <v/>
      </c>
      <c r="E589" s="240"/>
      <c r="F589" s="235"/>
      <c r="G589" s="236"/>
      <c r="H589" s="236"/>
      <c r="I589" s="236"/>
      <c r="J589" s="236"/>
      <c r="K589" s="236"/>
      <c r="L589" s="236"/>
      <c r="M589" s="236"/>
      <c r="N589" s="236"/>
      <c r="O589" s="236"/>
      <c r="P589" s="236"/>
      <c r="Q589" s="236"/>
      <c r="R589" s="200">
        <f t="shared" si="44"/>
        <v>0</v>
      </c>
      <c r="S589" s="201"/>
      <c r="T589" s="202"/>
      <c r="U589" s="241"/>
      <c r="V589" s="241"/>
      <c r="W589" s="241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4" t="str">
        <f>IF(C590="","",VLOOKUP($B590,勘定科目!$A:$E,4,0))</f>
        <v/>
      </c>
      <c r="E590" s="240"/>
      <c r="F590" s="235"/>
      <c r="G590" s="236"/>
      <c r="H590" s="236"/>
      <c r="I590" s="236"/>
      <c r="J590" s="236"/>
      <c r="K590" s="236"/>
      <c r="L590" s="236"/>
      <c r="M590" s="236"/>
      <c r="N590" s="236"/>
      <c r="O590" s="236"/>
      <c r="P590" s="236"/>
      <c r="Q590" s="236"/>
      <c r="R590" s="200">
        <f t="shared" si="44"/>
        <v>0</v>
      </c>
      <c r="S590" s="201"/>
      <c r="T590" s="202"/>
      <c r="U590" s="241"/>
      <c r="V590" s="241"/>
      <c r="W590" s="241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4" t="str">
        <f>IF(C591="","",VLOOKUP($B591,勘定科目!$A:$E,4,0))</f>
        <v/>
      </c>
      <c r="E591" s="240"/>
      <c r="F591" s="235"/>
      <c r="G591" s="236"/>
      <c r="H591" s="236"/>
      <c r="I591" s="236"/>
      <c r="J591" s="236"/>
      <c r="K591" s="236"/>
      <c r="L591" s="236"/>
      <c r="M591" s="236"/>
      <c r="N591" s="236"/>
      <c r="O591" s="236"/>
      <c r="P591" s="236"/>
      <c r="Q591" s="236"/>
      <c r="R591" s="200">
        <f t="shared" si="44"/>
        <v>0</v>
      </c>
      <c r="S591" s="201"/>
      <c r="T591" s="202"/>
      <c r="U591" s="241"/>
      <c r="V591" s="241"/>
      <c r="W591" s="241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4" t="str">
        <f>IF(C592="","",VLOOKUP($B592,勘定科目!$A:$E,4,0))</f>
        <v/>
      </c>
      <c r="E592" s="240"/>
      <c r="F592" s="235"/>
      <c r="G592" s="236"/>
      <c r="H592" s="236"/>
      <c r="I592" s="236"/>
      <c r="J592" s="236"/>
      <c r="K592" s="236"/>
      <c r="L592" s="236"/>
      <c r="M592" s="236"/>
      <c r="N592" s="236"/>
      <c r="O592" s="236"/>
      <c r="P592" s="236"/>
      <c r="Q592" s="236"/>
      <c r="R592" s="200">
        <f t="shared" si="44"/>
        <v>0</v>
      </c>
      <c r="S592" s="201"/>
      <c r="T592" s="202"/>
      <c r="U592" s="241"/>
      <c r="V592" s="241"/>
      <c r="W592" s="241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4" t="str">
        <f>IF(C593="","",VLOOKUP($B593,勘定科目!$A:$E,4,0))</f>
        <v/>
      </c>
      <c r="E593" s="240"/>
      <c r="F593" s="235"/>
      <c r="G593" s="236"/>
      <c r="H593" s="236"/>
      <c r="I593" s="236"/>
      <c r="J593" s="236"/>
      <c r="K593" s="236"/>
      <c r="L593" s="236"/>
      <c r="M593" s="236"/>
      <c r="N593" s="236"/>
      <c r="O593" s="236"/>
      <c r="P593" s="236"/>
      <c r="Q593" s="236"/>
      <c r="R593" s="200">
        <f t="shared" si="44"/>
        <v>0</v>
      </c>
      <c r="S593" s="201"/>
      <c r="T593" s="202"/>
      <c r="U593" s="241"/>
      <c r="V593" s="241"/>
      <c r="W593" s="241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4" t="str">
        <f>IF(C594="","",VLOOKUP($B594,勘定科目!$A:$E,4,0))</f>
        <v/>
      </c>
      <c r="E594" s="240"/>
      <c r="F594" s="235"/>
      <c r="G594" s="236"/>
      <c r="H594" s="236"/>
      <c r="I594" s="236"/>
      <c r="J594" s="236"/>
      <c r="K594" s="236"/>
      <c r="L594" s="236"/>
      <c r="M594" s="236"/>
      <c r="N594" s="236"/>
      <c r="O594" s="236"/>
      <c r="P594" s="236"/>
      <c r="Q594" s="236"/>
      <c r="R594" s="200">
        <f t="shared" si="44"/>
        <v>0</v>
      </c>
      <c r="S594" s="201"/>
      <c r="T594" s="202"/>
      <c r="U594" s="241"/>
      <c r="V594" s="241"/>
      <c r="W594" s="241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4" t="str">
        <f>IF(C595="","",VLOOKUP($B595,勘定科目!$A:$E,4,0))</f>
        <v/>
      </c>
      <c r="E595" s="240"/>
      <c r="F595" s="235"/>
      <c r="G595" s="236"/>
      <c r="H595" s="236"/>
      <c r="I595" s="236"/>
      <c r="J595" s="236"/>
      <c r="K595" s="236"/>
      <c r="L595" s="236"/>
      <c r="M595" s="236"/>
      <c r="N595" s="236"/>
      <c r="O595" s="236"/>
      <c r="P595" s="236"/>
      <c r="Q595" s="236"/>
      <c r="R595" s="200">
        <f t="shared" si="44"/>
        <v>0</v>
      </c>
      <c r="S595" s="201"/>
      <c r="T595" s="202"/>
      <c r="U595" s="241"/>
      <c r="V595" s="241"/>
      <c r="W595" s="241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4" t="str">
        <f>IF(C596="","",VLOOKUP($B596,勘定科目!$A:$E,4,0))</f>
        <v/>
      </c>
      <c r="E596" s="240"/>
      <c r="F596" s="235"/>
      <c r="G596" s="236"/>
      <c r="H596" s="236"/>
      <c r="I596" s="236"/>
      <c r="J596" s="236"/>
      <c r="K596" s="236"/>
      <c r="L596" s="236"/>
      <c r="M596" s="236"/>
      <c r="N596" s="236"/>
      <c r="O596" s="236"/>
      <c r="P596" s="236"/>
      <c r="Q596" s="236"/>
      <c r="R596" s="200">
        <f t="shared" si="44"/>
        <v>0</v>
      </c>
      <c r="S596" s="201"/>
      <c r="T596" s="202"/>
      <c r="U596" s="241"/>
      <c r="V596" s="241"/>
      <c r="W596" s="241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4" t="str">
        <f>IF(C597="","",VLOOKUP($B597,勘定科目!$A:$E,4,0))</f>
        <v/>
      </c>
      <c r="E597" s="240"/>
      <c r="F597" s="235"/>
      <c r="G597" s="236"/>
      <c r="H597" s="236"/>
      <c r="I597" s="236"/>
      <c r="J597" s="236"/>
      <c r="K597" s="236"/>
      <c r="L597" s="236"/>
      <c r="M597" s="236"/>
      <c r="N597" s="236"/>
      <c r="O597" s="236"/>
      <c r="P597" s="236"/>
      <c r="Q597" s="236"/>
      <c r="R597" s="200">
        <f t="shared" si="44"/>
        <v>0</v>
      </c>
      <c r="S597" s="201"/>
      <c r="T597" s="202"/>
      <c r="U597" s="241"/>
      <c r="V597" s="241"/>
      <c r="W597" s="241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4" t="str">
        <f>IF(C598="","",VLOOKUP($B598,勘定科目!$A:$E,4,0))</f>
        <v/>
      </c>
      <c r="E598" s="240"/>
      <c r="F598" s="235"/>
      <c r="G598" s="236"/>
      <c r="H598" s="236"/>
      <c r="I598" s="236"/>
      <c r="J598" s="236"/>
      <c r="K598" s="236"/>
      <c r="L598" s="236"/>
      <c r="M598" s="236"/>
      <c r="N598" s="236"/>
      <c r="O598" s="236"/>
      <c r="P598" s="236"/>
      <c r="Q598" s="236"/>
      <c r="R598" s="200">
        <f t="shared" si="44"/>
        <v>0</v>
      </c>
      <c r="S598" s="201"/>
      <c r="T598" s="202"/>
      <c r="U598" s="241"/>
      <c r="V598" s="241"/>
      <c r="W598" s="241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4" t="str">
        <f>IF(C599="","",VLOOKUP($B599,勘定科目!$A:$E,4,0))</f>
        <v/>
      </c>
      <c r="E599" s="240"/>
      <c r="F599" s="235"/>
      <c r="G599" s="236"/>
      <c r="H599" s="236"/>
      <c r="I599" s="236"/>
      <c r="J599" s="236"/>
      <c r="K599" s="236"/>
      <c r="L599" s="236"/>
      <c r="M599" s="236"/>
      <c r="N599" s="236"/>
      <c r="O599" s="236"/>
      <c r="P599" s="236"/>
      <c r="Q599" s="236"/>
      <c r="R599" s="200">
        <f t="shared" si="44"/>
        <v>0</v>
      </c>
      <c r="S599" s="201"/>
      <c r="T599" s="202"/>
      <c r="U599" s="241"/>
      <c r="V599" s="241"/>
      <c r="W599" s="241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4" t="str">
        <f>IF(C600="","",VLOOKUP($B600,勘定科目!$A:$E,4,0))</f>
        <v/>
      </c>
      <c r="E600" s="240"/>
      <c r="F600" s="235"/>
      <c r="G600" s="236"/>
      <c r="H600" s="236"/>
      <c r="I600" s="236"/>
      <c r="J600" s="236"/>
      <c r="K600" s="236"/>
      <c r="L600" s="236"/>
      <c r="M600" s="236"/>
      <c r="N600" s="236"/>
      <c r="O600" s="236"/>
      <c r="P600" s="236"/>
      <c r="Q600" s="236"/>
      <c r="R600" s="200">
        <f t="shared" si="44"/>
        <v>0</v>
      </c>
      <c r="S600" s="201"/>
      <c r="T600" s="202"/>
      <c r="U600" s="241"/>
      <c r="V600" s="241"/>
      <c r="W600" s="241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4" t="str">
        <f>IF(C601="","",VLOOKUP($B601,勘定科目!$A:$E,4,0))</f>
        <v/>
      </c>
      <c r="E601" s="240"/>
      <c r="F601" s="235"/>
      <c r="G601" s="236"/>
      <c r="H601" s="236"/>
      <c r="I601" s="236"/>
      <c r="J601" s="236"/>
      <c r="K601" s="236"/>
      <c r="L601" s="236"/>
      <c r="M601" s="236"/>
      <c r="N601" s="236"/>
      <c r="O601" s="236"/>
      <c r="P601" s="236"/>
      <c r="Q601" s="236"/>
      <c r="R601" s="200">
        <f t="shared" si="44"/>
        <v>0</v>
      </c>
      <c r="S601" s="201"/>
      <c r="T601" s="202"/>
      <c r="U601" s="241"/>
      <c r="V601" s="241"/>
      <c r="W601" s="241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4" t="str">
        <f>IF(C602="","",VLOOKUP($B602,勘定科目!$A:$E,4,0))</f>
        <v/>
      </c>
      <c r="E602" s="240"/>
      <c r="F602" s="235"/>
      <c r="G602" s="236"/>
      <c r="H602" s="236"/>
      <c r="I602" s="236"/>
      <c r="J602" s="236"/>
      <c r="K602" s="236"/>
      <c r="L602" s="236"/>
      <c r="M602" s="236"/>
      <c r="N602" s="236"/>
      <c r="O602" s="236"/>
      <c r="P602" s="236"/>
      <c r="Q602" s="236"/>
      <c r="R602" s="200">
        <f t="shared" si="44"/>
        <v>0</v>
      </c>
      <c r="S602" s="201"/>
      <c r="T602" s="202"/>
      <c r="U602" s="241"/>
      <c r="V602" s="241"/>
      <c r="W602" s="241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4" t="str">
        <f>IF(C603="","",VLOOKUP($B603,勘定科目!$A:$E,4,0))</f>
        <v/>
      </c>
      <c r="E603" s="240"/>
      <c r="F603" s="235"/>
      <c r="G603" s="236"/>
      <c r="H603" s="236"/>
      <c r="I603" s="236"/>
      <c r="J603" s="236"/>
      <c r="K603" s="236"/>
      <c r="L603" s="236"/>
      <c r="M603" s="236"/>
      <c r="N603" s="236"/>
      <c r="O603" s="236"/>
      <c r="P603" s="236"/>
      <c r="Q603" s="236"/>
      <c r="R603" s="200">
        <f t="shared" si="44"/>
        <v>0</v>
      </c>
      <c r="S603" s="201"/>
      <c r="T603" s="202"/>
      <c r="U603" s="241"/>
      <c r="V603" s="241"/>
      <c r="W603" s="241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4" t="str">
        <f>IF(C604="","",VLOOKUP($B604,勘定科目!$A:$E,4,0))</f>
        <v/>
      </c>
      <c r="E604" s="240"/>
      <c r="F604" s="235"/>
      <c r="G604" s="236"/>
      <c r="H604" s="236"/>
      <c r="I604" s="236"/>
      <c r="J604" s="236"/>
      <c r="K604" s="236"/>
      <c r="L604" s="236"/>
      <c r="M604" s="236"/>
      <c r="N604" s="236"/>
      <c r="O604" s="236"/>
      <c r="P604" s="236"/>
      <c r="Q604" s="236"/>
      <c r="R604" s="200">
        <f t="shared" ref="R604:R667" si="45">SUM(F604:Q604)</f>
        <v>0</v>
      </c>
      <c r="S604" s="201"/>
      <c r="T604" s="202"/>
      <c r="U604" s="241"/>
      <c r="V604" s="241"/>
      <c r="W604" s="241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4" t="str">
        <f>IF(C605="","",VLOOKUP($B605,勘定科目!$A:$E,4,0))</f>
        <v/>
      </c>
      <c r="E605" s="240"/>
      <c r="F605" s="235"/>
      <c r="G605" s="236"/>
      <c r="H605" s="236"/>
      <c r="I605" s="236"/>
      <c r="J605" s="236"/>
      <c r="K605" s="236"/>
      <c r="L605" s="236"/>
      <c r="M605" s="236"/>
      <c r="N605" s="236"/>
      <c r="O605" s="236"/>
      <c r="P605" s="236"/>
      <c r="Q605" s="236"/>
      <c r="R605" s="200">
        <f t="shared" si="45"/>
        <v>0</v>
      </c>
      <c r="S605" s="201"/>
      <c r="T605" s="202"/>
      <c r="U605" s="241"/>
      <c r="V605" s="241"/>
      <c r="W605" s="241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4" t="str">
        <f>IF(C606="","",VLOOKUP($B606,勘定科目!$A:$E,4,0))</f>
        <v/>
      </c>
      <c r="E606" s="240"/>
      <c r="F606" s="235"/>
      <c r="G606" s="236"/>
      <c r="H606" s="236"/>
      <c r="I606" s="236"/>
      <c r="J606" s="236"/>
      <c r="K606" s="236"/>
      <c r="L606" s="236"/>
      <c r="M606" s="236"/>
      <c r="N606" s="236"/>
      <c r="O606" s="236"/>
      <c r="P606" s="236"/>
      <c r="Q606" s="236"/>
      <c r="R606" s="200">
        <f t="shared" si="45"/>
        <v>0</v>
      </c>
      <c r="S606" s="201"/>
      <c r="T606" s="202"/>
      <c r="U606" s="241"/>
      <c r="V606" s="241"/>
      <c r="W606" s="241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4" t="str">
        <f>IF(C607="","",VLOOKUP($B607,勘定科目!$A:$E,4,0))</f>
        <v/>
      </c>
      <c r="E607" s="240"/>
      <c r="F607" s="235"/>
      <c r="G607" s="236"/>
      <c r="H607" s="236"/>
      <c r="I607" s="236"/>
      <c r="J607" s="236"/>
      <c r="K607" s="236"/>
      <c r="L607" s="236"/>
      <c r="M607" s="236"/>
      <c r="N607" s="236"/>
      <c r="O607" s="236"/>
      <c r="P607" s="236"/>
      <c r="Q607" s="236"/>
      <c r="R607" s="200">
        <f t="shared" si="45"/>
        <v>0</v>
      </c>
      <c r="S607" s="201"/>
      <c r="T607" s="202"/>
      <c r="U607" s="241"/>
      <c r="V607" s="241"/>
      <c r="W607" s="241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4" t="str">
        <f>IF(C608="","",VLOOKUP($B608,勘定科目!$A:$E,4,0))</f>
        <v/>
      </c>
      <c r="E608" s="240"/>
      <c r="F608" s="235"/>
      <c r="G608" s="236"/>
      <c r="H608" s="236"/>
      <c r="I608" s="236"/>
      <c r="J608" s="236"/>
      <c r="K608" s="236"/>
      <c r="L608" s="236"/>
      <c r="M608" s="236"/>
      <c r="N608" s="236"/>
      <c r="O608" s="236"/>
      <c r="P608" s="236"/>
      <c r="Q608" s="236"/>
      <c r="R608" s="200">
        <f t="shared" si="45"/>
        <v>0</v>
      </c>
      <c r="S608" s="201"/>
      <c r="T608" s="202"/>
      <c r="U608" s="241"/>
      <c r="V608" s="241"/>
      <c r="W608" s="241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4" t="str">
        <f>IF(C609="","",VLOOKUP($B609,勘定科目!$A:$E,4,0))</f>
        <v/>
      </c>
      <c r="E609" s="240"/>
      <c r="F609" s="235"/>
      <c r="G609" s="236"/>
      <c r="H609" s="236"/>
      <c r="I609" s="236"/>
      <c r="J609" s="236"/>
      <c r="K609" s="236"/>
      <c r="L609" s="236"/>
      <c r="M609" s="236"/>
      <c r="N609" s="236"/>
      <c r="O609" s="236"/>
      <c r="P609" s="236"/>
      <c r="Q609" s="236"/>
      <c r="R609" s="200">
        <f t="shared" si="45"/>
        <v>0</v>
      </c>
      <c r="S609" s="201"/>
      <c r="T609" s="202"/>
      <c r="U609" s="241"/>
      <c r="V609" s="241"/>
      <c r="W609" s="241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4" t="str">
        <f>IF(C610="","",VLOOKUP($B610,勘定科目!$A:$E,4,0))</f>
        <v/>
      </c>
      <c r="E610" s="240"/>
      <c r="F610" s="235"/>
      <c r="G610" s="236"/>
      <c r="H610" s="236"/>
      <c r="I610" s="236"/>
      <c r="J610" s="236"/>
      <c r="K610" s="236"/>
      <c r="L610" s="236"/>
      <c r="M610" s="236"/>
      <c r="N610" s="236"/>
      <c r="O610" s="236"/>
      <c r="P610" s="236"/>
      <c r="Q610" s="236"/>
      <c r="R610" s="200">
        <f t="shared" si="45"/>
        <v>0</v>
      </c>
      <c r="S610" s="201"/>
      <c r="T610" s="202"/>
      <c r="U610" s="241"/>
      <c r="V610" s="241"/>
      <c r="W610" s="241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4" t="str">
        <f>IF(C611="","",VLOOKUP($B611,勘定科目!$A:$E,4,0))</f>
        <v/>
      </c>
      <c r="E611" s="240"/>
      <c r="F611" s="235"/>
      <c r="G611" s="236"/>
      <c r="H611" s="236"/>
      <c r="I611" s="236"/>
      <c r="J611" s="236"/>
      <c r="K611" s="236"/>
      <c r="L611" s="236"/>
      <c r="M611" s="236"/>
      <c r="N611" s="236"/>
      <c r="O611" s="236"/>
      <c r="P611" s="236"/>
      <c r="Q611" s="236"/>
      <c r="R611" s="200">
        <f t="shared" si="45"/>
        <v>0</v>
      </c>
      <c r="S611" s="201"/>
      <c r="T611" s="202"/>
      <c r="U611" s="241"/>
      <c r="V611" s="241"/>
      <c r="W611" s="241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4" t="str">
        <f>IF(C612="","",VLOOKUP($B612,勘定科目!$A:$E,4,0))</f>
        <v/>
      </c>
      <c r="E612" s="240"/>
      <c r="F612" s="235"/>
      <c r="G612" s="236"/>
      <c r="H612" s="236"/>
      <c r="I612" s="236"/>
      <c r="J612" s="236"/>
      <c r="K612" s="236"/>
      <c r="L612" s="236"/>
      <c r="M612" s="236"/>
      <c r="N612" s="236"/>
      <c r="O612" s="236"/>
      <c r="P612" s="236"/>
      <c r="Q612" s="236"/>
      <c r="R612" s="200">
        <f t="shared" si="45"/>
        <v>0</v>
      </c>
      <c r="S612" s="201"/>
      <c r="T612" s="202"/>
      <c r="U612" s="241"/>
      <c r="V612" s="241"/>
      <c r="W612" s="241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4" t="str">
        <f>IF(C613="","",VLOOKUP($B613,勘定科目!$A:$E,4,0))</f>
        <v/>
      </c>
      <c r="E613" s="240"/>
      <c r="F613" s="235"/>
      <c r="G613" s="236"/>
      <c r="H613" s="236"/>
      <c r="I613" s="236"/>
      <c r="J613" s="236"/>
      <c r="K613" s="236"/>
      <c r="L613" s="236"/>
      <c r="M613" s="236"/>
      <c r="N613" s="236"/>
      <c r="O613" s="236"/>
      <c r="P613" s="236"/>
      <c r="Q613" s="236"/>
      <c r="R613" s="200">
        <f t="shared" si="45"/>
        <v>0</v>
      </c>
      <c r="S613" s="201"/>
      <c r="T613" s="202"/>
      <c r="U613" s="241"/>
      <c r="V613" s="241"/>
      <c r="W613" s="241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4" t="str">
        <f>IF(C614="","",VLOOKUP($B614,勘定科目!$A:$E,4,0))</f>
        <v/>
      </c>
      <c r="E614" s="240"/>
      <c r="F614" s="235"/>
      <c r="G614" s="236"/>
      <c r="H614" s="236"/>
      <c r="I614" s="236"/>
      <c r="J614" s="236"/>
      <c r="K614" s="236"/>
      <c r="L614" s="236"/>
      <c r="M614" s="236"/>
      <c r="N614" s="236"/>
      <c r="O614" s="236"/>
      <c r="P614" s="236"/>
      <c r="Q614" s="236"/>
      <c r="R614" s="200">
        <f t="shared" si="45"/>
        <v>0</v>
      </c>
      <c r="S614" s="201"/>
      <c r="T614" s="202"/>
      <c r="U614" s="241"/>
      <c r="V614" s="241"/>
      <c r="W614" s="241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4" t="str">
        <f>IF(C615="","",VLOOKUP($B615,勘定科目!$A:$E,4,0))</f>
        <v/>
      </c>
      <c r="E615" s="240"/>
      <c r="F615" s="235"/>
      <c r="G615" s="236"/>
      <c r="H615" s="236"/>
      <c r="I615" s="236"/>
      <c r="J615" s="236"/>
      <c r="K615" s="236"/>
      <c r="L615" s="236"/>
      <c r="M615" s="236"/>
      <c r="N615" s="236"/>
      <c r="O615" s="236"/>
      <c r="P615" s="236"/>
      <c r="Q615" s="236"/>
      <c r="R615" s="200">
        <f t="shared" si="45"/>
        <v>0</v>
      </c>
      <c r="S615" s="201"/>
      <c r="T615" s="202"/>
      <c r="U615" s="241"/>
      <c r="V615" s="241"/>
      <c r="W615" s="241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4" t="str">
        <f>IF(C616="","",VLOOKUP($B616,勘定科目!$A:$E,4,0))</f>
        <v/>
      </c>
      <c r="E616" s="240"/>
      <c r="F616" s="235"/>
      <c r="G616" s="236"/>
      <c r="H616" s="236"/>
      <c r="I616" s="236"/>
      <c r="J616" s="236"/>
      <c r="K616" s="236"/>
      <c r="L616" s="236"/>
      <c r="M616" s="236"/>
      <c r="N616" s="236"/>
      <c r="O616" s="236"/>
      <c r="P616" s="236"/>
      <c r="Q616" s="236"/>
      <c r="R616" s="200">
        <f t="shared" si="45"/>
        <v>0</v>
      </c>
      <c r="S616" s="201"/>
      <c r="T616" s="202"/>
      <c r="U616" s="241"/>
      <c r="V616" s="241"/>
      <c r="W616" s="241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4" t="str">
        <f>IF(C617="","",VLOOKUP($B617,勘定科目!$A:$E,4,0))</f>
        <v/>
      </c>
      <c r="E617" s="240"/>
      <c r="F617" s="235"/>
      <c r="G617" s="236"/>
      <c r="H617" s="236"/>
      <c r="I617" s="236"/>
      <c r="J617" s="236"/>
      <c r="K617" s="236"/>
      <c r="L617" s="236"/>
      <c r="M617" s="236"/>
      <c r="N617" s="236"/>
      <c r="O617" s="236"/>
      <c r="P617" s="236"/>
      <c r="Q617" s="236"/>
      <c r="R617" s="200">
        <f t="shared" si="45"/>
        <v>0</v>
      </c>
      <c r="S617" s="201"/>
      <c r="T617" s="202"/>
      <c r="U617" s="241"/>
      <c r="V617" s="241"/>
      <c r="W617" s="241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4" t="str">
        <f>IF(C618="","",VLOOKUP($B618,勘定科目!$A:$E,4,0))</f>
        <v/>
      </c>
      <c r="E618" s="240"/>
      <c r="F618" s="235"/>
      <c r="G618" s="236"/>
      <c r="H618" s="236"/>
      <c r="I618" s="236"/>
      <c r="J618" s="236"/>
      <c r="K618" s="236"/>
      <c r="L618" s="236"/>
      <c r="M618" s="236"/>
      <c r="N618" s="236"/>
      <c r="O618" s="236"/>
      <c r="P618" s="236"/>
      <c r="Q618" s="236"/>
      <c r="R618" s="200">
        <f t="shared" si="45"/>
        <v>0</v>
      </c>
      <c r="S618" s="201"/>
      <c r="T618" s="202"/>
      <c r="U618" s="241"/>
      <c r="V618" s="241"/>
      <c r="W618" s="241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4" t="str">
        <f>IF(C619="","",VLOOKUP($B619,勘定科目!$A:$E,4,0))</f>
        <v/>
      </c>
      <c r="E619" s="240"/>
      <c r="F619" s="235"/>
      <c r="G619" s="236"/>
      <c r="H619" s="236"/>
      <c r="I619" s="236"/>
      <c r="J619" s="236"/>
      <c r="K619" s="236"/>
      <c r="L619" s="236"/>
      <c r="M619" s="236"/>
      <c r="N619" s="236"/>
      <c r="O619" s="236"/>
      <c r="P619" s="236"/>
      <c r="Q619" s="236"/>
      <c r="R619" s="200">
        <f t="shared" si="45"/>
        <v>0</v>
      </c>
      <c r="S619" s="201"/>
      <c r="T619" s="202"/>
      <c r="U619" s="241"/>
      <c r="V619" s="241"/>
      <c r="W619" s="241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4" t="str">
        <f>IF(C620="","",VLOOKUP($B620,勘定科目!$A:$E,4,0))</f>
        <v/>
      </c>
      <c r="E620" s="240"/>
      <c r="F620" s="235"/>
      <c r="G620" s="236"/>
      <c r="H620" s="236"/>
      <c r="I620" s="236"/>
      <c r="J620" s="236"/>
      <c r="K620" s="236"/>
      <c r="L620" s="236"/>
      <c r="M620" s="236"/>
      <c r="N620" s="236"/>
      <c r="O620" s="236"/>
      <c r="P620" s="236"/>
      <c r="Q620" s="236"/>
      <c r="R620" s="200">
        <f t="shared" si="45"/>
        <v>0</v>
      </c>
      <c r="S620" s="201"/>
      <c r="T620" s="202"/>
      <c r="U620" s="241"/>
      <c r="V620" s="241"/>
      <c r="W620" s="241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4" t="str">
        <f>IF(C621="","",VLOOKUP($B621,勘定科目!$A:$E,4,0))</f>
        <v/>
      </c>
      <c r="E621" s="240"/>
      <c r="F621" s="235"/>
      <c r="G621" s="236"/>
      <c r="H621" s="236"/>
      <c r="I621" s="236"/>
      <c r="J621" s="236"/>
      <c r="K621" s="236"/>
      <c r="L621" s="236"/>
      <c r="M621" s="236"/>
      <c r="N621" s="236"/>
      <c r="O621" s="236"/>
      <c r="P621" s="236"/>
      <c r="Q621" s="236"/>
      <c r="R621" s="200">
        <f t="shared" si="45"/>
        <v>0</v>
      </c>
      <c r="S621" s="201"/>
      <c r="T621" s="202"/>
      <c r="U621" s="241"/>
      <c r="V621" s="241"/>
      <c r="W621" s="241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4" t="str">
        <f>IF(C622="","",VLOOKUP($B622,勘定科目!$A:$E,4,0))</f>
        <v/>
      </c>
      <c r="E622" s="240"/>
      <c r="F622" s="235"/>
      <c r="G622" s="236"/>
      <c r="H622" s="236"/>
      <c r="I622" s="236"/>
      <c r="J622" s="236"/>
      <c r="K622" s="236"/>
      <c r="L622" s="236"/>
      <c r="M622" s="236"/>
      <c r="N622" s="236"/>
      <c r="O622" s="236"/>
      <c r="P622" s="236"/>
      <c r="Q622" s="236"/>
      <c r="R622" s="200">
        <f t="shared" si="45"/>
        <v>0</v>
      </c>
      <c r="S622" s="201"/>
      <c r="T622" s="202"/>
      <c r="U622" s="241"/>
      <c r="V622" s="241"/>
      <c r="W622" s="241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4" t="str">
        <f>IF(C623="","",VLOOKUP($B623,勘定科目!$A:$E,4,0))</f>
        <v/>
      </c>
      <c r="E623" s="240"/>
      <c r="F623" s="235"/>
      <c r="G623" s="236"/>
      <c r="H623" s="236"/>
      <c r="I623" s="236"/>
      <c r="J623" s="236"/>
      <c r="K623" s="236"/>
      <c r="L623" s="236"/>
      <c r="M623" s="236"/>
      <c r="N623" s="236"/>
      <c r="O623" s="236"/>
      <c r="P623" s="236"/>
      <c r="Q623" s="236"/>
      <c r="R623" s="200">
        <f t="shared" si="45"/>
        <v>0</v>
      </c>
      <c r="S623" s="201"/>
      <c r="T623" s="202"/>
      <c r="U623" s="241"/>
      <c r="V623" s="241"/>
      <c r="W623" s="241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4" t="str">
        <f>IF(C624="","",VLOOKUP($B624,勘定科目!$A:$E,4,0))</f>
        <v/>
      </c>
      <c r="E624" s="240"/>
      <c r="F624" s="235"/>
      <c r="G624" s="236"/>
      <c r="H624" s="236"/>
      <c r="I624" s="236"/>
      <c r="J624" s="236"/>
      <c r="K624" s="236"/>
      <c r="L624" s="236"/>
      <c r="M624" s="236"/>
      <c r="N624" s="236"/>
      <c r="O624" s="236"/>
      <c r="P624" s="236"/>
      <c r="Q624" s="236"/>
      <c r="R624" s="200">
        <f t="shared" si="45"/>
        <v>0</v>
      </c>
      <c r="S624" s="201"/>
      <c r="T624" s="202"/>
      <c r="U624" s="241"/>
      <c r="V624" s="241"/>
      <c r="W624" s="241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4" t="str">
        <f>IF(C625="","",VLOOKUP($B625,勘定科目!$A:$E,4,0))</f>
        <v/>
      </c>
      <c r="E625" s="240"/>
      <c r="F625" s="235"/>
      <c r="G625" s="236"/>
      <c r="H625" s="236"/>
      <c r="I625" s="236"/>
      <c r="J625" s="236"/>
      <c r="K625" s="236"/>
      <c r="L625" s="236"/>
      <c r="M625" s="236"/>
      <c r="N625" s="236"/>
      <c r="O625" s="236"/>
      <c r="P625" s="236"/>
      <c r="Q625" s="236"/>
      <c r="R625" s="200">
        <f t="shared" si="45"/>
        <v>0</v>
      </c>
      <c r="S625" s="201"/>
      <c r="T625" s="202"/>
      <c r="U625" s="241"/>
      <c r="V625" s="241"/>
      <c r="W625" s="241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4" t="str">
        <f>IF(C626="","",VLOOKUP($B626,勘定科目!$A:$E,4,0))</f>
        <v/>
      </c>
      <c r="E626" s="240"/>
      <c r="F626" s="235"/>
      <c r="G626" s="236"/>
      <c r="H626" s="236"/>
      <c r="I626" s="236"/>
      <c r="J626" s="236"/>
      <c r="K626" s="236"/>
      <c r="L626" s="236"/>
      <c r="M626" s="236"/>
      <c r="N626" s="236"/>
      <c r="O626" s="236"/>
      <c r="P626" s="236"/>
      <c r="Q626" s="236"/>
      <c r="R626" s="200">
        <f t="shared" si="45"/>
        <v>0</v>
      </c>
      <c r="S626" s="201"/>
      <c r="T626" s="202"/>
      <c r="U626" s="241"/>
      <c r="V626" s="241"/>
      <c r="W626" s="241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4" t="str">
        <f>IF(C627="","",VLOOKUP($B627,勘定科目!$A:$E,4,0))</f>
        <v/>
      </c>
      <c r="E627" s="240"/>
      <c r="F627" s="235"/>
      <c r="G627" s="236"/>
      <c r="H627" s="236"/>
      <c r="I627" s="236"/>
      <c r="J627" s="236"/>
      <c r="K627" s="236"/>
      <c r="L627" s="236"/>
      <c r="M627" s="236"/>
      <c r="N627" s="236"/>
      <c r="O627" s="236"/>
      <c r="P627" s="236"/>
      <c r="Q627" s="236"/>
      <c r="R627" s="200">
        <f t="shared" si="45"/>
        <v>0</v>
      </c>
      <c r="S627" s="201"/>
      <c r="T627" s="202"/>
      <c r="U627" s="241"/>
      <c r="V627" s="241"/>
      <c r="W627" s="241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4" t="str">
        <f>IF(C628="","",VLOOKUP($B628,勘定科目!$A:$E,4,0))</f>
        <v/>
      </c>
      <c r="E628" s="240"/>
      <c r="F628" s="235"/>
      <c r="G628" s="236"/>
      <c r="H628" s="236"/>
      <c r="I628" s="236"/>
      <c r="J628" s="236"/>
      <c r="K628" s="236"/>
      <c r="L628" s="236"/>
      <c r="M628" s="236"/>
      <c r="N628" s="236"/>
      <c r="O628" s="236"/>
      <c r="P628" s="236"/>
      <c r="Q628" s="236"/>
      <c r="R628" s="200">
        <f t="shared" si="45"/>
        <v>0</v>
      </c>
      <c r="S628" s="201"/>
      <c r="T628" s="202"/>
      <c r="U628" s="241"/>
      <c r="V628" s="241"/>
      <c r="W628" s="241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4" t="str">
        <f>IF(C629="","",VLOOKUP($B629,勘定科目!$A:$E,4,0))</f>
        <v/>
      </c>
      <c r="E629" s="240"/>
      <c r="F629" s="235"/>
      <c r="G629" s="236"/>
      <c r="H629" s="236"/>
      <c r="I629" s="236"/>
      <c r="J629" s="236"/>
      <c r="K629" s="236"/>
      <c r="L629" s="236"/>
      <c r="M629" s="236"/>
      <c r="N629" s="236"/>
      <c r="O629" s="236"/>
      <c r="P629" s="236"/>
      <c r="Q629" s="236"/>
      <c r="R629" s="200">
        <f t="shared" si="45"/>
        <v>0</v>
      </c>
      <c r="S629" s="201"/>
      <c r="T629" s="202"/>
      <c r="U629" s="241"/>
      <c r="V629" s="241"/>
      <c r="W629" s="241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4" t="str">
        <f>IF(C630="","",VLOOKUP($B630,勘定科目!$A:$E,4,0))</f>
        <v/>
      </c>
      <c r="E630" s="240"/>
      <c r="F630" s="235"/>
      <c r="G630" s="236"/>
      <c r="H630" s="236"/>
      <c r="I630" s="236"/>
      <c r="J630" s="236"/>
      <c r="K630" s="236"/>
      <c r="L630" s="236"/>
      <c r="M630" s="236"/>
      <c r="N630" s="236"/>
      <c r="O630" s="236"/>
      <c r="P630" s="236"/>
      <c r="Q630" s="236"/>
      <c r="R630" s="200">
        <f t="shared" si="45"/>
        <v>0</v>
      </c>
      <c r="S630" s="201"/>
      <c r="T630" s="202"/>
      <c r="U630" s="241"/>
      <c r="V630" s="241"/>
      <c r="W630" s="241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4" t="str">
        <f>IF(C631="","",VLOOKUP($B631,勘定科目!$A:$E,4,0))</f>
        <v/>
      </c>
      <c r="E631" s="240"/>
      <c r="F631" s="235"/>
      <c r="G631" s="236"/>
      <c r="H631" s="236"/>
      <c r="I631" s="236"/>
      <c r="J631" s="236"/>
      <c r="K631" s="236"/>
      <c r="L631" s="236"/>
      <c r="M631" s="236"/>
      <c r="N631" s="236"/>
      <c r="O631" s="236"/>
      <c r="P631" s="236"/>
      <c r="Q631" s="236"/>
      <c r="R631" s="200">
        <f t="shared" si="45"/>
        <v>0</v>
      </c>
      <c r="S631" s="201"/>
      <c r="T631" s="202"/>
      <c r="U631" s="241"/>
      <c r="V631" s="241"/>
      <c r="W631" s="241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4" t="str">
        <f>IF(C632="","",VLOOKUP($B632,勘定科目!$A:$E,4,0))</f>
        <v/>
      </c>
      <c r="E632" s="240"/>
      <c r="F632" s="235"/>
      <c r="G632" s="236"/>
      <c r="H632" s="236"/>
      <c r="I632" s="236"/>
      <c r="J632" s="236"/>
      <c r="K632" s="236"/>
      <c r="L632" s="236"/>
      <c r="M632" s="236"/>
      <c r="N632" s="236"/>
      <c r="O632" s="236"/>
      <c r="P632" s="236"/>
      <c r="Q632" s="236"/>
      <c r="R632" s="200">
        <f t="shared" si="45"/>
        <v>0</v>
      </c>
      <c r="S632" s="201"/>
      <c r="T632" s="202"/>
      <c r="U632" s="241"/>
      <c r="V632" s="241"/>
      <c r="W632" s="241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4" t="str">
        <f>IF(C633="","",VLOOKUP($B633,勘定科目!$A:$E,4,0))</f>
        <v/>
      </c>
      <c r="E633" s="240"/>
      <c r="F633" s="235"/>
      <c r="G633" s="236"/>
      <c r="H633" s="236"/>
      <c r="I633" s="236"/>
      <c r="J633" s="236"/>
      <c r="K633" s="236"/>
      <c r="L633" s="236"/>
      <c r="M633" s="236"/>
      <c r="N633" s="236"/>
      <c r="O633" s="236"/>
      <c r="P633" s="236"/>
      <c r="Q633" s="236"/>
      <c r="R633" s="200">
        <f t="shared" si="45"/>
        <v>0</v>
      </c>
      <c r="S633" s="201"/>
      <c r="T633" s="202"/>
      <c r="U633" s="241"/>
      <c r="V633" s="241"/>
      <c r="W633" s="241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4" t="str">
        <f>IF(C634="","",VLOOKUP($B634,勘定科目!$A:$E,4,0))</f>
        <v/>
      </c>
      <c r="E634" s="240"/>
      <c r="F634" s="235"/>
      <c r="G634" s="236"/>
      <c r="H634" s="236"/>
      <c r="I634" s="236"/>
      <c r="J634" s="236"/>
      <c r="K634" s="236"/>
      <c r="L634" s="236"/>
      <c r="M634" s="236"/>
      <c r="N634" s="236"/>
      <c r="O634" s="236"/>
      <c r="P634" s="236"/>
      <c r="Q634" s="236"/>
      <c r="R634" s="200">
        <f t="shared" si="45"/>
        <v>0</v>
      </c>
      <c r="S634" s="201"/>
      <c r="T634" s="202"/>
      <c r="U634" s="241"/>
      <c r="V634" s="241"/>
      <c r="W634" s="241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4" t="str">
        <f>IF(C635="","",VLOOKUP($B635,勘定科目!$A:$E,4,0))</f>
        <v/>
      </c>
      <c r="E635" s="240"/>
      <c r="F635" s="235"/>
      <c r="G635" s="236"/>
      <c r="H635" s="236"/>
      <c r="I635" s="236"/>
      <c r="J635" s="236"/>
      <c r="K635" s="236"/>
      <c r="L635" s="236"/>
      <c r="M635" s="236"/>
      <c r="N635" s="236"/>
      <c r="O635" s="236"/>
      <c r="P635" s="236"/>
      <c r="Q635" s="236"/>
      <c r="R635" s="200">
        <f t="shared" si="45"/>
        <v>0</v>
      </c>
      <c r="S635" s="201"/>
      <c r="T635" s="202"/>
      <c r="U635" s="241"/>
      <c r="V635" s="241"/>
      <c r="W635" s="241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4" t="str">
        <f>IF(C636="","",VLOOKUP($B636,勘定科目!$A:$E,4,0))</f>
        <v/>
      </c>
      <c r="E636" s="240"/>
      <c r="F636" s="235"/>
      <c r="G636" s="236"/>
      <c r="H636" s="236"/>
      <c r="I636" s="236"/>
      <c r="J636" s="236"/>
      <c r="K636" s="236"/>
      <c r="L636" s="236"/>
      <c r="M636" s="236"/>
      <c r="N636" s="236"/>
      <c r="O636" s="236"/>
      <c r="P636" s="236"/>
      <c r="Q636" s="236"/>
      <c r="R636" s="200">
        <f t="shared" si="45"/>
        <v>0</v>
      </c>
      <c r="S636" s="201"/>
      <c r="T636" s="202"/>
      <c r="U636" s="241"/>
      <c r="V636" s="241"/>
      <c r="W636" s="241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4" t="str">
        <f>IF(C637="","",VLOOKUP($B637,勘定科目!$A:$E,4,0))</f>
        <v/>
      </c>
      <c r="E637" s="240"/>
      <c r="F637" s="235"/>
      <c r="G637" s="236"/>
      <c r="H637" s="236"/>
      <c r="I637" s="236"/>
      <c r="J637" s="236"/>
      <c r="K637" s="236"/>
      <c r="L637" s="236"/>
      <c r="M637" s="236"/>
      <c r="N637" s="236"/>
      <c r="O637" s="236"/>
      <c r="P637" s="236"/>
      <c r="Q637" s="236"/>
      <c r="R637" s="200">
        <f t="shared" si="45"/>
        <v>0</v>
      </c>
      <c r="S637" s="201"/>
      <c r="T637" s="202"/>
      <c r="U637" s="241"/>
      <c r="V637" s="241"/>
      <c r="W637" s="241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4" t="str">
        <f>IF(C638="","",VLOOKUP($B638,勘定科目!$A:$E,4,0))</f>
        <v/>
      </c>
      <c r="E638" s="240"/>
      <c r="F638" s="235"/>
      <c r="G638" s="236"/>
      <c r="H638" s="236"/>
      <c r="I638" s="236"/>
      <c r="J638" s="236"/>
      <c r="K638" s="236"/>
      <c r="L638" s="236"/>
      <c r="M638" s="236"/>
      <c r="N638" s="236"/>
      <c r="O638" s="236"/>
      <c r="P638" s="236"/>
      <c r="Q638" s="236"/>
      <c r="R638" s="200">
        <f t="shared" si="45"/>
        <v>0</v>
      </c>
      <c r="S638" s="201"/>
      <c r="T638" s="202"/>
      <c r="U638" s="241"/>
      <c r="V638" s="241"/>
      <c r="W638" s="241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4" t="str">
        <f>IF(C639="","",VLOOKUP($B639,勘定科目!$A:$E,4,0))</f>
        <v/>
      </c>
      <c r="E639" s="240"/>
      <c r="F639" s="235"/>
      <c r="G639" s="236"/>
      <c r="H639" s="236"/>
      <c r="I639" s="236"/>
      <c r="J639" s="236"/>
      <c r="K639" s="236"/>
      <c r="L639" s="236"/>
      <c r="M639" s="236"/>
      <c r="N639" s="236"/>
      <c r="O639" s="236"/>
      <c r="P639" s="236"/>
      <c r="Q639" s="236"/>
      <c r="R639" s="200">
        <f t="shared" si="45"/>
        <v>0</v>
      </c>
      <c r="S639" s="201"/>
      <c r="T639" s="202"/>
      <c r="U639" s="241"/>
      <c r="V639" s="241"/>
      <c r="W639" s="241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4" t="str">
        <f>IF(C640="","",VLOOKUP($B640,勘定科目!$A:$E,4,0))</f>
        <v/>
      </c>
      <c r="E640" s="240"/>
      <c r="F640" s="235"/>
      <c r="G640" s="236"/>
      <c r="H640" s="236"/>
      <c r="I640" s="236"/>
      <c r="J640" s="236"/>
      <c r="K640" s="236"/>
      <c r="L640" s="236"/>
      <c r="M640" s="236"/>
      <c r="N640" s="236"/>
      <c r="O640" s="236"/>
      <c r="P640" s="236"/>
      <c r="Q640" s="236"/>
      <c r="R640" s="200">
        <f t="shared" si="45"/>
        <v>0</v>
      </c>
      <c r="S640" s="201"/>
      <c r="T640" s="202"/>
      <c r="U640" s="241"/>
      <c r="V640" s="241"/>
      <c r="W640" s="241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4" t="str">
        <f>IF(C641="","",VLOOKUP($B641,勘定科目!$A:$E,4,0))</f>
        <v/>
      </c>
      <c r="E641" s="240"/>
      <c r="F641" s="235"/>
      <c r="G641" s="236"/>
      <c r="H641" s="236"/>
      <c r="I641" s="236"/>
      <c r="J641" s="236"/>
      <c r="K641" s="236"/>
      <c r="L641" s="236"/>
      <c r="M641" s="236"/>
      <c r="N641" s="236"/>
      <c r="O641" s="236"/>
      <c r="P641" s="236"/>
      <c r="Q641" s="236"/>
      <c r="R641" s="200">
        <f t="shared" si="45"/>
        <v>0</v>
      </c>
      <c r="S641" s="201"/>
      <c r="T641" s="202"/>
      <c r="U641" s="241"/>
      <c r="V641" s="241"/>
      <c r="W641" s="241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4" t="str">
        <f>IF(C642="","",VLOOKUP($B642,勘定科目!$A:$E,4,0))</f>
        <v/>
      </c>
      <c r="E642" s="240"/>
      <c r="F642" s="235"/>
      <c r="G642" s="236"/>
      <c r="H642" s="236"/>
      <c r="I642" s="236"/>
      <c r="J642" s="236"/>
      <c r="K642" s="236"/>
      <c r="L642" s="236"/>
      <c r="M642" s="236"/>
      <c r="N642" s="236"/>
      <c r="O642" s="236"/>
      <c r="P642" s="236"/>
      <c r="Q642" s="236"/>
      <c r="R642" s="200">
        <f t="shared" si="45"/>
        <v>0</v>
      </c>
      <c r="S642" s="201"/>
      <c r="T642" s="202"/>
      <c r="U642" s="241"/>
      <c r="V642" s="241"/>
      <c r="W642" s="241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4" t="str">
        <f>IF(C643="","",VLOOKUP($B643,勘定科目!$A:$E,4,0))</f>
        <v/>
      </c>
      <c r="E643" s="240"/>
      <c r="F643" s="235"/>
      <c r="G643" s="236"/>
      <c r="H643" s="236"/>
      <c r="I643" s="236"/>
      <c r="J643" s="236"/>
      <c r="K643" s="236"/>
      <c r="L643" s="236"/>
      <c r="M643" s="236"/>
      <c r="N643" s="236"/>
      <c r="O643" s="236"/>
      <c r="P643" s="236"/>
      <c r="Q643" s="236"/>
      <c r="R643" s="200">
        <f t="shared" si="45"/>
        <v>0</v>
      </c>
      <c r="S643" s="201"/>
      <c r="T643" s="202"/>
      <c r="U643" s="241"/>
      <c r="V643" s="241"/>
      <c r="W643" s="241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4" t="str">
        <f>IF(C644="","",VLOOKUP($B644,勘定科目!$A:$E,4,0))</f>
        <v/>
      </c>
      <c r="E644" s="240"/>
      <c r="F644" s="235"/>
      <c r="G644" s="236"/>
      <c r="H644" s="236"/>
      <c r="I644" s="236"/>
      <c r="J644" s="236"/>
      <c r="K644" s="236"/>
      <c r="L644" s="236"/>
      <c r="M644" s="236"/>
      <c r="N644" s="236"/>
      <c r="O644" s="236"/>
      <c r="P644" s="236"/>
      <c r="Q644" s="236"/>
      <c r="R644" s="200">
        <f t="shared" si="45"/>
        <v>0</v>
      </c>
      <c r="S644" s="201"/>
      <c r="T644" s="202"/>
      <c r="U644" s="241"/>
      <c r="V644" s="241"/>
      <c r="W644" s="241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4" t="str">
        <f>IF(C645="","",VLOOKUP($B645,勘定科目!$A:$E,4,0))</f>
        <v/>
      </c>
      <c r="E645" s="240"/>
      <c r="F645" s="235"/>
      <c r="G645" s="236"/>
      <c r="H645" s="236"/>
      <c r="I645" s="236"/>
      <c r="J645" s="236"/>
      <c r="K645" s="236"/>
      <c r="L645" s="236"/>
      <c r="M645" s="236"/>
      <c r="N645" s="236"/>
      <c r="O645" s="236"/>
      <c r="P645" s="236"/>
      <c r="Q645" s="236"/>
      <c r="R645" s="200">
        <f t="shared" si="45"/>
        <v>0</v>
      </c>
      <c r="S645" s="201"/>
      <c r="T645" s="202"/>
      <c r="U645" s="241"/>
      <c r="V645" s="241"/>
      <c r="W645" s="241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4" t="str">
        <f>IF(C646="","",VLOOKUP($B646,勘定科目!$A:$E,4,0))</f>
        <v/>
      </c>
      <c r="E646" s="240"/>
      <c r="F646" s="235"/>
      <c r="G646" s="236"/>
      <c r="H646" s="236"/>
      <c r="I646" s="236"/>
      <c r="J646" s="236"/>
      <c r="K646" s="236"/>
      <c r="L646" s="236"/>
      <c r="M646" s="236"/>
      <c r="N646" s="236"/>
      <c r="O646" s="236"/>
      <c r="P646" s="236"/>
      <c r="Q646" s="236"/>
      <c r="R646" s="200">
        <f t="shared" si="45"/>
        <v>0</v>
      </c>
      <c r="S646" s="201"/>
      <c r="T646" s="202"/>
      <c r="U646" s="241"/>
      <c r="V646" s="241"/>
      <c r="W646" s="241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4" t="str">
        <f>IF(C647="","",VLOOKUP($B647,勘定科目!$A:$E,4,0))</f>
        <v/>
      </c>
      <c r="E647" s="240"/>
      <c r="F647" s="235"/>
      <c r="G647" s="236"/>
      <c r="H647" s="236"/>
      <c r="I647" s="236"/>
      <c r="J647" s="236"/>
      <c r="K647" s="236"/>
      <c r="L647" s="236"/>
      <c r="M647" s="236"/>
      <c r="N647" s="236"/>
      <c r="O647" s="236"/>
      <c r="P647" s="236"/>
      <c r="Q647" s="236"/>
      <c r="R647" s="200">
        <f t="shared" si="45"/>
        <v>0</v>
      </c>
      <c r="S647" s="201"/>
      <c r="T647" s="202"/>
      <c r="U647" s="241"/>
      <c r="V647" s="241"/>
      <c r="W647" s="241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4" t="str">
        <f>IF(C648="","",VLOOKUP($B648,勘定科目!$A:$E,4,0))</f>
        <v/>
      </c>
      <c r="E648" s="240"/>
      <c r="F648" s="235"/>
      <c r="G648" s="236"/>
      <c r="H648" s="236"/>
      <c r="I648" s="236"/>
      <c r="J648" s="236"/>
      <c r="K648" s="236"/>
      <c r="L648" s="236"/>
      <c r="M648" s="236"/>
      <c r="N648" s="236"/>
      <c r="O648" s="236"/>
      <c r="P648" s="236"/>
      <c r="Q648" s="236"/>
      <c r="R648" s="200">
        <f t="shared" si="45"/>
        <v>0</v>
      </c>
      <c r="S648" s="201"/>
      <c r="T648" s="202"/>
      <c r="U648" s="241"/>
      <c r="V648" s="241"/>
      <c r="W648" s="241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4" t="str">
        <f>IF(C649="","",VLOOKUP($B649,勘定科目!$A:$E,4,0))</f>
        <v/>
      </c>
      <c r="E649" s="240"/>
      <c r="F649" s="235"/>
      <c r="G649" s="236"/>
      <c r="H649" s="236"/>
      <c r="I649" s="236"/>
      <c r="J649" s="236"/>
      <c r="K649" s="236"/>
      <c r="L649" s="236"/>
      <c r="M649" s="236"/>
      <c r="N649" s="236"/>
      <c r="O649" s="236"/>
      <c r="P649" s="236"/>
      <c r="Q649" s="236"/>
      <c r="R649" s="200">
        <f t="shared" si="45"/>
        <v>0</v>
      </c>
      <c r="S649" s="201"/>
      <c r="T649" s="202"/>
      <c r="U649" s="241"/>
      <c r="V649" s="241"/>
      <c r="W649" s="241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4" t="str">
        <f>IF(C650="","",VLOOKUP($B650,勘定科目!$A:$E,4,0))</f>
        <v/>
      </c>
      <c r="E650" s="240"/>
      <c r="F650" s="235"/>
      <c r="G650" s="236"/>
      <c r="H650" s="236"/>
      <c r="I650" s="236"/>
      <c r="J650" s="236"/>
      <c r="K650" s="236"/>
      <c r="L650" s="236"/>
      <c r="M650" s="236"/>
      <c r="N650" s="236"/>
      <c r="O650" s="236"/>
      <c r="P650" s="236"/>
      <c r="Q650" s="236"/>
      <c r="R650" s="200">
        <f t="shared" si="45"/>
        <v>0</v>
      </c>
      <c r="S650" s="201"/>
      <c r="T650" s="202"/>
      <c r="U650" s="241"/>
      <c r="V650" s="241"/>
      <c r="W650" s="241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4" t="str">
        <f>IF(C651="","",VLOOKUP($B651,勘定科目!$A:$E,4,0))</f>
        <v/>
      </c>
      <c r="E651" s="240"/>
      <c r="F651" s="235"/>
      <c r="G651" s="236"/>
      <c r="H651" s="236"/>
      <c r="I651" s="236"/>
      <c r="J651" s="236"/>
      <c r="K651" s="236"/>
      <c r="L651" s="236"/>
      <c r="M651" s="236"/>
      <c r="N651" s="236"/>
      <c r="O651" s="236"/>
      <c r="P651" s="236"/>
      <c r="Q651" s="236"/>
      <c r="R651" s="200">
        <f t="shared" si="45"/>
        <v>0</v>
      </c>
      <c r="S651" s="201"/>
      <c r="T651" s="202"/>
      <c r="U651" s="241"/>
      <c r="V651" s="241"/>
      <c r="W651" s="241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4" t="str">
        <f>IF(C652="","",VLOOKUP($B652,勘定科目!$A:$E,4,0))</f>
        <v/>
      </c>
      <c r="E652" s="240"/>
      <c r="F652" s="235"/>
      <c r="G652" s="236"/>
      <c r="H652" s="236"/>
      <c r="I652" s="236"/>
      <c r="J652" s="236"/>
      <c r="K652" s="236"/>
      <c r="L652" s="236"/>
      <c r="M652" s="236"/>
      <c r="N652" s="236"/>
      <c r="O652" s="236"/>
      <c r="P652" s="236"/>
      <c r="Q652" s="236"/>
      <c r="R652" s="200">
        <f t="shared" si="45"/>
        <v>0</v>
      </c>
      <c r="S652" s="201"/>
      <c r="T652" s="202"/>
      <c r="U652" s="241"/>
      <c r="V652" s="241"/>
      <c r="W652" s="241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4" t="str">
        <f>IF(C653="","",VLOOKUP($B653,勘定科目!$A:$E,4,0))</f>
        <v/>
      </c>
      <c r="E653" s="240"/>
      <c r="F653" s="235"/>
      <c r="G653" s="236"/>
      <c r="H653" s="236"/>
      <c r="I653" s="236"/>
      <c r="J653" s="236"/>
      <c r="K653" s="236"/>
      <c r="L653" s="236"/>
      <c r="M653" s="236"/>
      <c r="N653" s="236"/>
      <c r="O653" s="236"/>
      <c r="P653" s="236"/>
      <c r="Q653" s="236"/>
      <c r="R653" s="200">
        <f t="shared" si="45"/>
        <v>0</v>
      </c>
      <c r="S653" s="201"/>
      <c r="T653" s="202"/>
      <c r="U653" s="241"/>
      <c r="V653" s="241"/>
      <c r="W653" s="241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4" t="str">
        <f>IF(C654="","",VLOOKUP($B654,勘定科目!$A:$E,4,0))</f>
        <v/>
      </c>
      <c r="E654" s="240"/>
      <c r="F654" s="235"/>
      <c r="G654" s="236"/>
      <c r="H654" s="236"/>
      <c r="I654" s="236"/>
      <c r="J654" s="236"/>
      <c r="K654" s="236"/>
      <c r="L654" s="236"/>
      <c r="M654" s="236"/>
      <c r="N654" s="236"/>
      <c r="O654" s="236"/>
      <c r="P654" s="236"/>
      <c r="Q654" s="236"/>
      <c r="R654" s="200">
        <f t="shared" si="45"/>
        <v>0</v>
      </c>
      <c r="S654" s="201"/>
      <c r="T654" s="202"/>
      <c r="U654" s="241"/>
      <c r="V654" s="241"/>
      <c r="W654" s="241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4" t="str">
        <f>IF(C655="","",VLOOKUP($B655,勘定科目!$A:$E,4,0))</f>
        <v/>
      </c>
      <c r="E655" s="240"/>
      <c r="F655" s="235"/>
      <c r="G655" s="236"/>
      <c r="H655" s="236"/>
      <c r="I655" s="236"/>
      <c r="J655" s="236"/>
      <c r="K655" s="236"/>
      <c r="L655" s="236"/>
      <c r="M655" s="236"/>
      <c r="N655" s="236"/>
      <c r="O655" s="236"/>
      <c r="P655" s="236"/>
      <c r="Q655" s="236"/>
      <c r="R655" s="200">
        <f t="shared" si="45"/>
        <v>0</v>
      </c>
      <c r="S655" s="201"/>
      <c r="T655" s="202"/>
      <c r="U655" s="241"/>
      <c r="V655" s="241"/>
      <c r="W655" s="241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4" t="str">
        <f>IF(C656="","",VLOOKUP($B656,勘定科目!$A:$E,4,0))</f>
        <v/>
      </c>
      <c r="E656" s="240"/>
      <c r="F656" s="235"/>
      <c r="G656" s="236"/>
      <c r="H656" s="236"/>
      <c r="I656" s="236"/>
      <c r="J656" s="236"/>
      <c r="K656" s="236"/>
      <c r="L656" s="236"/>
      <c r="M656" s="236"/>
      <c r="N656" s="236"/>
      <c r="O656" s="236"/>
      <c r="P656" s="236"/>
      <c r="Q656" s="236"/>
      <c r="R656" s="200">
        <f t="shared" si="45"/>
        <v>0</v>
      </c>
      <c r="S656" s="201"/>
      <c r="T656" s="202"/>
      <c r="U656" s="241"/>
      <c r="V656" s="241"/>
      <c r="W656" s="241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4" t="str">
        <f>IF(C657="","",VLOOKUP($B657,勘定科目!$A:$E,4,0))</f>
        <v/>
      </c>
      <c r="E657" s="240"/>
      <c r="F657" s="235"/>
      <c r="G657" s="236"/>
      <c r="H657" s="236"/>
      <c r="I657" s="236"/>
      <c r="J657" s="236"/>
      <c r="K657" s="236"/>
      <c r="L657" s="236"/>
      <c r="M657" s="236"/>
      <c r="N657" s="236"/>
      <c r="O657" s="236"/>
      <c r="P657" s="236"/>
      <c r="Q657" s="236"/>
      <c r="R657" s="200">
        <f t="shared" si="45"/>
        <v>0</v>
      </c>
      <c r="S657" s="201"/>
      <c r="T657" s="202"/>
      <c r="U657" s="241"/>
      <c r="V657" s="241"/>
      <c r="W657" s="241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4" t="str">
        <f>IF(C658="","",VLOOKUP($B658,勘定科目!$A:$E,4,0))</f>
        <v/>
      </c>
      <c r="E658" s="240"/>
      <c r="F658" s="235"/>
      <c r="G658" s="236"/>
      <c r="H658" s="236"/>
      <c r="I658" s="236"/>
      <c r="J658" s="236"/>
      <c r="K658" s="236"/>
      <c r="L658" s="236"/>
      <c r="M658" s="236"/>
      <c r="N658" s="236"/>
      <c r="O658" s="236"/>
      <c r="P658" s="236"/>
      <c r="Q658" s="236"/>
      <c r="R658" s="200">
        <f t="shared" si="45"/>
        <v>0</v>
      </c>
      <c r="S658" s="201"/>
      <c r="T658" s="202"/>
      <c r="U658" s="241"/>
      <c r="V658" s="241"/>
      <c r="W658" s="241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4" t="str">
        <f>IF(C659="","",VLOOKUP($B659,勘定科目!$A:$E,4,0))</f>
        <v/>
      </c>
      <c r="E659" s="240"/>
      <c r="F659" s="235"/>
      <c r="G659" s="236"/>
      <c r="H659" s="236"/>
      <c r="I659" s="236"/>
      <c r="J659" s="236"/>
      <c r="K659" s="236"/>
      <c r="L659" s="236"/>
      <c r="M659" s="236"/>
      <c r="N659" s="236"/>
      <c r="O659" s="236"/>
      <c r="P659" s="236"/>
      <c r="Q659" s="236"/>
      <c r="R659" s="200">
        <f t="shared" si="45"/>
        <v>0</v>
      </c>
      <c r="S659" s="201"/>
      <c r="T659" s="202"/>
      <c r="U659" s="241"/>
      <c r="V659" s="241"/>
      <c r="W659" s="241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4" t="str">
        <f>IF(C660="","",VLOOKUP($B660,勘定科目!$A:$E,4,0))</f>
        <v/>
      </c>
      <c r="E660" s="240"/>
      <c r="F660" s="235"/>
      <c r="G660" s="236"/>
      <c r="H660" s="236"/>
      <c r="I660" s="236"/>
      <c r="J660" s="236"/>
      <c r="K660" s="236"/>
      <c r="L660" s="236"/>
      <c r="M660" s="236"/>
      <c r="N660" s="236"/>
      <c r="O660" s="236"/>
      <c r="P660" s="236"/>
      <c r="Q660" s="236"/>
      <c r="R660" s="200">
        <f t="shared" si="45"/>
        <v>0</v>
      </c>
      <c r="S660" s="201"/>
      <c r="T660" s="202"/>
      <c r="U660" s="241"/>
      <c r="V660" s="241"/>
      <c r="W660" s="241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4" t="str">
        <f>IF(C661="","",VLOOKUP($B661,勘定科目!$A:$E,4,0))</f>
        <v/>
      </c>
      <c r="E661" s="240"/>
      <c r="F661" s="235"/>
      <c r="G661" s="236"/>
      <c r="H661" s="236"/>
      <c r="I661" s="236"/>
      <c r="J661" s="236"/>
      <c r="K661" s="236"/>
      <c r="L661" s="236"/>
      <c r="M661" s="236"/>
      <c r="N661" s="236"/>
      <c r="O661" s="236"/>
      <c r="P661" s="236"/>
      <c r="Q661" s="236"/>
      <c r="R661" s="200">
        <f t="shared" si="45"/>
        <v>0</v>
      </c>
      <c r="S661" s="201"/>
      <c r="T661" s="202"/>
      <c r="U661" s="241"/>
      <c r="V661" s="241"/>
      <c r="W661" s="241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4" t="str">
        <f>IF(C662="","",VLOOKUP($B662,勘定科目!$A:$E,4,0))</f>
        <v/>
      </c>
      <c r="E662" s="240"/>
      <c r="F662" s="235"/>
      <c r="G662" s="236"/>
      <c r="H662" s="236"/>
      <c r="I662" s="236"/>
      <c r="J662" s="236"/>
      <c r="K662" s="236"/>
      <c r="L662" s="236"/>
      <c r="M662" s="236"/>
      <c r="N662" s="236"/>
      <c r="O662" s="236"/>
      <c r="P662" s="236"/>
      <c r="Q662" s="236"/>
      <c r="R662" s="200">
        <f t="shared" si="45"/>
        <v>0</v>
      </c>
      <c r="S662" s="201"/>
      <c r="T662" s="202"/>
      <c r="U662" s="241"/>
      <c r="V662" s="241"/>
      <c r="W662" s="241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4" t="str">
        <f>IF(C663="","",VLOOKUP($B663,勘定科目!$A:$E,4,0))</f>
        <v/>
      </c>
      <c r="E663" s="240"/>
      <c r="F663" s="235"/>
      <c r="G663" s="236"/>
      <c r="H663" s="236"/>
      <c r="I663" s="236"/>
      <c r="J663" s="236"/>
      <c r="K663" s="236"/>
      <c r="L663" s="236"/>
      <c r="M663" s="236"/>
      <c r="N663" s="236"/>
      <c r="O663" s="236"/>
      <c r="P663" s="236"/>
      <c r="Q663" s="236"/>
      <c r="R663" s="200">
        <f t="shared" si="45"/>
        <v>0</v>
      </c>
      <c r="S663" s="201"/>
      <c r="T663" s="202"/>
      <c r="U663" s="241"/>
      <c r="V663" s="241"/>
      <c r="W663" s="241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4" t="str">
        <f>IF(C664="","",VLOOKUP($B664,勘定科目!$A:$E,4,0))</f>
        <v/>
      </c>
      <c r="E664" s="240"/>
      <c r="F664" s="235"/>
      <c r="G664" s="236"/>
      <c r="H664" s="236"/>
      <c r="I664" s="236"/>
      <c r="J664" s="236"/>
      <c r="K664" s="236"/>
      <c r="L664" s="236"/>
      <c r="M664" s="236"/>
      <c r="N664" s="236"/>
      <c r="O664" s="236"/>
      <c r="P664" s="236"/>
      <c r="Q664" s="236"/>
      <c r="R664" s="200">
        <f t="shared" si="45"/>
        <v>0</v>
      </c>
      <c r="S664" s="201"/>
      <c r="T664" s="202"/>
      <c r="U664" s="241"/>
      <c r="V664" s="241"/>
      <c r="W664" s="241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4" t="str">
        <f>IF(C665="","",VLOOKUP($B665,勘定科目!$A:$E,4,0))</f>
        <v/>
      </c>
      <c r="E665" s="240"/>
      <c r="F665" s="235"/>
      <c r="G665" s="236"/>
      <c r="H665" s="236"/>
      <c r="I665" s="236"/>
      <c r="J665" s="236"/>
      <c r="K665" s="236"/>
      <c r="L665" s="236"/>
      <c r="M665" s="236"/>
      <c r="N665" s="236"/>
      <c r="O665" s="236"/>
      <c r="P665" s="236"/>
      <c r="Q665" s="236"/>
      <c r="R665" s="200">
        <f t="shared" si="45"/>
        <v>0</v>
      </c>
      <c r="S665" s="201"/>
      <c r="T665" s="202"/>
      <c r="U665" s="241"/>
      <c r="V665" s="241"/>
      <c r="W665" s="241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4" t="str">
        <f>IF(C666="","",VLOOKUP($B666,勘定科目!$A:$E,4,0))</f>
        <v/>
      </c>
      <c r="E666" s="240"/>
      <c r="F666" s="235"/>
      <c r="G666" s="236"/>
      <c r="H666" s="236"/>
      <c r="I666" s="236"/>
      <c r="J666" s="236"/>
      <c r="K666" s="236"/>
      <c r="L666" s="236"/>
      <c r="M666" s="236"/>
      <c r="N666" s="236"/>
      <c r="O666" s="236"/>
      <c r="P666" s="236"/>
      <c r="Q666" s="236"/>
      <c r="R666" s="200">
        <f t="shared" si="45"/>
        <v>0</v>
      </c>
      <c r="S666" s="201"/>
      <c r="T666" s="202"/>
      <c r="U666" s="241"/>
      <c r="V666" s="241"/>
      <c r="W666" s="241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4" t="str">
        <f>IF(C667="","",VLOOKUP($B667,勘定科目!$A:$E,4,0))</f>
        <v/>
      </c>
      <c r="E667" s="240"/>
      <c r="F667" s="235"/>
      <c r="G667" s="236"/>
      <c r="H667" s="236"/>
      <c r="I667" s="236"/>
      <c r="J667" s="236"/>
      <c r="K667" s="236"/>
      <c r="L667" s="236"/>
      <c r="M667" s="236"/>
      <c r="N667" s="236"/>
      <c r="O667" s="236"/>
      <c r="P667" s="236"/>
      <c r="Q667" s="236"/>
      <c r="R667" s="200">
        <f t="shared" si="45"/>
        <v>0</v>
      </c>
      <c r="S667" s="201"/>
      <c r="T667" s="202"/>
      <c r="U667" s="241"/>
      <c r="V667" s="241"/>
      <c r="W667" s="241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4" t="str">
        <f>IF(C668="","",VLOOKUP($B668,勘定科目!$A:$E,4,0))</f>
        <v/>
      </c>
      <c r="E668" s="240"/>
      <c r="F668" s="235"/>
      <c r="G668" s="236"/>
      <c r="H668" s="236"/>
      <c r="I668" s="236"/>
      <c r="J668" s="236"/>
      <c r="K668" s="236"/>
      <c r="L668" s="236"/>
      <c r="M668" s="236"/>
      <c r="N668" s="236"/>
      <c r="O668" s="236"/>
      <c r="P668" s="236"/>
      <c r="Q668" s="236"/>
      <c r="R668" s="200">
        <f t="shared" ref="R668:R731" si="46">SUM(F668:Q668)</f>
        <v>0</v>
      </c>
      <c r="S668" s="201"/>
      <c r="T668" s="202"/>
      <c r="U668" s="241"/>
      <c r="V668" s="241"/>
      <c r="W668" s="241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4" t="str">
        <f>IF(C669="","",VLOOKUP($B669,勘定科目!$A:$E,4,0))</f>
        <v/>
      </c>
      <c r="E669" s="240"/>
      <c r="F669" s="235"/>
      <c r="G669" s="236"/>
      <c r="H669" s="236"/>
      <c r="I669" s="236"/>
      <c r="J669" s="236"/>
      <c r="K669" s="236"/>
      <c r="L669" s="236"/>
      <c r="M669" s="236"/>
      <c r="N669" s="236"/>
      <c r="O669" s="236"/>
      <c r="P669" s="236"/>
      <c r="Q669" s="236"/>
      <c r="R669" s="200">
        <f t="shared" si="46"/>
        <v>0</v>
      </c>
      <c r="S669" s="201"/>
      <c r="T669" s="202"/>
      <c r="U669" s="241"/>
      <c r="V669" s="241"/>
      <c r="W669" s="241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4" t="str">
        <f>IF(C670="","",VLOOKUP($B670,勘定科目!$A:$E,4,0))</f>
        <v/>
      </c>
      <c r="E670" s="240"/>
      <c r="F670" s="235"/>
      <c r="G670" s="236"/>
      <c r="H670" s="236"/>
      <c r="I670" s="236"/>
      <c r="J670" s="236"/>
      <c r="K670" s="236"/>
      <c r="L670" s="236"/>
      <c r="M670" s="236"/>
      <c r="N670" s="236"/>
      <c r="O670" s="236"/>
      <c r="P670" s="236"/>
      <c r="Q670" s="236"/>
      <c r="R670" s="200">
        <f t="shared" si="46"/>
        <v>0</v>
      </c>
      <c r="S670" s="201"/>
      <c r="T670" s="202"/>
      <c r="U670" s="241"/>
      <c r="V670" s="241"/>
      <c r="W670" s="241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4" t="str">
        <f>IF(C671="","",VLOOKUP($B671,勘定科目!$A:$E,4,0))</f>
        <v/>
      </c>
      <c r="E671" s="240"/>
      <c r="F671" s="235"/>
      <c r="G671" s="236"/>
      <c r="H671" s="236"/>
      <c r="I671" s="236"/>
      <c r="J671" s="236"/>
      <c r="K671" s="236"/>
      <c r="L671" s="236"/>
      <c r="M671" s="236"/>
      <c r="N671" s="236"/>
      <c r="O671" s="236"/>
      <c r="P671" s="236"/>
      <c r="Q671" s="236"/>
      <c r="R671" s="200">
        <f t="shared" si="46"/>
        <v>0</v>
      </c>
      <c r="S671" s="201"/>
      <c r="T671" s="202"/>
      <c r="U671" s="241"/>
      <c r="V671" s="241"/>
      <c r="W671" s="241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4" t="str">
        <f>IF(C672="","",VLOOKUP($B672,勘定科目!$A:$E,4,0))</f>
        <v/>
      </c>
      <c r="E672" s="240"/>
      <c r="F672" s="235"/>
      <c r="G672" s="236"/>
      <c r="H672" s="236"/>
      <c r="I672" s="236"/>
      <c r="J672" s="236"/>
      <c r="K672" s="236"/>
      <c r="L672" s="236"/>
      <c r="M672" s="236"/>
      <c r="N672" s="236"/>
      <c r="O672" s="236"/>
      <c r="P672" s="236"/>
      <c r="Q672" s="236"/>
      <c r="R672" s="200">
        <f t="shared" si="46"/>
        <v>0</v>
      </c>
      <c r="S672" s="201"/>
      <c r="T672" s="202"/>
      <c r="U672" s="241"/>
      <c r="V672" s="241"/>
      <c r="W672" s="241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4" t="str">
        <f>IF(C673="","",VLOOKUP($B673,勘定科目!$A:$E,4,0))</f>
        <v/>
      </c>
      <c r="E673" s="240"/>
      <c r="F673" s="235"/>
      <c r="G673" s="236"/>
      <c r="H673" s="236"/>
      <c r="I673" s="236"/>
      <c r="J673" s="236"/>
      <c r="K673" s="236"/>
      <c r="L673" s="236"/>
      <c r="M673" s="236"/>
      <c r="N673" s="236"/>
      <c r="O673" s="236"/>
      <c r="P673" s="236"/>
      <c r="Q673" s="236"/>
      <c r="R673" s="200">
        <f t="shared" si="46"/>
        <v>0</v>
      </c>
      <c r="S673" s="201"/>
      <c r="T673" s="202"/>
      <c r="U673" s="241"/>
      <c r="V673" s="241"/>
      <c r="W673" s="241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4" t="str">
        <f>IF(C674="","",VLOOKUP($B674,勘定科目!$A:$E,4,0))</f>
        <v/>
      </c>
      <c r="E674" s="240"/>
      <c r="F674" s="235"/>
      <c r="G674" s="236"/>
      <c r="H674" s="236"/>
      <c r="I674" s="236"/>
      <c r="J674" s="236"/>
      <c r="K674" s="236"/>
      <c r="L674" s="236"/>
      <c r="M674" s="236"/>
      <c r="N674" s="236"/>
      <c r="O674" s="236"/>
      <c r="P674" s="236"/>
      <c r="Q674" s="236"/>
      <c r="R674" s="200">
        <f t="shared" si="46"/>
        <v>0</v>
      </c>
      <c r="S674" s="201"/>
      <c r="T674" s="202"/>
      <c r="U674" s="241"/>
      <c r="V674" s="241"/>
      <c r="W674" s="241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4" t="str">
        <f>IF(C675="","",VLOOKUP($B675,勘定科目!$A:$E,4,0))</f>
        <v/>
      </c>
      <c r="E675" s="240"/>
      <c r="F675" s="235"/>
      <c r="G675" s="236"/>
      <c r="H675" s="236"/>
      <c r="I675" s="236"/>
      <c r="J675" s="236"/>
      <c r="K675" s="236"/>
      <c r="L675" s="236"/>
      <c r="M675" s="236"/>
      <c r="N675" s="236"/>
      <c r="O675" s="236"/>
      <c r="P675" s="236"/>
      <c r="Q675" s="236"/>
      <c r="R675" s="200">
        <f t="shared" si="46"/>
        <v>0</v>
      </c>
      <c r="S675" s="201"/>
      <c r="T675" s="202"/>
      <c r="U675" s="241"/>
      <c r="V675" s="241"/>
      <c r="W675" s="241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4" t="str">
        <f>IF(C676="","",VLOOKUP($B676,勘定科目!$A:$E,4,0))</f>
        <v/>
      </c>
      <c r="E676" s="240"/>
      <c r="F676" s="235"/>
      <c r="G676" s="236"/>
      <c r="H676" s="236"/>
      <c r="I676" s="236"/>
      <c r="J676" s="236"/>
      <c r="K676" s="236"/>
      <c r="L676" s="236"/>
      <c r="M676" s="236"/>
      <c r="N676" s="236"/>
      <c r="O676" s="236"/>
      <c r="P676" s="236"/>
      <c r="Q676" s="236"/>
      <c r="R676" s="200">
        <f t="shared" si="46"/>
        <v>0</v>
      </c>
      <c r="S676" s="201"/>
      <c r="T676" s="202"/>
      <c r="U676" s="241"/>
      <c r="V676" s="241"/>
      <c r="W676" s="241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4" t="str">
        <f>IF(C677="","",VLOOKUP($B677,勘定科目!$A:$E,4,0))</f>
        <v/>
      </c>
      <c r="E677" s="240"/>
      <c r="F677" s="235"/>
      <c r="G677" s="236"/>
      <c r="H677" s="236"/>
      <c r="I677" s="236"/>
      <c r="J677" s="236"/>
      <c r="K677" s="236"/>
      <c r="L677" s="236"/>
      <c r="M677" s="236"/>
      <c r="N677" s="236"/>
      <c r="O677" s="236"/>
      <c r="P677" s="236"/>
      <c r="Q677" s="236"/>
      <c r="R677" s="200">
        <f t="shared" si="46"/>
        <v>0</v>
      </c>
      <c r="S677" s="201"/>
      <c r="T677" s="202"/>
      <c r="U677" s="241"/>
      <c r="V677" s="241"/>
      <c r="W677" s="241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4" t="str">
        <f>IF(C678="","",VLOOKUP($B678,勘定科目!$A:$E,4,0))</f>
        <v/>
      </c>
      <c r="E678" s="240"/>
      <c r="F678" s="235"/>
      <c r="G678" s="236"/>
      <c r="H678" s="236"/>
      <c r="I678" s="236"/>
      <c r="J678" s="236"/>
      <c r="K678" s="236"/>
      <c r="L678" s="236"/>
      <c r="M678" s="236"/>
      <c r="N678" s="236"/>
      <c r="O678" s="236"/>
      <c r="P678" s="236"/>
      <c r="Q678" s="236"/>
      <c r="R678" s="200">
        <f t="shared" si="46"/>
        <v>0</v>
      </c>
      <c r="S678" s="201"/>
      <c r="T678" s="202"/>
      <c r="U678" s="241"/>
      <c r="V678" s="241"/>
      <c r="W678" s="241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4" t="str">
        <f>IF(C679="","",VLOOKUP($B679,勘定科目!$A:$E,4,0))</f>
        <v/>
      </c>
      <c r="E679" s="240"/>
      <c r="F679" s="235"/>
      <c r="G679" s="236"/>
      <c r="H679" s="236"/>
      <c r="I679" s="236"/>
      <c r="J679" s="236"/>
      <c r="K679" s="236"/>
      <c r="L679" s="236"/>
      <c r="M679" s="236"/>
      <c r="N679" s="236"/>
      <c r="O679" s="236"/>
      <c r="P679" s="236"/>
      <c r="Q679" s="236"/>
      <c r="R679" s="200">
        <f t="shared" si="46"/>
        <v>0</v>
      </c>
      <c r="S679" s="201"/>
      <c r="T679" s="202"/>
      <c r="U679" s="241"/>
      <c r="V679" s="241"/>
      <c r="W679" s="241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4" t="str">
        <f>IF(C680="","",VLOOKUP($B680,勘定科目!$A:$E,4,0))</f>
        <v/>
      </c>
      <c r="E680" s="240"/>
      <c r="F680" s="235"/>
      <c r="G680" s="236"/>
      <c r="H680" s="236"/>
      <c r="I680" s="236"/>
      <c r="J680" s="236"/>
      <c r="K680" s="236"/>
      <c r="L680" s="236"/>
      <c r="M680" s="236"/>
      <c r="N680" s="236"/>
      <c r="O680" s="236"/>
      <c r="P680" s="236"/>
      <c r="Q680" s="236"/>
      <c r="R680" s="200">
        <f t="shared" si="46"/>
        <v>0</v>
      </c>
      <c r="S680" s="201"/>
      <c r="T680" s="202"/>
      <c r="U680" s="241"/>
      <c r="V680" s="241"/>
      <c r="W680" s="241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4" t="str">
        <f>IF(C681="","",VLOOKUP($B681,勘定科目!$A:$E,4,0))</f>
        <v/>
      </c>
      <c r="E681" s="240"/>
      <c r="F681" s="235"/>
      <c r="G681" s="236"/>
      <c r="H681" s="236"/>
      <c r="I681" s="236"/>
      <c r="J681" s="236"/>
      <c r="K681" s="236"/>
      <c r="L681" s="236"/>
      <c r="M681" s="236"/>
      <c r="N681" s="236"/>
      <c r="O681" s="236"/>
      <c r="P681" s="236"/>
      <c r="Q681" s="236"/>
      <c r="R681" s="200">
        <f t="shared" si="46"/>
        <v>0</v>
      </c>
      <c r="S681" s="201"/>
      <c r="T681" s="202"/>
      <c r="U681" s="241"/>
      <c r="V681" s="241"/>
      <c r="W681" s="241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4" t="str">
        <f>IF(C682="","",VLOOKUP($B682,勘定科目!$A:$E,4,0))</f>
        <v/>
      </c>
      <c r="E682" s="240"/>
      <c r="F682" s="235"/>
      <c r="G682" s="236"/>
      <c r="H682" s="236"/>
      <c r="I682" s="236"/>
      <c r="J682" s="236"/>
      <c r="K682" s="236"/>
      <c r="L682" s="236"/>
      <c r="M682" s="236"/>
      <c r="N682" s="236"/>
      <c r="O682" s="236"/>
      <c r="P682" s="236"/>
      <c r="Q682" s="236"/>
      <c r="R682" s="200">
        <f t="shared" si="46"/>
        <v>0</v>
      </c>
      <c r="S682" s="201"/>
      <c r="T682" s="202"/>
      <c r="U682" s="241"/>
      <c r="V682" s="241"/>
      <c r="W682" s="241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4" t="str">
        <f>IF(C683="","",VLOOKUP($B683,勘定科目!$A:$E,4,0))</f>
        <v/>
      </c>
      <c r="E683" s="240"/>
      <c r="F683" s="235"/>
      <c r="G683" s="236"/>
      <c r="H683" s="236"/>
      <c r="I683" s="236"/>
      <c r="J683" s="236"/>
      <c r="K683" s="236"/>
      <c r="L683" s="236"/>
      <c r="M683" s="236"/>
      <c r="N683" s="236"/>
      <c r="O683" s="236"/>
      <c r="P683" s="236"/>
      <c r="Q683" s="236"/>
      <c r="R683" s="200">
        <f t="shared" si="46"/>
        <v>0</v>
      </c>
      <c r="S683" s="201"/>
      <c r="T683" s="202"/>
      <c r="U683" s="241"/>
      <c r="V683" s="241"/>
      <c r="W683" s="241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4" t="str">
        <f>IF(C684="","",VLOOKUP($B684,勘定科目!$A:$E,4,0))</f>
        <v/>
      </c>
      <c r="E684" s="240"/>
      <c r="F684" s="235"/>
      <c r="G684" s="236"/>
      <c r="H684" s="236"/>
      <c r="I684" s="236"/>
      <c r="J684" s="236"/>
      <c r="K684" s="236"/>
      <c r="L684" s="236"/>
      <c r="M684" s="236"/>
      <c r="N684" s="236"/>
      <c r="O684" s="236"/>
      <c r="P684" s="236"/>
      <c r="Q684" s="236"/>
      <c r="R684" s="200">
        <f t="shared" si="46"/>
        <v>0</v>
      </c>
      <c r="S684" s="201"/>
      <c r="T684" s="202"/>
      <c r="U684" s="241"/>
      <c r="V684" s="241"/>
      <c r="W684" s="241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4" t="str">
        <f>IF(C685="","",VLOOKUP($B685,勘定科目!$A:$E,4,0))</f>
        <v/>
      </c>
      <c r="E685" s="240"/>
      <c r="F685" s="235"/>
      <c r="G685" s="236"/>
      <c r="H685" s="236"/>
      <c r="I685" s="236"/>
      <c r="J685" s="236"/>
      <c r="K685" s="236"/>
      <c r="L685" s="236"/>
      <c r="M685" s="236"/>
      <c r="N685" s="236"/>
      <c r="O685" s="236"/>
      <c r="P685" s="236"/>
      <c r="Q685" s="236"/>
      <c r="R685" s="200">
        <f t="shared" si="46"/>
        <v>0</v>
      </c>
      <c r="S685" s="201"/>
      <c r="T685" s="202"/>
      <c r="U685" s="241"/>
      <c r="V685" s="241"/>
      <c r="W685" s="241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4" t="str">
        <f>IF(C686="","",VLOOKUP($B686,勘定科目!$A:$E,4,0))</f>
        <v/>
      </c>
      <c r="E686" s="240"/>
      <c r="F686" s="235"/>
      <c r="G686" s="236"/>
      <c r="H686" s="236"/>
      <c r="I686" s="236"/>
      <c r="J686" s="236"/>
      <c r="K686" s="236"/>
      <c r="L686" s="236"/>
      <c r="M686" s="236"/>
      <c r="N686" s="236"/>
      <c r="O686" s="236"/>
      <c r="P686" s="236"/>
      <c r="Q686" s="236"/>
      <c r="R686" s="200">
        <f t="shared" si="46"/>
        <v>0</v>
      </c>
      <c r="S686" s="201"/>
      <c r="T686" s="202"/>
      <c r="U686" s="241"/>
      <c r="V686" s="241"/>
      <c r="W686" s="241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4" t="str">
        <f>IF(C687="","",VLOOKUP($B687,勘定科目!$A:$E,4,0))</f>
        <v/>
      </c>
      <c r="E687" s="240"/>
      <c r="F687" s="235"/>
      <c r="G687" s="236"/>
      <c r="H687" s="236"/>
      <c r="I687" s="236"/>
      <c r="J687" s="236"/>
      <c r="K687" s="236"/>
      <c r="L687" s="236"/>
      <c r="M687" s="236"/>
      <c r="N687" s="236"/>
      <c r="O687" s="236"/>
      <c r="P687" s="236"/>
      <c r="Q687" s="236"/>
      <c r="R687" s="200">
        <f t="shared" si="46"/>
        <v>0</v>
      </c>
      <c r="S687" s="201"/>
      <c r="T687" s="202"/>
      <c r="U687" s="241"/>
      <c r="V687" s="241"/>
      <c r="W687" s="241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4" t="str">
        <f>IF(C688="","",VLOOKUP($B688,勘定科目!$A:$E,4,0))</f>
        <v/>
      </c>
      <c r="E688" s="240"/>
      <c r="F688" s="235"/>
      <c r="G688" s="236"/>
      <c r="H688" s="236"/>
      <c r="I688" s="236"/>
      <c r="J688" s="236"/>
      <c r="K688" s="236"/>
      <c r="L688" s="236"/>
      <c r="M688" s="236"/>
      <c r="N688" s="236"/>
      <c r="O688" s="236"/>
      <c r="P688" s="236"/>
      <c r="Q688" s="236"/>
      <c r="R688" s="200">
        <f t="shared" si="46"/>
        <v>0</v>
      </c>
      <c r="S688" s="201"/>
      <c r="T688" s="202"/>
      <c r="U688" s="241"/>
      <c r="V688" s="241"/>
      <c r="W688" s="241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4" t="str">
        <f>IF(C689="","",VLOOKUP($B689,勘定科目!$A:$E,4,0))</f>
        <v/>
      </c>
      <c r="E689" s="240"/>
      <c r="F689" s="235"/>
      <c r="G689" s="236"/>
      <c r="H689" s="236"/>
      <c r="I689" s="236"/>
      <c r="J689" s="236"/>
      <c r="K689" s="236"/>
      <c r="L689" s="236"/>
      <c r="M689" s="236"/>
      <c r="N689" s="236"/>
      <c r="O689" s="236"/>
      <c r="P689" s="236"/>
      <c r="Q689" s="236"/>
      <c r="R689" s="200">
        <f t="shared" si="46"/>
        <v>0</v>
      </c>
      <c r="S689" s="201"/>
      <c r="T689" s="202"/>
      <c r="U689" s="241"/>
      <c r="V689" s="241"/>
      <c r="W689" s="241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4" t="str">
        <f>IF(C690="","",VLOOKUP($B690,勘定科目!$A:$E,4,0))</f>
        <v/>
      </c>
      <c r="E690" s="240"/>
      <c r="F690" s="235"/>
      <c r="G690" s="236"/>
      <c r="H690" s="236"/>
      <c r="I690" s="236"/>
      <c r="J690" s="236"/>
      <c r="K690" s="236"/>
      <c r="L690" s="236"/>
      <c r="M690" s="236"/>
      <c r="N690" s="236"/>
      <c r="O690" s="236"/>
      <c r="P690" s="236"/>
      <c r="Q690" s="236"/>
      <c r="R690" s="200">
        <f t="shared" si="46"/>
        <v>0</v>
      </c>
      <c r="S690" s="201"/>
      <c r="T690" s="202"/>
      <c r="U690" s="241"/>
      <c r="V690" s="241"/>
      <c r="W690" s="241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4" t="str">
        <f>IF(C691="","",VLOOKUP($B691,勘定科目!$A:$E,4,0))</f>
        <v/>
      </c>
      <c r="E691" s="240"/>
      <c r="F691" s="235"/>
      <c r="G691" s="236"/>
      <c r="H691" s="236"/>
      <c r="I691" s="236"/>
      <c r="J691" s="236"/>
      <c r="K691" s="236"/>
      <c r="L691" s="236"/>
      <c r="M691" s="236"/>
      <c r="N691" s="236"/>
      <c r="O691" s="236"/>
      <c r="P691" s="236"/>
      <c r="Q691" s="236"/>
      <c r="R691" s="200">
        <f t="shared" si="46"/>
        <v>0</v>
      </c>
      <c r="S691" s="201"/>
      <c r="T691" s="202"/>
      <c r="U691" s="241"/>
      <c r="V691" s="241"/>
      <c r="W691" s="241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4" t="str">
        <f>IF(C692="","",VLOOKUP($B692,勘定科目!$A:$E,4,0))</f>
        <v/>
      </c>
      <c r="E692" s="240"/>
      <c r="F692" s="235"/>
      <c r="G692" s="236"/>
      <c r="H692" s="236"/>
      <c r="I692" s="236"/>
      <c r="J692" s="236"/>
      <c r="K692" s="236"/>
      <c r="L692" s="236"/>
      <c r="M692" s="236"/>
      <c r="N692" s="236"/>
      <c r="O692" s="236"/>
      <c r="P692" s="236"/>
      <c r="Q692" s="236"/>
      <c r="R692" s="200">
        <f t="shared" si="46"/>
        <v>0</v>
      </c>
      <c r="S692" s="201"/>
      <c r="T692" s="202"/>
      <c r="U692" s="241"/>
      <c r="V692" s="241"/>
      <c r="W692" s="241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4" t="str">
        <f>IF(C693="","",VLOOKUP($B693,勘定科目!$A:$E,4,0))</f>
        <v/>
      </c>
      <c r="E693" s="240"/>
      <c r="F693" s="235"/>
      <c r="G693" s="236"/>
      <c r="H693" s="236"/>
      <c r="I693" s="236"/>
      <c r="J693" s="236"/>
      <c r="K693" s="236"/>
      <c r="L693" s="236"/>
      <c r="M693" s="236"/>
      <c r="N693" s="236"/>
      <c r="O693" s="236"/>
      <c r="P693" s="236"/>
      <c r="Q693" s="236"/>
      <c r="R693" s="200">
        <f t="shared" si="46"/>
        <v>0</v>
      </c>
      <c r="S693" s="201"/>
      <c r="T693" s="202"/>
      <c r="U693" s="241"/>
      <c r="V693" s="241"/>
      <c r="W693" s="241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4" t="str">
        <f>IF(C694="","",VLOOKUP($B694,勘定科目!$A:$E,4,0))</f>
        <v/>
      </c>
      <c r="E694" s="240"/>
      <c r="F694" s="235"/>
      <c r="G694" s="236"/>
      <c r="H694" s="236"/>
      <c r="I694" s="236"/>
      <c r="J694" s="236"/>
      <c r="K694" s="236"/>
      <c r="L694" s="236"/>
      <c r="M694" s="236"/>
      <c r="N694" s="236"/>
      <c r="O694" s="236"/>
      <c r="P694" s="236"/>
      <c r="Q694" s="236"/>
      <c r="R694" s="200">
        <f t="shared" si="46"/>
        <v>0</v>
      </c>
      <c r="S694" s="201"/>
      <c r="T694" s="202"/>
      <c r="U694" s="241"/>
      <c r="V694" s="241"/>
      <c r="W694" s="241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4" t="str">
        <f>IF(C695="","",VLOOKUP($B695,勘定科目!$A:$E,4,0))</f>
        <v/>
      </c>
      <c r="E695" s="240"/>
      <c r="F695" s="235"/>
      <c r="G695" s="236"/>
      <c r="H695" s="236"/>
      <c r="I695" s="236"/>
      <c r="J695" s="236"/>
      <c r="K695" s="236"/>
      <c r="L695" s="236"/>
      <c r="M695" s="236"/>
      <c r="N695" s="236"/>
      <c r="O695" s="236"/>
      <c r="P695" s="236"/>
      <c r="Q695" s="236"/>
      <c r="R695" s="200">
        <f t="shared" si="46"/>
        <v>0</v>
      </c>
      <c r="S695" s="201"/>
      <c r="T695" s="202"/>
      <c r="U695" s="241"/>
      <c r="V695" s="241"/>
      <c r="W695" s="241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4" t="str">
        <f>IF(C696="","",VLOOKUP($B696,勘定科目!$A:$E,4,0))</f>
        <v/>
      </c>
      <c r="E696" s="240"/>
      <c r="F696" s="235"/>
      <c r="G696" s="236"/>
      <c r="H696" s="236"/>
      <c r="I696" s="236"/>
      <c r="J696" s="236"/>
      <c r="K696" s="236"/>
      <c r="L696" s="236"/>
      <c r="M696" s="236"/>
      <c r="N696" s="236"/>
      <c r="O696" s="236"/>
      <c r="P696" s="236"/>
      <c r="Q696" s="236"/>
      <c r="R696" s="200">
        <f t="shared" si="46"/>
        <v>0</v>
      </c>
      <c r="S696" s="201"/>
      <c r="T696" s="202"/>
      <c r="U696" s="241"/>
      <c r="V696" s="241"/>
      <c r="W696" s="241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4" t="str">
        <f>IF(C697="","",VLOOKUP($B697,勘定科目!$A:$E,4,0))</f>
        <v/>
      </c>
      <c r="E697" s="240"/>
      <c r="F697" s="235"/>
      <c r="G697" s="236"/>
      <c r="H697" s="236"/>
      <c r="I697" s="236"/>
      <c r="J697" s="236"/>
      <c r="K697" s="236"/>
      <c r="L697" s="236"/>
      <c r="M697" s="236"/>
      <c r="N697" s="236"/>
      <c r="O697" s="236"/>
      <c r="P697" s="236"/>
      <c r="Q697" s="236"/>
      <c r="R697" s="200">
        <f t="shared" si="46"/>
        <v>0</v>
      </c>
      <c r="S697" s="201"/>
      <c r="T697" s="202"/>
      <c r="U697" s="241"/>
      <c r="V697" s="241"/>
      <c r="W697" s="241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4" t="str">
        <f>IF(C698="","",VLOOKUP($B698,勘定科目!$A:$E,4,0))</f>
        <v/>
      </c>
      <c r="E698" s="240"/>
      <c r="F698" s="235"/>
      <c r="G698" s="236"/>
      <c r="H698" s="236"/>
      <c r="I698" s="236"/>
      <c r="J698" s="236"/>
      <c r="K698" s="236"/>
      <c r="L698" s="236"/>
      <c r="M698" s="236"/>
      <c r="N698" s="236"/>
      <c r="O698" s="236"/>
      <c r="P698" s="236"/>
      <c r="Q698" s="236"/>
      <c r="R698" s="200">
        <f t="shared" si="46"/>
        <v>0</v>
      </c>
      <c r="S698" s="201"/>
      <c r="T698" s="202"/>
      <c r="U698" s="241"/>
      <c r="V698" s="241"/>
      <c r="W698" s="241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4" t="str">
        <f>IF(C699="","",VLOOKUP($B699,勘定科目!$A:$E,4,0))</f>
        <v/>
      </c>
      <c r="E699" s="240"/>
      <c r="F699" s="235"/>
      <c r="G699" s="236"/>
      <c r="H699" s="236"/>
      <c r="I699" s="236"/>
      <c r="J699" s="236"/>
      <c r="K699" s="236"/>
      <c r="L699" s="236"/>
      <c r="M699" s="236"/>
      <c r="N699" s="236"/>
      <c r="O699" s="236"/>
      <c r="P699" s="236"/>
      <c r="Q699" s="236"/>
      <c r="R699" s="200">
        <f t="shared" si="46"/>
        <v>0</v>
      </c>
      <c r="S699" s="201"/>
      <c r="T699" s="202"/>
      <c r="U699" s="241"/>
      <c r="V699" s="241"/>
      <c r="W699" s="241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4" t="str">
        <f>IF(C700="","",VLOOKUP($B700,勘定科目!$A:$E,4,0))</f>
        <v/>
      </c>
      <c r="E700" s="240"/>
      <c r="F700" s="235"/>
      <c r="G700" s="236"/>
      <c r="H700" s="236"/>
      <c r="I700" s="236"/>
      <c r="J700" s="236"/>
      <c r="K700" s="236"/>
      <c r="L700" s="236"/>
      <c r="M700" s="236"/>
      <c r="N700" s="236"/>
      <c r="O700" s="236"/>
      <c r="P700" s="236"/>
      <c r="Q700" s="236"/>
      <c r="R700" s="200">
        <f t="shared" si="46"/>
        <v>0</v>
      </c>
      <c r="S700" s="201"/>
      <c r="T700" s="202"/>
      <c r="U700" s="241"/>
      <c r="V700" s="241"/>
      <c r="W700" s="241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4" t="str">
        <f>IF(C701="","",VLOOKUP($B701,勘定科目!$A:$E,4,0))</f>
        <v/>
      </c>
      <c r="E701" s="240"/>
      <c r="F701" s="235"/>
      <c r="G701" s="236"/>
      <c r="H701" s="236"/>
      <c r="I701" s="236"/>
      <c r="J701" s="236"/>
      <c r="K701" s="236"/>
      <c r="L701" s="236"/>
      <c r="M701" s="236"/>
      <c r="N701" s="236"/>
      <c r="O701" s="236"/>
      <c r="P701" s="236"/>
      <c r="Q701" s="236"/>
      <c r="R701" s="200">
        <f t="shared" si="46"/>
        <v>0</v>
      </c>
      <c r="S701" s="201"/>
      <c r="T701" s="202"/>
      <c r="U701" s="241"/>
      <c r="V701" s="241"/>
      <c r="W701" s="241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4" t="str">
        <f>IF(C702="","",VLOOKUP($B702,勘定科目!$A:$E,4,0))</f>
        <v/>
      </c>
      <c r="E702" s="240"/>
      <c r="F702" s="235"/>
      <c r="G702" s="236"/>
      <c r="H702" s="236"/>
      <c r="I702" s="236"/>
      <c r="J702" s="236"/>
      <c r="K702" s="236"/>
      <c r="L702" s="236"/>
      <c r="M702" s="236"/>
      <c r="N702" s="236"/>
      <c r="O702" s="236"/>
      <c r="P702" s="236"/>
      <c r="Q702" s="236"/>
      <c r="R702" s="200">
        <f t="shared" si="46"/>
        <v>0</v>
      </c>
      <c r="S702" s="201"/>
      <c r="T702" s="202"/>
      <c r="U702" s="241"/>
      <c r="V702" s="241"/>
      <c r="W702" s="241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4" t="str">
        <f>IF(C703="","",VLOOKUP($B703,勘定科目!$A:$E,4,0))</f>
        <v/>
      </c>
      <c r="E703" s="240"/>
      <c r="F703" s="235"/>
      <c r="G703" s="236"/>
      <c r="H703" s="236"/>
      <c r="I703" s="236"/>
      <c r="J703" s="236"/>
      <c r="K703" s="236"/>
      <c r="L703" s="236"/>
      <c r="M703" s="236"/>
      <c r="N703" s="236"/>
      <c r="O703" s="236"/>
      <c r="P703" s="236"/>
      <c r="Q703" s="236"/>
      <c r="R703" s="200">
        <f t="shared" si="46"/>
        <v>0</v>
      </c>
      <c r="S703" s="201"/>
      <c r="T703" s="202"/>
      <c r="U703" s="241"/>
      <c r="V703" s="241"/>
      <c r="W703" s="241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4" t="str">
        <f>IF(C704="","",VLOOKUP($B704,勘定科目!$A:$E,4,0))</f>
        <v/>
      </c>
      <c r="E704" s="240"/>
      <c r="F704" s="235"/>
      <c r="G704" s="236"/>
      <c r="H704" s="236"/>
      <c r="I704" s="236"/>
      <c r="J704" s="236"/>
      <c r="K704" s="236"/>
      <c r="L704" s="236"/>
      <c r="M704" s="236"/>
      <c r="N704" s="236"/>
      <c r="O704" s="236"/>
      <c r="P704" s="236"/>
      <c r="Q704" s="236"/>
      <c r="R704" s="200">
        <f t="shared" si="46"/>
        <v>0</v>
      </c>
      <c r="S704" s="201"/>
      <c r="T704" s="202"/>
      <c r="U704" s="241"/>
      <c r="V704" s="241"/>
      <c r="W704" s="241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4" t="str">
        <f>IF(C705="","",VLOOKUP($B705,勘定科目!$A:$E,4,0))</f>
        <v/>
      </c>
      <c r="E705" s="240"/>
      <c r="F705" s="235"/>
      <c r="G705" s="236"/>
      <c r="H705" s="236"/>
      <c r="I705" s="236"/>
      <c r="J705" s="236"/>
      <c r="K705" s="236"/>
      <c r="L705" s="236"/>
      <c r="M705" s="236"/>
      <c r="N705" s="236"/>
      <c r="O705" s="236"/>
      <c r="P705" s="236"/>
      <c r="Q705" s="236"/>
      <c r="R705" s="200">
        <f t="shared" si="46"/>
        <v>0</v>
      </c>
      <c r="S705" s="201"/>
      <c r="T705" s="202"/>
      <c r="U705" s="241"/>
      <c r="V705" s="241"/>
      <c r="W705" s="241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4" t="str">
        <f>IF(C706="","",VLOOKUP($B706,勘定科目!$A:$E,4,0))</f>
        <v/>
      </c>
      <c r="E706" s="240"/>
      <c r="F706" s="235"/>
      <c r="G706" s="236"/>
      <c r="H706" s="236"/>
      <c r="I706" s="236"/>
      <c r="J706" s="236"/>
      <c r="K706" s="236"/>
      <c r="L706" s="236"/>
      <c r="M706" s="236"/>
      <c r="N706" s="236"/>
      <c r="O706" s="236"/>
      <c r="P706" s="236"/>
      <c r="Q706" s="236"/>
      <c r="R706" s="200">
        <f t="shared" si="46"/>
        <v>0</v>
      </c>
      <c r="S706" s="201"/>
      <c r="T706" s="202"/>
      <c r="U706" s="241"/>
      <c r="V706" s="241"/>
      <c r="W706" s="241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4" t="str">
        <f>IF(C707="","",VLOOKUP($B707,勘定科目!$A:$E,4,0))</f>
        <v/>
      </c>
      <c r="E707" s="240"/>
      <c r="F707" s="235"/>
      <c r="G707" s="236"/>
      <c r="H707" s="236"/>
      <c r="I707" s="236"/>
      <c r="J707" s="236"/>
      <c r="K707" s="236"/>
      <c r="L707" s="236"/>
      <c r="M707" s="236"/>
      <c r="N707" s="236"/>
      <c r="O707" s="236"/>
      <c r="P707" s="236"/>
      <c r="Q707" s="236"/>
      <c r="R707" s="200">
        <f t="shared" si="46"/>
        <v>0</v>
      </c>
      <c r="S707" s="201"/>
      <c r="T707" s="202"/>
      <c r="U707" s="241"/>
      <c r="V707" s="241"/>
      <c r="W707" s="241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4" t="str">
        <f>IF(C708="","",VLOOKUP($B708,勘定科目!$A:$E,4,0))</f>
        <v/>
      </c>
      <c r="E708" s="240"/>
      <c r="F708" s="235"/>
      <c r="G708" s="236"/>
      <c r="H708" s="236"/>
      <c r="I708" s="236"/>
      <c r="J708" s="236"/>
      <c r="K708" s="236"/>
      <c r="L708" s="236"/>
      <c r="M708" s="236"/>
      <c r="N708" s="236"/>
      <c r="O708" s="236"/>
      <c r="P708" s="236"/>
      <c r="Q708" s="236"/>
      <c r="R708" s="200">
        <f t="shared" si="46"/>
        <v>0</v>
      </c>
      <c r="S708" s="201"/>
      <c r="T708" s="202"/>
      <c r="U708" s="241"/>
      <c r="V708" s="241"/>
      <c r="W708" s="241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4" t="str">
        <f>IF(C709="","",VLOOKUP($B709,勘定科目!$A:$E,4,0))</f>
        <v/>
      </c>
      <c r="E709" s="240"/>
      <c r="F709" s="235"/>
      <c r="G709" s="236"/>
      <c r="H709" s="236"/>
      <c r="I709" s="236"/>
      <c r="J709" s="236"/>
      <c r="K709" s="236"/>
      <c r="L709" s="236"/>
      <c r="M709" s="236"/>
      <c r="N709" s="236"/>
      <c r="O709" s="236"/>
      <c r="P709" s="236"/>
      <c r="Q709" s="236"/>
      <c r="R709" s="200">
        <f t="shared" si="46"/>
        <v>0</v>
      </c>
      <c r="S709" s="201"/>
      <c r="T709" s="202"/>
      <c r="U709" s="241"/>
      <c r="V709" s="241"/>
      <c r="W709" s="241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4" t="str">
        <f>IF(C710="","",VLOOKUP($B710,勘定科目!$A:$E,4,0))</f>
        <v/>
      </c>
      <c r="E710" s="240"/>
      <c r="F710" s="235"/>
      <c r="G710" s="236"/>
      <c r="H710" s="236"/>
      <c r="I710" s="236"/>
      <c r="J710" s="236"/>
      <c r="K710" s="236"/>
      <c r="L710" s="236"/>
      <c r="M710" s="236"/>
      <c r="N710" s="236"/>
      <c r="O710" s="236"/>
      <c r="P710" s="236"/>
      <c r="Q710" s="236"/>
      <c r="R710" s="200">
        <f t="shared" si="46"/>
        <v>0</v>
      </c>
      <c r="S710" s="201"/>
      <c r="T710" s="202"/>
      <c r="U710" s="241"/>
      <c r="V710" s="241"/>
      <c r="W710" s="241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4" t="str">
        <f>IF(C711="","",VLOOKUP($B711,勘定科目!$A:$E,4,0))</f>
        <v/>
      </c>
      <c r="E711" s="240"/>
      <c r="F711" s="235"/>
      <c r="G711" s="236"/>
      <c r="H711" s="236"/>
      <c r="I711" s="236"/>
      <c r="J711" s="236"/>
      <c r="K711" s="236"/>
      <c r="L711" s="236"/>
      <c r="M711" s="236"/>
      <c r="N711" s="236"/>
      <c r="O711" s="236"/>
      <c r="P711" s="236"/>
      <c r="Q711" s="236"/>
      <c r="R711" s="200">
        <f t="shared" si="46"/>
        <v>0</v>
      </c>
      <c r="S711" s="201"/>
      <c r="T711" s="202"/>
      <c r="U711" s="241"/>
      <c r="V711" s="241"/>
      <c r="W711" s="241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4" t="str">
        <f>IF(C712="","",VLOOKUP($B712,勘定科目!$A:$E,4,0))</f>
        <v/>
      </c>
      <c r="E712" s="240"/>
      <c r="F712" s="235"/>
      <c r="G712" s="236"/>
      <c r="H712" s="236"/>
      <c r="I712" s="236"/>
      <c r="J712" s="236"/>
      <c r="K712" s="236"/>
      <c r="L712" s="236"/>
      <c r="M712" s="236"/>
      <c r="N712" s="236"/>
      <c r="O712" s="236"/>
      <c r="P712" s="236"/>
      <c r="Q712" s="236"/>
      <c r="R712" s="200">
        <f t="shared" si="46"/>
        <v>0</v>
      </c>
      <c r="S712" s="201"/>
      <c r="T712" s="202"/>
      <c r="U712" s="241"/>
      <c r="V712" s="241"/>
      <c r="W712" s="241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4" t="str">
        <f>IF(C713="","",VLOOKUP($B713,勘定科目!$A:$E,4,0))</f>
        <v/>
      </c>
      <c r="E713" s="240"/>
      <c r="F713" s="235"/>
      <c r="G713" s="236"/>
      <c r="H713" s="236"/>
      <c r="I713" s="236"/>
      <c r="J713" s="236"/>
      <c r="K713" s="236"/>
      <c r="L713" s="236"/>
      <c r="M713" s="236"/>
      <c r="N713" s="236"/>
      <c r="O713" s="236"/>
      <c r="P713" s="236"/>
      <c r="Q713" s="236"/>
      <c r="R713" s="200">
        <f t="shared" si="46"/>
        <v>0</v>
      </c>
      <c r="S713" s="201"/>
      <c r="T713" s="202"/>
      <c r="U713" s="241"/>
      <c r="V713" s="241"/>
      <c r="W713" s="241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4" t="str">
        <f>IF(C714="","",VLOOKUP($B714,勘定科目!$A:$E,4,0))</f>
        <v/>
      </c>
      <c r="E714" s="240"/>
      <c r="F714" s="235"/>
      <c r="G714" s="236"/>
      <c r="H714" s="236"/>
      <c r="I714" s="236"/>
      <c r="J714" s="236"/>
      <c r="K714" s="236"/>
      <c r="L714" s="236"/>
      <c r="M714" s="236"/>
      <c r="N714" s="236"/>
      <c r="O714" s="236"/>
      <c r="P714" s="236"/>
      <c r="Q714" s="236"/>
      <c r="R714" s="200">
        <f t="shared" si="46"/>
        <v>0</v>
      </c>
      <c r="S714" s="201"/>
      <c r="T714" s="202"/>
      <c r="U714" s="241"/>
      <c r="V714" s="241"/>
      <c r="W714" s="241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4" t="str">
        <f>IF(C715="","",VLOOKUP($B715,勘定科目!$A:$E,4,0))</f>
        <v/>
      </c>
      <c r="E715" s="240"/>
      <c r="F715" s="235"/>
      <c r="G715" s="236"/>
      <c r="H715" s="236"/>
      <c r="I715" s="236"/>
      <c r="J715" s="236"/>
      <c r="K715" s="236"/>
      <c r="L715" s="236"/>
      <c r="M715" s="236"/>
      <c r="N715" s="236"/>
      <c r="O715" s="236"/>
      <c r="P715" s="236"/>
      <c r="Q715" s="236"/>
      <c r="R715" s="200">
        <f t="shared" si="46"/>
        <v>0</v>
      </c>
      <c r="S715" s="201"/>
      <c r="T715" s="202"/>
      <c r="U715" s="241"/>
      <c r="V715" s="241"/>
      <c r="W715" s="241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4" t="str">
        <f>IF(C716="","",VLOOKUP($B716,勘定科目!$A:$E,4,0))</f>
        <v/>
      </c>
      <c r="E716" s="240"/>
      <c r="F716" s="235"/>
      <c r="G716" s="236"/>
      <c r="H716" s="236"/>
      <c r="I716" s="236"/>
      <c r="J716" s="236"/>
      <c r="K716" s="236"/>
      <c r="L716" s="236"/>
      <c r="M716" s="236"/>
      <c r="N716" s="236"/>
      <c r="O716" s="236"/>
      <c r="P716" s="236"/>
      <c r="Q716" s="236"/>
      <c r="R716" s="200">
        <f t="shared" si="46"/>
        <v>0</v>
      </c>
      <c r="S716" s="201"/>
      <c r="T716" s="202"/>
      <c r="U716" s="241"/>
      <c r="V716" s="241"/>
      <c r="W716" s="241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4" t="str">
        <f>IF(C717="","",VLOOKUP($B717,勘定科目!$A:$E,4,0))</f>
        <v/>
      </c>
      <c r="E717" s="240"/>
      <c r="F717" s="235"/>
      <c r="G717" s="236"/>
      <c r="H717" s="236"/>
      <c r="I717" s="236"/>
      <c r="J717" s="236"/>
      <c r="K717" s="236"/>
      <c r="L717" s="236"/>
      <c r="M717" s="236"/>
      <c r="N717" s="236"/>
      <c r="O717" s="236"/>
      <c r="P717" s="236"/>
      <c r="Q717" s="236"/>
      <c r="R717" s="200">
        <f t="shared" si="46"/>
        <v>0</v>
      </c>
      <c r="S717" s="201"/>
      <c r="T717" s="202"/>
      <c r="U717" s="241"/>
      <c r="V717" s="241"/>
      <c r="W717" s="241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4" t="str">
        <f>IF(C718="","",VLOOKUP($B718,勘定科目!$A:$E,4,0))</f>
        <v/>
      </c>
      <c r="E718" s="240"/>
      <c r="F718" s="235"/>
      <c r="G718" s="236"/>
      <c r="H718" s="236"/>
      <c r="I718" s="236"/>
      <c r="J718" s="236"/>
      <c r="K718" s="236"/>
      <c r="L718" s="236"/>
      <c r="M718" s="236"/>
      <c r="N718" s="236"/>
      <c r="O718" s="236"/>
      <c r="P718" s="236"/>
      <c r="Q718" s="236"/>
      <c r="R718" s="200">
        <f t="shared" si="46"/>
        <v>0</v>
      </c>
      <c r="S718" s="201"/>
      <c r="T718" s="202"/>
      <c r="U718" s="241"/>
      <c r="V718" s="241"/>
      <c r="W718" s="241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4" t="str">
        <f>IF(C719="","",VLOOKUP($B719,勘定科目!$A:$E,4,0))</f>
        <v/>
      </c>
      <c r="E719" s="240"/>
      <c r="F719" s="235"/>
      <c r="G719" s="236"/>
      <c r="H719" s="236"/>
      <c r="I719" s="236"/>
      <c r="J719" s="236"/>
      <c r="K719" s="236"/>
      <c r="L719" s="236"/>
      <c r="M719" s="236"/>
      <c r="N719" s="236"/>
      <c r="O719" s="236"/>
      <c r="P719" s="236"/>
      <c r="Q719" s="236"/>
      <c r="R719" s="200">
        <f t="shared" si="46"/>
        <v>0</v>
      </c>
      <c r="S719" s="201"/>
      <c r="T719" s="202"/>
      <c r="U719" s="241"/>
      <c r="V719" s="241"/>
      <c r="W719" s="241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4" t="str">
        <f>IF(C720="","",VLOOKUP($B720,勘定科目!$A:$E,4,0))</f>
        <v/>
      </c>
      <c r="E720" s="240"/>
      <c r="F720" s="235"/>
      <c r="G720" s="236"/>
      <c r="H720" s="236"/>
      <c r="I720" s="236"/>
      <c r="J720" s="236"/>
      <c r="K720" s="236"/>
      <c r="L720" s="236"/>
      <c r="M720" s="236"/>
      <c r="N720" s="236"/>
      <c r="O720" s="236"/>
      <c r="P720" s="236"/>
      <c r="Q720" s="236"/>
      <c r="R720" s="200">
        <f t="shared" si="46"/>
        <v>0</v>
      </c>
      <c r="S720" s="201"/>
      <c r="T720" s="202"/>
      <c r="U720" s="241"/>
      <c r="V720" s="241"/>
      <c r="W720" s="241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4" t="str">
        <f>IF(C721="","",VLOOKUP($B721,勘定科目!$A:$E,4,0))</f>
        <v/>
      </c>
      <c r="E721" s="240"/>
      <c r="F721" s="235"/>
      <c r="G721" s="236"/>
      <c r="H721" s="236"/>
      <c r="I721" s="236"/>
      <c r="J721" s="236"/>
      <c r="K721" s="236"/>
      <c r="L721" s="236"/>
      <c r="M721" s="236"/>
      <c r="N721" s="236"/>
      <c r="O721" s="236"/>
      <c r="P721" s="236"/>
      <c r="Q721" s="236"/>
      <c r="R721" s="200">
        <f t="shared" si="46"/>
        <v>0</v>
      </c>
      <c r="S721" s="201"/>
      <c r="T721" s="202"/>
      <c r="U721" s="241"/>
      <c r="V721" s="241"/>
      <c r="W721" s="241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4" t="str">
        <f>IF(C722="","",VLOOKUP($B722,勘定科目!$A:$E,4,0))</f>
        <v/>
      </c>
      <c r="E722" s="240"/>
      <c r="F722" s="235"/>
      <c r="G722" s="236"/>
      <c r="H722" s="236"/>
      <c r="I722" s="236"/>
      <c r="J722" s="236"/>
      <c r="K722" s="236"/>
      <c r="L722" s="236"/>
      <c r="M722" s="236"/>
      <c r="N722" s="236"/>
      <c r="O722" s="236"/>
      <c r="P722" s="236"/>
      <c r="Q722" s="236"/>
      <c r="R722" s="200">
        <f t="shared" si="46"/>
        <v>0</v>
      </c>
      <c r="S722" s="201"/>
      <c r="T722" s="202"/>
      <c r="U722" s="241"/>
      <c r="V722" s="241"/>
      <c r="W722" s="241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4" t="str">
        <f>IF(C723="","",VLOOKUP($B723,勘定科目!$A:$E,4,0))</f>
        <v/>
      </c>
      <c r="E723" s="240"/>
      <c r="F723" s="235"/>
      <c r="G723" s="236"/>
      <c r="H723" s="236"/>
      <c r="I723" s="236"/>
      <c r="J723" s="236"/>
      <c r="K723" s="236"/>
      <c r="L723" s="236"/>
      <c r="M723" s="236"/>
      <c r="N723" s="236"/>
      <c r="O723" s="236"/>
      <c r="P723" s="236"/>
      <c r="Q723" s="236"/>
      <c r="R723" s="200">
        <f t="shared" si="46"/>
        <v>0</v>
      </c>
      <c r="S723" s="201"/>
      <c r="T723" s="202"/>
      <c r="U723" s="241"/>
      <c r="V723" s="241"/>
      <c r="W723" s="241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4" t="str">
        <f>IF(C724="","",VLOOKUP($B724,勘定科目!$A:$E,4,0))</f>
        <v/>
      </c>
      <c r="E724" s="240"/>
      <c r="F724" s="235"/>
      <c r="G724" s="236"/>
      <c r="H724" s="236"/>
      <c r="I724" s="236"/>
      <c r="J724" s="236"/>
      <c r="K724" s="236"/>
      <c r="L724" s="236"/>
      <c r="M724" s="236"/>
      <c r="N724" s="236"/>
      <c r="O724" s="236"/>
      <c r="P724" s="236"/>
      <c r="Q724" s="236"/>
      <c r="R724" s="200">
        <f t="shared" si="46"/>
        <v>0</v>
      </c>
      <c r="S724" s="201"/>
      <c r="T724" s="202"/>
      <c r="U724" s="241"/>
      <c r="V724" s="241"/>
      <c r="W724" s="241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4" t="str">
        <f>IF(C725="","",VLOOKUP($B725,勘定科目!$A:$E,4,0))</f>
        <v/>
      </c>
      <c r="E725" s="240"/>
      <c r="F725" s="235"/>
      <c r="G725" s="236"/>
      <c r="H725" s="236"/>
      <c r="I725" s="236"/>
      <c r="J725" s="236"/>
      <c r="K725" s="236"/>
      <c r="L725" s="236"/>
      <c r="M725" s="236"/>
      <c r="N725" s="236"/>
      <c r="O725" s="236"/>
      <c r="P725" s="236"/>
      <c r="Q725" s="236"/>
      <c r="R725" s="200">
        <f t="shared" si="46"/>
        <v>0</v>
      </c>
      <c r="S725" s="201"/>
      <c r="T725" s="202"/>
      <c r="U725" s="241"/>
      <c r="V725" s="241"/>
      <c r="W725" s="241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4" t="str">
        <f>IF(C726="","",VLOOKUP($B726,勘定科目!$A:$E,4,0))</f>
        <v/>
      </c>
      <c r="E726" s="240"/>
      <c r="F726" s="235"/>
      <c r="G726" s="236"/>
      <c r="H726" s="236"/>
      <c r="I726" s="236"/>
      <c r="J726" s="236"/>
      <c r="K726" s="236"/>
      <c r="L726" s="236"/>
      <c r="M726" s="236"/>
      <c r="N726" s="236"/>
      <c r="O726" s="236"/>
      <c r="P726" s="236"/>
      <c r="Q726" s="236"/>
      <c r="R726" s="200">
        <f t="shared" si="46"/>
        <v>0</v>
      </c>
      <c r="S726" s="201"/>
      <c r="T726" s="202"/>
      <c r="U726" s="241"/>
      <c r="V726" s="241"/>
      <c r="W726" s="241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4" t="str">
        <f>IF(C727="","",VLOOKUP($B727,勘定科目!$A:$E,4,0))</f>
        <v/>
      </c>
      <c r="E727" s="240"/>
      <c r="F727" s="235"/>
      <c r="G727" s="236"/>
      <c r="H727" s="236"/>
      <c r="I727" s="236"/>
      <c r="J727" s="236"/>
      <c r="K727" s="236"/>
      <c r="L727" s="236"/>
      <c r="M727" s="236"/>
      <c r="N727" s="236"/>
      <c r="O727" s="236"/>
      <c r="P727" s="236"/>
      <c r="Q727" s="236"/>
      <c r="R727" s="200">
        <f t="shared" si="46"/>
        <v>0</v>
      </c>
      <c r="S727" s="201"/>
      <c r="T727" s="202"/>
      <c r="U727" s="241"/>
      <c r="V727" s="241"/>
      <c r="W727" s="241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4" t="str">
        <f>IF(C728="","",VLOOKUP($B728,勘定科目!$A:$E,4,0))</f>
        <v/>
      </c>
      <c r="E728" s="240"/>
      <c r="F728" s="235"/>
      <c r="G728" s="236"/>
      <c r="H728" s="236"/>
      <c r="I728" s="236"/>
      <c r="J728" s="236"/>
      <c r="K728" s="236"/>
      <c r="L728" s="236"/>
      <c r="M728" s="236"/>
      <c r="N728" s="236"/>
      <c r="O728" s="236"/>
      <c r="P728" s="236"/>
      <c r="Q728" s="236"/>
      <c r="R728" s="200">
        <f t="shared" si="46"/>
        <v>0</v>
      </c>
      <c r="S728" s="201"/>
      <c r="T728" s="202"/>
      <c r="U728" s="241"/>
      <c r="V728" s="241"/>
      <c r="W728" s="241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4" t="str">
        <f>IF(C729="","",VLOOKUP($B729,勘定科目!$A:$E,4,0))</f>
        <v/>
      </c>
      <c r="E729" s="240"/>
      <c r="F729" s="235"/>
      <c r="G729" s="236"/>
      <c r="H729" s="236"/>
      <c r="I729" s="236"/>
      <c r="J729" s="236"/>
      <c r="K729" s="236"/>
      <c r="L729" s="236"/>
      <c r="M729" s="236"/>
      <c r="N729" s="236"/>
      <c r="O729" s="236"/>
      <c r="P729" s="236"/>
      <c r="Q729" s="236"/>
      <c r="R729" s="200">
        <f t="shared" si="46"/>
        <v>0</v>
      </c>
      <c r="S729" s="201"/>
      <c r="T729" s="202"/>
      <c r="U729" s="241"/>
      <c r="V729" s="241"/>
      <c r="W729" s="241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4" t="str">
        <f>IF(C730="","",VLOOKUP($B730,勘定科目!$A:$E,4,0))</f>
        <v/>
      </c>
      <c r="E730" s="240"/>
      <c r="F730" s="235"/>
      <c r="G730" s="236"/>
      <c r="H730" s="236"/>
      <c r="I730" s="236"/>
      <c r="J730" s="236"/>
      <c r="K730" s="236"/>
      <c r="L730" s="236"/>
      <c r="M730" s="236"/>
      <c r="N730" s="236"/>
      <c r="O730" s="236"/>
      <c r="P730" s="236"/>
      <c r="Q730" s="236"/>
      <c r="R730" s="200">
        <f t="shared" si="46"/>
        <v>0</v>
      </c>
      <c r="S730" s="201"/>
      <c r="T730" s="202"/>
      <c r="U730" s="241"/>
      <c r="V730" s="241"/>
      <c r="W730" s="241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4" t="str">
        <f>IF(C731="","",VLOOKUP($B731,勘定科目!$A:$E,4,0))</f>
        <v/>
      </c>
      <c r="E731" s="240"/>
      <c r="F731" s="235"/>
      <c r="G731" s="236"/>
      <c r="H731" s="236"/>
      <c r="I731" s="236"/>
      <c r="J731" s="236"/>
      <c r="K731" s="236"/>
      <c r="L731" s="236"/>
      <c r="M731" s="236"/>
      <c r="N731" s="236"/>
      <c r="O731" s="236"/>
      <c r="P731" s="236"/>
      <c r="Q731" s="236"/>
      <c r="R731" s="200">
        <f t="shared" si="46"/>
        <v>0</v>
      </c>
      <c r="S731" s="201"/>
      <c r="T731" s="202"/>
      <c r="U731" s="241"/>
      <c r="V731" s="241"/>
      <c r="W731" s="241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4" t="str">
        <f>IF(C732="","",VLOOKUP($B732,勘定科目!$A:$E,4,0))</f>
        <v/>
      </c>
      <c r="E732" s="240"/>
      <c r="F732" s="235"/>
      <c r="G732" s="236"/>
      <c r="H732" s="236"/>
      <c r="I732" s="236"/>
      <c r="J732" s="236"/>
      <c r="K732" s="236"/>
      <c r="L732" s="236"/>
      <c r="M732" s="236"/>
      <c r="N732" s="236"/>
      <c r="O732" s="236"/>
      <c r="P732" s="236"/>
      <c r="Q732" s="236"/>
      <c r="R732" s="200">
        <f t="shared" ref="R732:R772" si="47">SUM(F732:Q732)</f>
        <v>0</v>
      </c>
      <c r="S732" s="201"/>
      <c r="T732" s="202"/>
      <c r="U732" s="241"/>
      <c r="V732" s="241"/>
      <c r="W732" s="241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4" t="str">
        <f>IF(C733="","",VLOOKUP($B733,勘定科目!$A:$E,4,0))</f>
        <v/>
      </c>
      <c r="E733" s="240"/>
      <c r="F733" s="235"/>
      <c r="G733" s="236"/>
      <c r="H733" s="236"/>
      <c r="I733" s="236"/>
      <c r="J733" s="236"/>
      <c r="K733" s="236"/>
      <c r="L733" s="236"/>
      <c r="M733" s="236"/>
      <c r="N733" s="236"/>
      <c r="O733" s="236"/>
      <c r="P733" s="236"/>
      <c r="Q733" s="236"/>
      <c r="R733" s="200">
        <f t="shared" si="47"/>
        <v>0</v>
      </c>
      <c r="S733" s="201"/>
      <c r="T733" s="202"/>
      <c r="U733" s="241"/>
      <c r="V733" s="241"/>
      <c r="W733" s="241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4" t="str">
        <f>IF(C734="","",VLOOKUP($B734,勘定科目!$A:$E,4,0))</f>
        <v/>
      </c>
      <c r="E734" s="240"/>
      <c r="F734" s="235"/>
      <c r="G734" s="236"/>
      <c r="H734" s="236"/>
      <c r="I734" s="236"/>
      <c r="J734" s="236"/>
      <c r="K734" s="236"/>
      <c r="L734" s="236"/>
      <c r="M734" s="236"/>
      <c r="N734" s="236"/>
      <c r="O734" s="236"/>
      <c r="P734" s="236"/>
      <c r="Q734" s="236"/>
      <c r="R734" s="200">
        <f t="shared" si="47"/>
        <v>0</v>
      </c>
      <c r="S734" s="201"/>
      <c r="T734" s="202"/>
      <c r="U734" s="241"/>
      <c r="V734" s="241"/>
      <c r="W734" s="241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4" t="str">
        <f>IF(C735="","",VLOOKUP($B735,勘定科目!$A:$E,4,0))</f>
        <v/>
      </c>
      <c r="E735" s="240"/>
      <c r="F735" s="235"/>
      <c r="G735" s="236"/>
      <c r="H735" s="236"/>
      <c r="I735" s="236"/>
      <c r="J735" s="236"/>
      <c r="K735" s="236"/>
      <c r="L735" s="236"/>
      <c r="M735" s="236"/>
      <c r="N735" s="236"/>
      <c r="O735" s="236"/>
      <c r="P735" s="236"/>
      <c r="Q735" s="236"/>
      <c r="R735" s="200">
        <f t="shared" si="47"/>
        <v>0</v>
      </c>
      <c r="S735" s="201"/>
      <c r="T735" s="202"/>
      <c r="U735" s="241"/>
      <c r="V735" s="241"/>
      <c r="W735" s="241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4" t="str">
        <f>IF(C736="","",VLOOKUP($B736,勘定科目!$A:$E,4,0))</f>
        <v/>
      </c>
      <c r="E736" s="240"/>
      <c r="F736" s="235"/>
      <c r="G736" s="236"/>
      <c r="H736" s="236"/>
      <c r="I736" s="236"/>
      <c r="J736" s="236"/>
      <c r="K736" s="236"/>
      <c r="L736" s="236"/>
      <c r="M736" s="236"/>
      <c r="N736" s="236"/>
      <c r="O736" s="236"/>
      <c r="P736" s="236"/>
      <c r="Q736" s="236"/>
      <c r="R736" s="200">
        <f t="shared" si="47"/>
        <v>0</v>
      </c>
      <c r="S736" s="201"/>
      <c r="T736" s="202"/>
      <c r="U736" s="241"/>
      <c r="V736" s="241"/>
      <c r="W736" s="241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4" t="str">
        <f>IF(C737="","",VLOOKUP($B737,勘定科目!$A:$E,4,0))</f>
        <v/>
      </c>
      <c r="E737" s="240"/>
      <c r="F737" s="235"/>
      <c r="G737" s="236"/>
      <c r="H737" s="236"/>
      <c r="I737" s="236"/>
      <c r="J737" s="236"/>
      <c r="K737" s="236"/>
      <c r="L737" s="236"/>
      <c r="M737" s="236"/>
      <c r="N737" s="236"/>
      <c r="O737" s="236"/>
      <c r="P737" s="236"/>
      <c r="Q737" s="236"/>
      <c r="R737" s="200">
        <f t="shared" si="47"/>
        <v>0</v>
      </c>
      <c r="S737" s="201"/>
      <c r="T737" s="202"/>
      <c r="U737" s="241"/>
      <c r="V737" s="241"/>
      <c r="W737" s="241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4" t="str">
        <f>IF(C738="","",VLOOKUP($B738,勘定科目!$A:$E,4,0))</f>
        <v/>
      </c>
      <c r="E738" s="240"/>
      <c r="F738" s="235"/>
      <c r="G738" s="236"/>
      <c r="H738" s="236"/>
      <c r="I738" s="236"/>
      <c r="J738" s="236"/>
      <c r="K738" s="236"/>
      <c r="L738" s="236"/>
      <c r="M738" s="236"/>
      <c r="N738" s="236"/>
      <c r="O738" s="236"/>
      <c r="P738" s="236"/>
      <c r="Q738" s="236"/>
      <c r="R738" s="200">
        <f t="shared" si="47"/>
        <v>0</v>
      </c>
      <c r="S738" s="201"/>
      <c r="T738" s="202"/>
      <c r="U738" s="241"/>
      <c r="V738" s="241"/>
      <c r="W738" s="241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4" t="str">
        <f>IF(C739="","",VLOOKUP($B739,勘定科目!$A:$E,4,0))</f>
        <v/>
      </c>
      <c r="E739" s="240"/>
      <c r="F739" s="235"/>
      <c r="G739" s="236"/>
      <c r="H739" s="236"/>
      <c r="I739" s="236"/>
      <c r="J739" s="236"/>
      <c r="K739" s="236"/>
      <c r="L739" s="236"/>
      <c r="M739" s="236"/>
      <c r="N739" s="236"/>
      <c r="O739" s="236"/>
      <c r="P739" s="236"/>
      <c r="Q739" s="236"/>
      <c r="R739" s="200">
        <f t="shared" si="47"/>
        <v>0</v>
      </c>
      <c r="S739" s="201"/>
      <c r="T739" s="202"/>
      <c r="U739" s="241"/>
      <c r="V739" s="241"/>
      <c r="W739" s="241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4" t="str">
        <f>IF(C740="","",VLOOKUP($B740,勘定科目!$A:$E,4,0))</f>
        <v/>
      </c>
      <c r="E740" s="240"/>
      <c r="F740" s="235"/>
      <c r="G740" s="236"/>
      <c r="H740" s="236"/>
      <c r="I740" s="236"/>
      <c r="J740" s="236"/>
      <c r="K740" s="236"/>
      <c r="L740" s="236"/>
      <c r="M740" s="236"/>
      <c r="N740" s="236"/>
      <c r="O740" s="236"/>
      <c r="P740" s="236"/>
      <c r="Q740" s="236"/>
      <c r="R740" s="200">
        <f t="shared" si="47"/>
        <v>0</v>
      </c>
      <c r="S740" s="201"/>
      <c r="T740" s="202"/>
      <c r="U740" s="241"/>
      <c r="V740" s="241"/>
      <c r="W740" s="241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4" t="str">
        <f>IF(C741="","",VLOOKUP($B741,勘定科目!$A:$E,4,0))</f>
        <v/>
      </c>
      <c r="E741" s="240"/>
      <c r="F741" s="235"/>
      <c r="G741" s="236"/>
      <c r="H741" s="236"/>
      <c r="I741" s="236"/>
      <c r="J741" s="236"/>
      <c r="K741" s="236"/>
      <c r="L741" s="236"/>
      <c r="M741" s="236"/>
      <c r="N741" s="236"/>
      <c r="O741" s="236"/>
      <c r="P741" s="236"/>
      <c r="Q741" s="236"/>
      <c r="R741" s="200">
        <f t="shared" si="47"/>
        <v>0</v>
      </c>
      <c r="S741" s="201"/>
      <c r="T741" s="202"/>
      <c r="U741" s="241"/>
      <c r="V741" s="241"/>
      <c r="W741" s="241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4" t="str">
        <f>IF(C742="","",VLOOKUP($B742,勘定科目!$A:$E,4,0))</f>
        <v/>
      </c>
      <c r="E742" s="240"/>
      <c r="F742" s="235"/>
      <c r="G742" s="236"/>
      <c r="H742" s="236"/>
      <c r="I742" s="236"/>
      <c r="J742" s="236"/>
      <c r="K742" s="236"/>
      <c r="L742" s="236"/>
      <c r="M742" s="236"/>
      <c r="N742" s="236"/>
      <c r="O742" s="236"/>
      <c r="P742" s="236"/>
      <c r="Q742" s="236"/>
      <c r="R742" s="200">
        <f t="shared" si="47"/>
        <v>0</v>
      </c>
      <c r="S742" s="201"/>
      <c r="T742" s="202"/>
      <c r="U742" s="241"/>
      <c r="V742" s="241"/>
      <c r="W742" s="241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4" t="str">
        <f>IF(C743="","",VLOOKUP($B743,勘定科目!$A:$E,4,0))</f>
        <v/>
      </c>
      <c r="E743" s="240"/>
      <c r="F743" s="235"/>
      <c r="G743" s="236"/>
      <c r="H743" s="236"/>
      <c r="I743" s="236"/>
      <c r="J743" s="236"/>
      <c r="K743" s="236"/>
      <c r="L743" s="236"/>
      <c r="M743" s="236"/>
      <c r="N743" s="236"/>
      <c r="O743" s="236"/>
      <c r="P743" s="236"/>
      <c r="Q743" s="236"/>
      <c r="R743" s="200">
        <f t="shared" si="47"/>
        <v>0</v>
      </c>
      <c r="S743" s="201"/>
      <c r="T743" s="202"/>
      <c r="U743" s="241"/>
      <c r="V743" s="241"/>
      <c r="W743" s="241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4" t="str">
        <f>IF(C744="","",VLOOKUP($B744,勘定科目!$A:$E,4,0))</f>
        <v/>
      </c>
      <c r="E744" s="240"/>
      <c r="F744" s="235"/>
      <c r="G744" s="236"/>
      <c r="H744" s="236"/>
      <c r="I744" s="236"/>
      <c r="J744" s="236"/>
      <c r="K744" s="236"/>
      <c r="L744" s="236"/>
      <c r="M744" s="236"/>
      <c r="N744" s="236"/>
      <c r="O744" s="236"/>
      <c r="P744" s="236"/>
      <c r="Q744" s="236"/>
      <c r="R744" s="200">
        <f t="shared" si="47"/>
        <v>0</v>
      </c>
      <c r="S744" s="201"/>
      <c r="T744" s="202"/>
      <c r="U744" s="241"/>
      <c r="V744" s="241"/>
      <c r="W744" s="241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4" t="str">
        <f>IF(C745="","",VLOOKUP($B745,勘定科目!$A:$E,4,0))</f>
        <v/>
      </c>
      <c r="E745" s="240"/>
      <c r="F745" s="235"/>
      <c r="G745" s="236"/>
      <c r="H745" s="236"/>
      <c r="I745" s="236"/>
      <c r="J745" s="236"/>
      <c r="K745" s="236"/>
      <c r="L745" s="236"/>
      <c r="M745" s="236"/>
      <c r="N745" s="236"/>
      <c r="O745" s="236"/>
      <c r="P745" s="236"/>
      <c r="Q745" s="236"/>
      <c r="R745" s="200">
        <f t="shared" si="47"/>
        <v>0</v>
      </c>
      <c r="S745" s="201"/>
      <c r="T745" s="202"/>
      <c r="U745" s="241"/>
      <c r="V745" s="241"/>
      <c r="W745" s="241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4" t="str">
        <f>IF(C746="","",VLOOKUP($B746,勘定科目!$A:$E,4,0))</f>
        <v/>
      </c>
      <c r="E746" s="240"/>
      <c r="F746" s="235"/>
      <c r="G746" s="236"/>
      <c r="H746" s="236"/>
      <c r="I746" s="236"/>
      <c r="J746" s="236"/>
      <c r="K746" s="236"/>
      <c r="L746" s="236"/>
      <c r="M746" s="236"/>
      <c r="N746" s="236"/>
      <c r="O746" s="236"/>
      <c r="P746" s="236"/>
      <c r="Q746" s="236"/>
      <c r="R746" s="200">
        <f t="shared" si="47"/>
        <v>0</v>
      </c>
      <c r="S746" s="201"/>
      <c r="T746" s="202"/>
      <c r="U746" s="241"/>
      <c r="V746" s="241"/>
      <c r="W746" s="241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4" t="str">
        <f>IF(C747="","",VLOOKUP($B747,勘定科目!$A:$E,4,0))</f>
        <v/>
      </c>
      <c r="E747" s="240"/>
      <c r="F747" s="235"/>
      <c r="G747" s="236"/>
      <c r="H747" s="236"/>
      <c r="I747" s="236"/>
      <c r="J747" s="236"/>
      <c r="K747" s="236"/>
      <c r="L747" s="236"/>
      <c r="M747" s="236"/>
      <c r="N747" s="236"/>
      <c r="O747" s="236"/>
      <c r="P747" s="236"/>
      <c r="Q747" s="236"/>
      <c r="R747" s="200">
        <f t="shared" si="47"/>
        <v>0</v>
      </c>
      <c r="S747" s="201"/>
      <c r="T747" s="202"/>
      <c r="U747" s="241"/>
      <c r="V747" s="241"/>
      <c r="W747" s="241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4" t="str">
        <f>IF(C748="","",VLOOKUP($B748,勘定科目!$A:$E,4,0))</f>
        <v/>
      </c>
      <c r="E748" s="240"/>
      <c r="F748" s="235"/>
      <c r="G748" s="236"/>
      <c r="H748" s="236"/>
      <c r="I748" s="236"/>
      <c r="J748" s="236"/>
      <c r="K748" s="236"/>
      <c r="L748" s="236"/>
      <c r="M748" s="236"/>
      <c r="N748" s="236"/>
      <c r="O748" s="236"/>
      <c r="P748" s="236"/>
      <c r="Q748" s="236"/>
      <c r="R748" s="200">
        <f t="shared" si="47"/>
        <v>0</v>
      </c>
      <c r="S748" s="201"/>
      <c r="T748" s="202"/>
      <c r="U748" s="241"/>
      <c r="V748" s="241"/>
      <c r="W748" s="241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4" t="str">
        <f>IF(C749="","",VLOOKUP($B749,勘定科目!$A:$E,4,0))</f>
        <v/>
      </c>
      <c r="E749" s="240"/>
      <c r="F749" s="235"/>
      <c r="G749" s="236"/>
      <c r="H749" s="236"/>
      <c r="I749" s="236"/>
      <c r="J749" s="236"/>
      <c r="K749" s="236"/>
      <c r="L749" s="236"/>
      <c r="M749" s="236"/>
      <c r="N749" s="236"/>
      <c r="O749" s="236"/>
      <c r="P749" s="236"/>
      <c r="Q749" s="236"/>
      <c r="R749" s="200">
        <f t="shared" si="47"/>
        <v>0</v>
      </c>
      <c r="S749" s="201"/>
      <c r="T749" s="202"/>
      <c r="U749" s="241"/>
      <c r="V749" s="241"/>
      <c r="W749" s="241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4" t="str">
        <f>IF(C750="","",VLOOKUP($B750,勘定科目!$A:$E,4,0))</f>
        <v/>
      </c>
      <c r="E750" s="240"/>
      <c r="F750" s="235"/>
      <c r="G750" s="236"/>
      <c r="H750" s="236"/>
      <c r="I750" s="236"/>
      <c r="J750" s="236"/>
      <c r="K750" s="236"/>
      <c r="L750" s="236"/>
      <c r="M750" s="236"/>
      <c r="N750" s="236"/>
      <c r="O750" s="236"/>
      <c r="P750" s="236"/>
      <c r="Q750" s="236"/>
      <c r="R750" s="200">
        <f t="shared" si="47"/>
        <v>0</v>
      </c>
      <c r="S750" s="201"/>
      <c r="T750" s="202"/>
      <c r="U750" s="241"/>
      <c r="V750" s="241"/>
      <c r="W750" s="241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4" t="str">
        <f>IF(C751="","",VLOOKUP($B751,勘定科目!$A:$E,4,0))</f>
        <v/>
      </c>
      <c r="E751" s="240"/>
      <c r="F751" s="235"/>
      <c r="G751" s="236"/>
      <c r="H751" s="236"/>
      <c r="I751" s="236"/>
      <c r="J751" s="236"/>
      <c r="K751" s="236"/>
      <c r="L751" s="236"/>
      <c r="M751" s="236"/>
      <c r="N751" s="236"/>
      <c r="O751" s="236"/>
      <c r="P751" s="236"/>
      <c r="Q751" s="236"/>
      <c r="R751" s="200">
        <f t="shared" si="47"/>
        <v>0</v>
      </c>
      <c r="S751" s="201"/>
      <c r="T751" s="202"/>
      <c r="U751" s="241"/>
      <c r="V751" s="241"/>
      <c r="W751" s="241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4" t="str">
        <f>IF(C752="","",VLOOKUP($B752,勘定科目!$A:$E,4,0))</f>
        <v/>
      </c>
      <c r="E752" s="240"/>
      <c r="F752" s="235"/>
      <c r="G752" s="236"/>
      <c r="H752" s="236"/>
      <c r="I752" s="236"/>
      <c r="J752" s="236"/>
      <c r="K752" s="236"/>
      <c r="L752" s="236"/>
      <c r="M752" s="236"/>
      <c r="N752" s="236"/>
      <c r="O752" s="236"/>
      <c r="P752" s="236"/>
      <c r="Q752" s="236"/>
      <c r="R752" s="200">
        <f t="shared" si="47"/>
        <v>0</v>
      </c>
      <c r="S752" s="201"/>
      <c r="T752" s="202"/>
      <c r="U752" s="241"/>
      <c r="V752" s="241"/>
      <c r="W752" s="241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4" t="str">
        <f>IF(C753="","",VLOOKUP($B753,勘定科目!$A:$E,4,0))</f>
        <v/>
      </c>
      <c r="E753" s="240"/>
      <c r="F753" s="235"/>
      <c r="G753" s="236"/>
      <c r="H753" s="236"/>
      <c r="I753" s="236"/>
      <c r="J753" s="236"/>
      <c r="K753" s="236"/>
      <c r="L753" s="236"/>
      <c r="M753" s="236"/>
      <c r="N753" s="236"/>
      <c r="O753" s="236"/>
      <c r="P753" s="236"/>
      <c r="Q753" s="236"/>
      <c r="R753" s="200">
        <f t="shared" si="47"/>
        <v>0</v>
      </c>
      <c r="S753" s="201"/>
      <c r="T753" s="202"/>
      <c r="U753" s="241"/>
      <c r="V753" s="241"/>
      <c r="W753" s="241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4" t="str">
        <f>IF(C754="","",VLOOKUP($B754,勘定科目!$A:$E,4,0))</f>
        <v/>
      </c>
      <c r="E754" s="240"/>
      <c r="F754" s="235"/>
      <c r="G754" s="236"/>
      <c r="H754" s="236"/>
      <c r="I754" s="236"/>
      <c r="J754" s="236"/>
      <c r="K754" s="236"/>
      <c r="L754" s="236"/>
      <c r="M754" s="236"/>
      <c r="N754" s="236"/>
      <c r="O754" s="236"/>
      <c r="P754" s="236"/>
      <c r="Q754" s="236"/>
      <c r="R754" s="200">
        <f t="shared" si="47"/>
        <v>0</v>
      </c>
      <c r="S754" s="201"/>
      <c r="T754" s="202"/>
      <c r="U754" s="241"/>
      <c r="V754" s="241"/>
      <c r="W754" s="241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4" t="str">
        <f>IF(C755="","",VLOOKUP($B755,勘定科目!$A:$E,4,0))</f>
        <v/>
      </c>
      <c r="E755" s="240"/>
      <c r="F755" s="235"/>
      <c r="G755" s="236"/>
      <c r="H755" s="236"/>
      <c r="I755" s="236"/>
      <c r="J755" s="236"/>
      <c r="K755" s="236"/>
      <c r="L755" s="236"/>
      <c r="M755" s="236"/>
      <c r="N755" s="236"/>
      <c r="O755" s="236"/>
      <c r="P755" s="236"/>
      <c r="Q755" s="236"/>
      <c r="R755" s="200">
        <f t="shared" si="47"/>
        <v>0</v>
      </c>
      <c r="S755" s="201"/>
      <c r="T755" s="202"/>
      <c r="U755" s="241"/>
      <c r="V755" s="241"/>
      <c r="W755" s="241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4" t="str">
        <f>IF(C756="","",VLOOKUP($B756,勘定科目!$A:$E,4,0))</f>
        <v/>
      </c>
      <c r="E756" s="240"/>
      <c r="F756" s="235"/>
      <c r="G756" s="236"/>
      <c r="H756" s="236"/>
      <c r="I756" s="236"/>
      <c r="J756" s="236"/>
      <c r="K756" s="236"/>
      <c r="L756" s="236"/>
      <c r="M756" s="236"/>
      <c r="N756" s="236"/>
      <c r="O756" s="236"/>
      <c r="P756" s="236"/>
      <c r="Q756" s="236"/>
      <c r="R756" s="200">
        <f t="shared" si="47"/>
        <v>0</v>
      </c>
      <c r="S756" s="201"/>
      <c r="T756" s="202"/>
      <c r="U756" s="241"/>
      <c r="V756" s="241"/>
      <c r="W756" s="241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4" t="str">
        <f>IF(C757="","",VLOOKUP($B757,勘定科目!$A:$E,4,0))</f>
        <v/>
      </c>
      <c r="E757" s="240"/>
      <c r="F757" s="235"/>
      <c r="G757" s="236"/>
      <c r="H757" s="236"/>
      <c r="I757" s="236"/>
      <c r="J757" s="236"/>
      <c r="K757" s="236"/>
      <c r="L757" s="236"/>
      <c r="M757" s="236"/>
      <c r="N757" s="236"/>
      <c r="O757" s="236"/>
      <c r="P757" s="236"/>
      <c r="Q757" s="236"/>
      <c r="R757" s="200">
        <f t="shared" si="47"/>
        <v>0</v>
      </c>
      <c r="S757" s="201"/>
      <c r="T757" s="202"/>
      <c r="U757" s="241"/>
      <c r="V757" s="241"/>
      <c r="W757" s="241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4" t="str">
        <f>IF(C758="","",VLOOKUP($B758,勘定科目!$A:$E,4,0))</f>
        <v/>
      </c>
      <c r="E758" s="240"/>
      <c r="F758" s="235"/>
      <c r="G758" s="236"/>
      <c r="H758" s="236"/>
      <c r="I758" s="236"/>
      <c r="J758" s="236"/>
      <c r="K758" s="236"/>
      <c r="L758" s="236"/>
      <c r="M758" s="236"/>
      <c r="N758" s="236"/>
      <c r="O758" s="236"/>
      <c r="P758" s="236"/>
      <c r="Q758" s="236"/>
      <c r="R758" s="200">
        <f t="shared" si="47"/>
        <v>0</v>
      </c>
      <c r="S758" s="201"/>
      <c r="T758" s="202"/>
      <c r="U758" s="241"/>
      <c r="V758" s="241"/>
      <c r="W758" s="241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4" t="str">
        <f>IF(C759="","",VLOOKUP($B759,勘定科目!$A:$E,4,0))</f>
        <v/>
      </c>
      <c r="E759" s="240"/>
      <c r="F759" s="235"/>
      <c r="G759" s="236"/>
      <c r="H759" s="236"/>
      <c r="I759" s="236"/>
      <c r="J759" s="236"/>
      <c r="K759" s="236"/>
      <c r="L759" s="236"/>
      <c r="M759" s="236"/>
      <c r="N759" s="236"/>
      <c r="O759" s="236"/>
      <c r="P759" s="236"/>
      <c r="Q759" s="236"/>
      <c r="R759" s="200">
        <f t="shared" si="47"/>
        <v>0</v>
      </c>
      <c r="S759" s="201"/>
      <c r="T759" s="202"/>
      <c r="U759" s="241"/>
      <c r="V759" s="241"/>
      <c r="W759" s="241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4" t="str">
        <f>IF(C760="","",VLOOKUP($B760,勘定科目!$A:$E,4,0))</f>
        <v/>
      </c>
      <c r="E760" s="240"/>
      <c r="F760" s="235"/>
      <c r="G760" s="236"/>
      <c r="H760" s="236"/>
      <c r="I760" s="236"/>
      <c r="J760" s="236"/>
      <c r="K760" s="236"/>
      <c r="L760" s="236"/>
      <c r="M760" s="236"/>
      <c r="N760" s="236"/>
      <c r="O760" s="236"/>
      <c r="P760" s="236"/>
      <c r="Q760" s="236"/>
      <c r="R760" s="200">
        <f t="shared" si="47"/>
        <v>0</v>
      </c>
      <c r="S760" s="201"/>
      <c r="T760" s="202"/>
      <c r="U760" s="241"/>
      <c r="V760" s="241"/>
      <c r="W760" s="241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4" t="str">
        <f>IF(C761="","",VLOOKUP($B761,勘定科目!$A:$E,4,0))</f>
        <v/>
      </c>
      <c r="E761" s="240"/>
      <c r="F761" s="235"/>
      <c r="G761" s="236"/>
      <c r="H761" s="236"/>
      <c r="I761" s="236"/>
      <c r="J761" s="236"/>
      <c r="K761" s="236"/>
      <c r="L761" s="236"/>
      <c r="M761" s="236"/>
      <c r="N761" s="236"/>
      <c r="O761" s="236"/>
      <c r="P761" s="236"/>
      <c r="Q761" s="236"/>
      <c r="R761" s="200">
        <f t="shared" si="47"/>
        <v>0</v>
      </c>
      <c r="S761" s="201"/>
      <c r="T761" s="202"/>
      <c r="U761" s="241"/>
      <c r="V761" s="241"/>
      <c r="W761" s="241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4" t="str">
        <f>IF(C762="","",VLOOKUP($B762,勘定科目!$A:$E,4,0))</f>
        <v/>
      </c>
      <c r="E762" s="240"/>
      <c r="F762" s="235"/>
      <c r="G762" s="236"/>
      <c r="H762" s="236"/>
      <c r="I762" s="236"/>
      <c r="J762" s="236"/>
      <c r="K762" s="236"/>
      <c r="L762" s="236"/>
      <c r="M762" s="236"/>
      <c r="N762" s="236"/>
      <c r="O762" s="236"/>
      <c r="P762" s="236"/>
      <c r="Q762" s="236"/>
      <c r="R762" s="200">
        <f t="shared" si="47"/>
        <v>0</v>
      </c>
      <c r="S762" s="201"/>
      <c r="T762" s="202"/>
      <c r="U762" s="241"/>
      <c r="V762" s="241"/>
      <c r="W762" s="241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4" t="str">
        <f>IF(C763="","",VLOOKUP($B763,勘定科目!$A:$E,4,0))</f>
        <v/>
      </c>
      <c r="E763" s="240"/>
      <c r="F763" s="235"/>
      <c r="G763" s="236"/>
      <c r="H763" s="236"/>
      <c r="I763" s="236"/>
      <c r="J763" s="236"/>
      <c r="K763" s="236"/>
      <c r="L763" s="236"/>
      <c r="M763" s="236"/>
      <c r="N763" s="236"/>
      <c r="O763" s="236"/>
      <c r="P763" s="236"/>
      <c r="Q763" s="236"/>
      <c r="R763" s="200">
        <f t="shared" si="47"/>
        <v>0</v>
      </c>
      <c r="S763" s="201"/>
      <c r="T763" s="202"/>
      <c r="U763" s="241"/>
      <c r="V763" s="241"/>
      <c r="W763" s="241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4" t="str">
        <f>IF(C764="","",VLOOKUP($B764,勘定科目!$A:$E,4,0))</f>
        <v/>
      </c>
      <c r="E764" s="240"/>
      <c r="F764" s="235"/>
      <c r="G764" s="236"/>
      <c r="H764" s="236"/>
      <c r="I764" s="236"/>
      <c r="J764" s="236"/>
      <c r="K764" s="236"/>
      <c r="L764" s="236"/>
      <c r="M764" s="236"/>
      <c r="N764" s="236"/>
      <c r="O764" s="236"/>
      <c r="P764" s="236"/>
      <c r="Q764" s="236"/>
      <c r="R764" s="200">
        <f t="shared" si="47"/>
        <v>0</v>
      </c>
      <c r="S764" s="201"/>
      <c r="T764" s="202"/>
      <c r="U764" s="241"/>
      <c r="V764" s="241"/>
      <c r="W764" s="241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4" t="str">
        <f>IF(C765="","",VLOOKUP($B765,勘定科目!$A:$E,4,0))</f>
        <v/>
      </c>
      <c r="E765" s="240"/>
      <c r="F765" s="235"/>
      <c r="G765" s="236"/>
      <c r="H765" s="236"/>
      <c r="I765" s="236"/>
      <c r="J765" s="236"/>
      <c r="K765" s="236"/>
      <c r="L765" s="236"/>
      <c r="M765" s="236"/>
      <c r="N765" s="236"/>
      <c r="O765" s="236"/>
      <c r="P765" s="236"/>
      <c r="Q765" s="236"/>
      <c r="R765" s="200">
        <f t="shared" si="47"/>
        <v>0</v>
      </c>
      <c r="S765" s="201"/>
      <c r="T765" s="202"/>
      <c r="U765" s="241"/>
      <c r="V765" s="241"/>
      <c r="W765" s="241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4" t="str">
        <f>IF(C766="","",VLOOKUP($B766,勘定科目!$A:$E,4,0))</f>
        <v/>
      </c>
      <c r="E766" s="240"/>
      <c r="F766" s="235"/>
      <c r="G766" s="236"/>
      <c r="H766" s="236"/>
      <c r="I766" s="236"/>
      <c r="J766" s="236"/>
      <c r="K766" s="236"/>
      <c r="L766" s="236"/>
      <c r="M766" s="236"/>
      <c r="N766" s="236"/>
      <c r="O766" s="236"/>
      <c r="P766" s="236"/>
      <c r="Q766" s="236"/>
      <c r="R766" s="200">
        <f t="shared" si="47"/>
        <v>0</v>
      </c>
      <c r="S766" s="201"/>
      <c r="T766" s="202"/>
      <c r="U766" s="241"/>
      <c r="V766" s="241"/>
      <c r="W766" s="241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4" t="str">
        <f>IF(C767="","",VLOOKUP($B767,勘定科目!$A:$E,4,0))</f>
        <v/>
      </c>
      <c r="E767" s="240"/>
      <c r="F767" s="235"/>
      <c r="G767" s="236"/>
      <c r="H767" s="236"/>
      <c r="I767" s="236"/>
      <c r="J767" s="236"/>
      <c r="K767" s="236"/>
      <c r="L767" s="236"/>
      <c r="M767" s="236"/>
      <c r="N767" s="236"/>
      <c r="O767" s="236"/>
      <c r="P767" s="236"/>
      <c r="Q767" s="236"/>
      <c r="R767" s="200">
        <f t="shared" si="47"/>
        <v>0</v>
      </c>
      <c r="S767" s="201"/>
      <c r="T767" s="202"/>
      <c r="U767" s="241"/>
      <c r="V767" s="241"/>
      <c r="W767" s="241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4" t="str">
        <f>IF(C768="","",VLOOKUP($B768,勘定科目!$A:$E,4,0))</f>
        <v/>
      </c>
      <c r="E768" s="240"/>
      <c r="F768" s="235"/>
      <c r="G768" s="236"/>
      <c r="H768" s="236"/>
      <c r="I768" s="236"/>
      <c r="J768" s="236"/>
      <c r="K768" s="236"/>
      <c r="L768" s="236"/>
      <c r="M768" s="236"/>
      <c r="N768" s="236"/>
      <c r="O768" s="236"/>
      <c r="P768" s="236"/>
      <c r="Q768" s="236"/>
      <c r="R768" s="200">
        <f t="shared" si="47"/>
        <v>0</v>
      </c>
      <c r="S768" s="201"/>
      <c r="T768" s="202"/>
      <c r="U768" s="241"/>
      <c r="V768" s="241"/>
      <c r="W768" s="241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4" t="str">
        <f>IF(C769="","",VLOOKUP($B769,勘定科目!$A:$E,4,0))</f>
        <v/>
      </c>
      <c r="E769" s="240"/>
      <c r="F769" s="235"/>
      <c r="G769" s="236"/>
      <c r="H769" s="236"/>
      <c r="I769" s="236"/>
      <c r="J769" s="236"/>
      <c r="K769" s="236"/>
      <c r="L769" s="236"/>
      <c r="M769" s="236"/>
      <c r="N769" s="236"/>
      <c r="O769" s="236"/>
      <c r="P769" s="236"/>
      <c r="Q769" s="236"/>
      <c r="R769" s="200">
        <f t="shared" si="47"/>
        <v>0</v>
      </c>
      <c r="S769" s="201"/>
      <c r="T769" s="202"/>
      <c r="U769" s="241"/>
      <c r="V769" s="241"/>
      <c r="W769" s="241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4" t="str">
        <f>IF(C770="","",VLOOKUP($B770,勘定科目!$A:$E,4,0))</f>
        <v/>
      </c>
      <c r="E770" s="240"/>
      <c r="F770" s="235"/>
      <c r="G770" s="236"/>
      <c r="H770" s="236"/>
      <c r="I770" s="236"/>
      <c r="J770" s="236"/>
      <c r="K770" s="236"/>
      <c r="L770" s="236"/>
      <c r="M770" s="236"/>
      <c r="N770" s="236"/>
      <c r="O770" s="236"/>
      <c r="P770" s="236"/>
      <c r="Q770" s="236"/>
      <c r="R770" s="200">
        <f t="shared" si="47"/>
        <v>0</v>
      </c>
      <c r="S770" s="201"/>
      <c r="T770" s="202"/>
      <c r="U770" s="241"/>
      <c r="V770" s="241"/>
      <c r="W770" s="241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4" t="str">
        <f>IF(C771="","",VLOOKUP($B771,勘定科目!$A:$E,4,0))</f>
        <v/>
      </c>
      <c r="E771" s="240"/>
      <c r="F771" s="235"/>
      <c r="G771" s="236"/>
      <c r="H771" s="236"/>
      <c r="I771" s="236"/>
      <c r="J771" s="236"/>
      <c r="K771" s="236"/>
      <c r="L771" s="236"/>
      <c r="M771" s="236"/>
      <c r="N771" s="236"/>
      <c r="O771" s="236"/>
      <c r="P771" s="236"/>
      <c r="Q771" s="236"/>
      <c r="R771" s="200">
        <f t="shared" si="47"/>
        <v>0</v>
      </c>
      <c r="S771" s="201"/>
      <c r="T771" s="202"/>
      <c r="U771" s="241"/>
      <c r="V771" s="241"/>
      <c r="W771" s="241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4" t="str">
        <f>IF(C772="","",VLOOKUP($B772,勘定科目!$A:$E,4,0))</f>
        <v/>
      </c>
      <c r="E772" s="240"/>
      <c r="F772" s="235"/>
      <c r="G772" s="236"/>
      <c r="H772" s="236"/>
      <c r="I772" s="236"/>
      <c r="J772" s="236"/>
      <c r="K772" s="236"/>
      <c r="L772" s="236"/>
      <c r="M772" s="236"/>
      <c r="N772" s="236"/>
      <c r="O772" s="236"/>
      <c r="P772" s="236"/>
      <c r="Q772" s="236"/>
      <c r="R772" s="200">
        <f t="shared" si="47"/>
        <v>0</v>
      </c>
      <c r="S772" s="201"/>
      <c r="T772" s="202"/>
      <c r="U772" s="241"/>
      <c r="V772" s="241"/>
      <c r="W772" s="241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4" t="str">
        <f>IF(C773="","",VLOOKUP($B773,勘定科目!$A:$E,4,0))</f>
        <v/>
      </c>
      <c r="E773" s="240"/>
      <c r="F773" s="305"/>
      <c r="G773" s="303"/>
      <c r="H773" s="303"/>
      <c r="I773" s="303"/>
      <c r="J773" s="303"/>
      <c r="K773" s="291"/>
      <c r="L773" s="291"/>
      <c r="M773" s="291"/>
      <c r="N773" s="291"/>
      <c r="O773" s="291"/>
      <c r="P773" s="291"/>
      <c r="Q773" s="291"/>
      <c r="R773" s="304"/>
      <c r="S773" s="201"/>
      <c r="T773" s="202"/>
      <c r="U773" s="241"/>
      <c r="V773" s="241"/>
      <c r="W773" s="241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4" t="str">
        <f>IF(C774="","",VLOOKUP($B774,勘定科目!$A:$E,4,0))</f>
        <v/>
      </c>
      <c r="E774" s="240"/>
      <c r="F774" s="291"/>
      <c r="G774" s="298"/>
      <c r="H774" s="298"/>
      <c r="I774" s="298"/>
      <c r="J774" s="298"/>
      <c r="K774" s="298"/>
      <c r="L774" s="298"/>
      <c r="M774" s="298"/>
      <c r="N774" s="298"/>
      <c r="O774" s="298"/>
      <c r="P774" s="298"/>
      <c r="Q774" s="298"/>
      <c r="R774" s="304"/>
      <c r="S774" s="201"/>
      <c r="T774" s="202"/>
      <c r="U774" s="241"/>
      <c r="V774" s="241"/>
      <c r="W774" s="241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4" t="str">
        <f>IF(C775="","",VLOOKUP($B775,勘定科目!$A:$E,4,0))</f>
        <v/>
      </c>
      <c r="E775" s="240"/>
      <c r="F775" s="305"/>
      <c r="G775" s="303"/>
      <c r="H775" s="303"/>
      <c r="I775" s="303"/>
      <c r="J775" s="303"/>
      <c r="K775" s="303"/>
      <c r="L775" s="303"/>
      <c r="M775" s="303"/>
      <c r="N775" s="303"/>
      <c r="O775" s="303"/>
      <c r="P775" s="303"/>
      <c r="Q775" s="303"/>
      <c r="R775" s="304"/>
      <c r="S775" s="201"/>
      <c r="T775" s="202"/>
      <c r="U775" s="241"/>
      <c r="V775" s="241"/>
      <c r="W775" s="241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4" t="str">
        <f>IF(C776="","",VLOOKUP($B776,勘定科目!$A:$E,4,0))</f>
        <v/>
      </c>
      <c r="E776" s="240"/>
      <c r="F776" s="305"/>
      <c r="G776" s="303"/>
      <c r="H776" s="303"/>
      <c r="I776" s="303"/>
      <c r="J776" s="303"/>
      <c r="K776" s="303"/>
      <c r="L776" s="303"/>
      <c r="M776" s="303"/>
      <c r="N776" s="303"/>
      <c r="O776" s="303"/>
      <c r="P776" s="303"/>
      <c r="Q776" s="303"/>
      <c r="R776" s="304"/>
      <c r="S776" s="201"/>
      <c r="T776" s="202"/>
      <c r="U776" s="241"/>
      <c r="V776" s="241"/>
      <c r="W776" s="241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4" t="str">
        <f>IF(C777="","",VLOOKUP($B777,勘定科目!$A:$E,4,0))</f>
        <v/>
      </c>
      <c r="E777" s="240"/>
      <c r="F777" s="305"/>
      <c r="G777" s="303"/>
      <c r="H777" s="303"/>
      <c r="I777" s="303"/>
      <c r="J777" s="303"/>
      <c r="K777" s="303"/>
      <c r="L777" s="303"/>
      <c r="M777" s="303"/>
      <c r="N777" s="303"/>
      <c r="O777" s="303"/>
      <c r="P777" s="303"/>
      <c r="Q777" s="303"/>
      <c r="R777" s="304"/>
      <c r="S777" s="201"/>
      <c r="T777" s="202"/>
      <c r="U777" s="241"/>
      <c r="V777" s="241"/>
      <c r="W777" s="241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4" t="str">
        <f>IF(C778="","",VLOOKUP($B778,勘定科目!$A:$E,4,0))</f>
        <v/>
      </c>
      <c r="E778" s="240"/>
      <c r="F778" s="305"/>
      <c r="G778" s="303"/>
      <c r="H778" s="303"/>
      <c r="I778" s="303"/>
      <c r="J778" s="303"/>
      <c r="K778" s="303"/>
      <c r="L778" s="303"/>
      <c r="M778" s="303"/>
      <c r="N778" s="303"/>
      <c r="O778" s="303"/>
      <c r="P778" s="303"/>
      <c r="Q778" s="303"/>
      <c r="R778" s="304"/>
      <c r="S778" s="201"/>
      <c r="T778" s="202"/>
      <c r="U778" s="241"/>
      <c r="V778" s="241"/>
      <c r="W778" s="241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4" t="str">
        <f>IF(C779="","",VLOOKUP($B779,勘定科目!$A:$E,4,0))</f>
        <v/>
      </c>
      <c r="E779" s="240"/>
      <c r="F779" s="305"/>
      <c r="G779" s="303"/>
      <c r="H779" s="303"/>
      <c r="I779" s="303"/>
      <c r="J779" s="303"/>
      <c r="K779" s="303"/>
      <c r="L779" s="303"/>
      <c r="M779" s="303"/>
      <c r="N779" s="303"/>
      <c r="O779" s="303"/>
      <c r="P779" s="303"/>
      <c r="Q779" s="303"/>
      <c r="R779" s="304"/>
      <c r="S779" s="201"/>
      <c r="T779" s="202"/>
      <c r="U779" s="241"/>
      <c r="V779" s="241"/>
      <c r="W779" s="241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4" t="str">
        <f>IF(C780="","",VLOOKUP($B780,勘定科目!$A:$E,4,0))</f>
        <v/>
      </c>
      <c r="E780" s="240"/>
      <c r="F780" s="305"/>
      <c r="G780" s="303"/>
      <c r="H780" s="303"/>
      <c r="I780" s="303"/>
      <c r="J780" s="303"/>
      <c r="K780" s="303"/>
      <c r="L780" s="303"/>
      <c r="M780" s="303"/>
      <c r="N780" s="303"/>
      <c r="O780" s="303"/>
      <c r="P780" s="303"/>
      <c r="Q780" s="303"/>
      <c r="R780" s="304"/>
      <c r="S780" s="201"/>
      <c r="T780" s="202"/>
      <c r="U780" s="241"/>
      <c r="V780" s="241"/>
      <c r="W780" s="241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4" t="str">
        <f>IF(C781="","",VLOOKUP($B781,勘定科目!$A:$E,4,0))</f>
        <v/>
      </c>
      <c r="E781" s="240"/>
      <c r="F781" s="305"/>
      <c r="G781" s="303"/>
      <c r="H781" s="303"/>
      <c r="I781" s="303"/>
      <c r="J781" s="303"/>
      <c r="K781" s="303"/>
      <c r="L781" s="303"/>
      <c r="M781" s="303"/>
      <c r="N781" s="303"/>
      <c r="O781" s="303"/>
      <c r="P781" s="303"/>
      <c r="Q781" s="303"/>
      <c r="R781" s="304"/>
      <c r="S781" s="201"/>
      <c r="T781" s="202"/>
      <c r="U781" s="241"/>
      <c r="V781" s="241"/>
      <c r="W781" s="241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4" t="str">
        <f>IF(C782="","",VLOOKUP($B782,勘定科目!$A:$E,4,0))</f>
        <v/>
      </c>
      <c r="E782" s="240"/>
      <c r="F782" s="305"/>
      <c r="G782" s="303"/>
      <c r="H782" s="303"/>
      <c r="I782" s="303"/>
      <c r="J782" s="303"/>
      <c r="K782" s="303"/>
      <c r="L782" s="303"/>
      <c r="M782" s="303"/>
      <c r="N782" s="303"/>
      <c r="O782" s="303"/>
      <c r="P782" s="303"/>
      <c r="Q782" s="303"/>
      <c r="R782" s="304"/>
      <c r="S782" s="201"/>
      <c r="T782" s="202"/>
      <c r="U782" s="241"/>
      <c r="V782" s="241"/>
      <c r="W782" s="241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4" t="str">
        <f>IF(C783="","",VLOOKUP($B783,勘定科目!$A:$E,4,0))</f>
        <v/>
      </c>
      <c r="E783" s="240"/>
      <c r="F783" s="305"/>
      <c r="G783" s="303"/>
      <c r="H783" s="303"/>
      <c r="I783" s="303"/>
      <c r="J783" s="303"/>
      <c r="K783" s="303"/>
      <c r="L783" s="303"/>
      <c r="M783" s="303"/>
      <c r="N783" s="303"/>
      <c r="O783" s="303"/>
      <c r="P783" s="303"/>
      <c r="Q783" s="303"/>
      <c r="R783" s="304"/>
      <c r="S783" s="201"/>
      <c r="T783" s="202"/>
      <c r="U783" s="241"/>
      <c r="V783" s="241"/>
      <c r="W783" s="241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4" t="str">
        <f>IF(C784="","",VLOOKUP($B784,勘定科目!$A:$E,4,0))</f>
        <v/>
      </c>
      <c r="E784" s="240"/>
      <c r="F784" s="235"/>
      <c r="G784" s="236"/>
      <c r="H784" s="236"/>
      <c r="I784" s="236"/>
      <c r="J784" s="236"/>
      <c r="K784" s="236"/>
      <c r="L784" s="236"/>
      <c r="M784" s="236"/>
      <c r="N784" s="236"/>
      <c r="O784" s="236"/>
      <c r="P784" s="236"/>
      <c r="Q784" s="236"/>
      <c r="R784" s="200"/>
      <c r="S784" s="201"/>
      <c r="T784" s="202"/>
      <c r="U784" s="241"/>
      <c r="V784" s="241"/>
      <c r="W784" s="241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4" t="str">
        <f>IF(C785="","",VLOOKUP($B785,勘定科目!$A:$E,4,0))</f>
        <v/>
      </c>
      <c r="E785" s="240"/>
      <c r="F785" s="235"/>
      <c r="G785" s="236"/>
      <c r="H785" s="236"/>
      <c r="I785" s="236"/>
      <c r="J785" s="236"/>
      <c r="K785" s="236"/>
      <c r="L785" s="236"/>
      <c r="M785" s="236"/>
      <c r="N785" s="236"/>
      <c r="O785" s="236"/>
      <c r="P785" s="236"/>
      <c r="Q785" s="236"/>
      <c r="R785" s="200"/>
      <c r="S785" s="201"/>
      <c r="T785" s="202"/>
      <c r="U785" s="241"/>
      <c r="V785" s="241"/>
      <c r="W785" s="241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4" t="str">
        <f>IF(C786="","",VLOOKUP($B786,勘定科目!$A:$E,4,0))</f>
        <v/>
      </c>
      <c r="E786" s="240"/>
      <c r="F786" s="235"/>
      <c r="G786" s="236"/>
      <c r="H786" s="236"/>
      <c r="I786" s="236"/>
      <c r="J786" s="236"/>
      <c r="K786" s="236"/>
      <c r="L786" s="236"/>
      <c r="M786" s="236"/>
      <c r="N786" s="236"/>
      <c r="O786" s="236"/>
      <c r="P786" s="236"/>
      <c r="Q786" s="236"/>
      <c r="R786" s="200"/>
      <c r="S786" s="201"/>
      <c r="T786" s="202"/>
      <c r="U786" s="241"/>
      <c r="V786" s="241"/>
      <c r="W786" s="241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4" t="str">
        <f>IF(C787="","",VLOOKUP($B787,勘定科目!$A:$E,4,0))</f>
        <v/>
      </c>
      <c r="E787" s="240"/>
      <c r="F787" s="235"/>
      <c r="G787" s="236"/>
      <c r="H787" s="236"/>
      <c r="I787" s="236"/>
      <c r="J787" s="236"/>
      <c r="K787" s="236"/>
      <c r="L787" s="236"/>
      <c r="M787" s="236"/>
      <c r="N787" s="236"/>
      <c r="O787" s="236"/>
      <c r="P787" s="236"/>
      <c r="Q787" s="236"/>
      <c r="R787" s="200"/>
      <c r="S787" s="201"/>
      <c r="T787" s="202"/>
      <c r="U787" s="241"/>
      <c r="V787" s="241"/>
      <c r="W787" s="241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4" t="str">
        <f>IF(C788="","",VLOOKUP($B788,勘定科目!$A:$E,4,0))</f>
        <v/>
      </c>
      <c r="E788" s="240"/>
      <c r="F788" s="235"/>
      <c r="G788" s="236"/>
      <c r="H788" s="236"/>
      <c r="I788" s="236"/>
      <c r="J788" s="236"/>
      <c r="K788" s="236"/>
      <c r="L788" s="236"/>
      <c r="M788" s="236"/>
      <c r="N788" s="236"/>
      <c r="O788" s="236"/>
      <c r="P788" s="236"/>
      <c r="Q788" s="236"/>
      <c r="R788" s="200"/>
      <c r="S788" s="201"/>
      <c r="T788" s="202"/>
      <c r="U788" s="241"/>
      <c r="V788" s="241"/>
      <c r="W788" s="241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4" t="str">
        <f>IF(C789="","",VLOOKUP($B789,勘定科目!$A:$E,4,0))</f>
        <v/>
      </c>
      <c r="E789" s="240"/>
      <c r="F789" s="235"/>
      <c r="G789" s="236"/>
      <c r="H789" s="236"/>
      <c r="I789" s="236"/>
      <c r="J789" s="236"/>
      <c r="K789" s="236"/>
      <c r="L789" s="236"/>
      <c r="M789" s="236"/>
      <c r="N789" s="236"/>
      <c r="O789" s="236"/>
      <c r="P789" s="236"/>
      <c r="Q789" s="236"/>
      <c r="R789" s="200"/>
      <c r="S789" s="201"/>
      <c r="T789" s="202"/>
      <c r="U789" s="241"/>
      <c r="V789" s="241"/>
      <c r="W789" s="241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4" t="str">
        <f>IF(C790="","",VLOOKUP($B790,勘定科目!$A:$E,4,0))</f>
        <v/>
      </c>
      <c r="E790" s="240"/>
      <c r="F790" s="235"/>
      <c r="G790" s="236"/>
      <c r="H790" s="236"/>
      <c r="I790" s="236"/>
      <c r="J790" s="236"/>
      <c r="K790" s="236"/>
      <c r="L790" s="236"/>
      <c r="M790" s="236"/>
      <c r="N790" s="236"/>
      <c r="O790" s="236"/>
      <c r="P790" s="236"/>
      <c r="Q790" s="236"/>
      <c r="R790" s="200"/>
      <c r="S790" s="201"/>
      <c r="T790" s="202"/>
      <c r="U790" s="241"/>
      <c r="V790" s="241"/>
      <c r="W790" s="241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4" t="str">
        <f>IF(C791="","",VLOOKUP($B791,勘定科目!$A:$E,4,0))</f>
        <v/>
      </c>
      <c r="E791" s="240"/>
      <c r="F791" s="235"/>
      <c r="G791" s="236"/>
      <c r="H791" s="236"/>
      <c r="I791" s="236"/>
      <c r="J791" s="236"/>
      <c r="K791" s="236"/>
      <c r="L791" s="236"/>
      <c r="M791" s="236"/>
      <c r="N791" s="236"/>
      <c r="O791" s="236"/>
      <c r="P791" s="236"/>
      <c r="Q791" s="236"/>
      <c r="R791" s="200"/>
      <c r="S791" s="201"/>
      <c r="T791" s="202"/>
      <c r="U791" s="241"/>
      <c r="V791" s="241"/>
      <c r="W791" s="241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4" t="str">
        <f>IF(C792="","",VLOOKUP($B792,勘定科目!$A:$E,4,0))</f>
        <v/>
      </c>
      <c r="E792" s="240"/>
      <c r="F792" s="235"/>
      <c r="G792" s="236"/>
      <c r="H792" s="236"/>
      <c r="I792" s="236"/>
      <c r="J792" s="236"/>
      <c r="K792" s="236"/>
      <c r="L792" s="236"/>
      <c r="M792" s="236"/>
      <c r="N792" s="236"/>
      <c r="O792" s="236"/>
      <c r="P792" s="236"/>
      <c r="Q792" s="236"/>
      <c r="R792" s="200"/>
      <c r="S792" s="201"/>
      <c r="T792" s="202"/>
      <c r="U792" s="241"/>
      <c r="V792" s="241"/>
      <c r="W792" s="241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4" t="str">
        <f>IF(C793="","",VLOOKUP($B793,勘定科目!$A:$E,4,0))</f>
        <v/>
      </c>
      <c r="E793" s="240"/>
      <c r="F793" s="235"/>
      <c r="G793" s="236"/>
      <c r="H793" s="236"/>
      <c r="I793" s="236"/>
      <c r="J793" s="236"/>
      <c r="K793" s="236"/>
      <c r="L793" s="236"/>
      <c r="M793" s="236"/>
      <c r="N793" s="236"/>
      <c r="O793" s="236"/>
      <c r="P793" s="236"/>
      <c r="Q793" s="236"/>
      <c r="R793" s="200"/>
      <c r="S793" s="201"/>
      <c r="T793" s="202"/>
      <c r="U793" s="241"/>
      <c r="V793" s="241"/>
      <c r="W793" s="241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4" t="str">
        <f>IF(C794="","",VLOOKUP($B794,勘定科目!$A:$E,4,0))</f>
        <v/>
      </c>
      <c r="E794" s="240"/>
      <c r="F794" s="235"/>
      <c r="G794" s="236"/>
      <c r="H794" s="236"/>
      <c r="I794" s="236"/>
      <c r="J794" s="236"/>
      <c r="K794" s="236"/>
      <c r="L794" s="236"/>
      <c r="M794" s="236"/>
      <c r="N794" s="236"/>
      <c r="O794" s="236"/>
      <c r="P794" s="236"/>
      <c r="Q794" s="236"/>
      <c r="R794" s="200"/>
      <c r="S794" s="201"/>
      <c r="T794" s="202"/>
      <c r="U794" s="241"/>
      <c r="V794" s="241"/>
      <c r="W794" s="241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4" t="str">
        <f>IF(C795="","",VLOOKUP($B795,勘定科目!$A:$E,4,0))</f>
        <v/>
      </c>
      <c r="E795" s="240"/>
      <c r="F795" s="235"/>
      <c r="G795" s="236"/>
      <c r="H795" s="236"/>
      <c r="I795" s="236"/>
      <c r="J795" s="236"/>
      <c r="K795" s="236"/>
      <c r="L795" s="236"/>
      <c r="M795" s="236"/>
      <c r="N795" s="236"/>
      <c r="O795" s="236"/>
      <c r="P795" s="236"/>
      <c r="Q795" s="236"/>
      <c r="R795" s="200"/>
      <c r="S795" s="201"/>
      <c r="T795" s="202"/>
      <c r="U795" s="241"/>
      <c r="V795" s="241"/>
      <c r="W795" s="241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4" t="str">
        <f>IF(C796="","",VLOOKUP($B796,勘定科目!$A:$E,4,0))</f>
        <v/>
      </c>
      <c r="E796" s="240"/>
      <c r="F796" s="235"/>
      <c r="G796" s="236"/>
      <c r="H796" s="236"/>
      <c r="I796" s="236"/>
      <c r="J796" s="236"/>
      <c r="K796" s="236"/>
      <c r="L796" s="236"/>
      <c r="M796" s="236"/>
      <c r="N796" s="236"/>
      <c r="O796" s="236"/>
      <c r="P796" s="236"/>
      <c r="Q796" s="236"/>
      <c r="R796" s="200"/>
      <c r="S796" s="201"/>
      <c r="T796" s="202"/>
      <c r="U796" s="241"/>
      <c r="V796" s="241"/>
      <c r="W796" s="241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4" t="str">
        <f>IF(C797="","",VLOOKUP($B797,勘定科目!$A:$E,4,0))</f>
        <v/>
      </c>
      <c r="E797" s="240"/>
      <c r="F797" s="235"/>
      <c r="G797" s="236"/>
      <c r="H797" s="236"/>
      <c r="I797" s="236"/>
      <c r="J797" s="236"/>
      <c r="K797" s="236"/>
      <c r="L797" s="236"/>
      <c r="M797" s="236"/>
      <c r="N797" s="236"/>
      <c r="O797" s="236"/>
      <c r="P797" s="236"/>
      <c r="Q797" s="236"/>
      <c r="R797" s="200"/>
      <c r="S797" s="201"/>
      <c r="T797" s="202"/>
      <c r="U797" s="241"/>
      <c r="V797" s="241"/>
      <c r="W797" s="241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4" t="str">
        <f>IF(C798="","",VLOOKUP($B798,勘定科目!$A:$E,4,0))</f>
        <v/>
      </c>
      <c r="E798" s="240"/>
      <c r="F798" s="235"/>
      <c r="G798" s="236"/>
      <c r="H798" s="236"/>
      <c r="I798" s="236"/>
      <c r="J798" s="236"/>
      <c r="K798" s="236"/>
      <c r="L798" s="236"/>
      <c r="M798" s="236"/>
      <c r="N798" s="236"/>
      <c r="O798" s="236"/>
      <c r="P798" s="236"/>
      <c r="Q798" s="236"/>
      <c r="R798" s="200"/>
      <c r="S798" s="201"/>
      <c r="T798" s="202"/>
      <c r="U798" s="241"/>
      <c r="V798" s="241"/>
      <c r="W798" s="241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4" t="str">
        <f>IF(C799="","",VLOOKUP($B799,勘定科目!$A:$E,4,0))</f>
        <v/>
      </c>
      <c r="E799" s="240"/>
      <c r="F799" s="235"/>
      <c r="G799" s="236"/>
      <c r="H799" s="236"/>
      <c r="I799" s="236"/>
      <c r="J799" s="236"/>
      <c r="K799" s="236"/>
      <c r="L799" s="236"/>
      <c r="M799" s="236"/>
      <c r="N799" s="236"/>
      <c r="O799" s="236"/>
      <c r="P799" s="236"/>
      <c r="Q799" s="236"/>
      <c r="R799" s="200"/>
      <c r="S799" s="201"/>
      <c r="T799" s="202"/>
      <c r="U799" s="241"/>
      <c r="V799" s="241"/>
      <c r="W799" s="241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4" t="str">
        <f>IF(C800="","",VLOOKUP($B800,勘定科目!$A:$E,4,0))</f>
        <v/>
      </c>
      <c r="E800" s="240"/>
      <c r="F800" s="235"/>
      <c r="G800" s="236"/>
      <c r="H800" s="236"/>
      <c r="I800" s="236"/>
      <c r="J800" s="236"/>
      <c r="K800" s="236"/>
      <c r="L800" s="236"/>
      <c r="M800" s="236"/>
      <c r="N800" s="236"/>
      <c r="O800" s="236"/>
      <c r="P800" s="236"/>
      <c r="Q800" s="236"/>
      <c r="R800" s="200"/>
      <c r="S800" s="201"/>
      <c r="T800" s="202"/>
      <c r="U800" s="241"/>
      <c r="V800" s="241"/>
      <c r="W800" s="241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4" t="str">
        <f>IF(C801="","",VLOOKUP($B801,勘定科目!$A:$E,4,0))</f>
        <v/>
      </c>
      <c r="E801" s="240"/>
      <c r="F801" s="235"/>
      <c r="G801" s="236"/>
      <c r="H801" s="236"/>
      <c r="I801" s="236"/>
      <c r="J801" s="236"/>
      <c r="K801" s="236"/>
      <c r="L801" s="236"/>
      <c r="M801" s="236"/>
      <c r="N801" s="236"/>
      <c r="O801" s="236"/>
      <c r="P801" s="236"/>
      <c r="Q801" s="236"/>
      <c r="R801" s="200"/>
      <c r="S801" s="201"/>
      <c r="T801" s="202"/>
      <c r="U801" s="241"/>
      <c r="V801" s="241"/>
      <c r="W801" s="241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4" t="str">
        <f>IF(C802="","",VLOOKUP($B802,勘定科目!$A:$E,4,0))</f>
        <v/>
      </c>
      <c r="E802" s="240"/>
      <c r="F802" s="235"/>
      <c r="G802" s="236"/>
      <c r="H802" s="236"/>
      <c r="I802" s="236"/>
      <c r="J802" s="236"/>
      <c r="K802" s="236"/>
      <c r="L802" s="236"/>
      <c r="M802" s="236"/>
      <c r="N802" s="236"/>
      <c r="O802" s="236"/>
      <c r="P802" s="236"/>
      <c r="Q802" s="236"/>
      <c r="R802" s="200"/>
      <c r="S802" s="201"/>
      <c r="T802" s="202"/>
      <c r="U802" s="241"/>
      <c r="V802" s="241"/>
      <c r="W802" s="241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4" t="str">
        <f>IF(C803="","",VLOOKUP($B803,勘定科目!$A:$E,4,0))</f>
        <v/>
      </c>
      <c r="E803" s="240"/>
      <c r="F803" s="235"/>
      <c r="G803" s="236"/>
      <c r="H803" s="236"/>
      <c r="I803" s="236"/>
      <c r="J803" s="236"/>
      <c r="K803" s="236"/>
      <c r="L803" s="236"/>
      <c r="M803" s="236"/>
      <c r="N803" s="236"/>
      <c r="O803" s="236"/>
      <c r="P803" s="236"/>
      <c r="Q803" s="236"/>
      <c r="R803" s="200"/>
      <c r="S803" s="201"/>
      <c r="T803" s="202"/>
      <c r="U803" s="241"/>
      <c r="V803" s="241"/>
      <c r="W803" s="241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4" t="str">
        <f>IF(C804="","",VLOOKUP($B804,勘定科目!$A:$E,4,0))</f>
        <v/>
      </c>
      <c r="E804" s="240"/>
      <c r="F804" s="235"/>
      <c r="G804" s="236"/>
      <c r="H804" s="236"/>
      <c r="I804" s="236"/>
      <c r="J804" s="236"/>
      <c r="K804" s="236"/>
      <c r="L804" s="236"/>
      <c r="M804" s="236"/>
      <c r="N804" s="236"/>
      <c r="O804" s="236"/>
      <c r="P804" s="236"/>
      <c r="Q804" s="236"/>
      <c r="R804" s="200"/>
      <c r="S804" s="201"/>
      <c r="T804" s="202"/>
      <c r="U804" s="241"/>
      <c r="V804" s="241"/>
      <c r="W804" s="241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4" t="str">
        <f>IF(C805="","",VLOOKUP($B805,勘定科目!$A:$E,4,0))</f>
        <v/>
      </c>
      <c r="E805" s="240"/>
      <c r="F805" s="235"/>
      <c r="G805" s="236"/>
      <c r="H805" s="236"/>
      <c r="I805" s="236"/>
      <c r="J805" s="236"/>
      <c r="K805" s="236"/>
      <c r="L805" s="236"/>
      <c r="M805" s="236"/>
      <c r="N805" s="236"/>
      <c r="O805" s="236"/>
      <c r="P805" s="236"/>
      <c r="Q805" s="236"/>
      <c r="R805" s="200"/>
      <c r="S805" s="201"/>
      <c r="T805" s="202"/>
      <c r="U805" s="241"/>
      <c r="V805" s="241"/>
      <c r="W805" s="241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4" t="str">
        <f>IF(C806="","",VLOOKUP($B806,勘定科目!$A:$E,4,0))</f>
        <v/>
      </c>
      <c r="E806" s="240"/>
      <c r="F806" s="235"/>
      <c r="G806" s="236"/>
      <c r="H806" s="236"/>
      <c r="I806" s="236"/>
      <c r="J806" s="236"/>
      <c r="K806" s="236"/>
      <c r="L806" s="236"/>
      <c r="M806" s="236"/>
      <c r="N806" s="236"/>
      <c r="O806" s="236"/>
      <c r="P806" s="236"/>
      <c r="Q806" s="236"/>
      <c r="R806" s="200"/>
      <c r="S806" s="201"/>
      <c r="T806" s="202"/>
      <c r="U806" s="241"/>
      <c r="V806" s="241"/>
      <c r="W806" s="241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4" t="str">
        <f>IF(C807="","",VLOOKUP($B807,勘定科目!$A:$E,4,0))</f>
        <v/>
      </c>
      <c r="E807" s="240"/>
      <c r="F807" s="235"/>
      <c r="G807" s="236"/>
      <c r="H807" s="236"/>
      <c r="I807" s="236"/>
      <c r="J807" s="236"/>
      <c r="K807" s="236"/>
      <c r="L807" s="236"/>
      <c r="M807" s="236"/>
      <c r="N807" s="236"/>
      <c r="O807" s="236"/>
      <c r="P807" s="236"/>
      <c r="Q807" s="236"/>
      <c r="R807" s="200"/>
      <c r="S807" s="201"/>
      <c r="T807" s="202"/>
      <c r="U807" s="241"/>
      <c r="V807" s="241"/>
      <c r="W807" s="241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4" t="str">
        <f>IF(C808="","",VLOOKUP($B808,勘定科目!$A:$E,4,0))</f>
        <v/>
      </c>
      <c r="E808" s="240"/>
      <c r="F808" s="235"/>
      <c r="G808" s="236"/>
      <c r="H808" s="236"/>
      <c r="I808" s="236"/>
      <c r="J808" s="236"/>
      <c r="K808" s="236"/>
      <c r="L808" s="236"/>
      <c r="M808" s="236"/>
      <c r="N808" s="236"/>
      <c r="O808" s="236"/>
      <c r="P808" s="236"/>
      <c r="Q808" s="236"/>
      <c r="R808" s="200"/>
      <c r="S808" s="201"/>
      <c r="T808" s="202"/>
      <c r="U808" s="241"/>
      <c r="V808" s="241"/>
      <c r="W808" s="241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4" t="str">
        <f>IF(C809="","",VLOOKUP($B809,勘定科目!$A:$E,4,0))</f>
        <v/>
      </c>
      <c r="E809" s="240"/>
      <c r="F809" s="235"/>
      <c r="G809" s="236"/>
      <c r="H809" s="236"/>
      <c r="I809" s="236"/>
      <c r="J809" s="236"/>
      <c r="K809" s="236"/>
      <c r="L809" s="236"/>
      <c r="M809" s="236"/>
      <c r="N809" s="236"/>
      <c r="O809" s="236"/>
      <c r="P809" s="236"/>
      <c r="Q809" s="236"/>
      <c r="R809" s="200"/>
      <c r="S809" s="201"/>
      <c r="T809" s="202"/>
      <c r="U809" s="241"/>
      <c r="V809" s="241"/>
      <c r="W809" s="241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4" t="str">
        <f>IF(C810="","",VLOOKUP($B810,勘定科目!$A:$E,4,0))</f>
        <v/>
      </c>
      <c r="E810" s="240"/>
      <c r="F810" s="235"/>
      <c r="G810" s="236"/>
      <c r="H810" s="236"/>
      <c r="I810" s="236"/>
      <c r="J810" s="236"/>
      <c r="K810" s="236"/>
      <c r="L810" s="236"/>
      <c r="M810" s="236"/>
      <c r="N810" s="236"/>
      <c r="O810" s="236"/>
      <c r="P810" s="236"/>
      <c r="Q810" s="236"/>
      <c r="R810" s="200"/>
      <c r="S810" s="201"/>
      <c r="T810" s="202"/>
      <c r="U810" s="241"/>
      <c r="V810" s="241"/>
      <c r="W810" s="241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4" t="str">
        <f>IF(C811="","",VLOOKUP($B811,勘定科目!$A:$E,4,0))</f>
        <v/>
      </c>
      <c r="E811" s="240"/>
      <c r="F811" s="235"/>
      <c r="G811" s="236"/>
      <c r="H811" s="236"/>
      <c r="I811" s="236"/>
      <c r="J811" s="236"/>
      <c r="K811" s="236"/>
      <c r="L811" s="236"/>
      <c r="M811" s="236"/>
      <c r="N811" s="236"/>
      <c r="O811" s="236"/>
      <c r="P811" s="236"/>
      <c r="Q811" s="236"/>
      <c r="R811" s="200"/>
      <c r="S811" s="201"/>
      <c r="T811" s="202"/>
      <c r="U811" s="241"/>
      <c r="V811" s="241"/>
      <c r="W811" s="241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4" t="str">
        <f>IF(C812="","",VLOOKUP($B812,勘定科目!$A:$E,4,0))</f>
        <v/>
      </c>
      <c r="E812" s="240"/>
      <c r="F812" s="235"/>
      <c r="G812" s="236"/>
      <c r="H812" s="236"/>
      <c r="I812" s="236"/>
      <c r="J812" s="236"/>
      <c r="K812" s="236"/>
      <c r="L812" s="236"/>
      <c r="M812" s="236"/>
      <c r="N812" s="236"/>
      <c r="O812" s="236"/>
      <c r="P812" s="236"/>
      <c r="Q812" s="236"/>
      <c r="R812" s="200"/>
      <c r="S812" s="201"/>
      <c r="T812" s="202"/>
      <c r="U812" s="241"/>
      <c r="V812" s="241"/>
      <c r="W812" s="241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4" t="str">
        <f>IF(C813="","",VLOOKUP($B813,勘定科目!$A:$E,4,0))</f>
        <v/>
      </c>
      <c r="E813" s="240"/>
      <c r="F813" s="235"/>
      <c r="G813" s="236"/>
      <c r="H813" s="236"/>
      <c r="I813" s="236"/>
      <c r="J813" s="236"/>
      <c r="K813" s="236"/>
      <c r="L813" s="236"/>
      <c r="M813" s="236"/>
      <c r="N813" s="236"/>
      <c r="O813" s="236"/>
      <c r="P813" s="236"/>
      <c r="Q813" s="236"/>
      <c r="R813" s="200"/>
      <c r="S813" s="201"/>
      <c r="T813" s="202"/>
      <c r="U813" s="241"/>
      <c r="V813" s="241"/>
      <c r="W813" s="241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4" t="str">
        <f>IF(C814="","",VLOOKUP($B814,勘定科目!$A:$E,4,0))</f>
        <v/>
      </c>
      <c r="E814" s="240"/>
      <c r="F814" s="235"/>
      <c r="G814" s="236"/>
      <c r="H814" s="236"/>
      <c r="I814" s="236"/>
      <c r="J814" s="236"/>
      <c r="K814" s="236"/>
      <c r="L814" s="236"/>
      <c r="M814" s="236"/>
      <c r="N814" s="236"/>
      <c r="O814" s="236"/>
      <c r="P814" s="236"/>
      <c r="Q814" s="236"/>
      <c r="R814" s="200"/>
      <c r="S814" s="201"/>
      <c r="T814" s="202"/>
      <c r="U814" s="241"/>
      <c r="V814" s="241"/>
      <c r="W814" s="241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4" t="str">
        <f>IF(C815="","",VLOOKUP($B815,勘定科目!$A:$E,4,0))</f>
        <v/>
      </c>
      <c r="E815" s="240"/>
      <c r="F815" s="235"/>
      <c r="G815" s="236"/>
      <c r="H815" s="236"/>
      <c r="I815" s="236"/>
      <c r="J815" s="236"/>
      <c r="K815" s="236"/>
      <c r="L815" s="236"/>
      <c r="M815" s="236"/>
      <c r="N815" s="236"/>
      <c r="O815" s="236"/>
      <c r="P815" s="236"/>
      <c r="Q815" s="236"/>
      <c r="R815" s="200"/>
      <c r="S815" s="201"/>
      <c r="T815" s="202"/>
      <c r="U815" s="241"/>
      <c r="V815" s="241"/>
      <c r="W815" s="241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4" t="str">
        <f>IF(C816="","",VLOOKUP($B816,勘定科目!$A:$E,4,0))</f>
        <v/>
      </c>
      <c r="E816" s="240"/>
      <c r="F816" s="235"/>
      <c r="G816" s="236"/>
      <c r="H816" s="236"/>
      <c r="I816" s="236"/>
      <c r="J816" s="236"/>
      <c r="K816" s="236"/>
      <c r="L816" s="236"/>
      <c r="M816" s="236"/>
      <c r="N816" s="236"/>
      <c r="O816" s="236"/>
      <c r="P816" s="236"/>
      <c r="Q816" s="236"/>
      <c r="R816" s="200"/>
      <c r="S816" s="201"/>
      <c r="T816" s="202"/>
      <c r="U816" s="241"/>
      <c r="V816" s="241"/>
      <c r="W816" s="241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4" t="str">
        <f>IF(C817="","",VLOOKUP($B817,勘定科目!$A:$E,4,0))</f>
        <v/>
      </c>
      <c r="E817" s="240"/>
      <c r="F817" s="235"/>
      <c r="G817" s="236"/>
      <c r="H817" s="236"/>
      <c r="I817" s="236"/>
      <c r="J817" s="236"/>
      <c r="K817" s="236"/>
      <c r="L817" s="236"/>
      <c r="M817" s="236"/>
      <c r="N817" s="236"/>
      <c r="O817" s="236"/>
      <c r="P817" s="236"/>
      <c r="Q817" s="236"/>
      <c r="R817" s="200"/>
      <c r="S817" s="201"/>
      <c r="T817" s="202"/>
      <c r="U817" s="241"/>
      <c r="V817" s="241"/>
      <c r="W817" s="241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4" t="str">
        <f>IF(C818="","",VLOOKUP($B818,勘定科目!$A:$E,4,0))</f>
        <v/>
      </c>
      <c r="E818" s="240"/>
      <c r="F818" s="235"/>
      <c r="G818" s="236"/>
      <c r="H818" s="236"/>
      <c r="I818" s="236"/>
      <c r="J818" s="236"/>
      <c r="K818" s="236"/>
      <c r="L818" s="236"/>
      <c r="M818" s="236"/>
      <c r="N818" s="236"/>
      <c r="O818" s="236"/>
      <c r="P818" s="236"/>
      <c r="Q818" s="236"/>
      <c r="R818" s="200"/>
      <c r="S818" s="201"/>
      <c r="T818" s="202"/>
      <c r="U818" s="241"/>
      <c r="V818" s="241"/>
      <c r="W818" s="241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4" t="str">
        <f>IF(C819="","",VLOOKUP($B819,勘定科目!$A:$E,4,0))</f>
        <v/>
      </c>
      <c r="E819" s="240"/>
      <c r="F819" s="235"/>
      <c r="G819" s="236"/>
      <c r="H819" s="236"/>
      <c r="I819" s="236"/>
      <c r="J819" s="236"/>
      <c r="K819" s="236"/>
      <c r="L819" s="236"/>
      <c r="M819" s="236"/>
      <c r="N819" s="236"/>
      <c r="O819" s="236"/>
      <c r="P819" s="236"/>
      <c r="Q819" s="236"/>
      <c r="R819" s="200"/>
      <c r="S819" s="201"/>
      <c r="T819" s="202"/>
      <c r="U819" s="241"/>
      <c r="V819" s="241"/>
      <c r="W819" s="241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4" t="str">
        <f>IF(C820="","",VLOOKUP($B820,勘定科目!$A:$E,4,0))</f>
        <v/>
      </c>
      <c r="E820" s="240"/>
      <c r="F820" s="235"/>
      <c r="G820" s="236"/>
      <c r="H820" s="236"/>
      <c r="I820" s="236"/>
      <c r="J820" s="236"/>
      <c r="K820" s="236"/>
      <c r="L820" s="236"/>
      <c r="M820" s="236"/>
      <c r="N820" s="236"/>
      <c r="O820" s="236"/>
      <c r="P820" s="236"/>
      <c r="Q820" s="236"/>
      <c r="R820" s="200"/>
      <c r="S820" s="201"/>
      <c r="T820" s="202"/>
      <c r="U820" s="241"/>
      <c r="V820" s="241"/>
      <c r="W820" s="241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4" t="str">
        <f>IF(C821="","",VLOOKUP($B821,勘定科目!$A:$E,4,0))</f>
        <v/>
      </c>
      <c r="E821" s="240"/>
      <c r="F821" s="235"/>
      <c r="G821" s="236"/>
      <c r="H821" s="236"/>
      <c r="I821" s="236"/>
      <c r="J821" s="236"/>
      <c r="K821" s="236"/>
      <c r="L821" s="236"/>
      <c r="M821" s="236"/>
      <c r="N821" s="236"/>
      <c r="O821" s="236"/>
      <c r="P821" s="236"/>
      <c r="Q821" s="236"/>
      <c r="R821" s="200"/>
      <c r="S821" s="201"/>
      <c r="T821" s="202"/>
      <c r="U821" s="241"/>
      <c r="V821" s="241"/>
      <c r="W821" s="241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4" t="str">
        <f>IF(C822="","",VLOOKUP($B822,勘定科目!$A:$E,4,0))</f>
        <v/>
      </c>
      <c r="E822" s="240"/>
      <c r="F822" s="235"/>
      <c r="G822" s="236"/>
      <c r="H822" s="236"/>
      <c r="I822" s="236"/>
      <c r="J822" s="236"/>
      <c r="K822" s="236"/>
      <c r="L822" s="236"/>
      <c r="M822" s="236"/>
      <c r="N822" s="236"/>
      <c r="O822" s="236"/>
      <c r="P822" s="236"/>
      <c r="Q822" s="236"/>
      <c r="R822" s="200"/>
      <c r="S822" s="201"/>
      <c r="T822" s="202"/>
      <c r="U822" s="241"/>
      <c r="V822" s="241"/>
      <c r="W822" s="241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4" t="str">
        <f>IF(C823="","",VLOOKUP($B823,勘定科目!$A:$E,4,0))</f>
        <v/>
      </c>
      <c r="E823" s="240"/>
      <c r="F823" s="235"/>
      <c r="G823" s="236"/>
      <c r="H823" s="236"/>
      <c r="I823" s="236"/>
      <c r="J823" s="236"/>
      <c r="K823" s="236"/>
      <c r="L823" s="236"/>
      <c r="M823" s="236"/>
      <c r="N823" s="236"/>
      <c r="O823" s="236"/>
      <c r="P823" s="236"/>
      <c r="Q823" s="236"/>
      <c r="R823" s="200"/>
      <c r="S823" s="201"/>
      <c r="T823" s="202"/>
      <c r="U823" s="241"/>
      <c r="V823" s="241"/>
      <c r="W823" s="241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4" t="str">
        <f>IF(C824="","",VLOOKUP($B824,勘定科目!$A:$E,4,0))</f>
        <v/>
      </c>
      <c r="E824" s="240"/>
      <c r="F824" s="235"/>
      <c r="G824" s="236"/>
      <c r="H824" s="236"/>
      <c r="I824" s="236"/>
      <c r="J824" s="236"/>
      <c r="K824" s="236"/>
      <c r="L824" s="236"/>
      <c r="M824" s="236"/>
      <c r="N824" s="236"/>
      <c r="O824" s="236"/>
      <c r="P824" s="236"/>
      <c r="Q824" s="236"/>
      <c r="R824" s="200"/>
      <c r="S824" s="201"/>
      <c r="T824" s="202"/>
      <c r="U824" s="241"/>
      <c r="V824" s="241"/>
      <c r="W824" s="241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4" t="str">
        <f>IF(C825="","",VLOOKUP($B825,勘定科目!$A:$E,4,0))</f>
        <v/>
      </c>
      <c r="E825" s="240"/>
      <c r="F825" s="235"/>
      <c r="G825" s="236"/>
      <c r="H825" s="236"/>
      <c r="I825" s="236"/>
      <c r="J825" s="236"/>
      <c r="K825" s="236"/>
      <c r="L825" s="236"/>
      <c r="M825" s="236"/>
      <c r="N825" s="236"/>
      <c r="O825" s="236"/>
      <c r="P825" s="236"/>
      <c r="Q825" s="236"/>
      <c r="R825" s="200"/>
      <c r="S825" s="201"/>
      <c r="T825" s="202"/>
      <c r="U825" s="241"/>
      <c r="V825" s="241"/>
      <c r="W825" s="241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4" t="str">
        <f>IF(C826="","",VLOOKUP($B826,勘定科目!$A:$E,4,0))</f>
        <v/>
      </c>
      <c r="E826" s="240"/>
      <c r="F826" s="235"/>
      <c r="G826" s="236"/>
      <c r="H826" s="236"/>
      <c r="I826" s="236"/>
      <c r="J826" s="236"/>
      <c r="K826" s="236"/>
      <c r="L826" s="236"/>
      <c r="M826" s="236"/>
      <c r="N826" s="236"/>
      <c r="O826" s="236"/>
      <c r="P826" s="236"/>
      <c r="Q826" s="236"/>
      <c r="R826" s="200"/>
      <c r="S826" s="201"/>
      <c r="T826" s="202"/>
      <c r="U826" s="241"/>
      <c r="V826" s="241"/>
      <c r="W826" s="241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4" t="str">
        <f>IF(C827="","",VLOOKUP($B827,勘定科目!$A:$E,4,0))</f>
        <v/>
      </c>
      <c r="E827" s="240"/>
      <c r="F827" s="235"/>
      <c r="G827" s="236"/>
      <c r="H827" s="236"/>
      <c r="I827" s="236"/>
      <c r="J827" s="236"/>
      <c r="K827" s="236"/>
      <c r="L827" s="236"/>
      <c r="M827" s="236"/>
      <c r="N827" s="236"/>
      <c r="O827" s="236"/>
      <c r="P827" s="236"/>
      <c r="Q827" s="236"/>
      <c r="R827" s="200"/>
      <c r="S827" s="201"/>
      <c r="T827" s="202"/>
      <c r="U827" s="241"/>
      <c r="V827" s="241"/>
      <c r="W827" s="241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4" t="str">
        <f>IF(C828="","",VLOOKUP($B828,勘定科目!$A:$E,4,0))</f>
        <v/>
      </c>
      <c r="E828" s="240"/>
      <c r="F828" s="235"/>
      <c r="G828" s="236"/>
      <c r="H828" s="236"/>
      <c r="I828" s="236"/>
      <c r="J828" s="236"/>
      <c r="K828" s="236"/>
      <c r="L828" s="236"/>
      <c r="M828" s="236"/>
      <c r="N828" s="236"/>
      <c r="O828" s="236"/>
      <c r="P828" s="236"/>
      <c r="Q828" s="236"/>
      <c r="R828" s="200"/>
      <c r="S828" s="201"/>
      <c r="T828" s="202"/>
      <c r="U828" s="241"/>
      <c r="V828" s="241"/>
      <c r="W828" s="241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4" t="str">
        <f>IF(C829="","",VLOOKUP($B829,勘定科目!$A:$E,4,0))</f>
        <v/>
      </c>
      <c r="E829" s="240"/>
      <c r="F829" s="235"/>
      <c r="G829" s="236"/>
      <c r="H829" s="236"/>
      <c r="I829" s="236"/>
      <c r="J829" s="236"/>
      <c r="K829" s="236"/>
      <c r="L829" s="236"/>
      <c r="M829" s="236"/>
      <c r="N829" s="236"/>
      <c r="O829" s="236"/>
      <c r="P829" s="236"/>
      <c r="Q829" s="236"/>
      <c r="R829" s="200"/>
      <c r="S829" s="201"/>
      <c r="T829" s="202"/>
      <c r="U829" s="241"/>
      <c r="V829" s="241"/>
      <c r="W829" s="241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4" t="str">
        <f>IF(C830="","",VLOOKUP($B830,勘定科目!$A:$E,4,0))</f>
        <v/>
      </c>
      <c r="E830" s="240"/>
      <c r="F830" s="235"/>
      <c r="G830" s="236"/>
      <c r="H830" s="236"/>
      <c r="I830" s="236"/>
      <c r="J830" s="236"/>
      <c r="K830" s="236"/>
      <c r="L830" s="236"/>
      <c r="M830" s="236"/>
      <c r="N830" s="236"/>
      <c r="O830" s="236"/>
      <c r="P830" s="236"/>
      <c r="Q830" s="236"/>
      <c r="R830" s="200"/>
      <c r="S830" s="201"/>
      <c r="T830" s="202"/>
      <c r="U830" s="241"/>
      <c r="V830" s="241"/>
      <c r="W830" s="241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4" t="str">
        <f>IF(C831="","",VLOOKUP($B831,勘定科目!$A:$E,4,0))</f>
        <v/>
      </c>
      <c r="E831" s="240"/>
      <c r="F831" s="235"/>
      <c r="G831" s="236"/>
      <c r="H831" s="236"/>
      <c r="I831" s="236"/>
      <c r="J831" s="236"/>
      <c r="K831" s="236"/>
      <c r="L831" s="236"/>
      <c r="M831" s="236"/>
      <c r="N831" s="236"/>
      <c r="O831" s="236"/>
      <c r="P831" s="236"/>
      <c r="Q831" s="236"/>
      <c r="R831" s="200"/>
      <c r="S831" s="201"/>
      <c r="T831" s="202"/>
      <c r="U831" s="241"/>
      <c r="V831" s="241"/>
      <c r="W831" s="241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4" t="str">
        <f>IF(C832="","",VLOOKUP($B832,勘定科目!$A:$E,4,0))</f>
        <v/>
      </c>
      <c r="E832" s="240"/>
      <c r="F832" s="235"/>
      <c r="G832" s="236"/>
      <c r="H832" s="236"/>
      <c r="I832" s="236"/>
      <c r="J832" s="236"/>
      <c r="K832" s="236"/>
      <c r="L832" s="236"/>
      <c r="M832" s="236"/>
      <c r="N832" s="236"/>
      <c r="O832" s="236"/>
      <c r="P832" s="236"/>
      <c r="Q832" s="236"/>
      <c r="R832" s="200"/>
      <c r="S832" s="201"/>
      <c r="T832" s="202"/>
      <c r="U832" s="241"/>
      <c r="V832" s="241"/>
      <c r="W832" s="241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4" t="str">
        <f>IF(C833="","",VLOOKUP($B833,勘定科目!$A:$E,4,0))</f>
        <v/>
      </c>
      <c r="E833" s="240"/>
      <c r="F833" s="235"/>
      <c r="G833" s="236"/>
      <c r="H833" s="236"/>
      <c r="I833" s="236"/>
      <c r="J833" s="236"/>
      <c r="K833" s="236"/>
      <c r="L833" s="236"/>
      <c r="M833" s="236"/>
      <c r="N833" s="236"/>
      <c r="O833" s="236"/>
      <c r="P833" s="236"/>
      <c r="Q833" s="236"/>
      <c r="R833" s="200"/>
      <c r="S833" s="201"/>
      <c r="T833" s="202"/>
      <c r="U833" s="241"/>
      <c r="V833" s="241"/>
      <c r="W833" s="241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4" t="str">
        <f>IF(C834="","",VLOOKUP($B834,勘定科目!$A:$E,4,0))</f>
        <v/>
      </c>
      <c r="E834" s="240"/>
      <c r="F834" s="235"/>
      <c r="G834" s="236"/>
      <c r="H834" s="236"/>
      <c r="I834" s="236"/>
      <c r="J834" s="236"/>
      <c r="K834" s="236"/>
      <c r="L834" s="236"/>
      <c r="M834" s="236"/>
      <c r="N834" s="236"/>
      <c r="O834" s="236"/>
      <c r="P834" s="236"/>
      <c r="Q834" s="236"/>
      <c r="R834" s="200"/>
      <c r="S834" s="201"/>
      <c r="T834" s="202"/>
      <c r="U834" s="241"/>
      <c r="V834" s="241"/>
      <c r="W834" s="241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4" t="str">
        <f>IF(C835="","",VLOOKUP($B835,勘定科目!$A:$E,4,0))</f>
        <v/>
      </c>
      <c r="E835" s="240"/>
      <c r="F835" s="235"/>
      <c r="G835" s="236"/>
      <c r="H835" s="236"/>
      <c r="I835" s="236"/>
      <c r="J835" s="236"/>
      <c r="K835" s="236"/>
      <c r="L835" s="236"/>
      <c r="M835" s="236"/>
      <c r="N835" s="236"/>
      <c r="O835" s="236"/>
      <c r="P835" s="236"/>
      <c r="Q835" s="236"/>
      <c r="R835" s="200"/>
      <c r="S835" s="201"/>
      <c r="T835" s="202"/>
      <c r="U835" s="241"/>
      <c r="V835" s="241"/>
      <c r="W835" s="241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4" t="str">
        <f>IF(C836="","",VLOOKUP($B836,勘定科目!$A:$E,4,0))</f>
        <v/>
      </c>
      <c r="E836" s="240"/>
      <c r="F836" s="235"/>
      <c r="G836" s="236"/>
      <c r="H836" s="236"/>
      <c r="I836" s="236"/>
      <c r="J836" s="236"/>
      <c r="K836" s="236"/>
      <c r="L836" s="236"/>
      <c r="M836" s="236"/>
      <c r="N836" s="236"/>
      <c r="O836" s="236"/>
      <c r="P836" s="236"/>
      <c r="Q836" s="236"/>
      <c r="R836" s="200"/>
      <c r="S836" s="201"/>
      <c r="T836" s="202"/>
      <c r="U836" s="241"/>
      <c r="V836" s="241"/>
      <c r="W836" s="241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4" t="str">
        <f>IF(C837="","",VLOOKUP($B837,勘定科目!$A:$E,4,0))</f>
        <v/>
      </c>
      <c r="E837" s="240"/>
      <c r="F837" s="235"/>
      <c r="G837" s="236"/>
      <c r="H837" s="236"/>
      <c r="I837" s="236"/>
      <c r="J837" s="236"/>
      <c r="K837" s="236"/>
      <c r="L837" s="236"/>
      <c r="M837" s="236"/>
      <c r="N837" s="236"/>
      <c r="O837" s="236"/>
      <c r="P837" s="236"/>
      <c r="Q837" s="236"/>
      <c r="R837" s="200"/>
      <c r="S837" s="201"/>
      <c r="T837" s="202"/>
      <c r="U837" s="241"/>
      <c r="V837" s="241"/>
      <c r="W837" s="241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4" t="str">
        <f>IF(C838="","",VLOOKUP($B838,勘定科目!$A:$E,4,0))</f>
        <v/>
      </c>
      <c r="E838" s="240"/>
      <c r="F838" s="235"/>
      <c r="G838" s="236"/>
      <c r="H838" s="236"/>
      <c r="I838" s="236"/>
      <c r="J838" s="236"/>
      <c r="K838" s="236"/>
      <c r="L838" s="236"/>
      <c r="M838" s="236"/>
      <c r="N838" s="236"/>
      <c r="O838" s="236"/>
      <c r="P838" s="236"/>
      <c r="Q838" s="236"/>
      <c r="R838" s="200"/>
      <c r="S838" s="201"/>
      <c r="T838" s="202"/>
      <c r="U838" s="241"/>
      <c r="V838" s="241"/>
      <c r="W838" s="241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4" t="str">
        <f>IF(C839="","",VLOOKUP($B839,勘定科目!$A:$E,4,0))</f>
        <v/>
      </c>
      <c r="E839" s="240"/>
      <c r="F839" s="235"/>
      <c r="G839" s="236"/>
      <c r="H839" s="236"/>
      <c r="I839" s="236"/>
      <c r="J839" s="236"/>
      <c r="K839" s="236"/>
      <c r="L839" s="236"/>
      <c r="M839" s="236"/>
      <c r="N839" s="236"/>
      <c r="O839" s="236"/>
      <c r="P839" s="236"/>
      <c r="Q839" s="236"/>
      <c r="R839" s="200"/>
      <c r="S839" s="201"/>
      <c r="T839" s="202"/>
      <c r="U839" s="241"/>
      <c r="V839" s="241"/>
      <c r="W839" s="241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4" t="str">
        <f>IF(C840="","",VLOOKUP($B840,勘定科目!$A:$E,4,0))</f>
        <v/>
      </c>
      <c r="E840" s="240"/>
      <c r="F840" s="235"/>
      <c r="G840" s="236"/>
      <c r="H840" s="236"/>
      <c r="I840" s="236"/>
      <c r="J840" s="236"/>
      <c r="K840" s="236"/>
      <c r="L840" s="236"/>
      <c r="M840" s="236"/>
      <c r="N840" s="236"/>
      <c r="O840" s="236"/>
      <c r="P840" s="236"/>
      <c r="Q840" s="236"/>
      <c r="R840" s="200"/>
      <c r="S840" s="201"/>
      <c r="T840" s="202"/>
      <c r="U840" s="241"/>
      <c r="V840" s="241"/>
      <c r="W840" s="241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4" t="str">
        <f>IF(C841="","",VLOOKUP($B841,勘定科目!$A:$E,4,0))</f>
        <v/>
      </c>
      <c r="E841" s="240"/>
      <c r="F841" s="235"/>
      <c r="G841" s="236"/>
      <c r="H841" s="236"/>
      <c r="I841" s="236"/>
      <c r="J841" s="236"/>
      <c r="K841" s="236"/>
      <c r="L841" s="236"/>
      <c r="M841" s="236"/>
      <c r="N841" s="236"/>
      <c r="O841" s="236"/>
      <c r="P841" s="236"/>
      <c r="Q841" s="236"/>
      <c r="R841" s="200"/>
      <c r="S841" s="201"/>
      <c r="T841" s="202"/>
      <c r="U841" s="241"/>
      <c r="V841" s="241"/>
      <c r="W841" s="241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4" t="str">
        <f>IF(C842="","",VLOOKUP($B842,勘定科目!$A:$E,4,0))</f>
        <v/>
      </c>
      <c r="E842" s="240"/>
      <c r="F842" s="235"/>
      <c r="G842" s="236"/>
      <c r="H842" s="236"/>
      <c r="I842" s="236"/>
      <c r="J842" s="236"/>
      <c r="K842" s="236"/>
      <c r="L842" s="236"/>
      <c r="M842" s="236"/>
      <c r="N842" s="236"/>
      <c r="O842" s="236"/>
      <c r="P842" s="236"/>
      <c r="Q842" s="236"/>
      <c r="R842" s="200"/>
      <c r="S842" s="201"/>
      <c r="T842" s="202"/>
      <c r="U842" s="241"/>
      <c r="V842" s="241"/>
      <c r="W842" s="241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4" t="str">
        <f>IF(C843="","",VLOOKUP($B843,勘定科目!$A:$E,4,0))</f>
        <v/>
      </c>
      <c r="E843" s="240"/>
      <c r="F843" s="235"/>
      <c r="G843" s="236"/>
      <c r="H843" s="236"/>
      <c r="I843" s="236"/>
      <c r="J843" s="236"/>
      <c r="K843" s="236"/>
      <c r="L843" s="236"/>
      <c r="M843" s="236"/>
      <c r="N843" s="236"/>
      <c r="O843" s="236"/>
      <c r="P843" s="236"/>
      <c r="Q843" s="236"/>
      <c r="R843" s="200"/>
      <c r="S843" s="201"/>
      <c r="T843" s="202"/>
      <c r="U843" s="241"/>
      <c r="V843" s="241"/>
      <c r="W843" s="241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4" t="str">
        <f>IF(C844="","",VLOOKUP($B844,勘定科目!$A:$E,4,0))</f>
        <v/>
      </c>
      <c r="E844" s="240"/>
      <c r="F844" s="235"/>
      <c r="G844" s="236"/>
      <c r="H844" s="236"/>
      <c r="I844" s="236"/>
      <c r="J844" s="236"/>
      <c r="K844" s="236"/>
      <c r="L844" s="236"/>
      <c r="M844" s="236"/>
      <c r="N844" s="236"/>
      <c r="O844" s="236"/>
      <c r="P844" s="236"/>
      <c r="Q844" s="236"/>
      <c r="R844" s="200"/>
      <c r="S844" s="201"/>
      <c r="T844" s="202"/>
      <c r="U844" s="241"/>
      <c r="V844" s="241"/>
      <c r="W844" s="241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4" t="str">
        <f>IF(C845="","",VLOOKUP($B845,勘定科目!$A:$E,4,0))</f>
        <v/>
      </c>
      <c r="E845" s="240"/>
      <c r="F845" s="235"/>
      <c r="G845" s="236"/>
      <c r="H845" s="236"/>
      <c r="I845" s="236"/>
      <c r="J845" s="236"/>
      <c r="K845" s="236"/>
      <c r="L845" s="236"/>
      <c r="M845" s="236"/>
      <c r="N845" s="236"/>
      <c r="O845" s="236"/>
      <c r="P845" s="236"/>
      <c r="Q845" s="236"/>
      <c r="R845" s="200"/>
      <c r="S845" s="201"/>
      <c r="T845" s="202"/>
      <c r="U845" s="241"/>
      <c r="V845" s="241"/>
      <c r="W845" s="241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4" t="str">
        <f>IF(C846="","",VLOOKUP($B846,勘定科目!$A:$E,4,0))</f>
        <v/>
      </c>
      <c r="E846" s="240"/>
      <c r="F846" s="235"/>
      <c r="G846" s="236"/>
      <c r="H846" s="236"/>
      <c r="I846" s="236"/>
      <c r="J846" s="236"/>
      <c r="K846" s="236"/>
      <c r="L846" s="236"/>
      <c r="M846" s="236"/>
      <c r="N846" s="236"/>
      <c r="O846" s="236"/>
      <c r="P846" s="236"/>
      <c r="Q846" s="236"/>
      <c r="R846" s="200"/>
      <c r="S846" s="201"/>
      <c r="T846" s="202"/>
      <c r="U846" s="241"/>
      <c r="V846" s="241"/>
      <c r="W846" s="241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4" t="str">
        <f>IF(C847="","",VLOOKUP($B847,勘定科目!$A:$E,4,0))</f>
        <v/>
      </c>
      <c r="E847" s="240"/>
      <c r="F847" s="235"/>
      <c r="G847" s="236"/>
      <c r="H847" s="236"/>
      <c r="I847" s="236"/>
      <c r="J847" s="236"/>
      <c r="K847" s="236"/>
      <c r="L847" s="236"/>
      <c r="M847" s="236"/>
      <c r="N847" s="236"/>
      <c r="O847" s="236"/>
      <c r="P847" s="236"/>
      <c r="Q847" s="236"/>
      <c r="R847" s="200"/>
      <c r="S847" s="201"/>
      <c r="T847" s="202"/>
      <c r="U847" s="241"/>
      <c r="V847" s="241"/>
      <c r="W847" s="241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4" t="str">
        <f>IF(C848="","",VLOOKUP($B848,勘定科目!$A:$E,4,0))</f>
        <v/>
      </c>
      <c r="E848" s="240"/>
      <c r="F848" s="235"/>
      <c r="G848" s="236"/>
      <c r="H848" s="236"/>
      <c r="I848" s="236"/>
      <c r="J848" s="236"/>
      <c r="K848" s="236"/>
      <c r="L848" s="236"/>
      <c r="M848" s="236"/>
      <c r="N848" s="236"/>
      <c r="O848" s="236"/>
      <c r="P848" s="236"/>
      <c r="Q848" s="236"/>
      <c r="R848" s="200"/>
      <c r="S848" s="201"/>
      <c r="T848" s="202"/>
      <c r="U848" s="241"/>
      <c r="V848" s="241"/>
      <c r="W848" s="241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4" t="str">
        <f>IF(C849="","",VLOOKUP($B849,勘定科目!$A:$E,4,0))</f>
        <v/>
      </c>
      <c r="E849" s="240"/>
      <c r="F849" s="235"/>
      <c r="G849" s="236"/>
      <c r="H849" s="236"/>
      <c r="I849" s="236"/>
      <c r="J849" s="236"/>
      <c r="K849" s="236"/>
      <c r="L849" s="236"/>
      <c r="M849" s="236"/>
      <c r="N849" s="236"/>
      <c r="O849" s="236"/>
      <c r="P849" s="236"/>
      <c r="Q849" s="236"/>
      <c r="R849" s="200"/>
      <c r="S849" s="201"/>
      <c r="T849" s="202"/>
      <c r="U849" s="241"/>
      <c r="V849" s="241"/>
      <c r="W849" s="241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4" t="str">
        <f>IF(C850="","",VLOOKUP($B850,勘定科目!$A:$E,4,0))</f>
        <v/>
      </c>
      <c r="E850" s="240"/>
      <c r="F850" s="235"/>
      <c r="G850" s="236"/>
      <c r="H850" s="236"/>
      <c r="I850" s="236"/>
      <c r="J850" s="236"/>
      <c r="K850" s="236"/>
      <c r="L850" s="236"/>
      <c r="M850" s="236"/>
      <c r="N850" s="236"/>
      <c r="O850" s="236"/>
      <c r="P850" s="236"/>
      <c r="Q850" s="236"/>
      <c r="R850" s="200"/>
      <c r="S850" s="201"/>
      <c r="T850" s="202"/>
      <c r="U850" s="241"/>
      <c r="V850" s="241"/>
      <c r="W850" s="241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4" t="str">
        <f>IF(C851="","",VLOOKUP($B851,勘定科目!$A:$E,4,0))</f>
        <v/>
      </c>
      <c r="E851" s="240"/>
      <c r="F851" s="235"/>
      <c r="G851" s="236"/>
      <c r="H851" s="236"/>
      <c r="I851" s="236"/>
      <c r="J851" s="236"/>
      <c r="K851" s="236"/>
      <c r="L851" s="236"/>
      <c r="M851" s="236"/>
      <c r="N851" s="236"/>
      <c r="O851" s="236"/>
      <c r="P851" s="236"/>
      <c r="Q851" s="236"/>
      <c r="R851" s="200"/>
      <c r="S851" s="201"/>
      <c r="T851" s="202"/>
      <c r="U851" s="241"/>
      <c r="V851" s="241"/>
      <c r="W851" s="241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4" t="str">
        <f>IF(C852="","",VLOOKUP($B852,勘定科目!$A:$E,4,0))</f>
        <v/>
      </c>
      <c r="E852" s="240"/>
      <c r="F852" s="235"/>
      <c r="G852" s="236"/>
      <c r="H852" s="236"/>
      <c r="I852" s="236"/>
      <c r="J852" s="236"/>
      <c r="K852" s="236"/>
      <c r="L852" s="236"/>
      <c r="M852" s="236"/>
      <c r="N852" s="236"/>
      <c r="O852" s="236"/>
      <c r="P852" s="236"/>
      <c r="Q852" s="236"/>
      <c r="R852" s="200"/>
      <c r="S852" s="201"/>
      <c r="T852" s="202"/>
      <c r="U852" s="241"/>
      <c r="V852" s="241"/>
      <c r="W852" s="241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4" t="str">
        <f>IF(C853="","",VLOOKUP($B853,勘定科目!$A:$E,4,0))</f>
        <v/>
      </c>
      <c r="E853" s="240"/>
      <c r="F853" s="235"/>
      <c r="G853" s="236"/>
      <c r="H853" s="236"/>
      <c r="I853" s="236"/>
      <c r="J853" s="236"/>
      <c r="K853" s="236"/>
      <c r="L853" s="236"/>
      <c r="M853" s="236"/>
      <c r="N853" s="236"/>
      <c r="O853" s="236"/>
      <c r="P853" s="236"/>
      <c r="Q853" s="236"/>
      <c r="R853" s="200"/>
      <c r="S853" s="201"/>
      <c r="T853" s="202"/>
      <c r="U853" s="241"/>
      <c r="V853" s="241"/>
      <c r="W853" s="241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4" t="str">
        <f>IF(C854="","",VLOOKUP($B854,勘定科目!$A:$E,4,0))</f>
        <v/>
      </c>
      <c r="E854" s="240"/>
      <c r="F854" s="235"/>
      <c r="G854" s="236"/>
      <c r="H854" s="236"/>
      <c r="I854" s="236"/>
      <c r="J854" s="236"/>
      <c r="K854" s="236"/>
      <c r="L854" s="236"/>
      <c r="M854" s="236"/>
      <c r="N854" s="236"/>
      <c r="O854" s="236"/>
      <c r="P854" s="236"/>
      <c r="Q854" s="236"/>
      <c r="R854" s="200"/>
      <c r="S854" s="201"/>
      <c r="T854" s="202"/>
      <c r="U854" s="241"/>
      <c r="V854" s="241"/>
      <c r="W854" s="241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4" t="str">
        <f>IF(C855="","",VLOOKUP($B855,勘定科目!$A:$E,4,0))</f>
        <v/>
      </c>
      <c r="E855" s="240"/>
      <c r="F855" s="235"/>
      <c r="G855" s="236"/>
      <c r="H855" s="236"/>
      <c r="I855" s="236"/>
      <c r="J855" s="236"/>
      <c r="K855" s="236"/>
      <c r="L855" s="236"/>
      <c r="M855" s="236"/>
      <c r="N855" s="236"/>
      <c r="O855" s="236"/>
      <c r="P855" s="236"/>
      <c r="Q855" s="236"/>
      <c r="R855" s="200"/>
      <c r="S855" s="201"/>
      <c r="T855" s="202"/>
      <c r="U855" s="241"/>
      <c r="V855" s="241"/>
      <c r="W855" s="241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4" t="str">
        <f>IF(C856="","",VLOOKUP($B856,勘定科目!$A:$E,4,0))</f>
        <v/>
      </c>
      <c r="E856" s="240"/>
      <c r="F856" s="235"/>
      <c r="G856" s="236"/>
      <c r="H856" s="236"/>
      <c r="I856" s="236"/>
      <c r="J856" s="236"/>
      <c r="K856" s="236"/>
      <c r="L856" s="236"/>
      <c r="M856" s="236"/>
      <c r="N856" s="236"/>
      <c r="O856" s="236"/>
      <c r="P856" s="236"/>
      <c r="Q856" s="236"/>
      <c r="R856" s="200"/>
      <c r="S856" s="201"/>
      <c r="T856" s="202"/>
      <c r="U856" s="241"/>
      <c r="V856" s="241"/>
      <c r="W856" s="241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4" t="str">
        <f>IF(C857="","",VLOOKUP($B857,勘定科目!$A:$E,4,0))</f>
        <v/>
      </c>
      <c r="E857" s="240"/>
      <c r="F857" s="235"/>
      <c r="G857" s="236"/>
      <c r="H857" s="236"/>
      <c r="I857" s="236"/>
      <c r="J857" s="236"/>
      <c r="K857" s="236"/>
      <c r="L857" s="236"/>
      <c r="M857" s="236"/>
      <c r="N857" s="236"/>
      <c r="O857" s="236"/>
      <c r="P857" s="236"/>
      <c r="Q857" s="236"/>
      <c r="R857" s="200"/>
      <c r="S857" s="201"/>
      <c r="T857" s="202"/>
      <c r="U857" s="241"/>
      <c r="V857" s="241"/>
      <c r="W857" s="241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4" t="str">
        <f>IF(C858="","",VLOOKUP($B858,勘定科目!$A:$E,4,0))</f>
        <v/>
      </c>
      <c r="E858" s="240"/>
      <c r="F858" s="235"/>
      <c r="G858" s="236"/>
      <c r="H858" s="236"/>
      <c r="I858" s="236"/>
      <c r="J858" s="236"/>
      <c r="K858" s="236"/>
      <c r="L858" s="236"/>
      <c r="M858" s="236"/>
      <c r="N858" s="236"/>
      <c r="O858" s="236"/>
      <c r="P858" s="236"/>
      <c r="Q858" s="236"/>
      <c r="R858" s="200"/>
      <c r="S858" s="201"/>
      <c r="T858" s="202"/>
      <c r="U858" s="241"/>
      <c r="V858" s="241"/>
      <c r="W858" s="241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4" t="str">
        <f>IF(C859="","",VLOOKUP($B859,勘定科目!$A:$E,4,0))</f>
        <v/>
      </c>
      <c r="E859" s="240"/>
      <c r="F859" s="235"/>
      <c r="G859" s="236"/>
      <c r="H859" s="236"/>
      <c r="I859" s="236"/>
      <c r="J859" s="236"/>
      <c r="K859" s="236"/>
      <c r="L859" s="236"/>
      <c r="M859" s="236"/>
      <c r="N859" s="236"/>
      <c r="O859" s="236"/>
      <c r="P859" s="236"/>
      <c r="Q859" s="236"/>
      <c r="R859" s="200"/>
      <c r="S859" s="201"/>
      <c r="T859" s="202"/>
      <c r="U859" s="241"/>
      <c r="V859" s="241"/>
      <c r="W859" s="241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4" t="str">
        <f>IF(C860="","",VLOOKUP($B860,勘定科目!$A:$E,4,0))</f>
        <v/>
      </c>
      <c r="E860" s="240"/>
      <c r="F860" s="235"/>
      <c r="G860" s="236"/>
      <c r="H860" s="236"/>
      <c r="I860" s="236"/>
      <c r="J860" s="236"/>
      <c r="K860" s="236"/>
      <c r="L860" s="236"/>
      <c r="M860" s="236"/>
      <c r="N860" s="236"/>
      <c r="O860" s="236"/>
      <c r="P860" s="236"/>
      <c r="Q860" s="236"/>
      <c r="R860" s="200"/>
      <c r="S860" s="201"/>
      <c r="T860" s="202"/>
      <c r="U860" s="241"/>
      <c r="V860" s="241"/>
      <c r="W860" s="241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4" t="str">
        <f>IF(C861="","",VLOOKUP($B861,勘定科目!$A:$E,4,0))</f>
        <v/>
      </c>
      <c r="E861" s="240"/>
      <c r="F861" s="235"/>
      <c r="G861" s="236"/>
      <c r="H861" s="236"/>
      <c r="I861" s="236"/>
      <c r="J861" s="236"/>
      <c r="K861" s="236"/>
      <c r="L861" s="236"/>
      <c r="M861" s="236"/>
      <c r="N861" s="236"/>
      <c r="O861" s="236"/>
      <c r="P861" s="236"/>
      <c r="Q861" s="236"/>
      <c r="R861" s="200"/>
      <c r="S861" s="201"/>
      <c r="T861" s="202"/>
      <c r="U861" s="241"/>
      <c r="V861" s="241"/>
      <c r="W861" s="241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4" t="str">
        <f>IF(C862="","",VLOOKUP($B862,勘定科目!$A:$E,4,0))</f>
        <v/>
      </c>
      <c r="E862" s="240"/>
      <c r="F862" s="235"/>
      <c r="G862" s="236"/>
      <c r="H862" s="236"/>
      <c r="I862" s="236"/>
      <c r="J862" s="236"/>
      <c r="K862" s="236"/>
      <c r="L862" s="236"/>
      <c r="M862" s="236"/>
      <c r="N862" s="236"/>
      <c r="O862" s="236"/>
      <c r="P862" s="236"/>
      <c r="Q862" s="236"/>
      <c r="R862" s="200"/>
      <c r="S862" s="201"/>
      <c r="T862" s="202"/>
      <c r="U862" s="241"/>
      <c r="V862" s="241"/>
      <c r="W862" s="241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4" t="str">
        <f>IF(C863="","",VLOOKUP($B863,勘定科目!$A:$E,4,0))</f>
        <v/>
      </c>
      <c r="E863" s="240"/>
      <c r="F863" s="235"/>
      <c r="G863" s="236"/>
      <c r="H863" s="236"/>
      <c r="I863" s="236"/>
      <c r="J863" s="236"/>
      <c r="K863" s="236"/>
      <c r="L863" s="236"/>
      <c r="M863" s="236"/>
      <c r="N863" s="236"/>
      <c r="O863" s="236"/>
      <c r="P863" s="236"/>
      <c r="Q863" s="236"/>
      <c r="R863" s="200"/>
      <c r="S863" s="201"/>
      <c r="T863" s="202"/>
      <c r="U863" s="241"/>
      <c r="V863" s="241"/>
      <c r="W863" s="241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4" t="str">
        <f>IF(C864="","",VLOOKUP($B864,勘定科目!$A:$E,4,0))</f>
        <v/>
      </c>
      <c r="E864" s="240"/>
      <c r="F864" s="235"/>
      <c r="G864" s="236"/>
      <c r="H864" s="236"/>
      <c r="I864" s="236"/>
      <c r="J864" s="236"/>
      <c r="K864" s="236"/>
      <c r="L864" s="236"/>
      <c r="M864" s="236"/>
      <c r="N864" s="236"/>
      <c r="O864" s="236"/>
      <c r="P864" s="236"/>
      <c r="Q864" s="236"/>
      <c r="R864" s="200"/>
      <c r="S864" s="201"/>
      <c r="T864" s="202"/>
      <c r="U864" s="241"/>
      <c r="V864" s="241"/>
      <c r="W864" s="241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4" t="str">
        <f>IF(C865="","",VLOOKUP($B865,勘定科目!$A:$E,4,0))</f>
        <v/>
      </c>
      <c r="E865" s="240"/>
      <c r="F865" s="235"/>
      <c r="G865" s="236"/>
      <c r="H865" s="236"/>
      <c r="I865" s="236"/>
      <c r="J865" s="236"/>
      <c r="K865" s="236"/>
      <c r="L865" s="236"/>
      <c r="M865" s="236"/>
      <c r="N865" s="236"/>
      <c r="O865" s="236"/>
      <c r="P865" s="236"/>
      <c r="Q865" s="236"/>
      <c r="R865" s="200"/>
      <c r="S865" s="201"/>
      <c r="T865" s="202"/>
      <c r="U865" s="241"/>
      <c r="V865" s="241"/>
      <c r="W865" s="241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4" t="str">
        <f>IF(C866="","",VLOOKUP($B866,勘定科目!$A:$E,4,0))</f>
        <v/>
      </c>
      <c r="E866" s="240"/>
      <c r="F866" s="235"/>
      <c r="G866" s="236"/>
      <c r="H866" s="236"/>
      <c r="I866" s="236"/>
      <c r="J866" s="236"/>
      <c r="K866" s="236"/>
      <c r="L866" s="236"/>
      <c r="M866" s="236"/>
      <c r="N866" s="236"/>
      <c r="O866" s="236"/>
      <c r="P866" s="236"/>
      <c r="Q866" s="236"/>
      <c r="R866" s="200"/>
      <c r="S866" s="201"/>
      <c r="T866" s="202"/>
      <c r="U866" s="241"/>
      <c r="V866" s="241"/>
      <c r="W866" s="241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4" t="str">
        <f>IF(C867="","",VLOOKUP($B867,勘定科目!$A:$E,4,0))</f>
        <v/>
      </c>
      <c r="E867" s="240"/>
      <c r="F867" s="235"/>
      <c r="G867" s="236"/>
      <c r="H867" s="236"/>
      <c r="I867" s="236"/>
      <c r="J867" s="236"/>
      <c r="K867" s="236"/>
      <c r="L867" s="236"/>
      <c r="M867" s="236"/>
      <c r="N867" s="236"/>
      <c r="O867" s="236"/>
      <c r="P867" s="236"/>
      <c r="Q867" s="236"/>
      <c r="R867" s="200"/>
      <c r="S867" s="201"/>
      <c r="T867" s="202"/>
      <c r="U867" s="241"/>
      <c r="V867" s="241"/>
      <c r="W867" s="241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4" t="str">
        <f>IF(C868="","",VLOOKUP($B868,勘定科目!$A:$E,4,0))</f>
        <v/>
      </c>
      <c r="E868" s="240"/>
      <c r="F868" s="235"/>
      <c r="G868" s="236"/>
      <c r="H868" s="236"/>
      <c r="I868" s="236"/>
      <c r="J868" s="236"/>
      <c r="K868" s="236"/>
      <c r="L868" s="236"/>
      <c r="M868" s="236"/>
      <c r="N868" s="236"/>
      <c r="O868" s="236"/>
      <c r="P868" s="236"/>
      <c r="Q868" s="236"/>
      <c r="R868" s="200"/>
      <c r="S868" s="201"/>
      <c r="T868" s="202"/>
      <c r="U868" s="241"/>
      <c r="V868" s="241"/>
      <c r="W868" s="241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4" t="str">
        <f>IF(C869="","",VLOOKUP($B869,勘定科目!$A:$E,4,0))</f>
        <v/>
      </c>
      <c r="E869" s="240"/>
      <c r="F869" s="235"/>
      <c r="G869" s="236"/>
      <c r="H869" s="236"/>
      <c r="I869" s="236"/>
      <c r="J869" s="236"/>
      <c r="K869" s="236"/>
      <c r="L869" s="236"/>
      <c r="M869" s="236"/>
      <c r="N869" s="236"/>
      <c r="O869" s="236"/>
      <c r="P869" s="236"/>
      <c r="Q869" s="236"/>
      <c r="R869" s="200"/>
      <c r="S869" s="201"/>
      <c r="T869" s="202"/>
      <c r="U869" s="241"/>
      <c r="V869" s="241"/>
      <c r="W869" s="241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4" t="str">
        <f>IF(C870="","",VLOOKUP($B870,勘定科目!$A:$E,4,0))</f>
        <v/>
      </c>
      <c r="E870" s="240"/>
      <c r="F870" s="235"/>
      <c r="G870" s="236"/>
      <c r="H870" s="236"/>
      <c r="I870" s="236"/>
      <c r="J870" s="236"/>
      <c r="K870" s="236"/>
      <c r="L870" s="236"/>
      <c r="M870" s="236"/>
      <c r="N870" s="236"/>
      <c r="O870" s="236"/>
      <c r="P870" s="236"/>
      <c r="Q870" s="236"/>
      <c r="R870" s="200"/>
      <c r="S870" s="201"/>
      <c r="T870" s="202"/>
      <c r="U870" s="241"/>
      <c r="V870" s="241"/>
      <c r="W870" s="241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4" t="str">
        <f>IF(C871="","",VLOOKUP($B871,勘定科目!$A:$E,4,0))</f>
        <v/>
      </c>
      <c r="E871" s="240"/>
      <c r="F871" s="235"/>
      <c r="G871" s="236"/>
      <c r="H871" s="236"/>
      <c r="I871" s="236"/>
      <c r="J871" s="236"/>
      <c r="K871" s="236"/>
      <c r="L871" s="236"/>
      <c r="M871" s="236"/>
      <c r="N871" s="236"/>
      <c r="O871" s="236"/>
      <c r="P871" s="236"/>
      <c r="Q871" s="236"/>
      <c r="R871" s="200"/>
      <c r="S871" s="201"/>
      <c r="T871" s="202"/>
      <c r="U871" s="241"/>
      <c r="V871" s="241"/>
      <c r="W871" s="241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4" t="str">
        <f>IF(C872="","",VLOOKUP($B872,勘定科目!$A:$E,4,0))</f>
        <v/>
      </c>
      <c r="E872" s="240"/>
      <c r="F872" s="235"/>
      <c r="G872" s="236"/>
      <c r="H872" s="236"/>
      <c r="I872" s="236"/>
      <c r="J872" s="236"/>
      <c r="K872" s="236"/>
      <c r="L872" s="236"/>
      <c r="M872" s="236"/>
      <c r="N872" s="236"/>
      <c r="O872" s="236"/>
      <c r="P872" s="236"/>
      <c r="Q872" s="236"/>
      <c r="R872" s="200"/>
      <c r="S872" s="201"/>
      <c r="T872" s="202"/>
      <c r="U872" s="241"/>
      <c r="V872" s="241"/>
      <c r="W872" s="241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4" t="str">
        <f>IF(C873="","",VLOOKUP($B873,勘定科目!$A:$E,4,0))</f>
        <v/>
      </c>
      <c r="E873" s="240"/>
      <c r="F873" s="235"/>
      <c r="G873" s="236"/>
      <c r="H873" s="236"/>
      <c r="I873" s="236"/>
      <c r="J873" s="236"/>
      <c r="K873" s="236"/>
      <c r="L873" s="236"/>
      <c r="M873" s="236"/>
      <c r="N873" s="236"/>
      <c r="O873" s="236"/>
      <c r="P873" s="236"/>
      <c r="Q873" s="236"/>
      <c r="R873" s="200"/>
      <c r="S873" s="201"/>
      <c r="T873" s="202"/>
      <c r="U873" s="241"/>
      <c r="V873" s="241"/>
      <c r="W873" s="241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4" t="str">
        <f>IF(C874="","",VLOOKUP($B874,勘定科目!$A:$E,4,0))</f>
        <v/>
      </c>
      <c r="E874" s="240"/>
      <c r="F874" s="235"/>
      <c r="G874" s="236"/>
      <c r="H874" s="236"/>
      <c r="I874" s="236"/>
      <c r="J874" s="236"/>
      <c r="K874" s="236"/>
      <c r="L874" s="236"/>
      <c r="M874" s="236"/>
      <c r="N874" s="236"/>
      <c r="O874" s="236"/>
      <c r="P874" s="236"/>
      <c r="Q874" s="236"/>
      <c r="R874" s="200"/>
      <c r="S874" s="201"/>
      <c r="T874" s="202"/>
      <c r="U874" s="241"/>
      <c r="V874" s="241"/>
      <c r="W874" s="241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4" t="str">
        <f>IF(C875="","",VLOOKUP($B875,勘定科目!$A:$E,4,0))</f>
        <v/>
      </c>
      <c r="E875" s="240"/>
      <c r="F875" s="235"/>
      <c r="G875" s="236"/>
      <c r="H875" s="236"/>
      <c r="I875" s="236"/>
      <c r="J875" s="236"/>
      <c r="K875" s="236"/>
      <c r="L875" s="236"/>
      <c r="M875" s="236"/>
      <c r="N875" s="236"/>
      <c r="O875" s="236"/>
      <c r="P875" s="236"/>
      <c r="Q875" s="236"/>
      <c r="R875" s="200"/>
      <c r="S875" s="201"/>
      <c r="T875" s="202"/>
      <c r="U875" s="241"/>
      <c r="V875" s="241"/>
      <c r="W875" s="241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4" t="str">
        <f>IF(C876="","",VLOOKUP($B876,勘定科目!$A:$E,4,0))</f>
        <v/>
      </c>
      <c r="E876" s="240"/>
      <c r="F876" s="235"/>
      <c r="G876" s="236"/>
      <c r="H876" s="236"/>
      <c r="I876" s="236"/>
      <c r="J876" s="236"/>
      <c r="K876" s="236"/>
      <c r="L876" s="236"/>
      <c r="M876" s="236"/>
      <c r="N876" s="236"/>
      <c r="O876" s="236"/>
      <c r="P876" s="236"/>
      <c r="Q876" s="236"/>
      <c r="R876" s="200"/>
      <c r="S876" s="201"/>
      <c r="T876" s="202"/>
      <c r="U876" s="241"/>
      <c r="V876" s="241"/>
      <c r="W876" s="241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4" t="str">
        <f>IF(C877="","",VLOOKUP($B877,勘定科目!$A:$E,4,0))</f>
        <v/>
      </c>
      <c r="E877" s="240"/>
      <c r="F877" s="235"/>
      <c r="G877" s="236"/>
      <c r="H877" s="236"/>
      <c r="I877" s="236"/>
      <c r="J877" s="236"/>
      <c r="K877" s="236"/>
      <c r="L877" s="236"/>
      <c r="M877" s="236"/>
      <c r="N877" s="236"/>
      <c r="O877" s="236"/>
      <c r="P877" s="236"/>
      <c r="Q877" s="236"/>
      <c r="R877" s="200"/>
      <c r="S877" s="201"/>
      <c r="T877" s="202"/>
      <c r="U877" s="241"/>
      <c r="V877" s="241"/>
      <c r="W877" s="241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4" t="str">
        <f>IF(C878="","",VLOOKUP($B878,勘定科目!$A:$E,4,0))</f>
        <v/>
      </c>
      <c r="E878" s="240"/>
      <c r="F878" s="235"/>
      <c r="G878" s="236"/>
      <c r="H878" s="236"/>
      <c r="I878" s="236"/>
      <c r="J878" s="236"/>
      <c r="K878" s="236"/>
      <c r="L878" s="236"/>
      <c r="M878" s="236"/>
      <c r="N878" s="236"/>
      <c r="O878" s="236"/>
      <c r="P878" s="236"/>
      <c r="Q878" s="236"/>
      <c r="R878" s="200"/>
      <c r="S878" s="201"/>
      <c r="T878" s="202"/>
      <c r="U878" s="241"/>
      <c r="V878" s="241"/>
      <c r="W878" s="241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4" t="str">
        <f>IF(C879="","",VLOOKUP($B879,勘定科目!$A:$E,4,0))</f>
        <v/>
      </c>
      <c r="E879" s="240"/>
      <c r="F879" s="235"/>
      <c r="G879" s="236"/>
      <c r="H879" s="236"/>
      <c r="I879" s="236"/>
      <c r="J879" s="236"/>
      <c r="K879" s="236"/>
      <c r="L879" s="236"/>
      <c r="M879" s="236"/>
      <c r="N879" s="236"/>
      <c r="O879" s="236"/>
      <c r="P879" s="236"/>
      <c r="Q879" s="236"/>
      <c r="R879" s="200"/>
      <c r="S879" s="201"/>
      <c r="T879" s="202"/>
      <c r="U879" s="241"/>
      <c r="V879" s="241"/>
      <c r="W879" s="241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4" t="str">
        <f>IF(C880="","",VLOOKUP($B880,勘定科目!$A:$E,4,0))</f>
        <v/>
      </c>
      <c r="E880" s="240"/>
      <c r="F880" s="235"/>
      <c r="G880" s="236"/>
      <c r="H880" s="236"/>
      <c r="I880" s="236"/>
      <c r="J880" s="236"/>
      <c r="K880" s="236"/>
      <c r="L880" s="236"/>
      <c r="M880" s="236"/>
      <c r="N880" s="236"/>
      <c r="O880" s="236"/>
      <c r="P880" s="236"/>
      <c r="Q880" s="236"/>
      <c r="R880" s="200"/>
      <c r="S880" s="201"/>
      <c r="T880" s="202"/>
      <c r="U880" s="241"/>
      <c r="V880" s="241"/>
      <c r="W880" s="241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4" t="str">
        <f>IF(C881="","",VLOOKUP($B881,勘定科目!$A:$E,4,0))</f>
        <v/>
      </c>
      <c r="E881" s="240"/>
      <c r="F881" s="235"/>
      <c r="G881" s="236"/>
      <c r="H881" s="236"/>
      <c r="I881" s="236"/>
      <c r="J881" s="236"/>
      <c r="K881" s="236"/>
      <c r="L881" s="236"/>
      <c r="M881" s="236"/>
      <c r="N881" s="236"/>
      <c r="O881" s="236"/>
      <c r="P881" s="236"/>
      <c r="Q881" s="236"/>
      <c r="R881" s="200"/>
      <c r="S881" s="201"/>
      <c r="T881" s="202"/>
      <c r="U881" s="241"/>
      <c r="V881" s="241"/>
      <c r="W881" s="241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4" t="str">
        <f>IF(C882="","",VLOOKUP($B882,勘定科目!$A:$E,4,0))</f>
        <v/>
      </c>
      <c r="E882" s="240"/>
      <c r="F882" s="235"/>
      <c r="G882" s="236"/>
      <c r="H882" s="236"/>
      <c r="I882" s="236"/>
      <c r="J882" s="236"/>
      <c r="K882" s="236"/>
      <c r="L882" s="236"/>
      <c r="M882" s="236"/>
      <c r="N882" s="236"/>
      <c r="O882" s="236"/>
      <c r="P882" s="236"/>
      <c r="Q882" s="236"/>
      <c r="R882" s="200"/>
      <c r="S882" s="201"/>
      <c r="T882" s="202"/>
      <c r="U882" s="241"/>
      <c r="V882" s="241"/>
      <c r="W882" s="241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4" t="str">
        <f>IF(C883="","",VLOOKUP($B883,勘定科目!$A:$E,4,0))</f>
        <v/>
      </c>
      <c r="E883" s="240"/>
      <c r="F883" s="235"/>
      <c r="G883" s="236"/>
      <c r="H883" s="236"/>
      <c r="I883" s="236"/>
      <c r="J883" s="236"/>
      <c r="K883" s="236"/>
      <c r="L883" s="236"/>
      <c r="M883" s="236"/>
      <c r="N883" s="236"/>
      <c r="O883" s="236"/>
      <c r="P883" s="236"/>
      <c r="Q883" s="236"/>
      <c r="R883" s="200"/>
      <c r="S883" s="201"/>
      <c r="T883" s="202"/>
      <c r="U883" s="241"/>
      <c r="V883" s="241"/>
      <c r="W883" s="241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4" t="str">
        <f>IF(C884="","",VLOOKUP($B884,勘定科目!$A:$E,4,0))</f>
        <v/>
      </c>
      <c r="E884" s="240"/>
      <c r="F884" s="235"/>
      <c r="G884" s="236"/>
      <c r="H884" s="236"/>
      <c r="I884" s="236"/>
      <c r="J884" s="236"/>
      <c r="K884" s="236"/>
      <c r="L884" s="236"/>
      <c r="M884" s="236"/>
      <c r="N884" s="236"/>
      <c r="O884" s="236"/>
      <c r="P884" s="236"/>
      <c r="Q884" s="236"/>
      <c r="R884" s="200"/>
      <c r="S884" s="201"/>
      <c r="T884" s="202"/>
      <c r="U884" s="241"/>
      <c r="V884" s="241"/>
      <c r="W884" s="241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4" t="str">
        <f>IF(C885="","",VLOOKUP($B885,勘定科目!$A:$E,4,0))</f>
        <v/>
      </c>
      <c r="E885" s="240"/>
      <c r="F885" s="235"/>
      <c r="G885" s="236"/>
      <c r="H885" s="236"/>
      <c r="I885" s="236"/>
      <c r="J885" s="236"/>
      <c r="K885" s="236"/>
      <c r="L885" s="236"/>
      <c r="M885" s="236"/>
      <c r="N885" s="236"/>
      <c r="O885" s="236"/>
      <c r="P885" s="236"/>
      <c r="Q885" s="236"/>
      <c r="R885" s="200"/>
      <c r="S885" s="201"/>
      <c r="T885" s="202"/>
      <c r="U885" s="241"/>
      <c r="V885" s="241"/>
      <c r="W885" s="241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4" t="str">
        <f>IF(C886="","",VLOOKUP($B886,勘定科目!$A:$E,4,0))</f>
        <v/>
      </c>
      <c r="E886" s="240"/>
      <c r="F886" s="235"/>
      <c r="G886" s="236"/>
      <c r="H886" s="236"/>
      <c r="I886" s="236"/>
      <c r="J886" s="236"/>
      <c r="K886" s="236"/>
      <c r="L886" s="236"/>
      <c r="M886" s="236"/>
      <c r="N886" s="236"/>
      <c r="O886" s="236"/>
      <c r="P886" s="236"/>
      <c r="Q886" s="236"/>
      <c r="R886" s="200"/>
      <c r="S886" s="201"/>
      <c r="T886" s="202"/>
      <c r="U886" s="241"/>
      <c r="V886" s="241"/>
      <c r="W886" s="241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4" t="str">
        <f>IF(C887="","",VLOOKUP($B887,勘定科目!$A:$E,4,0))</f>
        <v/>
      </c>
      <c r="E887" s="240"/>
      <c r="F887" s="235"/>
      <c r="G887" s="236"/>
      <c r="H887" s="236"/>
      <c r="I887" s="236"/>
      <c r="J887" s="236"/>
      <c r="K887" s="236"/>
      <c r="L887" s="236"/>
      <c r="M887" s="236"/>
      <c r="N887" s="236"/>
      <c r="O887" s="236"/>
      <c r="P887" s="236"/>
      <c r="Q887" s="236"/>
      <c r="R887" s="200"/>
      <c r="S887" s="201"/>
      <c r="T887" s="202"/>
      <c r="U887" s="241"/>
      <c r="V887" s="241"/>
      <c r="W887" s="241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4" t="str">
        <f>IF(C888="","",VLOOKUP($B888,勘定科目!$A:$E,4,0))</f>
        <v/>
      </c>
      <c r="E888" s="240"/>
      <c r="F888" s="235"/>
      <c r="G888" s="236"/>
      <c r="H888" s="236"/>
      <c r="I888" s="236"/>
      <c r="J888" s="236"/>
      <c r="K888" s="236"/>
      <c r="L888" s="236"/>
      <c r="M888" s="236"/>
      <c r="N888" s="236"/>
      <c r="O888" s="236"/>
      <c r="P888" s="236"/>
      <c r="Q888" s="236"/>
      <c r="R888" s="200"/>
      <c r="S888" s="201"/>
      <c r="T888" s="202"/>
      <c r="U888" s="241"/>
      <c r="V888" s="241"/>
      <c r="W888" s="241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4" t="str">
        <f>IF(C889="","",VLOOKUP($B889,勘定科目!$A:$E,4,0))</f>
        <v/>
      </c>
      <c r="E889" s="240"/>
      <c r="F889" s="235"/>
      <c r="G889" s="236"/>
      <c r="H889" s="236"/>
      <c r="I889" s="236"/>
      <c r="J889" s="236"/>
      <c r="K889" s="236"/>
      <c r="L889" s="236"/>
      <c r="M889" s="236"/>
      <c r="N889" s="236"/>
      <c r="O889" s="236"/>
      <c r="P889" s="236"/>
      <c r="Q889" s="236"/>
      <c r="R889" s="200"/>
      <c r="S889" s="201"/>
      <c r="T889" s="202"/>
      <c r="U889" s="241"/>
      <c r="V889" s="241"/>
      <c r="W889" s="241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4" t="str">
        <f>IF(C890="","",VLOOKUP($B890,勘定科目!$A:$E,4,0))</f>
        <v/>
      </c>
      <c r="E890" s="240"/>
      <c r="F890" s="235"/>
      <c r="G890" s="236"/>
      <c r="H890" s="236"/>
      <c r="I890" s="236"/>
      <c r="J890" s="236"/>
      <c r="K890" s="236"/>
      <c r="L890" s="236"/>
      <c r="M890" s="236"/>
      <c r="N890" s="236"/>
      <c r="O890" s="236"/>
      <c r="P890" s="236"/>
      <c r="Q890" s="236"/>
      <c r="R890" s="200"/>
      <c r="S890" s="201"/>
      <c r="T890" s="202"/>
      <c r="U890" s="241"/>
      <c r="V890" s="241"/>
      <c r="W890" s="241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4" t="str">
        <f>IF(C891="","",VLOOKUP($B891,勘定科目!$A:$E,4,0))</f>
        <v/>
      </c>
      <c r="E891" s="240"/>
      <c r="F891" s="235"/>
      <c r="G891" s="236"/>
      <c r="H891" s="236"/>
      <c r="I891" s="236"/>
      <c r="J891" s="236"/>
      <c r="K891" s="236"/>
      <c r="L891" s="236"/>
      <c r="M891" s="236"/>
      <c r="N891" s="236"/>
      <c r="O891" s="236"/>
      <c r="P891" s="236"/>
      <c r="Q891" s="236"/>
      <c r="R891" s="200"/>
      <c r="S891" s="201"/>
      <c r="T891" s="202"/>
      <c r="U891" s="241"/>
      <c r="V891" s="241"/>
      <c r="W891" s="241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4" t="str">
        <f>IF(C892="","",VLOOKUP($B892,勘定科目!$A:$E,4,0))</f>
        <v/>
      </c>
      <c r="E892" s="240"/>
      <c r="F892" s="235"/>
      <c r="G892" s="236"/>
      <c r="H892" s="236"/>
      <c r="I892" s="236"/>
      <c r="J892" s="236"/>
      <c r="K892" s="236"/>
      <c r="L892" s="236"/>
      <c r="M892" s="236"/>
      <c r="N892" s="236"/>
      <c r="O892" s="236"/>
      <c r="P892" s="236"/>
      <c r="Q892" s="236"/>
      <c r="R892" s="200"/>
      <c r="S892" s="201"/>
      <c r="T892" s="202"/>
      <c r="U892" s="241"/>
      <c r="V892" s="241"/>
      <c r="W892" s="241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4" t="str">
        <f>IF(C893="","",VLOOKUP($B893,勘定科目!$A:$E,4,0))</f>
        <v/>
      </c>
      <c r="E893" s="240"/>
      <c r="F893" s="235"/>
      <c r="G893" s="236"/>
      <c r="H893" s="236"/>
      <c r="I893" s="236"/>
      <c r="J893" s="236"/>
      <c r="K893" s="236"/>
      <c r="L893" s="236"/>
      <c r="M893" s="236"/>
      <c r="N893" s="236"/>
      <c r="O893" s="236"/>
      <c r="P893" s="236"/>
      <c r="Q893" s="236"/>
      <c r="R893" s="200"/>
      <c r="S893" s="201"/>
      <c r="T893" s="202"/>
      <c r="U893" s="241"/>
      <c r="V893" s="241"/>
      <c r="W893" s="241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4" t="str">
        <f>IF(C894="","",VLOOKUP($B894,勘定科目!$A:$E,4,0))</f>
        <v/>
      </c>
      <c r="E894" s="240"/>
      <c r="F894" s="235"/>
      <c r="G894" s="236"/>
      <c r="H894" s="236"/>
      <c r="I894" s="236"/>
      <c r="J894" s="236"/>
      <c r="K894" s="236"/>
      <c r="L894" s="236"/>
      <c r="M894" s="236"/>
      <c r="N894" s="236"/>
      <c r="O894" s="236"/>
      <c r="P894" s="236"/>
      <c r="Q894" s="236"/>
      <c r="R894" s="200"/>
      <c r="S894" s="201"/>
      <c r="T894" s="202"/>
      <c r="U894" s="241"/>
      <c r="V894" s="241"/>
      <c r="W894" s="241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4" t="str">
        <f>IF(C895="","",VLOOKUP($B895,勘定科目!$A:$E,4,0))</f>
        <v/>
      </c>
      <c r="E895" s="240"/>
      <c r="F895" s="235"/>
      <c r="G895" s="236"/>
      <c r="H895" s="236"/>
      <c r="I895" s="236"/>
      <c r="J895" s="236"/>
      <c r="K895" s="236"/>
      <c r="L895" s="236"/>
      <c r="M895" s="236"/>
      <c r="N895" s="236"/>
      <c r="O895" s="236"/>
      <c r="P895" s="236"/>
      <c r="Q895" s="236"/>
      <c r="R895" s="200"/>
      <c r="S895" s="201"/>
      <c r="T895" s="202"/>
      <c r="U895" s="241"/>
      <c r="V895" s="241"/>
      <c r="W895" s="241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4" t="str">
        <f>IF(C896="","",VLOOKUP($B896,勘定科目!$A:$E,4,0))</f>
        <v/>
      </c>
      <c r="E896" s="240"/>
      <c r="F896" s="235"/>
      <c r="G896" s="236"/>
      <c r="H896" s="236"/>
      <c r="I896" s="236"/>
      <c r="J896" s="236"/>
      <c r="K896" s="236"/>
      <c r="L896" s="236"/>
      <c r="M896" s="236"/>
      <c r="N896" s="236"/>
      <c r="O896" s="236"/>
      <c r="P896" s="236"/>
      <c r="Q896" s="236"/>
      <c r="R896" s="200"/>
      <c r="S896" s="201"/>
      <c r="T896" s="202"/>
      <c r="U896" s="241"/>
      <c r="V896" s="241"/>
      <c r="W896" s="241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4" t="str">
        <f>IF(C897="","",VLOOKUP($B897,勘定科目!$A:$E,4,0))</f>
        <v/>
      </c>
      <c r="E897" s="240"/>
      <c r="F897" s="235"/>
      <c r="G897" s="236"/>
      <c r="H897" s="236"/>
      <c r="I897" s="236"/>
      <c r="J897" s="236"/>
      <c r="K897" s="236"/>
      <c r="L897" s="236"/>
      <c r="M897" s="236"/>
      <c r="N897" s="236"/>
      <c r="O897" s="236"/>
      <c r="P897" s="236"/>
      <c r="Q897" s="236"/>
      <c r="R897" s="200"/>
      <c r="S897" s="201"/>
      <c r="T897" s="202"/>
      <c r="U897" s="241"/>
      <c r="V897" s="241"/>
      <c r="W897" s="241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4" t="str">
        <f>IF(C898="","",VLOOKUP($B898,勘定科目!$A:$E,4,0))</f>
        <v/>
      </c>
      <c r="E898" s="240"/>
      <c r="F898" s="235"/>
      <c r="G898" s="236"/>
      <c r="H898" s="236"/>
      <c r="I898" s="236"/>
      <c r="J898" s="236"/>
      <c r="K898" s="236"/>
      <c r="L898" s="236"/>
      <c r="M898" s="236"/>
      <c r="N898" s="236"/>
      <c r="O898" s="236"/>
      <c r="P898" s="236"/>
      <c r="Q898" s="236"/>
      <c r="R898" s="200"/>
      <c r="S898" s="201"/>
      <c r="T898" s="202"/>
      <c r="U898" s="241"/>
      <c r="V898" s="241"/>
      <c r="W898" s="241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4" t="str">
        <f>IF(C899="","",VLOOKUP($B899,勘定科目!$A:$E,4,0))</f>
        <v/>
      </c>
      <c r="E899" s="240"/>
      <c r="F899" s="235"/>
      <c r="G899" s="236"/>
      <c r="H899" s="236"/>
      <c r="I899" s="236"/>
      <c r="J899" s="236"/>
      <c r="K899" s="236"/>
      <c r="L899" s="236"/>
      <c r="M899" s="236"/>
      <c r="N899" s="236"/>
      <c r="O899" s="236"/>
      <c r="P899" s="236"/>
      <c r="Q899" s="236"/>
      <c r="R899" s="200"/>
      <c r="S899" s="201"/>
      <c r="T899" s="202"/>
      <c r="U899" s="241"/>
      <c r="V899" s="241"/>
      <c r="W899" s="241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4" t="str">
        <f>IF(C900="","",VLOOKUP($B900,勘定科目!$A:$E,4,0))</f>
        <v/>
      </c>
      <c r="E900" s="240"/>
      <c r="F900" s="235"/>
      <c r="G900" s="236"/>
      <c r="H900" s="236"/>
      <c r="I900" s="236"/>
      <c r="J900" s="236"/>
      <c r="K900" s="236"/>
      <c r="L900" s="236"/>
      <c r="M900" s="236"/>
      <c r="N900" s="236"/>
      <c r="O900" s="236"/>
      <c r="P900" s="236"/>
      <c r="Q900" s="236"/>
      <c r="R900" s="200"/>
      <c r="S900" s="201"/>
      <c r="T900" s="202"/>
      <c r="U900" s="241"/>
      <c r="V900" s="241"/>
      <c r="W900" s="241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4" t="str">
        <f>IF(C901="","",VLOOKUP($B901,勘定科目!$A:$E,4,0))</f>
        <v/>
      </c>
      <c r="E901" s="240"/>
      <c r="F901" s="235"/>
      <c r="G901" s="236"/>
      <c r="H901" s="236"/>
      <c r="I901" s="236"/>
      <c r="J901" s="236"/>
      <c r="K901" s="236"/>
      <c r="L901" s="236"/>
      <c r="M901" s="236"/>
      <c r="N901" s="236"/>
      <c r="O901" s="236"/>
      <c r="P901" s="236"/>
      <c r="Q901" s="236"/>
      <c r="R901" s="200"/>
      <c r="S901" s="201"/>
      <c r="T901" s="202"/>
      <c r="U901" s="241"/>
      <c r="V901" s="241"/>
      <c r="W901" s="241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4" t="str">
        <f>IF(C902="","",VLOOKUP($B902,勘定科目!$A:$E,4,0))</f>
        <v/>
      </c>
      <c r="E902" s="240"/>
      <c r="F902" s="235"/>
      <c r="G902" s="236"/>
      <c r="H902" s="236"/>
      <c r="I902" s="236"/>
      <c r="J902" s="236"/>
      <c r="K902" s="236"/>
      <c r="L902" s="236"/>
      <c r="M902" s="236"/>
      <c r="N902" s="236"/>
      <c r="O902" s="236"/>
      <c r="P902" s="236"/>
      <c r="Q902" s="236"/>
      <c r="R902" s="200"/>
      <c r="S902" s="201"/>
      <c r="T902" s="202"/>
      <c r="U902" s="241"/>
      <c r="V902" s="241"/>
      <c r="W902" s="241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4" t="str">
        <f>IF(C903="","",VLOOKUP($B903,勘定科目!$A:$E,4,0))</f>
        <v/>
      </c>
      <c r="E903" s="240"/>
      <c r="F903" s="235"/>
      <c r="G903" s="236"/>
      <c r="H903" s="236"/>
      <c r="I903" s="236"/>
      <c r="J903" s="236"/>
      <c r="K903" s="236"/>
      <c r="L903" s="236"/>
      <c r="M903" s="236"/>
      <c r="N903" s="236"/>
      <c r="O903" s="236"/>
      <c r="P903" s="236"/>
      <c r="Q903" s="236"/>
      <c r="R903" s="200"/>
      <c r="S903" s="201"/>
      <c r="T903" s="202"/>
      <c r="U903" s="241"/>
      <c r="V903" s="241"/>
      <c r="W903" s="241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4" t="str">
        <f>IF(C904="","",VLOOKUP($B904,勘定科目!$A:$E,4,0))</f>
        <v/>
      </c>
      <c r="E904" s="240"/>
      <c r="F904" s="235"/>
      <c r="G904" s="236"/>
      <c r="H904" s="236"/>
      <c r="I904" s="236"/>
      <c r="J904" s="236"/>
      <c r="K904" s="236"/>
      <c r="L904" s="236"/>
      <c r="M904" s="236"/>
      <c r="N904" s="236"/>
      <c r="O904" s="236"/>
      <c r="P904" s="236"/>
      <c r="Q904" s="236"/>
      <c r="R904" s="200"/>
      <c r="S904" s="201"/>
      <c r="T904" s="202"/>
      <c r="U904" s="241"/>
      <c r="V904" s="241"/>
      <c r="W904" s="241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4" t="str">
        <f>IF(C905="","",VLOOKUP($B905,勘定科目!$A:$E,4,0))</f>
        <v/>
      </c>
      <c r="E905" s="240"/>
      <c r="F905" s="235"/>
      <c r="G905" s="236"/>
      <c r="H905" s="236"/>
      <c r="I905" s="236"/>
      <c r="J905" s="236"/>
      <c r="K905" s="236"/>
      <c r="L905" s="236"/>
      <c r="M905" s="236"/>
      <c r="N905" s="236"/>
      <c r="O905" s="236"/>
      <c r="P905" s="236"/>
      <c r="Q905" s="236"/>
      <c r="R905" s="200"/>
      <c r="S905" s="201"/>
      <c r="T905" s="202"/>
      <c r="U905" s="241"/>
      <c r="V905" s="241"/>
      <c r="W905" s="241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4" t="str">
        <f>IF(C906="","",VLOOKUP($B906,勘定科目!$A:$E,4,0))</f>
        <v/>
      </c>
      <c r="E906" s="240"/>
      <c r="F906" s="235"/>
      <c r="G906" s="236"/>
      <c r="H906" s="236"/>
      <c r="I906" s="236"/>
      <c r="J906" s="236"/>
      <c r="K906" s="236"/>
      <c r="L906" s="236"/>
      <c r="M906" s="236"/>
      <c r="N906" s="236"/>
      <c r="O906" s="236"/>
      <c r="P906" s="236"/>
      <c r="Q906" s="236"/>
      <c r="R906" s="200"/>
      <c r="S906" s="201"/>
      <c r="T906" s="202"/>
      <c r="U906" s="241"/>
      <c r="V906" s="241"/>
      <c r="W906" s="241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4" t="str">
        <f>IF(C907="","",VLOOKUP($B907,勘定科目!$A:$E,4,0))</f>
        <v/>
      </c>
      <c r="E907" s="240"/>
      <c r="F907" s="235"/>
      <c r="G907" s="236"/>
      <c r="H907" s="236"/>
      <c r="I907" s="236"/>
      <c r="J907" s="236"/>
      <c r="K907" s="236"/>
      <c r="L907" s="236"/>
      <c r="M907" s="236"/>
      <c r="N907" s="236"/>
      <c r="O907" s="236"/>
      <c r="P907" s="236"/>
      <c r="Q907" s="236"/>
      <c r="R907" s="200"/>
      <c r="S907" s="201"/>
      <c r="T907" s="202"/>
      <c r="U907" s="241"/>
      <c r="V907" s="241"/>
      <c r="W907" s="241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4" t="str">
        <f>IF(C908="","",VLOOKUP($B908,勘定科目!$A:$E,4,0))</f>
        <v/>
      </c>
      <c r="E908" s="240"/>
      <c r="F908" s="235"/>
      <c r="G908" s="236"/>
      <c r="H908" s="236"/>
      <c r="I908" s="236"/>
      <c r="J908" s="236"/>
      <c r="K908" s="236"/>
      <c r="L908" s="236"/>
      <c r="M908" s="236"/>
      <c r="N908" s="236"/>
      <c r="O908" s="236"/>
      <c r="P908" s="236"/>
      <c r="Q908" s="236"/>
      <c r="R908" s="200"/>
      <c r="S908" s="201"/>
      <c r="T908" s="202"/>
      <c r="U908" s="241"/>
      <c r="V908" s="241"/>
      <c r="W908" s="241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4" t="str">
        <f>IF(C909="","",VLOOKUP($B909,勘定科目!$A:$E,4,0))</f>
        <v/>
      </c>
      <c r="E909" s="240"/>
      <c r="F909" s="235"/>
      <c r="G909" s="236"/>
      <c r="H909" s="236"/>
      <c r="I909" s="236"/>
      <c r="J909" s="236"/>
      <c r="K909" s="236"/>
      <c r="L909" s="236"/>
      <c r="M909" s="236"/>
      <c r="N909" s="236"/>
      <c r="O909" s="236"/>
      <c r="P909" s="236"/>
      <c r="Q909" s="236"/>
      <c r="R909" s="200"/>
      <c r="S909" s="201"/>
      <c r="T909" s="202"/>
      <c r="U909" s="241"/>
      <c r="V909" s="241"/>
      <c r="W909" s="241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4" t="str">
        <f>IF(C910="","",VLOOKUP($B910,勘定科目!$A:$E,4,0))</f>
        <v/>
      </c>
      <c r="E910" s="240"/>
      <c r="F910" s="235"/>
      <c r="G910" s="236"/>
      <c r="H910" s="236"/>
      <c r="I910" s="236"/>
      <c r="J910" s="236"/>
      <c r="K910" s="236"/>
      <c r="L910" s="236"/>
      <c r="M910" s="236"/>
      <c r="N910" s="236"/>
      <c r="O910" s="236"/>
      <c r="P910" s="236"/>
      <c r="Q910" s="236"/>
      <c r="R910" s="200"/>
      <c r="S910" s="201"/>
      <c r="T910" s="202"/>
      <c r="U910" s="241"/>
      <c r="V910" s="241"/>
      <c r="W910" s="241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4" t="str">
        <f>IF(C911="","",VLOOKUP($B911,勘定科目!$A:$E,4,0))</f>
        <v/>
      </c>
      <c r="E911" s="240"/>
      <c r="F911" s="235"/>
      <c r="G911" s="236"/>
      <c r="H911" s="236"/>
      <c r="I911" s="236"/>
      <c r="J911" s="236"/>
      <c r="K911" s="236"/>
      <c r="L911" s="236"/>
      <c r="M911" s="236"/>
      <c r="N911" s="236"/>
      <c r="O911" s="236"/>
      <c r="P911" s="236"/>
      <c r="Q911" s="236"/>
      <c r="R911" s="200"/>
      <c r="S911" s="201"/>
      <c r="T911" s="202"/>
      <c r="U911" s="241"/>
      <c r="V911" s="241"/>
      <c r="W911" s="241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4" t="str">
        <f>IF(C912="","",VLOOKUP($B912,勘定科目!$A:$E,4,0))</f>
        <v/>
      </c>
      <c r="E912" s="240"/>
      <c r="F912" s="235"/>
      <c r="G912" s="236"/>
      <c r="H912" s="236"/>
      <c r="I912" s="236"/>
      <c r="J912" s="236"/>
      <c r="K912" s="236"/>
      <c r="L912" s="236"/>
      <c r="M912" s="236"/>
      <c r="N912" s="236"/>
      <c r="O912" s="236"/>
      <c r="P912" s="236"/>
      <c r="Q912" s="236"/>
      <c r="R912" s="200"/>
      <c r="S912" s="201"/>
      <c r="T912" s="202"/>
      <c r="U912" s="241"/>
      <c r="V912" s="241"/>
      <c r="W912" s="241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4" t="str">
        <f>IF(C913="","",VLOOKUP($B913,勘定科目!$A:$E,4,0))</f>
        <v/>
      </c>
      <c r="E913" s="240"/>
      <c r="F913" s="235"/>
      <c r="G913" s="236"/>
      <c r="H913" s="236"/>
      <c r="I913" s="236"/>
      <c r="J913" s="236"/>
      <c r="K913" s="236"/>
      <c r="L913" s="236"/>
      <c r="M913" s="236"/>
      <c r="N913" s="236"/>
      <c r="O913" s="236"/>
      <c r="P913" s="236"/>
      <c r="Q913" s="236"/>
      <c r="R913" s="200"/>
      <c r="S913" s="201"/>
      <c r="T913" s="202"/>
      <c r="U913" s="241"/>
      <c r="V913" s="241"/>
      <c r="W913" s="241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4" t="str">
        <f>IF(C914="","",VLOOKUP($B914,勘定科目!$A:$E,4,0))</f>
        <v/>
      </c>
      <c r="E914" s="240"/>
      <c r="F914" s="235"/>
      <c r="G914" s="236"/>
      <c r="H914" s="236"/>
      <c r="I914" s="236"/>
      <c r="J914" s="236"/>
      <c r="K914" s="236"/>
      <c r="L914" s="236"/>
      <c r="M914" s="236"/>
      <c r="N914" s="236"/>
      <c r="O914" s="236"/>
      <c r="P914" s="236"/>
      <c r="Q914" s="236"/>
      <c r="R914" s="200"/>
      <c r="S914" s="201"/>
      <c r="T914" s="202"/>
      <c r="U914" s="241"/>
      <c r="V914" s="241"/>
      <c r="W914" s="241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4" t="str">
        <f>IF(C915="","",VLOOKUP($B915,勘定科目!$A:$E,4,0))</f>
        <v/>
      </c>
      <c r="E915" s="240"/>
      <c r="F915" s="235"/>
      <c r="G915" s="236"/>
      <c r="H915" s="236"/>
      <c r="I915" s="236"/>
      <c r="J915" s="236"/>
      <c r="K915" s="236"/>
      <c r="L915" s="236"/>
      <c r="M915" s="236"/>
      <c r="N915" s="236"/>
      <c r="O915" s="236"/>
      <c r="P915" s="236"/>
      <c r="Q915" s="236"/>
      <c r="R915" s="200"/>
      <c r="S915" s="201"/>
      <c r="T915" s="202"/>
      <c r="U915" s="241"/>
      <c r="V915" s="241"/>
      <c r="W915" s="241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4" t="str">
        <f>IF(C916="","",VLOOKUP($B916,勘定科目!$A:$E,4,0))</f>
        <v/>
      </c>
      <c r="E916" s="240"/>
      <c r="F916" s="235"/>
      <c r="G916" s="236"/>
      <c r="H916" s="236"/>
      <c r="I916" s="236"/>
      <c r="J916" s="236"/>
      <c r="K916" s="236"/>
      <c r="L916" s="236"/>
      <c r="M916" s="236"/>
      <c r="N916" s="236"/>
      <c r="O916" s="236"/>
      <c r="P916" s="236"/>
      <c r="Q916" s="236"/>
      <c r="R916" s="200"/>
      <c r="S916" s="201"/>
      <c r="T916" s="202"/>
      <c r="U916" s="241"/>
      <c r="V916" s="241"/>
      <c r="W916" s="241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4" t="str">
        <f>IF(C917="","",VLOOKUP($B917,勘定科目!$A:$E,4,0))</f>
        <v/>
      </c>
      <c r="E917" s="240"/>
      <c r="F917" s="235"/>
      <c r="G917" s="236"/>
      <c r="H917" s="236"/>
      <c r="I917" s="236"/>
      <c r="J917" s="236"/>
      <c r="K917" s="236"/>
      <c r="L917" s="236"/>
      <c r="M917" s="236"/>
      <c r="N917" s="236"/>
      <c r="O917" s="236"/>
      <c r="P917" s="236"/>
      <c r="Q917" s="236"/>
      <c r="R917" s="200"/>
      <c r="S917" s="201"/>
      <c r="T917" s="202"/>
      <c r="U917" s="241"/>
      <c r="V917" s="241"/>
      <c r="W917" s="241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4" t="str">
        <f>IF(C918="","",VLOOKUP($B918,勘定科目!$A:$E,4,0))</f>
        <v/>
      </c>
      <c r="E918" s="240"/>
      <c r="F918" s="235"/>
      <c r="G918" s="236"/>
      <c r="H918" s="236"/>
      <c r="I918" s="236"/>
      <c r="J918" s="236"/>
      <c r="K918" s="236"/>
      <c r="L918" s="236"/>
      <c r="M918" s="236"/>
      <c r="N918" s="236"/>
      <c r="O918" s="236"/>
      <c r="P918" s="236"/>
      <c r="Q918" s="236"/>
      <c r="R918" s="200"/>
      <c r="S918" s="201"/>
      <c r="T918" s="202"/>
      <c r="U918" s="241"/>
      <c r="V918" s="241"/>
      <c r="W918" s="241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4" t="str">
        <f>IF(C919="","",VLOOKUP($B919,勘定科目!$A:$E,4,0))</f>
        <v/>
      </c>
      <c r="E919" s="240"/>
      <c r="F919" s="235"/>
      <c r="G919" s="236"/>
      <c r="H919" s="236"/>
      <c r="I919" s="236"/>
      <c r="J919" s="236"/>
      <c r="K919" s="236"/>
      <c r="L919" s="236"/>
      <c r="M919" s="236"/>
      <c r="N919" s="236"/>
      <c r="O919" s="236"/>
      <c r="P919" s="236"/>
      <c r="Q919" s="236"/>
      <c r="R919" s="200"/>
      <c r="S919" s="201"/>
      <c r="T919" s="202"/>
      <c r="U919" s="241"/>
      <c r="V919" s="241"/>
      <c r="W919" s="241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4" t="str">
        <f>IF(C920="","",VLOOKUP($B920,勘定科目!$A:$E,4,0))</f>
        <v/>
      </c>
      <c r="E920" s="240"/>
      <c r="F920" s="235"/>
      <c r="G920" s="236"/>
      <c r="H920" s="236"/>
      <c r="I920" s="236"/>
      <c r="J920" s="236"/>
      <c r="K920" s="236"/>
      <c r="L920" s="236"/>
      <c r="M920" s="236"/>
      <c r="N920" s="236"/>
      <c r="O920" s="236"/>
      <c r="P920" s="236"/>
      <c r="Q920" s="236"/>
      <c r="R920" s="200"/>
      <c r="S920" s="201"/>
      <c r="T920" s="202"/>
      <c r="U920" s="241"/>
      <c r="V920" s="241"/>
      <c r="W920" s="241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4" t="str">
        <f>IF(C921="","",VLOOKUP($B921,勘定科目!$A:$E,4,0))</f>
        <v/>
      </c>
      <c r="E921" s="240"/>
      <c r="F921" s="235"/>
      <c r="G921" s="236"/>
      <c r="H921" s="236"/>
      <c r="I921" s="236"/>
      <c r="J921" s="236"/>
      <c r="K921" s="236"/>
      <c r="L921" s="236"/>
      <c r="M921" s="236"/>
      <c r="N921" s="236"/>
      <c r="O921" s="236"/>
      <c r="P921" s="236"/>
      <c r="Q921" s="236"/>
      <c r="R921" s="200"/>
      <c r="S921" s="201"/>
      <c r="T921" s="202"/>
      <c r="U921" s="241"/>
      <c r="V921" s="241"/>
      <c r="W921" s="241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4" t="str">
        <f>IF(C922="","",VLOOKUP($B922,勘定科目!$A:$E,4,0))</f>
        <v/>
      </c>
      <c r="E922" s="240"/>
      <c r="F922" s="235"/>
      <c r="G922" s="236"/>
      <c r="H922" s="236"/>
      <c r="I922" s="236"/>
      <c r="J922" s="236"/>
      <c r="K922" s="236"/>
      <c r="L922" s="236"/>
      <c r="M922" s="236"/>
      <c r="N922" s="236"/>
      <c r="O922" s="236"/>
      <c r="P922" s="236"/>
      <c r="Q922" s="236"/>
      <c r="R922" s="200"/>
      <c r="S922" s="201"/>
      <c r="T922" s="202"/>
      <c r="U922" s="241"/>
      <c r="V922" s="241"/>
      <c r="W922" s="241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4" t="str">
        <f>IF(C923="","",VLOOKUP($B923,勘定科目!$A:$E,4,0))</f>
        <v/>
      </c>
      <c r="E923" s="240"/>
      <c r="F923" s="235"/>
      <c r="G923" s="236"/>
      <c r="H923" s="236"/>
      <c r="I923" s="236"/>
      <c r="J923" s="236"/>
      <c r="K923" s="236"/>
      <c r="L923" s="236"/>
      <c r="M923" s="236"/>
      <c r="N923" s="236"/>
      <c r="O923" s="236"/>
      <c r="P923" s="236"/>
      <c r="Q923" s="236"/>
      <c r="R923" s="200"/>
      <c r="S923" s="201"/>
      <c r="T923" s="202"/>
      <c r="U923" s="241"/>
      <c r="V923" s="241"/>
      <c r="W923" s="241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4" t="str">
        <f>IF(C924="","",VLOOKUP($B924,勘定科目!$A:$E,4,0))</f>
        <v/>
      </c>
      <c r="E924" s="240"/>
      <c r="F924" s="235"/>
      <c r="G924" s="236"/>
      <c r="H924" s="236"/>
      <c r="I924" s="236"/>
      <c r="J924" s="236"/>
      <c r="K924" s="236"/>
      <c r="L924" s="236"/>
      <c r="M924" s="236"/>
      <c r="N924" s="236"/>
      <c r="O924" s="236"/>
      <c r="P924" s="236"/>
      <c r="Q924" s="236"/>
      <c r="R924" s="200"/>
      <c r="S924" s="201"/>
      <c r="T924" s="202"/>
      <c r="U924" s="241"/>
      <c r="V924" s="241"/>
      <c r="W924" s="241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4" t="str">
        <f>IF(C925="","",VLOOKUP($B925,勘定科目!$A:$E,4,0))</f>
        <v/>
      </c>
      <c r="E925" s="240"/>
      <c r="F925" s="235"/>
      <c r="G925" s="236"/>
      <c r="H925" s="236"/>
      <c r="I925" s="236"/>
      <c r="J925" s="236"/>
      <c r="K925" s="236"/>
      <c r="L925" s="236"/>
      <c r="M925" s="236"/>
      <c r="N925" s="236"/>
      <c r="O925" s="236"/>
      <c r="P925" s="236"/>
      <c r="Q925" s="236"/>
      <c r="R925" s="200"/>
      <c r="S925" s="201"/>
      <c r="T925" s="202"/>
      <c r="U925" s="241"/>
      <c r="V925" s="241"/>
      <c r="W925" s="241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4" t="str">
        <f>IF(C926="","",VLOOKUP($B926,勘定科目!$A:$E,4,0))</f>
        <v/>
      </c>
      <c r="E926" s="240"/>
      <c r="F926" s="235"/>
      <c r="G926" s="236"/>
      <c r="H926" s="236"/>
      <c r="I926" s="236"/>
      <c r="J926" s="236"/>
      <c r="K926" s="236"/>
      <c r="L926" s="236"/>
      <c r="M926" s="236"/>
      <c r="N926" s="236"/>
      <c r="O926" s="236"/>
      <c r="P926" s="236"/>
      <c r="Q926" s="236"/>
      <c r="R926" s="200"/>
      <c r="S926" s="201"/>
      <c r="T926" s="202"/>
      <c r="U926" s="241"/>
      <c r="V926" s="241"/>
      <c r="W926" s="241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4" t="str">
        <f>IF(C927="","",VLOOKUP($B927,勘定科目!$A:$E,4,0))</f>
        <v/>
      </c>
      <c r="E927" s="240"/>
      <c r="F927" s="235"/>
      <c r="G927" s="236"/>
      <c r="H927" s="236"/>
      <c r="I927" s="236"/>
      <c r="J927" s="236"/>
      <c r="K927" s="236"/>
      <c r="L927" s="236"/>
      <c r="M927" s="236"/>
      <c r="N927" s="236"/>
      <c r="O927" s="236"/>
      <c r="P927" s="236"/>
      <c r="Q927" s="236"/>
      <c r="R927" s="200"/>
      <c r="S927" s="201"/>
      <c r="T927" s="202"/>
      <c r="U927" s="241"/>
      <c r="V927" s="241"/>
      <c r="W927" s="241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4" t="str">
        <f>IF(C928="","",VLOOKUP($B928,勘定科目!$A:$E,4,0))</f>
        <v/>
      </c>
      <c r="E928" s="240"/>
      <c r="F928" s="235"/>
      <c r="G928" s="236"/>
      <c r="H928" s="236"/>
      <c r="I928" s="236"/>
      <c r="J928" s="236"/>
      <c r="K928" s="236"/>
      <c r="L928" s="236"/>
      <c r="M928" s="236"/>
      <c r="N928" s="236"/>
      <c r="O928" s="236"/>
      <c r="P928" s="236"/>
      <c r="Q928" s="236"/>
      <c r="R928" s="200"/>
      <c r="S928" s="201"/>
      <c r="T928" s="202"/>
      <c r="U928" s="241"/>
      <c r="V928" s="241"/>
      <c r="W928" s="241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4" t="str">
        <f>IF(C929="","",VLOOKUP($B929,勘定科目!$A:$E,4,0))</f>
        <v/>
      </c>
      <c r="E929" s="240"/>
      <c r="F929" s="235"/>
      <c r="G929" s="236"/>
      <c r="H929" s="236"/>
      <c r="I929" s="236"/>
      <c r="J929" s="236"/>
      <c r="K929" s="236"/>
      <c r="L929" s="236"/>
      <c r="M929" s="236"/>
      <c r="N929" s="236"/>
      <c r="O929" s="236"/>
      <c r="P929" s="236"/>
      <c r="Q929" s="236"/>
      <c r="R929" s="200"/>
      <c r="S929" s="201"/>
      <c r="T929" s="202"/>
      <c r="U929" s="241"/>
      <c r="V929" s="241"/>
      <c r="W929" s="241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4" t="str">
        <f>IF(C930="","",VLOOKUP($B930,勘定科目!$A:$E,4,0))</f>
        <v/>
      </c>
      <c r="E930" s="240"/>
      <c r="F930" s="235"/>
      <c r="G930" s="236"/>
      <c r="H930" s="236"/>
      <c r="I930" s="236"/>
      <c r="J930" s="236"/>
      <c r="K930" s="236"/>
      <c r="L930" s="236"/>
      <c r="M930" s="236"/>
      <c r="N930" s="236"/>
      <c r="O930" s="236"/>
      <c r="P930" s="236"/>
      <c r="Q930" s="236"/>
      <c r="R930" s="200"/>
      <c r="S930" s="201"/>
      <c r="T930" s="202"/>
      <c r="U930" s="241"/>
      <c r="V930" s="241"/>
      <c r="W930" s="241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4" t="str">
        <f>IF(C931="","",VLOOKUP($B931,勘定科目!$A:$E,4,0))</f>
        <v/>
      </c>
      <c r="E931" s="240"/>
      <c r="F931" s="235"/>
      <c r="G931" s="236"/>
      <c r="H931" s="236"/>
      <c r="I931" s="236"/>
      <c r="J931" s="236"/>
      <c r="K931" s="236"/>
      <c r="L931" s="236"/>
      <c r="M931" s="236"/>
      <c r="N931" s="236"/>
      <c r="O931" s="236"/>
      <c r="P931" s="236"/>
      <c r="Q931" s="236"/>
      <c r="R931" s="200"/>
      <c r="S931" s="201"/>
      <c r="T931" s="202"/>
      <c r="U931" s="241"/>
      <c r="V931" s="241"/>
      <c r="W931" s="241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4" t="str">
        <f>IF(C932="","",VLOOKUP($B932,勘定科目!$A:$E,4,0))</f>
        <v/>
      </c>
      <c r="E932" s="240"/>
      <c r="F932" s="235"/>
      <c r="G932" s="236"/>
      <c r="H932" s="236"/>
      <c r="I932" s="236"/>
      <c r="J932" s="236"/>
      <c r="K932" s="236"/>
      <c r="L932" s="236"/>
      <c r="M932" s="236"/>
      <c r="N932" s="236"/>
      <c r="O932" s="236"/>
      <c r="P932" s="236"/>
      <c r="Q932" s="236"/>
      <c r="R932" s="200"/>
      <c r="S932" s="201"/>
      <c r="T932" s="202"/>
      <c r="U932" s="241"/>
      <c r="V932" s="241"/>
      <c r="W932" s="241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4" t="str">
        <f>IF(C933="","",VLOOKUP($B933,勘定科目!$A:$E,4,0))</f>
        <v/>
      </c>
      <c r="E933" s="240"/>
      <c r="F933" s="235"/>
      <c r="G933" s="236"/>
      <c r="H933" s="236"/>
      <c r="I933" s="236"/>
      <c r="J933" s="236"/>
      <c r="K933" s="236"/>
      <c r="L933" s="236"/>
      <c r="M933" s="236"/>
      <c r="N933" s="236"/>
      <c r="O933" s="236"/>
      <c r="P933" s="236"/>
      <c r="Q933" s="236"/>
      <c r="R933" s="200"/>
      <c r="S933" s="201"/>
      <c r="T933" s="202"/>
      <c r="U933" s="241"/>
      <c r="V933" s="241"/>
      <c r="W933" s="241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4" t="str">
        <f>IF(C934="","",VLOOKUP($B934,勘定科目!$A:$E,4,0))</f>
        <v/>
      </c>
      <c r="E934" s="240"/>
      <c r="F934" s="235"/>
      <c r="G934" s="236"/>
      <c r="H934" s="236"/>
      <c r="I934" s="236"/>
      <c r="J934" s="236"/>
      <c r="K934" s="236"/>
      <c r="L934" s="236"/>
      <c r="M934" s="236"/>
      <c r="N934" s="236"/>
      <c r="O934" s="236"/>
      <c r="P934" s="236"/>
      <c r="Q934" s="236"/>
      <c r="R934" s="200"/>
      <c r="S934" s="201"/>
      <c r="T934" s="202"/>
      <c r="U934" s="241"/>
      <c r="V934" s="241"/>
      <c r="W934" s="241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4" t="str">
        <f>IF(C935="","",VLOOKUP($B935,勘定科目!$A:$E,4,0))</f>
        <v/>
      </c>
      <c r="E935" s="240"/>
      <c r="F935" s="235"/>
      <c r="G935" s="236"/>
      <c r="H935" s="236"/>
      <c r="I935" s="236"/>
      <c r="J935" s="236"/>
      <c r="K935" s="236"/>
      <c r="L935" s="236"/>
      <c r="M935" s="236"/>
      <c r="N935" s="236"/>
      <c r="O935" s="236"/>
      <c r="P935" s="236"/>
      <c r="Q935" s="236"/>
      <c r="R935" s="200"/>
      <c r="S935" s="201"/>
      <c r="T935" s="202"/>
      <c r="U935" s="241"/>
      <c r="V935" s="241"/>
      <c r="W935" s="241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4" t="str">
        <f>IF(C936="","",VLOOKUP($B936,勘定科目!$A:$E,4,0))</f>
        <v/>
      </c>
      <c r="E936" s="240"/>
      <c r="F936" s="235"/>
      <c r="G936" s="236"/>
      <c r="H936" s="236"/>
      <c r="I936" s="236"/>
      <c r="J936" s="236"/>
      <c r="K936" s="236"/>
      <c r="L936" s="236"/>
      <c r="M936" s="236"/>
      <c r="N936" s="236"/>
      <c r="O936" s="236"/>
      <c r="P936" s="236"/>
      <c r="Q936" s="236"/>
      <c r="R936" s="200"/>
      <c r="S936" s="201"/>
      <c r="T936" s="202"/>
      <c r="U936" s="241"/>
      <c r="V936" s="241"/>
      <c r="W936" s="241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4" t="str">
        <f>IF(C937="","",VLOOKUP($B937,勘定科目!$A:$E,4,0))</f>
        <v/>
      </c>
      <c r="E937" s="240"/>
      <c r="F937" s="235"/>
      <c r="G937" s="236"/>
      <c r="H937" s="236"/>
      <c r="I937" s="236"/>
      <c r="J937" s="236"/>
      <c r="K937" s="236"/>
      <c r="L937" s="236"/>
      <c r="M937" s="236"/>
      <c r="N937" s="236"/>
      <c r="O937" s="236"/>
      <c r="P937" s="236"/>
      <c r="Q937" s="236"/>
      <c r="R937" s="200"/>
      <c r="S937" s="201"/>
      <c r="T937" s="202"/>
      <c r="U937" s="241"/>
      <c r="V937" s="241"/>
      <c r="W937" s="241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4" t="str">
        <f>IF(C938="","",VLOOKUP($B938,勘定科目!$A:$E,4,0))</f>
        <v/>
      </c>
      <c r="E938" s="240"/>
      <c r="F938" s="235"/>
      <c r="G938" s="236"/>
      <c r="H938" s="236"/>
      <c r="I938" s="236"/>
      <c r="J938" s="236"/>
      <c r="K938" s="236"/>
      <c r="L938" s="236"/>
      <c r="M938" s="236"/>
      <c r="N938" s="236"/>
      <c r="O938" s="236"/>
      <c r="P938" s="236"/>
      <c r="Q938" s="236"/>
      <c r="R938" s="200"/>
      <c r="S938" s="201"/>
      <c r="T938" s="202"/>
      <c r="U938" s="241"/>
      <c r="V938" s="241"/>
      <c r="W938" s="241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4" t="str">
        <f>IF(C939="","",VLOOKUP($B939,勘定科目!$A:$E,4,0))</f>
        <v/>
      </c>
      <c r="E939" s="240"/>
      <c r="F939" s="235"/>
      <c r="G939" s="236"/>
      <c r="H939" s="236"/>
      <c r="I939" s="236"/>
      <c r="J939" s="236"/>
      <c r="K939" s="236"/>
      <c r="L939" s="236"/>
      <c r="M939" s="236"/>
      <c r="N939" s="236"/>
      <c r="O939" s="236"/>
      <c r="P939" s="236"/>
      <c r="Q939" s="236"/>
      <c r="R939" s="200"/>
      <c r="S939" s="201"/>
      <c r="T939" s="202"/>
      <c r="U939" s="241"/>
      <c r="V939" s="241"/>
      <c r="W939" s="241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4" t="str">
        <f>IF(C940="","",VLOOKUP($B940,勘定科目!$A:$E,4,0))</f>
        <v/>
      </c>
      <c r="E940" s="240"/>
      <c r="F940" s="235"/>
      <c r="G940" s="236"/>
      <c r="H940" s="236"/>
      <c r="I940" s="236"/>
      <c r="J940" s="236"/>
      <c r="K940" s="236"/>
      <c r="L940" s="236"/>
      <c r="M940" s="236"/>
      <c r="N940" s="236"/>
      <c r="O940" s="236"/>
      <c r="P940" s="236"/>
      <c r="Q940" s="236"/>
      <c r="R940" s="200"/>
      <c r="S940" s="201"/>
      <c r="T940" s="202"/>
      <c r="U940" s="241"/>
      <c r="V940" s="241"/>
      <c r="W940" s="241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4" t="str">
        <f>IF(C941="","",VLOOKUP($B941,勘定科目!$A:$E,4,0))</f>
        <v/>
      </c>
      <c r="E941" s="240"/>
      <c r="F941" s="235"/>
      <c r="G941" s="236"/>
      <c r="H941" s="236"/>
      <c r="I941" s="236"/>
      <c r="J941" s="236"/>
      <c r="K941" s="236"/>
      <c r="L941" s="236"/>
      <c r="M941" s="236"/>
      <c r="N941" s="236"/>
      <c r="O941" s="236"/>
      <c r="P941" s="236"/>
      <c r="Q941" s="236"/>
      <c r="R941" s="200"/>
      <c r="S941" s="201"/>
      <c r="T941" s="202"/>
      <c r="U941" s="241"/>
      <c r="V941" s="241"/>
      <c r="W941" s="241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4" t="str">
        <f>IF(C942="","",VLOOKUP($B942,勘定科目!$A:$E,4,0))</f>
        <v/>
      </c>
      <c r="E942" s="240"/>
      <c r="F942" s="235"/>
      <c r="G942" s="236"/>
      <c r="H942" s="236"/>
      <c r="I942" s="236"/>
      <c r="J942" s="236"/>
      <c r="K942" s="236"/>
      <c r="L942" s="236"/>
      <c r="M942" s="236"/>
      <c r="N942" s="236"/>
      <c r="O942" s="236"/>
      <c r="P942" s="236"/>
      <c r="Q942" s="236"/>
      <c r="R942" s="200"/>
      <c r="S942" s="201"/>
      <c r="T942" s="202"/>
      <c r="U942" s="241"/>
      <c r="V942" s="241"/>
      <c r="W942" s="241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4" t="str">
        <f>IF(C943="","",VLOOKUP($B943,勘定科目!$A:$E,4,0))</f>
        <v/>
      </c>
      <c r="E943" s="240"/>
      <c r="F943" s="235"/>
      <c r="G943" s="236"/>
      <c r="H943" s="236"/>
      <c r="I943" s="236"/>
      <c r="J943" s="236"/>
      <c r="K943" s="236"/>
      <c r="L943" s="236"/>
      <c r="M943" s="236"/>
      <c r="N943" s="236"/>
      <c r="O943" s="236"/>
      <c r="P943" s="236"/>
      <c r="Q943" s="236"/>
      <c r="R943" s="200"/>
      <c r="S943" s="201"/>
      <c r="T943" s="202"/>
      <c r="U943" s="241"/>
      <c r="V943" s="241"/>
      <c r="W943" s="241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4" t="str">
        <f>IF(C944="","",VLOOKUP($B944,勘定科目!$A:$E,4,0))</f>
        <v/>
      </c>
      <c r="E944" s="240"/>
      <c r="F944" s="235"/>
      <c r="G944" s="236"/>
      <c r="H944" s="236"/>
      <c r="I944" s="236"/>
      <c r="J944" s="236"/>
      <c r="K944" s="236"/>
      <c r="L944" s="236"/>
      <c r="M944" s="236"/>
      <c r="N944" s="236"/>
      <c r="O944" s="236"/>
      <c r="P944" s="236"/>
      <c r="Q944" s="236"/>
      <c r="R944" s="200"/>
      <c r="S944" s="201"/>
      <c r="T944" s="202"/>
      <c r="U944" s="241"/>
      <c r="V944" s="241"/>
      <c r="W944" s="241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4" t="str">
        <f>IF(C945="","",VLOOKUP($B945,勘定科目!$A:$E,4,0))</f>
        <v/>
      </c>
      <c r="E945" s="240"/>
      <c r="F945" s="235"/>
      <c r="G945" s="236"/>
      <c r="H945" s="236"/>
      <c r="I945" s="236"/>
      <c r="J945" s="236"/>
      <c r="K945" s="236"/>
      <c r="L945" s="236"/>
      <c r="M945" s="236"/>
      <c r="N945" s="236"/>
      <c r="O945" s="236"/>
      <c r="P945" s="236"/>
      <c r="Q945" s="236"/>
      <c r="R945" s="200"/>
      <c r="S945" s="201"/>
      <c r="T945" s="202"/>
      <c r="U945" s="241"/>
      <c r="V945" s="241"/>
      <c r="W945" s="241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4" t="str">
        <f>IF(C946="","",VLOOKUP($B946,勘定科目!$A:$E,4,0))</f>
        <v/>
      </c>
      <c r="E946" s="240"/>
      <c r="F946" s="235"/>
      <c r="G946" s="236"/>
      <c r="H946" s="236"/>
      <c r="I946" s="236"/>
      <c r="J946" s="236"/>
      <c r="K946" s="236"/>
      <c r="L946" s="236"/>
      <c r="M946" s="236"/>
      <c r="N946" s="236"/>
      <c r="O946" s="236"/>
      <c r="P946" s="236"/>
      <c r="Q946" s="236"/>
      <c r="R946" s="200"/>
      <c r="S946" s="201"/>
      <c r="T946" s="202"/>
      <c r="U946" s="241"/>
      <c r="V946" s="241"/>
      <c r="W946" s="241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4" t="str">
        <f>IF(C947="","",VLOOKUP($B947,勘定科目!$A:$E,4,0))</f>
        <v/>
      </c>
      <c r="E947" s="240"/>
      <c r="F947" s="235"/>
      <c r="G947" s="236"/>
      <c r="H947" s="236"/>
      <c r="I947" s="236"/>
      <c r="J947" s="236"/>
      <c r="K947" s="236"/>
      <c r="L947" s="236"/>
      <c r="M947" s="236"/>
      <c r="N947" s="236"/>
      <c r="O947" s="236"/>
      <c r="P947" s="236"/>
      <c r="Q947" s="236"/>
      <c r="R947" s="200"/>
      <c r="S947" s="201"/>
      <c r="T947" s="202"/>
      <c r="U947" s="241"/>
      <c r="V947" s="241"/>
      <c r="W947" s="241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4" t="str">
        <f>IF(C948="","",VLOOKUP($B948,勘定科目!$A:$E,4,0))</f>
        <v/>
      </c>
      <c r="E948" s="240"/>
      <c r="F948" s="235"/>
      <c r="G948" s="236"/>
      <c r="H948" s="236"/>
      <c r="I948" s="236"/>
      <c r="J948" s="236"/>
      <c r="K948" s="236"/>
      <c r="L948" s="236"/>
      <c r="M948" s="236"/>
      <c r="N948" s="236"/>
      <c r="O948" s="236"/>
      <c r="P948" s="236"/>
      <c r="Q948" s="236"/>
      <c r="R948" s="200"/>
      <c r="S948" s="201"/>
      <c r="T948" s="202"/>
      <c r="U948" s="241"/>
      <c r="V948" s="241"/>
      <c r="W948" s="241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4" t="str">
        <f>IF(C949="","",VLOOKUP($B949,勘定科目!$A:$E,4,0))</f>
        <v/>
      </c>
      <c r="E949" s="240"/>
      <c r="F949" s="235"/>
      <c r="G949" s="236"/>
      <c r="H949" s="236"/>
      <c r="I949" s="236"/>
      <c r="J949" s="236"/>
      <c r="K949" s="236"/>
      <c r="L949" s="236"/>
      <c r="M949" s="236"/>
      <c r="N949" s="236"/>
      <c r="O949" s="236"/>
      <c r="P949" s="236"/>
      <c r="Q949" s="236"/>
      <c r="R949" s="200"/>
      <c r="S949" s="201"/>
      <c r="T949" s="202"/>
      <c r="U949" s="241"/>
      <c r="V949" s="241"/>
      <c r="W949" s="241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4" t="str">
        <f>IF(C950="","",VLOOKUP($B950,勘定科目!$A:$E,4,0))</f>
        <v/>
      </c>
      <c r="E950" s="240"/>
      <c r="F950" s="235"/>
      <c r="G950" s="236"/>
      <c r="H950" s="236"/>
      <c r="I950" s="236"/>
      <c r="J950" s="236"/>
      <c r="K950" s="236"/>
      <c r="L950" s="236"/>
      <c r="M950" s="236"/>
      <c r="N950" s="236"/>
      <c r="O950" s="236"/>
      <c r="P950" s="236"/>
      <c r="Q950" s="236"/>
      <c r="R950" s="200"/>
      <c r="S950" s="201"/>
      <c r="T950" s="202"/>
      <c r="U950" s="241"/>
      <c r="V950" s="241"/>
      <c r="W950" s="241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4" t="str">
        <f>IF(C951="","",VLOOKUP($B951,勘定科目!$A:$E,4,0))</f>
        <v/>
      </c>
      <c r="E951" s="240"/>
      <c r="F951" s="235"/>
      <c r="G951" s="236"/>
      <c r="H951" s="236"/>
      <c r="I951" s="236"/>
      <c r="J951" s="236"/>
      <c r="K951" s="236"/>
      <c r="L951" s="236"/>
      <c r="M951" s="236"/>
      <c r="N951" s="236"/>
      <c r="O951" s="236"/>
      <c r="P951" s="236"/>
      <c r="Q951" s="236"/>
      <c r="R951" s="200"/>
      <c r="S951" s="201"/>
      <c r="T951" s="202"/>
      <c r="U951" s="241"/>
      <c r="V951" s="241"/>
      <c r="W951" s="241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4" t="str">
        <f>IF(C952="","",VLOOKUP($B952,勘定科目!$A:$E,4,0))</f>
        <v/>
      </c>
      <c r="E952" s="240"/>
      <c r="F952" s="235"/>
      <c r="G952" s="236"/>
      <c r="H952" s="236"/>
      <c r="I952" s="236"/>
      <c r="J952" s="236"/>
      <c r="K952" s="236"/>
      <c r="L952" s="236"/>
      <c r="M952" s="236"/>
      <c r="N952" s="236"/>
      <c r="O952" s="236"/>
      <c r="P952" s="236"/>
      <c r="Q952" s="236"/>
      <c r="R952" s="200"/>
      <c r="S952" s="201"/>
      <c r="T952" s="202"/>
      <c r="U952" s="241"/>
      <c r="V952" s="241"/>
      <c r="W952" s="241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4" t="str">
        <f>IF(C953="","",VLOOKUP($B953,勘定科目!$A:$E,4,0))</f>
        <v/>
      </c>
      <c r="E953" s="240"/>
      <c r="F953" s="235"/>
      <c r="G953" s="236"/>
      <c r="H953" s="236"/>
      <c r="I953" s="236"/>
      <c r="J953" s="236"/>
      <c r="K953" s="236"/>
      <c r="L953" s="236"/>
      <c r="M953" s="236"/>
      <c r="N953" s="236"/>
      <c r="O953" s="236"/>
      <c r="P953" s="236"/>
      <c r="Q953" s="236"/>
      <c r="R953" s="200"/>
      <c r="S953" s="201"/>
      <c r="T953" s="202"/>
      <c r="U953" s="241"/>
      <c r="V953" s="241"/>
      <c r="W953" s="241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4" t="str">
        <f>IF(C954="","",VLOOKUP($B954,勘定科目!$A:$E,4,0))</f>
        <v/>
      </c>
      <c r="E954" s="240"/>
      <c r="F954" s="235"/>
      <c r="G954" s="236"/>
      <c r="H954" s="236"/>
      <c r="I954" s="236"/>
      <c r="J954" s="236"/>
      <c r="K954" s="236"/>
      <c r="L954" s="236"/>
      <c r="M954" s="236"/>
      <c r="N954" s="236"/>
      <c r="O954" s="236"/>
      <c r="P954" s="236"/>
      <c r="Q954" s="236"/>
      <c r="R954" s="200"/>
      <c r="S954" s="201"/>
      <c r="T954" s="202"/>
      <c r="U954" s="241"/>
      <c r="V954" s="241"/>
      <c r="W954" s="241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4" t="str">
        <f>IF(C955="","",VLOOKUP($B955,勘定科目!$A:$E,4,0))</f>
        <v/>
      </c>
      <c r="E955" s="240"/>
      <c r="F955" s="235"/>
      <c r="G955" s="236"/>
      <c r="H955" s="236"/>
      <c r="I955" s="236"/>
      <c r="J955" s="236"/>
      <c r="K955" s="236"/>
      <c r="L955" s="236"/>
      <c r="M955" s="236"/>
      <c r="N955" s="236"/>
      <c r="O955" s="236"/>
      <c r="P955" s="236"/>
      <c r="Q955" s="236"/>
      <c r="R955" s="200"/>
      <c r="S955" s="201"/>
      <c r="T955" s="202"/>
      <c r="U955" s="241"/>
      <c r="V955" s="241"/>
      <c r="W955" s="241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4" t="str">
        <f>IF(C956="","",VLOOKUP($B956,勘定科目!$A:$E,4,0))</f>
        <v/>
      </c>
      <c r="E956" s="240"/>
      <c r="F956" s="235"/>
      <c r="G956" s="236"/>
      <c r="H956" s="236"/>
      <c r="I956" s="236"/>
      <c r="J956" s="236"/>
      <c r="K956" s="236"/>
      <c r="L956" s="236"/>
      <c r="M956" s="236"/>
      <c r="N956" s="236"/>
      <c r="O956" s="236"/>
      <c r="P956" s="236"/>
      <c r="Q956" s="236"/>
      <c r="R956" s="200"/>
      <c r="S956" s="201"/>
      <c r="T956" s="202"/>
      <c r="U956" s="241"/>
      <c r="V956" s="241"/>
      <c r="W956" s="241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4" t="str">
        <f>IF(C957="","",VLOOKUP($B957,勘定科目!$A:$E,4,0))</f>
        <v/>
      </c>
      <c r="E957" s="240"/>
      <c r="F957" s="235"/>
      <c r="G957" s="236"/>
      <c r="H957" s="236"/>
      <c r="I957" s="236"/>
      <c r="J957" s="236"/>
      <c r="K957" s="236"/>
      <c r="L957" s="236"/>
      <c r="M957" s="236"/>
      <c r="N957" s="236"/>
      <c r="O957" s="236"/>
      <c r="P957" s="236"/>
      <c r="Q957" s="236"/>
      <c r="R957" s="200"/>
      <c r="S957" s="201"/>
      <c r="T957" s="202"/>
      <c r="U957" s="241"/>
      <c r="V957" s="241"/>
      <c r="W957" s="241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4" t="str">
        <f>IF(C958="","",VLOOKUP($B958,勘定科目!$A:$E,4,0))</f>
        <v/>
      </c>
      <c r="E958" s="240"/>
      <c r="F958" s="235"/>
      <c r="G958" s="236"/>
      <c r="H958" s="236"/>
      <c r="I958" s="236"/>
      <c r="J958" s="236"/>
      <c r="K958" s="236"/>
      <c r="L958" s="236"/>
      <c r="M958" s="236"/>
      <c r="N958" s="236"/>
      <c r="O958" s="236"/>
      <c r="P958" s="236"/>
      <c r="Q958" s="236"/>
      <c r="R958" s="200"/>
      <c r="S958" s="201"/>
      <c r="T958" s="202"/>
      <c r="U958" s="241"/>
      <c r="V958" s="241"/>
      <c r="W958" s="241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4" t="str">
        <f>IF(C959="","",VLOOKUP($B959,勘定科目!$A:$E,4,0))</f>
        <v/>
      </c>
      <c r="E959" s="240"/>
      <c r="F959" s="235"/>
      <c r="G959" s="236"/>
      <c r="H959" s="236"/>
      <c r="I959" s="236"/>
      <c r="J959" s="236"/>
      <c r="K959" s="236"/>
      <c r="L959" s="236"/>
      <c r="M959" s="236"/>
      <c r="N959" s="236"/>
      <c r="O959" s="236"/>
      <c r="P959" s="236"/>
      <c r="Q959" s="236"/>
      <c r="R959" s="200"/>
      <c r="S959" s="201"/>
      <c r="T959" s="202"/>
      <c r="U959" s="241"/>
      <c r="V959" s="241"/>
      <c r="W959" s="241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4" t="str">
        <f>IF(C960="","",VLOOKUP($B960,勘定科目!$A:$E,4,0))</f>
        <v/>
      </c>
      <c r="E960" s="240"/>
      <c r="F960" s="235"/>
      <c r="G960" s="236"/>
      <c r="H960" s="236"/>
      <c r="I960" s="236"/>
      <c r="J960" s="236"/>
      <c r="K960" s="236"/>
      <c r="L960" s="236"/>
      <c r="M960" s="236"/>
      <c r="N960" s="236"/>
      <c r="O960" s="236"/>
      <c r="P960" s="236"/>
      <c r="Q960" s="236"/>
      <c r="R960" s="200"/>
      <c r="S960" s="201"/>
      <c r="T960" s="202"/>
      <c r="U960" s="241"/>
      <c r="V960" s="241"/>
      <c r="W960" s="241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4" t="str">
        <f>IF(C961="","",VLOOKUP($B961,勘定科目!$A:$E,4,0))</f>
        <v/>
      </c>
      <c r="E961" s="240"/>
      <c r="F961" s="235"/>
      <c r="G961" s="236"/>
      <c r="H961" s="236"/>
      <c r="I961" s="236"/>
      <c r="J961" s="236"/>
      <c r="K961" s="236"/>
      <c r="L961" s="236"/>
      <c r="M961" s="236"/>
      <c r="N961" s="236"/>
      <c r="O961" s="236"/>
      <c r="P961" s="236"/>
      <c r="Q961" s="236"/>
      <c r="R961" s="200"/>
      <c r="S961" s="201"/>
      <c r="T961" s="202"/>
      <c r="U961" s="241"/>
      <c r="V961" s="241"/>
      <c r="W961" s="241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4" t="str">
        <f>IF(C962="","",VLOOKUP($B962,勘定科目!$A:$E,4,0))</f>
        <v/>
      </c>
      <c r="E962" s="240"/>
      <c r="F962" s="235"/>
      <c r="G962" s="236"/>
      <c r="H962" s="236"/>
      <c r="I962" s="236"/>
      <c r="J962" s="236"/>
      <c r="K962" s="236"/>
      <c r="L962" s="236"/>
      <c r="M962" s="236"/>
      <c r="N962" s="236"/>
      <c r="O962" s="236"/>
      <c r="P962" s="236"/>
      <c r="Q962" s="236"/>
      <c r="R962" s="200"/>
      <c r="S962" s="201"/>
      <c r="T962" s="202"/>
      <c r="U962" s="241"/>
      <c r="V962" s="241"/>
      <c r="W962" s="241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4" t="str">
        <f>IF(C963="","",VLOOKUP($B963,勘定科目!$A:$E,4,0))</f>
        <v/>
      </c>
      <c r="E963" s="240"/>
      <c r="F963" s="235"/>
      <c r="G963" s="236"/>
      <c r="H963" s="236"/>
      <c r="I963" s="236"/>
      <c r="J963" s="236"/>
      <c r="K963" s="236"/>
      <c r="L963" s="236"/>
      <c r="M963" s="236"/>
      <c r="N963" s="236"/>
      <c r="O963" s="236"/>
      <c r="P963" s="236"/>
      <c r="Q963" s="236"/>
      <c r="R963" s="200"/>
      <c r="S963" s="201"/>
      <c r="T963" s="202"/>
      <c r="U963" s="241"/>
      <c r="V963" s="241"/>
      <c r="W963" s="241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4" t="str">
        <f>IF(C964="","",VLOOKUP($B964,勘定科目!$A:$E,4,0))</f>
        <v/>
      </c>
      <c r="E964" s="240"/>
      <c r="F964" s="235"/>
      <c r="G964" s="236"/>
      <c r="H964" s="236"/>
      <c r="I964" s="236"/>
      <c r="J964" s="236"/>
      <c r="K964" s="236"/>
      <c r="L964" s="236"/>
      <c r="M964" s="236"/>
      <c r="N964" s="236"/>
      <c r="O964" s="236"/>
      <c r="P964" s="236"/>
      <c r="Q964" s="236"/>
      <c r="R964" s="200"/>
      <c r="S964" s="201"/>
      <c r="T964" s="202"/>
      <c r="U964" s="241"/>
      <c r="V964" s="241"/>
      <c r="W964" s="241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4" t="str">
        <f>IF(C965="","",VLOOKUP($B965,勘定科目!$A:$E,4,0))</f>
        <v/>
      </c>
      <c r="E965" s="240"/>
      <c r="F965" s="235"/>
      <c r="G965" s="236"/>
      <c r="H965" s="236"/>
      <c r="I965" s="236"/>
      <c r="J965" s="236"/>
      <c r="K965" s="236"/>
      <c r="L965" s="236"/>
      <c r="M965" s="236"/>
      <c r="N965" s="236"/>
      <c r="O965" s="236"/>
      <c r="P965" s="236"/>
      <c r="Q965" s="236"/>
      <c r="R965" s="200"/>
      <c r="S965" s="201"/>
      <c r="T965" s="202"/>
      <c r="U965" s="241"/>
      <c r="V965" s="241"/>
      <c r="W965" s="241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4" t="str">
        <f>IF(C966="","",VLOOKUP($B966,勘定科目!$A:$E,4,0))</f>
        <v/>
      </c>
      <c r="E966" s="240"/>
      <c r="F966" s="235"/>
      <c r="G966" s="236"/>
      <c r="H966" s="236"/>
      <c r="I966" s="236"/>
      <c r="J966" s="236"/>
      <c r="K966" s="236"/>
      <c r="L966" s="236"/>
      <c r="M966" s="236"/>
      <c r="N966" s="236"/>
      <c r="O966" s="236"/>
      <c r="P966" s="236"/>
      <c r="Q966" s="236"/>
      <c r="R966" s="200"/>
      <c r="S966" s="201"/>
      <c r="T966" s="202"/>
      <c r="U966" s="241"/>
      <c r="V966" s="241"/>
      <c r="W966" s="241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4" t="str">
        <f>IF(C967="","",VLOOKUP($B967,勘定科目!$A:$E,4,0))</f>
        <v/>
      </c>
      <c r="E967" s="240"/>
      <c r="F967" s="235"/>
      <c r="G967" s="236"/>
      <c r="H967" s="236"/>
      <c r="I967" s="236"/>
      <c r="J967" s="236"/>
      <c r="K967" s="236"/>
      <c r="L967" s="236"/>
      <c r="M967" s="236"/>
      <c r="N967" s="236"/>
      <c r="O967" s="236"/>
      <c r="P967" s="236"/>
      <c r="Q967" s="236"/>
      <c r="R967" s="200"/>
      <c r="S967" s="201"/>
      <c r="T967" s="202"/>
      <c r="U967" s="241"/>
      <c r="V967" s="241"/>
      <c r="W967" s="241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4" t="str">
        <f>IF(C968="","",VLOOKUP($B968,勘定科目!$A:$E,4,0))</f>
        <v/>
      </c>
      <c r="E968" s="240"/>
      <c r="F968" s="235"/>
      <c r="G968" s="236"/>
      <c r="H968" s="236"/>
      <c r="I968" s="236"/>
      <c r="J968" s="236"/>
      <c r="K968" s="236"/>
      <c r="L968" s="236"/>
      <c r="M968" s="236"/>
      <c r="N968" s="236"/>
      <c r="O968" s="236"/>
      <c r="P968" s="236"/>
      <c r="Q968" s="236"/>
      <c r="R968" s="200"/>
      <c r="S968" s="201"/>
      <c r="T968" s="202"/>
      <c r="U968" s="241"/>
      <c r="V968" s="241"/>
      <c r="W968" s="241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4" t="str">
        <f>IF(C969="","",VLOOKUP($B969,勘定科目!$A:$E,4,0))</f>
        <v/>
      </c>
      <c r="E969" s="240"/>
      <c r="F969" s="235"/>
      <c r="G969" s="236"/>
      <c r="H969" s="236"/>
      <c r="I969" s="236"/>
      <c r="J969" s="236"/>
      <c r="K969" s="236"/>
      <c r="L969" s="236"/>
      <c r="M969" s="236"/>
      <c r="N969" s="236"/>
      <c r="O969" s="236"/>
      <c r="P969" s="236"/>
      <c r="Q969" s="236"/>
      <c r="R969" s="200"/>
      <c r="S969" s="201"/>
      <c r="T969" s="202"/>
      <c r="U969" s="241"/>
      <c r="V969" s="241"/>
      <c r="W969" s="241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4" t="str">
        <f>IF(C970="","",VLOOKUP($B970,勘定科目!$A:$E,4,0))</f>
        <v/>
      </c>
      <c r="E970" s="240"/>
      <c r="F970" s="235"/>
      <c r="G970" s="236"/>
      <c r="H970" s="236"/>
      <c r="I970" s="236"/>
      <c r="J970" s="236"/>
      <c r="K970" s="236"/>
      <c r="L970" s="236"/>
      <c r="M970" s="236"/>
      <c r="N970" s="236"/>
      <c r="O970" s="236"/>
      <c r="P970" s="236"/>
      <c r="Q970" s="236"/>
      <c r="R970" s="200"/>
      <c r="S970" s="201"/>
      <c r="T970" s="202"/>
      <c r="U970" s="241"/>
      <c r="V970" s="241"/>
      <c r="W970" s="241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4" t="str">
        <f>IF(C971="","",VLOOKUP($B971,勘定科目!$A:$E,4,0))</f>
        <v/>
      </c>
      <c r="E971" s="240"/>
      <c r="F971" s="235"/>
      <c r="G971" s="236"/>
      <c r="H971" s="236"/>
      <c r="I971" s="236"/>
      <c r="J971" s="236"/>
      <c r="K971" s="236"/>
      <c r="L971" s="236"/>
      <c r="M971" s="236"/>
      <c r="N971" s="236"/>
      <c r="O971" s="236"/>
      <c r="P971" s="236"/>
      <c r="Q971" s="236"/>
      <c r="R971" s="200"/>
      <c r="S971" s="201"/>
      <c r="T971" s="202"/>
      <c r="U971" s="241"/>
      <c r="V971" s="241"/>
      <c r="W971" s="241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4" t="str">
        <f>IF(C972="","",VLOOKUP($B972,勘定科目!$A:$E,4,0))</f>
        <v/>
      </c>
      <c r="E972" s="240"/>
      <c r="F972" s="235"/>
      <c r="G972" s="236"/>
      <c r="H972" s="236"/>
      <c r="I972" s="236"/>
      <c r="J972" s="236"/>
      <c r="K972" s="236"/>
      <c r="L972" s="236"/>
      <c r="M972" s="236"/>
      <c r="N972" s="236"/>
      <c r="O972" s="236"/>
      <c r="P972" s="236"/>
      <c r="Q972" s="236"/>
      <c r="R972" s="200"/>
      <c r="S972" s="201"/>
      <c r="T972" s="202"/>
      <c r="U972" s="241"/>
      <c r="V972" s="241"/>
      <c r="W972" s="241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4" t="str">
        <f>IF(C973="","",VLOOKUP($B973,勘定科目!$A:$E,4,0))</f>
        <v/>
      </c>
      <c r="E973" s="240"/>
      <c r="F973" s="235"/>
      <c r="G973" s="236"/>
      <c r="H973" s="236"/>
      <c r="I973" s="236"/>
      <c r="J973" s="236"/>
      <c r="K973" s="236"/>
      <c r="L973" s="236"/>
      <c r="M973" s="236"/>
      <c r="N973" s="236"/>
      <c r="O973" s="236"/>
      <c r="P973" s="236"/>
      <c r="Q973" s="236"/>
      <c r="R973" s="200"/>
      <c r="S973" s="201"/>
      <c r="T973" s="202"/>
      <c r="U973" s="241"/>
      <c r="V973" s="241"/>
      <c r="W973" s="241"/>
      <c r="BA973"/>
      <c r="BB973"/>
    </row>
  </sheetData>
  <autoFilter ref="A7:T772" xr:uid="{B17ABF1A-7D20-4203-9D34-C19F24DD1ADA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772" xr:uid="{BE71C8A8-77A4-446B-9517-91D3A17F74C8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244F-FCFE-4097-80F3-7919C42CF6E4}">
  <dimension ref="A1"/>
  <sheetViews>
    <sheetView workbookViewId="0"/>
  </sheetViews>
  <sheetFormatPr defaultRowHeight="1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A4C5-99F7-40E9-9564-814E1A14F74D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26953125" style="48" customWidth="1"/>
    <col min="5" max="18" width="14.08984375" style="48" customWidth="1"/>
    <col min="19" max="19" width="12.7265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総務課</v>
      </c>
      <c r="E1" s="270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0" customFormat="1" ht="26">
      <c r="B3" s="275" t="s">
        <v>330</v>
      </c>
      <c r="C3" s="275" t="s">
        <v>146</v>
      </c>
      <c r="D3" s="276" t="s">
        <v>147</v>
      </c>
      <c r="E3" s="277">
        <v>4</v>
      </c>
      <c r="F3" s="277">
        <v>5</v>
      </c>
      <c r="G3" s="277">
        <v>6</v>
      </c>
      <c r="H3" s="277">
        <v>7</v>
      </c>
      <c r="I3" s="277">
        <v>8</v>
      </c>
      <c r="J3" s="277">
        <v>9</v>
      </c>
      <c r="K3" s="277">
        <v>10</v>
      </c>
      <c r="L3" s="277">
        <v>11</v>
      </c>
      <c r="M3" s="277">
        <v>12</v>
      </c>
      <c r="N3" s="277">
        <v>1</v>
      </c>
      <c r="O3" s="277">
        <v>2</v>
      </c>
      <c r="P3" s="277">
        <v>3</v>
      </c>
      <c r="Q3" s="278" t="s">
        <v>642</v>
      </c>
      <c r="R3" s="281" t="s">
        <v>643</v>
      </c>
      <c r="S3" s="279" t="s">
        <v>417</v>
      </c>
    </row>
    <row r="4" spans="2:19">
      <c r="B4" s="269"/>
      <c r="C4" s="269"/>
      <c r="D4" s="66"/>
      <c r="E4" s="271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4"/>
      <c r="R4" s="274">
        <f>SUM(E4:P4)</f>
        <v>0</v>
      </c>
      <c r="S4" s="267"/>
    </row>
    <row r="5" spans="2:19">
      <c r="B5" s="65"/>
      <c r="C5" s="65"/>
      <c r="D5" s="66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4"/>
      <c r="R5" s="274">
        <f t="shared" ref="R5:R50" si="0">SUM(E5:P5)</f>
        <v>0</v>
      </c>
      <c r="S5" s="267"/>
    </row>
    <row r="6" spans="2:19">
      <c r="B6" s="65"/>
      <c r="C6" s="65"/>
      <c r="D6" s="66"/>
      <c r="E6" s="271"/>
      <c r="F6" s="271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4"/>
      <c r="R6" s="274">
        <f t="shared" si="0"/>
        <v>0</v>
      </c>
      <c r="S6" s="267"/>
    </row>
    <row r="7" spans="2:19" ht="14">
      <c r="B7" s="65"/>
      <c r="C7" s="67"/>
      <c r="D7" s="66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4"/>
      <c r="R7" s="274">
        <f t="shared" si="0"/>
        <v>0</v>
      </c>
      <c r="S7" s="267"/>
    </row>
    <row r="8" spans="2:19">
      <c r="B8" s="65"/>
      <c r="C8" s="68"/>
      <c r="D8" s="65"/>
      <c r="E8" s="272"/>
      <c r="F8" s="272"/>
      <c r="G8" s="272"/>
      <c r="H8" s="272"/>
      <c r="I8" s="272"/>
      <c r="J8" s="272"/>
      <c r="K8" s="272"/>
      <c r="L8" s="272"/>
      <c r="M8" s="272"/>
      <c r="N8" s="272"/>
      <c r="O8" s="272"/>
      <c r="P8" s="272"/>
      <c r="Q8" s="274"/>
      <c r="R8" s="274">
        <f t="shared" si="0"/>
        <v>0</v>
      </c>
      <c r="S8" s="267"/>
    </row>
    <row r="9" spans="2:19">
      <c r="B9" s="65"/>
      <c r="C9" s="65"/>
      <c r="D9" s="65"/>
      <c r="E9" s="272"/>
      <c r="F9" s="272"/>
      <c r="G9" s="272"/>
      <c r="H9" s="272"/>
      <c r="I9" s="272"/>
      <c r="J9" s="272"/>
      <c r="K9" s="272"/>
      <c r="L9" s="272"/>
      <c r="M9" s="272"/>
      <c r="N9" s="272"/>
      <c r="O9" s="272"/>
      <c r="P9" s="272"/>
      <c r="Q9" s="274"/>
      <c r="R9" s="274">
        <f t="shared" si="0"/>
        <v>0</v>
      </c>
      <c r="S9" s="267"/>
    </row>
    <row r="10" spans="2:19">
      <c r="B10" s="65"/>
      <c r="C10" s="65"/>
      <c r="D10" s="65"/>
      <c r="E10" s="272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4"/>
      <c r="R10" s="274">
        <f t="shared" si="0"/>
        <v>0</v>
      </c>
      <c r="S10" s="267"/>
    </row>
    <row r="11" spans="2:19">
      <c r="B11" s="65"/>
      <c r="C11" s="65"/>
      <c r="D11" s="65"/>
      <c r="E11" s="272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4"/>
      <c r="R11" s="274">
        <f t="shared" si="0"/>
        <v>0</v>
      </c>
      <c r="S11" s="267"/>
    </row>
    <row r="12" spans="2:19">
      <c r="B12" s="65"/>
      <c r="C12" s="65"/>
      <c r="D12" s="65"/>
      <c r="E12" s="272"/>
      <c r="F12" s="272"/>
      <c r="G12" s="272"/>
      <c r="H12" s="272"/>
      <c r="I12" s="272"/>
      <c r="J12" s="272"/>
      <c r="K12" s="272"/>
      <c r="L12" s="272"/>
      <c r="M12" s="272"/>
      <c r="N12" s="272"/>
      <c r="O12" s="272"/>
      <c r="P12" s="272"/>
      <c r="Q12" s="274"/>
      <c r="R12" s="274">
        <f t="shared" si="0"/>
        <v>0</v>
      </c>
      <c r="S12" s="267"/>
    </row>
    <row r="13" spans="2:19">
      <c r="B13" s="65"/>
      <c r="C13" s="65"/>
      <c r="D13" s="65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4"/>
      <c r="R13" s="274">
        <f t="shared" si="0"/>
        <v>0</v>
      </c>
      <c r="S13" s="267"/>
    </row>
    <row r="14" spans="2:19">
      <c r="B14" s="65"/>
      <c r="C14" s="65"/>
      <c r="D14" s="65"/>
      <c r="E14" s="272"/>
      <c r="F14" s="272"/>
      <c r="G14" s="272"/>
      <c r="H14" s="272"/>
      <c r="I14" s="272"/>
      <c r="J14" s="272"/>
      <c r="K14" s="272"/>
      <c r="L14" s="272"/>
      <c r="M14" s="272"/>
      <c r="N14" s="272"/>
      <c r="O14" s="272"/>
      <c r="P14" s="272"/>
      <c r="Q14" s="274"/>
      <c r="R14" s="274">
        <f t="shared" si="0"/>
        <v>0</v>
      </c>
      <c r="S14" s="267"/>
    </row>
    <row r="15" spans="2:19">
      <c r="B15" s="65"/>
      <c r="C15" s="65"/>
      <c r="D15" s="65"/>
      <c r="E15" s="272"/>
      <c r="F15" s="272"/>
      <c r="G15" s="272"/>
      <c r="H15" s="272"/>
      <c r="I15" s="272"/>
      <c r="J15" s="272"/>
      <c r="K15" s="272"/>
      <c r="L15" s="272"/>
      <c r="M15" s="272"/>
      <c r="N15" s="272"/>
      <c r="O15" s="272"/>
      <c r="P15" s="272"/>
      <c r="Q15" s="274"/>
      <c r="R15" s="274">
        <f t="shared" si="0"/>
        <v>0</v>
      </c>
      <c r="S15" s="267"/>
    </row>
    <row r="16" spans="2:19">
      <c r="B16" s="65"/>
      <c r="C16" s="65"/>
      <c r="D16" s="65"/>
      <c r="E16" s="272"/>
      <c r="F16" s="272"/>
      <c r="G16" s="272"/>
      <c r="H16" s="272"/>
      <c r="I16" s="272"/>
      <c r="J16" s="272"/>
      <c r="K16" s="272"/>
      <c r="L16" s="272"/>
      <c r="M16" s="272"/>
      <c r="N16" s="272"/>
      <c r="O16" s="272"/>
      <c r="P16" s="272"/>
      <c r="Q16" s="274"/>
      <c r="R16" s="274">
        <f t="shared" si="0"/>
        <v>0</v>
      </c>
      <c r="S16" s="267"/>
    </row>
    <row r="17" spans="2:19">
      <c r="B17" s="65"/>
      <c r="C17" s="65"/>
      <c r="D17" s="65"/>
      <c r="E17" s="272"/>
      <c r="F17" s="272"/>
      <c r="G17" s="272"/>
      <c r="H17" s="272"/>
      <c r="I17" s="272"/>
      <c r="J17" s="272"/>
      <c r="K17" s="272"/>
      <c r="L17" s="272"/>
      <c r="M17" s="272"/>
      <c r="N17" s="272"/>
      <c r="O17" s="272"/>
      <c r="P17" s="272"/>
      <c r="Q17" s="274"/>
      <c r="R17" s="274">
        <f t="shared" si="0"/>
        <v>0</v>
      </c>
      <c r="S17" s="267"/>
    </row>
    <row r="18" spans="2:19">
      <c r="B18" s="65"/>
      <c r="C18" s="65"/>
      <c r="D18" s="65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4"/>
      <c r="R18" s="274">
        <f t="shared" si="0"/>
        <v>0</v>
      </c>
      <c r="S18" s="267"/>
    </row>
    <row r="19" spans="2:19">
      <c r="B19" s="65"/>
      <c r="C19" s="65"/>
      <c r="D19" s="65"/>
      <c r="E19" s="272"/>
      <c r="F19" s="272"/>
      <c r="G19" s="272"/>
      <c r="H19" s="272"/>
      <c r="I19" s="272"/>
      <c r="J19" s="272"/>
      <c r="K19" s="272"/>
      <c r="L19" s="272"/>
      <c r="M19" s="272"/>
      <c r="N19" s="272"/>
      <c r="O19" s="272"/>
      <c r="P19" s="272"/>
      <c r="Q19" s="274"/>
      <c r="R19" s="274">
        <f t="shared" si="0"/>
        <v>0</v>
      </c>
      <c r="S19" s="267"/>
    </row>
    <row r="20" spans="2:19">
      <c r="B20" s="65"/>
      <c r="C20" s="65"/>
      <c r="D20" s="65"/>
      <c r="E20" s="272"/>
      <c r="F20" s="272"/>
      <c r="G20" s="272"/>
      <c r="H20" s="272"/>
      <c r="I20" s="272"/>
      <c r="J20" s="272"/>
      <c r="K20" s="272"/>
      <c r="L20" s="272"/>
      <c r="M20" s="272"/>
      <c r="N20" s="272"/>
      <c r="O20" s="272"/>
      <c r="P20" s="272"/>
      <c r="Q20" s="274"/>
      <c r="R20" s="274">
        <f t="shared" si="0"/>
        <v>0</v>
      </c>
      <c r="S20" s="267"/>
    </row>
    <row r="21" spans="2:19">
      <c r="B21" s="65"/>
      <c r="C21" s="65"/>
      <c r="D21" s="65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4"/>
      <c r="R21" s="274">
        <f t="shared" si="0"/>
        <v>0</v>
      </c>
      <c r="S21" s="267"/>
    </row>
    <row r="22" spans="2:19">
      <c r="B22" s="65"/>
      <c r="C22" s="65"/>
      <c r="D22" s="65"/>
      <c r="E22" s="272"/>
      <c r="F22" s="272"/>
      <c r="G22" s="272"/>
      <c r="H22" s="272"/>
      <c r="I22" s="272"/>
      <c r="J22" s="272"/>
      <c r="K22" s="272"/>
      <c r="L22" s="272"/>
      <c r="M22" s="272"/>
      <c r="N22" s="272"/>
      <c r="O22" s="272"/>
      <c r="P22" s="272"/>
      <c r="Q22" s="274"/>
      <c r="R22" s="274">
        <f t="shared" si="0"/>
        <v>0</v>
      </c>
      <c r="S22" s="267"/>
    </row>
    <row r="23" spans="2:19">
      <c r="B23" s="65"/>
      <c r="C23" s="65"/>
      <c r="D23" s="65"/>
      <c r="E23" s="272"/>
      <c r="F23" s="272"/>
      <c r="G23" s="272"/>
      <c r="H23" s="272"/>
      <c r="I23" s="272"/>
      <c r="J23" s="272"/>
      <c r="K23" s="272"/>
      <c r="L23" s="272"/>
      <c r="M23" s="272"/>
      <c r="N23" s="272"/>
      <c r="O23" s="272"/>
      <c r="P23" s="272"/>
      <c r="Q23" s="274"/>
      <c r="R23" s="274">
        <f t="shared" si="0"/>
        <v>0</v>
      </c>
      <c r="S23" s="267"/>
    </row>
    <row r="24" spans="2:19">
      <c r="B24" s="65"/>
      <c r="C24" s="65"/>
      <c r="D24" s="65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4"/>
      <c r="R24" s="274">
        <f t="shared" si="0"/>
        <v>0</v>
      </c>
      <c r="S24" s="267"/>
    </row>
    <row r="25" spans="2:19">
      <c r="B25" s="65"/>
      <c r="C25" s="65"/>
      <c r="D25" s="65"/>
      <c r="E25" s="272"/>
      <c r="F25" s="272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4"/>
      <c r="R25" s="274">
        <f t="shared" si="0"/>
        <v>0</v>
      </c>
      <c r="S25" s="267"/>
    </row>
    <row r="26" spans="2:19">
      <c r="B26" s="65"/>
      <c r="C26" s="65"/>
      <c r="D26" s="65"/>
      <c r="E26" s="272"/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4"/>
      <c r="R26" s="274">
        <f t="shared" si="0"/>
        <v>0</v>
      </c>
      <c r="S26" s="267"/>
    </row>
    <row r="27" spans="2:19">
      <c r="B27" s="65"/>
      <c r="C27" s="65"/>
      <c r="D27" s="65"/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4"/>
      <c r="R27" s="274">
        <f t="shared" si="0"/>
        <v>0</v>
      </c>
      <c r="S27" s="267"/>
    </row>
    <row r="28" spans="2:19">
      <c r="B28" s="65"/>
      <c r="C28" s="65"/>
      <c r="D28" s="65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4"/>
      <c r="R28" s="274">
        <f t="shared" si="0"/>
        <v>0</v>
      </c>
      <c r="S28" s="267"/>
    </row>
    <row r="29" spans="2:19">
      <c r="B29" s="65"/>
      <c r="C29" s="65"/>
      <c r="D29" s="65"/>
      <c r="E29" s="272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4"/>
      <c r="R29" s="274">
        <f t="shared" si="0"/>
        <v>0</v>
      </c>
      <c r="S29" s="267"/>
    </row>
    <row r="30" spans="2:19">
      <c r="B30" s="65"/>
      <c r="C30" s="65"/>
      <c r="D30" s="65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4"/>
      <c r="R30" s="274">
        <f t="shared" si="0"/>
        <v>0</v>
      </c>
      <c r="S30" s="267"/>
    </row>
    <row r="31" spans="2:19">
      <c r="B31" s="65"/>
      <c r="C31" s="65"/>
      <c r="D31" s="65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4"/>
      <c r="R31" s="274">
        <f t="shared" si="0"/>
        <v>0</v>
      </c>
      <c r="S31" s="267"/>
    </row>
    <row r="32" spans="2:19">
      <c r="B32" s="65"/>
      <c r="C32" s="65"/>
      <c r="D32" s="65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4"/>
      <c r="R32" s="274">
        <f t="shared" si="0"/>
        <v>0</v>
      </c>
      <c r="S32" s="267"/>
    </row>
    <row r="33" spans="2:19">
      <c r="B33" s="65"/>
      <c r="C33" s="65"/>
      <c r="D33" s="65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4"/>
      <c r="R33" s="274">
        <f t="shared" si="0"/>
        <v>0</v>
      </c>
      <c r="S33" s="267"/>
    </row>
    <row r="34" spans="2:19">
      <c r="B34" s="65"/>
      <c r="C34" s="65"/>
      <c r="D34" s="65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4"/>
      <c r="R34" s="274">
        <f t="shared" si="0"/>
        <v>0</v>
      </c>
      <c r="S34" s="267"/>
    </row>
    <row r="35" spans="2:19">
      <c r="B35" s="65"/>
      <c r="C35" s="65"/>
      <c r="D35" s="65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4"/>
      <c r="R35" s="274">
        <f t="shared" si="0"/>
        <v>0</v>
      </c>
      <c r="S35" s="267"/>
    </row>
    <row r="36" spans="2:19">
      <c r="B36" s="65"/>
      <c r="C36" s="65"/>
      <c r="D36" s="65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4"/>
      <c r="R36" s="274">
        <f t="shared" si="0"/>
        <v>0</v>
      </c>
      <c r="S36" s="267"/>
    </row>
    <row r="37" spans="2:19">
      <c r="B37" s="65"/>
      <c r="C37" s="65"/>
      <c r="D37" s="65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4"/>
      <c r="R37" s="274">
        <f t="shared" si="0"/>
        <v>0</v>
      </c>
      <c r="S37" s="267"/>
    </row>
    <row r="38" spans="2:19">
      <c r="B38" s="65"/>
      <c r="C38" s="65"/>
      <c r="D38" s="65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4"/>
      <c r="R38" s="274">
        <f t="shared" si="0"/>
        <v>0</v>
      </c>
      <c r="S38" s="267"/>
    </row>
    <row r="39" spans="2:19">
      <c r="B39" s="65"/>
      <c r="C39" s="65"/>
      <c r="D39" s="65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4"/>
      <c r="R39" s="274">
        <f t="shared" si="0"/>
        <v>0</v>
      </c>
      <c r="S39" s="267"/>
    </row>
    <row r="40" spans="2:19">
      <c r="B40" s="65"/>
      <c r="C40" s="65"/>
      <c r="D40" s="65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4"/>
      <c r="R40" s="274">
        <f t="shared" si="0"/>
        <v>0</v>
      </c>
      <c r="S40" s="267"/>
    </row>
    <row r="41" spans="2:19">
      <c r="B41" s="65"/>
      <c r="C41" s="65"/>
      <c r="D41" s="65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4"/>
      <c r="R41" s="274">
        <f t="shared" si="0"/>
        <v>0</v>
      </c>
      <c r="S41" s="267"/>
    </row>
    <row r="42" spans="2:19">
      <c r="B42" s="65"/>
      <c r="C42" s="65"/>
      <c r="D42" s="65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4"/>
      <c r="R42" s="274">
        <f t="shared" si="0"/>
        <v>0</v>
      </c>
      <c r="S42" s="267"/>
    </row>
    <row r="43" spans="2:19">
      <c r="B43" s="65"/>
      <c r="C43" s="65"/>
      <c r="D43" s="65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4"/>
      <c r="R43" s="274">
        <f t="shared" si="0"/>
        <v>0</v>
      </c>
      <c r="S43" s="267"/>
    </row>
    <row r="44" spans="2:19">
      <c r="B44" s="65"/>
      <c r="C44" s="65"/>
      <c r="D44" s="65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4"/>
      <c r="R44" s="274">
        <f t="shared" si="0"/>
        <v>0</v>
      </c>
      <c r="S44" s="267"/>
    </row>
    <row r="45" spans="2:19">
      <c r="B45" s="65"/>
      <c r="C45" s="65"/>
      <c r="D45" s="65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4"/>
      <c r="R45" s="274">
        <f t="shared" si="0"/>
        <v>0</v>
      </c>
      <c r="S45" s="267"/>
    </row>
    <row r="46" spans="2:19">
      <c r="B46" s="65"/>
      <c r="C46" s="65"/>
      <c r="D46" s="65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4"/>
      <c r="R46" s="274">
        <f t="shared" si="0"/>
        <v>0</v>
      </c>
      <c r="S46" s="267"/>
    </row>
    <row r="47" spans="2:19">
      <c r="B47" s="65"/>
      <c r="C47" s="65"/>
      <c r="D47" s="65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4"/>
      <c r="R47" s="274">
        <f t="shared" si="0"/>
        <v>0</v>
      </c>
      <c r="S47" s="267"/>
    </row>
    <row r="48" spans="2:19">
      <c r="B48" s="65"/>
      <c r="C48" s="65"/>
      <c r="D48" s="65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72"/>
      <c r="Q48" s="274"/>
      <c r="R48" s="274">
        <f t="shared" si="0"/>
        <v>0</v>
      </c>
      <c r="S48" s="267"/>
    </row>
    <row r="49" spans="2:19">
      <c r="B49" s="65"/>
      <c r="C49" s="65"/>
      <c r="D49" s="65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72"/>
      <c r="Q49" s="274"/>
      <c r="R49" s="274">
        <f t="shared" si="0"/>
        <v>0</v>
      </c>
      <c r="S49" s="267"/>
    </row>
    <row r="50" spans="2:19">
      <c r="B50" s="56"/>
      <c r="C50" s="56"/>
      <c r="D50" s="56" t="s">
        <v>148</v>
      </c>
      <c r="E50" s="273"/>
      <c r="F50" s="273"/>
      <c r="G50" s="273"/>
      <c r="H50" s="273"/>
      <c r="I50" s="273"/>
      <c r="J50" s="273"/>
      <c r="K50" s="273"/>
      <c r="L50" s="273"/>
      <c r="M50" s="273"/>
      <c r="N50" s="273"/>
      <c r="O50" s="273"/>
      <c r="P50" s="273"/>
      <c r="Q50" s="273"/>
      <c r="R50" s="273">
        <f t="shared" si="0"/>
        <v>0</v>
      </c>
      <c r="S50" s="268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BB5ABF93-8966-4CD0-8CBC-22967C4DFA2F}"/>
  <phoneticPr fontId="3"/>
  <dataValidations count="1">
    <dataValidation type="list" allowBlank="1" showInputMessage="1" showErrorMessage="1" sqref="S4:S49" xr:uid="{34E4CDBC-D271-48AE-8D9B-C09A7A4B64E8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681D-99CC-467C-8396-19F411E4C10A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7265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2695312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685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88" t="s">
        <v>590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88" t="s">
        <v>591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88" t="s">
        <v>676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686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687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688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689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690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89">
        <v>9114120006</v>
      </c>
      <c r="B230" s="290" t="s">
        <v>142</v>
      </c>
      <c r="C230"/>
      <c r="D230" s="290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677</v>
      </c>
      <c r="C239"/>
      <c r="D239" t="s">
        <v>677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678</v>
      </c>
      <c r="C240"/>
      <c r="D240" t="s">
        <v>678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674</v>
      </c>
      <c r="C245" s="107" t="s">
        <v>675</v>
      </c>
      <c r="D245" s="107" t="s">
        <v>45</v>
      </c>
      <c r="E245" s="107" t="s">
        <v>356</v>
      </c>
      <c r="G245" s="107">
        <v>6006016630</v>
      </c>
    </row>
  </sheetData>
  <autoFilter ref="A1:I244" xr:uid="{E19166A8-74C1-4707-88EA-33679D93481D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0E59-8D56-4A1A-9945-A1C8937717EB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"/>
  <cols>
    <col min="1" max="1" width="11.6328125" style="285" bestFit="1" customWidth="1"/>
    <col min="2" max="2" width="19" style="282" bestFit="1" customWidth="1"/>
    <col min="3" max="3" width="3.90625" style="283" bestFit="1" customWidth="1"/>
    <col min="4" max="4" width="10.26953125" style="282" bestFit="1" customWidth="1"/>
    <col min="5" max="5" width="9" style="282"/>
    <col min="6" max="6" width="10.90625" style="282" bestFit="1" customWidth="1"/>
    <col min="7" max="7" width="19.453125" style="282" bestFit="1" customWidth="1"/>
    <col min="8" max="8" width="9" style="282"/>
    <col min="9" max="9" width="13.453125" style="282" customWidth="1"/>
    <col min="10" max="16384" width="9" style="282"/>
  </cols>
  <sheetData>
    <row r="1" spans="1:7">
      <c r="B1" s="282" t="s">
        <v>93</v>
      </c>
      <c r="D1" s="282" t="s">
        <v>82</v>
      </c>
      <c r="E1" s="282" t="s">
        <v>83</v>
      </c>
    </row>
    <row r="2" spans="1:7">
      <c r="A2" s="285">
        <v>1412000004</v>
      </c>
      <c r="B2" s="284" t="s">
        <v>664</v>
      </c>
      <c r="C2" s="283" t="s">
        <v>592</v>
      </c>
      <c r="D2" s="282" t="s">
        <v>159</v>
      </c>
      <c r="E2" s="282" t="s">
        <v>159</v>
      </c>
      <c r="G2" s="282" t="s">
        <v>639</v>
      </c>
    </row>
    <row r="3" spans="1:7">
      <c r="A3" s="286">
        <v>1412000005</v>
      </c>
      <c r="B3" s="284" t="s">
        <v>665</v>
      </c>
      <c r="C3" s="283" t="s">
        <v>593</v>
      </c>
      <c r="D3" s="282" t="s">
        <v>159</v>
      </c>
      <c r="E3" s="282" t="s">
        <v>159</v>
      </c>
    </row>
    <row r="4" spans="1:7">
      <c r="A4" s="286">
        <v>1412000062</v>
      </c>
      <c r="B4" s="284" t="s">
        <v>645</v>
      </c>
      <c r="C4" s="283" t="s">
        <v>595</v>
      </c>
      <c r="D4" s="282" t="s">
        <v>444</v>
      </c>
      <c r="E4" s="282" t="s">
        <v>159</v>
      </c>
    </row>
    <row r="5" spans="1:7">
      <c r="A5" s="286">
        <v>1412000034</v>
      </c>
      <c r="B5" s="284" t="s">
        <v>422</v>
      </c>
      <c r="C5" s="283" t="s">
        <v>598</v>
      </c>
      <c r="D5" s="282" t="s">
        <v>159</v>
      </c>
      <c r="E5" s="282" t="s">
        <v>159</v>
      </c>
    </row>
    <row r="6" spans="1:7">
      <c r="A6" s="286">
        <v>1412000048</v>
      </c>
      <c r="B6" s="284" t="s">
        <v>421</v>
      </c>
      <c r="C6" s="283" t="s">
        <v>599</v>
      </c>
      <c r="D6" s="282" t="s">
        <v>444</v>
      </c>
      <c r="E6" s="282" t="s">
        <v>159</v>
      </c>
    </row>
    <row r="7" spans="1:7">
      <c r="A7" s="285">
        <v>1412000055</v>
      </c>
      <c r="B7" s="282" t="s">
        <v>658</v>
      </c>
      <c r="C7" s="283" t="s">
        <v>600</v>
      </c>
      <c r="D7" s="282" t="s">
        <v>444</v>
      </c>
      <c r="E7" s="282" t="s">
        <v>159</v>
      </c>
    </row>
    <row r="8" spans="1:7">
      <c r="A8" s="286">
        <v>1412000050</v>
      </c>
      <c r="B8" s="284" t="s">
        <v>618</v>
      </c>
      <c r="C8" s="283" t="s">
        <v>619</v>
      </c>
      <c r="D8" s="282" t="s">
        <v>159</v>
      </c>
      <c r="E8" s="282" t="s">
        <v>159</v>
      </c>
    </row>
    <row r="9" spans="1:7">
      <c r="A9" s="285">
        <v>1412000077</v>
      </c>
      <c r="B9" s="284" t="s">
        <v>620</v>
      </c>
      <c r="C9" s="283" t="s">
        <v>621</v>
      </c>
      <c r="D9" s="282" t="s">
        <v>159</v>
      </c>
      <c r="E9" s="282" t="s">
        <v>159</v>
      </c>
    </row>
    <row r="10" spans="1:7">
      <c r="A10" s="286">
        <v>1412000053</v>
      </c>
      <c r="B10" s="284" t="s">
        <v>582</v>
      </c>
      <c r="C10" s="283" t="s">
        <v>596</v>
      </c>
      <c r="D10" s="282" t="s">
        <v>444</v>
      </c>
      <c r="E10" s="282" t="s">
        <v>159</v>
      </c>
    </row>
    <row r="11" spans="1:7">
      <c r="A11" s="286">
        <v>1412000008</v>
      </c>
      <c r="B11" s="284" t="s">
        <v>432</v>
      </c>
      <c r="C11" s="283" t="s">
        <v>605</v>
      </c>
      <c r="D11" s="282" t="s">
        <v>444</v>
      </c>
      <c r="E11" s="282" t="s">
        <v>159</v>
      </c>
    </row>
    <row r="12" spans="1:7">
      <c r="A12" s="286">
        <v>1412000010</v>
      </c>
      <c r="B12" s="284" t="s">
        <v>430</v>
      </c>
      <c r="C12" s="283" t="s">
        <v>606</v>
      </c>
      <c r="D12" s="282" t="s">
        <v>576</v>
      </c>
      <c r="E12" s="282" t="s">
        <v>159</v>
      </c>
    </row>
    <row r="13" spans="1:7">
      <c r="A13" s="286">
        <v>1412000054</v>
      </c>
      <c r="B13" s="284" t="s">
        <v>423</v>
      </c>
      <c r="C13" s="283" t="s">
        <v>607</v>
      </c>
      <c r="D13" s="282" t="s">
        <v>576</v>
      </c>
      <c r="E13" s="282" t="s">
        <v>159</v>
      </c>
    </row>
    <row r="14" spans="1:7">
      <c r="A14" s="286">
        <v>1412000036</v>
      </c>
      <c r="B14" s="284" t="s">
        <v>644</v>
      </c>
      <c r="C14" s="283" t="s">
        <v>610</v>
      </c>
      <c r="D14" s="282" t="s">
        <v>444</v>
      </c>
      <c r="E14" s="282" t="s">
        <v>159</v>
      </c>
    </row>
    <row r="15" spans="1:7">
      <c r="A15" s="286">
        <v>1412000006</v>
      </c>
      <c r="B15" s="284" t="s">
        <v>424</v>
      </c>
      <c r="C15" s="283" t="s">
        <v>613</v>
      </c>
      <c r="D15" s="282" t="s">
        <v>576</v>
      </c>
      <c r="E15" s="282" t="s">
        <v>159</v>
      </c>
    </row>
    <row r="16" spans="1:7">
      <c r="A16" s="286">
        <v>1412000039</v>
      </c>
      <c r="B16" s="284" t="s">
        <v>425</v>
      </c>
      <c r="C16" s="283" t="s">
        <v>614</v>
      </c>
      <c r="D16" s="282" t="s">
        <v>576</v>
      </c>
      <c r="E16" s="282" t="s">
        <v>159</v>
      </c>
    </row>
    <row r="17" spans="1:5">
      <c r="A17" s="286">
        <v>1412000040</v>
      </c>
      <c r="B17" s="284" t="s">
        <v>443</v>
      </c>
      <c r="C17" s="283" t="s">
        <v>615</v>
      </c>
      <c r="D17" s="282" t="s">
        <v>576</v>
      </c>
      <c r="E17" s="282" t="s">
        <v>159</v>
      </c>
    </row>
    <row r="18" spans="1:5">
      <c r="A18" s="285">
        <v>1412000013</v>
      </c>
      <c r="B18" s="284" t="s">
        <v>666</v>
      </c>
      <c r="C18" s="283" t="s">
        <v>608</v>
      </c>
      <c r="D18" s="282" t="s">
        <v>576</v>
      </c>
      <c r="E18" s="282" t="s">
        <v>159</v>
      </c>
    </row>
    <row r="19" spans="1:5">
      <c r="A19" s="285">
        <v>1412000080</v>
      </c>
      <c r="B19" s="284" t="s">
        <v>440</v>
      </c>
      <c r="C19" s="283" t="s">
        <v>604</v>
      </c>
      <c r="D19" s="282" t="s">
        <v>576</v>
      </c>
      <c r="E19" s="282" t="s">
        <v>159</v>
      </c>
    </row>
    <row r="20" spans="1:5">
      <c r="A20" s="285">
        <v>1412000044</v>
      </c>
      <c r="B20" s="284" t="s">
        <v>442</v>
      </c>
      <c r="C20" s="283" t="s">
        <v>603</v>
      </c>
      <c r="D20" s="282" t="s">
        <v>444</v>
      </c>
      <c r="E20" s="282" t="s">
        <v>159</v>
      </c>
    </row>
    <row r="21" spans="1:5">
      <c r="A21" s="286">
        <v>1412000056</v>
      </c>
      <c r="B21" s="284" t="s">
        <v>441</v>
      </c>
      <c r="C21" s="283" t="s">
        <v>602</v>
      </c>
      <c r="D21" s="282" t="s">
        <v>159</v>
      </c>
      <c r="E21" s="282" t="s">
        <v>159</v>
      </c>
    </row>
    <row r="22" spans="1:5">
      <c r="A22" s="286">
        <v>1412000018</v>
      </c>
      <c r="B22" s="284" t="s">
        <v>428</v>
      </c>
      <c r="C22" s="283" t="s">
        <v>625</v>
      </c>
      <c r="D22" s="282" t="s">
        <v>577</v>
      </c>
      <c r="E22" s="282" t="s">
        <v>159</v>
      </c>
    </row>
    <row r="23" spans="1:5">
      <c r="A23" s="286">
        <v>1412000019</v>
      </c>
      <c r="B23" s="284" t="s">
        <v>588</v>
      </c>
      <c r="C23" s="283" t="s">
        <v>626</v>
      </c>
      <c r="D23" s="282" t="s">
        <v>577</v>
      </c>
      <c r="E23" s="282" t="s">
        <v>159</v>
      </c>
    </row>
    <row r="24" spans="1:5">
      <c r="A24" s="286">
        <v>1412000058</v>
      </c>
      <c r="B24" s="284" t="s">
        <v>433</v>
      </c>
      <c r="C24" s="283" t="s">
        <v>627</v>
      </c>
      <c r="D24" s="282" t="s">
        <v>577</v>
      </c>
      <c r="E24" s="282" t="s">
        <v>159</v>
      </c>
    </row>
    <row r="25" spans="1:5">
      <c r="A25" s="286">
        <v>1412000042</v>
      </c>
      <c r="B25" s="284" t="s">
        <v>434</v>
      </c>
      <c r="C25" s="283" t="s">
        <v>628</v>
      </c>
      <c r="D25" s="282" t="s">
        <v>577</v>
      </c>
      <c r="E25" s="282" t="s">
        <v>159</v>
      </c>
    </row>
    <row r="26" spans="1:5">
      <c r="A26" s="286">
        <v>1412000021</v>
      </c>
      <c r="B26" s="284" t="s">
        <v>435</v>
      </c>
      <c r="C26" s="283" t="s">
        <v>629</v>
      </c>
      <c r="D26" s="282" t="s">
        <v>577</v>
      </c>
      <c r="E26" s="282" t="s">
        <v>159</v>
      </c>
    </row>
    <row r="27" spans="1:5">
      <c r="A27" s="286">
        <v>1412000022</v>
      </c>
      <c r="B27" s="284" t="s">
        <v>439</v>
      </c>
      <c r="C27" s="283" t="s">
        <v>631</v>
      </c>
      <c r="D27" s="282" t="s">
        <v>577</v>
      </c>
      <c r="E27" s="282" t="s">
        <v>159</v>
      </c>
    </row>
    <row r="28" spans="1:5">
      <c r="A28" s="286">
        <v>1412000024</v>
      </c>
      <c r="B28" s="284" t="s">
        <v>437</v>
      </c>
      <c r="C28" s="283" t="s">
        <v>632</v>
      </c>
      <c r="D28" s="282" t="s">
        <v>578</v>
      </c>
      <c r="E28" s="282" t="s">
        <v>160</v>
      </c>
    </row>
    <row r="29" spans="1:5">
      <c r="A29" s="286">
        <v>1412000025</v>
      </c>
      <c r="B29" s="284" t="s">
        <v>426</v>
      </c>
      <c r="C29" s="283" t="s">
        <v>633</v>
      </c>
      <c r="D29" s="282" t="s">
        <v>578</v>
      </c>
      <c r="E29" s="282" t="s">
        <v>160</v>
      </c>
    </row>
    <row r="30" spans="1:5">
      <c r="A30" s="286">
        <v>1412000026</v>
      </c>
      <c r="B30" s="284" t="s">
        <v>431</v>
      </c>
      <c r="C30" s="283" t="s">
        <v>634</v>
      </c>
      <c r="D30" s="282" t="s">
        <v>578</v>
      </c>
      <c r="E30" s="282" t="s">
        <v>160</v>
      </c>
    </row>
    <row r="31" spans="1:5">
      <c r="A31" s="286">
        <v>1412000028</v>
      </c>
      <c r="B31" s="284" t="s">
        <v>427</v>
      </c>
      <c r="C31" s="283" t="s">
        <v>635</v>
      </c>
      <c r="D31" s="282" t="s">
        <v>578</v>
      </c>
      <c r="E31" s="282" t="s">
        <v>160</v>
      </c>
    </row>
    <row r="32" spans="1:5">
      <c r="A32" s="286">
        <v>1412000029</v>
      </c>
      <c r="B32" s="284" t="s">
        <v>436</v>
      </c>
      <c r="C32" s="283" t="s">
        <v>636</v>
      </c>
      <c r="D32" s="282" t="s">
        <v>578</v>
      </c>
      <c r="E32" s="282" t="s">
        <v>160</v>
      </c>
    </row>
    <row r="33" spans="1:5">
      <c r="A33" s="286">
        <v>1412000030</v>
      </c>
      <c r="B33" s="284" t="s">
        <v>438</v>
      </c>
      <c r="C33" s="283" t="s">
        <v>637</v>
      </c>
      <c r="D33" s="282" t="s">
        <v>578</v>
      </c>
      <c r="E33" s="282" t="s">
        <v>161</v>
      </c>
    </row>
    <row r="34" spans="1:5">
      <c r="A34" s="286">
        <v>1412000086</v>
      </c>
      <c r="B34" s="284" t="s">
        <v>429</v>
      </c>
      <c r="C34" s="283" t="s">
        <v>638</v>
      </c>
      <c r="D34" s="282" t="s">
        <v>578</v>
      </c>
      <c r="E34" s="282" t="s">
        <v>160</v>
      </c>
    </row>
    <row r="35" spans="1:5">
      <c r="A35" s="286">
        <v>1412000063</v>
      </c>
      <c r="B35" s="284" t="s">
        <v>667</v>
      </c>
      <c r="C35" s="283" t="s">
        <v>601</v>
      </c>
      <c r="D35" s="282" t="s">
        <v>444</v>
      </c>
      <c r="E35" s="282" t="s">
        <v>159</v>
      </c>
    </row>
    <row r="36" spans="1:5">
      <c r="A36" s="286">
        <v>1412000066</v>
      </c>
      <c r="B36" s="284" t="s">
        <v>420</v>
      </c>
      <c r="C36" s="283" t="s">
        <v>594</v>
      </c>
      <c r="D36" s="282" t="s">
        <v>159</v>
      </c>
      <c r="E36" s="282" t="s">
        <v>159</v>
      </c>
    </row>
    <row r="37" spans="1:5">
      <c r="A37" s="286">
        <v>1412000035</v>
      </c>
      <c r="B37" s="284" t="s">
        <v>587</v>
      </c>
      <c r="C37" s="283" t="s">
        <v>609</v>
      </c>
      <c r="D37" s="282" t="s">
        <v>576</v>
      </c>
      <c r="E37" s="282" t="s">
        <v>159</v>
      </c>
    </row>
    <row r="38" spans="1:5">
      <c r="A38" s="286">
        <v>1412000016</v>
      </c>
      <c r="B38" s="284" t="s">
        <v>584</v>
      </c>
      <c r="C38" s="283" t="s">
        <v>616</v>
      </c>
      <c r="D38" s="282" t="s">
        <v>576</v>
      </c>
      <c r="E38" s="282" t="s">
        <v>159</v>
      </c>
    </row>
    <row r="39" spans="1:5">
      <c r="A39" s="286">
        <v>1412000069</v>
      </c>
      <c r="B39" s="284" t="s">
        <v>585</v>
      </c>
      <c r="C39" s="283" t="s">
        <v>617</v>
      </c>
      <c r="D39" s="282" t="s">
        <v>576</v>
      </c>
      <c r="E39" s="282" t="s">
        <v>159</v>
      </c>
    </row>
    <row r="40" spans="1:5">
      <c r="A40" s="286">
        <v>1412000070</v>
      </c>
      <c r="B40" s="284" t="s">
        <v>589</v>
      </c>
      <c r="C40" s="283" t="s">
        <v>630</v>
      </c>
      <c r="D40" s="282" t="s">
        <v>577</v>
      </c>
      <c r="E40" s="282" t="s">
        <v>159</v>
      </c>
    </row>
    <row r="41" spans="1:5">
      <c r="A41" s="286">
        <v>1412000072</v>
      </c>
      <c r="B41" s="284" t="s">
        <v>646</v>
      </c>
      <c r="C41" s="283" t="s">
        <v>611</v>
      </c>
      <c r="D41" s="282" t="s">
        <v>444</v>
      </c>
      <c r="E41" s="282" t="s">
        <v>161</v>
      </c>
    </row>
    <row r="42" spans="1:5">
      <c r="A42" s="286">
        <v>1412000073</v>
      </c>
      <c r="B42" s="284" t="s">
        <v>586</v>
      </c>
      <c r="C42" s="283" t="s">
        <v>612</v>
      </c>
      <c r="D42" s="282" t="s">
        <v>444</v>
      </c>
      <c r="E42" s="282" t="s">
        <v>159</v>
      </c>
    </row>
    <row r="43" spans="1:5">
      <c r="A43" s="285">
        <v>1412000075</v>
      </c>
      <c r="B43" s="284" t="s">
        <v>583</v>
      </c>
      <c r="C43" s="283" t="s">
        <v>597</v>
      </c>
      <c r="D43" s="282" t="s">
        <v>444</v>
      </c>
      <c r="E43" s="282" t="s">
        <v>159</v>
      </c>
    </row>
    <row r="44" spans="1:5">
      <c r="A44" s="285">
        <v>1412000057</v>
      </c>
      <c r="B44" s="284" t="s">
        <v>622</v>
      </c>
      <c r="C44" s="283" t="s">
        <v>623</v>
      </c>
      <c r="D44" s="282" t="s">
        <v>159</v>
      </c>
      <c r="E44" s="282" t="s">
        <v>159</v>
      </c>
    </row>
    <row r="45" spans="1:5">
      <c r="A45" s="286">
        <v>1412000078</v>
      </c>
      <c r="B45" s="284" t="s">
        <v>668</v>
      </c>
      <c r="C45" s="283" t="s">
        <v>624</v>
      </c>
      <c r="D45" s="282" t="s">
        <v>159</v>
      </c>
      <c r="E45" s="282" t="s">
        <v>159</v>
      </c>
    </row>
    <row r="46" spans="1:5">
      <c r="A46" s="285">
        <v>1412000081</v>
      </c>
      <c r="B46" s="284" t="s">
        <v>647</v>
      </c>
      <c r="C46" s="283" t="s">
        <v>640</v>
      </c>
      <c r="D46" s="282" t="s">
        <v>159</v>
      </c>
      <c r="E46" s="282" t="s">
        <v>159</v>
      </c>
    </row>
    <row r="47" spans="1:5">
      <c r="A47" s="285">
        <v>1412000083</v>
      </c>
      <c r="B47" s="284" t="s">
        <v>648</v>
      </c>
      <c r="C47" s="283" t="s">
        <v>650</v>
      </c>
      <c r="D47" s="282" t="s">
        <v>159</v>
      </c>
      <c r="E47" s="282" t="s">
        <v>159</v>
      </c>
    </row>
    <row r="48" spans="1:5">
      <c r="A48" s="285">
        <v>1412000084</v>
      </c>
      <c r="B48" s="282" t="s">
        <v>649</v>
      </c>
      <c r="C48" s="283" t="s">
        <v>654</v>
      </c>
      <c r="D48" s="282" t="s">
        <v>576</v>
      </c>
      <c r="E48" s="282" t="s">
        <v>159</v>
      </c>
    </row>
    <row r="49" spans="1:5">
      <c r="A49" s="285">
        <v>1412000087</v>
      </c>
      <c r="B49" s="284" t="s">
        <v>651</v>
      </c>
      <c r="C49" s="283" t="s">
        <v>655</v>
      </c>
      <c r="D49" s="282" t="s">
        <v>444</v>
      </c>
      <c r="E49" s="282" t="s">
        <v>159</v>
      </c>
    </row>
    <row r="50" spans="1:5">
      <c r="A50" s="285">
        <v>1412000088</v>
      </c>
      <c r="B50" s="282" t="s">
        <v>652</v>
      </c>
      <c r="C50" s="283" t="s">
        <v>656</v>
      </c>
      <c r="D50" s="282" t="s">
        <v>444</v>
      </c>
      <c r="E50" s="282" t="s">
        <v>159</v>
      </c>
    </row>
    <row r="51" spans="1:5">
      <c r="A51" s="285">
        <v>1412000089</v>
      </c>
      <c r="B51" s="282" t="s">
        <v>653</v>
      </c>
      <c r="C51" s="283" t="s">
        <v>657</v>
      </c>
      <c r="D51" s="282" t="s">
        <v>576</v>
      </c>
      <c r="E51" s="282" t="s">
        <v>159</v>
      </c>
    </row>
    <row r="52" spans="1:5">
      <c r="A52" s="285">
        <v>1412000091</v>
      </c>
      <c r="B52" s="282" t="s">
        <v>660</v>
      </c>
      <c r="C52" s="287" t="s">
        <v>659</v>
      </c>
      <c r="D52" s="282" t="s">
        <v>578</v>
      </c>
      <c r="E52" s="282" t="s">
        <v>160</v>
      </c>
    </row>
    <row r="53" spans="1:5">
      <c r="A53" s="285">
        <v>1412000092</v>
      </c>
      <c r="B53" s="282" t="s">
        <v>661</v>
      </c>
      <c r="C53" s="287" t="s">
        <v>662</v>
      </c>
      <c r="D53" s="282" t="s">
        <v>576</v>
      </c>
      <c r="E53" s="282" t="s">
        <v>159</v>
      </c>
    </row>
    <row r="54" spans="1:5">
      <c r="A54" s="285">
        <v>1412000093</v>
      </c>
      <c r="B54" s="282" t="s">
        <v>669</v>
      </c>
      <c r="C54" s="287" t="s">
        <v>663</v>
      </c>
      <c r="D54" s="282" t="s">
        <v>578</v>
      </c>
      <c r="E54" s="282" t="s">
        <v>160</v>
      </c>
    </row>
    <row r="55" spans="1:5">
      <c r="A55" s="285">
        <v>1412000094</v>
      </c>
      <c r="B55" s="282" t="s">
        <v>670</v>
      </c>
      <c r="C55" s="287" t="s">
        <v>681</v>
      </c>
      <c r="D55" s="282" t="s">
        <v>444</v>
      </c>
      <c r="E55" s="282" t="s">
        <v>159</v>
      </c>
    </row>
    <row r="56" spans="1:5">
      <c r="A56" s="285">
        <v>1412000096</v>
      </c>
      <c r="B56" s="284" t="s">
        <v>671</v>
      </c>
      <c r="C56" s="287" t="s">
        <v>682</v>
      </c>
      <c r="D56" s="282" t="s">
        <v>159</v>
      </c>
      <c r="E56" s="282" t="s">
        <v>159</v>
      </c>
    </row>
    <row r="57" spans="1:5">
      <c r="A57" s="285">
        <v>1412000098</v>
      </c>
      <c r="B57" s="282" t="s">
        <v>679</v>
      </c>
      <c r="C57" s="287" t="s">
        <v>683</v>
      </c>
      <c r="D57" s="282" t="s">
        <v>159</v>
      </c>
      <c r="E57" s="282" t="s">
        <v>159</v>
      </c>
    </row>
    <row r="58" spans="1:5">
      <c r="A58" s="285">
        <v>1412000099</v>
      </c>
      <c r="B58" s="282" t="s">
        <v>680</v>
      </c>
      <c r="C58" s="287" t="s">
        <v>684</v>
      </c>
      <c r="D58" s="282" t="s">
        <v>159</v>
      </c>
      <c r="E58" s="282" t="s">
        <v>159</v>
      </c>
    </row>
  </sheetData>
  <autoFilter ref="A1:K479" xr:uid="{1AA5ECB0-F82E-498C-8A2D-9597E4B1BD8F}"/>
  <phoneticPr fontId="3"/>
  <pageMargins left="0.75" right="0.75" top="1" bottom="1" header="0.51200000000000001" footer="0.5120000000000000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C94C-FD83-406E-A47F-9A40F5376BBD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3"/>
  </cols>
  <sheetData>
    <row r="2" spans="1:2">
      <c r="A2" s="123" t="s">
        <v>673</v>
      </c>
      <c r="B2" s="243" t="s">
        <v>401</v>
      </c>
    </row>
    <row r="3" spans="1:2" ht="14.5">
      <c r="A3" s="92">
        <v>4</v>
      </c>
      <c r="B3" s="244">
        <v>20</v>
      </c>
    </row>
    <row r="4" spans="1:2" ht="14.5">
      <c r="A4" s="92">
        <v>5</v>
      </c>
      <c r="B4" s="244">
        <v>19</v>
      </c>
    </row>
    <row r="5" spans="1:2" ht="14.5">
      <c r="A5" s="92">
        <v>6</v>
      </c>
      <c r="B5" s="244">
        <v>21</v>
      </c>
    </row>
    <row r="6" spans="1:2" ht="14.5">
      <c r="A6" s="92">
        <v>7</v>
      </c>
      <c r="B6" s="244">
        <v>23</v>
      </c>
    </row>
    <row r="7" spans="1:2" ht="14.5">
      <c r="A7" s="92">
        <v>8</v>
      </c>
      <c r="B7" s="244">
        <v>20</v>
      </c>
    </row>
    <row r="8" spans="1:2" ht="14.5">
      <c r="A8" s="92">
        <v>9</v>
      </c>
      <c r="B8" s="244">
        <v>19</v>
      </c>
    </row>
    <row r="9" spans="1:2" ht="14.5">
      <c r="A9" s="92">
        <v>10</v>
      </c>
      <c r="B9" s="244">
        <v>23</v>
      </c>
    </row>
    <row r="10" spans="1:2" ht="14.5">
      <c r="A10" s="92">
        <v>11</v>
      </c>
      <c r="B10" s="244">
        <v>20</v>
      </c>
    </row>
    <row r="11" spans="1:2" ht="14.5">
      <c r="A11" s="92">
        <v>12</v>
      </c>
      <c r="B11" s="244">
        <v>22</v>
      </c>
    </row>
    <row r="12" spans="1:2" ht="14.5">
      <c r="A12" s="92">
        <v>1</v>
      </c>
      <c r="B12" s="244">
        <v>20</v>
      </c>
    </row>
    <row r="13" spans="1:2" ht="14.5">
      <c r="A13" s="92">
        <v>2</v>
      </c>
      <c r="B13" s="244">
        <v>15</v>
      </c>
    </row>
    <row r="14" spans="1:2" ht="14.5">
      <c r="A14" s="92">
        <v>3</v>
      </c>
      <c r="B14" s="244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採算表(USD)</vt:lpstr>
      <vt:lpstr>採算表(VND)</vt:lpstr>
      <vt:lpstr>内訳ﾘｽﾄ(4～3月)</vt:lpstr>
      <vt:lpstr>Sheet1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Nguyễn Thị Kim Anh(Nguyen Thi Kim Anh)</cp:lastModifiedBy>
  <cp:lastPrinted>2017-10-06T02:39:42Z</cp:lastPrinted>
  <dcterms:created xsi:type="dcterms:W3CDTF">2002-04-10T08:05:47Z</dcterms:created>
  <dcterms:modified xsi:type="dcterms:W3CDTF">2025-01-08T03:46:15Z</dcterms:modified>
</cp:coreProperties>
</file>