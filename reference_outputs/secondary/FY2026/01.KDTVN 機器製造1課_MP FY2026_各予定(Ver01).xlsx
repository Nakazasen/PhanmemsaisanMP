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Profit Managerment\"/>
    </mc:Choice>
  </mc:AlternateContent>
  <xr:revisionPtr revIDLastSave="0" documentId="13_ncr:1_{FE6D1DC7-6682-437E-A754-3A2E5ABAA612}" xr6:coauthVersionLast="47" xr6:coauthVersionMax="47" xr10:uidLastSave="{00000000-0000-0000-0000-000000000000}"/>
  <bookViews>
    <workbookView xWindow="-110" yWindow="-110" windowWidth="19420" windowHeight="10300" tabRatio="702" activeTab="2" xr2:uid="{917A336A-ECFD-4BF5-B6EF-911C2889A16D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'内訳ﾘｽﾄ(4～3月)'!$A$7:$T$800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10" l="1"/>
  <c r="AF32" i="10" s="1"/>
  <c r="O27" i="10"/>
  <c r="AE32" i="10" s="1"/>
  <c r="N27" i="10"/>
  <c r="AD32" i="10" s="1"/>
  <c r="M28" i="10"/>
  <c r="AC33" i="10" s="1"/>
  <c r="J27" i="10"/>
  <c r="Z32" i="10" s="1"/>
  <c r="L27" i="10"/>
  <c r="AB32" i="10" s="1"/>
  <c r="K27" i="10"/>
  <c r="AA32" i="10" s="1"/>
  <c r="I27" i="10"/>
  <c r="Y32" i="10" s="1"/>
  <c r="H27" i="10"/>
  <c r="X32" i="10" s="1"/>
  <c r="G27" i="10"/>
  <c r="W32" i="10" s="1"/>
  <c r="N26" i="10"/>
  <c r="AD31" i="10" s="1"/>
  <c r="K26" i="10"/>
  <c r="AA31" i="10" s="1"/>
  <c r="H26" i="10"/>
  <c r="X31" i="10" s="1"/>
  <c r="N28" i="10"/>
  <c r="AD33" i="10" s="1"/>
  <c r="K28" i="10"/>
  <c r="Q28" i="10"/>
  <c r="AG33" i="10" s="1"/>
  <c r="P28" i="10"/>
  <c r="O28" i="10"/>
  <c r="Q27" i="10"/>
  <c r="Q26" i="10"/>
  <c r="AG31" i="10" s="1"/>
  <c r="P26" i="10"/>
  <c r="O26" i="10"/>
  <c r="AE31" i="10" s="1"/>
  <c r="L28" i="10"/>
  <c r="M27" i="10"/>
  <c r="M26" i="10"/>
  <c r="L26" i="10"/>
  <c r="J28" i="10"/>
  <c r="I28" i="10"/>
  <c r="Y33" i="10" s="1"/>
  <c r="H28" i="10"/>
  <c r="G28" i="10"/>
  <c r="F28" i="10"/>
  <c r="F27" i="10"/>
  <c r="J26" i="10"/>
  <c r="I26" i="10"/>
  <c r="G26" i="10"/>
  <c r="F26" i="10"/>
  <c r="V31" i="10" s="1"/>
  <c r="AF33" i="10"/>
  <c r="AE33" i="10"/>
  <c r="AB33" i="10"/>
  <c r="AA33" i="10"/>
  <c r="Z33" i="10"/>
  <c r="X33" i="10"/>
  <c r="W33" i="10"/>
  <c r="V33" i="10"/>
  <c r="AG32" i="10"/>
  <c r="AC32" i="10"/>
  <c r="V32" i="10"/>
  <c r="AF31" i="10"/>
  <c r="AC31" i="10"/>
  <c r="AB31" i="10"/>
  <c r="Z31" i="10"/>
  <c r="Y31" i="10"/>
  <c r="W31" i="10"/>
  <c r="Q36" i="10" l="1"/>
  <c r="P36" i="10"/>
  <c r="O36" i="10"/>
  <c r="N36" i="10"/>
  <c r="M36" i="10"/>
  <c r="L36" i="10"/>
  <c r="K36" i="10"/>
  <c r="J36" i="10"/>
  <c r="I36" i="10"/>
  <c r="H36" i="10"/>
  <c r="G36" i="10"/>
  <c r="F36" i="10"/>
  <c r="M120" i="10" l="1"/>
  <c r="L120" i="10"/>
  <c r="P100" i="10"/>
  <c r="F117" i="10" l="1"/>
  <c r="H101" i="10" l="1"/>
  <c r="G101" i="10"/>
  <c r="P108" i="10" l="1"/>
  <c r="H115" i="10"/>
  <c r="M111" i="10"/>
  <c r="N110" i="10"/>
  <c r="M109" i="10"/>
  <c r="L108" i="10"/>
  <c r="L107" i="10"/>
  <c r="L106" i="10"/>
  <c r="K105" i="10"/>
  <c r="L104" i="10"/>
  <c r="J103" i="10"/>
  <c r="P103" i="10"/>
  <c r="I102" i="10"/>
  <c r="Q99" i="10"/>
  <c r="G57" i="10" l="1"/>
  <c r="H57" i="10"/>
  <c r="I57" i="10"/>
  <c r="J57" i="10"/>
  <c r="K57" i="10"/>
  <c r="L57" i="10"/>
  <c r="M57" i="10"/>
  <c r="N57" i="10"/>
  <c r="O57" i="10"/>
  <c r="P57" i="10"/>
  <c r="Q57" i="10"/>
  <c r="F57" i="10"/>
  <c r="Q49" i="10"/>
  <c r="H49" i="10"/>
  <c r="I49" i="10"/>
  <c r="J49" i="10"/>
  <c r="K49" i="10"/>
  <c r="L49" i="10"/>
  <c r="M49" i="10"/>
  <c r="N49" i="10"/>
  <c r="O49" i="10"/>
  <c r="P49" i="10"/>
  <c r="G49" i="10"/>
  <c r="F49" i="10"/>
  <c r="R73" i="10" l="1"/>
  <c r="R131" i="10" l="1"/>
  <c r="C131" i="10"/>
  <c r="D131" i="10" s="1"/>
  <c r="P120" i="10" l="1"/>
  <c r="O120" i="10"/>
  <c r="K120" i="10"/>
  <c r="J120" i="10"/>
  <c r="M123" i="10"/>
  <c r="P124" i="10"/>
  <c r="P123" i="10"/>
  <c r="P122" i="10"/>
  <c r="O124" i="10"/>
  <c r="O123" i="10"/>
  <c r="O122" i="10"/>
  <c r="M124" i="10"/>
  <c r="M122" i="10"/>
  <c r="L124" i="10"/>
  <c r="L123" i="10"/>
  <c r="L122" i="10"/>
  <c r="K124" i="10"/>
  <c r="K123" i="10"/>
  <c r="K122" i="10"/>
  <c r="J124" i="10"/>
  <c r="J123" i="10"/>
  <c r="J122" i="10"/>
  <c r="P121" i="10"/>
  <c r="O121" i="10"/>
  <c r="M121" i="10"/>
  <c r="L121" i="10"/>
  <c r="K121" i="10"/>
  <c r="J121" i="10"/>
  <c r="Q119" i="10"/>
  <c r="P119" i="10"/>
  <c r="N119" i="10"/>
  <c r="M119" i="10"/>
  <c r="L119" i="10"/>
  <c r="K119" i="10"/>
  <c r="Q145" i="10" l="1"/>
  <c r="J145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C178" i="10" s="1"/>
  <c r="D178" i="10" s="1"/>
  <c r="C989" i="10"/>
  <c r="D989" i="10" s="1"/>
  <c r="D5" i="10"/>
  <c r="H2" i="36"/>
  <c r="G2" i="36"/>
  <c r="F2" i="36"/>
  <c r="N98" i="5"/>
  <c r="M98" i="5"/>
  <c r="M98" i="32"/>
  <c r="L98" i="5"/>
  <c r="L98" i="32" s="1"/>
  <c r="K98" i="5"/>
  <c r="K98" i="32" s="1"/>
  <c r="J98" i="5"/>
  <c r="J98" i="32" s="1"/>
  <c r="I98" i="5"/>
  <c r="I98" i="32"/>
  <c r="H98" i="5"/>
  <c r="H98" i="32" s="1"/>
  <c r="G98" i="5"/>
  <c r="G98" i="32" s="1"/>
  <c r="F98" i="5"/>
  <c r="F98" i="32" s="1"/>
  <c r="E98" i="5"/>
  <c r="D98" i="5"/>
  <c r="C98" i="5"/>
  <c r="C98" i="32" s="1"/>
  <c r="N97" i="5"/>
  <c r="M97" i="5"/>
  <c r="M97" i="32" s="1"/>
  <c r="M99" i="5"/>
  <c r="L97" i="5"/>
  <c r="K97" i="5"/>
  <c r="J97" i="5"/>
  <c r="I97" i="5"/>
  <c r="I97" i="32" s="1"/>
  <c r="H97" i="5"/>
  <c r="H99" i="5" s="1"/>
  <c r="H97" i="32"/>
  <c r="H99" i="32" s="1"/>
  <c r="G97" i="5"/>
  <c r="F97" i="5"/>
  <c r="E97" i="5"/>
  <c r="E97" i="32" s="1"/>
  <c r="D97" i="5"/>
  <c r="D99" i="5" s="1"/>
  <c r="C97" i="5"/>
  <c r="N93" i="5"/>
  <c r="N93" i="32" s="1"/>
  <c r="M93" i="5"/>
  <c r="M93" i="32" s="1"/>
  <c r="L93" i="5"/>
  <c r="L93" i="32" s="1"/>
  <c r="K93" i="5"/>
  <c r="K93" i="32" s="1"/>
  <c r="J93" i="5"/>
  <c r="I93" i="5"/>
  <c r="I93" i="32" s="1"/>
  <c r="H93" i="5"/>
  <c r="G93" i="5"/>
  <c r="F93" i="5"/>
  <c r="F93" i="32" s="1"/>
  <c r="E93" i="5"/>
  <c r="E93" i="32" s="1"/>
  <c r="D93" i="5"/>
  <c r="D93" i="32" s="1"/>
  <c r="C93" i="5"/>
  <c r="N92" i="5"/>
  <c r="N92" i="32" s="1"/>
  <c r="M92" i="5"/>
  <c r="L92" i="5"/>
  <c r="L92" i="32" s="1"/>
  <c r="K92" i="5"/>
  <c r="J92" i="5"/>
  <c r="J92" i="32" s="1"/>
  <c r="I92" i="5"/>
  <c r="I92" i="32" s="1"/>
  <c r="H92" i="5"/>
  <c r="H92" i="32" s="1"/>
  <c r="G92" i="5"/>
  <c r="G92" i="32" s="1"/>
  <c r="F92" i="5"/>
  <c r="F94" i="5" s="1"/>
  <c r="E92" i="5"/>
  <c r="E92" i="32" s="1"/>
  <c r="D92" i="5"/>
  <c r="C92" i="5"/>
  <c r="N88" i="5"/>
  <c r="N88" i="32"/>
  <c r="M88" i="5"/>
  <c r="M88" i="32" s="1"/>
  <c r="L88" i="5"/>
  <c r="K88" i="5"/>
  <c r="K88" i="32" s="1"/>
  <c r="J88" i="5"/>
  <c r="I88" i="5"/>
  <c r="H88" i="5"/>
  <c r="G88" i="5"/>
  <c r="F88" i="5"/>
  <c r="F88" i="32"/>
  <c r="E88" i="5"/>
  <c r="D88" i="5"/>
  <c r="C88" i="5"/>
  <c r="C88" i="32"/>
  <c r="N87" i="5"/>
  <c r="M87" i="5"/>
  <c r="L87" i="5"/>
  <c r="K87" i="5"/>
  <c r="K89" i="5" s="1"/>
  <c r="J87" i="5"/>
  <c r="I87" i="5"/>
  <c r="H87" i="5"/>
  <c r="H87" i="32" s="1"/>
  <c r="H89" i="5"/>
  <c r="G87" i="5"/>
  <c r="F87" i="5"/>
  <c r="E87" i="5"/>
  <c r="E87" i="32" s="1"/>
  <c r="D87" i="5"/>
  <c r="D89" i="5" s="1"/>
  <c r="C87" i="5"/>
  <c r="N74" i="5"/>
  <c r="N74" i="32" s="1"/>
  <c r="M74" i="5"/>
  <c r="M74" i="32" s="1"/>
  <c r="L74" i="5"/>
  <c r="L74" i="32" s="1"/>
  <c r="K74" i="5"/>
  <c r="K74" i="32" s="1"/>
  <c r="J74" i="5"/>
  <c r="J74" i="32" s="1"/>
  <c r="I74" i="5"/>
  <c r="I74" i="32"/>
  <c r="H74" i="5"/>
  <c r="H74" i="32" s="1"/>
  <c r="G74" i="5"/>
  <c r="G74" i="32" s="1"/>
  <c r="F74" i="5"/>
  <c r="F74" i="32" s="1"/>
  <c r="E74" i="5"/>
  <c r="E74" i="32" s="1"/>
  <c r="D74" i="5"/>
  <c r="D74" i="32" s="1"/>
  <c r="C74" i="5"/>
  <c r="N68" i="5"/>
  <c r="N68" i="32" s="1"/>
  <c r="M68" i="5"/>
  <c r="M68" i="32" s="1"/>
  <c r="L68" i="5"/>
  <c r="L68" i="32" s="1"/>
  <c r="K68" i="5"/>
  <c r="K68" i="32" s="1"/>
  <c r="J68" i="5"/>
  <c r="I68" i="5"/>
  <c r="H68" i="5"/>
  <c r="H68" i="32"/>
  <c r="G68" i="5"/>
  <c r="G68" i="32" s="1"/>
  <c r="F68" i="5"/>
  <c r="E68" i="5"/>
  <c r="E68" i="32" s="1"/>
  <c r="D68" i="5"/>
  <c r="D68" i="32" s="1"/>
  <c r="C68" i="5"/>
  <c r="C68" i="32" s="1"/>
  <c r="N94" i="5"/>
  <c r="F89" i="5"/>
  <c r="R800" i="10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R36" i="10"/>
  <c r="F29" i="10"/>
  <c r="F5" i="10" s="1"/>
  <c r="C1" i="5"/>
  <c r="C1" i="32" s="1"/>
  <c r="R38" i="10"/>
  <c r="R37" i="10"/>
  <c r="R35" i="10"/>
  <c r="R25" i="10"/>
  <c r="O88" i="5" s="1"/>
  <c r="R24" i="10"/>
  <c r="O87" i="5"/>
  <c r="O89" i="5" s="1"/>
  <c r="R23" i="10"/>
  <c r="R22" i="10"/>
  <c r="O77" i="5" s="1"/>
  <c r="R21" i="10"/>
  <c r="O76" i="5" s="1"/>
  <c r="R20" i="10"/>
  <c r="R19" i="10"/>
  <c r="R18" i="10"/>
  <c r="R17" i="10"/>
  <c r="O98" i="5" s="1"/>
  <c r="R16" i="10"/>
  <c r="R15" i="10"/>
  <c r="R14" i="10"/>
  <c r="R13" i="10"/>
  <c r="O70" i="5" s="1"/>
  <c r="R12" i="10"/>
  <c r="R11" i="10"/>
  <c r="R10" i="10"/>
  <c r="R9" i="10"/>
  <c r="O93" i="5"/>
  <c r="R8" i="10"/>
  <c r="O68" i="5" s="1"/>
  <c r="J68" i="32"/>
  <c r="F68" i="32"/>
  <c r="C5" i="10"/>
  <c r="N1" i="32"/>
  <c r="Q2" i="10"/>
  <c r="P2" i="10"/>
  <c r="O2" i="10"/>
  <c r="N2" i="10"/>
  <c r="M2" i="10"/>
  <c r="L2" i="10"/>
  <c r="K2" i="10"/>
  <c r="J2" i="10"/>
  <c r="I2" i="10"/>
  <c r="H2" i="10"/>
  <c r="C4" i="5"/>
  <c r="C4" i="32"/>
  <c r="D87" i="32"/>
  <c r="L87" i="32"/>
  <c r="D88" i="32"/>
  <c r="D89" i="32"/>
  <c r="H88" i="32"/>
  <c r="J88" i="32"/>
  <c r="H93" i="32"/>
  <c r="D4" i="32"/>
  <c r="E4" i="32"/>
  <c r="F4" i="32"/>
  <c r="G4" i="32"/>
  <c r="H4" i="32"/>
  <c r="I4" i="32"/>
  <c r="J4" i="32"/>
  <c r="K4" i="32"/>
  <c r="L4" i="32"/>
  <c r="M4" i="32"/>
  <c r="N4" i="32"/>
  <c r="O4" i="32"/>
  <c r="F92" i="32"/>
  <c r="L88" i="32"/>
  <c r="L89" i="32" s="1"/>
  <c r="F87" i="32"/>
  <c r="F89" i="32" s="1"/>
  <c r="D98" i="32"/>
  <c r="O92" i="5"/>
  <c r="O94" i="5" s="1"/>
  <c r="I68" i="32"/>
  <c r="C74" i="32"/>
  <c r="C87" i="32"/>
  <c r="C89" i="32" s="1"/>
  <c r="C89" i="5"/>
  <c r="G87" i="32"/>
  <c r="K87" i="32"/>
  <c r="E94" i="5"/>
  <c r="N98" i="32"/>
  <c r="H94" i="5"/>
  <c r="I87" i="32"/>
  <c r="M87" i="32"/>
  <c r="M89" i="5"/>
  <c r="C92" i="32"/>
  <c r="G93" i="32"/>
  <c r="G94" i="5"/>
  <c r="C97" i="32"/>
  <c r="L89" i="5"/>
  <c r="I94" i="5"/>
  <c r="C471" i="10"/>
  <c r="D471" i="10" s="1"/>
  <c r="C51" i="10"/>
  <c r="D51" i="10" s="1"/>
  <c r="C153" i="10"/>
  <c r="D153" i="10" s="1"/>
  <c r="C661" i="10"/>
  <c r="D661" i="10" s="1"/>
  <c r="K69" i="5"/>
  <c r="C642" i="10"/>
  <c r="D642" i="10" s="1"/>
  <c r="C217" i="10"/>
  <c r="D217" i="10" s="1"/>
  <c r="C481" i="10"/>
  <c r="D481" i="10" s="1"/>
  <c r="L70" i="5"/>
  <c r="L70" i="32" s="1"/>
  <c r="C70" i="5"/>
  <c r="C70" i="32" s="1"/>
  <c r="C729" i="10"/>
  <c r="D729" i="10" s="1"/>
  <c r="C963" i="10"/>
  <c r="D963" i="10" s="1"/>
  <c r="C210" i="10"/>
  <c r="D210" i="10" s="1"/>
  <c r="C344" i="10"/>
  <c r="D344" i="10" s="1"/>
  <c r="C686" i="10"/>
  <c r="D686" i="10" s="1"/>
  <c r="C565" i="10"/>
  <c r="D565" i="10" s="1"/>
  <c r="C569" i="10"/>
  <c r="D569" i="10" s="1"/>
  <c r="C500" i="10"/>
  <c r="D500" i="10" s="1"/>
  <c r="C181" i="10"/>
  <c r="D181" i="10" s="1"/>
  <c r="C404" i="10"/>
  <c r="D404" i="10" s="1"/>
  <c r="C539" i="10"/>
  <c r="D539" i="10" s="1"/>
  <c r="C532" i="10"/>
  <c r="D532" i="10" s="1"/>
  <c r="C383" i="10"/>
  <c r="D383" i="10" s="1"/>
  <c r="C305" i="10"/>
  <c r="D305" i="10" s="1"/>
  <c r="C605" i="10"/>
  <c r="D605" i="10" s="1"/>
  <c r="C606" i="10"/>
  <c r="D606" i="10" s="1"/>
  <c r="C831" i="10"/>
  <c r="D831" i="10" s="1"/>
  <c r="C912" i="10"/>
  <c r="D912" i="10" s="1"/>
  <c r="C693" i="10"/>
  <c r="D693" i="10" s="1"/>
  <c r="C680" i="10"/>
  <c r="D680" i="10" s="1"/>
  <c r="C381" i="10"/>
  <c r="D381" i="10" s="1"/>
  <c r="C267" i="10"/>
  <c r="D267" i="10" s="1"/>
  <c r="C414" i="10"/>
  <c r="D414" i="10" s="1"/>
  <c r="C322" i="10"/>
  <c r="D322" i="10" s="1"/>
  <c r="C44" i="10"/>
  <c r="D44" i="10" s="1"/>
  <c r="C156" i="10"/>
  <c r="D156" i="10" s="1"/>
  <c r="C480" i="10"/>
  <c r="D480" i="10" s="1"/>
  <c r="C446" i="10"/>
  <c r="D446" i="10" s="1"/>
  <c r="C347" i="10"/>
  <c r="D347" i="10" s="1"/>
  <c r="C795" i="10"/>
  <c r="D795" i="10" s="1"/>
  <c r="C366" i="10"/>
  <c r="D366" i="10" s="1"/>
  <c r="C378" i="10"/>
  <c r="D378" i="10" s="1"/>
  <c r="C203" i="10"/>
  <c r="D203" i="10" s="1"/>
  <c r="C751" i="10"/>
  <c r="D751" i="10" s="1"/>
  <c r="C419" i="10"/>
  <c r="D419" i="10" s="1"/>
  <c r="C955" i="10"/>
  <c r="D955" i="10" s="1"/>
  <c r="C811" i="10"/>
  <c r="D811" i="10" s="1"/>
  <c r="K70" i="5"/>
  <c r="K70" i="32" s="1"/>
  <c r="C933" i="10"/>
  <c r="D933" i="10" s="1"/>
  <c r="C920" i="10"/>
  <c r="D920" i="10" s="1"/>
  <c r="C141" i="10"/>
  <c r="D141" i="10" s="1"/>
  <c r="C570" i="10"/>
  <c r="D570" i="10" s="1"/>
  <c r="C900" i="10"/>
  <c r="D900" i="10" s="1"/>
  <c r="C706" i="10"/>
  <c r="D706" i="10" s="1"/>
  <c r="C63" i="10"/>
  <c r="D63" i="10" s="1"/>
  <c r="C90" i="10"/>
  <c r="D90" i="10" s="1"/>
  <c r="C175" i="10"/>
  <c r="D175" i="10" s="1"/>
  <c r="C251" i="10"/>
  <c r="D251" i="10" s="1"/>
  <c r="C377" i="10"/>
  <c r="D377" i="10" s="1"/>
  <c r="C784" i="10"/>
  <c r="D784" i="10" s="1"/>
  <c r="C238" i="10"/>
  <c r="D238" i="10" s="1"/>
  <c r="O72" i="5"/>
  <c r="K72" i="5"/>
  <c r="N76" i="5"/>
  <c r="N76" i="32"/>
  <c r="N72" i="5"/>
  <c r="N72" i="32" s="1"/>
  <c r="I76" i="5"/>
  <c r="I76" i="32" s="1"/>
  <c r="H78" i="5"/>
  <c r="H78" i="32" s="1"/>
  <c r="M72" i="5"/>
  <c r="M72" i="32" s="1"/>
  <c r="K77" i="5"/>
  <c r="H75" i="5"/>
  <c r="H75" i="32" s="1"/>
  <c r="F71" i="5"/>
  <c r="F71" i="32" s="1"/>
  <c r="L76" i="5"/>
  <c r="L76" i="32" s="1"/>
  <c r="M78" i="5"/>
  <c r="M78" i="32" s="1"/>
  <c r="F77" i="5"/>
  <c r="F77" i="32" s="1"/>
  <c r="I75" i="5"/>
  <c r="I75" i="32" s="1"/>
  <c r="F70" i="5"/>
  <c r="F70" i="32" s="1"/>
  <c r="I71" i="5"/>
  <c r="I71" i="32" s="1"/>
  <c r="J75" i="5"/>
  <c r="J75" i="32" s="1"/>
  <c r="N78" i="5"/>
  <c r="N78" i="32" s="1"/>
  <c r="L78" i="5"/>
  <c r="J71" i="5"/>
  <c r="J71" i="32" s="1"/>
  <c r="J70" i="5"/>
  <c r="J70" i="32" s="1"/>
  <c r="M76" i="5"/>
  <c r="M76" i="32" s="1"/>
  <c r="M77" i="5"/>
  <c r="M77" i="32" s="1"/>
  <c r="E72" i="5"/>
  <c r="E72" i="32" s="1"/>
  <c r="E77" i="5"/>
  <c r="E77" i="32"/>
  <c r="G72" i="5"/>
  <c r="G72" i="32" s="1"/>
  <c r="L72" i="5"/>
  <c r="L72" i="32" s="1"/>
  <c r="E71" i="5"/>
  <c r="E71" i="32" s="1"/>
  <c r="L77" i="5"/>
  <c r="L77" i="32"/>
  <c r="H70" i="5"/>
  <c r="H70" i="32" s="1"/>
  <c r="H76" i="5"/>
  <c r="H76" i="32" s="1"/>
  <c r="G75" i="5"/>
  <c r="G75" i="32" s="1"/>
  <c r="I69" i="5"/>
  <c r="C71" i="5"/>
  <c r="F75" i="5"/>
  <c r="O71" i="5"/>
  <c r="I77" i="5"/>
  <c r="I77" i="32" s="1"/>
  <c r="D70" i="5"/>
  <c r="D70" i="32" s="1"/>
  <c r="N77" i="5"/>
  <c r="N77" i="32" s="1"/>
  <c r="E69" i="5"/>
  <c r="F69" i="5"/>
  <c r="N71" i="5"/>
  <c r="N71" i="32" s="1"/>
  <c r="N70" i="5"/>
  <c r="N70" i="32" s="1"/>
  <c r="M69" i="5"/>
  <c r="K76" i="5"/>
  <c r="K76" i="32" s="1"/>
  <c r="D78" i="5"/>
  <c r="D78" i="32" s="1"/>
  <c r="C72" i="5"/>
  <c r="C72" i="32" s="1"/>
  <c r="F72" i="5"/>
  <c r="F72" i="32" s="1"/>
  <c r="L69" i="5"/>
  <c r="L69" i="32" s="1"/>
  <c r="J69" i="5"/>
  <c r="J69" i="32" s="1"/>
  <c r="I70" i="5"/>
  <c r="I70" i="32" s="1"/>
  <c r="I72" i="5"/>
  <c r="I72" i="32" s="1"/>
  <c r="D72" i="5"/>
  <c r="D72" i="32" s="1"/>
  <c r="L71" i="5"/>
  <c r="L71" i="32" s="1"/>
  <c r="E70" i="5"/>
  <c r="E70" i="32" s="1"/>
  <c r="O75" i="5"/>
  <c r="C78" i="5"/>
  <c r="C78" i="32" s="1"/>
  <c r="N75" i="5"/>
  <c r="G76" i="5"/>
  <c r="G76" i="32" s="1"/>
  <c r="H72" i="5"/>
  <c r="H72" i="32" s="1"/>
  <c r="L75" i="5"/>
  <c r="C75" i="5"/>
  <c r="C75" i="32" s="1"/>
  <c r="H71" i="5"/>
  <c r="D76" i="5"/>
  <c r="D76" i="32" s="1"/>
  <c r="I78" i="5"/>
  <c r="I78" i="32" s="1"/>
  <c r="K71" i="5"/>
  <c r="K71" i="32" s="1"/>
  <c r="D75" i="5"/>
  <c r="D69" i="5"/>
  <c r="D69" i="32" s="1"/>
  <c r="G77" i="5"/>
  <c r="G77" i="32" s="1"/>
  <c r="O78" i="5"/>
  <c r="N69" i="5"/>
  <c r="N69" i="32" s="1"/>
  <c r="N73" i="5"/>
  <c r="J78" i="5"/>
  <c r="G71" i="5"/>
  <c r="G71" i="32" s="1"/>
  <c r="O69" i="5"/>
  <c r="M70" i="5"/>
  <c r="M70" i="32" s="1"/>
  <c r="J76" i="5"/>
  <c r="J76" i="32" s="1"/>
  <c r="G70" i="5"/>
  <c r="G70" i="32" s="1"/>
  <c r="K75" i="5"/>
  <c r="K75" i="32" s="1"/>
  <c r="E75" i="5"/>
  <c r="E75" i="32" s="1"/>
  <c r="M71" i="5"/>
  <c r="M71" i="32" s="1"/>
  <c r="D71" i="5"/>
  <c r="D71" i="32" s="1"/>
  <c r="E78" i="5"/>
  <c r="E78" i="32"/>
  <c r="J77" i="5"/>
  <c r="J77" i="32" s="1"/>
  <c r="G78" i="5"/>
  <c r="G78" i="32"/>
  <c r="G69" i="5"/>
  <c r="G69" i="32" s="1"/>
  <c r="C76" i="5"/>
  <c r="C76" i="32" s="1"/>
  <c r="C77" i="5"/>
  <c r="C77" i="32" s="1"/>
  <c r="C69" i="5"/>
  <c r="C69" i="32" s="1"/>
  <c r="H77" i="5"/>
  <c r="H77" i="32" s="1"/>
  <c r="F76" i="5"/>
  <c r="F76" i="32" s="1"/>
  <c r="E76" i="5"/>
  <c r="E76" i="32" s="1"/>
  <c r="K78" i="5"/>
  <c r="K78" i="32" s="1"/>
  <c r="J72" i="5"/>
  <c r="J72" i="32" s="1"/>
  <c r="M75" i="5"/>
  <c r="H69" i="5"/>
  <c r="H69" i="32" s="1"/>
  <c r="D77" i="5"/>
  <c r="F78" i="5"/>
  <c r="F78" i="32" s="1"/>
  <c r="D1" i="21"/>
  <c r="B2" i="5"/>
  <c r="B2" i="32"/>
  <c r="C527" i="10"/>
  <c r="D527" i="10" s="1"/>
  <c r="C208" i="10"/>
  <c r="D208" i="10" s="1"/>
  <c r="C940" i="10"/>
  <c r="D940" i="10" s="1"/>
  <c r="C216" i="10"/>
  <c r="D216" i="10" s="1"/>
  <c r="C65" i="10"/>
  <c r="D65" i="10" s="1"/>
  <c r="C328" i="10"/>
  <c r="D328" i="10" s="1"/>
  <c r="C384" i="10"/>
  <c r="D384" i="10" s="1"/>
  <c r="C75" i="10"/>
  <c r="D75" i="10" s="1"/>
  <c r="C980" i="10"/>
  <c r="D980" i="10" s="1"/>
  <c r="C286" i="10"/>
  <c r="D286" i="10" s="1"/>
  <c r="C342" i="10"/>
  <c r="D342" i="10" s="1"/>
  <c r="C762" i="10"/>
  <c r="D762" i="10" s="1"/>
  <c r="C843" i="10"/>
  <c r="D843" i="10" s="1"/>
  <c r="C244" i="10"/>
  <c r="D244" i="10" s="1"/>
  <c r="C609" i="10"/>
  <c r="D609" i="10" s="1"/>
  <c r="C350" i="10"/>
  <c r="D350" i="10" s="1"/>
  <c r="N75" i="32"/>
  <c r="E94" i="32"/>
  <c r="K89" i="32"/>
  <c r="L94" i="32"/>
  <c r="K69" i="32"/>
  <c r="D75" i="32"/>
  <c r="L75" i="32"/>
  <c r="D73" i="5"/>
  <c r="F69" i="32"/>
  <c r="F79" i="5"/>
  <c r="F75" i="32"/>
  <c r="D97" i="32" l="1"/>
  <c r="C79" i="5"/>
  <c r="G99" i="5"/>
  <c r="N79" i="32"/>
  <c r="N79" i="5"/>
  <c r="N67" i="5" s="1"/>
  <c r="G79" i="5"/>
  <c r="M79" i="5"/>
  <c r="N94" i="32"/>
  <c r="L73" i="5"/>
  <c r="L94" i="5"/>
  <c r="R28" i="10"/>
  <c r="E79" i="32"/>
  <c r="D99" i="32"/>
  <c r="C99" i="32"/>
  <c r="I99" i="5"/>
  <c r="D73" i="32"/>
  <c r="J73" i="32"/>
  <c r="I73" i="5"/>
  <c r="K73" i="5"/>
  <c r="H94" i="32"/>
  <c r="F94" i="32"/>
  <c r="M89" i="32"/>
  <c r="G79" i="32"/>
  <c r="I79" i="32"/>
  <c r="G88" i="32"/>
  <c r="G89" i="32" s="1"/>
  <c r="G89" i="5"/>
  <c r="K97" i="32"/>
  <c r="K99" i="32" s="1"/>
  <c r="K99" i="5"/>
  <c r="C949" i="10"/>
  <c r="D949" i="10" s="1"/>
  <c r="C394" i="10"/>
  <c r="D394" i="10" s="1"/>
  <c r="C801" i="10"/>
  <c r="D801" i="10" s="1"/>
  <c r="C947" i="10"/>
  <c r="D947" i="10" s="1"/>
  <c r="C934" i="10"/>
  <c r="D934" i="10" s="1"/>
  <c r="C925" i="10"/>
  <c r="D925" i="10" s="1"/>
  <c r="C152" i="10"/>
  <c r="D152" i="10" s="1"/>
  <c r="C876" i="10"/>
  <c r="D876" i="10" s="1"/>
  <c r="C880" i="10"/>
  <c r="D880" i="10" s="1"/>
  <c r="C49" i="10"/>
  <c r="D49" i="10" s="1"/>
  <c r="C946" i="10"/>
  <c r="D946" i="10" s="1"/>
  <c r="C781" i="10"/>
  <c r="D781" i="10" s="1"/>
  <c r="C674" i="10"/>
  <c r="D674" i="10" s="1"/>
  <c r="C207" i="10"/>
  <c r="D207" i="10" s="1"/>
  <c r="C412" i="10"/>
  <c r="D412" i="10" s="1"/>
  <c r="C981" i="10"/>
  <c r="D981" i="10" s="1"/>
  <c r="C201" i="10"/>
  <c r="D201" i="10" s="1"/>
  <c r="C854" i="10"/>
  <c r="D854" i="10" s="1"/>
  <c r="C260" i="10"/>
  <c r="D260" i="10" s="1"/>
  <c r="C717" i="10"/>
  <c r="D717" i="10" s="1"/>
  <c r="C630" i="10"/>
  <c r="D630" i="10" s="1"/>
  <c r="C466" i="10"/>
  <c r="D466" i="10" s="1"/>
  <c r="C379" i="10"/>
  <c r="D379" i="10" s="1"/>
  <c r="C563" i="10"/>
  <c r="D563" i="10" s="1"/>
  <c r="C386" i="10"/>
  <c r="D386" i="10" s="1"/>
  <c r="C460" i="10"/>
  <c r="D460" i="10" s="1"/>
  <c r="C449" i="10"/>
  <c r="D449" i="10" s="1"/>
  <c r="C176" i="10"/>
  <c r="D176" i="10" s="1"/>
  <c r="C835" i="10"/>
  <c r="D835" i="10" s="1"/>
  <c r="C249" i="10"/>
  <c r="D249" i="10" s="1"/>
  <c r="C413" i="10"/>
  <c r="D413" i="10" s="1"/>
  <c r="C619" i="10"/>
  <c r="D619" i="10" s="1"/>
  <c r="C272" i="10"/>
  <c r="D272" i="10" s="1"/>
  <c r="C179" i="10"/>
  <c r="D179" i="10" s="1"/>
  <c r="C892" i="10"/>
  <c r="D892" i="10" s="1"/>
  <c r="C118" i="10"/>
  <c r="D118" i="10" s="1"/>
  <c r="C897" i="10"/>
  <c r="D897" i="10" s="1"/>
  <c r="C432" i="10"/>
  <c r="D432" i="10" s="1"/>
  <c r="C644" i="10"/>
  <c r="D644" i="10" s="1"/>
  <c r="C791" i="10"/>
  <c r="D791" i="10" s="1"/>
  <c r="C846" i="10"/>
  <c r="D846" i="10" s="1"/>
  <c r="C177" i="10"/>
  <c r="D177" i="10" s="1"/>
  <c r="C886" i="10"/>
  <c r="D886" i="10" s="1"/>
  <c r="C318" i="10"/>
  <c r="D318" i="10" s="1"/>
  <c r="C822" i="10"/>
  <c r="D822" i="10" s="1"/>
  <c r="C711" i="10"/>
  <c r="D711" i="10" s="1"/>
  <c r="C74" i="10"/>
  <c r="D74" i="10" s="1"/>
  <c r="E88" i="32"/>
  <c r="E89" i="5"/>
  <c r="C79" i="32"/>
  <c r="I69" i="32"/>
  <c r="I73" i="32" s="1"/>
  <c r="I67" i="32" s="1"/>
  <c r="J73" i="5"/>
  <c r="E79" i="5"/>
  <c r="N73" i="32"/>
  <c r="C998" i="10"/>
  <c r="D998" i="10" s="1"/>
  <c r="C300" i="10"/>
  <c r="D300" i="10" s="1"/>
  <c r="C882" i="10"/>
  <c r="D882" i="10" s="1"/>
  <c r="C809" i="10"/>
  <c r="D809" i="10" s="1"/>
  <c r="C140" i="10"/>
  <c r="D140" i="10" s="1"/>
  <c r="C148" i="10"/>
  <c r="D148" i="10" s="1"/>
  <c r="C437" i="10"/>
  <c r="D437" i="10" s="1"/>
  <c r="C509" i="10"/>
  <c r="D509" i="10" s="1"/>
  <c r="C992" i="10"/>
  <c r="D992" i="10" s="1"/>
  <c r="C957" i="10"/>
  <c r="D957" i="10" s="1"/>
  <c r="C932" i="10"/>
  <c r="D932" i="10" s="1"/>
  <c r="C865" i="10"/>
  <c r="D865" i="10" s="1"/>
  <c r="C490" i="10"/>
  <c r="D490" i="10" s="1"/>
  <c r="C976" i="10"/>
  <c r="D976" i="10" s="1"/>
  <c r="C33" i="10"/>
  <c r="D33" i="10" s="1"/>
  <c r="C883" i="10"/>
  <c r="D883" i="10" s="1"/>
  <c r="C595" i="10"/>
  <c r="D595" i="10" s="1"/>
  <c r="C315" i="10"/>
  <c r="D315" i="10" s="1"/>
  <c r="C510" i="10"/>
  <c r="D510" i="10" s="1"/>
  <c r="C306" i="10"/>
  <c r="D306" i="10" s="1"/>
  <c r="C56" i="10"/>
  <c r="D56" i="10" s="1"/>
  <c r="C573" i="10"/>
  <c r="D573" i="10" s="1"/>
  <c r="C256" i="10"/>
  <c r="D256" i="10" s="1"/>
  <c r="C898" i="10"/>
  <c r="D898" i="10" s="1"/>
  <c r="C987" i="10"/>
  <c r="D987" i="10" s="1"/>
  <c r="C368" i="10"/>
  <c r="D368" i="10" s="1"/>
  <c r="C110" i="10"/>
  <c r="D110" i="10" s="1"/>
  <c r="C840" i="10"/>
  <c r="D840" i="10" s="1"/>
  <c r="C370" i="10"/>
  <c r="D370" i="10" s="1"/>
  <c r="C844" i="10"/>
  <c r="D844" i="10" s="1"/>
  <c r="C99" i="10"/>
  <c r="D99" i="10" s="1"/>
  <c r="C792" i="10"/>
  <c r="D792" i="10" s="1"/>
  <c r="C705" i="10"/>
  <c r="D705" i="10" s="1"/>
  <c r="C54" i="10"/>
  <c r="D54" i="10" s="1"/>
  <c r="C233" i="10"/>
  <c r="D233" i="10" s="1"/>
  <c r="C505" i="10"/>
  <c r="D505" i="10" s="1"/>
  <c r="C558" i="10"/>
  <c r="D558" i="10" s="1"/>
  <c r="C285" i="10"/>
  <c r="D285" i="10" s="1"/>
  <c r="C389" i="10"/>
  <c r="D389" i="10" s="1"/>
  <c r="C579" i="10"/>
  <c r="D579" i="10" s="1"/>
  <c r="C475" i="10"/>
  <c r="D475" i="10" s="1"/>
  <c r="C227" i="10"/>
  <c r="D227" i="10" s="1"/>
  <c r="C485" i="10"/>
  <c r="D485" i="10" s="1"/>
  <c r="C591" i="10"/>
  <c r="D591" i="10" s="1"/>
  <c r="C329" i="10"/>
  <c r="D329" i="10" s="1"/>
  <c r="C470" i="10"/>
  <c r="D470" i="10" s="1"/>
  <c r="C547" i="10"/>
  <c r="D547" i="10" s="1"/>
  <c r="C818" i="10"/>
  <c r="D818" i="10" s="1"/>
  <c r="C899" i="10"/>
  <c r="D899" i="10" s="1"/>
  <c r="C278" i="10"/>
  <c r="D278" i="10" s="1"/>
  <c r="C463" i="10"/>
  <c r="D463" i="10" s="1"/>
  <c r="C257" i="10"/>
  <c r="D257" i="10" s="1"/>
  <c r="C343" i="10"/>
  <c r="D343" i="10" s="1"/>
  <c r="C441" i="10"/>
  <c r="D441" i="10" s="1"/>
  <c r="C685" i="10"/>
  <c r="D685" i="10" s="1"/>
  <c r="C641" i="10"/>
  <c r="D641" i="10" s="1"/>
  <c r="C754" i="10"/>
  <c r="D754" i="10" s="1"/>
  <c r="C768" i="10"/>
  <c r="D768" i="10" s="1"/>
  <c r="C291" i="10"/>
  <c r="D291" i="10" s="1"/>
  <c r="C211" i="10"/>
  <c r="D211" i="10" s="1"/>
  <c r="C173" i="10"/>
  <c r="D173" i="10" s="1"/>
  <c r="C849" i="10"/>
  <c r="D849" i="10" s="1"/>
  <c r="C126" i="10"/>
  <c r="D126" i="10" s="1"/>
  <c r="C945" i="10"/>
  <c r="D945" i="10" s="1"/>
  <c r="C997" i="10"/>
  <c r="D997" i="10" s="1"/>
  <c r="C502" i="10"/>
  <c r="D502" i="10" s="1"/>
  <c r="C636" i="10"/>
  <c r="D636" i="10" s="1"/>
  <c r="C341" i="10"/>
  <c r="D341" i="10" s="1"/>
  <c r="C220" i="10"/>
  <c r="D220" i="10" s="1"/>
  <c r="C551" i="10"/>
  <c r="D551" i="10" s="1"/>
  <c r="C205" i="10"/>
  <c r="D205" i="10" s="1"/>
  <c r="C469" i="10"/>
  <c r="D469" i="10" s="1"/>
  <c r="C682" i="10"/>
  <c r="D682" i="10" s="1"/>
  <c r="C196" i="10"/>
  <c r="D196" i="10" s="1"/>
  <c r="C387" i="10"/>
  <c r="D387" i="10" s="1"/>
  <c r="F79" i="32"/>
  <c r="F73" i="32"/>
  <c r="F67" i="32" s="1"/>
  <c r="G73" i="32"/>
  <c r="I79" i="5"/>
  <c r="I67" i="5" s="1"/>
  <c r="N99" i="5"/>
  <c r="N97" i="32"/>
  <c r="N99" i="32" s="1"/>
  <c r="H79" i="5"/>
  <c r="C903" i="10"/>
  <c r="D903" i="10" s="1"/>
  <c r="C545" i="10"/>
  <c r="D545" i="10" s="1"/>
  <c r="E69" i="32"/>
  <c r="E73" i="32" s="1"/>
  <c r="E67" i="32" s="1"/>
  <c r="E73" i="5"/>
  <c r="C649" i="10"/>
  <c r="D649" i="10" s="1"/>
  <c r="C498" i="10"/>
  <c r="D498" i="10" s="1"/>
  <c r="C100" i="10"/>
  <c r="D100" i="10" s="1"/>
  <c r="C95" i="10"/>
  <c r="D95" i="10" s="1"/>
  <c r="C503" i="10"/>
  <c r="D503" i="10" s="1"/>
  <c r="C149" i="10"/>
  <c r="D149" i="10" s="1"/>
  <c r="C917" i="10"/>
  <c r="D917" i="10" s="1"/>
  <c r="C713" i="10"/>
  <c r="D713" i="10" s="1"/>
  <c r="C62" i="10"/>
  <c r="D62" i="10" s="1"/>
  <c r="C474" i="10"/>
  <c r="D474" i="10" s="1"/>
  <c r="C275" i="10"/>
  <c r="D275" i="10" s="1"/>
  <c r="C518" i="10"/>
  <c r="D518" i="10" s="1"/>
  <c r="C183" i="10"/>
  <c r="D183" i="10" s="1"/>
  <c r="C567" i="10"/>
  <c r="D567" i="10" s="1"/>
  <c r="C309" i="10"/>
  <c r="D309" i="10" s="1"/>
  <c r="C528" i="10"/>
  <c r="D528" i="10" s="1"/>
  <c r="C954" i="10"/>
  <c r="D954" i="10" s="1"/>
  <c r="C420" i="10"/>
  <c r="D420" i="10" s="1"/>
  <c r="C335" i="10"/>
  <c r="D335" i="10" s="1"/>
  <c r="C643" i="10"/>
  <c r="D643" i="10" s="1"/>
  <c r="C264" i="10"/>
  <c r="D264" i="10" s="1"/>
  <c r="C311" i="10"/>
  <c r="D311" i="10" s="1"/>
  <c r="C252" i="10"/>
  <c r="D252" i="10" s="1"/>
  <c r="C625" i="10"/>
  <c r="D625" i="10" s="1"/>
  <c r="F73" i="5"/>
  <c r="F67" i="5" s="1"/>
  <c r="G73" i="5"/>
  <c r="C356" i="10"/>
  <c r="D356" i="10" s="1"/>
  <c r="C733" i="10"/>
  <c r="D733" i="10" s="1"/>
  <c r="C111" i="10"/>
  <c r="D111" i="10" s="1"/>
  <c r="C916" i="10"/>
  <c r="D916" i="10" s="1"/>
  <c r="D77" i="32"/>
  <c r="D79" i="32" s="1"/>
  <c r="D67" i="32" s="1"/>
  <c r="D79" i="5"/>
  <c r="D67" i="5" s="1"/>
  <c r="K72" i="32"/>
  <c r="C560" i="10"/>
  <c r="D560" i="10" s="1"/>
  <c r="C462" i="10"/>
  <c r="D462" i="10" s="1"/>
  <c r="C293" i="10"/>
  <c r="D293" i="10" s="1"/>
  <c r="C431" i="10"/>
  <c r="D431" i="10" s="1"/>
  <c r="C68" i="10"/>
  <c r="D68" i="10" s="1"/>
  <c r="C522" i="10"/>
  <c r="D522" i="10" s="1"/>
  <c r="C834" i="10"/>
  <c r="D834" i="10" s="1"/>
  <c r="C853" i="10"/>
  <c r="D853" i="10" s="1"/>
  <c r="C720" i="10"/>
  <c r="D720" i="10" s="1"/>
  <c r="C312" i="10"/>
  <c r="D312" i="10" s="1"/>
  <c r="C194" i="10"/>
  <c r="D194" i="10" s="1"/>
  <c r="C150" i="10"/>
  <c r="D150" i="10" s="1"/>
  <c r="C332" i="10"/>
  <c r="D332" i="10" s="1"/>
  <c r="C761" i="10"/>
  <c r="D761" i="10" s="1"/>
  <c r="C676" i="10"/>
  <c r="D676" i="10" s="1"/>
  <c r="C94" i="10"/>
  <c r="D94" i="10" s="1"/>
  <c r="C707" i="10"/>
  <c r="D707" i="10" s="1"/>
  <c r="C688" i="10"/>
  <c r="D688" i="10" s="1"/>
  <c r="C325" i="10"/>
  <c r="D325" i="10" s="1"/>
  <c r="C422" i="10"/>
  <c r="D422" i="10" s="1"/>
  <c r="C744" i="10"/>
  <c r="D744" i="10" s="1"/>
  <c r="C752" i="10"/>
  <c r="D752" i="10" s="1"/>
  <c r="C52" i="10"/>
  <c r="D52" i="10" s="1"/>
  <c r="C290" i="10"/>
  <c r="D290" i="10" s="1"/>
  <c r="C741" i="10"/>
  <c r="D741" i="10" s="1"/>
  <c r="C255" i="10"/>
  <c r="D255" i="10" s="1"/>
  <c r="C371" i="10"/>
  <c r="D371" i="10" s="1"/>
  <c r="C582" i="10"/>
  <c r="D582" i="10" s="1"/>
  <c r="C635" i="10"/>
  <c r="D635" i="10" s="1"/>
  <c r="C424" i="10"/>
  <c r="D424" i="10" s="1"/>
  <c r="C526" i="10"/>
  <c r="D526" i="10" s="1"/>
  <c r="C615" i="10"/>
  <c r="D615" i="10" s="1"/>
  <c r="C581" i="10"/>
  <c r="D581" i="10" s="1"/>
  <c r="C289" i="10"/>
  <c r="D289" i="10" s="1"/>
  <c r="C375" i="10"/>
  <c r="D375" i="10" s="1"/>
  <c r="C514" i="10"/>
  <c r="D514" i="10" s="1"/>
  <c r="C507" i="10"/>
  <c r="D507" i="10" s="1"/>
  <c r="C816" i="10"/>
  <c r="D816" i="10" s="1"/>
  <c r="C115" i="10"/>
  <c r="D115" i="10" s="1"/>
  <c r="C561" i="10"/>
  <c r="D561" i="10" s="1"/>
  <c r="C757" i="10"/>
  <c r="D757" i="10" s="1"/>
  <c r="C598" i="10"/>
  <c r="D598" i="10" s="1"/>
  <c r="C750" i="10"/>
  <c r="D750" i="10" s="1"/>
  <c r="C447" i="10"/>
  <c r="D447" i="10" s="1"/>
  <c r="C198" i="10"/>
  <c r="D198" i="10" s="1"/>
  <c r="C113" i="10"/>
  <c r="D113" i="10" s="1"/>
  <c r="C748" i="10"/>
  <c r="D748" i="10" s="1"/>
  <c r="C464" i="10"/>
  <c r="D464" i="10" s="1"/>
  <c r="C785" i="10"/>
  <c r="D785" i="10" s="1"/>
  <c r="C930" i="10"/>
  <c r="D930" i="10" s="1"/>
  <c r="C995" i="10"/>
  <c r="D995" i="10" s="1"/>
  <c r="C239" i="10"/>
  <c r="D239" i="10" s="1"/>
  <c r="C589" i="10"/>
  <c r="D589" i="10" s="1"/>
  <c r="C456" i="10"/>
  <c r="D456" i="10" s="1"/>
  <c r="L97" i="32"/>
  <c r="L99" i="32" s="1"/>
  <c r="L99" i="5"/>
  <c r="C858" i="10"/>
  <c r="D858" i="10" s="1"/>
  <c r="C218" i="10"/>
  <c r="D218" i="10" s="1"/>
  <c r="C121" i="10"/>
  <c r="D121" i="10" s="1"/>
  <c r="C142" i="10"/>
  <c r="D142" i="10" s="1"/>
  <c r="C850" i="10"/>
  <c r="D850" i="10" s="1"/>
  <c r="C994" i="10"/>
  <c r="D994" i="10" s="1"/>
  <c r="C668" i="10"/>
  <c r="D668" i="10" s="1"/>
  <c r="C747" i="10"/>
  <c r="D747" i="10" s="1"/>
  <c r="C624" i="10"/>
  <c r="D624" i="10" s="1"/>
  <c r="C304" i="10"/>
  <c r="D304" i="10" s="1"/>
  <c r="C170" i="10"/>
  <c r="D170" i="10" s="1"/>
  <c r="C590" i="10"/>
  <c r="D590" i="10" s="1"/>
  <c r="C543" i="10"/>
  <c r="D543" i="10" s="1"/>
  <c r="C797" i="10"/>
  <c r="D797" i="10" s="1"/>
  <c r="C758" i="10"/>
  <c r="D758" i="10" s="1"/>
  <c r="C782" i="10"/>
  <c r="D782" i="10" s="1"/>
  <c r="C321" i="10"/>
  <c r="D321" i="10" s="1"/>
  <c r="C877" i="10"/>
  <c r="D877" i="10" s="1"/>
  <c r="C154" i="10"/>
  <c r="D154" i="10" s="1"/>
  <c r="C202" i="10"/>
  <c r="D202" i="10" s="1"/>
  <c r="C866" i="10"/>
  <c r="D866" i="10" s="1"/>
  <c r="C459" i="10"/>
  <c r="D459" i="10" s="1"/>
  <c r="C673" i="10"/>
  <c r="D673" i="10" s="1"/>
  <c r="C727" i="10"/>
  <c r="D727" i="10" s="1"/>
  <c r="C180" i="10"/>
  <c r="D180" i="10" s="1"/>
  <c r="C190" i="10"/>
  <c r="D190" i="10" s="1"/>
  <c r="C828" i="10"/>
  <c r="D828" i="10" s="1"/>
  <c r="C530" i="10"/>
  <c r="D530" i="10" s="1"/>
  <c r="C701" i="10"/>
  <c r="D701" i="10" s="1"/>
  <c r="C719" i="10"/>
  <c r="D719" i="10" s="1"/>
  <c r="C400" i="10"/>
  <c r="D400" i="10" s="1"/>
  <c r="C246" i="10"/>
  <c r="D246" i="10" s="1"/>
  <c r="C975" i="10"/>
  <c r="D975" i="10" s="1"/>
  <c r="C114" i="10"/>
  <c r="D114" i="10" s="1"/>
  <c r="C597" i="10"/>
  <c r="D597" i="10" s="1"/>
  <c r="C189" i="10"/>
  <c r="D189" i="10" s="1"/>
  <c r="C84" i="10"/>
  <c r="D84" i="10" s="1"/>
  <c r="C283" i="10"/>
  <c r="D283" i="10" s="1"/>
  <c r="C496" i="10"/>
  <c r="D496" i="10" s="1"/>
  <c r="C708" i="10"/>
  <c r="D708" i="10" s="1"/>
  <c r="C909" i="10"/>
  <c r="D909" i="10" s="1"/>
  <c r="C423" i="10"/>
  <c r="D423" i="10" s="1"/>
  <c r="C735" i="10"/>
  <c r="D735" i="10" s="1"/>
  <c r="C442" i="10"/>
  <c r="D442" i="10" s="1"/>
  <c r="C137" i="10"/>
  <c r="D137" i="10" s="1"/>
  <c r="C536" i="10"/>
  <c r="D536" i="10" s="1"/>
  <c r="C66" i="10"/>
  <c r="D66" i="10" s="1"/>
  <c r="C775" i="10"/>
  <c r="D775" i="10" s="1"/>
  <c r="C726" i="10"/>
  <c r="D726" i="10" s="1"/>
  <c r="C191" i="10"/>
  <c r="D191" i="10" s="1"/>
  <c r="C698" i="10"/>
  <c r="D698" i="10" s="1"/>
  <c r="C971" i="10"/>
  <c r="D971" i="10" s="1"/>
  <c r="C924" i="10"/>
  <c r="D924" i="10" s="1"/>
  <c r="C67" i="10"/>
  <c r="D67" i="10" s="1"/>
  <c r="C120" i="10"/>
  <c r="D120" i="10" s="1"/>
  <c r="C960" i="10"/>
  <c r="D960" i="10" s="1"/>
  <c r="C96" i="10"/>
  <c r="D96" i="10" s="1"/>
  <c r="C438" i="10"/>
  <c r="D438" i="10" s="1"/>
  <c r="C650" i="10"/>
  <c r="D650" i="10" s="1"/>
  <c r="C869" i="10"/>
  <c r="D869" i="10" s="1"/>
  <c r="C662" i="10"/>
  <c r="D662" i="10" s="1"/>
  <c r="C540" i="10"/>
  <c r="D540" i="10" s="1"/>
  <c r="C479" i="10"/>
  <c r="D479" i="10" s="1"/>
  <c r="C610" i="10"/>
  <c r="D610" i="10" s="1"/>
  <c r="C756" i="10"/>
  <c r="D756" i="10" s="1"/>
  <c r="C774" i="10"/>
  <c r="D774" i="10" s="1"/>
  <c r="C145" i="10"/>
  <c r="D145" i="10" s="1"/>
  <c r="C678" i="10"/>
  <c r="D678" i="10" s="1"/>
  <c r="C556" i="10"/>
  <c r="D556" i="10" s="1"/>
  <c r="C282" i="10"/>
  <c r="D282" i="10" s="1"/>
  <c r="C365" i="10"/>
  <c r="D365" i="10" s="1"/>
  <c r="C715" i="10"/>
  <c r="D715" i="10" s="1"/>
  <c r="C519" i="10"/>
  <c r="D519" i="10" s="1"/>
  <c r="C533" i="10"/>
  <c r="D533" i="10" s="1"/>
  <c r="C999" i="10"/>
  <c r="D999" i="10" s="1"/>
  <c r="C122" i="10"/>
  <c r="D122" i="10" s="1"/>
  <c r="C513" i="10"/>
  <c r="D513" i="10" s="1"/>
  <c r="C55" i="10"/>
  <c r="D55" i="10" s="1"/>
  <c r="C98" i="10"/>
  <c r="D98" i="10" s="1"/>
  <c r="C259" i="10"/>
  <c r="D259" i="10" s="1"/>
  <c r="C704" i="10"/>
  <c r="D704" i="10" s="1"/>
  <c r="C660" i="10"/>
  <c r="D660" i="10" s="1"/>
  <c r="C692" i="10"/>
  <c r="D692" i="10" s="1"/>
  <c r="C769" i="10"/>
  <c r="D769" i="10" s="1"/>
  <c r="C362" i="10"/>
  <c r="D362" i="10" s="1"/>
  <c r="C83" i="10"/>
  <c r="D83" i="10" s="1"/>
  <c r="C710" i="10"/>
  <c r="D710" i="10" s="1"/>
  <c r="C859" i="10"/>
  <c r="D859" i="10" s="1"/>
  <c r="C863" i="10"/>
  <c r="D863" i="10" s="1"/>
  <c r="C380" i="10"/>
  <c r="D380" i="10" s="1"/>
  <c r="C41" i="10"/>
  <c r="D41" i="10" s="1"/>
  <c r="C129" i="10"/>
  <c r="D129" i="10" s="1"/>
  <c r="C212" i="10"/>
  <c r="D212" i="10" s="1"/>
  <c r="C804" i="10"/>
  <c r="D804" i="10" s="1"/>
  <c r="C842" i="10"/>
  <c r="D842" i="10" s="1"/>
  <c r="C950" i="10"/>
  <c r="D950" i="10" s="1"/>
  <c r="C745" i="10"/>
  <c r="D745" i="10" s="1"/>
  <c r="C830" i="10"/>
  <c r="D830" i="10" s="1"/>
  <c r="C428" i="10"/>
  <c r="D428" i="10" s="1"/>
  <c r="C929" i="10"/>
  <c r="D929" i="10" s="1"/>
  <c r="C659" i="10"/>
  <c r="D659" i="10" s="1"/>
  <c r="C753" i="10"/>
  <c r="D753" i="10" s="1"/>
  <c r="C294" i="10"/>
  <c r="D294" i="10" s="1"/>
  <c r="C261" i="10"/>
  <c r="D261" i="10" s="1"/>
  <c r="C326" i="10"/>
  <c r="D326" i="10" s="1"/>
  <c r="C34" i="10"/>
  <c r="D34" i="10" s="1"/>
  <c r="C829" i="10"/>
  <c r="D829" i="10" s="1"/>
  <c r="C204" i="10"/>
  <c r="D204" i="10" s="1"/>
  <c r="C186" i="10"/>
  <c r="D186" i="10" s="1"/>
  <c r="C32" i="10"/>
  <c r="D32" i="10" s="1"/>
  <c r="C482" i="10"/>
  <c r="D482" i="10" s="1"/>
  <c r="C632" i="10"/>
  <c r="D632" i="10" s="1"/>
  <c r="C996" i="10"/>
  <c r="D996" i="10" s="1"/>
  <c r="C138" i="10"/>
  <c r="D138" i="10" s="1"/>
  <c r="C714" i="10"/>
  <c r="D714" i="10" s="1"/>
  <c r="C61" i="10"/>
  <c r="D61" i="10" s="1"/>
  <c r="C1001" i="10"/>
  <c r="D1001" i="10" s="1"/>
  <c r="C452" i="10"/>
  <c r="D452" i="10" s="1"/>
  <c r="C620" i="10"/>
  <c r="D620" i="10" s="1"/>
  <c r="C652" i="10"/>
  <c r="D652" i="10" s="1"/>
  <c r="C703" i="10"/>
  <c r="D703" i="10" s="1"/>
  <c r="C759" i="10"/>
  <c r="D759" i="10" s="1"/>
  <c r="C808" i="10"/>
  <c r="D808" i="10" s="1"/>
  <c r="C966" i="10"/>
  <c r="D966" i="10" s="1"/>
  <c r="C915" i="10"/>
  <c r="D915" i="10" s="1"/>
  <c r="C914" i="10"/>
  <c r="D914" i="10" s="1"/>
  <c r="C516" i="10"/>
  <c r="D516" i="10" s="1"/>
  <c r="C230" i="10"/>
  <c r="D230" i="10" s="1"/>
  <c r="C146" i="10"/>
  <c r="D146" i="10" s="1"/>
  <c r="C893" i="10"/>
  <c r="D893" i="10" s="1"/>
  <c r="C852" i="10"/>
  <c r="D852" i="10" s="1"/>
  <c r="C906" i="10"/>
  <c r="D906" i="10" s="1"/>
  <c r="C182" i="10"/>
  <c r="D182" i="10" s="1"/>
  <c r="C143" i="10"/>
  <c r="D143" i="10" s="1"/>
  <c r="C112" i="10"/>
  <c r="D112" i="10" s="1"/>
  <c r="C262" i="10"/>
  <c r="D262" i="10" s="1"/>
  <c r="C495" i="10"/>
  <c r="D495" i="10" s="1"/>
  <c r="C979" i="10"/>
  <c r="D979" i="10" s="1"/>
  <c r="C935" i="10"/>
  <c r="D935" i="10" s="1"/>
  <c r="C931" i="10"/>
  <c r="D931" i="10" s="1"/>
  <c r="C814" i="10"/>
  <c r="D814" i="10" s="1"/>
  <c r="C71" i="10"/>
  <c r="D71" i="10" s="1"/>
  <c r="C288" i="10"/>
  <c r="D288" i="10" s="1"/>
  <c r="C467" i="10"/>
  <c r="D467" i="10" s="1"/>
  <c r="C104" i="10"/>
  <c r="D104" i="10" s="1"/>
  <c r="C58" i="10"/>
  <c r="D58" i="10" s="1"/>
  <c r="C229" i="10"/>
  <c r="D229" i="10" s="1"/>
  <c r="C440" i="10"/>
  <c r="D440" i="10" s="1"/>
  <c r="C427" i="10"/>
  <c r="D427" i="10" s="1"/>
  <c r="C247" i="10"/>
  <c r="D247" i="10" s="1"/>
  <c r="C331" i="10"/>
  <c r="D331" i="10" s="1"/>
  <c r="C415" i="10"/>
  <c r="D415" i="10" s="1"/>
  <c r="C633" i="10"/>
  <c r="D633" i="10" s="1"/>
  <c r="C592" i="10"/>
  <c r="D592" i="10" s="1"/>
  <c r="C559" i="10"/>
  <c r="D559" i="10" s="1"/>
  <c r="C864" i="10"/>
  <c r="D864" i="10" s="1"/>
  <c r="C862" i="10"/>
  <c r="D862" i="10" s="1"/>
  <c r="C806" i="10"/>
  <c r="D806" i="10" s="1"/>
  <c r="C961" i="10"/>
  <c r="D961" i="10" s="1"/>
  <c r="C890" i="10"/>
  <c r="D890" i="10" s="1"/>
  <c r="C338" i="10"/>
  <c r="D338" i="10" s="1"/>
  <c r="C405" i="10"/>
  <c r="D405" i="10" s="1"/>
  <c r="C130" i="10"/>
  <c r="D130" i="10" s="1"/>
  <c r="C879" i="10"/>
  <c r="D879" i="10" s="1"/>
  <c r="C93" i="10"/>
  <c r="D93" i="10" s="1"/>
  <c r="C221" i="10"/>
  <c r="D221" i="10" s="1"/>
  <c r="C803" i="10"/>
  <c r="D803" i="10" s="1"/>
  <c r="C919" i="10"/>
  <c r="D919" i="10" s="1"/>
  <c r="C521" i="10"/>
  <c r="D521" i="10" s="1"/>
  <c r="C489" i="10"/>
  <c r="D489" i="10" s="1"/>
  <c r="C725" i="10"/>
  <c r="D725" i="10" s="1"/>
  <c r="C767" i="10"/>
  <c r="D767" i="10" s="1"/>
  <c r="C819" i="10"/>
  <c r="D819" i="10" s="1"/>
  <c r="C978" i="10"/>
  <c r="D978" i="10" s="1"/>
  <c r="C836" i="10"/>
  <c r="D836" i="10" s="1"/>
  <c r="C388" i="10"/>
  <c r="D388" i="10" s="1"/>
  <c r="C537" i="10"/>
  <c r="D537" i="10" s="1"/>
  <c r="C665" i="10"/>
  <c r="D665" i="10" s="1"/>
  <c r="C958" i="10"/>
  <c r="D958" i="10" s="1"/>
  <c r="C938" i="10"/>
  <c r="D938" i="10" s="1"/>
  <c r="C280" i="10"/>
  <c r="D280" i="10" s="1"/>
  <c r="C956" i="10"/>
  <c r="D956" i="10" s="1"/>
  <c r="C316" i="10"/>
  <c r="D316" i="10" s="1"/>
  <c r="C50" i="10"/>
  <c r="D50" i="10" s="1"/>
  <c r="C628" i="10"/>
  <c r="D628" i="10" s="1"/>
  <c r="C721" i="10"/>
  <c r="D721" i="10" s="1"/>
  <c r="C763" i="10"/>
  <c r="D763" i="10" s="1"/>
  <c r="C268" i="10"/>
  <c r="D268" i="10" s="1"/>
  <c r="C839" i="10"/>
  <c r="D839" i="10" s="1"/>
  <c r="C967" i="10"/>
  <c r="D967" i="10" s="1"/>
  <c r="C786" i="10"/>
  <c r="D786" i="10" s="1"/>
  <c r="C443" i="10"/>
  <c r="D443" i="10" s="1"/>
  <c r="C89" i="10"/>
  <c r="D89" i="10" s="1"/>
  <c r="C162" i="10"/>
  <c r="D162" i="10" s="1"/>
  <c r="C837" i="10"/>
  <c r="D837" i="10" s="1"/>
  <c r="C970" i="10"/>
  <c r="D970" i="10" s="1"/>
  <c r="C167" i="10"/>
  <c r="D167" i="10" s="1"/>
  <c r="C135" i="10"/>
  <c r="D135" i="10" s="1"/>
  <c r="C77" i="10"/>
  <c r="D77" i="10" s="1"/>
  <c r="C308" i="10"/>
  <c r="D308" i="10" s="1"/>
  <c r="C554" i="10"/>
  <c r="D554" i="10" s="1"/>
  <c r="C807" i="10"/>
  <c r="D807" i="10" s="1"/>
  <c r="C977" i="10"/>
  <c r="D977" i="10" s="1"/>
  <c r="C973" i="10"/>
  <c r="D973" i="10" s="1"/>
  <c r="C878" i="10"/>
  <c r="D878" i="10" s="1"/>
  <c r="C39" i="10"/>
  <c r="D39" i="10" s="1"/>
  <c r="C334" i="10"/>
  <c r="D334" i="10" s="1"/>
  <c r="C506" i="10"/>
  <c r="D506" i="10" s="1"/>
  <c r="C92" i="10"/>
  <c r="D92" i="10" s="1"/>
  <c r="C42" i="10"/>
  <c r="D42" i="10" s="1"/>
  <c r="C245" i="10"/>
  <c r="D245" i="10" s="1"/>
  <c r="C492" i="10"/>
  <c r="D492" i="10" s="1"/>
  <c r="C487" i="10"/>
  <c r="D487" i="10" s="1"/>
  <c r="C269" i="10"/>
  <c r="D269" i="10" s="1"/>
  <c r="C353" i="10"/>
  <c r="D353" i="10" s="1"/>
  <c r="C454" i="10"/>
  <c r="D454" i="10" s="1"/>
  <c r="C773" i="10"/>
  <c r="D773" i="10" s="1"/>
  <c r="C647" i="10"/>
  <c r="D647" i="10" s="1"/>
  <c r="C891" i="10"/>
  <c r="D891" i="10" s="1"/>
  <c r="C965" i="10"/>
  <c r="D965" i="10" s="1"/>
  <c r="C855" i="10"/>
  <c r="D855" i="10" s="1"/>
  <c r="C476" i="10"/>
  <c r="D476" i="10" s="1"/>
  <c r="C127" i="10"/>
  <c r="D127" i="10" s="1"/>
  <c r="C107" i="10"/>
  <c r="D107" i="10" s="1"/>
  <c r="C731" i="10"/>
  <c r="D731" i="10" s="1"/>
  <c r="C600" i="10"/>
  <c r="D600" i="10" s="1"/>
  <c r="C523" i="10"/>
  <c r="D523" i="10" s="1"/>
  <c r="C755" i="10"/>
  <c r="D755" i="10" s="1"/>
  <c r="C578" i="10"/>
  <c r="D578" i="10" s="1"/>
  <c r="C493" i="10"/>
  <c r="D493" i="10" s="1"/>
  <c r="C425" i="10"/>
  <c r="D425" i="10" s="1"/>
  <c r="C391" i="10"/>
  <c r="D391" i="10" s="1"/>
  <c r="C359" i="10"/>
  <c r="D359" i="10" s="1"/>
  <c r="C327" i="10"/>
  <c r="D327" i="10" s="1"/>
  <c r="C297" i="10"/>
  <c r="D297" i="10" s="1"/>
  <c r="C265" i="10"/>
  <c r="D265" i="10" s="1"/>
  <c r="C699" i="10"/>
  <c r="D699" i="10" s="1"/>
  <c r="C562" i="10"/>
  <c r="D562" i="10" s="1"/>
  <c r="C445" i="10"/>
  <c r="D445" i="10" s="1"/>
  <c r="C723" i="10"/>
  <c r="D723" i="10" s="1"/>
  <c r="C508" i="10"/>
  <c r="D508" i="10" s="1"/>
  <c r="C136" i="10"/>
  <c r="D136" i="10" s="1"/>
  <c r="C184" i="10"/>
  <c r="D184" i="10" s="1"/>
  <c r="C868" i="10"/>
  <c r="D868" i="10" s="1"/>
  <c r="C451" i="10"/>
  <c r="D451" i="10" s="1"/>
  <c r="C97" i="10"/>
  <c r="D97" i="10" s="1"/>
  <c r="C887" i="10"/>
  <c r="D887" i="10" s="1"/>
  <c r="C760" i="10"/>
  <c r="D760" i="10" s="1"/>
  <c r="C587" i="10"/>
  <c r="D587" i="10" s="1"/>
  <c r="C504" i="10"/>
  <c r="D504" i="10" s="1"/>
  <c r="C627" i="10"/>
  <c r="D627" i="10" s="1"/>
  <c r="C497" i="10"/>
  <c r="D497" i="10" s="1"/>
  <c r="C403" i="10"/>
  <c r="D403" i="10" s="1"/>
  <c r="C361" i="10"/>
  <c r="D361" i="10" s="1"/>
  <c r="C317" i="10"/>
  <c r="D317" i="10" s="1"/>
  <c r="C277" i="10"/>
  <c r="D277" i="10" s="1"/>
  <c r="C712" i="10"/>
  <c r="D712" i="10" s="1"/>
  <c r="C534" i="10"/>
  <c r="D534" i="10" s="1"/>
  <c r="C374" i="10"/>
  <c r="D374" i="10" s="1"/>
  <c r="C517" i="10"/>
  <c r="D517" i="10" s="1"/>
  <c r="C392" i="10"/>
  <c r="D392" i="10" s="1"/>
  <c r="C266" i="10"/>
  <c r="D266" i="10" s="1"/>
  <c r="C219" i="10"/>
  <c r="D219" i="10" s="1"/>
  <c r="C36" i="10"/>
  <c r="D36" i="10" s="1"/>
  <c r="C742" i="10"/>
  <c r="D742" i="10" s="1"/>
  <c r="C193" i="10"/>
  <c r="D193" i="10" s="1"/>
  <c r="C789" i="10"/>
  <c r="D789" i="10" s="1"/>
  <c r="C603" i="10"/>
  <c r="D603" i="10" s="1"/>
  <c r="C520" i="10"/>
  <c r="D520" i="10" s="1"/>
  <c r="C655" i="10"/>
  <c r="D655" i="10" s="1"/>
  <c r="C546" i="10"/>
  <c r="D546" i="10" s="1"/>
  <c r="C401" i="10"/>
  <c r="D401" i="10" s="1"/>
  <c r="C369" i="10"/>
  <c r="D369" i="10" s="1"/>
  <c r="C337" i="10"/>
  <c r="D337" i="10" s="1"/>
  <c r="C295" i="10"/>
  <c r="D295" i="10" s="1"/>
  <c r="C621" i="10"/>
  <c r="D621" i="10" s="1"/>
  <c r="C524" i="10"/>
  <c r="D524" i="10" s="1"/>
  <c r="C406" i="10"/>
  <c r="D406" i="10" s="1"/>
  <c r="C580" i="10"/>
  <c r="D580" i="10" s="1"/>
  <c r="C346" i="10"/>
  <c r="D346" i="10" s="1"/>
  <c r="C241" i="10"/>
  <c r="D241" i="10" s="1"/>
  <c r="C171" i="10"/>
  <c r="D171" i="10" s="1"/>
  <c r="C30" i="10"/>
  <c r="D30" i="10" s="1"/>
  <c r="C86" i="10"/>
  <c r="D86" i="10" s="1"/>
  <c r="C614" i="10"/>
  <c r="D614" i="10" s="1"/>
  <c r="C638" i="10"/>
  <c r="D638" i="10" s="1"/>
  <c r="C663" i="10"/>
  <c r="D663" i="10" s="1"/>
  <c r="C740" i="10"/>
  <c r="D740" i="10" s="1"/>
  <c r="C772" i="10"/>
  <c r="D772" i="10" s="1"/>
  <c r="C813" i="10"/>
  <c r="D813" i="10" s="1"/>
  <c r="C484" i="10"/>
  <c r="D484" i="10" s="1"/>
  <c r="C907" i="10"/>
  <c r="D907" i="10" s="1"/>
  <c r="C911" i="10"/>
  <c r="D911" i="10" s="1"/>
  <c r="C894" i="10"/>
  <c r="D894" i="10" s="1"/>
  <c r="C566" i="10"/>
  <c r="D566" i="10" s="1"/>
  <c r="C134" i="10"/>
  <c r="D134" i="10" s="1"/>
  <c r="C188" i="10"/>
  <c r="D188" i="10" s="1"/>
  <c r="C885" i="10"/>
  <c r="D885" i="10" s="1"/>
  <c r="C889" i="10"/>
  <c r="D889" i="10" s="1"/>
  <c r="C206" i="10"/>
  <c r="D206" i="10" s="1"/>
  <c r="C165" i="10"/>
  <c r="D165" i="10" s="1"/>
  <c r="H79" i="32"/>
  <c r="C990" i="10"/>
  <c r="D990" i="10" s="1"/>
  <c r="C870" i="10"/>
  <c r="D870" i="10" s="1"/>
  <c r="C827" i="10"/>
  <c r="D827" i="10" s="1"/>
  <c r="C936" i="10"/>
  <c r="D936" i="10" s="1"/>
  <c r="C901" i="10"/>
  <c r="D901" i="10" s="1"/>
  <c r="C884" i="10"/>
  <c r="D884" i="10" s="1"/>
  <c r="C292" i="10"/>
  <c r="D292" i="10" s="1"/>
  <c r="C91" i="10"/>
  <c r="D91" i="10" s="1"/>
  <c r="C851" i="10"/>
  <c r="D851" i="10" s="1"/>
  <c r="C28" i="10"/>
  <c r="D28" i="10" s="1"/>
  <c r="C59" i="10"/>
  <c r="D59" i="10" s="1"/>
  <c r="C494" i="10"/>
  <c r="D494" i="10" s="1"/>
  <c r="C119" i="10"/>
  <c r="D119" i="10" s="1"/>
  <c r="C921" i="10"/>
  <c r="D921" i="10" s="1"/>
  <c r="C200" i="10"/>
  <c r="D200" i="10" s="1"/>
  <c r="C192" i="10"/>
  <c r="D192" i="10" s="1"/>
  <c r="C928" i="10"/>
  <c r="D928" i="10" s="1"/>
  <c r="C953" i="10"/>
  <c r="D953" i="10" s="1"/>
  <c r="C168" i="10"/>
  <c r="D168" i="10" s="1"/>
  <c r="C817" i="10"/>
  <c r="D817" i="10" s="1"/>
  <c r="C164" i="10"/>
  <c r="D164" i="10" s="1"/>
  <c r="C736" i="10"/>
  <c r="D736" i="10" s="1"/>
  <c r="C968" i="10"/>
  <c r="D968" i="10" s="1"/>
  <c r="C439" i="10"/>
  <c r="D439" i="10" s="1"/>
  <c r="C27" i="10"/>
  <c r="D27" i="10" s="1"/>
  <c r="C43" i="10"/>
  <c r="D43" i="10" s="1"/>
  <c r="C841" i="10"/>
  <c r="D841" i="10" s="1"/>
  <c r="C872" i="10"/>
  <c r="D872" i="10" s="1"/>
  <c r="C826" i="10"/>
  <c r="D826" i="10" s="1"/>
  <c r="C123" i="10"/>
  <c r="D123" i="10" s="1"/>
  <c r="C376" i="10"/>
  <c r="D376" i="10" s="1"/>
  <c r="O73" i="5"/>
  <c r="C988" i="10"/>
  <c r="D988" i="10" s="1"/>
  <c r="C515" i="10"/>
  <c r="D515" i="10" s="1"/>
  <c r="C564" i="10"/>
  <c r="D564" i="10" s="1"/>
  <c r="C417" i="10"/>
  <c r="D417" i="10" s="1"/>
  <c r="C355" i="10"/>
  <c r="D355" i="10" s="1"/>
  <c r="C577" i="10"/>
  <c r="D577" i="10" s="1"/>
  <c r="C800" i="10"/>
  <c r="D800" i="10" s="1"/>
  <c r="C450" i="10"/>
  <c r="D450" i="10" s="1"/>
  <c r="C250" i="10"/>
  <c r="D250" i="10" s="1"/>
  <c r="C637" i="10"/>
  <c r="D637" i="10" s="1"/>
  <c r="C472" i="10"/>
  <c r="D472" i="10" s="1"/>
  <c r="C348" i="10"/>
  <c r="D348" i="10" s="1"/>
  <c r="C224" i="10"/>
  <c r="D224" i="10" s="1"/>
  <c r="C770" i="10"/>
  <c r="D770" i="10" s="1"/>
  <c r="C939" i="10"/>
  <c r="D939" i="10" s="1"/>
  <c r="C985" i="10"/>
  <c r="D985" i="10" s="1"/>
  <c r="C857" i="10"/>
  <c r="D857" i="10" s="1"/>
  <c r="C453" i="10"/>
  <c r="D453" i="10" s="1"/>
  <c r="C276" i="10"/>
  <c r="D276" i="10" s="1"/>
  <c r="C69" i="10"/>
  <c r="D69" i="10" s="1"/>
  <c r="C124" i="10"/>
  <c r="D124" i="10" s="1"/>
  <c r="C746" i="10"/>
  <c r="D746" i="10" s="1"/>
  <c r="C937" i="10"/>
  <c r="D937" i="10" s="1"/>
  <c r="C117" i="10"/>
  <c r="D117" i="10" s="1"/>
  <c r="C418" i="10"/>
  <c r="D418" i="10" s="1"/>
  <c r="C766" i="10"/>
  <c r="D766" i="10" s="1"/>
  <c r="C959" i="10"/>
  <c r="D959" i="10" s="1"/>
  <c r="C666" i="10"/>
  <c r="D666" i="10" s="1"/>
  <c r="C35" i="10"/>
  <c r="D35" i="10" s="1"/>
  <c r="C695" i="10"/>
  <c r="D695" i="10" s="1"/>
  <c r="C654" i="10"/>
  <c r="D654" i="10" s="1"/>
  <c r="C622" i="10"/>
  <c r="D622" i="10" s="1"/>
  <c r="C78" i="10"/>
  <c r="D78" i="10" s="1"/>
  <c r="C46" i="10"/>
  <c r="D46" i="10" s="1"/>
  <c r="C187" i="10"/>
  <c r="D187" i="10" s="1"/>
  <c r="C258" i="10"/>
  <c r="D258" i="10" s="1"/>
  <c r="C426" i="10"/>
  <c r="D426" i="10" s="1"/>
  <c r="C542" i="10"/>
  <c r="D542" i="10" s="1"/>
  <c r="C434" i="10"/>
  <c r="D434" i="10" s="1"/>
  <c r="C586" i="10"/>
  <c r="D586" i="10" s="1"/>
  <c r="C253" i="10"/>
  <c r="D253" i="10" s="1"/>
  <c r="C465" i="10"/>
  <c r="D465" i="10" s="1"/>
  <c r="C575" i="10"/>
  <c r="D575" i="10" s="1"/>
  <c r="C499" i="10"/>
  <c r="D499" i="10" s="1"/>
  <c r="C629" i="10"/>
  <c r="D629" i="10" s="1"/>
  <c r="C969" i="10"/>
  <c r="D969" i="10" s="1"/>
  <c r="C799" i="10"/>
  <c r="D799" i="10" s="1"/>
  <c r="C215" i="10"/>
  <c r="D215" i="10" s="1"/>
  <c r="C235" i="10"/>
  <c r="D235" i="10" s="1"/>
  <c r="C354" i="10"/>
  <c r="D354" i="10" s="1"/>
  <c r="C549" i="10"/>
  <c r="D549" i="10" s="1"/>
  <c r="C448" i="10"/>
  <c r="D448" i="10" s="1"/>
  <c r="C631" i="10"/>
  <c r="D631" i="10" s="1"/>
  <c r="C287" i="10"/>
  <c r="D287" i="10" s="1"/>
  <c r="C339" i="10"/>
  <c r="D339" i="10" s="1"/>
  <c r="C393" i="10"/>
  <c r="D393" i="10" s="1"/>
  <c r="C525" i="10"/>
  <c r="D525" i="10" s="1"/>
  <c r="C765" i="10"/>
  <c r="D765" i="10" s="1"/>
  <c r="C568" i="10"/>
  <c r="D568" i="10" s="1"/>
  <c r="C805" i="10"/>
  <c r="D805" i="10" s="1"/>
  <c r="C144" i="10"/>
  <c r="D144" i="10" s="1"/>
  <c r="C820" i="10"/>
  <c r="D820" i="10" s="1"/>
  <c r="C228" i="10"/>
  <c r="D228" i="10" s="1"/>
  <c r="C132" i="10"/>
  <c r="D132" i="10" s="1"/>
  <c r="C222" i="10"/>
  <c r="D222" i="10" s="1"/>
  <c r="C358" i="10"/>
  <c r="D358" i="10" s="1"/>
  <c r="C501" i="10"/>
  <c r="D501" i="10" s="1"/>
  <c r="C639" i="10"/>
  <c r="D639" i="10" s="1"/>
  <c r="C273" i="10"/>
  <c r="D273" i="10" s="1"/>
  <c r="C313" i="10"/>
  <c r="D313" i="10" s="1"/>
  <c r="C351" i="10"/>
  <c r="D351" i="10" s="1"/>
  <c r="C399" i="10"/>
  <c r="D399" i="10" s="1"/>
  <c r="C457" i="10"/>
  <c r="D457" i="10" s="1"/>
  <c r="C557" i="10"/>
  <c r="D557" i="10" s="1"/>
  <c r="C26" i="10"/>
  <c r="D26" i="10" s="1"/>
  <c r="C555" i="10"/>
  <c r="D555" i="10" s="1"/>
  <c r="C677" i="10"/>
  <c r="D677" i="10" s="1"/>
  <c r="C991" i="10"/>
  <c r="D991" i="10" s="1"/>
  <c r="C541" i="10"/>
  <c r="D541" i="10" s="1"/>
  <c r="C683" i="10"/>
  <c r="D683" i="10" s="1"/>
  <c r="C552" i="10"/>
  <c r="D552" i="10" s="1"/>
  <c r="C395" i="10"/>
  <c r="D395" i="10" s="1"/>
  <c r="C651" i="10"/>
  <c r="D651" i="10" s="1"/>
  <c r="C360" i="10"/>
  <c r="D360" i="10" s="1"/>
  <c r="C72" i="10"/>
  <c r="D72" i="10" s="1"/>
  <c r="C429" i="10"/>
  <c r="D429" i="10" s="1"/>
  <c r="C103" i="10"/>
  <c r="D103" i="10" s="1"/>
  <c r="C888" i="10"/>
  <c r="D888" i="10" s="1"/>
  <c r="C696" i="10"/>
  <c r="D696" i="10" s="1"/>
  <c r="C226" i="10"/>
  <c r="D226" i="10" s="1"/>
  <c r="C151" i="10"/>
  <c r="D151" i="10" s="1"/>
  <c r="C790" i="10"/>
  <c r="D790" i="10" s="1"/>
  <c r="C941" i="10"/>
  <c r="D941" i="10" s="1"/>
  <c r="C296" i="10"/>
  <c r="D296" i="10" s="1"/>
  <c r="C788" i="10"/>
  <c r="D788" i="10" s="1"/>
  <c r="C679" i="10"/>
  <c r="D679" i="10" s="1"/>
  <c r="C612" i="10"/>
  <c r="D612" i="10" s="1"/>
  <c r="C613" i="10"/>
  <c r="D613" i="10" s="1"/>
  <c r="C237" i="10"/>
  <c r="D237" i="10" s="1"/>
  <c r="C952" i="10"/>
  <c r="D952" i="10" s="1"/>
  <c r="C155" i="10"/>
  <c r="D155" i="10" s="1"/>
  <c r="C743" i="10"/>
  <c r="D743" i="10" s="1"/>
  <c r="C553" i="10"/>
  <c r="D553" i="10" s="1"/>
  <c r="C832" i="10"/>
  <c r="D832" i="10" s="1"/>
  <c r="C681" i="10"/>
  <c r="D681" i="10" s="1"/>
  <c r="C116" i="10"/>
  <c r="D116" i="10" s="1"/>
  <c r="C618" i="10"/>
  <c r="D618" i="10" s="1"/>
  <c r="C47" i="10"/>
  <c r="D47" i="10" s="1"/>
  <c r="C709" i="10"/>
  <c r="D709" i="10" s="1"/>
  <c r="C913" i="10"/>
  <c r="D913" i="10" s="1"/>
  <c r="C691" i="10"/>
  <c r="D691" i="10" s="1"/>
  <c r="C571" i="10"/>
  <c r="D571" i="10" s="1"/>
  <c r="C983" i="10"/>
  <c r="D983" i="10" s="1"/>
  <c r="C984" i="10"/>
  <c r="D984" i="10" s="1"/>
  <c r="O68" i="32"/>
  <c r="K73" i="32"/>
  <c r="C951" i="10"/>
  <c r="D951" i="10" s="1"/>
  <c r="C336" i="10"/>
  <c r="D336" i="10" s="1"/>
  <c r="C657" i="10"/>
  <c r="D657" i="10" s="1"/>
  <c r="C511" i="10"/>
  <c r="D511" i="10" s="1"/>
  <c r="C397" i="10"/>
  <c r="D397" i="10" s="1"/>
  <c r="C333" i="10"/>
  <c r="D333" i="10" s="1"/>
  <c r="C271" i="10"/>
  <c r="D271" i="10" s="1"/>
  <c r="C574" i="10"/>
  <c r="D574" i="10" s="1"/>
  <c r="C364" i="10"/>
  <c r="D364" i="10" s="1"/>
  <c r="C231" i="10"/>
  <c r="D231" i="10" s="1"/>
  <c r="C40" i="10"/>
  <c r="D40" i="10" s="1"/>
  <c r="C80" i="10"/>
  <c r="D80" i="10" s="1"/>
  <c r="C435" i="10"/>
  <c r="D435" i="10" s="1"/>
  <c r="C302" i="10"/>
  <c r="D302" i="10" s="1"/>
  <c r="C31" i="10"/>
  <c r="D31" i="10" s="1"/>
  <c r="C962" i="10"/>
  <c r="D962" i="10" s="1"/>
  <c r="C896" i="10"/>
  <c r="D896" i="10" s="1"/>
  <c r="C943" i="10"/>
  <c r="D943" i="10" s="1"/>
  <c r="C815" i="10"/>
  <c r="D815" i="10" s="1"/>
  <c r="C617" i="10"/>
  <c r="D617" i="10" s="1"/>
  <c r="C234" i="10"/>
  <c r="D234" i="10" s="1"/>
  <c r="C101" i="10"/>
  <c r="D101" i="10" s="1"/>
  <c r="C133" i="10"/>
  <c r="D133" i="10" s="1"/>
  <c r="C157" i="10"/>
  <c r="D157" i="10" s="1"/>
  <c r="C982" i="10"/>
  <c r="D982" i="10" s="1"/>
  <c r="C793" i="10"/>
  <c r="D793" i="10" s="1"/>
  <c r="C993" i="10"/>
  <c r="D993" i="10" s="1"/>
  <c r="C166" i="10"/>
  <c r="D166" i="10" s="1"/>
  <c r="C57" i="10"/>
  <c r="D57" i="10" s="1"/>
  <c r="C468" i="10"/>
  <c r="D468" i="10" s="1"/>
  <c r="C796" i="10"/>
  <c r="D796" i="10" s="1"/>
  <c r="C838" i="10"/>
  <c r="D838" i="10" s="1"/>
  <c r="C794" i="10"/>
  <c r="D794" i="10" s="1"/>
  <c r="C254" i="10"/>
  <c r="D254" i="10" s="1"/>
  <c r="C585" i="10"/>
  <c r="D585" i="10" s="1"/>
  <c r="C780" i="10"/>
  <c r="D780" i="10" s="1"/>
  <c r="C732" i="10"/>
  <c r="D732" i="10" s="1"/>
  <c r="C684" i="10"/>
  <c r="D684" i="10" s="1"/>
  <c r="C646" i="10"/>
  <c r="D646" i="10" s="1"/>
  <c r="C102" i="10"/>
  <c r="D102" i="10" s="1"/>
  <c r="C70" i="10"/>
  <c r="D70" i="10" s="1"/>
  <c r="C38" i="10"/>
  <c r="D38" i="10" s="1"/>
  <c r="C225" i="10"/>
  <c r="D225" i="10" s="1"/>
  <c r="C314" i="10"/>
  <c r="D314" i="10" s="1"/>
  <c r="C455" i="10"/>
  <c r="D455" i="10" s="1"/>
  <c r="C263" i="10"/>
  <c r="D263" i="10" s="1"/>
  <c r="C307" i="10"/>
  <c r="D307" i="10" s="1"/>
  <c r="C357" i="10"/>
  <c r="D357" i="10" s="1"/>
  <c r="C411" i="10"/>
  <c r="D411" i="10" s="1"/>
  <c r="C486" i="10"/>
  <c r="D486" i="10" s="1"/>
  <c r="C607" i="10"/>
  <c r="D607" i="10" s="1"/>
  <c r="C544" i="10"/>
  <c r="D544" i="10" s="1"/>
  <c r="C664" i="10"/>
  <c r="D664" i="10" s="1"/>
  <c r="C160" i="10"/>
  <c r="D160" i="10" s="1"/>
  <c r="C60" i="10"/>
  <c r="D60" i="10" s="1"/>
  <c r="C199" i="10"/>
  <c r="D199" i="10" s="1"/>
  <c r="C243" i="10"/>
  <c r="D243" i="10" s="1"/>
  <c r="C436" i="10"/>
  <c r="D436" i="10" s="1"/>
  <c r="C599" i="10"/>
  <c r="D599" i="10" s="1"/>
  <c r="C477" i="10"/>
  <c r="D477" i="10" s="1"/>
  <c r="C821" i="10"/>
  <c r="D821" i="10" s="1"/>
  <c r="C299" i="10"/>
  <c r="D299" i="10" s="1"/>
  <c r="C349" i="10"/>
  <c r="D349" i="10" s="1"/>
  <c r="C430" i="10"/>
  <c r="D430" i="10" s="1"/>
  <c r="C550" i="10"/>
  <c r="D550" i="10" s="1"/>
  <c r="C483" i="10"/>
  <c r="D483" i="10" s="1"/>
  <c r="C608" i="10"/>
  <c r="D608" i="10" s="1"/>
  <c r="C594" i="10"/>
  <c r="D594" i="10" s="1"/>
  <c r="C213" i="10"/>
  <c r="D213" i="10" s="1"/>
  <c r="C81" i="10"/>
  <c r="D81" i="10" s="1"/>
  <c r="C690" i="10"/>
  <c r="D690" i="10" s="1"/>
  <c r="C972" i="10"/>
  <c r="D972" i="10" s="1"/>
  <c r="C734" i="10"/>
  <c r="D734" i="10" s="1"/>
  <c r="C390" i="10"/>
  <c r="D390" i="10" s="1"/>
  <c r="C538" i="10"/>
  <c r="D538" i="10" s="1"/>
  <c r="C779" i="10"/>
  <c r="D779" i="10" s="1"/>
  <c r="C281" i="10"/>
  <c r="D281" i="10" s="1"/>
  <c r="C319" i="10"/>
  <c r="D319" i="10" s="1"/>
  <c r="C367" i="10"/>
  <c r="D367" i="10" s="1"/>
  <c r="C407" i="10"/>
  <c r="D407" i="10" s="1"/>
  <c r="C473" i="10"/>
  <c r="D473" i="10" s="1"/>
  <c r="C596" i="10"/>
  <c r="D596" i="10" s="1"/>
  <c r="C491" i="10"/>
  <c r="D491" i="10" s="1"/>
  <c r="C584" i="10"/>
  <c r="D584" i="10" s="1"/>
  <c r="C776" i="10"/>
  <c r="D776" i="10" s="1"/>
  <c r="C645" i="10"/>
  <c r="D645" i="10" s="1"/>
  <c r="C798" i="10"/>
  <c r="D798" i="10" s="1"/>
  <c r="C670" i="10"/>
  <c r="D670" i="10" s="1"/>
  <c r="C512" i="10"/>
  <c r="D512" i="10" s="1"/>
  <c r="C373" i="10"/>
  <c r="D373" i="10" s="1"/>
  <c r="C572" i="10"/>
  <c r="D572" i="10" s="1"/>
  <c r="C298" i="10"/>
  <c r="D298" i="10" s="1"/>
  <c r="C82" i="10"/>
  <c r="D82" i="10" s="1"/>
  <c r="C402" i="10"/>
  <c r="D402" i="10" s="1"/>
  <c r="C942" i="10"/>
  <c r="D942" i="10" s="1"/>
  <c r="C845" i="10"/>
  <c r="D845" i="10" s="1"/>
  <c r="C604" i="10"/>
  <c r="D604" i="10" s="1"/>
  <c r="C45" i="10"/>
  <c r="D45" i="10" s="1"/>
  <c r="C159" i="10"/>
  <c r="D159" i="10" s="1"/>
  <c r="C694" i="10"/>
  <c r="D694" i="10" s="1"/>
  <c r="C922" i="10"/>
  <c r="D922" i="10" s="1"/>
  <c r="C197" i="10"/>
  <c r="D197" i="10" s="1"/>
  <c r="C777" i="10"/>
  <c r="D777" i="10" s="1"/>
  <c r="C672" i="10"/>
  <c r="D672" i="10" s="1"/>
  <c r="C433" i="10"/>
  <c r="D433" i="10" s="1"/>
  <c r="C927" i="10"/>
  <c r="D927" i="10" s="1"/>
  <c r="C730" i="10"/>
  <c r="D730" i="10" s="1"/>
  <c r="C895" i="10"/>
  <c r="D895" i="10" s="1"/>
  <c r="C340" i="10"/>
  <c r="D340" i="10" s="1"/>
  <c r="C125" i="10"/>
  <c r="D125" i="10" s="1"/>
  <c r="C675" i="10"/>
  <c r="D675" i="10" s="1"/>
  <c r="C279" i="10"/>
  <c r="D279" i="10" s="1"/>
  <c r="C640" i="10"/>
  <c r="D640" i="10" s="1"/>
  <c r="C964" i="10"/>
  <c r="D964" i="10" s="1"/>
  <c r="C833" i="10"/>
  <c r="D833" i="10" s="1"/>
  <c r="C458" i="10"/>
  <c r="D458" i="10" s="1"/>
  <c r="C240" i="10"/>
  <c r="D240" i="10" s="1"/>
  <c r="C728" i="10"/>
  <c r="D728" i="10" s="1"/>
  <c r="C602" i="10"/>
  <c r="D602" i="10" s="1"/>
  <c r="O74" i="5"/>
  <c r="O97" i="5"/>
  <c r="O99" i="5" s="1"/>
  <c r="I89" i="5"/>
  <c r="I88" i="32"/>
  <c r="I89" i="32" s="1"/>
  <c r="D94" i="5"/>
  <c r="D92" i="32"/>
  <c r="K92" i="32"/>
  <c r="K94" i="32" s="1"/>
  <c r="K94" i="5"/>
  <c r="J89" i="5"/>
  <c r="J87" i="32"/>
  <c r="N89" i="5"/>
  <c r="N87" i="32"/>
  <c r="N89" i="32" s="1"/>
  <c r="O74" i="32"/>
  <c r="R27" i="10"/>
  <c r="E89" i="32"/>
  <c r="H89" i="32"/>
  <c r="G97" i="32"/>
  <c r="G99" i="32" s="1"/>
  <c r="J97" i="32"/>
  <c r="J99" i="32" s="1"/>
  <c r="J99" i="5"/>
  <c r="G94" i="32"/>
  <c r="M75" i="32"/>
  <c r="M79" i="32" s="1"/>
  <c r="H71" i="32"/>
  <c r="H73" i="32" s="1"/>
  <c r="H73" i="5"/>
  <c r="L78" i="32"/>
  <c r="L79" i="32" s="1"/>
  <c r="L79" i="5"/>
  <c r="L67" i="5" s="1"/>
  <c r="J78" i="32"/>
  <c r="O78" i="32" s="1"/>
  <c r="J79" i="5"/>
  <c r="J67" i="5" s="1"/>
  <c r="M73" i="5"/>
  <c r="M69" i="32"/>
  <c r="L73" i="32"/>
  <c r="O76" i="32"/>
  <c r="O72" i="32"/>
  <c r="C71" i="32"/>
  <c r="C73" i="5"/>
  <c r="C67" i="5" s="1"/>
  <c r="K77" i="32"/>
  <c r="K79" i="32" s="1"/>
  <c r="K79" i="5"/>
  <c r="K67" i="5" s="1"/>
  <c r="M94" i="5"/>
  <c r="M92" i="32"/>
  <c r="E99" i="5"/>
  <c r="E98" i="32"/>
  <c r="O98" i="32" s="1"/>
  <c r="O70" i="32"/>
  <c r="J93" i="32"/>
  <c r="J94" i="32" s="1"/>
  <c r="J94" i="5"/>
  <c r="C847" i="10"/>
  <c r="D847" i="10" s="1"/>
  <c r="C875" i="10"/>
  <c r="D875" i="10" s="1"/>
  <c r="C396" i="10"/>
  <c r="D396" i="10" s="1"/>
  <c r="C169" i="10"/>
  <c r="D169" i="10" s="1"/>
  <c r="C242" i="10"/>
  <c r="D242" i="10" s="1"/>
  <c r="C656" i="10"/>
  <c r="D656" i="10" s="1"/>
  <c r="C671" i="10"/>
  <c r="D671" i="10" s="1"/>
  <c r="C611" i="10"/>
  <c r="D611" i="10" s="1"/>
  <c r="C908" i="10"/>
  <c r="D908" i="10" s="1"/>
  <c r="C87" i="10"/>
  <c r="D87" i="10" s="1"/>
  <c r="C697" i="10"/>
  <c r="D697" i="10" s="1"/>
  <c r="C948" i="10"/>
  <c r="D948" i="10" s="1"/>
  <c r="C106" i="10"/>
  <c r="D106" i="10" s="1"/>
  <c r="C738" i="10"/>
  <c r="D738" i="10" s="1"/>
  <c r="C303" i="10"/>
  <c r="D303" i="10" s="1"/>
  <c r="C634" i="10"/>
  <c r="D634" i="10" s="1"/>
  <c r="C310" i="10"/>
  <c r="D310" i="10" s="1"/>
  <c r="C163" i="10"/>
  <c r="D163" i="10" s="1"/>
  <c r="C270" i="10"/>
  <c r="D270" i="10" s="1"/>
  <c r="C382" i="10"/>
  <c r="D382" i="10" s="1"/>
  <c r="C716" i="10"/>
  <c r="D716" i="10" s="1"/>
  <c r="C444" i="10"/>
  <c r="D444" i="10" s="1"/>
  <c r="C209" i="10"/>
  <c r="D209" i="10" s="1"/>
  <c r="C812" i="10"/>
  <c r="D812" i="10" s="1"/>
  <c r="C53" i="10"/>
  <c r="D53" i="10" s="1"/>
  <c r="C29" i="10"/>
  <c r="D29" i="10" s="1"/>
  <c r="C320" i="10"/>
  <c r="D320" i="10" s="1"/>
  <c r="C48" i="10"/>
  <c r="D48" i="10" s="1"/>
  <c r="C345" i="10"/>
  <c r="D345" i="10" s="1"/>
  <c r="C623" i="10"/>
  <c r="D623" i="10" s="1"/>
  <c r="C689" i="10"/>
  <c r="D689" i="10" s="1"/>
  <c r="C667" i="10"/>
  <c r="D667" i="10" s="1"/>
  <c r="C902" i="10"/>
  <c r="D902" i="10" s="1"/>
  <c r="C825" i="10"/>
  <c r="D825" i="10" s="1"/>
  <c r="C109" i="10"/>
  <c r="D109" i="10" s="1"/>
  <c r="C848" i="10"/>
  <c r="D848" i="10" s="1"/>
  <c r="C874" i="10"/>
  <c r="D874" i="10" s="1"/>
  <c r="C147" i="10"/>
  <c r="D147" i="10" s="1"/>
  <c r="C37" i="10"/>
  <c r="D37" i="10" s="1"/>
  <c r="C588" i="10"/>
  <c r="D588" i="10" s="1"/>
  <c r="C1000" i="10"/>
  <c r="D1000" i="10" s="1"/>
  <c r="C910" i="10"/>
  <c r="D910" i="10" s="1"/>
  <c r="C352" i="10"/>
  <c r="D352" i="10" s="1"/>
  <c r="C88" i="10"/>
  <c r="D88" i="10" s="1"/>
  <c r="C274" i="10"/>
  <c r="D274" i="10" s="1"/>
  <c r="C548" i="10"/>
  <c r="D548" i="10" s="1"/>
  <c r="C363" i="10"/>
  <c r="D363" i="10" s="1"/>
  <c r="C488" i="10"/>
  <c r="D488" i="10" s="1"/>
  <c r="C861" i="10"/>
  <c r="D861" i="10" s="1"/>
  <c r="C626" i="10"/>
  <c r="D626" i="10" s="1"/>
  <c r="C658" i="10"/>
  <c r="D658" i="10" s="1"/>
  <c r="C700" i="10"/>
  <c r="D700" i="10" s="1"/>
  <c r="C737" i="10"/>
  <c r="D737" i="10" s="1"/>
  <c r="C783" i="10"/>
  <c r="D783" i="10" s="1"/>
  <c r="C535" i="10"/>
  <c r="D535" i="10" s="1"/>
  <c r="C236" i="10"/>
  <c r="D236" i="10" s="1"/>
  <c r="C944" i="10"/>
  <c r="D944" i="10" s="1"/>
  <c r="C881" i="10"/>
  <c r="D881" i="10" s="1"/>
  <c r="C722" i="10"/>
  <c r="D722" i="10" s="1"/>
  <c r="C408" i="10"/>
  <c r="D408" i="10" s="1"/>
  <c r="C73" i="10"/>
  <c r="D73" i="10" s="1"/>
  <c r="C158" i="10"/>
  <c r="D158" i="10" s="1"/>
  <c r="C904" i="10"/>
  <c r="D904" i="10" s="1"/>
  <c r="C860" i="10"/>
  <c r="D860" i="10" s="1"/>
  <c r="C778" i="10"/>
  <c r="D778" i="10" s="1"/>
  <c r="C214" i="10"/>
  <c r="D214" i="10" s="1"/>
  <c r="C161" i="10"/>
  <c r="D161" i="10" s="1"/>
  <c r="C128" i="10"/>
  <c r="D128" i="10" s="1"/>
  <c r="C85" i="10"/>
  <c r="D85" i="10" s="1"/>
  <c r="C248" i="10"/>
  <c r="D248" i="10" s="1"/>
  <c r="C478" i="10"/>
  <c r="D478" i="10" s="1"/>
  <c r="C771" i="10"/>
  <c r="D771" i="10" s="1"/>
  <c r="C926" i="10"/>
  <c r="D926" i="10" s="1"/>
  <c r="C918" i="10"/>
  <c r="D918" i="10" s="1"/>
  <c r="C802" i="10"/>
  <c r="D802" i="10" s="1"/>
  <c r="C79" i="10"/>
  <c r="D79" i="10" s="1"/>
  <c r="C284" i="10"/>
  <c r="D284" i="10" s="1"/>
  <c r="C461" i="10"/>
  <c r="D461" i="10" s="1"/>
  <c r="C749" i="10"/>
  <c r="D749" i="10" s="1"/>
  <c r="C64" i="10"/>
  <c r="D64" i="10" s="1"/>
  <c r="C223" i="10"/>
  <c r="D223" i="10" s="1"/>
  <c r="C410" i="10"/>
  <c r="D410" i="10" s="1"/>
  <c r="C398" i="10"/>
  <c r="D398" i="10" s="1"/>
  <c r="C739" i="10"/>
  <c r="D739" i="10" s="1"/>
  <c r="C323" i="10"/>
  <c r="D323" i="10" s="1"/>
  <c r="C409" i="10"/>
  <c r="D409" i="10" s="1"/>
  <c r="C593" i="10"/>
  <c r="D593" i="10" s="1"/>
  <c r="C576" i="10"/>
  <c r="D576" i="10" s="1"/>
  <c r="C905" i="10"/>
  <c r="D905" i="10" s="1"/>
  <c r="C616" i="10"/>
  <c r="D616" i="10" s="1"/>
  <c r="C648" i="10"/>
  <c r="D648" i="10" s="1"/>
  <c r="C687" i="10"/>
  <c r="D687" i="10" s="1"/>
  <c r="C724" i="10"/>
  <c r="D724" i="10" s="1"/>
  <c r="C764" i="10"/>
  <c r="D764" i="10" s="1"/>
  <c r="C824" i="10"/>
  <c r="D824" i="10" s="1"/>
  <c r="C372" i="10"/>
  <c r="D372" i="10" s="1"/>
  <c r="C986" i="10"/>
  <c r="D986" i="10" s="1"/>
  <c r="C923" i="10"/>
  <c r="D923" i="10" s="1"/>
  <c r="C873" i="10"/>
  <c r="D873" i="10" s="1"/>
  <c r="C702" i="10"/>
  <c r="D702" i="10" s="1"/>
  <c r="C324" i="10"/>
  <c r="D324" i="10" s="1"/>
  <c r="C105" i="10"/>
  <c r="D105" i="10" s="1"/>
  <c r="C172" i="10"/>
  <c r="D172" i="10" s="1"/>
  <c r="C856" i="10"/>
  <c r="D856" i="10" s="1"/>
  <c r="C823" i="10"/>
  <c r="D823" i="10" s="1"/>
  <c r="C810" i="10"/>
  <c r="D810" i="10" s="1"/>
  <c r="C174" i="10"/>
  <c r="D174" i="10" s="1"/>
  <c r="C139" i="10"/>
  <c r="D139" i="10" s="1"/>
  <c r="C108" i="10"/>
  <c r="D108" i="10" s="1"/>
  <c r="C185" i="10"/>
  <c r="D185" i="10" s="1"/>
  <c r="C421" i="10"/>
  <c r="D421" i="10" s="1"/>
  <c r="C653" i="10"/>
  <c r="D653" i="10" s="1"/>
  <c r="C871" i="10"/>
  <c r="D871" i="10" s="1"/>
  <c r="C867" i="10"/>
  <c r="D867" i="10" s="1"/>
  <c r="C718" i="10"/>
  <c r="D718" i="10" s="1"/>
  <c r="C974" i="10"/>
  <c r="D974" i="10" s="1"/>
  <c r="C232" i="10"/>
  <c r="D232" i="10" s="1"/>
  <c r="C416" i="10"/>
  <c r="D416" i="10" s="1"/>
  <c r="C583" i="10"/>
  <c r="D583" i="10" s="1"/>
  <c r="C76" i="10"/>
  <c r="D76" i="10" s="1"/>
  <c r="C195" i="10"/>
  <c r="D195" i="10" s="1"/>
  <c r="C330" i="10"/>
  <c r="D330" i="10" s="1"/>
  <c r="C669" i="10"/>
  <c r="D669" i="10" s="1"/>
  <c r="C601" i="10"/>
  <c r="D601" i="10" s="1"/>
  <c r="C301" i="10"/>
  <c r="D301" i="10" s="1"/>
  <c r="C385" i="10"/>
  <c r="D385" i="10" s="1"/>
  <c r="C529" i="10"/>
  <c r="D529" i="10" s="1"/>
  <c r="C531" i="10"/>
  <c r="D531" i="10" s="1"/>
  <c r="C787" i="10"/>
  <c r="D787" i="10" s="1"/>
  <c r="I99" i="32"/>
  <c r="M99" i="32"/>
  <c r="F97" i="32"/>
  <c r="F99" i="5"/>
  <c r="I94" i="32"/>
  <c r="D94" i="32"/>
  <c r="C93" i="32"/>
  <c r="O93" i="32" s="1"/>
  <c r="C94" i="5"/>
  <c r="C99" i="5"/>
  <c r="R29" i="10"/>
  <c r="R5" i="10" s="1"/>
  <c r="R26" i="10"/>
  <c r="G67" i="5" l="1"/>
  <c r="N67" i="32"/>
  <c r="M67" i="5"/>
  <c r="H67" i="5"/>
  <c r="E99" i="32"/>
  <c r="C94" i="32"/>
  <c r="O88" i="32"/>
  <c r="J89" i="32"/>
  <c r="O87" i="32"/>
  <c r="O89" i="32" s="1"/>
  <c r="H67" i="32"/>
  <c r="K67" i="32"/>
  <c r="E67" i="5"/>
  <c r="G67" i="32"/>
  <c r="E51" i="5"/>
  <c r="E51" i="32" s="1"/>
  <c r="I16" i="5"/>
  <c r="I16" i="32" s="1"/>
  <c r="L22" i="5"/>
  <c r="L22" i="32" s="1"/>
  <c r="E19" i="5"/>
  <c r="E19" i="32" s="1"/>
  <c r="J21" i="5"/>
  <c r="J21" i="32" s="1"/>
  <c r="O28" i="5"/>
  <c r="J45" i="5"/>
  <c r="J45" i="32" s="1"/>
  <c r="J18" i="5"/>
  <c r="J18" i="32" s="1"/>
  <c r="L7" i="5"/>
  <c r="L7" i="32" s="1"/>
  <c r="M59" i="5"/>
  <c r="M59" i="32" s="1"/>
  <c r="G18" i="5"/>
  <c r="G18" i="32" s="1"/>
  <c r="L32" i="5"/>
  <c r="L32" i="32" s="1"/>
  <c r="D6" i="5"/>
  <c r="H43" i="5"/>
  <c r="H43" i="32" s="1"/>
  <c r="C53" i="5"/>
  <c r="C53" i="32" s="1"/>
  <c r="D27" i="5"/>
  <c r="D27" i="32" s="1"/>
  <c r="L51" i="5"/>
  <c r="L51" i="32" s="1"/>
  <c r="N40" i="5"/>
  <c r="N40" i="32" s="1"/>
  <c r="F40" i="5"/>
  <c r="F40" i="32" s="1"/>
  <c r="O21" i="5"/>
  <c r="I30" i="5"/>
  <c r="I30" i="32" s="1"/>
  <c r="O37" i="5"/>
  <c r="N15" i="5"/>
  <c r="N15" i="32" s="1"/>
  <c r="J10" i="5"/>
  <c r="J10" i="32" s="1"/>
  <c r="J46" i="5"/>
  <c r="J46" i="32" s="1"/>
  <c r="M34" i="5"/>
  <c r="M34" i="32" s="1"/>
  <c r="O51" i="5"/>
  <c r="G31" i="5"/>
  <c r="G31" i="32" s="1"/>
  <c r="H14" i="5"/>
  <c r="N54" i="5"/>
  <c r="N54" i="32" s="1"/>
  <c r="O56" i="5"/>
  <c r="K57" i="5"/>
  <c r="K57" i="32" s="1"/>
  <c r="O10" i="5"/>
  <c r="O79" i="5" s="1"/>
  <c r="O67" i="5" s="1"/>
  <c r="H21" i="5"/>
  <c r="H21" i="32" s="1"/>
  <c r="N38" i="5"/>
  <c r="N38" i="32" s="1"/>
  <c r="K43" i="5"/>
  <c r="K43" i="32" s="1"/>
  <c r="I22" i="5"/>
  <c r="I22" i="32" s="1"/>
  <c r="O23" i="5"/>
  <c r="E28" i="5"/>
  <c r="E28" i="32" s="1"/>
  <c r="K6" i="5"/>
  <c r="N6" i="5"/>
  <c r="K34" i="5"/>
  <c r="K34" i="32" s="1"/>
  <c r="N56" i="5"/>
  <c r="N56" i="32" s="1"/>
  <c r="E39" i="5"/>
  <c r="E39" i="32" s="1"/>
  <c r="M24" i="5"/>
  <c r="M24" i="32" s="1"/>
  <c r="N57" i="5"/>
  <c r="N57" i="32" s="1"/>
  <c r="J23" i="5"/>
  <c r="J23" i="32" s="1"/>
  <c r="O54" i="5"/>
  <c r="O43" i="5"/>
  <c r="M48" i="5"/>
  <c r="M48" i="32" s="1"/>
  <c r="O32" i="5"/>
  <c r="D41" i="5"/>
  <c r="D41" i="32" s="1"/>
  <c r="I31" i="5"/>
  <c r="I31" i="32" s="1"/>
  <c r="J39" i="5"/>
  <c r="J39" i="32" s="1"/>
  <c r="C41" i="5"/>
  <c r="C41" i="32" s="1"/>
  <c r="J41" i="5"/>
  <c r="J41" i="32" s="1"/>
  <c r="H40" i="5"/>
  <c r="H40" i="32" s="1"/>
  <c r="O16" i="5"/>
  <c r="D20" i="5"/>
  <c r="D20" i="32" s="1"/>
  <c r="G21" i="5"/>
  <c r="G21" i="32" s="1"/>
  <c r="F53" i="5"/>
  <c r="F53" i="32" s="1"/>
  <c r="J54" i="5"/>
  <c r="J54" i="32" s="1"/>
  <c r="M44" i="5"/>
  <c r="M44" i="32" s="1"/>
  <c r="O14" i="5"/>
  <c r="M38" i="5"/>
  <c r="M38" i="32" s="1"/>
  <c r="I41" i="5"/>
  <c r="I41" i="32" s="1"/>
  <c r="G43" i="5"/>
  <c r="G43" i="32" s="1"/>
  <c r="O45" i="5"/>
  <c r="I38" i="5"/>
  <c r="I38" i="32" s="1"/>
  <c r="H56" i="5"/>
  <c r="H56" i="32" s="1"/>
  <c r="N53" i="5"/>
  <c r="N53" i="32" s="1"/>
  <c r="L31" i="5"/>
  <c r="L31" i="32" s="1"/>
  <c r="H37" i="5"/>
  <c r="H37" i="32" s="1"/>
  <c r="H39" i="5"/>
  <c r="H39" i="32" s="1"/>
  <c r="E10" i="5"/>
  <c r="E10" i="32" s="1"/>
  <c r="J55" i="5"/>
  <c r="J55" i="32" s="1"/>
  <c r="I10" i="5"/>
  <c r="I10" i="32" s="1"/>
  <c r="E31" i="5"/>
  <c r="E31" i="32" s="1"/>
  <c r="H20" i="5"/>
  <c r="H20" i="32" s="1"/>
  <c r="F26" i="5"/>
  <c r="F26" i="32" s="1"/>
  <c r="H60" i="5"/>
  <c r="H60" i="32" s="1"/>
  <c r="G51" i="5"/>
  <c r="G51" i="32" s="1"/>
  <c r="J9" i="5"/>
  <c r="J9" i="32" s="1"/>
  <c r="N21" i="5"/>
  <c r="N21" i="32" s="1"/>
  <c r="O17" i="5"/>
  <c r="D39" i="5"/>
  <c r="D39" i="32" s="1"/>
  <c r="G37" i="5"/>
  <c r="G37" i="32" s="1"/>
  <c r="I6" i="5"/>
  <c r="M30" i="5"/>
  <c r="M30" i="32" s="1"/>
  <c r="K36" i="5"/>
  <c r="K36" i="32" s="1"/>
  <c r="H41" i="5"/>
  <c r="H41" i="32" s="1"/>
  <c r="I35" i="5"/>
  <c r="I35" i="32" s="1"/>
  <c r="C28" i="5"/>
  <c r="C28" i="32" s="1"/>
  <c r="H29" i="5"/>
  <c r="H29" i="32" s="1"/>
  <c r="N9" i="5"/>
  <c r="N9" i="32" s="1"/>
  <c r="J36" i="5"/>
  <c r="J36" i="32" s="1"/>
  <c r="N26" i="5"/>
  <c r="N26" i="32" s="1"/>
  <c r="J53" i="5"/>
  <c r="J53" i="32" s="1"/>
  <c r="F44" i="5"/>
  <c r="F44" i="32" s="1"/>
  <c r="E23" i="5"/>
  <c r="E23" i="32" s="1"/>
  <c r="L53" i="5"/>
  <c r="L53" i="32" s="1"/>
  <c r="L23" i="5"/>
  <c r="L23" i="32" s="1"/>
  <c r="C44" i="5"/>
  <c r="C44" i="32" s="1"/>
  <c r="L30" i="5"/>
  <c r="L30" i="32" s="1"/>
  <c r="H24" i="5"/>
  <c r="H24" i="32" s="1"/>
  <c r="J31" i="5"/>
  <c r="J31" i="32" s="1"/>
  <c r="L33" i="5"/>
  <c r="L33" i="32" s="1"/>
  <c r="I46" i="5"/>
  <c r="I46" i="32" s="1"/>
  <c r="M7" i="5"/>
  <c r="M7" i="32" s="1"/>
  <c r="E26" i="5"/>
  <c r="E26" i="32" s="1"/>
  <c r="O60" i="5"/>
  <c r="K29" i="5"/>
  <c r="K29" i="32" s="1"/>
  <c r="G40" i="5"/>
  <c r="G40" i="32" s="1"/>
  <c r="L54" i="5"/>
  <c r="L54" i="32" s="1"/>
  <c r="J16" i="5"/>
  <c r="J16" i="32" s="1"/>
  <c r="E32" i="5"/>
  <c r="E32" i="32" s="1"/>
  <c r="C61" i="5"/>
  <c r="C61" i="32" s="1"/>
  <c r="L62" i="5"/>
  <c r="L62" i="32" s="1"/>
  <c r="F62" i="5"/>
  <c r="F62" i="32" s="1"/>
  <c r="E21" i="5"/>
  <c r="E21" i="32" s="1"/>
  <c r="H59" i="5"/>
  <c r="H59" i="32" s="1"/>
  <c r="F27" i="5"/>
  <c r="F27" i="32" s="1"/>
  <c r="D9" i="5"/>
  <c r="D9" i="32" s="1"/>
  <c r="D51" i="5"/>
  <c r="D51" i="32" s="1"/>
  <c r="E49" i="5"/>
  <c r="E49" i="32" s="1"/>
  <c r="L65" i="5"/>
  <c r="L65" i="32" s="1"/>
  <c r="F59" i="5"/>
  <c r="F59" i="32" s="1"/>
  <c r="I52" i="5"/>
  <c r="I52" i="32" s="1"/>
  <c r="K25" i="5"/>
  <c r="K25" i="32" s="1"/>
  <c r="M36" i="5"/>
  <c r="M36" i="32" s="1"/>
  <c r="D37" i="5"/>
  <c r="D37" i="32" s="1"/>
  <c r="D46" i="5"/>
  <c r="D46" i="32" s="1"/>
  <c r="F29" i="5"/>
  <c r="F29" i="32" s="1"/>
  <c r="N18" i="5"/>
  <c r="N18" i="32" s="1"/>
  <c r="G53" i="5"/>
  <c r="G53" i="32" s="1"/>
  <c r="M39" i="5"/>
  <c r="M39" i="32" s="1"/>
  <c r="J6" i="5"/>
  <c r="F14" i="5"/>
  <c r="E30" i="5"/>
  <c r="E30" i="32" s="1"/>
  <c r="I28" i="5"/>
  <c r="I28" i="32" s="1"/>
  <c r="I42" i="5"/>
  <c r="I42" i="32" s="1"/>
  <c r="K52" i="5"/>
  <c r="K52" i="32" s="1"/>
  <c r="E25" i="5"/>
  <c r="E25" i="32" s="1"/>
  <c r="N51" i="5"/>
  <c r="N51" i="32" s="1"/>
  <c r="E40" i="5"/>
  <c r="E40" i="32" s="1"/>
  <c r="K54" i="5"/>
  <c r="K54" i="32" s="1"/>
  <c r="J49" i="5"/>
  <c r="J49" i="32" s="1"/>
  <c r="G42" i="5"/>
  <c r="G42" i="32" s="1"/>
  <c r="G6" i="5"/>
  <c r="M60" i="5"/>
  <c r="M60" i="32" s="1"/>
  <c r="I45" i="5"/>
  <c r="I45" i="32" s="1"/>
  <c r="C57" i="5"/>
  <c r="C57" i="32" s="1"/>
  <c r="K27" i="5"/>
  <c r="K27" i="32" s="1"/>
  <c r="K31" i="5"/>
  <c r="K31" i="32" s="1"/>
  <c r="K44" i="5"/>
  <c r="K44" i="32" s="1"/>
  <c r="F60" i="5"/>
  <c r="F60" i="32" s="1"/>
  <c r="L16" i="5"/>
  <c r="L16" i="32" s="1"/>
  <c r="J58" i="5"/>
  <c r="J58" i="32" s="1"/>
  <c r="I25" i="5"/>
  <c r="I25" i="32" s="1"/>
  <c r="C42" i="5"/>
  <c r="C42" i="32" s="1"/>
  <c r="C38" i="5"/>
  <c r="C38" i="32" s="1"/>
  <c r="I19" i="5"/>
  <c r="I19" i="32" s="1"/>
  <c r="I14" i="5"/>
  <c r="M41" i="5"/>
  <c r="M41" i="32" s="1"/>
  <c r="L57" i="5"/>
  <c r="L57" i="32" s="1"/>
  <c r="H34" i="5"/>
  <c r="H34" i="32" s="1"/>
  <c r="C35" i="5"/>
  <c r="C35" i="32" s="1"/>
  <c r="I48" i="5"/>
  <c r="I48" i="32" s="1"/>
  <c r="O24" i="5"/>
  <c r="G47" i="5"/>
  <c r="G47" i="32" s="1"/>
  <c r="C43" i="5"/>
  <c r="C43" i="32" s="1"/>
  <c r="J48" i="5"/>
  <c r="J48" i="32" s="1"/>
  <c r="N35" i="5"/>
  <c r="N35" i="32" s="1"/>
  <c r="F7" i="5"/>
  <c r="F7" i="32" s="1"/>
  <c r="K22" i="5"/>
  <c r="K22" i="32" s="1"/>
  <c r="L38" i="5"/>
  <c r="L38" i="32" s="1"/>
  <c r="G7" i="5"/>
  <c r="G7" i="32" s="1"/>
  <c r="J65" i="5"/>
  <c r="J65" i="32" s="1"/>
  <c r="K63" i="5"/>
  <c r="K63" i="32" s="1"/>
  <c r="H62" i="5"/>
  <c r="H62" i="32" s="1"/>
  <c r="O25" i="5"/>
  <c r="L19" i="5"/>
  <c r="L19" i="32" s="1"/>
  <c r="H30" i="5"/>
  <c r="H30" i="32" s="1"/>
  <c r="O40" i="5"/>
  <c r="D45" i="5"/>
  <c r="D45" i="32" s="1"/>
  <c r="K65" i="5"/>
  <c r="K65" i="32" s="1"/>
  <c r="N16" i="5"/>
  <c r="N16" i="32" s="1"/>
  <c r="N59" i="5"/>
  <c r="N59" i="32" s="1"/>
  <c r="E38" i="5"/>
  <c r="E38" i="32" s="1"/>
  <c r="L60" i="5"/>
  <c r="L60" i="32" s="1"/>
  <c r="F45" i="5"/>
  <c r="F45" i="32" s="1"/>
  <c r="J14" i="5"/>
  <c r="O53" i="5"/>
  <c r="N10" i="5"/>
  <c r="N10" i="32" s="1"/>
  <c r="C46" i="5"/>
  <c r="C46" i="32" s="1"/>
  <c r="K20" i="5"/>
  <c r="K20" i="32" s="1"/>
  <c r="O57" i="5"/>
  <c r="L27" i="5"/>
  <c r="L27" i="32" s="1"/>
  <c r="H33" i="5"/>
  <c r="H33" i="32" s="1"/>
  <c r="K15" i="5"/>
  <c r="K15" i="32" s="1"/>
  <c r="K53" i="5"/>
  <c r="K53" i="32" s="1"/>
  <c r="C23" i="5"/>
  <c r="C23" i="32" s="1"/>
  <c r="L26" i="5"/>
  <c r="L26" i="32" s="1"/>
  <c r="J52" i="5"/>
  <c r="J52" i="32" s="1"/>
  <c r="D34" i="5"/>
  <c r="D34" i="32" s="1"/>
  <c r="N29" i="5"/>
  <c r="N29" i="32" s="1"/>
  <c r="E22" i="5"/>
  <c r="E22" i="32" s="1"/>
  <c r="E9" i="5"/>
  <c r="E9" i="32" s="1"/>
  <c r="N65" i="5"/>
  <c r="N65" i="32" s="1"/>
  <c r="N7" i="5"/>
  <c r="N7" i="32" s="1"/>
  <c r="L52" i="5"/>
  <c r="L52" i="32" s="1"/>
  <c r="H9" i="5"/>
  <c r="H9" i="32" s="1"/>
  <c r="C25" i="5"/>
  <c r="C25" i="32" s="1"/>
  <c r="J60" i="5"/>
  <c r="J60" i="32" s="1"/>
  <c r="K37" i="5"/>
  <c r="K37" i="32" s="1"/>
  <c r="G24" i="5"/>
  <c r="G24" i="32" s="1"/>
  <c r="J26" i="5"/>
  <c r="J26" i="32" s="1"/>
  <c r="M51" i="5"/>
  <c r="M51" i="32" s="1"/>
  <c r="M10" i="5"/>
  <c r="M10" i="32" s="1"/>
  <c r="H36" i="5"/>
  <c r="H36" i="32" s="1"/>
  <c r="O29" i="5"/>
  <c r="J40" i="5"/>
  <c r="J40" i="32" s="1"/>
  <c r="I27" i="5"/>
  <c r="I27" i="32" s="1"/>
  <c r="I64" i="5"/>
  <c r="I64" i="32" s="1"/>
  <c r="N62" i="5"/>
  <c r="N62" i="32" s="1"/>
  <c r="D64" i="5"/>
  <c r="D64" i="32" s="1"/>
  <c r="D22" i="5"/>
  <c r="D22" i="32" s="1"/>
  <c r="I20" i="5"/>
  <c r="I20" i="32" s="1"/>
  <c r="C20" i="5"/>
  <c r="C20" i="32" s="1"/>
  <c r="C39" i="5"/>
  <c r="C39" i="32" s="1"/>
  <c r="C45" i="5"/>
  <c r="C45" i="32" s="1"/>
  <c r="J19" i="5"/>
  <c r="J19" i="32" s="1"/>
  <c r="K42" i="5"/>
  <c r="K42" i="32" s="1"/>
  <c r="N46" i="5"/>
  <c r="N46" i="32" s="1"/>
  <c r="K19" i="5"/>
  <c r="K19" i="32" s="1"/>
  <c r="L41" i="5"/>
  <c r="L41" i="32" s="1"/>
  <c r="E45" i="5"/>
  <c r="E45" i="32" s="1"/>
  <c r="G46" i="5"/>
  <c r="G46" i="32" s="1"/>
  <c r="I34" i="5"/>
  <c r="I34" i="32" s="1"/>
  <c r="K23" i="5"/>
  <c r="K23" i="32" s="1"/>
  <c r="O18" i="5"/>
  <c r="M43" i="5"/>
  <c r="M43" i="32" s="1"/>
  <c r="N37" i="5"/>
  <c r="N37" i="32" s="1"/>
  <c r="J59" i="5"/>
  <c r="J59" i="32" s="1"/>
  <c r="D18" i="5"/>
  <c r="D18" i="32" s="1"/>
  <c r="M25" i="5"/>
  <c r="M25" i="32" s="1"/>
  <c r="H65" i="5"/>
  <c r="H65" i="32" s="1"/>
  <c r="K17" i="5"/>
  <c r="K17" i="32" s="1"/>
  <c r="K56" i="5"/>
  <c r="K56" i="32" s="1"/>
  <c r="E56" i="5"/>
  <c r="E56" i="32" s="1"/>
  <c r="K48" i="5"/>
  <c r="K48" i="32" s="1"/>
  <c r="M9" i="5"/>
  <c r="M9" i="32" s="1"/>
  <c r="H27" i="5"/>
  <c r="H27" i="32" s="1"/>
  <c r="M32" i="5"/>
  <c r="M32" i="32" s="1"/>
  <c r="K10" i="5"/>
  <c r="K10" i="32" s="1"/>
  <c r="E44" i="5"/>
  <c r="E44" i="32" s="1"/>
  <c r="I32" i="5"/>
  <c r="I32" i="32" s="1"/>
  <c r="I24" i="5"/>
  <c r="I24" i="32" s="1"/>
  <c r="M47" i="5"/>
  <c r="M47" i="32" s="1"/>
  <c r="I49" i="5"/>
  <c r="I49" i="32" s="1"/>
  <c r="J37" i="5"/>
  <c r="J37" i="32" s="1"/>
  <c r="C48" i="5"/>
  <c r="C48" i="32" s="1"/>
  <c r="G20" i="5"/>
  <c r="G20" i="32" s="1"/>
  <c r="I23" i="5"/>
  <c r="I23" i="32" s="1"/>
  <c r="C31" i="5"/>
  <c r="C31" i="32" s="1"/>
  <c r="J50" i="5"/>
  <c r="J50" i="32" s="1"/>
  <c r="H46" i="5"/>
  <c r="H46" i="32" s="1"/>
  <c r="F24" i="5"/>
  <c r="F24" i="32" s="1"/>
  <c r="O46" i="5"/>
  <c r="O31" i="5"/>
  <c r="K50" i="5"/>
  <c r="K50" i="32" s="1"/>
  <c r="M55" i="5"/>
  <c r="M55" i="32" s="1"/>
  <c r="E7" i="5"/>
  <c r="E7" i="32" s="1"/>
  <c r="E24" i="5"/>
  <c r="E24" i="32" s="1"/>
  <c r="E37" i="5"/>
  <c r="E37" i="32" s="1"/>
  <c r="E27" i="5"/>
  <c r="E27" i="32" s="1"/>
  <c r="F25" i="5"/>
  <c r="F25" i="32" s="1"/>
  <c r="D17" i="5"/>
  <c r="D17" i="32" s="1"/>
  <c r="M61" i="5"/>
  <c r="M61" i="32" s="1"/>
  <c r="G61" i="5"/>
  <c r="G61" i="32" s="1"/>
  <c r="K64" i="5"/>
  <c r="K64" i="32" s="1"/>
  <c r="H61" i="5"/>
  <c r="H61" i="32" s="1"/>
  <c r="N61" i="5"/>
  <c r="N61" i="32" s="1"/>
  <c r="K61" i="5"/>
  <c r="K61" i="32" s="1"/>
  <c r="L29" i="5"/>
  <c r="L29" i="32" s="1"/>
  <c r="J51" i="5"/>
  <c r="J51" i="32" s="1"/>
  <c r="L10" i="5"/>
  <c r="L10" i="32" s="1"/>
  <c r="N50" i="5"/>
  <c r="N50" i="32" s="1"/>
  <c r="O50" i="5"/>
  <c r="F39" i="5"/>
  <c r="F39" i="32" s="1"/>
  <c r="L24" i="5"/>
  <c r="L24" i="32" s="1"/>
  <c r="F58" i="5"/>
  <c r="F58" i="32" s="1"/>
  <c r="J28" i="5"/>
  <c r="J28" i="32" s="1"/>
  <c r="D28" i="5"/>
  <c r="D28" i="32" s="1"/>
  <c r="C16" i="5"/>
  <c r="C16" i="32" s="1"/>
  <c r="E34" i="5"/>
  <c r="E34" i="32" s="1"/>
  <c r="N30" i="5"/>
  <c r="N30" i="32" s="1"/>
  <c r="L42" i="5"/>
  <c r="L42" i="32" s="1"/>
  <c r="I43" i="5"/>
  <c r="I43" i="32" s="1"/>
  <c r="K40" i="5"/>
  <c r="K40" i="32" s="1"/>
  <c r="G32" i="5"/>
  <c r="G32" i="32" s="1"/>
  <c r="L40" i="5"/>
  <c r="L40" i="32" s="1"/>
  <c r="F19" i="5"/>
  <c r="F19" i="32" s="1"/>
  <c r="C27" i="5"/>
  <c r="C27" i="32" s="1"/>
  <c r="H18" i="5"/>
  <c r="H18" i="32" s="1"/>
  <c r="D29" i="5"/>
  <c r="D29" i="32" s="1"/>
  <c r="L21" i="5"/>
  <c r="L21" i="32" s="1"/>
  <c r="K26" i="5"/>
  <c r="K26" i="32" s="1"/>
  <c r="M27" i="5"/>
  <c r="M27" i="32" s="1"/>
  <c r="M19" i="5"/>
  <c r="M19" i="32" s="1"/>
  <c r="C7" i="5"/>
  <c r="C7" i="32" s="1"/>
  <c r="O58" i="5"/>
  <c r="N14" i="5"/>
  <c r="G38" i="5"/>
  <c r="G38" i="32" s="1"/>
  <c r="K39" i="5"/>
  <c r="K39" i="32" s="1"/>
  <c r="N23" i="5"/>
  <c r="N23" i="32" s="1"/>
  <c r="J27" i="5"/>
  <c r="J27" i="32" s="1"/>
  <c r="I58" i="5"/>
  <c r="I58" i="32" s="1"/>
  <c r="F15" i="5"/>
  <c r="F15" i="32" s="1"/>
  <c r="F48" i="5"/>
  <c r="F48" i="32" s="1"/>
  <c r="H32" i="5"/>
  <c r="H32" i="32" s="1"/>
  <c r="N25" i="5"/>
  <c r="N25" i="32" s="1"/>
  <c r="M33" i="5"/>
  <c r="M33" i="32" s="1"/>
  <c r="M28" i="5"/>
  <c r="M28" i="32" s="1"/>
  <c r="C24" i="5"/>
  <c r="C24" i="32" s="1"/>
  <c r="J47" i="5"/>
  <c r="J47" i="32" s="1"/>
  <c r="E52" i="5"/>
  <c r="E52" i="32" s="1"/>
  <c r="C47" i="5"/>
  <c r="C47" i="32" s="1"/>
  <c r="D56" i="5"/>
  <c r="D56" i="32" s="1"/>
  <c r="D43" i="5"/>
  <c r="D43" i="32" s="1"/>
  <c r="C55" i="5"/>
  <c r="C55" i="32" s="1"/>
  <c r="C30" i="5"/>
  <c r="C30" i="32" s="1"/>
  <c r="O48" i="5"/>
  <c r="G29" i="5"/>
  <c r="G29" i="32" s="1"/>
  <c r="E29" i="5"/>
  <c r="E29" i="32" s="1"/>
  <c r="J57" i="5"/>
  <c r="J57" i="32" s="1"/>
  <c r="M53" i="5"/>
  <c r="M53" i="32" s="1"/>
  <c r="M50" i="5"/>
  <c r="M50" i="32" s="1"/>
  <c r="G23" i="5"/>
  <c r="G23" i="32" s="1"/>
  <c r="K55" i="5"/>
  <c r="K55" i="32" s="1"/>
  <c r="C18" i="5"/>
  <c r="C18" i="32" s="1"/>
  <c r="J7" i="5"/>
  <c r="J7" i="32" s="1"/>
  <c r="K46" i="5"/>
  <c r="K46" i="32" s="1"/>
  <c r="F38" i="5"/>
  <c r="F38" i="32" s="1"/>
  <c r="M37" i="5"/>
  <c r="M37" i="32" s="1"/>
  <c r="H7" i="5"/>
  <c r="H7" i="32" s="1"/>
  <c r="N45" i="5"/>
  <c r="N45" i="32" s="1"/>
  <c r="E15" i="5"/>
  <c r="E15" i="32" s="1"/>
  <c r="C36" i="5"/>
  <c r="C36" i="32" s="1"/>
  <c r="H57" i="5"/>
  <c r="H57" i="32" s="1"/>
  <c r="E55" i="5"/>
  <c r="E55" i="32" s="1"/>
  <c r="G19" i="5"/>
  <c r="G19" i="32" s="1"/>
  <c r="C22" i="5"/>
  <c r="C22" i="32" s="1"/>
  <c r="M21" i="5"/>
  <c r="M21" i="32" s="1"/>
  <c r="L43" i="5"/>
  <c r="L43" i="32" s="1"/>
  <c r="E35" i="5"/>
  <c r="E35" i="32" s="1"/>
  <c r="E6" i="5"/>
  <c r="L55" i="5"/>
  <c r="L55" i="32" s="1"/>
  <c r="I7" i="5"/>
  <c r="I7" i="32" s="1"/>
  <c r="D55" i="5"/>
  <c r="D55" i="32" s="1"/>
  <c r="O55" i="5"/>
  <c r="G59" i="5"/>
  <c r="G59" i="32" s="1"/>
  <c r="L58" i="5"/>
  <c r="L58" i="32" s="1"/>
  <c r="H58" i="5"/>
  <c r="H58" i="32" s="1"/>
  <c r="O42" i="5"/>
  <c r="L37" i="5"/>
  <c r="L37" i="32" s="1"/>
  <c r="N28" i="5"/>
  <c r="N28" i="32" s="1"/>
  <c r="F52" i="5"/>
  <c r="F52" i="32" s="1"/>
  <c r="H47" i="5"/>
  <c r="H47" i="32" s="1"/>
  <c r="J30" i="5"/>
  <c r="J30" i="32" s="1"/>
  <c r="O41" i="5"/>
  <c r="I59" i="5"/>
  <c r="I59" i="32" s="1"/>
  <c r="G60" i="5"/>
  <c r="G60" i="32" s="1"/>
  <c r="N52" i="5"/>
  <c r="N52" i="32" s="1"/>
  <c r="J22" i="5"/>
  <c r="J22" i="32" s="1"/>
  <c r="D65" i="5"/>
  <c r="D65" i="32" s="1"/>
  <c r="D36" i="5"/>
  <c r="D36" i="32" s="1"/>
  <c r="G33" i="5"/>
  <c r="G33" i="32" s="1"/>
  <c r="D33" i="5"/>
  <c r="D33" i="32" s="1"/>
  <c r="O49" i="5"/>
  <c r="K21" i="5"/>
  <c r="K21" i="32" s="1"/>
  <c r="G27" i="5"/>
  <c r="G27" i="32" s="1"/>
  <c r="M6" i="5"/>
  <c r="G54" i="5"/>
  <c r="G54" i="32" s="1"/>
  <c r="D58" i="5"/>
  <c r="D58" i="32" s="1"/>
  <c r="E33" i="5"/>
  <c r="E33" i="32" s="1"/>
  <c r="L36" i="5"/>
  <c r="L36" i="32" s="1"/>
  <c r="H49" i="5"/>
  <c r="H49" i="32" s="1"/>
  <c r="J44" i="5"/>
  <c r="J44" i="32" s="1"/>
  <c r="J25" i="5"/>
  <c r="J25" i="32" s="1"/>
  <c r="I55" i="5"/>
  <c r="I55" i="32" s="1"/>
  <c r="O65" i="5"/>
  <c r="M23" i="5"/>
  <c r="M23" i="32" s="1"/>
  <c r="D26" i="5"/>
  <c r="D26" i="32" s="1"/>
  <c r="J56" i="5"/>
  <c r="J56" i="32" s="1"/>
  <c r="D14" i="5"/>
  <c r="E60" i="5"/>
  <c r="E60" i="32" s="1"/>
  <c r="O47" i="5"/>
  <c r="E54" i="5"/>
  <c r="E54" i="32" s="1"/>
  <c r="L39" i="5"/>
  <c r="L39" i="32" s="1"/>
  <c r="O35" i="5"/>
  <c r="L44" i="5"/>
  <c r="L44" i="32" s="1"/>
  <c r="C21" i="5"/>
  <c r="C21" i="32" s="1"/>
  <c r="C14" i="5"/>
  <c r="H54" i="5"/>
  <c r="H54" i="32" s="1"/>
  <c r="D57" i="5"/>
  <c r="D57" i="32" s="1"/>
  <c r="E36" i="5"/>
  <c r="E36" i="32" s="1"/>
  <c r="J33" i="5"/>
  <c r="J33" i="32" s="1"/>
  <c r="F43" i="5"/>
  <c r="F43" i="32" s="1"/>
  <c r="I36" i="5"/>
  <c r="I36" i="32" s="1"/>
  <c r="L46" i="5"/>
  <c r="L46" i="32" s="1"/>
  <c r="E59" i="5"/>
  <c r="E59" i="32" s="1"/>
  <c r="D32" i="5"/>
  <c r="D32" i="32" s="1"/>
  <c r="M35" i="5"/>
  <c r="M35" i="32" s="1"/>
  <c r="L48" i="5"/>
  <c r="L48" i="32" s="1"/>
  <c r="J15" i="5"/>
  <c r="J15" i="32" s="1"/>
  <c r="F35" i="5"/>
  <c r="F35" i="32" s="1"/>
  <c r="D42" i="5"/>
  <c r="D42" i="32" s="1"/>
  <c r="C52" i="5"/>
  <c r="C52" i="32" s="1"/>
  <c r="H52" i="5"/>
  <c r="H52" i="32" s="1"/>
  <c r="M40" i="5"/>
  <c r="M40" i="32" s="1"/>
  <c r="H23" i="5"/>
  <c r="H23" i="32" s="1"/>
  <c r="D21" i="5"/>
  <c r="D21" i="32" s="1"/>
  <c r="I9" i="5"/>
  <c r="I9" i="32" s="1"/>
  <c r="M52" i="5"/>
  <c r="M52" i="32" s="1"/>
  <c r="O19" i="5"/>
  <c r="F31" i="5"/>
  <c r="F31" i="32" s="1"/>
  <c r="M65" i="5"/>
  <c r="M65" i="32" s="1"/>
  <c r="D30" i="5"/>
  <c r="D30" i="32" s="1"/>
  <c r="F9" i="5"/>
  <c r="F9" i="32" s="1"/>
  <c r="I60" i="5"/>
  <c r="I60" i="32" s="1"/>
  <c r="G58" i="5"/>
  <c r="G58" i="32" s="1"/>
  <c r="D60" i="5"/>
  <c r="D60" i="32" s="1"/>
  <c r="N58" i="5"/>
  <c r="N58" i="32" s="1"/>
  <c r="M45" i="5"/>
  <c r="M45" i="32" s="1"/>
  <c r="J35" i="5"/>
  <c r="J35" i="32" s="1"/>
  <c r="J32" i="5"/>
  <c r="J32" i="32" s="1"/>
  <c r="D53" i="5"/>
  <c r="D53" i="32" s="1"/>
  <c r="H26" i="5"/>
  <c r="H26" i="32" s="1"/>
  <c r="G45" i="5"/>
  <c r="G45" i="32" s="1"/>
  <c r="N60" i="5"/>
  <c r="N60" i="32" s="1"/>
  <c r="H10" i="5"/>
  <c r="H10" i="32" s="1"/>
  <c r="D24" i="5"/>
  <c r="D24" i="32" s="1"/>
  <c r="E41" i="5"/>
  <c r="E41" i="32" s="1"/>
  <c r="M57" i="5"/>
  <c r="M57" i="32" s="1"/>
  <c r="D50" i="5"/>
  <c r="D50" i="32" s="1"/>
  <c r="G44" i="5"/>
  <c r="G44" i="32" s="1"/>
  <c r="L50" i="5"/>
  <c r="L50" i="32" s="1"/>
  <c r="C60" i="5"/>
  <c r="C60" i="32" s="1"/>
  <c r="H55" i="5"/>
  <c r="H55" i="32" s="1"/>
  <c r="C49" i="5"/>
  <c r="C49" i="32" s="1"/>
  <c r="O36" i="5"/>
  <c r="K47" i="5"/>
  <c r="K47" i="32" s="1"/>
  <c r="O38" i="5"/>
  <c r="I39" i="5"/>
  <c r="I39" i="32" s="1"/>
  <c r="F36" i="5"/>
  <c r="F36" i="32" s="1"/>
  <c r="M29" i="5"/>
  <c r="M29" i="32" s="1"/>
  <c r="K49" i="5"/>
  <c r="K49" i="32" s="1"/>
  <c r="N47" i="5"/>
  <c r="N47" i="32" s="1"/>
  <c r="F23" i="5"/>
  <c r="F23" i="32" s="1"/>
  <c r="I26" i="5"/>
  <c r="I26" i="32" s="1"/>
  <c r="N41" i="5"/>
  <c r="N41" i="32" s="1"/>
  <c r="G34" i="5"/>
  <c r="G34" i="32" s="1"/>
  <c r="F57" i="5"/>
  <c r="F57" i="32" s="1"/>
  <c r="G26" i="5"/>
  <c r="G26" i="32" s="1"/>
  <c r="N36" i="5"/>
  <c r="N36" i="32" s="1"/>
  <c r="M26" i="5"/>
  <c r="M26" i="32" s="1"/>
  <c r="I50" i="5"/>
  <c r="I50" i="32" s="1"/>
  <c r="F10" i="5"/>
  <c r="F10" i="32" s="1"/>
  <c r="G15" i="5"/>
  <c r="G15" i="32" s="1"/>
  <c r="F21" i="5"/>
  <c r="F21" i="32" s="1"/>
  <c r="C59" i="5"/>
  <c r="C59" i="32" s="1"/>
  <c r="D47" i="5"/>
  <c r="D47" i="32" s="1"/>
  <c r="E46" i="5"/>
  <c r="E46" i="32" s="1"/>
  <c r="D16" i="5"/>
  <c r="D16" i="32" s="1"/>
  <c r="K41" i="5"/>
  <c r="K41" i="32" s="1"/>
  <c r="C50" i="5"/>
  <c r="C50" i="32" s="1"/>
  <c r="N20" i="5"/>
  <c r="N20" i="32" s="1"/>
  <c r="O22" i="5"/>
  <c r="K33" i="5"/>
  <c r="K33" i="32" s="1"/>
  <c r="I44" i="5"/>
  <c r="I44" i="32" s="1"/>
  <c r="F16" i="5"/>
  <c r="F16" i="32" s="1"/>
  <c r="E48" i="5"/>
  <c r="E48" i="32" s="1"/>
  <c r="K60" i="5"/>
  <c r="K60" i="32" s="1"/>
  <c r="D25" i="5"/>
  <c r="D25" i="32" s="1"/>
  <c r="L20" i="5"/>
  <c r="L20" i="32" s="1"/>
  <c r="N19" i="5"/>
  <c r="N19" i="32" s="1"/>
  <c r="N55" i="5"/>
  <c r="N55" i="32" s="1"/>
  <c r="M58" i="5"/>
  <c r="M58" i="32" s="1"/>
  <c r="E53" i="5"/>
  <c r="E53" i="32" s="1"/>
  <c r="H38" i="5"/>
  <c r="H38" i="32" s="1"/>
  <c r="F42" i="5"/>
  <c r="F42" i="32" s="1"/>
  <c r="D31" i="5"/>
  <c r="D31" i="32" s="1"/>
  <c r="K14" i="5"/>
  <c r="K14" i="32" s="1"/>
  <c r="M18" i="5"/>
  <c r="M18" i="32" s="1"/>
  <c r="C54" i="5"/>
  <c r="C54" i="32" s="1"/>
  <c r="M17" i="5"/>
  <c r="M17" i="32" s="1"/>
  <c r="D35" i="5"/>
  <c r="D35" i="32" s="1"/>
  <c r="L25" i="5"/>
  <c r="L25" i="32" s="1"/>
  <c r="H44" i="5"/>
  <c r="H44" i="32" s="1"/>
  <c r="F50" i="5"/>
  <c r="F50" i="32" s="1"/>
  <c r="O52" i="5"/>
  <c r="L56" i="5"/>
  <c r="L56" i="32" s="1"/>
  <c r="F46" i="5"/>
  <c r="F46" i="32" s="1"/>
  <c r="I18" i="5"/>
  <c r="I18" i="32" s="1"/>
  <c r="C26" i="5"/>
  <c r="C26" i="32" s="1"/>
  <c r="G41" i="5"/>
  <c r="G41" i="32" s="1"/>
  <c r="K45" i="5"/>
  <c r="K45" i="32" s="1"/>
  <c r="K28" i="5"/>
  <c r="K28" i="32" s="1"/>
  <c r="O6" i="5"/>
  <c r="C10" i="5"/>
  <c r="C10" i="32" s="1"/>
  <c r="O7" i="5"/>
  <c r="C37" i="5"/>
  <c r="C37" i="32" s="1"/>
  <c r="H17" i="5"/>
  <c r="H17" i="32" s="1"/>
  <c r="N27" i="5"/>
  <c r="N27" i="32" s="1"/>
  <c r="F55" i="5"/>
  <c r="F55" i="32" s="1"/>
  <c r="E20" i="5"/>
  <c r="E20" i="32" s="1"/>
  <c r="L14" i="5"/>
  <c r="C32" i="5"/>
  <c r="C32" i="32" s="1"/>
  <c r="I37" i="5"/>
  <c r="I37" i="32" s="1"/>
  <c r="J29" i="5"/>
  <c r="J29" i="32" s="1"/>
  <c r="D38" i="5"/>
  <c r="D38" i="32" s="1"/>
  <c r="D44" i="5"/>
  <c r="D44" i="32" s="1"/>
  <c r="M31" i="5"/>
  <c r="M31" i="32" s="1"/>
  <c r="D15" i="5"/>
  <c r="D15" i="32" s="1"/>
  <c r="E57" i="5"/>
  <c r="E57" i="32" s="1"/>
  <c r="F17" i="5"/>
  <c r="F17" i="32" s="1"/>
  <c r="H6" i="5"/>
  <c r="D48" i="5"/>
  <c r="D48" i="32" s="1"/>
  <c r="J20" i="5"/>
  <c r="J20" i="32" s="1"/>
  <c r="G14" i="5"/>
  <c r="E18" i="5"/>
  <c r="E18" i="32" s="1"/>
  <c r="N44" i="5"/>
  <c r="N44" i="32" s="1"/>
  <c r="J24" i="5"/>
  <c r="J24" i="32" s="1"/>
  <c r="N32" i="5"/>
  <c r="N32" i="32" s="1"/>
  <c r="E16" i="5"/>
  <c r="E16" i="32" s="1"/>
  <c r="L6" i="5"/>
  <c r="C19" i="5"/>
  <c r="C19" i="32" s="1"/>
  <c r="N34" i="5"/>
  <c r="N34" i="32" s="1"/>
  <c r="N48" i="5"/>
  <c r="N48" i="32" s="1"/>
  <c r="E65" i="5"/>
  <c r="E65" i="32" s="1"/>
  <c r="D49" i="5"/>
  <c r="D49" i="32" s="1"/>
  <c r="E50" i="5"/>
  <c r="E50" i="32" s="1"/>
  <c r="H22" i="5"/>
  <c r="H22" i="32" s="1"/>
  <c r="H25" i="5"/>
  <c r="H25" i="32" s="1"/>
  <c r="K51" i="5"/>
  <c r="K51" i="32" s="1"/>
  <c r="G39" i="5"/>
  <c r="G39" i="32" s="1"/>
  <c r="N31" i="5"/>
  <c r="N31" i="32" s="1"/>
  <c r="I47" i="5"/>
  <c r="I47" i="32" s="1"/>
  <c r="O34" i="5"/>
  <c r="I21" i="5"/>
  <c r="I21" i="32" s="1"/>
  <c r="K58" i="5"/>
  <c r="K58" i="32" s="1"/>
  <c r="F54" i="5"/>
  <c r="F54" i="32" s="1"/>
  <c r="I15" i="5"/>
  <c r="I15" i="32" s="1"/>
  <c r="N39" i="5"/>
  <c r="N39" i="32" s="1"/>
  <c r="J38" i="5"/>
  <c r="J38" i="32" s="1"/>
  <c r="C58" i="5"/>
  <c r="C58" i="32" s="1"/>
  <c r="K35" i="5"/>
  <c r="K35" i="32" s="1"/>
  <c r="H15" i="5"/>
  <c r="H15" i="32" s="1"/>
  <c r="E58" i="5"/>
  <c r="E58" i="32" s="1"/>
  <c r="F28" i="5"/>
  <c r="F28" i="32" s="1"/>
  <c r="F34" i="5"/>
  <c r="F34" i="32" s="1"/>
  <c r="C9" i="5"/>
  <c r="C9" i="32" s="1"/>
  <c r="H53" i="5"/>
  <c r="H53" i="32" s="1"/>
  <c r="F20" i="5"/>
  <c r="F20" i="32" s="1"/>
  <c r="M46" i="5"/>
  <c r="M46" i="32" s="1"/>
  <c r="F30" i="5"/>
  <c r="F30" i="32" s="1"/>
  <c r="G16" i="5"/>
  <c r="G16" i="32" s="1"/>
  <c r="C15" i="5"/>
  <c r="C15" i="32" s="1"/>
  <c r="K9" i="5"/>
  <c r="K9" i="32" s="1"/>
  <c r="H48" i="5"/>
  <c r="H48" i="32" s="1"/>
  <c r="G30" i="5"/>
  <c r="G30" i="32" s="1"/>
  <c r="N49" i="5"/>
  <c r="N49" i="32" s="1"/>
  <c r="G9" i="5"/>
  <c r="G9" i="32" s="1"/>
  <c r="L34" i="5"/>
  <c r="L34" i="32" s="1"/>
  <c r="K30" i="5"/>
  <c r="K30" i="32" s="1"/>
  <c r="E14" i="5"/>
  <c r="D19" i="5"/>
  <c r="D19" i="32" s="1"/>
  <c r="E43" i="5"/>
  <c r="E43" i="32" s="1"/>
  <c r="C40" i="5"/>
  <c r="C40" i="32" s="1"/>
  <c r="K7" i="5"/>
  <c r="K7" i="32" s="1"/>
  <c r="O26" i="5"/>
  <c r="I29" i="5"/>
  <c r="I29" i="32" s="1"/>
  <c r="G57" i="5"/>
  <c r="G57" i="32" s="1"/>
  <c r="M16" i="5"/>
  <c r="M16" i="32" s="1"/>
  <c r="L47" i="5"/>
  <c r="L47" i="32" s="1"/>
  <c r="F65" i="5"/>
  <c r="F65" i="32" s="1"/>
  <c r="I57" i="5"/>
  <c r="I57" i="32" s="1"/>
  <c r="H31" i="5"/>
  <c r="H31" i="32" s="1"/>
  <c r="K16" i="5"/>
  <c r="K16" i="32" s="1"/>
  <c r="C29" i="5"/>
  <c r="C29" i="32" s="1"/>
  <c r="L59" i="5"/>
  <c r="L59" i="32" s="1"/>
  <c r="I17" i="5"/>
  <c r="I17" i="32" s="1"/>
  <c r="D40" i="5"/>
  <c r="D40" i="32" s="1"/>
  <c r="L45" i="5"/>
  <c r="L45" i="32" s="1"/>
  <c r="K59" i="5"/>
  <c r="K59" i="32" s="1"/>
  <c r="D54" i="5"/>
  <c r="D54" i="32" s="1"/>
  <c r="K18" i="5"/>
  <c r="M54" i="5"/>
  <c r="M54" i="32" s="1"/>
  <c r="H28" i="5"/>
  <c r="H28" i="32" s="1"/>
  <c r="I51" i="5"/>
  <c r="I51" i="32" s="1"/>
  <c r="H16" i="5"/>
  <c r="H16" i="32" s="1"/>
  <c r="G55" i="5"/>
  <c r="G55" i="32" s="1"/>
  <c r="L15" i="5"/>
  <c r="L15" i="32" s="1"/>
  <c r="F37" i="5"/>
  <c r="F37" i="32" s="1"/>
  <c r="I53" i="5"/>
  <c r="I53" i="32" s="1"/>
  <c r="E17" i="5"/>
  <c r="E17" i="32" s="1"/>
  <c r="J17" i="5"/>
  <c r="J17" i="32" s="1"/>
  <c r="F56" i="5"/>
  <c r="F56" i="32" s="1"/>
  <c r="G36" i="5"/>
  <c r="G36" i="32" s="1"/>
  <c r="O39" i="5"/>
  <c r="O59" i="5"/>
  <c r="G50" i="5"/>
  <c r="G50" i="32" s="1"/>
  <c r="N33" i="5"/>
  <c r="N33" i="32" s="1"/>
  <c r="C51" i="5"/>
  <c r="C51" i="32" s="1"/>
  <c r="F33" i="5"/>
  <c r="F33" i="32" s="1"/>
  <c r="J64" i="5"/>
  <c r="J64" i="32" s="1"/>
  <c r="N42" i="5"/>
  <c r="N42" i="32" s="1"/>
  <c r="O33" i="5"/>
  <c r="G65" i="5"/>
  <c r="G65" i="32" s="1"/>
  <c r="C6" i="5"/>
  <c r="L35" i="5"/>
  <c r="L35" i="32" s="1"/>
  <c r="N17" i="5"/>
  <c r="N17" i="32" s="1"/>
  <c r="J34" i="5"/>
  <c r="J34" i="32" s="1"/>
  <c r="N24" i="5"/>
  <c r="N24" i="32" s="1"/>
  <c r="E61" i="5"/>
  <c r="E61" i="32" s="1"/>
  <c r="C64" i="5"/>
  <c r="C64" i="32" s="1"/>
  <c r="I63" i="5"/>
  <c r="I63" i="32" s="1"/>
  <c r="I61" i="5"/>
  <c r="I61" i="32" s="1"/>
  <c r="G64" i="5"/>
  <c r="G64" i="32" s="1"/>
  <c r="F63" i="5"/>
  <c r="F63" i="32" s="1"/>
  <c r="G62" i="5"/>
  <c r="G62" i="32" s="1"/>
  <c r="M22" i="5"/>
  <c r="M22" i="32" s="1"/>
  <c r="M20" i="5"/>
  <c r="M20" i="32" s="1"/>
  <c r="D10" i="5"/>
  <c r="D10" i="32" s="1"/>
  <c r="G22" i="5"/>
  <c r="G22" i="32" s="1"/>
  <c r="K24" i="5"/>
  <c r="K24" i="32" s="1"/>
  <c r="F49" i="5"/>
  <c r="F49" i="32" s="1"/>
  <c r="H50" i="5"/>
  <c r="H50" i="32" s="1"/>
  <c r="H45" i="5"/>
  <c r="H45" i="32" s="1"/>
  <c r="G56" i="5"/>
  <c r="G56" i="32" s="1"/>
  <c r="O27" i="5"/>
  <c r="I40" i="5"/>
  <c r="I40" i="32" s="1"/>
  <c r="E63" i="5"/>
  <c r="E63" i="32" s="1"/>
  <c r="J79" i="32"/>
  <c r="J67" i="32" s="1"/>
  <c r="F99" i="32"/>
  <c r="O97" i="32"/>
  <c r="O99" i="32" s="1"/>
  <c r="L61" i="5"/>
  <c r="L61" i="32" s="1"/>
  <c r="E64" i="5"/>
  <c r="E64" i="32" s="1"/>
  <c r="H51" i="5"/>
  <c r="H51" i="32" s="1"/>
  <c r="O30" i="5"/>
  <c r="J43" i="5"/>
  <c r="J43" i="32" s="1"/>
  <c r="I54" i="5"/>
  <c r="I54" i="32" s="1"/>
  <c r="O15" i="5"/>
  <c r="I65" i="5"/>
  <c r="I65" i="32" s="1"/>
  <c r="D23" i="5"/>
  <c r="D23" i="32" s="1"/>
  <c r="I62" i="5"/>
  <c r="I62" i="32" s="1"/>
  <c r="F61" i="5"/>
  <c r="F61" i="32" s="1"/>
  <c r="D61" i="5"/>
  <c r="D61" i="32" s="1"/>
  <c r="N64" i="5"/>
  <c r="N64" i="32" s="1"/>
  <c r="J62" i="5"/>
  <c r="J62" i="32" s="1"/>
  <c r="C62" i="5"/>
  <c r="C62" i="32" s="1"/>
  <c r="O61" i="5"/>
  <c r="J63" i="5"/>
  <c r="J63" i="32" s="1"/>
  <c r="H42" i="5"/>
  <c r="H42" i="32" s="1"/>
  <c r="L49" i="5"/>
  <c r="L49" i="32" s="1"/>
  <c r="J42" i="5"/>
  <c r="J42" i="32" s="1"/>
  <c r="L9" i="5"/>
  <c r="L9" i="32" s="1"/>
  <c r="O20" i="5"/>
  <c r="L28" i="5"/>
  <c r="L28" i="32" s="1"/>
  <c r="M14" i="5"/>
  <c r="F32" i="5"/>
  <c r="F32" i="32" s="1"/>
  <c r="D7" i="5"/>
  <c r="D7" i="32" s="1"/>
  <c r="G10" i="5"/>
  <c r="G10" i="32" s="1"/>
  <c r="C65" i="5"/>
  <c r="C65" i="32" s="1"/>
  <c r="M94" i="32"/>
  <c r="O92" i="32"/>
  <c r="O94" i="32" s="1"/>
  <c r="F18" i="5"/>
  <c r="F18" i="32" s="1"/>
  <c r="F64" i="5"/>
  <c r="F64" i="32" s="1"/>
  <c r="O62" i="5"/>
  <c r="K32" i="5"/>
  <c r="K32" i="32" s="1"/>
  <c r="F6" i="5"/>
  <c r="E42" i="5"/>
  <c r="E42" i="32" s="1"/>
  <c r="M49" i="5"/>
  <c r="M49" i="32" s="1"/>
  <c r="G48" i="5"/>
  <c r="G48" i="32" s="1"/>
  <c r="G17" i="5"/>
  <c r="G17" i="32" s="1"/>
  <c r="O9" i="5"/>
  <c r="M63" i="5"/>
  <c r="M63" i="32" s="1"/>
  <c r="D59" i="5"/>
  <c r="D59" i="32" s="1"/>
  <c r="O64" i="5"/>
  <c r="M64" i="5"/>
  <c r="M64" i="32" s="1"/>
  <c r="H63" i="5"/>
  <c r="H63" i="32" s="1"/>
  <c r="E62" i="5"/>
  <c r="E62" i="32" s="1"/>
  <c r="O63" i="5"/>
  <c r="C63" i="5"/>
  <c r="C63" i="32" s="1"/>
  <c r="L18" i="5"/>
  <c r="L18" i="32" s="1"/>
  <c r="M42" i="5"/>
  <c r="M42" i="32" s="1"/>
  <c r="M56" i="5"/>
  <c r="M56" i="32" s="1"/>
  <c r="H19" i="5"/>
  <c r="H19" i="32" s="1"/>
  <c r="L17" i="5"/>
  <c r="L17" i="32" s="1"/>
  <c r="G49" i="5"/>
  <c r="G49" i="32" s="1"/>
  <c r="D52" i="5"/>
  <c r="D52" i="32" s="1"/>
  <c r="C17" i="5"/>
  <c r="C17" i="32" s="1"/>
  <c r="I33" i="5"/>
  <c r="I33" i="32" s="1"/>
  <c r="E47" i="5"/>
  <c r="E47" i="32" s="1"/>
  <c r="C34" i="5"/>
  <c r="C34" i="32" s="1"/>
  <c r="O71" i="32"/>
  <c r="C73" i="32"/>
  <c r="C67" i="32" s="1"/>
  <c r="L67" i="32"/>
  <c r="O75" i="32"/>
  <c r="D63" i="5"/>
  <c r="D63" i="32" s="1"/>
  <c r="H64" i="5"/>
  <c r="H64" i="32" s="1"/>
  <c r="G35" i="5"/>
  <c r="G35" i="32" s="1"/>
  <c r="F51" i="5"/>
  <c r="F51" i="32" s="1"/>
  <c r="O44" i="5"/>
  <c r="I56" i="5"/>
  <c r="I56" i="32" s="1"/>
  <c r="F47" i="5"/>
  <c r="F47" i="32" s="1"/>
  <c r="G28" i="5"/>
  <c r="G28" i="32" s="1"/>
  <c r="F22" i="5"/>
  <c r="F22" i="32" s="1"/>
  <c r="K62" i="5"/>
  <c r="K62" i="32" s="1"/>
  <c r="G63" i="5"/>
  <c r="G63" i="32" s="1"/>
  <c r="L63" i="5"/>
  <c r="L63" i="32" s="1"/>
  <c r="N63" i="5"/>
  <c r="N63" i="32" s="1"/>
  <c r="D62" i="5"/>
  <c r="D62" i="32" s="1"/>
  <c r="M62" i="5"/>
  <c r="M62" i="32" s="1"/>
  <c r="L64" i="5"/>
  <c r="L64" i="32" s="1"/>
  <c r="J61" i="5"/>
  <c r="J61" i="32" s="1"/>
  <c r="H35" i="5"/>
  <c r="H35" i="32" s="1"/>
  <c r="N43" i="5"/>
  <c r="N43" i="32" s="1"/>
  <c r="F41" i="5"/>
  <c r="F41" i="32" s="1"/>
  <c r="C56" i="5"/>
  <c r="C56" i="32" s="1"/>
  <c r="N22" i="5"/>
  <c r="N22" i="32" s="1"/>
  <c r="M15" i="5"/>
  <c r="M15" i="32" s="1"/>
  <c r="C33" i="5"/>
  <c r="C33" i="32" s="1"/>
  <c r="G25" i="5"/>
  <c r="G25" i="32" s="1"/>
  <c r="G52" i="5"/>
  <c r="G52" i="32" s="1"/>
  <c r="K38" i="5"/>
  <c r="K38" i="32" s="1"/>
  <c r="M73" i="32"/>
  <c r="M67" i="32" s="1"/>
  <c r="O69" i="32"/>
  <c r="O73" i="32" s="1"/>
  <c r="O77" i="32"/>
  <c r="O8" i="5" l="1"/>
  <c r="O5" i="5" s="1"/>
  <c r="O12" i="5" s="1"/>
  <c r="O81" i="5" s="1"/>
  <c r="O54" i="32"/>
  <c r="O47" i="32"/>
  <c r="O51" i="32"/>
  <c r="O19" i="32"/>
  <c r="O35" i="32"/>
  <c r="O22" i="32"/>
  <c r="O16" i="32"/>
  <c r="H8" i="5"/>
  <c r="H5" i="5" s="1"/>
  <c r="H12" i="5" s="1"/>
  <c r="H6" i="32"/>
  <c r="H8" i="32" s="1"/>
  <c r="H5" i="32" s="1"/>
  <c r="H12" i="32" s="1"/>
  <c r="H81" i="32" s="1"/>
  <c r="C14" i="32"/>
  <c r="C13" i="5"/>
  <c r="D14" i="32"/>
  <c r="D13" i="32" s="1"/>
  <c r="D13" i="5"/>
  <c r="G3" i="10" s="1" a="1"/>
  <c r="G3" i="10" s="1"/>
  <c r="O55" i="32"/>
  <c r="J14" i="32"/>
  <c r="J13" i="32" s="1"/>
  <c r="J13" i="5"/>
  <c r="I6" i="32"/>
  <c r="I8" i="32" s="1"/>
  <c r="I5" i="32" s="1"/>
  <c r="I12" i="32" s="1"/>
  <c r="I81" i="32" s="1"/>
  <c r="I8" i="5"/>
  <c r="I5" i="5" s="1"/>
  <c r="I12" i="5" s="1"/>
  <c r="O21" i="32"/>
  <c r="O41" i="32"/>
  <c r="K6" i="32"/>
  <c r="K8" i="32" s="1"/>
  <c r="K5" i="32" s="1"/>
  <c r="K12" i="32" s="1"/>
  <c r="K81" i="32" s="1"/>
  <c r="K8" i="5"/>
  <c r="K5" i="5" s="1"/>
  <c r="K12" i="5" s="1"/>
  <c r="O17" i="32"/>
  <c r="O63" i="32"/>
  <c r="O65" i="32"/>
  <c r="M13" i="5"/>
  <c r="P3" i="10" s="1" a="1"/>
  <c r="P3" i="10" s="1"/>
  <c r="M14" i="32"/>
  <c r="M13" i="32" s="1"/>
  <c r="O42" i="32"/>
  <c r="O64" i="32"/>
  <c r="O29" i="32"/>
  <c r="O50" i="32"/>
  <c r="G14" i="32"/>
  <c r="G13" i="32" s="1"/>
  <c r="G13" i="5"/>
  <c r="O32" i="32"/>
  <c r="O39" i="32"/>
  <c r="O49" i="32"/>
  <c r="O52" i="32"/>
  <c r="M6" i="32"/>
  <c r="M8" i="32" s="1"/>
  <c r="M5" i="32" s="1"/>
  <c r="M12" i="32" s="1"/>
  <c r="M81" i="32" s="1"/>
  <c r="M8" i="5"/>
  <c r="M5" i="5" s="1"/>
  <c r="M12" i="5" s="1"/>
  <c r="O7" i="32"/>
  <c r="O45" i="32"/>
  <c r="O43" i="32"/>
  <c r="I14" i="32"/>
  <c r="I13" i="5"/>
  <c r="L3" i="10" s="1" a="1"/>
  <c r="L3" i="10" s="1"/>
  <c r="O44" i="32"/>
  <c r="O9" i="32"/>
  <c r="O26" i="32"/>
  <c r="O23" i="32"/>
  <c r="F14" i="32"/>
  <c r="F13" i="32" s="1"/>
  <c r="F13" i="5"/>
  <c r="I3" i="10" s="1" a="1"/>
  <c r="I3" i="10" s="1"/>
  <c r="O27" i="32"/>
  <c r="O53" i="32"/>
  <c r="I13" i="32"/>
  <c r="O57" i="32"/>
  <c r="O30" i="32"/>
  <c r="O33" i="32"/>
  <c r="O79" i="32"/>
  <c r="O67" i="32" s="1"/>
  <c r="O34" i="32"/>
  <c r="O56" i="32"/>
  <c r="F6" i="32"/>
  <c r="F8" i="32" s="1"/>
  <c r="F5" i="32" s="1"/>
  <c r="F12" i="32" s="1"/>
  <c r="F81" i="32" s="1"/>
  <c r="F8" i="5"/>
  <c r="F5" i="5" s="1"/>
  <c r="F12" i="5" s="1"/>
  <c r="O62" i="32"/>
  <c r="K13" i="5"/>
  <c r="N3" i="10" s="1" a="1"/>
  <c r="N3" i="10" s="1"/>
  <c r="K18" i="32"/>
  <c r="K13" i="32" s="1"/>
  <c r="L14" i="32"/>
  <c r="L13" i="32" s="1"/>
  <c r="L13" i="5"/>
  <c r="O3" i="10" s="1" a="1"/>
  <c r="O3" i="10" s="1"/>
  <c r="O46" i="32"/>
  <c r="O48" i="32"/>
  <c r="C6" i="32"/>
  <c r="C8" i="5"/>
  <c r="C5" i="5" s="1"/>
  <c r="C12" i="5" s="1"/>
  <c r="C81" i="5" s="1"/>
  <c r="E14" i="32"/>
  <c r="E13" i="32" s="1"/>
  <c r="E13" i="5"/>
  <c r="O15" i="32"/>
  <c r="L6" i="32"/>
  <c r="L8" i="32" s="1"/>
  <c r="L5" i="32" s="1"/>
  <c r="L12" i="32" s="1"/>
  <c r="L8" i="5"/>
  <c r="L5" i="5" s="1"/>
  <c r="L12" i="5" s="1"/>
  <c r="O37" i="32"/>
  <c r="O10" i="32"/>
  <c r="O60" i="32"/>
  <c r="O58" i="32"/>
  <c r="E6" i="32"/>
  <c r="E8" i="32" s="1"/>
  <c r="E5" i="32" s="1"/>
  <c r="E12" i="32" s="1"/>
  <c r="E81" i="32" s="1"/>
  <c r="E8" i="5"/>
  <c r="E5" i="5" s="1"/>
  <c r="E12" i="5" s="1"/>
  <c r="E81" i="5" s="1"/>
  <c r="O36" i="32"/>
  <c r="O24" i="32"/>
  <c r="N14" i="32"/>
  <c r="N13" i="32" s="1"/>
  <c r="N13" i="5"/>
  <c r="Q3" i="10" s="1" a="1"/>
  <c r="Q3" i="10" s="1"/>
  <c r="O31" i="32"/>
  <c r="O20" i="32"/>
  <c r="O25" i="32"/>
  <c r="O13" i="5"/>
  <c r="G6" i="32"/>
  <c r="G8" i="32" s="1"/>
  <c r="G5" i="32" s="1"/>
  <c r="G12" i="32" s="1"/>
  <c r="G81" i="32" s="1"/>
  <c r="G8" i="5"/>
  <c r="G5" i="5" s="1"/>
  <c r="G12" i="5" s="1"/>
  <c r="G81" i="5" s="1"/>
  <c r="J6" i="32"/>
  <c r="J8" i="32" s="1"/>
  <c r="J5" i="32" s="1"/>
  <c r="J12" i="32" s="1"/>
  <c r="J8" i="5"/>
  <c r="J5" i="5" s="1"/>
  <c r="J12" i="5" s="1"/>
  <c r="J81" i="5" s="1"/>
  <c r="O59" i="32"/>
  <c r="O61" i="32"/>
  <c r="O28" i="32"/>
  <c r="O38" i="32"/>
  <c r="O40" i="32"/>
  <c r="N6" i="32"/>
  <c r="N8" i="32" s="1"/>
  <c r="N5" i="32" s="1"/>
  <c r="N12" i="32" s="1"/>
  <c r="N81" i="32" s="1"/>
  <c r="N8" i="5"/>
  <c r="N5" i="5" s="1"/>
  <c r="N12" i="5" s="1"/>
  <c r="H14" i="32"/>
  <c r="H13" i="32" s="1"/>
  <c r="H66" i="32" s="1"/>
  <c r="H80" i="32" s="1"/>
  <c r="H13" i="5"/>
  <c r="K3" i="10" s="1" a="1"/>
  <c r="K3" i="10" s="1"/>
  <c r="D6" i="32"/>
  <c r="D8" i="32" s="1"/>
  <c r="D5" i="32" s="1"/>
  <c r="D12" i="32" s="1"/>
  <c r="D81" i="32" s="1"/>
  <c r="D8" i="5"/>
  <c r="D5" i="5" s="1"/>
  <c r="D12" i="5" s="1"/>
  <c r="K66" i="32" l="1"/>
  <c r="K80" i="32" s="1"/>
  <c r="O66" i="5"/>
  <c r="O80" i="5" s="1"/>
  <c r="E66" i="32"/>
  <c r="E80" i="32" s="1"/>
  <c r="I66" i="32"/>
  <c r="I80" i="32" s="1"/>
  <c r="F66" i="32"/>
  <c r="F80" i="32" s="1"/>
  <c r="J66" i="32"/>
  <c r="J80" i="32" s="1"/>
  <c r="J81" i="32"/>
  <c r="O6" i="32"/>
  <c r="O8" i="32" s="1"/>
  <c r="O5" i="32" s="1"/>
  <c r="O12" i="32" s="1"/>
  <c r="O81" i="32" s="1"/>
  <c r="C8" i="32"/>
  <c r="C5" i="32" s="1"/>
  <c r="C12" i="32" s="1"/>
  <c r="O18" i="32"/>
  <c r="M66" i="5"/>
  <c r="M80" i="5" s="1"/>
  <c r="M81" i="5"/>
  <c r="M66" i="32"/>
  <c r="M80" i="32" s="1"/>
  <c r="J66" i="5"/>
  <c r="J80" i="5" s="1"/>
  <c r="M3" i="10" a="1"/>
  <c r="M3" i="10" s="1"/>
  <c r="G66" i="32"/>
  <c r="G80" i="32" s="1"/>
  <c r="C13" i="32"/>
  <c r="O14" i="32"/>
  <c r="H81" i="5"/>
  <c r="H66" i="5"/>
  <c r="H80" i="5" s="1"/>
  <c r="D81" i="5"/>
  <c r="D66" i="5"/>
  <c r="D80" i="5" s="1"/>
  <c r="N81" i="5"/>
  <c r="N66" i="5"/>
  <c r="N80" i="5" s="1"/>
  <c r="N66" i="32"/>
  <c r="N80" i="32" s="1"/>
  <c r="E66" i="5"/>
  <c r="E80" i="5" s="1"/>
  <c r="H3" i="10" a="1"/>
  <c r="H3" i="10" s="1"/>
  <c r="F66" i="5"/>
  <c r="F80" i="5" s="1"/>
  <c r="F81" i="5"/>
  <c r="D66" i="32"/>
  <c r="D80" i="32" s="1"/>
  <c r="L81" i="32"/>
  <c r="L66" i="32"/>
  <c r="L80" i="32" s="1"/>
  <c r="L81" i="5"/>
  <c r="L66" i="5"/>
  <c r="L80" i="5" s="1"/>
  <c r="G66" i="5"/>
  <c r="G80" i="5" s="1"/>
  <c r="J3" i="10" a="1"/>
  <c r="J3" i="10" s="1"/>
  <c r="K66" i="5"/>
  <c r="K80" i="5" s="1"/>
  <c r="K81" i="5"/>
  <c r="I81" i="5"/>
  <c r="I66" i="5"/>
  <c r="I80" i="5" s="1"/>
  <c r="C66" i="5"/>
  <c r="C80" i="5" s="1"/>
  <c r="F3" i="10" a="1"/>
  <c r="F3" i="10" s="1"/>
  <c r="O13" i="32" l="1"/>
  <c r="O66" i="32" s="1"/>
  <c r="O80" i="32" s="1"/>
  <c r="C66" i="32"/>
  <c r="C80" i="32" s="1"/>
  <c r="C81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02E8E91C-2BEF-485D-A857-EC3B5EDF91A5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F28BF0FA-DDE9-48BA-99D1-5B14E7F6E66D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<sst xmlns="http://schemas.openxmlformats.org/spreadsheetml/2006/main" count="1756" uniqueCount="802">
  <si>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</si>
  <si>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</si>
  <si>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</si>
  <si>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</si>
  <si>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</si>
  <si>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</si>
  <si>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</si>
  <si>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</si>
  <si>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</si>
  <si>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</si>
  <si>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</si>
  <si>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</si>
  <si>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</si>
  <si>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</si>
  <si>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</si>
  <si>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</si>
  <si>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</si>
  <si>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</si>
  <si>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</si>
  <si>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</si>
  <si>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</si>
  <si>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</si>
  <si>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</si>
  <si>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</si>
  <si>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</si>
  <si>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</si>
  <si>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</si>
  <si>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</si>
  <si>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</si>
  <si>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</si>
  <si>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</si>
  <si>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</si>
  <si>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</si>
  <si>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</si>
  <si>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</si>
  <si>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</si>
  <si>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</si>
  <si>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</si>
  <si>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</si>
  <si>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</si>
  <si>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</si>
  <si>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</si>
  <si>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</si>
  <si>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</si>
  <si>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</si>
  <si>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</si>
  <si>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</si>
  <si>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</si>
  <si>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</si>
  <si>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</si>
  <si>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</si>
  <si>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</si>
  <si>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</si>
  <si>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</si>
  <si>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</si>
  <si>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</si>
  <si>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</si>
  <si>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</si>
  <si>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</si>
  <si>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</si>
  <si>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</si>
  <si>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</si>
  <si>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</si>
  <si>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</si>
  <si>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</si>
  <si>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</si>
  <si>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</si>
  <si>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</si>
  <si>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</si>
  <si>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</si>
  <si>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</si>
  <si>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</si>
  <si>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</si>
  <si>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</si>
  <si>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</si>
  <si>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</si>
  <si>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</si>
  <si>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</si>
  <si>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</si>
  <si>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</si>
  <si>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</si>
  <si>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</si>
  <si>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</si>
  <si>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</si>
  <si>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</si>
  <si>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</si>
  <si>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</si>
  <si>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</si>
  <si>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</si>
  <si>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</si>
  <si>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</si>
  <si>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</si>
  <si>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</si>
  <si>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</si>
  <si>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</si>
  <si>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</si>
  <si>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</si>
  <si>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</si>
  <si>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</si>
  <si>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</si>
  <si>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</si>
  <si>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</si>
  <si>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</si>
  <si>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</si>
  <si>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</si>
  <si>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</si>
  <si>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</si>
  <si>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</si>
  <si>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</si>
  <si>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</si>
  <si>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</si>
  <si>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</si>
  <si>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</si>
  <si>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</si>
  <si>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</si>
  <si>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</si>
  <si>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</si>
  <si>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</si>
  <si>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</si>
  <si>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</si>
  <si>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</si>
  <si>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</si>
  <si>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</si>
  <si>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</si>
  <si>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</si>
  <si>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</si>
  <si>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</si>
  <si>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</si>
  <si>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</si>
  <si>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</si>
  <si>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</si>
  <si>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</si>
  <si>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</si>
  <si>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</si>
  <si>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</si>
  <si>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</si>
  <si>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</si>
  <si>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</si>
  <si>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</si>
  <si>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</si>
  <si>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</si>
  <si>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</si>
  <si>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</si>
  <si>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</si>
  <si>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</si>
  <si>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</si>
  <si>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</si>
  <si>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</si>
  <si>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</si>
  <si>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</si>
  <si>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</si>
  <si>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</si>
  <si>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</si>
  <si>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</si>
  <si>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</si>
  <si>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</si>
  <si>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</si>
  <si>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</si>
  <si>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</si>
  <si>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</si>
  <si>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</si>
  <si>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</si>
  <si>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</si>
  <si>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</si>
  <si>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</si>
  <si>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</si>
  <si>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</si>
  <si>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</si>
  <si>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</si>
  <si>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</si>
  <si>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</si>
  <si>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</si>
  <si>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</si>
  <si>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</si>
  <si>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</si>
  <si>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</si>
  <si>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</si>
  <si>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</si>
  <si>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</si>
  <si>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</si>
  <si>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</si>
  <si>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</si>
  <si>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</si>
  <si>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</si>
  <si>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</si>
  <si>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</si>
  <si>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</si>
  <si>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</si>
  <si>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</si>
  <si>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</si>
  <si>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</si>
  <si>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</si>
  <si>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</si>
  <si>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</si>
  <si>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</si>
  <si>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</si>
  <si>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</si>
  <si>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</si>
  <si>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</si>
  <si>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</si>
  <si>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</si>
  <si>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</si>
  <si>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</si>
  <si>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</si>
  <si>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</si>
  <si>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</si>
  <si>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</si>
  <si>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</si>
  <si>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</si>
  <si>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</si>
  <si>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</si>
  <si>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</si>
  <si>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</si>
  <si>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</si>
  <si>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</si>
  <si>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</si>
  <si>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</si>
  <si>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</si>
  <si>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</si>
  <si>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</si>
  <si>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</si>
  <si>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</si>
  <si>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</si>
  <si>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</si>
  <si>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</si>
  <si>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</si>
  <si>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</si>
  <si>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</si>
  <si>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</si>
  <si>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</si>
  <si>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</si>
  <si>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</si>
  <si>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</si>
  <si>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</si>
  <si>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</si>
  <si>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</si>
  <si>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</si>
  <si>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</si>
  <si>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</si>
  <si>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</si>
  <si>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</si>
  <si>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</si>
  <si>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</si>
  <si>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</si>
  <si>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</si>
  <si>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</si>
  <si>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</si>
  <si>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</si>
  <si>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</si>
  <si>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</si>
  <si>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</si>
  <si>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</si>
  <si>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</si>
  <si>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</si>
  <si>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</si>
  <si>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</si>
  <si>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</si>
  <si>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</si>
  <si>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</si>
  <si>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</si>
  <si>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</si>
  <si>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</si>
  <si>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</si>
  <si>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</si>
  <si>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</si>
  <si>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</si>
  <si>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</si>
  <si>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</si>
  <si>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</si>
  <si>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</si>
  <si>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</si>
  <si>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</si>
  <si>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</si>
  <si>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</si>
  <si>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</si>
  <si>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</si>
  <si>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</si>
  <si>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</si>
  <si>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</si>
  <si>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</si>
  <si>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</si>
  <si>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</si>
  <si>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</si>
  <si>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</si>
  <si>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</si>
  <si>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</si>
  <si>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</si>
  <si>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</si>
  <si>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</si>
  <si>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</si>
  <si>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</si>
  <si>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</si>
  <si>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</si>
  <si>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</si>
  <si>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</si>
  <si>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</si>
  <si>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</si>
  <si>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</si>
  <si>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</si>
  <si>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</si>
  <si>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</si>
  <si>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</si>
  <si>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</si>
  <si>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</si>
  <si>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</si>
  <si>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</si>
  <si>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</si>
  <si>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</si>
  <si>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</si>
  <si>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</si>
  <si>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</si>
  <si>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</si>
  <si>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</si>
  <si>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</si>
  <si>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</si>
  <si>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</si>
  <si>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</si>
  <si>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</si>
  <si>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</si>
  <si>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</si>
  <si>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</si>
  <si>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</si>
  <si>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</si>
  <si>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</si>
  <si>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</si>
  <si>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</si>
  <si>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</si>
  <si>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</si>
  <si>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</si>
  <si>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</si>
  <si>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</si>
  <si>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</si>
  <si>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</si>
  <si>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</si>
  <si>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</si>
  <si>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</si>
  <si>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</si>
  <si>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</si>
  <si>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</si>
  <si>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</si>
  <si>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</si>
  <si>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</si>
  <si>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</si>
  <si>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</si>
  <si>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</si>
  <si>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</si>
  <si>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</si>
  <si>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</si>
  <si>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</si>
  <si>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</si>
  <si>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</si>
  <si>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</si>
  <si>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</si>
  <si>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</si>
  <si>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</si>
  <si>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</si>
  <si>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</si>
  <si>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</si>
  <si>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</si>
  <si>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</si>
  <si>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</si>
  <si>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</si>
  <si>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</si>
  <si>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</si>
  <si>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</si>
  <si>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</si>
  <si>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</si>
  <si>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</si>
  <si>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</si>
  <si>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</si>
  <si>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</si>
  <si>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</si>
  <si>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</si>
  <si>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</si>
  <si>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</si>
  <si>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</si>
  <si>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</si>
  <si>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</si>
  <si>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</si>
  <si>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</si>
  <si>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</si>
  <si>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</si>
  <si>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</si>
  <si>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</si>
  <si>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</si>
  <si>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</si>
  <si>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</si>
  <si>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</si>
  <si>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</si>
  <si>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</si>
  <si>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</si>
  <si>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</si>
  <si>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</si>
  <si>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</si>
  <si>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</si>
  <si>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</si>
  <si>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</si>
  <si>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</si>
  <si>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</si>
  <si>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</si>
  <si>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</si>
  <si>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</si>
  <si>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</si>
  <si>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</si>
  <si>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</si>
  <si>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</si>
  <si>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</si>
  <si>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</si>
  <si>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</si>
  <si>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</si>
  <si>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</si>
  <si>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</si>
  <si>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</si>
  <si>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</si>
  <si>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</si>
  <si>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</si>
  <si>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</si>
  <si>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</si>
  <si>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</si>
  <si>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</si>
  <si>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</si>
  <si>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</si>
  <si>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</si>
  <si>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</si>
  <si>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</si>
  <si>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</si>
  <si>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</si>
  <si>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</si>
  <si>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</si>
  <si>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</si>
  <si>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</si>
  <si>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</si>
  <si>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</si>
  <si>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</si>
  <si>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</si>
  <si>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</si>
  <si>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</si>
  <si>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</si>
  <si>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</si>
  <si>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</si>
  <si>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</si>
  <si>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</si>
  <si>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</si>
  <si>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</si>
  <si>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</si>
  <si>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</si>
  <si>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</si>
  <si>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</si>
  <si>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</si>
  <si>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</si>
  <si>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</si>
  <si>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</si>
  <si>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</si>
  <si>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</si>
  <si>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</si>
  <si>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</si>
  <si>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</si>
  <si>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</si>
  <si>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</si>
  <si>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</si>
  <si>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</si>
  <si>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</si>
  <si>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</si>
  <si>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</si>
  <si>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</si>
  <si>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</si>
  <si>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</si>
  <si>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</si>
  <si>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</si>
  <si>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</si>
  <si>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</si>
  <si>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</si>
  <si>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</si>
  <si>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</si>
  <si>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</si>
  <si>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</si>
  <si>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</si>
  <si>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</si>
  <si>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</si>
  <si>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</si>
  <si>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</si>
  <si>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</si>
  <si>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</si>
  <si>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</si>
  <si>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</si>
  <si>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</si>
  <si>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</si>
  <si>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</si>
  <si>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</si>
  <si>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</si>
  <si>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</si>
  <si>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</si>
  <si>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</si>
  <si>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</si>
  <si>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</si>
  <si>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</si>
  <si>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</si>
  <si>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</si>
  <si>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</si>
  <si>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</si>
  <si>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</si>
  <si>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</si>
  <si>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</si>
  <si>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</si>
  <si>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</si>
  <si>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</si>
  <si>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</si>
  <si>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</si>
  <si>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</si>
  <si>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</si>
  <si>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</si>
  <si>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</si>
  <si>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</si>
  <si>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</si>
  <si>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</si>
  <si>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</si>
  <si>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</si>
  <si>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</si>
  <si>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</si>
  <si>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</si>
  <si>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</si>
  <si>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</si>
  <si>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</si>
  <si>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</si>
  <si>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</si>
  <si>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</si>
  <si>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</si>
  <si>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</si>
  <si>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</si>
  <si>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</si>
  <si>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</si>
  <si>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</si>
  <si>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</si>
  <si>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</si>
  <si>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</si>
  <si>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</si>
  <si>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</si>
  <si>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</si>
  <si>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</si>
  <si>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</si>
  <si>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</si>
  <si>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</si>
  <si>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</si>
  <si>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</si>
  <si>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</si>
  <si>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</si>
  <si>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</si>
  <si>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</si>
  <si>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</si>
  <si>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</si>
  <si>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</si>
  <si>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</si>
  <si>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</si>
  <si>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</si>
  <si>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</si>
  <si>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</si>
  <si>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</si>
  <si>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</si>
  <si>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</si>
  <si>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</si>
  <si>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</si>
  <si>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</si>
  <si>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</si>
  <si>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</si>
  <si>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</si>
  <si>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</si>
  <si>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</si>
  <si>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</si>
  <si>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</si>
  <si>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</si>
  <si>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</si>
  <si>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</si>
  <si>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</si>
  <si>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</si>
  <si>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</si>
  <si>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</si>
  <si>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</si>
  <si>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</si>
  <si>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</si>
  <si>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</si>
  <si>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</si>
  <si>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</si>
  <si>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</si>
  <si>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</si>
  <si>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</si>
  <si>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</si>
  <si>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</si>
  <si>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</si>
  <si>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</si>
  <si>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</si>
  <si>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</si>
  <si>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</si>
  <si>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</si>
  <si>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</si>
  <si>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</si>
  <si>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</si>
  <si>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</si>
  <si>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</si>
  <si>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</si>
  <si>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</si>
  <si>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</si>
  <si>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</si>
  <si>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</si>
  <si>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</si>
  <si>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</si>
  <si>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</si>
  <si>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</si>
  <si>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</si>
  <si>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</si>
  <si>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</si>
  <si>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</si>
  <si>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</si>
  <si>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</si>
  <si>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</si>
  <si>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</si>
  <si>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</si>
  <si>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</si>
  <si>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</si>
  <si>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</si>
  <si>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</si>
  <si>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</si>
  <si>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</si>
  <si>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</si>
  <si>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</si>
  <si>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</si>
  <si>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</si>
  <si>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</si>
  <si>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</si>
  <si>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</si>
  <si>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</si>
  <si>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</si>
  <si>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</si>
  <si>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</si>
  <si>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</si>
  <si>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</si>
  <si>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</si>
  <si>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</si>
  <si>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</si>
  <si>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</si>
  <si>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</si>
  <si>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</si>
  <si>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</si>
  <si>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</si>
  <si>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</si>
  <si>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</si>
  <si>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</si>
  <si>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</si>
  <si>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</si>
  <si>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</si>
  <si>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</si>
  <si>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</si>
  <si>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</si>
  <si>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</si>
  <si>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</si>
  <si>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</si>
  <si>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</si>
  <si>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</si>
  <si>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</si>
  <si>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</si>
  <si>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</si>
  <si>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</si>
  <si>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</si>
  <si>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</si>
  <si>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</si>
  <si>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</si>
  <si>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</si>
  <si>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</si>
  <si>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</si>
  <si>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</si>
  <si>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</si>
  <si>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</si>
  <si>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</si>
  <si>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</si>
  <si>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</si>
  <si>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</si>
  <si>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</si>
  <si>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</si>
  <si>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</si>
  <si>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</si>
  <si>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</si>
  <si>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</si>
  <si>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</si>
  <si>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</si>
  <si>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</si>
  <si>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</si>
  <si>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</si>
  <si>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</si>
  <si>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</si>
  <si>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</si>
  <si>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</si>
  <si>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</si>
  <si>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Chênh lệch giá nguyên vật liệu mua vào FY2024   毎年4月のみ発生</t>
  </si>
  <si>
    <t>IRIS2020ベトナム向け部品トライ (wang ying san-KDTCN機構部品技術部)</t>
  </si>
  <si>
    <t>IRIS 2020 VN金型部品認定の緊急対応 (Tangping san-KDTCN部品品質管理部)</t>
  </si>
  <si>
    <t>機械装置</t>
  </si>
  <si>
    <t>減価償却費（製）　車輌運搬具Mua xe nâng điện NLP (sơn)</t>
  </si>
  <si>
    <t>工具器具備品</t>
  </si>
  <si>
    <t>その 他 (Tn-2)</t>
  </si>
  <si>
    <t xml:space="preserve"> （生産技術-Nakagawa)</t>
  </si>
  <si>
    <t>(Tháng n)  FIX ASSETS ( Mr Hajimoto)</t>
  </si>
  <si>
    <t>(Tháng n-1) FIX ASSETS ( Mr Hajimoto)</t>
  </si>
  <si>
    <t xml:space="preserve">(Tháng n-2) 金型償却費 </t>
  </si>
  <si>
    <t>機械装置金利</t>
  </si>
  <si>
    <t>金型金利 (N-2)</t>
  </si>
  <si>
    <t>工具器具備品 金利</t>
  </si>
  <si>
    <t>その他金利</t>
  </si>
  <si>
    <t xml:space="preserve">(Tháng n-1)金型金利　Mr Hajimoto </t>
  </si>
  <si>
    <t>工具器具備品 （生産技術-Nakagawa)</t>
  </si>
  <si>
    <t>消耗金型費 Mould budget for  EXPENSE (Khuôn)</t>
  </si>
  <si>
    <t>Repair mould budget Tháng n (Khuôn)</t>
  </si>
  <si>
    <t>Supplies (P)- Hajimoto (Khuôn)</t>
  </si>
  <si>
    <t>DOM IMP-EXP</t>
  </si>
  <si>
    <t xml:space="preserve">AIR IMP </t>
  </si>
  <si>
    <t>SEA IMP</t>
  </si>
  <si>
    <t>AIR EXP</t>
  </si>
  <si>
    <t xml:space="preserve">SEA EXP </t>
  </si>
  <si>
    <t>COURIER IMP-EXP</t>
  </si>
  <si>
    <t>生産ライン用備品 Công dụng cụ chế tạo</t>
  </si>
  <si>
    <t>社内出庫 (Mua bán nội bộ)</t>
  </si>
  <si>
    <t>Oricon</t>
  </si>
  <si>
    <t>計測器の校正 (Hiệu chuẩn chế tạo)</t>
  </si>
  <si>
    <t>計測器の修理 (Sửa chữa chế tạo)</t>
  </si>
  <si>
    <t>生産用文房具製造 (Văn phòng phẩm chế tạo)</t>
  </si>
  <si>
    <t>生産用副資材   (NLP MAI)</t>
  </si>
  <si>
    <t>生産用消耗品費 (NLP MAI)</t>
  </si>
  <si>
    <t>* 手袋 （副資材の (NLP MAI)</t>
  </si>
  <si>
    <t>* マスク（副資材の (NLP MAI)</t>
  </si>
  <si>
    <t>リーフット印刷用(NLP MAI)</t>
  </si>
  <si>
    <t>生産文房具類  (NLP MAI)</t>
  </si>
  <si>
    <t>Eva Venderさんの生産用消耗品費 - Việt</t>
  </si>
  <si>
    <t>Eva Venderさんの生産用副資材 Dung</t>
  </si>
  <si>
    <t xml:space="preserve">Tenma, Changhong, Kuroda Venderさんの生産用消耗品費 </t>
  </si>
  <si>
    <t>Tenma, Changhong, Kuroda Venderさんの 生産用副資材</t>
  </si>
  <si>
    <t>*ガス代 gas cost</t>
  </si>
  <si>
    <t>*手洗い洗剤費  hand sanitizer</t>
  </si>
  <si>
    <t>*トイレットペーパ WC paper</t>
  </si>
  <si>
    <t>*清掃費用 Cleanning cost</t>
  </si>
  <si>
    <t>出向社員通勤送迎費　 ( Mr. Tanaka, Mr Suzuki)</t>
  </si>
  <si>
    <t>ローカル通勤バス- Xe BUS CN-NV</t>
  </si>
  <si>
    <t xml:space="preserve">シフト・残業・休日出勤の送迎タクシー代 Chi phí Taxi </t>
  </si>
  <si>
    <t>制服 ,靴, 帽子が壊れた時に交換する。Đổi đồng phục</t>
  </si>
  <si>
    <t>お年玉 tiền mừng tuổi 2月：100,000・人）</t>
  </si>
  <si>
    <t>フィロソフィ論文で応募頂いた方 7月: 100,000/人</t>
  </si>
  <si>
    <t>折りたたみコップ 6,800VND/人(2月+8月 phát định kỳ)</t>
  </si>
  <si>
    <t>Lịch bỏ túi ポケットカレンダ(11月の規定) - 800 VND</t>
  </si>
  <si>
    <t>結婚費, 葬式費 Tiền mừng cưới, sinh con, tang lễ</t>
  </si>
  <si>
    <t>Chi phí hỗ trợ Khám chữa bệnh</t>
  </si>
  <si>
    <t>Phí học tiếng Nhật</t>
  </si>
  <si>
    <t>Tiệc hỗ trợ người mới</t>
  </si>
  <si>
    <t>新人の健康診断　175,000</t>
  </si>
  <si>
    <t>新入社員の折りたたみコップ 6,800VND/人</t>
  </si>
  <si>
    <t>新入社員の名札+フィロソフィ手帳+ポケットThẻ từ chấm công +philosophy  (85200vnd/人)</t>
  </si>
  <si>
    <t>新ワーカの名札ケース+ペン+ノート (10600)</t>
  </si>
  <si>
    <t>KDTCN開発のシステム利用料</t>
  </si>
  <si>
    <t xml:space="preserve">* システム-MES使用費, Mail 使用費 </t>
  </si>
  <si>
    <t>*建物償却費) Bulding fee</t>
  </si>
  <si>
    <t>*土地(償却費) Land fee</t>
  </si>
  <si>
    <t>*電気代 Electrica usage cost</t>
  </si>
  <si>
    <t>*水道代 Water usage cost</t>
  </si>
  <si>
    <t>* 携帯電話- Telephone cost (2名）</t>
  </si>
  <si>
    <t>Dđiện thoại Dương</t>
  </si>
  <si>
    <t>Ricoh +Sumiden HKの税金</t>
  </si>
  <si>
    <t>KDTHK送り部材の選別検査工数 Hoaさん</t>
  </si>
  <si>
    <t>mail Vũ TB Ngọc vât tư (30C1425020 ROLLER PRESS) lỗi vận chuyển nên NG đòi tiền POL 18 box(360psc)</t>
  </si>
  <si>
    <t>（MCC）Hongkong からDEBIT (Phương Thúy さん）</t>
  </si>
  <si>
    <t>トラック代-Mr Thành Purchasing</t>
  </si>
  <si>
    <t>郵便 Chuyen phat nhanh ( van chuyen Aseax)</t>
  </si>
  <si>
    <t>Điều chỉnh tồn kho 在庫調整 (Kho)</t>
  </si>
  <si>
    <t>（部品物流）　棚卸資産廃棄損 (Kho)</t>
  </si>
  <si>
    <t>棚卸減耗費Chi phí tổn thất sau kiểm kê (2月+9月）</t>
  </si>
  <si>
    <t>2023年度のスローガン変更についての件</t>
  </si>
  <si>
    <t>Chi phí phần mềm máy tính</t>
  </si>
  <si>
    <t xml:space="preserve">bồi thường bảo hiểm 9 máy 110C1B3NL0 bị rơi, hỏng. </t>
  </si>
  <si>
    <t>Kaizo bản mạch　Kaizo Libra2 - 3VC1B01010</t>
  </si>
  <si>
    <t>Phí đăng kiểm xe nâng điện hàng năm (a Sơn) 12月</t>
  </si>
  <si>
    <t>phân bổ chi phí License Office 2019 trong tháng 11月 (IT)</t>
  </si>
  <si>
    <t>生産技術 KTSX1</t>
  </si>
  <si>
    <t>生産技術 KTSX2</t>
  </si>
  <si>
    <t>生産技術 KTSX3</t>
  </si>
  <si>
    <t>生産技術 KTSX3 (Air compressors MITSUI SEIKI Maintenance Service)</t>
  </si>
  <si>
    <t>Chuyển chi phí công tác KIT của Mr Kiên</t>
  </si>
  <si>
    <t>オリコン社内出庫分材料費取り消し</t>
  </si>
  <si>
    <t>xe lấy hàng</t>
  </si>
  <si>
    <t>T7 Mr Suzuku và Tanaka đi học HN</t>
  </si>
  <si>
    <t xml:space="preserve"> </t>
  </si>
  <si>
    <t>カレンダーLịch bỏ túi 800</t>
  </si>
  <si>
    <t>新人の 制服 (T1+2: đông (733,000), T5+6+7+8+9: hè(713,000), T10-11-12-3-4: đông hè(1,063,000)</t>
  </si>
  <si>
    <t>Làm giấy tờ cho biệt phái</t>
  </si>
  <si>
    <t>固定資産金利 (建物)</t>
  </si>
  <si>
    <t>固定資産金利 (土地)</t>
  </si>
  <si>
    <t>誕生日会 Sinh nhật (163,000VND)</t>
  </si>
  <si>
    <t>忘年会補助金（300,000/人）2月</t>
  </si>
  <si>
    <t xml:space="preserve">社員旅行 Du lịch công ty 5月：1,890,000/人 </t>
  </si>
  <si>
    <t>月餅Bánh Trung Thu  （9月）56,000VND</t>
  </si>
  <si>
    <t>京セラフェスティバルLễ hội Kyocera（9月） (126,000)</t>
  </si>
  <si>
    <t>10年勤続記念コンパTiệc kỷ niệm 10 năm gắn bó（10月）549,000</t>
  </si>
  <si>
    <t>10年勤続記念品Quà kỷ niệm cho CNV 10 năm gắn bó（10月）382,000</t>
  </si>
  <si>
    <t>夏服振替（２月-330,000VND）-冬服振替１０月-350,000VND）</t>
  </si>
  <si>
    <t>運動会スポーツ大会 (11月）Đại hội thể thao: 107,000</t>
  </si>
  <si>
    <t>健康診断(ローカル）12月 -189,000/人男性, 204,000vnd/人女性</t>
  </si>
  <si>
    <t>決起コンパ Tiệc khuấy động tài chính 200000</t>
  </si>
  <si>
    <t>Đồng phục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</si>
</sst>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.00_);_(* \(#,##0.00\);_(* &quot;-&quot;??_);_(@_)"/>
    <numFmt numFmtId="165" formatCode="&quot;¥&quot;#,##0_);[Red]\(&quot;¥&quot;#,##0\)"/>
    <numFmt numFmtId="166" formatCode="#,##0.0;[Red]\-#,##0.0"/>
    <numFmt numFmtId="167" formatCode="&quot;　　&quot;General"/>
    <numFmt numFmtId="168" formatCode="0&quot;月度&quot;"/>
    <numFmt numFmtId="169" formatCode="0&quot;月&quot;"/>
    <numFmt numFmtId="170" formatCode="0&quot;日&quot;"/>
    <numFmt numFmtId="171" formatCode="&quot;1US$=&quot;0&quot;VND&quot;"/>
    <numFmt numFmtId="172" formatCode="yyyy&quot;年&quot;m&quot;月&quot;;@"/>
    <numFmt numFmtId="173" formatCode="0_ "/>
    <numFmt numFmtId="174" formatCode="0.0"/>
    <numFmt numFmtId="175" formatCode="#,##0.0_);[Red]\(#,##0.0\)"/>
    <numFmt numFmtId="176" formatCode="#,##0.000_);[Red]\(#,##0.000\)"/>
    <numFmt numFmtId="177" formatCode="#,##0.0000_);[Red]\(#,##0.0000\)"/>
    <numFmt numFmtId="178" formatCode="&quot;NT$&quot;#,##0;[Red]\-&quot;NT$&quot;#,##0"/>
    <numFmt numFmtId="179" formatCode="&quot;換算Rate：1US$=&quot;0,000&quot;VND&quot;"/>
    <numFmt numFmtId="180" formatCode="&quot;1USD  =  &quot;#,#00&quot; VND&quot;"/>
    <numFmt numFmtId="181" formatCode="#,##0_);[Red]\-#,##0_)"/>
    <numFmt numFmtId="182" formatCode="&quot;1USD = &quot;#,#00&quot; VND&quot;"/>
    <numFmt numFmtId="183" formatCode="#,##0."/>
  </numFmts>
  <fonts count="8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64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4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3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7" fontId="37" fillId="0" borderId="19" xfId="0" applyNumberFormat="1" applyFont="1" applyBorder="1" applyAlignment="1" applyProtection="1">
      <alignment horizontal="left"/>
    </xf>
    <xf numFmtId="167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70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8" fontId="5" fillId="0" borderId="0" xfId="67" applyNumberFormat="1" applyFont="1" applyFill="1"/>
    <xf numFmtId="169" fontId="37" fillId="0" borderId="13" xfId="0" applyNumberFormat="1" applyFont="1" applyBorder="1" applyAlignment="1" applyProtection="1">
      <alignment horizontal="center" wrapText="1"/>
      <protection locked="0"/>
    </xf>
    <xf numFmtId="168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177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3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70" fontId="73" fillId="0" borderId="0" xfId="67" applyNumberFormat="1" applyFont="1" applyFill="1" applyAlignment="1">
      <alignment horizontal="center" vertical="center"/>
    </xf>
    <xf numFmtId="169" fontId="74" fillId="25" borderId="10" xfId="67" applyNumberFormat="1" applyFont="1" applyFill="1" applyBorder="1" applyAlignment="1">
      <alignment horizontal="center" vertical="center"/>
    </xf>
    <xf numFmtId="169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70" fontId="73" fillId="0" borderId="0" xfId="68" applyNumberFormat="1" applyFont="1" applyFill="1" applyAlignment="1">
      <alignment horizontal="center" vertical="center"/>
    </xf>
    <xf numFmtId="169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1" fontId="59" fillId="31" borderId="0" xfId="0" applyNumberFormat="1" applyFont="1" applyFill="1" applyAlignment="1" applyProtection="1">
      <alignment horizontal="centerContinuous"/>
      <protection locked="0"/>
    </xf>
    <xf numFmtId="179" fontId="11" fillId="31" borderId="0" xfId="0" applyNumberFormat="1" applyFont="1" applyFill="1" applyAlignment="1" applyProtection="1">
      <alignment horizontal="centerContinuous"/>
      <protection locked="0"/>
    </xf>
    <xf numFmtId="168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8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80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3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1" fontId="73" fillId="0" borderId="0" xfId="67" applyNumberFormat="1" applyFont="1" applyAlignment="1">
      <alignment horizontal="center" vertical="center"/>
    </xf>
    <xf numFmtId="181" fontId="73" fillId="0" borderId="0" xfId="66" applyNumberFormat="1" applyFont="1" applyAlignment="1">
      <alignment horizontal="center" vertical="center"/>
    </xf>
    <xf numFmtId="181" fontId="5" fillId="0" borderId="0" xfId="67" applyNumberFormat="1" applyFont="1"/>
    <xf numFmtId="182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6" fontId="37" fillId="0" borderId="13" xfId="68" applyNumberFormat="1" applyFont="1" applyBorder="1" applyProtection="1"/>
    <xf numFmtId="166" fontId="37" fillId="0" borderId="19" xfId="68" applyNumberFormat="1" applyFont="1" applyBorder="1" applyProtection="1">
      <protection locked="0"/>
    </xf>
    <xf numFmtId="166" fontId="37" fillId="0" borderId="20" xfId="68" applyNumberFormat="1" applyFont="1" applyBorder="1" applyProtection="1">
      <protection locked="0"/>
    </xf>
    <xf numFmtId="166" fontId="37" fillId="0" borderId="32" xfId="68" applyNumberFormat="1" applyFont="1" applyBorder="1" applyProtection="1">
      <protection locked="0"/>
    </xf>
    <xf numFmtId="166" fontId="37" fillId="0" borderId="17" xfId="68" applyNumberFormat="1" applyFont="1" applyBorder="1" applyProtection="1">
      <protection locked="0"/>
    </xf>
    <xf numFmtId="166" fontId="37" fillId="0" borderId="21" xfId="68" applyNumberFormat="1" applyFont="1" applyBorder="1" applyProtection="1"/>
    <xf numFmtId="166" fontId="37" fillId="24" borderId="13" xfId="68" applyNumberFormat="1" applyFont="1" applyFill="1" applyBorder="1" applyAlignment="1" applyProtection="1"/>
    <xf numFmtId="166" fontId="37" fillId="0" borderId="21" xfId="68" applyNumberFormat="1" applyFont="1" applyBorder="1" applyAlignment="1" applyProtection="1"/>
    <xf numFmtId="166" fontId="37" fillId="27" borderId="13" xfId="68" applyNumberFormat="1" applyFont="1" applyFill="1" applyBorder="1" applyProtection="1"/>
    <xf numFmtId="166" fontId="37" fillId="0" borderId="0" xfId="0" applyNumberFormat="1" applyFont="1" applyProtection="1">
      <protection locked="0"/>
    </xf>
    <xf numFmtId="166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70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9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2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3" fontId="85" fillId="0" borderId="0" xfId="171" applyNumberFormat="1" applyFont="1">
      <alignment vertical="center"/>
    </xf>
    <xf numFmtId="173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3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" fontId="5" fillId="0" borderId="34" xfId="0" quotePrefix="1" applyNumberFormat="1" applyFont="1" applyFill="1" applyBorder="1" applyAlignment="1" applyProtection="1">
      <alignment horizontal="center"/>
      <protection locked="0"/>
    </xf>
    <xf numFmtId="40" fontId="73" fillId="32" borderId="39" xfId="66" applyFont="1" applyFill="1" applyBorder="1" applyAlignment="1" applyProtection="1">
      <alignment horizontal="right"/>
      <protection locked="0"/>
    </xf>
    <xf numFmtId="40" fontId="5" fillId="32" borderId="39" xfId="67" applyNumberFormat="1" applyFont="1" applyFill="1" applyBorder="1" applyProtection="1">
      <protection locked="0"/>
    </xf>
  </cellXfs>
  <cellStyles count="175">
    <cellStyle name="_FY2014 MP作成依頼（KDTCN).1207(3)" xfId="1" xr:uid="{0C79311F-0481-43BB-B142-2BAE100A51F5}"/>
    <cellStyle name="20% - Accent1" xfId="2" xr:uid="{1EDA51B7-8942-4972-9262-7345C57470D1}"/>
    <cellStyle name="20% - Accent2" xfId="3" xr:uid="{48969E2C-2D10-4360-85B6-910C67CABCBC}"/>
    <cellStyle name="20% - Accent3" xfId="4" xr:uid="{188F0F6F-13D4-4F54-B5A9-FDC0F0F64A45}"/>
    <cellStyle name="20% - Accent4" xfId="5" xr:uid="{BC384EE9-B025-494A-8633-AE5A1D8877F2}"/>
    <cellStyle name="20% - Accent5" xfId="6" xr:uid="{400768D3-40FD-444D-9FFA-1802DABA1562}"/>
    <cellStyle name="20% - Accent6" xfId="7" xr:uid="{F3CA57B1-A287-40BB-BC60-0BB421494285}"/>
    <cellStyle name="20% - アクセント 1" xfId="8" xr:uid="{8823F2A1-A799-4744-83F4-6FD7D5613F3B}"/>
    <cellStyle name="20% - アクセント 1 2" xfId="9" xr:uid="{8C5428E1-1311-4D17-B8EE-505EE6576514}"/>
    <cellStyle name="20% - アクセント 2" xfId="10" xr:uid="{43C01A52-4495-4CF9-A659-89C91F001508}"/>
    <cellStyle name="20% - アクセント 2 2" xfId="11" xr:uid="{A95C7AD3-E0BE-413D-933D-37DF4CB8D11F}"/>
    <cellStyle name="20% - アクセント 3" xfId="12" xr:uid="{AD63EFD1-8717-4808-9497-F04FFFF1AE75}"/>
    <cellStyle name="20% - アクセント 3 2" xfId="13" xr:uid="{3149F578-D6B3-46B2-B773-4B9F4D766FD6}"/>
    <cellStyle name="20% - アクセント 4" xfId="14" xr:uid="{88646721-811B-4AF7-8941-05C7D3A13A6F}"/>
    <cellStyle name="20% - アクセント 4 2" xfId="15" xr:uid="{D8C1A0EE-C2AD-4B18-A8E5-389D1D6BFC28}"/>
    <cellStyle name="20% - アクセント 5" xfId="16" xr:uid="{600EA7A2-AF59-42D9-A0A8-6070C1D50CA0}"/>
    <cellStyle name="20% - アクセント 5 2" xfId="17" xr:uid="{971854A1-0FF0-4556-94AC-995ED3EFA556}"/>
    <cellStyle name="20% - アクセント 6" xfId="18" xr:uid="{339DFE57-E366-4BD8-B037-CD425535A1C8}"/>
    <cellStyle name="20% - アクセント 6 2" xfId="19" xr:uid="{101A96BF-2D39-4952-99BE-988665218F31}"/>
    <cellStyle name="3232" xfId="20" xr:uid="{D882BC22-B517-4050-91BE-5DE6C155DDA0}"/>
    <cellStyle name="40% - Accent1" xfId="21" xr:uid="{2C6A6C84-C661-4E15-8008-35B17E594F74}"/>
    <cellStyle name="40% - Accent2" xfId="22" xr:uid="{D693A328-0CAD-4748-9FBF-272471F38884}"/>
    <cellStyle name="40% - Accent3" xfId="23" xr:uid="{966215DB-568D-4FB6-9BA2-FC6DEB1E5C1D}"/>
    <cellStyle name="40% - Accent4" xfId="24" xr:uid="{1C025619-5F29-42E5-BBA1-9C2405CFBB5E}"/>
    <cellStyle name="40% - Accent5" xfId="25" xr:uid="{5EDF97F3-010C-4AE8-9484-E1604457DBCA}"/>
    <cellStyle name="40% - Accent6" xfId="26" xr:uid="{BF9021DA-9879-47B6-BCDD-E258E1A10DA6}"/>
    <cellStyle name="40% - アクセント 1" xfId="27" xr:uid="{C72755C2-754B-49CF-80FB-AE36F8124AD9}"/>
    <cellStyle name="40% - アクセント 1 2" xfId="28" xr:uid="{B873EFDB-6087-4EE8-926E-DF5300983F6B}"/>
    <cellStyle name="40% - アクセント 2" xfId="29" xr:uid="{C53A276F-A361-4D8B-BF9B-18221F3D6496}"/>
    <cellStyle name="40% - アクセント 2 2" xfId="30" xr:uid="{72C6B585-AED8-4AB2-AD8F-E28EEF079288}"/>
    <cellStyle name="40% - アクセント 3" xfId="31" xr:uid="{B8D72DEF-F6F3-41C8-9160-7FFF5C8774A6}"/>
    <cellStyle name="40% - アクセント 3 2" xfId="32" xr:uid="{37BCE9F3-CC67-418E-A737-1E8E4755EC28}"/>
    <cellStyle name="40% - アクセント 4" xfId="33" xr:uid="{301A8EA1-84DD-4C1A-8F8F-38F06AD215CA}"/>
    <cellStyle name="40% - アクセント 4 2" xfId="34" xr:uid="{6FEF27D3-ECCC-48AE-9E00-1F1A454504B3}"/>
    <cellStyle name="40% - アクセント 5" xfId="35" xr:uid="{1683CCCC-BC30-4264-9693-80E934262DDF}"/>
    <cellStyle name="40% - アクセント 5 2" xfId="36" xr:uid="{A2247C08-76B1-4458-9EFE-0FCCCD0F4F78}"/>
    <cellStyle name="40% - アクセント 6" xfId="37" xr:uid="{D907EDE3-7C8C-44E1-8F9A-2F029FC6E188}"/>
    <cellStyle name="40% - アクセント 6 2" xfId="38" xr:uid="{139E4BF3-A507-49AB-B039-907725540474}"/>
    <cellStyle name="60% - Accent1" xfId="39" xr:uid="{844BAD5E-4697-4023-AC5D-EA2AA7713556}"/>
    <cellStyle name="60% - Accent2" xfId="40" xr:uid="{E7EBEF80-0BF3-4DE5-985B-A0C872D21ECF}"/>
    <cellStyle name="60% - Accent3" xfId="41" xr:uid="{8B88B0E8-1747-43A6-AB8C-6D886908ED93}"/>
    <cellStyle name="60% - Accent4" xfId="42" xr:uid="{F70A5062-1F94-458D-918D-29FF147CD9F0}"/>
    <cellStyle name="60% - Accent5" xfId="43" xr:uid="{B233A05F-FC76-4790-85DC-85B6E8B36919}"/>
    <cellStyle name="60% - Accent6" xfId="44" xr:uid="{48F8F6E0-1BB2-45E7-9429-96E6B6B506A8}"/>
    <cellStyle name="60% - アクセント 1" xfId="45" xr:uid="{9A7A7FAD-3257-4A50-94BB-F437EA3C5E6F}"/>
    <cellStyle name="60% - アクセント 1 2" xfId="46" xr:uid="{0F9D49CD-0294-42B6-B530-4B002C3D4F5B}"/>
    <cellStyle name="60% - アクセント 2" xfId="47" xr:uid="{3A8AC189-47A0-4268-BC75-2BE417D49A42}"/>
    <cellStyle name="60% - アクセント 2 2" xfId="48" xr:uid="{187CD1F7-46B0-4B6C-8E6E-ECBA5A953F87}"/>
    <cellStyle name="60% - アクセント 3" xfId="49" xr:uid="{AC083ABC-93EA-4632-AF6E-25A0B5E04C11}"/>
    <cellStyle name="60% - アクセント 3 2" xfId="50" xr:uid="{AD7C419D-6DAF-4A47-848E-8339AC326AE5}"/>
    <cellStyle name="60% - アクセント 4" xfId="51" xr:uid="{B981CE35-DD8F-4B24-BBE8-D7071691C223}"/>
    <cellStyle name="60% - アクセント 4 2" xfId="52" xr:uid="{8354A1A0-69E8-455A-814E-7EF20160E62A}"/>
    <cellStyle name="60% - アクセント 5" xfId="53" xr:uid="{0F527FB8-ED2F-44EA-B8A3-CD86EFB2CBBD}"/>
    <cellStyle name="60% - アクセント 5 2" xfId="54" xr:uid="{542DFF58-E508-4D6E-A2C0-C570A1E7051F}"/>
    <cellStyle name="60% - アクセント 6" xfId="55" xr:uid="{A27A04BD-21B6-4EB1-BDC4-EC8B8EE016BC}"/>
    <cellStyle name="60% - アクセント 6 2" xfId="56" xr:uid="{E41618E4-1CD9-491E-853E-4ADF52B19653}"/>
    <cellStyle name="Accent1" xfId="57" xr:uid="{CC9A2306-2414-4520-85F6-00B543095477}"/>
    <cellStyle name="Accent2" xfId="58" xr:uid="{38C967D7-28B8-42F2-AA0C-F96652669EF6}"/>
    <cellStyle name="Accent3" xfId="59" xr:uid="{67C7400F-C5CB-47F6-96E7-C7E98987D11F}"/>
    <cellStyle name="Accent4" xfId="60" xr:uid="{850DA1F9-055F-473A-A171-66C506CA864C}"/>
    <cellStyle name="Accent5" xfId="61" xr:uid="{5853E11C-8587-44E5-ABDC-875503C38689}"/>
    <cellStyle name="Accent6" xfId="62" xr:uid="{C43E45B6-065C-4250-870B-E32AE9251798}"/>
    <cellStyle name="Bad" xfId="63" xr:uid="{5C05B62C-ACF2-433C-B0E3-A504180A8202}"/>
    <cellStyle name="Calculation" xfId="64" xr:uid="{2FEEB092-D767-427E-A895-93B316F66BE7}"/>
    <cellStyle name="Check Cell" xfId="65" xr:uid="{78C6D87F-584F-4AD6-AAB4-137F45F738F2}"/>
    <cellStyle name="Comma" xfId="66" builtinId="3"/>
    <cellStyle name="Comma [0]" xfId="67" builtinId="6"/>
    <cellStyle name="Comma [0] 2" xfId="68" xr:uid="{2F677F1A-C7AC-4E3E-896B-F748109A2FBA}"/>
    <cellStyle name="Comma [0] 2 2" xfId="69" xr:uid="{58F94C78-7AA9-4D5F-A533-E0582BB4090C}"/>
    <cellStyle name="Comma [0] 3" xfId="70" xr:uid="{8B394998-759B-4DB7-B143-E60E5A6A5E3E}"/>
    <cellStyle name="Comma [0] 4" xfId="71" xr:uid="{41820881-A441-474D-92A2-0D6C21CDD50F}"/>
    <cellStyle name="Comma 2" xfId="72" xr:uid="{9C5223F7-F81F-4396-99A9-809EEB3853D9}"/>
    <cellStyle name="Comma 2 3" xfId="73" xr:uid="{164D25F8-CE7A-45A2-B321-412AC3FA6930}"/>
    <cellStyle name="Comma 3" xfId="74" xr:uid="{762986C4-59D1-421E-9CC5-576C0E99D7C0}"/>
    <cellStyle name="Comma 3 2 2" xfId="75" xr:uid="{C31992F8-5C64-4122-8C96-3217AF97BAA1}"/>
    <cellStyle name="Comma 4" xfId="76" xr:uid="{285850CD-4699-4AAD-A094-C1F7AA8C3230}"/>
    <cellStyle name="Comma 5" xfId="77" xr:uid="{5C98B765-AA50-4ED8-AA59-91DB5AB0FBF1}"/>
    <cellStyle name="Comma 6" xfId="78" xr:uid="{E17985DF-FAD0-498F-9CF5-10D79C0BDA1A}"/>
    <cellStyle name="Currency [0] 2" xfId="79" xr:uid="{CB3E25FB-DDD0-4B00-BD65-6B581A080E60}"/>
    <cellStyle name="Explanatory Text" xfId="80" xr:uid="{6F5C01E0-E35D-4D81-980E-10761A963CD3}"/>
    <cellStyle name="Good" xfId="81" xr:uid="{79A0C0B6-F624-403C-A4F4-3D5D793FBA7D}"/>
    <cellStyle name="Heading 1" xfId="82" xr:uid="{3763CED2-A6A2-402B-B857-AC174DBDB673}"/>
    <cellStyle name="Heading 2" xfId="83" xr:uid="{CC918675-A35B-4AF7-BDB4-CABEDDDAF4F5}"/>
    <cellStyle name="Heading 3" xfId="84" xr:uid="{18F6184B-3DFD-40AA-9B4F-85683BF540D7}"/>
    <cellStyle name="Heading 4" xfId="85" xr:uid="{FC2361B8-3EAF-4FA7-BC51-96953EC550FD}"/>
    <cellStyle name="Input" xfId="86" xr:uid="{D53B4FB2-3419-4D0C-858E-A78EDDC267E2}"/>
    <cellStyle name="Linked Cell" xfId="87" xr:uid="{4A639C2D-B66B-494B-B483-8360F06DC523}"/>
    <cellStyle name="Neutral" xfId="88" xr:uid="{F528BB0D-735A-4041-A1CD-9DF539F31D80}"/>
    <cellStyle name="Normal" xfId="0" builtinId="0"/>
    <cellStyle name="Normal 2" xfId="89" xr:uid="{614AACC5-513C-44C4-8FE1-A32D113DCA97}"/>
    <cellStyle name="Normal 2 2" xfId="90" xr:uid="{5795C8BA-CA78-4C3E-902E-D4D58FA8C88B}"/>
    <cellStyle name="Normal 3" xfId="91" xr:uid="{CAA49E16-625C-463D-9700-9C62CB21A3A3}"/>
    <cellStyle name="Normal 4" xfId="92" xr:uid="{9812D14F-976A-4690-B63B-D4D5AFA6B3F4}"/>
    <cellStyle name="Normal 5" xfId="93" xr:uid="{7316E8CC-A662-4273-AAEA-BE5231A61634}"/>
    <cellStyle name="Note" xfId="94" xr:uid="{FB7B3A1C-132A-42B9-89D1-A91348E20DD5}"/>
    <cellStyle name="Output" xfId="95" xr:uid="{475F0ACF-C2DF-4F30-A26C-D5396AB021FB}"/>
    <cellStyle name="Percent 2" xfId="96" xr:uid="{DEADDE2C-7B02-4A46-BA95-F0D5FA750408}"/>
    <cellStyle name="Percent 3" xfId="97" xr:uid="{FADBF949-2201-4640-84C1-6DF34ADBB3C1}"/>
    <cellStyle name="Title" xfId="98" xr:uid="{1E58C557-7B62-400B-AC54-1537FB5BC4A4}"/>
    <cellStyle name="Total" xfId="99" xr:uid="{34291711-22F8-46C0-B3F9-41A233C248CC}"/>
    <cellStyle name="Warning Text" xfId="100" xr:uid="{9CFEF721-2817-4AFA-A60C-D2F43EFF2256}"/>
    <cellStyle name="アクセント 1" xfId="101" xr:uid="{962AB779-937E-478C-A287-50B9E0CE5A05}"/>
    <cellStyle name="アクセント 1 2" xfId="102" xr:uid="{4F7FB4D5-315C-40C0-9255-9ACCAD4E5BF1}"/>
    <cellStyle name="アクセント 2" xfId="103" xr:uid="{CDF8445C-4373-4889-8B35-C4C37A892306}"/>
    <cellStyle name="アクセント 2 2" xfId="104" xr:uid="{2910C679-AC20-4294-97C5-ED05F3646855}"/>
    <cellStyle name="アクセント 3" xfId="105" xr:uid="{89CD07C3-63BA-4880-909C-489DEC1E858D}"/>
    <cellStyle name="アクセント 3 2" xfId="106" xr:uid="{B6327418-2CD8-44F6-8DD6-7AAA6BCBD31D}"/>
    <cellStyle name="アクセント 4" xfId="107" xr:uid="{88180BCF-3CE3-42A1-92B5-A5D575DCCCAC}"/>
    <cellStyle name="アクセント 4 2" xfId="108" xr:uid="{AEFB72C5-2BFA-4CB4-B75B-91B456EA2F4F}"/>
    <cellStyle name="アクセント 5" xfId="109" xr:uid="{7A2318F1-5F86-43E6-A048-223820633296}"/>
    <cellStyle name="アクセント 5 2" xfId="110" xr:uid="{7F827262-8308-473D-B9EB-414261F44205}"/>
    <cellStyle name="アクセント 6" xfId="111" xr:uid="{4597BFA3-BDE6-46D3-A36A-72DCDAC21669}"/>
    <cellStyle name="アクセント 6 2" xfId="112" xr:uid="{3BF6DED5-61CA-4786-B6D6-35CB5FF38466}"/>
    <cellStyle name="タイトル" xfId="113" xr:uid="{5AB7F8B6-EA38-4EDB-9259-52524F82E6C2}"/>
    <cellStyle name="タイトル 2" xfId="114" xr:uid="{1D15AB84-14A4-48FE-B3DE-36C7AE903396}"/>
    <cellStyle name="チェック セル" xfId="115" xr:uid="{69306FC7-A0B6-4C26-B296-4926534ABEFC}"/>
    <cellStyle name="チェック セル 2" xfId="116" xr:uid="{002165A0-A73A-4041-8668-E1D5EF4F7B25}"/>
    <cellStyle name="どちらでもない" xfId="117" xr:uid="{EF9E70B9-98FD-46BA-97A4-273217C6E242}"/>
    <cellStyle name="どちらでもない 2" xfId="118" xr:uid="{AB002480-77D0-438B-9299-1E6DA1608F8F}"/>
    <cellStyle name="パーセント 2" xfId="119" xr:uid="{0E47ABA2-35C8-46A9-A485-CB3E9AFA3C90}"/>
    <cellStyle name="パーセント 3" xfId="120" xr:uid="{FCAA01FF-90C9-4489-94B5-B8303EE1E67F}"/>
    <cellStyle name="パーセント 3 2" xfId="121" xr:uid="{C7EB692A-1BFE-46AD-92EA-A03FFC479290}"/>
    <cellStyle name="メモ" xfId="122" xr:uid="{2962864F-9FB2-4600-904D-BE5675432405}"/>
    <cellStyle name="メモ 2" xfId="123" xr:uid="{FCEBDEDC-1A24-4114-8F2E-234297C50F26}"/>
    <cellStyle name="リンク セル" xfId="124" xr:uid="{73865206-680E-442A-B1ED-1D7A9C28470E}"/>
    <cellStyle name="リンク セル 2" xfId="125" xr:uid="{33F37B3D-1C8B-441D-947A-FFF50990367B}"/>
    <cellStyle name="悪い" xfId="126" xr:uid="{810B134B-853D-4810-A995-E840CE290082}"/>
    <cellStyle name="悪い 2" xfId="127" xr:uid="{65605945-581B-41EF-B7DD-E7DADAD6CDF1}"/>
    <cellStyle name="一般_KMHK FY2008 時間当り採算 2007年4月 ( Month Plan )" xfId="128" xr:uid="{CE863C3B-3591-4A42-9EC1-4232BBD7DF38}"/>
    <cellStyle name="一般_設備投資金額一覽表" xfId="129" xr:uid="{6A576912-1315-479E-989E-A92D82950B99}"/>
    <cellStyle name="計算" xfId="130" xr:uid="{C4BB650F-F5BB-4C8B-AC5C-8171D6F0ECBE}"/>
    <cellStyle name="計算 2" xfId="131" xr:uid="{B38779B9-94D8-42BA-B45A-C2D87CC6498D}"/>
    <cellStyle name="警告文" xfId="132" xr:uid="{E151684E-402D-4ED2-B90C-EF2D7CFFA4C4}"/>
    <cellStyle name="警告文 2" xfId="133" xr:uid="{B54C7D6A-3DE5-4723-9C53-451CE9C13985}"/>
    <cellStyle name="桁区切り [0.00] 2" xfId="134" xr:uid="{89536380-4EDF-49DD-B21B-8104BF3DBB78}"/>
    <cellStyle name="桁区切り [0.00] 2 2" xfId="135" xr:uid="{AED90E45-CBDE-440F-91E8-A0AE4B3D7969}"/>
    <cellStyle name="桁区切り [0.00] 2 3" xfId="136" xr:uid="{F0C92F1E-DAEC-4771-97A9-A9CAB22A9FEA}"/>
    <cellStyle name="桁区切り 2" xfId="137" xr:uid="{D190DC74-8937-4A3F-8E68-9768A7A0BEE0}"/>
    <cellStyle name="桁区切り 2 2" xfId="138" xr:uid="{E65A0DE3-9805-4931-9479-1CCF5C93534F}"/>
    <cellStyle name="桁区切り 2 3" xfId="139" xr:uid="{41B92E6C-A60E-44A9-B460-81BD595186CD}"/>
    <cellStyle name="桁区切り 3" xfId="140" xr:uid="{2664AEAF-AD91-4029-A81C-1E8B30841CD8}"/>
    <cellStyle name="桁区切り 4" xfId="141" xr:uid="{3B69545B-0CBA-4B47-ADAA-2E5C0E505B5C}"/>
    <cellStyle name="桁区切り 5" xfId="142" xr:uid="{FA035BDD-5699-47F3-A0B1-A161304EC504}"/>
    <cellStyle name="桁区切り 6" xfId="143" xr:uid="{E33FB79F-1D5B-45D5-B47A-68B9E13BC444}"/>
    <cellStyle name="見出し 1" xfId="144" xr:uid="{FE3EBEA1-ADEA-49AE-9059-C867C1A98453}"/>
    <cellStyle name="見出し 1 2" xfId="145" xr:uid="{02A9A43E-DF96-470A-B662-BE30B323BE8A}"/>
    <cellStyle name="見出し 2" xfId="146" xr:uid="{D862803C-69F7-4CB1-BC8E-D25C85A8FE9D}"/>
    <cellStyle name="見出し 2 2" xfId="147" xr:uid="{D22B0D55-9AB8-4F6D-906B-251E097EBB55}"/>
    <cellStyle name="見出し 3" xfId="148" xr:uid="{B0D93E5B-A75C-45ED-88CA-0E0AD88FC7A4}"/>
    <cellStyle name="見出し 3 2" xfId="149" xr:uid="{8BCDFBFE-951B-4186-8580-6BD7DF57135A}"/>
    <cellStyle name="見出し 4" xfId="150" xr:uid="{E2BE7211-D244-40E9-B921-E1EE82BCE6CE}"/>
    <cellStyle name="見出し 4 2" xfId="151" xr:uid="{713E92B0-E39A-473A-9919-3C911D9C66F0}"/>
    <cellStyle name="集計" xfId="152" xr:uid="{06FB8A98-FD6E-449D-ADAC-FB70FEE42F63}"/>
    <cellStyle name="集計 2" xfId="153" xr:uid="{DDC96D49-EDF9-4017-B168-EA86BA12AD4F}"/>
    <cellStyle name="出力" xfId="154" xr:uid="{5CD9F5D5-393B-4208-99FA-FDAC94073C23}"/>
    <cellStyle name="出力 2" xfId="155" xr:uid="{75CACC94-0714-4C31-95E6-3669B8BB1514}"/>
    <cellStyle name="常规_総生産分析(0605-0606)" xfId="156" xr:uid="{B23F4778-DE4A-4FDB-898D-65D7014CFDED}"/>
    <cellStyle name="説明文" xfId="157" xr:uid="{3C86F3D7-8C0E-4331-BB5A-C47F03624891}"/>
    <cellStyle name="説明文 2" xfId="158" xr:uid="{7CDA703E-A16A-4294-9043-50FE09D54394}"/>
    <cellStyle name="通貨 2" xfId="159" xr:uid="{C8290495-14E8-40B8-80C9-2578D760D730}"/>
    <cellStyle name="通貨 3" xfId="160" xr:uid="{5DE1984C-CBC7-4C72-BAC3-D9FC1571F0D5}"/>
    <cellStyle name="入力" xfId="161" xr:uid="{08D36507-9661-40EA-9D08-8F2F543DD160}"/>
    <cellStyle name="入力 2" xfId="162" xr:uid="{74576656-8084-4956-8AA6-4B67A42000E3}"/>
    <cellStyle name="標準 2" xfId="163" xr:uid="{CA5D2584-821E-47B4-B4CD-D1EAF82BE6A1}"/>
    <cellStyle name="標準 2 2" xfId="164" xr:uid="{02984ED2-6873-46C7-B7C9-D8FFCFFD6A3D}"/>
    <cellStyle name="標準 3" xfId="165" xr:uid="{03957FB5-F200-4A07-AF49-5D19C27A4220}"/>
    <cellStyle name="標準 3 2" xfId="166" xr:uid="{A47A7FB3-3BDF-4F65-B3F3-80EA6C10CC3D}"/>
    <cellStyle name="標準 4" xfId="167" xr:uid="{6F095E70-B72E-4780-A0C8-E106D491EC37}"/>
    <cellStyle name="標準 4 2" xfId="168" xr:uid="{C4C3A7B8-6A3F-48E3-A435-250B1D3D969A}"/>
    <cellStyle name="標準_★予定用採算表フォーム（製造課用）" xfId="169" xr:uid="{193E8308-771A-4141-8DA2-717B49705180}"/>
    <cellStyle name="標準_03.2012 08 31 KDTVN採算表及集計表 FY2013_09（製技用）" xfId="170" xr:uid="{BC622549-3A33-4169-ADFF-AA97CC79ACA6}"/>
    <cellStyle name="標準_KDTVN 2012年9月1日付原価センタ" xfId="171" xr:uid="{BDFFF68D-FFC3-419E-BAB2-F483A03352B1}"/>
    <cellStyle name="未定義" xfId="172" xr:uid="{754366D6-7696-4EB2-864C-164861293BCF}"/>
    <cellStyle name="良い" xfId="173" xr:uid="{B19C3070-350D-4756-9C2D-77E51815D0F0}"/>
    <cellStyle name="良い 2" xfId="174" xr:uid="{E1A31F79-42FC-4429-A3B3-E57C72AD3F02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65DE-EEAC-4324-9C81-19EDBC18FAA8}">
  <sheetPr codeName="Sheet1"/>
  <dimension ref="A1:O99"/>
  <sheetViews>
    <sheetView topLeftCell="A53" zoomScaleNormal="100" workbookViewId="0">
      <selection activeCell="B62" sqref="B62:B63"/>
    </sheetView>
  </sheetViews>
  <sheetFormatPr defaultColWidth="9" defaultRowHeight="12"/>
  <cols>
    <col min="1" max="1" width="0.90625" style="20" customWidth="1"/>
    <col min="2" max="2" width="19.453125" style="23" customWidth="1"/>
    <col min="3" max="13" width="12.36328125" style="19" customWidth="1"/>
    <col min="14" max="15" width="11.9062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機器製造1課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6573316.7599999998</v>
      </c>
      <c r="D5" s="129">
        <f t="shared" ref="D5:O5" si="0">D8+D9</f>
        <v>7731743.2199999997</v>
      </c>
      <c r="E5" s="129">
        <f t="shared" si="0"/>
        <v>9328884.6400000006</v>
      </c>
      <c r="F5" s="129">
        <f t="shared" si="0"/>
        <v>11677892.399999999</v>
      </c>
      <c r="G5" s="129">
        <f t="shared" si="0"/>
        <v>10306100.27</v>
      </c>
      <c r="H5" s="129">
        <f t="shared" si="0"/>
        <v>7442271.3999999994</v>
      </c>
      <c r="I5" s="129">
        <f t="shared" si="0"/>
        <v>11250945.51</v>
      </c>
      <c r="J5" s="129">
        <f t="shared" si="0"/>
        <v>10489727.76</v>
      </c>
      <c r="K5" s="129">
        <f t="shared" si="0"/>
        <v>10157791.41</v>
      </c>
      <c r="L5" s="129">
        <f t="shared" si="0"/>
        <v>10729544.66</v>
      </c>
      <c r="M5" s="129">
        <f t="shared" si="0"/>
        <v>7398683.0600000005</v>
      </c>
      <c r="N5" s="129">
        <f t="shared" si="0"/>
        <v>9568316.0500000007</v>
      </c>
      <c r="O5" s="129">
        <f t="shared" si="0"/>
        <v>112655217.14</v>
      </c>
    </row>
    <row r="6" spans="1:15" ht="11.25" customHeight="1">
      <c r="A6" s="26"/>
      <c r="B6" s="29" t="s">
        <v>141</v>
      </c>
      <c r="C6" s="130">
        <f>ROUNDDOWN('採算表(VND)'!C6/$N$1,2)</f>
        <v>6238431.5899999999</v>
      </c>
      <c r="D6" s="130">
        <f>ROUNDDOWN('採算表(VND)'!D6/$N$1,2)</f>
        <v>7315683.04</v>
      </c>
      <c r="E6" s="130">
        <f>ROUNDDOWN('採算表(VND)'!E6/$N$1,2)</f>
        <v>8900467.1300000008</v>
      </c>
      <c r="F6" s="130">
        <f>ROUNDDOWN('採算表(VND)'!F6/$N$1,2)</f>
        <v>11250210.619999999</v>
      </c>
      <c r="G6" s="130">
        <f>ROUNDDOWN('採算表(VND)'!G6/$N$1,2)</f>
        <v>9848402.8599999994</v>
      </c>
      <c r="H6" s="130">
        <f>ROUNDDOWN('採算表(VND)'!H6/$N$1,2)</f>
        <v>7006684.7999999998</v>
      </c>
      <c r="I6" s="130">
        <f>ROUNDDOWN('採算表(VND)'!I6/$N$1,2)</f>
        <v>10933972.98</v>
      </c>
      <c r="J6" s="130">
        <f>ROUNDDOWN('採算表(VND)'!J6/$N$1,2)</f>
        <v>10101410.390000001</v>
      </c>
      <c r="K6" s="130">
        <f>ROUNDDOWN('採算表(VND)'!K6/$N$1,2)</f>
        <v>9771136.5099999998</v>
      </c>
      <c r="L6" s="130">
        <f>ROUNDDOWN('採算表(VND)'!L6/$N$1,2)</f>
        <v>10426425.93</v>
      </c>
      <c r="M6" s="130">
        <f>ROUNDDOWN('採算表(VND)'!M6/$N$1,2)</f>
        <v>7061755.8700000001</v>
      </c>
      <c r="N6" s="130">
        <f>ROUNDDOWN('採算表(VND)'!N6/$N$1,2)</f>
        <v>9221128.8300000001</v>
      </c>
      <c r="O6" s="130">
        <f>SUM(C6:N6)</f>
        <v>108075710.55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6238431.5899999999</v>
      </c>
      <c r="D8" s="132">
        <f t="shared" si="1"/>
        <v>7315683.04</v>
      </c>
      <c r="E8" s="132">
        <f t="shared" si="1"/>
        <v>8900467.1300000008</v>
      </c>
      <c r="F8" s="132">
        <f t="shared" si="1"/>
        <v>11250210.619999999</v>
      </c>
      <c r="G8" s="132">
        <f t="shared" si="1"/>
        <v>9848402.8599999994</v>
      </c>
      <c r="H8" s="132">
        <f t="shared" si="1"/>
        <v>7006684.7999999998</v>
      </c>
      <c r="I8" s="132">
        <f t="shared" si="1"/>
        <v>10933972.98</v>
      </c>
      <c r="J8" s="132">
        <f t="shared" si="1"/>
        <v>10101410.390000001</v>
      </c>
      <c r="K8" s="132">
        <f t="shared" si="1"/>
        <v>9771136.5099999998</v>
      </c>
      <c r="L8" s="132">
        <f t="shared" si="1"/>
        <v>10426425.93</v>
      </c>
      <c r="M8" s="132">
        <f t="shared" si="1"/>
        <v>7061755.8700000001</v>
      </c>
      <c r="N8" s="132">
        <f t="shared" si="1"/>
        <v>9221128.8300000001</v>
      </c>
      <c r="O8" s="132">
        <f t="shared" si="1"/>
        <v>108075710.55</v>
      </c>
    </row>
    <row r="9" spans="1:15" ht="11.25" customHeight="1">
      <c r="A9" s="26"/>
      <c r="B9" s="28" t="s">
        <v>73</v>
      </c>
      <c r="C9" s="133">
        <f>ROUNDDOWN('採算表(VND)'!C9/$N$1,2)</f>
        <v>334885.17</v>
      </c>
      <c r="D9" s="133">
        <f>ROUNDDOWN('採算表(VND)'!D9/$N$1,2)</f>
        <v>416060.18</v>
      </c>
      <c r="E9" s="133">
        <f>ROUNDDOWN('採算表(VND)'!E9/$N$1,2)</f>
        <v>428417.51</v>
      </c>
      <c r="F9" s="133">
        <f>ROUNDDOWN('採算表(VND)'!F9/$N$1,2)</f>
        <v>427681.78</v>
      </c>
      <c r="G9" s="133">
        <f>ROUNDDOWN('採算表(VND)'!G9/$N$1,2)</f>
        <v>457697.41</v>
      </c>
      <c r="H9" s="133">
        <f>ROUNDDOWN('採算表(VND)'!H9/$N$1,2)</f>
        <v>435586.6</v>
      </c>
      <c r="I9" s="133">
        <f>ROUNDDOWN('採算表(VND)'!I9/$N$1,2)</f>
        <v>316972.53000000003</v>
      </c>
      <c r="J9" s="133">
        <f>ROUNDDOWN('採算表(VND)'!J9/$N$1,2)</f>
        <v>388317.37</v>
      </c>
      <c r="K9" s="133">
        <f>ROUNDDOWN('採算表(VND)'!K9/$N$1,2)</f>
        <v>386654.9</v>
      </c>
      <c r="L9" s="133">
        <f>ROUNDDOWN('採算表(VND)'!L9/$N$1,2)</f>
        <v>303118.73</v>
      </c>
      <c r="M9" s="133">
        <f>ROUNDDOWN('採算表(VND)'!M9/$N$1,2)</f>
        <v>336927.19</v>
      </c>
      <c r="N9" s="133">
        <f>ROUNDDOWN('採算表(VND)'!N9/$N$1,2)</f>
        <v>347187.22</v>
      </c>
      <c r="O9" s="133">
        <f>SUM(C9:N9)</f>
        <v>4579506.59</v>
      </c>
    </row>
    <row r="10" spans="1:15" ht="11.25" customHeight="1">
      <c r="A10" s="26"/>
      <c r="B10" s="28" t="s">
        <v>74</v>
      </c>
      <c r="C10" s="133">
        <f>ROUNDDOWN('採算表(VND)'!C10/$N$1,2)</f>
        <v>182766.99</v>
      </c>
      <c r="D10" s="133">
        <f>ROUNDDOWN('採算表(VND)'!D10/$N$1,2)</f>
        <v>209015.75</v>
      </c>
      <c r="E10" s="133">
        <f>ROUNDDOWN('採算表(VND)'!E10/$N$1,2)</f>
        <v>255779.69</v>
      </c>
      <c r="F10" s="133">
        <f>ROUNDDOWN('採算表(VND)'!F10/$N$1,2)</f>
        <v>326207.34999999998</v>
      </c>
      <c r="G10" s="133">
        <f>ROUNDDOWN('採算表(VND)'!G10/$N$1,2)</f>
        <v>283406.24</v>
      </c>
      <c r="H10" s="133">
        <f>ROUNDDOWN('採算表(VND)'!H10/$N$1,2)</f>
        <v>196923.12</v>
      </c>
      <c r="I10" s="133">
        <f>ROUNDDOWN('採算表(VND)'!I10/$N$1,2)</f>
        <v>318122.23</v>
      </c>
      <c r="J10" s="133">
        <f>ROUNDDOWN('採算表(VND)'!J10/$N$1,2)</f>
        <v>290306.95</v>
      </c>
      <c r="K10" s="133">
        <f>ROUNDDOWN('採算表(VND)'!K10/$N$1,2)</f>
        <v>277588.74</v>
      </c>
      <c r="L10" s="133">
        <f>ROUNDDOWN('採算表(VND)'!L10/$N$1,2)</f>
        <v>293738.25</v>
      </c>
      <c r="M10" s="133">
        <f>ROUNDDOWN('採算表(VND)'!M10/$N$1,2)</f>
        <v>193533.52</v>
      </c>
      <c r="N10" s="133">
        <f>ROUNDDOWN('採算表(VND)'!N10/$N$1,2)</f>
        <v>261086.93</v>
      </c>
      <c r="O10" s="133">
        <f>SUM(C10:N10)</f>
        <v>3088475.7600000002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6390549.7699999996</v>
      </c>
      <c r="D12" s="134">
        <f t="shared" ref="D12:O12" si="2">D5-D10</f>
        <v>7522727.4699999997</v>
      </c>
      <c r="E12" s="134">
        <f t="shared" si="2"/>
        <v>9073104.9500000011</v>
      </c>
      <c r="F12" s="134">
        <f t="shared" si="2"/>
        <v>11351685.049999999</v>
      </c>
      <c r="G12" s="134">
        <f t="shared" si="2"/>
        <v>10022694.029999999</v>
      </c>
      <c r="H12" s="134">
        <f t="shared" si="2"/>
        <v>7245348.2799999993</v>
      </c>
      <c r="I12" s="134">
        <f t="shared" si="2"/>
        <v>10932823.279999999</v>
      </c>
      <c r="J12" s="134">
        <f t="shared" si="2"/>
        <v>10199420.810000001</v>
      </c>
      <c r="K12" s="134">
        <f t="shared" si="2"/>
        <v>9880202.6699999999</v>
      </c>
      <c r="L12" s="134">
        <f t="shared" si="2"/>
        <v>10435806.41</v>
      </c>
      <c r="M12" s="134">
        <f t="shared" si="2"/>
        <v>7205149.540000001</v>
      </c>
      <c r="N12" s="134">
        <f t="shared" si="2"/>
        <v>9307229.120000001</v>
      </c>
      <c r="O12" s="134">
        <f t="shared" si="2"/>
        <v>109566741.38</v>
      </c>
    </row>
    <row r="13" spans="1:15" ht="11.25" customHeight="1">
      <c r="A13" s="26"/>
      <c r="B13" s="28" t="s">
        <v>76</v>
      </c>
      <c r="C13" s="133">
        <f>SUM(C14:C65)</f>
        <v>6079156.3100000005</v>
      </c>
      <c r="D13" s="133">
        <f t="shared" ref="D13:O13" si="3">SUM(D14:D65)</f>
        <v>6648258.8500000006</v>
      </c>
      <c r="E13" s="133">
        <f t="shared" si="3"/>
        <v>7752878.54</v>
      </c>
      <c r="F13" s="133">
        <f t="shared" si="3"/>
        <v>9766901.5600000005</v>
      </c>
      <c r="G13" s="133">
        <f t="shared" si="3"/>
        <v>8489979.8900000006</v>
      </c>
      <c r="H13" s="133">
        <f t="shared" si="3"/>
        <v>6585943.629999999</v>
      </c>
      <c r="I13" s="133">
        <f t="shared" si="3"/>
        <v>9711798.620000001</v>
      </c>
      <c r="J13" s="133">
        <f t="shared" si="3"/>
        <v>8847938.9500000011</v>
      </c>
      <c r="K13" s="133">
        <f t="shared" si="3"/>
        <v>8603262.7200000007</v>
      </c>
      <c r="L13" s="133">
        <f t="shared" si="3"/>
        <v>9061136.4800000042</v>
      </c>
      <c r="M13" s="133">
        <f t="shared" si="3"/>
        <v>6593894.75</v>
      </c>
      <c r="N13" s="133">
        <f t="shared" si="3"/>
        <v>8267569.3100000005</v>
      </c>
      <c r="O13" s="133">
        <f t="shared" si="3"/>
        <v>96408719.609999999</v>
      </c>
    </row>
    <row r="14" spans="1:15" ht="11.25" customHeight="1">
      <c r="A14" s="34"/>
      <c r="B14" s="35" t="s">
        <v>101</v>
      </c>
      <c r="C14" s="135">
        <f>ROUNDUP('採算表(VND)'!C14/$N$1,2)</f>
        <v>5349874.12</v>
      </c>
      <c r="D14" s="135">
        <f>ROUNDUP('採算表(VND)'!D14/$N$1,2)</f>
        <v>5868481.9299999997</v>
      </c>
      <c r="E14" s="135">
        <f>ROUNDUP('採算表(VND)'!E14/$N$1,2)</f>
        <v>7068264.0499999998</v>
      </c>
      <c r="F14" s="135">
        <f>ROUNDUP('採算表(VND)'!F14/$N$1,2)</f>
        <v>8838056.3599999994</v>
      </c>
      <c r="G14" s="135">
        <f>ROUNDUP('採算表(VND)'!G14/$N$1,2)</f>
        <v>7780108.1299999999</v>
      </c>
      <c r="H14" s="135">
        <f>ROUNDUP('採算表(VND)'!H14/$N$1,2)</f>
        <v>5649472.7299999995</v>
      </c>
      <c r="I14" s="135">
        <f>ROUNDUP('採算表(VND)'!I14/$N$1,2)</f>
        <v>8476017.1899999995</v>
      </c>
      <c r="J14" s="135">
        <f>ROUNDUP('採算表(VND)'!J14/$N$1,2)</f>
        <v>7913978.8099999996</v>
      </c>
      <c r="K14" s="135">
        <f>ROUNDUP('採算表(VND)'!K14/$N$1,2)</f>
        <v>7649510.5</v>
      </c>
      <c r="L14" s="135">
        <f>ROUNDUP('採算表(VND)'!L14/$N$1,2)</f>
        <v>8064826.71</v>
      </c>
      <c r="M14" s="135">
        <f>ROUNDUP('採算表(VND)'!M14/$N$1,2)</f>
        <v>5594497.6899999995</v>
      </c>
      <c r="N14" s="135">
        <f>ROUNDUP('採算表(VND)'!N14/$N$1,2)</f>
        <v>7201589.79</v>
      </c>
      <c r="O14" s="135">
        <f t="shared" ref="O14:O65" si="4">SUM(C14:N14)</f>
        <v>85454678.010000005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28844.579999999998</v>
      </c>
      <c r="D20" s="136">
        <f>ROUNDUP('採算表(VND)'!D20/$N$1,2)</f>
        <v>28736.399999999998</v>
      </c>
      <c r="E20" s="136">
        <f>ROUNDUP('採算表(VND)'!E20/$N$1,2)</f>
        <v>28474.12</v>
      </c>
      <c r="F20" s="136">
        <f>ROUNDUP('採算表(VND)'!F20/$N$1,2)</f>
        <v>28740.969999999998</v>
      </c>
      <c r="G20" s="136">
        <f>ROUNDUP('採算表(VND)'!G20/$N$1,2)</f>
        <v>28841.289999999997</v>
      </c>
      <c r="H20" s="136">
        <f>ROUNDUP('採算表(VND)'!H20/$N$1,2)</f>
        <v>29297.469999999998</v>
      </c>
      <c r="I20" s="136">
        <f>ROUNDUP('採算表(VND)'!I20/$N$1,2)</f>
        <v>29705.32</v>
      </c>
      <c r="J20" s="136">
        <f>ROUNDUP('採算表(VND)'!J20/$N$1,2)</f>
        <v>29709.519999999997</v>
      </c>
      <c r="K20" s="136">
        <f>ROUNDUP('採算表(VND)'!K20/$N$1,2)</f>
        <v>29712.639999999999</v>
      </c>
      <c r="L20" s="136">
        <f>ROUNDUP('採算表(VND)'!L20/$N$1,2)</f>
        <v>29675.73</v>
      </c>
      <c r="M20" s="136">
        <f>ROUNDUP('採算表(VND)'!M20/$N$1,2)</f>
        <v>29755.09</v>
      </c>
      <c r="N20" s="136">
        <f>ROUNDUP('採算表(VND)'!N20/$N$1,2)</f>
        <v>29518.09</v>
      </c>
      <c r="O20" s="136">
        <f t="shared" si="4"/>
        <v>351011.22000000003</v>
      </c>
    </row>
    <row r="21" spans="1:15" ht="11.25" customHeight="1">
      <c r="A21" s="34"/>
      <c r="B21" s="36" t="s">
        <v>46</v>
      </c>
      <c r="C21" s="136">
        <f>ROUNDUP('採算表(VND)'!C21/$N$1,2)</f>
        <v>66513.239999999991</v>
      </c>
      <c r="D21" s="136">
        <f>ROUNDUP('採算表(VND)'!D21/$N$1,2)</f>
        <v>66789.72</v>
      </c>
      <c r="E21" s="136">
        <f>ROUNDUP('採算表(VND)'!E21/$N$1,2)</f>
        <v>63945.93</v>
      </c>
      <c r="F21" s="136">
        <f>ROUNDUP('採算表(VND)'!F21/$N$1,2)</f>
        <v>94151.319999999992</v>
      </c>
      <c r="G21" s="136">
        <f>ROUNDUP('採算表(VND)'!G21/$N$1,2)</f>
        <v>122842.7</v>
      </c>
      <c r="H21" s="136">
        <f>ROUNDUP('採算表(VND)'!H21/$N$1,2)</f>
        <v>148893.24000000002</v>
      </c>
      <c r="I21" s="136">
        <f>ROUNDUP('採算表(VND)'!I21/$N$1,2)</f>
        <v>192019.19</v>
      </c>
      <c r="J21" s="136">
        <f>ROUNDUP('採算表(VND)'!J21/$N$1,2)</f>
        <v>234996.95</v>
      </c>
      <c r="K21" s="136">
        <f>ROUNDUP('採算表(VND)'!K21/$N$1,2)</f>
        <v>280749.69</v>
      </c>
      <c r="L21" s="136">
        <f>ROUNDUP('採算表(VND)'!L21/$N$1,2)</f>
        <v>323016.69</v>
      </c>
      <c r="M21" s="136">
        <f>ROUNDUP('採算表(VND)'!M21/$N$1,2)</f>
        <v>360867.36</v>
      </c>
      <c r="N21" s="136">
        <f>ROUNDUP('採算表(VND)'!N21/$N$1,2)</f>
        <v>396034.27</v>
      </c>
      <c r="O21" s="136">
        <f t="shared" si="4"/>
        <v>2350820.2999999998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30935.719999999998</v>
      </c>
      <c r="D25" s="136">
        <f>ROUNDUP('採算表(VND)'!D25/$N$1,2)</f>
        <v>30424.66</v>
      </c>
      <c r="E25" s="136">
        <f>ROUNDUP('採算表(VND)'!E25/$N$1,2)</f>
        <v>35267.130000000005</v>
      </c>
      <c r="F25" s="136">
        <f>ROUNDUP('採算表(VND)'!F25/$N$1,2)</f>
        <v>46939.170000000006</v>
      </c>
      <c r="G25" s="136">
        <f>ROUNDUP('採算表(VND)'!G25/$N$1,2)</f>
        <v>43514.11</v>
      </c>
      <c r="H25" s="136">
        <f>ROUNDUP('採算表(VND)'!H25/$N$1,2)</f>
        <v>39344.39</v>
      </c>
      <c r="I25" s="136">
        <f>ROUNDUP('採算表(VND)'!I25/$N$1,2)</f>
        <v>53927.73</v>
      </c>
      <c r="J25" s="136">
        <f>ROUNDUP('採算表(VND)'!J25/$N$1,2)</f>
        <v>48328.170000000006</v>
      </c>
      <c r="K25" s="136">
        <f>ROUNDUP('採算表(VND)'!K25/$N$1,2)</f>
        <v>53433.79</v>
      </c>
      <c r="L25" s="136">
        <f>ROUNDUP('採算表(VND)'!L25/$N$1,2)</f>
        <v>50182.89</v>
      </c>
      <c r="M25" s="136">
        <f>ROUNDUP('採算表(VND)'!M25/$N$1,2)</f>
        <v>40526.550000000003</v>
      </c>
      <c r="N25" s="136">
        <f>ROUNDUP('採算表(VND)'!N25/$N$1,2)</f>
        <v>50196.670000000006</v>
      </c>
      <c r="O25" s="136">
        <f t="shared" si="4"/>
        <v>523020.98</v>
      </c>
    </row>
    <row r="26" spans="1:15" ht="11.25" customHeight="1">
      <c r="A26" s="34"/>
      <c r="B26" s="37" t="s">
        <v>104</v>
      </c>
      <c r="C26" s="136">
        <f>ROUNDUP('採算表(VND)'!C26/$N$1,2)</f>
        <v>21901.16</v>
      </c>
      <c r="D26" s="136">
        <f>ROUNDUP('採算表(VND)'!D26/$N$1,2)</f>
        <v>21406.179999999997</v>
      </c>
      <c r="E26" s="136">
        <f>ROUNDUP('採算表(VND)'!E26/$N$1,2)</f>
        <v>22234.399999999998</v>
      </c>
      <c r="F26" s="136">
        <f>ROUNDUP('採算表(VND)'!F26/$N$1,2)</f>
        <v>179244.13</v>
      </c>
      <c r="G26" s="136">
        <f>ROUNDUP('採算表(VND)'!G26/$N$1,2)</f>
        <v>25387.649999999998</v>
      </c>
      <c r="H26" s="136">
        <f>ROUNDUP('採算表(VND)'!H26/$N$1,2)</f>
        <v>231913.51</v>
      </c>
      <c r="I26" s="136">
        <f>ROUNDUP('採算表(VND)'!I26/$N$1,2)</f>
        <v>367829.79000000004</v>
      </c>
      <c r="J26" s="136">
        <f>ROUNDUP('採算表(VND)'!J26/$N$1,2)</f>
        <v>87477.31</v>
      </c>
      <c r="K26" s="136">
        <f>ROUNDUP('採算表(VND)'!K26/$N$1,2)</f>
        <v>26296.59</v>
      </c>
      <c r="L26" s="136">
        <f>ROUNDUP('採算表(VND)'!L26/$N$1,2)</f>
        <v>20519.929999999997</v>
      </c>
      <c r="M26" s="136">
        <f>ROUNDUP('採算表(VND)'!M26/$N$1,2)</f>
        <v>46992.72</v>
      </c>
      <c r="N26" s="136">
        <f>ROUNDUP('採算表(VND)'!N26/$N$1,2)</f>
        <v>35682.950000000004</v>
      </c>
      <c r="O26" s="136">
        <f t="shared" si="4"/>
        <v>1086886.32</v>
      </c>
    </row>
    <row r="27" spans="1:15" ht="11.25" customHeight="1">
      <c r="A27" s="34"/>
      <c r="B27" s="37" t="s">
        <v>54</v>
      </c>
      <c r="C27" s="136">
        <f>ROUNDUP('採算表(VND)'!C27/$N$1,2)</f>
        <v>5000</v>
      </c>
      <c r="D27" s="136">
        <f>ROUNDUP('採算表(VND)'!D27/$N$1,2)</f>
        <v>5000</v>
      </c>
      <c r="E27" s="136">
        <f>ROUNDUP('採算表(VND)'!E27/$N$1,2)</f>
        <v>5000</v>
      </c>
      <c r="F27" s="136">
        <f>ROUNDUP('採算表(VND)'!F27/$N$1,2)</f>
        <v>5000</v>
      </c>
      <c r="G27" s="136">
        <f>ROUNDUP('採算表(VND)'!G27/$N$1,2)</f>
        <v>5000</v>
      </c>
      <c r="H27" s="136">
        <f>ROUNDUP('採算表(VND)'!H27/$N$1,2)</f>
        <v>5000</v>
      </c>
      <c r="I27" s="136">
        <f>ROUNDUP('採算表(VND)'!I27/$N$1,2)</f>
        <v>5000</v>
      </c>
      <c r="J27" s="136">
        <f>ROUNDUP('採算表(VND)'!J27/$N$1,2)</f>
        <v>5000</v>
      </c>
      <c r="K27" s="136">
        <f>ROUNDUP('採算表(VND)'!K27/$N$1,2)</f>
        <v>5000</v>
      </c>
      <c r="L27" s="136">
        <f>ROUNDUP('採算表(VND)'!L27/$N$1,2)</f>
        <v>5000</v>
      </c>
      <c r="M27" s="136">
        <f>ROUNDUP('採算表(VND)'!M27/$N$1,2)</f>
        <v>5000</v>
      </c>
      <c r="N27" s="136">
        <f>ROUNDUP('採算表(VND)'!N27/$N$1,2)</f>
        <v>5000</v>
      </c>
      <c r="O27" s="136">
        <f t="shared" si="4"/>
        <v>60000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7235.26</v>
      </c>
      <c r="D30" s="136">
        <f>ROUNDUP('採算表(VND)'!D30/$N$1,2)</f>
        <v>7457.88</v>
      </c>
      <c r="E30" s="136">
        <f>ROUNDUP('採算表(VND)'!E30/$N$1,2)</f>
        <v>9121.68</v>
      </c>
      <c r="F30" s="136">
        <f>ROUNDUP('採算表(VND)'!F30/$N$1,2)</f>
        <v>10591.36</v>
      </c>
      <c r="G30" s="136">
        <f>ROUNDUP('採算表(VND)'!G30/$N$1,2)</f>
        <v>10788.79</v>
      </c>
      <c r="H30" s="136">
        <f>ROUNDUP('採算表(VND)'!H30/$N$1,2)</f>
        <v>10291.1</v>
      </c>
      <c r="I30" s="136">
        <f>ROUNDUP('採算表(VND)'!I30/$N$1,2)</f>
        <v>10744</v>
      </c>
      <c r="J30" s="136">
        <f>ROUNDUP('採算表(VND)'!J30/$N$1,2)</f>
        <v>11112.99</v>
      </c>
      <c r="K30" s="136">
        <f>ROUNDUP('採算表(VND)'!K30/$N$1,2)</f>
        <v>11103.5</v>
      </c>
      <c r="L30" s="136">
        <f>ROUNDUP('採算表(VND)'!L30/$N$1,2)</f>
        <v>9552.94</v>
      </c>
      <c r="M30" s="136">
        <f>ROUNDUP('採算表(VND)'!M30/$N$1,2)</f>
        <v>8632.1200000000008</v>
      </c>
      <c r="N30" s="136">
        <f>ROUNDUP('採算表(VND)'!N30/$N$1,2)</f>
        <v>8691.25</v>
      </c>
      <c r="O30" s="136">
        <f t="shared" si="4"/>
        <v>115322.87000000001</v>
      </c>
    </row>
    <row r="31" spans="1:15" ht="11.25" customHeight="1">
      <c r="A31" s="34"/>
      <c r="B31" s="37" t="s">
        <v>59</v>
      </c>
      <c r="C31" s="136">
        <f>ROUNDUP('採算表(VND)'!C31/$N$1,2)</f>
        <v>19068.539999999997</v>
      </c>
      <c r="D31" s="136">
        <f>ROUNDUP('採算表(VND)'!D31/$N$1,2)</f>
        <v>19052.78</v>
      </c>
      <c r="E31" s="136">
        <f>ROUNDUP('採算表(VND)'!E31/$N$1,2)</f>
        <v>18903.12</v>
      </c>
      <c r="F31" s="136">
        <f>ROUNDUP('採算表(VND)'!F31/$N$1,2)</f>
        <v>18974.009999999998</v>
      </c>
      <c r="G31" s="136">
        <f>ROUNDUP('採算表(VND)'!G31/$N$1,2)</f>
        <v>18761.329999999998</v>
      </c>
      <c r="H31" s="136">
        <f>ROUNDUP('採算表(VND)'!H31/$N$1,2)</f>
        <v>18820.41</v>
      </c>
      <c r="I31" s="136">
        <f>ROUNDUP('採算表(VND)'!I31/$N$1,2)</f>
        <v>18824.349999999999</v>
      </c>
      <c r="J31" s="136">
        <f>ROUNDUP('採算表(VND)'!J31/$N$1,2)</f>
        <v>19423.009999999998</v>
      </c>
      <c r="K31" s="136">
        <f>ROUNDUP('採算表(VND)'!K31/$N$1,2)</f>
        <v>32755.03</v>
      </c>
      <c r="L31" s="136">
        <f>ROUNDUP('採算表(VND)'!L31/$N$1,2)</f>
        <v>19013.399999999998</v>
      </c>
      <c r="M31" s="136">
        <f>ROUNDUP('採算表(VND)'!M31/$N$1,2)</f>
        <v>18934.62</v>
      </c>
      <c r="N31" s="136">
        <f>ROUNDUP('採算表(VND)'!N31/$N$1,2)</f>
        <v>19029.149999999998</v>
      </c>
      <c r="O31" s="136">
        <f t="shared" si="4"/>
        <v>241559.74999999997</v>
      </c>
    </row>
    <row r="32" spans="1:15" ht="11.25" customHeight="1">
      <c r="A32" s="38"/>
      <c r="B32" s="37" t="s">
        <v>61</v>
      </c>
      <c r="C32" s="136">
        <f>ROUNDUP('採算表(VND)'!C32/$N$1,2)</f>
        <v>173629.89</v>
      </c>
      <c r="D32" s="136">
        <f>ROUNDUP('採算表(VND)'!D32/$N$1,2)</f>
        <v>169993.77000000002</v>
      </c>
      <c r="E32" s="136">
        <f>ROUNDUP('採算表(VND)'!E32/$N$1,2)</f>
        <v>177266</v>
      </c>
      <c r="F32" s="136">
        <f>ROUNDUP('採算表(VND)'!F32/$N$1,2)</f>
        <v>184538.23</v>
      </c>
      <c r="G32" s="136">
        <f>ROUNDUP('採算表(VND)'!G32/$N$1,2)</f>
        <v>173629.89</v>
      </c>
      <c r="H32" s="136">
        <f>ROUNDUP('採算表(VND)'!H32/$N$1,2)</f>
        <v>169993.77000000002</v>
      </c>
      <c r="I32" s="136">
        <f>ROUNDUP('採算表(VND)'!I32/$N$1,2)</f>
        <v>184538.23</v>
      </c>
      <c r="J32" s="136">
        <f>ROUNDUP('採算表(VND)'!J32/$N$1,2)</f>
        <v>173629.89</v>
      </c>
      <c r="K32" s="136">
        <f>ROUNDUP('採算表(VND)'!K32/$N$1,2)</f>
        <v>180902.12</v>
      </c>
      <c r="L32" s="136">
        <f>ROUNDUP('採算表(VND)'!L32/$N$1,2)</f>
        <v>173629.89</v>
      </c>
      <c r="M32" s="136">
        <f>ROUNDUP('採算表(VND)'!M32/$N$1,2)</f>
        <v>155449.31</v>
      </c>
      <c r="N32" s="136">
        <f>ROUNDUP('採算表(VND)'!N32/$N$1,2)</f>
        <v>177266</v>
      </c>
      <c r="O32" s="136">
        <f t="shared" si="4"/>
        <v>2094466.9900000002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39.39</v>
      </c>
      <c r="D38" s="136">
        <f>ROUNDUP('採算表(VND)'!D38/$N$1,2)</f>
        <v>39.39</v>
      </c>
      <c r="E38" s="136">
        <f>ROUNDUP('採算表(VND)'!E38/$N$1,2)</f>
        <v>39.39</v>
      </c>
      <c r="F38" s="136">
        <f>ROUNDUP('採算表(VND)'!F38/$N$1,2)</f>
        <v>39.39</v>
      </c>
      <c r="G38" s="136">
        <f>ROUNDUP('採算表(VND)'!G38/$N$1,2)</f>
        <v>39.39</v>
      </c>
      <c r="H38" s="136">
        <f>ROUNDUP('採算表(VND)'!H38/$N$1,2)</f>
        <v>39.39</v>
      </c>
      <c r="I38" s="136">
        <f>ROUNDUP('採算表(VND)'!I38/$N$1,2)</f>
        <v>39.39</v>
      </c>
      <c r="J38" s="136">
        <f>ROUNDUP('採算表(VND)'!J38/$N$1,2)</f>
        <v>39.39</v>
      </c>
      <c r="K38" s="136">
        <f>ROUNDUP('採算表(VND)'!K38/$N$1,2)</f>
        <v>39.39</v>
      </c>
      <c r="L38" s="136">
        <f>ROUNDUP('採算表(VND)'!L38/$N$1,2)</f>
        <v>39.39</v>
      </c>
      <c r="M38" s="136">
        <f>ROUNDUP('採算表(VND)'!M38/$N$1,2)</f>
        <v>39.39</v>
      </c>
      <c r="N38" s="136">
        <f>ROUNDUP('採算表(VND)'!N38/$N$1,2)</f>
        <v>39.39</v>
      </c>
      <c r="O38" s="136">
        <f t="shared" si="4"/>
        <v>472.67999999999989</v>
      </c>
    </row>
    <row r="39" spans="1:15" ht="11.25" customHeight="1">
      <c r="A39" s="38"/>
      <c r="B39" s="37" t="s">
        <v>50</v>
      </c>
      <c r="C39" s="136">
        <f>ROUNDUP('採算表(VND)'!C39/$N$1,2)</f>
        <v>2516.65</v>
      </c>
      <c r="D39" s="136">
        <f>ROUNDUP('採算表(VND)'!D39/$N$1,2)</f>
        <v>2577.5700000000002</v>
      </c>
      <c r="E39" s="136">
        <f>ROUNDUP('採算表(VND)'!E39/$N$1,2)</f>
        <v>2731.2200000000003</v>
      </c>
      <c r="F39" s="136">
        <f>ROUNDUP('採算表(VND)'!F39/$N$1,2)</f>
        <v>2376.2000000000003</v>
      </c>
      <c r="G39" s="136">
        <f>ROUNDUP('採算表(VND)'!G39/$N$1,2)</f>
        <v>2250.9100000000003</v>
      </c>
      <c r="H39" s="136">
        <f>ROUNDUP('採算表(VND)'!H39/$N$1,2)</f>
        <v>2677.4100000000003</v>
      </c>
      <c r="I39" s="136">
        <f>ROUNDUP('採算表(VND)'!I39/$N$1,2)</f>
        <v>3064.5200000000004</v>
      </c>
      <c r="J39" s="136">
        <f>ROUNDUP('採算表(VND)'!J39/$N$1,2)</f>
        <v>3584.3100000000004</v>
      </c>
      <c r="K39" s="136">
        <f>ROUNDUP('採算表(VND)'!K39/$N$1,2)</f>
        <v>3605.03</v>
      </c>
      <c r="L39" s="136">
        <f>ROUNDUP('採算表(VND)'!L39/$N$1,2)</f>
        <v>3450.4300000000003</v>
      </c>
      <c r="M39" s="136">
        <f>ROUNDUP('採算表(VND)'!M39/$N$1,2)</f>
        <v>3323.2900000000004</v>
      </c>
      <c r="N39" s="136">
        <f>ROUNDUP('採算表(VND)'!N39/$N$1,2)</f>
        <v>3801.88</v>
      </c>
      <c r="O39" s="136">
        <f t="shared" si="4"/>
        <v>35959.420000000006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360.93</v>
      </c>
      <c r="D41" s="136">
        <f>ROUNDUP('採算表(VND)'!D41/$N$1,2)</f>
        <v>360.93</v>
      </c>
      <c r="E41" s="136">
        <f>ROUNDUP('採算表(VND)'!E41/$N$1,2)</f>
        <v>360.93</v>
      </c>
      <c r="F41" s="136">
        <f>ROUNDUP('採算表(VND)'!F41/$N$1,2)</f>
        <v>360.93</v>
      </c>
      <c r="G41" s="136">
        <f>ROUNDUP('採算表(VND)'!G41/$N$1,2)</f>
        <v>360.93</v>
      </c>
      <c r="H41" s="136">
        <f>ROUNDUP('採算表(VND)'!H41/$N$1,2)</f>
        <v>360.93</v>
      </c>
      <c r="I41" s="136">
        <f>ROUNDUP('採算表(VND)'!I41/$N$1,2)</f>
        <v>360.93</v>
      </c>
      <c r="J41" s="136">
        <f>ROUNDUP('採算表(VND)'!J41/$N$1,2)</f>
        <v>360.93</v>
      </c>
      <c r="K41" s="136">
        <f>ROUNDUP('採算表(VND)'!K41/$N$1,2)</f>
        <v>360.93</v>
      </c>
      <c r="L41" s="136">
        <f>ROUNDUP('採算表(VND)'!L41/$N$1,2)</f>
        <v>360.93</v>
      </c>
      <c r="M41" s="136">
        <f>ROUNDUP('採算表(VND)'!M41/$N$1,2)</f>
        <v>360.93</v>
      </c>
      <c r="N41" s="136">
        <f>ROUNDUP('採算表(VND)'!N41/$N$1,2)</f>
        <v>360.93</v>
      </c>
      <c r="O41" s="136">
        <f t="shared" si="4"/>
        <v>4331.1599999999989</v>
      </c>
    </row>
    <row r="42" spans="1:15" ht="11.25" customHeight="1">
      <c r="A42" s="38"/>
      <c r="B42" s="37" t="s">
        <v>98</v>
      </c>
      <c r="C42" s="136">
        <f>ROUNDUP('採算表(VND)'!C42/$N$1,2)</f>
        <v>11312.960000000001</v>
      </c>
      <c r="D42" s="136">
        <f>ROUNDUP('採算表(VND)'!D42/$N$1,2)</f>
        <v>11312.960000000001</v>
      </c>
      <c r="E42" s="136">
        <f>ROUNDUP('採算表(VND)'!E42/$N$1,2)</f>
        <v>11312.960000000001</v>
      </c>
      <c r="F42" s="136">
        <f>ROUNDUP('採算表(VND)'!F42/$N$1,2)</f>
        <v>11312.960000000001</v>
      </c>
      <c r="G42" s="136">
        <f>ROUNDUP('採算表(VND)'!G42/$N$1,2)</f>
        <v>11381.44</v>
      </c>
      <c r="H42" s="136">
        <f>ROUNDUP('採算表(VND)'!H42/$N$1,2)</f>
        <v>12199.44</v>
      </c>
      <c r="I42" s="136">
        <f>ROUNDUP('採算表(VND)'!I42/$N$1,2)</f>
        <v>12538.050000000001</v>
      </c>
      <c r="J42" s="136">
        <f>ROUNDUP('採算表(VND)'!J42/$N$1,2)</f>
        <v>11469.91</v>
      </c>
      <c r="K42" s="136">
        <f>ROUNDUP('採算表(VND)'!K42/$N$1,2)</f>
        <v>11312.960000000001</v>
      </c>
      <c r="L42" s="136">
        <f>ROUNDUP('採算表(VND)'!L42/$N$1,2)</f>
        <v>11495.58</v>
      </c>
      <c r="M42" s="136">
        <f>ROUNDUP('採算表(VND)'!M42/$N$1,2)</f>
        <v>12111.93</v>
      </c>
      <c r="N42" s="136">
        <f>ROUNDUP('採算表(VND)'!N42/$N$1,2)</f>
        <v>11312.960000000001</v>
      </c>
      <c r="O42" s="136">
        <f t="shared" si="4"/>
        <v>139074.11000000002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42880.25</v>
      </c>
      <c r="D44" s="136">
        <f>ROUNDUP('採算表(VND)'!D44/$N$1,2)</f>
        <v>76361.549999999988</v>
      </c>
      <c r="E44" s="136">
        <f>ROUNDUP('採算表(VND)'!E44/$N$1,2)</f>
        <v>27171.66</v>
      </c>
      <c r="F44" s="136">
        <f>ROUNDUP('採算表(VND)'!F44/$N$1,2)</f>
        <v>18971.009999999998</v>
      </c>
      <c r="G44" s="136">
        <f>ROUNDUP('採算表(VND)'!G44/$N$1,2)</f>
        <v>19300.59</v>
      </c>
      <c r="H44" s="136">
        <f>ROUNDUP('採算表(VND)'!H44/$N$1,2)</f>
        <v>31440.989999999998</v>
      </c>
      <c r="I44" s="136">
        <f>ROUNDUP('採算表(VND)'!I44/$N$1,2)</f>
        <v>38752.43</v>
      </c>
      <c r="J44" s="136">
        <f>ROUNDUP('採算表(VND)'!J44/$N$1,2)</f>
        <v>28618.84</v>
      </c>
      <c r="K44" s="136">
        <f>ROUNDUP('採算表(VND)'!K44/$N$1,2)</f>
        <v>31658.109999999997</v>
      </c>
      <c r="L44" s="136">
        <f>ROUNDUP('採算表(VND)'!L44/$N$1,2)</f>
        <v>17772.199999999997</v>
      </c>
      <c r="M44" s="136">
        <f>ROUNDUP('採算表(VND)'!M44/$N$1,2)</f>
        <v>33454.75</v>
      </c>
      <c r="N44" s="136">
        <f>ROUNDUP('採算表(VND)'!N44/$N$1,2)</f>
        <v>39416.85</v>
      </c>
      <c r="O44" s="136">
        <f t="shared" si="4"/>
        <v>405799.23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500</v>
      </c>
      <c r="D50" s="138">
        <f>ROUNDUP('採算表(VND)'!D50/$N$1,2)</f>
        <v>500</v>
      </c>
      <c r="E50" s="138">
        <f>ROUNDUP('採算表(VND)'!E50/$N$1,2)</f>
        <v>500</v>
      </c>
      <c r="F50" s="138">
        <f>ROUNDUP('採算表(VND)'!F50/$N$1,2)</f>
        <v>500</v>
      </c>
      <c r="G50" s="138">
        <f>ROUNDUP('採算表(VND)'!G50/$N$1,2)</f>
        <v>1877.33</v>
      </c>
      <c r="H50" s="138">
        <f>ROUNDUP('採算表(VND)'!H50/$N$1,2)</f>
        <v>300</v>
      </c>
      <c r="I50" s="138">
        <f>ROUNDUP('採算表(VND)'!I50/$N$1,2)</f>
        <v>500</v>
      </c>
      <c r="J50" s="138">
        <f>ROUNDUP('採算表(VND)'!J50/$N$1,2)</f>
        <v>500</v>
      </c>
      <c r="K50" s="138">
        <f>ROUNDUP('採算表(VND)'!K50/$N$1,2)</f>
        <v>500</v>
      </c>
      <c r="L50" s="138">
        <f>ROUNDUP('採算表(VND)'!L50/$N$1,2)</f>
        <v>500</v>
      </c>
      <c r="M50" s="138">
        <f>ROUNDUP('採算表(VND)'!M50/$N$1,2)</f>
        <v>1500</v>
      </c>
      <c r="N50" s="138">
        <f>ROUNDUP('採算表(VND)'!N50/$N$1,2)</f>
        <v>677.33</v>
      </c>
      <c r="O50" s="138">
        <f t="shared" si="4"/>
        <v>8354.66</v>
      </c>
    </row>
    <row r="51" spans="1:15" ht="11.25" customHeight="1">
      <c r="A51" s="38"/>
      <c r="B51" s="39" t="s">
        <v>105</v>
      </c>
      <c r="C51" s="138">
        <f>ROUNDUP('採算表(VND)'!C51/$N$1,2)</f>
        <v>3761.23</v>
      </c>
      <c r="D51" s="138">
        <f>ROUNDUP('採算表(VND)'!D51/$N$1,2)</f>
        <v>3761.23</v>
      </c>
      <c r="E51" s="138">
        <f>ROUNDUP('採算表(VND)'!E51/$N$1,2)</f>
        <v>3761.23</v>
      </c>
      <c r="F51" s="138">
        <f>ROUNDUP('採算表(VND)'!F51/$N$1,2)</f>
        <v>3761.23</v>
      </c>
      <c r="G51" s="138">
        <f>ROUNDUP('採算表(VND)'!G51/$N$1,2)</f>
        <v>7000</v>
      </c>
      <c r="H51" s="138">
        <f>ROUNDUP('採算表(VND)'!H51/$N$1,2)</f>
        <v>3761.23</v>
      </c>
      <c r="I51" s="138">
        <f>ROUNDUP('採算表(VND)'!I51/$N$1,2)</f>
        <v>3761.23</v>
      </c>
      <c r="J51" s="138">
        <f>ROUNDUP('採算表(VND)'!J51/$N$1,2)</f>
        <v>3761.23</v>
      </c>
      <c r="K51" s="138">
        <f>ROUNDUP('採算表(VND)'!K51/$N$1,2)</f>
        <v>3761.23</v>
      </c>
      <c r="L51" s="138">
        <f>ROUNDUP('採算表(VND)'!L51/$N$1,2)</f>
        <v>4761.2300000000005</v>
      </c>
      <c r="M51" s="138">
        <f>ROUNDUP('採算表(VND)'!M51/$N$1,2)</f>
        <v>3761.23</v>
      </c>
      <c r="N51" s="138">
        <f>ROUNDUP('採算表(VND)'!N51/$N$1,2)</f>
        <v>3761.23</v>
      </c>
      <c r="O51" s="138">
        <f t="shared" si="4"/>
        <v>49373.530000000013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16182.23</v>
      </c>
      <c r="D57" s="139">
        <f>ROUNDUP('採算表(VND)'!D57/$N$1,2)</f>
        <v>13399.32</v>
      </c>
      <c r="E57" s="139">
        <f>ROUNDUP('採算表(VND)'!E57/$N$1,2)</f>
        <v>13514.69</v>
      </c>
      <c r="F57" s="139">
        <f>ROUNDUP('採算表(VND)'!F57/$N$1,2)</f>
        <v>13777.17</v>
      </c>
      <c r="G57" s="139">
        <f>ROUNDUP('採算表(VND)'!G57/$N$1,2)</f>
        <v>16502.489999999998</v>
      </c>
      <c r="H57" s="139">
        <f>ROUNDUP('採算表(VND)'!H57/$N$1,2)</f>
        <v>19255.73</v>
      </c>
      <c r="I57" s="139">
        <f>ROUNDUP('採算表(VND)'!I57/$N$1,2)</f>
        <v>22043.609999999997</v>
      </c>
      <c r="J57" s="139">
        <f>ROUNDUP('採算表(VND)'!J57/$N$1,2)</f>
        <v>25380.879999999997</v>
      </c>
      <c r="K57" s="139">
        <f>ROUNDUP('採算表(VND)'!K57/$N$1,2)</f>
        <v>28769.899999999998</v>
      </c>
      <c r="L57" s="139">
        <f>ROUNDUP('採算表(VND)'!L57/$N$1,2)</f>
        <v>32144.34</v>
      </c>
      <c r="M57" s="139">
        <f>ROUNDUP('採算表(VND)'!M57/$N$1,2)</f>
        <v>35207.730000000003</v>
      </c>
      <c r="N57" s="139">
        <f>ROUNDUP('採算表(VND)'!N57/$N$1,2)</f>
        <v>38201.370000000003</v>
      </c>
      <c r="O57" s="139">
        <f t="shared" si="4"/>
        <v>274379.46000000002</v>
      </c>
    </row>
    <row r="58" spans="1:15" ht="11.25" customHeight="1">
      <c r="A58" s="38"/>
      <c r="B58" s="37" t="s">
        <v>122</v>
      </c>
      <c r="C58" s="139">
        <f>ROUNDUP('採算表(VND)'!C58/$N$1,2)</f>
        <v>29548.129999999997</v>
      </c>
      <c r="D58" s="139">
        <f>ROUNDUP('採算表(VND)'!D58/$N$1,2)</f>
        <v>27848.469999999998</v>
      </c>
      <c r="E58" s="139">
        <f>ROUNDUP('採算表(VND)'!E58/$N$1,2)</f>
        <v>29588.2</v>
      </c>
      <c r="F58" s="139">
        <f>ROUNDUP('採算表(VND)'!F58/$N$1,2)</f>
        <v>37431.1</v>
      </c>
      <c r="G58" s="139">
        <f>ROUNDUP('採算表(VND)'!G58/$N$1,2)</f>
        <v>34208.770000000004</v>
      </c>
      <c r="H58" s="139">
        <f>ROUNDUP('採算表(VND)'!H58/$N$1,2)</f>
        <v>32054.05</v>
      </c>
      <c r="I58" s="139">
        <f>ROUNDUP('採算表(VND)'!I58/$N$1,2)</f>
        <v>38838.740000000005</v>
      </c>
      <c r="J58" s="139">
        <f>ROUNDUP('採算表(VND)'!J58/$N$1,2)</f>
        <v>36172.39</v>
      </c>
      <c r="K58" s="139">
        <f>ROUNDUP('採算表(VND)'!K58/$N$1,2)</f>
        <v>39093.1</v>
      </c>
      <c r="L58" s="139">
        <f>ROUNDUP('採算表(VND)'!L58/$N$1,2)</f>
        <v>38355.64</v>
      </c>
      <c r="M58" s="139">
        <f>ROUNDUP('採算表(VND)'!M58/$N$1,2)</f>
        <v>31689.7</v>
      </c>
      <c r="N58" s="139">
        <f>ROUNDUP('採算表(VND)'!N58/$N$1,2)</f>
        <v>36538.120000000003</v>
      </c>
      <c r="O58" s="139">
        <f t="shared" si="4"/>
        <v>411366.41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94179.78</v>
      </c>
      <c r="D61" s="139">
        <f>ROUNDUP('採算表(VND)'!D61/$N$1,2)</f>
        <v>88692.049999999988</v>
      </c>
      <c r="E61" s="139">
        <f>ROUNDUP('採算表(VND)'!E61/$N$1,2)</f>
        <v>80036.39</v>
      </c>
      <c r="F61" s="139">
        <f>ROUNDUP('採算表(VND)'!F61/$N$1,2)</f>
        <v>66260.649999999994</v>
      </c>
      <c r="G61" s="139">
        <f>ROUNDUP('採算表(VND)'!G61/$N$1,2)</f>
        <v>66789.62999999999</v>
      </c>
      <c r="H61" s="139">
        <f>ROUNDUP('採算表(VND)'!H61/$N$1,2)</f>
        <v>65842.06</v>
      </c>
      <c r="I61" s="139">
        <f>ROUNDUP('採算表(VND)'!I61/$N$1,2)</f>
        <v>79665.069999999992</v>
      </c>
      <c r="J61" s="139">
        <f>ROUNDUP('採算表(VND)'!J61/$N$1,2)</f>
        <v>74627.25</v>
      </c>
      <c r="K61" s="139">
        <f>ROUNDUP('採算表(VND)'!K61/$N$1,2)</f>
        <v>76412.97</v>
      </c>
      <c r="L61" s="139">
        <f>ROUNDUP('採算表(VND)'!L61/$N$1,2)</f>
        <v>76511.81</v>
      </c>
      <c r="M61" s="139">
        <f>ROUNDUP('採算表(VND)'!M61/$N$1,2)</f>
        <v>80427.67</v>
      </c>
      <c r="N61" s="139">
        <f>ROUNDUP('採算表(VND)'!N61/$N$1,2)</f>
        <v>77680.03</v>
      </c>
      <c r="O61" s="139">
        <f t="shared" si="4"/>
        <v>927125.36</v>
      </c>
    </row>
    <row r="62" spans="1:15" ht="11.25" customHeight="1">
      <c r="A62" s="38"/>
      <c r="B62" s="37" t="s">
        <v>676</v>
      </c>
      <c r="C62" s="139">
        <f>ROUNDUP('採算表(VND)'!C62/$N$1,2)</f>
        <v>10765.92</v>
      </c>
      <c r="D62" s="139">
        <f>ROUNDUP('採算表(VND)'!D62/$N$1,2)</f>
        <v>10288.710000000001</v>
      </c>
      <c r="E62" s="139">
        <f>ROUNDUP('採算表(VND)'!E62/$N$1,2)</f>
        <v>9363.57</v>
      </c>
      <c r="F62" s="139">
        <f>ROUNDUP('採算表(VND)'!F62/$N$1,2)</f>
        <v>10232.84</v>
      </c>
      <c r="G62" s="139">
        <f>ROUNDUP('採算表(VND)'!G62/$N$1,2)</f>
        <v>9110.27</v>
      </c>
      <c r="H62" s="139">
        <f>ROUNDUP('採算表(VND)'!H62/$N$1,2)</f>
        <v>6555.43</v>
      </c>
      <c r="I62" s="139">
        <f>ROUNDUP('採算表(VND)'!I62/$N$1,2)</f>
        <v>7967.76</v>
      </c>
      <c r="J62" s="139">
        <f>ROUNDUP('採算表(VND)'!J62/$N$1,2)</f>
        <v>7632.54</v>
      </c>
      <c r="K62" s="139">
        <f>ROUNDUP('採算表(VND)'!K62/$N$1,2)</f>
        <v>6870.34</v>
      </c>
      <c r="L62" s="139">
        <f>ROUNDUP('採算表(VND)'!L62/$N$1,2)</f>
        <v>6917.06</v>
      </c>
      <c r="M62" s="139">
        <f>ROUNDUP('採算表(VND)'!M62/$N$1,2)</f>
        <v>7831.1500000000005</v>
      </c>
      <c r="N62" s="139">
        <f>ROUNDUP('採算表(VND)'!N62/$N$1,2)</f>
        <v>7427.5</v>
      </c>
      <c r="O62" s="139">
        <f t="shared" si="4"/>
        <v>100963.08999999998</v>
      </c>
    </row>
    <row r="63" spans="1:15" ht="11.25" customHeight="1">
      <c r="A63" s="38"/>
      <c r="B63" s="37" t="s">
        <v>677</v>
      </c>
      <c r="C63" s="139">
        <f>ROUNDUP('採算表(VND)'!C63/$N$1,2)</f>
        <v>18565.919999999998</v>
      </c>
      <c r="D63" s="139">
        <f>ROUNDUP('採算表(VND)'!D63/$N$1,2)</f>
        <v>9831.24</v>
      </c>
      <c r="E63" s="139">
        <f>ROUNDUP('採算表(VND)'!E63/$N$1,2)</f>
        <v>8358.99</v>
      </c>
      <c r="F63" s="139">
        <f>ROUNDUP('採算表(VND)'!F63/$N$1,2)</f>
        <v>7406.91</v>
      </c>
      <c r="G63" s="139">
        <f>ROUNDUP('採算表(VND)'!G63/$N$1,2)</f>
        <v>7404.6500000000005</v>
      </c>
      <c r="H63" s="139">
        <f>ROUNDUP('採算表(VND)'!H63/$N$1,2)</f>
        <v>5917</v>
      </c>
      <c r="I63" s="139">
        <f>ROUNDUP('採算表(VND)'!I63/$N$1,2)</f>
        <v>18850.379999999997</v>
      </c>
      <c r="J63" s="139">
        <f>ROUNDUP('採算表(VND)'!J63/$N$1,2)</f>
        <v>8450.57</v>
      </c>
      <c r="K63" s="139">
        <f>ROUNDUP('採算表(VND)'!K63/$N$1,2)</f>
        <v>9089.2100000000009</v>
      </c>
      <c r="L63" s="139">
        <f>ROUNDUP('採算表(VND)'!L63/$N$1,2)</f>
        <v>7415.96</v>
      </c>
      <c r="M63" s="139">
        <f>ROUNDUP('採算表(VND)'!M63/$N$1,2)</f>
        <v>8904.0300000000007</v>
      </c>
      <c r="N63" s="139">
        <f>ROUNDUP('採算表(VND)'!N63/$N$1,2)</f>
        <v>7048.87</v>
      </c>
      <c r="O63" s="139">
        <f t="shared" si="4"/>
        <v>117243.73000000001</v>
      </c>
    </row>
    <row r="64" spans="1:15" ht="11.25" customHeight="1">
      <c r="A64" s="38"/>
      <c r="B64" s="37" t="s">
        <v>143</v>
      </c>
      <c r="C64" s="139">
        <f>ROUNDUP('採算表(VND)'!C64/$N$1,2)</f>
        <v>145540.41</v>
      </c>
      <c r="D64" s="139">
        <f>ROUNDUP('採算表(VND)'!D64/$N$1,2)</f>
        <v>185942.11000000002</v>
      </c>
      <c r="E64" s="139">
        <f>ROUNDUP('採算表(VND)'!E64/$N$1,2)</f>
        <v>137662.88</v>
      </c>
      <c r="F64" s="139">
        <f>ROUNDUP('採算表(VND)'!F64/$N$1,2)</f>
        <v>188235.62</v>
      </c>
      <c r="G64" s="139">
        <f>ROUNDUP('採算表(VND)'!G64/$N$1,2)</f>
        <v>104879.59999999999</v>
      </c>
      <c r="H64" s="139">
        <f>ROUNDUP('採算表(VND)'!H64/$N$1,2)</f>
        <v>102513.34999999999</v>
      </c>
      <c r="I64" s="139">
        <f>ROUNDUP('採算表(VND)'!I64/$N$1,2)</f>
        <v>146810.71000000002</v>
      </c>
      <c r="J64" s="139">
        <f>ROUNDUP('採算表(VND)'!J64/$N$1,2)</f>
        <v>123684.06</v>
      </c>
      <c r="K64" s="139">
        <f>ROUNDUP('採算表(VND)'!K64/$N$1,2)</f>
        <v>122325.68999999999</v>
      </c>
      <c r="L64" s="139">
        <f>ROUNDUP('採算表(VND)'!L64/$N$1,2)</f>
        <v>165993.73000000001</v>
      </c>
      <c r="M64" s="139">
        <f>ROUNDUP('採算表(VND)'!M64/$N$1,2)</f>
        <v>114627.48999999999</v>
      </c>
      <c r="N64" s="139">
        <f>ROUNDUP('採算表(VND)'!N64/$N$1,2)</f>
        <v>118294.68</v>
      </c>
      <c r="O64" s="139">
        <f t="shared" si="4"/>
        <v>1656510.3299999998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311393.45999999903</v>
      </c>
      <c r="D66" s="134">
        <f t="shared" ref="D66:O66" si="5">IF(ISBLANK(D4),"",D12-D13)</f>
        <v>874468.61999999918</v>
      </c>
      <c r="E66" s="134">
        <f t="shared" si="5"/>
        <v>1320226.4100000011</v>
      </c>
      <c r="F66" s="134">
        <f t="shared" si="5"/>
        <v>1584783.4899999984</v>
      </c>
      <c r="G66" s="134">
        <f t="shared" si="5"/>
        <v>1532714.1399999987</v>
      </c>
      <c r="H66" s="134">
        <f t="shared" si="5"/>
        <v>659404.65000000037</v>
      </c>
      <c r="I66" s="134">
        <f t="shared" si="5"/>
        <v>1221024.6599999983</v>
      </c>
      <c r="J66" s="134">
        <f t="shared" si="5"/>
        <v>1351481.8599999994</v>
      </c>
      <c r="K66" s="134">
        <f t="shared" si="5"/>
        <v>1276939.9499999993</v>
      </c>
      <c r="L66" s="134">
        <f t="shared" si="5"/>
        <v>1374669.929999996</v>
      </c>
      <c r="M66" s="134">
        <f t="shared" si="5"/>
        <v>611254.79000000097</v>
      </c>
      <c r="N66" s="134">
        <f t="shared" si="5"/>
        <v>1039659.8100000005</v>
      </c>
      <c r="O66" s="134">
        <f t="shared" si="5"/>
        <v>13158021.769999996</v>
      </c>
    </row>
    <row r="67" spans="1:15" ht="11.25" customHeight="1">
      <c r="A67" s="26"/>
      <c r="B67" s="28" t="s">
        <v>78</v>
      </c>
      <c r="C67" s="133">
        <f>C73+C79</f>
        <v>133384.75</v>
      </c>
      <c r="D67" s="133">
        <f t="shared" ref="D67:O67" si="6">IF(ISBLANK(D4),"",D73+D79)</f>
        <v>130911.25</v>
      </c>
      <c r="E67" s="133">
        <f t="shared" si="6"/>
        <v>148912.5</v>
      </c>
      <c r="F67" s="133">
        <f t="shared" si="6"/>
        <v>176886</v>
      </c>
      <c r="G67" s="133">
        <f t="shared" si="6"/>
        <v>164293.25</v>
      </c>
      <c r="H67" s="133">
        <f t="shared" si="6"/>
        <v>195400</v>
      </c>
      <c r="I67" s="133">
        <f t="shared" si="6"/>
        <v>316034</v>
      </c>
      <c r="J67" s="133">
        <f t="shared" si="6"/>
        <v>219881.75</v>
      </c>
      <c r="K67" s="133">
        <f t="shared" si="6"/>
        <v>241077.5</v>
      </c>
      <c r="L67" s="133">
        <f t="shared" si="6"/>
        <v>237276.75</v>
      </c>
      <c r="M67" s="133">
        <f t="shared" si="6"/>
        <v>194137.5</v>
      </c>
      <c r="N67" s="133">
        <f t="shared" si="6"/>
        <v>233401.25</v>
      </c>
      <c r="O67" s="133">
        <f t="shared" si="6"/>
        <v>2391596.5</v>
      </c>
    </row>
    <row r="68" spans="1:15" ht="11.25" customHeight="1">
      <c r="A68" s="38"/>
      <c r="B68" s="46" t="s">
        <v>144</v>
      </c>
      <c r="C68" s="135">
        <f>'採算表(VND)'!C68</f>
        <v>90844</v>
      </c>
      <c r="D68" s="135">
        <f>'採算表(VND)'!D68</f>
        <v>90015</v>
      </c>
      <c r="E68" s="135">
        <f>'採算表(VND)'!E68</f>
        <v>104315</v>
      </c>
      <c r="F68" s="135">
        <f>'採算表(VND)'!F68</f>
        <v>135902</v>
      </c>
      <c r="G68" s="135">
        <f>'採算表(VND)'!G68</f>
        <v>127319</v>
      </c>
      <c r="H68" s="135">
        <f>'採算表(VND)'!H68</f>
        <v>159803</v>
      </c>
      <c r="I68" s="135">
        <f>'採算表(VND)'!I68</f>
        <v>267345</v>
      </c>
      <c r="J68" s="135">
        <f>'採算表(VND)'!J68</f>
        <v>177088</v>
      </c>
      <c r="K68" s="135">
        <f>'採算表(VND)'!K68</f>
        <v>194227</v>
      </c>
      <c r="L68" s="135">
        <f>'採算表(VND)'!L68</f>
        <v>190388</v>
      </c>
      <c r="M68" s="135">
        <f>'採算表(VND)'!M68</f>
        <v>153561</v>
      </c>
      <c r="N68" s="135">
        <f>'採算表(VND)'!N68</f>
        <v>184977</v>
      </c>
      <c r="O68" s="135">
        <f>SUM(C68:N68)</f>
        <v>1875784</v>
      </c>
    </row>
    <row r="69" spans="1:15" ht="11.25" customHeight="1">
      <c r="A69" s="38"/>
      <c r="B69" s="46" t="s">
        <v>88</v>
      </c>
      <c r="C69" s="136">
        <f>'採算表(VND)'!C69</f>
        <v>23264.25</v>
      </c>
      <c r="D69" s="136">
        <f>'採算表(VND)'!D69</f>
        <v>21969.5</v>
      </c>
      <c r="E69" s="136">
        <f>'採算表(VND)'!E69</f>
        <v>24336.75</v>
      </c>
      <c r="F69" s="136">
        <f>'採算表(VND)'!F69</f>
        <v>21411</v>
      </c>
      <c r="G69" s="136">
        <f>'採算表(VND)'!G69</f>
        <v>18439</v>
      </c>
      <c r="H69" s="136">
        <f>'採算表(VND)'!H69</f>
        <v>17861.25</v>
      </c>
      <c r="I69" s="136">
        <f>'採算表(VND)'!I69</f>
        <v>25600.25</v>
      </c>
      <c r="J69" s="136">
        <f>'採算表(VND)'!J69</f>
        <v>22077.5</v>
      </c>
      <c r="K69" s="136">
        <f>'採算表(VND)'!K69</f>
        <v>24252.25</v>
      </c>
      <c r="L69" s="136">
        <f>'採算表(VND)'!L69</f>
        <v>22787.75</v>
      </c>
      <c r="M69" s="136">
        <f>'採算表(VND)'!M69</f>
        <v>18137.75</v>
      </c>
      <c r="N69" s="136">
        <f>'採算表(VND)'!N69</f>
        <v>23837.75</v>
      </c>
      <c r="O69" s="136">
        <f>SUM(C69:N69)</f>
        <v>263975</v>
      </c>
    </row>
    <row r="70" spans="1:15" ht="11.25" customHeight="1">
      <c r="A70" s="38"/>
      <c r="B70" s="47" t="s">
        <v>126</v>
      </c>
      <c r="C70" s="140">
        <f>'採算表(VND)'!C70</f>
        <v>5094.25</v>
      </c>
      <c r="D70" s="140">
        <f>'採算表(VND)'!D70</f>
        <v>4990.5</v>
      </c>
      <c r="E70" s="140">
        <f>'採算表(VND)'!E70</f>
        <v>5531.5</v>
      </c>
      <c r="F70" s="140">
        <f>'採算表(VND)'!F70</f>
        <v>5085</v>
      </c>
      <c r="G70" s="140">
        <f>'採算表(VND)'!G70</f>
        <v>4463.75</v>
      </c>
      <c r="H70" s="140">
        <f>'採算表(VND)'!H70</f>
        <v>4249.25</v>
      </c>
      <c r="I70" s="140">
        <f>'採算表(VND)'!I70</f>
        <v>6029.25</v>
      </c>
      <c r="J70" s="140">
        <f>'採算表(VND)'!J70</f>
        <v>5232.5</v>
      </c>
      <c r="K70" s="140">
        <f>'採算表(VND)'!K70</f>
        <v>5798.25</v>
      </c>
      <c r="L70" s="140">
        <f>'採算表(VND)'!L70</f>
        <v>5612.75</v>
      </c>
      <c r="M70" s="140">
        <f>'採算表(VND)'!M70</f>
        <v>4189.25</v>
      </c>
      <c r="N70" s="140">
        <f>'採算表(VND)'!N70</f>
        <v>5612.75</v>
      </c>
      <c r="O70" s="140">
        <f>SUM(C70:N70)</f>
        <v>61889</v>
      </c>
    </row>
    <row r="71" spans="1:15" ht="11.25" customHeight="1">
      <c r="A71" s="38"/>
      <c r="B71" s="47" t="s">
        <v>127</v>
      </c>
      <c r="C71" s="140">
        <f>'採算表(VND)'!C71</f>
        <v>3209.75</v>
      </c>
      <c r="D71" s="140">
        <f>'採算表(VND)'!D71</f>
        <v>3024.75</v>
      </c>
      <c r="E71" s="140">
        <f>'採算表(VND)'!E71</f>
        <v>3403.75</v>
      </c>
      <c r="F71" s="140">
        <f>'採算表(VND)'!F71</f>
        <v>3356.5</v>
      </c>
      <c r="G71" s="140">
        <f>'採算表(VND)'!G71</f>
        <v>2941</v>
      </c>
      <c r="H71" s="140">
        <f>'採算表(VND)'!H71</f>
        <v>2844.25</v>
      </c>
      <c r="I71" s="140">
        <f>'採算表(VND)'!I71</f>
        <v>4009</v>
      </c>
      <c r="J71" s="140">
        <f>'採算表(VND)'!J71</f>
        <v>3496.75</v>
      </c>
      <c r="K71" s="140">
        <f>'採算表(VND)'!K71</f>
        <v>3879</v>
      </c>
      <c r="L71" s="140">
        <f>'採算表(VND)'!L71</f>
        <v>3961</v>
      </c>
      <c r="M71" s="140">
        <f>'採算表(VND)'!M71</f>
        <v>2910.25</v>
      </c>
      <c r="N71" s="140">
        <f>'採算表(VND)'!N71</f>
        <v>3950.75</v>
      </c>
      <c r="O71" s="140">
        <f>SUM(C71:N71)</f>
        <v>40986.75</v>
      </c>
    </row>
    <row r="72" spans="1:15" ht="11.25" customHeight="1">
      <c r="A72" s="38"/>
      <c r="B72" s="40" t="s">
        <v>89</v>
      </c>
      <c r="C72" s="141">
        <f>'採算表(VND)'!C72</f>
        <v>7292.75</v>
      </c>
      <c r="D72" s="141">
        <f>'採算表(VND)'!D72</f>
        <v>7263</v>
      </c>
      <c r="E72" s="141">
        <f>'採算表(VND)'!E72</f>
        <v>7672.75</v>
      </c>
      <c r="F72" s="141">
        <f>'採算表(VND)'!F72</f>
        <v>7806.5</v>
      </c>
      <c r="G72" s="141">
        <f>'採算表(VND)'!G72</f>
        <v>7135.75</v>
      </c>
      <c r="H72" s="141">
        <f>'採算表(VND)'!H72</f>
        <v>6683</v>
      </c>
      <c r="I72" s="141">
        <f>'採算表(VND)'!I72</f>
        <v>8903.25</v>
      </c>
      <c r="J72" s="141">
        <f>'採算表(VND)'!J72</f>
        <v>8129.75</v>
      </c>
      <c r="K72" s="141">
        <f>'採算表(VND)'!K72</f>
        <v>8768.5</v>
      </c>
      <c r="L72" s="141">
        <f>'採算表(VND)'!L72</f>
        <v>10078.25</v>
      </c>
      <c r="M72" s="141">
        <f>'採算表(VND)'!M72</f>
        <v>7548.5</v>
      </c>
      <c r="N72" s="141">
        <f>'採算表(VND)'!N72</f>
        <v>10131.5</v>
      </c>
      <c r="O72" s="141">
        <f>SUM(C72:N72)</f>
        <v>97413.5</v>
      </c>
    </row>
    <row r="73" spans="1:15" ht="11.25" customHeight="1">
      <c r="A73" s="38"/>
      <c r="B73" s="41" t="s">
        <v>145</v>
      </c>
      <c r="C73" s="142">
        <f>SUM(C68:C72)</f>
        <v>129705</v>
      </c>
      <c r="D73" s="142">
        <f t="shared" ref="D73:O73" si="7">IF(ISBLANK(D4),"",SUM(D68:D72))</f>
        <v>127262.75</v>
      </c>
      <c r="E73" s="142">
        <f t="shared" si="7"/>
        <v>145259.75</v>
      </c>
      <c r="F73" s="142">
        <f t="shared" si="7"/>
        <v>173561</v>
      </c>
      <c r="G73" s="142">
        <f t="shared" si="7"/>
        <v>160298.5</v>
      </c>
      <c r="H73" s="142">
        <f t="shared" si="7"/>
        <v>191440.75</v>
      </c>
      <c r="I73" s="142">
        <f t="shared" si="7"/>
        <v>311886.75</v>
      </c>
      <c r="J73" s="142">
        <f t="shared" si="7"/>
        <v>216024.5</v>
      </c>
      <c r="K73" s="142">
        <f t="shared" si="7"/>
        <v>236925</v>
      </c>
      <c r="L73" s="142">
        <f t="shared" si="7"/>
        <v>232827.75</v>
      </c>
      <c r="M73" s="142">
        <f t="shared" si="7"/>
        <v>186346.75</v>
      </c>
      <c r="N73" s="142">
        <f t="shared" si="7"/>
        <v>228509.75</v>
      </c>
      <c r="O73" s="142">
        <f t="shared" si="7"/>
        <v>2340048.25</v>
      </c>
    </row>
    <row r="74" spans="1:15" ht="11.25" customHeight="1">
      <c r="A74" s="38"/>
      <c r="B74" s="39" t="s">
        <v>86</v>
      </c>
      <c r="C74" s="135">
        <f>'採算表(VND)'!C74</f>
        <v>990</v>
      </c>
      <c r="D74" s="135">
        <f>'採算表(VND)'!D74</f>
        <v>1029</v>
      </c>
      <c r="E74" s="135">
        <f>'採算表(VND)'!E74</f>
        <v>982</v>
      </c>
      <c r="F74" s="135">
        <f>'採算表(VND)'!F74</f>
        <v>975</v>
      </c>
      <c r="G74" s="135">
        <f>'採算表(VND)'!G74</f>
        <v>1461</v>
      </c>
      <c r="H74" s="135">
        <f>'採算表(VND)'!H74</f>
        <v>1293</v>
      </c>
      <c r="I74" s="135">
        <f>'採算表(VND)'!I74</f>
        <v>978</v>
      </c>
      <c r="J74" s="135">
        <f>'採算表(VND)'!J74</f>
        <v>1026</v>
      </c>
      <c r="K74" s="135">
        <f>'採算表(VND)'!K74</f>
        <v>988</v>
      </c>
      <c r="L74" s="135">
        <f>'採算表(VND)'!L74</f>
        <v>1032</v>
      </c>
      <c r="M74" s="135">
        <f>'採算表(VND)'!M74</f>
        <v>4170</v>
      </c>
      <c r="N74" s="135">
        <f>'採算表(VND)'!N74</f>
        <v>1272</v>
      </c>
      <c r="O74" s="135">
        <f>SUM(C74:N74)</f>
        <v>16196</v>
      </c>
    </row>
    <row r="75" spans="1:15">
      <c r="A75" s="38"/>
      <c r="B75" s="37" t="s">
        <v>88</v>
      </c>
      <c r="C75" s="136">
        <f>'採算表(VND)'!C75</f>
        <v>1745.5</v>
      </c>
      <c r="D75" s="136">
        <f>'採算表(VND)'!D75</f>
        <v>1743</v>
      </c>
      <c r="E75" s="136">
        <f>'採算表(VND)'!E75</f>
        <v>1770</v>
      </c>
      <c r="F75" s="136">
        <f>'採算表(VND)'!F75</f>
        <v>1465.75</v>
      </c>
      <c r="G75" s="136">
        <f>'採算表(VND)'!G75</f>
        <v>1742.25</v>
      </c>
      <c r="H75" s="136">
        <f>'採算表(VND)'!H75</f>
        <v>1788.5</v>
      </c>
      <c r="I75" s="136">
        <f>'採算表(VND)'!I75</f>
        <v>2166</v>
      </c>
      <c r="J75" s="136">
        <f>'採算表(VND)'!J75</f>
        <v>1930</v>
      </c>
      <c r="K75" s="136">
        <f>'採算表(VND)'!K75</f>
        <v>2232.75</v>
      </c>
      <c r="L75" s="136">
        <f>'採算表(VND)'!L75</f>
        <v>2410</v>
      </c>
      <c r="M75" s="136">
        <f>'採算表(VND)'!M75</f>
        <v>2456.5</v>
      </c>
      <c r="N75" s="136">
        <f>'採算表(VND)'!N75</f>
        <v>2523.75</v>
      </c>
      <c r="O75" s="136">
        <f>SUM(C75:N75)</f>
        <v>23974</v>
      </c>
    </row>
    <row r="76" spans="1:15">
      <c r="A76" s="38"/>
      <c r="B76" s="37" t="s">
        <v>126</v>
      </c>
      <c r="C76" s="140">
        <f>'採算表(VND)'!C76</f>
        <v>282</v>
      </c>
      <c r="D76" s="140">
        <f>'採算表(VND)'!D76</f>
        <v>277</v>
      </c>
      <c r="E76" s="140">
        <f>'採算表(VND)'!E76</f>
        <v>316.5</v>
      </c>
      <c r="F76" s="140">
        <f>'採算表(VND)'!F76</f>
        <v>304.75</v>
      </c>
      <c r="G76" s="140">
        <f>'採算表(VND)'!G76</f>
        <v>255.25</v>
      </c>
      <c r="H76" s="140">
        <f>'採算表(VND)'!H76</f>
        <v>247.75</v>
      </c>
      <c r="I76" s="140">
        <f>'採算表(VND)'!I76</f>
        <v>353.75</v>
      </c>
      <c r="J76" s="140">
        <f>'採算表(VND)'!J76</f>
        <v>296.25</v>
      </c>
      <c r="K76" s="140">
        <f>'採算表(VND)'!K76</f>
        <v>302.75</v>
      </c>
      <c r="L76" s="140">
        <f>'採算表(VND)'!L76</f>
        <v>294.5</v>
      </c>
      <c r="M76" s="140">
        <f>'採算表(VND)'!M76</f>
        <v>248.25</v>
      </c>
      <c r="N76" s="140">
        <f>'採算表(VND)'!N76</f>
        <v>339.5</v>
      </c>
      <c r="O76" s="140">
        <f>SUM(C76:N76)</f>
        <v>3518.25</v>
      </c>
    </row>
    <row r="77" spans="1:15">
      <c r="A77" s="38"/>
      <c r="B77" s="37" t="s">
        <v>127</v>
      </c>
      <c r="C77" s="140">
        <f>'採算表(VND)'!C77</f>
        <v>253</v>
      </c>
      <c r="D77" s="140">
        <f>'採算表(VND)'!D77</f>
        <v>239</v>
      </c>
      <c r="E77" s="140">
        <f>'採算表(VND)'!E77</f>
        <v>262</v>
      </c>
      <c r="F77" s="140">
        <f>'採算表(VND)'!F77</f>
        <v>242.5</v>
      </c>
      <c r="G77" s="140">
        <f>'採算表(VND)'!G77</f>
        <v>223.5</v>
      </c>
      <c r="H77" s="140">
        <f>'採算表(VND)'!H77</f>
        <v>206.75</v>
      </c>
      <c r="I77" s="140">
        <f>'採算表(VND)'!I77</f>
        <v>270</v>
      </c>
      <c r="J77" s="140">
        <f>'採算表(VND)'!J77</f>
        <v>245</v>
      </c>
      <c r="K77" s="140">
        <f>'採算表(VND)'!K77</f>
        <v>264.5</v>
      </c>
      <c r="L77" s="140">
        <f>'採算表(VND)'!L77</f>
        <v>303.5</v>
      </c>
      <c r="M77" s="140">
        <f>'採算表(VND)'!M77</f>
        <v>252.25</v>
      </c>
      <c r="N77" s="140">
        <f>'採算表(VND)'!N77</f>
        <v>309.5</v>
      </c>
      <c r="O77" s="140">
        <f>SUM(C77:N77)</f>
        <v>3071.5</v>
      </c>
    </row>
    <row r="78" spans="1:15">
      <c r="A78" s="38"/>
      <c r="B78" s="40" t="s">
        <v>89</v>
      </c>
      <c r="C78" s="141">
        <f>'採算表(VND)'!C78</f>
        <v>409.25</v>
      </c>
      <c r="D78" s="141">
        <f>'採算表(VND)'!D78</f>
        <v>360.5</v>
      </c>
      <c r="E78" s="141">
        <f>'採算表(VND)'!E78</f>
        <v>322.25</v>
      </c>
      <c r="F78" s="141">
        <f>'採算表(VND)'!F78</f>
        <v>337</v>
      </c>
      <c r="G78" s="141">
        <f>'採算表(VND)'!G78</f>
        <v>312.75</v>
      </c>
      <c r="H78" s="141">
        <f>'採算表(VND)'!H78</f>
        <v>423.25</v>
      </c>
      <c r="I78" s="141">
        <f>'採算表(VND)'!I78</f>
        <v>379.5</v>
      </c>
      <c r="J78" s="141">
        <f>'採算表(VND)'!J78</f>
        <v>360</v>
      </c>
      <c r="K78" s="141">
        <f>'採算表(VND)'!K78</f>
        <v>364.5</v>
      </c>
      <c r="L78" s="141">
        <f>'採算表(VND)'!L78</f>
        <v>409</v>
      </c>
      <c r="M78" s="141">
        <f>'採算表(VND)'!M78</f>
        <v>663.75</v>
      </c>
      <c r="N78" s="141">
        <f>'採算表(VND)'!N78</f>
        <v>446.75</v>
      </c>
      <c r="O78" s="141">
        <f>SUM(C78:N78)</f>
        <v>4788.5</v>
      </c>
    </row>
    <row r="79" spans="1:15" ht="14.25" customHeight="1">
      <c r="A79" s="38"/>
      <c r="B79" s="41" t="s">
        <v>156</v>
      </c>
      <c r="C79" s="142">
        <f>SUM(C74:C78)</f>
        <v>3679.75</v>
      </c>
      <c r="D79" s="142">
        <f t="shared" ref="D79:O79" si="8">IF(ISBLANK(D4),"",SUM(D74:D78))</f>
        <v>3648.5</v>
      </c>
      <c r="E79" s="142">
        <f t="shared" si="8"/>
        <v>3652.75</v>
      </c>
      <c r="F79" s="142">
        <f t="shared" si="8"/>
        <v>3325</v>
      </c>
      <c r="G79" s="142">
        <f t="shared" si="8"/>
        <v>3994.75</v>
      </c>
      <c r="H79" s="142">
        <f t="shared" si="8"/>
        <v>3959.25</v>
      </c>
      <c r="I79" s="142">
        <f t="shared" si="8"/>
        <v>4147.25</v>
      </c>
      <c r="J79" s="142">
        <f t="shared" si="8"/>
        <v>3857.25</v>
      </c>
      <c r="K79" s="142">
        <f t="shared" si="8"/>
        <v>4152.5</v>
      </c>
      <c r="L79" s="142">
        <f t="shared" si="8"/>
        <v>4449</v>
      </c>
      <c r="M79" s="142">
        <f t="shared" si="8"/>
        <v>7790.75</v>
      </c>
      <c r="N79" s="142">
        <f t="shared" si="8"/>
        <v>4891.5</v>
      </c>
      <c r="O79" s="142">
        <f t="shared" si="8"/>
        <v>51548.25</v>
      </c>
    </row>
    <row r="80" spans="1:15" ht="14.25" customHeight="1">
      <c r="A80" s="26"/>
      <c r="B80" s="32" t="s">
        <v>79</v>
      </c>
      <c r="C80" s="143">
        <f>IFERROR(ROUNDDOWN(C66/C67,0),0)</f>
        <v>2</v>
      </c>
      <c r="D80" s="144">
        <f t="shared" ref="D80:O80" si="9">IFERROR(ROUNDDOWN(D66/D67,0),0)</f>
        <v>6</v>
      </c>
      <c r="E80" s="144">
        <f t="shared" si="9"/>
        <v>8</v>
      </c>
      <c r="F80" s="144">
        <f t="shared" si="9"/>
        <v>8</v>
      </c>
      <c r="G80" s="144">
        <f t="shared" si="9"/>
        <v>9</v>
      </c>
      <c r="H80" s="144">
        <f t="shared" si="9"/>
        <v>3</v>
      </c>
      <c r="I80" s="144">
        <f t="shared" si="9"/>
        <v>3</v>
      </c>
      <c r="J80" s="144">
        <f t="shared" si="9"/>
        <v>6</v>
      </c>
      <c r="K80" s="144">
        <f t="shared" si="9"/>
        <v>5</v>
      </c>
      <c r="L80" s="144">
        <f t="shared" si="9"/>
        <v>5</v>
      </c>
      <c r="M80" s="144">
        <f t="shared" si="9"/>
        <v>3</v>
      </c>
      <c r="N80" s="144">
        <f t="shared" si="9"/>
        <v>4</v>
      </c>
      <c r="O80" s="144">
        <f t="shared" si="9"/>
        <v>5</v>
      </c>
    </row>
    <row r="81" spans="1:15" ht="14.25" customHeight="1">
      <c r="A81" s="26"/>
      <c r="B81" s="42" t="s">
        <v>80</v>
      </c>
      <c r="C81" s="145">
        <f>IFERROR(ROUNDDOWN(C12/C67,0),0)</f>
        <v>47</v>
      </c>
      <c r="D81" s="146">
        <f t="shared" ref="D81:O81" si="10">IFERROR(ROUNDDOWN(D12/D67,0),0)</f>
        <v>57</v>
      </c>
      <c r="E81" s="146">
        <f t="shared" si="10"/>
        <v>60</v>
      </c>
      <c r="F81" s="146">
        <f t="shared" si="10"/>
        <v>64</v>
      </c>
      <c r="G81" s="146">
        <f t="shared" si="10"/>
        <v>61</v>
      </c>
      <c r="H81" s="146">
        <f t="shared" si="10"/>
        <v>37</v>
      </c>
      <c r="I81" s="146">
        <f t="shared" si="10"/>
        <v>34</v>
      </c>
      <c r="J81" s="146">
        <f t="shared" si="10"/>
        <v>46</v>
      </c>
      <c r="K81" s="146">
        <f t="shared" si="10"/>
        <v>40</v>
      </c>
      <c r="L81" s="146">
        <f t="shared" si="10"/>
        <v>43</v>
      </c>
      <c r="M81" s="146">
        <f t="shared" si="10"/>
        <v>37</v>
      </c>
      <c r="N81" s="146">
        <f t="shared" si="10"/>
        <v>39</v>
      </c>
      <c r="O81" s="146">
        <f t="shared" si="10"/>
        <v>45</v>
      </c>
    </row>
    <row r="82" spans="1:15" customFormat="1" ht="13"/>
    <row r="83" spans="1:15" customFormat="1" ht="13"/>
    <row r="84" spans="1:15" customFormat="1" ht="13"/>
    <row r="85" spans="1:15" customFormat="1" ht="13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2</v>
      </c>
      <c r="D87" s="150">
        <f>'採算表(VND)'!D87</f>
        <v>2</v>
      </c>
      <c r="E87" s="150">
        <f>'採算表(VND)'!E87</f>
        <v>2</v>
      </c>
      <c r="F87" s="150">
        <f>'採算表(VND)'!F87</f>
        <v>2</v>
      </c>
      <c r="G87" s="150">
        <f>'採算表(VND)'!G87</f>
        <v>2</v>
      </c>
      <c r="H87" s="150">
        <f>'採算表(VND)'!H87</f>
        <v>2</v>
      </c>
      <c r="I87" s="150">
        <f>'採算表(VND)'!I87</f>
        <v>2</v>
      </c>
      <c r="J87" s="150">
        <f>'採算表(VND)'!J87</f>
        <v>2</v>
      </c>
      <c r="K87" s="150">
        <f>'採算表(VND)'!K87</f>
        <v>2</v>
      </c>
      <c r="L87" s="150">
        <f>'採算表(VND)'!L87</f>
        <v>2</v>
      </c>
      <c r="M87" s="150">
        <f>'採算表(VND)'!M87</f>
        <v>2</v>
      </c>
      <c r="N87" s="150">
        <f>'採算表(VND)'!N87</f>
        <v>2</v>
      </c>
      <c r="O87" s="150">
        <f>SUM(C87:N87)</f>
        <v>24</v>
      </c>
    </row>
    <row r="88" spans="1:15">
      <c r="A88" s="43"/>
      <c r="B88" s="59" t="s">
        <v>344</v>
      </c>
      <c r="C88" s="150">
        <f>'採算表(VND)'!C88</f>
        <v>1005</v>
      </c>
      <c r="D88" s="150">
        <f>'採算表(VND)'!D88</f>
        <v>1042</v>
      </c>
      <c r="E88" s="150">
        <f>'採算表(VND)'!E88</f>
        <v>1038</v>
      </c>
      <c r="F88" s="150">
        <f>'採算表(VND)'!F88</f>
        <v>1190</v>
      </c>
      <c r="G88" s="150">
        <f>'採算表(VND)'!G88</f>
        <v>1270</v>
      </c>
      <c r="H88" s="150">
        <f>'採算表(VND)'!H88</f>
        <v>1535</v>
      </c>
      <c r="I88" s="150">
        <f>'採算表(VND)'!I88</f>
        <v>1836</v>
      </c>
      <c r="J88" s="150">
        <f>'採算表(VND)'!J88</f>
        <v>1842</v>
      </c>
      <c r="K88" s="150">
        <f>'採算表(VND)'!K88</f>
        <v>1837</v>
      </c>
      <c r="L88" s="150">
        <f>'採算表(VND)'!L88</f>
        <v>1865</v>
      </c>
      <c r="M88" s="150">
        <f>'採算表(VND)'!M88</f>
        <v>2055</v>
      </c>
      <c r="N88" s="150">
        <f>'採算表(VND)'!N88</f>
        <v>1882</v>
      </c>
      <c r="O88" s="150">
        <f>SUM(C88:N88)</f>
        <v>18397</v>
      </c>
    </row>
    <row r="89" spans="1:15">
      <c r="A89" s="44"/>
      <c r="B89" s="60" t="s">
        <v>18</v>
      </c>
      <c r="C89" s="151">
        <f t="shared" ref="C89:O89" si="11">C87+C88</f>
        <v>1007</v>
      </c>
      <c r="D89" s="151">
        <f t="shared" si="11"/>
        <v>1044</v>
      </c>
      <c r="E89" s="151">
        <f t="shared" si="11"/>
        <v>1040</v>
      </c>
      <c r="F89" s="151">
        <f t="shared" si="11"/>
        <v>1192</v>
      </c>
      <c r="G89" s="151">
        <f t="shared" si="11"/>
        <v>1272</v>
      </c>
      <c r="H89" s="151">
        <f t="shared" si="11"/>
        <v>1537</v>
      </c>
      <c r="I89" s="151">
        <f t="shared" si="11"/>
        <v>1838</v>
      </c>
      <c r="J89" s="151">
        <f t="shared" si="11"/>
        <v>1844</v>
      </c>
      <c r="K89" s="151">
        <f t="shared" si="11"/>
        <v>1839</v>
      </c>
      <c r="L89" s="151">
        <f t="shared" si="11"/>
        <v>1867</v>
      </c>
      <c r="M89" s="151">
        <f t="shared" si="11"/>
        <v>2057</v>
      </c>
      <c r="N89" s="151">
        <f t="shared" si="11"/>
        <v>1884</v>
      </c>
      <c r="O89" s="151">
        <f t="shared" si="11"/>
        <v>18421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340</v>
      </c>
      <c r="D92" s="133">
        <f>'採算表(VND)'!D92</f>
        <v>323</v>
      </c>
      <c r="E92" s="133">
        <f>'採算表(VND)'!E92</f>
        <v>357</v>
      </c>
      <c r="F92" s="133">
        <f>'採算表(VND)'!F92</f>
        <v>391</v>
      </c>
      <c r="G92" s="133">
        <f>'採算表(VND)'!G92</f>
        <v>340</v>
      </c>
      <c r="H92" s="133">
        <f>'採算表(VND)'!H92</f>
        <v>323</v>
      </c>
      <c r="I92" s="133">
        <f>'採算表(VND)'!I92</f>
        <v>391</v>
      </c>
      <c r="J92" s="133">
        <f>'採算表(VND)'!J92</f>
        <v>340</v>
      </c>
      <c r="K92" s="133">
        <f>'採算表(VND)'!K92</f>
        <v>374</v>
      </c>
      <c r="L92" s="133">
        <f>'採算表(VND)'!L92</f>
        <v>340</v>
      </c>
      <c r="M92" s="133">
        <f>'採算表(VND)'!M92</f>
        <v>255</v>
      </c>
      <c r="N92" s="133">
        <f>'採算表(VND)'!N92</f>
        <v>340</v>
      </c>
      <c r="O92" s="133">
        <f>SUM(C92:N92)</f>
        <v>4114</v>
      </c>
    </row>
    <row r="93" spans="1:15">
      <c r="B93" s="59" t="s">
        <v>325</v>
      </c>
      <c r="C93" s="133">
        <f>'採算表(VND)'!C93</f>
        <v>90504</v>
      </c>
      <c r="D93" s="133">
        <f>'採算表(VND)'!D93</f>
        <v>89692</v>
      </c>
      <c r="E93" s="133">
        <f>'採算表(VND)'!E93</f>
        <v>103958</v>
      </c>
      <c r="F93" s="133">
        <f>'採算表(VND)'!F93</f>
        <v>135511</v>
      </c>
      <c r="G93" s="133">
        <f>'採算表(VND)'!G93</f>
        <v>126979</v>
      </c>
      <c r="H93" s="133">
        <f>'採算表(VND)'!H93</f>
        <v>159480</v>
      </c>
      <c r="I93" s="133">
        <f>'採算表(VND)'!I93</f>
        <v>266954</v>
      </c>
      <c r="J93" s="133">
        <f>'採算表(VND)'!J93</f>
        <v>176748</v>
      </c>
      <c r="K93" s="133">
        <f>'採算表(VND)'!K93</f>
        <v>193853</v>
      </c>
      <c r="L93" s="133">
        <f>'採算表(VND)'!L93</f>
        <v>190048</v>
      </c>
      <c r="M93" s="133">
        <f>'採算表(VND)'!M93</f>
        <v>153306</v>
      </c>
      <c r="N93" s="133">
        <f>'採算表(VND)'!N93</f>
        <v>184637</v>
      </c>
      <c r="O93" s="133">
        <f>SUM(C93:N93)</f>
        <v>1871670</v>
      </c>
    </row>
    <row r="94" spans="1:15">
      <c r="B94" s="61" t="s">
        <v>18</v>
      </c>
      <c r="C94" s="147">
        <f t="shared" ref="C94:O94" si="12">C92+C93</f>
        <v>90844</v>
      </c>
      <c r="D94" s="147">
        <f t="shared" si="12"/>
        <v>90015</v>
      </c>
      <c r="E94" s="147">
        <f t="shared" si="12"/>
        <v>104315</v>
      </c>
      <c r="F94" s="147">
        <f t="shared" si="12"/>
        <v>135902</v>
      </c>
      <c r="G94" s="147">
        <f t="shared" si="12"/>
        <v>127319</v>
      </c>
      <c r="H94" s="147">
        <f t="shared" si="12"/>
        <v>159803</v>
      </c>
      <c r="I94" s="147">
        <f t="shared" si="12"/>
        <v>267345</v>
      </c>
      <c r="J94" s="147">
        <f t="shared" si="12"/>
        <v>177088</v>
      </c>
      <c r="K94" s="147">
        <f t="shared" si="12"/>
        <v>194227</v>
      </c>
      <c r="L94" s="147">
        <f t="shared" si="12"/>
        <v>190388</v>
      </c>
      <c r="M94" s="147">
        <f t="shared" si="12"/>
        <v>153561</v>
      </c>
      <c r="N94" s="147">
        <f t="shared" si="12"/>
        <v>184977</v>
      </c>
      <c r="O94" s="147">
        <f t="shared" si="12"/>
        <v>1875784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80</v>
      </c>
      <c r="D97" s="133">
        <f>'採算表(VND)'!D97</f>
        <v>76</v>
      </c>
      <c r="E97" s="133">
        <f>'採算表(VND)'!E97</f>
        <v>84</v>
      </c>
      <c r="F97" s="133">
        <f>'採算表(VND)'!F97</f>
        <v>92</v>
      </c>
      <c r="G97" s="133">
        <f>'採算表(VND)'!G97</f>
        <v>80</v>
      </c>
      <c r="H97" s="133">
        <f>'採算表(VND)'!H97</f>
        <v>76</v>
      </c>
      <c r="I97" s="133">
        <f>'採算表(VND)'!I97</f>
        <v>92</v>
      </c>
      <c r="J97" s="133">
        <f>'採算表(VND)'!J97</f>
        <v>80</v>
      </c>
      <c r="K97" s="133">
        <f>'採算表(VND)'!K97</f>
        <v>88</v>
      </c>
      <c r="L97" s="133">
        <f>'採算表(VND)'!L97</f>
        <v>80</v>
      </c>
      <c r="M97" s="133">
        <f>'採算表(VND)'!M97</f>
        <v>60</v>
      </c>
      <c r="N97" s="133">
        <f>'採算表(VND)'!N97</f>
        <v>80</v>
      </c>
      <c r="O97" s="133">
        <f>SUM(C97:N97)</f>
        <v>968</v>
      </c>
    </row>
    <row r="98" spans="2:15">
      <c r="B98" s="59" t="s">
        <v>327</v>
      </c>
      <c r="C98" s="133">
        <f>'採算表(VND)'!C98</f>
        <v>910</v>
      </c>
      <c r="D98" s="133">
        <f>'採算表(VND)'!D98</f>
        <v>953</v>
      </c>
      <c r="E98" s="133">
        <f>'採算表(VND)'!E98</f>
        <v>898</v>
      </c>
      <c r="F98" s="133">
        <f>'採算表(VND)'!F98</f>
        <v>883</v>
      </c>
      <c r="G98" s="133">
        <f>'採算表(VND)'!G98</f>
        <v>1381</v>
      </c>
      <c r="H98" s="133">
        <f>'採算表(VND)'!H98</f>
        <v>1217</v>
      </c>
      <c r="I98" s="133">
        <f>'採算表(VND)'!I98</f>
        <v>886</v>
      </c>
      <c r="J98" s="133">
        <f>'採算表(VND)'!J98</f>
        <v>946</v>
      </c>
      <c r="K98" s="133">
        <f>'採算表(VND)'!K98</f>
        <v>900</v>
      </c>
      <c r="L98" s="133">
        <f>'採算表(VND)'!L98</f>
        <v>952</v>
      </c>
      <c r="M98" s="133">
        <f>'採算表(VND)'!M98</f>
        <v>4110</v>
      </c>
      <c r="N98" s="133">
        <f>'採算表(VND)'!N98</f>
        <v>1192</v>
      </c>
      <c r="O98" s="133">
        <f>SUM(C98:N98)</f>
        <v>15228</v>
      </c>
    </row>
    <row r="99" spans="2:15">
      <c r="B99" s="61" t="s">
        <v>18</v>
      </c>
      <c r="C99" s="147">
        <f t="shared" ref="C99:O99" si="13">C97+C98</f>
        <v>990</v>
      </c>
      <c r="D99" s="147">
        <f t="shared" si="13"/>
        <v>1029</v>
      </c>
      <c r="E99" s="147">
        <f t="shared" si="13"/>
        <v>982</v>
      </c>
      <c r="F99" s="147">
        <f t="shared" si="13"/>
        <v>975</v>
      </c>
      <c r="G99" s="147">
        <f t="shared" si="13"/>
        <v>1461</v>
      </c>
      <c r="H99" s="147">
        <f t="shared" si="13"/>
        <v>1293</v>
      </c>
      <c r="I99" s="147">
        <f t="shared" si="13"/>
        <v>978</v>
      </c>
      <c r="J99" s="147">
        <f t="shared" si="13"/>
        <v>1026</v>
      </c>
      <c r="K99" s="147">
        <f t="shared" si="13"/>
        <v>988</v>
      </c>
      <c r="L99" s="147">
        <f t="shared" si="13"/>
        <v>1032</v>
      </c>
      <c r="M99" s="147">
        <f t="shared" si="13"/>
        <v>4170</v>
      </c>
      <c r="N99" s="147">
        <f t="shared" si="13"/>
        <v>1272</v>
      </c>
      <c r="O99" s="147">
        <f t="shared" si="13"/>
        <v>16196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0592-8370-4563-859F-8419A824E7E1}">
  <sheetPr codeName="Sheet2"/>
  <dimension ref="A1:BI99"/>
  <sheetViews>
    <sheetView topLeftCell="A47" zoomScaleNormal="100" workbookViewId="0">
      <selection activeCell="B62" sqref="B62:B63"/>
    </sheetView>
  </sheetViews>
  <sheetFormatPr defaultColWidth="9" defaultRowHeight="12"/>
  <cols>
    <col min="1" max="1" width="0.90625" style="20" customWidth="1"/>
    <col min="2" max="2" width="19.453125" style="23" customWidth="1"/>
    <col min="3" max="15" width="15.6328125" style="19" customWidth="1"/>
    <col min="16" max="16" width="9" style="19"/>
    <col min="17" max="42" width="9" style="19" customWidth="1"/>
    <col min="43" max="43" width="13.26953125" style="19" bestFit="1" customWidth="1"/>
    <col min="44" max="46" width="11.7265625" style="19" bestFit="1" customWidth="1"/>
    <col min="47" max="47" width="9" style="19"/>
    <col min="48" max="51" width="14.36328125" style="19" bestFit="1" customWidth="1"/>
    <col min="52" max="52" width="9" style="19"/>
    <col min="53" max="56" width="14.7265625" style="19" bestFit="1" customWidth="1"/>
    <col min="57" max="57" width="9" style="19"/>
    <col min="58" max="58" width="15.26953125" style="19" bestFit="1" customWidth="1"/>
    <col min="59" max="60" width="11.7265625" style="19" bestFit="1" customWidth="1"/>
    <col min="61" max="61" width="12.63281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機器製造1課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166896512538</v>
      </c>
      <c r="D5" s="152">
        <f t="shared" ref="D5:N5" si="0">D8+D9</f>
        <v>196308960358</v>
      </c>
      <c r="E5" s="152">
        <f t="shared" si="0"/>
        <v>236860381012</v>
      </c>
      <c r="F5" s="152">
        <f t="shared" si="0"/>
        <v>296501688038</v>
      </c>
      <c r="G5" s="152">
        <f t="shared" si="0"/>
        <v>261671885857</v>
      </c>
      <c r="H5" s="152">
        <f t="shared" si="0"/>
        <v>188959270848</v>
      </c>
      <c r="I5" s="152">
        <f t="shared" si="0"/>
        <v>285661506501</v>
      </c>
      <c r="J5" s="152">
        <f t="shared" si="0"/>
        <v>266334187828</v>
      </c>
      <c r="K5" s="152">
        <f t="shared" si="0"/>
        <v>257906323902</v>
      </c>
      <c r="L5" s="152">
        <f t="shared" si="0"/>
        <v>272423138920</v>
      </c>
      <c r="M5" s="152">
        <f t="shared" si="0"/>
        <v>187852562896</v>
      </c>
      <c r="N5" s="152">
        <f t="shared" si="0"/>
        <v>242939544510</v>
      </c>
      <c r="O5" s="152">
        <f>O8+O9</f>
        <v>2860315963208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SUMIF('内訳ﾘｽﾄ(4～3月)'!$D$26:$D$1001,'採算表(VND)'!$B6,'内訳ﾘｽﾄ(4～3月)'!F$26:F$1001)</f>
        <v>158393778071</v>
      </c>
      <c r="D6" s="153">
        <f>SUMIF('内訳ﾘｽﾄ(4～3月)'!$D$26:$D$1001,'採算表(VND)'!$B6,'内訳ﾘｽﾄ(4～3月)'!G$26:G$1001)</f>
        <v>185745192386</v>
      </c>
      <c r="E6" s="153">
        <f>SUMIF('内訳ﾘｽﾄ(4～3月)'!$D$26:$D$1001,'採算表(VND)'!$B6,'内訳ﾘｽﾄ(4～3月)'!H$26:H$1001)</f>
        <v>225982860432</v>
      </c>
      <c r="F6" s="153">
        <f>SUMIF('内訳ﾘｽﾄ(4～3月)'!$D$26:$D$1001,'採算表(VND)'!$B6,'内訳ﾘｽﾄ(4～3月)'!I$26:I$1001)</f>
        <v>285642847642</v>
      </c>
      <c r="G6" s="153">
        <f>SUMIF('内訳ﾘｽﾄ(4～3月)'!$D$26:$D$1001,'採算表(VND)'!$B6,'内訳ﾘｽﾄ(4～3月)'!J$26:J$1001)</f>
        <v>250050948616</v>
      </c>
      <c r="H6" s="153">
        <f>SUMIF('内訳ﾘｽﾄ(4～3月)'!$D$26:$D$1001,'採算表(VND)'!$B6,'内訳ﾘｽﾄ(4～3月)'!K$26:K$1001)</f>
        <v>177899727073</v>
      </c>
      <c r="I6" s="153">
        <f>SUMIF('内訳ﾘｽﾄ(4～3月)'!$D$26:$D$1001,'採算表(VND)'!$B6,'内訳ﾘｽﾄ(4～3月)'!L$26:L$1001)</f>
        <v>277613573963</v>
      </c>
      <c r="J6" s="153">
        <f>SUMIF('内訳ﾘｽﾄ(4～3月)'!$D$26:$D$1001,'採算表(VND)'!$B6,'内訳ﾘｽﾄ(4～3月)'!M$26:M$1001)</f>
        <v>256474809803</v>
      </c>
      <c r="K6" s="153">
        <f>SUMIF('内訳ﾘｽﾄ(4～3月)'!$D$26:$D$1001,'採算表(VND)'!$B6,'内訳ﾘｽﾄ(4～3月)'!N$26:N$1001)</f>
        <v>248089155990</v>
      </c>
      <c r="L6" s="153">
        <f>SUMIF('内訳ﾘｽﾄ(4～3月)'!$D$26:$D$1001,'採算表(VND)'!$B6,'内訳ﾘｽﾄ(4～3月)'!O$26:O$1001)</f>
        <v>264726954363</v>
      </c>
      <c r="M6" s="153">
        <f>SUMIF('内訳ﾘｽﾄ(4～3月)'!$D$26:$D$1001,'採算表(VND)'!$B6,'内訳ﾘｽﾄ(4～3月)'!P$26:P$1001)</f>
        <v>179297981540</v>
      </c>
      <c r="N6" s="153">
        <f>SUMIF('内訳ﾘｽﾄ(4～3月)'!$D$26:$D$1001,'採算表(VND)'!$B6,'内訳ﾘｽﾄ(4～3月)'!Q$26:Q$1001)</f>
        <v>234124460994</v>
      </c>
      <c r="O6" s="153">
        <f>SUMIF('内訳ﾘｽﾄ(4～3月)'!$D$26:$D$800,'採算表(VND)'!$B6,'内訳ﾘｽﾄ(4～3月)'!R$26:R$800)</f>
        <v>2744042290873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SUMIF('内訳ﾘｽﾄ(4～3月)'!$D$26:$D$1001,'採算表(VND)'!$B7,'内訳ﾘｽﾄ(4～3月)'!F$26:F$1001)</f>
        <v>0</v>
      </c>
      <c r="D7" s="154">
        <f>SUMIF('内訳ﾘｽﾄ(4～3月)'!$D$26:$D$1001,'採算表(VND)'!$B7,'内訳ﾘｽﾄ(4～3月)'!G$26:G$1001)</f>
        <v>0</v>
      </c>
      <c r="E7" s="154">
        <f>SUMIF('内訳ﾘｽﾄ(4～3月)'!$D$26:$D$1001,'採算表(VND)'!$B7,'内訳ﾘｽﾄ(4～3月)'!H$26:H$1001)</f>
        <v>0</v>
      </c>
      <c r="F7" s="154">
        <f>SUMIF('内訳ﾘｽﾄ(4～3月)'!$D$26:$D$1001,'採算表(VND)'!$B7,'内訳ﾘｽﾄ(4～3月)'!I$26:I$1001)</f>
        <v>0</v>
      </c>
      <c r="G7" s="154">
        <f>SUMIF('内訳ﾘｽﾄ(4～3月)'!$D$26:$D$1001,'採算表(VND)'!$B7,'内訳ﾘｽﾄ(4～3月)'!J$26:J$1001)</f>
        <v>0</v>
      </c>
      <c r="H7" s="154">
        <f>SUMIF('内訳ﾘｽﾄ(4～3月)'!$D$26:$D$1001,'採算表(VND)'!$B7,'内訳ﾘｽﾄ(4～3月)'!K$26:K$1001)</f>
        <v>0</v>
      </c>
      <c r="I7" s="154">
        <f>SUMIF('内訳ﾘｽﾄ(4～3月)'!$D$26:$D$1001,'採算表(VND)'!$B7,'内訳ﾘｽﾄ(4～3月)'!L$26:L$1001)</f>
        <v>0</v>
      </c>
      <c r="J7" s="154">
        <f>SUMIF('内訳ﾘｽﾄ(4～3月)'!$D$26:$D$1001,'採算表(VND)'!$B7,'内訳ﾘｽﾄ(4～3月)'!M$26:M$1001)</f>
        <v>0</v>
      </c>
      <c r="K7" s="154">
        <f>SUMIF('内訳ﾘｽﾄ(4～3月)'!$D$26:$D$1001,'採算表(VND)'!$B7,'内訳ﾘｽﾄ(4～3月)'!N$26:N$1001)</f>
        <v>0</v>
      </c>
      <c r="L7" s="154">
        <f>SUMIF('内訳ﾘｽﾄ(4～3月)'!$D$26:$D$1001,'採算表(VND)'!$B7,'内訳ﾘｽﾄ(4～3月)'!O$26:O$1001)</f>
        <v>0</v>
      </c>
      <c r="M7" s="154">
        <f>SUMIF('内訳ﾘｽﾄ(4～3月)'!$D$26:$D$1001,'採算表(VND)'!$B7,'内訳ﾘｽﾄ(4～3月)'!P$26:P$1001)</f>
        <v>0</v>
      </c>
      <c r="N7" s="154">
        <f>SUMIF('内訳ﾘｽﾄ(4～3月)'!$D$26:$D$1001,'採算表(VND)'!$B7,'内訳ﾘｽﾄ(4～3月)'!Q$26:Q$1001)</f>
        <v>0</v>
      </c>
      <c r="O7" s="154">
        <f>SUMIF('内訳ﾘｽﾄ(4～3月)'!$D$26:$D$800,'採算表(VND)'!$B7,'内訳ﾘｽﾄ(4～3月)'!R$26:R$800)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158393778071</v>
      </c>
      <c r="D8" s="155">
        <f t="shared" si="1"/>
        <v>185745192386</v>
      </c>
      <c r="E8" s="155">
        <f t="shared" si="1"/>
        <v>225982860432</v>
      </c>
      <c r="F8" s="155">
        <f t="shared" si="1"/>
        <v>285642847642</v>
      </c>
      <c r="G8" s="155">
        <f t="shared" si="1"/>
        <v>250050948616</v>
      </c>
      <c r="H8" s="155">
        <f t="shared" si="1"/>
        <v>177899727073</v>
      </c>
      <c r="I8" s="155">
        <f t="shared" si="1"/>
        <v>277613573963</v>
      </c>
      <c r="J8" s="155">
        <f t="shared" si="1"/>
        <v>256474809803</v>
      </c>
      <c r="K8" s="155">
        <f t="shared" si="1"/>
        <v>248089155990</v>
      </c>
      <c r="L8" s="155">
        <f t="shared" si="1"/>
        <v>264726954363</v>
      </c>
      <c r="M8" s="155">
        <f t="shared" si="1"/>
        <v>179297981540</v>
      </c>
      <c r="N8" s="155">
        <f t="shared" si="1"/>
        <v>234124460994</v>
      </c>
      <c r="O8" s="155">
        <f>O6+O7</f>
        <v>2744042290873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SUMIF('内訳ﾘｽﾄ(4～3月)'!$D$26:$D$1001,'採算表(VND)'!$B9,'内訳ﾘｽﾄ(4～3月)'!F$26:F$1001)</f>
        <v>8502734467</v>
      </c>
      <c r="D9" s="150">
        <f>SUMIF('内訳ﾘｽﾄ(4～3月)'!$D$26:$D$1001,'採算表(VND)'!$B9,'内訳ﾘｽﾄ(4～3月)'!G$26:G$1001)</f>
        <v>10563767972</v>
      </c>
      <c r="E9" s="150">
        <f>SUMIF('内訳ﾘｽﾄ(4～3月)'!$D$26:$D$1001,'採算表(VND)'!$B9,'内訳ﾘｽﾄ(4～3月)'!H$26:H$1001)</f>
        <v>10877520580</v>
      </c>
      <c r="F9" s="150">
        <f>SUMIF('内訳ﾘｽﾄ(4～3月)'!$D$26:$D$1001,'採算表(VND)'!$B9,'内訳ﾘｽﾄ(4～3月)'!I$26:I$1001)</f>
        <v>10858840396</v>
      </c>
      <c r="G9" s="150">
        <f>SUMIF('内訳ﾘｽﾄ(4～3月)'!$D$26:$D$1001,'採算表(VND)'!$B9,'内訳ﾘｽﾄ(4～3月)'!J$26:J$1001)</f>
        <v>11620937241</v>
      </c>
      <c r="H9" s="150">
        <f>SUMIF('内訳ﾘｽﾄ(4～3月)'!$D$26:$D$1001,'採算表(VND)'!$B9,'内訳ﾘｽﾄ(4～3月)'!K$26:K$1001)</f>
        <v>11059543775</v>
      </c>
      <c r="I9" s="150">
        <f>SUMIF('内訳ﾘｽﾄ(4～3月)'!$D$26:$D$1001,'採算表(VND)'!$B9,'内訳ﾘｽﾄ(4～3月)'!L$26:L$1001)</f>
        <v>8047932538</v>
      </c>
      <c r="J9" s="150">
        <f>SUMIF('内訳ﾘｽﾄ(4～3月)'!$D$26:$D$1001,'採算表(VND)'!$B9,'内訳ﾘｽﾄ(4～3月)'!M$26:M$1001)</f>
        <v>9859378025</v>
      </c>
      <c r="K9" s="150">
        <f>SUMIF('内訳ﾘｽﾄ(4～3月)'!$D$26:$D$1001,'採算表(VND)'!$B9,'内訳ﾘｽﾄ(4～3月)'!N$26:N$1001)</f>
        <v>9817167912</v>
      </c>
      <c r="L9" s="150">
        <f>SUMIF('内訳ﾘｽﾄ(4～3月)'!$D$26:$D$1001,'採算表(VND)'!$B9,'内訳ﾘｽﾄ(4～3月)'!O$26:O$1001)</f>
        <v>7696184557</v>
      </c>
      <c r="M9" s="150">
        <f>SUMIF('内訳ﾘｽﾄ(4～3月)'!$D$26:$D$1001,'採算表(VND)'!$B9,'内訳ﾘｽﾄ(4～3月)'!P$26:P$1001)</f>
        <v>8554581356</v>
      </c>
      <c r="N9" s="150">
        <f>SUMIF('内訳ﾘｽﾄ(4～3月)'!$D$26:$D$1001,'採算表(VND)'!$B9,'内訳ﾘｽﾄ(4～3月)'!Q$26:Q$1001)</f>
        <v>8815083516</v>
      </c>
      <c r="O9" s="150">
        <f>SUMIF('内訳ﾘｽﾄ(4～3月)'!$D$26:$D$800,'採算表(VND)'!$B9,'内訳ﾘｽﾄ(4～3月)'!R$26:R$800)</f>
        <v>116273672335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SUMIF('内訳ﾘｽﾄ(4～3月)'!$D$26:$D$1001,'採算表(VND)'!$B10,'内訳ﾘｽﾄ(4～3月)'!F$26:F$1001)</f>
        <v>4640453877</v>
      </c>
      <c r="D10" s="150">
        <f>SUMIF('内訳ﾘｽﾄ(4～3月)'!$D$26:$D$1001,'採算表(VND)'!$B10,'内訳ﾘｽﾄ(4～3月)'!G$26:G$1001)</f>
        <v>5306909893</v>
      </c>
      <c r="E10" s="150">
        <f>SUMIF('内訳ﾘｽﾄ(4～3月)'!$D$26:$D$1001,'採算表(VND)'!$B10,'内訳ﾘｽﾄ(4～3月)'!H$26:H$1001)</f>
        <v>6494246330</v>
      </c>
      <c r="F10" s="150">
        <f>SUMIF('内訳ﾘｽﾄ(4～3月)'!$D$26:$D$1001,'採算表(VND)'!$B10,'内訳ﾘｽﾄ(4～3月)'!I$26:I$1001)</f>
        <v>8282404617</v>
      </c>
      <c r="G10" s="150">
        <f>SUMIF('内訳ﾘｽﾄ(4～3月)'!$D$26:$D$1001,'採算表(VND)'!$B10,'内訳ﾘｽﾄ(4～3月)'!J$26:J$1001)</f>
        <v>7195684434</v>
      </c>
      <c r="H10" s="150">
        <f>SUMIF('内訳ﾘｽﾄ(4～3月)'!$D$26:$D$1001,'採算表(VND)'!$B10,'内訳ﾘｽﾄ(4～3月)'!K$26:K$1001)</f>
        <v>4999878017</v>
      </c>
      <c r="I10" s="150">
        <f>SUMIF('内訳ﾘｽﾄ(4～3月)'!$D$26:$D$1001,'採算表(VND)'!$B10,'内訳ﾘｽﾄ(4～3月)'!L$26:L$1001)</f>
        <v>8077123420</v>
      </c>
      <c r="J10" s="150">
        <f>SUMIF('内訳ﾘｽﾄ(4～3月)'!$D$26:$D$1001,'採算表(VND)'!$B10,'内訳ﾘｽﾄ(4～3月)'!M$26:M$1001)</f>
        <v>7370893462</v>
      </c>
      <c r="K10" s="150">
        <f>SUMIF('内訳ﾘｽﾄ(4～3月)'!$D$26:$D$1001,'採算表(VND)'!$B10,'内訳ﾘｽﾄ(4～3月)'!N$26:N$1001)</f>
        <v>7047978109</v>
      </c>
      <c r="L10" s="150">
        <f>SUMIF('内訳ﾘｽﾄ(4～3月)'!$D$26:$D$1001,'採算表(VND)'!$B10,'内訳ﾘｽﾄ(4～3月)'!O$26:O$1001)</f>
        <v>7458014168</v>
      </c>
      <c r="M10" s="150">
        <f>SUMIF('内訳ﾘｽﾄ(4～3月)'!$D$26:$D$1001,'採算表(VND)'!$B10,'内訳ﾘｽﾄ(4～3月)'!P$26:P$1001)</f>
        <v>4913816073</v>
      </c>
      <c r="N10" s="150">
        <f>SUMIF('内訳ﾘｽﾄ(4～3月)'!$D$26:$D$1001,'採算表(VND)'!$B10,'内訳ﾘｽﾄ(4～3月)'!Q$26:Q$1001)</f>
        <v>6628997153</v>
      </c>
      <c r="O10" s="150">
        <f>SUMIF('内訳ﾘｽﾄ(4～3月)'!$D$26:$D$800,'採算表(VND)'!$B10,'内訳ﾘｽﾄ(4～3月)'!R$26:R$800)</f>
        <v>78416399553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162256058661</v>
      </c>
      <c r="D12" s="156">
        <f t="shared" ref="D12:N12" si="2">D5-D10</f>
        <v>191002050465</v>
      </c>
      <c r="E12" s="156">
        <f t="shared" si="2"/>
        <v>230366134682</v>
      </c>
      <c r="F12" s="156">
        <f t="shared" si="2"/>
        <v>288219283421</v>
      </c>
      <c r="G12" s="156">
        <f t="shared" si="2"/>
        <v>254476201423</v>
      </c>
      <c r="H12" s="156">
        <f t="shared" si="2"/>
        <v>183959392831</v>
      </c>
      <c r="I12" s="156">
        <f t="shared" si="2"/>
        <v>277584383081</v>
      </c>
      <c r="J12" s="156">
        <f t="shared" si="2"/>
        <v>258963294366</v>
      </c>
      <c r="K12" s="156">
        <f t="shared" si="2"/>
        <v>250858345793</v>
      </c>
      <c r="L12" s="156">
        <f t="shared" si="2"/>
        <v>264965124752</v>
      </c>
      <c r="M12" s="156">
        <f t="shared" si="2"/>
        <v>182938746823</v>
      </c>
      <c r="N12" s="156">
        <f t="shared" si="2"/>
        <v>236310547357</v>
      </c>
      <c r="O12" s="156">
        <f>O5-O10</f>
        <v>2781899563655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154349775608</v>
      </c>
      <c r="D13" s="150">
        <f t="shared" ref="D13:N13" si="3">SUM(D14:D65)</f>
        <v>168799288965</v>
      </c>
      <c r="E13" s="150">
        <f t="shared" si="3"/>
        <v>196845582823</v>
      </c>
      <c r="F13" s="150">
        <f t="shared" si="3"/>
        <v>247981627690</v>
      </c>
      <c r="G13" s="150">
        <f t="shared" si="3"/>
        <v>215560586262</v>
      </c>
      <c r="H13" s="150">
        <f t="shared" si="3"/>
        <v>167217106139</v>
      </c>
      <c r="I13" s="150">
        <f t="shared" si="3"/>
        <v>246582564593</v>
      </c>
      <c r="J13" s="150">
        <f t="shared" si="3"/>
        <v>224649166756</v>
      </c>
      <c r="K13" s="150">
        <f t="shared" si="3"/>
        <v>218436837683</v>
      </c>
      <c r="L13" s="150">
        <f t="shared" si="3"/>
        <v>230062252131</v>
      </c>
      <c r="M13" s="150">
        <f t="shared" si="3"/>
        <v>167418985035</v>
      </c>
      <c r="N13" s="150">
        <f t="shared" si="3"/>
        <v>209913582207</v>
      </c>
      <c r="O13" s="150">
        <f>SUM(O14:O65)</f>
        <v>2447817355892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SUMIF('内訳ﾘｽﾄ(4～3月)'!$D$26:$D$1001,$B14,'内訳ﾘｽﾄ(4～3月)'!F$26:F$1001)</f>
        <v>135833303751</v>
      </c>
      <c r="D14" s="157">
        <f>SUMIF('内訳ﾘｽﾄ(4～3月)'!$D$26:$D$1001,$B14,'内訳ﾘｽﾄ(4～3月)'!G$26:G$1001)</f>
        <v>149000756186</v>
      </c>
      <c r="E14" s="157">
        <f>SUMIF('内訳ﾘｽﾄ(4～3月)'!$D$26:$D$1001,$B14,'内訳ﾘｽﾄ(4～3月)'!H$26:H$1001)</f>
        <v>179463224020</v>
      </c>
      <c r="F14" s="157">
        <f>SUMIF('内訳ﾘｽﾄ(4～3月)'!$D$26:$D$1001,$B14,'内訳ﾘｽﾄ(4～3月)'!I$26:I$1001)</f>
        <v>224398250970</v>
      </c>
      <c r="G14" s="157">
        <f>SUMIF('内訳ﾘｽﾄ(4～3月)'!$D$26:$D$1001,$B14,'内訳ﾘｽﾄ(4～3月)'!J$26:J$1001)</f>
        <v>197536945257</v>
      </c>
      <c r="H14" s="157">
        <f>SUMIF('内訳ﾘｽﾄ(4～3月)'!$D$26:$D$1001,$B14,'内訳ﾘｽﾄ(4～3月)'!K$26:K$1001)</f>
        <v>143440112460</v>
      </c>
      <c r="I14" s="157">
        <f>SUMIF('内訳ﾘｽﾄ(4～3月)'!$D$26:$D$1001,$B14,'内訳ﾘｽﾄ(4～3月)'!L$26:L$1001)</f>
        <v>215206076332</v>
      </c>
      <c r="J14" s="157">
        <f>SUMIF('内訳ﾘｽﾄ(4～3月)'!$D$26:$D$1001,$B14,'内訳ﾘｽﾄ(4～3月)'!M$26:M$1001)</f>
        <v>200935921904</v>
      </c>
      <c r="K14" s="157">
        <f>SUMIF('内訳ﾘｽﾄ(4～3月)'!$D$26:$D$1001,$B14,'内訳ﾘｽﾄ(4～3月)'!N$26:N$1001)</f>
        <v>194221071508</v>
      </c>
      <c r="L14" s="157">
        <f>SUMIF('内訳ﾘｽﾄ(4～3月)'!$D$26:$D$1001,$B14,'内訳ﾘｽﾄ(4～3月)'!O$26:O$1001)</f>
        <v>204765950086</v>
      </c>
      <c r="M14" s="157">
        <f>SUMIF('内訳ﾘｽﾄ(4～3月)'!$D$26:$D$1001,$B14,'内訳ﾘｽﾄ(4～3月)'!P$26:P$1001)</f>
        <v>142044296343</v>
      </c>
      <c r="N14" s="157">
        <f>SUMIF('内訳ﾘｽﾄ(4～3月)'!$D$26:$D$1001,$B14,'内訳ﾘｽﾄ(4～3月)'!Q$26:Q$1001)</f>
        <v>182848364757</v>
      </c>
      <c r="O14" s="157">
        <f>SUMIF('内訳ﾘｽﾄ(4～3月)'!$D$26:$D$800,'採算表(VND)'!$B14,'内訳ﾘｽﾄ(4～3月)'!R$26:R$800)</f>
        <v>2169694273574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SUMIF('内訳ﾘｽﾄ(4～3月)'!$D$26:$D$1001,$B15,'内訳ﾘｽﾄ(4～3月)'!F$26:F$1001)</f>
        <v>0</v>
      </c>
      <c r="D15" s="157">
        <f>SUMIF('内訳ﾘｽﾄ(4～3月)'!$D$26:$D$1001,$B15,'内訳ﾘｽﾄ(4～3月)'!G$26:G$1001)</f>
        <v>0</v>
      </c>
      <c r="E15" s="157">
        <f>SUMIF('内訳ﾘｽﾄ(4～3月)'!$D$26:$D$1001,$B15,'内訳ﾘｽﾄ(4～3月)'!H$26:H$1001)</f>
        <v>0</v>
      </c>
      <c r="F15" s="157">
        <f>SUMIF('内訳ﾘｽﾄ(4～3月)'!$D$26:$D$1001,$B15,'内訳ﾘｽﾄ(4～3月)'!I$26:I$1001)</f>
        <v>0</v>
      </c>
      <c r="G15" s="157">
        <f>SUMIF('内訳ﾘｽﾄ(4～3月)'!$D$26:$D$1001,$B15,'内訳ﾘｽﾄ(4～3月)'!J$26:J$1001)</f>
        <v>0</v>
      </c>
      <c r="H15" s="157">
        <f>SUMIF('内訳ﾘｽﾄ(4～3月)'!$D$26:$D$1001,$B15,'内訳ﾘｽﾄ(4～3月)'!K$26:K$1001)</f>
        <v>0</v>
      </c>
      <c r="I15" s="157">
        <f>SUMIF('内訳ﾘｽﾄ(4～3月)'!$D$26:$D$1001,$B15,'内訳ﾘｽﾄ(4～3月)'!L$26:L$1001)</f>
        <v>0</v>
      </c>
      <c r="J15" s="157">
        <f>SUMIF('内訳ﾘｽﾄ(4～3月)'!$D$26:$D$1001,$B15,'内訳ﾘｽﾄ(4～3月)'!M$26:M$1001)</f>
        <v>0</v>
      </c>
      <c r="K15" s="157">
        <f>SUMIF('内訳ﾘｽﾄ(4～3月)'!$D$26:$D$1001,$B15,'内訳ﾘｽﾄ(4～3月)'!N$26:N$1001)</f>
        <v>0</v>
      </c>
      <c r="L15" s="157">
        <f>SUMIF('内訳ﾘｽﾄ(4～3月)'!$D$26:$D$1001,$B15,'内訳ﾘｽﾄ(4～3月)'!O$26:O$1001)</f>
        <v>0</v>
      </c>
      <c r="M15" s="157">
        <f>SUMIF('内訳ﾘｽﾄ(4～3月)'!$D$26:$D$1001,$B15,'内訳ﾘｽﾄ(4～3月)'!P$26:P$1001)</f>
        <v>0</v>
      </c>
      <c r="N15" s="157">
        <f>SUMIF('内訳ﾘｽﾄ(4～3月)'!$D$26:$D$1001,$B15,'内訳ﾘｽﾄ(4～3月)'!Q$26:Q$1001)</f>
        <v>0</v>
      </c>
      <c r="O15" s="157">
        <f>SUMIF('内訳ﾘｽﾄ(4～3月)'!$D$26:$D$800,'採算表(VND)'!$B15,'内訳ﾘｽﾄ(4～3月)'!R$26:R$800)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SUMIF('内訳ﾘｽﾄ(4～3月)'!$D$26:$D$1001,$B16,'内訳ﾘｽﾄ(4～3月)'!F$26:F$1001)</f>
        <v>0</v>
      </c>
      <c r="D16" s="157">
        <f>SUMIF('内訳ﾘｽﾄ(4～3月)'!$D$26:$D$1001,$B16,'内訳ﾘｽﾄ(4～3月)'!G$26:G$1001)</f>
        <v>0</v>
      </c>
      <c r="E16" s="157">
        <f>SUMIF('内訳ﾘｽﾄ(4～3月)'!$D$26:$D$1001,$B16,'内訳ﾘｽﾄ(4～3月)'!H$26:H$1001)</f>
        <v>0</v>
      </c>
      <c r="F16" s="157">
        <f>SUMIF('内訳ﾘｽﾄ(4～3月)'!$D$26:$D$1001,$B16,'内訳ﾘｽﾄ(4～3月)'!I$26:I$1001)</f>
        <v>0</v>
      </c>
      <c r="G16" s="157">
        <f>SUMIF('内訳ﾘｽﾄ(4～3月)'!$D$26:$D$1001,$B16,'内訳ﾘｽﾄ(4～3月)'!J$26:J$1001)</f>
        <v>0</v>
      </c>
      <c r="H16" s="157">
        <f>SUMIF('内訳ﾘｽﾄ(4～3月)'!$D$26:$D$1001,$B16,'内訳ﾘｽﾄ(4～3月)'!K$26:K$1001)</f>
        <v>0</v>
      </c>
      <c r="I16" s="157">
        <f>SUMIF('内訳ﾘｽﾄ(4～3月)'!$D$26:$D$1001,$B16,'内訳ﾘｽﾄ(4～3月)'!L$26:L$1001)</f>
        <v>0</v>
      </c>
      <c r="J16" s="157">
        <f>SUMIF('内訳ﾘｽﾄ(4～3月)'!$D$26:$D$1001,$B16,'内訳ﾘｽﾄ(4～3月)'!M$26:M$1001)</f>
        <v>0</v>
      </c>
      <c r="K16" s="157">
        <f>SUMIF('内訳ﾘｽﾄ(4～3月)'!$D$26:$D$1001,$B16,'内訳ﾘｽﾄ(4～3月)'!N$26:N$1001)</f>
        <v>0</v>
      </c>
      <c r="L16" s="157">
        <f>SUMIF('内訳ﾘｽﾄ(4～3月)'!$D$26:$D$1001,$B16,'内訳ﾘｽﾄ(4～3月)'!O$26:O$1001)</f>
        <v>0</v>
      </c>
      <c r="M16" s="157">
        <f>SUMIF('内訳ﾘｽﾄ(4～3月)'!$D$26:$D$1001,$B16,'内訳ﾘｽﾄ(4～3月)'!P$26:P$1001)</f>
        <v>0</v>
      </c>
      <c r="N16" s="157">
        <f>SUMIF('内訳ﾘｽﾄ(4～3月)'!$D$26:$D$1001,$B16,'内訳ﾘｽﾄ(4～3月)'!Q$26:Q$1001)</f>
        <v>0</v>
      </c>
      <c r="O16" s="157">
        <f>SUMIF('内訳ﾘｽﾄ(4～3月)'!$D$26:$D$800,'採算表(VND)'!$B16,'内訳ﾘｽﾄ(4～3月)'!R$26:R$800)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SUMIF('内訳ﾘｽﾄ(4～3月)'!$D$26:$D$1001,$B17,'内訳ﾘｽﾄ(4～3月)'!F$26:F$1001)</f>
        <v>0</v>
      </c>
      <c r="D17" s="158">
        <f>SUMIF('内訳ﾘｽﾄ(4～3月)'!$D$26:$D$1001,$B17,'内訳ﾘｽﾄ(4～3月)'!G$26:G$1001)</f>
        <v>0</v>
      </c>
      <c r="E17" s="158">
        <f>SUMIF('内訳ﾘｽﾄ(4～3月)'!$D$26:$D$1001,$B17,'内訳ﾘｽﾄ(4～3月)'!H$26:H$1001)</f>
        <v>0</v>
      </c>
      <c r="F17" s="158">
        <f>SUMIF('内訳ﾘｽﾄ(4～3月)'!$D$26:$D$1001,$B17,'内訳ﾘｽﾄ(4～3月)'!I$26:I$1001)</f>
        <v>0</v>
      </c>
      <c r="G17" s="158">
        <f>SUMIF('内訳ﾘｽﾄ(4～3月)'!$D$26:$D$1001,$B17,'内訳ﾘｽﾄ(4～3月)'!J$26:J$1001)</f>
        <v>0</v>
      </c>
      <c r="H17" s="158">
        <f>SUMIF('内訳ﾘｽﾄ(4～3月)'!$D$26:$D$1001,$B17,'内訳ﾘｽﾄ(4～3月)'!K$26:K$1001)</f>
        <v>0</v>
      </c>
      <c r="I17" s="158">
        <f>SUMIF('内訳ﾘｽﾄ(4～3月)'!$D$26:$D$1001,$B17,'内訳ﾘｽﾄ(4～3月)'!L$26:L$1001)</f>
        <v>0</v>
      </c>
      <c r="J17" s="158">
        <f>SUMIF('内訳ﾘｽﾄ(4～3月)'!$D$26:$D$1001,$B17,'内訳ﾘｽﾄ(4～3月)'!M$26:M$1001)</f>
        <v>0</v>
      </c>
      <c r="K17" s="158">
        <f>SUMIF('内訳ﾘｽﾄ(4～3月)'!$D$26:$D$1001,$B17,'内訳ﾘｽﾄ(4～3月)'!N$26:N$1001)</f>
        <v>0</v>
      </c>
      <c r="L17" s="158">
        <f>SUMIF('内訳ﾘｽﾄ(4～3月)'!$D$26:$D$1001,$B17,'内訳ﾘｽﾄ(4～3月)'!O$26:O$1001)</f>
        <v>0</v>
      </c>
      <c r="M17" s="158">
        <f>SUMIF('内訳ﾘｽﾄ(4～3月)'!$D$26:$D$1001,$B17,'内訳ﾘｽﾄ(4～3月)'!P$26:P$1001)</f>
        <v>0</v>
      </c>
      <c r="N17" s="158">
        <f>SUMIF('内訳ﾘｽﾄ(4～3月)'!$D$26:$D$1001,$B17,'内訳ﾘｽﾄ(4～3月)'!Q$26:Q$1001)</f>
        <v>0</v>
      </c>
      <c r="O17" s="158">
        <f>SUMIF('内訳ﾘｽﾄ(4～3月)'!$D$26:$D$800,'採算表(VND)'!$B17,'内訳ﾘｽﾄ(4～3月)'!R$26:R$800)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SUMIF('内訳ﾘｽﾄ(4～3月)'!$D$26:$D$1001,$B18,'内訳ﾘｽﾄ(4～3月)'!F$26:F$1001)</f>
        <v>0</v>
      </c>
      <c r="D18" s="158">
        <f>SUMIF('内訳ﾘｽﾄ(4～3月)'!$D$26:$D$1001,$B18,'内訳ﾘｽﾄ(4～3月)'!G$26:G$1001)</f>
        <v>0</v>
      </c>
      <c r="E18" s="158">
        <f>SUMIF('内訳ﾘｽﾄ(4～3月)'!$D$26:$D$1001,$B18,'内訳ﾘｽﾄ(4～3月)'!H$26:H$1001)</f>
        <v>0</v>
      </c>
      <c r="F18" s="158">
        <f>SUMIF('内訳ﾘｽﾄ(4～3月)'!$D$26:$D$1001,$B18,'内訳ﾘｽﾄ(4～3月)'!I$26:I$1001)</f>
        <v>0</v>
      </c>
      <c r="G18" s="158">
        <f>SUMIF('内訳ﾘｽﾄ(4～3月)'!$D$26:$D$1001,$B18,'内訳ﾘｽﾄ(4～3月)'!J$26:J$1001)</f>
        <v>0</v>
      </c>
      <c r="H18" s="158">
        <f>SUMIF('内訳ﾘｽﾄ(4～3月)'!$D$26:$D$1001,$B18,'内訳ﾘｽﾄ(4～3月)'!K$26:K$1001)</f>
        <v>0</v>
      </c>
      <c r="I18" s="158">
        <f>SUMIF('内訳ﾘｽﾄ(4～3月)'!$D$26:$D$1001,$B18,'内訳ﾘｽﾄ(4～3月)'!L$26:L$1001)</f>
        <v>0</v>
      </c>
      <c r="J18" s="158">
        <f>SUMIF('内訳ﾘｽﾄ(4～3月)'!$D$26:$D$1001,$B18,'内訳ﾘｽﾄ(4～3月)'!M$26:M$1001)</f>
        <v>0</v>
      </c>
      <c r="K18" s="158">
        <f>SUMIF('内訳ﾘｽﾄ(4～3月)'!$D$26:$D$1001,$B18,'内訳ﾘｽﾄ(4～3月)'!N$26:N$1001)</f>
        <v>0</v>
      </c>
      <c r="L18" s="158">
        <f>SUMIF('内訳ﾘｽﾄ(4～3月)'!$D$26:$D$1001,$B18,'内訳ﾘｽﾄ(4～3月)'!O$26:O$1001)</f>
        <v>0</v>
      </c>
      <c r="M18" s="158">
        <f>SUMIF('内訳ﾘｽﾄ(4～3月)'!$D$26:$D$1001,$B18,'内訳ﾘｽﾄ(4～3月)'!P$26:P$1001)</f>
        <v>0</v>
      </c>
      <c r="N18" s="158">
        <f>SUMIF('内訳ﾘｽﾄ(4～3月)'!$D$26:$D$1001,$B18,'内訳ﾘｽﾄ(4～3月)'!Q$26:Q$1001)</f>
        <v>0</v>
      </c>
      <c r="O18" s="158">
        <f>SUMIF('内訳ﾘｽﾄ(4～3月)'!$D$26:$D$800,'採算表(VND)'!$B18,'内訳ﾘｽﾄ(4～3月)'!R$26:R$800)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SUMIF('内訳ﾘｽﾄ(4～3月)'!$D$26:$D$1001,$B19,'内訳ﾘｽﾄ(4～3月)'!F$26:F$1001)</f>
        <v>0</v>
      </c>
      <c r="D19" s="158">
        <f>SUMIF('内訳ﾘｽﾄ(4～3月)'!$D$26:$D$1001,$B19,'内訳ﾘｽﾄ(4～3月)'!G$26:G$1001)</f>
        <v>0</v>
      </c>
      <c r="E19" s="158">
        <f>SUMIF('内訳ﾘｽﾄ(4～3月)'!$D$26:$D$1001,$B19,'内訳ﾘｽﾄ(4～3月)'!H$26:H$1001)</f>
        <v>0</v>
      </c>
      <c r="F19" s="158">
        <f>SUMIF('内訳ﾘｽﾄ(4～3月)'!$D$26:$D$1001,$B19,'内訳ﾘｽﾄ(4～3月)'!I$26:I$1001)</f>
        <v>0</v>
      </c>
      <c r="G19" s="158">
        <f>SUMIF('内訳ﾘｽﾄ(4～3月)'!$D$26:$D$1001,$B19,'内訳ﾘｽﾄ(4～3月)'!J$26:J$1001)</f>
        <v>0</v>
      </c>
      <c r="H19" s="158">
        <f>SUMIF('内訳ﾘｽﾄ(4～3月)'!$D$26:$D$1001,$B19,'内訳ﾘｽﾄ(4～3月)'!K$26:K$1001)</f>
        <v>0</v>
      </c>
      <c r="I19" s="158">
        <f>SUMIF('内訳ﾘｽﾄ(4～3月)'!$D$26:$D$1001,$B19,'内訳ﾘｽﾄ(4～3月)'!L$26:L$1001)</f>
        <v>0</v>
      </c>
      <c r="J19" s="158">
        <f>SUMIF('内訳ﾘｽﾄ(4～3月)'!$D$26:$D$1001,$B19,'内訳ﾘｽﾄ(4～3月)'!M$26:M$1001)</f>
        <v>0</v>
      </c>
      <c r="K19" s="158">
        <f>SUMIF('内訳ﾘｽﾄ(4～3月)'!$D$26:$D$1001,$B19,'内訳ﾘｽﾄ(4～3月)'!N$26:N$1001)</f>
        <v>0</v>
      </c>
      <c r="L19" s="158">
        <f>SUMIF('内訳ﾘｽﾄ(4～3月)'!$D$26:$D$1001,$B19,'内訳ﾘｽﾄ(4～3月)'!O$26:O$1001)</f>
        <v>0</v>
      </c>
      <c r="M19" s="158">
        <f>SUMIF('内訳ﾘｽﾄ(4～3月)'!$D$26:$D$1001,$B19,'内訳ﾘｽﾄ(4～3月)'!P$26:P$1001)</f>
        <v>0</v>
      </c>
      <c r="N19" s="158">
        <f>SUMIF('内訳ﾘｽﾄ(4～3月)'!$D$26:$D$1001,$B19,'内訳ﾘｽﾄ(4～3月)'!Q$26:Q$1001)</f>
        <v>0</v>
      </c>
      <c r="O19" s="158">
        <f>SUMIF('内訳ﾘｽﾄ(4～3月)'!$D$26:$D$800,'採算表(VND)'!$B19,'内訳ﾘｽﾄ(4～3月)'!R$26:R$800)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SUMIF('内訳ﾘｽﾄ(4～3月)'!$D$26:$D$1001,$B20,'内訳ﾘｽﾄ(4～3月)'!F$26:F$1001)</f>
        <v>732363633</v>
      </c>
      <c r="D20" s="158">
        <f>SUMIF('内訳ﾘｽﾄ(4～3月)'!$D$26:$D$1001,$B20,'内訳ﾘｽﾄ(4～3月)'!G$26:G$1001)</f>
        <v>729616943</v>
      </c>
      <c r="E20" s="158">
        <f>SUMIF('内訳ﾘｽﾄ(4～3月)'!$D$26:$D$1001,$B20,'内訳ﾘｽﾄ(4～3月)'!H$26:H$1001)</f>
        <v>722957654</v>
      </c>
      <c r="F20" s="158">
        <f>SUMIF('内訳ﾘｽﾄ(4～3月)'!$D$26:$D$1001,$B20,'内訳ﾘｽﾄ(4～3月)'!I$26:I$1001)</f>
        <v>729732975</v>
      </c>
      <c r="G20" s="158">
        <f>SUMIF('内訳ﾘｽﾄ(4～3月)'!$D$26:$D$1001,$B20,'内訳ﾘｽﾄ(4～3月)'!J$26:J$1001)</f>
        <v>732280100</v>
      </c>
      <c r="H20" s="158">
        <f>SUMIF('内訳ﾘｽﾄ(4～3月)'!$D$26:$D$1001,$B20,'内訳ﾘｽﾄ(4～3月)'!K$26:K$1001)</f>
        <v>743862511</v>
      </c>
      <c r="I20" s="158">
        <f>SUMIF('内訳ﾘｽﾄ(4～3月)'!$D$26:$D$1001,$B20,'内訳ﾘｽﾄ(4～3月)'!L$26:L$1001)</f>
        <v>754217822</v>
      </c>
      <c r="J20" s="158">
        <f>SUMIF('内訳ﾘｽﾄ(4～3月)'!$D$26:$D$1001,$B20,'内訳ﾘｽﾄ(4～3月)'!M$26:M$1001)</f>
        <v>754324460</v>
      </c>
      <c r="K20" s="158">
        <f>SUMIF('内訳ﾘｽﾄ(4～3月)'!$D$26:$D$1001,$B20,'内訳ﾘｽﾄ(4～3月)'!N$26:N$1001)</f>
        <v>754403677</v>
      </c>
      <c r="L20" s="158">
        <f>SUMIF('内訳ﾘｽﾄ(4～3月)'!$D$26:$D$1001,$B20,'内訳ﾘｽﾄ(4～3月)'!O$26:O$1001)</f>
        <v>753466532</v>
      </c>
      <c r="M20" s="158">
        <f>SUMIF('内訳ﾘｽﾄ(4～3月)'!$D$26:$D$1001,$B20,'内訳ﾘｽﾄ(4～3月)'!P$26:P$1001)</f>
        <v>755481482</v>
      </c>
      <c r="N20" s="158">
        <f>SUMIF('内訳ﾘｽﾄ(4～3月)'!$D$26:$D$1001,$B20,'内訳ﾘｽﾄ(4～3月)'!Q$26:Q$1001)</f>
        <v>749464053</v>
      </c>
      <c r="O20" s="158">
        <f>SUMIF('内訳ﾘｽﾄ(4～3月)'!$D$26:$D$800,'採算表(VND)'!$B20,'内訳ﾘｽﾄ(4～3月)'!R$26:R$800)</f>
        <v>8912171842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SUMIF('内訳ﾘｽﾄ(4～3月)'!$D$26:$D$1001,$B21,'内訳ﾘｽﾄ(4～3月)'!F$26:F$1001)</f>
        <v>1688770910</v>
      </c>
      <c r="D21" s="158">
        <f>SUMIF('内訳ﾘｽﾄ(4～3月)'!$D$26:$D$1001,$B21,'内訳ﾘｽﾄ(4～3月)'!G$26:G$1001)</f>
        <v>1695790737</v>
      </c>
      <c r="E21" s="158">
        <f>SUMIF('内訳ﾘｽﾄ(4～3月)'!$D$26:$D$1001,$B21,'内訳ﾘｽﾄ(4～3月)'!H$26:H$1001)</f>
        <v>1623586909</v>
      </c>
      <c r="F21" s="158">
        <f>SUMIF('内訳ﾘｽﾄ(4～3月)'!$D$26:$D$1001,$B21,'内訳ﾘｽﾄ(4～3月)'!I$26:I$1001)</f>
        <v>2390501761</v>
      </c>
      <c r="G21" s="158">
        <f>SUMIF('内訳ﾘｽﾄ(4～3月)'!$D$26:$D$1001,$B21,'内訳ﾘｽﾄ(4～3月)'!J$26:J$1001)</f>
        <v>3118976153</v>
      </c>
      <c r="H21" s="158">
        <f>SUMIF('内訳ﾘｽﾄ(4～3月)'!$D$26:$D$1001,$B21,'内訳ﾘｽﾄ(4～3月)'!K$26:K$1001)</f>
        <v>3780399110</v>
      </c>
      <c r="I21" s="158">
        <f>SUMIF('内訳ﾘｽﾄ(4～3月)'!$D$26:$D$1001,$B21,'内訳ﾘｽﾄ(4～3月)'!L$26:L$1001)</f>
        <v>4875367234</v>
      </c>
      <c r="J21" s="158">
        <f>SUMIF('内訳ﾘｽﾄ(4～3月)'!$D$26:$D$1001,$B21,'内訳ﾘｽﾄ(4～3月)'!M$26:M$1001)</f>
        <v>5966572307</v>
      </c>
      <c r="K21" s="158">
        <f>SUMIF('内訳ﾘｽﾄ(4～3月)'!$D$26:$D$1001,$B21,'内訳ﾘｽﾄ(4～3月)'!N$26:N$1001)</f>
        <v>7128234629</v>
      </c>
      <c r="L21" s="158">
        <f>SUMIF('内訳ﾘｽﾄ(4～3月)'!$D$26:$D$1001,$B21,'内訳ﾘｽﾄ(4～3月)'!O$26:O$1001)</f>
        <v>8201393759</v>
      </c>
      <c r="M21" s="158">
        <f>SUMIF('内訳ﾘｽﾄ(4～3月)'!$D$26:$D$1001,$B21,'内訳ﾘｽﾄ(4～3月)'!P$26:P$1001)</f>
        <v>9162422270</v>
      </c>
      <c r="N21" s="158">
        <f>SUMIF('内訳ﾘｽﾄ(4～3月)'!$D$26:$D$1001,$B21,'内訳ﾘｽﾄ(4～3月)'!Q$26:Q$1001)</f>
        <v>10055310115</v>
      </c>
      <c r="O21" s="158">
        <f>SUMIF('内訳ﾘｽﾄ(4～3月)'!$D$26:$D$800,'採算表(VND)'!$B21,'内訳ﾘｽﾄ(4～3月)'!R$26:R$800)</f>
        <v>59687325894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SUMIF('内訳ﾘｽﾄ(4～3月)'!$D$26:$D$1001,$B22,'内訳ﾘｽﾄ(4～3月)'!F$26:F$1001)</f>
        <v>0</v>
      </c>
      <c r="D22" s="158">
        <f>SUMIF('内訳ﾘｽﾄ(4～3月)'!$D$26:$D$1001,$B22,'内訳ﾘｽﾄ(4～3月)'!G$26:G$1001)</f>
        <v>0</v>
      </c>
      <c r="E22" s="158">
        <f>SUMIF('内訳ﾘｽﾄ(4～3月)'!$D$26:$D$1001,$B22,'内訳ﾘｽﾄ(4～3月)'!H$26:H$1001)</f>
        <v>0</v>
      </c>
      <c r="F22" s="158">
        <f>SUMIF('内訳ﾘｽﾄ(4～3月)'!$D$26:$D$1001,$B22,'内訳ﾘｽﾄ(4～3月)'!I$26:I$1001)</f>
        <v>0</v>
      </c>
      <c r="G22" s="158">
        <f>SUMIF('内訳ﾘｽﾄ(4～3月)'!$D$26:$D$1001,$B22,'内訳ﾘｽﾄ(4～3月)'!J$26:J$1001)</f>
        <v>0</v>
      </c>
      <c r="H22" s="158">
        <f>SUMIF('内訳ﾘｽﾄ(4～3月)'!$D$26:$D$1001,$B22,'内訳ﾘｽﾄ(4～3月)'!K$26:K$1001)</f>
        <v>0</v>
      </c>
      <c r="I22" s="158">
        <f>SUMIF('内訳ﾘｽﾄ(4～3月)'!$D$26:$D$1001,$B22,'内訳ﾘｽﾄ(4～3月)'!L$26:L$1001)</f>
        <v>0</v>
      </c>
      <c r="J22" s="158">
        <f>SUMIF('内訳ﾘｽﾄ(4～3月)'!$D$26:$D$1001,$B22,'内訳ﾘｽﾄ(4～3月)'!M$26:M$1001)</f>
        <v>0</v>
      </c>
      <c r="K22" s="158">
        <f>SUMIF('内訳ﾘｽﾄ(4～3月)'!$D$26:$D$1001,$B22,'内訳ﾘｽﾄ(4～3月)'!N$26:N$1001)</f>
        <v>0</v>
      </c>
      <c r="L22" s="158">
        <f>SUMIF('内訳ﾘｽﾄ(4～3月)'!$D$26:$D$1001,$B22,'内訳ﾘｽﾄ(4～3月)'!O$26:O$1001)</f>
        <v>0</v>
      </c>
      <c r="M22" s="158">
        <f>SUMIF('内訳ﾘｽﾄ(4～3月)'!$D$26:$D$1001,$B22,'内訳ﾘｽﾄ(4～3月)'!P$26:P$1001)</f>
        <v>0</v>
      </c>
      <c r="N22" s="158">
        <f>SUMIF('内訳ﾘｽﾄ(4～3月)'!$D$26:$D$1001,$B22,'内訳ﾘｽﾄ(4～3月)'!Q$26:Q$1001)</f>
        <v>0</v>
      </c>
      <c r="O22" s="158">
        <f>SUMIF('内訳ﾘｽﾄ(4～3月)'!$D$26:$D$800,'採算表(VND)'!$B22,'内訳ﾘｽﾄ(4～3月)'!R$26:R$800)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SUMIF('内訳ﾘｽﾄ(4～3月)'!$D$26:$D$1001,$B23,'内訳ﾘｽﾄ(4～3月)'!F$26:F$1001)</f>
        <v>0</v>
      </c>
      <c r="D23" s="158">
        <f>SUMIF('内訳ﾘｽﾄ(4～3月)'!$D$26:$D$1001,$B23,'内訳ﾘｽﾄ(4～3月)'!G$26:G$1001)</f>
        <v>0</v>
      </c>
      <c r="E23" s="158">
        <f>SUMIF('内訳ﾘｽﾄ(4～3月)'!$D$26:$D$1001,$B23,'内訳ﾘｽﾄ(4～3月)'!H$26:H$1001)</f>
        <v>0</v>
      </c>
      <c r="F23" s="158">
        <f>SUMIF('内訳ﾘｽﾄ(4～3月)'!$D$26:$D$1001,$B23,'内訳ﾘｽﾄ(4～3月)'!I$26:I$1001)</f>
        <v>0</v>
      </c>
      <c r="G23" s="158">
        <f>SUMIF('内訳ﾘｽﾄ(4～3月)'!$D$26:$D$1001,$B23,'内訳ﾘｽﾄ(4～3月)'!J$26:J$1001)</f>
        <v>0</v>
      </c>
      <c r="H23" s="158">
        <f>SUMIF('内訳ﾘｽﾄ(4～3月)'!$D$26:$D$1001,$B23,'内訳ﾘｽﾄ(4～3月)'!K$26:K$1001)</f>
        <v>0</v>
      </c>
      <c r="I23" s="158">
        <f>SUMIF('内訳ﾘｽﾄ(4～3月)'!$D$26:$D$1001,$B23,'内訳ﾘｽﾄ(4～3月)'!L$26:L$1001)</f>
        <v>0</v>
      </c>
      <c r="J23" s="158">
        <f>SUMIF('内訳ﾘｽﾄ(4～3月)'!$D$26:$D$1001,$B23,'内訳ﾘｽﾄ(4～3月)'!M$26:M$1001)</f>
        <v>0</v>
      </c>
      <c r="K23" s="158">
        <f>SUMIF('内訳ﾘｽﾄ(4～3月)'!$D$26:$D$1001,$B23,'内訳ﾘｽﾄ(4～3月)'!N$26:N$1001)</f>
        <v>0</v>
      </c>
      <c r="L23" s="158">
        <f>SUMIF('内訳ﾘｽﾄ(4～3月)'!$D$26:$D$1001,$B23,'内訳ﾘｽﾄ(4～3月)'!O$26:O$1001)</f>
        <v>0</v>
      </c>
      <c r="M23" s="158">
        <f>SUMIF('内訳ﾘｽﾄ(4～3月)'!$D$26:$D$1001,$B23,'内訳ﾘｽﾄ(4～3月)'!P$26:P$1001)</f>
        <v>0</v>
      </c>
      <c r="N23" s="158">
        <f>SUMIF('内訳ﾘｽﾄ(4～3月)'!$D$26:$D$1001,$B23,'内訳ﾘｽﾄ(4～3月)'!Q$26:Q$1001)</f>
        <v>0</v>
      </c>
      <c r="O23" s="158">
        <f>SUMIF('内訳ﾘｽﾄ(4～3月)'!$D$26:$D$800,'採算表(VND)'!$B23,'内訳ﾘｽﾄ(4～3月)'!R$26:R$800)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SUMIF('内訳ﾘｽﾄ(4～3月)'!$D$26:$D$1001,$B24,'内訳ﾘｽﾄ(4～3月)'!F$26:F$1001)</f>
        <v>0</v>
      </c>
      <c r="D24" s="158">
        <f>SUMIF('内訳ﾘｽﾄ(4～3月)'!$D$26:$D$1001,$B24,'内訳ﾘｽﾄ(4～3月)'!G$26:G$1001)</f>
        <v>0</v>
      </c>
      <c r="E24" s="158">
        <f>SUMIF('内訳ﾘｽﾄ(4～3月)'!$D$26:$D$1001,$B24,'内訳ﾘｽﾄ(4～3月)'!H$26:H$1001)</f>
        <v>0</v>
      </c>
      <c r="F24" s="158">
        <f>SUMIF('内訳ﾘｽﾄ(4～3月)'!$D$26:$D$1001,$B24,'内訳ﾘｽﾄ(4～3月)'!I$26:I$1001)</f>
        <v>0</v>
      </c>
      <c r="G24" s="158">
        <f>SUMIF('内訳ﾘｽﾄ(4～3月)'!$D$26:$D$1001,$B24,'内訳ﾘｽﾄ(4～3月)'!J$26:J$1001)</f>
        <v>0</v>
      </c>
      <c r="H24" s="158">
        <f>SUMIF('内訳ﾘｽﾄ(4～3月)'!$D$26:$D$1001,$B24,'内訳ﾘｽﾄ(4～3月)'!K$26:K$1001)</f>
        <v>0</v>
      </c>
      <c r="I24" s="158">
        <f>SUMIF('内訳ﾘｽﾄ(4～3月)'!$D$26:$D$1001,$B24,'内訳ﾘｽﾄ(4～3月)'!L$26:L$1001)</f>
        <v>0</v>
      </c>
      <c r="J24" s="158">
        <f>SUMIF('内訳ﾘｽﾄ(4～3月)'!$D$26:$D$1001,$B24,'内訳ﾘｽﾄ(4～3月)'!M$26:M$1001)</f>
        <v>0</v>
      </c>
      <c r="K24" s="158">
        <f>SUMIF('内訳ﾘｽﾄ(4～3月)'!$D$26:$D$1001,$B24,'内訳ﾘｽﾄ(4～3月)'!N$26:N$1001)</f>
        <v>0</v>
      </c>
      <c r="L24" s="158">
        <f>SUMIF('内訳ﾘｽﾄ(4～3月)'!$D$26:$D$1001,$B24,'内訳ﾘｽﾄ(4～3月)'!O$26:O$1001)</f>
        <v>0</v>
      </c>
      <c r="M24" s="158">
        <f>SUMIF('内訳ﾘｽﾄ(4～3月)'!$D$26:$D$1001,$B24,'内訳ﾘｽﾄ(4～3月)'!P$26:P$1001)</f>
        <v>0</v>
      </c>
      <c r="N24" s="158">
        <f>SUMIF('内訳ﾘｽﾄ(4～3月)'!$D$26:$D$1001,$B24,'内訳ﾘｽﾄ(4～3月)'!Q$26:Q$1001)</f>
        <v>0</v>
      </c>
      <c r="O24" s="158">
        <f>SUMIF('内訳ﾘｽﾄ(4～3月)'!$D$26:$D$800,'採算表(VND)'!$B24,'内訳ﾘｽﾄ(4～3月)'!R$26:R$800)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SUMIF('内訳ﾘｽﾄ(4～3月)'!$D$26:$D$1001,$B25,'内訳ﾘｽﾄ(4～3月)'!F$26:F$1001)</f>
        <v>785457724</v>
      </c>
      <c r="D25" s="158">
        <f>SUMIF('内訳ﾘｽﾄ(4～3月)'!$D$26:$D$1001,$B25,'内訳ﾘｽﾄ(4～3月)'!G$26:G$1001)</f>
        <v>772481866</v>
      </c>
      <c r="E25" s="158">
        <f>SUMIF('内訳ﾘｽﾄ(4～3月)'!$D$26:$D$1001,$B25,'内訳ﾘｽﾄ(4～3月)'!H$26:H$1001)</f>
        <v>895432268</v>
      </c>
      <c r="F25" s="158">
        <f>SUMIF('内訳ﾘｽﾄ(4～3月)'!$D$26:$D$1001,$B25,'内訳ﾘｽﾄ(4～3月)'!I$26:I$1001)</f>
        <v>1191785352</v>
      </c>
      <c r="G25" s="158">
        <f>SUMIF('内訳ﾘｽﾄ(4～3月)'!$D$26:$D$1001,$B25,'内訳ﾘｽﾄ(4～3月)'!J$26:J$1001)</f>
        <v>1104823099</v>
      </c>
      <c r="H25" s="158">
        <f>SUMIF('内訳ﾘｽﾄ(4～3月)'!$D$26:$D$1001,$B25,'内訳ﾘｽﾄ(4～3月)'!K$26:K$1001)</f>
        <v>998954018</v>
      </c>
      <c r="I25" s="158">
        <f>SUMIF('内訳ﾘｽﾄ(4～3月)'!$D$26:$D$1001,$B25,'内訳ﾘｽﾄ(4～3月)'!L$26:L$1001)</f>
        <v>1369224827</v>
      </c>
      <c r="J25" s="158">
        <f>SUMIF('内訳ﾘｽﾄ(4～3月)'!$D$26:$D$1001,$B25,'内訳ﾘｽﾄ(4～3月)'!M$26:M$1001)</f>
        <v>1227052070</v>
      </c>
      <c r="K25" s="158">
        <f>SUMIF('内訳ﾘｽﾄ(4～3月)'!$D$26:$D$1001,$B25,'内訳ﾘｽﾄ(4～3月)'!N$26:N$1001)</f>
        <v>1356683767</v>
      </c>
      <c r="L25" s="158">
        <f>SUMIF('内訳ﾘｽﾄ(4～3月)'!$D$26:$D$1001,$B25,'内訳ﾘｽﾄ(4～3月)'!O$26:O$1001)</f>
        <v>1274143367</v>
      </c>
      <c r="M25" s="158">
        <f>SUMIF('内訳ﾘｽﾄ(4～3月)'!$D$26:$D$1001,$B25,'内訳ﾘｽﾄ(4～3月)'!P$26:P$1001)</f>
        <v>1028968949</v>
      </c>
      <c r="N25" s="158">
        <f>SUMIF('内訳ﾘｽﾄ(4～3月)'!$D$26:$D$1001,$B25,'内訳ﾘｽﾄ(4～3月)'!Q$26:Q$1001)</f>
        <v>1274493345</v>
      </c>
      <c r="O25" s="158">
        <f>SUMIF('内訳ﾘｽﾄ(4～3月)'!$D$26:$D$800,'採算表(VND)'!$B25,'内訳ﾘｽﾄ(4～3月)'!R$26:R$800)</f>
        <v>13279500652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SUMIF('内訳ﾘｽﾄ(4～3月)'!$D$26:$D$1001,$B26,'内訳ﾘｽﾄ(4～3月)'!F$26:F$1001)</f>
        <v>556070305</v>
      </c>
      <c r="D26" s="158">
        <f>SUMIF('内訳ﾘｽﾄ(4～3月)'!$D$26:$D$1001,$B26,'内訳ﾘｽﾄ(4～3月)'!G$26:G$1001)</f>
        <v>543502786</v>
      </c>
      <c r="E26" s="158">
        <f>SUMIF('内訳ﾘｽﾄ(4～3月)'!$D$26:$D$1001,$B26,'内訳ﾘｽﾄ(4～3月)'!H$26:H$1001)</f>
        <v>564531177</v>
      </c>
      <c r="F26" s="158">
        <f>SUMIF('内訳ﾘｽﾄ(4～3月)'!$D$26:$D$1001,$B26,'内訳ﾘｽﾄ(4～3月)'!I$26:I$1001)</f>
        <v>4551008235</v>
      </c>
      <c r="G26" s="158">
        <f>SUMIF('内訳ﾘｽﾄ(4～3月)'!$D$26:$D$1001,$B26,'内訳ﾘｽﾄ(4～3月)'!J$26:J$1001)</f>
        <v>644592325</v>
      </c>
      <c r="H26" s="158">
        <f>SUMIF('内訳ﾘｽﾄ(4～3月)'!$D$26:$D$1001,$B26,'内訳ﾘｽﾄ(4～3月)'!K$26:K$1001)</f>
        <v>5888283929</v>
      </c>
      <c r="I26" s="158">
        <f>SUMIF('内訳ﾘｽﾄ(4～3月)'!$D$26:$D$1001,$B26,'内訳ﾘｽﾄ(4～3月)'!L$26:L$1001)</f>
        <v>9339198315</v>
      </c>
      <c r="J26" s="158">
        <f>SUMIF('内訳ﾘｽﾄ(4～3月)'!$D$26:$D$1001,$B26,'内訳ﾘｽﾄ(4～3月)'!M$26:M$1001)</f>
        <v>2221048756</v>
      </c>
      <c r="K26" s="158">
        <f>SUMIF('内訳ﾘｽﾄ(4～3月)'!$D$26:$D$1001,$B26,'内訳ﾘｽﾄ(4～3月)'!N$26:N$1001)</f>
        <v>667670200</v>
      </c>
      <c r="L26" s="158">
        <f>SUMIF('内訳ﾘｽﾄ(4～3月)'!$D$26:$D$1001,$B26,'内訳ﾘｽﾄ(4～3月)'!O$26:O$1001)</f>
        <v>521000945</v>
      </c>
      <c r="M26" s="158">
        <f>SUMIF('内訳ﾘｽﾄ(4～3月)'!$D$26:$D$1001,$B26,'内訳ﾘｽﾄ(4～3月)'!P$26:P$1001)</f>
        <v>1193145080</v>
      </c>
      <c r="N26" s="158">
        <f>SUMIF('内訳ﾘｽﾄ(4～3月)'!$D$26:$D$1001,$B26,'内訳ﾘｽﾄ(4～3月)'!Q$26:Q$1001)</f>
        <v>905990015</v>
      </c>
      <c r="O26" s="158">
        <f>SUMIF('内訳ﾘｽﾄ(4～3月)'!$D$26:$D$800,'採算表(VND)'!$B26,'内訳ﾘｽﾄ(4～3月)'!R$26:R$800)</f>
        <v>27596042068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SUMIF('内訳ﾘｽﾄ(4～3月)'!$D$26:$D$1001,$B27,'内訳ﾘｽﾄ(4～3月)'!F$26:F$1001)</f>
        <v>126950000</v>
      </c>
      <c r="D27" s="158">
        <f>SUMIF('内訳ﾘｽﾄ(4～3月)'!$D$26:$D$1001,$B27,'内訳ﾘｽﾄ(4～3月)'!G$26:G$1001)</f>
        <v>126950000</v>
      </c>
      <c r="E27" s="158">
        <f>SUMIF('内訳ﾘｽﾄ(4～3月)'!$D$26:$D$1001,$B27,'内訳ﾘｽﾄ(4～3月)'!H$26:H$1001)</f>
        <v>126950000</v>
      </c>
      <c r="F27" s="158">
        <f>SUMIF('内訳ﾘｽﾄ(4～3月)'!$D$26:$D$1001,$B27,'内訳ﾘｽﾄ(4～3月)'!I$26:I$1001)</f>
        <v>126950000</v>
      </c>
      <c r="G27" s="158">
        <f>SUMIF('内訳ﾘｽﾄ(4～3月)'!$D$26:$D$1001,$B27,'内訳ﾘｽﾄ(4～3月)'!J$26:J$1001)</f>
        <v>126950000</v>
      </c>
      <c r="H27" s="158">
        <f>SUMIF('内訳ﾘｽﾄ(4～3月)'!$D$26:$D$1001,$B27,'内訳ﾘｽﾄ(4～3月)'!K$26:K$1001)</f>
        <v>126950000</v>
      </c>
      <c r="I27" s="158">
        <f>SUMIF('内訳ﾘｽﾄ(4～3月)'!$D$26:$D$1001,$B27,'内訳ﾘｽﾄ(4～3月)'!L$26:L$1001)</f>
        <v>126950000</v>
      </c>
      <c r="J27" s="158">
        <f>SUMIF('内訳ﾘｽﾄ(4～3月)'!$D$26:$D$1001,$B27,'内訳ﾘｽﾄ(4～3月)'!M$26:M$1001)</f>
        <v>126950000</v>
      </c>
      <c r="K27" s="158">
        <f>SUMIF('内訳ﾘｽﾄ(4～3月)'!$D$26:$D$1001,$B27,'内訳ﾘｽﾄ(4～3月)'!N$26:N$1001)</f>
        <v>126950000</v>
      </c>
      <c r="L27" s="158">
        <f>SUMIF('内訳ﾘｽﾄ(4～3月)'!$D$26:$D$1001,$B27,'内訳ﾘｽﾄ(4～3月)'!O$26:O$1001)</f>
        <v>126950000</v>
      </c>
      <c r="M27" s="158">
        <f>SUMIF('内訳ﾘｽﾄ(4～3月)'!$D$26:$D$1001,$B27,'内訳ﾘｽﾄ(4～3月)'!P$26:P$1001)</f>
        <v>126950000</v>
      </c>
      <c r="N27" s="158">
        <f>SUMIF('内訳ﾘｽﾄ(4～3月)'!$D$26:$D$1001,$B27,'内訳ﾘｽﾄ(4～3月)'!Q$26:Q$1001)</f>
        <v>126950000</v>
      </c>
      <c r="O27" s="158">
        <f>SUMIF('内訳ﾘｽﾄ(4～3月)'!$D$26:$D$800,'採算表(VND)'!$B27,'内訳ﾘｽﾄ(4～3月)'!R$26:R$800)</f>
        <v>1523400000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SUMIF('内訳ﾘｽﾄ(4～3月)'!$D$26:$D$1001,$B28,'内訳ﾘｽﾄ(4～3月)'!F$26:F$1001)</f>
        <v>0</v>
      </c>
      <c r="D28" s="158">
        <f>SUMIF('内訳ﾘｽﾄ(4～3月)'!$D$26:$D$1001,$B28,'内訳ﾘｽﾄ(4～3月)'!G$26:G$1001)</f>
        <v>0</v>
      </c>
      <c r="E28" s="158">
        <f>SUMIF('内訳ﾘｽﾄ(4～3月)'!$D$26:$D$1001,$B28,'内訳ﾘｽﾄ(4～3月)'!H$26:H$1001)</f>
        <v>0</v>
      </c>
      <c r="F28" s="158">
        <f>SUMIF('内訳ﾘｽﾄ(4～3月)'!$D$26:$D$1001,$B28,'内訳ﾘｽﾄ(4～3月)'!I$26:I$1001)</f>
        <v>0</v>
      </c>
      <c r="G28" s="158">
        <f>SUMIF('内訳ﾘｽﾄ(4～3月)'!$D$26:$D$1001,$B28,'内訳ﾘｽﾄ(4～3月)'!J$26:J$1001)</f>
        <v>0</v>
      </c>
      <c r="H28" s="158">
        <f>SUMIF('内訳ﾘｽﾄ(4～3月)'!$D$26:$D$1001,$B28,'内訳ﾘｽﾄ(4～3月)'!K$26:K$1001)</f>
        <v>0</v>
      </c>
      <c r="I28" s="158">
        <f>SUMIF('内訳ﾘｽﾄ(4～3月)'!$D$26:$D$1001,$B28,'内訳ﾘｽﾄ(4～3月)'!L$26:L$1001)</f>
        <v>0</v>
      </c>
      <c r="J28" s="158">
        <f>SUMIF('内訳ﾘｽﾄ(4～3月)'!$D$26:$D$1001,$B28,'内訳ﾘｽﾄ(4～3月)'!M$26:M$1001)</f>
        <v>0</v>
      </c>
      <c r="K28" s="158">
        <f>SUMIF('内訳ﾘｽﾄ(4～3月)'!$D$26:$D$1001,$B28,'内訳ﾘｽﾄ(4～3月)'!N$26:N$1001)</f>
        <v>0</v>
      </c>
      <c r="L28" s="158">
        <f>SUMIF('内訳ﾘｽﾄ(4～3月)'!$D$26:$D$1001,$B28,'内訳ﾘｽﾄ(4～3月)'!O$26:O$1001)</f>
        <v>0</v>
      </c>
      <c r="M28" s="158">
        <f>SUMIF('内訳ﾘｽﾄ(4～3月)'!$D$26:$D$1001,$B28,'内訳ﾘｽﾄ(4～3月)'!P$26:P$1001)</f>
        <v>0</v>
      </c>
      <c r="N28" s="158">
        <f>SUMIF('内訳ﾘｽﾄ(4～3月)'!$D$26:$D$1001,$B28,'内訳ﾘｽﾄ(4～3月)'!Q$26:Q$1001)</f>
        <v>0</v>
      </c>
      <c r="O28" s="158">
        <f>SUMIF('内訳ﾘｽﾄ(4～3月)'!$D$26:$D$800,'採算表(VND)'!$B28,'内訳ﾘｽﾄ(4～3月)'!R$26:R$800)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SUMIF('内訳ﾘｽﾄ(4～3月)'!$D$26:$D$1001,$B29,'内訳ﾘｽﾄ(4～3月)'!F$26:F$1001)</f>
        <v>0</v>
      </c>
      <c r="D29" s="158">
        <f>SUMIF('内訳ﾘｽﾄ(4～3月)'!$D$26:$D$1001,$B29,'内訳ﾘｽﾄ(4～3月)'!G$26:G$1001)</f>
        <v>0</v>
      </c>
      <c r="E29" s="158">
        <f>SUMIF('内訳ﾘｽﾄ(4～3月)'!$D$26:$D$1001,$B29,'内訳ﾘｽﾄ(4～3月)'!H$26:H$1001)</f>
        <v>0</v>
      </c>
      <c r="F29" s="158">
        <f>SUMIF('内訳ﾘｽﾄ(4～3月)'!$D$26:$D$1001,$B29,'内訳ﾘｽﾄ(4～3月)'!I$26:I$1001)</f>
        <v>0</v>
      </c>
      <c r="G29" s="158">
        <f>SUMIF('内訳ﾘｽﾄ(4～3月)'!$D$26:$D$1001,$B29,'内訳ﾘｽﾄ(4～3月)'!J$26:J$1001)</f>
        <v>0</v>
      </c>
      <c r="H29" s="158">
        <f>SUMIF('内訳ﾘｽﾄ(4～3月)'!$D$26:$D$1001,$B29,'内訳ﾘｽﾄ(4～3月)'!K$26:K$1001)</f>
        <v>0</v>
      </c>
      <c r="I29" s="158">
        <f>SUMIF('内訳ﾘｽﾄ(4～3月)'!$D$26:$D$1001,$B29,'内訳ﾘｽﾄ(4～3月)'!L$26:L$1001)</f>
        <v>0</v>
      </c>
      <c r="J29" s="158">
        <f>SUMIF('内訳ﾘｽﾄ(4～3月)'!$D$26:$D$1001,$B29,'内訳ﾘｽﾄ(4～3月)'!M$26:M$1001)</f>
        <v>0</v>
      </c>
      <c r="K29" s="158">
        <f>SUMIF('内訳ﾘｽﾄ(4～3月)'!$D$26:$D$1001,$B29,'内訳ﾘｽﾄ(4～3月)'!N$26:N$1001)</f>
        <v>0</v>
      </c>
      <c r="L29" s="158">
        <f>SUMIF('内訳ﾘｽﾄ(4～3月)'!$D$26:$D$1001,$B29,'内訳ﾘｽﾄ(4～3月)'!O$26:O$1001)</f>
        <v>0</v>
      </c>
      <c r="M29" s="158">
        <f>SUMIF('内訳ﾘｽﾄ(4～3月)'!$D$26:$D$1001,$B29,'内訳ﾘｽﾄ(4～3月)'!P$26:P$1001)</f>
        <v>0</v>
      </c>
      <c r="N29" s="158">
        <f>SUMIF('内訳ﾘｽﾄ(4～3月)'!$D$26:$D$1001,$B29,'内訳ﾘｽﾄ(4～3月)'!Q$26:Q$1001)</f>
        <v>0</v>
      </c>
      <c r="O29" s="158">
        <f>SUMIF('内訳ﾘｽﾄ(4～3月)'!$D$26:$D$800,'採算表(VND)'!$B29,'内訳ﾘｽﾄ(4～3月)'!R$26:R$800)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SUMIF('内訳ﾘｽﾄ(4～3月)'!$D$26:$D$1001,$B30,'内訳ﾘｽﾄ(4～3月)'!F$26:F$1001)</f>
        <v>183703097</v>
      </c>
      <c r="D30" s="158">
        <f>SUMIF('内訳ﾘｽﾄ(4～3月)'!$D$26:$D$1001,$B30,'内訳ﾘｽﾄ(4～3月)'!G$26:G$1001)</f>
        <v>189355547</v>
      </c>
      <c r="E30" s="158">
        <f>SUMIF('内訳ﾘｽﾄ(4～3月)'!$D$26:$D$1001,$B30,'内訳ﾘｽﾄ(4～3月)'!H$26:H$1001)</f>
        <v>231599317</v>
      </c>
      <c r="F30" s="158">
        <f>SUMIF('内訳ﾘｽﾄ(4～3月)'!$D$26:$D$1001,$B30,'内訳ﾘｽﾄ(4～3月)'!I$26:I$1001)</f>
        <v>268914430</v>
      </c>
      <c r="G30" s="158">
        <f>SUMIF('内訳ﾘｽﾄ(4～3月)'!$D$26:$D$1001,$B30,'内訳ﾘｽﾄ(4～3月)'!J$26:J$1001)</f>
        <v>273927162</v>
      </c>
      <c r="H30" s="158">
        <f>SUMIF('内訳ﾘｽﾄ(4～3月)'!$D$26:$D$1001,$B30,'内訳ﾘｽﾄ(4～3月)'!K$26:K$1001)</f>
        <v>261290968</v>
      </c>
      <c r="I30" s="158">
        <f>SUMIF('内訳ﾘｽﾄ(4～3月)'!$D$26:$D$1001,$B30,'内訳ﾘｽﾄ(4～3月)'!L$26:L$1001)</f>
        <v>272790106</v>
      </c>
      <c r="J30" s="158">
        <f>SUMIF('内訳ﾘｽﾄ(4～3月)'!$D$26:$D$1001,$B30,'内訳ﾘｽﾄ(4～3月)'!M$26:M$1001)</f>
        <v>282158571</v>
      </c>
      <c r="K30" s="158">
        <f>SUMIF('内訳ﾘｽﾄ(4～3月)'!$D$26:$D$1001,$B30,'内訳ﾘｽﾄ(4～3月)'!N$26:N$1001)</f>
        <v>281917751</v>
      </c>
      <c r="L30" s="158">
        <f>SUMIF('内訳ﾘｽﾄ(4～3月)'!$D$26:$D$1001,$B30,'内訳ﾘｽﾄ(4～3月)'!O$26:O$1001)</f>
        <v>242549019</v>
      </c>
      <c r="M30" s="158">
        <f>SUMIF('内訳ﾘｽﾄ(4～3月)'!$D$26:$D$1001,$B30,'内訳ﾘｽﾄ(4～3月)'!P$26:P$1001)</f>
        <v>219169375</v>
      </c>
      <c r="N30" s="158">
        <f>SUMIF('内訳ﾘｽﾄ(4～3月)'!$D$26:$D$1001,$B30,'内訳ﾘｽﾄ(4～3月)'!Q$26:Q$1001)</f>
        <v>220670744</v>
      </c>
      <c r="O30" s="158">
        <f>SUMIF('内訳ﾘｽﾄ(4～3月)'!$D$26:$D$800,'採算表(VND)'!$B30,'内訳ﾘｽﾄ(4～3月)'!R$26:R$800)</f>
        <v>2928046087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SUMIF('内訳ﾘｽﾄ(4～3月)'!$D$26:$D$1001,$B31,'内訳ﾘｽﾄ(4～3月)'!F$26:F$1001)</f>
        <v>484150000</v>
      </c>
      <c r="D31" s="158">
        <f>SUMIF('内訳ﾘｽﾄ(4～3月)'!$D$26:$D$1001,$B31,'内訳ﾘｽﾄ(4～3月)'!G$26:G$1001)</f>
        <v>483750000</v>
      </c>
      <c r="E31" s="158">
        <f>SUMIF('内訳ﾘｽﾄ(4～3月)'!$D$26:$D$1001,$B31,'内訳ﾘｽﾄ(4～3月)'!H$26:H$1001)</f>
        <v>479950000</v>
      </c>
      <c r="F31" s="158">
        <f>SUMIF('内訳ﾘｽﾄ(4～3月)'!$D$26:$D$1001,$B31,'内訳ﾘｽﾄ(4～3月)'!I$26:I$1001)</f>
        <v>481750000</v>
      </c>
      <c r="G31" s="158">
        <f>SUMIF('内訳ﾘｽﾄ(4～3月)'!$D$26:$D$1001,$B31,'内訳ﾘｽﾄ(4～3月)'!J$26:J$1001)</f>
        <v>476350000</v>
      </c>
      <c r="H31" s="158">
        <f>SUMIF('内訳ﾘｽﾄ(4～3月)'!$D$26:$D$1001,$B31,'内訳ﾘｽﾄ(4～3月)'!K$26:K$1001)</f>
        <v>477850000</v>
      </c>
      <c r="I31" s="158">
        <f>SUMIF('内訳ﾘｽﾄ(4～3月)'!$D$26:$D$1001,$B31,'内訳ﾘｽﾄ(4～3月)'!L$26:L$1001)</f>
        <v>477950000</v>
      </c>
      <c r="J31" s="158">
        <f>SUMIF('内訳ﾘｽﾄ(4～3月)'!$D$26:$D$1001,$B31,'内訳ﾘｽﾄ(4～3月)'!M$26:M$1001)</f>
        <v>493150000</v>
      </c>
      <c r="K31" s="158">
        <f>SUMIF('内訳ﾘｽﾄ(4～3月)'!$D$26:$D$1001,$B31,'内訳ﾘｽﾄ(4～3月)'!N$26:N$1001)</f>
        <v>831650000</v>
      </c>
      <c r="L31" s="158">
        <f>SUMIF('内訳ﾘｽﾄ(4～3月)'!$D$26:$D$1001,$B31,'内訳ﾘｽﾄ(4～3月)'!O$26:O$1001)</f>
        <v>482750000</v>
      </c>
      <c r="M31" s="158">
        <f>SUMIF('内訳ﾘｽﾄ(4～3月)'!$D$26:$D$1001,$B31,'内訳ﾘｽﾄ(4～3月)'!P$26:P$1001)</f>
        <v>480750000</v>
      </c>
      <c r="N31" s="158">
        <f>SUMIF('内訳ﾘｽﾄ(4～3月)'!$D$26:$D$1001,$B31,'内訳ﾘｽﾄ(4～3月)'!Q$26:Q$1001)</f>
        <v>483150000</v>
      </c>
      <c r="O31" s="158">
        <f>SUMIF('内訳ﾘｽﾄ(4～3月)'!$D$26:$D$800,'採算表(VND)'!$B31,'内訳ﾘｽﾄ(4～3月)'!R$26:R$800)</f>
        <v>6133200000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SUMIF('内訳ﾘｽﾄ(4～3月)'!$D$26:$D$1001,$B32,'内訳ﾘｽﾄ(4～3月)'!F$26:F$1001)</f>
        <v>4408462682</v>
      </c>
      <c r="D32" s="158">
        <f>SUMIF('内訳ﾘｽﾄ(4～3月)'!$D$26:$D$1001,$B32,'内訳ﾘｽﾄ(4～3月)'!G$26:G$1001)</f>
        <v>4316141692</v>
      </c>
      <c r="E32" s="158">
        <f>SUMIF('内訳ﾘｽﾄ(4～3月)'!$D$26:$D$1001,$B32,'内訳ﾘｽﾄ(4～3月)'!H$26:H$1001)</f>
        <v>4500783672</v>
      </c>
      <c r="F32" s="158">
        <f>SUMIF('内訳ﾘｽﾄ(4～3月)'!$D$26:$D$1001,$B32,'内訳ﾘｽﾄ(4～3月)'!I$26:I$1001)</f>
        <v>4685425653</v>
      </c>
      <c r="G32" s="158">
        <f>SUMIF('内訳ﾘｽﾄ(4～3月)'!$D$26:$D$1001,$B32,'内訳ﾘｽﾄ(4～3月)'!J$26:J$1001)</f>
        <v>4408462682</v>
      </c>
      <c r="H32" s="158">
        <f>SUMIF('内訳ﾘｽﾄ(4～3月)'!$D$26:$D$1001,$B32,'内訳ﾘｽﾄ(4～3月)'!K$26:K$1001)</f>
        <v>4316141692</v>
      </c>
      <c r="I32" s="158">
        <f>SUMIF('内訳ﾘｽﾄ(4～3月)'!$D$26:$D$1001,$B32,'内訳ﾘｽﾄ(4～3月)'!L$26:L$1001)</f>
        <v>4685425653</v>
      </c>
      <c r="J32" s="158">
        <f>SUMIF('内訳ﾘｽﾄ(4～3月)'!$D$26:$D$1001,$B32,'内訳ﾘｽﾄ(4～3月)'!M$26:M$1001)</f>
        <v>4408462682</v>
      </c>
      <c r="K32" s="158">
        <f>SUMIF('内訳ﾘｽﾄ(4～3月)'!$D$26:$D$1001,$B32,'内訳ﾘｽﾄ(4～3月)'!N$26:N$1001)</f>
        <v>4593104663</v>
      </c>
      <c r="L32" s="158">
        <f>SUMIF('内訳ﾘｽﾄ(4～3月)'!$D$26:$D$1001,$B32,'内訳ﾘｽﾄ(4～3月)'!O$26:O$1001)</f>
        <v>4408462682</v>
      </c>
      <c r="M32" s="158">
        <f>SUMIF('内訳ﾘｽﾄ(4～3月)'!$D$26:$D$1001,$B32,'内訳ﾘｽﾄ(4～3月)'!P$26:P$1001)</f>
        <v>3946857731</v>
      </c>
      <c r="N32" s="158">
        <f>SUMIF('内訳ﾘｽﾄ(4～3月)'!$D$26:$D$1001,$B32,'内訳ﾘｽﾄ(4～3月)'!Q$26:Q$1001)</f>
        <v>4500783672</v>
      </c>
      <c r="O32" s="158">
        <f>SUMIF('内訳ﾘｽﾄ(4～3月)'!$D$26:$D$800,'採算表(VND)'!$B32,'内訳ﾘｽﾄ(4～3月)'!R$26:R$800)</f>
        <v>53178515156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SUMIF('内訳ﾘｽﾄ(4～3月)'!$D$26:$D$1001,$B33,'内訳ﾘｽﾄ(4～3月)'!F$26:F$1001)</f>
        <v>0</v>
      </c>
      <c r="D33" s="158">
        <f>SUMIF('内訳ﾘｽﾄ(4～3月)'!$D$26:$D$1001,$B33,'内訳ﾘｽﾄ(4～3月)'!G$26:G$1001)</f>
        <v>0</v>
      </c>
      <c r="E33" s="158">
        <f>SUMIF('内訳ﾘｽﾄ(4～3月)'!$D$26:$D$1001,$B33,'内訳ﾘｽﾄ(4～3月)'!H$26:H$1001)</f>
        <v>0</v>
      </c>
      <c r="F33" s="158">
        <f>SUMIF('内訳ﾘｽﾄ(4～3月)'!$D$26:$D$1001,$B33,'内訳ﾘｽﾄ(4～3月)'!I$26:I$1001)</f>
        <v>0</v>
      </c>
      <c r="G33" s="158">
        <f>SUMIF('内訳ﾘｽﾄ(4～3月)'!$D$26:$D$1001,$B33,'内訳ﾘｽﾄ(4～3月)'!J$26:J$1001)</f>
        <v>0</v>
      </c>
      <c r="H33" s="158">
        <f>SUMIF('内訳ﾘｽﾄ(4～3月)'!$D$26:$D$1001,$B33,'内訳ﾘｽﾄ(4～3月)'!K$26:K$1001)</f>
        <v>0</v>
      </c>
      <c r="I33" s="158">
        <f>SUMIF('内訳ﾘｽﾄ(4～3月)'!$D$26:$D$1001,$B33,'内訳ﾘｽﾄ(4～3月)'!L$26:L$1001)</f>
        <v>0</v>
      </c>
      <c r="J33" s="158">
        <f>SUMIF('内訳ﾘｽﾄ(4～3月)'!$D$26:$D$1001,$B33,'内訳ﾘｽﾄ(4～3月)'!M$26:M$1001)</f>
        <v>0</v>
      </c>
      <c r="K33" s="158">
        <f>SUMIF('内訳ﾘｽﾄ(4～3月)'!$D$26:$D$1001,$B33,'内訳ﾘｽﾄ(4～3月)'!N$26:N$1001)</f>
        <v>0</v>
      </c>
      <c r="L33" s="158">
        <f>SUMIF('内訳ﾘｽﾄ(4～3月)'!$D$26:$D$1001,$B33,'内訳ﾘｽﾄ(4～3月)'!O$26:O$1001)</f>
        <v>0</v>
      </c>
      <c r="M33" s="158">
        <f>SUMIF('内訳ﾘｽﾄ(4～3月)'!$D$26:$D$1001,$B33,'内訳ﾘｽﾄ(4～3月)'!P$26:P$1001)</f>
        <v>0</v>
      </c>
      <c r="N33" s="158">
        <f>SUMIF('内訳ﾘｽﾄ(4～3月)'!$D$26:$D$1001,$B33,'内訳ﾘｽﾄ(4～3月)'!Q$26:Q$1001)</f>
        <v>0</v>
      </c>
      <c r="O33" s="158">
        <f>SUMIF('内訳ﾘｽﾄ(4～3月)'!$D$26:$D$800,'採算表(VND)'!$B33,'内訳ﾘｽﾄ(4～3月)'!R$26:R$800)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SUMIF('内訳ﾘｽﾄ(4～3月)'!$D$26:$D$1001,$B34,'内訳ﾘｽﾄ(4～3月)'!F$26:F$1001)</f>
        <v>0</v>
      </c>
      <c r="D34" s="158">
        <f>SUMIF('内訳ﾘｽﾄ(4～3月)'!$D$26:$D$1001,$B34,'内訳ﾘｽﾄ(4～3月)'!G$26:G$1001)</f>
        <v>0</v>
      </c>
      <c r="E34" s="158">
        <f>SUMIF('内訳ﾘｽﾄ(4～3月)'!$D$26:$D$1001,$B34,'内訳ﾘｽﾄ(4～3月)'!H$26:H$1001)</f>
        <v>0</v>
      </c>
      <c r="F34" s="158">
        <f>SUMIF('内訳ﾘｽﾄ(4～3月)'!$D$26:$D$1001,$B34,'内訳ﾘｽﾄ(4～3月)'!I$26:I$1001)</f>
        <v>0</v>
      </c>
      <c r="G34" s="158">
        <f>SUMIF('内訳ﾘｽﾄ(4～3月)'!$D$26:$D$1001,$B34,'内訳ﾘｽﾄ(4～3月)'!J$26:J$1001)</f>
        <v>0</v>
      </c>
      <c r="H34" s="158">
        <f>SUMIF('内訳ﾘｽﾄ(4～3月)'!$D$26:$D$1001,$B34,'内訳ﾘｽﾄ(4～3月)'!K$26:K$1001)</f>
        <v>0</v>
      </c>
      <c r="I34" s="158">
        <f>SUMIF('内訳ﾘｽﾄ(4～3月)'!$D$26:$D$1001,$B34,'内訳ﾘｽﾄ(4～3月)'!L$26:L$1001)</f>
        <v>0</v>
      </c>
      <c r="J34" s="158">
        <f>SUMIF('内訳ﾘｽﾄ(4～3月)'!$D$26:$D$1001,$B34,'内訳ﾘｽﾄ(4～3月)'!M$26:M$1001)</f>
        <v>0</v>
      </c>
      <c r="K34" s="158">
        <f>SUMIF('内訳ﾘｽﾄ(4～3月)'!$D$26:$D$1001,$B34,'内訳ﾘｽﾄ(4～3月)'!N$26:N$1001)</f>
        <v>0</v>
      </c>
      <c r="L34" s="158">
        <f>SUMIF('内訳ﾘｽﾄ(4～3月)'!$D$26:$D$1001,$B34,'内訳ﾘｽﾄ(4～3月)'!O$26:O$1001)</f>
        <v>0</v>
      </c>
      <c r="M34" s="158">
        <f>SUMIF('内訳ﾘｽﾄ(4～3月)'!$D$26:$D$1001,$B34,'内訳ﾘｽﾄ(4～3月)'!P$26:P$1001)</f>
        <v>0</v>
      </c>
      <c r="N34" s="158">
        <f>SUMIF('内訳ﾘｽﾄ(4～3月)'!$D$26:$D$1001,$B34,'内訳ﾘｽﾄ(4～3月)'!Q$26:Q$1001)</f>
        <v>0</v>
      </c>
      <c r="O34" s="158">
        <f>SUMIF('内訳ﾘｽﾄ(4～3月)'!$D$26:$D$800,'採算表(VND)'!$B34,'内訳ﾘｽﾄ(4～3月)'!R$26:R$800)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SUMIF('内訳ﾘｽﾄ(4～3月)'!$D$26:$D$1001,$B35,'内訳ﾘｽﾄ(4～3月)'!F$26:F$1001)</f>
        <v>0</v>
      </c>
      <c r="D35" s="158">
        <f>SUMIF('内訳ﾘｽﾄ(4～3月)'!$D$26:$D$1001,$B35,'内訳ﾘｽﾄ(4～3月)'!G$26:G$1001)</f>
        <v>0</v>
      </c>
      <c r="E35" s="158">
        <f>SUMIF('内訳ﾘｽﾄ(4～3月)'!$D$26:$D$1001,$B35,'内訳ﾘｽﾄ(4～3月)'!H$26:H$1001)</f>
        <v>0</v>
      </c>
      <c r="F35" s="158">
        <f>SUMIF('内訳ﾘｽﾄ(4～3月)'!$D$26:$D$1001,$B35,'内訳ﾘｽﾄ(4～3月)'!I$26:I$1001)</f>
        <v>0</v>
      </c>
      <c r="G35" s="158">
        <f>SUMIF('内訳ﾘｽﾄ(4～3月)'!$D$26:$D$1001,$B35,'内訳ﾘｽﾄ(4～3月)'!J$26:J$1001)</f>
        <v>0</v>
      </c>
      <c r="H35" s="158">
        <f>SUMIF('内訳ﾘｽﾄ(4～3月)'!$D$26:$D$1001,$B35,'内訳ﾘｽﾄ(4～3月)'!K$26:K$1001)</f>
        <v>0</v>
      </c>
      <c r="I35" s="158">
        <f>SUMIF('内訳ﾘｽﾄ(4～3月)'!$D$26:$D$1001,$B35,'内訳ﾘｽﾄ(4～3月)'!L$26:L$1001)</f>
        <v>0</v>
      </c>
      <c r="J35" s="158">
        <f>SUMIF('内訳ﾘｽﾄ(4～3月)'!$D$26:$D$1001,$B35,'内訳ﾘｽﾄ(4～3月)'!M$26:M$1001)</f>
        <v>0</v>
      </c>
      <c r="K35" s="158">
        <f>SUMIF('内訳ﾘｽﾄ(4～3月)'!$D$26:$D$1001,$B35,'内訳ﾘｽﾄ(4～3月)'!N$26:N$1001)</f>
        <v>0</v>
      </c>
      <c r="L35" s="158">
        <f>SUMIF('内訳ﾘｽﾄ(4～3月)'!$D$26:$D$1001,$B35,'内訳ﾘｽﾄ(4～3月)'!O$26:O$1001)</f>
        <v>0</v>
      </c>
      <c r="M35" s="158">
        <f>SUMIF('内訳ﾘｽﾄ(4～3月)'!$D$26:$D$1001,$B35,'内訳ﾘｽﾄ(4～3月)'!P$26:P$1001)</f>
        <v>0</v>
      </c>
      <c r="N35" s="158">
        <f>SUMIF('内訳ﾘｽﾄ(4～3月)'!$D$26:$D$1001,$B35,'内訳ﾘｽﾄ(4～3月)'!Q$26:Q$1001)</f>
        <v>0</v>
      </c>
      <c r="O35" s="158">
        <f>SUMIF('内訳ﾘｽﾄ(4～3月)'!$D$26:$D$800,'採算表(VND)'!$B35,'内訳ﾘｽﾄ(4～3月)'!R$26:R$800)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SUMIF('内訳ﾘｽﾄ(4～3月)'!$D$26:$D$1001,$B36,'内訳ﾘｽﾄ(4～3月)'!F$26:F$1001)</f>
        <v>0</v>
      </c>
      <c r="D36" s="158">
        <f>SUMIF('内訳ﾘｽﾄ(4～3月)'!$D$26:$D$1001,$B36,'内訳ﾘｽﾄ(4～3月)'!G$26:G$1001)</f>
        <v>0</v>
      </c>
      <c r="E36" s="158">
        <f>SUMIF('内訳ﾘｽﾄ(4～3月)'!$D$26:$D$1001,$B36,'内訳ﾘｽﾄ(4～3月)'!H$26:H$1001)</f>
        <v>0</v>
      </c>
      <c r="F36" s="158">
        <f>SUMIF('内訳ﾘｽﾄ(4～3月)'!$D$26:$D$1001,$B36,'内訳ﾘｽﾄ(4～3月)'!I$26:I$1001)</f>
        <v>0</v>
      </c>
      <c r="G36" s="158">
        <f>SUMIF('内訳ﾘｽﾄ(4～3月)'!$D$26:$D$1001,$B36,'内訳ﾘｽﾄ(4～3月)'!J$26:J$1001)</f>
        <v>0</v>
      </c>
      <c r="H36" s="158">
        <f>SUMIF('内訳ﾘｽﾄ(4～3月)'!$D$26:$D$1001,$B36,'内訳ﾘｽﾄ(4～3月)'!K$26:K$1001)</f>
        <v>0</v>
      </c>
      <c r="I36" s="158">
        <f>SUMIF('内訳ﾘｽﾄ(4～3月)'!$D$26:$D$1001,$B36,'内訳ﾘｽﾄ(4～3月)'!L$26:L$1001)</f>
        <v>0</v>
      </c>
      <c r="J36" s="158">
        <f>SUMIF('内訳ﾘｽﾄ(4～3月)'!$D$26:$D$1001,$B36,'内訳ﾘｽﾄ(4～3月)'!M$26:M$1001)</f>
        <v>0</v>
      </c>
      <c r="K36" s="158">
        <f>SUMIF('内訳ﾘｽﾄ(4～3月)'!$D$26:$D$1001,$B36,'内訳ﾘｽﾄ(4～3月)'!N$26:N$1001)</f>
        <v>0</v>
      </c>
      <c r="L36" s="158">
        <f>SUMIF('内訳ﾘｽﾄ(4～3月)'!$D$26:$D$1001,$B36,'内訳ﾘｽﾄ(4～3月)'!O$26:O$1001)</f>
        <v>0</v>
      </c>
      <c r="M36" s="158">
        <f>SUMIF('内訳ﾘｽﾄ(4～3月)'!$D$26:$D$1001,$B36,'内訳ﾘｽﾄ(4～3月)'!P$26:P$1001)</f>
        <v>0</v>
      </c>
      <c r="N36" s="158">
        <f>SUMIF('内訳ﾘｽﾄ(4～3月)'!$D$26:$D$1001,$B36,'内訳ﾘｽﾄ(4～3月)'!Q$26:Q$1001)</f>
        <v>0</v>
      </c>
      <c r="O36" s="158">
        <f>SUMIF('内訳ﾘｽﾄ(4～3月)'!$D$26:$D$800,'採算表(VND)'!$B36,'内訳ﾘｽﾄ(4～3月)'!R$26:R$800)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SUMIF('内訳ﾘｽﾄ(4～3月)'!$D$26:$D$1001,$B37,'内訳ﾘｽﾄ(4～3月)'!F$26:F$1001)</f>
        <v>0</v>
      </c>
      <c r="D37" s="158">
        <f>SUMIF('内訳ﾘｽﾄ(4～3月)'!$D$26:$D$1001,$B37,'内訳ﾘｽﾄ(4～3月)'!G$26:G$1001)</f>
        <v>0</v>
      </c>
      <c r="E37" s="158">
        <f>SUMIF('内訳ﾘｽﾄ(4～3月)'!$D$26:$D$1001,$B37,'内訳ﾘｽﾄ(4～3月)'!H$26:H$1001)</f>
        <v>0</v>
      </c>
      <c r="F37" s="158">
        <f>SUMIF('内訳ﾘｽﾄ(4～3月)'!$D$26:$D$1001,$B37,'内訳ﾘｽﾄ(4～3月)'!I$26:I$1001)</f>
        <v>0</v>
      </c>
      <c r="G37" s="158">
        <f>SUMIF('内訳ﾘｽﾄ(4～3月)'!$D$26:$D$1001,$B37,'内訳ﾘｽﾄ(4～3月)'!J$26:J$1001)</f>
        <v>0</v>
      </c>
      <c r="H37" s="158">
        <f>SUMIF('内訳ﾘｽﾄ(4～3月)'!$D$26:$D$1001,$B37,'内訳ﾘｽﾄ(4～3月)'!K$26:K$1001)</f>
        <v>0</v>
      </c>
      <c r="I37" s="158">
        <f>SUMIF('内訳ﾘｽﾄ(4～3月)'!$D$26:$D$1001,$B37,'内訳ﾘｽﾄ(4～3月)'!L$26:L$1001)</f>
        <v>0</v>
      </c>
      <c r="J37" s="158">
        <f>SUMIF('内訳ﾘｽﾄ(4～3月)'!$D$26:$D$1001,$B37,'内訳ﾘｽﾄ(4～3月)'!M$26:M$1001)</f>
        <v>0</v>
      </c>
      <c r="K37" s="158">
        <f>SUMIF('内訳ﾘｽﾄ(4～3月)'!$D$26:$D$1001,$B37,'内訳ﾘｽﾄ(4～3月)'!N$26:N$1001)</f>
        <v>0</v>
      </c>
      <c r="L37" s="158">
        <f>SUMIF('内訳ﾘｽﾄ(4～3月)'!$D$26:$D$1001,$B37,'内訳ﾘｽﾄ(4～3月)'!O$26:O$1001)</f>
        <v>0</v>
      </c>
      <c r="M37" s="158">
        <f>SUMIF('内訳ﾘｽﾄ(4～3月)'!$D$26:$D$1001,$B37,'内訳ﾘｽﾄ(4～3月)'!P$26:P$1001)</f>
        <v>0</v>
      </c>
      <c r="N37" s="158">
        <f>SUMIF('内訳ﾘｽﾄ(4～3月)'!$D$26:$D$1001,$B37,'内訳ﾘｽﾄ(4～3月)'!Q$26:Q$1001)</f>
        <v>0</v>
      </c>
      <c r="O37" s="158">
        <f>SUMIF('内訳ﾘｽﾄ(4～3月)'!$D$26:$D$800,'採算表(VND)'!$B37,'内訳ﾘｽﾄ(4～3月)'!R$26:R$800)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SUMIF('内訳ﾘｽﾄ(4～3月)'!$D$26:$D$1001,$B38,'内訳ﾘｽﾄ(4～3月)'!F$26:F$1001)</f>
        <v>1000000</v>
      </c>
      <c r="D38" s="158">
        <f>SUMIF('内訳ﾘｽﾄ(4～3月)'!$D$26:$D$1001,$B38,'内訳ﾘｽﾄ(4～3月)'!G$26:G$1001)</f>
        <v>1000000</v>
      </c>
      <c r="E38" s="158">
        <f>SUMIF('内訳ﾘｽﾄ(4～3月)'!$D$26:$D$1001,$B38,'内訳ﾘｽﾄ(4～3月)'!H$26:H$1001)</f>
        <v>1000000</v>
      </c>
      <c r="F38" s="158">
        <f>SUMIF('内訳ﾘｽﾄ(4～3月)'!$D$26:$D$1001,$B38,'内訳ﾘｽﾄ(4～3月)'!I$26:I$1001)</f>
        <v>1000000</v>
      </c>
      <c r="G38" s="158">
        <f>SUMIF('内訳ﾘｽﾄ(4～3月)'!$D$26:$D$1001,$B38,'内訳ﾘｽﾄ(4～3月)'!J$26:J$1001)</f>
        <v>1000000</v>
      </c>
      <c r="H38" s="158">
        <f>SUMIF('内訳ﾘｽﾄ(4～3月)'!$D$26:$D$1001,$B38,'内訳ﾘｽﾄ(4～3月)'!K$26:K$1001)</f>
        <v>1000000</v>
      </c>
      <c r="I38" s="158">
        <f>SUMIF('内訳ﾘｽﾄ(4～3月)'!$D$26:$D$1001,$B38,'内訳ﾘｽﾄ(4～3月)'!L$26:L$1001)</f>
        <v>1000000</v>
      </c>
      <c r="J38" s="158">
        <f>SUMIF('内訳ﾘｽﾄ(4～3月)'!$D$26:$D$1001,$B38,'内訳ﾘｽﾄ(4～3月)'!M$26:M$1001)</f>
        <v>1000000</v>
      </c>
      <c r="K38" s="158">
        <f>SUMIF('内訳ﾘｽﾄ(4～3月)'!$D$26:$D$1001,$B38,'内訳ﾘｽﾄ(4～3月)'!N$26:N$1001)</f>
        <v>1000000</v>
      </c>
      <c r="L38" s="158">
        <f>SUMIF('内訳ﾘｽﾄ(4～3月)'!$D$26:$D$1001,$B38,'内訳ﾘｽﾄ(4～3月)'!O$26:O$1001)</f>
        <v>1000000</v>
      </c>
      <c r="M38" s="158">
        <f>SUMIF('内訳ﾘｽﾄ(4～3月)'!$D$26:$D$1001,$B38,'内訳ﾘｽﾄ(4～3月)'!P$26:P$1001)</f>
        <v>1000000</v>
      </c>
      <c r="N38" s="158">
        <f>SUMIF('内訳ﾘｽﾄ(4～3月)'!$D$26:$D$1001,$B38,'内訳ﾘｽﾄ(4～3月)'!Q$26:Q$1001)</f>
        <v>1000000</v>
      </c>
      <c r="O38" s="158">
        <f>SUMIF('内訳ﾘｽﾄ(4～3月)'!$D$26:$D$800,'採算表(VND)'!$B38,'内訳ﾘｽﾄ(4～3月)'!R$26:R$800)</f>
        <v>12000000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SUMIF('内訳ﾘｽﾄ(4～3月)'!$D$26:$D$1001,$B39,'内訳ﾘｽﾄ(4～3月)'!F$26:F$1001)</f>
        <v>63897735</v>
      </c>
      <c r="D39" s="158">
        <f>SUMIF('内訳ﾘｽﾄ(4～3月)'!$D$26:$D$1001,$B39,'内訳ﾘｽﾄ(4～3月)'!G$26:G$1001)</f>
        <v>65444310</v>
      </c>
      <c r="E39" s="158">
        <f>SUMIF('内訳ﾘｽﾄ(4～3月)'!$D$26:$D$1001,$B39,'内訳ﾘｽﾄ(4～3月)'!H$26:H$1001)</f>
        <v>69345442</v>
      </c>
      <c r="F39" s="158">
        <f>SUMIF('内訳ﾘｽﾄ(4～3月)'!$D$26:$D$1001,$B39,'内訳ﾘｽﾄ(4～3月)'!I$26:I$1001)</f>
        <v>60331628</v>
      </c>
      <c r="G39" s="158">
        <f>SUMIF('内訳ﾘｽﾄ(4～3月)'!$D$26:$D$1001,$B39,'内訳ﾘｽﾄ(4～3月)'!J$26:J$1001)</f>
        <v>57150455</v>
      </c>
      <c r="H39" s="158">
        <f>SUMIF('内訳ﾘｽﾄ(4～3月)'!$D$26:$D$1001,$B39,'内訳ﾘｽﾄ(4～3月)'!K$26:K$1001)</f>
        <v>67979300</v>
      </c>
      <c r="I39" s="158">
        <f>SUMIF('内訳ﾘｽﾄ(4～3月)'!$D$26:$D$1001,$B39,'内訳ﾘｽﾄ(4～3月)'!L$26:L$1001)</f>
        <v>77808120</v>
      </c>
      <c r="J39" s="158">
        <f>SUMIF('内訳ﾘｽﾄ(4～3月)'!$D$26:$D$1001,$B39,'内訳ﾘｽﾄ(4～3月)'!M$26:M$1001)</f>
        <v>91005584</v>
      </c>
      <c r="K39" s="158">
        <f>SUMIF('内訳ﾘｽﾄ(4～3月)'!$D$26:$D$1001,$B39,'内訳ﾘｽﾄ(4～3月)'!N$26:N$1001)</f>
        <v>91531634</v>
      </c>
      <c r="L39" s="158">
        <f>SUMIF('内訳ﾘｽﾄ(4～3月)'!$D$26:$D$1001,$B39,'内訳ﾘｽﾄ(4～3月)'!O$26:O$1001)</f>
        <v>87606216</v>
      </c>
      <c r="M39" s="158">
        <f>SUMIF('内訳ﾘｽﾄ(4～3月)'!$D$26:$D$1001,$B39,'内訳ﾘｽﾄ(4～3月)'!P$26:P$1001)</f>
        <v>84378130</v>
      </c>
      <c r="N39" s="158">
        <f>SUMIF('内訳ﾘｽﾄ(4～3月)'!$D$26:$D$1001,$B39,'内訳ﾘｽﾄ(4～3月)'!Q$26:Q$1001)</f>
        <v>96529700</v>
      </c>
      <c r="O39" s="158">
        <f>SUMIF('内訳ﾘｽﾄ(4～3月)'!$D$26:$D$800,'採算表(VND)'!$B39,'内訳ﾘｽﾄ(4～3月)'!R$26:R$800)</f>
        <v>913008254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SUMIF('内訳ﾘｽﾄ(4～3月)'!$D$26:$D$1001,$B40,'内訳ﾘｽﾄ(4～3月)'!F$26:F$1001)</f>
        <v>0</v>
      </c>
      <c r="D40" s="158">
        <f>SUMIF('内訳ﾘｽﾄ(4～3月)'!$D$26:$D$1001,$B40,'内訳ﾘｽﾄ(4～3月)'!G$26:G$1001)</f>
        <v>0</v>
      </c>
      <c r="E40" s="158">
        <f>SUMIF('内訳ﾘｽﾄ(4～3月)'!$D$26:$D$1001,$B40,'内訳ﾘｽﾄ(4～3月)'!H$26:H$1001)</f>
        <v>0</v>
      </c>
      <c r="F40" s="158">
        <f>SUMIF('内訳ﾘｽﾄ(4～3月)'!$D$26:$D$1001,$B40,'内訳ﾘｽﾄ(4～3月)'!I$26:I$1001)</f>
        <v>0</v>
      </c>
      <c r="G40" s="158">
        <f>SUMIF('内訳ﾘｽﾄ(4～3月)'!$D$26:$D$1001,$B40,'内訳ﾘｽﾄ(4～3月)'!J$26:J$1001)</f>
        <v>0</v>
      </c>
      <c r="H40" s="158">
        <f>SUMIF('内訳ﾘｽﾄ(4～3月)'!$D$26:$D$1001,$B40,'内訳ﾘｽﾄ(4～3月)'!K$26:K$1001)</f>
        <v>0</v>
      </c>
      <c r="I40" s="158">
        <f>SUMIF('内訳ﾘｽﾄ(4～3月)'!$D$26:$D$1001,$B40,'内訳ﾘｽﾄ(4～3月)'!L$26:L$1001)</f>
        <v>0</v>
      </c>
      <c r="J40" s="158">
        <f>SUMIF('内訳ﾘｽﾄ(4～3月)'!$D$26:$D$1001,$B40,'内訳ﾘｽﾄ(4～3月)'!M$26:M$1001)</f>
        <v>0</v>
      </c>
      <c r="K40" s="158">
        <f>SUMIF('内訳ﾘｽﾄ(4～3月)'!$D$26:$D$1001,$B40,'内訳ﾘｽﾄ(4～3月)'!N$26:N$1001)</f>
        <v>0</v>
      </c>
      <c r="L40" s="158">
        <f>SUMIF('内訳ﾘｽﾄ(4～3月)'!$D$26:$D$1001,$B40,'内訳ﾘｽﾄ(4～3月)'!O$26:O$1001)</f>
        <v>0</v>
      </c>
      <c r="M40" s="158">
        <f>SUMIF('内訳ﾘｽﾄ(4～3月)'!$D$26:$D$1001,$B40,'内訳ﾘｽﾄ(4～3月)'!P$26:P$1001)</f>
        <v>0</v>
      </c>
      <c r="N40" s="158">
        <f>SUMIF('内訳ﾘｽﾄ(4～3月)'!$D$26:$D$1001,$B40,'内訳ﾘｽﾄ(4～3月)'!Q$26:Q$1001)</f>
        <v>0</v>
      </c>
      <c r="O40" s="158">
        <f>SUMIF('内訳ﾘｽﾄ(4～3月)'!$D$26:$D$800,'採算表(VND)'!$B40,'内訳ﾘｽﾄ(4～3月)'!R$26:R$800)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SUMIF('内訳ﾘｽﾄ(4～3月)'!$D$26:$D$1001,$B41,'内訳ﾘｽﾄ(4～3月)'!F$26:F$1001)</f>
        <v>9164000</v>
      </c>
      <c r="D41" s="158">
        <f>SUMIF('内訳ﾘｽﾄ(4～3月)'!$D$26:$D$1001,$B41,'内訳ﾘｽﾄ(4～3月)'!G$26:G$1001)</f>
        <v>9164000</v>
      </c>
      <c r="E41" s="158">
        <f>SUMIF('内訳ﾘｽﾄ(4～3月)'!$D$26:$D$1001,$B41,'内訳ﾘｽﾄ(4～3月)'!H$26:H$1001)</f>
        <v>9164000</v>
      </c>
      <c r="F41" s="158">
        <f>SUMIF('内訳ﾘｽﾄ(4～3月)'!$D$26:$D$1001,$B41,'内訳ﾘｽﾄ(4～3月)'!I$26:I$1001)</f>
        <v>9164000</v>
      </c>
      <c r="G41" s="158">
        <f>SUMIF('内訳ﾘｽﾄ(4～3月)'!$D$26:$D$1001,$B41,'内訳ﾘｽﾄ(4～3月)'!J$26:J$1001)</f>
        <v>9164000</v>
      </c>
      <c r="H41" s="158">
        <f>SUMIF('内訳ﾘｽﾄ(4～3月)'!$D$26:$D$1001,$B41,'内訳ﾘｽﾄ(4～3月)'!K$26:K$1001)</f>
        <v>9164000</v>
      </c>
      <c r="I41" s="158">
        <f>SUMIF('内訳ﾘｽﾄ(4～3月)'!$D$26:$D$1001,$B41,'内訳ﾘｽﾄ(4～3月)'!L$26:L$1001)</f>
        <v>9164000</v>
      </c>
      <c r="J41" s="158">
        <f>SUMIF('内訳ﾘｽﾄ(4～3月)'!$D$26:$D$1001,$B41,'内訳ﾘｽﾄ(4～3月)'!M$26:M$1001)</f>
        <v>9164000</v>
      </c>
      <c r="K41" s="158">
        <f>SUMIF('内訳ﾘｽﾄ(4～3月)'!$D$26:$D$1001,$B41,'内訳ﾘｽﾄ(4～3月)'!N$26:N$1001)</f>
        <v>9164000</v>
      </c>
      <c r="L41" s="158">
        <f>SUMIF('内訳ﾘｽﾄ(4～3月)'!$D$26:$D$1001,$B41,'内訳ﾘｽﾄ(4～3月)'!O$26:O$1001)</f>
        <v>9164000</v>
      </c>
      <c r="M41" s="158">
        <f>SUMIF('内訳ﾘｽﾄ(4～3月)'!$D$26:$D$1001,$B41,'内訳ﾘｽﾄ(4～3月)'!P$26:P$1001)</f>
        <v>9164000</v>
      </c>
      <c r="N41" s="158">
        <f>SUMIF('内訳ﾘｽﾄ(4～3月)'!$D$26:$D$1001,$B41,'内訳ﾘｽﾄ(4～3月)'!Q$26:Q$1001)</f>
        <v>9164000</v>
      </c>
      <c r="O41" s="158">
        <f>SUMIF('内訳ﾘｽﾄ(4～3月)'!$D$26:$D$800,'採算表(VND)'!$B41,'内訳ﾘｽﾄ(4～3月)'!R$26:R$800)</f>
        <v>109968000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SUMIF('内訳ﾘｽﾄ(4～3月)'!$D$26:$D$1001,$B42,'内訳ﾘｽﾄ(4～3月)'!F$26:F$1001)</f>
        <v>287235801</v>
      </c>
      <c r="D42" s="158">
        <f>SUMIF('内訳ﾘｽﾄ(4～3月)'!$D$26:$D$1001,$B42,'内訳ﾘｽﾄ(4～3月)'!G$26:G$1001)</f>
        <v>287235801</v>
      </c>
      <c r="E42" s="158">
        <f>SUMIF('内訳ﾘｽﾄ(4～3月)'!$D$26:$D$1001,$B42,'内訳ﾘｽﾄ(4～3月)'!H$26:H$1001)</f>
        <v>287235801</v>
      </c>
      <c r="F42" s="158">
        <f>SUMIF('内訳ﾘｽﾄ(4～3月)'!$D$26:$D$1001,$B42,'内訳ﾘｽﾄ(4～3月)'!I$26:I$1001)</f>
        <v>287235801</v>
      </c>
      <c r="G42" s="158">
        <f>SUMIF('内訳ﾘｽﾄ(4～3月)'!$D$26:$D$1001,$B42,'内訳ﾘｽﾄ(4～3月)'!J$26:J$1001)</f>
        <v>288974601</v>
      </c>
      <c r="H42" s="158">
        <f>SUMIF('内訳ﾘｽﾄ(4～3月)'!$D$26:$D$1001,$B42,'内訳ﾘｽﾄ(4～3月)'!K$26:K$1001)</f>
        <v>309743601</v>
      </c>
      <c r="I42" s="158">
        <f>SUMIF('内訳ﾘｽﾄ(4～3月)'!$D$26:$D$1001,$B42,'内訳ﾘｽﾄ(4～3月)'!L$26:L$1001)</f>
        <v>318341001</v>
      </c>
      <c r="J42" s="158">
        <f>SUMIF('内訳ﾘｽﾄ(4～3月)'!$D$26:$D$1001,$B42,'内訳ﾘｽﾄ(4～3月)'!M$26:M$1001)</f>
        <v>291221001</v>
      </c>
      <c r="K42" s="158">
        <f>SUMIF('内訳ﾘｽﾄ(4～3月)'!$D$26:$D$1001,$B42,'内訳ﾘｽﾄ(4～3月)'!N$26:N$1001)</f>
        <v>287235801</v>
      </c>
      <c r="L42" s="158">
        <f>SUMIF('内訳ﾘｽﾄ(4～3月)'!$D$26:$D$1001,$B42,'内訳ﾘｽﾄ(4～3月)'!O$26:O$1001)</f>
        <v>291872601</v>
      </c>
      <c r="M42" s="158">
        <f>SUMIF('内訳ﾘｽﾄ(4～3月)'!$D$26:$D$1001,$B42,'内訳ﾘｽﾄ(4～3月)'!P$26:P$1001)</f>
        <v>307521801</v>
      </c>
      <c r="N42" s="158">
        <f>SUMIF('内訳ﾘｽﾄ(4～3月)'!$D$26:$D$1001,$B42,'内訳ﾘｽﾄ(4～3月)'!Q$26:Q$1001)</f>
        <v>287235801</v>
      </c>
      <c r="O42" s="158">
        <f>SUMIF('内訳ﾘｽﾄ(4～3月)'!$D$26:$D$800,'採算表(VND)'!$B42,'内訳ﾘｽﾄ(4～3月)'!R$26:R$800)</f>
        <v>3531089412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SUMIF('内訳ﾘｽﾄ(4～3月)'!$D$26:$D$1001,$B43,'内訳ﾘｽﾄ(4～3月)'!F$26:F$1001)</f>
        <v>0</v>
      </c>
      <c r="D43" s="158">
        <f>SUMIF('内訳ﾘｽﾄ(4～3月)'!$D$26:$D$1001,$B43,'内訳ﾘｽﾄ(4～3月)'!G$26:G$1001)</f>
        <v>0</v>
      </c>
      <c r="E43" s="158">
        <f>SUMIF('内訳ﾘｽﾄ(4～3月)'!$D$26:$D$1001,$B43,'内訳ﾘｽﾄ(4～3月)'!H$26:H$1001)</f>
        <v>0</v>
      </c>
      <c r="F43" s="158">
        <f>SUMIF('内訳ﾘｽﾄ(4～3月)'!$D$26:$D$1001,$B43,'内訳ﾘｽﾄ(4～3月)'!I$26:I$1001)</f>
        <v>0</v>
      </c>
      <c r="G43" s="158">
        <f>SUMIF('内訳ﾘｽﾄ(4～3月)'!$D$26:$D$1001,$B43,'内訳ﾘｽﾄ(4～3月)'!J$26:J$1001)</f>
        <v>0</v>
      </c>
      <c r="H43" s="158">
        <f>SUMIF('内訳ﾘｽﾄ(4～3月)'!$D$26:$D$1001,$B43,'内訳ﾘｽﾄ(4～3月)'!K$26:K$1001)</f>
        <v>0</v>
      </c>
      <c r="I43" s="158">
        <f>SUMIF('内訳ﾘｽﾄ(4～3月)'!$D$26:$D$1001,$B43,'内訳ﾘｽﾄ(4～3月)'!L$26:L$1001)</f>
        <v>0</v>
      </c>
      <c r="J43" s="158">
        <f>SUMIF('内訳ﾘｽﾄ(4～3月)'!$D$26:$D$1001,$B43,'内訳ﾘｽﾄ(4～3月)'!M$26:M$1001)</f>
        <v>0</v>
      </c>
      <c r="K43" s="158">
        <f>SUMIF('内訳ﾘｽﾄ(4～3月)'!$D$26:$D$1001,$B43,'内訳ﾘｽﾄ(4～3月)'!N$26:N$1001)</f>
        <v>0</v>
      </c>
      <c r="L43" s="158">
        <f>SUMIF('内訳ﾘｽﾄ(4～3月)'!$D$26:$D$1001,$B43,'内訳ﾘｽﾄ(4～3月)'!O$26:O$1001)</f>
        <v>0</v>
      </c>
      <c r="M43" s="158">
        <f>SUMIF('内訳ﾘｽﾄ(4～3月)'!$D$26:$D$1001,$B43,'内訳ﾘｽﾄ(4～3月)'!P$26:P$1001)</f>
        <v>0</v>
      </c>
      <c r="N43" s="158">
        <f>SUMIF('内訳ﾘｽﾄ(4～3月)'!$D$26:$D$1001,$B43,'内訳ﾘｽﾄ(4～3月)'!Q$26:Q$1001)</f>
        <v>0</v>
      </c>
      <c r="O43" s="158">
        <f>SUMIF('内訳ﾘｽﾄ(4～3月)'!$D$26:$D$800,'採算表(VND)'!$B43,'内訳ﾘｽﾄ(4～3月)'!R$26:R$800)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SUMIF('内訳ﾘｽﾄ(4～3月)'!$D$26:$D$1001,$B44,'内訳ﾘｽﾄ(4～3月)'!F$26:F$1001)</f>
        <v>1088729534</v>
      </c>
      <c r="D44" s="158">
        <f>SUMIF('内訳ﾘｽﾄ(4～3月)'!$D$26:$D$1001,$B44,'内訳ﾘｽﾄ(4～3月)'!G$26:G$1001)</f>
        <v>1938819523</v>
      </c>
      <c r="E44" s="158">
        <f>SUMIF('内訳ﾘｽﾄ(4～3月)'!$D$26:$D$1001,$B44,'内訳ﾘｽﾄ(4～3月)'!H$26:H$1001)</f>
        <v>689888315</v>
      </c>
      <c r="F44" s="158">
        <f>SUMIF('内訳ﾘｽﾄ(4～3月)'!$D$26:$D$1001,$B44,'内訳ﾘｽﾄ(4～3月)'!I$26:I$1001)</f>
        <v>481673773</v>
      </c>
      <c r="G44" s="158">
        <f>SUMIF('内訳ﾘｽﾄ(4～3月)'!$D$26:$D$1001,$B44,'内訳ﾘｽﾄ(4～3月)'!J$26:J$1001)</f>
        <v>490041830</v>
      </c>
      <c r="H44" s="158">
        <f>SUMIF('内訳ﾘｽﾄ(4～3月)'!$D$26:$D$1001,$B44,'内訳ﾘｽﾄ(4～3月)'!K$26:K$1001)</f>
        <v>798286721</v>
      </c>
      <c r="I44" s="158">
        <f>SUMIF('内訳ﾘｽﾄ(4～3月)'!$D$26:$D$1001,$B44,'内訳ﾘｽﾄ(4～3月)'!L$26:L$1001)</f>
        <v>983924087</v>
      </c>
      <c r="J44" s="158">
        <f>SUMIF('内訳ﾘｽﾄ(4～3月)'!$D$26:$D$1001,$B44,'内訳ﾘｽﾄ(4～3月)'!M$26:M$1001)</f>
        <v>726632229</v>
      </c>
      <c r="K44" s="158">
        <f>SUMIF('内訳ﾘｽﾄ(4～3月)'!$D$26:$D$1001,$B44,'内訳ﾘｽﾄ(4～3月)'!N$26:N$1001)</f>
        <v>803799308</v>
      </c>
      <c r="L44" s="158">
        <f>SUMIF('内訳ﾘｽﾄ(4～3月)'!$D$26:$D$1001,$B44,'内訳ﾘｽﾄ(4～3月)'!O$26:O$1001)</f>
        <v>451235957</v>
      </c>
      <c r="M44" s="158">
        <f>SUMIF('内訳ﾘｽﾄ(4～3月)'!$D$26:$D$1001,$B44,'内訳ﾘｽﾄ(4～3月)'!P$26:P$1001)</f>
        <v>849415959</v>
      </c>
      <c r="N44" s="158">
        <f>SUMIF('内訳ﾘｽﾄ(4～3月)'!$D$26:$D$1001,$B44,'内訳ﾘｽﾄ(4～3月)'!Q$26:Q$1001)</f>
        <v>1000793788</v>
      </c>
      <c r="O44" s="158">
        <f>SUMIF('内訳ﾘｽﾄ(4～3月)'!$D$26:$D$800,'採算表(VND)'!$B44,'内訳ﾘｽﾄ(4～3月)'!R$26:R$800)</f>
        <v>10303241024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SUMIF('内訳ﾘｽﾄ(4～3月)'!$D$26:$D$1001,$B45,'内訳ﾘｽﾄ(4～3月)'!F$26:F$1001)</f>
        <v>0</v>
      </c>
      <c r="D45" s="158">
        <f>SUMIF('内訳ﾘｽﾄ(4～3月)'!$D$26:$D$1001,$B45,'内訳ﾘｽﾄ(4～3月)'!G$26:G$1001)</f>
        <v>0</v>
      </c>
      <c r="E45" s="158">
        <f>SUMIF('内訳ﾘｽﾄ(4～3月)'!$D$26:$D$1001,$B45,'内訳ﾘｽﾄ(4～3月)'!H$26:H$1001)</f>
        <v>0</v>
      </c>
      <c r="F45" s="158">
        <f>SUMIF('内訳ﾘｽﾄ(4～3月)'!$D$26:$D$1001,$B45,'内訳ﾘｽﾄ(4～3月)'!I$26:I$1001)</f>
        <v>0</v>
      </c>
      <c r="G45" s="158">
        <f>SUMIF('内訳ﾘｽﾄ(4～3月)'!$D$26:$D$1001,$B45,'内訳ﾘｽﾄ(4～3月)'!J$26:J$1001)</f>
        <v>0</v>
      </c>
      <c r="H45" s="158">
        <f>SUMIF('内訳ﾘｽﾄ(4～3月)'!$D$26:$D$1001,$B45,'内訳ﾘｽﾄ(4～3月)'!K$26:K$1001)</f>
        <v>0</v>
      </c>
      <c r="I45" s="158">
        <f>SUMIF('内訳ﾘｽﾄ(4～3月)'!$D$26:$D$1001,$B45,'内訳ﾘｽﾄ(4～3月)'!L$26:L$1001)</f>
        <v>0</v>
      </c>
      <c r="J45" s="158">
        <f>SUMIF('内訳ﾘｽﾄ(4～3月)'!$D$26:$D$1001,$B45,'内訳ﾘｽﾄ(4～3月)'!M$26:M$1001)</f>
        <v>0</v>
      </c>
      <c r="K45" s="158">
        <f>SUMIF('内訳ﾘｽﾄ(4～3月)'!$D$26:$D$1001,$B45,'内訳ﾘｽﾄ(4～3月)'!N$26:N$1001)</f>
        <v>0</v>
      </c>
      <c r="L45" s="158">
        <f>SUMIF('内訳ﾘｽﾄ(4～3月)'!$D$26:$D$1001,$B45,'内訳ﾘｽﾄ(4～3月)'!O$26:O$1001)</f>
        <v>0</v>
      </c>
      <c r="M45" s="158">
        <f>SUMIF('内訳ﾘｽﾄ(4～3月)'!$D$26:$D$1001,$B45,'内訳ﾘｽﾄ(4～3月)'!P$26:P$1001)</f>
        <v>0</v>
      </c>
      <c r="N45" s="158">
        <f>SUMIF('内訳ﾘｽﾄ(4～3月)'!$D$26:$D$1001,$B45,'内訳ﾘｽﾄ(4～3月)'!Q$26:Q$1001)</f>
        <v>0</v>
      </c>
      <c r="O45" s="158">
        <f>SUMIF('内訳ﾘｽﾄ(4～3月)'!$D$26:$D$800,'採算表(VND)'!$B45,'内訳ﾘｽﾄ(4～3月)'!R$26:R$800)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SUMIF('内訳ﾘｽﾄ(4～3月)'!$D$26:$D$1001,$B46,'内訳ﾘｽﾄ(4～3月)'!F$26:F$1001)</f>
        <v>0</v>
      </c>
      <c r="D46" s="158">
        <f>SUMIF('内訳ﾘｽﾄ(4～3月)'!$D$26:$D$1001,$B46,'内訳ﾘｽﾄ(4～3月)'!G$26:G$1001)</f>
        <v>0</v>
      </c>
      <c r="E46" s="158">
        <f>SUMIF('内訳ﾘｽﾄ(4～3月)'!$D$26:$D$1001,$B46,'内訳ﾘｽﾄ(4～3月)'!H$26:H$1001)</f>
        <v>0</v>
      </c>
      <c r="F46" s="158">
        <f>SUMIF('内訳ﾘｽﾄ(4～3月)'!$D$26:$D$1001,$B46,'内訳ﾘｽﾄ(4～3月)'!I$26:I$1001)</f>
        <v>0</v>
      </c>
      <c r="G46" s="158">
        <f>SUMIF('内訳ﾘｽﾄ(4～3月)'!$D$26:$D$1001,$B46,'内訳ﾘｽﾄ(4～3月)'!J$26:J$1001)</f>
        <v>0</v>
      </c>
      <c r="H46" s="158">
        <f>SUMIF('内訳ﾘｽﾄ(4～3月)'!$D$26:$D$1001,$B46,'内訳ﾘｽﾄ(4～3月)'!K$26:K$1001)</f>
        <v>0</v>
      </c>
      <c r="I46" s="158">
        <f>SUMIF('内訳ﾘｽﾄ(4～3月)'!$D$26:$D$1001,$B46,'内訳ﾘｽﾄ(4～3月)'!L$26:L$1001)</f>
        <v>0</v>
      </c>
      <c r="J46" s="158">
        <f>SUMIF('内訳ﾘｽﾄ(4～3月)'!$D$26:$D$1001,$B46,'内訳ﾘｽﾄ(4～3月)'!M$26:M$1001)</f>
        <v>0</v>
      </c>
      <c r="K46" s="158">
        <f>SUMIF('内訳ﾘｽﾄ(4～3月)'!$D$26:$D$1001,$B46,'内訳ﾘｽﾄ(4～3月)'!N$26:N$1001)</f>
        <v>0</v>
      </c>
      <c r="L46" s="158">
        <f>SUMIF('内訳ﾘｽﾄ(4～3月)'!$D$26:$D$1001,$B46,'内訳ﾘｽﾄ(4～3月)'!O$26:O$1001)</f>
        <v>0</v>
      </c>
      <c r="M46" s="158">
        <f>SUMIF('内訳ﾘｽﾄ(4～3月)'!$D$26:$D$1001,$B46,'内訳ﾘｽﾄ(4～3月)'!P$26:P$1001)</f>
        <v>0</v>
      </c>
      <c r="N46" s="158">
        <f>SUMIF('内訳ﾘｽﾄ(4～3月)'!$D$26:$D$1001,$B46,'内訳ﾘｽﾄ(4～3月)'!Q$26:Q$1001)</f>
        <v>0</v>
      </c>
      <c r="O46" s="158">
        <f>SUMIF('内訳ﾘｽﾄ(4～3月)'!$D$26:$D$800,'採算表(VND)'!$B46,'内訳ﾘｽﾄ(4～3月)'!R$26:R$800)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SUMIF('内訳ﾘｽﾄ(4～3月)'!$D$26:$D$1001,$B47,'内訳ﾘｽﾄ(4～3月)'!F$26:F$1001)</f>
        <v>0</v>
      </c>
      <c r="D47" s="158">
        <f>SUMIF('内訳ﾘｽﾄ(4～3月)'!$D$26:$D$1001,$B47,'内訳ﾘｽﾄ(4～3月)'!G$26:G$1001)</f>
        <v>0</v>
      </c>
      <c r="E47" s="158">
        <f>SUMIF('内訳ﾘｽﾄ(4～3月)'!$D$26:$D$1001,$B47,'内訳ﾘｽﾄ(4～3月)'!H$26:H$1001)</f>
        <v>0</v>
      </c>
      <c r="F47" s="158">
        <f>SUMIF('内訳ﾘｽﾄ(4～3月)'!$D$26:$D$1001,$B47,'内訳ﾘｽﾄ(4～3月)'!I$26:I$1001)</f>
        <v>0</v>
      </c>
      <c r="G47" s="158">
        <f>SUMIF('内訳ﾘｽﾄ(4～3月)'!$D$26:$D$1001,$B47,'内訳ﾘｽﾄ(4～3月)'!J$26:J$1001)</f>
        <v>0</v>
      </c>
      <c r="H47" s="158">
        <f>SUMIF('内訳ﾘｽﾄ(4～3月)'!$D$26:$D$1001,$B47,'内訳ﾘｽﾄ(4～3月)'!K$26:K$1001)</f>
        <v>0</v>
      </c>
      <c r="I47" s="158">
        <f>SUMIF('内訳ﾘｽﾄ(4～3月)'!$D$26:$D$1001,$B47,'内訳ﾘｽﾄ(4～3月)'!L$26:L$1001)</f>
        <v>0</v>
      </c>
      <c r="J47" s="158">
        <f>SUMIF('内訳ﾘｽﾄ(4～3月)'!$D$26:$D$1001,$B47,'内訳ﾘｽﾄ(4～3月)'!M$26:M$1001)</f>
        <v>0</v>
      </c>
      <c r="K47" s="158">
        <f>SUMIF('内訳ﾘｽﾄ(4～3月)'!$D$26:$D$1001,$B47,'内訳ﾘｽﾄ(4～3月)'!N$26:N$1001)</f>
        <v>0</v>
      </c>
      <c r="L47" s="158">
        <f>SUMIF('内訳ﾘｽﾄ(4～3月)'!$D$26:$D$1001,$B47,'内訳ﾘｽﾄ(4～3月)'!O$26:O$1001)</f>
        <v>0</v>
      </c>
      <c r="M47" s="158">
        <f>SUMIF('内訳ﾘｽﾄ(4～3月)'!$D$26:$D$1001,$B47,'内訳ﾘｽﾄ(4～3月)'!P$26:P$1001)</f>
        <v>0</v>
      </c>
      <c r="N47" s="158">
        <f>SUMIF('内訳ﾘｽﾄ(4～3月)'!$D$26:$D$1001,$B47,'内訳ﾘｽﾄ(4～3月)'!Q$26:Q$1001)</f>
        <v>0</v>
      </c>
      <c r="O47" s="158">
        <f>SUMIF('内訳ﾘｽﾄ(4～3月)'!$D$26:$D$800,'採算表(VND)'!$B47,'内訳ﾘｽﾄ(4～3月)'!R$26:R$800)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SUMIF('内訳ﾘｽﾄ(4～3月)'!$D$26:$D$1001,$B48,'内訳ﾘｽﾄ(4～3月)'!F$26:F$1001)</f>
        <v>0</v>
      </c>
      <c r="D48" s="158">
        <f>SUMIF('内訳ﾘｽﾄ(4～3月)'!$D$26:$D$1001,$B48,'内訳ﾘｽﾄ(4～3月)'!G$26:G$1001)</f>
        <v>0</v>
      </c>
      <c r="E48" s="158">
        <f>SUMIF('内訳ﾘｽﾄ(4～3月)'!$D$26:$D$1001,$B48,'内訳ﾘｽﾄ(4～3月)'!H$26:H$1001)</f>
        <v>0</v>
      </c>
      <c r="F48" s="158">
        <f>SUMIF('内訳ﾘｽﾄ(4～3月)'!$D$26:$D$1001,$B48,'内訳ﾘｽﾄ(4～3月)'!I$26:I$1001)</f>
        <v>0</v>
      </c>
      <c r="G48" s="158">
        <f>SUMIF('内訳ﾘｽﾄ(4～3月)'!$D$26:$D$1001,$B48,'内訳ﾘｽﾄ(4～3月)'!J$26:J$1001)</f>
        <v>0</v>
      </c>
      <c r="H48" s="158">
        <f>SUMIF('内訳ﾘｽﾄ(4～3月)'!$D$26:$D$1001,$B48,'内訳ﾘｽﾄ(4～3月)'!K$26:K$1001)</f>
        <v>0</v>
      </c>
      <c r="I48" s="158">
        <f>SUMIF('内訳ﾘｽﾄ(4～3月)'!$D$26:$D$1001,$B48,'内訳ﾘｽﾄ(4～3月)'!L$26:L$1001)</f>
        <v>0</v>
      </c>
      <c r="J48" s="158">
        <f>SUMIF('内訳ﾘｽﾄ(4～3月)'!$D$26:$D$1001,$B48,'内訳ﾘｽﾄ(4～3月)'!M$26:M$1001)</f>
        <v>0</v>
      </c>
      <c r="K48" s="158">
        <f>SUMIF('内訳ﾘｽﾄ(4～3月)'!$D$26:$D$1001,$B48,'内訳ﾘｽﾄ(4～3月)'!N$26:N$1001)</f>
        <v>0</v>
      </c>
      <c r="L48" s="158">
        <f>SUMIF('内訳ﾘｽﾄ(4～3月)'!$D$26:$D$1001,$B48,'内訳ﾘｽﾄ(4～3月)'!O$26:O$1001)</f>
        <v>0</v>
      </c>
      <c r="M48" s="158">
        <f>SUMIF('内訳ﾘｽﾄ(4～3月)'!$D$26:$D$1001,$B48,'内訳ﾘｽﾄ(4～3月)'!P$26:P$1001)</f>
        <v>0</v>
      </c>
      <c r="N48" s="158">
        <f>SUMIF('内訳ﾘｽﾄ(4～3月)'!$D$26:$D$1001,$B48,'内訳ﾘｽﾄ(4～3月)'!Q$26:Q$1001)</f>
        <v>0</v>
      </c>
      <c r="O48" s="158">
        <f>SUMIF('内訳ﾘｽﾄ(4～3月)'!$D$26:$D$800,'採算表(VND)'!$B48,'内訳ﾘｽﾄ(4～3月)'!R$26:R$800)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SUMIF('内訳ﾘｽﾄ(4～3月)'!$D$26:$D$1001,$B49,'内訳ﾘｽﾄ(4～3月)'!F$26:F$1001)</f>
        <v>0</v>
      </c>
      <c r="D49" s="158">
        <f>SUMIF('内訳ﾘｽﾄ(4～3月)'!$D$26:$D$1001,$B49,'内訳ﾘｽﾄ(4～3月)'!G$26:G$1001)</f>
        <v>0</v>
      </c>
      <c r="E49" s="158">
        <f>SUMIF('内訳ﾘｽﾄ(4～3月)'!$D$26:$D$1001,$B49,'内訳ﾘｽﾄ(4～3月)'!H$26:H$1001)</f>
        <v>0</v>
      </c>
      <c r="F49" s="158">
        <f>SUMIF('内訳ﾘｽﾄ(4～3月)'!$D$26:$D$1001,$B49,'内訳ﾘｽﾄ(4～3月)'!I$26:I$1001)</f>
        <v>0</v>
      </c>
      <c r="G49" s="158">
        <f>SUMIF('内訳ﾘｽﾄ(4～3月)'!$D$26:$D$1001,$B49,'内訳ﾘｽﾄ(4～3月)'!J$26:J$1001)</f>
        <v>0</v>
      </c>
      <c r="H49" s="158">
        <f>SUMIF('内訳ﾘｽﾄ(4～3月)'!$D$26:$D$1001,$B49,'内訳ﾘｽﾄ(4～3月)'!K$26:K$1001)</f>
        <v>0</v>
      </c>
      <c r="I49" s="158">
        <f>SUMIF('内訳ﾘｽﾄ(4～3月)'!$D$26:$D$1001,$B49,'内訳ﾘｽﾄ(4～3月)'!L$26:L$1001)</f>
        <v>0</v>
      </c>
      <c r="J49" s="158">
        <f>SUMIF('内訳ﾘｽﾄ(4～3月)'!$D$26:$D$1001,$B49,'内訳ﾘｽﾄ(4～3月)'!M$26:M$1001)</f>
        <v>0</v>
      </c>
      <c r="K49" s="158">
        <f>SUMIF('内訳ﾘｽﾄ(4～3月)'!$D$26:$D$1001,$B49,'内訳ﾘｽﾄ(4～3月)'!N$26:N$1001)</f>
        <v>0</v>
      </c>
      <c r="L49" s="158">
        <f>SUMIF('内訳ﾘｽﾄ(4～3月)'!$D$26:$D$1001,$B49,'内訳ﾘｽﾄ(4～3月)'!O$26:O$1001)</f>
        <v>0</v>
      </c>
      <c r="M49" s="158">
        <f>SUMIF('内訳ﾘｽﾄ(4～3月)'!$D$26:$D$1001,$B49,'内訳ﾘｽﾄ(4～3月)'!P$26:P$1001)</f>
        <v>0</v>
      </c>
      <c r="N49" s="158">
        <f>SUMIF('内訳ﾘｽﾄ(4～3月)'!$D$26:$D$1001,$B49,'内訳ﾘｽﾄ(4～3月)'!Q$26:Q$1001)</f>
        <v>0</v>
      </c>
      <c r="O49" s="158">
        <f>SUMIF('内訳ﾘｽﾄ(4～3月)'!$D$26:$D$800,'採算表(VND)'!$B49,'内訳ﾘｽﾄ(4～3月)'!R$26:R$800)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SUMIF('内訳ﾘｽﾄ(4～3月)'!$D$26:$D$1001,$B50,'内訳ﾘｽﾄ(4～3月)'!F$26:F$1001)</f>
        <v>12695000</v>
      </c>
      <c r="D50" s="158">
        <f>SUMIF('内訳ﾘｽﾄ(4～3月)'!$D$26:$D$1001,$B50,'内訳ﾘｽﾄ(4～3月)'!G$26:G$1001)</f>
        <v>12695000</v>
      </c>
      <c r="E50" s="158">
        <f>SUMIF('内訳ﾘｽﾄ(4～3月)'!$D$26:$D$1001,$B50,'内訳ﾘｽﾄ(4～3月)'!H$26:H$1001)</f>
        <v>12695000</v>
      </c>
      <c r="F50" s="158">
        <f>SUMIF('内訳ﾘｽﾄ(4～3月)'!$D$26:$D$1001,$B50,'内訳ﾘｽﾄ(4～3月)'!I$26:I$1001)</f>
        <v>12695000</v>
      </c>
      <c r="G50" s="158">
        <f>SUMIF('内訳ﾘｽﾄ(4～3月)'!$D$26:$D$1001,$B50,'内訳ﾘｽﾄ(4～3月)'!J$26:J$1001)</f>
        <v>47665155</v>
      </c>
      <c r="H50" s="158">
        <f>SUMIF('内訳ﾘｽﾄ(4～3月)'!$D$26:$D$1001,$B50,'内訳ﾘｽﾄ(4～3月)'!K$26:K$1001)</f>
        <v>7617000</v>
      </c>
      <c r="I50" s="158">
        <f>SUMIF('内訳ﾘｽﾄ(4～3月)'!$D$26:$D$1001,$B50,'内訳ﾘｽﾄ(4～3月)'!L$26:L$1001)</f>
        <v>12695000</v>
      </c>
      <c r="J50" s="158">
        <f>SUMIF('内訳ﾘｽﾄ(4～3月)'!$D$26:$D$1001,$B50,'内訳ﾘｽﾄ(4～3月)'!M$26:M$1001)</f>
        <v>12695000</v>
      </c>
      <c r="K50" s="158">
        <f>SUMIF('内訳ﾘｽﾄ(4～3月)'!$D$26:$D$1001,$B50,'内訳ﾘｽﾄ(4～3月)'!N$26:N$1001)</f>
        <v>12695000</v>
      </c>
      <c r="L50" s="158">
        <f>SUMIF('内訳ﾘｽﾄ(4～3月)'!$D$26:$D$1001,$B50,'内訳ﾘｽﾄ(4～3月)'!O$26:O$1001)</f>
        <v>12695000</v>
      </c>
      <c r="M50" s="158">
        <f>SUMIF('内訳ﾘｽﾄ(4～3月)'!$D$26:$D$1001,$B50,'内訳ﾘｽﾄ(4～3月)'!P$26:P$1001)</f>
        <v>38085000</v>
      </c>
      <c r="N50" s="158">
        <f>SUMIF('内訳ﾘｽﾄ(4～3月)'!$D$26:$D$1001,$B50,'内訳ﾘｽﾄ(4～3月)'!Q$26:Q$1001)</f>
        <v>17197155</v>
      </c>
      <c r="O50" s="158">
        <f>SUMIF('内訳ﾘｽﾄ(4～3月)'!$D$26:$D$800,'採算表(VND)'!$B50,'内訳ﾘｽﾄ(4～3月)'!R$26:R$800)</f>
        <v>212124310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SUMIF('内訳ﾘｽﾄ(4～3月)'!$D$26:$D$1001,$B51,'内訳ﾘｽﾄ(4～3月)'!F$26:F$1001)</f>
        <v>95497389</v>
      </c>
      <c r="D51" s="159">
        <f>SUMIF('内訳ﾘｽﾄ(4～3月)'!$D$26:$D$1001,$B51,'内訳ﾘｽﾄ(4～3月)'!G$26:G$1001)</f>
        <v>95497389</v>
      </c>
      <c r="E51" s="159">
        <f>SUMIF('内訳ﾘｽﾄ(4～3月)'!$D$26:$D$1001,$B51,'内訳ﾘｽﾄ(4～3月)'!H$26:H$1001)</f>
        <v>95497389</v>
      </c>
      <c r="F51" s="159">
        <f>SUMIF('内訳ﾘｽﾄ(4～3月)'!$D$26:$D$1001,$B51,'内訳ﾘｽﾄ(4～3月)'!I$26:I$1001)</f>
        <v>95497389</v>
      </c>
      <c r="G51" s="159">
        <f>SUMIF('内訳ﾘｽﾄ(4～3月)'!$D$26:$D$1001,$B51,'内訳ﾘｽﾄ(4～3月)'!J$26:J$1001)</f>
        <v>177730000</v>
      </c>
      <c r="H51" s="159">
        <f>SUMIF('内訳ﾘｽﾄ(4～3月)'!$D$26:$D$1001,$B51,'内訳ﾘｽﾄ(4～3月)'!K$26:K$1001)</f>
        <v>95497389</v>
      </c>
      <c r="I51" s="159">
        <f>SUMIF('内訳ﾘｽﾄ(4～3月)'!$D$26:$D$1001,$B51,'内訳ﾘｽﾄ(4～3月)'!L$26:L$1001)</f>
        <v>95497389</v>
      </c>
      <c r="J51" s="159">
        <f>SUMIF('内訳ﾘｽﾄ(4～3月)'!$D$26:$D$1001,$B51,'内訳ﾘｽﾄ(4～3月)'!M$26:M$1001)</f>
        <v>95497389</v>
      </c>
      <c r="K51" s="159">
        <f>SUMIF('内訳ﾘｽﾄ(4～3月)'!$D$26:$D$1001,$B51,'内訳ﾘｽﾄ(4～3月)'!N$26:N$1001)</f>
        <v>95497389</v>
      </c>
      <c r="L51" s="159">
        <f>SUMIF('内訳ﾘｽﾄ(4～3月)'!$D$26:$D$1001,$B51,'内訳ﾘｽﾄ(4～3月)'!O$26:O$1001)</f>
        <v>120887389</v>
      </c>
      <c r="M51" s="159">
        <f>SUMIF('内訳ﾘｽﾄ(4～3月)'!$D$26:$D$1001,$B51,'内訳ﾘｽﾄ(4～3月)'!P$26:P$1001)</f>
        <v>95497389</v>
      </c>
      <c r="N51" s="159">
        <f>SUMIF('内訳ﾘｽﾄ(4～3月)'!$D$26:$D$1001,$B51,'内訳ﾘｽﾄ(4～3月)'!Q$26:Q$1001)</f>
        <v>95497389</v>
      </c>
      <c r="O51" s="159">
        <f>SUMIF('内訳ﾘｽﾄ(4～3月)'!$D$26:$D$800,'採算表(VND)'!$B51,'内訳ﾘｽﾄ(4～3月)'!R$26:R$800)</f>
        <v>1253591279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SUMIF('内訳ﾘｽﾄ(4～3月)'!$D$26:$D$1001,$B52,'内訳ﾘｽﾄ(4～3月)'!F$26:F$1001)</f>
        <v>0</v>
      </c>
      <c r="D52" s="160">
        <f>SUMIF('内訳ﾘｽﾄ(4～3月)'!$D$26:$D$1001,$B52,'内訳ﾘｽﾄ(4～3月)'!G$26:G$1001)</f>
        <v>0</v>
      </c>
      <c r="E52" s="160">
        <f>SUMIF('内訳ﾘｽﾄ(4～3月)'!$D$26:$D$1001,$B52,'内訳ﾘｽﾄ(4～3月)'!H$26:H$1001)</f>
        <v>0</v>
      </c>
      <c r="F52" s="160">
        <f>SUMIF('内訳ﾘｽﾄ(4～3月)'!$D$26:$D$1001,$B52,'内訳ﾘｽﾄ(4～3月)'!I$26:I$1001)</f>
        <v>0</v>
      </c>
      <c r="G52" s="160">
        <f>SUMIF('内訳ﾘｽﾄ(4～3月)'!$D$26:$D$1001,$B52,'内訳ﾘｽﾄ(4～3月)'!J$26:J$1001)</f>
        <v>0</v>
      </c>
      <c r="H52" s="160">
        <f>SUMIF('内訳ﾘｽﾄ(4～3月)'!$D$26:$D$1001,$B52,'内訳ﾘｽﾄ(4～3月)'!K$26:K$1001)</f>
        <v>0</v>
      </c>
      <c r="I52" s="160">
        <f>SUMIF('内訳ﾘｽﾄ(4～3月)'!$D$26:$D$1001,$B52,'内訳ﾘｽﾄ(4～3月)'!L$26:L$1001)</f>
        <v>0</v>
      </c>
      <c r="J52" s="160">
        <f>SUMIF('内訳ﾘｽﾄ(4～3月)'!$D$26:$D$1001,$B52,'内訳ﾘｽﾄ(4～3月)'!M$26:M$1001)</f>
        <v>0</v>
      </c>
      <c r="K52" s="160">
        <f>SUMIF('内訳ﾘｽﾄ(4～3月)'!$D$26:$D$1001,$B52,'内訳ﾘｽﾄ(4～3月)'!N$26:N$1001)</f>
        <v>0</v>
      </c>
      <c r="L52" s="160">
        <f>SUMIF('内訳ﾘｽﾄ(4～3月)'!$D$26:$D$1001,$B52,'内訳ﾘｽﾄ(4～3月)'!O$26:O$1001)</f>
        <v>0</v>
      </c>
      <c r="M52" s="160">
        <f>SUMIF('内訳ﾘｽﾄ(4～3月)'!$D$26:$D$1001,$B52,'内訳ﾘｽﾄ(4～3月)'!P$26:P$1001)</f>
        <v>0</v>
      </c>
      <c r="N52" s="160">
        <f>SUMIF('内訳ﾘｽﾄ(4～3月)'!$D$26:$D$1001,$B52,'内訳ﾘｽﾄ(4～3月)'!Q$26:Q$1001)</f>
        <v>0</v>
      </c>
      <c r="O52" s="160">
        <f>SUMIF('内訳ﾘｽﾄ(4～3月)'!$D$26:$D$800,'採算表(VND)'!$B52,'内訳ﾘｽﾄ(4～3月)'!R$26:R$800)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SUMIF('内訳ﾘｽﾄ(4～3月)'!$D$26:$D$1001,$B53,'内訳ﾘｽﾄ(4～3月)'!F$26:F$1001)</f>
        <v>0</v>
      </c>
      <c r="D53" s="160">
        <f>SUMIF('内訳ﾘｽﾄ(4～3月)'!$D$26:$D$1001,$B53,'内訳ﾘｽﾄ(4～3月)'!G$26:G$1001)</f>
        <v>0</v>
      </c>
      <c r="E53" s="160">
        <f>SUMIF('内訳ﾘｽﾄ(4～3月)'!$D$26:$D$1001,$B53,'内訳ﾘｽﾄ(4～3月)'!H$26:H$1001)</f>
        <v>0</v>
      </c>
      <c r="F53" s="160">
        <f>SUMIF('内訳ﾘｽﾄ(4～3月)'!$D$26:$D$1001,$B53,'内訳ﾘｽﾄ(4～3月)'!I$26:I$1001)</f>
        <v>0</v>
      </c>
      <c r="G53" s="160">
        <f>SUMIF('内訳ﾘｽﾄ(4～3月)'!$D$26:$D$1001,$B53,'内訳ﾘｽﾄ(4～3月)'!J$26:J$1001)</f>
        <v>0</v>
      </c>
      <c r="H53" s="160">
        <f>SUMIF('内訳ﾘｽﾄ(4～3月)'!$D$26:$D$1001,$B53,'内訳ﾘｽﾄ(4～3月)'!K$26:K$1001)</f>
        <v>0</v>
      </c>
      <c r="I53" s="160">
        <f>SUMIF('内訳ﾘｽﾄ(4～3月)'!$D$26:$D$1001,$B53,'内訳ﾘｽﾄ(4～3月)'!L$26:L$1001)</f>
        <v>0</v>
      </c>
      <c r="J53" s="160">
        <f>SUMIF('内訳ﾘｽﾄ(4～3月)'!$D$26:$D$1001,$B53,'内訳ﾘｽﾄ(4～3月)'!M$26:M$1001)</f>
        <v>0</v>
      </c>
      <c r="K53" s="160">
        <f>SUMIF('内訳ﾘｽﾄ(4～3月)'!$D$26:$D$1001,$B53,'内訳ﾘｽﾄ(4～3月)'!N$26:N$1001)</f>
        <v>0</v>
      </c>
      <c r="L53" s="160">
        <f>SUMIF('内訳ﾘｽﾄ(4～3月)'!$D$26:$D$1001,$B53,'内訳ﾘｽﾄ(4～3月)'!O$26:O$1001)</f>
        <v>0</v>
      </c>
      <c r="M53" s="160">
        <f>SUMIF('内訳ﾘｽﾄ(4～3月)'!$D$26:$D$1001,$B53,'内訳ﾘｽﾄ(4～3月)'!P$26:P$1001)</f>
        <v>0</v>
      </c>
      <c r="N53" s="160">
        <f>SUMIF('内訳ﾘｽﾄ(4～3月)'!$D$26:$D$1001,$B53,'内訳ﾘｽﾄ(4～3月)'!Q$26:Q$1001)</f>
        <v>0</v>
      </c>
      <c r="O53" s="160">
        <f>SUMIF('内訳ﾘｽﾄ(4～3月)'!$D$26:$D$800,'採算表(VND)'!$B53,'内訳ﾘｽﾄ(4～3月)'!R$26:R$800)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SUMIF('内訳ﾘｽﾄ(4～3月)'!$D$26:$D$1001,$B54,'内訳ﾘｽﾄ(4～3月)'!F$26:F$1001)</f>
        <v>0</v>
      </c>
      <c r="D54" s="160">
        <f>SUMIF('内訳ﾘｽﾄ(4～3月)'!$D$26:$D$1001,$B54,'内訳ﾘｽﾄ(4～3月)'!G$26:G$1001)</f>
        <v>0</v>
      </c>
      <c r="E54" s="160">
        <f>SUMIF('内訳ﾘｽﾄ(4～3月)'!$D$26:$D$1001,$B54,'内訳ﾘｽﾄ(4～3月)'!H$26:H$1001)</f>
        <v>0</v>
      </c>
      <c r="F54" s="160">
        <f>SUMIF('内訳ﾘｽﾄ(4～3月)'!$D$26:$D$1001,$B54,'内訳ﾘｽﾄ(4～3月)'!I$26:I$1001)</f>
        <v>0</v>
      </c>
      <c r="G54" s="160">
        <f>SUMIF('内訳ﾘｽﾄ(4～3月)'!$D$26:$D$1001,$B54,'内訳ﾘｽﾄ(4～3月)'!J$26:J$1001)</f>
        <v>0</v>
      </c>
      <c r="H54" s="160">
        <f>SUMIF('内訳ﾘｽﾄ(4～3月)'!$D$26:$D$1001,$B54,'内訳ﾘｽﾄ(4～3月)'!K$26:K$1001)</f>
        <v>0</v>
      </c>
      <c r="I54" s="160">
        <f>SUMIF('内訳ﾘｽﾄ(4～3月)'!$D$26:$D$1001,$B54,'内訳ﾘｽﾄ(4～3月)'!L$26:L$1001)</f>
        <v>0</v>
      </c>
      <c r="J54" s="160">
        <f>SUMIF('内訳ﾘｽﾄ(4～3月)'!$D$26:$D$1001,$B54,'内訳ﾘｽﾄ(4～3月)'!M$26:M$1001)</f>
        <v>0</v>
      </c>
      <c r="K54" s="160">
        <f>SUMIF('内訳ﾘｽﾄ(4～3月)'!$D$26:$D$1001,$B54,'内訳ﾘｽﾄ(4～3月)'!N$26:N$1001)</f>
        <v>0</v>
      </c>
      <c r="L54" s="160">
        <f>SUMIF('内訳ﾘｽﾄ(4～3月)'!$D$26:$D$1001,$B54,'内訳ﾘｽﾄ(4～3月)'!O$26:O$1001)</f>
        <v>0</v>
      </c>
      <c r="M54" s="160">
        <f>SUMIF('内訳ﾘｽﾄ(4～3月)'!$D$26:$D$1001,$B54,'内訳ﾘｽﾄ(4～3月)'!P$26:P$1001)</f>
        <v>0</v>
      </c>
      <c r="N54" s="160">
        <f>SUMIF('内訳ﾘｽﾄ(4～3月)'!$D$26:$D$1001,$B54,'内訳ﾘｽﾄ(4～3月)'!Q$26:Q$1001)</f>
        <v>0</v>
      </c>
      <c r="O54" s="160">
        <f>SUMIF('内訳ﾘｽﾄ(4～3月)'!$D$26:$D$800,'採算表(VND)'!$B54,'内訳ﾘｽﾄ(4～3月)'!R$26:R$800)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SUMIF('内訳ﾘｽﾄ(4～3月)'!$D$26:$D$1001,$B55,'内訳ﾘｽﾄ(4～3月)'!F$26:F$1001)</f>
        <v>0</v>
      </c>
      <c r="D55" s="160">
        <f>SUMIF('内訳ﾘｽﾄ(4～3月)'!$D$26:$D$1001,$B55,'内訳ﾘｽﾄ(4～3月)'!G$26:G$1001)</f>
        <v>0</v>
      </c>
      <c r="E55" s="160">
        <f>SUMIF('内訳ﾘｽﾄ(4～3月)'!$D$26:$D$1001,$B55,'内訳ﾘｽﾄ(4～3月)'!H$26:H$1001)</f>
        <v>0</v>
      </c>
      <c r="F55" s="160">
        <f>SUMIF('内訳ﾘｽﾄ(4～3月)'!$D$26:$D$1001,$B55,'内訳ﾘｽﾄ(4～3月)'!I$26:I$1001)</f>
        <v>0</v>
      </c>
      <c r="G55" s="160">
        <f>SUMIF('内訳ﾘｽﾄ(4～3月)'!$D$26:$D$1001,$B55,'内訳ﾘｽﾄ(4～3月)'!J$26:J$1001)</f>
        <v>0</v>
      </c>
      <c r="H55" s="160">
        <f>SUMIF('内訳ﾘｽﾄ(4～3月)'!$D$26:$D$1001,$B55,'内訳ﾘｽﾄ(4～3月)'!K$26:K$1001)</f>
        <v>0</v>
      </c>
      <c r="I55" s="160">
        <f>SUMIF('内訳ﾘｽﾄ(4～3月)'!$D$26:$D$1001,$B55,'内訳ﾘｽﾄ(4～3月)'!L$26:L$1001)</f>
        <v>0</v>
      </c>
      <c r="J55" s="160">
        <f>SUMIF('内訳ﾘｽﾄ(4～3月)'!$D$26:$D$1001,$B55,'内訳ﾘｽﾄ(4～3月)'!M$26:M$1001)</f>
        <v>0</v>
      </c>
      <c r="K55" s="160">
        <f>SUMIF('内訳ﾘｽﾄ(4～3月)'!$D$26:$D$1001,$B55,'内訳ﾘｽﾄ(4～3月)'!N$26:N$1001)</f>
        <v>0</v>
      </c>
      <c r="L55" s="160">
        <f>SUMIF('内訳ﾘｽﾄ(4～3月)'!$D$26:$D$1001,$B55,'内訳ﾘｽﾄ(4～3月)'!O$26:O$1001)</f>
        <v>0</v>
      </c>
      <c r="M55" s="160">
        <f>SUMIF('内訳ﾘｽﾄ(4～3月)'!$D$26:$D$1001,$B55,'内訳ﾘｽﾄ(4～3月)'!P$26:P$1001)</f>
        <v>0</v>
      </c>
      <c r="N55" s="160">
        <f>SUMIF('内訳ﾘｽﾄ(4～3月)'!$D$26:$D$1001,$B55,'内訳ﾘｽﾄ(4～3月)'!Q$26:Q$1001)</f>
        <v>0</v>
      </c>
      <c r="O55" s="160">
        <f>SUMIF('内訳ﾘｽﾄ(4～3月)'!$D$26:$D$800,'採算表(VND)'!$B55,'内訳ﾘｽﾄ(4～3月)'!R$26:R$800)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SUMIF('内訳ﾘｽﾄ(4～3月)'!$D$26:$D$1001,$B56,'内訳ﾘｽﾄ(4～3月)'!F$26:F$1001)</f>
        <v>0</v>
      </c>
      <c r="D56" s="160">
        <f>SUMIF('内訳ﾘｽﾄ(4～3月)'!$D$26:$D$1001,$B56,'内訳ﾘｽﾄ(4～3月)'!G$26:G$1001)</f>
        <v>0</v>
      </c>
      <c r="E56" s="160">
        <f>SUMIF('内訳ﾘｽﾄ(4～3月)'!$D$26:$D$1001,$B56,'内訳ﾘｽﾄ(4～3月)'!H$26:H$1001)</f>
        <v>0</v>
      </c>
      <c r="F56" s="160">
        <f>SUMIF('内訳ﾘｽﾄ(4～3月)'!$D$26:$D$1001,$B56,'内訳ﾘｽﾄ(4～3月)'!I$26:I$1001)</f>
        <v>0</v>
      </c>
      <c r="G56" s="160">
        <f>SUMIF('内訳ﾘｽﾄ(4～3月)'!$D$26:$D$1001,$B56,'内訳ﾘｽﾄ(4～3月)'!J$26:J$1001)</f>
        <v>0</v>
      </c>
      <c r="H56" s="160">
        <f>SUMIF('内訳ﾘｽﾄ(4～3月)'!$D$26:$D$1001,$B56,'内訳ﾘｽﾄ(4～3月)'!K$26:K$1001)</f>
        <v>0</v>
      </c>
      <c r="I56" s="160">
        <f>SUMIF('内訳ﾘｽﾄ(4～3月)'!$D$26:$D$1001,$B56,'内訳ﾘｽﾄ(4～3月)'!L$26:L$1001)</f>
        <v>0</v>
      </c>
      <c r="J56" s="160">
        <f>SUMIF('内訳ﾘｽﾄ(4～3月)'!$D$26:$D$1001,$B56,'内訳ﾘｽﾄ(4～3月)'!M$26:M$1001)</f>
        <v>0</v>
      </c>
      <c r="K56" s="160">
        <f>SUMIF('内訳ﾘｽﾄ(4～3月)'!$D$26:$D$1001,$B56,'内訳ﾘｽﾄ(4～3月)'!N$26:N$1001)</f>
        <v>0</v>
      </c>
      <c r="L56" s="160">
        <f>SUMIF('内訳ﾘｽﾄ(4～3月)'!$D$26:$D$1001,$B56,'内訳ﾘｽﾄ(4～3月)'!O$26:O$1001)</f>
        <v>0</v>
      </c>
      <c r="M56" s="160">
        <f>SUMIF('内訳ﾘｽﾄ(4～3月)'!$D$26:$D$1001,$B56,'内訳ﾘｽﾄ(4～3月)'!P$26:P$1001)</f>
        <v>0</v>
      </c>
      <c r="N56" s="160">
        <f>SUMIF('内訳ﾘｽﾄ(4～3月)'!$D$26:$D$1001,$B56,'内訳ﾘｽﾄ(4～3月)'!Q$26:Q$1001)</f>
        <v>0</v>
      </c>
      <c r="O56" s="160">
        <f>SUMIF('内訳ﾘｽﾄ(4～3月)'!$D$26:$D$800,'採算表(VND)'!$B56,'内訳ﾘｽﾄ(4～3月)'!R$26:R$800)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SUMIF('内訳ﾘｽﾄ(4～3月)'!$D$26:$D$1001,$B57,'内訳ﾘｽﾄ(4～3月)'!F$26:F$1001)</f>
        <v>410866668</v>
      </c>
      <c r="D57" s="160">
        <f>SUMIF('内訳ﾘｽﾄ(4～3月)'!$D$26:$D$1001,$B57,'内訳ﾘｽﾄ(4～3月)'!G$26:G$1001)</f>
        <v>340208583</v>
      </c>
      <c r="E57" s="160">
        <f>SUMIF('内訳ﾘｽﾄ(4～3月)'!$D$26:$D$1001,$B57,'内訳ﾘｽﾄ(4～3月)'!H$26:H$1001)</f>
        <v>343137827</v>
      </c>
      <c r="F57" s="160">
        <f>SUMIF('内訳ﾘｽﾄ(4～3月)'!$D$26:$D$1001,$B57,'内訳ﾘｽﾄ(4～3月)'!I$26:I$1001)</f>
        <v>349802195</v>
      </c>
      <c r="G57" s="160">
        <f>SUMIF('内訳ﾘｽﾄ(4～3月)'!$D$26:$D$1001,$B57,'内訳ﾘｽﾄ(4～3月)'!J$26:J$1001)</f>
        <v>418998069</v>
      </c>
      <c r="H57" s="160">
        <f>SUMIF('内訳ﾘｽﾄ(4～3月)'!$D$26:$D$1001,$B57,'内訳ﾘｽﾄ(4～3月)'!K$26:K$1001)</f>
        <v>488902934</v>
      </c>
      <c r="I57" s="160">
        <f>SUMIF('内訳ﾘｽﾄ(4～3月)'!$D$26:$D$1001,$B57,'内訳ﾘｽﾄ(4～3月)'!L$26:L$1001)</f>
        <v>559687056</v>
      </c>
      <c r="J57" s="160">
        <f>SUMIF('内訳ﾘｽﾄ(4～3月)'!$D$26:$D$1001,$B57,'内訳ﾘｽﾄ(4～3月)'!M$26:M$1001)</f>
        <v>644420290</v>
      </c>
      <c r="K57" s="160">
        <f>SUMIF('内訳ﾘｽﾄ(4～3月)'!$D$26:$D$1001,$B57,'内訳ﾘｽﾄ(4～3月)'!N$26:N$1001)</f>
        <v>730467710</v>
      </c>
      <c r="L57" s="160">
        <f>SUMIF('内訳ﾘｽﾄ(4～3月)'!$D$26:$D$1001,$B57,'内訳ﾘｽﾄ(4～3月)'!O$26:O$1001)</f>
        <v>816144691</v>
      </c>
      <c r="M57" s="160">
        <f>SUMIF('内訳ﾘｽﾄ(4～3月)'!$D$26:$D$1001,$B57,'内訳ﾘｽﾄ(4～3月)'!P$26:P$1001)</f>
        <v>893924011</v>
      </c>
      <c r="N57" s="160">
        <f>SUMIF('内訳ﾘｽﾄ(4～3月)'!$D$26:$D$1001,$B57,'内訳ﾘｽﾄ(4～3月)'!Q$26:Q$1001)</f>
        <v>969932633</v>
      </c>
      <c r="O57" s="160">
        <f>SUMIF('内訳ﾘｽﾄ(4～3月)'!$D$26:$D$800,'採算表(VND)'!$B57,'内訳ﾘｽﾄ(4～3月)'!R$26:R$800)</f>
        <v>6966492667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SUMIF('内訳ﾘｽﾄ(4～3月)'!$D$26:$D$1001,$B58,'内訳ﾘｽﾄ(4～3月)'!F$26:F$1001)</f>
        <v>750226767</v>
      </c>
      <c r="D58" s="160">
        <f>SUMIF('内訳ﾘｽﾄ(4～3月)'!$D$26:$D$1001,$B58,'内訳ﾘｽﾄ(4～3月)'!G$26:G$1001)</f>
        <v>707072400</v>
      </c>
      <c r="E58" s="160">
        <f>SUMIF('内訳ﾘｽﾄ(4～3月)'!$D$26:$D$1001,$B58,'内訳ﾘｽﾄ(4～3月)'!H$26:H$1001)</f>
        <v>751244398</v>
      </c>
      <c r="F58" s="160">
        <f>SUMIF('内訳ﾘｽﾄ(4～3月)'!$D$26:$D$1001,$B58,'内訳ﾘｽﾄ(4～3月)'!I$26:I$1001)</f>
        <v>950375376</v>
      </c>
      <c r="G58" s="160">
        <f>SUMIF('内訳ﾘｽﾄ(4～3月)'!$D$26:$D$1001,$B58,'内訳ﾘｽﾄ(4～3月)'!J$26:J$1001)</f>
        <v>868560417</v>
      </c>
      <c r="H58" s="160">
        <f>SUMIF('内訳ﾘｽﾄ(4～3月)'!$D$26:$D$1001,$B58,'内訳ﾘｽﾄ(4～3月)'!K$26:K$1001)</f>
        <v>813852076</v>
      </c>
      <c r="I58" s="160">
        <f>SUMIF('内訳ﾘｽﾄ(4～3月)'!$D$26:$D$1001,$B58,'内訳ﾘｽﾄ(4～3月)'!L$26:L$1001)</f>
        <v>986115355</v>
      </c>
      <c r="J58" s="160">
        <f>SUMIF('内訳ﾘｽﾄ(4～3月)'!$D$26:$D$1001,$B58,'内訳ﾘｽﾄ(4～3月)'!M$26:M$1001)</f>
        <v>918416729</v>
      </c>
      <c r="K58" s="160">
        <f>SUMIF('内訳ﾘｽﾄ(4～3月)'!$D$26:$D$1001,$B58,'内訳ﾘｽﾄ(4～3月)'!N$26:N$1001)</f>
        <v>992573556</v>
      </c>
      <c r="L58" s="160">
        <f>SUMIF('内訳ﾘｽﾄ(4～3月)'!$D$26:$D$1001,$B58,'内訳ﾘｽﾄ(4～3月)'!O$26:O$1001)</f>
        <v>973849446</v>
      </c>
      <c r="M58" s="160">
        <f>SUMIF('内訳ﾘｽﾄ(4～3月)'!$D$26:$D$1001,$B58,'内訳ﾘｽﾄ(4～3月)'!P$26:P$1001)</f>
        <v>804601483</v>
      </c>
      <c r="N58" s="160">
        <f>SUMIF('内訳ﾘｽﾄ(4～3月)'!$D$26:$D$1001,$B58,'内訳ﾘｽﾄ(4～3月)'!Q$26:Q$1001)</f>
        <v>927702613</v>
      </c>
      <c r="O58" s="160">
        <f>SUMIF('内訳ﾘｽﾄ(4～3月)'!$D$26:$D$800,'採算表(VND)'!$B58,'内訳ﾘｽﾄ(4～3月)'!R$26:R$800)</f>
        <v>10444590616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SUMIF('内訳ﾘｽﾄ(4～3月)'!$D$26:$D$1001,$B59,'内訳ﾘｽﾄ(4～3月)'!F$26:F$1001)</f>
        <v>0</v>
      </c>
      <c r="D59" s="160">
        <f>SUMIF('内訳ﾘｽﾄ(4～3月)'!$D$26:$D$1001,$B59,'内訳ﾘｽﾄ(4～3月)'!G$26:G$1001)</f>
        <v>0</v>
      </c>
      <c r="E59" s="160">
        <f>SUMIF('内訳ﾘｽﾄ(4～3月)'!$D$26:$D$1001,$B59,'内訳ﾘｽﾄ(4～3月)'!H$26:H$1001)</f>
        <v>0</v>
      </c>
      <c r="F59" s="160">
        <f>SUMIF('内訳ﾘｽﾄ(4～3月)'!$D$26:$D$1001,$B59,'内訳ﾘｽﾄ(4～3月)'!I$26:I$1001)</f>
        <v>0</v>
      </c>
      <c r="G59" s="160">
        <f>SUMIF('内訳ﾘｽﾄ(4～3月)'!$D$26:$D$1001,$B59,'内訳ﾘｽﾄ(4～3月)'!J$26:J$1001)</f>
        <v>0</v>
      </c>
      <c r="H59" s="160">
        <f>SUMIF('内訳ﾘｽﾄ(4～3月)'!$D$26:$D$1001,$B59,'内訳ﾘｽﾄ(4～3月)'!K$26:K$1001)</f>
        <v>0</v>
      </c>
      <c r="I59" s="160">
        <f>SUMIF('内訳ﾘｽﾄ(4～3月)'!$D$26:$D$1001,$B59,'内訳ﾘｽﾄ(4～3月)'!L$26:L$1001)</f>
        <v>0</v>
      </c>
      <c r="J59" s="160">
        <f>SUMIF('内訳ﾘｽﾄ(4～3月)'!$D$26:$D$1001,$B59,'内訳ﾘｽﾄ(4～3月)'!M$26:M$1001)</f>
        <v>0</v>
      </c>
      <c r="K59" s="160">
        <f>SUMIF('内訳ﾘｽﾄ(4～3月)'!$D$26:$D$1001,$B59,'内訳ﾘｽﾄ(4～3月)'!N$26:N$1001)</f>
        <v>0</v>
      </c>
      <c r="L59" s="160">
        <f>SUMIF('内訳ﾘｽﾄ(4～3月)'!$D$26:$D$1001,$B59,'内訳ﾘｽﾄ(4～3月)'!O$26:O$1001)</f>
        <v>0</v>
      </c>
      <c r="M59" s="160">
        <f>SUMIF('内訳ﾘｽﾄ(4～3月)'!$D$26:$D$1001,$B59,'内訳ﾘｽﾄ(4～3月)'!P$26:P$1001)</f>
        <v>0</v>
      </c>
      <c r="N59" s="160">
        <f>SUMIF('内訳ﾘｽﾄ(4～3月)'!$D$26:$D$1001,$B59,'内訳ﾘｽﾄ(4～3月)'!Q$26:Q$1001)</f>
        <v>0</v>
      </c>
      <c r="O59" s="160">
        <f>SUMIF('内訳ﾘｽﾄ(4～3月)'!$D$26:$D$800,'採算表(VND)'!$B59,'内訳ﾘｽﾄ(4～3月)'!R$26:R$800)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SUMIF('内訳ﾘｽﾄ(4～3月)'!$D$26:$D$1001,$B60,'内訳ﾘｽﾄ(4～3月)'!F$26:F$1001)</f>
        <v>0</v>
      </c>
      <c r="D60" s="160">
        <f>SUMIF('内訳ﾘｽﾄ(4～3月)'!$D$26:$D$1001,$B60,'内訳ﾘｽﾄ(4～3月)'!G$26:G$1001)</f>
        <v>0</v>
      </c>
      <c r="E60" s="160">
        <f>SUMIF('内訳ﾘｽﾄ(4～3月)'!$D$26:$D$1001,$B60,'内訳ﾘｽﾄ(4～3月)'!H$26:H$1001)</f>
        <v>0</v>
      </c>
      <c r="F60" s="160">
        <f>SUMIF('内訳ﾘｽﾄ(4～3月)'!$D$26:$D$1001,$B60,'内訳ﾘｽﾄ(4～3月)'!I$26:I$1001)</f>
        <v>0</v>
      </c>
      <c r="G60" s="160">
        <f>SUMIF('内訳ﾘｽﾄ(4～3月)'!$D$26:$D$1001,$B60,'内訳ﾘｽﾄ(4～3月)'!J$26:J$1001)</f>
        <v>0</v>
      </c>
      <c r="H60" s="160">
        <f>SUMIF('内訳ﾘｽﾄ(4～3月)'!$D$26:$D$1001,$B60,'内訳ﾘｽﾄ(4～3月)'!K$26:K$1001)</f>
        <v>0</v>
      </c>
      <c r="I60" s="160">
        <f>SUMIF('内訳ﾘｽﾄ(4～3月)'!$D$26:$D$1001,$B60,'内訳ﾘｽﾄ(4～3月)'!L$26:L$1001)</f>
        <v>0</v>
      </c>
      <c r="J60" s="160">
        <f>SUMIF('内訳ﾘｽﾄ(4～3月)'!$D$26:$D$1001,$B60,'内訳ﾘｽﾄ(4～3月)'!M$26:M$1001)</f>
        <v>0</v>
      </c>
      <c r="K60" s="160">
        <f>SUMIF('内訳ﾘｽﾄ(4～3月)'!$D$26:$D$1001,$B60,'内訳ﾘｽﾄ(4～3月)'!N$26:N$1001)</f>
        <v>0</v>
      </c>
      <c r="L60" s="160">
        <f>SUMIF('内訳ﾘｽﾄ(4～3月)'!$D$26:$D$1001,$B60,'内訳ﾘｽﾄ(4～3月)'!O$26:O$1001)</f>
        <v>0</v>
      </c>
      <c r="M60" s="160">
        <f>SUMIF('内訳ﾘｽﾄ(4～3月)'!$D$26:$D$1001,$B60,'内訳ﾘｽﾄ(4～3月)'!P$26:P$1001)</f>
        <v>0</v>
      </c>
      <c r="N60" s="160">
        <f>SUMIF('内訳ﾘｽﾄ(4～3月)'!$D$26:$D$1001,$B60,'内訳ﾘｽﾄ(4～3月)'!Q$26:Q$1001)</f>
        <v>0</v>
      </c>
      <c r="O60" s="160">
        <f>SUMIF('内訳ﾘｽﾄ(4～3月)'!$D$26:$D$800,'採算表(VND)'!$B60,'内訳ﾘｽﾄ(4～3月)'!R$26:R$800)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IF('内訳ﾘｽﾄ(4～3月)'!$D$5="製造",SUMIF('内訳ﾘｽﾄ(4～3月)'!$D$26:$D$1001,$B61,'内訳ﾘｽﾄ(4～3月)'!F$26:F$1001),IF('内訳ﾘｽﾄ(4～3月)'!$D$5="部内間接",-SUM(C$14:C$60,C$65),0))</f>
        <v>2391224550</v>
      </c>
      <c r="D61" s="160">
        <f>IF('内訳ﾘｽﾄ(4～3月)'!$D$5="製造",SUMIF('内訳ﾘｽﾄ(4～3月)'!$D$26:$D$1001,$B61,'内訳ﾘｽﾄ(4～3月)'!G$26:G$1001),IF('内訳ﾘｽﾄ(4～3月)'!$D$5="部内間接",-SUM(D$14:D$60,D$65),0))</f>
        <v>2251891005</v>
      </c>
      <c r="E61" s="160">
        <f>IF('内訳ﾘｽﾄ(4～3月)'!$D$5="製造",SUMIF('内訳ﾘｽﾄ(4～3月)'!$D$26:$D$1001,$B61,'内訳ﾘｽﾄ(4～3月)'!H$26:H$1001),IF('内訳ﾘｽﾄ(4～3月)'!$D$5="部内間接",-SUM(E$14:E$60,E$65),0))</f>
        <v>2032123727</v>
      </c>
      <c r="F61" s="160">
        <f>IF('内訳ﾘｽﾄ(4～3月)'!$D$5="製造",SUMIF('内訳ﾘｽﾄ(4～3月)'!$D$26:$D$1001,$B61,'内訳ﾘｽﾄ(4～3月)'!I$26:I$1001),IF('内訳ﾘｽﾄ(4～3月)'!$D$5="部内間接",-SUM(F$14:F$60,F$65),0))</f>
        <v>1682357899</v>
      </c>
      <c r="G61" s="160">
        <f>IF('内訳ﾘｽﾄ(4～3月)'!$D$5="製造",SUMIF('内訳ﾘｽﾄ(4～3月)'!$D$26:$D$1001,$B61,'内訳ﾘｽﾄ(4～3月)'!J$26:J$1001),IF('内訳ﾘｽﾄ(4～3月)'!$D$5="部内間接",-SUM(G$14:G$60,G$65),0))</f>
        <v>1695788637</v>
      </c>
      <c r="H61" s="160">
        <f>IF('内訳ﾘｽﾄ(4～3月)'!$D$5="製造",SUMIF('内訳ﾘｽﾄ(4～3月)'!$D$26:$D$1001,$B61,'内訳ﾘｽﾄ(4～3月)'!K$26:K$1001),IF('内訳ﾘｽﾄ(4～3月)'!$D$5="部内間接",-SUM(H$14:H$60,H$65),0))</f>
        <v>1671729744</v>
      </c>
      <c r="I61" s="160">
        <f>IF('内訳ﾘｽﾄ(4～3月)'!$D$5="製造",SUMIF('内訳ﾘｽﾄ(4～3月)'!$D$26:$D$1001,$B61,'内訳ﾘｽﾄ(4～3月)'!L$26:L$1001),IF('内訳ﾘｽﾄ(4～3月)'!$D$5="部内間接",-SUM(I$14:I$60,I$65),0))</f>
        <v>2022696113</v>
      </c>
      <c r="J61" s="160">
        <f>IF('内訳ﾘｽﾄ(4～3月)'!$D$5="製造",SUMIF('内訳ﾘｽﾄ(4～3月)'!$D$26:$D$1001,$B61,'内訳ﾘｽﾄ(4～3月)'!M$26:M$1001),IF('内訳ﾘｽﾄ(4～3月)'!$D$5="部内間接",-SUM(J$14:J$60,J$65),0))</f>
        <v>1894785757</v>
      </c>
      <c r="K61" s="160">
        <f>IF('内訳ﾘｽﾄ(4～3月)'!$D$5="製造",SUMIF('内訳ﾘｽﾄ(4～3月)'!$D$26:$D$1001,$B61,'内訳ﾘｽﾄ(4～3月)'!N$26:N$1001),IF('内訳ﾘｽﾄ(4～3月)'!$D$5="部内間接",-SUM(K$14:K$60,K$65),0))</f>
        <v>1940125257</v>
      </c>
      <c r="L61" s="160">
        <f>IF('内訳ﾘｽﾄ(4～3月)'!$D$5="製造",SUMIF('内訳ﾘｽﾄ(4～3月)'!$D$26:$D$1001,$B61,'内訳ﾘｽﾄ(4～3月)'!O$26:O$1001),IF('内訳ﾘｽﾄ(4～3月)'!$D$5="部内間接",-SUM(L$14:L$60,L$65),0))</f>
        <v>1942634616</v>
      </c>
      <c r="M61" s="160">
        <f>IF('内訳ﾘｽﾄ(4～3月)'!$D$5="製造",SUMIF('内訳ﾘｽﾄ(4～3月)'!$D$26:$D$1001,$B61,'内訳ﾘｽﾄ(4～3月)'!P$26:P$1001),IF('内訳ﾘｽﾄ(4～3月)'!$D$5="部内間接",-SUM(M$14:M$60,M$65),0))</f>
        <v>2042058348</v>
      </c>
      <c r="N61" s="160">
        <f>IF('内訳ﾘｽﾄ(4～3月)'!$D$5="製造",SUMIF('内訳ﾘｽﾄ(4～3月)'!$D$26:$D$1001,$B61,'内訳ﾘｽﾄ(4～3月)'!Q$26:Q$1001),IF('内訳ﾘｽﾄ(4～3月)'!$D$5="部内間接",-SUM(N$14:N$60,N$65),0))</f>
        <v>1972295813</v>
      </c>
      <c r="O61" s="160">
        <f>IF('内訳ﾘｽﾄ(4～3月)'!$D$5="部内間接",-SUM(O$65,O$14:O$60),IF('内訳ﾘｽﾄ(4～3月)'!$D$5="製造",SUMIF('内訳ﾘｽﾄ(4～3月)'!$D$26:$D$800,'採算表(VND)'!$B61,'内訳ﾘｽﾄ(4～3月)'!R$26:R$800),0))</f>
        <v>23539711466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676</v>
      </c>
      <c r="C62" s="160">
        <f>IF('内訳ﾘｽﾄ(4～3月)'!$D$5="製造",SUMIF('内訳ﾘｽﾄ(4～3月)'!$D$26:$D$1001,$B62,'内訳ﾘｽﾄ(4～3月)'!F$26:F$1001),IF('内訳ﾘｽﾄ(4～3月)'!$D$5="部外間接1",-SUM(C$14:C$60,C$65),0))</f>
        <v>273346677</v>
      </c>
      <c r="D62" s="160">
        <f>IF('内訳ﾘｽﾄ(4～3月)'!$D$5="製造",SUMIF('内訳ﾘｽﾄ(4～3月)'!$D$26:$D$1001,$B62,'内訳ﾘｽﾄ(4～3月)'!G$26:G$1001),IF('内訳ﾘｽﾄ(4～3月)'!$D$5="部外間接1",-SUM(D$14:D$60,D$65),0))</f>
        <v>261230102</v>
      </c>
      <c r="E62" s="160">
        <f>IF('内訳ﾘｽﾄ(4～3月)'!$D$5="製造",SUMIF('内訳ﾘｽﾄ(4～3月)'!$D$26:$D$1001,$B62,'内訳ﾘｽﾄ(4～3月)'!H$26:H$1001),IF('内訳ﾘｽﾄ(4～3月)'!$D$5="部外間接1",-SUM(E$14:E$60,E$65),0))</f>
        <v>237740880</v>
      </c>
      <c r="F62" s="160">
        <f>IF('内訳ﾘｽﾄ(4～3月)'!$D$5="製造",SUMIF('内訳ﾘｽﾄ(4～3月)'!$D$26:$D$1001,$B62,'内訳ﾘｽﾄ(4～3月)'!I$26:I$1001),IF('内訳ﾘｽﾄ(4～3月)'!$D$5="部外間接1",-SUM(F$14:F$60,F$65),0))</f>
        <v>259811675</v>
      </c>
      <c r="G62" s="160">
        <f>IF('内訳ﾘｽﾄ(4～3月)'!$D$5="製造",SUMIF('内訳ﾘｽﾄ(4～3月)'!$D$26:$D$1001,$B62,'内訳ﾘｽﾄ(4～3月)'!J$26:J$1001),IF('内訳ﾘｽﾄ(4～3月)'!$D$5="部外間接1",-SUM(G$14:G$60,G$65),0))</f>
        <v>231309520</v>
      </c>
      <c r="H62" s="160">
        <f>IF('内訳ﾘｽﾄ(4～3月)'!$D$5="製造",SUMIF('内訳ﾘｽﾄ(4～3月)'!$D$26:$D$1001,$B62,'内訳ﾘｽﾄ(4～3月)'!K$26:K$1001),IF('内訳ﾘｽﾄ(4～3月)'!$D$5="部外間接1",-SUM(H$14:H$60,H$65),0))</f>
        <v>166442245</v>
      </c>
      <c r="I62" s="160">
        <f>IF('内訳ﾘｽﾄ(4～3月)'!$D$5="製造",SUMIF('内訳ﾘｽﾄ(4～3月)'!$D$26:$D$1001,$B62,'内訳ﾘｽﾄ(4～3月)'!L$26:L$1001),IF('内訳ﾘｽﾄ(4～3月)'!$D$5="部外間接1",-SUM(I$14:I$60,I$65),0))</f>
        <v>202301323</v>
      </c>
      <c r="J62" s="160">
        <f>IF('内訳ﾘｽﾄ(4～3月)'!$D$5="製造",SUMIF('内訳ﾘｽﾄ(4～3月)'!$D$26:$D$1001,$B62,'内訳ﾘｽﾄ(4～3月)'!M$26:M$1001),IF('内訳ﾘｽﾄ(4～3月)'!$D$5="部外間接1",-SUM(J$14:J$60,J$65),0))</f>
        <v>193790004</v>
      </c>
      <c r="K62" s="160">
        <f>IF('内訳ﾘｽﾄ(4～3月)'!$D$5="製造",SUMIF('内訳ﾘｽﾄ(4～3月)'!$D$26:$D$1001,$B62,'内訳ﾘｽﾄ(4～3月)'!N$26:N$1001),IF('内訳ﾘｽﾄ(4～3月)'!$D$5="部外間接1",-SUM(K$14:K$60,K$65),0))</f>
        <v>174437875</v>
      </c>
      <c r="L62" s="160">
        <f>IF('内訳ﾘｽﾄ(4～3月)'!$D$5="製造",SUMIF('内訳ﾘｽﾄ(4～3月)'!$D$26:$D$1001,$B62,'内訳ﾘｽﾄ(4～3月)'!O$26:O$1001),IF('内訳ﾘｽﾄ(4～3月)'!$D$5="部外間接1",-SUM(L$14:L$60,L$65),0))</f>
        <v>175624148</v>
      </c>
      <c r="M62" s="160">
        <f>IF('内訳ﾘｽﾄ(4～3月)'!$D$5="製造",SUMIF('内訳ﾘｽﾄ(4～3月)'!$D$26:$D$1001,$B62,'内訳ﾘｽﾄ(4～3月)'!P$26:P$1001),IF('内訳ﾘｽﾄ(4～3月)'!$D$5="部外間接1",-SUM(M$14:M$60,M$65),0))</f>
        <v>198832764</v>
      </c>
      <c r="N62" s="160">
        <f>IF('内訳ﾘｽﾄ(4～3月)'!$D$5="製造",SUMIF('内訳ﾘｽﾄ(4～3月)'!$D$26:$D$1001,$B62,'内訳ﾘｽﾄ(4～3月)'!Q$26:Q$1001),IF('内訳ﾘｽﾄ(4～3月)'!$D$5="部外間接1",-SUM(N$14:N$60,N$65),0))</f>
        <v>188584183</v>
      </c>
      <c r="O62" s="160">
        <f>IF('内訳ﾘｽﾄ(4～3月)'!$D$5="部外間接1",-SUM(O$65,O$14:O$60),IF('内訳ﾘｽﾄ(4～3月)'!$D$5="製造",SUMIF('内訳ﾘｽﾄ(4～3月)'!$D$26:$D$800,'採算表(VND)'!$B62,'内訳ﾘｽﾄ(4～3月)'!R$26:R$800),0))</f>
        <v>2563451396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677</v>
      </c>
      <c r="C63" s="160">
        <f>IF('内訳ﾘｽﾄ(4～3月)'!$D$5="製造",SUMIF('内訳ﾘｽﾄ(4～3月)'!$D$26:$D$1001,$B63,'内訳ﾘｽﾄ(4～3月)'!F$26:F$1001),IF('内訳ﾘｽﾄ(4～3月)'!$D$5="部外間接2",-SUM(C$14:C$60,C$65),0))</f>
        <v>471388623</v>
      </c>
      <c r="D63" s="160">
        <f>IF('内訳ﾘｽﾄ(4～3月)'!$D$5="製造",SUMIF('内訳ﾘｽﾄ(4～3月)'!$D$26:$D$1001,$B63,'内訳ﾘｽﾄ(4～3月)'!G$26:G$1001),IF('内訳ﾘｽﾄ(4～3月)'!$D$5="部外間接2",-SUM(D$14:D$60,D$65),0))</f>
        <v>249615150</v>
      </c>
      <c r="E63" s="160">
        <f>IF('内訳ﾘｽﾄ(4～3月)'!$D$5="製造",SUMIF('内訳ﾘｽﾄ(4～3月)'!$D$26:$D$1001,$B63,'内訳ﾘｽﾄ(4～3月)'!H$26:H$1001),IF('内訳ﾘｽﾄ(4～3月)'!$D$5="部外間接2",-SUM(E$14:E$60,E$65),0))</f>
        <v>212234637</v>
      </c>
      <c r="F63" s="160">
        <f>IF('内訳ﾘｽﾄ(4～3月)'!$D$5="製造",SUMIF('内訳ﾘｽﾄ(4～3月)'!$D$26:$D$1001,$B63,'内訳ﾘｽﾄ(4～3月)'!I$26:I$1001),IF('内訳ﾘｽﾄ(4～3月)'!$D$5="部外間接2",-SUM(F$14:F$60,F$65),0))</f>
        <v>188061288</v>
      </c>
      <c r="G63" s="160">
        <f>IF('内訳ﾘｽﾄ(4～3月)'!$D$5="製造",SUMIF('内訳ﾘｽﾄ(4～3月)'!$D$26:$D$1001,$B63,'内訳ﾘｽﾄ(4～3月)'!J$26:J$1001),IF('内訳ﾘｽﾄ(4～3月)'!$D$5="部外間接2",-SUM(G$14:G$60,G$65),0))</f>
        <v>188003911</v>
      </c>
      <c r="H63" s="160">
        <f>IF('内訳ﾘｽﾄ(4～3月)'!$D$5="製造",SUMIF('内訳ﾘｽﾄ(4～3月)'!$D$26:$D$1001,$B63,'内訳ﾘｽﾄ(4～3月)'!K$26:K$1001),IF('内訳ﾘｽﾄ(4～3月)'!$D$5="部外間接2",-SUM(H$14:H$60,H$65),0))</f>
        <v>150232603</v>
      </c>
      <c r="I63" s="160">
        <f>IF('内訳ﾘｽﾄ(4～3月)'!$D$5="製造",SUMIF('内訳ﾘｽﾄ(4～3月)'!$D$26:$D$1001,$B63,'内訳ﾘｽﾄ(4～3月)'!L$26:L$1001),IF('内訳ﾘｽﾄ(4～3月)'!$D$5="部外間接2",-SUM(I$14:I$60,I$65),0))</f>
        <v>478611031</v>
      </c>
      <c r="J63" s="160">
        <f>IF('内訳ﾘｽﾄ(4～3月)'!$D$5="製造",SUMIF('内訳ﾘｽﾄ(4～3月)'!$D$26:$D$1001,$B63,'内訳ﾘｽﾄ(4～3月)'!M$26:M$1001),IF('内訳ﾘｽﾄ(4～3月)'!$D$5="部外間接2",-SUM(J$14:J$60,J$65),0))</f>
        <v>214559836</v>
      </c>
      <c r="K63" s="160">
        <f>IF('内訳ﾘｽﾄ(4～3月)'!$D$5="製造",SUMIF('内訳ﾘｽﾄ(4～3月)'!$D$26:$D$1001,$B63,'内訳ﾘｽﾄ(4～3月)'!N$26:N$1001),IF('内訳ﾘｽﾄ(4～3月)'!$D$5="部外間接2",-SUM(K$14:K$60,K$65),0))</f>
        <v>230774834</v>
      </c>
      <c r="L63" s="160">
        <f>IF('内訳ﾘｽﾄ(4～3月)'!$D$5="製造",SUMIF('内訳ﾘｽﾄ(4～3月)'!$D$26:$D$1001,$B63,'内訳ﾘｽﾄ(4～3月)'!O$26:O$1001),IF('内訳ﾘｽﾄ(4～3月)'!$D$5="部外間接2",-SUM(L$14:L$60,L$65),0))</f>
        <v>188291083</v>
      </c>
      <c r="M63" s="160">
        <f>IF('内訳ﾘｽﾄ(4～3月)'!$D$5="製造",SUMIF('内訳ﾘｽﾄ(4～3月)'!$D$26:$D$1001,$B63,'内訳ﾘｽﾄ(4～3月)'!P$26:P$1001),IF('内訳ﾘｽﾄ(4～3月)'!$D$5="部外間接2",-SUM(M$14:M$60,M$65),0))</f>
        <v>226073116</v>
      </c>
      <c r="N63" s="160">
        <f>IF('内訳ﾘｽﾄ(4～3月)'!$D$5="製造",SUMIF('内訳ﾘｽﾄ(4～3月)'!$D$26:$D$1001,$B63,'内訳ﾘｽﾄ(4～3月)'!Q$26:Q$1001),IF('内訳ﾘｽﾄ(4～3月)'!$D$5="部外間接2",-SUM(N$14:N$60,N$65),0))</f>
        <v>178970711</v>
      </c>
      <c r="O63" s="160">
        <f>IF('内訳ﾘｽﾄ(4～3月)'!$D$5="部外間接2",-SUM(O$65,O$14:O$60),IF('内訳ﾘｽﾄ(4～3月)'!$D$5="製造",SUMIF('内訳ﾘｽﾄ(4～3月)'!$D$26:$D$800,'採算表(VND)'!$B63,'内訳ﾘｽﾄ(4～3月)'!R$26:R$800),0))</f>
        <v>2976816823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IF('内訳ﾘｽﾄ(4～3月)'!$D$5="製造",SUMIF('内訳ﾘｽﾄ(4～3月)'!$D$26:$D$1001,$B64,'内訳ﾘｽﾄ(4～3月)'!F$26:F$1001),IF('内訳ﾘｽﾄ(4～3月)'!$D$5="工場間接",-SUM(C$14:C$60,C$65),0))</f>
        <v>3695270762</v>
      </c>
      <c r="D64" s="160">
        <f>IF('内訳ﾘｽﾄ(4～3月)'!$D$5="製造",SUMIF('内訳ﾘｽﾄ(4～3月)'!$D$26:$D$1001,$B64,'内訳ﾘｽﾄ(4～3月)'!G$26:G$1001),IF('内訳ﾘｽﾄ(4～3月)'!$D$5="工場間接",-SUM(D$14:D$60,D$65),0))</f>
        <v>4721069945</v>
      </c>
      <c r="E64" s="160">
        <f>IF('内訳ﾘｽﾄ(4～3月)'!$D$5="製造",SUMIF('内訳ﾘｽﾄ(4～3月)'!$D$26:$D$1001,$B64,'内訳ﾘｽﾄ(4～3月)'!H$26:H$1001),IF('内訳ﾘｽﾄ(4～3月)'!$D$5="工場間接",-SUM(E$14:E$60,E$65),0))</f>
        <v>3495260390</v>
      </c>
      <c r="F64" s="160">
        <f>IF('内訳ﾘｽﾄ(4～3月)'!$D$5="製造",SUMIF('内訳ﾘｽﾄ(4～3月)'!$D$26:$D$1001,$B64,'内訳ﾘｽﾄ(4～3月)'!I$26:I$1001),IF('内訳ﾘｽﾄ(4～3月)'!$D$5="工場間接",-SUM(F$14:F$60,F$65),0))</f>
        <v>4779302290</v>
      </c>
      <c r="G64" s="160">
        <f>IF('内訳ﾘｽﾄ(4～3月)'!$D$5="製造",SUMIF('内訳ﾘｽﾄ(4～3月)'!$D$26:$D$1001,$B64,'内訳ﾘｽﾄ(4～3月)'!J$26:J$1001),IF('内訳ﾘｽﾄ(4～3月)'!$D$5="工場間接",-SUM(G$14:G$60,G$65),0))</f>
        <v>2662892889</v>
      </c>
      <c r="H64" s="160">
        <f>IF('内訳ﾘｽﾄ(4～3月)'!$D$5="製造",SUMIF('内訳ﾘｽﾄ(4～3月)'!$D$26:$D$1001,$B64,'内訳ﾘｽﾄ(4～3月)'!K$26:K$1001),IF('内訳ﾘｽﾄ(4～3月)'!$D$5="工場間接",-SUM(H$14:H$60,H$65),0))</f>
        <v>2602813838</v>
      </c>
      <c r="I64" s="160">
        <f>IF('内訳ﾘｽﾄ(4～3月)'!$D$5="製造",SUMIF('内訳ﾘｽﾄ(4～3月)'!$D$26:$D$1001,$B64,'内訳ﾘｽﾄ(4～3月)'!L$26:L$1001),IF('内訳ﾘｽﾄ(4～3月)'!$D$5="工場間接",-SUM(I$14:I$60,I$65),0))</f>
        <v>3727523829</v>
      </c>
      <c r="J64" s="160">
        <f>IF('内訳ﾘｽﾄ(4～3月)'!$D$5="製造",SUMIF('内訳ﾘｽﾄ(4～3月)'!$D$26:$D$1001,$B64,'内訳ﾘｽﾄ(4～3月)'!M$26:M$1001),IF('内訳ﾘｽﾄ(4～3月)'!$D$5="工場間接",-SUM(J$14:J$60,J$65),0))</f>
        <v>3140338187</v>
      </c>
      <c r="K64" s="160">
        <f>IF('内訳ﾘｽﾄ(4～3月)'!$D$5="製造",SUMIF('内訳ﾘｽﾄ(4～3月)'!$D$26:$D$1001,$B64,'内訳ﾘｽﾄ(4～3月)'!N$26:N$1001),IF('内訳ﾘｽﾄ(4～3月)'!$D$5="工場間接",-SUM(K$14:K$60,K$65),0))</f>
        <v>3105849124</v>
      </c>
      <c r="L64" s="160">
        <f>IF('内訳ﾘｽﾄ(4～3月)'!$D$5="製造",SUMIF('内訳ﾘｽﾄ(4～3月)'!$D$26:$D$1001,$B64,'内訳ﾘｽﾄ(4～3月)'!O$26:O$1001),IF('内訳ﾘｽﾄ(4～3月)'!$D$5="工場間接",-SUM(L$14:L$60,L$65),0))</f>
        <v>4214580594</v>
      </c>
      <c r="M64" s="160">
        <f>IF('内訳ﾘｽﾄ(4～3月)'!$D$5="製造",SUMIF('内訳ﾘｽﾄ(4～3月)'!$D$26:$D$1001,$B64,'内訳ﾘｽﾄ(4～3月)'!P$26:P$1001),IF('内訳ﾘｽﾄ(4～3月)'!$D$5="工場間接",-SUM(M$14:M$60,M$65),0))</f>
        <v>2910391804</v>
      </c>
      <c r="N64" s="160">
        <f>IF('内訳ﾘｽﾄ(4～3月)'!$D$5="製造",SUMIF('内訳ﾘｽﾄ(4～3月)'!$D$26:$D$1001,$B64,'内訳ﾘｽﾄ(4～3月)'!Q$26:Q$1001),IF('内訳ﾘｽﾄ(4～3月)'!$D$5="工場間接",-SUM(N$14:N$60,N$65),0))</f>
        <v>3003501720</v>
      </c>
      <c r="O64" s="160">
        <f>IF('内訳ﾘｽﾄ(4～3月)'!$D$5="工場間接",-SUM(O$65,O$14:O$60),IF('内訳ﾘｽﾄ(4～3月)'!$D$5="製造",SUMIF('内訳ﾘｽﾄ(4～3月)'!$D$26:$D$800,'採算表(VND)'!$B64,'内訳ﾘｽﾄ(4～3月)'!R$26:R$800),0))</f>
        <v>42058795372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SUMIF('内訳ﾘｽﾄ(4～3月)'!$D$26:$D$1001,$B65,'内訳ﾘｽﾄ(4～3月)'!F$26:F$1001)</f>
        <v>0</v>
      </c>
      <c r="D65" s="158">
        <f>SUMIF('内訳ﾘｽﾄ(4～3月)'!$D$26:$D$1001,$B65,'内訳ﾘｽﾄ(4～3月)'!G$26:G$1001)</f>
        <v>0</v>
      </c>
      <c r="E65" s="158">
        <f>SUMIF('内訳ﾘｽﾄ(4～3月)'!$D$26:$D$1001,$B65,'内訳ﾘｽﾄ(4～3月)'!H$26:H$1001)</f>
        <v>0</v>
      </c>
      <c r="F65" s="158">
        <f>SUMIF('内訳ﾘｽﾄ(4～3月)'!$D$26:$D$1001,$B65,'内訳ﾘｽﾄ(4～3月)'!I$26:I$1001)</f>
        <v>0</v>
      </c>
      <c r="G65" s="158">
        <f>SUMIF('内訳ﾘｽﾄ(4～3月)'!$D$26:$D$1001,$B65,'内訳ﾘｽﾄ(4～3月)'!J$26:J$1001)</f>
        <v>0</v>
      </c>
      <c r="H65" s="158">
        <f>SUMIF('内訳ﾘｽﾄ(4～3月)'!$D$26:$D$1001,$B65,'内訳ﾘｽﾄ(4～3月)'!K$26:K$1001)</f>
        <v>0</v>
      </c>
      <c r="I65" s="158">
        <f>SUMIF('内訳ﾘｽﾄ(4～3月)'!$D$26:$D$1001,$B65,'内訳ﾘｽﾄ(4～3月)'!L$26:L$1001)</f>
        <v>0</v>
      </c>
      <c r="J65" s="158">
        <f>SUMIF('内訳ﾘｽﾄ(4～3月)'!$D$26:$D$1001,$B65,'内訳ﾘｽﾄ(4～3月)'!M$26:M$1001)</f>
        <v>0</v>
      </c>
      <c r="K65" s="158">
        <f>SUMIF('内訳ﾘｽﾄ(4～3月)'!$D$26:$D$1001,$B65,'内訳ﾘｽﾄ(4～3月)'!N$26:N$1001)</f>
        <v>0</v>
      </c>
      <c r="L65" s="158">
        <f>SUMIF('内訳ﾘｽﾄ(4～3月)'!$D$26:$D$1001,$B65,'内訳ﾘｽﾄ(4～3月)'!O$26:O$1001)</f>
        <v>0</v>
      </c>
      <c r="M65" s="158">
        <f>SUMIF('内訳ﾘｽﾄ(4～3月)'!$D$26:$D$1001,$B65,'内訳ﾘｽﾄ(4～3月)'!P$26:P$1001)</f>
        <v>0</v>
      </c>
      <c r="N65" s="158">
        <f>SUMIF('内訳ﾘｽﾄ(4～3月)'!$D$26:$D$1001,$B65,'内訳ﾘｽﾄ(4～3月)'!Q$26:Q$1001)</f>
        <v>0</v>
      </c>
      <c r="O65" s="158">
        <f>SUMIF('内訳ﾘｽﾄ(4～3月)'!$D$26:$D$800,'採算表(VND)'!$B65,'内訳ﾘｽﾄ(4～3月)'!R$26:R$800)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7906283053</v>
      </c>
      <c r="D66" s="156">
        <f t="shared" ref="D66:N66" si="4">D12-D13</f>
        <v>22202761500</v>
      </c>
      <c r="E66" s="156">
        <f t="shared" si="4"/>
        <v>33520551859</v>
      </c>
      <c r="F66" s="156">
        <f t="shared" si="4"/>
        <v>40237655731</v>
      </c>
      <c r="G66" s="156">
        <f t="shared" si="4"/>
        <v>38915615161</v>
      </c>
      <c r="H66" s="156">
        <f t="shared" si="4"/>
        <v>16742286692</v>
      </c>
      <c r="I66" s="156">
        <f t="shared" si="4"/>
        <v>31001818488</v>
      </c>
      <c r="J66" s="156">
        <f t="shared" si="4"/>
        <v>34314127610</v>
      </c>
      <c r="K66" s="156">
        <f t="shared" si="4"/>
        <v>32421508110</v>
      </c>
      <c r="L66" s="156">
        <f t="shared" si="4"/>
        <v>34902872621</v>
      </c>
      <c r="M66" s="156">
        <f t="shared" si="4"/>
        <v>15519761788</v>
      </c>
      <c r="N66" s="156">
        <f t="shared" si="4"/>
        <v>26396965150</v>
      </c>
      <c r="O66" s="156">
        <f>IF(ISBLANK(O4),"",O12-O13)</f>
        <v>334082207763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133384.75</v>
      </c>
      <c r="D67" s="161">
        <f t="shared" ref="D67:N67" si="5">D73+D79</f>
        <v>130911.25</v>
      </c>
      <c r="E67" s="161">
        <f t="shared" si="5"/>
        <v>148912.5</v>
      </c>
      <c r="F67" s="161">
        <f t="shared" si="5"/>
        <v>176886</v>
      </c>
      <c r="G67" s="161">
        <f t="shared" si="5"/>
        <v>164293.25</v>
      </c>
      <c r="H67" s="161">
        <f t="shared" si="5"/>
        <v>195400</v>
      </c>
      <c r="I67" s="161">
        <f t="shared" si="5"/>
        <v>316034</v>
      </c>
      <c r="J67" s="161">
        <f t="shared" si="5"/>
        <v>219881.75</v>
      </c>
      <c r="K67" s="161">
        <f t="shared" si="5"/>
        <v>241077.5</v>
      </c>
      <c r="L67" s="161">
        <f t="shared" si="5"/>
        <v>237276.75</v>
      </c>
      <c r="M67" s="161">
        <f t="shared" si="5"/>
        <v>194137.5</v>
      </c>
      <c r="N67" s="161">
        <f t="shared" si="5"/>
        <v>233401.25</v>
      </c>
      <c r="O67" s="161">
        <f>IF(ISBLANK(O4),"",O73+O79)</f>
        <v>2391596.5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90844</v>
      </c>
      <c r="D68" s="162">
        <f>SUMIF('内訳ﾘｽﾄ(4～3月)'!$D$8:$D$15,'採算表(VND)'!$B68,'内訳ﾘｽﾄ(4～3月)'!G$8:G$15)</f>
        <v>90015</v>
      </c>
      <c r="E68" s="162">
        <f>SUMIF('内訳ﾘｽﾄ(4～3月)'!$D$8:$D$15,'採算表(VND)'!$B68,'内訳ﾘｽﾄ(4～3月)'!H$8:H$15)</f>
        <v>104315</v>
      </c>
      <c r="F68" s="162">
        <f>SUMIF('内訳ﾘｽﾄ(4～3月)'!$D$8:$D$15,'採算表(VND)'!$B68,'内訳ﾘｽﾄ(4～3月)'!I$8:I$15)</f>
        <v>135902</v>
      </c>
      <c r="G68" s="162">
        <f>SUMIF('内訳ﾘｽﾄ(4～3月)'!$D$8:$D$15,'採算表(VND)'!$B68,'内訳ﾘｽﾄ(4～3月)'!J$8:J$15)</f>
        <v>127319</v>
      </c>
      <c r="H68" s="162">
        <f>SUMIF('内訳ﾘｽﾄ(4～3月)'!$D$8:$D$15,'採算表(VND)'!$B68,'内訳ﾘｽﾄ(4～3月)'!K$8:K$15)</f>
        <v>159803</v>
      </c>
      <c r="I68" s="162">
        <f>SUMIF('内訳ﾘｽﾄ(4～3月)'!$D$8:$D$15,'採算表(VND)'!$B68,'内訳ﾘｽﾄ(4～3月)'!L$8:L$15)</f>
        <v>267345</v>
      </c>
      <c r="J68" s="162">
        <f>SUMIF('内訳ﾘｽﾄ(4～3月)'!$D$8:$D$15,'採算表(VND)'!$B68,'内訳ﾘｽﾄ(4～3月)'!M$8:M$15)</f>
        <v>177088</v>
      </c>
      <c r="K68" s="162">
        <f>SUMIF('内訳ﾘｽﾄ(4～3月)'!$D$8:$D$15,'採算表(VND)'!$B68,'内訳ﾘｽﾄ(4～3月)'!N$8:N$15)</f>
        <v>194227</v>
      </c>
      <c r="L68" s="162">
        <f>SUMIF('内訳ﾘｽﾄ(4～3月)'!$D$8:$D$15,'採算表(VND)'!$B68,'内訳ﾘｽﾄ(4～3月)'!O$8:O$15)</f>
        <v>190388</v>
      </c>
      <c r="M68" s="162">
        <f>SUMIF('内訳ﾘｽﾄ(4～3月)'!$D$8:$D$15,'採算表(VND)'!$B68,'内訳ﾘｽﾄ(4～3月)'!P$8:P$15)</f>
        <v>153561</v>
      </c>
      <c r="N68" s="162">
        <f>SUMIF('内訳ﾘｽﾄ(4～3月)'!$D$8:$D$15,'採算表(VND)'!$B68,'内訳ﾘｽﾄ(4～3月)'!Q$8:Q$15)</f>
        <v>184977</v>
      </c>
      <c r="O68" s="162">
        <f>SUMIF('内訳ﾘｽﾄ(4～3月)'!$D$8:$D$15,'採算表(VND)'!$B68,'内訳ﾘｽﾄ(4～3月)'!$R$8:$R$15)</f>
        <v>1875784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23264.25</v>
      </c>
      <c r="D69" s="163">
        <f>IF('内訳ﾘｽﾄ(4～3月)'!$D$5="製造",SUMIF('内訳ﾘｽﾄ(4～3月)'!$D$8:$D$15,$B69,'内訳ﾘｽﾄ(4～3月)'!G$8:G$15),IF('内訳ﾘｽﾄ(4～3月)'!$D$5="部内間接",-D$68,0))</f>
        <v>21969.5</v>
      </c>
      <c r="E69" s="163">
        <f>IF('内訳ﾘｽﾄ(4～3月)'!$D$5="製造",SUMIF('内訳ﾘｽﾄ(4～3月)'!$D$8:$D$15,$B69,'内訳ﾘｽﾄ(4～3月)'!H$8:H$15),IF('内訳ﾘｽﾄ(4～3月)'!$D$5="部内間接",-E$68,0))</f>
        <v>24336.75</v>
      </c>
      <c r="F69" s="163">
        <f>IF('内訳ﾘｽﾄ(4～3月)'!$D$5="製造",SUMIF('内訳ﾘｽﾄ(4～3月)'!$D$8:$D$15,$B69,'内訳ﾘｽﾄ(4～3月)'!I$8:I$15),IF('内訳ﾘｽﾄ(4～3月)'!$D$5="部内間接",-F$68,0))</f>
        <v>21411</v>
      </c>
      <c r="G69" s="163">
        <f>IF('内訳ﾘｽﾄ(4～3月)'!$D$5="製造",SUMIF('内訳ﾘｽﾄ(4～3月)'!$D$8:$D$15,$B69,'内訳ﾘｽﾄ(4～3月)'!J$8:J$15),IF('内訳ﾘｽﾄ(4～3月)'!$D$5="部内間接",-G$68,0))</f>
        <v>18439</v>
      </c>
      <c r="H69" s="163">
        <f>IF('内訳ﾘｽﾄ(4～3月)'!$D$5="製造",SUMIF('内訳ﾘｽﾄ(4～3月)'!$D$8:$D$15,$B69,'内訳ﾘｽﾄ(4～3月)'!K$8:K$15),IF('内訳ﾘｽﾄ(4～3月)'!$D$5="部内間接",-H$68,0))</f>
        <v>17861.25</v>
      </c>
      <c r="I69" s="163">
        <f>IF('内訳ﾘｽﾄ(4～3月)'!$D$5="製造",SUMIF('内訳ﾘｽﾄ(4～3月)'!$D$8:$D$15,$B69,'内訳ﾘｽﾄ(4～3月)'!L$8:L$15),IF('内訳ﾘｽﾄ(4～3月)'!$D$5="部内間接",-I$68,0))</f>
        <v>25600.25</v>
      </c>
      <c r="J69" s="163">
        <f>IF('内訳ﾘｽﾄ(4～3月)'!$D$5="製造",SUMIF('内訳ﾘｽﾄ(4～3月)'!$D$8:$D$15,$B69,'内訳ﾘｽﾄ(4～3月)'!M$8:M$15),IF('内訳ﾘｽﾄ(4～3月)'!$D$5="部内間接",-J$68,0))</f>
        <v>22077.5</v>
      </c>
      <c r="K69" s="163">
        <f>IF('内訳ﾘｽﾄ(4～3月)'!$D$5="製造",SUMIF('内訳ﾘｽﾄ(4～3月)'!$D$8:$D$15,$B69,'内訳ﾘｽﾄ(4～3月)'!N$8:N$15),IF('内訳ﾘｽﾄ(4～3月)'!$D$5="部内間接",-K$68,0))</f>
        <v>24252.25</v>
      </c>
      <c r="L69" s="163">
        <f>IF('内訳ﾘｽﾄ(4～3月)'!$D$5="製造",SUMIF('内訳ﾘｽﾄ(4～3月)'!$D$8:$D$15,$B69,'内訳ﾘｽﾄ(4～3月)'!O$8:O$15),IF('内訳ﾘｽﾄ(4～3月)'!$D$5="部内間接",-L$68,0))</f>
        <v>22787.75</v>
      </c>
      <c r="M69" s="163">
        <f>IF('内訳ﾘｽﾄ(4～3月)'!$D$5="製造",SUMIF('内訳ﾘｽﾄ(4～3月)'!$D$8:$D$15,$B69,'内訳ﾘｽﾄ(4～3月)'!P$8:P$15),IF('内訳ﾘｽﾄ(4～3月)'!$D$5="部内間接",-M$68,0))</f>
        <v>18137.75</v>
      </c>
      <c r="N69" s="163">
        <f>IF('内訳ﾘｽﾄ(4～3月)'!$D$5="製造",SUMIF('内訳ﾘｽﾄ(4～3月)'!$D$8:$D$15,$B69,'内訳ﾘｽﾄ(4～3月)'!Q$8:Q$15),IF('内訳ﾘｽﾄ(4～3月)'!$D$5="部内間接",-N$68,0))</f>
        <v>23837.75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263975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5094.25</v>
      </c>
      <c r="D70" s="164">
        <f>IF('内訳ﾘｽﾄ(4～3月)'!$D$5="製造",SUMIF('内訳ﾘｽﾄ(4～3月)'!$D$8:$D$15,$B70,'内訳ﾘｽﾄ(4～3月)'!G$8:G$15),IF('内訳ﾘｽﾄ(4～3月)'!$D$5="部外間接1",-D$68,0))</f>
        <v>4990.5</v>
      </c>
      <c r="E70" s="164">
        <f>IF('内訳ﾘｽﾄ(4～3月)'!$D$5="製造",SUMIF('内訳ﾘｽﾄ(4～3月)'!$D$8:$D$15,$B70,'内訳ﾘｽﾄ(4～3月)'!H$8:H$15),IF('内訳ﾘｽﾄ(4～3月)'!$D$5="部外間接1",-E$68,0))</f>
        <v>5531.5</v>
      </c>
      <c r="F70" s="164">
        <f>IF('内訳ﾘｽﾄ(4～3月)'!$D$5="製造",SUMIF('内訳ﾘｽﾄ(4～3月)'!$D$8:$D$15,$B70,'内訳ﾘｽﾄ(4～3月)'!I$8:I$15),IF('内訳ﾘｽﾄ(4～3月)'!$D$5="部外間接1",-F$68,0))</f>
        <v>5085</v>
      </c>
      <c r="G70" s="164">
        <f>IF('内訳ﾘｽﾄ(4～3月)'!$D$5="製造",SUMIF('内訳ﾘｽﾄ(4～3月)'!$D$8:$D$15,$B70,'内訳ﾘｽﾄ(4～3月)'!J$8:J$15),IF('内訳ﾘｽﾄ(4～3月)'!$D$5="部外間接1",-G$68,0))</f>
        <v>4463.75</v>
      </c>
      <c r="H70" s="164">
        <f>IF('内訳ﾘｽﾄ(4～3月)'!$D$5="製造",SUMIF('内訳ﾘｽﾄ(4～3月)'!$D$8:$D$15,$B70,'内訳ﾘｽﾄ(4～3月)'!K$8:K$15),IF('内訳ﾘｽﾄ(4～3月)'!$D$5="部外間接1",-H$68,0))</f>
        <v>4249.25</v>
      </c>
      <c r="I70" s="164">
        <f>IF('内訳ﾘｽﾄ(4～3月)'!$D$5="製造",SUMIF('内訳ﾘｽﾄ(4～3月)'!$D$8:$D$15,$B70,'内訳ﾘｽﾄ(4～3月)'!L$8:L$15),IF('内訳ﾘｽﾄ(4～3月)'!$D$5="部外間接1",-I$68,0))</f>
        <v>6029.25</v>
      </c>
      <c r="J70" s="164">
        <f>IF('内訳ﾘｽﾄ(4～3月)'!$D$5="製造",SUMIF('内訳ﾘｽﾄ(4～3月)'!$D$8:$D$15,$B70,'内訳ﾘｽﾄ(4～3月)'!M$8:M$15),IF('内訳ﾘｽﾄ(4～3月)'!$D$5="部外間接1",-J$68,0))</f>
        <v>5232.5</v>
      </c>
      <c r="K70" s="164">
        <f>IF('内訳ﾘｽﾄ(4～3月)'!$D$5="製造",SUMIF('内訳ﾘｽﾄ(4～3月)'!$D$8:$D$15,$B70,'内訳ﾘｽﾄ(4～3月)'!N$8:N$15),IF('内訳ﾘｽﾄ(4～3月)'!$D$5="部外間接1",-K$68,0))</f>
        <v>5798.25</v>
      </c>
      <c r="L70" s="164">
        <f>IF('内訳ﾘｽﾄ(4～3月)'!$D$5="製造",SUMIF('内訳ﾘｽﾄ(4～3月)'!$D$8:$D$15,$B70,'内訳ﾘｽﾄ(4～3月)'!O$8:O$15),IF('内訳ﾘｽﾄ(4～3月)'!$D$5="部外間接1",-L$68,0))</f>
        <v>5612.75</v>
      </c>
      <c r="M70" s="164">
        <f>IF('内訳ﾘｽﾄ(4～3月)'!$D$5="製造",SUMIF('内訳ﾘｽﾄ(4～3月)'!$D$8:$D$15,$B70,'内訳ﾘｽﾄ(4～3月)'!P$8:P$15),IF('内訳ﾘｽﾄ(4～3月)'!$D$5="部外間接1",-M$68,0))</f>
        <v>4189.25</v>
      </c>
      <c r="N70" s="164">
        <f>IF('内訳ﾘｽﾄ(4～3月)'!$D$5="製造",SUMIF('内訳ﾘｽﾄ(4～3月)'!$D$8:$D$15,$B70,'内訳ﾘｽﾄ(4～3月)'!Q$8:Q$15),IF('内訳ﾘｽﾄ(4～3月)'!$D$5="部外間接1",-N$68,0))</f>
        <v>5612.75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61889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3209.75</v>
      </c>
      <c r="D71" s="164">
        <f>IF('内訳ﾘｽﾄ(4～3月)'!$D$5="製造",SUMIF('内訳ﾘｽﾄ(4～3月)'!$D$8:$D$15,$B71,'内訳ﾘｽﾄ(4～3月)'!G$8:G$15),IF('内訳ﾘｽﾄ(4～3月)'!$D$5="部外間接2",-D$68,0))</f>
        <v>3024.75</v>
      </c>
      <c r="E71" s="164">
        <f>IF('内訳ﾘｽﾄ(4～3月)'!$D$5="製造",SUMIF('内訳ﾘｽﾄ(4～3月)'!$D$8:$D$15,$B71,'内訳ﾘｽﾄ(4～3月)'!H$8:H$15),IF('内訳ﾘｽﾄ(4～3月)'!$D$5="部外間接2",-E$68,0))</f>
        <v>3403.75</v>
      </c>
      <c r="F71" s="164">
        <f>IF('内訳ﾘｽﾄ(4～3月)'!$D$5="製造",SUMIF('内訳ﾘｽﾄ(4～3月)'!$D$8:$D$15,$B71,'内訳ﾘｽﾄ(4～3月)'!I$8:I$15),IF('内訳ﾘｽﾄ(4～3月)'!$D$5="部外間接2",-F$68,0))</f>
        <v>3356.5</v>
      </c>
      <c r="G71" s="164">
        <f>IF('内訳ﾘｽﾄ(4～3月)'!$D$5="製造",SUMIF('内訳ﾘｽﾄ(4～3月)'!$D$8:$D$15,$B71,'内訳ﾘｽﾄ(4～3月)'!J$8:J$15),IF('内訳ﾘｽﾄ(4～3月)'!$D$5="部外間接2",-G$68,0))</f>
        <v>2941</v>
      </c>
      <c r="H71" s="164">
        <f>IF('内訳ﾘｽﾄ(4～3月)'!$D$5="製造",SUMIF('内訳ﾘｽﾄ(4～3月)'!$D$8:$D$15,$B71,'内訳ﾘｽﾄ(4～3月)'!K$8:K$15),IF('内訳ﾘｽﾄ(4～3月)'!$D$5="部外間接2",-H$68,0))</f>
        <v>2844.25</v>
      </c>
      <c r="I71" s="164">
        <f>IF('内訳ﾘｽﾄ(4～3月)'!$D$5="製造",SUMIF('内訳ﾘｽﾄ(4～3月)'!$D$8:$D$15,$B71,'内訳ﾘｽﾄ(4～3月)'!L$8:L$15),IF('内訳ﾘｽﾄ(4～3月)'!$D$5="部外間接2",-I$68,0))</f>
        <v>4009</v>
      </c>
      <c r="J71" s="164">
        <f>IF('内訳ﾘｽﾄ(4～3月)'!$D$5="製造",SUMIF('内訳ﾘｽﾄ(4～3月)'!$D$8:$D$15,$B71,'内訳ﾘｽﾄ(4～3月)'!M$8:M$15),IF('内訳ﾘｽﾄ(4～3月)'!$D$5="部外間接2",-J$68,0))</f>
        <v>3496.75</v>
      </c>
      <c r="K71" s="164">
        <f>IF('内訳ﾘｽﾄ(4～3月)'!$D$5="製造",SUMIF('内訳ﾘｽﾄ(4～3月)'!$D$8:$D$15,$B71,'内訳ﾘｽﾄ(4～3月)'!N$8:N$15),IF('内訳ﾘｽﾄ(4～3月)'!$D$5="部外間接2",-K$68,0))</f>
        <v>3879</v>
      </c>
      <c r="L71" s="164">
        <f>IF('内訳ﾘｽﾄ(4～3月)'!$D$5="製造",SUMIF('内訳ﾘｽﾄ(4～3月)'!$D$8:$D$15,$B71,'内訳ﾘｽﾄ(4～3月)'!O$8:O$15),IF('内訳ﾘｽﾄ(4～3月)'!$D$5="部外間接2",-L$68,0))</f>
        <v>3961</v>
      </c>
      <c r="M71" s="164">
        <f>IF('内訳ﾘｽﾄ(4～3月)'!$D$5="製造",SUMIF('内訳ﾘｽﾄ(4～3月)'!$D$8:$D$15,$B71,'内訳ﾘｽﾄ(4～3月)'!P$8:P$15),IF('内訳ﾘｽﾄ(4～3月)'!$D$5="部外間接2",-M$68,0))</f>
        <v>2910.25</v>
      </c>
      <c r="N71" s="164">
        <f>IF('内訳ﾘｽﾄ(4～3月)'!$D$5="製造",SUMIF('内訳ﾘｽﾄ(4～3月)'!$D$8:$D$15,$B71,'内訳ﾘｽﾄ(4～3月)'!Q$8:Q$15),IF('内訳ﾘｽﾄ(4～3月)'!$D$5="部外間接2",-N$68,0))</f>
        <v>3950.75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40986.75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7292.75</v>
      </c>
      <c r="D72" s="165">
        <f>IF('内訳ﾘｽﾄ(4～3月)'!$D$5="製造",SUMIF('内訳ﾘｽﾄ(4～3月)'!$D$8:$D$15,$B72,'内訳ﾘｽﾄ(4～3月)'!G$8:G$15),IF('内訳ﾘｽﾄ(4～3月)'!$D$5="工場間接",-D$68,0))</f>
        <v>7263</v>
      </c>
      <c r="E72" s="165">
        <f>IF('内訳ﾘｽﾄ(4～3月)'!$D$5="製造",SUMIF('内訳ﾘｽﾄ(4～3月)'!$D$8:$D$15,$B72,'内訳ﾘｽﾄ(4～3月)'!H$8:H$15),IF('内訳ﾘｽﾄ(4～3月)'!$D$5="工場間接",-E$68,0))</f>
        <v>7672.75</v>
      </c>
      <c r="F72" s="165">
        <f>IF('内訳ﾘｽﾄ(4～3月)'!$D$5="製造",SUMIF('内訳ﾘｽﾄ(4～3月)'!$D$8:$D$15,$B72,'内訳ﾘｽﾄ(4～3月)'!I$8:I$15),IF('内訳ﾘｽﾄ(4～3月)'!$D$5="工場間接",-F$68,0))</f>
        <v>7806.5</v>
      </c>
      <c r="G72" s="165">
        <f>IF('内訳ﾘｽﾄ(4～3月)'!$D$5="製造",SUMIF('内訳ﾘｽﾄ(4～3月)'!$D$8:$D$15,$B72,'内訳ﾘｽﾄ(4～3月)'!J$8:J$15),IF('内訳ﾘｽﾄ(4～3月)'!$D$5="工場間接",-G$68,0))</f>
        <v>7135.75</v>
      </c>
      <c r="H72" s="165">
        <f>IF('内訳ﾘｽﾄ(4～3月)'!$D$5="製造",SUMIF('内訳ﾘｽﾄ(4～3月)'!$D$8:$D$15,$B72,'内訳ﾘｽﾄ(4～3月)'!K$8:K$15),IF('内訳ﾘｽﾄ(4～3月)'!$D$5="工場間接",-H$68,0))</f>
        <v>6683</v>
      </c>
      <c r="I72" s="165">
        <f>IF('内訳ﾘｽﾄ(4～3月)'!$D$5="製造",SUMIF('内訳ﾘｽﾄ(4～3月)'!$D$8:$D$15,$B72,'内訳ﾘｽﾄ(4～3月)'!L$8:L$15),IF('内訳ﾘｽﾄ(4～3月)'!$D$5="工場間接",-I$68,0))</f>
        <v>8903.25</v>
      </c>
      <c r="J72" s="165">
        <f>IF('内訳ﾘｽﾄ(4～3月)'!$D$5="製造",SUMIF('内訳ﾘｽﾄ(4～3月)'!$D$8:$D$15,$B72,'内訳ﾘｽﾄ(4～3月)'!M$8:M$15),IF('内訳ﾘｽﾄ(4～3月)'!$D$5="工場間接",-J$68,0))</f>
        <v>8129.75</v>
      </c>
      <c r="K72" s="165">
        <f>IF('内訳ﾘｽﾄ(4～3月)'!$D$5="製造",SUMIF('内訳ﾘｽﾄ(4～3月)'!$D$8:$D$15,$B72,'内訳ﾘｽﾄ(4～3月)'!N$8:N$15),IF('内訳ﾘｽﾄ(4～3月)'!$D$5="工場間接",-K$68,0))</f>
        <v>8768.5</v>
      </c>
      <c r="L72" s="165">
        <f>IF('内訳ﾘｽﾄ(4～3月)'!$D$5="製造",SUMIF('内訳ﾘｽﾄ(4～3月)'!$D$8:$D$15,$B72,'内訳ﾘｽﾄ(4～3月)'!O$8:O$15),IF('内訳ﾘｽﾄ(4～3月)'!$D$5="工場間接",-L$68,0))</f>
        <v>10078.25</v>
      </c>
      <c r="M72" s="165">
        <f>IF('内訳ﾘｽﾄ(4～3月)'!$D$5="製造",SUMIF('内訳ﾘｽﾄ(4～3月)'!$D$8:$D$15,$B72,'内訳ﾘｽﾄ(4～3月)'!P$8:P$15),IF('内訳ﾘｽﾄ(4～3月)'!$D$5="工場間接",-M$68,0))</f>
        <v>7548.5</v>
      </c>
      <c r="N72" s="165">
        <f>IF('内訳ﾘｽﾄ(4～3月)'!$D$5="製造",SUMIF('内訳ﾘｽﾄ(4～3月)'!$D$8:$D$15,$B72,'内訳ﾘｽﾄ(4～3月)'!Q$8:Q$15),IF('内訳ﾘｽﾄ(4～3月)'!$D$5="工場間接",-N$68,0))</f>
        <v>10131.5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97413.5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129705</v>
      </c>
      <c r="D73" s="166">
        <f t="shared" ref="D73:N73" si="6">SUM(D68:D72)</f>
        <v>127262.75</v>
      </c>
      <c r="E73" s="166">
        <f t="shared" si="6"/>
        <v>145259.75</v>
      </c>
      <c r="F73" s="166">
        <f t="shared" si="6"/>
        <v>173561</v>
      </c>
      <c r="G73" s="166">
        <f t="shared" si="6"/>
        <v>160298.5</v>
      </c>
      <c r="H73" s="166">
        <f t="shared" si="6"/>
        <v>191440.75</v>
      </c>
      <c r="I73" s="166">
        <f t="shared" si="6"/>
        <v>311886.75</v>
      </c>
      <c r="J73" s="166">
        <f t="shared" si="6"/>
        <v>216024.5</v>
      </c>
      <c r="K73" s="166">
        <f t="shared" si="6"/>
        <v>236925</v>
      </c>
      <c r="L73" s="166">
        <f t="shared" si="6"/>
        <v>232827.75</v>
      </c>
      <c r="M73" s="166">
        <f t="shared" si="6"/>
        <v>186346.75</v>
      </c>
      <c r="N73" s="166">
        <f t="shared" si="6"/>
        <v>228509.75</v>
      </c>
      <c r="O73" s="166">
        <f>IF(ISBLANK(O4),"",SUM(O68:O72))</f>
        <v>2340048.25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990</v>
      </c>
      <c r="D74" s="162">
        <f>SUMIF('内訳ﾘｽﾄ(4～3月)'!$D$16:$D$23,'採算表(VND)'!$B74,'内訳ﾘｽﾄ(4～3月)'!G$16:G$23)</f>
        <v>1029</v>
      </c>
      <c r="E74" s="162">
        <f>SUMIF('内訳ﾘｽﾄ(4～3月)'!$D$16:$D$23,'採算表(VND)'!$B74,'内訳ﾘｽﾄ(4～3月)'!H$16:H$23)</f>
        <v>982</v>
      </c>
      <c r="F74" s="162">
        <f>SUMIF('内訳ﾘｽﾄ(4～3月)'!$D$16:$D$23,'採算表(VND)'!$B74,'内訳ﾘｽﾄ(4～3月)'!I$16:I$23)</f>
        <v>975</v>
      </c>
      <c r="G74" s="162">
        <f>SUMIF('内訳ﾘｽﾄ(4～3月)'!$D$16:$D$23,'採算表(VND)'!$B74,'内訳ﾘｽﾄ(4～3月)'!J$16:J$23)</f>
        <v>1461</v>
      </c>
      <c r="H74" s="162">
        <f>SUMIF('内訳ﾘｽﾄ(4～3月)'!$D$16:$D$23,'採算表(VND)'!$B74,'内訳ﾘｽﾄ(4～3月)'!K$16:K$23)</f>
        <v>1293</v>
      </c>
      <c r="I74" s="162">
        <f>SUMIF('内訳ﾘｽﾄ(4～3月)'!$D$16:$D$23,'採算表(VND)'!$B74,'内訳ﾘｽﾄ(4～3月)'!L$16:L$23)</f>
        <v>978</v>
      </c>
      <c r="J74" s="162">
        <f>SUMIF('内訳ﾘｽﾄ(4～3月)'!$D$16:$D$23,'採算表(VND)'!$B74,'内訳ﾘｽﾄ(4～3月)'!M$16:M$23)</f>
        <v>1026</v>
      </c>
      <c r="K74" s="162">
        <f>SUMIF('内訳ﾘｽﾄ(4～3月)'!$D$16:$D$23,'採算表(VND)'!$B74,'内訳ﾘｽﾄ(4～3月)'!N$16:N$23)</f>
        <v>988</v>
      </c>
      <c r="L74" s="162">
        <f>SUMIF('内訳ﾘｽﾄ(4～3月)'!$D$16:$D$23,'採算表(VND)'!$B74,'内訳ﾘｽﾄ(4～3月)'!O$16:O$23)</f>
        <v>1032</v>
      </c>
      <c r="M74" s="162">
        <f>SUMIF('内訳ﾘｽﾄ(4～3月)'!$D$16:$D$23,'採算表(VND)'!$B74,'内訳ﾘｽﾄ(4～3月)'!P$16:P$23)</f>
        <v>4170</v>
      </c>
      <c r="N74" s="162">
        <f>SUMIF('内訳ﾘｽﾄ(4～3月)'!$D$16:$D$23,'採算表(VND)'!$B74,'内訳ﾘｽﾄ(4～3月)'!Q$16:Q$23)</f>
        <v>1272</v>
      </c>
      <c r="O74" s="162">
        <f>SUMIF('内訳ﾘｽﾄ(4～3月)'!$D$16:$D$23,'採算表(VND)'!$B74,'内訳ﾘｽﾄ(4～3月)'!$R$16:$R$23)</f>
        <v>16196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1745.5</v>
      </c>
      <c r="D75" s="163">
        <f>IF('内訳ﾘｽﾄ(4～3月)'!$D$5="製造",SUMIF('内訳ﾘｽﾄ(4～3月)'!$D$16:$D$23,$B75,'内訳ﾘｽﾄ(4～3月)'!G$16:G$23),IF('内訳ﾘｽﾄ(4～3月)'!$D$5="部内間接",-D$74,0))</f>
        <v>1743</v>
      </c>
      <c r="E75" s="163">
        <f>IF('内訳ﾘｽﾄ(4～3月)'!$D$5="製造",SUMIF('内訳ﾘｽﾄ(4～3月)'!$D$16:$D$23,$B75,'内訳ﾘｽﾄ(4～3月)'!H$16:H$23),IF('内訳ﾘｽﾄ(4～3月)'!$D$5="部内間接",-E$74,0))</f>
        <v>1770</v>
      </c>
      <c r="F75" s="163">
        <f>IF('内訳ﾘｽﾄ(4～3月)'!$D$5="製造",SUMIF('内訳ﾘｽﾄ(4～3月)'!$D$16:$D$23,$B75,'内訳ﾘｽﾄ(4～3月)'!I$16:I$23),IF('内訳ﾘｽﾄ(4～3月)'!$D$5="部内間接",-F$74,0))</f>
        <v>1465.75</v>
      </c>
      <c r="G75" s="163">
        <f>IF('内訳ﾘｽﾄ(4～3月)'!$D$5="製造",SUMIF('内訳ﾘｽﾄ(4～3月)'!$D$16:$D$23,$B75,'内訳ﾘｽﾄ(4～3月)'!J$16:J$23),IF('内訳ﾘｽﾄ(4～3月)'!$D$5="部内間接",-G$74,0))</f>
        <v>1742.25</v>
      </c>
      <c r="H75" s="163">
        <f>IF('内訳ﾘｽﾄ(4～3月)'!$D$5="製造",SUMIF('内訳ﾘｽﾄ(4～3月)'!$D$16:$D$23,$B75,'内訳ﾘｽﾄ(4～3月)'!K$16:K$23),IF('内訳ﾘｽﾄ(4～3月)'!$D$5="部内間接",-H$74,0))</f>
        <v>1788.5</v>
      </c>
      <c r="I75" s="163">
        <f>IF('内訳ﾘｽﾄ(4～3月)'!$D$5="製造",SUMIF('内訳ﾘｽﾄ(4～3月)'!$D$16:$D$23,$B75,'内訳ﾘｽﾄ(4～3月)'!L$16:L$23),IF('内訳ﾘｽﾄ(4～3月)'!$D$5="部内間接",-I$74,0))</f>
        <v>2166</v>
      </c>
      <c r="J75" s="163">
        <f>IF('内訳ﾘｽﾄ(4～3月)'!$D$5="製造",SUMIF('内訳ﾘｽﾄ(4～3月)'!$D$16:$D$23,$B75,'内訳ﾘｽﾄ(4～3月)'!M$16:M$23),IF('内訳ﾘｽﾄ(4～3月)'!$D$5="部内間接",-J$74,0))</f>
        <v>1930</v>
      </c>
      <c r="K75" s="163">
        <f>IF('内訳ﾘｽﾄ(4～3月)'!$D$5="製造",SUMIF('内訳ﾘｽﾄ(4～3月)'!$D$16:$D$23,$B75,'内訳ﾘｽﾄ(4～3月)'!N$16:N$23),IF('内訳ﾘｽﾄ(4～3月)'!$D$5="部内間接",-K$74,0))</f>
        <v>2232.75</v>
      </c>
      <c r="L75" s="163">
        <f>IF('内訳ﾘｽﾄ(4～3月)'!$D$5="製造",SUMIF('内訳ﾘｽﾄ(4～3月)'!$D$16:$D$23,$B75,'内訳ﾘｽﾄ(4～3月)'!O$16:O$23),IF('内訳ﾘｽﾄ(4～3月)'!$D$5="部内間接",-L$74,0))</f>
        <v>2410</v>
      </c>
      <c r="M75" s="163">
        <f>IF('内訳ﾘｽﾄ(4～3月)'!$D$5="製造",SUMIF('内訳ﾘｽﾄ(4～3月)'!$D$16:$D$23,$B75,'内訳ﾘｽﾄ(4～3月)'!P$16:P$23),IF('内訳ﾘｽﾄ(4～3月)'!$D$5="部内間接",-M$74,0))</f>
        <v>2456.5</v>
      </c>
      <c r="N75" s="163">
        <f>IF('内訳ﾘｽﾄ(4～3月)'!$D$5="製造",SUMIF('内訳ﾘｽﾄ(4～3月)'!$D$16:$D$23,$B75,'内訳ﾘｽﾄ(4～3月)'!Q$16:Q$23),IF('内訳ﾘｽﾄ(4～3月)'!$D$5="部内間接",-N$74,0))</f>
        <v>2523.75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23974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282</v>
      </c>
      <c r="D76" s="164">
        <f>IF('内訳ﾘｽﾄ(4～3月)'!$D$5="製造",SUMIF('内訳ﾘｽﾄ(4～3月)'!$D$16:$D$23,$B76,'内訳ﾘｽﾄ(4～3月)'!G$16:G$23),IF('内訳ﾘｽﾄ(4～3月)'!$D$5="部外間接1",-D$74,0))</f>
        <v>277</v>
      </c>
      <c r="E76" s="164">
        <f>IF('内訳ﾘｽﾄ(4～3月)'!$D$5="製造",SUMIF('内訳ﾘｽﾄ(4～3月)'!$D$16:$D$23,$B76,'内訳ﾘｽﾄ(4～3月)'!H$16:H$23),IF('内訳ﾘｽﾄ(4～3月)'!$D$5="部外間接1",-E$74,0))</f>
        <v>316.5</v>
      </c>
      <c r="F76" s="164">
        <f>IF('内訳ﾘｽﾄ(4～3月)'!$D$5="製造",SUMIF('内訳ﾘｽﾄ(4～3月)'!$D$16:$D$23,$B76,'内訳ﾘｽﾄ(4～3月)'!I$16:I$23),IF('内訳ﾘｽﾄ(4～3月)'!$D$5="部外間接1",-F$74,0))</f>
        <v>304.75</v>
      </c>
      <c r="G76" s="164">
        <f>IF('内訳ﾘｽﾄ(4～3月)'!$D$5="製造",SUMIF('内訳ﾘｽﾄ(4～3月)'!$D$16:$D$23,$B76,'内訳ﾘｽﾄ(4～3月)'!J$16:J$23),IF('内訳ﾘｽﾄ(4～3月)'!$D$5="部外間接1",-G$74,0))</f>
        <v>255.25</v>
      </c>
      <c r="H76" s="164">
        <f>IF('内訳ﾘｽﾄ(4～3月)'!$D$5="製造",SUMIF('内訳ﾘｽﾄ(4～3月)'!$D$16:$D$23,$B76,'内訳ﾘｽﾄ(4～3月)'!K$16:K$23),IF('内訳ﾘｽﾄ(4～3月)'!$D$5="部外間接1",-H$74,0))</f>
        <v>247.75</v>
      </c>
      <c r="I76" s="164">
        <f>IF('内訳ﾘｽﾄ(4～3月)'!$D$5="製造",SUMIF('内訳ﾘｽﾄ(4～3月)'!$D$16:$D$23,$B76,'内訳ﾘｽﾄ(4～3月)'!L$16:L$23),IF('内訳ﾘｽﾄ(4～3月)'!$D$5="部外間接1",-I$74,0))</f>
        <v>353.75</v>
      </c>
      <c r="J76" s="164">
        <f>IF('内訳ﾘｽﾄ(4～3月)'!$D$5="製造",SUMIF('内訳ﾘｽﾄ(4～3月)'!$D$16:$D$23,$B76,'内訳ﾘｽﾄ(4～3月)'!M$16:M$23),IF('内訳ﾘｽﾄ(4～3月)'!$D$5="部外間接1",-J$74,0))</f>
        <v>296.25</v>
      </c>
      <c r="K76" s="164">
        <f>IF('内訳ﾘｽﾄ(4～3月)'!$D$5="製造",SUMIF('内訳ﾘｽﾄ(4～3月)'!$D$16:$D$23,$B76,'内訳ﾘｽﾄ(4～3月)'!N$16:N$23),IF('内訳ﾘｽﾄ(4～3月)'!$D$5="部外間接1",-K$74,0))</f>
        <v>302.75</v>
      </c>
      <c r="L76" s="164">
        <f>IF('内訳ﾘｽﾄ(4～3月)'!$D$5="製造",SUMIF('内訳ﾘｽﾄ(4～3月)'!$D$16:$D$23,$B76,'内訳ﾘｽﾄ(4～3月)'!O$16:O$23),IF('内訳ﾘｽﾄ(4～3月)'!$D$5="部外間接1",-L$74,0))</f>
        <v>294.5</v>
      </c>
      <c r="M76" s="164">
        <f>IF('内訳ﾘｽﾄ(4～3月)'!$D$5="製造",SUMIF('内訳ﾘｽﾄ(4～3月)'!$D$16:$D$23,$B76,'内訳ﾘｽﾄ(4～3月)'!P$16:P$23),IF('内訳ﾘｽﾄ(4～3月)'!$D$5="部外間接1",-M$74,0))</f>
        <v>248.25</v>
      </c>
      <c r="N76" s="164">
        <f>IF('内訳ﾘｽﾄ(4～3月)'!$D$5="製造",SUMIF('内訳ﾘｽﾄ(4～3月)'!$D$16:$D$23,$B76,'内訳ﾘｽﾄ(4～3月)'!Q$16:Q$23),IF('内訳ﾘｽﾄ(4～3月)'!$D$5="部外間接1",-N$74,0))</f>
        <v>339.5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3518.25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253</v>
      </c>
      <c r="D77" s="164">
        <f>IF('内訳ﾘｽﾄ(4～3月)'!$D$5="製造",SUMIF('内訳ﾘｽﾄ(4～3月)'!$D$16:$D$23,$B77,'内訳ﾘｽﾄ(4～3月)'!G$16:G$23),IF('内訳ﾘｽﾄ(4～3月)'!$D$5="部外間接2",-D$74,0))</f>
        <v>239</v>
      </c>
      <c r="E77" s="164">
        <f>IF('内訳ﾘｽﾄ(4～3月)'!$D$5="製造",SUMIF('内訳ﾘｽﾄ(4～3月)'!$D$16:$D$23,$B77,'内訳ﾘｽﾄ(4～3月)'!H$16:H$23),IF('内訳ﾘｽﾄ(4～3月)'!$D$5="部外間接2",-E$74,0))</f>
        <v>262</v>
      </c>
      <c r="F77" s="164">
        <f>IF('内訳ﾘｽﾄ(4～3月)'!$D$5="製造",SUMIF('内訳ﾘｽﾄ(4～3月)'!$D$16:$D$23,$B77,'内訳ﾘｽﾄ(4～3月)'!I$16:I$23),IF('内訳ﾘｽﾄ(4～3月)'!$D$5="部外間接2",-F$74,0))</f>
        <v>242.5</v>
      </c>
      <c r="G77" s="164">
        <f>IF('内訳ﾘｽﾄ(4～3月)'!$D$5="製造",SUMIF('内訳ﾘｽﾄ(4～3月)'!$D$16:$D$23,$B77,'内訳ﾘｽﾄ(4～3月)'!J$16:J$23),IF('内訳ﾘｽﾄ(4～3月)'!$D$5="部外間接2",-G$74,0))</f>
        <v>223.5</v>
      </c>
      <c r="H77" s="164">
        <f>IF('内訳ﾘｽﾄ(4～3月)'!$D$5="製造",SUMIF('内訳ﾘｽﾄ(4～3月)'!$D$16:$D$23,$B77,'内訳ﾘｽﾄ(4～3月)'!K$16:K$23),IF('内訳ﾘｽﾄ(4～3月)'!$D$5="部外間接2",-H$74,0))</f>
        <v>206.75</v>
      </c>
      <c r="I77" s="164">
        <f>IF('内訳ﾘｽﾄ(4～3月)'!$D$5="製造",SUMIF('内訳ﾘｽﾄ(4～3月)'!$D$16:$D$23,$B77,'内訳ﾘｽﾄ(4～3月)'!L$16:L$23),IF('内訳ﾘｽﾄ(4～3月)'!$D$5="部外間接2",-I$74,0))</f>
        <v>270</v>
      </c>
      <c r="J77" s="164">
        <f>IF('内訳ﾘｽﾄ(4～3月)'!$D$5="製造",SUMIF('内訳ﾘｽﾄ(4～3月)'!$D$16:$D$23,$B77,'内訳ﾘｽﾄ(4～3月)'!M$16:M$23),IF('内訳ﾘｽﾄ(4～3月)'!$D$5="部外間接2",-J$74,0))</f>
        <v>245</v>
      </c>
      <c r="K77" s="164">
        <f>IF('内訳ﾘｽﾄ(4～3月)'!$D$5="製造",SUMIF('内訳ﾘｽﾄ(4～3月)'!$D$16:$D$23,$B77,'内訳ﾘｽﾄ(4～3月)'!N$16:N$23),IF('内訳ﾘｽﾄ(4～3月)'!$D$5="部外間接2",-K$74,0))</f>
        <v>264.5</v>
      </c>
      <c r="L77" s="164">
        <f>IF('内訳ﾘｽﾄ(4～3月)'!$D$5="製造",SUMIF('内訳ﾘｽﾄ(4～3月)'!$D$16:$D$23,$B77,'内訳ﾘｽﾄ(4～3月)'!O$16:O$23),IF('内訳ﾘｽﾄ(4～3月)'!$D$5="部外間接2",-L$74,0))</f>
        <v>303.5</v>
      </c>
      <c r="M77" s="164">
        <f>IF('内訳ﾘｽﾄ(4～3月)'!$D$5="製造",SUMIF('内訳ﾘｽﾄ(4～3月)'!$D$16:$D$23,$B77,'内訳ﾘｽﾄ(4～3月)'!P$16:P$23),IF('内訳ﾘｽﾄ(4～3月)'!$D$5="部外間接2",-M$74,0))</f>
        <v>252.25</v>
      </c>
      <c r="N77" s="164">
        <f>IF('内訳ﾘｽﾄ(4～3月)'!$D$5="製造",SUMIF('内訳ﾘｽﾄ(4～3月)'!$D$16:$D$23,$B77,'内訳ﾘｽﾄ(4～3月)'!Q$16:Q$23),IF('内訳ﾘｽﾄ(4～3月)'!$D$5="部外間接2",-N$74,0))</f>
        <v>309.5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3071.5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448</v>
      </c>
      <c r="C78" s="165">
        <f>IF('内訳ﾘｽﾄ(4～3月)'!$D$5="製造",SUMIF('内訳ﾘｽﾄ(4～3月)'!$D$16:$D$23,$B78,'内訳ﾘｽﾄ(4～3月)'!F$16:F$23),IF('内訳ﾘｽﾄ(4～3月)'!$D$5="工場間接",-C$74,0))</f>
        <v>409.25</v>
      </c>
      <c r="D78" s="165">
        <f>IF('内訳ﾘｽﾄ(4～3月)'!$D$5="製造",SUMIF('内訳ﾘｽﾄ(4～3月)'!$D$16:$D$23,$B78,'内訳ﾘｽﾄ(4～3月)'!G$16:G$23),IF('内訳ﾘｽﾄ(4～3月)'!$D$5="工場間接",-D$74,0))</f>
        <v>360.5</v>
      </c>
      <c r="E78" s="165">
        <f>IF('内訳ﾘｽﾄ(4～3月)'!$D$5="製造",SUMIF('内訳ﾘｽﾄ(4～3月)'!$D$16:$D$23,$B78,'内訳ﾘｽﾄ(4～3月)'!H$16:H$23),IF('内訳ﾘｽﾄ(4～3月)'!$D$5="工場間接",-E$74,0))</f>
        <v>322.25</v>
      </c>
      <c r="F78" s="165">
        <f>IF('内訳ﾘｽﾄ(4～3月)'!$D$5="製造",SUMIF('内訳ﾘｽﾄ(4～3月)'!$D$16:$D$23,$B78,'内訳ﾘｽﾄ(4～3月)'!I$16:I$23),IF('内訳ﾘｽﾄ(4～3月)'!$D$5="工場間接",-F$74,0))</f>
        <v>337</v>
      </c>
      <c r="G78" s="165">
        <f>IF('内訳ﾘｽﾄ(4～3月)'!$D$5="製造",SUMIF('内訳ﾘｽﾄ(4～3月)'!$D$16:$D$23,$B78,'内訳ﾘｽﾄ(4～3月)'!J$16:J$23),IF('内訳ﾘｽﾄ(4～3月)'!$D$5="工場間接",-G$74,0))</f>
        <v>312.75</v>
      </c>
      <c r="H78" s="165">
        <f>IF('内訳ﾘｽﾄ(4～3月)'!$D$5="製造",SUMIF('内訳ﾘｽﾄ(4～3月)'!$D$16:$D$23,$B78,'内訳ﾘｽﾄ(4～3月)'!K$16:K$23),IF('内訳ﾘｽﾄ(4～3月)'!$D$5="工場間接",-H$74,0))</f>
        <v>423.25</v>
      </c>
      <c r="I78" s="165">
        <f>IF('内訳ﾘｽﾄ(4～3月)'!$D$5="製造",SUMIF('内訳ﾘｽﾄ(4～3月)'!$D$16:$D$23,$B78,'内訳ﾘｽﾄ(4～3月)'!L$16:L$23),IF('内訳ﾘｽﾄ(4～3月)'!$D$5="工場間接",-I$74,0))</f>
        <v>379.5</v>
      </c>
      <c r="J78" s="165">
        <f>IF('内訳ﾘｽﾄ(4～3月)'!$D$5="製造",SUMIF('内訳ﾘｽﾄ(4～3月)'!$D$16:$D$23,$B78,'内訳ﾘｽﾄ(4～3月)'!M$16:M$23),IF('内訳ﾘｽﾄ(4～3月)'!$D$5="工場間接",-J$74,0))</f>
        <v>360</v>
      </c>
      <c r="K78" s="165">
        <f>IF('内訳ﾘｽﾄ(4～3月)'!$D$5="製造",SUMIF('内訳ﾘｽﾄ(4～3月)'!$D$16:$D$23,$B78,'内訳ﾘｽﾄ(4～3月)'!N$16:N$23),IF('内訳ﾘｽﾄ(4～3月)'!$D$5="工場間接",-K$74,0))</f>
        <v>364.5</v>
      </c>
      <c r="L78" s="165">
        <f>IF('内訳ﾘｽﾄ(4～3月)'!$D$5="製造",SUMIF('内訳ﾘｽﾄ(4～3月)'!$D$16:$D$23,$B78,'内訳ﾘｽﾄ(4～3月)'!O$16:O$23),IF('内訳ﾘｽﾄ(4～3月)'!$D$5="工場間接",-L$74,0))</f>
        <v>409</v>
      </c>
      <c r="M78" s="165">
        <f>IF('内訳ﾘｽﾄ(4～3月)'!$D$5="製造",SUMIF('内訳ﾘｽﾄ(4～3月)'!$D$16:$D$23,$B78,'内訳ﾘｽﾄ(4～3月)'!P$16:P$23),IF('内訳ﾘｽﾄ(4～3月)'!$D$5="工場間接",-M$74,0))</f>
        <v>663.75</v>
      </c>
      <c r="N78" s="165">
        <f>IF('内訳ﾘｽﾄ(4～3月)'!$D$5="製造",SUMIF('内訳ﾘｽﾄ(4～3月)'!$D$16:$D$23,$B78,'内訳ﾘｽﾄ(4～3月)'!Q$16:Q$23),IF('内訳ﾘｽﾄ(4～3月)'!$D$5="工場間接",-N$74,0))</f>
        <v>446.75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4788.5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3679.75</v>
      </c>
      <c r="D79" s="166">
        <f t="shared" ref="D79:N79" si="7">SUM(D74:D78)</f>
        <v>3648.5</v>
      </c>
      <c r="E79" s="166">
        <f t="shared" si="7"/>
        <v>3652.75</v>
      </c>
      <c r="F79" s="166">
        <f t="shared" si="7"/>
        <v>3325</v>
      </c>
      <c r="G79" s="166">
        <f t="shared" si="7"/>
        <v>3994.75</v>
      </c>
      <c r="H79" s="166">
        <f t="shared" si="7"/>
        <v>3959.25</v>
      </c>
      <c r="I79" s="166">
        <f t="shared" si="7"/>
        <v>4147.25</v>
      </c>
      <c r="J79" s="166">
        <f t="shared" si="7"/>
        <v>3857.25</v>
      </c>
      <c r="K79" s="166">
        <f t="shared" si="7"/>
        <v>4152.5</v>
      </c>
      <c r="L79" s="166">
        <f t="shared" si="7"/>
        <v>4449</v>
      </c>
      <c r="M79" s="166">
        <f t="shared" si="7"/>
        <v>7790.75</v>
      </c>
      <c r="N79" s="166">
        <f t="shared" si="7"/>
        <v>4891.5</v>
      </c>
      <c r="O79" s="166">
        <f>IF(ISBLANK(O10),"",SUM(O74:O78))</f>
        <v>51548.25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59274</v>
      </c>
      <c r="D80" s="167">
        <f t="shared" ref="D80:N80" si="8">IFERROR(ROUNDDOWN(D66/D67,0),0)</f>
        <v>169601</v>
      </c>
      <c r="E80" s="167">
        <f t="shared" si="8"/>
        <v>225102</v>
      </c>
      <c r="F80" s="167">
        <f t="shared" si="8"/>
        <v>227477</v>
      </c>
      <c r="G80" s="167">
        <f t="shared" si="8"/>
        <v>236866</v>
      </c>
      <c r="H80" s="167">
        <f t="shared" si="8"/>
        <v>85682</v>
      </c>
      <c r="I80" s="167">
        <f t="shared" si="8"/>
        <v>98096</v>
      </c>
      <c r="J80" s="167">
        <f t="shared" si="8"/>
        <v>156057</v>
      </c>
      <c r="K80" s="167">
        <f t="shared" si="8"/>
        <v>134485</v>
      </c>
      <c r="L80" s="167">
        <f t="shared" si="8"/>
        <v>147097</v>
      </c>
      <c r="M80" s="167">
        <f t="shared" si="8"/>
        <v>79942</v>
      </c>
      <c r="N80" s="167">
        <f t="shared" si="8"/>
        <v>113096</v>
      </c>
      <c r="O80" s="167">
        <f>IFERROR(ROUNDDOWN(O66/O67,0),0)</f>
        <v>139690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1216451</v>
      </c>
      <c r="D81" s="168">
        <f t="shared" ref="D81:N81" si="9">IFERROR(ROUNDDOWN(D12/D67,0),0)</f>
        <v>1459019</v>
      </c>
      <c r="E81" s="168">
        <f t="shared" si="9"/>
        <v>1546989</v>
      </c>
      <c r="F81" s="168">
        <f t="shared" si="9"/>
        <v>1629406</v>
      </c>
      <c r="G81" s="168">
        <f t="shared" si="9"/>
        <v>1548914</v>
      </c>
      <c r="H81" s="168">
        <f t="shared" si="9"/>
        <v>941450</v>
      </c>
      <c r="I81" s="168">
        <f t="shared" si="9"/>
        <v>878337</v>
      </c>
      <c r="J81" s="168">
        <f t="shared" si="9"/>
        <v>1177738</v>
      </c>
      <c r="K81" s="168">
        <f t="shared" si="9"/>
        <v>1040571</v>
      </c>
      <c r="L81" s="168">
        <f t="shared" si="9"/>
        <v>1116692</v>
      </c>
      <c r="M81" s="168">
        <f t="shared" si="9"/>
        <v>942315</v>
      </c>
      <c r="N81" s="168">
        <f t="shared" si="9"/>
        <v>1012464</v>
      </c>
      <c r="O81" s="168">
        <f>IFERROR(ROUNDDOWN(O12/O67,0),0)</f>
        <v>1163197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"/>
    <row r="83" spans="1:61" customFormat="1" ht="13"/>
    <row r="84" spans="1:61" customFormat="1" ht="13"/>
    <row r="85" spans="1:61" customFormat="1" ht="13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2</v>
      </c>
      <c r="D87" s="150">
        <f>SUMIF('内訳ﾘｽﾄ(4～3月)'!$D$24:$D$25,'採算表(VND)'!$B87,'内訳ﾘｽﾄ(4～3月)'!G$24:G$25)</f>
        <v>2</v>
      </c>
      <c r="E87" s="150">
        <f>SUMIF('内訳ﾘｽﾄ(4～3月)'!$D$24:$D$25,'採算表(VND)'!$B87,'内訳ﾘｽﾄ(4～3月)'!H$24:H$25)</f>
        <v>2</v>
      </c>
      <c r="F87" s="150">
        <f>SUMIF('内訳ﾘｽﾄ(4～3月)'!$D$24:$D$25,'採算表(VND)'!$B87,'内訳ﾘｽﾄ(4～3月)'!I$24:I$25)</f>
        <v>2</v>
      </c>
      <c r="G87" s="150">
        <f>SUMIF('内訳ﾘｽﾄ(4～3月)'!$D$24:$D$25,'採算表(VND)'!$B87,'内訳ﾘｽﾄ(4～3月)'!J$24:J$25)</f>
        <v>2</v>
      </c>
      <c r="H87" s="150">
        <f>SUMIF('内訳ﾘｽﾄ(4～3月)'!$D$24:$D$25,'採算表(VND)'!$B87,'内訳ﾘｽﾄ(4～3月)'!K$24:K$25)</f>
        <v>2</v>
      </c>
      <c r="I87" s="150">
        <f>SUMIF('内訳ﾘｽﾄ(4～3月)'!$D$24:$D$25,'採算表(VND)'!$B87,'内訳ﾘｽﾄ(4～3月)'!L$24:L$25)</f>
        <v>2</v>
      </c>
      <c r="J87" s="150">
        <f>SUMIF('内訳ﾘｽﾄ(4～3月)'!$D$24:$D$25,'採算表(VND)'!$B87,'内訳ﾘｽﾄ(4～3月)'!M$24:M$25)</f>
        <v>2</v>
      </c>
      <c r="K87" s="150">
        <f>SUMIF('内訳ﾘｽﾄ(4～3月)'!$D$24:$D$25,'採算表(VND)'!$B87,'内訳ﾘｽﾄ(4～3月)'!N$24:N$25)</f>
        <v>2</v>
      </c>
      <c r="L87" s="150">
        <f>SUMIF('内訳ﾘｽﾄ(4～3月)'!$D$24:$D$25,'採算表(VND)'!$B87,'内訳ﾘｽﾄ(4～3月)'!O$24:O$25)</f>
        <v>2</v>
      </c>
      <c r="M87" s="150">
        <f>SUMIF('内訳ﾘｽﾄ(4～3月)'!$D$24:$D$25,'採算表(VND)'!$B87,'内訳ﾘｽﾄ(4～3月)'!P$24:P$25)</f>
        <v>2</v>
      </c>
      <c r="N87" s="150">
        <f>SUMIF('内訳ﾘｽﾄ(4～3月)'!$D$24:$D$25,'採算表(VND)'!$B87,'内訳ﾘｽﾄ(4～3月)'!Q$24:Q$25)</f>
        <v>2</v>
      </c>
      <c r="O87" s="150">
        <f>SUMIF('内訳ﾘｽﾄ(4～3月)'!$D$24:$D$25,'採算表(VND)'!$B87,'内訳ﾘｽﾄ(4～3月)'!R$24:R$25)</f>
        <v>2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1005</v>
      </c>
      <c r="D88" s="150">
        <f>SUMIF('内訳ﾘｽﾄ(4～3月)'!$D$24:$D$25,'採算表(VND)'!$B88,'内訳ﾘｽﾄ(4～3月)'!G$24:G$25)</f>
        <v>1042</v>
      </c>
      <c r="E88" s="150">
        <f>SUMIF('内訳ﾘｽﾄ(4～3月)'!$D$24:$D$25,'採算表(VND)'!$B88,'内訳ﾘｽﾄ(4～3月)'!H$24:H$25)</f>
        <v>1038</v>
      </c>
      <c r="F88" s="150">
        <f>SUMIF('内訳ﾘｽﾄ(4～3月)'!$D$24:$D$25,'採算表(VND)'!$B88,'内訳ﾘｽﾄ(4～3月)'!I$24:I$25)</f>
        <v>1190</v>
      </c>
      <c r="G88" s="150">
        <f>SUMIF('内訳ﾘｽﾄ(4～3月)'!$D$24:$D$25,'採算表(VND)'!$B88,'内訳ﾘｽﾄ(4～3月)'!J$24:J$25)</f>
        <v>1270</v>
      </c>
      <c r="H88" s="150">
        <f>SUMIF('内訳ﾘｽﾄ(4～3月)'!$D$24:$D$25,'採算表(VND)'!$B88,'内訳ﾘｽﾄ(4～3月)'!K$24:K$25)</f>
        <v>1535</v>
      </c>
      <c r="I88" s="150">
        <f>SUMIF('内訳ﾘｽﾄ(4～3月)'!$D$24:$D$25,'採算表(VND)'!$B88,'内訳ﾘｽﾄ(4～3月)'!L$24:L$25)</f>
        <v>1836</v>
      </c>
      <c r="J88" s="150">
        <f>SUMIF('内訳ﾘｽﾄ(4～3月)'!$D$24:$D$25,'採算表(VND)'!$B88,'内訳ﾘｽﾄ(4～3月)'!M$24:M$25)</f>
        <v>1842</v>
      </c>
      <c r="K88" s="150">
        <f>SUMIF('内訳ﾘｽﾄ(4～3月)'!$D$24:$D$25,'採算表(VND)'!$B88,'内訳ﾘｽﾄ(4～3月)'!N$24:N$25)</f>
        <v>1837</v>
      </c>
      <c r="L88" s="150">
        <f>SUMIF('内訳ﾘｽﾄ(4～3月)'!$D$24:$D$25,'採算表(VND)'!$B88,'内訳ﾘｽﾄ(4～3月)'!O$24:O$25)</f>
        <v>1865</v>
      </c>
      <c r="M88" s="150">
        <f>SUMIF('内訳ﾘｽﾄ(4～3月)'!$D$24:$D$25,'採算表(VND)'!$B88,'内訳ﾘｽﾄ(4～3月)'!P$24:P$25)</f>
        <v>2055</v>
      </c>
      <c r="N88" s="150">
        <f>SUMIF('内訳ﾘｽﾄ(4～3月)'!$D$24:$D$25,'採算表(VND)'!$B88,'内訳ﾘｽﾄ(4～3月)'!Q$24:Q$25)</f>
        <v>1882</v>
      </c>
      <c r="O88" s="150">
        <f>SUMIF('内訳ﾘｽﾄ(4～3月)'!$D$24:$D$25,'採算表(VND)'!$B88,'内訳ﾘｽﾄ(4～3月)'!R$24:R$25)</f>
        <v>1882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1007</v>
      </c>
      <c r="D89" s="151">
        <f t="shared" si="10"/>
        <v>1044</v>
      </c>
      <c r="E89" s="151">
        <f t="shared" si="10"/>
        <v>1040</v>
      </c>
      <c r="F89" s="151">
        <f t="shared" si="10"/>
        <v>1192</v>
      </c>
      <c r="G89" s="151">
        <f t="shared" si="10"/>
        <v>1272</v>
      </c>
      <c r="H89" s="151">
        <f t="shared" si="10"/>
        <v>1537</v>
      </c>
      <c r="I89" s="151">
        <f t="shared" si="10"/>
        <v>1838</v>
      </c>
      <c r="J89" s="151">
        <f t="shared" si="10"/>
        <v>1844</v>
      </c>
      <c r="K89" s="151">
        <f t="shared" si="10"/>
        <v>1839</v>
      </c>
      <c r="L89" s="151">
        <f t="shared" si="10"/>
        <v>1867</v>
      </c>
      <c r="M89" s="151">
        <f t="shared" si="10"/>
        <v>2057</v>
      </c>
      <c r="N89" s="151">
        <f t="shared" si="10"/>
        <v>1884</v>
      </c>
      <c r="O89" s="151">
        <f>O87+O88</f>
        <v>1884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340</v>
      </c>
      <c r="D92" s="161">
        <f>SUMIF('内訳ﾘｽﾄ(4～3月)'!$B$8:$B$15,$B92,'内訳ﾘｽﾄ(4～3月)'!G$8:G$15)</f>
        <v>323</v>
      </c>
      <c r="E92" s="161">
        <f>SUMIF('内訳ﾘｽﾄ(4～3月)'!$B$8:$B$15,$B92,'内訳ﾘｽﾄ(4～3月)'!H$8:H$15)</f>
        <v>357</v>
      </c>
      <c r="F92" s="161">
        <f>SUMIF('内訳ﾘｽﾄ(4～3月)'!$B$8:$B$15,$B92,'内訳ﾘｽﾄ(4～3月)'!I$8:I$15)</f>
        <v>391</v>
      </c>
      <c r="G92" s="161">
        <f>SUMIF('内訳ﾘｽﾄ(4～3月)'!$B$8:$B$15,$B92,'内訳ﾘｽﾄ(4～3月)'!J$8:J$15)</f>
        <v>340</v>
      </c>
      <c r="H92" s="161">
        <f>SUMIF('内訳ﾘｽﾄ(4～3月)'!$B$8:$B$15,$B92,'内訳ﾘｽﾄ(4～3月)'!K$8:K$15)</f>
        <v>323</v>
      </c>
      <c r="I92" s="161">
        <f>SUMIF('内訳ﾘｽﾄ(4～3月)'!$B$8:$B$15,$B92,'内訳ﾘｽﾄ(4～3月)'!L$8:L$15)</f>
        <v>391</v>
      </c>
      <c r="J92" s="161">
        <f>SUMIF('内訳ﾘｽﾄ(4～3月)'!$B$8:$B$15,$B92,'内訳ﾘｽﾄ(4～3月)'!M$8:M$15)</f>
        <v>340</v>
      </c>
      <c r="K92" s="161">
        <f>SUMIF('内訳ﾘｽﾄ(4～3月)'!$B$8:$B$15,$B92,'内訳ﾘｽﾄ(4～3月)'!N$8:N$15)</f>
        <v>374</v>
      </c>
      <c r="L92" s="161">
        <f>SUMIF('内訳ﾘｽﾄ(4～3月)'!$B$8:$B$15,$B92,'内訳ﾘｽﾄ(4～3月)'!O$8:O$15)</f>
        <v>340</v>
      </c>
      <c r="M92" s="161">
        <f>SUMIF('内訳ﾘｽﾄ(4～3月)'!$B$8:$B$15,$B92,'内訳ﾘｽﾄ(4～3月)'!P$8:P$15)</f>
        <v>255</v>
      </c>
      <c r="N92" s="161">
        <f>SUMIF('内訳ﾘｽﾄ(4～3月)'!$B$8:$B$15,$B92,'内訳ﾘｽﾄ(4～3月)'!Q$8:Q$15)</f>
        <v>340</v>
      </c>
      <c r="O92" s="161">
        <f>SUMIF('内訳ﾘｽﾄ(4～3月)'!$B$8:$B$15,$B92,'内訳ﾘｽﾄ(4～3月)'!R$8:R$15)</f>
        <v>4114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90504</v>
      </c>
      <c r="D93" s="161">
        <f>SUMIF('内訳ﾘｽﾄ(4～3月)'!$B$8:$B$15,$B93,'内訳ﾘｽﾄ(4～3月)'!G$8:G$15)</f>
        <v>89692</v>
      </c>
      <c r="E93" s="161">
        <f>SUMIF('内訳ﾘｽﾄ(4～3月)'!$B$8:$B$15,$B93,'内訳ﾘｽﾄ(4～3月)'!H$8:H$15)</f>
        <v>103958</v>
      </c>
      <c r="F93" s="161">
        <f>SUMIF('内訳ﾘｽﾄ(4～3月)'!$B$8:$B$15,$B93,'内訳ﾘｽﾄ(4～3月)'!I$8:I$15)</f>
        <v>135511</v>
      </c>
      <c r="G93" s="161">
        <f>SUMIF('内訳ﾘｽﾄ(4～3月)'!$B$8:$B$15,$B93,'内訳ﾘｽﾄ(4～3月)'!J$8:J$15)</f>
        <v>126979</v>
      </c>
      <c r="H93" s="161">
        <f>SUMIF('内訳ﾘｽﾄ(4～3月)'!$B$8:$B$15,$B93,'内訳ﾘｽﾄ(4～3月)'!K$8:K$15)</f>
        <v>159480</v>
      </c>
      <c r="I93" s="161">
        <f>SUMIF('内訳ﾘｽﾄ(4～3月)'!$B$8:$B$15,$B93,'内訳ﾘｽﾄ(4～3月)'!L$8:L$15)</f>
        <v>266954</v>
      </c>
      <c r="J93" s="161">
        <f>SUMIF('内訳ﾘｽﾄ(4～3月)'!$B$8:$B$15,$B93,'内訳ﾘｽﾄ(4～3月)'!M$8:M$15)</f>
        <v>176748</v>
      </c>
      <c r="K93" s="161">
        <f>SUMIF('内訳ﾘｽﾄ(4～3月)'!$B$8:$B$15,$B93,'内訳ﾘｽﾄ(4～3月)'!N$8:N$15)</f>
        <v>193853</v>
      </c>
      <c r="L93" s="161">
        <f>SUMIF('内訳ﾘｽﾄ(4～3月)'!$B$8:$B$15,$B93,'内訳ﾘｽﾄ(4～3月)'!O$8:O$15)</f>
        <v>190048</v>
      </c>
      <c r="M93" s="161">
        <f>SUMIF('内訳ﾘｽﾄ(4～3月)'!$B$8:$B$15,$B93,'内訳ﾘｽﾄ(4～3月)'!P$8:P$15)</f>
        <v>153306</v>
      </c>
      <c r="N93" s="161">
        <f>SUMIF('内訳ﾘｽﾄ(4～3月)'!$B$8:$B$15,$B93,'内訳ﾘｽﾄ(4～3月)'!Q$8:Q$15)</f>
        <v>184637</v>
      </c>
      <c r="O93" s="161">
        <f>SUMIF('内訳ﾘｽﾄ(4～3月)'!$B$8:$B$15,$B93,'内訳ﾘｽﾄ(4～3月)'!R$8:R$15)</f>
        <v>1871670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90844</v>
      </c>
      <c r="D94" s="169">
        <f t="shared" si="11"/>
        <v>90015</v>
      </c>
      <c r="E94" s="169">
        <f t="shared" si="11"/>
        <v>104315</v>
      </c>
      <c r="F94" s="169">
        <f t="shared" si="11"/>
        <v>135902</v>
      </c>
      <c r="G94" s="169">
        <f t="shared" si="11"/>
        <v>127319</v>
      </c>
      <c r="H94" s="169">
        <f t="shared" si="11"/>
        <v>159803</v>
      </c>
      <c r="I94" s="169">
        <f t="shared" si="11"/>
        <v>267345</v>
      </c>
      <c r="J94" s="169">
        <f t="shared" si="11"/>
        <v>177088</v>
      </c>
      <c r="K94" s="169">
        <f t="shared" si="11"/>
        <v>194227</v>
      </c>
      <c r="L94" s="169">
        <f t="shared" si="11"/>
        <v>190388</v>
      </c>
      <c r="M94" s="169">
        <f t="shared" si="11"/>
        <v>153561</v>
      </c>
      <c r="N94" s="169">
        <f t="shared" si="11"/>
        <v>184977</v>
      </c>
      <c r="O94" s="169">
        <f>O92+O93</f>
        <v>1875784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80</v>
      </c>
      <c r="D97" s="161">
        <f>SUMIF('内訳ﾘｽﾄ(4～3月)'!$B$16:$B$23,$B97,'内訳ﾘｽﾄ(4～3月)'!G$16:G$23)</f>
        <v>76</v>
      </c>
      <c r="E97" s="161">
        <f>SUMIF('内訳ﾘｽﾄ(4～3月)'!$B$16:$B$23,$B97,'内訳ﾘｽﾄ(4～3月)'!H$16:H$23)</f>
        <v>84</v>
      </c>
      <c r="F97" s="161">
        <f>SUMIF('内訳ﾘｽﾄ(4～3月)'!$B$16:$B$23,$B97,'内訳ﾘｽﾄ(4～3月)'!I$16:I$23)</f>
        <v>92</v>
      </c>
      <c r="G97" s="161">
        <f>SUMIF('内訳ﾘｽﾄ(4～3月)'!$B$16:$B$23,$B97,'内訳ﾘｽﾄ(4～3月)'!J$16:J$23)</f>
        <v>80</v>
      </c>
      <c r="H97" s="161">
        <f>SUMIF('内訳ﾘｽﾄ(4～3月)'!$B$16:$B$23,$B97,'内訳ﾘｽﾄ(4～3月)'!K$16:K$23)</f>
        <v>76</v>
      </c>
      <c r="I97" s="161">
        <f>SUMIF('内訳ﾘｽﾄ(4～3月)'!$B$16:$B$23,$B97,'内訳ﾘｽﾄ(4～3月)'!L$16:L$23)</f>
        <v>92</v>
      </c>
      <c r="J97" s="161">
        <f>SUMIF('内訳ﾘｽﾄ(4～3月)'!$B$16:$B$23,$B97,'内訳ﾘｽﾄ(4～3月)'!M$16:M$23)</f>
        <v>80</v>
      </c>
      <c r="K97" s="161">
        <f>SUMIF('内訳ﾘｽﾄ(4～3月)'!$B$16:$B$23,$B97,'内訳ﾘｽﾄ(4～3月)'!N$16:N$23)</f>
        <v>88</v>
      </c>
      <c r="L97" s="161">
        <f>SUMIF('内訳ﾘｽﾄ(4～3月)'!$B$16:$B$23,$B97,'内訳ﾘｽﾄ(4～3月)'!O$16:O$23)</f>
        <v>80</v>
      </c>
      <c r="M97" s="161">
        <f>SUMIF('内訳ﾘｽﾄ(4～3月)'!$B$16:$B$23,$B97,'内訳ﾘｽﾄ(4～3月)'!P$16:P$23)</f>
        <v>60</v>
      </c>
      <c r="N97" s="161">
        <f>SUMIF('内訳ﾘｽﾄ(4～3月)'!$B$16:$B$23,$B97,'内訳ﾘｽﾄ(4～3月)'!Q$16:Q$23)</f>
        <v>80</v>
      </c>
      <c r="O97" s="161">
        <f>SUMIF('内訳ﾘｽﾄ(4～3月)'!$B$16:$B$23,$B97,'内訳ﾘｽﾄ(4～3月)'!R$16:R$23)</f>
        <v>968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910</v>
      </c>
      <c r="D98" s="161">
        <f>SUMIF('内訳ﾘｽﾄ(4～3月)'!$B$16:$B$23,$B98,'内訳ﾘｽﾄ(4～3月)'!G$16:G$23)</f>
        <v>953</v>
      </c>
      <c r="E98" s="161">
        <f>SUMIF('内訳ﾘｽﾄ(4～3月)'!$B$16:$B$23,$B98,'内訳ﾘｽﾄ(4～3月)'!H$16:H$23)</f>
        <v>898</v>
      </c>
      <c r="F98" s="161">
        <f>SUMIF('内訳ﾘｽﾄ(4～3月)'!$B$16:$B$23,$B98,'内訳ﾘｽﾄ(4～3月)'!I$16:I$23)</f>
        <v>883</v>
      </c>
      <c r="G98" s="161">
        <f>SUMIF('内訳ﾘｽﾄ(4～3月)'!$B$16:$B$23,$B98,'内訳ﾘｽﾄ(4～3月)'!J$16:J$23)</f>
        <v>1381</v>
      </c>
      <c r="H98" s="161">
        <f>SUMIF('内訳ﾘｽﾄ(4～3月)'!$B$16:$B$23,$B98,'内訳ﾘｽﾄ(4～3月)'!K$16:K$23)</f>
        <v>1217</v>
      </c>
      <c r="I98" s="161">
        <f>SUMIF('内訳ﾘｽﾄ(4～3月)'!$B$16:$B$23,$B98,'内訳ﾘｽﾄ(4～3月)'!L$16:L$23)</f>
        <v>886</v>
      </c>
      <c r="J98" s="161">
        <f>SUMIF('内訳ﾘｽﾄ(4～3月)'!$B$16:$B$23,$B98,'内訳ﾘｽﾄ(4～3月)'!M$16:M$23)</f>
        <v>946</v>
      </c>
      <c r="K98" s="161">
        <f>SUMIF('内訳ﾘｽﾄ(4～3月)'!$B$16:$B$23,$B98,'内訳ﾘｽﾄ(4～3月)'!N$16:N$23)</f>
        <v>900</v>
      </c>
      <c r="L98" s="161">
        <f>SUMIF('内訳ﾘｽﾄ(4～3月)'!$B$16:$B$23,$B98,'内訳ﾘｽﾄ(4～3月)'!O$16:O$23)</f>
        <v>952</v>
      </c>
      <c r="M98" s="161">
        <f>SUMIF('内訳ﾘｽﾄ(4～3月)'!$B$16:$B$23,$B98,'内訳ﾘｽﾄ(4～3月)'!P$16:P$23)</f>
        <v>4110</v>
      </c>
      <c r="N98" s="161">
        <f>SUMIF('内訳ﾘｽﾄ(4～3月)'!$B$16:$B$23,$B98,'内訳ﾘｽﾄ(4～3月)'!Q$16:Q$23)</f>
        <v>1192</v>
      </c>
      <c r="O98" s="161">
        <f>SUMIF('内訳ﾘｽﾄ(4～3月)'!$B$16:$B$23,$B98,'内訳ﾘｽﾄ(4～3月)'!R$16:R$23)</f>
        <v>15228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990</v>
      </c>
      <c r="D99" s="169">
        <f t="shared" si="12"/>
        <v>1029</v>
      </c>
      <c r="E99" s="169">
        <f t="shared" si="12"/>
        <v>982</v>
      </c>
      <c r="F99" s="169">
        <f t="shared" si="12"/>
        <v>975</v>
      </c>
      <c r="G99" s="169">
        <f t="shared" si="12"/>
        <v>1461</v>
      </c>
      <c r="H99" s="169">
        <f t="shared" si="12"/>
        <v>1293</v>
      </c>
      <c r="I99" s="169">
        <f t="shared" si="12"/>
        <v>978</v>
      </c>
      <c r="J99" s="169">
        <f t="shared" si="12"/>
        <v>1026</v>
      </c>
      <c r="K99" s="169">
        <f t="shared" si="12"/>
        <v>988</v>
      </c>
      <c r="L99" s="169">
        <f t="shared" si="12"/>
        <v>1032</v>
      </c>
      <c r="M99" s="169">
        <f t="shared" si="12"/>
        <v>4170</v>
      </c>
      <c r="N99" s="169">
        <f t="shared" si="12"/>
        <v>1272</v>
      </c>
      <c r="O99" s="169">
        <f>O97+O98</f>
        <v>16196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0B2C2EB4-488F-4AD0-9E72-BBBDFE2D16C1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2887-696E-4953-BDE5-93FC2C5E9419}">
  <sheetPr codeName="Sheet3">
    <tabColor indexed="13"/>
  </sheetPr>
  <dimension ref="A1:BK1001"/>
  <sheetViews>
    <sheetView tabSelected="1" zoomScale="85" zoomScaleNormal="85" workbookViewId="0">
      <pane xSplit="4" ySplit="7" topLeftCell="E10" activePane="bottomRight" state="frozen"/>
      <selection pane="topRight" activeCell="E1" sqref="E1"/>
      <selection pane="bottomLeft" activeCell="A8" sqref="A8"/>
      <selection pane="bottomRight" activeCell="F20" sqref="F20:Q23"/>
    </sheetView>
  </sheetViews>
  <sheetFormatPr defaultColWidth="9" defaultRowHeight="11"/>
  <cols>
    <col min="1" max="1" width="2" style="1" customWidth="1"/>
    <col min="2" max="2" width="12.36328125" style="181" customWidth="1"/>
    <col min="3" max="3" width="31" style="4" bestFit="1" customWidth="1"/>
    <col min="4" max="4" width="19.08984375" style="4" bestFit="1" customWidth="1"/>
    <col min="5" max="5" width="7.6328125" style="3" customWidth="1"/>
    <col min="6" max="6" width="14.08984375" style="124" customWidth="1"/>
    <col min="7" max="9" width="11.6328125" style="125" customWidth="1"/>
    <col min="10" max="10" width="13" style="125" customWidth="1"/>
    <col min="11" max="11" width="13.26953125" style="125" customWidth="1"/>
    <col min="12" max="12" width="11.6328125" style="125" customWidth="1"/>
    <col min="13" max="17" width="12.7265625" style="125" customWidth="1"/>
    <col min="18" max="18" width="14.6328125" style="126" customWidth="1"/>
    <col min="19" max="19" width="53.7265625" style="4" customWidth="1"/>
    <col min="20" max="20" width="18.90625" style="72" customWidth="1"/>
    <col min="21" max="23" width="9" style="4" customWidth="1"/>
    <col min="24" max="16384" width="9" style="4"/>
  </cols>
  <sheetData>
    <row r="1" spans="1:55" ht="25">
      <c r="A1" s="254" t="s">
        <v>671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6.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5" thickBot="1">
      <c r="A3" s="111"/>
      <c r="B3" s="172"/>
      <c r="D3" s="113"/>
      <c r="E3" s="258" t="s">
        <v>577</v>
      </c>
      <c r="F3" s="275" t="str">
        <f t="array" ref="F3">IF(SUM((F8:F25)-ROUNDDOWN((F8:F25)*4,0)/4)&lt;&gt;0,"時間➝0.25の倍数では無い",IF(SUM(ROUND((F26:F1001),0)-ROUND((F26:F1001)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1001),0)-ROUND((G26:G1001)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1001),0)-ROUND((H26:H1001)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1001),0)-ROUND((I26:I1001)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1001),0)-ROUND((J26:J1001)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1001),0)-ROUND((K26:K1001)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1001),0)-ROUND((L26:L1001)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1001),0)-ROUND((M26:M1001)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1001),0)-ROUND((N26:N1001),4))&lt;&gt;0,"経費➝小数点",IF(N5&lt;&gt;IF($D$5="製造",'採算表(VND)'!K13,-VLOOKUP($D$5&amp;"経費",'採算表(VND)'!$B:$N,'採算表(VND)'!K3,0)),"経費➝NG","OK")))</f>
        <v>OK</v>
      </c>
      <c r="O3" s="275" t="str">
        <f t="array" ref="O3">IF(SUM((O8:O25)-ROUNDDOWN((O8:O25)*4,0)/4)&lt;&gt;0,"時間➝0.25の倍数では無い",IF(SUM(ROUND((O26:O1001),0)-ROUND((O26:O1001),4))&lt;&gt;0,"経費➝小数点",IF(O5&lt;&gt;IF($D$5="製造",'採算表(VND)'!L13,-VLOOKUP($D$5&amp;"経費",'採算表(VND)'!$B:$N,'採算表(VND)'!L3,0)),"経費➝NG","OK")))</f>
        <v>OK</v>
      </c>
      <c r="P3" s="275" t="str">
        <f t="array" ref="P3">IF(SUM((P8:P25)-ROUNDDOWN((P8:P25)*4,0)/4)&lt;&gt;0,"時間➝0.25の倍数では無い",IF(SUM(ROUND((P26:P1001),0)-ROUND((P26:P1001),4))&lt;&gt;0,"経費➝小数点",IF(P5&lt;&gt;IF($D$5="製造",'採算表(VND)'!M13,-VLOOKUP($D$5&amp;"経費",'採算表(VND)'!$B:$N,'採算表(VND)'!M3,0)),"経費➝NG","OK")))</f>
        <v>OK</v>
      </c>
      <c r="Q3" s="275" t="str">
        <f t="array" ref="Q3">IF(SUM((Q8:Q25)-ROUNDDOWN((Q8:Q25)*4,0)/4)&lt;&gt;0,"時間➝0.25の倍数では無い",IF(SUM(ROUND((Q26:Q1001),0)-ROUND((Q26:Q1001)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5" thickBot="1">
      <c r="A4" s="5"/>
      <c r="B4" s="173" t="s">
        <v>578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579</v>
      </c>
      <c r="S4" s="251" t="s">
        <v>588</v>
      </c>
      <c r="T4" s="102"/>
    </row>
    <row r="5" spans="1:55" ht="13.5" thickBot="1">
      <c r="B5" s="174">
        <v>1412000004</v>
      </c>
      <c r="C5" s="7" t="str">
        <f>VLOOKUP($B$5,原価センタ!$A:$E,2,0)</f>
        <v>機器製造1課</v>
      </c>
      <c r="D5" s="62" t="str">
        <f>VLOOKUP($B$5,原価センタ!$A:$E,4,0)</f>
        <v>製造</v>
      </c>
      <c r="E5" s="62" t="str">
        <f>VLOOKUP($B$5,原価センタ!$A:$E,5,0)</f>
        <v>製造</v>
      </c>
      <c r="F5" s="252">
        <f t="shared" ref="F5:R5" si="0">SUM(F29:F1001)</f>
        <v>154349775608</v>
      </c>
      <c r="G5" s="252">
        <f t="shared" si="0"/>
        <v>168799288965</v>
      </c>
      <c r="H5" s="252">
        <f t="shared" si="0"/>
        <v>196845582823</v>
      </c>
      <c r="I5" s="252">
        <f t="shared" si="0"/>
        <v>247981627690</v>
      </c>
      <c r="J5" s="252">
        <f t="shared" si="0"/>
        <v>215560586262</v>
      </c>
      <c r="K5" s="252">
        <f t="shared" si="0"/>
        <v>167217106139</v>
      </c>
      <c r="L5" s="252">
        <f t="shared" si="0"/>
        <v>246582564593</v>
      </c>
      <c r="M5" s="252">
        <f t="shared" si="0"/>
        <v>224649166756</v>
      </c>
      <c r="N5" s="252">
        <f t="shared" si="0"/>
        <v>218436837683</v>
      </c>
      <c r="O5" s="252">
        <f t="shared" si="0"/>
        <v>230062252131</v>
      </c>
      <c r="P5" s="252">
        <f t="shared" si="0"/>
        <v>167418985035</v>
      </c>
      <c r="Q5" s="252">
        <f t="shared" si="0"/>
        <v>209913582207</v>
      </c>
      <c r="R5" s="253">
        <f t="shared" si="0"/>
        <v>2447817355892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22.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640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">
      <c r="A8" s="182"/>
      <c r="B8" s="259" t="s">
        <v>324</v>
      </c>
      <c r="C8" s="183" t="s">
        <v>334</v>
      </c>
      <c r="D8" s="184" t="s">
        <v>81</v>
      </c>
      <c r="E8" s="185"/>
      <c r="F8" s="186">
        <v>340</v>
      </c>
      <c r="G8" s="186">
        <v>323</v>
      </c>
      <c r="H8" s="186">
        <v>357</v>
      </c>
      <c r="I8" s="186">
        <v>391</v>
      </c>
      <c r="J8" s="186">
        <v>340</v>
      </c>
      <c r="K8" s="186">
        <v>323</v>
      </c>
      <c r="L8" s="186">
        <v>391</v>
      </c>
      <c r="M8" s="186">
        <v>340</v>
      </c>
      <c r="N8" s="186">
        <v>374</v>
      </c>
      <c r="O8" s="186">
        <v>340</v>
      </c>
      <c r="P8" s="186">
        <v>255</v>
      </c>
      <c r="Q8" s="186">
        <v>340</v>
      </c>
      <c r="R8" s="187">
        <f>SUM(F8:Q8)</f>
        <v>4114</v>
      </c>
      <c r="S8" s="188"/>
      <c r="T8" s="189"/>
      <c r="U8" s="190"/>
      <c r="V8" s="190"/>
      <c r="W8" s="190"/>
      <c r="BA8"/>
      <c r="BB8"/>
    </row>
    <row r="9" spans="1:55" s="191" customFormat="1" ht="13">
      <c r="A9" s="182"/>
      <c r="B9" s="260" t="s">
        <v>325</v>
      </c>
      <c r="C9" s="183" t="s">
        <v>335</v>
      </c>
      <c r="D9" s="192" t="s">
        <v>81</v>
      </c>
      <c r="E9" s="193"/>
      <c r="F9" s="194">
        <v>159279</v>
      </c>
      <c r="G9" s="194">
        <v>155187</v>
      </c>
      <c r="H9" s="194">
        <v>170744</v>
      </c>
      <c r="I9" s="194">
        <v>215711</v>
      </c>
      <c r="J9" s="194">
        <v>201470</v>
      </c>
      <c r="K9" s="194">
        <v>229429</v>
      </c>
      <c r="L9" s="194">
        <v>344203</v>
      </c>
      <c r="M9" s="194">
        <v>252496</v>
      </c>
      <c r="N9" s="194">
        <v>272541</v>
      </c>
      <c r="O9" s="194">
        <v>266123</v>
      </c>
      <c r="P9" s="194">
        <v>212872</v>
      </c>
      <c r="Q9" s="194">
        <v>260491</v>
      </c>
      <c r="R9" s="195">
        <f t="shared" ref="R9:R23" si="1">SUM(F9:Q9)</f>
        <v>2740546</v>
      </c>
      <c r="S9" s="196"/>
      <c r="T9" s="197"/>
      <c r="U9" s="190"/>
      <c r="V9" s="190"/>
      <c r="W9" s="190"/>
      <c r="BA9"/>
      <c r="BB9"/>
    </row>
    <row r="10" spans="1:55" s="191" customFormat="1" ht="13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1"/>
        <v>0</v>
      </c>
      <c r="S10" s="201"/>
      <c r="T10" s="202"/>
      <c r="U10" s="190"/>
      <c r="V10" s="190"/>
      <c r="W10" s="190"/>
      <c r="BA10"/>
      <c r="BB10"/>
    </row>
    <row r="11" spans="1:55" s="208" customFormat="1" ht="13">
      <c r="A11" s="203"/>
      <c r="B11" s="262" t="s">
        <v>325</v>
      </c>
      <c r="C11" s="183" t="s">
        <v>337</v>
      </c>
      <c r="D11" s="198" t="s">
        <v>86</v>
      </c>
      <c r="E11" s="204"/>
      <c r="F11" s="194">
        <v>-68775</v>
      </c>
      <c r="G11" s="194">
        <v>-65495</v>
      </c>
      <c r="H11" s="194">
        <v>-66786</v>
      </c>
      <c r="I11" s="194">
        <v>-80200</v>
      </c>
      <c r="J11" s="194">
        <v>-74491</v>
      </c>
      <c r="K11" s="194">
        <v>-69949</v>
      </c>
      <c r="L11" s="194">
        <v>-77249</v>
      </c>
      <c r="M11" s="194">
        <v>-75748</v>
      </c>
      <c r="N11" s="194">
        <v>-78688</v>
      </c>
      <c r="O11" s="194">
        <v>-76075</v>
      </c>
      <c r="P11" s="194">
        <v>-59566</v>
      </c>
      <c r="Q11" s="194">
        <v>-75854</v>
      </c>
      <c r="R11" s="205">
        <f t="shared" si="1"/>
        <v>-868876</v>
      </c>
      <c r="S11" s="206"/>
      <c r="T11" s="207"/>
      <c r="U11" s="190"/>
      <c r="V11" s="190"/>
      <c r="W11" s="190"/>
      <c r="BA11"/>
      <c r="BB11"/>
    </row>
    <row r="12" spans="1:55" s="208" customFormat="1" ht="13">
      <c r="A12" s="203"/>
      <c r="B12" s="261"/>
      <c r="C12" s="209" t="s">
        <v>449</v>
      </c>
      <c r="D12" s="210" t="s">
        <v>450</v>
      </c>
      <c r="E12" s="211"/>
      <c r="F12" s="212">
        <v>23264.25</v>
      </c>
      <c r="G12" s="212">
        <v>21969.5</v>
      </c>
      <c r="H12" s="212">
        <v>24336.75</v>
      </c>
      <c r="I12" s="212">
        <v>21411</v>
      </c>
      <c r="J12" s="212">
        <v>18439</v>
      </c>
      <c r="K12" s="212">
        <v>17861.25</v>
      </c>
      <c r="L12" s="212">
        <v>25600.25</v>
      </c>
      <c r="M12" s="212">
        <v>22077.5</v>
      </c>
      <c r="N12" s="212">
        <v>24252.25</v>
      </c>
      <c r="O12" s="212">
        <v>22787.75</v>
      </c>
      <c r="P12" s="212">
        <v>18137.75</v>
      </c>
      <c r="Q12" s="212">
        <v>23837.75</v>
      </c>
      <c r="R12" s="213">
        <f t="shared" si="1"/>
        <v>263975</v>
      </c>
      <c r="S12" s="214" t="s">
        <v>690</v>
      </c>
      <c r="T12" s="207"/>
      <c r="U12" s="190"/>
      <c r="V12" s="190"/>
      <c r="W12" s="190"/>
      <c r="BA12"/>
      <c r="BB12"/>
    </row>
    <row r="13" spans="1:55" s="208" customFormat="1" ht="13">
      <c r="A13" s="203"/>
      <c r="B13" s="261"/>
      <c r="C13" s="209" t="s">
        <v>451</v>
      </c>
      <c r="D13" s="210" t="s">
        <v>452</v>
      </c>
      <c r="E13" s="211"/>
      <c r="F13" s="212">
        <v>5094.25</v>
      </c>
      <c r="G13" s="212">
        <v>4990.5</v>
      </c>
      <c r="H13" s="212">
        <v>5531.5</v>
      </c>
      <c r="I13" s="212">
        <v>5085</v>
      </c>
      <c r="J13" s="212">
        <v>4463.75</v>
      </c>
      <c r="K13" s="212">
        <v>4249.25</v>
      </c>
      <c r="L13" s="212">
        <v>6029.25</v>
      </c>
      <c r="M13" s="212">
        <v>5232.5</v>
      </c>
      <c r="N13" s="212">
        <v>5798.25</v>
      </c>
      <c r="O13" s="212">
        <v>5612.75</v>
      </c>
      <c r="P13" s="212">
        <v>4189.25</v>
      </c>
      <c r="Q13" s="212">
        <v>5612.75</v>
      </c>
      <c r="R13" s="213">
        <f t="shared" si="1"/>
        <v>61889</v>
      </c>
      <c r="S13" s="214" t="s">
        <v>690</v>
      </c>
      <c r="T13" s="207"/>
      <c r="U13" s="190"/>
      <c r="V13" s="190"/>
      <c r="W13" s="190"/>
      <c r="BA13"/>
      <c r="BB13"/>
    </row>
    <row r="14" spans="1:55" s="208" customFormat="1" ht="13">
      <c r="A14" s="203"/>
      <c r="B14" s="262"/>
      <c r="C14" s="209" t="s">
        <v>453</v>
      </c>
      <c r="D14" s="210" t="s">
        <v>454</v>
      </c>
      <c r="E14" s="211"/>
      <c r="F14" s="212">
        <v>3209.75</v>
      </c>
      <c r="G14" s="212">
        <v>3024.75</v>
      </c>
      <c r="H14" s="212">
        <v>3403.75</v>
      </c>
      <c r="I14" s="212">
        <v>3356.5</v>
      </c>
      <c r="J14" s="212">
        <v>2941</v>
      </c>
      <c r="K14" s="212">
        <v>2844.25</v>
      </c>
      <c r="L14" s="212">
        <v>4009</v>
      </c>
      <c r="M14" s="212">
        <v>3496.75</v>
      </c>
      <c r="N14" s="212">
        <v>3879</v>
      </c>
      <c r="O14" s="212">
        <v>3961</v>
      </c>
      <c r="P14" s="212">
        <v>2910.25</v>
      </c>
      <c r="Q14" s="212">
        <v>3950.75</v>
      </c>
      <c r="R14" s="213">
        <f t="shared" si="1"/>
        <v>40986.75</v>
      </c>
      <c r="S14" s="214" t="s">
        <v>690</v>
      </c>
      <c r="T14" s="207"/>
      <c r="U14" s="190"/>
      <c r="V14" s="190"/>
      <c r="W14" s="190"/>
      <c r="BA14"/>
      <c r="BB14"/>
    </row>
    <row r="15" spans="1:55" s="208" customFormat="1" ht="13">
      <c r="A15" s="203"/>
      <c r="B15" s="262"/>
      <c r="C15" s="209" t="s">
        <v>455</v>
      </c>
      <c r="D15" s="210" t="s">
        <v>448</v>
      </c>
      <c r="E15" s="211"/>
      <c r="F15" s="212">
        <v>7292.75</v>
      </c>
      <c r="G15" s="212">
        <v>7263</v>
      </c>
      <c r="H15" s="212">
        <v>7672.75</v>
      </c>
      <c r="I15" s="212">
        <v>7806.5</v>
      </c>
      <c r="J15" s="212">
        <v>7135.75</v>
      </c>
      <c r="K15" s="212">
        <v>6683</v>
      </c>
      <c r="L15" s="212">
        <v>8903.25</v>
      </c>
      <c r="M15" s="212">
        <v>8129.75</v>
      </c>
      <c r="N15" s="212">
        <v>8768.5</v>
      </c>
      <c r="O15" s="212">
        <v>10078.25</v>
      </c>
      <c r="P15" s="212">
        <v>7548.5</v>
      </c>
      <c r="Q15" s="212">
        <v>10131.5</v>
      </c>
      <c r="R15" s="213">
        <f t="shared" si="1"/>
        <v>97413.5</v>
      </c>
      <c r="S15" s="214" t="s">
        <v>690</v>
      </c>
      <c r="T15" s="207"/>
      <c r="U15" s="190"/>
      <c r="V15" s="190"/>
      <c r="W15" s="190"/>
      <c r="BA15"/>
      <c r="BB15"/>
    </row>
    <row r="16" spans="1:55" s="208" customFormat="1" ht="13">
      <c r="A16" s="203"/>
      <c r="B16" s="263" t="s">
        <v>326</v>
      </c>
      <c r="C16" s="183" t="s">
        <v>338</v>
      </c>
      <c r="D16" s="215" t="s">
        <v>86</v>
      </c>
      <c r="E16" s="204"/>
      <c r="F16" s="194">
        <v>80</v>
      </c>
      <c r="G16" s="194">
        <v>76</v>
      </c>
      <c r="H16" s="194">
        <v>84</v>
      </c>
      <c r="I16" s="194">
        <v>92</v>
      </c>
      <c r="J16" s="194">
        <v>80</v>
      </c>
      <c r="K16" s="194">
        <v>76</v>
      </c>
      <c r="L16" s="194">
        <v>92</v>
      </c>
      <c r="M16" s="194">
        <v>80</v>
      </c>
      <c r="N16" s="194">
        <v>88</v>
      </c>
      <c r="O16" s="194">
        <v>80</v>
      </c>
      <c r="P16" s="194">
        <v>60</v>
      </c>
      <c r="Q16" s="194">
        <v>80</v>
      </c>
      <c r="R16" s="205">
        <f t="shared" si="1"/>
        <v>968</v>
      </c>
      <c r="S16" s="206"/>
      <c r="T16" s="207"/>
      <c r="U16" s="190"/>
      <c r="V16" s="190"/>
      <c r="W16" s="190"/>
      <c r="BA16"/>
      <c r="BB16"/>
    </row>
    <row r="17" spans="1:63" s="191" customFormat="1" ht="13">
      <c r="A17" s="182"/>
      <c r="B17" s="263" t="s">
        <v>327</v>
      </c>
      <c r="C17" s="183" t="s">
        <v>339</v>
      </c>
      <c r="D17" s="215" t="s">
        <v>86</v>
      </c>
      <c r="E17" s="204"/>
      <c r="F17" s="194">
        <v>1813</v>
      </c>
      <c r="G17" s="194">
        <v>2416</v>
      </c>
      <c r="H17" s="194">
        <v>1758</v>
      </c>
      <c r="I17" s="194">
        <v>2061</v>
      </c>
      <c r="J17" s="194">
        <v>3674</v>
      </c>
      <c r="K17" s="194">
        <v>8233</v>
      </c>
      <c r="L17" s="194">
        <v>2980</v>
      </c>
      <c r="M17" s="194">
        <v>3352</v>
      </c>
      <c r="N17" s="194">
        <v>4289</v>
      </c>
      <c r="O17" s="194">
        <v>7050</v>
      </c>
      <c r="P17" s="194">
        <v>16558</v>
      </c>
      <c r="Q17" s="194">
        <v>5714</v>
      </c>
      <c r="R17" s="205">
        <f t="shared" si="1"/>
        <v>59898</v>
      </c>
      <c r="S17" s="206"/>
      <c r="T17" s="207"/>
      <c r="U17" s="190"/>
      <c r="V17" s="190"/>
      <c r="W17" s="190"/>
      <c r="BA17"/>
      <c r="BB17"/>
    </row>
    <row r="18" spans="1:63" s="191" customFormat="1" ht="13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1"/>
        <v>0</v>
      </c>
      <c r="S18" s="201"/>
      <c r="T18" s="202"/>
      <c r="U18" s="190"/>
      <c r="V18" s="190"/>
      <c r="W18" s="190"/>
      <c r="BA18"/>
      <c r="BB18"/>
    </row>
    <row r="19" spans="1:63" s="208" customFormat="1" ht="13">
      <c r="A19" s="203"/>
      <c r="B19" s="262" t="s">
        <v>327</v>
      </c>
      <c r="C19" s="183" t="s">
        <v>341</v>
      </c>
      <c r="D19" s="198" t="s">
        <v>86</v>
      </c>
      <c r="E19" s="204"/>
      <c r="F19" s="216">
        <v>-903</v>
      </c>
      <c r="G19" s="216">
        <v>-1463</v>
      </c>
      <c r="H19" s="216">
        <v>-860</v>
      </c>
      <c r="I19" s="216">
        <v>-1178</v>
      </c>
      <c r="J19" s="216">
        <v>-2293</v>
      </c>
      <c r="K19" s="216">
        <v>-7016</v>
      </c>
      <c r="L19" s="216">
        <v>-2094</v>
      </c>
      <c r="M19" s="216">
        <v>-2406</v>
      </c>
      <c r="N19" s="216">
        <v>-3389</v>
      </c>
      <c r="O19" s="216">
        <v>-6098</v>
      </c>
      <c r="P19" s="216">
        <v>-12448</v>
      </c>
      <c r="Q19" s="216">
        <v>-4522</v>
      </c>
      <c r="R19" s="216">
        <f t="shared" si="1"/>
        <v>-44670</v>
      </c>
      <c r="S19" s="206"/>
      <c r="T19" s="207"/>
      <c r="U19" s="190"/>
      <c r="V19" s="190"/>
      <c r="W19" s="190"/>
      <c r="BA19"/>
      <c r="BB19"/>
    </row>
    <row r="20" spans="1:63" s="208" customFormat="1" ht="13">
      <c r="A20" s="203"/>
      <c r="B20" s="262"/>
      <c r="C20" s="209" t="s">
        <v>456</v>
      </c>
      <c r="D20" s="210" t="s">
        <v>450</v>
      </c>
      <c r="E20" s="211"/>
      <c r="F20" s="212">
        <v>1745.5</v>
      </c>
      <c r="G20" s="212">
        <v>1743</v>
      </c>
      <c r="H20" s="212">
        <v>1770</v>
      </c>
      <c r="I20" s="212">
        <v>1465.75</v>
      </c>
      <c r="J20" s="212">
        <v>1742.25</v>
      </c>
      <c r="K20" s="212">
        <v>1788.5</v>
      </c>
      <c r="L20" s="212">
        <v>2166</v>
      </c>
      <c r="M20" s="212">
        <v>1930</v>
      </c>
      <c r="N20" s="212">
        <v>2232.75</v>
      </c>
      <c r="O20" s="212">
        <v>2410</v>
      </c>
      <c r="P20" s="212">
        <v>2456.5</v>
      </c>
      <c r="Q20" s="212">
        <v>2523.75</v>
      </c>
      <c r="R20" s="213">
        <f t="shared" si="1"/>
        <v>23974</v>
      </c>
      <c r="S20" s="214" t="s">
        <v>690</v>
      </c>
      <c r="T20" s="207"/>
      <c r="U20" s="190"/>
      <c r="V20" s="190"/>
      <c r="W20" s="190"/>
      <c r="BA20"/>
      <c r="BB20"/>
    </row>
    <row r="21" spans="1:63" s="208" customFormat="1" ht="13">
      <c r="A21" s="203"/>
      <c r="B21" s="262"/>
      <c r="C21" s="209" t="s">
        <v>342</v>
      </c>
      <c r="D21" s="210" t="s">
        <v>452</v>
      </c>
      <c r="E21" s="211"/>
      <c r="F21" s="212">
        <v>282</v>
      </c>
      <c r="G21" s="212">
        <v>277</v>
      </c>
      <c r="H21" s="212">
        <v>316.5</v>
      </c>
      <c r="I21" s="212">
        <v>304.75</v>
      </c>
      <c r="J21" s="212">
        <v>255.25</v>
      </c>
      <c r="K21" s="212">
        <v>247.75</v>
      </c>
      <c r="L21" s="212">
        <v>353.75</v>
      </c>
      <c r="M21" s="212">
        <v>296.25</v>
      </c>
      <c r="N21" s="212">
        <v>302.75</v>
      </c>
      <c r="O21" s="212">
        <v>294.5</v>
      </c>
      <c r="P21" s="212">
        <v>248.25</v>
      </c>
      <c r="Q21" s="212">
        <v>339.5</v>
      </c>
      <c r="R21" s="213">
        <f t="shared" si="1"/>
        <v>3518.25</v>
      </c>
      <c r="S21" s="214" t="s">
        <v>690</v>
      </c>
      <c r="T21" s="207"/>
      <c r="U21" s="190"/>
      <c r="V21" s="190"/>
      <c r="W21" s="190"/>
      <c r="BA21"/>
      <c r="BB21"/>
    </row>
    <row r="22" spans="1:63" s="208" customFormat="1" ht="13">
      <c r="A22" s="203"/>
      <c r="B22" s="262"/>
      <c r="C22" s="209" t="s">
        <v>457</v>
      </c>
      <c r="D22" s="210" t="s">
        <v>454</v>
      </c>
      <c r="E22" s="211"/>
      <c r="F22" s="212">
        <v>253</v>
      </c>
      <c r="G22" s="212">
        <v>239</v>
      </c>
      <c r="H22" s="212">
        <v>262</v>
      </c>
      <c r="I22" s="212">
        <v>242.5</v>
      </c>
      <c r="J22" s="212">
        <v>223.5</v>
      </c>
      <c r="K22" s="212">
        <v>206.75</v>
      </c>
      <c r="L22" s="212">
        <v>270</v>
      </c>
      <c r="M22" s="212">
        <v>245</v>
      </c>
      <c r="N22" s="212">
        <v>264.5</v>
      </c>
      <c r="O22" s="212">
        <v>303.5</v>
      </c>
      <c r="P22" s="212">
        <v>252.25</v>
      </c>
      <c r="Q22" s="212">
        <v>309.5</v>
      </c>
      <c r="R22" s="213">
        <f t="shared" si="1"/>
        <v>3071.5</v>
      </c>
      <c r="S22" s="214" t="s">
        <v>690</v>
      </c>
      <c r="T22" s="207"/>
      <c r="U22" s="190"/>
      <c r="V22" s="190"/>
      <c r="W22" s="190"/>
      <c r="BA22"/>
      <c r="BB22"/>
    </row>
    <row r="23" spans="1:63" s="208" customFormat="1" ht="13">
      <c r="A23" s="203"/>
      <c r="B23" s="262"/>
      <c r="C23" s="209" t="s">
        <v>458</v>
      </c>
      <c r="D23" s="210" t="s">
        <v>448</v>
      </c>
      <c r="E23" s="211"/>
      <c r="F23" s="212">
        <v>409.25</v>
      </c>
      <c r="G23" s="212">
        <v>360.5</v>
      </c>
      <c r="H23" s="212">
        <v>322.25</v>
      </c>
      <c r="I23" s="212">
        <v>337</v>
      </c>
      <c r="J23" s="212">
        <v>312.75</v>
      </c>
      <c r="K23" s="212">
        <v>423.25</v>
      </c>
      <c r="L23" s="212">
        <v>379.5</v>
      </c>
      <c r="M23" s="212">
        <v>360</v>
      </c>
      <c r="N23" s="212">
        <v>364.5</v>
      </c>
      <c r="O23" s="212">
        <v>409</v>
      </c>
      <c r="P23" s="212">
        <v>663.75</v>
      </c>
      <c r="Q23" s="212">
        <v>446.75</v>
      </c>
      <c r="R23" s="213">
        <f t="shared" si="1"/>
        <v>4788.5</v>
      </c>
      <c r="S23" s="214" t="s">
        <v>690</v>
      </c>
      <c r="T23" s="207"/>
      <c r="U23" s="190"/>
      <c r="V23" s="190"/>
      <c r="W23" s="190"/>
      <c r="BA23"/>
      <c r="BB23"/>
    </row>
    <row r="24" spans="1:63" s="208" customFormat="1" ht="13">
      <c r="A24" s="203"/>
      <c r="B24" s="264" t="s">
        <v>343</v>
      </c>
      <c r="C24" s="265" t="s">
        <v>343</v>
      </c>
      <c r="D24" s="266" t="s">
        <v>343</v>
      </c>
      <c r="E24" s="245"/>
      <c r="F24" s="267">
        <v>2</v>
      </c>
      <c r="G24" s="267">
        <v>2</v>
      </c>
      <c r="H24" s="267">
        <v>2</v>
      </c>
      <c r="I24" s="267">
        <v>2</v>
      </c>
      <c r="J24" s="267">
        <v>2</v>
      </c>
      <c r="K24" s="267">
        <v>2</v>
      </c>
      <c r="L24" s="267">
        <v>2</v>
      </c>
      <c r="M24" s="267">
        <v>2</v>
      </c>
      <c r="N24" s="267">
        <v>2</v>
      </c>
      <c r="O24" s="267">
        <v>2</v>
      </c>
      <c r="P24" s="267">
        <v>2</v>
      </c>
      <c r="Q24" s="267">
        <v>2</v>
      </c>
      <c r="R24" s="200">
        <f>Q24</f>
        <v>2</v>
      </c>
      <c r="S24" s="201"/>
      <c r="T24" s="202"/>
      <c r="U24" s="268"/>
      <c r="V24" s="190"/>
      <c r="W24" s="190"/>
      <c r="BA24"/>
      <c r="BB24"/>
    </row>
    <row r="25" spans="1:63" s="191" customFormat="1" ht="1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1005</v>
      </c>
      <c r="G25" s="271">
        <v>1042</v>
      </c>
      <c r="H25" s="271">
        <v>1038</v>
      </c>
      <c r="I25" s="271">
        <v>1190</v>
      </c>
      <c r="J25" s="271">
        <v>1270</v>
      </c>
      <c r="K25" s="271">
        <v>1535</v>
      </c>
      <c r="L25" s="271">
        <v>1836</v>
      </c>
      <c r="M25" s="271">
        <v>1842</v>
      </c>
      <c r="N25" s="271">
        <v>1837</v>
      </c>
      <c r="O25" s="271">
        <v>1865</v>
      </c>
      <c r="P25" s="271">
        <v>2055</v>
      </c>
      <c r="Q25" s="271">
        <v>1882</v>
      </c>
      <c r="R25" s="272">
        <f>Q25</f>
        <v>1882</v>
      </c>
      <c r="S25" s="273"/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  <c r="BE25" s="191">
        <v>12</v>
      </c>
      <c r="BF25" s="191">
        <v>12</v>
      </c>
      <c r="BH25" s="191">
        <v>13</v>
      </c>
      <c r="BI25" s="191">
        <v>14</v>
      </c>
      <c r="BJ25" s="191">
        <v>15</v>
      </c>
      <c r="BK25" s="191">
        <v>16</v>
      </c>
    </row>
    <row r="26" spans="1:63" s="191" customFormat="1" ht="13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>ROUNDDOWN(V26*$B$2,0)+1</f>
        <v>158393778071</v>
      </c>
      <c r="G26" s="220">
        <f t="shared" ref="G26:G28" si="2">ROUNDDOWN(W26*$B$2,0)+1</f>
        <v>185745192386</v>
      </c>
      <c r="H26" s="220">
        <f>ROUNDDOWN(X26*$B$2,0)+1+1</f>
        <v>225982860432</v>
      </c>
      <c r="I26" s="220">
        <f t="shared" ref="I26:I28" si="3">ROUNDDOWN(Y26*$B$2,0)+1</f>
        <v>285642847642</v>
      </c>
      <c r="J26" s="220">
        <f t="shared" ref="J26:J28" si="4">ROUNDDOWN(Z26*$B$2,0)+1</f>
        <v>250050948616</v>
      </c>
      <c r="K26" s="220">
        <f>ROUNDDOWN(AA26*$B$2,0)+1</f>
        <v>177899727073</v>
      </c>
      <c r="L26" s="220">
        <f t="shared" ref="L26:L28" si="5">ROUNDDOWN(AB26*$B$2,0)+1</f>
        <v>277613573963</v>
      </c>
      <c r="M26" s="220">
        <f t="shared" ref="M26:M27" si="6">ROUNDDOWN(AC26*$B$2,0)+1</f>
        <v>256474809803</v>
      </c>
      <c r="N26" s="220">
        <f>ROUNDDOWN(AD26*$B$2,0)+1+1</f>
        <v>248089155990</v>
      </c>
      <c r="O26" s="220">
        <f t="shared" ref="O26:O28" si="7">ROUNDDOWN(AE26*$B$2,0)+1</f>
        <v>264726954363</v>
      </c>
      <c r="P26" s="220">
        <f t="shared" ref="P26:P28" si="8">ROUNDDOWN(AF26*$B$2,0)+1</f>
        <v>179297981540</v>
      </c>
      <c r="Q26" s="220">
        <f t="shared" ref="Q26:Q28" si="9">ROUNDDOWN(AG26*$B$2,0)+1</f>
        <v>234124460994</v>
      </c>
      <c r="R26" s="221">
        <f t="shared" ref="R26:R118" si="10">SUM(F26:Q26)</f>
        <v>2744042290873</v>
      </c>
      <c r="S26" s="222" t="s">
        <v>75</v>
      </c>
      <c r="T26" s="223"/>
      <c r="U26" s="190"/>
      <c r="V26" s="224">
        <v>6238431.5899999999</v>
      </c>
      <c r="W26" s="224">
        <v>7315683.04</v>
      </c>
      <c r="X26" s="225">
        <v>8900467.1300000008</v>
      </c>
      <c r="Y26" s="225">
        <v>11250210.619999999</v>
      </c>
      <c r="Z26" s="225">
        <v>9848402.8599999994</v>
      </c>
      <c r="AA26" s="225">
        <v>7006684.7999999998</v>
      </c>
      <c r="AB26" s="225">
        <v>10933972.98</v>
      </c>
      <c r="AC26" s="225">
        <v>10101410.390000001</v>
      </c>
      <c r="AD26" s="225">
        <v>9771136.5099999998</v>
      </c>
      <c r="AE26" s="225">
        <v>10426425.93</v>
      </c>
      <c r="AF26" s="225">
        <v>7061755.8700000001</v>
      </c>
      <c r="AG26" s="225">
        <v>9221128.8300000001</v>
      </c>
      <c r="BA26"/>
      <c r="BB26"/>
      <c r="BE26" s="191">
        <v>11083454.310000001</v>
      </c>
      <c r="BH26" s="191">
        <v>9446867.5399999991</v>
      </c>
    </row>
    <row r="27" spans="1:63" s="191" customFormat="1" ht="13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ref="F27:F28" si="11">ROUNDDOWN(V27*$B$2,0)+1</f>
        <v>8502734467</v>
      </c>
      <c r="G27" s="230">
        <f>ROUNDDOWN(W27*$B$2,0)+1+1</f>
        <v>10563767972</v>
      </c>
      <c r="H27" s="230">
        <f>ROUNDDOWN(X27*$B$2,0)+1+1</f>
        <v>10877520580</v>
      </c>
      <c r="I27" s="230">
        <f>ROUNDDOWN(Y27*$B$2,0)+1+1</f>
        <v>10858840396</v>
      </c>
      <c r="J27" s="230">
        <f>ROUNDDOWN(Z27*$B$2,0)+1+1</f>
        <v>11620937241</v>
      </c>
      <c r="K27" s="230">
        <f>ROUNDDOWN(AA27*$B$2,0)+1</f>
        <v>11059543775</v>
      </c>
      <c r="L27" s="230">
        <f>ROUNDDOWN(AB27*$B$2,0)+1+1</f>
        <v>8047932538</v>
      </c>
      <c r="M27" s="230">
        <f t="shared" si="6"/>
        <v>9859378025</v>
      </c>
      <c r="N27" s="230">
        <f>ROUNDDOWN(AD27*$B$2,0)+1</f>
        <v>9817167912</v>
      </c>
      <c r="O27" s="230">
        <f>ROUNDDOWN(AE27*$B$2,0)+1+2</f>
        <v>7696184557</v>
      </c>
      <c r="P27" s="230">
        <f>ROUNDDOWN(AF27*$B$2,0)+1+1</f>
        <v>8554581356</v>
      </c>
      <c r="Q27" s="230">
        <f t="shared" si="9"/>
        <v>8815083516</v>
      </c>
      <c r="R27" s="221">
        <f t="shared" si="10"/>
        <v>116273672335</v>
      </c>
      <c r="S27" s="231" t="s">
        <v>75</v>
      </c>
      <c r="T27" s="202"/>
      <c r="U27" s="190"/>
      <c r="V27" s="224">
        <v>334885.17</v>
      </c>
      <c r="W27" s="224">
        <v>416060.18</v>
      </c>
      <c r="X27" s="225">
        <v>428417.51</v>
      </c>
      <c r="Y27" s="225">
        <v>427681.78</v>
      </c>
      <c r="Z27" s="225">
        <v>457697.41</v>
      </c>
      <c r="AA27" s="225">
        <v>435586.6</v>
      </c>
      <c r="AB27" s="225">
        <v>316972.53000000003</v>
      </c>
      <c r="AC27" s="225">
        <v>388317.37</v>
      </c>
      <c r="AD27" s="225">
        <v>386654.9</v>
      </c>
      <c r="AE27" s="225">
        <v>303118.73</v>
      </c>
      <c r="AF27" s="225">
        <v>336927.19</v>
      </c>
      <c r="AG27" s="225">
        <v>347187.22</v>
      </c>
      <c r="BA27"/>
      <c r="BB27"/>
      <c r="BE27" s="191">
        <v>334848.96000000002</v>
      </c>
      <c r="BH27" s="191">
        <v>78773.820000000007</v>
      </c>
    </row>
    <row r="28" spans="1:63" s="191" customFormat="1" ht="13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11"/>
        <v>4640453877</v>
      </c>
      <c r="G28" s="230">
        <f t="shared" si="2"/>
        <v>5306909893</v>
      </c>
      <c r="H28" s="230">
        <f t="shared" ref="H28" si="12">ROUNDDOWN(X28*$B$2,0)+1</f>
        <v>6494246330</v>
      </c>
      <c r="I28" s="230">
        <f t="shared" si="3"/>
        <v>8282404617</v>
      </c>
      <c r="J28" s="230">
        <f t="shared" si="4"/>
        <v>7195684434</v>
      </c>
      <c r="K28" s="230">
        <f>ROUNDDOWN(AA28*$B$2,0)+1</f>
        <v>4999878017</v>
      </c>
      <c r="L28" s="230">
        <f t="shared" si="5"/>
        <v>8077123420</v>
      </c>
      <c r="M28" s="230">
        <f>ROUNDDOWN(AC28*$B$2,0)+1+1</f>
        <v>7370893462</v>
      </c>
      <c r="N28" s="230">
        <f>ROUNDDOWN(AD28*$B$2,0)+1</f>
        <v>7047978109</v>
      </c>
      <c r="O28" s="230">
        <f t="shared" si="7"/>
        <v>7458014168</v>
      </c>
      <c r="P28" s="230">
        <f t="shared" si="8"/>
        <v>4913816073</v>
      </c>
      <c r="Q28" s="230">
        <f t="shared" si="9"/>
        <v>6628997153</v>
      </c>
      <c r="R28" s="221">
        <f t="shared" si="10"/>
        <v>78416399553</v>
      </c>
      <c r="S28" s="231" t="s">
        <v>75</v>
      </c>
      <c r="T28" s="202"/>
      <c r="U28" s="190"/>
      <c r="V28" s="224">
        <v>182766.99</v>
      </c>
      <c r="W28" s="224">
        <v>209015.75</v>
      </c>
      <c r="X28" s="225">
        <v>255779.69</v>
      </c>
      <c r="Y28" s="225">
        <v>326207.34999999998</v>
      </c>
      <c r="Z28" s="225">
        <v>283406.24</v>
      </c>
      <c r="AA28" s="225">
        <v>196923.12</v>
      </c>
      <c r="AB28" s="225">
        <v>318122.23</v>
      </c>
      <c r="AC28" s="225">
        <v>290306.95</v>
      </c>
      <c r="AD28" s="225">
        <v>277588.74</v>
      </c>
      <c r="AE28" s="225">
        <v>293738.25</v>
      </c>
      <c r="AF28" s="225">
        <v>193533.52</v>
      </c>
      <c r="AG28" s="225">
        <v>261086.93</v>
      </c>
      <c r="BA28"/>
      <c r="BB28"/>
      <c r="BE28" s="191">
        <v>327527.38</v>
      </c>
      <c r="BH28" s="191">
        <v>272067.84000000003</v>
      </c>
    </row>
    <row r="29" spans="1:63" s="191" customFormat="1" ht="13.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13">ROUNDUP(V29*$B$2,0)</f>
        <v>133821893381</v>
      </c>
      <c r="G29" s="235">
        <f t="shared" si="13"/>
        <v>147021279442</v>
      </c>
      <c r="H29" s="235">
        <f t="shared" si="13"/>
        <v>177133122486</v>
      </c>
      <c r="I29" s="235">
        <f t="shared" si="13"/>
        <v>221193984994</v>
      </c>
      <c r="J29" s="235">
        <f t="shared" si="13"/>
        <v>194596848673</v>
      </c>
      <c r="K29" s="235">
        <f t="shared" si="13"/>
        <v>140941368714</v>
      </c>
      <c r="L29" s="235">
        <f t="shared" si="13"/>
        <v>211794659551</v>
      </c>
      <c r="M29" s="235">
        <f t="shared" si="13"/>
        <v>197879631966</v>
      </c>
      <c r="N29" s="235">
        <f t="shared" si="13"/>
        <v>190832727347</v>
      </c>
      <c r="O29" s="235">
        <f t="shared" si="13"/>
        <v>201575799497</v>
      </c>
      <c r="P29" s="235">
        <f t="shared" si="13"/>
        <v>139526358116</v>
      </c>
      <c r="Q29" s="235">
        <f t="shared" si="13"/>
        <v>179684956116</v>
      </c>
      <c r="R29" s="236">
        <f t="shared" si="10"/>
        <v>2136002630283</v>
      </c>
      <c r="S29" s="237" t="s">
        <v>75</v>
      </c>
      <c r="T29" s="238"/>
      <c r="U29" s="190"/>
      <c r="V29" s="224">
        <v>5270653.54</v>
      </c>
      <c r="W29" s="224">
        <v>5790519.0800000001</v>
      </c>
      <c r="X29" s="225">
        <v>6976491.6299999999</v>
      </c>
      <c r="Y29" s="225">
        <v>8711854.4699999988</v>
      </c>
      <c r="Z29" s="225">
        <v>7664310.7000000002</v>
      </c>
      <c r="AA29" s="225">
        <v>5551058.2400000002</v>
      </c>
      <c r="AB29" s="225">
        <v>8341656.5399999991</v>
      </c>
      <c r="AC29" s="225">
        <v>7793605.04</v>
      </c>
      <c r="AD29" s="225">
        <v>7516058.5800000001</v>
      </c>
      <c r="AE29" s="225">
        <v>7939180.7599999998</v>
      </c>
      <c r="AF29" s="225">
        <v>5495327.2199999997</v>
      </c>
      <c r="AG29" s="225">
        <v>7076997.0899999999</v>
      </c>
      <c r="BA29"/>
      <c r="BB29"/>
      <c r="BE29" s="191">
        <v>9164746.0500000007</v>
      </c>
      <c r="BH29" s="191">
        <v>7633400.6799999997</v>
      </c>
    </row>
    <row r="30" spans="1:63" s="208" customFormat="1" ht="13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10"/>
        <v>0</v>
      </c>
      <c r="S30" s="201"/>
      <c r="T30" s="202"/>
      <c r="U30" s="190"/>
      <c r="V30" s="190"/>
      <c r="W30" s="190"/>
      <c r="BA30"/>
      <c r="BB30"/>
    </row>
    <row r="31" spans="1:63" s="208" customFormat="1" ht="13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30">
        <v>2391224550</v>
      </c>
      <c r="G31" s="301">
        <v>2251891005</v>
      </c>
      <c r="H31" s="301">
        <v>2032123727</v>
      </c>
      <c r="I31" s="301">
        <v>1682357899</v>
      </c>
      <c r="J31" s="301">
        <v>1695788637</v>
      </c>
      <c r="K31" s="301">
        <v>1671729744</v>
      </c>
      <c r="L31" s="301">
        <v>2022696113</v>
      </c>
      <c r="M31" s="301">
        <v>1894785757</v>
      </c>
      <c r="N31" s="301">
        <v>1940125257</v>
      </c>
      <c r="O31" s="301">
        <v>1942634616</v>
      </c>
      <c r="P31" s="301">
        <v>2042058348</v>
      </c>
      <c r="Q31" s="301">
        <v>1972295813</v>
      </c>
      <c r="R31" s="302">
        <f t="shared" si="10"/>
        <v>23539711466</v>
      </c>
      <c r="S31" s="201" t="s">
        <v>690</v>
      </c>
      <c r="T31" s="202"/>
      <c r="U31" s="190"/>
      <c r="V31" s="190">
        <f>ROUNDDOWN(F26/$B$2,2)-V26</f>
        <v>0</v>
      </c>
      <c r="W31" s="190">
        <f t="shared" ref="W31:AG31" si="14">ROUNDDOWN(G26/$B$2,2)-W26</f>
        <v>0</v>
      </c>
      <c r="X31" s="190">
        <f t="shared" si="14"/>
        <v>0</v>
      </c>
      <c r="Y31" s="190">
        <f t="shared" si="14"/>
        <v>0</v>
      </c>
      <c r="Z31" s="190">
        <f t="shared" si="14"/>
        <v>0</v>
      </c>
      <c r="AA31" s="190">
        <f t="shared" si="14"/>
        <v>0</v>
      </c>
      <c r="AB31" s="190">
        <f t="shared" si="14"/>
        <v>0</v>
      </c>
      <c r="AC31" s="190">
        <f t="shared" si="14"/>
        <v>0</v>
      </c>
      <c r="AD31" s="190">
        <f t="shared" si="14"/>
        <v>0</v>
      </c>
      <c r="AE31" s="190">
        <f t="shared" si="14"/>
        <v>0</v>
      </c>
      <c r="AF31" s="190">
        <f t="shared" si="14"/>
        <v>0</v>
      </c>
      <c r="AG31" s="190">
        <f t="shared" si="14"/>
        <v>0</v>
      </c>
      <c r="BA31"/>
      <c r="BB31"/>
      <c r="BE31" s="208" t="e">
        <v>#REF!</v>
      </c>
      <c r="BF31" s="208" t="e">
        <v>#REF!</v>
      </c>
      <c r="BG31" s="208" t="e">
        <v>#REF!</v>
      </c>
      <c r="BH31" s="208" t="e">
        <v>#REF!</v>
      </c>
      <c r="BI31" s="208" t="e">
        <v>#REF!</v>
      </c>
    </row>
    <row r="32" spans="1:63" s="208" customFormat="1" ht="13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30">
        <v>273346677</v>
      </c>
      <c r="G32" s="301">
        <v>261230102</v>
      </c>
      <c r="H32" s="301">
        <v>237740880</v>
      </c>
      <c r="I32" s="301">
        <v>259811675</v>
      </c>
      <c r="J32" s="301">
        <v>231309520</v>
      </c>
      <c r="K32" s="301">
        <v>166442245</v>
      </c>
      <c r="L32" s="301">
        <v>202301323</v>
      </c>
      <c r="M32" s="301">
        <v>193790004</v>
      </c>
      <c r="N32" s="301">
        <v>174437875</v>
      </c>
      <c r="O32" s="301">
        <v>175624148</v>
      </c>
      <c r="P32" s="301">
        <v>198832764</v>
      </c>
      <c r="Q32" s="301">
        <v>188584183</v>
      </c>
      <c r="R32" s="302">
        <f t="shared" si="10"/>
        <v>2563451396</v>
      </c>
      <c r="S32" s="201" t="s">
        <v>690</v>
      </c>
      <c r="T32" s="202"/>
      <c r="U32" s="190"/>
      <c r="V32" s="190">
        <f t="shared" ref="V32:AG32" si="15">ROUNDDOWN(F27/$B$2,2)-V27</f>
        <v>0</v>
      </c>
      <c r="W32" s="190">
        <f t="shared" si="15"/>
        <v>0</v>
      </c>
      <c r="X32" s="190">
        <f t="shared" si="15"/>
        <v>0</v>
      </c>
      <c r="Y32" s="190">
        <f t="shared" si="15"/>
        <v>0</v>
      </c>
      <c r="Z32" s="190">
        <f t="shared" si="15"/>
        <v>0</v>
      </c>
      <c r="AA32" s="190">
        <f t="shared" si="15"/>
        <v>0</v>
      </c>
      <c r="AB32" s="190">
        <f t="shared" si="15"/>
        <v>0</v>
      </c>
      <c r="AC32" s="190">
        <f t="shared" si="15"/>
        <v>0</v>
      </c>
      <c r="AD32" s="190">
        <f t="shared" si="15"/>
        <v>0</v>
      </c>
      <c r="AE32" s="190">
        <f t="shared" si="15"/>
        <v>0</v>
      </c>
      <c r="AF32" s="190">
        <f t="shared" si="15"/>
        <v>0</v>
      </c>
      <c r="AG32" s="190">
        <f t="shared" si="15"/>
        <v>0</v>
      </c>
      <c r="BA32"/>
      <c r="BB32"/>
      <c r="BE32" s="208" t="e">
        <v>#REF!</v>
      </c>
      <c r="BF32" s="208" t="e">
        <v>#REF!</v>
      </c>
      <c r="BG32" s="208" t="e">
        <v>#REF!</v>
      </c>
      <c r="BH32" s="208" t="e">
        <v>#REF!</v>
      </c>
      <c r="BI32" s="208" t="e">
        <v>#REF!</v>
      </c>
    </row>
    <row r="33" spans="1:62" s="208" customFormat="1" ht="13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30">
        <v>471388623</v>
      </c>
      <c r="G33" s="301">
        <v>249615150</v>
      </c>
      <c r="H33" s="301">
        <v>212234637</v>
      </c>
      <c r="I33" s="301">
        <v>188061288</v>
      </c>
      <c r="J33" s="301">
        <v>188003911</v>
      </c>
      <c r="K33" s="301">
        <v>150232603</v>
      </c>
      <c r="L33" s="301">
        <v>478611031</v>
      </c>
      <c r="M33" s="301">
        <v>214559836</v>
      </c>
      <c r="N33" s="301">
        <v>230774834</v>
      </c>
      <c r="O33" s="301">
        <v>188291083</v>
      </c>
      <c r="P33" s="301">
        <v>226073116</v>
      </c>
      <c r="Q33" s="301">
        <v>178970711</v>
      </c>
      <c r="R33" s="302">
        <f t="shared" si="10"/>
        <v>2976816823</v>
      </c>
      <c r="S33" s="201" t="s">
        <v>690</v>
      </c>
      <c r="T33" s="202"/>
      <c r="U33" s="190"/>
      <c r="V33" s="190">
        <f t="shared" ref="V33:AG33" si="16">ROUNDDOWN(F28/$B$2,2)-V28</f>
        <v>0</v>
      </c>
      <c r="W33" s="190">
        <f t="shared" si="16"/>
        <v>0</v>
      </c>
      <c r="X33" s="190">
        <f t="shared" si="16"/>
        <v>0</v>
      </c>
      <c r="Y33" s="190">
        <f t="shared" si="16"/>
        <v>0</v>
      </c>
      <c r="Z33" s="190">
        <f t="shared" si="16"/>
        <v>0</v>
      </c>
      <c r="AA33" s="190">
        <f t="shared" si="16"/>
        <v>0</v>
      </c>
      <c r="AB33" s="190">
        <f t="shared" si="16"/>
        <v>0</v>
      </c>
      <c r="AC33" s="190">
        <f t="shared" si="16"/>
        <v>0</v>
      </c>
      <c r="AD33" s="190">
        <f t="shared" si="16"/>
        <v>0</v>
      </c>
      <c r="AE33" s="190">
        <f t="shared" si="16"/>
        <v>0</v>
      </c>
      <c r="AF33" s="190">
        <f t="shared" si="16"/>
        <v>0</v>
      </c>
      <c r="AG33" s="190">
        <f t="shared" si="16"/>
        <v>0</v>
      </c>
      <c r="BA33"/>
      <c r="BB33"/>
      <c r="BE33" s="208" t="e">
        <v>#REF!</v>
      </c>
      <c r="BF33" s="208" t="e">
        <v>#REF!</v>
      </c>
      <c r="BG33" s="208" t="e">
        <v>#REF!</v>
      </c>
      <c r="BH33" s="208" t="e">
        <v>#REF!</v>
      </c>
      <c r="BI33" s="208" t="e">
        <v>#REF!</v>
      </c>
    </row>
    <row r="34" spans="1:62" s="208" customFormat="1" ht="13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30">
        <v>3695270762</v>
      </c>
      <c r="G34" s="301">
        <v>4721069945</v>
      </c>
      <c r="H34" s="301">
        <v>3495260390</v>
      </c>
      <c r="I34" s="301">
        <v>4779302290</v>
      </c>
      <c r="J34" s="301">
        <v>2662892889</v>
      </c>
      <c r="K34" s="301">
        <v>2602813838</v>
      </c>
      <c r="L34" s="301">
        <v>3727523829</v>
      </c>
      <c r="M34" s="301">
        <v>3140338187</v>
      </c>
      <c r="N34" s="301">
        <v>3105849124</v>
      </c>
      <c r="O34" s="301">
        <v>4214580594</v>
      </c>
      <c r="P34" s="301">
        <v>2910391804</v>
      </c>
      <c r="Q34" s="301">
        <v>3003501720</v>
      </c>
      <c r="R34" s="302">
        <f t="shared" si="10"/>
        <v>42058795372</v>
      </c>
      <c r="S34" s="201" t="s">
        <v>690</v>
      </c>
      <c r="T34" s="202"/>
      <c r="U34" s="190"/>
      <c r="V34" s="190"/>
      <c r="W34" s="190"/>
      <c r="BA34"/>
      <c r="BB34"/>
    </row>
    <row r="35" spans="1:62" s="208" customFormat="1" ht="13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10"/>
        <v>0</v>
      </c>
      <c r="S35" s="201"/>
      <c r="T35" s="202"/>
      <c r="U35" s="190"/>
      <c r="V35" s="190"/>
      <c r="W35" s="190"/>
      <c r="BA35"/>
      <c r="BB35"/>
    </row>
    <row r="36" spans="1:62" s="191" customFormat="1" ht="13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>
        <f t="shared" ref="F36" si="17">ROUNDUP(V36*$B$2,0)</f>
        <v>750226767</v>
      </c>
      <c r="G36" s="241">
        <f t="shared" ref="G36" si="18">ROUNDUP(W36*$B$2,0)</f>
        <v>707072400</v>
      </c>
      <c r="H36" s="241">
        <f t="shared" ref="H36" si="19">ROUNDUP(X36*$B$2,0)</f>
        <v>751244398</v>
      </c>
      <c r="I36" s="241">
        <f t="shared" ref="I36" si="20">ROUNDUP(Y36*$B$2,0)</f>
        <v>950375376</v>
      </c>
      <c r="J36" s="241">
        <f t="shared" ref="J36" si="21">ROUNDUP(Z36*$B$2,0)</f>
        <v>868560417</v>
      </c>
      <c r="K36" s="241">
        <f t="shared" ref="K36" si="22">ROUNDUP(AA36*$B$2,0)</f>
        <v>813852076</v>
      </c>
      <c r="L36" s="241">
        <f t="shared" ref="L36" si="23">ROUNDUP(AB36*$B$2,0)</f>
        <v>986115355</v>
      </c>
      <c r="M36" s="241">
        <f t="shared" ref="M36" si="24">ROUNDUP(AC36*$B$2,0)</f>
        <v>918416729</v>
      </c>
      <c r="N36" s="241">
        <f t="shared" ref="N36" si="25">ROUNDUP(AD36*$B$2,0)</f>
        <v>992573556</v>
      </c>
      <c r="O36" s="241">
        <f t="shared" ref="O36" si="26">ROUNDUP(AE36*$B$2,0)</f>
        <v>973849446</v>
      </c>
      <c r="P36" s="241">
        <f t="shared" ref="P36" si="27">ROUNDUP(AF36*$B$2,0)</f>
        <v>804601483</v>
      </c>
      <c r="Q36" s="241">
        <f t="shared" ref="Q36" si="28">ROUNDUP(AG36*$B$2,0)</f>
        <v>927702613</v>
      </c>
      <c r="R36" s="200">
        <f t="shared" si="10"/>
        <v>10444590616</v>
      </c>
      <c r="S36" s="201"/>
      <c r="T36" s="202"/>
      <c r="U36" s="246"/>
      <c r="V36" s="246">
        <v>29548.12</v>
      </c>
      <c r="W36" s="246">
        <v>27848.46</v>
      </c>
      <c r="X36" s="191">
        <v>29588.2</v>
      </c>
      <c r="Y36" s="191">
        <v>37431.089999999997</v>
      </c>
      <c r="Z36" s="191">
        <v>34208.76</v>
      </c>
      <c r="AA36" s="191">
        <v>32054.04</v>
      </c>
      <c r="AB36" s="191">
        <v>38838.730000000003</v>
      </c>
      <c r="AC36" s="191">
        <v>36172.379999999997</v>
      </c>
      <c r="AD36" s="191">
        <v>39093.089999999997</v>
      </c>
      <c r="AE36" s="191">
        <v>38355.629999999997</v>
      </c>
      <c r="AF36" s="191">
        <v>31689.7</v>
      </c>
      <c r="AG36" s="191">
        <v>36538.11</v>
      </c>
      <c r="BA36"/>
      <c r="BB36"/>
      <c r="BE36" s="191">
        <v>32490.51</v>
      </c>
      <c r="BF36" s="191">
        <v>32490.51</v>
      </c>
      <c r="BG36" s="191">
        <v>32490.51</v>
      </c>
      <c r="BH36" s="191">
        <v>32490.51</v>
      </c>
      <c r="BI36" s="191">
        <v>32490.51</v>
      </c>
      <c r="BJ36" s="191">
        <v>32490.51</v>
      </c>
    </row>
    <row r="37" spans="1:62" s="191" customFormat="1" ht="13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10"/>
        <v>0</v>
      </c>
      <c r="S37" s="201"/>
      <c r="T37" s="202"/>
      <c r="U37" s="246"/>
      <c r="V37" s="246"/>
      <c r="W37" s="246"/>
      <c r="BA37"/>
      <c r="BB37"/>
    </row>
    <row r="38" spans="1:62" s="191" customFormat="1" ht="13">
      <c r="A38" s="226"/>
      <c r="B38" s="180">
        <v>5001016131</v>
      </c>
      <c r="C38" s="183" t="str">
        <f>IFERROR(IF(VLOOKUP($B38,勘定科目!$A:$H,HLOOKUP($E$5,勘定科目!$F$1:$H$2,2,0),0)="","",VLOOKUP($B38,勘定科目!$A:$E,2,0)),"")</f>
        <v>材料仕入割戻高</v>
      </c>
      <c r="D38" s="239" t="str">
        <f>IF(C38="","",VLOOKUP($B38,勘定科目!$A:$E,4,0))</f>
        <v>材料費</v>
      </c>
      <c r="E38" s="245"/>
      <c r="F38" s="194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00">
        <f t="shared" si="10"/>
        <v>0</v>
      </c>
      <c r="S38" s="201" t="s">
        <v>691</v>
      </c>
      <c r="T38" s="202"/>
      <c r="U38" s="246"/>
      <c r="V38" s="246"/>
      <c r="W38" s="246"/>
      <c r="BA38"/>
      <c r="BB38"/>
    </row>
    <row r="39" spans="1:62" s="191" customFormat="1" ht="13">
      <c r="A39" s="226"/>
      <c r="B39" s="180">
        <v>5005246287</v>
      </c>
      <c r="C39" s="183" t="str">
        <f>IFERROR(IF(VLOOKUP($B39,勘定科目!$A:$H,HLOOKUP($E$5,勘定科目!$F$1:$H$2,2,0),0)="","",VLOOKUP($B39,勘定科目!$A:$E,2,0)),"")</f>
        <v>ＫＤＣ手数料（製）</v>
      </c>
      <c r="D39" s="239" t="str">
        <f>IF(C39="","",VLOOKUP($B39,勘定科目!$A:$E,4,0))</f>
        <v>手数料</v>
      </c>
      <c r="E39" s="245"/>
      <c r="F39" s="194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00">
        <f t="shared" si="10"/>
        <v>0</v>
      </c>
      <c r="S39" s="201" t="s">
        <v>692</v>
      </c>
      <c r="T39" s="202"/>
      <c r="U39" s="246"/>
      <c r="V39" s="246"/>
      <c r="W39" s="246"/>
      <c r="BA39"/>
      <c r="BB39"/>
      <c r="BE39" s="191" t="e">
        <v>#REF!</v>
      </c>
      <c r="BF39" s="191" t="e">
        <v>#REF!</v>
      </c>
      <c r="BG39" s="191" t="e">
        <v>#REF!</v>
      </c>
      <c r="BH39" s="191" t="e">
        <v>#REF!</v>
      </c>
      <c r="BI39" s="191" t="e">
        <v>#REF!</v>
      </c>
    </row>
    <row r="40" spans="1:62" s="191" customFormat="1" ht="13">
      <c r="A40" s="226"/>
      <c r="B40" s="180">
        <v>5005246287</v>
      </c>
      <c r="C40" s="183" t="str">
        <f>IFERROR(IF(VLOOKUP($B40,勘定科目!$A:$H,HLOOKUP($E$5,勘定科目!$F$1:$H$2,2,0),0)="","",VLOOKUP($B40,勘定科目!$A:$E,2,0)),"")</f>
        <v>ＫＤＣ手数料（製）</v>
      </c>
      <c r="D40" s="239" t="str">
        <f>IF(C40="","",VLOOKUP($B40,勘定科目!$A:$E,4,0))</f>
        <v>手数料</v>
      </c>
      <c r="E40" s="245"/>
      <c r="F40" s="194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00">
        <f t="shared" si="10"/>
        <v>0</v>
      </c>
      <c r="S40" s="201" t="s">
        <v>693</v>
      </c>
      <c r="T40" s="202"/>
      <c r="U40" s="246"/>
      <c r="V40" s="246"/>
      <c r="W40" s="246"/>
      <c r="BA40"/>
      <c r="BB40"/>
      <c r="BE40" s="191" t="e">
        <v>#REF!</v>
      </c>
      <c r="BF40" s="191" t="e">
        <v>#REF!</v>
      </c>
      <c r="BG40" s="191" t="e">
        <v>#REF!</v>
      </c>
      <c r="BH40" s="191" t="e">
        <v>#REF!</v>
      </c>
      <c r="BI40" s="191" t="e">
        <v>#REF!</v>
      </c>
    </row>
    <row r="41" spans="1:62" s="191" customFormat="1" ht="13">
      <c r="A41" s="226"/>
      <c r="B41" s="180"/>
      <c r="C41" s="183" t="str">
        <f>IFERROR(IF(VLOOKUP($B41,勘定科目!$A:$H,HLOOKUP($E$5,勘定科目!$F$1:$H$2,2,0),0)="","",VLOOKUP($B41,勘定科目!$A:$E,2,0)),"")</f>
        <v/>
      </c>
      <c r="D41" s="239" t="str">
        <f>IF(C41="","",VLOOKUP($B41,勘定科目!$A:$E,4,0))</f>
        <v/>
      </c>
      <c r="E41" s="245"/>
      <c r="F41" s="194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00">
        <f t="shared" si="10"/>
        <v>0</v>
      </c>
      <c r="S41" s="201"/>
      <c r="T41" s="202"/>
      <c r="U41" s="246"/>
      <c r="V41" s="246"/>
      <c r="W41" s="246"/>
      <c r="BA41"/>
      <c r="BB41"/>
      <c r="BE41" s="191" t="e">
        <v>#REF!</v>
      </c>
      <c r="BF41" s="191" t="e">
        <v>#REF!</v>
      </c>
      <c r="BG41" s="191" t="e">
        <v>#REF!</v>
      </c>
      <c r="BH41" s="191" t="e">
        <v>#REF!</v>
      </c>
      <c r="BI41" s="191" t="e">
        <v>#REF!</v>
      </c>
    </row>
    <row r="42" spans="1:62" s="191" customFormat="1" ht="13">
      <c r="A42" s="226"/>
      <c r="B42" s="180">
        <v>5006016242</v>
      </c>
      <c r="C42" s="183" t="str">
        <f>IFERROR(IF(VLOOKUP($B42,勘定科目!$A:$H,HLOOKUP($E$5,勘定科目!$F$1:$H$2,2,0),0)="","",VLOOKUP($B42,勘定科目!$A:$E,2,0)),"")</f>
        <v>減価償却費（製）　機械装置</v>
      </c>
      <c r="D42" s="239" t="str">
        <f>IF(C42="","",VLOOKUP($B42,勘定科目!$A:$E,4,0))</f>
        <v>減価償却費</v>
      </c>
      <c r="E42" s="245"/>
      <c r="F42" s="194">
        <v>213129246</v>
      </c>
      <c r="G42" s="247">
        <v>213129246</v>
      </c>
      <c r="H42" s="247">
        <v>213129246</v>
      </c>
      <c r="I42" s="247">
        <v>213129246</v>
      </c>
      <c r="J42" s="247">
        <v>213129246</v>
      </c>
      <c r="K42" s="247">
        <v>213129246</v>
      </c>
      <c r="L42" s="247">
        <v>213129246</v>
      </c>
      <c r="M42" s="247">
        <v>213129246</v>
      </c>
      <c r="N42" s="247">
        <v>213129246</v>
      </c>
      <c r="O42" s="247">
        <v>213129246</v>
      </c>
      <c r="P42" s="247">
        <v>213129246</v>
      </c>
      <c r="Q42" s="247">
        <v>213129246</v>
      </c>
      <c r="R42" s="200">
        <f t="shared" si="10"/>
        <v>2557550952</v>
      </c>
      <c r="S42" s="201" t="s">
        <v>694</v>
      </c>
      <c r="T42" s="202"/>
      <c r="U42" s="246"/>
      <c r="V42" s="246"/>
      <c r="W42" s="246"/>
      <c r="BA42"/>
      <c r="BB42"/>
    </row>
    <row r="43" spans="1:62" s="191" customFormat="1" ht="13">
      <c r="A43" s="226"/>
      <c r="B43" s="180">
        <v>5006016243</v>
      </c>
      <c r="C43" s="183" t="str">
        <f>IFERROR(IF(VLOOKUP($B43,勘定科目!$A:$H,HLOOKUP($E$5,勘定科目!$F$1:$H$2,2,0),0)="","",VLOOKUP($B43,勘定科目!$A:$E,2,0)),"")</f>
        <v>減価償却費（製）　車輌運搬具</v>
      </c>
      <c r="D43" s="239" t="str">
        <f>IF(C43="","",VLOOKUP($B43,勘定科目!$A:$E,4,0))</f>
        <v>減価償却費</v>
      </c>
      <c r="E43" s="245"/>
      <c r="F43" s="194">
        <v>636020</v>
      </c>
      <c r="G43" s="247">
        <v>636020</v>
      </c>
      <c r="H43" s="247">
        <v>636020</v>
      </c>
      <c r="I43" s="247">
        <v>636020</v>
      </c>
      <c r="J43" s="247">
        <v>636020</v>
      </c>
      <c r="K43" s="247">
        <v>636020</v>
      </c>
      <c r="L43" s="247">
        <v>636020</v>
      </c>
      <c r="M43" s="247">
        <v>636020</v>
      </c>
      <c r="N43" s="247">
        <v>636020</v>
      </c>
      <c r="O43" s="247">
        <v>636020</v>
      </c>
      <c r="P43" s="247">
        <v>636020</v>
      </c>
      <c r="Q43" s="247">
        <v>636020</v>
      </c>
      <c r="R43" s="200">
        <f t="shared" si="10"/>
        <v>7632240</v>
      </c>
      <c r="S43" s="201" t="s">
        <v>695</v>
      </c>
      <c r="T43" s="202"/>
      <c r="U43" s="246"/>
      <c r="V43" s="246"/>
      <c r="W43" s="246"/>
      <c r="BA43"/>
      <c r="BB43"/>
    </row>
    <row r="44" spans="1:62" s="191" customFormat="1" ht="13">
      <c r="A44" s="226"/>
      <c r="B44" s="180">
        <v>5006016244</v>
      </c>
      <c r="C44" s="183" t="str">
        <f>IFERROR(IF(VLOOKUP($B44,勘定科目!$A:$H,HLOOKUP($E$5,勘定科目!$F$1:$H$2,2,0),0)="","",VLOOKUP($B44,勘定科目!$A:$E,2,0)),"")</f>
        <v>減価償却費（製）　工具器具備品</v>
      </c>
      <c r="D44" s="239" t="str">
        <f>IF(C44="","",VLOOKUP($B44,勘定科目!$A:$E,4,0))</f>
        <v>減価償却費</v>
      </c>
      <c r="E44" s="245"/>
      <c r="F44" s="194">
        <v>148977856</v>
      </c>
      <c r="G44" s="247">
        <v>143735837</v>
      </c>
      <c r="H44" s="247">
        <v>137035416</v>
      </c>
      <c r="I44" s="247">
        <v>136791926</v>
      </c>
      <c r="J44" s="247">
        <v>136791926</v>
      </c>
      <c r="K44" s="247">
        <v>136791926</v>
      </c>
      <c r="L44" s="247">
        <v>136791926</v>
      </c>
      <c r="M44" s="247">
        <v>136791926</v>
      </c>
      <c r="N44" s="247">
        <v>136791926</v>
      </c>
      <c r="O44" s="247">
        <v>136791926</v>
      </c>
      <c r="P44" s="247">
        <v>135058804</v>
      </c>
      <c r="Q44" s="247">
        <v>133546830</v>
      </c>
      <c r="R44" s="200">
        <f t="shared" si="10"/>
        <v>1655898225</v>
      </c>
      <c r="S44" s="201" t="s">
        <v>696</v>
      </c>
      <c r="T44" s="202"/>
      <c r="U44" s="246"/>
      <c r="V44" s="246"/>
      <c r="W44" s="246"/>
      <c r="BA44"/>
      <c r="BB44"/>
    </row>
    <row r="45" spans="1:62" s="191" customFormat="1" ht="13">
      <c r="A45" s="226"/>
      <c r="B45" s="180">
        <v>5006016247</v>
      </c>
      <c r="C45" s="183" t="str">
        <f>IFERROR(IF(VLOOKUP($B45,勘定科目!$A:$H,HLOOKUP($E$5,勘定科目!$F$1:$H$2,2,0),0)="","",VLOOKUP($B45,勘定科目!$A:$E,2,0)),"")</f>
        <v>減価償却費（製）　その他有形固定資産</v>
      </c>
      <c r="D45" s="239" t="str">
        <f>IF(C45="","",VLOOKUP($B45,勘定科目!$A:$E,4,0))</f>
        <v>減価償却費</v>
      </c>
      <c r="E45" s="245"/>
      <c r="F45" s="194">
        <v>17282719</v>
      </c>
      <c r="G45" s="247">
        <v>17282719</v>
      </c>
      <c r="H45" s="247">
        <v>17282719</v>
      </c>
      <c r="I45" s="247">
        <v>17282465</v>
      </c>
      <c r="J45" s="247">
        <v>16110463</v>
      </c>
      <c r="K45" s="247">
        <v>16110463</v>
      </c>
      <c r="L45" s="247">
        <v>16110463</v>
      </c>
      <c r="M45" s="247">
        <v>16110463</v>
      </c>
      <c r="N45" s="247">
        <v>16110463</v>
      </c>
      <c r="O45" s="247">
        <v>16110463</v>
      </c>
      <c r="P45" s="247">
        <v>16110463</v>
      </c>
      <c r="Q45" s="247">
        <v>16110463</v>
      </c>
      <c r="R45" s="200">
        <f t="shared" si="10"/>
        <v>198014326</v>
      </c>
      <c r="S45" s="201" t="s">
        <v>697</v>
      </c>
      <c r="T45" s="202"/>
      <c r="U45" s="246"/>
      <c r="V45" s="246"/>
      <c r="W45" s="246"/>
      <c r="BA45"/>
      <c r="BB45"/>
      <c r="BE45" s="191" t="e">
        <v>#REF!</v>
      </c>
      <c r="BF45" s="191" t="e">
        <v>#REF!</v>
      </c>
      <c r="BH45" s="191" t="e">
        <v>#REF!</v>
      </c>
      <c r="BI45" s="191" t="e">
        <v>#REF!</v>
      </c>
    </row>
    <row r="46" spans="1:62" s="191" customFormat="1" ht="13">
      <c r="A46" s="226"/>
      <c r="B46" s="180">
        <v>5006016244</v>
      </c>
      <c r="C46" s="183" t="str">
        <f>IFERROR(IF(VLOOKUP($B46,勘定科目!$A:$H,HLOOKUP($E$5,勘定科目!$F$1:$H$2,2,0),0)="","",VLOOKUP($B46,勘定科目!$A:$E,2,0)),"")</f>
        <v>減価償却費（製）　工具器具備品</v>
      </c>
      <c r="D46" s="239" t="str">
        <f>IF(C46="","",VLOOKUP($B46,勘定科目!$A:$E,4,0))</f>
        <v>減価償却費</v>
      </c>
      <c r="E46" s="245"/>
      <c r="F46" s="194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00">
        <f t="shared" si="10"/>
        <v>0</v>
      </c>
      <c r="S46" s="201" t="s">
        <v>698</v>
      </c>
      <c r="T46" s="202"/>
      <c r="U46" s="246"/>
      <c r="V46" s="246"/>
      <c r="W46" s="246"/>
      <c r="BA46"/>
      <c r="BB46"/>
      <c r="BE46" s="191" t="e">
        <v>#REF!</v>
      </c>
      <c r="BF46" s="191" t="e">
        <v>#REF!</v>
      </c>
      <c r="BH46" s="191" t="e">
        <v>#REF!</v>
      </c>
      <c r="BI46" s="191" t="e">
        <v>#REF!</v>
      </c>
    </row>
    <row r="47" spans="1:62" s="191" customFormat="1" ht="13">
      <c r="A47" s="226"/>
      <c r="B47" s="180">
        <v>5006016242</v>
      </c>
      <c r="C47" s="183" t="str">
        <f>IFERROR(IF(VLOOKUP($B47,勘定科目!$A:$H,HLOOKUP($E$5,勘定科目!$F$1:$H$2,2,0),0)="","",VLOOKUP($B47,勘定科目!$A:$E,2,0)),"")</f>
        <v>減価償却費（製）　機械装置</v>
      </c>
      <c r="D47" s="239" t="str">
        <f>IF(C47="","",VLOOKUP($B47,勘定科目!$A:$E,4,0))</f>
        <v>減価償却費</v>
      </c>
      <c r="E47" s="245"/>
      <c r="F47" s="194"/>
      <c r="G47" s="247"/>
      <c r="H47" s="247"/>
      <c r="I47" s="247"/>
      <c r="J47" s="247"/>
      <c r="K47" s="247"/>
      <c r="L47" s="247"/>
      <c r="M47" s="247"/>
      <c r="N47" s="247"/>
      <c r="O47" s="247"/>
      <c r="P47" s="247"/>
      <c r="Q47" s="247"/>
      <c r="R47" s="200">
        <f t="shared" si="10"/>
        <v>0</v>
      </c>
      <c r="S47" s="201" t="s">
        <v>698</v>
      </c>
      <c r="T47" s="202"/>
      <c r="U47" s="246"/>
      <c r="V47" s="246"/>
      <c r="W47" s="246"/>
      <c r="BA47"/>
      <c r="BB47"/>
      <c r="BE47" s="191" t="e">
        <v>#REF!</v>
      </c>
      <c r="BF47" s="191" t="e">
        <v>#REF!</v>
      </c>
      <c r="BH47" s="191" t="e">
        <v>#REF!</v>
      </c>
      <c r="BI47" s="191" t="e">
        <v>#REF!</v>
      </c>
    </row>
    <row r="48" spans="1:62" s="191" customFormat="1" ht="13">
      <c r="A48" s="226"/>
      <c r="B48" s="180">
        <v>5005036246</v>
      </c>
      <c r="C48" s="183" t="str">
        <f>IFERROR(IF(VLOOKUP($B48,勘定科目!$A:$H,HLOOKUP($E$5,勘定科目!$F$1:$H$2,2,0),0)="","",VLOOKUP($B48,勘定科目!$A:$E,2,0)),"")</f>
        <v>減価償却費（製）　金型</v>
      </c>
      <c r="D48" s="239" t="str">
        <f>IF(C48="","",VLOOKUP($B48,勘定科目!$A:$E,4,0))</f>
        <v>金型償却費</v>
      </c>
      <c r="E48" s="245"/>
      <c r="F48" s="194">
        <v>50780000</v>
      </c>
      <c r="G48" s="247">
        <v>50780000</v>
      </c>
      <c r="H48" s="247">
        <v>50780000</v>
      </c>
      <c r="I48" s="247">
        <v>957203000</v>
      </c>
      <c r="J48" s="247">
        <v>914471630</v>
      </c>
      <c r="K48" s="247">
        <v>914471630</v>
      </c>
      <c r="L48" s="247">
        <v>1210696760</v>
      </c>
      <c r="M48" s="247">
        <v>1210696760</v>
      </c>
      <c r="N48" s="247">
        <v>1210696760</v>
      </c>
      <c r="O48" s="247">
        <v>1104896630</v>
      </c>
      <c r="P48" s="247">
        <v>1104896630</v>
      </c>
      <c r="Q48" s="247">
        <v>906016760</v>
      </c>
      <c r="R48" s="200">
        <f t="shared" si="10"/>
        <v>9686386560</v>
      </c>
      <c r="S48" s="201" t="s">
        <v>699</v>
      </c>
      <c r="T48" s="202"/>
      <c r="U48" s="246"/>
      <c r="V48" s="246"/>
      <c r="W48" s="246"/>
      <c r="BA48"/>
      <c r="BB48"/>
    </row>
    <row r="49" spans="1:54" s="191" customFormat="1" ht="13">
      <c r="A49" s="226"/>
      <c r="B49" s="180">
        <v>5005036246</v>
      </c>
      <c r="C49" s="183" t="str">
        <f>IFERROR(IF(VLOOKUP($B49,勘定科目!$A:$H,HLOOKUP($E$5,勘定科目!$F$1:$H$2,2,0),0)="","",VLOOKUP($B49,勘定科目!$A:$E,2,0)),"")</f>
        <v>減価償却費（製）　金型</v>
      </c>
      <c r="D49" s="239" t="str">
        <f>IF(C49="","",VLOOKUP($B49,勘定科目!$A:$E,4,0))</f>
        <v>金型償却費</v>
      </c>
      <c r="E49" s="245"/>
      <c r="F49" s="194">
        <f>4562*25390</f>
        <v>115829180</v>
      </c>
      <c r="G49" s="247">
        <f>+F48+F49</f>
        <v>166609180</v>
      </c>
      <c r="H49" s="247">
        <f t="shared" ref="H49:P49" si="29">+G48+G49</f>
        <v>217389180</v>
      </c>
      <c r="I49" s="247">
        <f t="shared" si="29"/>
        <v>268169180</v>
      </c>
      <c r="J49" s="247">
        <f t="shared" si="29"/>
        <v>1225372180</v>
      </c>
      <c r="K49" s="247">
        <f t="shared" si="29"/>
        <v>2139843810</v>
      </c>
      <c r="L49" s="247">
        <f t="shared" si="29"/>
        <v>3054315440</v>
      </c>
      <c r="M49" s="247">
        <f t="shared" si="29"/>
        <v>4265012200</v>
      </c>
      <c r="N49" s="247">
        <f t="shared" si="29"/>
        <v>5475708960</v>
      </c>
      <c r="O49" s="247">
        <f t="shared" si="29"/>
        <v>6686405720</v>
      </c>
      <c r="P49" s="247">
        <f t="shared" si="29"/>
        <v>7791302350</v>
      </c>
      <c r="Q49" s="247">
        <f>+P48+P49</f>
        <v>8896198980</v>
      </c>
      <c r="R49" s="200">
        <f t="shared" si="10"/>
        <v>40302156360</v>
      </c>
      <c r="S49" s="201" t="s">
        <v>700</v>
      </c>
      <c r="T49" s="202"/>
      <c r="U49" s="246"/>
      <c r="V49" s="246"/>
      <c r="W49" s="246"/>
      <c r="BA49"/>
      <c r="BB49"/>
    </row>
    <row r="50" spans="1:54" s="191" customFormat="1" ht="13">
      <c r="A50" s="226"/>
      <c r="B50" s="180">
        <v>5005036246</v>
      </c>
      <c r="C50" s="183" t="str">
        <f>IFERROR(IF(VLOOKUP($B50,勘定科目!$A:$H,HLOOKUP($E$5,勘定科目!$F$1:$H$2,2,0),0)="","",VLOOKUP($B50,勘定科目!$A:$E,2,0)),"")</f>
        <v>減価償却費（製）　金型</v>
      </c>
      <c r="D50" s="239" t="str">
        <f>IF(C50="","",VLOOKUP($B50,勘定科目!$A:$E,4,0))</f>
        <v>金型償却費</v>
      </c>
      <c r="E50" s="245"/>
      <c r="F50" s="194">
        <v>1522161730</v>
      </c>
      <c r="G50" s="247">
        <v>1478401557</v>
      </c>
      <c r="H50" s="247">
        <v>1355417729</v>
      </c>
      <c r="I50" s="247">
        <v>1165129581</v>
      </c>
      <c r="J50" s="247">
        <v>979132343</v>
      </c>
      <c r="K50" s="247">
        <v>726083670</v>
      </c>
      <c r="L50" s="247">
        <v>610355034</v>
      </c>
      <c r="M50" s="247">
        <v>490863347</v>
      </c>
      <c r="N50" s="247">
        <v>441828909</v>
      </c>
      <c r="O50" s="247">
        <v>410091409</v>
      </c>
      <c r="P50" s="247">
        <v>266223290</v>
      </c>
      <c r="Q50" s="247">
        <v>253094375</v>
      </c>
      <c r="R50" s="200">
        <f t="shared" si="10"/>
        <v>9698782974</v>
      </c>
      <c r="S50" s="201" t="s">
        <v>701</v>
      </c>
      <c r="T50" s="202"/>
      <c r="U50" s="246"/>
      <c r="V50" s="246"/>
      <c r="W50" s="246"/>
      <c r="BA50"/>
      <c r="BB50"/>
    </row>
    <row r="51" spans="1:54" s="191" customFormat="1" ht="13">
      <c r="A51" s="226"/>
      <c r="B51" s="180"/>
      <c r="C51" s="183" t="str">
        <f>IFERROR(IF(VLOOKUP($B51,勘定科目!$A:$H,HLOOKUP($E$5,勘定科目!$F$1:$H$2,2,0),0)="","",VLOOKUP($B51,勘定科目!$A:$E,2,0)),"")</f>
        <v/>
      </c>
      <c r="D51" s="239" t="str">
        <f>IF(C51="","",VLOOKUP($B51,勘定科目!$A:$E,4,0))</f>
        <v/>
      </c>
      <c r="E51" s="245"/>
      <c r="F51" s="194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00">
        <f t="shared" si="10"/>
        <v>0</v>
      </c>
      <c r="S51" s="201"/>
      <c r="T51" s="202"/>
      <c r="U51" s="246"/>
      <c r="V51" s="246"/>
      <c r="W51" s="246"/>
      <c r="BA51"/>
      <c r="BB51"/>
    </row>
    <row r="52" spans="1:54" s="191" customFormat="1" ht="13">
      <c r="A52" s="226"/>
      <c r="B52" s="180">
        <v>9114120007</v>
      </c>
      <c r="C52" s="183" t="str">
        <f>IFERROR(IF(VLOOKUP($B52,勘定科目!$A:$H,HLOOKUP($E$5,勘定科目!$F$1:$H$2,2,0),0)="","",VLOOKUP($B52,勘定科目!$A:$E,2,0)),"")</f>
        <v>社内金利（固定資産）</v>
      </c>
      <c r="D52" s="239" t="str">
        <f>IF(C52="","",VLOOKUP($B52,勘定科目!$A:$E,4,0))</f>
        <v>固定資産金利</v>
      </c>
      <c r="E52" s="245"/>
      <c r="F52" s="194">
        <v>51073001</v>
      </c>
      <c r="G52" s="247">
        <v>43400143</v>
      </c>
      <c r="H52" s="247">
        <v>43400143</v>
      </c>
      <c r="I52" s="247">
        <v>43400143</v>
      </c>
      <c r="J52" s="247">
        <v>43400143</v>
      </c>
      <c r="K52" s="247">
        <v>43400143</v>
      </c>
      <c r="L52" s="247">
        <v>43400143</v>
      </c>
      <c r="M52" s="247">
        <v>43400143</v>
      </c>
      <c r="N52" s="247">
        <v>43400143</v>
      </c>
      <c r="O52" s="247">
        <v>43400143</v>
      </c>
      <c r="P52" s="247">
        <v>43400143</v>
      </c>
      <c r="Q52" s="247">
        <v>43400143</v>
      </c>
      <c r="R52" s="200">
        <f t="shared" si="10"/>
        <v>528474574</v>
      </c>
      <c r="S52" s="201" t="s">
        <v>702</v>
      </c>
      <c r="T52" s="202"/>
      <c r="U52" s="246"/>
      <c r="V52" s="246"/>
      <c r="W52" s="246"/>
      <c r="BA52"/>
      <c r="BB52"/>
    </row>
    <row r="53" spans="1:54" s="191" customFormat="1" ht="13">
      <c r="A53" s="226"/>
      <c r="B53" s="180">
        <v>9114120007</v>
      </c>
      <c r="C53" s="183" t="str">
        <f>IFERROR(IF(VLOOKUP($B53,勘定科目!$A:$H,HLOOKUP($E$5,勘定科目!$F$1:$H$2,2,0),0)="","",VLOOKUP($B53,勘定科目!$A:$E,2,0)),"")</f>
        <v>社内金利（固定資産）</v>
      </c>
      <c r="D53" s="239" t="str">
        <f>IF(C53="","",VLOOKUP($B53,勘定科目!$A:$E,4,0))</f>
        <v>固定資産金利</v>
      </c>
      <c r="E53" s="245"/>
      <c r="F53" s="194">
        <v>103591</v>
      </c>
      <c r="G53" s="247">
        <v>80740</v>
      </c>
      <c r="H53" s="247">
        <v>80740</v>
      </c>
      <c r="I53" s="247">
        <v>80740</v>
      </c>
      <c r="J53" s="247">
        <v>80740</v>
      </c>
      <c r="K53" s="247">
        <v>80740</v>
      </c>
      <c r="L53" s="247">
        <v>80740</v>
      </c>
      <c r="M53" s="247">
        <v>80740</v>
      </c>
      <c r="N53" s="247">
        <v>80740</v>
      </c>
      <c r="O53" s="247">
        <v>80740</v>
      </c>
      <c r="P53" s="247">
        <v>80740</v>
      </c>
      <c r="Q53" s="247">
        <v>80740</v>
      </c>
      <c r="R53" s="200">
        <f t="shared" si="10"/>
        <v>991731</v>
      </c>
      <c r="S53" s="201" t="s">
        <v>695</v>
      </c>
      <c r="T53" s="202"/>
      <c r="U53" s="246"/>
      <c r="V53" s="246"/>
      <c r="W53" s="246"/>
      <c r="BA53"/>
      <c r="BB53"/>
    </row>
    <row r="54" spans="1:54" s="191" customFormat="1" ht="13">
      <c r="A54" s="226"/>
      <c r="B54" s="180">
        <v>9114120007</v>
      </c>
      <c r="C54" s="183" t="str">
        <f>IFERROR(IF(VLOOKUP($B54,勘定科目!$A:$H,HLOOKUP($E$5,勘定科目!$F$1:$H$2,2,0),0)="","",VLOOKUP($B54,勘定科目!$A:$E,2,0)),"")</f>
        <v>社内金利（固定資産）</v>
      </c>
      <c r="D54" s="239" t="str">
        <f>IF(C54="","",VLOOKUP($B54,勘定科目!$A:$E,4,0))</f>
        <v>固定資産金利</v>
      </c>
      <c r="E54" s="245"/>
      <c r="F54" s="194">
        <v>83895923</v>
      </c>
      <c r="G54" s="247">
        <v>34057130</v>
      </c>
      <c r="H54" s="247">
        <v>33318789</v>
      </c>
      <c r="I54" s="247">
        <v>31605726</v>
      </c>
      <c r="J54" s="247">
        <v>29373691</v>
      </c>
      <c r="K54" s="247">
        <v>25577886</v>
      </c>
      <c r="L54" s="247">
        <v>23494129</v>
      </c>
      <c r="M54" s="247">
        <v>20985089</v>
      </c>
      <c r="N54" s="247">
        <v>19808262</v>
      </c>
      <c r="O54" s="247">
        <v>18951096</v>
      </c>
      <c r="P54" s="247">
        <v>14634796</v>
      </c>
      <c r="Q54" s="247">
        <v>14201643</v>
      </c>
      <c r="R54" s="200">
        <f t="shared" si="10"/>
        <v>349904160</v>
      </c>
      <c r="S54" s="201" t="s">
        <v>703</v>
      </c>
      <c r="T54" s="202"/>
      <c r="U54" s="246"/>
      <c r="V54" s="246"/>
      <c r="W54" s="246"/>
      <c r="BA54"/>
      <c r="BB54"/>
    </row>
    <row r="55" spans="1:54" s="191" customFormat="1" ht="13">
      <c r="A55" s="226"/>
      <c r="B55" s="180">
        <v>9114120007</v>
      </c>
      <c r="C55" s="183" t="str">
        <f>IFERROR(IF(VLOOKUP($B55,勘定科目!$A:$H,HLOOKUP($E$5,勘定科目!$F$1:$H$2,2,0),0)="","",VLOOKUP($B55,勘定科目!$A:$E,2,0)),"")</f>
        <v>社内金利（固定資産）</v>
      </c>
      <c r="D55" s="239" t="str">
        <f>IF(C55="","",VLOOKUP($B55,勘定科目!$A:$E,4,0))</f>
        <v>固定資産金利</v>
      </c>
      <c r="E55" s="245"/>
      <c r="F55" s="194">
        <v>13676070</v>
      </c>
      <c r="G55" s="247">
        <v>8509966</v>
      </c>
      <c r="H55" s="247">
        <v>8493463</v>
      </c>
      <c r="I55" s="247">
        <v>8452331</v>
      </c>
      <c r="J55" s="247">
        <v>8452331</v>
      </c>
      <c r="K55" s="247">
        <v>8452331</v>
      </c>
      <c r="L55" s="247">
        <v>8452331</v>
      </c>
      <c r="M55" s="247">
        <v>8452331</v>
      </c>
      <c r="N55" s="247">
        <v>8452331</v>
      </c>
      <c r="O55" s="247">
        <v>8452331</v>
      </c>
      <c r="P55" s="247">
        <v>8452331</v>
      </c>
      <c r="Q55" s="247">
        <v>8398250</v>
      </c>
      <c r="R55" s="200">
        <f t="shared" si="10"/>
        <v>106696397</v>
      </c>
      <c r="S55" s="201" t="s">
        <v>704</v>
      </c>
      <c r="T55" s="202"/>
      <c r="U55" s="246"/>
      <c r="V55" s="246"/>
      <c r="W55" s="246"/>
      <c r="BA55"/>
      <c r="BB55"/>
    </row>
    <row r="56" spans="1:54" s="191" customFormat="1" ht="13">
      <c r="A56" s="226"/>
      <c r="B56" s="180">
        <v>9114120007</v>
      </c>
      <c r="C56" s="183" t="str">
        <f>IFERROR(IF(VLOOKUP($B56,勘定科目!$A:$H,HLOOKUP($E$5,勘定科目!$F$1:$H$2,2,0),0)="","",VLOOKUP($B56,勘定科目!$A:$E,2,0)),"")</f>
        <v>社内金利（固定資産）</v>
      </c>
      <c r="D56" s="239" t="str">
        <f>IF(C56="","",VLOOKUP($B56,勘定科目!$A:$E,4,0))</f>
        <v>固定資産金利</v>
      </c>
      <c r="E56" s="245"/>
      <c r="F56" s="194">
        <v>2038055</v>
      </c>
      <c r="G56" s="247">
        <v>1415493</v>
      </c>
      <c r="H56" s="247">
        <v>1415493</v>
      </c>
      <c r="I56" s="247">
        <v>1415493</v>
      </c>
      <c r="J56" s="247">
        <v>1401528</v>
      </c>
      <c r="K56" s="247">
        <v>1401528</v>
      </c>
      <c r="L56" s="247">
        <v>1401528</v>
      </c>
      <c r="M56" s="247">
        <v>1401528</v>
      </c>
      <c r="N56" s="247">
        <v>1401528</v>
      </c>
      <c r="O56" s="247">
        <v>1401528</v>
      </c>
      <c r="P56" s="247">
        <v>1401528</v>
      </c>
      <c r="Q56" s="247">
        <v>1401528</v>
      </c>
      <c r="R56" s="200">
        <f t="shared" si="10"/>
        <v>17496758</v>
      </c>
      <c r="S56" s="201" t="s">
        <v>705</v>
      </c>
      <c r="T56" s="202"/>
      <c r="U56" s="246"/>
      <c r="V56" s="246"/>
      <c r="W56" s="246"/>
      <c r="BA56"/>
      <c r="BB56"/>
    </row>
    <row r="57" spans="1:54" s="191" customFormat="1" ht="13">
      <c r="A57" s="226"/>
      <c r="B57" s="180">
        <v>9114120007</v>
      </c>
      <c r="C57" s="183" t="str">
        <f>IFERROR(IF(VLOOKUP($B57,勘定科目!$A:$H,HLOOKUP($E$5,勘定科目!$F$1:$H$2,2,0),0)="","",VLOOKUP($B57,勘定科目!$A:$E,2,0)),"")</f>
        <v>社内金利（固定資産）</v>
      </c>
      <c r="D57" s="239" t="str">
        <f>IF(C57="","",VLOOKUP($B57,勘定科目!$A:$E,4,0))</f>
        <v>固定資産金利</v>
      </c>
      <c r="E57" s="245"/>
      <c r="F57" s="194">
        <f>+ROUND(F49*24*0.003,0)</f>
        <v>8339701</v>
      </c>
      <c r="G57" s="194">
        <f t="shared" ref="G57:Q57" si="30">+ROUND(G49*24*0.003,0)</f>
        <v>11995861</v>
      </c>
      <c r="H57" s="194">
        <f t="shared" si="30"/>
        <v>15652021</v>
      </c>
      <c r="I57" s="194">
        <f t="shared" si="30"/>
        <v>19308181</v>
      </c>
      <c r="J57" s="194">
        <f t="shared" si="30"/>
        <v>88226797</v>
      </c>
      <c r="K57" s="194">
        <f t="shared" si="30"/>
        <v>154068754</v>
      </c>
      <c r="L57" s="194">
        <f t="shared" si="30"/>
        <v>219910712</v>
      </c>
      <c r="M57" s="194">
        <f t="shared" si="30"/>
        <v>307080878</v>
      </c>
      <c r="N57" s="194">
        <f t="shared" si="30"/>
        <v>394251045</v>
      </c>
      <c r="O57" s="194">
        <f t="shared" si="30"/>
        <v>481421212</v>
      </c>
      <c r="P57" s="194">
        <f t="shared" si="30"/>
        <v>560973769</v>
      </c>
      <c r="Q57" s="194">
        <f t="shared" si="30"/>
        <v>640526327</v>
      </c>
      <c r="R57" s="200">
        <f t="shared" si="10"/>
        <v>2901755258</v>
      </c>
      <c r="S57" s="201" t="s">
        <v>706</v>
      </c>
      <c r="T57" s="202"/>
      <c r="U57" s="246"/>
      <c r="V57" s="246"/>
      <c r="W57" s="246"/>
      <c r="BA57"/>
      <c r="BB57"/>
    </row>
    <row r="58" spans="1:54" s="191" customFormat="1" ht="13">
      <c r="A58" s="226"/>
      <c r="B58" s="180">
        <v>9114120007</v>
      </c>
      <c r="C58" s="183" t="str">
        <f>IFERROR(IF(VLOOKUP($B58,勘定科目!$A:$H,HLOOKUP($E$5,勘定科目!$F$1:$H$2,2,0),0)="","",VLOOKUP($B58,勘定科目!$A:$E,2,0)),"")</f>
        <v>社内金利（固定資産）</v>
      </c>
      <c r="D58" s="239" t="str">
        <f>IF(C58="","",VLOOKUP($B58,勘定科目!$A:$E,4,0))</f>
        <v>固定資産金利</v>
      </c>
      <c r="E58" s="245"/>
      <c r="F58" s="194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00">
        <f t="shared" si="10"/>
        <v>0</v>
      </c>
      <c r="S58" s="201" t="s">
        <v>707</v>
      </c>
      <c r="T58" s="202"/>
      <c r="U58" s="246"/>
      <c r="V58" s="246"/>
      <c r="W58" s="246"/>
      <c r="BA58"/>
      <c r="BB58"/>
    </row>
    <row r="59" spans="1:54" s="191" customFormat="1" ht="13">
      <c r="A59" s="226"/>
      <c r="B59" s="180"/>
      <c r="C59" s="183" t="str">
        <f>IFERROR(IF(VLOOKUP($B59,勘定科目!$A:$H,HLOOKUP($E$5,勘定科目!$F$1:$H$2,2,0),0)="","",VLOOKUP($B59,勘定科目!$A:$E,2,0)),"")</f>
        <v/>
      </c>
      <c r="D59" s="239" t="str">
        <f>IF(C59="","",VLOOKUP($B59,勘定科目!$A:$E,4,0))</f>
        <v/>
      </c>
      <c r="E59" s="245"/>
      <c r="F59" s="194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00">
        <f t="shared" si="10"/>
        <v>0</v>
      </c>
      <c r="S59" s="201"/>
      <c r="T59" s="202"/>
      <c r="U59" s="246"/>
      <c r="V59" s="246"/>
      <c r="W59" s="246"/>
      <c r="BA59"/>
      <c r="BB59"/>
    </row>
    <row r="60" spans="1:54" s="191" customFormat="1" ht="13">
      <c r="A60" s="226"/>
      <c r="B60" s="180">
        <v>5005026372</v>
      </c>
      <c r="C60" s="183" t="str">
        <f>IFERROR(IF(VLOOKUP($B60,勘定科目!$A:$H,HLOOKUP($E$5,勘定科目!$F$1:$H$2,2,0),0)="","",VLOOKUP($B60,勘定科目!$A:$E,2,0)),"")</f>
        <v>消耗金型代（製）</v>
      </c>
      <c r="D60" s="239" t="str">
        <f>IF(C60="","",VLOOKUP($B60,勘定科目!$A:$E,4,0))</f>
        <v>消耗金型費</v>
      </c>
      <c r="E60" s="245"/>
      <c r="F60" s="194">
        <v>126950000</v>
      </c>
      <c r="G60" s="247">
        <v>126950000</v>
      </c>
      <c r="H60" s="247">
        <v>126950000</v>
      </c>
      <c r="I60" s="247">
        <v>126950000</v>
      </c>
      <c r="J60" s="247">
        <v>126950000</v>
      </c>
      <c r="K60" s="247">
        <v>126950000</v>
      </c>
      <c r="L60" s="247">
        <v>126950000</v>
      </c>
      <c r="M60" s="247">
        <v>126950000</v>
      </c>
      <c r="N60" s="247">
        <v>126950000</v>
      </c>
      <c r="O60" s="247">
        <v>126950000</v>
      </c>
      <c r="P60" s="247">
        <v>126950000</v>
      </c>
      <c r="Q60" s="247">
        <v>126950000</v>
      </c>
      <c r="R60" s="200">
        <f t="shared" si="10"/>
        <v>1523400000</v>
      </c>
      <c r="S60" s="201" t="s">
        <v>708</v>
      </c>
      <c r="T60" s="202"/>
      <c r="U60" s="246"/>
      <c r="V60" s="246"/>
      <c r="W60" s="246"/>
      <c r="BA60"/>
      <c r="BB60"/>
    </row>
    <row r="61" spans="1:54" s="191" customFormat="1" ht="13">
      <c r="A61" s="226"/>
      <c r="B61" s="180">
        <v>5005046284</v>
      </c>
      <c r="C61" s="183" t="str">
        <f>IFERROR(IF(VLOOKUP($B61,勘定科目!$A:$H,HLOOKUP($E$5,勘定科目!$F$1:$H$2,2,0),0)="","",VLOOKUP($B61,勘定科目!$A:$E,2,0)),"")</f>
        <v>金型修繕費（製造）</v>
      </c>
      <c r="D61" s="239" t="str">
        <f>IF(C61="","",VLOOKUP($B61,勘定科目!$A:$E,4,0))</f>
        <v>修繕費</v>
      </c>
      <c r="E61" s="245"/>
      <c r="F61" s="194">
        <v>380850000</v>
      </c>
      <c r="G61" s="247">
        <v>380850000</v>
      </c>
      <c r="H61" s="247">
        <v>380850000</v>
      </c>
      <c r="I61" s="247">
        <v>380850000</v>
      </c>
      <c r="J61" s="247">
        <v>380850000</v>
      </c>
      <c r="K61" s="247">
        <v>380850000</v>
      </c>
      <c r="L61" s="247">
        <v>380850000</v>
      </c>
      <c r="M61" s="247">
        <v>380850000</v>
      </c>
      <c r="N61" s="247">
        <v>380850000</v>
      </c>
      <c r="O61" s="247">
        <v>380850000</v>
      </c>
      <c r="P61" s="247">
        <v>380850000</v>
      </c>
      <c r="Q61" s="247">
        <v>380850000</v>
      </c>
      <c r="R61" s="200">
        <f t="shared" si="10"/>
        <v>4570200000</v>
      </c>
      <c r="S61" s="201" t="s">
        <v>709</v>
      </c>
      <c r="T61" s="202"/>
      <c r="U61" s="246"/>
      <c r="V61" s="246"/>
      <c r="W61" s="246"/>
      <c r="BA61"/>
      <c r="BB61"/>
    </row>
    <row r="62" spans="1:54" s="191" customFormat="1" ht="13">
      <c r="A62" s="226"/>
      <c r="B62" s="180">
        <v>5005016371</v>
      </c>
      <c r="C62" s="183" t="str">
        <f>IFERROR(IF(VLOOKUP($B62,勘定科目!$A:$H,HLOOKUP($E$5,勘定科目!$F$1:$H$2,2,0),0)="","",VLOOKUP($B62,勘定科目!$A:$E,2,0)),"")</f>
        <v>生産用消耗品費（製）</v>
      </c>
      <c r="D62" s="239" t="str">
        <f>IF(C62="","",VLOOKUP($B62,勘定科目!$A:$E,4,0))</f>
        <v>消耗品費</v>
      </c>
      <c r="E62" s="245"/>
      <c r="F62" s="194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00">
        <f t="shared" si="10"/>
        <v>0</v>
      </c>
      <c r="S62" s="201" t="s">
        <v>710</v>
      </c>
      <c r="T62" s="202"/>
      <c r="U62" s="246"/>
      <c r="V62" s="246"/>
      <c r="W62" s="246"/>
      <c r="BA62"/>
      <c r="BB62"/>
    </row>
    <row r="63" spans="1:54" s="191" customFormat="1" ht="13">
      <c r="A63" s="226"/>
      <c r="B63" s="180"/>
      <c r="C63" s="183" t="str">
        <f>IFERROR(IF(VLOOKUP($B63,勘定科目!$A:$H,HLOOKUP($E$5,勘定科目!$F$1:$H$2,2,0),0)="","",VLOOKUP($B63,勘定科目!$A:$E,2,0)),"")</f>
        <v/>
      </c>
      <c r="D63" s="239" t="str">
        <f>IF(C63="","",VLOOKUP($B63,勘定科目!$A:$E,4,0))</f>
        <v/>
      </c>
      <c r="E63" s="245"/>
      <c r="F63" s="194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00">
        <f t="shared" si="10"/>
        <v>0</v>
      </c>
      <c r="S63" s="201"/>
      <c r="T63" s="202"/>
      <c r="U63" s="246"/>
      <c r="V63" s="246"/>
      <c r="W63" s="246"/>
      <c r="BA63"/>
      <c r="BB63"/>
    </row>
    <row r="64" spans="1:54" s="191" customFormat="1" ht="13">
      <c r="A64" s="226"/>
      <c r="B64" s="180">
        <v>5005076281</v>
      </c>
      <c r="C64" s="183" t="str">
        <f>IFERROR(IF(VLOOKUP($B64,勘定科目!$A:$H,HLOOKUP($E$5,勘定科目!$F$1:$H$2,2,0),0)="","",VLOOKUP($B64,勘定科目!$A:$E,2,0)),"")</f>
        <v>通関申告費用（製）</v>
      </c>
      <c r="D64" s="239" t="str">
        <f>IF(C64="","",VLOOKUP($B64,勘定科目!$A:$E,4,0))</f>
        <v>荷造運賃</v>
      </c>
      <c r="E64" s="245"/>
      <c r="F64" s="194">
        <v>50804840</v>
      </c>
      <c r="G64" s="194">
        <v>50804840</v>
      </c>
      <c r="H64" s="194">
        <v>50804840</v>
      </c>
      <c r="I64" s="194">
        <v>50804840</v>
      </c>
      <c r="J64" s="194">
        <v>50804840</v>
      </c>
      <c r="K64" s="194">
        <v>50804840</v>
      </c>
      <c r="L64" s="194">
        <v>50804840</v>
      </c>
      <c r="M64" s="194">
        <v>50804840</v>
      </c>
      <c r="N64" s="194">
        <v>50804840</v>
      </c>
      <c r="O64" s="194">
        <v>50804840</v>
      </c>
      <c r="P64" s="194">
        <v>50804840</v>
      </c>
      <c r="Q64" s="194">
        <v>50804840</v>
      </c>
      <c r="R64" s="200">
        <f t="shared" si="10"/>
        <v>609658080</v>
      </c>
      <c r="S64" s="201" t="s">
        <v>711</v>
      </c>
      <c r="T64" s="202"/>
      <c r="U64" s="246"/>
      <c r="V64" s="246"/>
      <c r="W64" s="246"/>
      <c r="BA64"/>
      <c r="BB64"/>
    </row>
    <row r="65" spans="1:54" s="191" customFormat="1" ht="13">
      <c r="A65" s="226"/>
      <c r="B65" s="180">
        <v>5005076283</v>
      </c>
      <c r="C65" s="183" t="str">
        <f>IFERROR(IF(VLOOKUP($B65,勘定科目!$A:$H,HLOOKUP($E$5,勘定科目!$F$1:$H$2,2,0),0)="","",VLOOKUP($B65,勘定科目!$A:$E,2,0)),"")</f>
        <v>輸入航空運賃（製）</v>
      </c>
      <c r="D65" s="239" t="str">
        <f>IF(C65="","",VLOOKUP($B65,勘定科目!$A:$E,4,0))</f>
        <v>荷造運賃</v>
      </c>
      <c r="E65" s="245"/>
      <c r="F65" s="194">
        <v>335745036</v>
      </c>
      <c r="G65" s="194">
        <v>335745036</v>
      </c>
      <c r="H65" s="194">
        <v>335745036</v>
      </c>
      <c r="I65" s="194">
        <v>335745036</v>
      </c>
      <c r="J65" s="194">
        <v>335745036</v>
      </c>
      <c r="K65" s="194">
        <v>335745036</v>
      </c>
      <c r="L65" s="194">
        <v>335745036</v>
      </c>
      <c r="M65" s="194">
        <v>335745036</v>
      </c>
      <c r="N65" s="194">
        <v>335745036</v>
      </c>
      <c r="O65" s="194">
        <v>335745036</v>
      </c>
      <c r="P65" s="194">
        <v>335745036</v>
      </c>
      <c r="Q65" s="194">
        <v>335745036</v>
      </c>
      <c r="R65" s="200">
        <f t="shared" si="10"/>
        <v>4028940432</v>
      </c>
      <c r="S65" s="201" t="s">
        <v>712</v>
      </c>
      <c r="T65" s="202"/>
      <c r="U65" s="246"/>
      <c r="V65" s="246"/>
      <c r="W65" s="246"/>
      <c r="BA65"/>
      <c r="BB65"/>
    </row>
    <row r="66" spans="1:54" s="191" customFormat="1" ht="13">
      <c r="A66" s="226"/>
      <c r="B66" s="180">
        <v>5005076284</v>
      </c>
      <c r="C66" s="183" t="str">
        <f>IFERROR(IF(VLOOKUP($B66,勘定科目!$A:$H,HLOOKUP($E$5,勘定科目!$F$1:$H$2,2,0),0)="","",VLOOKUP($B66,勘定科目!$A:$E,2,0)),"")</f>
        <v>輸入海上運賃（製）</v>
      </c>
      <c r="D66" s="239" t="str">
        <f>IF(C66="","",VLOOKUP($B66,勘定科目!$A:$E,4,0))</f>
        <v>荷造運賃</v>
      </c>
      <c r="E66" s="245"/>
      <c r="F66" s="194">
        <v>460000000</v>
      </c>
      <c r="G66" s="194">
        <v>460000000</v>
      </c>
      <c r="H66" s="194">
        <v>460000000</v>
      </c>
      <c r="I66" s="194">
        <v>460000000</v>
      </c>
      <c r="J66" s="194">
        <v>460000000</v>
      </c>
      <c r="K66" s="194">
        <v>460000000</v>
      </c>
      <c r="L66" s="194">
        <v>460000000</v>
      </c>
      <c r="M66" s="194">
        <v>460000000</v>
      </c>
      <c r="N66" s="194">
        <v>460000000</v>
      </c>
      <c r="O66" s="194">
        <v>460000000</v>
      </c>
      <c r="P66" s="194">
        <v>460000000</v>
      </c>
      <c r="Q66" s="194">
        <v>460000000</v>
      </c>
      <c r="R66" s="200">
        <f t="shared" si="10"/>
        <v>5520000000</v>
      </c>
      <c r="S66" s="201" t="s">
        <v>713</v>
      </c>
      <c r="T66" s="202"/>
      <c r="U66" s="246"/>
      <c r="V66" s="246"/>
      <c r="W66" s="246"/>
      <c r="BA66"/>
      <c r="BB66"/>
    </row>
    <row r="67" spans="1:54" s="191" customFormat="1" ht="13">
      <c r="A67" s="226"/>
      <c r="B67" s="180">
        <v>6003036543</v>
      </c>
      <c r="C67" s="183" t="str">
        <f>IFERROR(IF(VLOOKUP($B67,勘定科目!$A:$H,HLOOKUP($E$5,勘定科目!$F$1:$H$2,2,0),0)="","",VLOOKUP($B67,勘定科目!$A:$E,2,0)),"")</f>
        <v>輸出航空運賃（販売）</v>
      </c>
      <c r="D67" s="239" t="str">
        <f>IF(C67="","",VLOOKUP($B67,勘定科目!$A:$E,4,0))</f>
        <v>荷造運賃</v>
      </c>
      <c r="E67" s="245"/>
      <c r="F67" s="194">
        <v>193000</v>
      </c>
      <c r="G67" s="194">
        <v>193000</v>
      </c>
      <c r="H67" s="194">
        <v>193000</v>
      </c>
      <c r="I67" s="194">
        <v>193000</v>
      </c>
      <c r="J67" s="194">
        <v>193000</v>
      </c>
      <c r="K67" s="194">
        <v>193000</v>
      </c>
      <c r="L67" s="194">
        <v>193000</v>
      </c>
      <c r="M67" s="194">
        <v>193000</v>
      </c>
      <c r="N67" s="194">
        <v>193000</v>
      </c>
      <c r="O67" s="194">
        <v>193000</v>
      </c>
      <c r="P67" s="194">
        <v>193000</v>
      </c>
      <c r="Q67" s="194">
        <v>193000</v>
      </c>
      <c r="R67" s="200">
        <f t="shared" si="10"/>
        <v>2316000</v>
      </c>
      <c r="S67" s="201" t="s">
        <v>714</v>
      </c>
      <c r="T67" s="202"/>
      <c r="U67" s="246"/>
      <c r="V67" s="246"/>
      <c r="W67" s="246"/>
      <c r="BA67"/>
      <c r="BB67"/>
    </row>
    <row r="68" spans="1:54" s="191" customFormat="1" ht="13">
      <c r="A68" s="226"/>
      <c r="B68" s="180">
        <v>6003036544</v>
      </c>
      <c r="C68" s="183" t="str">
        <f>IFERROR(IF(VLOOKUP($B68,勘定科目!$A:$H,HLOOKUP($E$5,勘定科目!$F$1:$H$2,2,0),0)="","",VLOOKUP($B68,勘定科目!$A:$E,2,0)),"")</f>
        <v>輸出海上運賃（販売）</v>
      </c>
      <c r="D68" s="239" t="str">
        <f>IF(C68="","",VLOOKUP($B68,勘定科目!$A:$E,4,0))</f>
        <v>荷造運賃</v>
      </c>
      <c r="E68" s="245"/>
      <c r="F68" s="194">
        <v>1700000000</v>
      </c>
      <c r="G68" s="194">
        <v>1700000000</v>
      </c>
      <c r="H68" s="194">
        <v>1700000000</v>
      </c>
      <c r="I68" s="194">
        <v>1700000000</v>
      </c>
      <c r="J68" s="194">
        <v>1700000000</v>
      </c>
      <c r="K68" s="194">
        <v>1700000000</v>
      </c>
      <c r="L68" s="194">
        <v>1700000000</v>
      </c>
      <c r="M68" s="194">
        <v>1700000000</v>
      </c>
      <c r="N68" s="194">
        <v>1700000000</v>
      </c>
      <c r="O68" s="194">
        <v>1700000000</v>
      </c>
      <c r="P68" s="194">
        <v>1700000000</v>
      </c>
      <c r="Q68" s="194">
        <v>1700000000</v>
      </c>
      <c r="R68" s="200">
        <f t="shared" si="10"/>
        <v>20400000000</v>
      </c>
      <c r="S68" s="201" t="s">
        <v>715</v>
      </c>
      <c r="T68" s="202"/>
      <c r="U68" s="246"/>
      <c r="V68" s="246"/>
      <c r="W68" s="246"/>
      <c r="BA68"/>
      <c r="BB68"/>
    </row>
    <row r="69" spans="1:54" s="191" customFormat="1" ht="13">
      <c r="A69" s="226"/>
      <c r="B69" s="180">
        <v>5005076289</v>
      </c>
      <c r="C69" s="183" t="str">
        <f>IFERROR(IF(VLOOKUP($B69,勘定科目!$A:$H,HLOOKUP($E$5,勘定科目!$F$1:$H$2,2,0),0)="","",VLOOKUP($B69,勘定科目!$A:$E,2,0)),"")</f>
        <v>クーリエ費用（製）</v>
      </c>
      <c r="D69" s="239" t="str">
        <f>IF(C69="","",VLOOKUP($B69,勘定科目!$A:$E,4,0))</f>
        <v>荷造運賃</v>
      </c>
      <c r="E69" s="245"/>
      <c r="F69" s="194">
        <v>15300000</v>
      </c>
      <c r="G69" s="194">
        <v>15300000</v>
      </c>
      <c r="H69" s="194">
        <v>15300000</v>
      </c>
      <c r="I69" s="194">
        <v>15300000</v>
      </c>
      <c r="J69" s="194">
        <v>15300000</v>
      </c>
      <c r="K69" s="194">
        <v>15300000</v>
      </c>
      <c r="L69" s="194">
        <v>15300000</v>
      </c>
      <c r="M69" s="194">
        <v>15300000</v>
      </c>
      <c r="N69" s="194">
        <v>15300000</v>
      </c>
      <c r="O69" s="194">
        <v>15300000</v>
      </c>
      <c r="P69" s="194">
        <v>15300000</v>
      </c>
      <c r="Q69" s="194">
        <v>15300000</v>
      </c>
      <c r="R69" s="200">
        <f t="shared" si="10"/>
        <v>183600000</v>
      </c>
      <c r="S69" s="201" t="s">
        <v>716</v>
      </c>
      <c r="T69" s="202"/>
      <c r="U69" s="246"/>
      <c r="V69" s="246"/>
      <c r="W69" s="246"/>
      <c r="BA69"/>
      <c r="BB69"/>
    </row>
    <row r="70" spans="1:54" s="191" customFormat="1" ht="13">
      <c r="A70" s="226"/>
      <c r="B70" s="180"/>
      <c r="C70" s="183" t="str">
        <f>IFERROR(IF(VLOOKUP($B70,勘定科目!$A:$H,HLOOKUP($E$5,勘定科目!$F$1:$H$2,2,0),0)="","",VLOOKUP($B70,勘定科目!$A:$E,2,0)),"")</f>
        <v/>
      </c>
      <c r="D70" s="239" t="str">
        <f>IF(C70="","",VLOOKUP($B70,勘定科目!$A:$E,4,0))</f>
        <v/>
      </c>
      <c r="E70" s="245"/>
      <c r="F70" s="194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00">
        <f t="shared" si="10"/>
        <v>0</v>
      </c>
      <c r="S70" s="201"/>
      <c r="T70" s="202"/>
      <c r="U70" s="246"/>
      <c r="V70" s="246"/>
      <c r="W70" s="246"/>
      <c r="BA70"/>
      <c r="BB70"/>
    </row>
    <row r="71" spans="1:54" s="191" customFormat="1" ht="13">
      <c r="A71" s="226"/>
      <c r="B71" s="180">
        <v>5005026371</v>
      </c>
      <c r="C71" s="183" t="str">
        <f>IFERROR(IF(VLOOKUP($B71,勘定科目!$A:$H,HLOOKUP($E$5,勘定科目!$F$1:$H$2,2,0),0)="","",VLOOKUP($B71,勘定科目!$A:$E,2,0)),"")</f>
        <v>消耗工具器具備品費（製）</v>
      </c>
      <c r="D71" s="239" t="str">
        <f>IF(C71="","",VLOOKUP($B71,勘定科目!$A:$E,4,0))</f>
        <v>消耗工具器具備品費</v>
      </c>
      <c r="E71" s="245"/>
      <c r="F71" s="194">
        <v>100000000</v>
      </c>
      <c r="G71" s="194">
        <v>100000000</v>
      </c>
      <c r="H71" s="194">
        <v>100000000</v>
      </c>
      <c r="I71" s="194">
        <v>100000000</v>
      </c>
      <c r="J71" s="194">
        <v>100000000</v>
      </c>
      <c r="K71" s="194">
        <v>100000000</v>
      </c>
      <c r="L71" s="194">
        <v>100000000</v>
      </c>
      <c r="M71" s="194">
        <v>100000000</v>
      </c>
      <c r="N71" s="194">
        <v>100000000</v>
      </c>
      <c r="O71" s="194">
        <v>100000000</v>
      </c>
      <c r="P71" s="194">
        <v>100000000</v>
      </c>
      <c r="Q71" s="194">
        <v>100000000</v>
      </c>
      <c r="R71" s="200">
        <f t="shared" si="10"/>
        <v>1200000000</v>
      </c>
      <c r="S71" s="201" t="s">
        <v>717</v>
      </c>
      <c r="T71" s="202"/>
      <c r="U71" s="246"/>
      <c r="V71" s="246"/>
      <c r="W71" s="246"/>
      <c r="BA71"/>
      <c r="BB71"/>
    </row>
    <row r="72" spans="1:54" s="191" customFormat="1" ht="13">
      <c r="A72" s="226"/>
      <c r="B72" s="180">
        <v>5005026371</v>
      </c>
      <c r="C72" s="183" t="str">
        <f>IFERROR(IF(VLOOKUP($B72,勘定科目!$A:$H,HLOOKUP($E$5,勘定科目!$F$1:$H$2,2,0),0)="","",VLOOKUP($B72,勘定科目!$A:$E,2,0)),"")</f>
        <v>消耗工具器具備品費（製）</v>
      </c>
      <c r="D72" s="239" t="str">
        <f>IF(C72="","",VLOOKUP($B72,勘定科目!$A:$E,4,0))</f>
        <v>消耗工具器具備品費</v>
      </c>
      <c r="E72" s="245"/>
      <c r="F72" s="194">
        <v>122813222</v>
      </c>
      <c r="G72" s="247">
        <v>120633222</v>
      </c>
      <c r="H72" s="247">
        <v>120633222</v>
      </c>
      <c r="I72" s="247">
        <v>211335242</v>
      </c>
      <c r="J72" s="247">
        <v>211335242</v>
      </c>
      <c r="K72" s="247">
        <v>5465414365</v>
      </c>
      <c r="L72" s="247">
        <v>5199525322</v>
      </c>
      <c r="M72" s="247">
        <v>202791673</v>
      </c>
      <c r="N72" s="247">
        <v>213384726</v>
      </c>
      <c r="O72" s="247">
        <v>87743862</v>
      </c>
      <c r="P72" s="247">
        <v>47943222</v>
      </c>
      <c r="Q72" s="247">
        <v>98969753</v>
      </c>
      <c r="R72" s="200">
        <f t="shared" si="10"/>
        <v>12102523073</v>
      </c>
      <c r="S72" s="201" t="s">
        <v>718</v>
      </c>
      <c r="T72" s="202"/>
      <c r="U72" s="246"/>
      <c r="V72" s="246"/>
      <c r="W72" s="246"/>
      <c r="BA72"/>
      <c r="BB72"/>
    </row>
    <row r="73" spans="1:54" s="191" customFormat="1" ht="13">
      <c r="A73" s="226"/>
      <c r="B73" s="180">
        <v>5005026371</v>
      </c>
      <c r="C73" s="183" t="str">
        <f>IFERROR(IF(VLOOKUP($B73,勘定科目!$A:$H,HLOOKUP($E$5,勘定科目!$F$1:$H$2,2,0),0)="","",VLOOKUP($B73,勘定科目!$A:$E,2,0)),"")</f>
        <v>消耗工具器具備品費（製）</v>
      </c>
      <c r="D73" s="239" t="str">
        <f>IF(C73="","",VLOOKUP($B73,勘定科目!$A:$E,4,0))</f>
        <v>消耗工具器具備品費</v>
      </c>
      <c r="E73" s="245"/>
      <c r="F73" s="194">
        <v>208257083</v>
      </c>
      <c r="G73" s="247">
        <v>197869564</v>
      </c>
      <c r="H73" s="247">
        <v>218897955</v>
      </c>
      <c r="I73" s="247">
        <v>239672993</v>
      </c>
      <c r="J73" s="247">
        <v>208257083</v>
      </c>
      <c r="K73" s="247">
        <v>197869564</v>
      </c>
      <c r="L73" s="247">
        <v>239672993</v>
      </c>
      <c r="M73" s="247">
        <v>208257083</v>
      </c>
      <c r="N73" s="247">
        <v>229285474</v>
      </c>
      <c r="O73" s="247">
        <v>208257083</v>
      </c>
      <c r="P73" s="247">
        <v>185201858</v>
      </c>
      <c r="Q73" s="247">
        <v>247020262</v>
      </c>
      <c r="R73" s="200">
        <f t="shared" si="10"/>
        <v>2588518995</v>
      </c>
      <c r="S73" s="201" t="s">
        <v>719</v>
      </c>
      <c r="T73" s="202"/>
      <c r="U73" s="246"/>
      <c r="V73" s="246"/>
      <c r="W73" s="246"/>
      <c r="BA73"/>
      <c r="BB73"/>
    </row>
    <row r="74" spans="1:54" s="191" customFormat="1" ht="13">
      <c r="A74" s="226"/>
      <c r="B74" s="180">
        <v>5005046281</v>
      </c>
      <c r="C74" s="183" t="str">
        <f>IFERROR(IF(VLOOKUP($B74,勘定科目!$A:$H,HLOOKUP($E$5,勘定科目!$F$1:$H$2,2,0),0)="","",VLOOKUP($B74,勘定科目!$A:$E,2,0)),"")</f>
        <v>機械設備修繕費（製）</v>
      </c>
      <c r="D74" s="239" t="str">
        <f>IF(C74="","",VLOOKUP($B74,勘定科目!$A:$E,4,0))</f>
        <v>修繕費</v>
      </c>
      <c r="E74" s="245"/>
      <c r="F74" s="194">
        <v>8300000</v>
      </c>
      <c r="G74" s="247">
        <v>7900000</v>
      </c>
      <c r="H74" s="247">
        <v>4100000</v>
      </c>
      <c r="I74" s="247">
        <v>5900000</v>
      </c>
      <c r="J74" s="247">
        <v>500000</v>
      </c>
      <c r="K74" s="247">
        <v>2000000</v>
      </c>
      <c r="L74" s="247">
        <v>2100000</v>
      </c>
      <c r="M74" s="247">
        <v>17300000</v>
      </c>
      <c r="N74" s="247">
        <v>4800000</v>
      </c>
      <c r="O74" s="247">
        <v>6900000</v>
      </c>
      <c r="P74" s="247">
        <v>4900000</v>
      </c>
      <c r="Q74" s="247">
        <v>7300000</v>
      </c>
      <c r="R74" s="200">
        <f t="shared" si="10"/>
        <v>72000000</v>
      </c>
      <c r="S74" s="201" t="s">
        <v>720</v>
      </c>
      <c r="T74" s="202"/>
      <c r="U74" s="246"/>
      <c r="V74" s="246"/>
      <c r="W74" s="246"/>
      <c r="BA74"/>
      <c r="BB74"/>
    </row>
    <row r="75" spans="1:54" s="191" customFormat="1" ht="13">
      <c r="A75" s="226"/>
      <c r="B75" s="180">
        <v>5005046281</v>
      </c>
      <c r="C75" s="183" t="str">
        <f>IFERROR(IF(VLOOKUP($B75,勘定科目!$A:$H,HLOOKUP($E$5,勘定科目!$F$1:$H$2,2,0),0)="","",VLOOKUP($B75,勘定科目!$A:$E,2,0)),"")</f>
        <v>機械設備修繕費（製）</v>
      </c>
      <c r="D75" s="239" t="str">
        <f>IF(C75="","",VLOOKUP($B75,勘定科目!$A:$E,4,0))</f>
        <v>修繕費</v>
      </c>
      <c r="E75" s="245"/>
      <c r="F75" s="194">
        <v>30000000</v>
      </c>
      <c r="G75" s="194">
        <v>30000000</v>
      </c>
      <c r="H75" s="194">
        <v>30000000</v>
      </c>
      <c r="I75" s="194">
        <v>30000000</v>
      </c>
      <c r="J75" s="194">
        <v>30000000</v>
      </c>
      <c r="K75" s="194">
        <v>30000000</v>
      </c>
      <c r="L75" s="194">
        <v>30000000</v>
      </c>
      <c r="M75" s="194">
        <v>30000000</v>
      </c>
      <c r="N75" s="194">
        <v>30000000</v>
      </c>
      <c r="O75" s="194">
        <v>30000000</v>
      </c>
      <c r="P75" s="194">
        <v>30000000</v>
      </c>
      <c r="Q75" s="194">
        <v>30000000</v>
      </c>
      <c r="R75" s="200">
        <f t="shared" si="10"/>
        <v>360000000</v>
      </c>
      <c r="S75" s="201" t="s">
        <v>721</v>
      </c>
      <c r="T75" s="202"/>
      <c r="U75" s="246"/>
      <c r="V75" s="246"/>
      <c r="W75" s="246"/>
      <c r="BA75"/>
      <c r="BB75"/>
    </row>
    <row r="76" spans="1:54" s="191" customFormat="1" ht="13">
      <c r="A76" s="226"/>
      <c r="B76" s="180">
        <v>5005016373</v>
      </c>
      <c r="C76" s="183" t="str">
        <f>IFERROR(IF(VLOOKUP($B76,勘定科目!$A:$H,HLOOKUP($E$5,勘定科目!$F$1:$H$2,2,0),0)="","",VLOOKUP($B76,勘定科目!$A:$E,2,0)),"")</f>
        <v>生産用文房具（製造）</v>
      </c>
      <c r="D76" s="239" t="str">
        <f>IF(C76="","",VLOOKUP($B76,勘定科目!$A:$E,4,0))</f>
        <v>消耗品費</v>
      </c>
      <c r="E76" s="245"/>
      <c r="F76" s="194">
        <v>500000</v>
      </c>
      <c r="G76" s="194">
        <v>500000</v>
      </c>
      <c r="H76" s="194">
        <v>500000</v>
      </c>
      <c r="I76" s="194">
        <v>500000</v>
      </c>
      <c r="J76" s="194">
        <v>500000</v>
      </c>
      <c r="K76" s="194">
        <v>500000</v>
      </c>
      <c r="L76" s="194">
        <v>500000</v>
      </c>
      <c r="M76" s="194">
        <v>500000</v>
      </c>
      <c r="N76" s="194">
        <v>500000</v>
      </c>
      <c r="O76" s="194">
        <v>500000</v>
      </c>
      <c r="P76" s="194">
        <v>500000</v>
      </c>
      <c r="Q76" s="194">
        <v>500000</v>
      </c>
      <c r="R76" s="200">
        <f t="shared" si="10"/>
        <v>6000000</v>
      </c>
      <c r="S76" s="201" t="s">
        <v>722</v>
      </c>
      <c r="T76" s="202"/>
      <c r="U76" s="246"/>
      <c r="V76" s="246"/>
      <c r="W76" s="246"/>
      <c r="BA76"/>
      <c r="BB76"/>
    </row>
    <row r="77" spans="1:54" s="191" customFormat="1" ht="13">
      <c r="A77" s="226"/>
      <c r="B77" s="180"/>
      <c r="C77" s="183" t="str">
        <f>IFERROR(IF(VLOOKUP($B77,勘定科目!$A:$H,HLOOKUP($E$5,勘定科目!$F$1:$H$2,2,0),0)="","",VLOOKUP($B77,勘定科目!$A:$E,2,0)),"")</f>
        <v/>
      </c>
      <c r="D77" s="239" t="str">
        <f>IF(C77="","",VLOOKUP($B77,勘定科目!$A:$E,4,0))</f>
        <v/>
      </c>
      <c r="E77" s="245"/>
      <c r="F77" s="194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00">
        <f t="shared" si="10"/>
        <v>0</v>
      </c>
      <c r="S77" s="201"/>
      <c r="T77" s="202"/>
      <c r="U77" s="246"/>
      <c r="V77" s="246"/>
      <c r="W77" s="246"/>
      <c r="BA77"/>
      <c r="BB77"/>
    </row>
    <row r="78" spans="1:54" s="191" customFormat="1" ht="13">
      <c r="A78" s="226"/>
      <c r="B78" s="180">
        <v>5001016151</v>
      </c>
      <c r="C78" s="183" t="str">
        <f>IFERROR(IF(VLOOKUP($B78,勘定科目!$A:$H,HLOOKUP($E$5,勘定科目!$F$1:$H$2,2,0),0)="","",VLOOKUP($B78,勘定科目!$A:$E,2,0)),"")</f>
        <v>生産用副資材</v>
      </c>
      <c r="D78" s="239" t="str">
        <f>IF(C78="","",VLOOKUP($B78,勘定科目!$A:$E,4,0))</f>
        <v>材料費</v>
      </c>
      <c r="E78" s="245"/>
      <c r="F78" s="194">
        <v>2003798054</v>
      </c>
      <c r="G78" s="247">
        <v>1971995380</v>
      </c>
      <c r="H78" s="247">
        <v>2321489450</v>
      </c>
      <c r="I78" s="247">
        <v>3192367004</v>
      </c>
      <c r="J78" s="247">
        <v>2929280555</v>
      </c>
      <c r="K78" s="247">
        <v>2489401205</v>
      </c>
      <c r="L78" s="247">
        <v>3398878868</v>
      </c>
      <c r="M78" s="247">
        <v>3044926495</v>
      </c>
      <c r="N78" s="247">
        <v>3375860538</v>
      </c>
      <c r="O78" s="247">
        <v>3178273290</v>
      </c>
      <c r="P78" s="247">
        <v>2508590080</v>
      </c>
      <c r="Q78" s="247">
        <v>3151706256</v>
      </c>
      <c r="R78" s="200">
        <f t="shared" si="10"/>
        <v>33566567175</v>
      </c>
      <c r="S78" s="201" t="s">
        <v>723</v>
      </c>
      <c r="T78" s="202"/>
      <c r="U78" s="246"/>
      <c r="V78" s="246"/>
      <c r="W78" s="246"/>
      <c r="BA78"/>
      <c r="BB78"/>
    </row>
    <row r="79" spans="1:54" s="191" customFormat="1" ht="13">
      <c r="A79" s="226"/>
      <c r="B79" s="180">
        <v>5005016371</v>
      </c>
      <c r="C79" s="183" t="str">
        <f>IFERROR(IF(VLOOKUP($B79,勘定科目!$A:$H,HLOOKUP($E$5,勘定科目!$F$1:$H$2,2,0),0)="","",VLOOKUP($B79,勘定科目!$A:$E,2,0)),"")</f>
        <v>生産用消耗品費（製）</v>
      </c>
      <c r="D79" s="239" t="str">
        <f>IF(C79="","",VLOOKUP($B79,勘定科目!$A:$E,4,0))</f>
        <v>消耗品費</v>
      </c>
      <c r="E79" s="245"/>
      <c r="F79" s="194">
        <v>627196568</v>
      </c>
      <c r="G79" s="247">
        <v>617005661</v>
      </c>
      <c r="H79" s="247">
        <v>723786073</v>
      </c>
      <c r="I79" s="247">
        <v>980133896</v>
      </c>
      <c r="J79" s="247">
        <v>910298363</v>
      </c>
      <c r="K79" s="247">
        <v>774590568</v>
      </c>
      <c r="L79" s="247">
        <v>1044680230</v>
      </c>
      <c r="M79" s="247">
        <v>937790262</v>
      </c>
      <c r="N79" s="247">
        <v>1039424571</v>
      </c>
      <c r="O79" s="247">
        <v>981687334</v>
      </c>
      <c r="P79" s="247">
        <v>788758784</v>
      </c>
      <c r="Q79" s="247">
        <v>975434209</v>
      </c>
      <c r="R79" s="200">
        <f t="shared" si="10"/>
        <v>10400786519</v>
      </c>
      <c r="S79" s="201" t="s">
        <v>724</v>
      </c>
      <c r="T79" s="202"/>
      <c r="U79" s="246"/>
      <c r="V79" s="246"/>
      <c r="W79" s="246"/>
      <c r="BA79"/>
      <c r="BB79"/>
    </row>
    <row r="80" spans="1:54" s="191" customFormat="1" ht="13">
      <c r="A80" s="226"/>
      <c r="B80" s="180">
        <v>5005016371</v>
      </c>
      <c r="C80" s="183" t="str">
        <f>IFERROR(IF(VLOOKUP($B80,勘定科目!$A:$H,HLOOKUP($E$5,勘定科目!$F$1:$H$2,2,0),0)="","",VLOOKUP($B80,勘定科目!$A:$E,2,0)),"")</f>
        <v>生産用消耗品費（製）</v>
      </c>
      <c r="D80" s="239" t="str">
        <f>IF(C80="","",VLOOKUP($B80,勘定科目!$A:$E,4,0))</f>
        <v>消耗品費</v>
      </c>
      <c r="E80" s="245"/>
      <c r="F80" s="194">
        <v>127804227</v>
      </c>
      <c r="G80" s="247">
        <v>125854941</v>
      </c>
      <c r="H80" s="247">
        <v>138570567</v>
      </c>
      <c r="I80" s="247">
        <v>174123568</v>
      </c>
      <c r="J80" s="247">
        <v>161498175</v>
      </c>
      <c r="K80" s="247">
        <v>185435386</v>
      </c>
      <c r="L80" s="247">
        <v>268593928</v>
      </c>
      <c r="M80" s="247">
        <v>234266259</v>
      </c>
      <c r="N80" s="247">
        <v>256977577</v>
      </c>
      <c r="O80" s="247">
        <v>237224563</v>
      </c>
      <c r="P80" s="247">
        <v>196072525</v>
      </c>
      <c r="Q80" s="247">
        <v>239414130</v>
      </c>
      <c r="R80" s="200">
        <f t="shared" si="10"/>
        <v>2345835846</v>
      </c>
      <c r="S80" s="201" t="s">
        <v>725</v>
      </c>
      <c r="T80" s="202"/>
      <c r="U80" s="246"/>
      <c r="V80" s="246"/>
      <c r="W80" s="246"/>
      <c r="BA80"/>
      <c r="BB80"/>
    </row>
    <row r="81" spans="1:54" s="191" customFormat="1" ht="13">
      <c r="A81" s="226"/>
      <c r="B81" s="180">
        <v>5005016371</v>
      </c>
      <c r="C81" s="183" t="str">
        <f>IFERROR(IF(VLOOKUP($B81,勘定科目!$A:$H,HLOOKUP($E$5,勘定科目!$F$1:$H$2,2,0),0)="","",VLOOKUP($B81,勘定科目!$A:$E,2,0)),"")</f>
        <v>生産用消耗品費（製）</v>
      </c>
      <c r="D81" s="239" t="str">
        <f>IF(C81="","",VLOOKUP($B81,勘定科目!$A:$E,4,0))</f>
        <v>消耗品費</v>
      </c>
      <c r="E81" s="245"/>
      <c r="F81" s="194">
        <v>9983199</v>
      </c>
      <c r="G81" s="247">
        <v>9830934</v>
      </c>
      <c r="H81" s="247">
        <v>10824192</v>
      </c>
      <c r="I81" s="247">
        <v>13601350</v>
      </c>
      <c r="J81" s="247">
        <v>12615141</v>
      </c>
      <c r="K81" s="247">
        <v>14484954</v>
      </c>
      <c r="L81" s="247">
        <v>20980734</v>
      </c>
      <c r="M81" s="247">
        <v>18299289</v>
      </c>
      <c r="N81" s="247">
        <v>20073343</v>
      </c>
      <c r="O81" s="247">
        <v>18530371</v>
      </c>
      <c r="P81" s="247">
        <v>15315855</v>
      </c>
      <c r="Q81" s="247">
        <v>18701406</v>
      </c>
      <c r="R81" s="200">
        <f t="shared" si="10"/>
        <v>183240768</v>
      </c>
      <c r="S81" s="201" t="s">
        <v>726</v>
      </c>
      <c r="T81" s="202"/>
      <c r="U81" s="246"/>
      <c r="V81" s="246"/>
      <c r="W81" s="246"/>
      <c r="BA81"/>
      <c r="BB81"/>
    </row>
    <row r="82" spans="1:54" s="191" customFormat="1" ht="13">
      <c r="A82" s="226"/>
      <c r="B82" s="180">
        <v>5001016134</v>
      </c>
      <c r="C82" s="183" t="str">
        <f>IFERROR(IF(VLOOKUP($B82,勘定科目!$A:$H,HLOOKUP($E$5,勘定科目!$F$1:$H$2,2,0),0)="","",VLOOKUP($B82,勘定科目!$A:$E,2,0)),"")</f>
        <v>リーフレット用材料</v>
      </c>
      <c r="D82" s="239" t="str">
        <f>IF(C82="","",VLOOKUP($B82,勘定科目!$A:$E,4,0))</f>
        <v>材料費</v>
      </c>
      <c r="E82" s="245"/>
      <c r="F82" s="194">
        <v>7612316</v>
      </c>
      <c r="G82" s="247">
        <v>7481364</v>
      </c>
      <c r="H82" s="247">
        <v>8612084</v>
      </c>
      <c r="I82" s="247">
        <v>11898972</v>
      </c>
      <c r="J82" s="247">
        <v>10816029</v>
      </c>
      <c r="K82" s="247">
        <v>9342541</v>
      </c>
      <c r="L82" s="247">
        <v>12537913</v>
      </c>
      <c r="M82" s="247">
        <v>11363443</v>
      </c>
      <c r="N82" s="247">
        <v>12483623</v>
      </c>
      <c r="O82" s="247">
        <v>11877299</v>
      </c>
      <c r="P82" s="247">
        <v>9348147</v>
      </c>
      <c r="Q82" s="247">
        <v>11702385</v>
      </c>
      <c r="R82" s="200">
        <f t="shared" si="10"/>
        <v>125076116</v>
      </c>
      <c r="S82" s="201" t="s">
        <v>727</v>
      </c>
      <c r="T82" s="202"/>
      <c r="U82" s="246"/>
      <c r="V82" s="246"/>
      <c r="W82" s="246"/>
      <c r="BA82"/>
      <c r="BB82"/>
    </row>
    <row r="83" spans="1:54" s="191" customFormat="1" ht="13">
      <c r="A83" s="226"/>
      <c r="B83" s="180">
        <v>5005016373</v>
      </c>
      <c r="C83" s="183" t="str">
        <f>IFERROR(IF(VLOOKUP($B83,勘定科目!$A:$H,HLOOKUP($E$5,勘定科目!$F$1:$H$2,2,0),0)="","",VLOOKUP($B83,勘定科目!$A:$E,2,0)),"")</f>
        <v>生産用文房具（製造）</v>
      </c>
      <c r="D83" s="239" t="str">
        <f>IF(C83="","",VLOOKUP($B83,勘定科目!$A:$E,4,0))</f>
        <v>消耗品費</v>
      </c>
      <c r="E83" s="245"/>
      <c r="F83" s="194">
        <v>330000</v>
      </c>
      <c r="G83" s="247">
        <v>330000</v>
      </c>
      <c r="H83" s="247">
        <v>330000</v>
      </c>
      <c r="I83" s="247">
        <v>330000</v>
      </c>
      <c r="J83" s="247">
        <v>330000</v>
      </c>
      <c r="K83" s="247">
        <v>330000</v>
      </c>
      <c r="L83" s="247">
        <v>330000</v>
      </c>
      <c r="M83" s="247">
        <v>330000</v>
      </c>
      <c r="N83" s="247">
        <v>330000</v>
      </c>
      <c r="O83" s="247">
        <v>330000</v>
      </c>
      <c r="P83" s="247">
        <v>330000</v>
      </c>
      <c r="Q83" s="247">
        <v>330000</v>
      </c>
      <c r="R83" s="200">
        <f t="shared" si="10"/>
        <v>3960000</v>
      </c>
      <c r="S83" s="201" t="s">
        <v>728</v>
      </c>
      <c r="T83" s="202"/>
      <c r="U83" s="246"/>
      <c r="V83" s="246"/>
      <c r="W83" s="246"/>
      <c r="BA83"/>
      <c r="BB83"/>
    </row>
    <row r="84" spans="1:54" s="191" customFormat="1" ht="13">
      <c r="A84" s="226"/>
      <c r="B84" s="180"/>
      <c r="C84" s="183" t="str">
        <f>IFERROR(IF(VLOOKUP($B84,勘定科目!$A:$H,HLOOKUP($E$5,勘定科目!$F$1:$H$2,2,0),0)="","",VLOOKUP($B84,勘定科目!$A:$E,2,0)),"")</f>
        <v/>
      </c>
      <c r="D84" s="239" t="str">
        <f>IF(C84="","",VLOOKUP($B84,勘定科目!$A:$E,4,0))</f>
        <v/>
      </c>
      <c r="E84" s="245"/>
      <c r="F84" s="194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>
        <f t="shared" si="10"/>
        <v>0</v>
      </c>
      <c r="S84" s="201"/>
      <c r="T84" s="202"/>
      <c r="U84" s="246"/>
      <c r="V84" s="246"/>
      <c r="W84" s="246"/>
      <c r="BA84"/>
      <c r="BB84"/>
    </row>
    <row r="85" spans="1:54" s="191" customFormat="1" ht="13">
      <c r="A85" s="226"/>
      <c r="B85" s="180">
        <v>5005016371</v>
      </c>
      <c r="C85" s="183" t="str">
        <f>IFERROR(IF(VLOOKUP($B85,勘定科目!$A:$H,HLOOKUP($E$5,勘定科目!$F$1:$H$2,2,0),0)="","",VLOOKUP($B85,勘定科目!$A:$E,2,0)),"")</f>
        <v>生産用消耗品費（製）</v>
      </c>
      <c r="D85" s="239" t="str">
        <f>IF(C85="","",VLOOKUP($B85,勘定科目!$A:$E,4,0))</f>
        <v>消耗品費</v>
      </c>
      <c r="E85" s="245"/>
      <c r="F85" s="194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00">
        <f t="shared" si="10"/>
        <v>0</v>
      </c>
      <c r="S85" s="201" t="s">
        <v>729</v>
      </c>
      <c r="T85" s="202"/>
      <c r="U85" s="246"/>
      <c r="V85" s="246"/>
      <c r="W85" s="246"/>
      <c r="BA85"/>
      <c r="BB85"/>
    </row>
    <row r="86" spans="1:54" s="191" customFormat="1" ht="13">
      <c r="A86" s="226"/>
      <c r="B86" s="180">
        <v>5001016151</v>
      </c>
      <c r="C86" s="183" t="str">
        <f>IFERROR(IF(VLOOKUP($B86,勘定科目!$A:$H,HLOOKUP($E$5,勘定科目!$F$1:$H$2,2,0),0)="","",VLOOKUP($B86,勘定科目!$A:$E,2,0)),"")</f>
        <v>生産用副資材</v>
      </c>
      <c r="D86" s="239" t="str">
        <f>IF(C86="","",VLOOKUP($B86,勘定科目!$A:$E,4,0))</f>
        <v>材料費</v>
      </c>
      <c r="E86" s="245"/>
      <c r="F86" s="194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00">
        <f t="shared" si="10"/>
        <v>0</v>
      </c>
      <c r="S86" s="201" t="s">
        <v>730</v>
      </c>
      <c r="T86" s="202"/>
      <c r="U86" s="246"/>
      <c r="V86" s="246"/>
      <c r="W86" s="246"/>
      <c r="BA86"/>
      <c r="BB86"/>
    </row>
    <row r="87" spans="1:54" s="191" customFormat="1" ht="13">
      <c r="A87" s="226"/>
      <c r="B87" s="180">
        <v>5001016151</v>
      </c>
      <c r="C87" s="183" t="str">
        <f>IFERROR(IF(VLOOKUP($B87,勘定科目!$A:$H,HLOOKUP($E$5,勘定科目!$F$1:$H$2,2,0),0)="","",VLOOKUP($B87,勘定科目!$A:$E,2,0)),"")</f>
        <v>生産用副資材</v>
      </c>
      <c r="D87" s="239" t="str">
        <f>IF(C87="","",VLOOKUP($B87,勘定科目!$A:$E,4,0))</f>
        <v>材料費</v>
      </c>
      <c r="E87" s="245"/>
      <c r="F87" s="194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00">
        <f t="shared" si="10"/>
        <v>0</v>
      </c>
      <c r="S87" s="201" t="s">
        <v>731</v>
      </c>
      <c r="T87" s="202"/>
      <c r="U87" s="246"/>
      <c r="V87" s="246"/>
      <c r="W87" s="246"/>
      <c r="BA87"/>
      <c r="BB87"/>
    </row>
    <row r="88" spans="1:54" s="191" customFormat="1" ht="13">
      <c r="A88" s="226"/>
      <c r="B88" s="180">
        <v>5005016371</v>
      </c>
      <c r="C88" s="183" t="str">
        <f>IFERROR(IF(VLOOKUP($B88,勘定科目!$A:$H,HLOOKUP($E$5,勘定科目!$F$1:$H$2,2,0),0)="","",VLOOKUP($B88,勘定科目!$A:$E,2,0)),"")</f>
        <v>生産用消耗品費（製）</v>
      </c>
      <c r="D88" s="239" t="str">
        <f>IF(C88="","",VLOOKUP($B88,勘定科目!$A:$E,4,0))</f>
        <v>消耗品費</v>
      </c>
      <c r="E88" s="245"/>
      <c r="F88" s="194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00">
        <f t="shared" si="10"/>
        <v>0</v>
      </c>
      <c r="S88" s="201" t="s">
        <v>732</v>
      </c>
      <c r="T88" s="202"/>
      <c r="U88" s="246"/>
      <c r="V88" s="246"/>
      <c r="W88" s="246"/>
      <c r="BA88"/>
      <c r="BB88"/>
    </row>
    <row r="89" spans="1:54" s="191" customFormat="1" ht="13">
      <c r="A89" s="226"/>
      <c r="B89" s="180"/>
      <c r="C89" s="183" t="str">
        <f>IFERROR(IF(VLOOKUP($B89,勘定科目!$A:$H,HLOOKUP($E$5,勘定科目!$F$1:$H$2,2,0),0)="","",VLOOKUP($B89,勘定科目!$A:$E,2,0)),"")</f>
        <v/>
      </c>
      <c r="D89" s="239" t="str">
        <f>IF(C89="","",VLOOKUP($B89,勘定科目!$A:$E,4,0))</f>
        <v/>
      </c>
      <c r="E89" s="245"/>
      <c r="F89" s="194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00">
        <f t="shared" si="10"/>
        <v>0</v>
      </c>
      <c r="S89" s="201"/>
      <c r="T89" s="202"/>
      <c r="U89" s="246"/>
      <c r="V89" s="246"/>
      <c r="W89" s="246"/>
      <c r="BA89"/>
      <c r="BB89"/>
    </row>
    <row r="90" spans="1:54" s="191" customFormat="1" ht="13">
      <c r="A90" s="226"/>
      <c r="B90" s="180">
        <v>5005056281</v>
      </c>
      <c r="C90" s="183" t="str">
        <f>IFERROR(IF(VLOOKUP($B90,勘定科目!$A:$H,HLOOKUP($E$5,勘定科目!$F$1:$H$2,2,0),0)="","",VLOOKUP($B90,勘定科目!$A:$E,2,0)),"")</f>
        <v>ガス代（製）</v>
      </c>
      <c r="D90" s="239" t="str">
        <f>IF(C90="","",VLOOKUP($B90,勘定科目!$A:$E,4,0))</f>
        <v>水道光熱費</v>
      </c>
      <c r="E90" s="245"/>
      <c r="F90" s="194">
        <v>40567830</v>
      </c>
      <c r="G90" s="247">
        <v>39306555</v>
      </c>
      <c r="H90" s="247">
        <v>46739952</v>
      </c>
      <c r="I90" s="247">
        <v>48712302</v>
      </c>
      <c r="J90" s="247">
        <v>50798720</v>
      </c>
      <c r="K90" s="247">
        <v>48883570</v>
      </c>
      <c r="L90" s="247">
        <v>72109695</v>
      </c>
      <c r="M90" s="247">
        <v>75507336</v>
      </c>
      <c r="N90" s="247">
        <v>81206412</v>
      </c>
      <c r="O90" s="247">
        <v>77997183</v>
      </c>
      <c r="P90" s="247">
        <v>61347310</v>
      </c>
      <c r="Q90" s="247">
        <v>87423810</v>
      </c>
      <c r="R90" s="200">
        <f t="shared" si="10"/>
        <v>730600675</v>
      </c>
      <c r="S90" s="201" t="s">
        <v>733</v>
      </c>
      <c r="T90" s="202"/>
      <c r="U90" s="246"/>
      <c r="V90" s="246"/>
      <c r="W90" s="246"/>
      <c r="BA90"/>
      <c r="BB90"/>
    </row>
    <row r="91" spans="1:54" s="191" customFormat="1" ht="13">
      <c r="A91" s="226"/>
      <c r="B91" s="180">
        <v>5005016372</v>
      </c>
      <c r="C91" s="183" t="str">
        <f>IFERROR(IF(VLOOKUP($B91,勘定科目!$A:$H,HLOOKUP($E$5,勘定科目!$F$1:$H$2,2,0),0)="","",VLOOKUP($B91,勘定科目!$A:$E,2,0)),"")</f>
        <v>その他消耗品（製）</v>
      </c>
      <c r="D91" s="239" t="str">
        <f>IF(C91="","",VLOOKUP($B91,勘定科目!$A:$E,4,0))</f>
        <v>消耗品費</v>
      </c>
      <c r="E91" s="245"/>
      <c r="F91" s="194">
        <v>1127610</v>
      </c>
      <c r="G91" s="247">
        <v>1135650</v>
      </c>
      <c r="H91" s="247">
        <v>1205594</v>
      </c>
      <c r="I91" s="247">
        <v>1155294</v>
      </c>
      <c r="J91" s="247">
        <v>1085400</v>
      </c>
      <c r="K91" s="247">
        <v>1388110</v>
      </c>
      <c r="L91" s="247">
        <v>1736085</v>
      </c>
      <c r="M91" s="247">
        <v>2045304</v>
      </c>
      <c r="N91" s="247">
        <v>2070408</v>
      </c>
      <c r="O91" s="247">
        <v>2072136</v>
      </c>
      <c r="P91" s="247">
        <v>2137290</v>
      </c>
      <c r="Q91" s="247">
        <v>2229675</v>
      </c>
      <c r="R91" s="200">
        <f t="shared" si="10"/>
        <v>19388556</v>
      </c>
      <c r="S91" s="201" t="s">
        <v>734</v>
      </c>
      <c r="T91" s="202"/>
      <c r="U91" s="246"/>
      <c r="V91" s="246"/>
      <c r="W91" s="246"/>
      <c r="BA91"/>
      <c r="BB91"/>
    </row>
    <row r="92" spans="1:54" s="191" customFormat="1" ht="13">
      <c r="A92" s="226"/>
      <c r="B92" s="180">
        <v>5005016372</v>
      </c>
      <c r="C92" s="183" t="str">
        <f>IFERROR(IF(VLOOKUP($B92,勘定科目!$A:$H,HLOOKUP($E$5,勘定科目!$F$1:$H$2,2,0),0)="","",VLOOKUP($B92,勘定科目!$A:$E,2,0)),"")</f>
        <v>その他消耗品（製）</v>
      </c>
      <c r="D92" s="239" t="str">
        <f>IF(C92="","",VLOOKUP($B92,勘定科目!$A:$E,4,0))</f>
        <v>消耗品費</v>
      </c>
      <c r="E92" s="245"/>
      <c r="F92" s="194">
        <v>18516120</v>
      </c>
      <c r="G92" s="247">
        <v>17824680</v>
      </c>
      <c r="H92" s="247">
        <v>20215842</v>
      </c>
      <c r="I92" s="247">
        <v>21941244</v>
      </c>
      <c r="J92" s="247">
        <v>18496020</v>
      </c>
      <c r="K92" s="247">
        <v>22225000</v>
      </c>
      <c r="L92" s="247">
        <v>32403850</v>
      </c>
      <c r="M92" s="247">
        <v>33820956</v>
      </c>
      <c r="N92" s="247">
        <v>37307868</v>
      </c>
      <c r="O92" s="247">
        <v>33798963</v>
      </c>
      <c r="P92" s="247">
        <v>25854495</v>
      </c>
      <c r="Q92" s="247">
        <v>37883925</v>
      </c>
      <c r="R92" s="200">
        <f t="shared" si="10"/>
        <v>320288963</v>
      </c>
      <c r="S92" s="201" t="s">
        <v>735</v>
      </c>
      <c r="T92" s="202"/>
      <c r="U92" s="246"/>
      <c r="V92" s="246"/>
      <c r="W92" s="246"/>
      <c r="BA92"/>
      <c r="BB92"/>
    </row>
    <row r="93" spans="1:54" s="191" customFormat="1" ht="13">
      <c r="A93" s="226"/>
      <c r="B93" s="180">
        <v>5005246286</v>
      </c>
      <c r="C93" s="183" t="str">
        <f>IFERROR(IF(VLOOKUP($B93,勘定科目!$A:$H,HLOOKUP($E$5,勘定科目!$F$1:$H$2,2,0),0)="","",VLOOKUP($B93,勘定科目!$A:$E,2,0)),"")</f>
        <v>その他手数料（製）</v>
      </c>
      <c r="D93" s="239" t="str">
        <f>IF(C93="","",VLOOKUP($B93,勘定科目!$A:$E,4,0))</f>
        <v>手数料</v>
      </c>
      <c r="E93" s="245"/>
      <c r="F93" s="194">
        <v>56528235</v>
      </c>
      <c r="G93" s="247">
        <v>56744310</v>
      </c>
      <c r="H93" s="247">
        <v>60645442</v>
      </c>
      <c r="I93" s="247">
        <v>55331628</v>
      </c>
      <c r="J93" s="247">
        <v>52150455</v>
      </c>
      <c r="K93" s="247">
        <v>62979300</v>
      </c>
      <c r="L93" s="247">
        <v>72808120</v>
      </c>
      <c r="M93" s="247">
        <v>86005584</v>
      </c>
      <c r="N93" s="247">
        <v>86531634</v>
      </c>
      <c r="O93" s="247">
        <v>82606216</v>
      </c>
      <c r="P93" s="247">
        <v>79378130</v>
      </c>
      <c r="Q93" s="247">
        <v>91529700</v>
      </c>
      <c r="R93" s="200">
        <f t="shared" si="10"/>
        <v>843238754</v>
      </c>
      <c r="S93" s="201" t="s">
        <v>736</v>
      </c>
      <c r="T93" s="202"/>
      <c r="U93" s="246"/>
      <c r="V93" s="246"/>
      <c r="W93" s="246"/>
      <c r="BA93"/>
      <c r="BB93"/>
    </row>
    <row r="94" spans="1:54" s="191" customFormat="1" ht="13">
      <c r="A94" s="226"/>
      <c r="B94" s="180">
        <v>5004086291</v>
      </c>
      <c r="C94" s="183" t="str">
        <f>IFERROR(IF(VLOOKUP($B94,勘定科目!$A:$H,HLOOKUP($E$5,勘定科目!$F$1:$H$2,2,0),0)="","",VLOOKUP($B94,勘定科目!$A:$E,2,0)),"")</f>
        <v>福利厚生費（製）</v>
      </c>
      <c r="D94" s="239" t="str">
        <f>IF(C94="","",VLOOKUP($B94,勘定科目!$A:$E,4,0))</f>
        <v>福利厚生費</v>
      </c>
      <c r="E94" s="245"/>
      <c r="F94" s="194">
        <v>1496000</v>
      </c>
      <c r="G94" s="194">
        <v>1526532</v>
      </c>
      <c r="H94" s="194">
        <v>1481634</v>
      </c>
      <c r="I94" s="194">
        <v>1481634</v>
      </c>
      <c r="J94" s="194">
        <v>1616328</v>
      </c>
      <c r="K94" s="194">
        <v>1526532</v>
      </c>
      <c r="L94" s="194">
        <v>1526532</v>
      </c>
      <c r="M94" s="194">
        <v>1616328</v>
      </c>
      <c r="N94" s="194">
        <v>1526532</v>
      </c>
      <c r="O94" s="194">
        <v>1526532</v>
      </c>
      <c r="P94" s="194">
        <v>1526532</v>
      </c>
      <c r="Q94" s="194">
        <v>955104</v>
      </c>
      <c r="R94" s="200">
        <f t="shared" si="10"/>
        <v>17806220</v>
      </c>
      <c r="S94" s="201" t="s">
        <v>737</v>
      </c>
      <c r="T94" s="202"/>
      <c r="U94" s="246"/>
      <c r="V94" s="246"/>
      <c r="W94" s="246"/>
      <c r="BA94"/>
      <c r="BB94"/>
    </row>
    <row r="95" spans="1:54" s="191" customFormat="1" ht="13">
      <c r="A95" s="226"/>
      <c r="B95" s="180">
        <v>5004086291</v>
      </c>
      <c r="C95" s="183" t="str">
        <f>IFERROR(IF(VLOOKUP($B95,勘定科目!$A:$H,HLOOKUP($E$5,勘定科目!$F$1:$H$2,2,0),0)="","",VLOOKUP($B95,勘定科目!$A:$E,2,0)),"")</f>
        <v>福利厚生費（製）</v>
      </c>
      <c r="D95" s="239" t="str">
        <f>IF(C95="","",VLOOKUP($B95,勘定科目!$A:$E,4,0))</f>
        <v>福利厚生費</v>
      </c>
      <c r="E95" s="245"/>
      <c r="F95" s="194">
        <v>347793534</v>
      </c>
      <c r="G95" s="194">
        <v>401446991</v>
      </c>
      <c r="H95" s="194">
        <v>358874681</v>
      </c>
      <c r="I95" s="194">
        <v>376328139</v>
      </c>
      <c r="J95" s="194">
        <v>401848502</v>
      </c>
      <c r="K95" s="194">
        <v>403158789</v>
      </c>
      <c r="L95" s="194">
        <v>302267955</v>
      </c>
      <c r="M95" s="194">
        <v>367512101</v>
      </c>
      <c r="N95" s="194">
        <v>370794776</v>
      </c>
      <c r="O95" s="194">
        <v>348868025</v>
      </c>
      <c r="P95" s="194">
        <v>317099827</v>
      </c>
      <c r="Q95" s="194">
        <v>327945684</v>
      </c>
      <c r="R95" s="200">
        <f t="shared" si="10"/>
        <v>4323939004</v>
      </c>
      <c r="S95" s="201" t="s">
        <v>738</v>
      </c>
      <c r="T95" s="202"/>
      <c r="U95" s="246"/>
      <c r="V95" s="246"/>
      <c r="W95" s="246"/>
      <c r="BA95"/>
      <c r="BB95"/>
    </row>
    <row r="96" spans="1:54" s="191" customFormat="1" ht="13">
      <c r="A96" s="226"/>
      <c r="B96" s="180">
        <v>5004086291</v>
      </c>
      <c r="C96" s="183" t="str">
        <f>IFERROR(IF(VLOOKUP($B96,勘定科目!$A:$H,HLOOKUP($E$5,勘定科目!$F$1:$H$2,2,0),0)="","",VLOOKUP($B96,勘定科目!$A:$E,2,0)),"")</f>
        <v>福利厚生費（製）</v>
      </c>
      <c r="D96" s="239" t="str">
        <f>IF(C96="","",VLOOKUP($B96,勘定科目!$A:$E,4,0))</f>
        <v>福利厚生費</v>
      </c>
      <c r="E96" s="245"/>
      <c r="F96" s="194">
        <v>25000000</v>
      </c>
      <c r="G96" s="194">
        <v>25000000</v>
      </c>
      <c r="H96" s="194">
        <v>25000000</v>
      </c>
      <c r="I96" s="194">
        <v>25000000</v>
      </c>
      <c r="J96" s="194">
        <v>25000000</v>
      </c>
      <c r="K96" s="194">
        <v>25000000</v>
      </c>
      <c r="L96" s="194">
        <v>25000000</v>
      </c>
      <c r="M96" s="194">
        <v>25000000</v>
      </c>
      <c r="N96" s="194">
        <v>25000000</v>
      </c>
      <c r="O96" s="194">
        <v>25000000</v>
      </c>
      <c r="P96" s="194">
        <v>25000000</v>
      </c>
      <c r="Q96" s="194">
        <v>25000000</v>
      </c>
      <c r="R96" s="200">
        <f t="shared" si="10"/>
        <v>300000000</v>
      </c>
      <c r="S96" s="201" t="s">
        <v>739</v>
      </c>
      <c r="T96" s="202"/>
      <c r="U96" s="246"/>
      <c r="V96" s="246"/>
      <c r="W96" s="246"/>
      <c r="BA96"/>
      <c r="BB96"/>
    </row>
    <row r="97" spans="1:54" s="191" customFormat="1" ht="13">
      <c r="A97" s="226"/>
      <c r="B97" s="180">
        <v>5004086291</v>
      </c>
      <c r="C97" s="183" t="str">
        <f>IFERROR(IF(VLOOKUP($B97,勘定科目!$A:$H,HLOOKUP($E$5,勘定科目!$F$1:$H$2,2,0),0)="","",VLOOKUP($B97,勘定科目!$A:$E,2,0)),"")</f>
        <v>福利厚生費（製）</v>
      </c>
      <c r="D97" s="239" t="str">
        <f>IF(C97="","",VLOOKUP($B97,勘定科目!$A:$E,4,0))</f>
        <v>福利厚生費</v>
      </c>
      <c r="E97" s="245"/>
      <c r="F97" s="194">
        <v>13040000</v>
      </c>
      <c r="G97" s="194">
        <v>15811000</v>
      </c>
      <c r="H97" s="194">
        <v>19397000</v>
      </c>
      <c r="I97" s="194">
        <v>20864000</v>
      </c>
      <c r="J97" s="194">
        <v>22005000</v>
      </c>
      <c r="K97" s="194">
        <v>18908000</v>
      </c>
      <c r="L97" s="194">
        <v>25591000</v>
      </c>
      <c r="M97" s="194">
        <v>19397000</v>
      </c>
      <c r="N97" s="194">
        <v>17115000</v>
      </c>
      <c r="O97" s="194">
        <v>22331000</v>
      </c>
      <c r="P97" s="194">
        <v>17278000</v>
      </c>
      <c r="Q97" s="194">
        <v>18093000</v>
      </c>
      <c r="R97" s="200">
        <f t="shared" si="10"/>
        <v>229830000</v>
      </c>
      <c r="S97" s="201" t="s">
        <v>790</v>
      </c>
      <c r="T97" s="202"/>
      <c r="U97" s="246"/>
      <c r="V97" s="246"/>
      <c r="W97" s="246"/>
      <c r="BA97"/>
      <c r="BB97"/>
    </row>
    <row r="98" spans="1:54" s="191" customFormat="1" ht="13">
      <c r="A98" s="226"/>
      <c r="B98" s="180">
        <v>5004086291</v>
      </c>
      <c r="C98" s="183" t="str">
        <f>IFERROR(IF(VLOOKUP($B98,勘定科目!$A:$H,HLOOKUP($E$5,勘定科目!$F$1:$H$2,2,0),0)="","",VLOOKUP($B98,勘定科目!$A:$E,2,0)),"")</f>
        <v>福利厚生費（製）</v>
      </c>
      <c r="D98" s="239" t="str">
        <f>IF(C98="","",VLOOKUP($B98,勘定科目!$A:$E,4,0))</f>
        <v>福利厚生費</v>
      </c>
      <c r="E98" s="245"/>
      <c r="F98" s="194">
        <v>15000000</v>
      </c>
      <c r="G98" s="194">
        <v>15000000</v>
      </c>
      <c r="H98" s="194">
        <v>15000000</v>
      </c>
      <c r="I98" s="194">
        <v>15000000</v>
      </c>
      <c r="J98" s="194">
        <v>15000000</v>
      </c>
      <c r="K98" s="194">
        <v>15000000</v>
      </c>
      <c r="L98" s="194">
        <v>15000000</v>
      </c>
      <c r="M98" s="194">
        <v>15000000</v>
      </c>
      <c r="N98" s="194">
        <v>15000000</v>
      </c>
      <c r="O98" s="194">
        <v>15000000</v>
      </c>
      <c r="P98" s="194">
        <v>15000000</v>
      </c>
      <c r="Q98" s="194">
        <v>15000000</v>
      </c>
      <c r="R98" s="200">
        <f t="shared" si="10"/>
        <v>180000000</v>
      </c>
      <c r="S98" s="201" t="s">
        <v>740</v>
      </c>
      <c r="T98" s="202"/>
      <c r="U98" s="246"/>
      <c r="V98" s="246"/>
      <c r="W98" s="246"/>
      <c r="BA98"/>
      <c r="BB98"/>
    </row>
    <row r="99" spans="1:54" s="191" customFormat="1" ht="13">
      <c r="A99" s="226"/>
      <c r="B99" s="180">
        <v>5004086291</v>
      </c>
      <c r="C99" s="183" t="str">
        <f>IFERROR(IF(VLOOKUP($B99,勘定科目!$A:$H,HLOOKUP($E$5,勘定科目!$F$1:$H$2,2,0),0)="","",VLOOKUP($B99,勘定科目!$A:$E,2,0)),"")</f>
        <v>福利厚生費（製）</v>
      </c>
      <c r="D99" s="239" t="str">
        <f>IF(C99="","",VLOOKUP($B99,勘定科目!$A:$E,4,0))</f>
        <v>福利厚生費</v>
      </c>
      <c r="E99" s="245"/>
      <c r="F99" s="194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>
        <f>1882*300000</f>
        <v>564600000</v>
      </c>
      <c r="R99" s="200">
        <f t="shared" si="10"/>
        <v>564600000</v>
      </c>
      <c r="S99" s="201" t="s">
        <v>791</v>
      </c>
      <c r="T99" s="202"/>
      <c r="U99" s="246"/>
      <c r="V99" s="246"/>
      <c r="W99" s="246"/>
      <c r="BA99"/>
      <c r="BB99"/>
    </row>
    <row r="100" spans="1:54" s="191" customFormat="1" ht="13">
      <c r="A100" s="226"/>
      <c r="B100" s="180">
        <v>5004086291</v>
      </c>
      <c r="C100" s="183" t="str">
        <f>IFERROR(IF(VLOOKUP($B100,勘定科目!$A:$H,HLOOKUP($E$5,勘定科目!$F$1:$H$2,2,0),0)="","",VLOOKUP($B100,勘定科目!$A:$E,2,0)),"")</f>
        <v>福利厚生費（製）</v>
      </c>
      <c r="D100" s="239" t="str">
        <f>IF(C100="","",VLOOKUP($B100,勘定科目!$A:$E,4,0))</f>
        <v>福利厚生費</v>
      </c>
      <c r="E100" s="245"/>
      <c r="F100" s="194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>
        <f>2055*100000</f>
        <v>205500000</v>
      </c>
      <c r="Q100" s="247"/>
      <c r="R100" s="200">
        <f t="shared" si="10"/>
        <v>205500000</v>
      </c>
      <c r="S100" s="201" t="s">
        <v>741</v>
      </c>
      <c r="T100" s="202"/>
      <c r="U100" s="246"/>
      <c r="V100" s="246"/>
      <c r="W100" s="246"/>
      <c r="BA100"/>
      <c r="BB100"/>
    </row>
    <row r="101" spans="1:54" s="191" customFormat="1" ht="13">
      <c r="A101" s="226"/>
      <c r="B101" s="180">
        <v>5004086291</v>
      </c>
      <c r="C101" s="183" t="str">
        <f>IFERROR(IF(VLOOKUP($B101,勘定科目!$A:$H,HLOOKUP($E$5,勘定科目!$F$1:$H$2,2,0),0)="","",VLOOKUP($B101,勘定科目!$A:$E,2,0)),"")</f>
        <v>福利厚生費（製）</v>
      </c>
      <c r="D101" s="239" t="str">
        <f>IF(C101="","",VLOOKUP($B101,勘定科目!$A:$E,4,0))</f>
        <v>福利厚生費</v>
      </c>
      <c r="E101" s="245"/>
      <c r="F101" s="194"/>
      <c r="G101" s="247">
        <f>1042*1890000*0.75</f>
        <v>1477035000</v>
      </c>
      <c r="H101" s="247">
        <f>45*1323000</f>
        <v>59535000</v>
      </c>
      <c r="I101" s="247"/>
      <c r="J101" s="247"/>
      <c r="K101" s="247"/>
      <c r="L101" s="247"/>
      <c r="M101" s="247"/>
      <c r="N101" s="247"/>
      <c r="O101" s="247"/>
      <c r="P101" s="247"/>
      <c r="Q101" s="247"/>
      <c r="R101" s="200">
        <f t="shared" si="10"/>
        <v>1536570000</v>
      </c>
      <c r="S101" s="201" t="s">
        <v>792</v>
      </c>
      <c r="T101" s="202"/>
      <c r="U101" s="246"/>
      <c r="V101" s="246"/>
      <c r="W101" s="246"/>
      <c r="BA101"/>
      <c r="BB101"/>
    </row>
    <row r="102" spans="1:54" s="191" customFormat="1" ht="13">
      <c r="A102" s="226"/>
      <c r="B102" s="180">
        <v>5004086291</v>
      </c>
      <c r="C102" s="183" t="str">
        <f>IFERROR(IF(VLOOKUP($B102,勘定科目!$A:$H,HLOOKUP($E$5,勘定科目!$F$1:$H$2,2,0),0)="","",VLOOKUP($B102,勘定科目!$A:$E,2,0)),"")</f>
        <v>福利厚生費（製）</v>
      </c>
      <c r="D102" s="239" t="str">
        <f>IF(C102="","",VLOOKUP($B102,勘定科目!$A:$E,4,0))</f>
        <v>福利厚生費</v>
      </c>
      <c r="E102" s="245"/>
      <c r="F102" s="194"/>
      <c r="G102" s="247"/>
      <c r="H102" s="247"/>
      <c r="I102" s="247">
        <f>400*100000</f>
        <v>40000000</v>
      </c>
      <c r="J102" s="247"/>
      <c r="K102" s="247"/>
      <c r="L102" s="247"/>
      <c r="M102" s="247"/>
      <c r="N102" s="247"/>
      <c r="O102" s="247"/>
      <c r="P102" s="247"/>
      <c r="Q102" s="247"/>
      <c r="R102" s="200">
        <f t="shared" si="10"/>
        <v>40000000</v>
      </c>
      <c r="S102" s="201" t="s">
        <v>742</v>
      </c>
      <c r="T102" s="202"/>
      <c r="U102" s="246"/>
      <c r="V102" s="246"/>
      <c r="W102" s="246"/>
      <c r="BA102"/>
      <c r="BB102"/>
    </row>
    <row r="103" spans="1:54" s="191" customFormat="1" ht="13">
      <c r="A103" s="226"/>
      <c r="B103" s="180">
        <v>5004086291</v>
      </c>
      <c r="C103" s="183" t="str">
        <f>IFERROR(IF(VLOOKUP($B103,勘定科目!$A:$H,HLOOKUP($E$5,勘定科目!$F$1:$H$2,2,0),0)="","",VLOOKUP($B103,勘定科目!$A:$E,2,0)),"")</f>
        <v>福利厚生費（製）</v>
      </c>
      <c r="D103" s="239" t="str">
        <f>IF(C103="","",VLOOKUP($B103,勘定科目!$A:$E,4,0))</f>
        <v>福利厚生費</v>
      </c>
      <c r="E103" s="245"/>
      <c r="F103" s="194"/>
      <c r="G103" s="247"/>
      <c r="H103" s="247"/>
      <c r="I103" s="247"/>
      <c r="J103" s="247">
        <f>1267*6800</f>
        <v>8615600</v>
      </c>
      <c r="K103" s="247"/>
      <c r="L103" s="247"/>
      <c r="M103" s="247"/>
      <c r="N103" s="247"/>
      <c r="O103" s="247"/>
      <c r="P103" s="247">
        <f>2052*6800</f>
        <v>13953600</v>
      </c>
      <c r="Q103" s="247"/>
      <c r="R103" s="200">
        <f t="shared" si="10"/>
        <v>22569200</v>
      </c>
      <c r="S103" s="201" t="s">
        <v>743</v>
      </c>
      <c r="T103" s="202"/>
      <c r="U103" s="246"/>
      <c r="V103" s="246"/>
      <c r="W103" s="246"/>
      <c r="BA103"/>
      <c r="BB103"/>
    </row>
    <row r="104" spans="1:54" s="191" customFormat="1" ht="13">
      <c r="A104" s="226"/>
      <c r="B104" s="180">
        <v>5004086291</v>
      </c>
      <c r="C104" s="183" t="str">
        <f>IFERROR(IF(VLOOKUP($B104,勘定科目!$A:$H,HLOOKUP($E$5,勘定科目!$F$1:$H$2,2,0),0)="","",VLOOKUP($B104,勘定科目!$A:$E,2,0)),"")</f>
        <v>福利厚生費（製）</v>
      </c>
      <c r="D104" s="239" t="str">
        <f>IF(C104="","",VLOOKUP($B104,勘定科目!$A:$E,4,0))</f>
        <v>福利厚生費</v>
      </c>
      <c r="E104" s="245"/>
      <c r="F104" s="194"/>
      <c r="G104" s="247"/>
      <c r="H104" s="247"/>
      <c r="I104" s="247"/>
      <c r="J104" s="247"/>
      <c r="K104" s="247"/>
      <c r="L104" s="247">
        <f>1836*56000</f>
        <v>102816000</v>
      </c>
      <c r="M104" s="247"/>
      <c r="N104" s="247"/>
      <c r="O104" s="247"/>
      <c r="P104" s="247"/>
      <c r="Q104" s="247"/>
      <c r="R104" s="200">
        <f t="shared" si="10"/>
        <v>102816000</v>
      </c>
      <c r="S104" s="201" t="s">
        <v>793</v>
      </c>
      <c r="T104" s="202"/>
      <c r="U104" s="246"/>
      <c r="V104" s="246"/>
      <c r="W104" s="246"/>
      <c r="BA104"/>
      <c r="BB104"/>
    </row>
    <row r="105" spans="1:54" s="191" customFormat="1" ht="13">
      <c r="A105" s="226"/>
      <c r="B105" s="180">
        <v>5004086291</v>
      </c>
      <c r="C105" s="183" t="str">
        <f>IFERROR(IF(VLOOKUP($B105,勘定科目!$A:$H,HLOOKUP($E$5,勘定科目!$F$1:$H$2,2,0),0)="","",VLOOKUP($B105,勘定科目!$A:$E,2,0)),"")</f>
        <v>福利厚生費（製）</v>
      </c>
      <c r="D105" s="239" t="str">
        <f>IF(C105="","",VLOOKUP($B105,勘定科目!$A:$E,4,0))</f>
        <v>福利厚生費</v>
      </c>
      <c r="E105" s="245"/>
      <c r="F105" s="194"/>
      <c r="G105" s="247"/>
      <c r="H105" s="247"/>
      <c r="I105" s="247"/>
      <c r="J105" s="247"/>
      <c r="K105" s="247">
        <f>1270*126000</f>
        <v>160020000</v>
      </c>
      <c r="L105" s="247"/>
      <c r="M105" s="247"/>
      <c r="N105" s="247"/>
      <c r="O105" s="247"/>
      <c r="P105" s="247"/>
      <c r="Q105" s="247"/>
      <c r="R105" s="200">
        <f t="shared" si="10"/>
        <v>160020000</v>
      </c>
      <c r="S105" s="201" t="s">
        <v>794</v>
      </c>
      <c r="T105" s="202"/>
      <c r="U105" s="246"/>
      <c r="V105" s="246"/>
      <c r="W105" s="246"/>
      <c r="BA105"/>
      <c r="BB105"/>
    </row>
    <row r="106" spans="1:54" s="191" customFormat="1" ht="13">
      <c r="A106" s="226"/>
      <c r="B106" s="180">
        <v>5004086291</v>
      </c>
      <c r="C106" s="183" t="str">
        <f>IFERROR(IF(VLOOKUP($B106,勘定科目!$A:$H,HLOOKUP($E$5,勘定科目!$F$1:$H$2,2,0),0)="","",VLOOKUP($B106,勘定科目!$A:$E,2,0)),"")</f>
        <v>福利厚生費（製）</v>
      </c>
      <c r="D106" s="239" t="str">
        <f>IF(C106="","",VLOOKUP($B106,勘定科目!$A:$E,4,0))</f>
        <v>福利厚生費</v>
      </c>
      <c r="E106" s="245"/>
      <c r="F106" s="194"/>
      <c r="G106" s="247"/>
      <c r="H106" s="247"/>
      <c r="I106" s="247"/>
      <c r="J106" s="247"/>
      <c r="K106" s="247"/>
      <c r="L106" s="247">
        <f>27*382000</f>
        <v>10314000</v>
      </c>
      <c r="M106" s="247"/>
      <c r="N106" s="247"/>
      <c r="O106" s="247"/>
      <c r="P106" s="247"/>
      <c r="Q106" s="247"/>
      <c r="R106" s="200">
        <f t="shared" si="10"/>
        <v>10314000</v>
      </c>
      <c r="S106" s="201" t="s">
        <v>796</v>
      </c>
      <c r="T106" s="202"/>
      <c r="U106" s="246"/>
      <c r="V106" s="246"/>
      <c r="W106" s="246"/>
      <c r="BA106"/>
      <c r="BB106"/>
    </row>
    <row r="107" spans="1:54" s="191" customFormat="1" ht="13">
      <c r="A107" s="226"/>
      <c r="B107" s="180">
        <v>5004086291</v>
      </c>
      <c r="C107" s="183" t="str">
        <f>IFERROR(IF(VLOOKUP($B107,勘定科目!$A:$H,HLOOKUP($E$5,勘定科目!$F$1:$H$2,2,0),0)="","",VLOOKUP($B107,勘定科目!$A:$E,2,0)),"")</f>
        <v>福利厚生費（製）</v>
      </c>
      <c r="D107" s="239" t="str">
        <f>IF(C107="","",VLOOKUP($B107,勘定科目!$A:$E,4,0))</f>
        <v>福利厚生費</v>
      </c>
      <c r="E107" s="245"/>
      <c r="F107" s="194"/>
      <c r="G107" s="247"/>
      <c r="H107" s="247"/>
      <c r="I107" s="247"/>
      <c r="J107" s="247"/>
      <c r="K107" s="247"/>
      <c r="L107" s="247">
        <f>27*549000</f>
        <v>14823000</v>
      </c>
      <c r="M107" s="247"/>
      <c r="N107" s="247"/>
      <c r="O107" s="247"/>
      <c r="P107" s="247"/>
      <c r="Q107" s="247"/>
      <c r="R107" s="200">
        <f t="shared" si="10"/>
        <v>14823000</v>
      </c>
      <c r="S107" s="201" t="s">
        <v>795</v>
      </c>
      <c r="T107" s="202"/>
      <c r="U107" s="246"/>
      <c r="V107" s="246"/>
      <c r="W107" s="246"/>
      <c r="BA107"/>
      <c r="BB107"/>
    </row>
    <row r="108" spans="1:54" s="191" customFormat="1" ht="13">
      <c r="A108" s="226"/>
      <c r="B108" s="180">
        <v>5004086291</v>
      </c>
      <c r="C108" s="183" t="str">
        <f>IFERROR(IF(VLOOKUP($B108,勘定科目!$A:$H,HLOOKUP($E$5,勘定科目!$F$1:$H$2,2,0),0)="","",VLOOKUP($B108,勘定科目!$A:$E,2,0)),"")</f>
        <v>福利厚生費（製）</v>
      </c>
      <c r="D108" s="239" t="str">
        <f>IF(C108="","",VLOOKUP($B108,勘定科目!$A:$E,4,0))</f>
        <v>福利厚生費</v>
      </c>
      <c r="E108" s="245"/>
      <c r="F108" s="194"/>
      <c r="G108" s="247"/>
      <c r="H108" s="247"/>
      <c r="I108" s="247"/>
      <c r="J108" s="247"/>
      <c r="K108" s="247"/>
      <c r="L108" s="247">
        <f>251*350000</f>
        <v>87850000</v>
      </c>
      <c r="M108" s="247"/>
      <c r="N108" s="247"/>
      <c r="O108" s="247"/>
      <c r="P108" s="247">
        <f>258*330000</f>
        <v>85140000</v>
      </c>
      <c r="Q108" s="247"/>
      <c r="R108" s="200">
        <f t="shared" si="10"/>
        <v>172990000</v>
      </c>
      <c r="S108" s="201" t="s">
        <v>797</v>
      </c>
      <c r="T108" s="202"/>
      <c r="U108" s="246"/>
      <c r="V108" s="246"/>
      <c r="W108" s="246"/>
      <c r="BA108"/>
      <c r="BB108"/>
    </row>
    <row r="109" spans="1:54" s="191" customFormat="1" ht="13">
      <c r="A109" s="226"/>
      <c r="B109" s="180">
        <v>5004086291</v>
      </c>
      <c r="C109" s="183" t="str">
        <f>IFERROR(IF(VLOOKUP($B109,勘定科目!$A:$H,HLOOKUP($E$5,勘定科目!$F$1:$H$2,2,0),0)="","",VLOOKUP($B109,勘定科目!$A:$E,2,0)),"")</f>
        <v>福利厚生費（製）</v>
      </c>
      <c r="D109" s="239" t="str">
        <f>IF(C109="","",VLOOKUP($B109,勘定科目!$A:$E,4,0))</f>
        <v>福利厚生費</v>
      </c>
      <c r="E109" s="245"/>
      <c r="F109" s="194"/>
      <c r="G109" s="247"/>
      <c r="H109" s="247"/>
      <c r="I109" s="247"/>
      <c r="J109" s="247"/>
      <c r="K109" s="247"/>
      <c r="L109" s="247"/>
      <c r="M109" s="247">
        <f>1836*107000</f>
        <v>196452000</v>
      </c>
      <c r="N109" s="247"/>
      <c r="O109" s="247"/>
      <c r="P109" s="247"/>
      <c r="Q109" s="247"/>
      <c r="R109" s="200">
        <f t="shared" si="10"/>
        <v>196452000</v>
      </c>
      <c r="S109" s="201" t="s">
        <v>798</v>
      </c>
      <c r="T109" s="202"/>
      <c r="U109" s="246"/>
      <c r="V109" s="246"/>
      <c r="W109" s="246"/>
      <c r="BA109"/>
      <c r="BB109"/>
    </row>
    <row r="110" spans="1:54" s="191" customFormat="1" ht="13">
      <c r="A110" s="226"/>
      <c r="B110" s="180">
        <v>5004086291</v>
      </c>
      <c r="C110" s="183" t="str">
        <f>IFERROR(IF(VLOOKUP($B110,勘定科目!$A:$H,HLOOKUP($E$5,勘定科目!$F$1:$H$2,2,0),0)="","",VLOOKUP($B110,勘定科目!$A:$E,2,0)),"")</f>
        <v>福利厚生費（製）</v>
      </c>
      <c r="D110" s="239" t="str">
        <f>IF(C110="","",VLOOKUP($B110,勘定科目!$A:$E,4,0))</f>
        <v>福利厚生費</v>
      </c>
      <c r="E110" s="245"/>
      <c r="F110" s="194"/>
      <c r="G110" s="247"/>
      <c r="H110" s="247"/>
      <c r="I110" s="247"/>
      <c r="J110" s="247"/>
      <c r="K110" s="247"/>
      <c r="L110" s="247"/>
      <c r="M110" s="247"/>
      <c r="N110" s="247">
        <f>1230*204000+607*189000</f>
        <v>365643000</v>
      </c>
      <c r="O110" s="247"/>
      <c r="P110" s="247"/>
      <c r="Q110" s="247"/>
      <c r="R110" s="200">
        <f t="shared" si="10"/>
        <v>365643000</v>
      </c>
      <c r="S110" s="201" t="s">
        <v>799</v>
      </c>
      <c r="T110" s="202"/>
      <c r="U110" s="246"/>
      <c r="V110" s="246"/>
      <c r="W110" s="246"/>
      <c r="BA110"/>
      <c r="BB110"/>
    </row>
    <row r="111" spans="1:54" s="191" customFormat="1" ht="13">
      <c r="A111" s="226"/>
      <c r="B111" s="180">
        <v>5005246281</v>
      </c>
      <c r="C111" s="183" t="str">
        <f>IFERROR(IF(VLOOKUP($B111,勘定科目!$A:$H,HLOOKUP($E$5,勘定科目!$F$1:$H$2,2,0),0)="","",VLOOKUP($B111,勘定科目!$A:$E,2,0)),"")</f>
        <v>図書印刷費（製）</v>
      </c>
      <c r="D111" s="239" t="str">
        <f>IF(C111="","",VLOOKUP($B111,勘定科目!$A:$E,4,0))</f>
        <v>図書及び事務費</v>
      </c>
      <c r="E111" s="245"/>
      <c r="F111" s="194"/>
      <c r="G111" s="247"/>
      <c r="H111" s="247"/>
      <c r="I111" s="247"/>
      <c r="J111" s="247"/>
      <c r="K111" s="247"/>
      <c r="L111" s="247"/>
      <c r="M111" s="247">
        <f>1842*800</f>
        <v>1473600</v>
      </c>
      <c r="N111" s="247"/>
      <c r="O111" s="247"/>
      <c r="P111" s="247"/>
      <c r="Q111" s="247"/>
      <c r="R111" s="200">
        <f t="shared" si="10"/>
        <v>1473600</v>
      </c>
      <c r="S111" s="201" t="s">
        <v>744</v>
      </c>
      <c r="T111" s="202"/>
      <c r="U111" s="246"/>
      <c r="V111" s="246"/>
      <c r="W111" s="246"/>
      <c r="BA111"/>
      <c r="BB111"/>
    </row>
    <row r="112" spans="1:54" s="191" customFormat="1" ht="13">
      <c r="A112" s="226"/>
      <c r="B112" s="180">
        <v>5004086291</v>
      </c>
      <c r="C112" s="183" t="str">
        <f>IFERROR(IF(VLOOKUP($B112,勘定科目!$A:$H,HLOOKUP($E$5,勘定科目!$F$1:$H$2,2,0),0)="","",VLOOKUP($B112,勘定科目!$A:$E,2,0)),"")</f>
        <v>福利厚生費（製）</v>
      </c>
      <c r="D112" s="239" t="str">
        <f>IF(C112="","",VLOOKUP($B112,勘定科目!$A:$E,4,0))</f>
        <v>福利厚生費</v>
      </c>
      <c r="E112" s="245"/>
      <c r="F112" s="194">
        <v>3000000</v>
      </c>
      <c r="G112" s="194">
        <v>3000000</v>
      </c>
      <c r="H112" s="194">
        <v>3000000</v>
      </c>
      <c r="I112" s="194">
        <v>3000000</v>
      </c>
      <c r="J112" s="194">
        <v>3000000</v>
      </c>
      <c r="K112" s="194">
        <v>3000000</v>
      </c>
      <c r="L112" s="194">
        <v>3000000</v>
      </c>
      <c r="M112" s="194">
        <v>3000000</v>
      </c>
      <c r="N112" s="194">
        <v>3000000</v>
      </c>
      <c r="O112" s="194">
        <v>3000000</v>
      </c>
      <c r="P112" s="194">
        <v>3000000</v>
      </c>
      <c r="Q112" s="194">
        <v>3000000</v>
      </c>
      <c r="R112" s="200">
        <f t="shared" si="10"/>
        <v>36000000</v>
      </c>
      <c r="S112" s="201" t="s">
        <v>745</v>
      </c>
      <c r="T112" s="202"/>
      <c r="U112" s="246"/>
      <c r="V112" s="246"/>
      <c r="W112" s="246"/>
      <c r="BA112"/>
      <c r="BB112"/>
    </row>
    <row r="113" spans="1:54" s="191" customFormat="1" ht="13">
      <c r="A113" s="226"/>
      <c r="B113" s="180">
        <v>5004086291</v>
      </c>
      <c r="C113" s="183" t="str">
        <f>IFERROR(IF(VLOOKUP($B113,勘定科目!$A:$H,HLOOKUP($E$5,勘定科目!$F$1:$H$2,2,0),0)="","",VLOOKUP($B113,勘定科目!$A:$E,2,0)),"")</f>
        <v>福利厚生費（製）</v>
      </c>
      <c r="D113" s="239" t="str">
        <f>IF(C113="","",VLOOKUP($B113,勘定科目!$A:$E,4,0))</f>
        <v>福利厚生費</v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10"/>
        <v>0</v>
      </c>
      <c r="S113" s="201" t="s">
        <v>746</v>
      </c>
      <c r="T113" s="202"/>
      <c r="U113" s="246"/>
      <c r="V113" s="246"/>
      <c r="W113" s="246"/>
      <c r="BA113"/>
      <c r="BB113"/>
    </row>
    <row r="114" spans="1:54" s="191" customFormat="1" ht="13">
      <c r="A114" s="226"/>
      <c r="B114" s="180">
        <v>5004086291</v>
      </c>
      <c r="C114" s="183" t="str">
        <f>IFERROR(IF(VLOOKUP($B114,勘定科目!$A:$H,HLOOKUP($E$5,勘定科目!$F$1:$H$2,2,0),0)="","",VLOOKUP($B114,勘定科目!$A:$E,2,0)),"")</f>
        <v>福利厚生費（製）</v>
      </c>
      <c r="D114" s="239" t="str">
        <f>IF(C114="","",VLOOKUP($B114,勘定科目!$A:$E,4,0))</f>
        <v>福利厚生費</v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10"/>
        <v>0</v>
      </c>
      <c r="S114" s="201" t="s">
        <v>747</v>
      </c>
      <c r="T114" s="202"/>
      <c r="U114" s="246"/>
      <c r="V114" s="246"/>
      <c r="W114" s="246"/>
      <c r="BA114"/>
      <c r="BB114"/>
    </row>
    <row r="115" spans="1:54" s="191" customFormat="1" ht="13">
      <c r="A115" s="226"/>
      <c r="B115" s="180">
        <v>5004086291</v>
      </c>
      <c r="C115" s="183" t="str">
        <f>IFERROR(IF(VLOOKUP($B115,勘定科目!$A:$H,HLOOKUP($E$5,勘定科目!$F$1:$H$2,2,0),0)="","",VLOOKUP($B115,勘定科目!$A:$E,2,0)),"")</f>
        <v>福利厚生費（製）</v>
      </c>
      <c r="D115" s="239" t="str">
        <f>IF(C115="","",VLOOKUP($B115,勘定科目!$A:$E,4,0))</f>
        <v>福利厚生費</v>
      </c>
      <c r="E115" s="245"/>
      <c r="F115" s="194"/>
      <c r="G115" s="247"/>
      <c r="H115" s="247">
        <f>1038*200000</f>
        <v>207600000</v>
      </c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10"/>
        <v>207600000</v>
      </c>
      <c r="S115" s="201" t="s">
        <v>800</v>
      </c>
      <c r="T115" s="202"/>
      <c r="U115" s="246"/>
      <c r="V115" s="246"/>
      <c r="W115" s="246"/>
      <c r="BA115"/>
      <c r="BB115"/>
    </row>
    <row r="116" spans="1:54" s="191" customFormat="1" ht="13">
      <c r="A116" s="226"/>
      <c r="B116" s="180">
        <v>5004086291</v>
      </c>
      <c r="C116" s="183" t="str">
        <f>IFERROR(IF(VLOOKUP($B116,勘定科目!$A:$H,HLOOKUP($E$5,勘定科目!$F$1:$H$2,2,0),0)="","",VLOOKUP($B116,勘定科目!$A:$E,2,0)),"")</f>
        <v>福利厚生費（製）</v>
      </c>
      <c r="D116" s="239" t="str">
        <f>IF(C116="","",VLOOKUP($B116,勘定科目!$A:$E,4,0))</f>
        <v>福利厚生費</v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10"/>
        <v>0</v>
      </c>
      <c r="S116" s="201" t="s">
        <v>748</v>
      </c>
      <c r="T116" s="202"/>
      <c r="U116" s="246"/>
      <c r="V116" s="246"/>
      <c r="W116" s="246"/>
      <c r="BA116"/>
      <c r="BB116"/>
    </row>
    <row r="117" spans="1:54" s="191" customFormat="1" ht="13">
      <c r="A117" s="226"/>
      <c r="B117" s="180">
        <v>5004086291</v>
      </c>
      <c r="C117" s="183" t="str">
        <f>IFERROR(IF(VLOOKUP($B117,勘定科目!$A:$H,HLOOKUP($E$5,勘定科目!$F$1:$H$2,2,0),0)="","",VLOOKUP($B117,勘定科目!$A:$E,2,0)),"")</f>
        <v>福利厚生費（製）</v>
      </c>
      <c r="D117" s="239" t="str">
        <f>IF(C117="","",VLOOKUP($B117,勘定科目!$A:$E,4,0))</f>
        <v>福利厚生費</v>
      </c>
      <c r="E117" s="245"/>
      <c r="F117" s="194">
        <f>1005*165000*2+1005*175000*2</f>
        <v>683400000</v>
      </c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>
        <f t="shared" si="10"/>
        <v>683400000</v>
      </c>
      <c r="S117" s="201" t="s">
        <v>801</v>
      </c>
      <c r="T117" s="202"/>
      <c r="U117" s="246"/>
      <c r="V117" s="246"/>
      <c r="W117" s="246"/>
      <c r="BA117"/>
      <c r="BB117"/>
    </row>
    <row r="118" spans="1:54" s="191" customFormat="1" ht="13">
      <c r="A118" s="226"/>
      <c r="B118" s="180"/>
      <c r="C118" s="183" t="str">
        <f>IFERROR(IF(VLOOKUP($B118,勘定科目!$A:$H,HLOOKUP($E$5,勘定科目!$F$1:$H$2,2,0),0)="","",VLOOKUP($B118,勘定科目!$A:$E,2,0)),"")</f>
        <v/>
      </c>
      <c r="D118" s="239" t="str">
        <f>IF(C118="","",VLOOKUP($B118,勘定科目!$A:$E,4,0))</f>
        <v/>
      </c>
      <c r="E118" s="245"/>
      <c r="F118" s="194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>
        <f t="shared" si="10"/>
        <v>0</v>
      </c>
      <c r="S118" s="201"/>
      <c r="T118" s="202"/>
      <c r="U118" s="246"/>
      <c r="V118" s="246"/>
      <c r="W118" s="246"/>
      <c r="BA118"/>
      <c r="BB118"/>
    </row>
    <row r="119" spans="1:54" s="191" customFormat="1" ht="13">
      <c r="A119" s="226"/>
      <c r="B119" s="180">
        <v>5004086291</v>
      </c>
      <c r="C119" s="183" t="str">
        <f>IFERROR(IF(VLOOKUP($B119,勘定科目!$A:$H,HLOOKUP($E$5,勘定科目!$F$1:$H$2,2,0),0)="","",VLOOKUP($B119,勘定科目!$A:$E,2,0)),"")</f>
        <v>福利厚生費（製）</v>
      </c>
      <c r="D119" s="239" t="str">
        <f>IF(C119="","",VLOOKUP($B119,勘定科目!$A:$E,4,0))</f>
        <v>福利厚生費</v>
      </c>
      <c r="E119" s="245"/>
      <c r="F119" s="194"/>
      <c r="G119" s="247"/>
      <c r="H119" s="247"/>
      <c r="I119" s="247"/>
      <c r="J119" s="247"/>
      <c r="K119" s="247">
        <f>18*220000</f>
        <v>3960000</v>
      </c>
      <c r="L119" s="247">
        <f>233*220000</f>
        <v>51260000</v>
      </c>
      <c r="M119" s="247">
        <f>322*220000</f>
        <v>70840000</v>
      </c>
      <c r="N119" s="247">
        <f>26*220000</f>
        <v>5720000</v>
      </c>
      <c r="O119" s="247">
        <v>0</v>
      </c>
      <c r="P119" s="247">
        <f>48*220000</f>
        <v>10560000</v>
      </c>
      <c r="Q119" s="247">
        <f>210*220000</f>
        <v>46200000</v>
      </c>
      <c r="R119" s="200">
        <f t="shared" ref="R119:R183" si="31">SUM(F119:Q119)</f>
        <v>188540000</v>
      </c>
      <c r="S119" s="201" t="s">
        <v>749</v>
      </c>
      <c r="T119" s="202"/>
      <c r="U119" s="246"/>
      <c r="V119" s="246"/>
      <c r="W119" s="246"/>
      <c r="BA119"/>
      <c r="BB119"/>
    </row>
    <row r="120" spans="1:54" s="191" customFormat="1" ht="13">
      <c r="A120" s="226"/>
      <c r="B120" s="180">
        <v>5004086291</v>
      </c>
      <c r="C120" s="183" t="str">
        <f>IFERROR(IF(VLOOKUP($B120,勘定科目!$A:$H,HLOOKUP($E$5,勘定科目!$F$1:$H$2,2,0),0)="","",VLOOKUP($B120,勘定科目!$A:$E,2,0)),"")</f>
        <v>福利厚生費（製）</v>
      </c>
      <c r="D120" s="239" t="str">
        <f>IF(C120="","",VLOOKUP($B120,勘定科目!$A:$E,4,0))</f>
        <v>福利厚生費</v>
      </c>
      <c r="E120" s="245"/>
      <c r="F120" s="194"/>
      <c r="G120" s="247"/>
      <c r="H120" s="247"/>
      <c r="I120" s="247"/>
      <c r="J120" s="247">
        <f>18*713000</f>
        <v>12834000</v>
      </c>
      <c r="K120" s="247">
        <f>233*713000</f>
        <v>166129000</v>
      </c>
      <c r="L120" s="247">
        <f>322*1063000</f>
        <v>342286000</v>
      </c>
      <c r="M120" s="247">
        <f>26*1063000</f>
        <v>27638000</v>
      </c>
      <c r="N120" s="247"/>
      <c r="O120" s="247">
        <f>48*733000</f>
        <v>35184000</v>
      </c>
      <c r="P120" s="247">
        <f>210*733000</f>
        <v>153930000</v>
      </c>
      <c r="Q120" s="247"/>
      <c r="R120" s="200">
        <f t="shared" si="31"/>
        <v>738001000</v>
      </c>
      <c r="S120" s="201" t="s">
        <v>786</v>
      </c>
      <c r="T120" s="202"/>
      <c r="U120" s="246"/>
      <c r="V120" s="246"/>
      <c r="W120" s="246"/>
      <c r="BA120"/>
      <c r="BB120"/>
    </row>
    <row r="121" spans="1:54" s="191" customFormat="1" ht="13">
      <c r="A121" s="226"/>
      <c r="B121" s="180">
        <v>5004086291</v>
      </c>
      <c r="C121" s="183" t="str">
        <f>IFERROR(IF(VLOOKUP($B121,勘定科目!$A:$H,HLOOKUP($E$5,勘定科目!$F$1:$H$2,2,0),0)="","",VLOOKUP($B121,勘定科目!$A:$E,2,0)),"")</f>
        <v>福利厚生費（製）</v>
      </c>
      <c r="D121" s="239" t="str">
        <f>IF(C121="","",VLOOKUP($B121,勘定科目!$A:$E,4,0))</f>
        <v>福利厚生費</v>
      </c>
      <c r="E121" s="245"/>
      <c r="F121" s="194"/>
      <c r="G121" s="247"/>
      <c r="H121" s="247"/>
      <c r="I121" s="247"/>
      <c r="J121" s="247">
        <f>18*6800</f>
        <v>122400</v>
      </c>
      <c r="K121" s="247">
        <f>233*6800</f>
        <v>1584400</v>
      </c>
      <c r="L121" s="247">
        <f>322*6800</f>
        <v>2189600</v>
      </c>
      <c r="M121" s="247">
        <f>26*6800</f>
        <v>176800</v>
      </c>
      <c r="N121" s="247"/>
      <c r="O121" s="247">
        <f>48*6800</f>
        <v>326400</v>
      </c>
      <c r="P121" s="247">
        <f>210*6800</f>
        <v>1428000</v>
      </c>
      <c r="Q121" s="247"/>
      <c r="R121" s="200">
        <f t="shared" si="31"/>
        <v>5827600</v>
      </c>
      <c r="S121" s="201" t="s">
        <v>750</v>
      </c>
      <c r="T121" s="202"/>
      <c r="U121" s="246"/>
      <c r="V121" s="246"/>
      <c r="W121" s="246"/>
      <c r="BA121"/>
      <c r="BB121"/>
    </row>
    <row r="122" spans="1:54" s="191" customFormat="1" ht="13">
      <c r="A122" s="226"/>
      <c r="B122" s="180">
        <v>5005246281</v>
      </c>
      <c r="C122" s="183" t="str">
        <f>IFERROR(IF(VLOOKUP($B122,勘定科目!$A:$H,HLOOKUP($E$5,勘定科目!$F$1:$H$2,2,0),0)="","",VLOOKUP($B122,勘定科目!$A:$E,2,0)),"")</f>
        <v>図書印刷費（製）</v>
      </c>
      <c r="D122" s="239" t="str">
        <f>IF(C122="","",VLOOKUP($B122,勘定科目!$A:$E,4,0))</f>
        <v>図書及び事務費</v>
      </c>
      <c r="E122" s="245"/>
      <c r="F122" s="194"/>
      <c r="G122" s="247"/>
      <c r="H122" s="247"/>
      <c r="I122" s="247"/>
      <c r="J122" s="247">
        <f>18*800</f>
        <v>14400</v>
      </c>
      <c r="K122" s="247">
        <f>233*800</f>
        <v>186400</v>
      </c>
      <c r="L122" s="247">
        <f>322*800</f>
        <v>257600</v>
      </c>
      <c r="M122" s="247">
        <f>26*800</f>
        <v>20800</v>
      </c>
      <c r="N122" s="247"/>
      <c r="O122" s="247">
        <f>48*800</f>
        <v>38400</v>
      </c>
      <c r="P122" s="247">
        <f>210*800</f>
        <v>168000</v>
      </c>
      <c r="Q122" s="247"/>
      <c r="R122" s="200">
        <f t="shared" si="31"/>
        <v>685600</v>
      </c>
      <c r="S122" s="201" t="s">
        <v>785</v>
      </c>
      <c r="T122" s="202"/>
      <c r="U122" s="246"/>
      <c r="V122" s="246"/>
      <c r="W122" s="246"/>
      <c r="BA122"/>
      <c r="BB122"/>
    </row>
    <row r="123" spans="1:54" s="191" customFormat="1" ht="13">
      <c r="A123" s="226"/>
      <c r="B123" s="180">
        <v>5005246281</v>
      </c>
      <c r="C123" s="183" t="str">
        <f>IFERROR(IF(VLOOKUP($B123,勘定科目!$A:$H,HLOOKUP($E$5,勘定科目!$F$1:$H$2,2,0),0)="","",VLOOKUP($B123,勘定科目!$A:$E,2,0)),"")</f>
        <v>図書印刷費（製）</v>
      </c>
      <c r="D123" s="239" t="str">
        <f>IF(C123="","",VLOOKUP($B123,勘定科目!$A:$E,4,0))</f>
        <v>図書及び事務費</v>
      </c>
      <c r="E123" s="245"/>
      <c r="F123" s="194"/>
      <c r="G123" s="247"/>
      <c r="H123" s="247"/>
      <c r="I123" s="247"/>
      <c r="J123" s="247">
        <f>18*85200</f>
        <v>1533600</v>
      </c>
      <c r="K123" s="247">
        <f>233*85200</f>
        <v>19851600</v>
      </c>
      <c r="L123" s="247">
        <f>322*85200</f>
        <v>27434400</v>
      </c>
      <c r="M123" s="247">
        <f>26*85200</f>
        <v>2215200</v>
      </c>
      <c r="N123" s="247"/>
      <c r="O123" s="247">
        <f>48*85200</f>
        <v>4089600</v>
      </c>
      <c r="P123" s="247">
        <f>210*85200</f>
        <v>17892000</v>
      </c>
      <c r="Q123" s="247"/>
      <c r="R123" s="200">
        <f t="shared" si="31"/>
        <v>73016400</v>
      </c>
      <c r="S123" s="201" t="s">
        <v>751</v>
      </c>
      <c r="T123" s="202"/>
      <c r="U123" s="246"/>
      <c r="V123" s="246"/>
      <c r="W123" s="246"/>
      <c r="BA123"/>
      <c r="BB123"/>
    </row>
    <row r="124" spans="1:54" s="191" customFormat="1" ht="13">
      <c r="A124" s="226"/>
      <c r="B124" s="180">
        <v>5005246288</v>
      </c>
      <c r="C124" s="183" t="str">
        <f>IFERROR(IF(VLOOKUP($B124,勘定科目!$A:$H,HLOOKUP($E$5,勘定科目!$F$1:$H$2,2,0),0)="","",VLOOKUP($B124,勘定科目!$A:$E,2,0)),"")</f>
        <v>事務用品費（製）</v>
      </c>
      <c r="D124" s="239" t="str">
        <f>IF(C124="","",VLOOKUP($B124,勘定科目!$A:$E,4,0))</f>
        <v>図書及び事務費</v>
      </c>
      <c r="E124" s="245"/>
      <c r="F124" s="194"/>
      <c r="G124" s="247"/>
      <c r="H124" s="247"/>
      <c r="I124" s="247"/>
      <c r="J124" s="247">
        <f>18*10600</f>
        <v>190800</v>
      </c>
      <c r="K124" s="247">
        <f>233*10600</f>
        <v>2469800</v>
      </c>
      <c r="L124" s="247">
        <f>322*10600</f>
        <v>3413200</v>
      </c>
      <c r="M124" s="247">
        <f>26*10600</f>
        <v>275600</v>
      </c>
      <c r="N124" s="247"/>
      <c r="O124" s="247">
        <f>48*10600</f>
        <v>508800</v>
      </c>
      <c r="P124" s="247">
        <f>210*10600</f>
        <v>2226000</v>
      </c>
      <c r="Q124" s="247"/>
      <c r="R124" s="200">
        <f t="shared" si="31"/>
        <v>9084200</v>
      </c>
      <c r="S124" s="201" t="s">
        <v>752</v>
      </c>
      <c r="T124" s="202"/>
      <c r="U124" s="246"/>
      <c r="V124" s="246"/>
      <c r="W124" s="246"/>
      <c r="BA124"/>
      <c r="BB124"/>
    </row>
    <row r="125" spans="1:54" s="191" customFormat="1" ht="13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31"/>
        <v>0</v>
      </c>
      <c r="S125" s="201"/>
      <c r="T125" s="202"/>
      <c r="U125" s="246"/>
      <c r="V125" s="246"/>
      <c r="W125" s="246"/>
      <c r="BA125"/>
      <c r="BB125"/>
    </row>
    <row r="126" spans="1:54" s="191" customFormat="1" ht="13">
      <c r="A126" s="226"/>
      <c r="B126" s="180">
        <v>5005246282</v>
      </c>
      <c r="C126" s="183" t="str">
        <f>IFERROR(IF(VLOOKUP($B126,勘定科目!$A:$H,HLOOKUP($E$5,勘定科目!$F$1:$H$2,2,0),0)="","",VLOOKUP($B126,勘定科目!$A:$E,2,0)),"")</f>
        <v>ＫＤＣシステム使用料（製）</v>
      </c>
      <c r="D126" s="239" t="str">
        <f>IF(C126="","",VLOOKUP($B126,勘定科目!$A:$E,4,0))</f>
        <v>図書及び事務費</v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31"/>
        <v>0</v>
      </c>
      <c r="S126" s="201" t="s">
        <v>753</v>
      </c>
      <c r="T126" s="202"/>
      <c r="U126" s="246"/>
      <c r="V126" s="246"/>
      <c r="W126" s="246"/>
      <c r="BA126"/>
      <c r="BB126"/>
    </row>
    <row r="127" spans="1:54" s="191" customFormat="1" ht="13">
      <c r="A127" s="226"/>
      <c r="B127" s="180">
        <v>5005246282</v>
      </c>
      <c r="C127" s="183" t="str">
        <f>IFERROR(IF(VLOOKUP($B127,勘定科目!$A:$H,HLOOKUP($E$5,勘定科目!$F$1:$H$2,2,0),0)="","",VLOOKUP($B127,勘定科目!$A:$E,2,0)),"")</f>
        <v>ＫＤＣシステム使用料（製）</v>
      </c>
      <c r="D127" s="239" t="str">
        <f>IF(C127="","",VLOOKUP($B127,勘定科目!$A:$E,4,0))</f>
        <v>図書及び事務費</v>
      </c>
      <c r="E127" s="245"/>
      <c r="F127" s="194">
        <v>287235801</v>
      </c>
      <c r="G127" s="194">
        <v>287235801</v>
      </c>
      <c r="H127" s="194">
        <v>287235801</v>
      </c>
      <c r="I127" s="194">
        <v>287235801</v>
      </c>
      <c r="J127" s="194">
        <v>287235801</v>
      </c>
      <c r="K127" s="194">
        <v>287235801</v>
      </c>
      <c r="L127" s="194">
        <v>287235801</v>
      </c>
      <c r="M127" s="194">
        <v>287235801</v>
      </c>
      <c r="N127" s="194">
        <v>287235801</v>
      </c>
      <c r="O127" s="194">
        <v>287235801</v>
      </c>
      <c r="P127" s="194">
        <v>287235801</v>
      </c>
      <c r="Q127" s="194">
        <v>287235801</v>
      </c>
      <c r="R127" s="200">
        <f t="shared" si="31"/>
        <v>3446829612</v>
      </c>
      <c r="S127" s="201" t="s">
        <v>754</v>
      </c>
      <c r="T127" s="202"/>
      <c r="U127" s="246"/>
      <c r="V127" s="246"/>
      <c r="W127" s="246"/>
      <c r="BA127"/>
      <c r="BB127"/>
    </row>
    <row r="128" spans="1:54" s="191" customFormat="1" ht="13">
      <c r="A128" s="226"/>
      <c r="B128" s="180">
        <v>5006016260</v>
      </c>
      <c r="C128" s="183" t="str">
        <f>IFERROR(IF(VLOOKUP($B128,勘定科目!$A:$H,HLOOKUP($E$5,勘定科目!$F$1:$H$2,2,0),0)="","",VLOOKUP($B128,勘定科目!$A:$E,2,0)),"")</f>
        <v>減価償却費配賦（製）　建物</v>
      </c>
      <c r="D128" s="239" t="str">
        <f>IF(C128="","",VLOOKUP($B128,勘定科目!$A:$E,4,0))</f>
        <v>減価償却費</v>
      </c>
      <c r="E128" s="245"/>
      <c r="F128" s="194">
        <v>330060098</v>
      </c>
      <c r="G128" s="247">
        <v>332397501</v>
      </c>
      <c r="H128" s="247">
        <v>332436094</v>
      </c>
      <c r="I128" s="247">
        <v>339011342</v>
      </c>
      <c r="J128" s="247">
        <v>342495358</v>
      </c>
      <c r="K128" s="247">
        <v>353345521</v>
      </c>
      <c r="L128" s="247">
        <v>363046024</v>
      </c>
      <c r="M128" s="247">
        <v>363145807</v>
      </c>
      <c r="N128" s="247">
        <v>363220200</v>
      </c>
      <c r="O128" s="247">
        <v>362342213</v>
      </c>
      <c r="P128" s="247">
        <v>365853397</v>
      </c>
      <c r="Q128" s="247">
        <v>361632817</v>
      </c>
      <c r="R128" s="200">
        <f t="shared" si="31"/>
        <v>4208986372</v>
      </c>
      <c r="S128" s="201" t="s">
        <v>755</v>
      </c>
      <c r="T128" s="202"/>
      <c r="U128" s="246"/>
      <c r="V128" s="246"/>
      <c r="W128" s="246"/>
      <c r="BA128"/>
      <c r="BB128"/>
    </row>
    <row r="129" spans="1:54" s="191" customFormat="1" ht="13">
      <c r="A129" s="226"/>
      <c r="B129" s="180">
        <v>5006016261</v>
      </c>
      <c r="C129" s="183" t="str">
        <f>IFERROR(IF(VLOOKUP($B129,勘定科目!$A:$H,HLOOKUP($E$5,勘定科目!$F$1:$H$2,2,0),0)="","",VLOOKUP($B129,勘定科目!$A:$E,2,0)),"")</f>
        <v>減価償却費配賦（製）　土地使用権</v>
      </c>
      <c r="D129" s="239" t="str">
        <f>IF(C129="","",VLOOKUP($B129,勘定科目!$A:$E,4,0))</f>
        <v>減価償却費</v>
      </c>
      <c r="E129" s="245"/>
      <c r="F129" s="194">
        <v>22277694</v>
      </c>
      <c r="G129" s="247">
        <v>22435620</v>
      </c>
      <c r="H129" s="247">
        <v>22438159</v>
      </c>
      <c r="I129" s="247">
        <v>22881976</v>
      </c>
      <c r="J129" s="247">
        <v>23117087</v>
      </c>
      <c r="K129" s="247">
        <v>23849335</v>
      </c>
      <c r="L129" s="247">
        <v>24504143</v>
      </c>
      <c r="M129" s="247">
        <v>24510998</v>
      </c>
      <c r="N129" s="247">
        <v>24515822</v>
      </c>
      <c r="O129" s="247">
        <v>24456664</v>
      </c>
      <c r="P129" s="247">
        <v>24693552</v>
      </c>
      <c r="Q129" s="247">
        <v>24408677</v>
      </c>
      <c r="R129" s="200">
        <f t="shared" si="31"/>
        <v>284089727</v>
      </c>
      <c r="S129" s="201" t="s">
        <v>756</v>
      </c>
      <c r="T129" s="202"/>
      <c r="U129" s="246"/>
      <c r="V129" s="246"/>
      <c r="W129" s="246"/>
      <c r="BA129"/>
      <c r="BB129"/>
    </row>
    <row r="130" spans="1:54" s="191" customFormat="1" ht="13">
      <c r="A130" s="226"/>
      <c r="B130" s="180">
        <v>9114120007</v>
      </c>
      <c r="C130" s="183" t="str">
        <f>IFERROR(IF(VLOOKUP($B130,勘定科目!$A:$H,HLOOKUP($E$5,勘定科目!$F$1:$H$2,2,0),0)="","",VLOOKUP($B130,勘定科目!$A:$E,2,0)),"")</f>
        <v>社内金利（固定資産）</v>
      </c>
      <c r="D130" s="239" t="str">
        <f>IF(C130="","",VLOOKUP($B130,勘定科目!$A:$E,4,0))</f>
        <v>固定資産金利</v>
      </c>
      <c r="E130" s="245"/>
      <c r="F130" s="194">
        <v>224039075</v>
      </c>
      <c r="G130" s="247">
        <v>213659389</v>
      </c>
      <c r="H130" s="247">
        <v>213684271</v>
      </c>
      <c r="I130" s="247">
        <v>217910691</v>
      </c>
      <c r="J130" s="247">
        <v>220150089</v>
      </c>
      <c r="K130" s="247">
        <v>227124468</v>
      </c>
      <c r="L130" s="247">
        <v>233359744</v>
      </c>
      <c r="M130" s="247">
        <v>233423727</v>
      </c>
      <c r="N130" s="247">
        <v>233471714</v>
      </c>
      <c r="O130" s="247">
        <v>232907294</v>
      </c>
      <c r="P130" s="247">
        <v>235164211</v>
      </c>
      <c r="Q130" s="247">
        <v>232451544</v>
      </c>
      <c r="R130" s="200">
        <f t="shared" si="31"/>
        <v>2717346217</v>
      </c>
      <c r="S130" s="201" t="s">
        <v>788</v>
      </c>
      <c r="T130" s="202"/>
      <c r="U130" s="246"/>
      <c r="V130" s="246"/>
      <c r="W130" s="246"/>
      <c r="BA130"/>
      <c r="BB130"/>
    </row>
    <row r="131" spans="1:54" s="191" customFormat="1" ht="13">
      <c r="A131" s="226"/>
      <c r="B131" s="180">
        <v>9114120007</v>
      </c>
      <c r="C131" s="183" t="str">
        <f>IFERROR(IF(VLOOKUP($B131,勘定科目!$A:$H,HLOOKUP($E$5,勘定科目!$F$1:$H$2,2,0),0)="","",VLOOKUP($B131,勘定科目!$A:$E,2,0)),"")</f>
        <v>社内金利（固定資産）</v>
      </c>
      <c r="D131" s="239" t="str">
        <f>IF(C131="","",VLOOKUP($B131,勘定科目!$A:$E,4,0))</f>
        <v>固定資産金利</v>
      </c>
      <c r="E131" s="245"/>
      <c r="F131" s="194">
        <v>27701252</v>
      </c>
      <c r="G131" s="247">
        <v>27089861</v>
      </c>
      <c r="H131" s="247">
        <v>27092907</v>
      </c>
      <c r="I131" s="247">
        <v>27628890</v>
      </c>
      <c r="J131" s="247">
        <v>27912750</v>
      </c>
      <c r="K131" s="247">
        <v>28797084</v>
      </c>
      <c r="L131" s="247">
        <v>29587729</v>
      </c>
      <c r="M131" s="247">
        <v>29595854</v>
      </c>
      <c r="N131" s="247">
        <v>29601947</v>
      </c>
      <c r="O131" s="247">
        <v>29530347</v>
      </c>
      <c r="P131" s="247">
        <v>29816493</v>
      </c>
      <c r="Q131" s="247">
        <v>29472458</v>
      </c>
      <c r="R131" s="200">
        <f t="shared" si="31"/>
        <v>343827572</v>
      </c>
      <c r="S131" s="201" t="s">
        <v>789</v>
      </c>
      <c r="T131" s="202"/>
      <c r="U131" s="246"/>
      <c r="V131" s="246"/>
      <c r="W131" s="246"/>
      <c r="BA131"/>
      <c r="BB131"/>
    </row>
    <row r="132" spans="1:54" s="191" customFormat="1" ht="13">
      <c r="A132" s="226"/>
      <c r="B132" s="180">
        <v>5005066281</v>
      </c>
      <c r="C132" s="183" t="str">
        <f>IFERROR(IF(VLOOKUP($B132,勘定科目!$A:$H,HLOOKUP($E$5,勘定科目!$F$1:$H$2,2,0),0)="","",VLOOKUP($B132,勘定科目!$A:$E,2,0)),"")</f>
        <v>電気代（製）</v>
      </c>
      <c r="D132" s="239" t="str">
        <f>IF(C132="","",VLOOKUP($B132,勘定科目!$A:$E,4,0))</f>
        <v>水道光熱費</v>
      </c>
      <c r="E132" s="245"/>
      <c r="F132" s="194">
        <v>113868724</v>
      </c>
      <c r="G132" s="247">
        <v>116516285</v>
      </c>
      <c r="H132" s="247">
        <v>147131134</v>
      </c>
      <c r="I132" s="247">
        <v>158448914</v>
      </c>
      <c r="J132" s="247">
        <v>164107803</v>
      </c>
      <c r="K132" s="247">
        <v>150526468</v>
      </c>
      <c r="L132" s="247">
        <v>149988707</v>
      </c>
      <c r="M132" s="247">
        <v>135813355</v>
      </c>
      <c r="N132" s="247">
        <v>130154465</v>
      </c>
      <c r="O132" s="247">
        <v>115979112</v>
      </c>
      <c r="P132" s="247">
        <v>117692441</v>
      </c>
      <c r="Q132" s="247">
        <v>90542236</v>
      </c>
      <c r="R132" s="200">
        <f t="shared" si="31"/>
        <v>1590769644</v>
      </c>
      <c r="S132" s="201" t="s">
        <v>757</v>
      </c>
      <c r="T132" s="202"/>
      <c r="U132" s="246"/>
      <c r="V132" s="246"/>
      <c r="W132" s="246"/>
      <c r="BA132"/>
      <c r="BB132"/>
    </row>
    <row r="133" spans="1:54" s="191" customFormat="1" ht="13">
      <c r="A133" s="226"/>
      <c r="B133" s="180">
        <v>5005066282</v>
      </c>
      <c r="C133" s="183" t="str">
        <f>IFERROR(IF(VLOOKUP($B133,勘定科目!$A:$H,HLOOKUP($E$5,勘定科目!$F$1:$H$2,2,0),0)="","",VLOOKUP($B133,勘定科目!$A:$E,2,0)),"")</f>
        <v>水道代（製）</v>
      </c>
      <c r="D133" s="239" t="str">
        <f>IF(C133="","",VLOOKUP($B133,勘定科目!$A:$E,4,0))</f>
        <v>水道光熱費</v>
      </c>
      <c r="E133" s="245"/>
      <c r="F133" s="194">
        <v>29266543</v>
      </c>
      <c r="G133" s="247">
        <v>33532707</v>
      </c>
      <c r="H133" s="247">
        <v>37728231</v>
      </c>
      <c r="I133" s="247">
        <v>61753214</v>
      </c>
      <c r="J133" s="247">
        <v>59020639</v>
      </c>
      <c r="K133" s="247">
        <v>61880930</v>
      </c>
      <c r="L133" s="247">
        <v>50691704</v>
      </c>
      <c r="M133" s="247">
        <v>70837880</v>
      </c>
      <c r="N133" s="247">
        <v>70556874</v>
      </c>
      <c r="O133" s="247">
        <v>48572724</v>
      </c>
      <c r="P133" s="247">
        <v>40129624</v>
      </c>
      <c r="Q133" s="247">
        <v>42704698</v>
      </c>
      <c r="R133" s="200">
        <f t="shared" si="31"/>
        <v>606675768</v>
      </c>
      <c r="S133" s="201" t="s">
        <v>758</v>
      </c>
      <c r="T133" s="202"/>
      <c r="U133" s="246"/>
      <c r="V133" s="246"/>
      <c r="W133" s="246"/>
      <c r="BA133"/>
      <c r="BB133"/>
    </row>
    <row r="134" spans="1:54" s="191" customFormat="1" ht="13">
      <c r="A134" s="226"/>
      <c r="B134" s="180">
        <v>5005136281</v>
      </c>
      <c r="C134" s="183" t="str">
        <f>IFERROR(IF(VLOOKUP($B134,勘定科目!$A:$H,HLOOKUP($E$5,勘定科目!$F$1:$H$2,2,0),0)="","",VLOOKUP($B134,勘定科目!$A:$E,2,0)),"")</f>
        <v>通信費（製）</v>
      </c>
      <c r="D134" s="239" t="str">
        <f>IF(C134="","",VLOOKUP($B134,勘定科目!$A:$E,4,0))</f>
        <v>通信費</v>
      </c>
      <c r="E134" s="245"/>
      <c r="F134" s="194">
        <v>9164000</v>
      </c>
      <c r="G134" s="194">
        <v>9164000</v>
      </c>
      <c r="H134" s="194">
        <v>9164000</v>
      </c>
      <c r="I134" s="194">
        <v>9164000</v>
      </c>
      <c r="J134" s="194">
        <v>9164000</v>
      </c>
      <c r="K134" s="194">
        <v>9164000</v>
      </c>
      <c r="L134" s="194">
        <v>9164000</v>
      </c>
      <c r="M134" s="194">
        <v>9164000</v>
      </c>
      <c r="N134" s="194">
        <v>9164000</v>
      </c>
      <c r="O134" s="194">
        <v>9164000</v>
      </c>
      <c r="P134" s="194">
        <v>9164000</v>
      </c>
      <c r="Q134" s="194">
        <v>9164000</v>
      </c>
      <c r="R134" s="200">
        <f t="shared" si="31"/>
        <v>109968000</v>
      </c>
      <c r="S134" s="201" t="s">
        <v>759</v>
      </c>
      <c r="T134" s="202"/>
      <c r="U134" s="246"/>
      <c r="V134" s="246"/>
      <c r="W134" s="246"/>
      <c r="BA134"/>
      <c r="BB134"/>
    </row>
    <row r="135" spans="1:54" s="191" customFormat="1" ht="13">
      <c r="A135" s="226"/>
      <c r="B135" s="180">
        <v>5005136281</v>
      </c>
      <c r="C135" s="183" t="str">
        <f>IFERROR(IF(VLOOKUP($B135,勘定科目!$A:$H,HLOOKUP($E$5,勘定科目!$F$1:$H$2,2,0),0)="","",VLOOKUP($B135,勘定科目!$A:$E,2,0)),"")</f>
        <v>通信費（製）</v>
      </c>
      <c r="D135" s="239" t="str">
        <f>IF(C135="","",VLOOKUP($B135,勘定科目!$A:$E,4,0))</f>
        <v>通信費</v>
      </c>
      <c r="E135" s="245"/>
      <c r="F135" s="194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00">
        <f t="shared" si="31"/>
        <v>0</v>
      </c>
      <c r="S135" s="201" t="s">
        <v>760</v>
      </c>
      <c r="T135" s="202"/>
      <c r="U135" s="246"/>
      <c r="V135" s="246"/>
      <c r="W135" s="246"/>
      <c r="BA135"/>
      <c r="BB135"/>
    </row>
    <row r="136" spans="1:54" s="191" customFormat="1" ht="13">
      <c r="A136" s="226"/>
      <c r="B136" s="180">
        <v>5005186292</v>
      </c>
      <c r="C136" s="183" t="str">
        <f>IFERROR(IF(VLOOKUP($B136,勘定科目!$A:$H,HLOOKUP($E$5,勘定科目!$F$1:$H$2,2,0),0)="","",VLOOKUP($B136,勘定科目!$A:$E,2,0)),"")</f>
        <v>その他税金（製）</v>
      </c>
      <c r="D136" s="239" t="str">
        <f>IF(C136="","",VLOOKUP($B136,勘定科目!$A:$E,4,0))</f>
        <v>公租公課</v>
      </c>
      <c r="E136" s="245"/>
      <c r="F136" s="194">
        <v>1000000</v>
      </c>
      <c r="G136" s="194">
        <v>1000000</v>
      </c>
      <c r="H136" s="194">
        <v>1000000</v>
      </c>
      <c r="I136" s="194">
        <v>1000000</v>
      </c>
      <c r="J136" s="194">
        <v>1000000</v>
      </c>
      <c r="K136" s="194">
        <v>1000000</v>
      </c>
      <c r="L136" s="194">
        <v>1000000</v>
      </c>
      <c r="M136" s="194">
        <v>1000000</v>
      </c>
      <c r="N136" s="194">
        <v>1000000</v>
      </c>
      <c r="O136" s="194">
        <v>1000000</v>
      </c>
      <c r="P136" s="194">
        <v>1000000</v>
      </c>
      <c r="Q136" s="194">
        <v>1000000</v>
      </c>
      <c r="R136" s="200">
        <f t="shared" si="31"/>
        <v>12000000</v>
      </c>
      <c r="S136" s="201" t="s">
        <v>761</v>
      </c>
      <c r="T136" s="202"/>
      <c r="U136" s="246"/>
      <c r="V136" s="246"/>
      <c r="W136" s="246"/>
      <c r="BA136"/>
      <c r="BB136"/>
    </row>
    <row r="137" spans="1:54" s="191" customFormat="1" ht="13">
      <c r="A137" s="226"/>
      <c r="B137" s="180">
        <v>7001075118</v>
      </c>
      <c r="C137" s="183" t="str">
        <f>IFERROR(IF(VLOOKUP($B137,勘定科目!$A:$H,HLOOKUP($E$5,勘定科目!$F$1:$H$2,2,0),0)="","",VLOOKUP($B137,勘定科目!$A:$E,2,0)),"")</f>
        <v>雑収入（関係会社）</v>
      </c>
      <c r="D137" s="239" t="str">
        <f>IF(C137="","",VLOOKUP($B137,勘定科目!$A:$E,4,0))</f>
        <v>雑収入</v>
      </c>
      <c r="E137" s="245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200">
        <f t="shared" si="31"/>
        <v>0</v>
      </c>
      <c r="S137" s="201" t="s">
        <v>762</v>
      </c>
      <c r="T137" s="202"/>
      <c r="U137" s="246"/>
      <c r="V137" s="246"/>
      <c r="W137" s="246"/>
      <c r="BA137"/>
      <c r="BB137"/>
    </row>
    <row r="138" spans="1:54" s="191" customFormat="1" ht="13">
      <c r="A138" s="226"/>
      <c r="B138" s="180">
        <v>7002048112</v>
      </c>
      <c r="C138" s="183" t="str">
        <f>IFERROR(IF(VLOOKUP($B138,勘定科目!$A:$H,HLOOKUP($E$5,勘定科目!$F$1:$H$2,2,0),0)="","",VLOOKUP($B138,勘定科目!$A:$E,2,0)),"")</f>
        <v>棚卸資産廃棄損</v>
      </c>
      <c r="D138" s="239" t="str">
        <f>IF(C138="","",VLOOKUP($B138,勘定科目!$A:$E,4,0))</f>
        <v>棚卸資産廃棄損</v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31"/>
        <v>0</v>
      </c>
      <c r="S138" s="201" t="s">
        <v>763</v>
      </c>
      <c r="T138" s="202"/>
      <c r="U138" s="246"/>
      <c r="V138" s="246"/>
      <c r="W138" s="246"/>
      <c r="BA138"/>
      <c r="BB138"/>
    </row>
    <row r="139" spans="1:54" s="191" customFormat="1" ht="13">
      <c r="A139" s="226"/>
      <c r="B139" s="180">
        <v>7002048112</v>
      </c>
      <c r="C139" s="183" t="str">
        <f>IFERROR(IF(VLOOKUP($B139,勘定科目!$A:$H,HLOOKUP($E$5,勘定科目!$F$1:$H$2,2,0),0)="","",VLOOKUP($B139,勘定科目!$A:$E,2,0)),"")</f>
        <v>棚卸資産廃棄損</v>
      </c>
      <c r="D139" s="239" t="str">
        <f>IF(C139="","",VLOOKUP($B139,勘定科目!$A:$E,4,0))</f>
        <v>棚卸資産廃棄損</v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31"/>
        <v>0</v>
      </c>
      <c r="S139" s="201" t="s">
        <v>764</v>
      </c>
      <c r="T139" s="202"/>
      <c r="U139" s="246"/>
      <c r="V139" s="246"/>
      <c r="W139" s="246"/>
      <c r="BA139"/>
      <c r="BB139"/>
    </row>
    <row r="140" spans="1:54" s="191" customFormat="1" ht="13">
      <c r="A140" s="226"/>
      <c r="B140" s="180">
        <v>5005076286</v>
      </c>
      <c r="C140" s="183" t="str">
        <f>IFERROR(IF(VLOOKUP($B140,勘定科目!$A:$H,HLOOKUP($E$5,勘定科目!$F$1:$H$2,2,0),0)="","",VLOOKUP($B140,勘定科目!$A:$E,2,0)),"")</f>
        <v>部品集荷トラック代</v>
      </c>
      <c r="D140" s="239" t="str">
        <f>IF(C140="","",VLOOKUP($B140,勘定科目!$A:$E,4,0))</f>
        <v>荷造運賃</v>
      </c>
      <c r="E140" s="245"/>
      <c r="F140" s="194">
        <v>1846419806</v>
      </c>
      <c r="G140" s="247">
        <v>1754098816</v>
      </c>
      <c r="H140" s="247">
        <v>1938740796</v>
      </c>
      <c r="I140" s="247">
        <v>2123382777</v>
      </c>
      <c r="J140" s="247">
        <v>1846419806</v>
      </c>
      <c r="K140" s="247">
        <v>1754098816</v>
      </c>
      <c r="L140" s="247">
        <v>2123382777</v>
      </c>
      <c r="M140" s="247">
        <v>1846419806</v>
      </c>
      <c r="N140" s="247">
        <v>2031061787</v>
      </c>
      <c r="O140" s="247">
        <v>1846419806</v>
      </c>
      <c r="P140" s="247">
        <v>1384814855</v>
      </c>
      <c r="Q140" s="247">
        <v>1938740796</v>
      </c>
      <c r="R140" s="200">
        <f t="shared" si="31"/>
        <v>22434000644</v>
      </c>
      <c r="S140" s="201" t="s">
        <v>765</v>
      </c>
      <c r="T140" s="202"/>
      <c r="U140" s="246"/>
      <c r="V140" s="246"/>
      <c r="W140" s="246"/>
      <c r="BA140"/>
      <c r="BB140"/>
    </row>
    <row r="141" spans="1:54" s="191" customFormat="1" ht="13">
      <c r="A141" s="226"/>
      <c r="B141" s="180">
        <v>5005136291</v>
      </c>
      <c r="C141" s="183" t="str">
        <f>IFERROR(IF(VLOOKUP($B141,勘定科目!$A:$H,HLOOKUP($E$5,勘定科目!$F$1:$H$2,2,0),0)="","",VLOOKUP($B141,勘定科目!$A:$E,2,0)),"")</f>
        <v>郵送代（製）</v>
      </c>
      <c r="D141" s="239" t="str">
        <f>IF(C141="","",VLOOKUP($B141,勘定科目!$A:$E,4,0))</f>
        <v>通信費</v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31"/>
        <v>0</v>
      </c>
      <c r="S141" s="201" t="s">
        <v>766</v>
      </c>
      <c r="T141" s="202"/>
      <c r="U141" s="246"/>
      <c r="V141" s="246"/>
      <c r="W141" s="246"/>
      <c r="BA141"/>
      <c r="BB141"/>
    </row>
    <row r="142" spans="1:54" s="191" customFormat="1" ht="13">
      <c r="A142" s="226"/>
      <c r="B142" s="180"/>
      <c r="C142" s="183" t="str">
        <f>IFERROR(IF(VLOOKUP($B142,勘定科目!$A:$H,HLOOKUP($E$5,勘定科目!$F$1:$H$2,2,0),0)="","",VLOOKUP($B142,勘定科目!$A:$E,2,0)),"")</f>
        <v/>
      </c>
      <c r="D142" s="239" t="str">
        <f>IF(C142="","",VLOOKUP($B142,勘定科目!$A:$E,4,0))</f>
        <v/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31"/>
        <v>0</v>
      </c>
      <c r="S142" s="201"/>
      <c r="T142" s="202"/>
      <c r="U142" s="246"/>
      <c r="V142" s="246"/>
      <c r="W142" s="246"/>
      <c r="BA142"/>
      <c r="BB142"/>
    </row>
    <row r="143" spans="1:54" s="191" customFormat="1" ht="13">
      <c r="A143" s="226"/>
      <c r="B143" s="180">
        <v>5005256291</v>
      </c>
      <c r="C143" s="183" t="str">
        <f>IFERROR(IF(VLOOKUP($B143,勘定科目!$A:$H,HLOOKUP($E$5,勘定科目!$F$1:$H$2,2,0),0)="","",VLOOKUP($B143,勘定科目!$A:$E,2,0)),"")</f>
        <v>棚卸減耗費（製）</v>
      </c>
      <c r="D143" s="239" t="str">
        <f>IF(C143="","",VLOOKUP($B143,勘定科目!$A:$E,4,0))</f>
        <v>棚卸減耗費</v>
      </c>
      <c r="E143" s="245"/>
      <c r="F143" s="194">
        <v>12695000</v>
      </c>
      <c r="G143" s="247">
        <v>12695000</v>
      </c>
      <c r="H143" s="247">
        <v>12695000</v>
      </c>
      <c r="I143" s="247">
        <v>12695000</v>
      </c>
      <c r="J143" s="247">
        <v>38085000</v>
      </c>
      <c r="K143" s="247">
        <v>7617000</v>
      </c>
      <c r="L143" s="247">
        <v>12695000</v>
      </c>
      <c r="M143" s="247">
        <v>12695000</v>
      </c>
      <c r="N143" s="247">
        <v>12695000</v>
      </c>
      <c r="O143" s="247">
        <v>12695000</v>
      </c>
      <c r="P143" s="247">
        <v>38085000</v>
      </c>
      <c r="Q143" s="247">
        <v>7617000</v>
      </c>
      <c r="R143" s="200">
        <f t="shared" si="31"/>
        <v>192964000</v>
      </c>
      <c r="S143" s="201" t="s">
        <v>767</v>
      </c>
      <c r="T143" s="202"/>
      <c r="U143" s="246"/>
      <c r="V143" s="246"/>
      <c r="W143" s="246"/>
      <c r="BA143"/>
      <c r="BB143"/>
    </row>
    <row r="144" spans="1:54" s="191" customFormat="1" ht="13">
      <c r="A144" s="226"/>
      <c r="B144" s="180">
        <v>7002048112</v>
      </c>
      <c r="C144" s="183" t="str">
        <f>IFERROR(IF(VLOOKUP($B144,勘定科目!$A:$H,HLOOKUP($E$5,勘定科目!$F$1:$H$2,2,0),0)="","",VLOOKUP($B144,勘定科目!$A:$E,2,0)),"")</f>
        <v>棚卸資産廃棄損</v>
      </c>
      <c r="D144" s="239" t="str">
        <f>IF(C144="","",VLOOKUP($B144,勘定科目!$A:$E,4,0))</f>
        <v>棚卸資産廃棄損</v>
      </c>
      <c r="E144" s="245"/>
      <c r="F144" s="194">
        <v>95497389</v>
      </c>
      <c r="G144" s="247">
        <v>95497389</v>
      </c>
      <c r="H144" s="247">
        <v>95497389</v>
      </c>
      <c r="I144" s="247">
        <v>95497389</v>
      </c>
      <c r="J144" s="247">
        <v>177730000</v>
      </c>
      <c r="K144" s="247">
        <v>95497389</v>
      </c>
      <c r="L144" s="247">
        <v>95497389</v>
      </c>
      <c r="M144" s="247">
        <v>95497389</v>
      </c>
      <c r="N144" s="247">
        <v>95497389</v>
      </c>
      <c r="O144" s="247">
        <v>120887389</v>
      </c>
      <c r="P144" s="247">
        <v>95497389</v>
      </c>
      <c r="Q144" s="247">
        <v>95497389</v>
      </c>
      <c r="R144" s="200">
        <f t="shared" si="31"/>
        <v>1253591279</v>
      </c>
      <c r="S144" s="201" t="s">
        <v>768</v>
      </c>
      <c r="T144" s="202"/>
      <c r="U144" s="246"/>
      <c r="V144" s="246"/>
      <c r="W144" s="246"/>
      <c r="BA144"/>
      <c r="BB144"/>
    </row>
    <row r="145" spans="1:54" s="191" customFormat="1" ht="13">
      <c r="A145" s="226"/>
      <c r="B145" s="180">
        <v>5005256291</v>
      </c>
      <c r="C145" s="183" t="str">
        <f>IFERROR(IF(VLOOKUP($B145,勘定科目!$A:$H,HLOOKUP($E$5,勘定科目!$F$1:$H$2,2,0),0)="","",VLOOKUP($B145,勘定科目!$A:$E,2,0)),"")</f>
        <v>棚卸減耗費（製）</v>
      </c>
      <c r="D145" s="239" t="str">
        <f>IF(C145="","",VLOOKUP($B145,勘定科目!$A:$E,4,0))</f>
        <v>棚卸減耗費</v>
      </c>
      <c r="E145" s="245"/>
      <c r="F145" s="194"/>
      <c r="G145" s="247"/>
      <c r="H145" s="247"/>
      <c r="I145" s="247"/>
      <c r="J145" s="247">
        <f>+ROUND(377.32*25390,0)</f>
        <v>9580155</v>
      </c>
      <c r="K145" s="247"/>
      <c r="L145" s="247"/>
      <c r="M145" s="247"/>
      <c r="N145" s="247"/>
      <c r="O145" s="247"/>
      <c r="P145" s="247"/>
      <c r="Q145" s="247">
        <f>+ROUND(377.32*25390,0)</f>
        <v>9580155</v>
      </c>
      <c r="R145" s="200">
        <f t="shared" si="31"/>
        <v>19160310</v>
      </c>
      <c r="S145" s="201" t="s">
        <v>769</v>
      </c>
      <c r="T145" s="202"/>
      <c r="U145" s="246"/>
      <c r="V145" s="246"/>
      <c r="W145" s="246"/>
      <c r="BA145"/>
      <c r="BB145"/>
    </row>
    <row r="146" spans="1:54" s="191" customFormat="1" ht="13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31"/>
        <v>0</v>
      </c>
      <c r="S146" s="201"/>
      <c r="T146" s="202"/>
      <c r="U146" s="246"/>
      <c r="V146" s="246"/>
      <c r="W146" s="246"/>
      <c r="BA146"/>
      <c r="BB146"/>
    </row>
    <row r="147" spans="1:54" s="191" customFormat="1" ht="13">
      <c r="A147" s="226"/>
      <c r="B147" s="180">
        <v>5005246286</v>
      </c>
      <c r="C147" s="183" t="str">
        <f>IFERROR(IF(VLOOKUP($B147,勘定科目!$A:$H,HLOOKUP($E$5,勘定科目!$F$1:$H$2,2,0),0)="","",VLOOKUP($B147,勘定科目!$A:$E,2,0)),"")</f>
        <v>その他手数料（製）</v>
      </c>
      <c r="D147" s="239" t="str">
        <f>IF(C147="","",VLOOKUP($B147,勘定科目!$A:$E,4,0))</f>
        <v>手数料</v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31"/>
        <v>0</v>
      </c>
      <c r="S147" s="201" t="s">
        <v>770</v>
      </c>
      <c r="T147" s="202"/>
      <c r="U147" s="246"/>
      <c r="V147" s="246"/>
      <c r="W147" s="246"/>
      <c r="BA147"/>
      <c r="BB147"/>
    </row>
    <row r="148" spans="1:54" s="191" customFormat="1" ht="13">
      <c r="A148" s="226"/>
      <c r="B148" s="180">
        <v>5005246283</v>
      </c>
      <c r="C148" s="183" t="str">
        <f>IFERROR(IF(VLOOKUP($B148,勘定科目!$A:$H,HLOOKUP($E$5,勘定科目!$F$1:$H$2,2,0),0)="","",VLOOKUP($B148,勘定科目!$A:$E,2,0)),"")</f>
        <v>ライセンス料（製）</v>
      </c>
      <c r="D148" s="239" t="str">
        <f>IF(C148="","",VLOOKUP($B148,勘定科目!$A:$E,4,0))</f>
        <v>図書及び事務費</v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31"/>
        <v>0</v>
      </c>
      <c r="S148" s="201" t="s">
        <v>771</v>
      </c>
      <c r="T148" s="202"/>
      <c r="U148" s="246"/>
      <c r="V148" s="246"/>
      <c r="W148" s="246"/>
      <c r="BA148"/>
      <c r="BB148"/>
    </row>
    <row r="149" spans="1:54" s="191" customFormat="1" ht="13">
      <c r="A149" s="226"/>
      <c r="B149" s="180">
        <v>8001037111</v>
      </c>
      <c r="C149" s="183" t="str">
        <f>IFERROR(IF(VLOOKUP($B149,勘定科目!$A:$H,HLOOKUP($E$5,勘定科目!$F$1:$H$2,2,0),0)="","",VLOOKUP($B149,勘定科目!$A:$E,2,0)),"")</f>
        <v>その他特別利益</v>
      </c>
      <c r="D149" s="239" t="str">
        <f>IF(C149="","",VLOOKUP($B149,勘定科目!$A:$E,4,0))</f>
        <v>特別利益</v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31"/>
        <v>0</v>
      </c>
      <c r="S149" s="201" t="s">
        <v>772</v>
      </c>
      <c r="T149" s="202"/>
      <c r="U149" s="246"/>
      <c r="V149" s="246"/>
      <c r="W149" s="246"/>
      <c r="BA149"/>
      <c r="BB149"/>
    </row>
    <row r="150" spans="1:54" s="191" customFormat="1" ht="13">
      <c r="A150" s="226"/>
      <c r="B150" s="180">
        <v>5005246292</v>
      </c>
      <c r="C150" s="183" t="str">
        <f>IFERROR(IF(VLOOKUP($B150,勘定科目!$A:$H,HLOOKUP($E$5,勘定科目!$F$1:$H$2,2,0),0)="","",VLOOKUP($B150,勘定科目!$A:$E,2,0)),"")</f>
        <v>雑費（製）</v>
      </c>
      <c r="D150" s="239" t="str">
        <f>IF(C150="","",VLOOKUP($B150,勘定科目!$A:$E,4,0))</f>
        <v>雑費</v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31"/>
        <v>0</v>
      </c>
      <c r="S150" s="201" t="s">
        <v>773</v>
      </c>
      <c r="T150" s="202"/>
      <c r="U150" s="246"/>
      <c r="V150" s="246"/>
      <c r="W150" s="246"/>
      <c r="BA150"/>
      <c r="BB150"/>
    </row>
    <row r="151" spans="1:54" s="191" customFormat="1" ht="13">
      <c r="A151" s="226"/>
      <c r="B151" s="180">
        <v>5005046283</v>
      </c>
      <c r="C151" s="183" t="str">
        <f>IFERROR(IF(VLOOKUP($B151,勘定科目!$A:$H,HLOOKUP($E$5,勘定科目!$F$1:$H$2,2,0),0)="","",VLOOKUP($B151,勘定科目!$A:$E,2,0)),"")</f>
        <v>年間保守料（製）</v>
      </c>
      <c r="D151" s="239" t="str">
        <f>IF(C151="","",VLOOKUP($B151,勘定科目!$A:$E,4,0))</f>
        <v>修繕費</v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>
        <v>1000000</v>
      </c>
      <c r="O151" s="247"/>
      <c r="P151" s="247"/>
      <c r="Q151" s="247"/>
      <c r="R151" s="200">
        <f t="shared" si="31"/>
        <v>1000000</v>
      </c>
      <c r="S151" s="201" t="s">
        <v>774</v>
      </c>
      <c r="T151" s="202"/>
      <c r="U151" s="246"/>
      <c r="V151" s="246"/>
      <c r="W151" s="246"/>
      <c r="BA151"/>
      <c r="BB151"/>
    </row>
    <row r="152" spans="1:54" s="191" customFormat="1" ht="13">
      <c r="A152" s="226"/>
      <c r="B152" s="180">
        <v>5005246283</v>
      </c>
      <c r="C152" s="183" t="str">
        <f>IFERROR(IF(VLOOKUP($B152,勘定科目!$A:$H,HLOOKUP($E$5,勘定科目!$F$1:$H$2,2,0),0)="","",VLOOKUP($B152,勘定科目!$A:$E,2,0)),"")</f>
        <v>ライセンス料（製）</v>
      </c>
      <c r="D152" s="239" t="str">
        <f>IF(C152="","",VLOOKUP($B152,勘定科目!$A:$E,4,0))</f>
        <v>図書及び事務費</v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31"/>
        <v>0</v>
      </c>
      <c r="S152" s="201" t="s">
        <v>775</v>
      </c>
      <c r="T152" s="202"/>
      <c r="U152" s="246"/>
      <c r="V152" s="246"/>
      <c r="W152" s="246"/>
      <c r="BA152"/>
      <c r="BB152"/>
    </row>
    <row r="153" spans="1:54" s="191" customFormat="1" ht="13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31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">
      <c r="A154" s="226"/>
      <c r="B154" s="180">
        <v>5005046281</v>
      </c>
      <c r="C154" s="183" t="str">
        <f>IFERROR(IF(VLOOKUP($B154,勘定科目!$A:$H,HLOOKUP($E$5,勘定科目!$F$1:$H$2,2,0),0)="","",VLOOKUP($B154,勘定科目!$A:$E,2,0)),"")</f>
        <v>機械設備修繕費（製）</v>
      </c>
      <c r="D154" s="239" t="str">
        <f>IF(C154="","",VLOOKUP($B154,勘定科目!$A:$E,4,0))</f>
        <v>修繕費</v>
      </c>
      <c r="E154" s="245"/>
      <c r="F154" s="194">
        <v>35000000</v>
      </c>
      <c r="G154" s="247">
        <v>35000000</v>
      </c>
      <c r="H154" s="247">
        <v>35000000</v>
      </c>
      <c r="I154" s="247">
        <v>35000000</v>
      </c>
      <c r="J154" s="247">
        <v>35000000</v>
      </c>
      <c r="K154" s="247">
        <v>35000000</v>
      </c>
      <c r="L154" s="247">
        <v>35000000</v>
      </c>
      <c r="M154" s="247">
        <v>35000000</v>
      </c>
      <c r="N154" s="247">
        <v>35000000</v>
      </c>
      <c r="O154" s="247">
        <v>35000000</v>
      </c>
      <c r="P154" s="247">
        <v>35000000</v>
      </c>
      <c r="Q154" s="247">
        <v>35000000</v>
      </c>
      <c r="R154" s="200">
        <f t="shared" si="31"/>
        <v>420000000</v>
      </c>
      <c r="S154" s="201" t="s">
        <v>776</v>
      </c>
      <c r="T154" s="202"/>
      <c r="U154" s="246"/>
      <c r="V154" s="246"/>
      <c r="W154" s="246"/>
      <c r="BA154"/>
      <c r="BB154"/>
    </row>
    <row r="155" spans="1:54" s="191" customFormat="1" ht="13">
      <c r="A155" s="226"/>
      <c r="B155" s="180">
        <v>5005046282</v>
      </c>
      <c r="C155" s="183" t="str">
        <f>IFERROR(IF(VLOOKUP($B155,勘定科目!$A:$H,HLOOKUP($E$5,勘定科目!$F$1:$H$2,2,0),0)="","",VLOOKUP($B155,勘定科目!$A:$E,2,0)),"")</f>
        <v>その他修繕費（製）</v>
      </c>
      <c r="D155" s="239" t="str">
        <f>IF(C155="","",VLOOKUP($B155,勘定科目!$A:$E,4,0))</f>
        <v>修繕費</v>
      </c>
      <c r="E155" s="245"/>
      <c r="F155" s="194">
        <v>30000000</v>
      </c>
      <c r="G155" s="247">
        <v>30000000</v>
      </c>
      <c r="H155" s="247">
        <v>30000000</v>
      </c>
      <c r="I155" s="247">
        <v>30000000</v>
      </c>
      <c r="J155" s="247">
        <v>30000000</v>
      </c>
      <c r="K155" s="247">
        <v>30000000</v>
      </c>
      <c r="L155" s="247">
        <v>30000000</v>
      </c>
      <c r="M155" s="247">
        <v>30000000</v>
      </c>
      <c r="N155" s="247">
        <v>30000000</v>
      </c>
      <c r="O155" s="247">
        <v>30000000</v>
      </c>
      <c r="P155" s="247">
        <v>30000000</v>
      </c>
      <c r="Q155" s="247">
        <v>30000000</v>
      </c>
      <c r="R155" s="200">
        <f t="shared" si="31"/>
        <v>360000000</v>
      </c>
      <c r="S155" s="201" t="s">
        <v>776</v>
      </c>
      <c r="T155" s="202"/>
      <c r="U155" s="246"/>
      <c r="V155" s="246"/>
      <c r="W155" s="246"/>
      <c r="BA155"/>
      <c r="BB155"/>
    </row>
    <row r="156" spans="1:54" s="191" customFormat="1" ht="13">
      <c r="A156" s="226"/>
      <c r="B156" s="180">
        <v>5005026371</v>
      </c>
      <c r="C156" s="183" t="str">
        <f>IFERROR(IF(VLOOKUP($B156,勘定科目!$A:$H,HLOOKUP($E$5,勘定科目!$F$1:$H$2,2,0),0)="","",VLOOKUP($B156,勘定科目!$A:$E,2,0)),"")</f>
        <v>消耗工具器具備品費（製）</v>
      </c>
      <c r="D156" s="239" t="str">
        <f>IF(C156="","",VLOOKUP($B156,勘定科目!$A:$E,4,0))</f>
        <v>消耗工具器具備品費</v>
      </c>
      <c r="E156" s="245"/>
      <c r="F156" s="194">
        <v>125000000</v>
      </c>
      <c r="G156" s="247">
        <v>125000000</v>
      </c>
      <c r="H156" s="247">
        <v>125000000</v>
      </c>
      <c r="I156" s="247">
        <v>4000000000</v>
      </c>
      <c r="J156" s="247">
        <v>125000000</v>
      </c>
      <c r="K156" s="247">
        <v>125000000</v>
      </c>
      <c r="L156" s="247">
        <v>3800000000</v>
      </c>
      <c r="M156" s="247">
        <v>1710000000</v>
      </c>
      <c r="N156" s="247">
        <v>125000000</v>
      </c>
      <c r="O156" s="247">
        <v>125000000</v>
      </c>
      <c r="P156" s="247">
        <v>860000000</v>
      </c>
      <c r="Q156" s="247">
        <v>460000000</v>
      </c>
      <c r="R156" s="200">
        <f t="shared" si="31"/>
        <v>11705000000</v>
      </c>
      <c r="S156" s="201" t="s">
        <v>776</v>
      </c>
      <c r="T156" s="202"/>
      <c r="U156" s="246"/>
      <c r="V156" s="246"/>
      <c r="W156" s="246"/>
      <c r="BA156"/>
      <c r="BB156"/>
    </row>
    <row r="157" spans="1:54" s="191" customFormat="1" ht="13">
      <c r="A157" s="226"/>
      <c r="B157" s="180">
        <v>5005076282</v>
      </c>
      <c r="C157" s="183" t="str">
        <f>IFERROR(IF(VLOOKUP($B157,勘定科目!$A:$H,HLOOKUP($E$5,勘定科目!$F$1:$H$2,2,0),0)="","",VLOOKUP($B157,勘定科目!$A:$E,2,0)),"")</f>
        <v>設備輸送費（製）</v>
      </c>
      <c r="D157" s="239" t="str">
        <f>IF(C157="","",VLOOKUP($B157,勘定科目!$A:$E,4,0))</f>
        <v>荷造運賃</v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31"/>
        <v>0</v>
      </c>
      <c r="S157" s="201" t="s">
        <v>776</v>
      </c>
      <c r="T157" s="202"/>
      <c r="U157" s="246"/>
      <c r="V157" s="246"/>
      <c r="W157" s="246"/>
      <c r="BA157"/>
      <c r="BB157"/>
    </row>
    <row r="158" spans="1:54" s="191" customFormat="1" ht="13">
      <c r="A158" s="226"/>
      <c r="B158" s="180">
        <v>5005246286</v>
      </c>
      <c r="C158" s="183" t="str">
        <f>IFERROR(IF(VLOOKUP($B158,勘定科目!$A:$H,HLOOKUP($E$5,勘定科目!$F$1:$H$2,2,0),0)="","",VLOOKUP($B158,勘定科目!$A:$E,2,0)),"")</f>
        <v>その他手数料（製）</v>
      </c>
      <c r="D158" s="239" t="str">
        <f>IF(C158="","",VLOOKUP($B158,勘定科目!$A:$E,4,0))</f>
        <v>手数料</v>
      </c>
      <c r="E158" s="245"/>
      <c r="F158" s="194">
        <v>5000000</v>
      </c>
      <c r="G158" s="247">
        <v>5000000</v>
      </c>
      <c r="H158" s="247">
        <v>5000000</v>
      </c>
      <c r="I158" s="247">
        <v>5000000</v>
      </c>
      <c r="J158" s="247">
        <v>5000000</v>
      </c>
      <c r="K158" s="247">
        <v>5000000</v>
      </c>
      <c r="L158" s="247">
        <v>5000000</v>
      </c>
      <c r="M158" s="247">
        <v>5000000</v>
      </c>
      <c r="N158" s="247">
        <v>5000000</v>
      </c>
      <c r="O158" s="247">
        <v>5000000</v>
      </c>
      <c r="P158" s="247">
        <v>5000000</v>
      </c>
      <c r="Q158" s="247">
        <v>5000000</v>
      </c>
      <c r="R158" s="200">
        <f t="shared" si="31"/>
        <v>60000000</v>
      </c>
      <c r="S158" s="201" t="s">
        <v>776</v>
      </c>
      <c r="T158" s="202"/>
      <c r="U158" s="246"/>
      <c r="V158" s="246"/>
      <c r="W158" s="246"/>
      <c r="BA158"/>
      <c r="BB158"/>
    </row>
    <row r="159" spans="1:54" s="191" customFormat="1" ht="13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31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">
      <c r="A160" s="226"/>
      <c r="B160" s="180">
        <v>5005046281</v>
      </c>
      <c r="C160" s="183" t="str">
        <f>IFERROR(IF(VLOOKUP($B160,勘定科目!$A:$H,HLOOKUP($E$5,勘定科目!$F$1:$H$2,2,0),0)="","",VLOOKUP($B160,勘定科目!$A:$E,2,0)),"")</f>
        <v>機械設備修繕費（製）</v>
      </c>
      <c r="D160" s="239" t="str">
        <f>IF(C160="","",VLOOKUP($B160,勘定科目!$A:$E,4,0))</f>
        <v>修繕費</v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31"/>
        <v>0</v>
      </c>
      <c r="S160" s="201" t="s">
        <v>777</v>
      </c>
      <c r="T160" s="202"/>
      <c r="U160" s="246"/>
      <c r="V160" s="246"/>
      <c r="W160" s="246"/>
      <c r="BA160"/>
      <c r="BB160"/>
    </row>
    <row r="161" spans="1:54" s="191" customFormat="1" ht="13">
      <c r="A161" s="226"/>
      <c r="B161" s="180">
        <v>5005046282</v>
      </c>
      <c r="C161" s="183" t="str">
        <f>IFERROR(IF(VLOOKUP($B161,勘定科目!$A:$H,HLOOKUP($E$5,勘定科目!$F$1:$H$2,2,0),0)="","",VLOOKUP($B161,勘定科目!$A:$E,2,0)),"")</f>
        <v>その他修繕費（製）</v>
      </c>
      <c r="D161" s="239" t="str">
        <f>IF(C161="","",VLOOKUP($B161,勘定科目!$A:$E,4,0))</f>
        <v>修繕費</v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31"/>
        <v>0</v>
      </c>
      <c r="S161" s="201" t="s">
        <v>777</v>
      </c>
      <c r="T161" s="202"/>
      <c r="U161" s="246"/>
      <c r="V161" s="246"/>
      <c r="W161" s="246"/>
      <c r="BA161"/>
      <c r="BB161"/>
    </row>
    <row r="162" spans="1:54" s="191" customFormat="1" ht="13">
      <c r="A162" s="226"/>
      <c r="B162" s="180">
        <v>5005026371</v>
      </c>
      <c r="C162" s="183" t="str">
        <f>IFERROR(IF(VLOOKUP($B162,勘定科目!$A:$H,HLOOKUP($E$5,勘定科目!$F$1:$H$2,2,0),0)="","",VLOOKUP($B162,勘定科目!$A:$E,2,0)),"")</f>
        <v>消耗工具器具備品費（製）</v>
      </c>
      <c r="D162" s="239" t="str">
        <f>IF(C162="","",VLOOKUP($B162,勘定科目!$A:$E,4,0))</f>
        <v>消耗工具器具備品費</v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31"/>
        <v>0</v>
      </c>
      <c r="S162" s="201" t="s">
        <v>777</v>
      </c>
      <c r="T162" s="202"/>
      <c r="U162" s="246"/>
      <c r="V162" s="246"/>
      <c r="W162" s="246"/>
      <c r="BA162"/>
      <c r="BB162"/>
    </row>
    <row r="163" spans="1:54" s="191" customFormat="1" ht="13">
      <c r="A163" s="226"/>
      <c r="B163" s="180">
        <v>5005076282</v>
      </c>
      <c r="C163" s="183" t="str">
        <f>IFERROR(IF(VLOOKUP($B163,勘定科目!$A:$H,HLOOKUP($E$5,勘定科目!$F$1:$H$2,2,0),0)="","",VLOOKUP($B163,勘定科目!$A:$E,2,0)),"")</f>
        <v>設備輸送費（製）</v>
      </c>
      <c r="D163" s="239" t="str">
        <f>IF(C163="","",VLOOKUP($B163,勘定科目!$A:$E,4,0))</f>
        <v>荷造運賃</v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31"/>
        <v>0</v>
      </c>
      <c r="S163" s="201" t="s">
        <v>777</v>
      </c>
      <c r="T163" s="202"/>
      <c r="U163" s="246"/>
      <c r="V163" s="246"/>
      <c r="W163" s="246"/>
      <c r="BA163"/>
      <c r="BB163"/>
    </row>
    <row r="164" spans="1:54" s="191" customFormat="1" ht="13">
      <c r="A164" s="226"/>
      <c r="B164" s="180">
        <v>5005246286</v>
      </c>
      <c r="C164" s="183" t="str">
        <f>IFERROR(IF(VLOOKUP($B164,勘定科目!$A:$H,HLOOKUP($E$5,勘定科目!$F$1:$H$2,2,0),0)="","",VLOOKUP($B164,勘定科目!$A:$E,2,0)),"")</f>
        <v>その他手数料（製）</v>
      </c>
      <c r="D164" s="239" t="str">
        <f>IF(C164="","",VLOOKUP($B164,勘定科目!$A:$E,4,0))</f>
        <v>手数料</v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31"/>
        <v>0</v>
      </c>
      <c r="S164" s="201" t="s">
        <v>777</v>
      </c>
      <c r="T164" s="202"/>
      <c r="U164" s="246"/>
      <c r="V164" s="246"/>
      <c r="W164" s="246"/>
      <c r="BA164"/>
      <c r="BB164"/>
    </row>
    <row r="165" spans="1:54" s="191" customFormat="1" ht="13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31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">
      <c r="A166" s="226"/>
      <c r="B166" s="180">
        <v>5005046281</v>
      </c>
      <c r="C166" s="183" t="str">
        <f>IFERROR(IF(VLOOKUP($B166,勘定科目!$A:$H,HLOOKUP($E$5,勘定科目!$F$1:$H$2,2,0),0)="","",VLOOKUP($B166,勘定科目!$A:$E,2,0)),"")</f>
        <v>機械設備修繕費（製）</v>
      </c>
      <c r="D166" s="239" t="str">
        <f>IF(C166="","",VLOOKUP($B166,勘定科目!$A:$E,4,0))</f>
        <v>修繕費</v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31"/>
        <v>0</v>
      </c>
      <c r="S166" s="201" t="s">
        <v>778</v>
      </c>
      <c r="T166" s="202"/>
      <c r="U166" s="246"/>
      <c r="V166" s="246"/>
      <c r="W166" s="246"/>
      <c r="BA166"/>
      <c r="BB166"/>
    </row>
    <row r="167" spans="1:54" s="191" customFormat="1" ht="13">
      <c r="A167" s="226"/>
      <c r="B167" s="180">
        <v>5005046282</v>
      </c>
      <c r="C167" s="183" t="str">
        <f>IFERROR(IF(VLOOKUP($B167,勘定科目!$A:$H,HLOOKUP($E$5,勘定科目!$F$1:$H$2,2,0),0)="","",VLOOKUP($B167,勘定科目!$A:$E,2,0)),"")</f>
        <v>その他修繕費（製）</v>
      </c>
      <c r="D167" s="239" t="str">
        <f>IF(C167="","",VLOOKUP($B167,勘定科目!$A:$E,4,0))</f>
        <v>修繕費</v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31"/>
        <v>0</v>
      </c>
      <c r="S167" s="201" t="s">
        <v>778</v>
      </c>
      <c r="T167" s="202"/>
      <c r="U167" s="246"/>
      <c r="V167" s="246"/>
      <c r="W167" s="246"/>
      <c r="BA167"/>
      <c r="BB167"/>
    </row>
    <row r="168" spans="1:54" s="191" customFormat="1" ht="13">
      <c r="A168" s="226"/>
      <c r="B168" s="180">
        <v>5005026371</v>
      </c>
      <c r="C168" s="183" t="str">
        <f>IFERROR(IF(VLOOKUP($B168,勘定科目!$A:$H,HLOOKUP($E$5,勘定科目!$F$1:$H$2,2,0),0)="","",VLOOKUP($B168,勘定科目!$A:$E,2,0)),"")</f>
        <v>消耗工具器具備品費（製）</v>
      </c>
      <c r="D168" s="239" t="str">
        <f>IF(C168="","",VLOOKUP($B168,勘定科目!$A:$E,4,0))</f>
        <v>消耗工具器具備品費</v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31"/>
        <v>0</v>
      </c>
      <c r="S168" s="201" t="s">
        <v>778</v>
      </c>
      <c r="T168" s="202"/>
      <c r="U168" s="246"/>
      <c r="V168" s="246"/>
      <c r="W168" s="246"/>
      <c r="BA168"/>
      <c r="BB168"/>
    </row>
    <row r="169" spans="1:54" s="191" customFormat="1" ht="13">
      <c r="A169" s="226"/>
      <c r="B169" s="180">
        <v>5005076282</v>
      </c>
      <c r="C169" s="183" t="str">
        <f>IFERROR(IF(VLOOKUP($B169,勘定科目!$A:$H,HLOOKUP($E$5,勘定科目!$F$1:$H$2,2,0),0)="","",VLOOKUP($B169,勘定科目!$A:$E,2,0)),"")</f>
        <v>設備輸送費（製）</v>
      </c>
      <c r="D169" s="239" t="str">
        <f>IF(C169="","",VLOOKUP($B169,勘定科目!$A:$E,4,0))</f>
        <v>荷造運賃</v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31"/>
        <v>0</v>
      </c>
      <c r="S169" s="201" t="s">
        <v>778</v>
      </c>
      <c r="T169" s="202"/>
      <c r="U169" s="246"/>
      <c r="V169" s="246"/>
      <c r="W169" s="246"/>
      <c r="BA169"/>
      <c r="BB169"/>
    </row>
    <row r="170" spans="1:54" s="191" customFormat="1" ht="13">
      <c r="A170" s="226"/>
      <c r="B170" s="180">
        <v>5005246286</v>
      </c>
      <c r="C170" s="183" t="str">
        <f>IFERROR(IF(VLOOKUP($B170,勘定科目!$A:$H,HLOOKUP($E$5,勘定科目!$F$1:$H$2,2,0),0)="","",VLOOKUP($B170,勘定科目!$A:$E,2,0)),"")</f>
        <v>その他手数料（製）</v>
      </c>
      <c r="D170" s="239" t="str">
        <f>IF(C170="","",VLOOKUP($B170,勘定科目!$A:$E,4,0))</f>
        <v>手数料</v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31"/>
        <v>0</v>
      </c>
      <c r="S170" s="201" t="s">
        <v>778</v>
      </c>
      <c r="T170" s="202"/>
      <c r="U170" s="246"/>
      <c r="V170" s="246"/>
      <c r="W170" s="246"/>
      <c r="BA170"/>
      <c r="BB170"/>
    </row>
    <row r="171" spans="1:54" s="191" customFormat="1" ht="13">
      <c r="A171" s="226"/>
      <c r="B171" s="180">
        <v>5005046283</v>
      </c>
      <c r="C171" s="183" t="str">
        <f>IFERROR(IF(VLOOKUP($B171,勘定科目!$A:$H,HLOOKUP($E$5,勘定科目!$F$1:$H$2,2,0),0)="","",VLOOKUP($B171,勘定科目!$A:$E,2,0)),"")</f>
        <v>年間保守料（製）</v>
      </c>
      <c r="D171" s="239" t="str">
        <f>IF(C171="","",VLOOKUP($B171,勘定科目!$A:$E,4,0))</f>
        <v>修繕費</v>
      </c>
      <c r="E171" s="245"/>
      <c r="F171" s="194">
        <v>0</v>
      </c>
      <c r="G171" s="247">
        <v>0</v>
      </c>
      <c r="H171" s="247">
        <v>0</v>
      </c>
      <c r="I171" s="247">
        <v>0</v>
      </c>
      <c r="J171" s="247">
        <v>0</v>
      </c>
      <c r="K171" s="247">
        <v>0</v>
      </c>
      <c r="L171" s="247">
        <v>0</v>
      </c>
      <c r="M171" s="247">
        <v>0</v>
      </c>
      <c r="N171" s="247">
        <v>350000000</v>
      </c>
      <c r="O171" s="247">
        <v>0</v>
      </c>
      <c r="P171" s="247">
        <v>0</v>
      </c>
      <c r="Q171" s="247">
        <v>0</v>
      </c>
      <c r="R171" s="200">
        <f t="shared" si="31"/>
        <v>350000000</v>
      </c>
      <c r="S171" s="201" t="s">
        <v>779</v>
      </c>
      <c r="T171" s="202"/>
      <c r="U171" s="246"/>
      <c r="V171" s="246"/>
      <c r="W171" s="246"/>
      <c r="BA171"/>
      <c r="BB171"/>
    </row>
    <row r="172" spans="1:54" s="191" customFormat="1" ht="13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31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">
      <c r="A173" s="226"/>
      <c r="B173" s="180">
        <v>5005116292</v>
      </c>
      <c r="C173" s="183" t="str">
        <f>IFERROR(IF(VLOOKUP($B173,勘定科目!$A:$H,HLOOKUP($E$5,勘定科目!$F$1:$H$2,2,0),0)="","",VLOOKUP($B173,勘定科目!$A:$E,2,0)),"")</f>
        <v>海外渡航費（製）</v>
      </c>
      <c r="D173" s="239" t="str">
        <f>IF(C173="","",VLOOKUP($B173,勘定科目!$A:$E,4,0))</f>
        <v>渡航費</v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31"/>
        <v>0</v>
      </c>
      <c r="S173" s="201" t="s">
        <v>780</v>
      </c>
      <c r="T173" s="202"/>
      <c r="U173" s="246"/>
      <c r="V173" s="246"/>
      <c r="W173" s="246"/>
      <c r="BA173"/>
      <c r="BB173"/>
    </row>
    <row r="174" spans="1:54" s="191" customFormat="1" ht="13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31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">
      <c r="A175" s="226"/>
      <c r="B175" s="180">
        <v>9114120006</v>
      </c>
      <c r="C175" s="183" t="str">
        <f>IFERROR(IF(VLOOKUP($B175,勘定科目!$A:$H,HLOOKUP($E$5,勘定科目!$F$1:$H$2,2,0),0)="","",VLOOKUP($B175,勘定科目!$A:$E,2,0)),"")</f>
        <v>材料費(指図出庫）</v>
      </c>
      <c r="D175" s="239" t="str">
        <f>IF(C175="","",VLOOKUP($B175,勘定科目!$A:$E,4,0))</f>
        <v>材料費</v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31"/>
        <v>0</v>
      </c>
      <c r="S175" s="201" t="s">
        <v>781</v>
      </c>
      <c r="T175" s="202"/>
      <c r="U175" s="246"/>
      <c r="V175" s="246"/>
      <c r="W175" s="246"/>
      <c r="BA175"/>
      <c r="BB175"/>
    </row>
    <row r="176" spans="1:54" s="191" customFormat="1" ht="13">
      <c r="A176" s="226"/>
      <c r="B176" s="180">
        <v>5005116291</v>
      </c>
      <c r="C176" s="183" t="str">
        <f>IFERROR(IF(VLOOKUP($B176,勘定科目!$A:$H,HLOOKUP($E$5,勘定科目!$F$1:$H$2,2,0),0)="","",VLOOKUP($B176,勘定科目!$A:$E,2,0)),"")</f>
        <v>ベトナム国内交通費（製）</v>
      </c>
      <c r="D176" s="239" t="str">
        <f>IF(C176="","",VLOOKUP($B176,勘定科目!$A:$E,4,0))</f>
        <v>旅費交通費</v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31"/>
        <v>0</v>
      </c>
      <c r="S176" s="201" t="s">
        <v>782</v>
      </c>
      <c r="T176" s="202"/>
      <c r="U176" s="246"/>
      <c r="V176" s="246"/>
      <c r="W176" s="246"/>
      <c r="BA176"/>
      <c r="BB176"/>
    </row>
    <row r="177" spans="1:54" s="191" customFormat="1" ht="13">
      <c r="A177" s="226"/>
      <c r="B177" s="180">
        <v>5004086293</v>
      </c>
      <c r="C177" s="183" t="str">
        <f>IFERROR(IF(VLOOKUP($B177,勘定科目!$A:$H,HLOOKUP($E$5,勘定科目!$F$1:$H$2,2,0),0)="","",VLOOKUP($B177,勘定科目!$A:$E,2,0)),"")</f>
        <v>教育訓練費（製）</v>
      </c>
      <c r="D177" s="239" t="str">
        <f>IF(C177="","",VLOOKUP($B177,勘定科目!$A:$E,4,0))</f>
        <v>募集教育費</v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31"/>
        <v>0</v>
      </c>
      <c r="S177" s="201" t="s">
        <v>783</v>
      </c>
      <c r="T177" s="202"/>
      <c r="U177" s="246"/>
      <c r="V177" s="246"/>
      <c r="W177" s="246"/>
      <c r="BA177"/>
      <c r="BB177"/>
    </row>
    <row r="178" spans="1:54" s="191" customFormat="1" ht="13">
      <c r="A178" s="226"/>
      <c r="B178" s="300">
        <v>5005246286</v>
      </c>
      <c r="C178" s="183" t="str">
        <f>IFERROR(IF(VLOOKUP($B178,勘定科目!$A:$H,HLOOKUP($E$5,勘定科目!$F$1:$H$2,2,0),0)="","",VLOOKUP($B178,勘定科目!$A:$E,2,0)),"")</f>
        <v>その他手数料（製）</v>
      </c>
      <c r="D178" s="239" t="str">
        <f>IF(C178="","",VLOOKUP($B178,勘定科目!$A:$E,4,0))</f>
        <v>手数料</v>
      </c>
      <c r="E178" s="245"/>
      <c r="F178" s="194">
        <v>2369500</v>
      </c>
      <c r="G178" s="247">
        <v>3700000</v>
      </c>
      <c r="H178" s="247">
        <v>3700000</v>
      </c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31"/>
        <v>9769500</v>
      </c>
      <c r="S178" s="201" t="s">
        <v>787</v>
      </c>
      <c r="T178" s="202"/>
      <c r="U178" s="246"/>
      <c r="V178" s="246"/>
      <c r="W178" s="246"/>
      <c r="BA178"/>
      <c r="BB178"/>
    </row>
    <row r="179" spans="1:54" s="191" customFormat="1" ht="13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31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31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31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31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si="31"/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ref="R184:R247" si="32">SUM(F184:Q184)</f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32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32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32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32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32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32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32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32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32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32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32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32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32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32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32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32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32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32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32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32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32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32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32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32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32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32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32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32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32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32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32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32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32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32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32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32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32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32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32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32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32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32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32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32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32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32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32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32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32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32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32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32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32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32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32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32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32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32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32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32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32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32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si="32"/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ref="R248:R311" si="33">SUM(F248:Q248)</f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33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33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33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33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33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33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33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33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33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33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33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33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33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33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33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33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33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33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33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33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33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33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33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33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33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33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33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33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33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33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33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33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33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33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33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33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33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33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33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33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33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33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33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33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33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33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33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33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33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33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33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33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33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33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33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33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33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33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33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33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33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33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si="33"/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ref="R312:R375" si="34">SUM(F312:Q312)</f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34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34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34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34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34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">
      <c r="A318" s="226"/>
      <c r="B318" s="180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194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00">
        <f t="shared" si="34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34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34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34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34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34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34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34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34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34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34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34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34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34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34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34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34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34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34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34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34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34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34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34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34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34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34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34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34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34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34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34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34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34"/>
        <v>0</v>
      </c>
      <c r="S351" s="201" t="s">
        <v>784</v>
      </c>
      <c r="T351" s="202"/>
      <c r="U351" s="246"/>
      <c r="V351" s="246"/>
      <c r="W351" s="246"/>
      <c r="BA351"/>
      <c r="BB351"/>
    </row>
    <row r="352" spans="1:54" s="191" customFormat="1" ht="13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34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34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34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34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34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34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34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34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34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34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34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34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34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34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34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34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34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34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34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34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34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34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34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si="34"/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ref="R376:R439" si="35">SUM(F376:Q376)</f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35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35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35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35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35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35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35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35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35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35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35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35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35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35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35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35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35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35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35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35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35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35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35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35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35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35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35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35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35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35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35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35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35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35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35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35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35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35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35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35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35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35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35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35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35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35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35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35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35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35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35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35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35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35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35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35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35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35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35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35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35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35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si="35"/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ref="R440:R503" si="36">SUM(F440:Q440)</f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36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36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36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36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36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36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36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36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36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36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36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36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36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36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36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36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36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36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36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36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36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36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36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36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36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36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36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36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36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36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36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36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36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36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36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36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36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36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36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36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36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36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36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36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36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36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36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36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36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36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36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36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36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36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36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36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36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36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36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36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36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36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si="36"/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ref="R504:R567" si="37">SUM(F504:Q504)</f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37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37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37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37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37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37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37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37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37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37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37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37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37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37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37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37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37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37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37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37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37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37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37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37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37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37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37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37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37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37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37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37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37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37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37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37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37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37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37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37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37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37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37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37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37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37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37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37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37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37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37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37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37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37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37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37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37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37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37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37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37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37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si="37"/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ref="R568:R631" si="38">SUM(F568:Q568)</f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38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38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38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38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38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38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38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38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38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38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38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38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38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38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38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38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38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38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38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38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38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38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38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38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38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38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38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38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38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38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38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38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38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38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38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38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38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38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38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38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38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38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38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38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38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38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38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38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38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38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38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38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38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38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38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38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38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38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38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38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38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38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si="38"/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ref="R632:R695" si="39">SUM(F632:Q632)</f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39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39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39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39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39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39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39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39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39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39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39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39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39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39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39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39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39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39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39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39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39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39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39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39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39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39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39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39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39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39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39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39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39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39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39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39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39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39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39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39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39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39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39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39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39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39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39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39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39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39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39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39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39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39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39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39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39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39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39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39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39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39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si="39"/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ref="R696:R759" si="40">SUM(F696:Q696)</f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40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40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40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40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40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40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40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40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40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40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40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40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40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40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40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40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40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40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40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40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40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40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40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40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40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40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40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40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40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40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40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40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40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40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40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40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40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40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40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40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40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40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40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40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40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40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40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40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40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40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40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40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40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40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40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40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40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40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40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40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40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40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si="40"/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ref="R760:R800" si="41">SUM(F760:Q760)</f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41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41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41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41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41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41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41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41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41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41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41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41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41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41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41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41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41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41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41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41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41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41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41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41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41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41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41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41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41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41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41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41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41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41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41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41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41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41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41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>
        <f t="shared" si="41"/>
        <v>0</v>
      </c>
      <c r="S800" s="201"/>
      <c r="T800" s="202"/>
      <c r="U800" s="246"/>
      <c r="V800" s="246"/>
      <c r="W800" s="246"/>
      <c r="BA800"/>
      <c r="BB800"/>
    </row>
    <row r="801" spans="1:54" s="191" customFormat="1" ht="13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  <row r="1001" spans="1:54" s="191" customFormat="1" ht="13">
      <c r="A1001" s="182"/>
      <c r="B1001" s="178"/>
      <c r="C1001" s="183" t="str">
        <f>IFERROR(IF(VLOOKUP($B1001,勘定科目!$A:$H,HLOOKUP($E$5,勘定科目!$F$1:$H$2,2,0),0)="","",VLOOKUP($B1001,勘定科目!$A:$E,2,0)),"")</f>
        <v/>
      </c>
      <c r="D1001" s="239" t="str">
        <f>IF(C1001="","",VLOOKUP($B1001,勘定科目!$A:$E,4,0))</f>
        <v/>
      </c>
      <c r="E1001" s="245"/>
      <c r="F1001" s="240"/>
      <c r="G1001" s="241"/>
      <c r="H1001" s="241"/>
      <c r="I1001" s="241"/>
      <c r="J1001" s="241"/>
      <c r="K1001" s="241"/>
      <c r="L1001" s="241"/>
      <c r="M1001" s="241"/>
      <c r="N1001" s="241"/>
      <c r="O1001" s="241"/>
      <c r="P1001" s="241"/>
      <c r="Q1001" s="241"/>
      <c r="R1001" s="200"/>
      <c r="S1001" s="201"/>
      <c r="T1001" s="202"/>
      <c r="U1001" s="246"/>
      <c r="V1001" s="246"/>
      <c r="W1001" s="246"/>
      <c r="BA1001"/>
      <c r="BB1001"/>
    </row>
  </sheetData>
  <autoFilter ref="A7:T800" xr:uid="{789631EA-7763-41C2-9ED8-219A64AF8305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00" xr:uid="{93F94DC0-5788-4392-8042-9C75A4A02FC2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5D94E-26AD-4E5C-A59B-D9EECDA88FC7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"/>
  <cols>
    <col min="1" max="1" width="3.08984375" style="48" customWidth="1"/>
    <col min="2" max="2" width="12.453125" style="48" customWidth="1"/>
    <col min="3" max="3" width="25.08984375" style="48" customWidth="1"/>
    <col min="4" max="4" width="37.26953125" style="48" customWidth="1"/>
    <col min="5" max="18" width="14.08984375" style="48" customWidth="1"/>
    <col min="19" max="19" width="12.7265625" style="57" customWidth="1"/>
    <col min="20" max="16384" width="9" style="48"/>
  </cols>
  <sheetData>
    <row r="1" spans="2:19" ht="16.5">
      <c r="B1" s="53" t="s">
        <v>328</v>
      </c>
      <c r="D1" s="54" t="str">
        <f>'内訳ﾘｽﾄ(4～3月)'!C5</f>
        <v>機器製造1課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6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641</v>
      </c>
      <c r="R3" s="290" t="s">
        <v>642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D7686BE9-281D-4CD2-A253-8412704F61C5}"/>
  <phoneticPr fontId="3"/>
  <dataValidations count="1">
    <dataValidation type="list" allowBlank="1" showInputMessage="1" showErrorMessage="1" sqref="S4:S49" xr:uid="{5B5414CF-15E3-4E81-B013-F72AB89DB9C5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C9244-FEDB-4B10-8E2F-2ED7541A5DF0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"/>
  <cols>
    <col min="1" max="1" width="15.36328125" style="106" bestFit="1" customWidth="1"/>
    <col min="2" max="2" width="34.7265625" style="107" bestFit="1" customWidth="1"/>
    <col min="3" max="3" width="32.6328125" style="107" bestFit="1" customWidth="1"/>
    <col min="4" max="4" width="18" style="107" bestFit="1" customWidth="1"/>
    <col min="5" max="5" width="32.6328125" style="107" bestFit="1" customWidth="1"/>
    <col min="6" max="7" width="8.36328125" style="107" bestFit="1" customWidth="1"/>
    <col min="8" max="8" width="9" style="106"/>
    <col min="9" max="9" width="41.26953125" style="107" bestFit="1" customWidth="1"/>
    <col min="10" max="16384" width="9" style="107"/>
  </cols>
  <sheetData>
    <row r="1" spans="1:9" s="84" customFormat="1" ht="11.5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459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460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461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462</v>
      </c>
      <c r="G6" s="108"/>
      <c r="H6" s="108"/>
      <c r="I6" t="s">
        <v>444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463</v>
      </c>
      <c r="G7" s="108">
        <v>5001016134</v>
      </c>
      <c r="H7" s="108">
        <v>5001016134</v>
      </c>
      <c r="I7" t="s">
        <v>445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464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465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466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684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467</v>
      </c>
      <c r="G12" s="108"/>
      <c r="H12" s="108"/>
      <c r="I12" t="s">
        <v>446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468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469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470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471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472</v>
      </c>
      <c r="G17" s="108"/>
      <c r="H17" s="108"/>
      <c r="I17" t="s">
        <v>446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473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474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475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476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477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478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479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480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481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482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483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484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485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486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487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488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489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490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491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492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493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494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495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496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497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498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499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500</v>
      </c>
      <c r="G45" s="108"/>
      <c r="H45" s="108"/>
      <c r="I45" t="s">
        <v>446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501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502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503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504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505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506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507</v>
      </c>
      <c r="G52" s="108"/>
      <c r="H52" s="108"/>
      <c r="I52"/>
    </row>
    <row r="53" spans="1:9" s="84" customFormat="1">
      <c r="A53" s="105">
        <v>5005076285</v>
      </c>
      <c r="B53" s="297" t="s">
        <v>589</v>
      </c>
      <c r="C53" t="s">
        <v>31</v>
      </c>
      <c r="D53" t="s">
        <v>61</v>
      </c>
      <c r="E53" t="s">
        <v>361</v>
      </c>
      <c r="F53" s="108" t="s">
        <v>508</v>
      </c>
      <c r="G53" s="108"/>
      <c r="H53" s="108"/>
      <c r="I53"/>
    </row>
    <row r="54" spans="1:9" s="84" customFormat="1">
      <c r="A54" s="105">
        <v>5005076286</v>
      </c>
      <c r="B54" s="297" t="s">
        <v>590</v>
      </c>
      <c r="C54" t="s">
        <v>31</v>
      </c>
      <c r="D54" t="s">
        <v>61</v>
      </c>
      <c r="E54" t="s">
        <v>361</v>
      </c>
      <c r="F54" s="108" t="s">
        <v>509</v>
      </c>
      <c r="G54" s="108"/>
      <c r="H54" s="108"/>
      <c r="I54"/>
    </row>
    <row r="55" spans="1:9" s="84" customFormat="1">
      <c r="A55" s="105">
        <v>5005076287</v>
      </c>
      <c r="B55" s="297" t="s">
        <v>675</v>
      </c>
      <c r="C55" t="s">
        <v>31</v>
      </c>
      <c r="D55" t="s">
        <v>61</v>
      </c>
      <c r="E55" t="s">
        <v>361</v>
      </c>
      <c r="F55" s="108" t="s">
        <v>510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511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512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513</v>
      </c>
      <c r="G58" s="108"/>
      <c r="H58" s="108"/>
      <c r="I58" t="s">
        <v>446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514</v>
      </c>
      <c r="G59" s="108"/>
      <c r="H59" s="108"/>
      <c r="I59" t="s">
        <v>446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515</v>
      </c>
      <c r="G60" s="108"/>
      <c r="H60" s="108"/>
      <c r="I60" t="s">
        <v>446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516</v>
      </c>
      <c r="G61" s="108"/>
      <c r="H61" s="108"/>
      <c r="I61" t="s">
        <v>446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517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518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519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520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521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522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523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524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525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526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527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528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529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530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531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532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533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534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535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685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536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686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687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537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538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688</v>
      </c>
      <c r="G87" s="108"/>
      <c r="H87" s="108"/>
      <c r="I87" t="s">
        <v>447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539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540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541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542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689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446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543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544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545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546</v>
      </c>
      <c r="G133" s="108">
        <v>6003036554</v>
      </c>
      <c r="H133" s="108">
        <v>6003036554</v>
      </c>
      <c r="I133" t="s">
        <v>446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547</v>
      </c>
      <c r="G134" s="108">
        <v>6003036555</v>
      </c>
      <c r="H134" s="108">
        <v>6003036555</v>
      </c>
      <c r="I134" t="s">
        <v>446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548</v>
      </c>
      <c r="G135" s="108">
        <v>6003036556</v>
      </c>
      <c r="H135" s="108">
        <v>6003036556</v>
      </c>
      <c r="I135" t="s">
        <v>446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549</v>
      </c>
      <c r="G136" s="108">
        <v>6003036557</v>
      </c>
      <c r="H136" s="108">
        <v>6003036557</v>
      </c>
      <c r="I136" t="s">
        <v>446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550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551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445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446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443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447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552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553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554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555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556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557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558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559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560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561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562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563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564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565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566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567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568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569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570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571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676</v>
      </c>
      <c r="C239"/>
      <c r="D239" t="s">
        <v>676</v>
      </c>
      <c r="E239" t="s">
        <v>397</v>
      </c>
      <c r="F239" s="108" t="s">
        <v>572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677</v>
      </c>
      <c r="C240"/>
      <c r="D240" t="s">
        <v>677</v>
      </c>
      <c r="E240" t="s">
        <v>398</v>
      </c>
      <c r="F240" s="108" t="s">
        <v>573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500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472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467</v>
      </c>
      <c r="G244" s="107"/>
      <c r="H244" s="108"/>
      <c r="I244" s="107"/>
    </row>
    <row r="245" spans="1:9">
      <c r="A245" s="106">
        <v>6006016630</v>
      </c>
      <c r="B245" s="107" t="s">
        <v>673</v>
      </c>
      <c r="C245" s="107" t="s">
        <v>674</v>
      </c>
      <c r="D245" s="107" t="s">
        <v>45</v>
      </c>
      <c r="E245" s="107" t="s">
        <v>356</v>
      </c>
      <c r="G245" s="107">
        <v>6006016630</v>
      </c>
    </row>
  </sheetData>
  <autoFilter ref="A1:I244" xr:uid="{8648F6A0-0324-4F9E-892F-9628614F2FED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78C4-2DFE-4333-863E-E1208652329B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"/>
  <cols>
    <col min="1" max="1" width="11.6328125" style="294" bestFit="1" customWidth="1"/>
    <col min="2" max="2" width="19" style="291" bestFit="1" customWidth="1"/>
    <col min="3" max="3" width="3.90625" style="292" bestFit="1" customWidth="1"/>
    <col min="4" max="4" width="10.26953125" style="291" bestFit="1" customWidth="1"/>
    <col min="5" max="5" width="9" style="291"/>
    <col min="6" max="6" width="10.90625" style="291" bestFit="1" customWidth="1"/>
    <col min="7" max="7" width="19.453125" style="291" bestFit="1" customWidth="1"/>
    <col min="8" max="8" width="9" style="291"/>
    <col min="9" max="9" width="13.45312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663</v>
      </c>
      <c r="C2" s="292" t="s">
        <v>591</v>
      </c>
      <c r="D2" s="291" t="s">
        <v>159</v>
      </c>
      <c r="E2" s="291" t="s">
        <v>159</v>
      </c>
      <c r="G2" s="291" t="s">
        <v>638</v>
      </c>
    </row>
    <row r="3" spans="1:7">
      <c r="A3" s="295">
        <v>1412000005</v>
      </c>
      <c r="B3" s="293" t="s">
        <v>664</v>
      </c>
      <c r="C3" s="292" t="s">
        <v>592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644</v>
      </c>
      <c r="C4" s="292" t="s">
        <v>594</v>
      </c>
      <c r="D4" s="291" t="s">
        <v>442</v>
      </c>
      <c r="E4" s="291" t="s">
        <v>159</v>
      </c>
    </row>
    <row r="5" spans="1:7">
      <c r="A5" s="295">
        <v>1412000034</v>
      </c>
      <c r="B5" s="293" t="s">
        <v>420</v>
      </c>
      <c r="C5" s="292" t="s">
        <v>597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419</v>
      </c>
      <c r="C6" s="292" t="s">
        <v>598</v>
      </c>
      <c r="D6" s="291" t="s">
        <v>442</v>
      </c>
      <c r="E6" s="291" t="s">
        <v>159</v>
      </c>
    </row>
    <row r="7" spans="1:7">
      <c r="A7" s="294">
        <v>1412000055</v>
      </c>
      <c r="B7" s="291" t="s">
        <v>657</v>
      </c>
      <c r="C7" s="292" t="s">
        <v>599</v>
      </c>
      <c r="D7" s="291" t="s">
        <v>442</v>
      </c>
      <c r="E7" s="291" t="s">
        <v>159</v>
      </c>
    </row>
    <row r="8" spans="1:7">
      <c r="A8" s="295">
        <v>1412000050</v>
      </c>
      <c r="B8" s="293" t="s">
        <v>617</v>
      </c>
      <c r="C8" s="292" t="s">
        <v>618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619</v>
      </c>
      <c r="C9" s="292" t="s">
        <v>620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580</v>
      </c>
      <c r="C10" s="292" t="s">
        <v>595</v>
      </c>
      <c r="D10" s="291" t="s">
        <v>442</v>
      </c>
      <c r="E10" s="291" t="s">
        <v>159</v>
      </c>
    </row>
    <row r="11" spans="1:7">
      <c r="A11" s="295">
        <v>1412000008</v>
      </c>
      <c r="B11" s="293" t="s">
        <v>430</v>
      </c>
      <c r="C11" s="292" t="s">
        <v>604</v>
      </c>
      <c r="D11" s="291" t="s">
        <v>442</v>
      </c>
      <c r="E11" s="291" t="s">
        <v>159</v>
      </c>
    </row>
    <row r="12" spans="1:7">
      <c r="A12" s="295">
        <v>1412000010</v>
      </c>
      <c r="B12" s="293" t="s">
        <v>428</v>
      </c>
      <c r="C12" s="292" t="s">
        <v>605</v>
      </c>
      <c r="D12" s="291" t="s">
        <v>574</v>
      </c>
      <c r="E12" s="291" t="s">
        <v>159</v>
      </c>
    </row>
    <row r="13" spans="1:7">
      <c r="A13" s="295">
        <v>1412000054</v>
      </c>
      <c r="B13" s="293" t="s">
        <v>421</v>
      </c>
      <c r="C13" s="292" t="s">
        <v>606</v>
      </c>
      <c r="D13" s="291" t="s">
        <v>574</v>
      </c>
      <c r="E13" s="291" t="s">
        <v>159</v>
      </c>
    </row>
    <row r="14" spans="1:7">
      <c r="A14" s="295">
        <v>1412000036</v>
      </c>
      <c r="B14" s="293" t="s">
        <v>643</v>
      </c>
      <c r="C14" s="292" t="s">
        <v>609</v>
      </c>
      <c r="D14" s="291" t="s">
        <v>442</v>
      </c>
      <c r="E14" s="291" t="s">
        <v>159</v>
      </c>
    </row>
    <row r="15" spans="1:7">
      <c r="A15" s="295">
        <v>1412000006</v>
      </c>
      <c r="B15" s="293" t="s">
        <v>422</v>
      </c>
      <c r="C15" s="292" t="s">
        <v>612</v>
      </c>
      <c r="D15" s="291" t="s">
        <v>574</v>
      </c>
      <c r="E15" s="291" t="s">
        <v>159</v>
      </c>
    </row>
    <row r="16" spans="1:7">
      <c r="A16" s="295">
        <v>1412000039</v>
      </c>
      <c r="B16" s="293" t="s">
        <v>423</v>
      </c>
      <c r="C16" s="292" t="s">
        <v>613</v>
      </c>
      <c r="D16" s="291" t="s">
        <v>574</v>
      </c>
      <c r="E16" s="291" t="s">
        <v>159</v>
      </c>
    </row>
    <row r="17" spans="1:5">
      <c r="A17" s="295">
        <v>1412000040</v>
      </c>
      <c r="B17" s="293" t="s">
        <v>441</v>
      </c>
      <c r="C17" s="292" t="s">
        <v>614</v>
      </c>
      <c r="D17" s="291" t="s">
        <v>574</v>
      </c>
      <c r="E17" s="291" t="s">
        <v>159</v>
      </c>
    </row>
    <row r="18" spans="1:5">
      <c r="A18" s="294">
        <v>1412000013</v>
      </c>
      <c r="B18" s="293" t="s">
        <v>665</v>
      </c>
      <c r="C18" s="292" t="s">
        <v>607</v>
      </c>
      <c r="D18" s="291" t="s">
        <v>574</v>
      </c>
      <c r="E18" s="291" t="s">
        <v>159</v>
      </c>
    </row>
    <row r="19" spans="1:5">
      <c r="A19" s="294">
        <v>1412000080</v>
      </c>
      <c r="B19" s="293" t="s">
        <v>438</v>
      </c>
      <c r="C19" s="292" t="s">
        <v>603</v>
      </c>
      <c r="D19" s="291" t="s">
        <v>574</v>
      </c>
      <c r="E19" s="291" t="s">
        <v>159</v>
      </c>
    </row>
    <row r="20" spans="1:5">
      <c r="A20" s="294">
        <v>1412000044</v>
      </c>
      <c r="B20" s="293" t="s">
        <v>440</v>
      </c>
      <c r="C20" s="292" t="s">
        <v>602</v>
      </c>
      <c r="D20" s="291" t="s">
        <v>442</v>
      </c>
      <c r="E20" s="291" t="s">
        <v>159</v>
      </c>
    </row>
    <row r="21" spans="1:5">
      <c r="A21" s="295">
        <v>1412000056</v>
      </c>
      <c r="B21" s="293" t="s">
        <v>439</v>
      </c>
      <c r="C21" s="292" t="s">
        <v>601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426</v>
      </c>
      <c r="C22" s="292" t="s">
        <v>624</v>
      </c>
      <c r="D22" s="291" t="s">
        <v>575</v>
      </c>
      <c r="E22" s="291" t="s">
        <v>159</v>
      </c>
    </row>
    <row r="23" spans="1:5">
      <c r="A23" s="295">
        <v>1412000019</v>
      </c>
      <c r="B23" s="293" t="s">
        <v>586</v>
      </c>
      <c r="C23" s="292" t="s">
        <v>625</v>
      </c>
      <c r="D23" s="291" t="s">
        <v>575</v>
      </c>
      <c r="E23" s="291" t="s">
        <v>159</v>
      </c>
    </row>
    <row r="24" spans="1:5">
      <c r="A24" s="295">
        <v>1412000058</v>
      </c>
      <c r="B24" s="293" t="s">
        <v>431</v>
      </c>
      <c r="C24" s="292" t="s">
        <v>626</v>
      </c>
      <c r="D24" s="291" t="s">
        <v>575</v>
      </c>
      <c r="E24" s="291" t="s">
        <v>159</v>
      </c>
    </row>
    <row r="25" spans="1:5">
      <c r="A25" s="295">
        <v>1412000042</v>
      </c>
      <c r="B25" s="293" t="s">
        <v>432</v>
      </c>
      <c r="C25" s="292" t="s">
        <v>627</v>
      </c>
      <c r="D25" s="291" t="s">
        <v>575</v>
      </c>
      <c r="E25" s="291" t="s">
        <v>159</v>
      </c>
    </row>
    <row r="26" spans="1:5">
      <c r="A26" s="295">
        <v>1412000021</v>
      </c>
      <c r="B26" s="293" t="s">
        <v>433</v>
      </c>
      <c r="C26" s="292" t="s">
        <v>628</v>
      </c>
      <c r="D26" s="291" t="s">
        <v>575</v>
      </c>
      <c r="E26" s="291" t="s">
        <v>159</v>
      </c>
    </row>
    <row r="27" spans="1:5">
      <c r="A27" s="295">
        <v>1412000022</v>
      </c>
      <c r="B27" s="293" t="s">
        <v>437</v>
      </c>
      <c r="C27" s="292" t="s">
        <v>630</v>
      </c>
      <c r="D27" s="291" t="s">
        <v>575</v>
      </c>
      <c r="E27" s="291" t="s">
        <v>159</v>
      </c>
    </row>
    <row r="28" spans="1:5">
      <c r="A28" s="295">
        <v>1412000024</v>
      </c>
      <c r="B28" s="293" t="s">
        <v>435</v>
      </c>
      <c r="C28" s="292" t="s">
        <v>631</v>
      </c>
      <c r="D28" s="291" t="s">
        <v>576</v>
      </c>
      <c r="E28" s="291" t="s">
        <v>160</v>
      </c>
    </row>
    <row r="29" spans="1:5">
      <c r="A29" s="295">
        <v>1412000025</v>
      </c>
      <c r="B29" s="293" t="s">
        <v>424</v>
      </c>
      <c r="C29" s="292" t="s">
        <v>632</v>
      </c>
      <c r="D29" s="291" t="s">
        <v>576</v>
      </c>
      <c r="E29" s="291" t="s">
        <v>160</v>
      </c>
    </row>
    <row r="30" spans="1:5">
      <c r="A30" s="295">
        <v>1412000026</v>
      </c>
      <c r="B30" s="293" t="s">
        <v>429</v>
      </c>
      <c r="C30" s="292" t="s">
        <v>633</v>
      </c>
      <c r="D30" s="291" t="s">
        <v>576</v>
      </c>
      <c r="E30" s="291" t="s">
        <v>160</v>
      </c>
    </row>
    <row r="31" spans="1:5">
      <c r="A31" s="295">
        <v>1412000028</v>
      </c>
      <c r="B31" s="293" t="s">
        <v>425</v>
      </c>
      <c r="C31" s="292" t="s">
        <v>634</v>
      </c>
      <c r="D31" s="291" t="s">
        <v>576</v>
      </c>
      <c r="E31" s="291" t="s">
        <v>160</v>
      </c>
    </row>
    <row r="32" spans="1:5">
      <c r="A32" s="295">
        <v>1412000029</v>
      </c>
      <c r="B32" s="293" t="s">
        <v>434</v>
      </c>
      <c r="C32" s="292" t="s">
        <v>635</v>
      </c>
      <c r="D32" s="291" t="s">
        <v>576</v>
      </c>
      <c r="E32" s="291" t="s">
        <v>160</v>
      </c>
    </row>
    <row r="33" spans="1:5">
      <c r="A33" s="295">
        <v>1412000030</v>
      </c>
      <c r="B33" s="293" t="s">
        <v>436</v>
      </c>
      <c r="C33" s="292" t="s">
        <v>636</v>
      </c>
      <c r="D33" s="291" t="s">
        <v>576</v>
      </c>
      <c r="E33" s="291" t="s">
        <v>161</v>
      </c>
    </row>
    <row r="34" spans="1:5">
      <c r="A34" s="295">
        <v>1412000086</v>
      </c>
      <c r="B34" s="293" t="s">
        <v>427</v>
      </c>
      <c r="C34" s="292" t="s">
        <v>637</v>
      </c>
      <c r="D34" s="291" t="s">
        <v>576</v>
      </c>
      <c r="E34" s="291" t="s">
        <v>160</v>
      </c>
    </row>
    <row r="35" spans="1:5">
      <c r="A35" s="295">
        <v>1412000063</v>
      </c>
      <c r="B35" s="293" t="s">
        <v>666</v>
      </c>
      <c r="C35" s="292" t="s">
        <v>600</v>
      </c>
      <c r="D35" s="291" t="s">
        <v>442</v>
      </c>
      <c r="E35" s="291" t="s">
        <v>159</v>
      </c>
    </row>
    <row r="36" spans="1:5">
      <c r="A36" s="295">
        <v>1412000066</v>
      </c>
      <c r="B36" s="293" t="s">
        <v>418</v>
      </c>
      <c r="C36" s="292" t="s">
        <v>593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585</v>
      </c>
      <c r="C37" s="292" t="s">
        <v>608</v>
      </c>
      <c r="D37" s="291" t="s">
        <v>574</v>
      </c>
      <c r="E37" s="291" t="s">
        <v>159</v>
      </c>
    </row>
    <row r="38" spans="1:5">
      <c r="A38" s="295">
        <v>1412000016</v>
      </c>
      <c r="B38" s="293" t="s">
        <v>582</v>
      </c>
      <c r="C38" s="292" t="s">
        <v>615</v>
      </c>
      <c r="D38" s="291" t="s">
        <v>574</v>
      </c>
      <c r="E38" s="291" t="s">
        <v>159</v>
      </c>
    </row>
    <row r="39" spans="1:5">
      <c r="A39" s="295">
        <v>1412000069</v>
      </c>
      <c r="B39" s="293" t="s">
        <v>583</v>
      </c>
      <c r="C39" s="292" t="s">
        <v>616</v>
      </c>
      <c r="D39" s="291" t="s">
        <v>574</v>
      </c>
      <c r="E39" s="291" t="s">
        <v>159</v>
      </c>
    </row>
    <row r="40" spans="1:5">
      <c r="A40" s="295">
        <v>1412000070</v>
      </c>
      <c r="B40" s="293" t="s">
        <v>587</v>
      </c>
      <c r="C40" s="292" t="s">
        <v>629</v>
      </c>
      <c r="D40" s="291" t="s">
        <v>575</v>
      </c>
      <c r="E40" s="291" t="s">
        <v>159</v>
      </c>
    </row>
    <row r="41" spans="1:5">
      <c r="A41" s="295">
        <v>1412000072</v>
      </c>
      <c r="B41" s="293" t="s">
        <v>645</v>
      </c>
      <c r="C41" s="292" t="s">
        <v>610</v>
      </c>
      <c r="D41" s="291" t="s">
        <v>442</v>
      </c>
      <c r="E41" s="291" t="s">
        <v>161</v>
      </c>
    </row>
    <row r="42" spans="1:5">
      <c r="A42" s="295">
        <v>1412000073</v>
      </c>
      <c r="B42" s="293" t="s">
        <v>584</v>
      </c>
      <c r="C42" s="292" t="s">
        <v>611</v>
      </c>
      <c r="D42" s="291" t="s">
        <v>442</v>
      </c>
      <c r="E42" s="291" t="s">
        <v>159</v>
      </c>
    </row>
    <row r="43" spans="1:5">
      <c r="A43" s="294">
        <v>1412000075</v>
      </c>
      <c r="B43" s="293" t="s">
        <v>581</v>
      </c>
      <c r="C43" s="292" t="s">
        <v>596</v>
      </c>
      <c r="D43" s="291" t="s">
        <v>442</v>
      </c>
      <c r="E43" s="291" t="s">
        <v>159</v>
      </c>
    </row>
    <row r="44" spans="1:5">
      <c r="A44" s="294">
        <v>1412000057</v>
      </c>
      <c r="B44" s="293" t="s">
        <v>621</v>
      </c>
      <c r="C44" s="292" t="s">
        <v>622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667</v>
      </c>
      <c r="C45" s="292" t="s">
        <v>623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646</v>
      </c>
      <c r="C46" s="292" t="s">
        <v>639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647</v>
      </c>
      <c r="C47" s="292" t="s">
        <v>649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648</v>
      </c>
      <c r="C48" s="292" t="s">
        <v>653</v>
      </c>
      <c r="D48" s="291" t="s">
        <v>574</v>
      </c>
      <c r="E48" s="291" t="s">
        <v>159</v>
      </c>
    </row>
    <row r="49" spans="1:5">
      <c r="A49" s="294">
        <v>1412000087</v>
      </c>
      <c r="B49" s="293" t="s">
        <v>650</v>
      </c>
      <c r="C49" s="292" t="s">
        <v>654</v>
      </c>
      <c r="D49" s="291" t="s">
        <v>442</v>
      </c>
      <c r="E49" s="291" t="s">
        <v>159</v>
      </c>
    </row>
    <row r="50" spans="1:5">
      <c r="A50" s="294">
        <v>1412000088</v>
      </c>
      <c r="B50" s="291" t="s">
        <v>651</v>
      </c>
      <c r="C50" s="292" t="s">
        <v>655</v>
      </c>
      <c r="D50" s="291" t="s">
        <v>442</v>
      </c>
      <c r="E50" s="291" t="s">
        <v>159</v>
      </c>
    </row>
    <row r="51" spans="1:5">
      <c r="A51" s="294">
        <v>1412000089</v>
      </c>
      <c r="B51" s="291" t="s">
        <v>652</v>
      </c>
      <c r="C51" s="292" t="s">
        <v>656</v>
      </c>
      <c r="D51" s="291" t="s">
        <v>574</v>
      </c>
      <c r="E51" s="291" t="s">
        <v>159</v>
      </c>
    </row>
    <row r="52" spans="1:5">
      <c r="A52" s="294">
        <v>1412000091</v>
      </c>
      <c r="B52" s="291" t="s">
        <v>659</v>
      </c>
      <c r="C52" s="296" t="s">
        <v>658</v>
      </c>
      <c r="D52" s="291" t="s">
        <v>576</v>
      </c>
      <c r="E52" s="291" t="s">
        <v>160</v>
      </c>
    </row>
    <row r="53" spans="1:5">
      <c r="A53" s="294">
        <v>1412000092</v>
      </c>
      <c r="B53" s="291" t="s">
        <v>660</v>
      </c>
      <c r="C53" s="296" t="s">
        <v>661</v>
      </c>
      <c r="D53" s="291" t="s">
        <v>574</v>
      </c>
      <c r="E53" s="291" t="s">
        <v>159</v>
      </c>
    </row>
    <row r="54" spans="1:5">
      <c r="A54" s="294">
        <v>1412000093</v>
      </c>
      <c r="B54" s="291" t="s">
        <v>668</v>
      </c>
      <c r="C54" s="296" t="s">
        <v>662</v>
      </c>
      <c r="D54" s="291" t="s">
        <v>576</v>
      </c>
      <c r="E54" s="291" t="s">
        <v>160</v>
      </c>
    </row>
    <row r="55" spans="1:5">
      <c r="A55" s="294">
        <v>1412000094</v>
      </c>
      <c r="B55" s="291" t="s">
        <v>669</v>
      </c>
      <c r="C55" s="296" t="s">
        <v>680</v>
      </c>
      <c r="D55" s="291" t="s">
        <v>442</v>
      </c>
      <c r="E55" s="291" t="s">
        <v>159</v>
      </c>
    </row>
    <row r="56" spans="1:5">
      <c r="A56" s="294">
        <v>1412000096</v>
      </c>
      <c r="B56" s="293" t="s">
        <v>670</v>
      </c>
      <c r="C56" s="296" t="s">
        <v>681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678</v>
      </c>
      <c r="C57" s="296" t="s">
        <v>682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679</v>
      </c>
      <c r="C58" s="296" t="s">
        <v>683</v>
      </c>
      <c r="D58" s="291" t="s">
        <v>159</v>
      </c>
      <c r="E58" s="291" t="s">
        <v>159</v>
      </c>
    </row>
  </sheetData>
  <autoFilter ref="A1:K479" xr:uid="{8C4A83F0-5BED-4579-B95B-05271A89C377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A10A-B19D-444E-AC87-E3FDCE7C62C3}">
  <sheetPr codeName="Sheet7"/>
  <dimension ref="A2:B14"/>
  <sheetViews>
    <sheetView workbookViewId="0">
      <selection activeCell="J13" sqref="J13"/>
    </sheetView>
  </sheetViews>
  <sheetFormatPr defaultRowHeight="13"/>
  <cols>
    <col min="2" max="2" width="9" style="248"/>
  </cols>
  <sheetData>
    <row r="2" spans="1:2">
      <c r="A2" s="123" t="s">
        <v>672</v>
      </c>
      <c r="B2" s="248" t="s">
        <v>401</v>
      </c>
    </row>
    <row r="3" spans="1:2" ht="14.5">
      <c r="A3" s="92">
        <v>4</v>
      </c>
      <c r="B3" s="249">
        <v>20</v>
      </c>
    </row>
    <row r="4" spans="1:2" ht="14.5">
      <c r="A4" s="92">
        <v>5</v>
      </c>
      <c r="B4" s="249">
        <v>19</v>
      </c>
    </row>
    <row r="5" spans="1:2" ht="14.5">
      <c r="A5" s="92">
        <v>6</v>
      </c>
      <c r="B5" s="249">
        <v>21</v>
      </c>
    </row>
    <row r="6" spans="1:2" ht="14.5">
      <c r="A6" s="92">
        <v>7</v>
      </c>
      <c r="B6" s="249">
        <v>23</v>
      </c>
    </row>
    <row r="7" spans="1:2" ht="14.5">
      <c r="A7" s="92">
        <v>8</v>
      </c>
      <c r="B7" s="249">
        <v>20</v>
      </c>
    </row>
    <row r="8" spans="1:2" ht="14.5">
      <c r="A8" s="92">
        <v>9</v>
      </c>
      <c r="B8" s="249">
        <v>19</v>
      </c>
    </row>
    <row r="9" spans="1:2" ht="14.5">
      <c r="A9" s="92">
        <v>10</v>
      </c>
      <c r="B9" s="249">
        <v>23</v>
      </c>
    </row>
    <row r="10" spans="1:2" ht="14.5">
      <c r="A10" s="92">
        <v>11</v>
      </c>
      <c r="B10" s="249">
        <v>20</v>
      </c>
    </row>
    <row r="11" spans="1:2" ht="14.5">
      <c r="A11" s="92">
        <v>12</v>
      </c>
      <c r="B11" s="249">
        <v>22</v>
      </c>
    </row>
    <row r="12" spans="1:2" ht="14.5">
      <c r="A12" s="92">
        <v>1</v>
      </c>
      <c r="B12" s="249">
        <v>20</v>
      </c>
    </row>
    <row r="13" spans="1:2" ht="14.5">
      <c r="A13" s="92">
        <v>2</v>
      </c>
      <c r="B13" s="249">
        <v>15</v>
      </c>
    </row>
    <row r="14" spans="1:2" ht="14.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Nguyễn Thị Thúy Lan(Nguyen Thi Thuy Lan)</cp:lastModifiedBy>
  <cp:lastPrinted>2017-10-06T02:39:42Z</cp:lastPrinted>
  <dcterms:created xsi:type="dcterms:W3CDTF">2002-04-10T08:05:47Z</dcterms:created>
  <dcterms:modified xsi:type="dcterms:W3CDTF">2025-03-25T02:02:15Z</dcterms:modified>
</cp:coreProperties>
</file>